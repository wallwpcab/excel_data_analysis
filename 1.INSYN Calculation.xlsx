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synoviapharma-my.sharepoint.com/personal/rafianahmed_rizwan_synoviapharma_com/Documents/Documents/Target Deployment/2026/Feb/"/>
    </mc:Choice>
  </mc:AlternateContent>
  <xr:revisionPtr revIDLastSave="1376" documentId="10_ncr:20000_{0B6EA73D-E1AD-4E43-959B-7E97F531790A}" xr6:coauthVersionLast="47" xr6:coauthVersionMax="47" xr10:uidLastSave="{30720AAD-B933-4F4F-8F1D-E6541DD84592}"/>
  <bookViews>
    <workbookView xWindow="-120" yWindow="-120" windowWidth="20730" windowHeight="11160" firstSheet="1" activeTab="4" xr2:uid="{00000000-000D-0000-FFFF-FFFF00000000}"/>
  </bookViews>
  <sheets>
    <sheet name="Ter. Ratio Dev" sheetId="5" r:id="rId1"/>
    <sheet name="Product Tgt" sheetId="1" r:id="rId2"/>
    <sheet name="Terr Target" sheetId="2" r:id="rId3"/>
    <sheet name="SYD_SORT" sheetId="21" r:id="rId4"/>
    <sheet name="Output Data" sheetId="14" r:id="rId5"/>
    <sheet name="Input" sheetId="8" r:id="rId6"/>
    <sheet name="Price" sheetId="18" r:id="rId7"/>
    <sheet name="Month" sheetId="19" r:id="rId8"/>
  </sheets>
  <definedNames>
    <definedName name="_xlnm._FilterDatabase" localSheetId="1" hidden="1">'Product Tgt'!$A$1:$H$8</definedName>
    <definedName name="_xlnm._FilterDatabase" localSheetId="3" hidden="1">SYD_SORT!$A$2:$L$2</definedName>
    <definedName name="_xlnm._FilterDatabase" localSheetId="0" hidden="1">'Ter. Ratio Dev'!$A$7:$AM$95</definedName>
    <definedName name="_xlnm._FilterDatabase" localSheetId="2" hidden="1">'Terr Target'!$G$2:$G$89</definedName>
    <definedName name="ExternalData_1" localSheetId="4" hidden="1">'Output Data'!$A$1:$F$784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9" i="5" l="1"/>
  <c r="U36" i="5"/>
  <c r="T37" i="5"/>
  <c r="U44" i="5"/>
  <c r="V51" i="5"/>
  <c r="T54" i="5"/>
  <c r="W58" i="5"/>
  <c r="U61" i="5"/>
  <c r="S62" i="5"/>
  <c r="V64" i="5"/>
  <c r="X66" i="5"/>
  <c r="U68" i="5"/>
  <c r="V68" i="5"/>
  <c r="T70" i="5"/>
  <c r="W71" i="5"/>
  <c r="X71" i="5"/>
  <c r="U74" i="5"/>
  <c r="W74" i="5"/>
  <c r="X75" i="5"/>
  <c r="T77" i="5"/>
  <c r="U77" i="5"/>
  <c r="X78" i="5"/>
  <c r="Y78" i="5"/>
  <c r="X79" i="5"/>
  <c r="S80" i="5"/>
  <c r="V81" i="5"/>
  <c r="X81" i="5"/>
  <c r="S83" i="5"/>
  <c r="X83" i="5"/>
  <c r="T84" i="5"/>
  <c r="X84" i="5"/>
  <c r="S85" i="5"/>
  <c r="T85" i="5"/>
  <c r="X85" i="5"/>
  <c r="U87" i="5"/>
  <c r="V87" i="5"/>
  <c r="X87" i="5"/>
  <c r="Y87" i="5"/>
  <c r="T88" i="5"/>
  <c r="U88" i="5"/>
  <c r="W88" i="5"/>
  <c r="X88" i="5"/>
  <c r="T89" i="5"/>
  <c r="V89" i="5"/>
  <c r="W89" i="5"/>
  <c r="X89" i="5"/>
  <c r="U90" i="5"/>
  <c r="V90" i="5"/>
  <c r="W90" i="5"/>
  <c r="T91" i="5"/>
  <c r="U91" i="5"/>
  <c r="V91" i="5"/>
  <c r="X91" i="5"/>
  <c r="T92" i="5"/>
  <c r="U92" i="5"/>
  <c r="X92" i="5"/>
  <c r="S93" i="5"/>
  <c r="T93" i="5"/>
  <c r="X93" i="5"/>
  <c r="Y94" i="5"/>
  <c r="U8" i="5"/>
  <c r="V8" i="5"/>
  <c r="I5" i="5"/>
  <c r="J5" i="5"/>
  <c r="K5" i="5"/>
  <c r="L5" i="5"/>
  <c r="M5" i="5"/>
  <c r="N5" i="5"/>
  <c r="O5" i="5"/>
  <c r="P5" i="5"/>
  <c r="I6" i="5"/>
  <c r="J6" i="5"/>
  <c r="K6" i="5"/>
  <c r="L6" i="5"/>
  <c r="M6" i="5"/>
  <c r="N6" i="5"/>
  <c r="O6" i="5"/>
  <c r="P6" i="5"/>
  <c r="I95" i="5"/>
  <c r="R71" i="5" s="1"/>
  <c r="J95" i="5"/>
  <c r="S46" i="5" s="1"/>
  <c r="K95" i="5"/>
  <c r="T69" i="5" s="1"/>
  <c r="L95" i="5"/>
  <c r="U65" i="5" s="1"/>
  <c r="M95" i="5"/>
  <c r="V11" i="5" s="1"/>
  <c r="N95" i="5"/>
  <c r="W18" i="5" s="1"/>
  <c r="O95" i="5"/>
  <c r="P95" i="5"/>
  <c r="Y69" i="5" s="1"/>
  <c r="H6" i="5"/>
  <c r="G13" i="1"/>
  <c r="G12" i="1"/>
  <c r="R6" i="5"/>
  <c r="S6" i="5"/>
  <c r="T6" i="5"/>
  <c r="U6" i="5"/>
  <c r="V6" i="5"/>
  <c r="W6" i="5"/>
  <c r="X6" i="5"/>
  <c r="Y6" i="5"/>
  <c r="S2" i="5"/>
  <c r="T2" i="5"/>
  <c r="S5" i="5"/>
  <c r="T5" i="5"/>
  <c r="E89" i="2"/>
  <c r="H9" i="1"/>
  <c r="H10" i="1"/>
  <c r="Q6" i="5"/>
  <c r="H3" i="1"/>
  <c r="H4" i="1"/>
  <c r="H5" i="1"/>
  <c r="H6" i="1"/>
  <c r="H7" i="1"/>
  <c r="H8" i="1"/>
  <c r="H2" i="1"/>
  <c r="R85" i="5" l="1"/>
  <c r="S70" i="5"/>
  <c r="W66" i="5"/>
  <c r="R64" i="5"/>
  <c r="Y57" i="5"/>
  <c r="W50" i="5"/>
  <c r="V43" i="5"/>
  <c r="S22" i="5"/>
  <c r="R15" i="5"/>
  <c r="X10" i="5"/>
  <c r="X18" i="5"/>
  <c r="X26" i="5"/>
  <c r="X34" i="5"/>
  <c r="X42" i="5"/>
  <c r="X50" i="5"/>
  <c r="X11" i="5"/>
  <c r="X19" i="5"/>
  <c r="X27" i="5"/>
  <c r="X35" i="5"/>
  <c r="X43" i="5"/>
  <c r="X51" i="5"/>
  <c r="X59" i="5"/>
  <c r="X12" i="5"/>
  <c r="X20" i="5"/>
  <c r="X28" i="5"/>
  <c r="X36" i="5"/>
  <c r="X44" i="5"/>
  <c r="X52" i="5"/>
  <c r="X60" i="5"/>
  <c r="X68" i="5"/>
  <c r="X76" i="5"/>
  <c r="X13" i="5"/>
  <c r="X21" i="5"/>
  <c r="X29" i="5"/>
  <c r="X37" i="5"/>
  <c r="X45" i="5"/>
  <c r="X53" i="5"/>
  <c r="X61" i="5"/>
  <c r="X69" i="5"/>
  <c r="X77" i="5"/>
  <c r="X14" i="5"/>
  <c r="X22" i="5"/>
  <c r="X30" i="5"/>
  <c r="X38" i="5"/>
  <c r="X46" i="5"/>
  <c r="X54" i="5"/>
  <c r="X15" i="5"/>
  <c r="X23" i="5"/>
  <c r="X31" i="5"/>
  <c r="X39" i="5"/>
  <c r="X47" i="5"/>
  <c r="X55" i="5"/>
  <c r="X63" i="5"/>
  <c r="X16" i="5"/>
  <c r="X24" i="5"/>
  <c r="X32" i="5"/>
  <c r="X40" i="5"/>
  <c r="X48" i="5"/>
  <c r="X56" i="5"/>
  <c r="X64" i="5"/>
  <c r="X72" i="5"/>
  <c r="X80" i="5"/>
  <c r="X8" i="5"/>
  <c r="X94" i="5"/>
  <c r="Y93" i="5"/>
  <c r="R92" i="5"/>
  <c r="S91" i="5"/>
  <c r="T90" i="5"/>
  <c r="U89" i="5"/>
  <c r="V88" i="5"/>
  <c r="W87" i="5"/>
  <c r="X86" i="5"/>
  <c r="Y85" i="5"/>
  <c r="R84" i="5"/>
  <c r="X82" i="5"/>
  <c r="U81" i="5"/>
  <c r="U78" i="5"/>
  <c r="R77" i="5"/>
  <c r="W75" i="5"/>
  <c r="T74" i="5"/>
  <c r="Y72" i="5"/>
  <c r="T71" i="5"/>
  <c r="R68" i="5"/>
  <c r="T66" i="5"/>
  <c r="T61" i="5"/>
  <c r="X57" i="5"/>
  <c r="S54" i="5"/>
  <c r="X49" i="5"/>
  <c r="W42" i="5"/>
  <c r="V35" i="5"/>
  <c r="U28" i="5"/>
  <c r="T21" i="5"/>
  <c r="S14" i="5"/>
  <c r="R94" i="5"/>
  <c r="R55" i="5"/>
  <c r="S30" i="5"/>
  <c r="Y9" i="5"/>
  <c r="Y17" i="5"/>
  <c r="Y25" i="5"/>
  <c r="Y33" i="5"/>
  <c r="Y41" i="5"/>
  <c r="Y49" i="5"/>
  <c r="Y10" i="5"/>
  <c r="Y18" i="5"/>
  <c r="Y26" i="5"/>
  <c r="Y34" i="5"/>
  <c r="Y42" i="5"/>
  <c r="Y50" i="5"/>
  <c r="Y58" i="5"/>
  <c r="Y11" i="5"/>
  <c r="Y19" i="5"/>
  <c r="Y27" i="5"/>
  <c r="Y35" i="5"/>
  <c r="Y43" i="5"/>
  <c r="Y51" i="5"/>
  <c r="Y59" i="5"/>
  <c r="Y67" i="5"/>
  <c r="Y75" i="5"/>
  <c r="Y83" i="5"/>
  <c r="Y12" i="5"/>
  <c r="Y20" i="5"/>
  <c r="Y28" i="5"/>
  <c r="Y36" i="5"/>
  <c r="Y44" i="5"/>
  <c r="Y52" i="5"/>
  <c r="Y60" i="5"/>
  <c r="Y68" i="5"/>
  <c r="Y76" i="5"/>
  <c r="Y13" i="5"/>
  <c r="Y21" i="5"/>
  <c r="Y29" i="5"/>
  <c r="Y37" i="5"/>
  <c r="Y45" i="5"/>
  <c r="Y53" i="5"/>
  <c r="Y61" i="5"/>
  <c r="Y14" i="5"/>
  <c r="Y22" i="5"/>
  <c r="Y30" i="5"/>
  <c r="Y38" i="5"/>
  <c r="Y46" i="5"/>
  <c r="Y54" i="5"/>
  <c r="Y62" i="5"/>
  <c r="Y15" i="5"/>
  <c r="Y23" i="5"/>
  <c r="Y31" i="5"/>
  <c r="Y39" i="5"/>
  <c r="Y47" i="5"/>
  <c r="Y55" i="5"/>
  <c r="Y63" i="5"/>
  <c r="Y71" i="5"/>
  <c r="Y79" i="5"/>
  <c r="S92" i="5"/>
  <c r="Y82" i="5"/>
  <c r="R80" i="5"/>
  <c r="Y92" i="5"/>
  <c r="W86" i="5"/>
  <c r="Y84" i="5"/>
  <c r="W82" i="5"/>
  <c r="R81" i="5"/>
  <c r="T78" i="5"/>
  <c r="V75" i="5"/>
  <c r="W72" i="5"/>
  <c r="S71" i="5"/>
  <c r="V69" i="5"/>
  <c r="X67" i="5"/>
  <c r="Y65" i="5"/>
  <c r="W63" i="5"/>
  <c r="V60" i="5"/>
  <c r="U53" i="5"/>
  <c r="Y48" i="5"/>
  <c r="X41" i="5"/>
  <c r="W34" i="5"/>
  <c r="V27" i="5"/>
  <c r="U20" i="5"/>
  <c r="T13" i="5"/>
  <c r="W83" i="5"/>
  <c r="U82" i="5"/>
  <c r="W79" i="5"/>
  <c r="S78" i="5"/>
  <c r="W76" i="5"/>
  <c r="T75" i="5"/>
  <c r="Y73" i="5"/>
  <c r="V72" i="5"/>
  <c r="U69" i="5"/>
  <c r="W67" i="5"/>
  <c r="X65" i="5"/>
  <c r="S63" i="5"/>
  <c r="U60" i="5"/>
  <c r="Y56" i="5"/>
  <c r="T53" i="5"/>
  <c r="Y40" i="5"/>
  <c r="X33" i="5"/>
  <c r="W26" i="5"/>
  <c r="V19" i="5"/>
  <c r="U12" i="5"/>
  <c r="R16" i="5"/>
  <c r="R24" i="5"/>
  <c r="R32" i="5"/>
  <c r="R40" i="5"/>
  <c r="R48" i="5"/>
  <c r="R9" i="5"/>
  <c r="R17" i="5"/>
  <c r="R25" i="5"/>
  <c r="R33" i="5"/>
  <c r="R41" i="5"/>
  <c r="R49" i="5"/>
  <c r="R57" i="5"/>
  <c r="R65" i="5"/>
  <c r="R10" i="5"/>
  <c r="R18" i="5"/>
  <c r="R26" i="5"/>
  <c r="R34" i="5"/>
  <c r="R42" i="5"/>
  <c r="R50" i="5"/>
  <c r="R58" i="5"/>
  <c r="R66" i="5"/>
  <c r="R74" i="5"/>
  <c r="R82" i="5"/>
  <c r="R11" i="5"/>
  <c r="R19" i="5"/>
  <c r="R27" i="5"/>
  <c r="R35" i="5"/>
  <c r="R43" i="5"/>
  <c r="R51" i="5"/>
  <c r="R59" i="5"/>
  <c r="R67" i="5"/>
  <c r="R75" i="5"/>
  <c r="R83" i="5"/>
  <c r="R12" i="5"/>
  <c r="R20" i="5"/>
  <c r="R28" i="5"/>
  <c r="R36" i="5"/>
  <c r="R44" i="5"/>
  <c r="R52" i="5"/>
  <c r="R60" i="5"/>
  <c r="R13" i="5"/>
  <c r="R21" i="5"/>
  <c r="R29" i="5"/>
  <c r="R37" i="5"/>
  <c r="R45" i="5"/>
  <c r="R53" i="5"/>
  <c r="R61" i="5"/>
  <c r="R69" i="5"/>
  <c r="R14" i="5"/>
  <c r="R22" i="5"/>
  <c r="R30" i="5"/>
  <c r="R38" i="5"/>
  <c r="R46" i="5"/>
  <c r="R54" i="5"/>
  <c r="R62" i="5"/>
  <c r="R70" i="5"/>
  <c r="R78" i="5"/>
  <c r="R93" i="5"/>
  <c r="S84" i="5"/>
  <c r="W94" i="5"/>
  <c r="R91" i="5"/>
  <c r="S89" i="5"/>
  <c r="W92" i="5"/>
  <c r="Y90" i="5"/>
  <c r="R89" i="5"/>
  <c r="S88" i="5"/>
  <c r="T87" i="5"/>
  <c r="U86" i="5"/>
  <c r="V85" i="5"/>
  <c r="W84" i="5"/>
  <c r="V83" i="5"/>
  <c r="T82" i="5"/>
  <c r="Y80" i="5"/>
  <c r="T79" i="5"/>
  <c r="V76" i="5"/>
  <c r="S75" i="5"/>
  <c r="X73" i="5"/>
  <c r="S72" i="5"/>
  <c r="Y70" i="5"/>
  <c r="V67" i="5"/>
  <c r="R63" i="5"/>
  <c r="W59" i="5"/>
  <c r="R56" i="5"/>
  <c r="V52" i="5"/>
  <c r="R47" i="5"/>
  <c r="Y32" i="5"/>
  <c r="X25" i="5"/>
  <c r="R86" i="5"/>
  <c r="R76" i="5"/>
  <c r="R23" i="5"/>
  <c r="Y8" i="5"/>
  <c r="Y86" i="5"/>
  <c r="W11" i="5"/>
  <c r="W19" i="5"/>
  <c r="W27" i="5"/>
  <c r="W35" i="5"/>
  <c r="W43" i="5"/>
  <c r="W12" i="5"/>
  <c r="W20" i="5"/>
  <c r="W28" i="5"/>
  <c r="W36" i="5"/>
  <c r="W44" i="5"/>
  <c r="W52" i="5"/>
  <c r="W60" i="5"/>
  <c r="W13" i="5"/>
  <c r="W21" i="5"/>
  <c r="W29" i="5"/>
  <c r="W37" i="5"/>
  <c r="W45" i="5"/>
  <c r="W53" i="5"/>
  <c r="W61" i="5"/>
  <c r="W69" i="5"/>
  <c r="W77" i="5"/>
  <c r="W14" i="5"/>
  <c r="W22" i="5"/>
  <c r="W30" i="5"/>
  <c r="W38" i="5"/>
  <c r="W46" i="5"/>
  <c r="W54" i="5"/>
  <c r="W62" i="5"/>
  <c r="W70" i="5"/>
  <c r="W78" i="5"/>
  <c r="W15" i="5"/>
  <c r="W23" i="5"/>
  <c r="W31" i="5"/>
  <c r="W39" i="5"/>
  <c r="W47" i="5"/>
  <c r="W55" i="5"/>
  <c r="W16" i="5"/>
  <c r="W24" i="5"/>
  <c r="W32" i="5"/>
  <c r="W40" i="5"/>
  <c r="W48" i="5"/>
  <c r="W56" i="5"/>
  <c r="W64" i="5"/>
  <c r="W9" i="5"/>
  <c r="W17" i="5"/>
  <c r="W25" i="5"/>
  <c r="W33" i="5"/>
  <c r="W41" i="5"/>
  <c r="W49" i="5"/>
  <c r="W57" i="5"/>
  <c r="W65" i="5"/>
  <c r="W73" i="5"/>
  <c r="W81" i="5"/>
  <c r="W8" i="5"/>
  <c r="S90" i="5"/>
  <c r="V12" i="5"/>
  <c r="V20" i="5"/>
  <c r="V28" i="5"/>
  <c r="V36" i="5"/>
  <c r="V44" i="5"/>
  <c r="V13" i="5"/>
  <c r="V21" i="5"/>
  <c r="V29" i="5"/>
  <c r="V37" i="5"/>
  <c r="V45" i="5"/>
  <c r="V53" i="5"/>
  <c r="V61" i="5"/>
  <c r="V14" i="5"/>
  <c r="V22" i="5"/>
  <c r="V30" i="5"/>
  <c r="V38" i="5"/>
  <c r="V46" i="5"/>
  <c r="V54" i="5"/>
  <c r="V62" i="5"/>
  <c r="V70" i="5"/>
  <c r="V78" i="5"/>
  <c r="V15" i="5"/>
  <c r="V23" i="5"/>
  <c r="V31" i="5"/>
  <c r="V39" i="5"/>
  <c r="V47" i="5"/>
  <c r="V55" i="5"/>
  <c r="V63" i="5"/>
  <c r="V71" i="5"/>
  <c r="V79" i="5"/>
  <c r="V16" i="5"/>
  <c r="V24" i="5"/>
  <c r="V32" i="5"/>
  <c r="V40" i="5"/>
  <c r="V48" i="5"/>
  <c r="V56" i="5"/>
  <c r="V9" i="5"/>
  <c r="V17" i="5"/>
  <c r="V25" i="5"/>
  <c r="V33" i="5"/>
  <c r="V41" i="5"/>
  <c r="V49" i="5"/>
  <c r="V57" i="5"/>
  <c r="V65" i="5"/>
  <c r="V10" i="5"/>
  <c r="V18" i="5"/>
  <c r="V26" i="5"/>
  <c r="V34" i="5"/>
  <c r="V42" i="5"/>
  <c r="V50" i="5"/>
  <c r="V58" i="5"/>
  <c r="V66" i="5"/>
  <c r="V74" i="5"/>
  <c r="V82" i="5"/>
  <c r="V94" i="5"/>
  <c r="W93" i="5"/>
  <c r="Y91" i="5"/>
  <c r="R90" i="5"/>
  <c r="V86" i="5"/>
  <c r="W85" i="5"/>
  <c r="U13" i="5"/>
  <c r="U21" i="5"/>
  <c r="U29" i="5"/>
  <c r="U37" i="5"/>
  <c r="U45" i="5"/>
  <c r="U14" i="5"/>
  <c r="U22" i="5"/>
  <c r="U30" i="5"/>
  <c r="U38" i="5"/>
  <c r="U46" i="5"/>
  <c r="U54" i="5"/>
  <c r="U62" i="5"/>
  <c r="U15" i="5"/>
  <c r="U23" i="5"/>
  <c r="U31" i="5"/>
  <c r="U39" i="5"/>
  <c r="U47" i="5"/>
  <c r="U55" i="5"/>
  <c r="U63" i="5"/>
  <c r="U71" i="5"/>
  <c r="U79" i="5"/>
  <c r="U16" i="5"/>
  <c r="U24" i="5"/>
  <c r="U32" i="5"/>
  <c r="U40" i="5"/>
  <c r="U48" i="5"/>
  <c r="U56" i="5"/>
  <c r="U64" i="5"/>
  <c r="U72" i="5"/>
  <c r="U80" i="5"/>
  <c r="U9" i="5"/>
  <c r="U17" i="5"/>
  <c r="U25" i="5"/>
  <c r="U33" i="5"/>
  <c r="U41" i="5"/>
  <c r="U49" i="5"/>
  <c r="U57" i="5"/>
  <c r="U10" i="5"/>
  <c r="U18" i="5"/>
  <c r="U26" i="5"/>
  <c r="U34" i="5"/>
  <c r="U42" i="5"/>
  <c r="U50" i="5"/>
  <c r="U58" i="5"/>
  <c r="U66" i="5"/>
  <c r="U11" i="5"/>
  <c r="U19" i="5"/>
  <c r="U27" i="5"/>
  <c r="U35" i="5"/>
  <c r="U43" i="5"/>
  <c r="U51" i="5"/>
  <c r="U59" i="5"/>
  <c r="U67" i="5"/>
  <c r="U75" i="5"/>
  <c r="U94" i="5"/>
  <c r="V93" i="5"/>
  <c r="T14" i="5"/>
  <c r="T22" i="5"/>
  <c r="T30" i="5"/>
  <c r="T38" i="5"/>
  <c r="T46" i="5"/>
  <c r="T15" i="5"/>
  <c r="T23" i="5"/>
  <c r="T31" i="5"/>
  <c r="T39" i="5"/>
  <c r="T47" i="5"/>
  <c r="T55" i="5"/>
  <c r="T63" i="5"/>
  <c r="T16" i="5"/>
  <c r="T24" i="5"/>
  <c r="T32" i="5"/>
  <c r="T40" i="5"/>
  <c r="T48" i="5"/>
  <c r="T56" i="5"/>
  <c r="T64" i="5"/>
  <c r="T72" i="5"/>
  <c r="T80" i="5"/>
  <c r="T9" i="5"/>
  <c r="T17" i="5"/>
  <c r="T25" i="5"/>
  <c r="T33" i="5"/>
  <c r="T41" i="5"/>
  <c r="T49" i="5"/>
  <c r="T57" i="5"/>
  <c r="T65" i="5"/>
  <c r="T73" i="5"/>
  <c r="T81" i="5"/>
  <c r="T10" i="5"/>
  <c r="T18" i="5"/>
  <c r="T26" i="5"/>
  <c r="T34" i="5"/>
  <c r="T42" i="5"/>
  <c r="T50" i="5"/>
  <c r="T58" i="5"/>
  <c r="T11" i="5"/>
  <c r="T19" i="5"/>
  <c r="T27" i="5"/>
  <c r="T35" i="5"/>
  <c r="T43" i="5"/>
  <c r="T51" i="5"/>
  <c r="T59" i="5"/>
  <c r="T67" i="5"/>
  <c r="T12" i="5"/>
  <c r="T20" i="5"/>
  <c r="T28" i="5"/>
  <c r="T36" i="5"/>
  <c r="T44" i="5"/>
  <c r="T52" i="5"/>
  <c r="T60" i="5"/>
  <c r="T68" i="5"/>
  <c r="T76" i="5"/>
  <c r="T8" i="5"/>
  <c r="T94" i="5"/>
  <c r="U93" i="5"/>
  <c r="V92" i="5"/>
  <c r="W91" i="5"/>
  <c r="X90" i="5"/>
  <c r="Y89" i="5"/>
  <c r="R88" i="5"/>
  <c r="S87" i="5"/>
  <c r="T86" i="5"/>
  <c r="U85" i="5"/>
  <c r="V84" i="5"/>
  <c r="U83" i="5"/>
  <c r="W80" i="5"/>
  <c r="S79" i="5"/>
  <c r="Y77" i="5"/>
  <c r="U76" i="5"/>
  <c r="Y74" i="5"/>
  <c r="V73" i="5"/>
  <c r="R72" i="5"/>
  <c r="X70" i="5"/>
  <c r="S67" i="5"/>
  <c r="X62" i="5"/>
  <c r="V59" i="5"/>
  <c r="U52" i="5"/>
  <c r="R39" i="5"/>
  <c r="Y24" i="5"/>
  <c r="X17" i="5"/>
  <c r="W10" i="5"/>
  <c r="R8" i="5"/>
  <c r="R73" i="5"/>
  <c r="S15" i="5"/>
  <c r="S23" i="5"/>
  <c r="S31" i="5"/>
  <c r="S39" i="5"/>
  <c r="S47" i="5"/>
  <c r="S16" i="5"/>
  <c r="S24" i="5"/>
  <c r="S32" i="5"/>
  <c r="S40" i="5"/>
  <c r="S48" i="5"/>
  <c r="S56" i="5"/>
  <c r="S64" i="5"/>
  <c r="S9" i="5"/>
  <c r="S17" i="5"/>
  <c r="S25" i="5"/>
  <c r="S33" i="5"/>
  <c r="S41" i="5"/>
  <c r="S49" i="5"/>
  <c r="S57" i="5"/>
  <c r="S65" i="5"/>
  <c r="S73" i="5"/>
  <c r="S81" i="5"/>
  <c r="S10" i="5"/>
  <c r="S18" i="5"/>
  <c r="S26" i="5"/>
  <c r="S34" i="5"/>
  <c r="S42" i="5"/>
  <c r="S50" i="5"/>
  <c r="S58" i="5"/>
  <c r="S66" i="5"/>
  <c r="S74" i="5"/>
  <c r="S82" i="5"/>
  <c r="S11" i="5"/>
  <c r="S19" i="5"/>
  <c r="S27" i="5"/>
  <c r="S35" i="5"/>
  <c r="S43" i="5"/>
  <c r="S51" i="5"/>
  <c r="S59" i="5"/>
  <c r="S12" i="5"/>
  <c r="S20" i="5"/>
  <c r="S28" i="5"/>
  <c r="S36" i="5"/>
  <c r="S44" i="5"/>
  <c r="S52" i="5"/>
  <c r="S60" i="5"/>
  <c r="S68" i="5"/>
  <c r="S13" i="5"/>
  <c r="S21" i="5"/>
  <c r="S29" i="5"/>
  <c r="S37" i="5"/>
  <c r="S45" i="5"/>
  <c r="S53" i="5"/>
  <c r="S61" i="5"/>
  <c r="S69" i="5"/>
  <c r="S77" i="5"/>
  <c r="S8" i="5"/>
  <c r="S94" i="5"/>
  <c r="Y88" i="5"/>
  <c r="R87" i="5"/>
  <c r="S86" i="5"/>
  <c r="U84" i="5"/>
  <c r="T83" i="5"/>
  <c r="Y81" i="5"/>
  <c r="V80" i="5"/>
  <c r="R79" i="5"/>
  <c r="V77" i="5"/>
  <c r="S76" i="5"/>
  <c r="X74" i="5"/>
  <c r="U73" i="5"/>
  <c r="U70" i="5"/>
  <c r="W68" i="5"/>
  <c r="Y66" i="5"/>
  <c r="Y64" i="5"/>
  <c r="T62" i="5"/>
  <c r="X58" i="5"/>
  <c r="S55" i="5"/>
  <c r="W51" i="5"/>
  <c r="T45" i="5"/>
  <c r="S38" i="5"/>
  <c r="R31" i="5"/>
  <c r="Y16" i="5"/>
  <c r="X9" i="5"/>
  <c r="H95" i="5"/>
  <c r="Q9" i="5" l="1"/>
  <c r="D9" i="5" s="1"/>
  <c r="Q17" i="5"/>
  <c r="D17" i="5" s="1"/>
  <c r="Q25" i="5"/>
  <c r="D25" i="5" s="1"/>
  <c r="Q33" i="5"/>
  <c r="D33" i="5" s="1"/>
  <c r="Q41" i="5"/>
  <c r="D41" i="5" s="1"/>
  <c r="Q49" i="5"/>
  <c r="D49" i="5" s="1"/>
  <c r="Q10" i="5"/>
  <c r="D10" i="5" s="1"/>
  <c r="Q18" i="5"/>
  <c r="D18" i="5" s="1"/>
  <c r="Q26" i="5"/>
  <c r="D26" i="5" s="1"/>
  <c r="Q34" i="5"/>
  <c r="D34" i="5" s="1"/>
  <c r="Q42" i="5"/>
  <c r="D42" i="5" s="1"/>
  <c r="Q50" i="5"/>
  <c r="D50" i="5" s="1"/>
  <c r="Q58" i="5"/>
  <c r="D58" i="5" s="1"/>
  <c r="Q66" i="5"/>
  <c r="D66" i="5" s="1"/>
  <c r="Q11" i="5"/>
  <c r="D11" i="5" s="1"/>
  <c r="Q19" i="5"/>
  <c r="D19" i="5" s="1"/>
  <c r="Q27" i="5"/>
  <c r="D27" i="5" s="1"/>
  <c r="Q35" i="5"/>
  <c r="D35" i="5" s="1"/>
  <c r="Q43" i="5"/>
  <c r="D43" i="5" s="1"/>
  <c r="Q51" i="5"/>
  <c r="D51" i="5" s="1"/>
  <c r="Q59" i="5"/>
  <c r="D59" i="5" s="1"/>
  <c r="Q67" i="5"/>
  <c r="D67" i="5" s="1"/>
  <c r="Q75" i="5"/>
  <c r="D75" i="5" s="1"/>
  <c r="Q83" i="5"/>
  <c r="D83" i="5" s="1"/>
  <c r="Q12" i="5"/>
  <c r="D12" i="5" s="1"/>
  <c r="Q20" i="5"/>
  <c r="D20" i="5" s="1"/>
  <c r="Q28" i="5"/>
  <c r="D28" i="5" s="1"/>
  <c r="Q36" i="5"/>
  <c r="D36" i="5" s="1"/>
  <c r="Q44" i="5"/>
  <c r="D44" i="5" s="1"/>
  <c r="Q52" i="5"/>
  <c r="D52" i="5" s="1"/>
  <c r="Q60" i="5"/>
  <c r="D60" i="5" s="1"/>
  <c r="Q68" i="5"/>
  <c r="D68" i="5" s="1"/>
  <c r="Q76" i="5"/>
  <c r="D76" i="5" s="1"/>
  <c r="Q84" i="5"/>
  <c r="D84" i="5" s="1"/>
  <c r="Q13" i="5"/>
  <c r="Q21" i="5"/>
  <c r="Q29" i="5"/>
  <c r="D29" i="5" s="1"/>
  <c r="Q37" i="5"/>
  <c r="Q45" i="5"/>
  <c r="Q53" i="5"/>
  <c r="D53" i="5" s="1"/>
  <c r="Q61" i="5"/>
  <c r="Q14" i="5"/>
  <c r="D14" i="5" s="1"/>
  <c r="Q22" i="5"/>
  <c r="Q30" i="5"/>
  <c r="Q38" i="5"/>
  <c r="D38" i="5" s="1"/>
  <c r="Q46" i="5"/>
  <c r="D46" i="5" s="1"/>
  <c r="Q54" i="5"/>
  <c r="Q62" i="5"/>
  <c r="D62" i="5" s="1"/>
  <c r="Q70" i="5"/>
  <c r="D70" i="5" s="1"/>
  <c r="Q15" i="5"/>
  <c r="D15" i="5" s="1"/>
  <c r="Q23" i="5"/>
  <c r="D23" i="5" s="1"/>
  <c r="Q31" i="5"/>
  <c r="D31" i="5" s="1"/>
  <c r="Q39" i="5"/>
  <c r="D39" i="5" s="1"/>
  <c r="Q47" i="5"/>
  <c r="D47" i="5" s="1"/>
  <c r="Q55" i="5"/>
  <c r="D55" i="5" s="1"/>
  <c r="Q63" i="5"/>
  <c r="D63" i="5" s="1"/>
  <c r="Q71" i="5"/>
  <c r="D71" i="5" s="1"/>
  <c r="Q79" i="5"/>
  <c r="D79" i="5" s="1"/>
  <c r="Q24" i="5"/>
  <c r="D24" i="5" s="1"/>
  <c r="Q72" i="5"/>
  <c r="D72" i="5" s="1"/>
  <c r="Q88" i="5"/>
  <c r="D88" i="5" s="1"/>
  <c r="Q32" i="5"/>
  <c r="D32" i="5" s="1"/>
  <c r="Q56" i="5"/>
  <c r="D56" i="5" s="1"/>
  <c r="Q65" i="5"/>
  <c r="D65" i="5" s="1"/>
  <c r="Q69" i="5"/>
  <c r="D69" i="5" s="1"/>
  <c r="Q82" i="5"/>
  <c r="D82" i="5" s="1"/>
  <c r="Q89" i="5"/>
  <c r="D89" i="5" s="1"/>
  <c r="Q86" i="5"/>
  <c r="D86" i="5" s="1"/>
  <c r="Q94" i="5"/>
  <c r="D94" i="5" s="1"/>
  <c r="Q40" i="5"/>
  <c r="D40" i="5" s="1"/>
  <c r="Q78" i="5"/>
  <c r="D78" i="5" s="1"/>
  <c r="Q90" i="5"/>
  <c r="D90" i="5" s="1"/>
  <c r="Q91" i="5"/>
  <c r="D91" i="5" s="1"/>
  <c r="Q92" i="5"/>
  <c r="D92" i="5" s="1"/>
  <c r="Q16" i="5"/>
  <c r="D16" i="5" s="1"/>
  <c r="Q48" i="5"/>
  <c r="D48" i="5" s="1"/>
  <c r="Q81" i="5"/>
  <c r="D81" i="5" s="1"/>
  <c r="Q57" i="5"/>
  <c r="D57" i="5" s="1"/>
  <c r="Q74" i="5"/>
  <c r="D74" i="5" s="1"/>
  <c r="Q77" i="5"/>
  <c r="Q73" i="5"/>
  <c r="D73" i="5" s="1"/>
  <c r="Q64" i="5"/>
  <c r="D64" i="5" s="1"/>
  <c r="Q80" i="5"/>
  <c r="D80" i="5" s="1"/>
  <c r="Q85" i="5"/>
  <c r="D85" i="5" s="1"/>
  <c r="Q93" i="5"/>
  <c r="D93" i="5" s="1"/>
  <c r="Q87" i="5"/>
  <c r="D87" i="5" s="1"/>
  <c r="D45" i="5"/>
  <c r="D61" i="5"/>
  <c r="D37" i="5"/>
  <c r="D21" i="5"/>
  <c r="D77" i="5"/>
  <c r="D13" i="5"/>
  <c r="D30" i="5"/>
  <c r="D22" i="5"/>
  <c r="D54" i="5"/>
  <c r="Q8" i="5"/>
  <c r="R2" i="5"/>
  <c r="U2" i="5"/>
  <c r="V2" i="5"/>
  <c r="W2" i="5"/>
  <c r="X2" i="5"/>
  <c r="Y2" i="5"/>
  <c r="Q2" i="5"/>
  <c r="Q5" i="5"/>
  <c r="R5" i="5"/>
  <c r="U5" i="5"/>
  <c r="V5" i="5"/>
  <c r="W5" i="5"/>
  <c r="X5" i="5"/>
  <c r="Y5" i="5"/>
  <c r="Z5" i="5"/>
  <c r="AA5" i="5"/>
  <c r="AB5" i="5"/>
  <c r="AC5" i="5"/>
  <c r="AD5" i="5"/>
  <c r="AE5" i="5"/>
  <c r="AF5" i="5"/>
  <c r="AG5" i="5"/>
  <c r="AH5" i="5"/>
  <c r="AI5" i="5"/>
  <c r="AJ5" i="5"/>
  <c r="AK5" i="5"/>
  <c r="AL5" i="5"/>
  <c r="AM5" i="5"/>
  <c r="E186" i="2"/>
  <c r="AA69" i="5" l="1"/>
  <c r="AH69" i="5" s="1"/>
  <c r="AA24" i="5"/>
  <c r="AH24" i="5" s="1"/>
  <c r="AA40" i="5"/>
  <c r="AH40" i="5" s="1"/>
  <c r="AA88" i="5"/>
  <c r="AH88" i="5" s="1"/>
  <c r="AA54" i="5"/>
  <c r="AH54" i="5" s="1"/>
  <c r="AA51" i="5"/>
  <c r="AH51" i="5" s="1"/>
  <c r="AA38" i="5"/>
  <c r="AH38" i="5" s="1"/>
  <c r="AA70" i="5"/>
  <c r="AH70" i="5" s="1"/>
  <c r="AA17" i="5"/>
  <c r="AH17" i="5" s="1"/>
  <c r="AA33" i="5"/>
  <c r="AH33" i="5" s="1"/>
  <c r="AA42" i="5"/>
  <c r="AH42" i="5" s="1"/>
  <c r="AA28" i="5"/>
  <c r="AH28" i="5" s="1"/>
  <c r="AA44" i="5"/>
  <c r="AH44" i="5" s="1"/>
  <c r="AA92" i="5"/>
  <c r="AH92" i="5" s="1"/>
  <c r="AA26" i="5"/>
  <c r="AH26" i="5" s="1"/>
  <c r="AA34" i="5"/>
  <c r="AH34" i="5" s="1"/>
  <c r="AA31" i="5"/>
  <c r="AH31" i="5" s="1"/>
  <c r="AA47" i="5"/>
  <c r="AH47" i="5" s="1"/>
  <c r="AA55" i="5"/>
  <c r="AH55" i="5" s="1"/>
  <c r="AA64" i="5"/>
  <c r="AH64" i="5" s="1"/>
  <c r="AA72" i="5"/>
  <c r="AH72" i="5" s="1"/>
  <c r="AA49" i="5"/>
  <c r="AH49" i="5" s="1"/>
  <c r="AA57" i="5"/>
  <c r="AH57" i="5" s="1"/>
  <c r="AA19" i="5"/>
  <c r="AH19" i="5" s="1"/>
  <c r="AA27" i="5"/>
  <c r="AH27" i="5" s="1"/>
  <c r="AA36" i="5"/>
  <c r="AH36" i="5" s="1"/>
  <c r="AA62" i="5"/>
  <c r="AH62" i="5" s="1"/>
  <c r="AA77" i="5"/>
  <c r="AH77" i="5" s="1"/>
  <c r="AA52" i="5"/>
  <c r="AH52" i="5" s="1"/>
  <c r="AA67" i="5"/>
  <c r="AH67" i="5" s="1"/>
  <c r="AA13" i="5"/>
  <c r="AH13" i="5" s="1"/>
  <c r="AA29" i="5"/>
  <c r="AH29" i="5" s="1"/>
  <c r="AA75" i="5"/>
  <c r="AH75" i="5" s="1"/>
  <c r="AF9" i="5"/>
  <c r="AM9" i="5" s="1"/>
  <c r="AF17" i="5"/>
  <c r="AM17" i="5" s="1"/>
  <c r="AF25" i="5"/>
  <c r="AM25" i="5" s="1"/>
  <c r="AF33" i="5"/>
  <c r="AM33" i="5" s="1"/>
  <c r="AF41" i="5"/>
  <c r="AM41" i="5" s="1"/>
  <c r="AF57" i="5"/>
  <c r="AM57" i="5" s="1"/>
  <c r="AF65" i="5"/>
  <c r="AM65" i="5" s="1"/>
  <c r="AF73" i="5"/>
  <c r="AM73" i="5" s="1"/>
  <c r="AF10" i="5"/>
  <c r="AM10" i="5" s="1"/>
  <c r="AF18" i="5"/>
  <c r="AM18" i="5" s="1"/>
  <c r="AF26" i="5"/>
  <c r="AM26" i="5" s="1"/>
  <c r="AF42" i="5"/>
  <c r="AM42" i="5" s="1"/>
  <c r="AF50" i="5"/>
  <c r="AM50" i="5" s="1"/>
  <c r="AF58" i="5"/>
  <c r="AM58" i="5" s="1"/>
  <c r="AF66" i="5"/>
  <c r="AM66" i="5" s="1"/>
  <c r="AF74" i="5"/>
  <c r="AM74" i="5" s="1"/>
  <c r="AF82" i="5"/>
  <c r="AM82" i="5" s="1"/>
  <c r="AF11" i="5"/>
  <c r="AM11" i="5" s="1"/>
  <c r="AF27" i="5"/>
  <c r="AM27" i="5" s="1"/>
  <c r="AF35" i="5"/>
  <c r="AM35" i="5" s="1"/>
  <c r="AF43" i="5"/>
  <c r="AM43" i="5" s="1"/>
  <c r="AF51" i="5"/>
  <c r="AM51" i="5" s="1"/>
  <c r="AF59" i="5"/>
  <c r="AM59" i="5" s="1"/>
  <c r="AF67" i="5"/>
  <c r="AM67" i="5" s="1"/>
  <c r="AF75" i="5"/>
  <c r="AM75" i="5" s="1"/>
  <c r="AF83" i="5"/>
  <c r="AM83" i="5" s="1"/>
  <c r="AF12" i="5"/>
  <c r="AM12" i="5" s="1"/>
  <c r="AF20" i="5"/>
  <c r="AM20" i="5" s="1"/>
  <c r="AF28" i="5"/>
  <c r="AM28" i="5" s="1"/>
  <c r="AF36" i="5"/>
  <c r="AM36" i="5" s="1"/>
  <c r="AF44" i="5"/>
  <c r="AM44" i="5" s="1"/>
  <c r="AF52" i="5"/>
  <c r="AM52" i="5" s="1"/>
  <c r="AF60" i="5"/>
  <c r="AM60" i="5" s="1"/>
  <c r="AF13" i="5"/>
  <c r="AM13" i="5" s="1"/>
  <c r="AF21" i="5"/>
  <c r="AM21" i="5" s="1"/>
  <c r="AF29" i="5"/>
  <c r="AM29" i="5" s="1"/>
  <c r="AF37" i="5"/>
  <c r="AM37" i="5" s="1"/>
  <c r="AF45" i="5"/>
  <c r="AM45" i="5" s="1"/>
  <c r="AF15" i="5"/>
  <c r="AM15" i="5" s="1"/>
  <c r="AF23" i="5"/>
  <c r="AM23" i="5" s="1"/>
  <c r="AF31" i="5"/>
  <c r="AM31" i="5" s="1"/>
  <c r="AF39" i="5"/>
  <c r="AM39" i="5" s="1"/>
  <c r="AF47" i="5"/>
  <c r="AM47" i="5" s="1"/>
  <c r="AF55" i="5"/>
  <c r="AM55" i="5" s="1"/>
  <c r="AF63" i="5"/>
  <c r="AM63" i="5" s="1"/>
  <c r="AF71" i="5"/>
  <c r="AM71" i="5" s="1"/>
  <c r="AF79" i="5"/>
  <c r="AM79" i="5" s="1"/>
  <c r="AF24" i="5"/>
  <c r="AM24" i="5" s="1"/>
  <c r="AF32" i="5"/>
  <c r="AM32" i="5" s="1"/>
  <c r="AF40" i="5"/>
  <c r="AM40" i="5" s="1"/>
  <c r="AF48" i="5"/>
  <c r="AM48" i="5" s="1"/>
  <c r="AF56" i="5"/>
  <c r="AM56" i="5" s="1"/>
  <c r="AF30" i="5"/>
  <c r="AM30" i="5" s="1"/>
  <c r="AF69" i="5"/>
  <c r="AM69" i="5" s="1"/>
  <c r="AF84" i="5"/>
  <c r="AM84" i="5" s="1"/>
  <c r="AF38" i="5"/>
  <c r="AM38" i="5" s="1"/>
  <c r="AF61" i="5"/>
  <c r="AM61" i="5" s="1"/>
  <c r="AF78" i="5"/>
  <c r="AM78" i="5" s="1"/>
  <c r="AF85" i="5"/>
  <c r="AM85" i="5" s="1"/>
  <c r="AF46" i="5"/>
  <c r="AM46" i="5" s="1"/>
  <c r="AF54" i="5"/>
  <c r="AM54" i="5" s="1"/>
  <c r="AF64" i="5"/>
  <c r="AM64" i="5" s="1"/>
  <c r="AF80" i="5"/>
  <c r="AM80" i="5" s="1"/>
  <c r="AF86" i="5"/>
  <c r="AM86" i="5" s="1"/>
  <c r="AF94" i="5"/>
  <c r="AM94" i="5" s="1"/>
  <c r="AF8" i="5"/>
  <c r="AM8" i="5" s="1"/>
  <c r="AF88" i="5"/>
  <c r="AM88" i="5" s="1"/>
  <c r="AF68" i="5"/>
  <c r="AM68" i="5" s="1"/>
  <c r="AF87" i="5"/>
  <c r="AM87" i="5" s="1"/>
  <c r="AF62" i="5"/>
  <c r="AM62" i="5" s="1"/>
  <c r="AF89" i="5"/>
  <c r="AM89" i="5" s="1"/>
  <c r="AF77" i="5"/>
  <c r="AM77" i="5" s="1"/>
  <c r="AF14" i="5"/>
  <c r="AM14" i="5" s="1"/>
  <c r="AF72" i="5"/>
  <c r="AM72" i="5" s="1"/>
  <c r="AF90" i="5"/>
  <c r="AM90" i="5" s="1"/>
  <c r="AF70" i="5"/>
  <c r="AM70" i="5" s="1"/>
  <c r="AF22" i="5"/>
  <c r="AM22" i="5" s="1"/>
  <c r="AF53" i="5"/>
  <c r="AM53" i="5" s="1"/>
  <c r="AF76" i="5"/>
  <c r="AM76" i="5" s="1"/>
  <c r="AF91" i="5"/>
  <c r="AM91" i="5" s="1"/>
  <c r="AF92" i="5"/>
  <c r="AM92" i="5" s="1"/>
  <c r="AF93" i="5"/>
  <c r="AM93" i="5" s="1"/>
  <c r="AE10" i="5"/>
  <c r="AL10" i="5" s="1"/>
  <c r="AE18" i="5"/>
  <c r="AL18" i="5" s="1"/>
  <c r="AE26" i="5"/>
  <c r="AL26" i="5" s="1"/>
  <c r="AE34" i="5"/>
  <c r="AL34" i="5" s="1"/>
  <c r="AE42" i="5"/>
  <c r="AL42" i="5" s="1"/>
  <c r="AE50" i="5"/>
  <c r="AL50" i="5" s="1"/>
  <c r="AE58" i="5"/>
  <c r="AL58" i="5" s="1"/>
  <c r="AE66" i="5"/>
  <c r="AL66" i="5" s="1"/>
  <c r="AE74" i="5"/>
  <c r="AL74" i="5" s="1"/>
  <c r="AE82" i="5"/>
  <c r="AL82" i="5" s="1"/>
  <c r="AE11" i="5"/>
  <c r="AL11" i="5" s="1"/>
  <c r="AE19" i="5"/>
  <c r="AL19" i="5" s="1"/>
  <c r="AE35" i="5"/>
  <c r="AL35" i="5" s="1"/>
  <c r="AE43" i="5"/>
  <c r="AL43" i="5" s="1"/>
  <c r="AE51" i="5"/>
  <c r="AL51" i="5" s="1"/>
  <c r="AE59" i="5"/>
  <c r="AL59" i="5" s="1"/>
  <c r="AE67" i="5"/>
  <c r="AL67" i="5" s="1"/>
  <c r="AE75" i="5"/>
  <c r="AL75" i="5" s="1"/>
  <c r="AE12" i="5"/>
  <c r="AL12" i="5" s="1"/>
  <c r="AE28" i="5"/>
  <c r="AL28" i="5" s="1"/>
  <c r="AE36" i="5"/>
  <c r="AL36" i="5" s="1"/>
  <c r="AE44" i="5"/>
  <c r="AL44" i="5" s="1"/>
  <c r="AE52" i="5"/>
  <c r="AL52" i="5" s="1"/>
  <c r="AE60" i="5"/>
  <c r="AL60" i="5" s="1"/>
  <c r="AE68" i="5"/>
  <c r="AL68" i="5" s="1"/>
  <c r="AE76" i="5"/>
  <c r="AL76" i="5" s="1"/>
  <c r="AE13" i="5"/>
  <c r="AL13" i="5" s="1"/>
  <c r="AE29" i="5"/>
  <c r="AL29" i="5" s="1"/>
  <c r="AE37" i="5"/>
  <c r="AL37" i="5" s="1"/>
  <c r="AE45" i="5"/>
  <c r="AL45" i="5" s="1"/>
  <c r="AE53" i="5"/>
  <c r="AL53" i="5" s="1"/>
  <c r="AE61" i="5"/>
  <c r="AL61" i="5" s="1"/>
  <c r="AE14" i="5"/>
  <c r="AL14" i="5" s="1"/>
  <c r="AE22" i="5"/>
  <c r="AL22" i="5" s="1"/>
  <c r="AE30" i="5"/>
  <c r="AL30" i="5" s="1"/>
  <c r="AE38" i="5"/>
  <c r="AL38" i="5" s="1"/>
  <c r="AE46" i="5"/>
  <c r="AL46" i="5" s="1"/>
  <c r="AE16" i="5"/>
  <c r="AL16" i="5" s="1"/>
  <c r="AE24" i="5"/>
  <c r="AL24" i="5" s="1"/>
  <c r="AE32" i="5"/>
  <c r="AL32" i="5" s="1"/>
  <c r="AE40" i="5"/>
  <c r="AL40" i="5" s="1"/>
  <c r="AE48" i="5"/>
  <c r="AL48" i="5" s="1"/>
  <c r="AE56" i="5"/>
  <c r="AL56" i="5" s="1"/>
  <c r="AE64" i="5"/>
  <c r="AL64" i="5" s="1"/>
  <c r="AE72" i="5"/>
  <c r="AL72" i="5" s="1"/>
  <c r="AE80" i="5"/>
  <c r="AL80" i="5" s="1"/>
  <c r="AE9" i="5"/>
  <c r="AL9" i="5" s="1"/>
  <c r="AE17" i="5"/>
  <c r="AL17" i="5" s="1"/>
  <c r="AE25" i="5"/>
  <c r="AL25" i="5" s="1"/>
  <c r="AE33" i="5"/>
  <c r="AL33" i="5" s="1"/>
  <c r="AE41" i="5"/>
  <c r="AL41" i="5" s="1"/>
  <c r="AE49" i="5"/>
  <c r="AL49" i="5" s="1"/>
  <c r="AE57" i="5"/>
  <c r="AL57" i="5" s="1"/>
  <c r="AE23" i="5"/>
  <c r="AL23" i="5" s="1"/>
  <c r="AE78" i="5"/>
  <c r="AL78" i="5" s="1"/>
  <c r="AE83" i="5"/>
  <c r="AL83" i="5" s="1"/>
  <c r="AE85" i="5"/>
  <c r="AL85" i="5" s="1"/>
  <c r="AE93" i="5"/>
  <c r="AL93" i="5" s="1"/>
  <c r="AE94" i="5"/>
  <c r="AL94" i="5" s="1"/>
  <c r="AE31" i="5"/>
  <c r="AL31" i="5" s="1"/>
  <c r="AE54" i="5"/>
  <c r="AL54" i="5" s="1"/>
  <c r="AE71" i="5"/>
  <c r="AL71" i="5" s="1"/>
  <c r="AE86" i="5"/>
  <c r="AL86" i="5" s="1"/>
  <c r="AE39" i="5"/>
  <c r="AL39" i="5" s="1"/>
  <c r="AE73" i="5"/>
  <c r="AL73" i="5" s="1"/>
  <c r="AE87" i="5"/>
  <c r="AL87" i="5" s="1"/>
  <c r="AE55" i="5"/>
  <c r="AL55" i="5" s="1"/>
  <c r="AE79" i="5"/>
  <c r="AL79" i="5" s="1"/>
  <c r="AE47" i="5"/>
  <c r="AL47" i="5" s="1"/>
  <c r="AE62" i="5"/>
  <c r="AL62" i="5" s="1"/>
  <c r="AE77" i="5"/>
  <c r="AL77" i="5" s="1"/>
  <c r="AE88" i="5"/>
  <c r="AL88" i="5" s="1"/>
  <c r="AE70" i="5"/>
  <c r="AL70" i="5" s="1"/>
  <c r="AE89" i="5"/>
  <c r="AL89" i="5" s="1"/>
  <c r="AE63" i="5"/>
  <c r="AL63" i="5" s="1"/>
  <c r="AE65" i="5"/>
  <c r="AL65" i="5" s="1"/>
  <c r="AE81" i="5"/>
  <c r="AL81" i="5" s="1"/>
  <c r="AE91" i="5"/>
  <c r="AL91" i="5" s="1"/>
  <c r="AE69" i="5"/>
  <c r="AL69" i="5" s="1"/>
  <c r="AE92" i="5"/>
  <c r="AL92" i="5" s="1"/>
  <c r="AE8" i="5"/>
  <c r="AL8" i="5" s="1"/>
  <c r="AE15" i="5"/>
  <c r="AL15" i="5" s="1"/>
  <c r="AE84" i="5"/>
  <c r="AL84" i="5" s="1"/>
  <c r="AE90" i="5"/>
  <c r="AL90" i="5" s="1"/>
  <c r="AD11" i="5"/>
  <c r="AK11" i="5" s="1"/>
  <c r="AD19" i="5"/>
  <c r="AK19" i="5" s="1"/>
  <c r="AD27" i="5"/>
  <c r="AK27" i="5" s="1"/>
  <c r="AD35" i="5"/>
  <c r="AK35" i="5" s="1"/>
  <c r="AD43" i="5"/>
  <c r="AK43" i="5" s="1"/>
  <c r="AD51" i="5"/>
  <c r="AK51" i="5" s="1"/>
  <c r="AD59" i="5"/>
  <c r="AK59" i="5" s="1"/>
  <c r="AD67" i="5"/>
  <c r="AK67" i="5" s="1"/>
  <c r="AD75" i="5"/>
  <c r="AK75" i="5" s="1"/>
  <c r="AD12" i="5"/>
  <c r="AK12" i="5" s="1"/>
  <c r="AD20" i="5"/>
  <c r="AK20" i="5" s="1"/>
  <c r="AD28" i="5"/>
  <c r="AK28" i="5" s="1"/>
  <c r="AD36" i="5"/>
  <c r="AK36" i="5" s="1"/>
  <c r="AD44" i="5"/>
  <c r="AK44" i="5" s="1"/>
  <c r="AD52" i="5"/>
  <c r="AK52" i="5" s="1"/>
  <c r="AD60" i="5"/>
  <c r="AK60" i="5" s="1"/>
  <c r="AD68" i="5"/>
  <c r="AK68" i="5" s="1"/>
  <c r="AD76" i="5"/>
  <c r="AK76" i="5" s="1"/>
  <c r="AD13" i="5"/>
  <c r="AK13" i="5" s="1"/>
  <c r="AD21" i="5"/>
  <c r="AK21" i="5" s="1"/>
  <c r="AD29" i="5"/>
  <c r="AK29" i="5" s="1"/>
  <c r="AD37" i="5"/>
  <c r="AK37" i="5" s="1"/>
  <c r="AD45" i="5"/>
  <c r="AK45" i="5" s="1"/>
  <c r="AD53" i="5"/>
  <c r="AK53" i="5" s="1"/>
  <c r="AD61" i="5"/>
  <c r="AK61" i="5" s="1"/>
  <c r="AD69" i="5"/>
  <c r="AK69" i="5" s="1"/>
  <c r="AD77" i="5"/>
  <c r="AK77" i="5" s="1"/>
  <c r="AD14" i="5"/>
  <c r="AK14" i="5" s="1"/>
  <c r="AD22" i="5"/>
  <c r="AK22" i="5" s="1"/>
  <c r="AD30" i="5"/>
  <c r="AK30" i="5" s="1"/>
  <c r="AD38" i="5"/>
  <c r="AK38" i="5" s="1"/>
  <c r="AD46" i="5"/>
  <c r="AK46" i="5" s="1"/>
  <c r="AD54" i="5"/>
  <c r="AK54" i="5" s="1"/>
  <c r="AD62" i="5"/>
  <c r="AK62" i="5" s="1"/>
  <c r="AD15" i="5"/>
  <c r="AK15" i="5" s="1"/>
  <c r="AD23" i="5"/>
  <c r="AK23" i="5" s="1"/>
  <c r="AD31" i="5"/>
  <c r="AK31" i="5" s="1"/>
  <c r="AD39" i="5"/>
  <c r="AK39" i="5" s="1"/>
  <c r="AD47" i="5"/>
  <c r="AK47" i="5" s="1"/>
  <c r="AD9" i="5"/>
  <c r="AK9" i="5" s="1"/>
  <c r="AD17" i="5"/>
  <c r="AK17" i="5" s="1"/>
  <c r="AD25" i="5"/>
  <c r="AK25" i="5" s="1"/>
  <c r="AD33" i="5"/>
  <c r="AK33" i="5" s="1"/>
  <c r="AD41" i="5"/>
  <c r="AK41" i="5" s="1"/>
  <c r="AD49" i="5"/>
  <c r="AK49" i="5" s="1"/>
  <c r="AD57" i="5"/>
  <c r="AK57" i="5" s="1"/>
  <c r="AD65" i="5"/>
  <c r="AK65" i="5" s="1"/>
  <c r="AD73" i="5"/>
  <c r="AK73" i="5" s="1"/>
  <c r="AD81" i="5"/>
  <c r="AK81" i="5" s="1"/>
  <c r="AD10" i="5"/>
  <c r="AK10" i="5" s="1"/>
  <c r="AD18" i="5"/>
  <c r="AK18" i="5" s="1"/>
  <c r="AD26" i="5"/>
  <c r="AK26" i="5" s="1"/>
  <c r="AD34" i="5"/>
  <c r="AK34" i="5" s="1"/>
  <c r="AD42" i="5"/>
  <c r="AK42" i="5" s="1"/>
  <c r="AD50" i="5"/>
  <c r="AK50" i="5" s="1"/>
  <c r="AD58" i="5"/>
  <c r="AK58" i="5" s="1"/>
  <c r="AD16" i="5"/>
  <c r="AK16" i="5" s="1"/>
  <c r="AD71" i="5"/>
  <c r="AK71" i="5" s="1"/>
  <c r="AD86" i="5"/>
  <c r="AK86" i="5" s="1"/>
  <c r="AD8" i="5"/>
  <c r="AK8" i="5" s="1"/>
  <c r="AD90" i="5"/>
  <c r="AK90" i="5" s="1"/>
  <c r="AD63" i="5"/>
  <c r="AK63" i="5" s="1"/>
  <c r="AD72" i="5"/>
  <c r="AK72" i="5" s="1"/>
  <c r="AD24" i="5"/>
  <c r="AK24" i="5" s="1"/>
  <c r="AD64" i="5"/>
  <c r="AK64" i="5" s="1"/>
  <c r="AD80" i="5"/>
  <c r="AK80" i="5" s="1"/>
  <c r="AD87" i="5"/>
  <c r="AK87" i="5" s="1"/>
  <c r="AD32" i="5"/>
  <c r="AK32" i="5" s="1"/>
  <c r="AD66" i="5"/>
  <c r="AK66" i="5" s="1"/>
  <c r="AD82" i="5"/>
  <c r="AK82" i="5" s="1"/>
  <c r="AD88" i="5"/>
  <c r="AK88" i="5" s="1"/>
  <c r="AD48" i="5"/>
  <c r="AK48" i="5" s="1"/>
  <c r="AD79" i="5"/>
  <c r="AK79" i="5" s="1"/>
  <c r="AD91" i="5"/>
  <c r="AK91" i="5" s="1"/>
  <c r="AD40" i="5"/>
  <c r="AK40" i="5" s="1"/>
  <c r="AD55" i="5"/>
  <c r="AK55" i="5" s="1"/>
  <c r="AD70" i="5"/>
  <c r="AK70" i="5" s="1"/>
  <c r="AD89" i="5"/>
  <c r="AK89" i="5" s="1"/>
  <c r="AD56" i="5"/>
  <c r="AK56" i="5" s="1"/>
  <c r="AD74" i="5"/>
  <c r="AK74" i="5" s="1"/>
  <c r="AD84" i="5"/>
  <c r="AK84" i="5" s="1"/>
  <c r="AD92" i="5"/>
  <c r="AK92" i="5" s="1"/>
  <c r="AD78" i="5"/>
  <c r="AK78" i="5" s="1"/>
  <c r="AD83" i="5"/>
  <c r="AK83" i="5" s="1"/>
  <c r="AD85" i="5"/>
  <c r="AK85" i="5" s="1"/>
  <c r="AD93" i="5"/>
  <c r="AK93" i="5" s="1"/>
  <c r="AD94" i="5"/>
  <c r="AK94" i="5" s="1"/>
  <c r="AF19" i="5"/>
  <c r="AM19" i="5" s="1"/>
  <c r="AF34" i="5"/>
  <c r="AM34" i="5" s="1"/>
  <c r="AF49" i="5"/>
  <c r="AM49" i="5" s="1"/>
  <c r="AF16" i="5"/>
  <c r="AM16" i="5" s="1"/>
  <c r="AA10" i="5"/>
  <c r="AH10" i="5" s="1"/>
  <c r="AA18" i="5"/>
  <c r="AH18" i="5" s="1"/>
  <c r="AA50" i="5"/>
  <c r="AH50" i="5" s="1"/>
  <c r="AA58" i="5"/>
  <c r="AH58" i="5" s="1"/>
  <c r="AA66" i="5"/>
  <c r="AH66" i="5" s="1"/>
  <c r="AA74" i="5"/>
  <c r="AH74" i="5" s="1"/>
  <c r="AA82" i="5"/>
  <c r="AH82" i="5" s="1"/>
  <c r="AA90" i="5"/>
  <c r="AH90" i="5" s="1"/>
  <c r="AA9" i="5"/>
  <c r="AH9" i="5" s="1"/>
  <c r="AA25" i="5"/>
  <c r="AH25" i="5" s="1"/>
  <c r="AA41" i="5"/>
  <c r="AH41" i="5" s="1"/>
  <c r="AA65" i="5"/>
  <c r="AH65" i="5" s="1"/>
  <c r="AA73" i="5"/>
  <c r="AH73" i="5" s="1"/>
  <c r="AA89" i="5"/>
  <c r="AH89" i="5" s="1"/>
  <c r="AA21" i="5"/>
  <c r="AH21" i="5" s="1"/>
  <c r="AA16" i="5"/>
  <c r="AH16" i="5" s="1"/>
  <c r="AA32" i="5"/>
  <c r="AH32" i="5" s="1"/>
  <c r="AA48" i="5"/>
  <c r="AH48" i="5" s="1"/>
  <c r="AA56" i="5"/>
  <c r="AH56" i="5" s="1"/>
  <c r="AA80" i="5"/>
  <c r="AH80" i="5" s="1"/>
  <c r="AA8" i="5"/>
  <c r="AH8" i="5" s="1"/>
  <c r="AA15" i="5"/>
  <c r="AH15" i="5" s="1"/>
  <c r="AA23" i="5"/>
  <c r="AH23" i="5" s="1"/>
  <c r="AA39" i="5"/>
  <c r="AH39" i="5" s="1"/>
  <c r="AA63" i="5"/>
  <c r="AH63" i="5" s="1"/>
  <c r="AA71" i="5"/>
  <c r="AH71" i="5" s="1"/>
  <c r="AA79" i="5"/>
  <c r="AH79" i="5" s="1"/>
  <c r="AA37" i="5"/>
  <c r="AH37" i="5" s="1"/>
  <c r="AA14" i="5"/>
  <c r="AH14" i="5" s="1"/>
  <c r="AA22" i="5"/>
  <c r="AH22" i="5" s="1"/>
  <c r="AA30" i="5"/>
  <c r="AH30" i="5" s="1"/>
  <c r="AA46" i="5"/>
  <c r="AH46" i="5" s="1"/>
  <c r="AA78" i="5"/>
  <c r="AH78" i="5" s="1"/>
  <c r="AA86" i="5"/>
  <c r="AH86" i="5" s="1"/>
  <c r="AA94" i="5"/>
  <c r="AH94" i="5" s="1"/>
  <c r="AA12" i="5"/>
  <c r="AH12" i="5" s="1"/>
  <c r="AA20" i="5"/>
  <c r="AH20" i="5" s="1"/>
  <c r="AA60" i="5"/>
  <c r="AH60" i="5" s="1"/>
  <c r="AA68" i="5"/>
  <c r="AH68" i="5" s="1"/>
  <c r="AA76" i="5"/>
  <c r="AH76" i="5" s="1"/>
  <c r="AA84" i="5"/>
  <c r="AH84" i="5" s="1"/>
  <c r="AA11" i="5"/>
  <c r="AH11" i="5" s="1"/>
  <c r="AA35" i="5"/>
  <c r="AH35" i="5" s="1"/>
  <c r="AA43" i="5"/>
  <c r="AH43" i="5" s="1"/>
  <c r="AA45" i="5"/>
  <c r="AH45" i="5" s="1"/>
  <c r="AA59" i="5"/>
  <c r="AH59" i="5" s="1"/>
  <c r="AA91" i="5"/>
  <c r="AH91" i="5" s="1"/>
  <c r="AA83" i="5"/>
  <c r="AH83" i="5" s="1"/>
  <c r="AA61" i="5"/>
  <c r="AH61" i="5" s="1"/>
  <c r="AA93" i="5"/>
  <c r="AH93" i="5" s="1"/>
  <c r="AE20" i="5"/>
  <c r="AL20" i="5" s="1"/>
  <c r="AE27" i="5"/>
  <c r="AL27" i="5" s="1"/>
  <c r="AB19" i="5"/>
  <c r="AI19" i="5" s="1"/>
  <c r="AB27" i="5"/>
  <c r="AI27" i="5" s="1"/>
  <c r="AB35" i="5"/>
  <c r="AI35" i="5" s="1"/>
  <c r="AB43" i="5"/>
  <c r="AI43" i="5" s="1"/>
  <c r="AB51" i="5"/>
  <c r="AI51" i="5" s="1"/>
  <c r="AB59" i="5"/>
  <c r="AI59" i="5" s="1"/>
  <c r="AB67" i="5"/>
  <c r="AI67" i="5" s="1"/>
  <c r="AB75" i="5"/>
  <c r="AI75" i="5" s="1"/>
  <c r="AB83" i="5"/>
  <c r="AI83" i="5" s="1"/>
  <c r="AB91" i="5"/>
  <c r="AI91" i="5" s="1"/>
  <c r="AB14" i="5"/>
  <c r="AI14" i="5" s="1"/>
  <c r="AB30" i="5"/>
  <c r="AI30" i="5" s="1"/>
  <c r="AB10" i="5"/>
  <c r="AI10" i="5" s="1"/>
  <c r="AB18" i="5"/>
  <c r="AI18" i="5" s="1"/>
  <c r="AB26" i="5"/>
  <c r="AI26" i="5" s="1"/>
  <c r="AB34" i="5"/>
  <c r="AI34" i="5" s="1"/>
  <c r="AB42" i="5"/>
  <c r="AI42" i="5" s="1"/>
  <c r="AB50" i="5"/>
  <c r="AI50" i="5" s="1"/>
  <c r="AB58" i="5"/>
  <c r="AI58" i="5" s="1"/>
  <c r="AB66" i="5"/>
  <c r="AI66" i="5" s="1"/>
  <c r="AB74" i="5"/>
  <c r="AI74" i="5" s="1"/>
  <c r="AB82" i="5"/>
  <c r="AI82" i="5" s="1"/>
  <c r="AB90" i="5"/>
  <c r="AI90" i="5" s="1"/>
  <c r="AB9" i="5"/>
  <c r="AI9" i="5" s="1"/>
  <c r="AB17" i="5"/>
  <c r="AI17" i="5" s="1"/>
  <c r="AB25" i="5"/>
  <c r="AI25" i="5" s="1"/>
  <c r="AB33" i="5"/>
  <c r="AI33" i="5" s="1"/>
  <c r="AB41" i="5"/>
  <c r="AI41" i="5" s="1"/>
  <c r="AB49" i="5"/>
  <c r="AI49" i="5" s="1"/>
  <c r="AB57" i="5"/>
  <c r="AI57" i="5" s="1"/>
  <c r="AB65" i="5"/>
  <c r="AI65" i="5" s="1"/>
  <c r="AB73" i="5"/>
  <c r="AI73" i="5" s="1"/>
  <c r="AB81" i="5"/>
  <c r="AI81" i="5" s="1"/>
  <c r="AB89" i="5"/>
  <c r="AI89" i="5" s="1"/>
  <c r="AB8" i="5"/>
  <c r="AI8" i="5" s="1"/>
  <c r="AB22" i="5"/>
  <c r="AI22" i="5" s="1"/>
  <c r="AB38" i="5"/>
  <c r="AI38" i="5" s="1"/>
  <c r="AB16" i="5"/>
  <c r="AI16" i="5" s="1"/>
  <c r="AB24" i="5"/>
  <c r="AI24" i="5" s="1"/>
  <c r="AB32" i="5"/>
  <c r="AI32" i="5" s="1"/>
  <c r="AB40" i="5"/>
  <c r="AI40" i="5" s="1"/>
  <c r="AB48" i="5"/>
  <c r="AI48" i="5" s="1"/>
  <c r="AB56" i="5"/>
  <c r="AI56" i="5" s="1"/>
  <c r="AB64" i="5"/>
  <c r="AI64" i="5" s="1"/>
  <c r="AB72" i="5"/>
  <c r="AI72" i="5" s="1"/>
  <c r="AB80" i="5"/>
  <c r="AI80" i="5" s="1"/>
  <c r="AB88" i="5"/>
  <c r="AI88" i="5" s="1"/>
  <c r="AB15" i="5"/>
  <c r="AI15" i="5" s="1"/>
  <c r="AB23" i="5"/>
  <c r="AI23" i="5" s="1"/>
  <c r="AB31" i="5"/>
  <c r="AI31" i="5" s="1"/>
  <c r="AB39" i="5"/>
  <c r="AI39" i="5" s="1"/>
  <c r="AB47" i="5"/>
  <c r="AI47" i="5" s="1"/>
  <c r="AB55" i="5"/>
  <c r="AI55" i="5" s="1"/>
  <c r="AB63" i="5"/>
  <c r="AI63" i="5" s="1"/>
  <c r="AB71" i="5"/>
  <c r="AI71" i="5" s="1"/>
  <c r="AB79" i="5"/>
  <c r="AI79" i="5" s="1"/>
  <c r="AB87" i="5"/>
  <c r="AI87" i="5" s="1"/>
  <c r="AB13" i="5"/>
  <c r="AI13" i="5" s="1"/>
  <c r="AB21" i="5"/>
  <c r="AI21" i="5" s="1"/>
  <c r="AB29" i="5"/>
  <c r="AI29" i="5" s="1"/>
  <c r="AB37" i="5"/>
  <c r="AI37" i="5" s="1"/>
  <c r="AB45" i="5"/>
  <c r="AI45" i="5" s="1"/>
  <c r="AB53" i="5"/>
  <c r="AI53" i="5" s="1"/>
  <c r="AB61" i="5"/>
  <c r="AI61" i="5" s="1"/>
  <c r="AB69" i="5"/>
  <c r="AI69" i="5" s="1"/>
  <c r="AB77" i="5"/>
  <c r="AI77" i="5" s="1"/>
  <c r="AB85" i="5"/>
  <c r="AI85" i="5" s="1"/>
  <c r="AB93" i="5"/>
  <c r="AI93" i="5" s="1"/>
  <c r="AB12" i="5"/>
  <c r="AI12" i="5" s="1"/>
  <c r="AB52" i="5"/>
  <c r="AI52" i="5" s="1"/>
  <c r="AB84" i="5"/>
  <c r="AI84" i="5" s="1"/>
  <c r="AB44" i="5"/>
  <c r="AI44" i="5" s="1"/>
  <c r="AB20" i="5"/>
  <c r="AI20" i="5" s="1"/>
  <c r="AB86" i="5"/>
  <c r="AI86" i="5" s="1"/>
  <c r="AB36" i="5"/>
  <c r="AI36" i="5" s="1"/>
  <c r="AB62" i="5"/>
  <c r="AI62" i="5" s="1"/>
  <c r="AB94" i="5"/>
  <c r="AI94" i="5" s="1"/>
  <c r="AB28" i="5"/>
  <c r="AI28" i="5" s="1"/>
  <c r="AB76" i="5"/>
  <c r="AI76" i="5" s="1"/>
  <c r="AB54" i="5"/>
  <c r="AI54" i="5" s="1"/>
  <c r="AB68" i="5"/>
  <c r="AI68" i="5" s="1"/>
  <c r="AB60" i="5"/>
  <c r="AI60" i="5" s="1"/>
  <c r="AB46" i="5"/>
  <c r="AI46" i="5" s="1"/>
  <c r="AB78" i="5"/>
  <c r="AI78" i="5" s="1"/>
  <c r="AB92" i="5"/>
  <c r="AI92" i="5" s="1"/>
  <c r="AB70" i="5"/>
  <c r="AI70" i="5" s="1"/>
  <c r="AC12" i="5"/>
  <c r="AJ12" i="5" s="1"/>
  <c r="AC20" i="5"/>
  <c r="AJ20" i="5" s="1"/>
  <c r="AC28" i="5"/>
  <c r="AJ28" i="5" s="1"/>
  <c r="AC36" i="5"/>
  <c r="AJ36" i="5" s="1"/>
  <c r="AC44" i="5"/>
  <c r="AJ44" i="5" s="1"/>
  <c r="AC52" i="5"/>
  <c r="AJ52" i="5" s="1"/>
  <c r="AC60" i="5"/>
  <c r="AJ60" i="5" s="1"/>
  <c r="AC68" i="5"/>
  <c r="AJ68" i="5" s="1"/>
  <c r="AC76" i="5"/>
  <c r="AJ76" i="5" s="1"/>
  <c r="AC84" i="5"/>
  <c r="AJ84" i="5" s="1"/>
  <c r="AC92" i="5"/>
  <c r="AJ92" i="5" s="1"/>
  <c r="AC11" i="5"/>
  <c r="AJ11" i="5" s="1"/>
  <c r="AC19" i="5"/>
  <c r="AJ19" i="5" s="1"/>
  <c r="AC27" i="5"/>
  <c r="AJ27" i="5" s="1"/>
  <c r="AC35" i="5"/>
  <c r="AJ35" i="5" s="1"/>
  <c r="AC43" i="5"/>
  <c r="AJ43" i="5" s="1"/>
  <c r="AC51" i="5"/>
  <c r="AJ51" i="5" s="1"/>
  <c r="AC59" i="5"/>
  <c r="AJ59" i="5" s="1"/>
  <c r="AC67" i="5"/>
  <c r="AJ67" i="5" s="1"/>
  <c r="AC75" i="5"/>
  <c r="AJ75" i="5" s="1"/>
  <c r="AC83" i="5"/>
  <c r="AJ83" i="5" s="1"/>
  <c r="AC91" i="5"/>
  <c r="AJ91" i="5" s="1"/>
  <c r="AC15" i="5"/>
  <c r="AJ15" i="5" s="1"/>
  <c r="AC39" i="5"/>
  <c r="AJ39" i="5" s="1"/>
  <c r="AC10" i="5"/>
  <c r="AJ10" i="5" s="1"/>
  <c r="AC18" i="5"/>
  <c r="AJ18" i="5" s="1"/>
  <c r="AC26" i="5"/>
  <c r="AJ26" i="5" s="1"/>
  <c r="AC34" i="5"/>
  <c r="AJ34" i="5" s="1"/>
  <c r="AC42" i="5"/>
  <c r="AJ42" i="5" s="1"/>
  <c r="AC50" i="5"/>
  <c r="AJ50" i="5" s="1"/>
  <c r="AC58" i="5"/>
  <c r="AJ58" i="5" s="1"/>
  <c r="AC66" i="5"/>
  <c r="AJ66" i="5" s="1"/>
  <c r="AC74" i="5"/>
  <c r="AJ74" i="5" s="1"/>
  <c r="AC82" i="5"/>
  <c r="AJ82" i="5" s="1"/>
  <c r="AC90" i="5"/>
  <c r="AJ90" i="5" s="1"/>
  <c r="AC8" i="5"/>
  <c r="AJ8" i="5" s="1"/>
  <c r="AC9" i="5"/>
  <c r="AJ9" i="5" s="1"/>
  <c r="AC17" i="5"/>
  <c r="AJ17" i="5" s="1"/>
  <c r="AC25" i="5"/>
  <c r="AJ25" i="5" s="1"/>
  <c r="AC33" i="5"/>
  <c r="AJ33" i="5" s="1"/>
  <c r="AC41" i="5"/>
  <c r="AJ41" i="5" s="1"/>
  <c r="AC49" i="5"/>
  <c r="AJ49" i="5" s="1"/>
  <c r="AC57" i="5"/>
  <c r="AJ57" i="5" s="1"/>
  <c r="AC65" i="5"/>
  <c r="AJ65" i="5" s="1"/>
  <c r="AC73" i="5"/>
  <c r="AJ73" i="5" s="1"/>
  <c r="AC81" i="5"/>
  <c r="AJ81" i="5" s="1"/>
  <c r="AC89" i="5"/>
  <c r="AJ89" i="5" s="1"/>
  <c r="AC31" i="5"/>
  <c r="AJ31" i="5" s="1"/>
  <c r="AC16" i="5"/>
  <c r="AJ16" i="5" s="1"/>
  <c r="AC24" i="5"/>
  <c r="AJ24" i="5" s="1"/>
  <c r="AC32" i="5"/>
  <c r="AJ32" i="5" s="1"/>
  <c r="AC40" i="5"/>
  <c r="AJ40" i="5" s="1"/>
  <c r="AC48" i="5"/>
  <c r="AJ48" i="5" s="1"/>
  <c r="AC56" i="5"/>
  <c r="AJ56" i="5" s="1"/>
  <c r="AC64" i="5"/>
  <c r="AJ64" i="5" s="1"/>
  <c r="AC72" i="5"/>
  <c r="AJ72" i="5" s="1"/>
  <c r="AC80" i="5"/>
  <c r="AJ80" i="5" s="1"/>
  <c r="AC88" i="5"/>
  <c r="AJ88" i="5" s="1"/>
  <c r="AC23" i="5"/>
  <c r="AJ23" i="5" s="1"/>
  <c r="AC14" i="5"/>
  <c r="AJ14" i="5" s="1"/>
  <c r="AC22" i="5"/>
  <c r="AJ22" i="5" s="1"/>
  <c r="AC30" i="5"/>
  <c r="AJ30" i="5" s="1"/>
  <c r="AC38" i="5"/>
  <c r="AJ38" i="5" s="1"/>
  <c r="AC46" i="5"/>
  <c r="AJ46" i="5" s="1"/>
  <c r="AC54" i="5"/>
  <c r="AJ54" i="5" s="1"/>
  <c r="AC62" i="5"/>
  <c r="AJ62" i="5" s="1"/>
  <c r="AC70" i="5"/>
  <c r="AJ70" i="5" s="1"/>
  <c r="AC78" i="5"/>
  <c r="AJ78" i="5" s="1"/>
  <c r="AC86" i="5"/>
  <c r="AJ86" i="5" s="1"/>
  <c r="AC94" i="5"/>
  <c r="AJ94" i="5" s="1"/>
  <c r="AC13" i="5"/>
  <c r="AJ13" i="5" s="1"/>
  <c r="AC61" i="5"/>
  <c r="AJ61" i="5" s="1"/>
  <c r="AC93" i="5"/>
  <c r="AJ93" i="5" s="1"/>
  <c r="AC53" i="5"/>
  <c r="AJ53" i="5" s="1"/>
  <c r="AC71" i="5"/>
  <c r="AJ71" i="5" s="1"/>
  <c r="AC37" i="5"/>
  <c r="AJ37" i="5" s="1"/>
  <c r="AC85" i="5"/>
  <c r="AJ85" i="5" s="1"/>
  <c r="AC29" i="5"/>
  <c r="AJ29" i="5" s="1"/>
  <c r="AC63" i="5"/>
  <c r="AJ63" i="5" s="1"/>
  <c r="AC21" i="5"/>
  <c r="AJ21" i="5" s="1"/>
  <c r="AC45" i="5"/>
  <c r="AJ45" i="5" s="1"/>
  <c r="AC77" i="5"/>
  <c r="AJ77" i="5" s="1"/>
  <c r="AC69" i="5"/>
  <c r="AJ69" i="5" s="1"/>
  <c r="AC47" i="5"/>
  <c r="AJ47" i="5" s="1"/>
  <c r="AC79" i="5"/>
  <c r="AJ79" i="5" s="1"/>
  <c r="AC55" i="5"/>
  <c r="AJ55" i="5" s="1"/>
  <c r="AC87" i="5"/>
  <c r="AJ87" i="5" s="1"/>
  <c r="Z82" i="5"/>
  <c r="AG82" i="5" s="1"/>
  <c r="AF81" i="5"/>
  <c r="AM81" i="5" s="1"/>
  <c r="AB11" i="5"/>
  <c r="AI11" i="5" s="1"/>
  <c r="AA53" i="5"/>
  <c r="AH53" i="5" s="1"/>
  <c r="AA87" i="5"/>
  <c r="AH87" i="5" s="1"/>
  <c r="AA85" i="5"/>
  <c r="AH85" i="5" s="1"/>
  <c r="AE21" i="5"/>
  <c r="AL21" i="5" s="1"/>
  <c r="Z70" i="5"/>
  <c r="AG70" i="5" s="1"/>
  <c r="Z94" i="5"/>
  <c r="AG94" i="5" s="1"/>
  <c r="Z62" i="5"/>
  <c r="AG62" i="5" s="1"/>
  <c r="Z30" i="5"/>
  <c r="AG30" i="5" s="1"/>
  <c r="Z93" i="5"/>
  <c r="AG93" i="5" s="1"/>
  <c r="Z61" i="5"/>
  <c r="AG61" i="5" s="1"/>
  <c r="Z29" i="5"/>
  <c r="AG29" i="5" s="1"/>
  <c r="Z55" i="5"/>
  <c r="AG55" i="5" s="1"/>
  <c r="Z47" i="5"/>
  <c r="AG47" i="5" s="1"/>
  <c r="Z31" i="5"/>
  <c r="AG31" i="5" s="1"/>
  <c r="Z15" i="5"/>
  <c r="AG15" i="5" s="1"/>
  <c r="Z92" i="5"/>
  <c r="AG92" i="5" s="1"/>
  <c r="Z52" i="5"/>
  <c r="AG52" i="5" s="1"/>
  <c r="Z44" i="5"/>
  <c r="AG44" i="5" s="1"/>
  <c r="Z36" i="5"/>
  <c r="AG36" i="5" s="1"/>
  <c r="Z28" i="5"/>
  <c r="AG28" i="5" s="1"/>
  <c r="Z91" i="5"/>
  <c r="AG91" i="5" s="1"/>
  <c r="Z83" i="5"/>
  <c r="AG83" i="5" s="1"/>
  <c r="Z59" i="5"/>
  <c r="AG59" i="5" s="1"/>
  <c r="Z35" i="5"/>
  <c r="AG35" i="5" s="1"/>
  <c r="Z74" i="5"/>
  <c r="AG74" i="5" s="1"/>
  <c r="Z42" i="5"/>
  <c r="AG42" i="5" s="1"/>
  <c r="Z34" i="5"/>
  <c r="AG34" i="5" s="1"/>
  <c r="Z18" i="5"/>
  <c r="AG18" i="5" s="1"/>
  <c r="Z10" i="5"/>
  <c r="AG10" i="5" s="1"/>
  <c r="Z89" i="5"/>
  <c r="AG89" i="5" s="1"/>
  <c r="Z81" i="5"/>
  <c r="AG81" i="5" s="1"/>
  <c r="Z73" i="5"/>
  <c r="AG73" i="5" s="1"/>
  <c r="Z17" i="5"/>
  <c r="AG17" i="5" s="1"/>
  <c r="Z9" i="5"/>
  <c r="AG9" i="5" s="1"/>
  <c r="Z64" i="5"/>
  <c r="AG64" i="5" s="1"/>
  <c r="Z56" i="5"/>
  <c r="AG56" i="5" s="1"/>
  <c r="AA81" i="5"/>
  <c r="AH81" i="5" s="1"/>
  <c r="Z25" i="5"/>
  <c r="AG25" i="5" s="1"/>
  <c r="Z39" i="5"/>
  <c r="AG39" i="5" s="1"/>
  <c r="Z84" i="5"/>
  <c r="AG84" i="5" s="1"/>
  <c r="Z14" i="5"/>
  <c r="AG14" i="5" s="1"/>
  <c r="Z37" i="5"/>
  <c r="AG37" i="5" s="1"/>
  <c r="Z54" i="5"/>
  <c r="AG54" i="5" s="1"/>
  <c r="Z68" i="5"/>
  <c r="AG68" i="5" s="1"/>
  <c r="Z77" i="5"/>
  <c r="AG77" i="5" s="1"/>
  <c r="Z22" i="5"/>
  <c r="AG22" i="5" s="1"/>
  <c r="Z32" i="5"/>
  <c r="AG32" i="5" s="1"/>
  <c r="Z40" i="5"/>
  <c r="AG40" i="5" s="1"/>
  <c r="Z46" i="5"/>
  <c r="AG46" i="5" s="1"/>
  <c r="Z51" i="5"/>
  <c r="AG51" i="5" s="1"/>
  <c r="Z78" i="5"/>
  <c r="AG78" i="5" s="1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8" i="5"/>
  <c r="S3" i="5" l="1"/>
  <c r="S1" i="5" s="1"/>
  <c r="T3" i="5"/>
  <c r="T1" i="5" s="1"/>
  <c r="D8" i="5"/>
  <c r="Z85" i="5"/>
  <c r="AG85" i="5" s="1"/>
  <c r="Z45" i="5"/>
  <c r="AG45" i="5" s="1"/>
  <c r="Z90" i="5"/>
  <c r="AG90" i="5" s="1"/>
  <c r="Z66" i="5"/>
  <c r="AG66" i="5" s="1"/>
  <c r="Z58" i="5"/>
  <c r="AG58" i="5" s="1"/>
  <c r="Z53" i="5"/>
  <c r="AG53" i="5" s="1"/>
  <c r="Z20" i="5"/>
  <c r="AG20" i="5" s="1"/>
  <c r="Z13" i="5"/>
  <c r="AG13" i="5" s="1"/>
  <c r="Z48" i="5"/>
  <c r="AG48" i="5" s="1"/>
  <c r="Z8" i="5"/>
  <c r="AG8" i="5" s="1"/>
  <c r="C95" i="5"/>
  <c r="Z88" i="5"/>
  <c r="AG88" i="5" s="1"/>
  <c r="Z63" i="5"/>
  <c r="AG63" i="5" s="1"/>
  <c r="Z60" i="5"/>
  <c r="AG60" i="5" s="1"/>
  <c r="Z49" i="5"/>
  <c r="AG49" i="5" s="1"/>
  <c r="Z41" i="5"/>
  <c r="AG41" i="5" s="1"/>
  <c r="Z21" i="5"/>
  <c r="AG21" i="5" s="1"/>
  <c r="Z72" i="5"/>
  <c r="AG72" i="5" s="1"/>
  <c r="Z19" i="5"/>
  <c r="AG19" i="5" s="1"/>
  <c r="Z67" i="5"/>
  <c r="AG67" i="5" s="1"/>
  <c r="Z79" i="5"/>
  <c r="AG79" i="5" s="1"/>
  <c r="Z76" i="5"/>
  <c r="AG76" i="5" s="1"/>
  <c r="Z57" i="5"/>
  <c r="AG57" i="5" s="1"/>
  <c r="Z33" i="5"/>
  <c r="AG33" i="5" s="1"/>
  <c r="Z26" i="5"/>
  <c r="AG26" i="5" s="1"/>
  <c r="Z11" i="5"/>
  <c r="AG11" i="5" s="1"/>
  <c r="Z87" i="5"/>
  <c r="AG87" i="5" s="1"/>
  <c r="Z71" i="5"/>
  <c r="AG71" i="5" s="1"/>
  <c r="Z65" i="5"/>
  <c r="AG65" i="5" s="1"/>
  <c r="Z23" i="5"/>
  <c r="AG23" i="5" s="1"/>
  <c r="Z86" i="5"/>
  <c r="AG86" i="5" s="1"/>
  <c r="Z75" i="5"/>
  <c r="AG75" i="5" s="1"/>
  <c r="Z80" i="5"/>
  <c r="AG80" i="5" s="1"/>
  <c r="Z69" i="5"/>
  <c r="AG69" i="5" s="1"/>
  <c r="Z38" i="5"/>
  <c r="AG38" i="5" s="1"/>
  <c r="Z50" i="5"/>
  <c r="AG50" i="5" s="1"/>
  <c r="Z43" i="5"/>
  <c r="AG43" i="5" s="1"/>
  <c r="Z24" i="5"/>
  <c r="AG24" i="5" s="1"/>
  <c r="Z27" i="5"/>
  <c r="AG27" i="5" s="1"/>
  <c r="Z12" i="5"/>
  <c r="AG12" i="5" s="1"/>
  <c r="Z16" i="5"/>
  <c r="AG16" i="5" s="1"/>
  <c r="H5" i="5"/>
  <c r="D95" i="5" l="1"/>
  <c r="X3" i="5"/>
  <c r="U3" i="5"/>
  <c r="V3" i="5"/>
  <c r="Y3" i="5"/>
  <c r="W3" i="5"/>
  <c r="R3" i="5"/>
  <c r="V1" i="5" l="1"/>
  <c r="X1" i="5"/>
  <c r="Y1" i="5"/>
  <c r="U1" i="5"/>
  <c r="R1" i="5"/>
  <c r="W1" i="5"/>
  <c r="Q3" i="5" l="1"/>
  <c r="Q1" i="5" l="1"/>
  <c r="E37" i="5" l="1"/>
  <c r="E71" i="5"/>
  <c r="E76" i="5"/>
  <c r="E28" i="5"/>
  <c r="E43" i="5"/>
  <c r="E41" i="5"/>
  <c r="E72" i="5"/>
  <c r="E35" i="5"/>
  <c r="E16" i="5"/>
  <c r="E12" i="5"/>
  <c r="E73" i="5"/>
  <c r="E89" i="5"/>
  <c r="E20" i="5"/>
  <c r="E10" i="5"/>
  <c r="E45" i="5"/>
  <c r="E53" i="5"/>
  <c r="E74" i="5"/>
  <c r="E17" i="5"/>
  <c r="E75" i="5"/>
  <c r="E29" i="5"/>
  <c r="E25" i="5"/>
  <c r="E46" i="5"/>
  <c r="E54" i="5"/>
  <c r="E48" i="5"/>
  <c r="E69" i="5"/>
  <c r="E86" i="5"/>
  <c r="E80" i="5"/>
  <c r="E38" i="5"/>
  <c r="E11" i="5"/>
  <c r="E42" i="5"/>
  <c r="E56" i="5"/>
  <c r="E58" i="5"/>
  <c r="E61" i="5"/>
  <c r="E87" i="5"/>
  <c r="E70" i="5"/>
  <c r="E9" i="5"/>
  <c r="E27" i="5"/>
  <c r="E51" i="5"/>
  <c r="E77" i="5"/>
  <c r="E78" i="5"/>
  <c r="E14" i="5"/>
  <c r="E26" i="5"/>
  <c r="E63" i="5"/>
  <c r="E18" i="5"/>
  <c r="E30" i="5"/>
  <c r="E57" i="5"/>
  <c r="E62" i="5"/>
  <c r="E15" i="5"/>
  <c r="E24" i="5"/>
  <c r="E52" i="5"/>
  <c r="E59" i="5"/>
  <c r="E31" i="5"/>
  <c r="E21" i="5"/>
  <c r="E19" i="5"/>
  <c r="E44" i="5"/>
  <c r="E34" i="5"/>
  <c r="E32" i="5"/>
  <c r="E22" i="5"/>
  <c r="E23" i="5"/>
  <c r="E40" i="5"/>
  <c r="E47" i="5"/>
  <c r="E55" i="5"/>
  <c r="E88" i="5"/>
  <c r="E60" i="5"/>
  <c r="E64" i="5"/>
  <c r="E65" i="5"/>
  <c r="E79" i="5"/>
  <c r="E39" i="5"/>
  <c r="E13" i="5"/>
  <c r="E49" i="5"/>
  <c r="E50" i="5"/>
  <c r="E36" i="5"/>
  <c r="E33" i="5"/>
  <c r="E67" i="5"/>
  <c r="E66" i="5"/>
  <c r="E68" i="5"/>
  <c r="E93" i="5" l="1"/>
  <c r="F24" i="5"/>
  <c r="G24" i="5"/>
  <c r="G30" i="5"/>
  <c r="F30" i="5"/>
  <c r="G26" i="5"/>
  <c r="F26" i="5"/>
  <c r="F77" i="5"/>
  <c r="G77" i="5"/>
  <c r="F9" i="5"/>
  <c r="G9" i="5"/>
  <c r="G70" i="5"/>
  <c r="F70" i="5"/>
  <c r="F56" i="5"/>
  <c r="G56" i="5"/>
  <c r="G69" i="5"/>
  <c r="F69" i="5"/>
  <c r="G25" i="5"/>
  <c r="F25" i="5"/>
  <c r="F20" i="5"/>
  <c r="G20" i="5"/>
  <c r="F73" i="5"/>
  <c r="G73" i="5"/>
  <c r="G35" i="5"/>
  <c r="F35" i="5"/>
  <c r="F43" i="5"/>
  <c r="G43" i="5"/>
  <c r="G71" i="5"/>
  <c r="F71" i="5"/>
  <c r="E94" i="5"/>
  <c r="F50" i="5"/>
  <c r="G50" i="5"/>
  <c r="G39" i="5"/>
  <c r="F39" i="5"/>
  <c r="G79" i="5"/>
  <c r="F79" i="5"/>
  <c r="G55" i="5"/>
  <c r="F55" i="5"/>
  <c r="G34" i="5"/>
  <c r="F34" i="5"/>
  <c r="G74" i="5"/>
  <c r="F74" i="5"/>
  <c r="E81" i="5"/>
  <c r="F22" i="5"/>
  <c r="G22" i="5"/>
  <c r="G15" i="5"/>
  <c r="F15" i="5"/>
  <c r="F14" i="5"/>
  <c r="G14" i="5"/>
  <c r="G87" i="5"/>
  <c r="F87" i="5"/>
  <c r="G48" i="5"/>
  <c r="F48" i="5"/>
  <c r="G29" i="5"/>
  <c r="F29" i="5"/>
  <c r="F53" i="5"/>
  <c r="G53" i="5"/>
  <c r="G12" i="5"/>
  <c r="F12" i="5"/>
  <c r="F68" i="5"/>
  <c r="G68" i="5"/>
  <c r="G72" i="5"/>
  <c r="F72" i="5"/>
  <c r="G28" i="5"/>
  <c r="F28" i="5"/>
  <c r="G37" i="5"/>
  <c r="F37" i="5"/>
  <c r="E84" i="5"/>
  <c r="E92" i="5"/>
  <c r="F49" i="5"/>
  <c r="G49" i="5"/>
  <c r="G65" i="5"/>
  <c r="F65" i="5"/>
  <c r="F32" i="5"/>
  <c r="G32" i="5"/>
  <c r="G44" i="5"/>
  <c r="F44" i="5"/>
  <c r="G31" i="5"/>
  <c r="F31" i="5"/>
  <c r="F18" i="5"/>
  <c r="G18" i="5"/>
  <c r="F67" i="5"/>
  <c r="G67" i="5"/>
  <c r="G42" i="5"/>
  <c r="F42" i="5"/>
  <c r="E91" i="5"/>
  <c r="E83" i="5"/>
  <c r="F47" i="5"/>
  <c r="G47" i="5"/>
  <c r="F59" i="5"/>
  <c r="G59" i="5"/>
  <c r="G61" i="5"/>
  <c r="F61" i="5"/>
  <c r="G11" i="5"/>
  <c r="F11" i="5"/>
  <c r="F80" i="5"/>
  <c r="G80" i="5"/>
  <c r="F75" i="5"/>
  <c r="G75" i="5"/>
  <c r="F16" i="5"/>
  <c r="G16" i="5"/>
  <c r="F41" i="5"/>
  <c r="G41" i="5"/>
  <c r="E82" i="5"/>
  <c r="E90" i="5"/>
  <c r="F33" i="5"/>
  <c r="G33" i="5"/>
  <c r="G60" i="5"/>
  <c r="F60" i="5"/>
  <c r="F66" i="5"/>
  <c r="G66" i="5"/>
  <c r="G62" i="5"/>
  <c r="F62" i="5"/>
  <c r="G51" i="5"/>
  <c r="F51" i="5"/>
  <c r="G54" i="5"/>
  <c r="F54" i="5"/>
  <c r="G45" i="5"/>
  <c r="F45" i="5"/>
  <c r="E85" i="5"/>
  <c r="F13" i="5"/>
  <c r="G13" i="5"/>
  <c r="F64" i="5"/>
  <c r="G64" i="5"/>
  <c r="G40" i="5"/>
  <c r="F40" i="5"/>
  <c r="F19" i="5"/>
  <c r="G19" i="5"/>
  <c r="G57" i="5"/>
  <c r="F57" i="5"/>
  <c r="F63" i="5"/>
  <c r="G63" i="5"/>
  <c r="F78" i="5"/>
  <c r="G78" i="5"/>
  <c r="G27" i="5"/>
  <c r="F27" i="5"/>
  <c r="F58" i="5"/>
  <c r="G58" i="5"/>
  <c r="G38" i="5"/>
  <c r="F38" i="5"/>
  <c r="G86" i="5"/>
  <c r="F86" i="5"/>
  <c r="F17" i="5"/>
  <c r="G17" i="5"/>
  <c r="F10" i="5"/>
  <c r="G10" i="5"/>
  <c r="F89" i="5"/>
  <c r="G89" i="5"/>
  <c r="F76" i="5"/>
  <c r="G76" i="5"/>
  <c r="F36" i="5"/>
  <c r="G36" i="5"/>
  <c r="E8" i="5"/>
  <c r="F88" i="5"/>
  <c r="G88" i="5"/>
  <c r="G23" i="5"/>
  <c r="F23" i="5"/>
  <c r="F21" i="5"/>
  <c r="G21" i="5"/>
  <c r="F52" i="5"/>
  <c r="G52" i="5"/>
  <c r="F46" i="5"/>
  <c r="G46" i="5"/>
  <c r="F5" i="5" l="1"/>
  <c r="F4" i="5"/>
  <c r="F8" i="5"/>
  <c r="G8" i="5"/>
  <c r="E95" i="5"/>
  <c r="F95" i="5" s="1"/>
  <c r="F91" i="5"/>
  <c r="G91" i="5"/>
  <c r="G92" i="5"/>
  <c r="F92" i="5"/>
  <c r="F94" i="5"/>
  <c r="G94" i="5"/>
  <c r="F90" i="5"/>
  <c r="G90" i="5"/>
  <c r="F82" i="5"/>
  <c r="G82" i="5"/>
  <c r="F84" i="5"/>
  <c r="G84" i="5"/>
  <c r="F93" i="5"/>
  <c r="G93" i="5"/>
  <c r="G85" i="5"/>
  <c r="F85" i="5"/>
  <c r="G83" i="5"/>
  <c r="F83" i="5"/>
  <c r="F81" i="5"/>
  <c r="G81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2E38E94-083B-4D98-B197-59B1230699A0}" keepAlive="1" name="Query - Month" description="Connection to the 'Month' query in the workbook." type="5" refreshedVersion="0" background="1">
    <dbPr connection="Provider=Microsoft.Mashup.OleDb.1;Data Source=$Workbook$;Location=Month;Extended Properties=&quot;&quot;" command="SELECT * FROM [Month]"/>
  </connection>
  <connection id="2" xr16:uid="{B6AB4C36-439D-4B4A-9445-E7ACB00A8BE8}" keepAlive="1" name="Query - Output Data" description="Connection to the 'Output Data' query in the workbook." type="5" refreshedVersion="8" background="1" saveData="1">
    <dbPr connection="Provider=Microsoft.Mashup.OleDb.1;Data Source=$Workbook$;Location=&quot;Output Data&quot;;Extended Properties=&quot;&quot;" command="SELECT * FROM [Output Data]"/>
  </connection>
  <connection id="3" xr16:uid="{0F3BC742-603F-41FB-8732-47CE7E7BC401}" keepAlive="1" name="Query - Price" description="Connection to the 'Price' query in the workbook." type="5" refreshedVersion="0" background="1">
    <dbPr connection="Provider=Microsoft.Mashup.OleDb.1;Data Source=$Workbook$;Location=Price;Extended Properties=&quot;&quot;" command="SELECT * FROM [Price]"/>
  </connection>
</connections>
</file>

<file path=xl/sharedStrings.xml><?xml version="1.0" encoding="utf-8"?>
<sst xmlns="http://schemas.openxmlformats.org/spreadsheetml/2006/main" count="1598" uniqueCount="191">
  <si>
    <t>INSYN Target Calculation</t>
  </si>
  <si>
    <t>ve</t>
  </si>
  <si>
    <t>-ve</t>
  </si>
  <si>
    <t>MKT</t>
  </si>
  <si>
    <t>SM</t>
  </si>
  <si>
    <t>Max</t>
  </si>
  <si>
    <t>TGT QTY</t>
  </si>
  <si>
    <t>TGT Value</t>
  </si>
  <si>
    <t>Territory Target</t>
  </si>
  <si>
    <t>Min</t>
  </si>
  <si>
    <t>Price</t>
  </si>
  <si>
    <t>Month</t>
  </si>
  <si>
    <t>Current Month</t>
  </si>
  <si>
    <t>Brand</t>
  </si>
  <si>
    <t>Allstar Insulin Pen 1PC</t>
  </si>
  <si>
    <t>ALLSTAR Insulin Pen 1PC (Teal Col)</t>
  </si>
  <si>
    <t>APIDRA 3ml inj Crt 5?s</t>
  </si>
  <si>
    <t>APIDRA SoloStar 3ml Inj 5 Pen</t>
  </si>
  <si>
    <t>Lantus 3ml Inj Crt 5's</t>
  </si>
  <si>
    <t>Lantus SoloStar 3ml Inj 5 Pen</t>
  </si>
  <si>
    <t>TOUJEO 1.5 ml SoloStar injection 3?1.5 ml Prefilled Pen</t>
  </si>
  <si>
    <t>Region</t>
  </si>
  <si>
    <t>Territory</t>
  </si>
  <si>
    <t>Total</t>
  </si>
  <si>
    <t>New Terr</t>
  </si>
  <si>
    <t>Diff</t>
  </si>
  <si>
    <t>Diff%</t>
  </si>
  <si>
    <t>Multiplier</t>
  </si>
  <si>
    <t>SYI Dhaka North</t>
  </si>
  <si>
    <t>SYI-BIRA-BIR1</t>
  </si>
  <si>
    <t>SYI-BIRA-BIR2</t>
  </si>
  <si>
    <t>SYI-BIRA-BIR3</t>
  </si>
  <si>
    <t>SYI-BIRA-LAB1</t>
  </si>
  <si>
    <t>SYI-BOGA-BOG1</t>
  </si>
  <si>
    <t>SYI-BOGA-BOG2</t>
  </si>
  <si>
    <t>SYI-BOGA-BOG3</t>
  </si>
  <si>
    <t>SYI Dhaka South</t>
  </si>
  <si>
    <t>SYI-BSLA-BSL1</t>
  </si>
  <si>
    <t>SYI-BSLA-BSL2</t>
  </si>
  <si>
    <t>SYI-BSLA-PAT1</t>
  </si>
  <si>
    <t>SYI-BSMA-BMC1</t>
  </si>
  <si>
    <t>SYI-BSMA-BSM1</t>
  </si>
  <si>
    <t>SYI-BSMA-BSM2</t>
  </si>
  <si>
    <t>SYI-BSMA-DHA1</t>
  </si>
  <si>
    <t>SYI Cumilla</t>
  </si>
  <si>
    <t>SYI-CTGA-CGH1</t>
  </si>
  <si>
    <t>SYI-CTGA-CMC1</t>
  </si>
  <si>
    <t>SYI-CTGA-KDB1</t>
  </si>
  <si>
    <t>SYI-CTGB-CMC2</t>
  </si>
  <si>
    <t>SYI-CTGB-COX1</t>
  </si>
  <si>
    <t>SYI-CTGB-HAL1</t>
  </si>
  <si>
    <t>SYI-CUMA-CUM1</t>
  </si>
  <si>
    <t>SYI-CUMA-CUM2</t>
  </si>
  <si>
    <t>SYI-CUMA-CUM3</t>
  </si>
  <si>
    <t>SYI-CUMA-CUM4</t>
  </si>
  <si>
    <t>SYI-DINA-DIN1</t>
  </si>
  <si>
    <t>SYI-DINA-NIL1</t>
  </si>
  <si>
    <t>SYI-DMCA-DMC1</t>
  </si>
  <si>
    <t>SYI-DMCA-DMC2</t>
  </si>
  <si>
    <t>SYI-DMCA-DMC3</t>
  </si>
  <si>
    <t>SYI-DMCA-HOL1</t>
  </si>
  <si>
    <t>SYI-FRDA-FRD1</t>
  </si>
  <si>
    <t>SYI-FRDA-FRD2</t>
  </si>
  <si>
    <t>SYI-GULA-BSD1</t>
  </si>
  <si>
    <t>SYI-GULA-GUL1</t>
  </si>
  <si>
    <t>SYI-GULA-GUL2</t>
  </si>
  <si>
    <t>SYI-GULA-MOH1</t>
  </si>
  <si>
    <t>SYI-JASA-JAS1</t>
  </si>
  <si>
    <t>SYI-JASA-JHN1</t>
  </si>
  <si>
    <t>SYI-KHLA-GOP1</t>
  </si>
  <si>
    <t>SYI-KHLA-KHL1</t>
  </si>
  <si>
    <t>SYI-KHLA-KHL2</t>
  </si>
  <si>
    <t>SYI-KHLA-KHL3</t>
  </si>
  <si>
    <t>SYI-MIRA-BIH1</t>
  </si>
  <si>
    <t>SYI-MIRA-CAN1</t>
  </si>
  <si>
    <t>SYI-MIRA-MIR1</t>
  </si>
  <si>
    <t>SYI-MIRA-NHF1</t>
  </si>
  <si>
    <t>SYI-MIRA-NHF2</t>
  </si>
  <si>
    <t>SYI-MOHA-NCV1</t>
  </si>
  <si>
    <t>SYI-MOHA-NIN1</t>
  </si>
  <si>
    <t>SYI-MOHA-NTR1</t>
  </si>
  <si>
    <t>SYI-MOHA-SAV1</t>
  </si>
  <si>
    <t>SYI-MOHA-SHS1</t>
  </si>
  <si>
    <t>SYI-MYMA-KIS1</t>
  </si>
  <si>
    <t>SYI-MYMA-MYM1</t>
  </si>
  <si>
    <t>SYI-MYMA-MYM2</t>
  </si>
  <si>
    <t>SYI-NKLA-CHD1</t>
  </si>
  <si>
    <t>SYI-NKLA-FEN1</t>
  </si>
  <si>
    <t>SYI-NKLA-NKL1</t>
  </si>
  <si>
    <t>SYI-NKLA-NKL2</t>
  </si>
  <si>
    <t>SYI-NRGA-BBR1</t>
  </si>
  <si>
    <t>SYI-NRGA-NAR1</t>
  </si>
  <si>
    <t>SYI-NRGA-NRG1</t>
  </si>
  <si>
    <t>SYI-NRGA-NRG2</t>
  </si>
  <si>
    <t>SYI-PABA-KUS1</t>
  </si>
  <si>
    <t>SYI-PABA-PAB1</t>
  </si>
  <si>
    <t>SYI-RAJA-RAJ1</t>
  </si>
  <si>
    <t>SYI-RAJA-RAJ2</t>
  </si>
  <si>
    <t>SYI-RAJA-RAJ3</t>
  </si>
  <si>
    <t>SYI-RANA-RAN1</t>
  </si>
  <si>
    <t>SYI-RANA-RAN2</t>
  </si>
  <si>
    <t>SYI-RANA-RAN3</t>
  </si>
  <si>
    <t>SYI-SSMA-DNM1</t>
  </si>
  <si>
    <t>SYI-SSMA-MUG1</t>
  </si>
  <si>
    <t>SYI-SSMA-RMP1</t>
  </si>
  <si>
    <t>SYI-SSMA-SSM1</t>
  </si>
  <si>
    <t>SYI-SSMA-WAR1</t>
  </si>
  <si>
    <t>SYI-SYLA-MOU1</t>
  </si>
  <si>
    <t>SYI-SYLA-SYL1</t>
  </si>
  <si>
    <t>SYI-SYLA-SYL2</t>
  </si>
  <si>
    <t>SYI-SYLA-SYL3</t>
  </si>
  <si>
    <t>SYI-TANA-JAM1</t>
  </si>
  <si>
    <t>SYI-TANA-TAN1</t>
  </si>
  <si>
    <t>SYI-UTTA-GAZ1</t>
  </si>
  <si>
    <t>SYI-UTTA-UTT1</t>
  </si>
  <si>
    <t>SYI-UTTA-UTT2</t>
  </si>
  <si>
    <t>SYI-UTTA-UTT3</t>
  </si>
  <si>
    <t>SYI-UTTA-UTT4</t>
  </si>
  <si>
    <t>Family</t>
  </si>
  <si>
    <t>Product Id</t>
  </si>
  <si>
    <t>Product Name</t>
  </si>
  <si>
    <t>TP</t>
  </si>
  <si>
    <t>Group</t>
  </si>
  <si>
    <t>Sales Line</t>
  </si>
  <si>
    <t>Qty</t>
  </si>
  <si>
    <t>ALLSTAR</t>
  </si>
  <si>
    <t>INS</t>
  </si>
  <si>
    <t>INSYN</t>
  </si>
  <si>
    <t>Apidra Crt</t>
  </si>
  <si>
    <t>Apidra Solo</t>
  </si>
  <si>
    <t>Lantus Crt</t>
  </si>
  <si>
    <t>Lantus Solo</t>
  </si>
  <si>
    <t>Toujeo</t>
  </si>
  <si>
    <t>Team</t>
  </si>
  <si>
    <t>Sales line</t>
  </si>
  <si>
    <t>Current Mnth Target</t>
  </si>
  <si>
    <t>SYI-BIRA</t>
  </si>
  <si>
    <t>Insyn</t>
  </si>
  <si>
    <t>SYI-BOGA</t>
  </si>
  <si>
    <t>SYI-BSLA</t>
  </si>
  <si>
    <t>SYI-BSMA</t>
  </si>
  <si>
    <t>SYI-CTGA</t>
  </si>
  <si>
    <t>SYI-CTGB</t>
  </si>
  <si>
    <t>SYI-CUMA</t>
  </si>
  <si>
    <t>SYI-DINA</t>
  </si>
  <si>
    <t>SYI-DMCA</t>
  </si>
  <si>
    <t>SYI-FRDA</t>
  </si>
  <si>
    <t>SYI-GULA</t>
  </si>
  <si>
    <t>SYI-JASA</t>
  </si>
  <si>
    <t>SYI-KHLA</t>
  </si>
  <si>
    <t>SYI-MIRA</t>
  </si>
  <si>
    <t>SYI-MOHA</t>
  </si>
  <si>
    <t>SYI-MYMA</t>
  </si>
  <si>
    <t>SYI-NKLA</t>
  </si>
  <si>
    <t>SYI-NRGA</t>
  </si>
  <si>
    <t>SYI-PABA</t>
  </si>
  <si>
    <t>SYI-RAJA</t>
  </si>
  <si>
    <t>SYI-RANA</t>
  </si>
  <si>
    <t>SYI-SSMA</t>
  </si>
  <si>
    <t>SYI-SYLA</t>
  </si>
  <si>
    <t>SYI-TANA</t>
  </si>
  <si>
    <t>SYI-UTTA</t>
  </si>
  <si>
    <t>Row Labels</t>
  </si>
  <si>
    <t>Attribute</t>
  </si>
  <si>
    <t>Value</t>
  </si>
  <si>
    <t>Price.1</t>
  </si>
  <si>
    <t>ProductId</t>
  </si>
  <si>
    <t>Mounvia</t>
  </si>
  <si>
    <t>Mounvia 2.5</t>
  </si>
  <si>
    <t>Mounvia 5</t>
  </si>
  <si>
    <t>Jan'26</t>
  </si>
  <si>
    <t>ALLSTAR Insulin Pen 1PC (Purple)</t>
  </si>
  <si>
    <t>ALLSTAR Insulin Pen 1PC (Teal)</t>
  </si>
  <si>
    <t>APIDRA 3ml inj Crt 5's</t>
  </si>
  <si>
    <t>LANTUS 3ml Inj Crt 5's</t>
  </si>
  <si>
    <t>LANTUS SoloStar 3ml Inj 5 Pen</t>
  </si>
  <si>
    <t>Mounvia 2.5 mg Inj.</t>
  </si>
  <si>
    <t>Mounvia 5 mg  Inj.</t>
  </si>
  <si>
    <t>TOUJEO SoloStar 1.5ml Inj 3's Pen</t>
  </si>
  <si>
    <t>682</t>
  </si>
  <si>
    <t>683</t>
  </si>
  <si>
    <t>684</t>
  </si>
  <si>
    <t>686</t>
  </si>
  <si>
    <t>708</t>
  </si>
  <si>
    <t>710</t>
  </si>
  <si>
    <t>809</t>
  </si>
  <si>
    <t>810</t>
  </si>
  <si>
    <t>750</t>
  </si>
  <si>
    <t>Mounvia 7.5</t>
  </si>
  <si>
    <t>INSUMAN Comb 3ml Crt 5's</t>
  </si>
  <si>
    <t>Mounvia 7.5 mg Inj.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</si>
</sst>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thick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ck">
        <color indexed="64"/>
      </top>
      <bottom style="thick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thick">
        <color indexed="64"/>
      </top>
      <bottom style="thick">
        <color indexed="64"/>
      </bottom>
      <diagonal/>
    </border>
    <border>
      <left/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1" xfId="0" applyFont="1" applyBorder="1" applyAlignment="1">
      <alignment vertical="center"/>
    </xf>
    <xf numFmtId="0" fontId="2" fillId="0" borderId="0" xfId="0" applyFont="1"/>
    <xf numFmtId="164" fontId="0" fillId="0" borderId="0" xfId="1" applyNumberFormat="1" applyFont="1"/>
    <xf numFmtId="164" fontId="0" fillId="0" borderId="0" xfId="0" applyNumberFormat="1"/>
    <xf numFmtId="9" fontId="0" fillId="0" borderId="0" xfId="2" applyFont="1"/>
    <xf numFmtId="9" fontId="2" fillId="0" borderId="0" xfId="2" applyFont="1"/>
    <xf numFmtId="0" fontId="0" fillId="0" borderId="0" xfId="0" applyAlignment="1">
      <alignment horizontal="left"/>
    </xf>
    <xf numFmtId="0" fontId="0" fillId="0" borderId="0" xfId="0" quotePrefix="1"/>
    <xf numFmtId="43" fontId="0" fillId="0" borderId="0" xfId="1" applyFont="1"/>
    <xf numFmtId="0" fontId="0" fillId="0" borderId="3" xfId="0" applyBorder="1"/>
    <xf numFmtId="0" fontId="0" fillId="0" borderId="4" xfId="0" applyBorder="1"/>
    <xf numFmtId="164" fontId="0" fillId="0" borderId="4" xfId="1" applyNumberFormat="1" applyFont="1" applyBorder="1"/>
    <xf numFmtId="164" fontId="2" fillId="0" borderId="4" xfId="1" applyNumberFormat="1" applyFont="1" applyBorder="1"/>
    <xf numFmtId="0" fontId="3" fillId="2" borderId="2" xfId="0" applyFont="1" applyFill="1" applyBorder="1" applyAlignment="1">
      <alignment vertical="center"/>
    </xf>
    <xf numFmtId="0" fontId="0" fillId="4" borderId="4" xfId="0" applyFill="1" applyBorder="1"/>
    <xf numFmtId="0" fontId="5" fillId="5" borderId="1" xfId="0" applyFont="1" applyFill="1" applyBorder="1"/>
    <xf numFmtId="0" fontId="0" fillId="0" borderId="1" xfId="0" applyBorder="1"/>
    <xf numFmtId="164" fontId="0" fillId="6" borderId="1" xfId="1" applyNumberFormat="1" applyFont="1" applyFill="1" applyBorder="1"/>
    <xf numFmtId="0" fontId="3" fillId="2" borderId="5" xfId="0" applyFont="1" applyFill="1" applyBorder="1" applyAlignment="1">
      <alignment vertical="center"/>
    </xf>
    <xf numFmtId="0" fontId="0" fillId="0" borderId="6" xfId="0" applyBorder="1"/>
    <xf numFmtId="0" fontId="0" fillId="8" borderId="1" xfId="0" applyFill="1" applyBorder="1"/>
    <xf numFmtId="0" fontId="0" fillId="8" borderId="9" xfId="0" applyFill="1" applyBorder="1"/>
    <xf numFmtId="0" fontId="0" fillId="8" borderId="10" xfId="0" applyFill="1" applyBorder="1"/>
    <xf numFmtId="0" fontId="0" fillId="8" borderId="11" xfId="0" applyFill="1" applyBorder="1"/>
    <xf numFmtId="0" fontId="0" fillId="8" borderId="12" xfId="0" applyFill="1" applyBorder="1"/>
    <xf numFmtId="0" fontId="0" fillId="8" borderId="13" xfId="0" applyFill="1" applyBorder="1"/>
    <xf numFmtId="0" fontId="3" fillId="3" borderId="6" xfId="0" applyFont="1" applyFill="1" applyBorder="1" applyAlignment="1">
      <alignment vertical="center"/>
    </xf>
    <xf numFmtId="0" fontId="0" fillId="4" borderId="14" xfId="0" applyFill="1" applyBorder="1"/>
    <xf numFmtId="0" fontId="0" fillId="4" borderId="15" xfId="0" applyFill="1" applyBorder="1"/>
    <xf numFmtId="0" fontId="0" fillId="4" borderId="16" xfId="0" applyFill="1" applyBorder="1"/>
    <xf numFmtId="0" fontId="0" fillId="4" borderId="17" xfId="0" applyFill="1" applyBorder="1"/>
    <xf numFmtId="0" fontId="0" fillId="4" borderId="18" xfId="0" applyFill="1" applyBorder="1"/>
    <xf numFmtId="164" fontId="0" fillId="7" borderId="1" xfId="1" applyNumberFormat="1" applyFont="1" applyFill="1" applyBorder="1"/>
    <xf numFmtId="0" fontId="6" fillId="5" borderId="1" xfId="0" applyFont="1" applyFill="1" applyBorder="1"/>
    <xf numFmtId="0" fontId="2" fillId="0" borderId="7" xfId="0" applyFont="1" applyBorder="1"/>
    <xf numFmtId="0" fontId="2" fillId="0" borderId="8" xfId="0" applyFont="1" applyBorder="1"/>
    <xf numFmtId="164" fontId="2" fillId="0" borderId="0" xfId="1" applyNumberFormat="1" applyFont="1"/>
    <xf numFmtId="164" fontId="2" fillId="7" borderId="1" xfId="1" applyNumberFormat="1" applyFont="1" applyFill="1" applyBorder="1"/>
    <xf numFmtId="0" fontId="3" fillId="2" borderId="19" xfId="0" applyFont="1" applyFill="1" applyBorder="1" applyAlignment="1">
      <alignment vertical="center"/>
    </xf>
    <xf numFmtId="0" fontId="3" fillId="2" borderId="20" xfId="0" applyFont="1" applyFill="1" applyBorder="1" applyAlignment="1">
      <alignment vertical="center"/>
    </xf>
    <xf numFmtId="164" fontId="0" fillId="0" borderId="14" xfId="1" applyNumberFormat="1" applyFont="1" applyBorder="1"/>
    <xf numFmtId="164" fontId="0" fillId="0" borderId="15" xfId="1" applyNumberFormat="1" applyFont="1" applyBorder="1"/>
    <xf numFmtId="164" fontId="0" fillId="0" borderId="16" xfId="1" applyNumberFormat="1" applyFont="1" applyBorder="1"/>
    <xf numFmtId="164" fontId="0" fillId="0" borderId="17" xfId="1" applyNumberFormat="1" applyFont="1" applyBorder="1"/>
    <xf numFmtId="164" fontId="0" fillId="0" borderId="18" xfId="1" applyNumberFormat="1" applyFont="1" applyBorder="1"/>
    <xf numFmtId="164" fontId="2" fillId="0" borderId="17" xfId="1" applyNumberFormat="1" applyFont="1" applyBorder="1"/>
    <xf numFmtId="164" fontId="2" fillId="0" borderId="18" xfId="1" applyNumberFormat="1" applyFont="1" applyBorder="1"/>
    <xf numFmtId="0" fontId="0" fillId="0" borderId="18" xfId="0" applyBorder="1"/>
    <xf numFmtId="164" fontId="0" fillId="0" borderId="21" xfId="1" applyNumberFormat="1" applyFont="1" applyBorder="1"/>
    <xf numFmtId="164" fontId="0" fillId="0" borderId="22" xfId="1" applyNumberFormat="1" applyFont="1" applyBorder="1"/>
    <xf numFmtId="164" fontId="0" fillId="0" borderId="23" xfId="1" applyNumberFormat="1" applyFont="1" applyBorder="1"/>
    <xf numFmtId="0" fontId="7" fillId="0" borderId="0" xfId="0" applyFont="1"/>
    <xf numFmtId="0" fontId="3" fillId="3" borderId="24" xfId="0" applyFont="1" applyFill="1" applyBorder="1" applyAlignment="1">
      <alignment vertical="center"/>
    </xf>
    <xf numFmtId="0" fontId="3" fillId="3" borderId="25" xfId="0" applyFont="1" applyFill="1" applyBorder="1" applyAlignment="1">
      <alignment vertical="center"/>
    </xf>
    <xf numFmtId="0" fontId="3" fillId="3" borderId="26" xfId="0" applyFont="1" applyFill="1" applyBorder="1" applyAlignment="1">
      <alignment vertical="center"/>
    </xf>
    <xf numFmtId="164" fontId="0" fillId="6" borderId="1" xfId="0" applyNumberFormat="1" applyFill="1" applyBorder="1"/>
    <xf numFmtId="0" fontId="3" fillId="0" borderId="27" xfId="0" applyFont="1" applyBorder="1" applyAlignment="1">
      <alignment vertical="center"/>
    </xf>
    <xf numFmtId="0" fontId="3" fillId="0" borderId="28" xfId="0" applyFont="1" applyBorder="1" applyAlignment="1">
      <alignment vertical="center"/>
    </xf>
  </cellXfs>
  <cellStyles count="4">
    <cellStyle name="Comma" xfId="1" builtinId="3"/>
    <cellStyle name="Comma 2" xfId="3" xr:uid="{0EB8F2DE-105B-4430-AC05-98E43DC5670C}"/>
    <cellStyle name="Normal" xfId="0" builtinId="0"/>
    <cellStyle name="Percent" xfId="2" builtinId="5"/>
  </cellStyles>
  <dxfs count="14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64396A35-C5DD-470D-985F-4A3345D4440F}" autoFormatId="16" applyNumberFormats="0" applyBorderFormats="0" applyFontFormats="0" applyPatternFormats="0" applyAlignmentFormats="0" applyWidthHeightFormats="0">
  <queryTableRefresh nextId="59">
    <queryTableFields count="6">
      <queryTableField id="52" name="Attribute" tableColumnId="2"/>
      <queryTableField id="1" name="Territory" tableColumnId="1"/>
      <queryTableField id="55" name="Month" tableColumnId="4"/>
      <queryTableField id="48" name="Value" tableColumnId="5"/>
      <queryTableField id="56" name="Qty" tableColumnId="6"/>
      <queryTableField id="53" name="Price.1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1FBD6F1-E9FD-476E-A68E-132DE3BDFDB7}" name="Output_Data" displayName="Output_Data" ref="A1:F784" tableType="queryTable">
  <tableColumns count="6">
    <tableColumn id="2" xr3:uid="{65919DDE-E212-40D3-A163-581B9C9ABB6A}" uniqueName="2" name="Attribute" queryTableFieldId="52"/>
    <tableColumn id="1" xr3:uid="{78B969D5-3B20-4C3C-A2DF-0D23B60C0AB9}" uniqueName="1" name="Territory" queryTableFieldId="1" dataDxfId="13" totalsRowDxfId="12"/>
    <tableColumn id="4" xr3:uid="{7874F810-02D3-4269-80A8-00CD5582307E}" uniqueName="4" name="Month" queryTableFieldId="55"/>
    <tableColumn id="5" xr3:uid="{F32314F5-F814-42A6-A870-DA968A7A282B}" uniqueName="5" name="Value" totalsRowFunction="sum" queryTableFieldId="48"/>
    <tableColumn id="6" xr3:uid="{4119DE84-3CED-4C37-9A7A-7152228B5581}" uniqueName="6" name="Qty" queryTableFieldId="56"/>
    <tableColumn id="3" xr3:uid="{22B9E205-83D5-4A17-998C-4BD9E1685B85}" uniqueName="3" name="Price.1" queryTableFieldId="5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0D35CF3-5466-4FF0-AC0D-3DAAC2886B4E}" name="Table1" displayName="Table1" ref="A1:J88" totalsRowShown="0" headerRowDxfId="11">
  <tableColumns count="10">
    <tableColumn id="1" xr3:uid="{24CC7AB5-7E14-4DD2-ABBE-1B309CE4BDAA}" name="Territory"/>
    <tableColumn id="2" xr3:uid="{D4DBDB26-6C8D-4C30-B62F-87FDEB2BA528}" name="682"/>
    <tableColumn id="3" xr3:uid="{A0D309A5-4D17-433D-AA8B-730394F9C9A5}" name="683"/>
    <tableColumn id="4" xr3:uid="{2BBB947B-2E72-4A2C-85CC-ED9C6D3DCCFF}" name="684"/>
    <tableColumn id="5" xr3:uid="{D78DEC29-1282-4EC9-8F26-319BA0EFD739}" name="686"/>
    <tableColumn id="6" xr3:uid="{A9596D2A-1C5F-4F5C-B388-E3C73194646C}" name="708"/>
    <tableColumn id="7" xr3:uid="{D2913B99-1D5C-4C28-84F5-C12C3571E24C}" name="710"/>
    <tableColumn id="8" xr3:uid="{C5C19899-45AA-4E4A-BAAB-FC78D257E229}" name="809"/>
    <tableColumn id="9" xr3:uid="{7B53DC4B-F898-433D-9616-853EBB69778C}" name="810"/>
    <tableColumn id="10" xr3:uid="{FD024947-16A8-4BB9-A4AE-C654A226577D}" name="75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A781355-A00E-41ED-81EA-56DE397F4972}" name="Table3" displayName="Table3" ref="A1:B10" totalsRowShown="0">
  <tableColumns count="2">
    <tableColumn id="1" xr3:uid="{8303A273-E397-47E7-A81D-00804C4E8EE4}" name="ProductId"/>
    <tableColumn id="2" xr3:uid="{9A0962C7-4B9B-4676-A412-AC12A95A13AE}" name="Pric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2A8CBD0-3609-4BF5-9071-74768B20DADF}" name="Table4" displayName="Table4" ref="A1:A2" totalsRowShown="0">
  <autoFilter ref="A1:A2" xr:uid="{92A8CBD0-3609-4BF5-9071-74768B20DADF}"/>
  <tableColumns count="1">
    <tableColumn id="1" xr3:uid="{776BA055-9437-48F9-AD7D-06C6C39067B5}" name="Month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8CA2D-6BA8-470C-900D-1ECCB7665EA1}">
  <dimension ref="A1:AM221"/>
  <sheetViews>
    <sheetView zoomScale="85" zoomScaleNormal="85" workbookViewId="0">
      <pane xSplit="6" ySplit="7" topLeftCell="R8" activePane="bottomRight" state="frozen"/>
      <selection pane="topRight" activeCell="F1" sqref="F1"/>
      <selection pane="bottomLeft" activeCell="A8" sqref="A8"/>
      <selection pane="bottomRight" activeCell="Q7" sqref="Q7:Y7"/>
    </sheetView>
  </sheetViews>
  <sheetFormatPr defaultRowHeight="15" x14ac:dyDescent="0.25"/>
  <cols>
    <col min="1" max="1" width="16.28515625" bestFit="1" customWidth="1"/>
    <col min="2" max="2" width="16.42578125" bestFit="1" customWidth="1"/>
    <col min="3" max="4" width="12.85546875" bestFit="1" customWidth="1"/>
    <col min="5" max="5" width="14.28515625" customWidth="1"/>
    <col min="6" max="6" width="9.85546875" bestFit="1" customWidth="1"/>
    <col min="8" max="9" width="10.5703125" bestFit="1" customWidth="1"/>
    <col min="10" max="10" width="11.5703125" bestFit="1" customWidth="1"/>
    <col min="11" max="11" width="10.5703125" bestFit="1" customWidth="1"/>
    <col min="12" max="14" width="10.5703125" customWidth="1"/>
    <col min="15" max="16" width="11.5703125" bestFit="1" customWidth="1"/>
    <col min="17" max="25" width="13.5703125" customWidth="1"/>
  </cols>
  <sheetData>
    <row r="1" spans="1:39" ht="18.75" x14ac:dyDescent="0.3">
      <c r="A1" s="52" t="s">
        <v>0</v>
      </c>
      <c r="E1" s="8" t="s">
        <v>1</v>
      </c>
      <c r="F1" s="8" t="s">
        <v>2</v>
      </c>
      <c r="Q1" s="41">
        <f>Q3-Q2</f>
        <v>9.9999999511055648E-3</v>
      </c>
      <c r="R1" s="42">
        <f t="shared" ref="R1:Y1" si="0">R3-R2</f>
        <v>2.2299999999813735</v>
      </c>
      <c r="S1" s="42">
        <f t="shared" ref="S1:T1" si="1">S3-S2</f>
        <v>-5.6699999999254942</v>
      </c>
      <c r="T1" s="42">
        <f t="shared" si="1"/>
        <v>-1.0600000000558794</v>
      </c>
      <c r="U1" s="42">
        <f t="shared" si="0"/>
        <v>1.8500000014901161</v>
      </c>
      <c r="V1" s="42">
        <f t="shared" si="0"/>
        <v>3</v>
      </c>
      <c r="W1" s="42">
        <f t="shared" si="0"/>
        <v>2</v>
      </c>
      <c r="X1" s="42">
        <f t="shared" si="0"/>
        <v>-1</v>
      </c>
      <c r="Y1" s="43">
        <f t="shared" si="0"/>
        <v>-0.45000000018626451</v>
      </c>
    </row>
    <row r="2" spans="1:39" x14ac:dyDescent="0.25">
      <c r="E2">
        <v>1</v>
      </c>
      <c r="F2">
        <v>-1</v>
      </c>
      <c r="P2" t="s">
        <v>3</v>
      </c>
      <c r="Q2" s="44">
        <f>IFERROR(_xlfn.XLOOKUP(Q$7,'Product Tgt'!$B:$B,'Product Tgt'!$G:$G),0)</f>
        <v>480884.99000000005</v>
      </c>
      <c r="R2" s="12">
        <f>IFERROR(_xlfn.XLOOKUP(R$7,'Product Tgt'!$B:$B,'Product Tgt'!$G:$G),0)</f>
        <v>544418.77</v>
      </c>
      <c r="S2" s="12">
        <f>IFERROR(_xlfn.XLOOKUP(S$7,'Product Tgt'!$B:$B,'Product Tgt'!$G:$G),0)</f>
        <v>5215761.67</v>
      </c>
      <c r="T2" s="12">
        <f>IFERROR(_xlfn.XLOOKUP(T$7,'Product Tgt'!$B:$B,'Product Tgt'!$G:$G),0)</f>
        <v>2345988.06</v>
      </c>
      <c r="U2" s="12">
        <f>IFERROR(_xlfn.XLOOKUP(U$7,'Product Tgt'!$B:$B,'Product Tgt'!$G:$G),0)</f>
        <v>25774321.149999999</v>
      </c>
      <c r="V2" s="12">
        <f>IFERROR(_xlfn.XLOOKUP(V$7,'Product Tgt'!$B:$B,'Product Tgt'!$G:$G),0)</f>
        <v>15253353</v>
      </c>
      <c r="W2" s="12">
        <f>IFERROR(_xlfn.XLOOKUP(W$7,'Product Tgt'!$B:$B,'Product Tgt'!$G:$G),0)</f>
        <v>2452364</v>
      </c>
      <c r="X2" s="12">
        <f>IFERROR(_xlfn.XLOOKUP(X$7,'Product Tgt'!$B:$B,'Product Tgt'!$G:$G),0)</f>
        <v>652152</v>
      </c>
      <c r="Y2" s="45">
        <f>IFERROR(_xlfn.XLOOKUP(Y$7,'Product Tgt'!$B:$B,'Product Tgt'!$G:$G),0)</f>
        <v>3350229.45</v>
      </c>
    </row>
    <row r="3" spans="1:39" x14ac:dyDescent="0.25">
      <c r="E3">
        <v>2</v>
      </c>
      <c r="F3">
        <v>-2</v>
      </c>
      <c r="P3" t="s">
        <v>4</v>
      </c>
      <c r="Q3" s="46">
        <f t="shared" ref="Q3:Y3" si="2">SUM(Q8:Q221)</f>
        <v>480885</v>
      </c>
      <c r="R3" s="13">
        <f t="shared" si="2"/>
        <v>544421</v>
      </c>
      <c r="S3" s="13">
        <f t="shared" ref="S3:T3" si="3">SUM(S8:S221)</f>
        <v>5215756</v>
      </c>
      <c r="T3" s="13">
        <f t="shared" si="3"/>
        <v>2345987</v>
      </c>
      <c r="U3" s="13">
        <f t="shared" si="2"/>
        <v>25774323</v>
      </c>
      <c r="V3" s="13">
        <f t="shared" si="2"/>
        <v>15253356</v>
      </c>
      <c r="W3" s="13">
        <f t="shared" si="2"/>
        <v>2452366</v>
      </c>
      <c r="X3" s="13">
        <f t="shared" si="2"/>
        <v>652151</v>
      </c>
      <c r="Y3" s="47">
        <f t="shared" si="2"/>
        <v>3350229</v>
      </c>
    </row>
    <row r="4" spans="1:39" ht="15.75" thickBot="1" x14ac:dyDescent="0.3">
      <c r="E4" t="s">
        <v>5</v>
      </c>
      <c r="F4" s="4">
        <f>MAX(E8:E94)</f>
        <v>11.862137499498203</v>
      </c>
      <c r="Q4" s="44"/>
      <c r="R4" s="12"/>
      <c r="S4" s="12"/>
      <c r="T4" s="12"/>
      <c r="U4" s="12"/>
      <c r="V4" s="12"/>
      <c r="W4" s="12"/>
      <c r="X4" s="12"/>
      <c r="Y4" s="45"/>
      <c r="Z4" s="2" t="s">
        <v>6</v>
      </c>
      <c r="AG4" s="2" t="s">
        <v>7</v>
      </c>
      <c r="AH4" s="2"/>
    </row>
    <row r="5" spans="1:39" ht="15.75" thickBot="1" x14ac:dyDescent="0.3">
      <c r="C5" s="2" t="s">
        <v>8</v>
      </c>
      <c r="E5" t="s">
        <v>9</v>
      </c>
      <c r="F5" s="4">
        <f>MIN(E8:E94)</f>
        <v>-12.976882308255881</v>
      </c>
      <c r="G5" t="s">
        <v>10</v>
      </c>
      <c r="H5" s="28">
        <f>_xlfn.XLOOKUP(H$7,'Product Tgt'!$B:$B,'Product Tgt'!$D:$D,0)</f>
        <v>1095.4100000000001</v>
      </c>
      <c r="I5" s="29">
        <f>_xlfn.XLOOKUP(I$7,'Product Tgt'!$B:$B,'Product Tgt'!$D:$D,0)</f>
        <v>1095.4100000000001</v>
      </c>
      <c r="J5" s="29">
        <f>_xlfn.XLOOKUP(J$7,'Product Tgt'!$B:$B,'Product Tgt'!$D:$D,0)</f>
        <v>4202.87</v>
      </c>
      <c r="K5" s="29">
        <f>_xlfn.XLOOKUP(K$7,'Product Tgt'!$B:$B,'Product Tgt'!$D:$D,0)</f>
        <v>6222.78</v>
      </c>
      <c r="L5" s="29">
        <f>_xlfn.XLOOKUP(L$7,'Product Tgt'!$B:$B,'Product Tgt'!$D:$D,0)</f>
        <v>4364.83</v>
      </c>
      <c r="M5" s="29">
        <f>_xlfn.XLOOKUP(M$7,'Product Tgt'!$B:$B,'Product Tgt'!$D:$D,0)</f>
        <v>6889.5</v>
      </c>
      <c r="N5" s="29">
        <f>_xlfn.XLOOKUP(N$7,'Product Tgt'!$B:$B,'Product Tgt'!$D:$D,0)</f>
        <v>1499</v>
      </c>
      <c r="O5" s="29">
        <f>_xlfn.XLOOKUP(O$7,'Product Tgt'!$B:$B,'Product Tgt'!$D:$D,0)</f>
        <v>1874</v>
      </c>
      <c r="P5" s="30">
        <f>_xlfn.XLOOKUP(P$7,'Product Tgt'!$B:$B,'Product Tgt'!$D:$D,0)</f>
        <v>6147.21</v>
      </c>
      <c r="Q5" s="20">
        <f>_xlfn.XLOOKUP(Q$7,'Product Tgt'!$B:$B,'Product Tgt'!$D:$D,0)</f>
        <v>1095.4100000000001</v>
      </c>
      <c r="R5" s="11">
        <f>_xlfn.XLOOKUP(R$7,'Product Tgt'!$B:$B,'Product Tgt'!$D:$D,0)</f>
        <v>1095.4100000000001</v>
      </c>
      <c r="S5" s="11">
        <f>_xlfn.XLOOKUP(S$7,'Product Tgt'!$B:$B,'Product Tgt'!$D:$D,0)</f>
        <v>4202.87</v>
      </c>
      <c r="T5" s="11">
        <f>_xlfn.XLOOKUP(T$7,'Product Tgt'!$B:$B,'Product Tgt'!$D:$D,0)</f>
        <v>6222.78</v>
      </c>
      <c r="U5" s="11">
        <f>_xlfn.XLOOKUP(U$7,'Product Tgt'!$B:$B,'Product Tgt'!$D:$D,0)</f>
        <v>4364.83</v>
      </c>
      <c r="V5" s="11">
        <f>_xlfn.XLOOKUP(V$7,'Product Tgt'!$B:$B,'Product Tgt'!$D:$D,0)</f>
        <v>6889.5</v>
      </c>
      <c r="W5" s="11">
        <f>_xlfn.XLOOKUP(W$7,'Product Tgt'!$B:$B,'Product Tgt'!$D:$D,0)</f>
        <v>1499</v>
      </c>
      <c r="X5" s="11">
        <f>_xlfn.XLOOKUP(X$7,'Product Tgt'!$B:$B,'Product Tgt'!$D:$D,0)</f>
        <v>1874</v>
      </c>
      <c r="Y5" s="48">
        <f>_xlfn.XLOOKUP(Y$7,'Product Tgt'!$B:$B,'Product Tgt'!$D:$D,0)</f>
        <v>6147.21</v>
      </c>
      <c r="Z5">
        <f>_xlfn.XLOOKUP(Z$7,'Product Tgt'!$B:$B,'Product Tgt'!$D:$D,0)</f>
        <v>0</v>
      </c>
      <c r="AA5">
        <f>_xlfn.XLOOKUP(AA$7,'Product Tgt'!$B:$B,'Product Tgt'!$D:$D,0)</f>
        <v>0</v>
      </c>
      <c r="AB5">
        <f>_xlfn.XLOOKUP(AB$7,'Product Tgt'!$B:$B,'Product Tgt'!$D:$D,0)</f>
        <v>0</v>
      </c>
      <c r="AC5">
        <f>_xlfn.XLOOKUP(AC$7,'Product Tgt'!$B:$B,'Product Tgt'!$D:$D,0)</f>
        <v>0</v>
      </c>
      <c r="AD5">
        <f>_xlfn.XLOOKUP(AD$7,'Product Tgt'!$B:$B,'Product Tgt'!$D:$D,0)</f>
        <v>0</v>
      </c>
      <c r="AE5">
        <f>_xlfn.XLOOKUP(AE$7,'Product Tgt'!$B:$B,'Product Tgt'!$D:$D,0)</f>
        <v>0</v>
      </c>
      <c r="AF5">
        <f>_xlfn.XLOOKUP(AF$7,'Product Tgt'!$B:$B,'Product Tgt'!$D:$D,0)</f>
        <v>0</v>
      </c>
      <c r="AG5" s="22">
        <f>_xlfn.XLOOKUP(AG$7,'Product Tgt'!$B:$B,'Product Tgt'!$D:$D,0)</f>
        <v>0</v>
      </c>
      <c r="AH5" s="23">
        <f>_xlfn.XLOOKUP(AH$7,'Product Tgt'!$B:$B,'Product Tgt'!$D:$D,0)</f>
        <v>0</v>
      </c>
      <c r="AI5" s="23">
        <f>_xlfn.XLOOKUP(AI$7,'Product Tgt'!$B:$B,'Product Tgt'!$D:$D,0)</f>
        <v>0</v>
      </c>
      <c r="AJ5" s="23">
        <f>_xlfn.XLOOKUP(AJ$7,'Product Tgt'!$B:$B,'Product Tgt'!$D:$D,0)</f>
        <v>0</v>
      </c>
      <c r="AK5" s="23">
        <f>_xlfn.XLOOKUP(AK$7,'Product Tgt'!$B:$B,'Product Tgt'!$D:$D,0)</f>
        <v>0</v>
      </c>
      <c r="AL5" s="23">
        <f>_xlfn.XLOOKUP(AL$7,'Product Tgt'!$B:$B,'Product Tgt'!$D:$D,0)</f>
        <v>0</v>
      </c>
      <c r="AM5" s="23">
        <f>_xlfn.XLOOKUP(AM$7,'Product Tgt'!$B:$B,'Product Tgt'!$D:$D,0)</f>
        <v>0</v>
      </c>
    </row>
    <row r="6" spans="1:39" ht="16.5" thickTop="1" thickBot="1" x14ac:dyDescent="0.3">
      <c r="B6" t="s">
        <v>11</v>
      </c>
      <c r="C6" s="2" t="s">
        <v>12</v>
      </c>
      <c r="G6" t="s">
        <v>13</v>
      </c>
      <c r="H6" s="28" t="str">
        <f>_xlfn.XLOOKUP(H$7,'Product Tgt'!$B:$B,'Product Tgt'!$C:$C,0)</f>
        <v>Allstar Insulin Pen 1PC</v>
      </c>
      <c r="I6" s="15" t="str">
        <f>_xlfn.XLOOKUP(I$7,'Product Tgt'!$B:$B,'Product Tgt'!$C:$C,0)</f>
        <v>ALLSTAR Insulin Pen 1PC (Teal Col)</v>
      </c>
      <c r="J6" s="15" t="str">
        <f>_xlfn.XLOOKUP(J$7,'Product Tgt'!$B:$B,'Product Tgt'!$C:$C,0)</f>
        <v>APIDRA 3ml inj Crt 5?s</v>
      </c>
      <c r="K6" s="15" t="str">
        <f>_xlfn.XLOOKUP(K$7,'Product Tgt'!$B:$B,'Product Tgt'!$C:$C,0)</f>
        <v>APIDRA SoloStar 3ml Inj 5 Pen</v>
      </c>
      <c r="L6" s="15" t="str">
        <f>_xlfn.XLOOKUP(L$7,'Product Tgt'!$B:$B,'Product Tgt'!$C:$C,0)</f>
        <v>Lantus 3ml Inj Crt 5's</v>
      </c>
      <c r="M6" s="15" t="str">
        <f>_xlfn.XLOOKUP(M$7,'Product Tgt'!$B:$B,'Product Tgt'!$C:$C,0)</f>
        <v>Lantus SoloStar 3ml Inj 5 Pen</v>
      </c>
      <c r="N6" s="15" t="str">
        <f>_xlfn.XLOOKUP(N$7,'Product Tgt'!$B:$B,'Product Tgt'!$C:$C,0)</f>
        <v>Mounvia 2.5</v>
      </c>
      <c r="O6" s="15" t="str">
        <f>_xlfn.XLOOKUP(O$7,'Product Tgt'!$B:$B,'Product Tgt'!$C:$C,0)</f>
        <v>Mounvia 5</v>
      </c>
      <c r="P6" s="32" t="str">
        <f>_xlfn.XLOOKUP(P$7,'Product Tgt'!$B:$B,'Product Tgt'!$C:$C,0)</f>
        <v>TOUJEO 1.5 ml SoloStar injection 3?1.5 ml Prefilled Pen</v>
      </c>
      <c r="Q6" s="27" t="str">
        <f>_xlfn.XLOOKUP(Q$7,'Product Tgt'!$B:$B,'Product Tgt'!$C:$C,0)</f>
        <v>Allstar Insulin Pen 1PC</v>
      </c>
      <c r="R6" s="27" t="str">
        <f>_xlfn.XLOOKUP(R$7,'Product Tgt'!$B:$B,'Product Tgt'!$C:$C,0)</f>
        <v>ALLSTAR Insulin Pen 1PC (Teal Col)</v>
      </c>
      <c r="S6" s="27" t="str">
        <f>_xlfn.XLOOKUP(S$7,'Product Tgt'!$B:$B,'Product Tgt'!$C:$C,0)</f>
        <v>APIDRA 3ml inj Crt 5?s</v>
      </c>
      <c r="T6" s="27" t="str">
        <f>_xlfn.XLOOKUP(T$7,'Product Tgt'!$B:$B,'Product Tgt'!$C:$C,0)</f>
        <v>APIDRA SoloStar 3ml Inj 5 Pen</v>
      </c>
      <c r="U6" s="27" t="str">
        <f>_xlfn.XLOOKUP(U$7,'Product Tgt'!$B:$B,'Product Tgt'!$C:$C,0)</f>
        <v>Lantus 3ml Inj Crt 5's</v>
      </c>
      <c r="V6" s="27" t="str">
        <f>_xlfn.XLOOKUP(V$7,'Product Tgt'!$B:$B,'Product Tgt'!$C:$C,0)</f>
        <v>Lantus SoloStar 3ml Inj 5 Pen</v>
      </c>
      <c r="W6" s="27" t="str">
        <f>_xlfn.XLOOKUP(W$7,'Product Tgt'!$B:$B,'Product Tgt'!$C:$C,0)</f>
        <v>Mounvia 2.5</v>
      </c>
      <c r="X6" s="27" t="str">
        <f>_xlfn.XLOOKUP(X$7,'Product Tgt'!$B:$B,'Product Tgt'!$C:$C,0)</f>
        <v>Mounvia 5</v>
      </c>
      <c r="Y6" s="27" t="str">
        <f>_xlfn.XLOOKUP(Y$7,'Product Tgt'!$B:$B,'Product Tgt'!$C:$C,0)</f>
        <v>TOUJEO 1.5 ml SoloStar injection 3?1.5 ml Prefilled Pen</v>
      </c>
      <c r="Z6" s="39" t="s">
        <v>14</v>
      </c>
      <c r="AA6" s="19" t="s">
        <v>15</v>
      </c>
      <c r="AB6" s="19" t="s">
        <v>16</v>
      </c>
      <c r="AC6" s="19" t="s">
        <v>17</v>
      </c>
      <c r="AD6" s="19" t="s">
        <v>18</v>
      </c>
      <c r="AE6" s="19" t="s">
        <v>19</v>
      </c>
      <c r="AF6" s="19" t="s">
        <v>20</v>
      </c>
      <c r="AG6" s="24" t="s">
        <v>14</v>
      </c>
      <c r="AH6" s="21" t="s">
        <v>15</v>
      </c>
      <c r="AI6" s="21" t="s">
        <v>16</v>
      </c>
      <c r="AJ6" s="21" t="s">
        <v>17</v>
      </c>
      <c r="AK6" s="21" t="s">
        <v>18</v>
      </c>
      <c r="AL6" s="21" t="s">
        <v>19</v>
      </c>
      <c r="AM6" s="21" t="s">
        <v>20</v>
      </c>
    </row>
    <row r="7" spans="1:39" ht="16.5" thickTop="1" thickBot="1" x14ac:dyDescent="0.3">
      <c r="A7" s="2" t="s">
        <v>21</v>
      </c>
      <c r="B7" s="2" t="s">
        <v>22</v>
      </c>
      <c r="C7" s="2" t="s">
        <v>23</v>
      </c>
      <c r="D7" s="2" t="s">
        <v>24</v>
      </c>
      <c r="E7" s="2" t="s">
        <v>25</v>
      </c>
      <c r="F7" s="6" t="s">
        <v>26</v>
      </c>
      <c r="G7" s="6" t="s">
        <v>27</v>
      </c>
      <c r="H7" s="31">
        <v>682</v>
      </c>
      <c r="I7" s="15">
        <v>683</v>
      </c>
      <c r="J7" s="15">
        <v>684</v>
      </c>
      <c r="K7" s="15">
        <v>686</v>
      </c>
      <c r="L7" s="15">
        <v>708</v>
      </c>
      <c r="M7" s="15">
        <v>710</v>
      </c>
      <c r="N7" s="15">
        <v>809</v>
      </c>
      <c r="O7" s="15">
        <v>810</v>
      </c>
      <c r="P7" s="32">
        <v>750</v>
      </c>
      <c r="Q7" s="53">
        <v>682</v>
      </c>
      <c r="R7" s="54">
        <v>683</v>
      </c>
      <c r="S7" s="54">
        <v>684</v>
      </c>
      <c r="T7" s="54">
        <v>686</v>
      </c>
      <c r="U7" s="54">
        <v>708</v>
      </c>
      <c r="V7" s="54">
        <v>710</v>
      </c>
      <c r="W7" s="54">
        <v>809</v>
      </c>
      <c r="X7" s="54">
        <v>810</v>
      </c>
      <c r="Y7" s="55">
        <v>750</v>
      </c>
      <c r="Z7" s="40">
        <v>332348</v>
      </c>
      <c r="AA7" s="14">
        <v>337694</v>
      </c>
      <c r="AB7" s="14">
        <v>340524</v>
      </c>
      <c r="AC7" s="14">
        <v>346769</v>
      </c>
      <c r="AD7" s="14">
        <v>345576</v>
      </c>
      <c r="AE7" s="14">
        <v>330100</v>
      </c>
      <c r="AF7" s="14">
        <v>351647</v>
      </c>
      <c r="AG7" s="25">
        <v>332348</v>
      </c>
      <c r="AH7" s="26">
        <v>337694</v>
      </c>
      <c r="AI7" s="26">
        <v>340524</v>
      </c>
      <c r="AJ7" s="26">
        <v>346769</v>
      </c>
      <c r="AK7" s="26">
        <v>345576</v>
      </c>
      <c r="AL7" s="26">
        <v>330100</v>
      </c>
      <c r="AM7" s="26">
        <v>351647</v>
      </c>
    </row>
    <row r="8" spans="1:39" x14ac:dyDescent="0.25">
      <c r="A8" t="s">
        <v>28</v>
      </c>
      <c r="B8" s="7" t="s">
        <v>29</v>
      </c>
      <c r="C8" s="3">
        <f>_xlfn.XLOOKUP($B8,'Terr Target'!$A:$A,'Terr Target'!$E:$E)</f>
        <v>926799.02933874156</v>
      </c>
      <c r="D8" s="3">
        <f t="shared" ref="D8:D71" si="4">SUM(Q8:Y8)</f>
        <v>926796</v>
      </c>
      <c r="E8" s="4">
        <f t="shared" ref="E8:E39" si="5">D8-C8</f>
        <v>-3.0293387415586039</v>
      </c>
      <c r="F8" s="9">
        <f>ABS(E8)/D8</f>
        <v>3.2686143893139417E-6</v>
      </c>
      <c r="G8" s="5">
        <f>1-E8/D8</f>
        <v>1.0000032686143894</v>
      </c>
      <c r="H8" s="44">
        <v>12094.91168157649</v>
      </c>
      <c r="I8" s="12">
        <v>9141.0689093709716</v>
      </c>
      <c r="J8" s="12">
        <v>82000.976038608467</v>
      </c>
      <c r="K8" s="12">
        <v>45611.80466696334</v>
      </c>
      <c r="L8" s="12">
        <v>448181.9456022681</v>
      </c>
      <c r="M8" s="12">
        <v>304456.67250093224</v>
      </c>
      <c r="N8" s="12">
        <v>30706.842849640394</v>
      </c>
      <c r="O8" s="12">
        <v>6357.8311627210442</v>
      </c>
      <c r="P8" s="45">
        <v>88200.466700143268</v>
      </c>
      <c r="Q8" s="44">
        <f>IFERROR(ROUND(_xlfn.XLOOKUP(Q$7,'Product Tgt'!$B:$B,'Product Tgt'!$G:$G)*H8/H$95,0),0)</f>
        <v>10863</v>
      </c>
      <c r="R8" s="12">
        <f>IFERROR(ROUND(_xlfn.XLOOKUP(R$7,'Product Tgt'!$B:$B,'Product Tgt'!$G:$G)*I8/I$95,0),0)</f>
        <v>8223</v>
      </c>
      <c r="S8" s="12">
        <f>IFERROR(ROUND(_xlfn.XLOOKUP(S$7,'Product Tgt'!$B:$B,'Product Tgt'!$G:$G)*J8/J$95,0),0)</f>
        <v>73818</v>
      </c>
      <c r="T8" s="12">
        <f>IFERROR(ROUND(_xlfn.XLOOKUP(T$7,'Product Tgt'!$B:$B,'Product Tgt'!$G:$G)*K8/K$95,0),0)</f>
        <v>41089</v>
      </c>
      <c r="U8" s="12">
        <f>IFERROR(ROUND(_xlfn.XLOOKUP(U$7,'Product Tgt'!$B:$B,'Product Tgt'!$G:$G)*L8/L$95,0),0)</f>
        <v>403442</v>
      </c>
      <c r="V8" s="12">
        <f>IFERROR(ROUND(_xlfn.XLOOKUP(V$7,'Product Tgt'!$B:$B,'Product Tgt'!$G:$G)*M8/M$95,0),0)</f>
        <v>274027</v>
      </c>
      <c r="W8" s="12">
        <f>IFERROR(ROUND(_xlfn.XLOOKUP(W$7,'Product Tgt'!$B:$B,'Product Tgt'!$G:$G)*N8/N$95,0),0)</f>
        <v>29720</v>
      </c>
      <c r="X8" s="12">
        <f>IFERROR(ROUND(_xlfn.XLOOKUP(X$7,'Product Tgt'!$B:$B,'Product Tgt'!$G:$G)*O8/O$95,0),0)</f>
        <v>6151</v>
      </c>
      <c r="Y8" s="45">
        <f>IFERROR(ROUND(_xlfn.XLOOKUP(Y$7,'Product Tgt'!$B:$B,'Product Tgt'!$G:$G)*P8/P$95,0),0)</f>
        <v>79463</v>
      </c>
      <c r="Z8" s="20">
        <f>ROUND(IFERROR(Q8/_xlfn.XLOOKUP(Z$7,'Product Tgt'!$B:$B,'Product Tgt'!$D:$D),0),0)</f>
        <v>0</v>
      </c>
      <c r="AA8" s="11">
        <f>ROUND(IFERROR(R8/_xlfn.XLOOKUP(AA$7,'Product Tgt'!$B:$B,'Product Tgt'!$D:$D),0),0)</f>
        <v>0</v>
      </c>
      <c r="AB8" s="11">
        <f>ROUND(IFERROR(U8/_xlfn.XLOOKUP(AB$7,'Product Tgt'!$B:$B,'Product Tgt'!$D:$D),0),0)</f>
        <v>0</v>
      </c>
      <c r="AC8" s="11">
        <f>ROUND(IFERROR(V8/_xlfn.XLOOKUP(AC$7,'Product Tgt'!$B:$B,'Product Tgt'!$D:$D),0),0)</f>
        <v>0</v>
      </c>
      <c r="AD8" s="11">
        <f>ROUND(IFERROR(W8/_xlfn.XLOOKUP(AD$7,'Product Tgt'!$B:$B,'Product Tgt'!$D:$D),0),0)</f>
        <v>0</v>
      </c>
      <c r="AE8" s="11">
        <f>ROUND(IFERROR(X8/_xlfn.XLOOKUP(AE$7,'Product Tgt'!$B:$B,'Product Tgt'!$D:$D),0),0)</f>
        <v>0</v>
      </c>
      <c r="AF8" s="11">
        <f>ROUND(IFERROR(Y8/_xlfn.XLOOKUP(AF$7,'Product Tgt'!$B:$B,'Product Tgt'!$D:$D),0),0)</f>
        <v>0</v>
      </c>
      <c r="AG8" s="10">
        <f>IFERROR(Z8*_xlfn.XLOOKUP(AG$7,'Product Tgt'!$B:$B,'Product Tgt'!$D:$D),0)</f>
        <v>0</v>
      </c>
      <c r="AH8">
        <f>IFERROR(AA8*_xlfn.XLOOKUP(AH$7,'Product Tgt'!$B:$B,'Product Tgt'!$D:$D),0)</f>
        <v>0</v>
      </c>
      <c r="AI8">
        <f>IFERROR(AB8*_xlfn.XLOOKUP(AI$7,'Product Tgt'!$B:$B,'Product Tgt'!$D:$D),0)</f>
        <v>0</v>
      </c>
      <c r="AJ8">
        <f>IFERROR(AC8*_xlfn.XLOOKUP(AJ$7,'Product Tgt'!$B:$B,'Product Tgt'!$D:$D),0)</f>
        <v>0</v>
      </c>
      <c r="AK8">
        <f>IFERROR(AD8*_xlfn.XLOOKUP(AK$7,'Product Tgt'!$B:$B,'Product Tgt'!$D:$D),0)</f>
        <v>0</v>
      </c>
      <c r="AL8">
        <f>IFERROR(AE8*_xlfn.XLOOKUP(AL$7,'Product Tgt'!$B:$B,'Product Tgt'!$D:$D),0)</f>
        <v>0</v>
      </c>
      <c r="AM8">
        <f>IFERROR(AF8*_xlfn.XLOOKUP(AM$7,'Product Tgt'!$B:$B,'Product Tgt'!$D:$D),0)</f>
        <v>0</v>
      </c>
    </row>
    <row r="9" spans="1:39" x14ac:dyDescent="0.25">
      <c r="A9" t="s">
        <v>28</v>
      </c>
      <c r="B9" s="7" t="s">
        <v>30</v>
      </c>
      <c r="C9" s="3">
        <f>_xlfn.XLOOKUP($B9,'Terr Target'!$A:$A,'Terr Target'!$E:$E)</f>
        <v>575761.09242190269</v>
      </c>
      <c r="D9" s="3">
        <f t="shared" si="4"/>
        <v>575768</v>
      </c>
      <c r="E9" s="4">
        <f t="shared" si="5"/>
        <v>6.9075780973071232</v>
      </c>
      <c r="F9" s="9">
        <f t="shared" ref="F9:F33" si="6">ABS(E9)/D9</f>
        <v>1.1997155273143215E-5</v>
      </c>
      <c r="G9" s="5">
        <f t="shared" ref="G9:G72" si="7">1-E9/D9</f>
        <v>0.99998800284472689</v>
      </c>
      <c r="H9" s="44">
        <v>8977.8471136345543</v>
      </c>
      <c r="I9" s="12">
        <v>5911.7992323079343</v>
      </c>
      <c r="J9" s="12">
        <v>42783.789048109131</v>
      </c>
      <c r="K9" s="12">
        <v>18730.673628425306</v>
      </c>
      <c r="L9" s="12">
        <v>267719.5563853202</v>
      </c>
      <c r="M9" s="12">
        <v>188639.90460179595</v>
      </c>
      <c r="N9" s="12">
        <v>34465.21080632924</v>
      </c>
      <c r="O9" s="12">
        <v>8183.2096015927309</v>
      </c>
      <c r="P9" s="45">
        <v>60984.476478961791</v>
      </c>
      <c r="Q9" s="44">
        <f>IFERROR(ROUND(_xlfn.XLOOKUP(Q$7,'Product Tgt'!$B:$B,'Product Tgt'!$G:$G)*H9/H$95,0),0)</f>
        <v>8064</v>
      </c>
      <c r="R9" s="12">
        <f>IFERROR(ROUND(_xlfn.XLOOKUP(R$7,'Product Tgt'!$B:$B,'Product Tgt'!$G:$G)*I9/I$95,0),0)</f>
        <v>5318</v>
      </c>
      <c r="S9" s="12">
        <f>IFERROR(ROUND(_xlfn.XLOOKUP(S$7,'Product Tgt'!$B:$B,'Product Tgt'!$G:$G)*J9/J$95,0),0)</f>
        <v>38514</v>
      </c>
      <c r="T9" s="12">
        <f>IFERROR(ROUND(_xlfn.XLOOKUP(T$7,'Product Tgt'!$B:$B,'Product Tgt'!$G:$G)*K9/K$95,0),0)</f>
        <v>16874</v>
      </c>
      <c r="U9" s="12">
        <f>IFERROR(ROUND(_xlfn.XLOOKUP(U$7,'Product Tgt'!$B:$B,'Product Tgt'!$G:$G)*L9/L$95,0),0)</f>
        <v>240994</v>
      </c>
      <c r="V9" s="12">
        <f>IFERROR(ROUND(_xlfn.XLOOKUP(V$7,'Product Tgt'!$B:$B,'Product Tgt'!$G:$G)*M9/M$95,0),0)</f>
        <v>169786</v>
      </c>
      <c r="W9" s="12">
        <f>IFERROR(ROUND(_xlfn.XLOOKUP(W$7,'Product Tgt'!$B:$B,'Product Tgt'!$G:$G)*N9/N$95,0),0)</f>
        <v>33358</v>
      </c>
      <c r="X9" s="12">
        <f>IFERROR(ROUND(_xlfn.XLOOKUP(X$7,'Product Tgt'!$B:$B,'Product Tgt'!$G:$G)*O9/O$95,0),0)</f>
        <v>7917</v>
      </c>
      <c r="Y9" s="45">
        <f>IFERROR(ROUND(_xlfn.XLOOKUP(Y$7,'Product Tgt'!$B:$B,'Product Tgt'!$G:$G)*P9/P$95,0),0)</f>
        <v>54943</v>
      </c>
      <c r="Z9" s="20">
        <f>ROUND(IFERROR(Q9/_xlfn.XLOOKUP(Z$7,'Product Tgt'!$B:$B,'Product Tgt'!$D:$D),0),0)</f>
        <v>0</v>
      </c>
      <c r="AA9" s="11">
        <f>ROUND(IFERROR(R9/_xlfn.XLOOKUP(AA$7,'Product Tgt'!$B:$B,'Product Tgt'!$D:$D),0),0)</f>
        <v>0</v>
      </c>
      <c r="AB9" s="11">
        <f>ROUND(IFERROR(U9/_xlfn.XLOOKUP(AB$7,'Product Tgt'!$B:$B,'Product Tgt'!$D:$D),0),0)</f>
        <v>0</v>
      </c>
      <c r="AC9" s="11">
        <f>ROUND(IFERROR(V9/_xlfn.XLOOKUP(AC$7,'Product Tgt'!$B:$B,'Product Tgt'!$D:$D),0),0)</f>
        <v>0</v>
      </c>
      <c r="AD9" s="11">
        <f>ROUND(IFERROR(W9/_xlfn.XLOOKUP(AD$7,'Product Tgt'!$B:$B,'Product Tgt'!$D:$D),0),0)</f>
        <v>0</v>
      </c>
      <c r="AE9" s="11">
        <f>ROUND(IFERROR(X9/_xlfn.XLOOKUP(AE$7,'Product Tgt'!$B:$B,'Product Tgt'!$D:$D),0),0)</f>
        <v>0</v>
      </c>
      <c r="AF9" s="11">
        <f>ROUND(IFERROR(Y9/_xlfn.XLOOKUP(AF$7,'Product Tgt'!$B:$B,'Product Tgt'!$D:$D),0),0)</f>
        <v>0</v>
      </c>
      <c r="AG9" s="10">
        <f>IFERROR(Z9*_xlfn.XLOOKUP(AG$7,'Product Tgt'!$B:$B,'Product Tgt'!$D:$D),0)</f>
        <v>0</v>
      </c>
      <c r="AH9">
        <f>IFERROR(AA9*_xlfn.XLOOKUP(AH$7,'Product Tgt'!$B:$B,'Product Tgt'!$D:$D),0)</f>
        <v>0</v>
      </c>
      <c r="AI9">
        <f>IFERROR(AB9*_xlfn.XLOOKUP(AI$7,'Product Tgt'!$B:$B,'Product Tgt'!$D:$D),0)</f>
        <v>0</v>
      </c>
      <c r="AJ9">
        <f>IFERROR(AC9*_xlfn.XLOOKUP(AJ$7,'Product Tgt'!$B:$B,'Product Tgt'!$D:$D),0)</f>
        <v>0</v>
      </c>
      <c r="AK9">
        <f>IFERROR(AD9*_xlfn.XLOOKUP(AK$7,'Product Tgt'!$B:$B,'Product Tgt'!$D:$D),0)</f>
        <v>0</v>
      </c>
      <c r="AL9">
        <f>IFERROR(AE9*_xlfn.XLOOKUP(AL$7,'Product Tgt'!$B:$B,'Product Tgt'!$D:$D),0)</f>
        <v>0</v>
      </c>
      <c r="AM9">
        <f>IFERROR(AF9*_xlfn.XLOOKUP(AM$7,'Product Tgt'!$B:$B,'Product Tgt'!$D:$D),0)</f>
        <v>0</v>
      </c>
    </row>
    <row r="10" spans="1:39" x14ac:dyDescent="0.25">
      <c r="A10" t="s">
        <v>28</v>
      </c>
      <c r="B10" s="7" t="s">
        <v>31</v>
      </c>
      <c r="C10" s="3">
        <f>_xlfn.XLOOKUP($B10,'Terr Target'!$A:$A,'Terr Target'!$E:$E)</f>
        <v>959428.33745223505</v>
      </c>
      <c r="D10" s="3">
        <f t="shared" si="4"/>
        <v>959427</v>
      </c>
      <c r="E10" s="4">
        <f t="shared" si="5"/>
        <v>-1.3374522350495681</v>
      </c>
      <c r="F10" s="9">
        <f t="shared" si="6"/>
        <v>1.3940114621014085E-6</v>
      </c>
      <c r="G10" s="5">
        <f t="shared" si="7"/>
        <v>1.000001394011462</v>
      </c>
      <c r="H10" s="44">
        <v>12019.979233716487</v>
      </c>
      <c r="I10" s="12">
        <v>10452.93492848471</v>
      </c>
      <c r="J10" s="12">
        <v>89604.201515954614</v>
      </c>
      <c r="K10" s="12">
        <v>62501.072921579136</v>
      </c>
      <c r="L10" s="12">
        <v>424809.41523198696</v>
      </c>
      <c r="M10" s="12">
        <v>344670.73060011317</v>
      </c>
      <c r="N10" s="12">
        <v>33927.163040554609</v>
      </c>
      <c r="O10" s="12">
        <v>6358.8734746599894</v>
      </c>
      <c r="P10" s="45">
        <v>78417.556476930229</v>
      </c>
      <c r="Q10" s="44">
        <f>IFERROR(ROUND(_xlfn.XLOOKUP(Q$7,'Product Tgt'!$B:$B,'Product Tgt'!$G:$G)*H10/H$95,0),0)</f>
        <v>10796</v>
      </c>
      <c r="R10" s="12">
        <f>IFERROR(ROUND(_xlfn.XLOOKUP(R$7,'Product Tgt'!$B:$B,'Product Tgt'!$G:$G)*I10/I$95,0),0)</f>
        <v>9403</v>
      </c>
      <c r="S10" s="12">
        <f>IFERROR(ROUND(_xlfn.XLOOKUP(S$7,'Product Tgt'!$B:$B,'Product Tgt'!$G:$G)*J10/J$95,0),0)</f>
        <v>80663</v>
      </c>
      <c r="T10" s="12">
        <f>IFERROR(ROUND(_xlfn.XLOOKUP(T$7,'Product Tgt'!$B:$B,'Product Tgt'!$G:$G)*K10/K$95,0),0)</f>
        <v>56304</v>
      </c>
      <c r="U10" s="12">
        <f>IFERROR(ROUND(_xlfn.XLOOKUP(U$7,'Product Tgt'!$B:$B,'Product Tgt'!$G:$G)*L10/L$95,0),0)</f>
        <v>382402</v>
      </c>
      <c r="V10" s="12">
        <f>IFERROR(ROUND(_xlfn.XLOOKUP(V$7,'Product Tgt'!$B:$B,'Product Tgt'!$G:$G)*M10/M$95,0),0)</f>
        <v>310221</v>
      </c>
      <c r="W10" s="12">
        <f>IFERROR(ROUND(_xlfn.XLOOKUP(W$7,'Product Tgt'!$B:$B,'Product Tgt'!$G:$G)*N10/N$95,0),0)</f>
        <v>32837</v>
      </c>
      <c r="X10" s="12">
        <f>IFERROR(ROUND(_xlfn.XLOOKUP(X$7,'Product Tgt'!$B:$B,'Product Tgt'!$G:$G)*O10/O$95,0),0)</f>
        <v>6152</v>
      </c>
      <c r="Y10" s="45">
        <f>IFERROR(ROUND(_xlfn.XLOOKUP(Y$7,'Product Tgt'!$B:$B,'Product Tgt'!$G:$G)*P10/P$95,0),0)</f>
        <v>70649</v>
      </c>
      <c r="Z10" s="20">
        <f>ROUND(IFERROR(Q10/_xlfn.XLOOKUP(Z$7,'Product Tgt'!$B:$B,'Product Tgt'!$D:$D),0),0)</f>
        <v>0</v>
      </c>
      <c r="AA10" s="11">
        <f>ROUND(IFERROR(R10/_xlfn.XLOOKUP(AA$7,'Product Tgt'!$B:$B,'Product Tgt'!$D:$D),0),0)</f>
        <v>0</v>
      </c>
      <c r="AB10" s="11">
        <f>ROUND(IFERROR(U10/_xlfn.XLOOKUP(AB$7,'Product Tgt'!$B:$B,'Product Tgt'!$D:$D),0),0)</f>
        <v>0</v>
      </c>
      <c r="AC10" s="11">
        <f>ROUND(IFERROR(V10/_xlfn.XLOOKUP(AC$7,'Product Tgt'!$B:$B,'Product Tgt'!$D:$D),0),0)</f>
        <v>0</v>
      </c>
      <c r="AD10" s="11">
        <f>ROUND(IFERROR(W10/_xlfn.XLOOKUP(AD$7,'Product Tgt'!$B:$B,'Product Tgt'!$D:$D),0),0)</f>
        <v>0</v>
      </c>
      <c r="AE10" s="11">
        <f>ROUND(IFERROR(X10/_xlfn.XLOOKUP(AE$7,'Product Tgt'!$B:$B,'Product Tgt'!$D:$D),0),0)</f>
        <v>0</v>
      </c>
      <c r="AF10" s="11">
        <f>ROUND(IFERROR(Y10/_xlfn.XLOOKUP(AF$7,'Product Tgt'!$B:$B,'Product Tgt'!$D:$D),0),0)</f>
        <v>0</v>
      </c>
      <c r="AG10" s="10">
        <f>IFERROR(Z10*_xlfn.XLOOKUP(AG$7,'Product Tgt'!$B:$B,'Product Tgt'!$D:$D),0)</f>
        <v>0</v>
      </c>
      <c r="AH10">
        <f>IFERROR(AA10*_xlfn.XLOOKUP(AH$7,'Product Tgt'!$B:$B,'Product Tgt'!$D:$D),0)</f>
        <v>0</v>
      </c>
      <c r="AI10">
        <f>IFERROR(AB10*_xlfn.XLOOKUP(AI$7,'Product Tgt'!$B:$B,'Product Tgt'!$D:$D),0)</f>
        <v>0</v>
      </c>
      <c r="AJ10">
        <f>IFERROR(AC10*_xlfn.XLOOKUP(AJ$7,'Product Tgt'!$B:$B,'Product Tgt'!$D:$D),0)</f>
        <v>0</v>
      </c>
      <c r="AK10">
        <f>IFERROR(AD10*_xlfn.XLOOKUP(AK$7,'Product Tgt'!$B:$B,'Product Tgt'!$D:$D),0)</f>
        <v>0</v>
      </c>
      <c r="AL10">
        <f>IFERROR(AE10*_xlfn.XLOOKUP(AL$7,'Product Tgt'!$B:$B,'Product Tgt'!$D:$D),0)</f>
        <v>0</v>
      </c>
      <c r="AM10">
        <f>IFERROR(AF10*_xlfn.XLOOKUP(AM$7,'Product Tgt'!$B:$B,'Product Tgt'!$D:$D),0)</f>
        <v>0</v>
      </c>
    </row>
    <row r="11" spans="1:39" x14ac:dyDescent="0.25">
      <c r="A11" t="s">
        <v>28</v>
      </c>
      <c r="B11" s="7" t="s">
        <v>32</v>
      </c>
      <c r="C11" s="3">
        <f>_xlfn.XLOOKUP($B11,'Terr Target'!$A:$A,'Terr Target'!$E:$E)</f>
        <v>841686.52002419927</v>
      </c>
      <c r="D11" s="3">
        <f t="shared" si="4"/>
        <v>841688</v>
      </c>
      <c r="E11" s="4">
        <f t="shared" si="5"/>
        <v>1.4799758007284254</v>
      </c>
      <c r="F11" s="9">
        <f t="shared" si="6"/>
        <v>1.7583425220846981E-6</v>
      </c>
      <c r="G11" s="5">
        <f t="shared" si="7"/>
        <v>0.99999824165747786</v>
      </c>
      <c r="H11" s="44">
        <v>10675.196127014551</v>
      </c>
      <c r="I11" s="12">
        <v>8882.4676564318106</v>
      </c>
      <c r="J11" s="12">
        <v>81330.704533731259</v>
      </c>
      <c r="K11" s="12">
        <v>42002.204674317472</v>
      </c>
      <c r="L11" s="12">
        <v>367302.70829349558</v>
      </c>
      <c r="M11" s="12">
        <v>305390.14882166579</v>
      </c>
      <c r="N11" s="12">
        <v>29259.823515218995</v>
      </c>
      <c r="O11" s="12">
        <v>6252.0830497108027</v>
      </c>
      <c r="P11" s="45">
        <v>81232.911468025268</v>
      </c>
      <c r="Q11" s="44">
        <f>IFERROR(ROUND(_xlfn.XLOOKUP(Q$7,'Product Tgt'!$B:$B,'Product Tgt'!$G:$G)*H11/H$95,0),0)</f>
        <v>9588</v>
      </c>
      <c r="R11" s="12">
        <f>IFERROR(ROUND(_xlfn.XLOOKUP(R$7,'Product Tgt'!$B:$B,'Product Tgt'!$G:$G)*I11/I$95,0),0)</f>
        <v>7990</v>
      </c>
      <c r="S11" s="12">
        <f>IFERROR(ROUND(_xlfn.XLOOKUP(S$7,'Product Tgt'!$B:$B,'Product Tgt'!$G:$G)*J11/J$95,0),0)</f>
        <v>73215</v>
      </c>
      <c r="T11" s="12">
        <f>IFERROR(ROUND(_xlfn.XLOOKUP(T$7,'Product Tgt'!$B:$B,'Product Tgt'!$G:$G)*K11/K$95,0),0)</f>
        <v>37838</v>
      </c>
      <c r="U11" s="12">
        <f>IFERROR(ROUND(_xlfn.XLOOKUP(U$7,'Product Tgt'!$B:$B,'Product Tgt'!$G:$G)*L11/L$95,0),0)</f>
        <v>330636</v>
      </c>
      <c r="V11" s="12">
        <f>IFERROR(ROUND(_xlfn.XLOOKUP(V$7,'Product Tgt'!$B:$B,'Product Tgt'!$G:$G)*M11/M$95,0),0)</f>
        <v>274867</v>
      </c>
      <c r="W11" s="12">
        <f>IFERROR(ROUND(_xlfn.XLOOKUP(W$7,'Product Tgt'!$B:$B,'Product Tgt'!$G:$G)*N11/N$95,0),0)</f>
        <v>28320</v>
      </c>
      <c r="X11" s="12">
        <f>IFERROR(ROUND(_xlfn.XLOOKUP(X$7,'Product Tgt'!$B:$B,'Product Tgt'!$G:$G)*O11/O$95,0),0)</f>
        <v>6049</v>
      </c>
      <c r="Y11" s="45">
        <f>IFERROR(ROUND(_xlfn.XLOOKUP(Y$7,'Product Tgt'!$B:$B,'Product Tgt'!$G:$G)*P11/P$95,0),0)</f>
        <v>73185</v>
      </c>
      <c r="Z11" s="20">
        <f>ROUND(IFERROR(Q11/_xlfn.XLOOKUP(Z$7,'Product Tgt'!$B:$B,'Product Tgt'!$D:$D),0),0)</f>
        <v>0</v>
      </c>
      <c r="AA11" s="11">
        <f>ROUND(IFERROR(R11/_xlfn.XLOOKUP(AA$7,'Product Tgt'!$B:$B,'Product Tgt'!$D:$D),0),0)</f>
        <v>0</v>
      </c>
      <c r="AB11" s="11">
        <f>ROUND(IFERROR(U11/_xlfn.XLOOKUP(AB$7,'Product Tgt'!$B:$B,'Product Tgt'!$D:$D),0),0)</f>
        <v>0</v>
      </c>
      <c r="AC11" s="11">
        <f>ROUND(IFERROR(V11/_xlfn.XLOOKUP(AC$7,'Product Tgt'!$B:$B,'Product Tgt'!$D:$D),0),0)</f>
        <v>0</v>
      </c>
      <c r="AD11" s="11">
        <f>ROUND(IFERROR(W11/_xlfn.XLOOKUP(AD$7,'Product Tgt'!$B:$B,'Product Tgt'!$D:$D),0),0)</f>
        <v>0</v>
      </c>
      <c r="AE11" s="11">
        <f>ROUND(IFERROR(X11/_xlfn.XLOOKUP(AE$7,'Product Tgt'!$B:$B,'Product Tgt'!$D:$D),0),0)</f>
        <v>0</v>
      </c>
      <c r="AF11" s="11">
        <f>ROUND(IFERROR(Y11/_xlfn.XLOOKUP(AF$7,'Product Tgt'!$B:$B,'Product Tgt'!$D:$D),0),0)</f>
        <v>0</v>
      </c>
      <c r="AG11" s="10">
        <f>IFERROR(Z11*_xlfn.XLOOKUP(AG$7,'Product Tgt'!$B:$B,'Product Tgt'!$D:$D),0)</f>
        <v>0</v>
      </c>
      <c r="AH11">
        <f>IFERROR(AA11*_xlfn.XLOOKUP(AH$7,'Product Tgt'!$B:$B,'Product Tgt'!$D:$D),0)</f>
        <v>0</v>
      </c>
      <c r="AI11">
        <f>IFERROR(AB11*_xlfn.XLOOKUP(AI$7,'Product Tgt'!$B:$B,'Product Tgt'!$D:$D),0)</f>
        <v>0</v>
      </c>
      <c r="AJ11">
        <f>IFERROR(AC11*_xlfn.XLOOKUP(AJ$7,'Product Tgt'!$B:$B,'Product Tgt'!$D:$D),0)</f>
        <v>0</v>
      </c>
      <c r="AK11">
        <f>IFERROR(AD11*_xlfn.XLOOKUP(AK$7,'Product Tgt'!$B:$B,'Product Tgt'!$D:$D),0)</f>
        <v>0</v>
      </c>
      <c r="AL11">
        <f>IFERROR(AE11*_xlfn.XLOOKUP(AL$7,'Product Tgt'!$B:$B,'Product Tgt'!$D:$D),0)</f>
        <v>0</v>
      </c>
      <c r="AM11">
        <f>IFERROR(AF11*_xlfn.XLOOKUP(AM$7,'Product Tgt'!$B:$B,'Product Tgt'!$D:$D),0)</f>
        <v>0</v>
      </c>
    </row>
    <row r="12" spans="1:39" x14ac:dyDescent="0.25">
      <c r="A12" t="s">
        <v>28</v>
      </c>
      <c r="B12" s="7" t="s">
        <v>33</v>
      </c>
      <c r="C12" s="3">
        <f>_xlfn.XLOOKUP($B12,'Terr Target'!$A:$A,'Terr Target'!$E:$E)</f>
        <v>662603.01289420994</v>
      </c>
      <c r="D12" s="3">
        <f t="shared" si="4"/>
        <v>662603</v>
      </c>
      <c r="E12" s="4">
        <f t="shared" si="5"/>
        <v>-1.2894209939986467E-2</v>
      </c>
      <c r="F12" s="9">
        <f t="shared" si="6"/>
        <v>1.9459932931161598E-8</v>
      </c>
      <c r="G12" s="5">
        <f t="shared" si="7"/>
        <v>1.000000019459933</v>
      </c>
      <c r="H12" s="44">
        <v>7326.645061544481</v>
      </c>
      <c r="I12" s="12">
        <v>7565.8956063308806</v>
      </c>
      <c r="J12" s="12">
        <v>98605.947504035576</v>
      </c>
      <c r="K12" s="12">
        <v>28064.38485006442</v>
      </c>
      <c r="L12" s="12">
        <v>352047.48744193389</v>
      </c>
      <c r="M12" s="12">
        <v>164208.80972313019</v>
      </c>
      <c r="N12" s="12">
        <v>30771.363986974939</v>
      </c>
      <c r="O12" s="12">
        <v>8767.2057742113811</v>
      </c>
      <c r="P12" s="45">
        <v>35744.442878511451</v>
      </c>
      <c r="Q12" s="44">
        <f>IFERROR(ROUND(_xlfn.XLOOKUP(Q$7,'Product Tgt'!$B:$B,'Product Tgt'!$G:$G)*H12/H$95,0),0)</f>
        <v>6581</v>
      </c>
      <c r="R12" s="12">
        <f>IFERROR(ROUND(_xlfn.XLOOKUP(R$7,'Product Tgt'!$B:$B,'Product Tgt'!$G:$G)*I12/I$95,0),0)</f>
        <v>6806</v>
      </c>
      <c r="S12" s="12">
        <f>IFERROR(ROUND(_xlfn.XLOOKUP(S$7,'Product Tgt'!$B:$B,'Product Tgt'!$G:$G)*J12/J$95,0),0)</f>
        <v>88766</v>
      </c>
      <c r="T12" s="12">
        <f>IFERROR(ROUND(_xlfn.XLOOKUP(T$7,'Product Tgt'!$B:$B,'Product Tgt'!$G:$G)*K12/K$95,0),0)</f>
        <v>25282</v>
      </c>
      <c r="U12" s="12">
        <f>IFERROR(ROUND(_xlfn.XLOOKUP(U$7,'Product Tgt'!$B:$B,'Product Tgt'!$G:$G)*L12/L$95,0),0)</f>
        <v>316904</v>
      </c>
      <c r="V12" s="12">
        <f>IFERROR(ROUND(_xlfn.XLOOKUP(V$7,'Product Tgt'!$B:$B,'Product Tgt'!$G:$G)*M12/M$95,0),0)</f>
        <v>147796</v>
      </c>
      <c r="W12" s="12">
        <f>IFERROR(ROUND(_xlfn.XLOOKUP(W$7,'Product Tgt'!$B:$B,'Product Tgt'!$G:$G)*N12/N$95,0),0)</f>
        <v>29783</v>
      </c>
      <c r="X12" s="12">
        <f>IFERROR(ROUND(_xlfn.XLOOKUP(X$7,'Product Tgt'!$B:$B,'Product Tgt'!$G:$G)*O12/O$95,0),0)</f>
        <v>8482</v>
      </c>
      <c r="Y12" s="45">
        <f>IFERROR(ROUND(_xlfn.XLOOKUP(Y$7,'Product Tgt'!$B:$B,'Product Tgt'!$G:$G)*P12/P$95,0),0)</f>
        <v>32203</v>
      </c>
      <c r="Z12" s="20">
        <f>ROUND(IFERROR(Q12/_xlfn.XLOOKUP(Z$7,'Product Tgt'!$B:$B,'Product Tgt'!$D:$D),0),0)</f>
        <v>0</v>
      </c>
      <c r="AA12" s="11">
        <f>ROUND(IFERROR(R12/_xlfn.XLOOKUP(AA$7,'Product Tgt'!$B:$B,'Product Tgt'!$D:$D),0),0)</f>
        <v>0</v>
      </c>
      <c r="AB12" s="11">
        <f>ROUND(IFERROR(U12/_xlfn.XLOOKUP(AB$7,'Product Tgt'!$B:$B,'Product Tgt'!$D:$D),0),0)</f>
        <v>0</v>
      </c>
      <c r="AC12" s="11">
        <f>ROUND(IFERROR(V12/_xlfn.XLOOKUP(AC$7,'Product Tgt'!$B:$B,'Product Tgt'!$D:$D),0),0)</f>
        <v>0</v>
      </c>
      <c r="AD12" s="11">
        <f>ROUND(IFERROR(W12/_xlfn.XLOOKUP(AD$7,'Product Tgt'!$B:$B,'Product Tgt'!$D:$D),0),0)</f>
        <v>0</v>
      </c>
      <c r="AE12" s="11">
        <f>ROUND(IFERROR(X12/_xlfn.XLOOKUP(AE$7,'Product Tgt'!$B:$B,'Product Tgt'!$D:$D),0),0)</f>
        <v>0</v>
      </c>
      <c r="AF12" s="11">
        <f>ROUND(IFERROR(Y12/_xlfn.XLOOKUP(AF$7,'Product Tgt'!$B:$B,'Product Tgt'!$D:$D),0),0)</f>
        <v>0</v>
      </c>
      <c r="AG12" s="10">
        <f>IFERROR(Z12*_xlfn.XLOOKUP(AG$7,'Product Tgt'!$B:$B,'Product Tgt'!$D:$D),0)</f>
        <v>0</v>
      </c>
      <c r="AH12">
        <f>IFERROR(AA12*_xlfn.XLOOKUP(AH$7,'Product Tgt'!$B:$B,'Product Tgt'!$D:$D),0)</f>
        <v>0</v>
      </c>
      <c r="AI12">
        <f>IFERROR(AB12*_xlfn.XLOOKUP(AI$7,'Product Tgt'!$B:$B,'Product Tgt'!$D:$D),0)</f>
        <v>0</v>
      </c>
      <c r="AJ12">
        <f>IFERROR(AC12*_xlfn.XLOOKUP(AJ$7,'Product Tgt'!$B:$B,'Product Tgt'!$D:$D),0)</f>
        <v>0</v>
      </c>
      <c r="AK12">
        <f>IFERROR(AD12*_xlfn.XLOOKUP(AK$7,'Product Tgt'!$B:$B,'Product Tgt'!$D:$D),0)</f>
        <v>0</v>
      </c>
      <c r="AL12">
        <f>IFERROR(AE12*_xlfn.XLOOKUP(AL$7,'Product Tgt'!$B:$B,'Product Tgt'!$D:$D),0)</f>
        <v>0</v>
      </c>
      <c r="AM12">
        <f>IFERROR(AF12*_xlfn.XLOOKUP(AM$7,'Product Tgt'!$B:$B,'Product Tgt'!$D:$D),0)</f>
        <v>0</v>
      </c>
    </row>
    <row r="13" spans="1:39" x14ac:dyDescent="0.25">
      <c r="A13" t="s">
        <v>28</v>
      </c>
      <c r="B13" s="7" t="s">
        <v>34</v>
      </c>
      <c r="C13" s="3">
        <f>_xlfn.XLOOKUP($B13,'Terr Target'!$A:$A,'Terr Target'!$E:$E)</f>
        <v>742144.17988963926</v>
      </c>
      <c r="D13" s="3">
        <f t="shared" si="4"/>
        <v>742141</v>
      </c>
      <c r="E13" s="4">
        <f t="shared" si="5"/>
        <v>-3.1798896392574534</v>
      </c>
      <c r="F13" s="9">
        <f t="shared" si="6"/>
        <v>4.2847513333146308E-6</v>
      </c>
      <c r="G13" s="5">
        <f t="shared" si="7"/>
        <v>1.0000042847513333</v>
      </c>
      <c r="H13" s="44">
        <v>6424.1225364144084</v>
      </c>
      <c r="I13" s="12">
        <v>9709.6695765426957</v>
      </c>
      <c r="J13" s="12">
        <v>82970.660893820459</v>
      </c>
      <c r="K13" s="12">
        <v>36739.109411502403</v>
      </c>
      <c r="L13" s="12">
        <v>399596.32984500402</v>
      </c>
      <c r="M13" s="12">
        <v>203565.38902426901</v>
      </c>
      <c r="N13" s="12">
        <v>31649.313536693899</v>
      </c>
      <c r="O13" s="12">
        <v>7514.8364730005942</v>
      </c>
      <c r="P13" s="45">
        <v>43312.916937181246</v>
      </c>
      <c r="Q13" s="44">
        <f>IFERROR(ROUND(_xlfn.XLOOKUP(Q$7,'Product Tgt'!$B:$B,'Product Tgt'!$G:$G)*H13/H$95,0),0)</f>
        <v>5770</v>
      </c>
      <c r="R13" s="12">
        <f>IFERROR(ROUND(_xlfn.XLOOKUP(R$7,'Product Tgt'!$B:$B,'Product Tgt'!$G:$G)*I13/I$95,0),0)</f>
        <v>8734</v>
      </c>
      <c r="S13" s="12">
        <f>IFERROR(ROUND(_xlfn.XLOOKUP(S$7,'Product Tgt'!$B:$B,'Product Tgt'!$G:$G)*J13/J$95,0),0)</f>
        <v>74691</v>
      </c>
      <c r="T13" s="12">
        <f>IFERROR(ROUND(_xlfn.XLOOKUP(T$7,'Product Tgt'!$B:$B,'Product Tgt'!$G:$G)*K13/K$95,0),0)</f>
        <v>33096</v>
      </c>
      <c r="U13" s="12">
        <f>IFERROR(ROUND(_xlfn.XLOOKUP(U$7,'Product Tgt'!$B:$B,'Product Tgt'!$G:$G)*L13/L$95,0),0)</f>
        <v>359706</v>
      </c>
      <c r="V13" s="12">
        <f>IFERROR(ROUND(_xlfn.XLOOKUP(V$7,'Product Tgt'!$B:$B,'Product Tgt'!$G:$G)*M13/M$95,0),0)</f>
        <v>183219</v>
      </c>
      <c r="W13" s="12">
        <f>IFERROR(ROUND(_xlfn.XLOOKUP(W$7,'Product Tgt'!$B:$B,'Product Tgt'!$G:$G)*N13/N$95,0),0)</f>
        <v>30632</v>
      </c>
      <c r="X13" s="12">
        <f>IFERROR(ROUND(_xlfn.XLOOKUP(X$7,'Product Tgt'!$B:$B,'Product Tgt'!$G:$G)*O13/O$95,0),0)</f>
        <v>7271</v>
      </c>
      <c r="Y13" s="45">
        <f>IFERROR(ROUND(_xlfn.XLOOKUP(Y$7,'Product Tgt'!$B:$B,'Product Tgt'!$G:$G)*P13/P$95,0),0)</f>
        <v>39022</v>
      </c>
      <c r="Z13" s="20">
        <f>ROUND(IFERROR(Q13/_xlfn.XLOOKUP(Z$7,'Product Tgt'!$B:$B,'Product Tgt'!$D:$D),0),0)</f>
        <v>0</v>
      </c>
      <c r="AA13" s="11">
        <f>ROUND(IFERROR(R13/_xlfn.XLOOKUP(AA$7,'Product Tgt'!$B:$B,'Product Tgt'!$D:$D),0),0)</f>
        <v>0</v>
      </c>
      <c r="AB13" s="11">
        <f>ROUND(IFERROR(U13/_xlfn.XLOOKUP(AB$7,'Product Tgt'!$B:$B,'Product Tgt'!$D:$D),0),0)</f>
        <v>0</v>
      </c>
      <c r="AC13" s="11">
        <f>ROUND(IFERROR(V13/_xlfn.XLOOKUP(AC$7,'Product Tgt'!$B:$B,'Product Tgt'!$D:$D),0),0)</f>
        <v>0</v>
      </c>
      <c r="AD13" s="11">
        <f>ROUND(IFERROR(W13/_xlfn.XLOOKUP(AD$7,'Product Tgt'!$B:$B,'Product Tgt'!$D:$D),0),0)</f>
        <v>0</v>
      </c>
      <c r="AE13" s="11">
        <f>ROUND(IFERROR(X13/_xlfn.XLOOKUP(AE$7,'Product Tgt'!$B:$B,'Product Tgt'!$D:$D),0),0)</f>
        <v>0</v>
      </c>
      <c r="AF13" s="11">
        <f>ROUND(IFERROR(Y13/_xlfn.XLOOKUP(AF$7,'Product Tgt'!$B:$B,'Product Tgt'!$D:$D),0),0)</f>
        <v>0</v>
      </c>
      <c r="AG13" s="10">
        <f>IFERROR(Z13*_xlfn.XLOOKUP(AG$7,'Product Tgt'!$B:$B,'Product Tgt'!$D:$D),0)</f>
        <v>0</v>
      </c>
      <c r="AH13">
        <f>IFERROR(AA13*_xlfn.XLOOKUP(AH$7,'Product Tgt'!$B:$B,'Product Tgt'!$D:$D),0)</f>
        <v>0</v>
      </c>
      <c r="AI13">
        <f>IFERROR(AB13*_xlfn.XLOOKUP(AI$7,'Product Tgt'!$B:$B,'Product Tgt'!$D:$D),0)</f>
        <v>0</v>
      </c>
      <c r="AJ13">
        <f>IFERROR(AC13*_xlfn.XLOOKUP(AJ$7,'Product Tgt'!$B:$B,'Product Tgt'!$D:$D),0)</f>
        <v>0</v>
      </c>
      <c r="AK13">
        <f>IFERROR(AD13*_xlfn.XLOOKUP(AK$7,'Product Tgt'!$B:$B,'Product Tgt'!$D:$D),0)</f>
        <v>0</v>
      </c>
      <c r="AL13">
        <f>IFERROR(AE13*_xlfn.XLOOKUP(AL$7,'Product Tgt'!$B:$B,'Product Tgt'!$D:$D),0)</f>
        <v>0</v>
      </c>
      <c r="AM13">
        <f>IFERROR(AF13*_xlfn.XLOOKUP(AM$7,'Product Tgt'!$B:$B,'Product Tgt'!$D:$D),0)</f>
        <v>0</v>
      </c>
    </row>
    <row r="14" spans="1:39" x14ac:dyDescent="0.25">
      <c r="A14" t="s">
        <v>28</v>
      </c>
      <c r="B14" s="7" t="s">
        <v>35</v>
      </c>
      <c r="C14" s="3">
        <f>_xlfn.XLOOKUP($B14,'Terr Target'!$A:$A,'Terr Target'!$E:$E)</f>
        <v>689959.59994501946</v>
      </c>
      <c r="D14" s="3">
        <f t="shared" si="4"/>
        <v>689955</v>
      </c>
      <c r="E14" s="4">
        <f t="shared" si="5"/>
        <v>-4.5999450194649398</v>
      </c>
      <c r="F14" s="9">
        <f t="shared" si="6"/>
        <v>6.6670217905007425E-6</v>
      </c>
      <c r="G14" s="5">
        <f t="shared" si="7"/>
        <v>1.0000066670217904</v>
      </c>
      <c r="H14" s="44">
        <v>12138.541183097561</v>
      </c>
      <c r="I14" s="12">
        <v>9363.6480785786571</v>
      </c>
      <c r="J14" s="12">
        <v>92223.586138505299</v>
      </c>
      <c r="K14" s="12">
        <v>33323.034545183589</v>
      </c>
      <c r="L14" s="12">
        <v>363288.20827692683</v>
      </c>
      <c r="M14" s="12">
        <v>181513.06596297646</v>
      </c>
      <c r="N14" s="12">
        <v>25807.550614896532</v>
      </c>
      <c r="O14" s="12">
        <v>6564.8179534965602</v>
      </c>
      <c r="P14" s="45">
        <v>39811.208000146078</v>
      </c>
      <c r="Q14" s="44">
        <f>IFERROR(ROUND(_xlfn.XLOOKUP(Q$7,'Product Tgt'!$B:$B,'Product Tgt'!$G:$G)*H14/H$95,0),0)</f>
        <v>10902</v>
      </c>
      <c r="R14" s="12">
        <f>IFERROR(ROUND(_xlfn.XLOOKUP(R$7,'Product Tgt'!$B:$B,'Product Tgt'!$G:$G)*I14/I$95,0),0)</f>
        <v>8423</v>
      </c>
      <c r="S14" s="12">
        <f>IFERROR(ROUND(_xlfn.XLOOKUP(S$7,'Product Tgt'!$B:$B,'Product Tgt'!$G:$G)*J14/J$95,0),0)</f>
        <v>83021</v>
      </c>
      <c r="T14" s="12">
        <f>IFERROR(ROUND(_xlfn.XLOOKUP(T$7,'Product Tgt'!$B:$B,'Product Tgt'!$G:$G)*K14/K$95,0),0)</f>
        <v>30019</v>
      </c>
      <c r="U14" s="12">
        <f>IFERROR(ROUND(_xlfn.XLOOKUP(U$7,'Product Tgt'!$B:$B,'Product Tgt'!$G:$G)*L14/L$95,0),0)</f>
        <v>327023</v>
      </c>
      <c r="V14" s="12">
        <f>IFERROR(ROUND(_xlfn.XLOOKUP(V$7,'Product Tgt'!$B:$B,'Product Tgt'!$G:$G)*M14/M$95,0),0)</f>
        <v>163371</v>
      </c>
      <c r="W14" s="12">
        <f>IFERROR(ROUND(_xlfn.XLOOKUP(W$7,'Product Tgt'!$B:$B,'Product Tgt'!$G:$G)*N14/N$95,0),0)</f>
        <v>24978</v>
      </c>
      <c r="X14" s="12">
        <f>IFERROR(ROUND(_xlfn.XLOOKUP(X$7,'Product Tgt'!$B:$B,'Product Tgt'!$G:$G)*O14/O$95,0),0)</f>
        <v>6351</v>
      </c>
      <c r="Y14" s="45">
        <f>IFERROR(ROUND(_xlfn.XLOOKUP(Y$7,'Product Tgt'!$B:$B,'Product Tgt'!$G:$G)*P14/P$95,0),0)</f>
        <v>35867</v>
      </c>
      <c r="Z14" s="20">
        <f>ROUND(IFERROR(Q14/_xlfn.XLOOKUP(Z$7,'Product Tgt'!$B:$B,'Product Tgt'!$D:$D),0),0)</f>
        <v>0</v>
      </c>
      <c r="AA14" s="11">
        <f>ROUND(IFERROR(R14/_xlfn.XLOOKUP(AA$7,'Product Tgt'!$B:$B,'Product Tgt'!$D:$D),0),0)</f>
        <v>0</v>
      </c>
      <c r="AB14" s="11">
        <f>ROUND(IFERROR(U14/_xlfn.XLOOKUP(AB$7,'Product Tgt'!$B:$B,'Product Tgt'!$D:$D),0),0)</f>
        <v>0</v>
      </c>
      <c r="AC14" s="11">
        <f>ROUND(IFERROR(V14/_xlfn.XLOOKUP(AC$7,'Product Tgt'!$B:$B,'Product Tgt'!$D:$D),0),0)</f>
        <v>0</v>
      </c>
      <c r="AD14" s="11">
        <f>ROUND(IFERROR(W14/_xlfn.XLOOKUP(AD$7,'Product Tgt'!$B:$B,'Product Tgt'!$D:$D),0),0)</f>
        <v>0</v>
      </c>
      <c r="AE14" s="11">
        <f>ROUND(IFERROR(X14/_xlfn.XLOOKUP(AE$7,'Product Tgt'!$B:$B,'Product Tgt'!$D:$D),0),0)</f>
        <v>0</v>
      </c>
      <c r="AF14" s="11">
        <f>ROUND(IFERROR(Y14/_xlfn.XLOOKUP(AF$7,'Product Tgt'!$B:$B,'Product Tgt'!$D:$D),0),0)</f>
        <v>0</v>
      </c>
      <c r="AG14" s="10">
        <f>IFERROR(Z14*_xlfn.XLOOKUP(AG$7,'Product Tgt'!$B:$B,'Product Tgt'!$D:$D),0)</f>
        <v>0</v>
      </c>
      <c r="AH14">
        <f>IFERROR(AA14*_xlfn.XLOOKUP(AH$7,'Product Tgt'!$B:$B,'Product Tgt'!$D:$D),0)</f>
        <v>0</v>
      </c>
      <c r="AI14">
        <f>IFERROR(AB14*_xlfn.XLOOKUP(AI$7,'Product Tgt'!$B:$B,'Product Tgt'!$D:$D),0)</f>
        <v>0</v>
      </c>
      <c r="AJ14">
        <f>IFERROR(AC14*_xlfn.XLOOKUP(AJ$7,'Product Tgt'!$B:$B,'Product Tgt'!$D:$D),0)</f>
        <v>0</v>
      </c>
      <c r="AK14">
        <f>IFERROR(AD14*_xlfn.XLOOKUP(AK$7,'Product Tgt'!$B:$B,'Product Tgt'!$D:$D),0)</f>
        <v>0</v>
      </c>
      <c r="AL14">
        <f>IFERROR(AE14*_xlfn.XLOOKUP(AL$7,'Product Tgt'!$B:$B,'Product Tgt'!$D:$D),0)</f>
        <v>0</v>
      </c>
      <c r="AM14">
        <f>IFERROR(AF14*_xlfn.XLOOKUP(AM$7,'Product Tgt'!$B:$B,'Product Tgt'!$D:$D),0)</f>
        <v>0</v>
      </c>
    </row>
    <row r="15" spans="1:39" x14ac:dyDescent="0.25">
      <c r="A15" t="s">
        <v>36</v>
      </c>
      <c r="B15" s="7" t="s">
        <v>37</v>
      </c>
      <c r="C15" s="3">
        <f>_xlfn.XLOOKUP($B15,'Terr Target'!$A:$A,'Terr Target'!$E:$E)</f>
        <v>508375.92474781821</v>
      </c>
      <c r="D15" s="3">
        <f t="shared" si="4"/>
        <v>508381</v>
      </c>
      <c r="E15" s="4">
        <f t="shared" si="5"/>
        <v>5.0752521817921661</v>
      </c>
      <c r="F15" s="9">
        <f t="shared" si="6"/>
        <v>9.9831665262709789E-6</v>
      </c>
      <c r="G15" s="5">
        <f t="shared" si="7"/>
        <v>0.99999001683347377</v>
      </c>
      <c r="H15" s="44">
        <v>4622.5376978558634</v>
      </c>
      <c r="I15" s="12">
        <v>3679.220368978431</v>
      </c>
      <c r="J15" s="12">
        <v>91843.592664179014</v>
      </c>
      <c r="K15" s="12">
        <v>29076.992489975179</v>
      </c>
      <c r="L15" s="12">
        <v>249559.17939432967</v>
      </c>
      <c r="M15" s="12">
        <v>118343.85186217231</v>
      </c>
      <c r="N15" s="12">
        <v>26981.105920903698</v>
      </c>
      <c r="O15" s="12">
        <v>7687.392216899746</v>
      </c>
      <c r="P15" s="45">
        <v>30336.311081613538</v>
      </c>
      <c r="Q15" s="44">
        <f>IFERROR(ROUND(_xlfn.XLOOKUP(Q$7,'Product Tgt'!$B:$B,'Product Tgt'!$G:$G)*H15/H$95,0),0)</f>
        <v>4152</v>
      </c>
      <c r="R15" s="12">
        <f>IFERROR(ROUND(_xlfn.XLOOKUP(R$7,'Product Tgt'!$B:$B,'Product Tgt'!$G:$G)*I15/I$95,0),0)</f>
        <v>3310</v>
      </c>
      <c r="S15" s="12">
        <f>IFERROR(ROUND(_xlfn.XLOOKUP(S$7,'Product Tgt'!$B:$B,'Product Tgt'!$G:$G)*J15/J$95,0),0)</f>
        <v>82679</v>
      </c>
      <c r="T15" s="12">
        <f>IFERROR(ROUND(_xlfn.XLOOKUP(T$7,'Product Tgt'!$B:$B,'Product Tgt'!$G:$G)*K15/K$95,0),0)</f>
        <v>26194</v>
      </c>
      <c r="U15" s="12">
        <f>IFERROR(ROUND(_xlfn.XLOOKUP(U$7,'Product Tgt'!$B:$B,'Product Tgt'!$G:$G)*L15/L$95,0),0)</f>
        <v>224647</v>
      </c>
      <c r="V15" s="12">
        <f>IFERROR(ROUND(_xlfn.XLOOKUP(V$7,'Product Tgt'!$B:$B,'Product Tgt'!$G:$G)*M15/M$95,0),0)</f>
        <v>106516</v>
      </c>
      <c r="W15" s="12">
        <f>IFERROR(ROUND(_xlfn.XLOOKUP(W$7,'Product Tgt'!$B:$B,'Product Tgt'!$G:$G)*N15/N$95,0),0)</f>
        <v>26114</v>
      </c>
      <c r="X15" s="12">
        <f>IFERROR(ROUND(_xlfn.XLOOKUP(X$7,'Product Tgt'!$B:$B,'Product Tgt'!$G:$G)*O15/O$95,0),0)</f>
        <v>7438</v>
      </c>
      <c r="Y15" s="45">
        <f>IFERROR(ROUND(_xlfn.XLOOKUP(Y$7,'Product Tgt'!$B:$B,'Product Tgt'!$G:$G)*P15/P$95,0),0)</f>
        <v>27331</v>
      </c>
      <c r="Z15" s="20">
        <f>ROUND(IFERROR(Q15/_xlfn.XLOOKUP(Z$7,'Product Tgt'!$B:$B,'Product Tgt'!$D:$D),0),0)</f>
        <v>0</v>
      </c>
      <c r="AA15" s="11">
        <f>ROUND(IFERROR(R15/_xlfn.XLOOKUP(AA$7,'Product Tgt'!$B:$B,'Product Tgt'!$D:$D),0),0)</f>
        <v>0</v>
      </c>
      <c r="AB15" s="11">
        <f>ROUND(IFERROR(U15/_xlfn.XLOOKUP(AB$7,'Product Tgt'!$B:$B,'Product Tgt'!$D:$D),0),0)</f>
        <v>0</v>
      </c>
      <c r="AC15" s="11">
        <f>ROUND(IFERROR(V15/_xlfn.XLOOKUP(AC$7,'Product Tgt'!$B:$B,'Product Tgt'!$D:$D),0),0)</f>
        <v>0</v>
      </c>
      <c r="AD15" s="11">
        <f>ROUND(IFERROR(W15/_xlfn.XLOOKUP(AD$7,'Product Tgt'!$B:$B,'Product Tgt'!$D:$D),0),0)</f>
        <v>0</v>
      </c>
      <c r="AE15" s="11">
        <f>ROUND(IFERROR(X15/_xlfn.XLOOKUP(AE$7,'Product Tgt'!$B:$B,'Product Tgt'!$D:$D),0),0)</f>
        <v>0</v>
      </c>
      <c r="AF15" s="11">
        <f>ROUND(IFERROR(Y15/_xlfn.XLOOKUP(AF$7,'Product Tgt'!$B:$B,'Product Tgt'!$D:$D),0),0)</f>
        <v>0</v>
      </c>
      <c r="AG15" s="10">
        <f>IFERROR(Z15*_xlfn.XLOOKUP(AG$7,'Product Tgt'!$B:$B,'Product Tgt'!$D:$D),0)</f>
        <v>0</v>
      </c>
      <c r="AH15">
        <f>IFERROR(AA15*_xlfn.XLOOKUP(AH$7,'Product Tgt'!$B:$B,'Product Tgt'!$D:$D),0)</f>
        <v>0</v>
      </c>
      <c r="AI15">
        <f>IFERROR(AB15*_xlfn.XLOOKUP(AI$7,'Product Tgt'!$B:$B,'Product Tgt'!$D:$D),0)</f>
        <v>0</v>
      </c>
      <c r="AJ15">
        <f>IFERROR(AC15*_xlfn.XLOOKUP(AJ$7,'Product Tgt'!$B:$B,'Product Tgt'!$D:$D),0)</f>
        <v>0</v>
      </c>
      <c r="AK15">
        <f>IFERROR(AD15*_xlfn.XLOOKUP(AK$7,'Product Tgt'!$B:$B,'Product Tgt'!$D:$D),0)</f>
        <v>0</v>
      </c>
      <c r="AL15">
        <f>IFERROR(AE15*_xlfn.XLOOKUP(AL$7,'Product Tgt'!$B:$B,'Product Tgt'!$D:$D),0)</f>
        <v>0</v>
      </c>
      <c r="AM15">
        <f>IFERROR(AF15*_xlfn.XLOOKUP(AM$7,'Product Tgt'!$B:$B,'Product Tgt'!$D:$D),0)</f>
        <v>0</v>
      </c>
    </row>
    <row r="16" spans="1:39" x14ac:dyDescent="0.25">
      <c r="A16" t="s">
        <v>36</v>
      </c>
      <c r="B16" s="7" t="s">
        <v>38</v>
      </c>
      <c r="C16" s="3">
        <f>_xlfn.XLOOKUP($B16,'Terr Target'!$A:$A,'Terr Target'!$E:$E)</f>
        <v>536347.88061893045</v>
      </c>
      <c r="D16" s="3">
        <f t="shared" si="4"/>
        <v>536348</v>
      </c>
      <c r="E16" s="4">
        <f t="shared" si="5"/>
        <v>0.11938106955494732</v>
      </c>
      <c r="F16" s="9">
        <f t="shared" si="6"/>
        <v>2.2258136425408002E-7</v>
      </c>
      <c r="G16" s="5">
        <f t="shared" si="7"/>
        <v>0.99999977741863577</v>
      </c>
      <c r="H16" s="44">
        <v>6095.9762890940483</v>
      </c>
      <c r="I16" s="12">
        <v>4253.9527696562618</v>
      </c>
      <c r="J16" s="12">
        <v>97609.235198222159</v>
      </c>
      <c r="K16" s="12">
        <v>25256.685127819768</v>
      </c>
      <c r="L16" s="12">
        <v>283010.76003565575</v>
      </c>
      <c r="M16" s="12">
        <v>108000.18451582272</v>
      </c>
      <c r="N16" s="12">
        <v>27616.239583599803</v>
      </c>
      <c r="O16" s="12">
        <v>6782.8957066096182</v>
      </c>
      <c r="P16" s="45">
        <v>34596.45033162339</v>
      </c>
      <c r="Q16" s="44">
        <f>IFERROR(ROUND(_xlfn.XLOOKUP(Q$7,'Product Tgt'!$B:$B,'Product Tgt'!$G:$G)*H16/H$95,0),0)</f>
        <v>5475</v>
      </c>
      <c r="R16" s="12">
        <f>IFERROR(ROUND(_xlfn.XLOOKUP(R$7,'Product Tgt'!$B:$B,'Product Tgt'!$G:$G)*I16/I$95,0),0)</f>
        <v>3827</v>
      </c>
      <c r="S16" s="12">
        <f>IFERROR(ROUND(_xlfn.XLOOKUP(S$7,'Product Tgt'!$B:$B,'Product Tgt'!$G:$G)*J16/J$95,0),0)</f>
        <v>87869</v>
      </c>
      <c r="T16" s="12">
        <f>IFERROR(ROUND(_xlfn.XLOOKUP(T$7,'Product Tgt'!$B:$B,'Product Tgt'!$G:$G)*K16/K$95,0),0)</f>
        <v>22752</v>
      </c>
      <c r="U16" s="12">
        <f>IFERROR(ROUND(_xlfn.XLOOKUP(U$7,'Product Tgt'!$B:$B,'Product Tgt'!$G:$G)*L16/L$95,0),0)</f>
        <v>254759</v>
      </c>
      <c r="V16" s="12">
        <f>IFERROR(ROUND(_xlfn.XLOOKUP(V$7,'Product Tgt'!$B:$B,'Product Tgt'!$G:$G)*M16/M$95,0),0)</f>
        <v>97206</v>
      </c>
      <c r="W16" s="12">
        <f>IFERROR(ROUND(_xlfn.XLOOKUP(W$7,'Product Tgt'!$B:$B,'Product Tgt'!$G:$G)*N16/N$95,0),0)</f>
        <v>26729</v>
      </c>
      <c r="X16" s="12">
        <f>IFERROR(ROUND(_xlfn.XLOOKUP(X$7,'Product Tgt'!$B:$B,'Product Tgt'!$G:$G)*O16/O$95,0),0)</f>
        <v>6562</v>
      </c>
      <c r="Y16" s="45">
        <f>IFERROR(ROUND(_xlfn.XLOOKUP(Y$7,'Product Tgt'!$B:$B,'Product Tgt'!$G:$G)*P16/P$95,0),0)</f>
        <v>31169</v>
      </c>
      <c r="Z16" s="20">
        <f>ROUND(IFERROR(Q16/_xlfn.XLOOKUP(Z$7,'Product Tgt'!$B:$B,'Product Tgt'!$D:$D),0),0)</f>
        <v>0</v>
      </c>
      <c r="AA16" s="11">
        <f>ROUND(IFERROR(R16/_xlfn.XLOOKUP(AA$7,'Product Tgt'!$B:$B,'Product Tgt'!$D:$D),0),0)</f>
        <v>0</v>
      </c>
      <c r="AB16" s="11">
        <f>ROUND(IFERROR(U16/_xlfn.XLOOKUP(AB$7,'Product Tgt'!$B:$B,'Product Tgt'!$D:$D),0),0)</f>
        <v>0</v>
      </c>
      <c r="AC16" s="11">
        <f>ROUND(IFERROR(V16/_xlfn.XLOOKUP(AC$7,'Product Tgt'!$B:$B,'Product Tgt'!$D:$D),0),0)</f>
        <v>0</v>
      </c>
      <c r="AD16" s="11">
        <f>ROUND(IFERROR(W16/_xlfn.XLOOKUP(AD$7,'Product Tgt'!$B:$B,'Product Tgt'!$D:$D),0),0)</f>
        <v>0</v>
      </c>
      <c r="AE16" s="11">
        <f>ROUND(IFERROR(X16/_xlfn.XLOOKUP(AE$7,'Product Tgt'!$B:$B,'Product Tgt'!$D:$D),0),0)</f>
        <v>0</v>
      </c>
      <c r="AF16" s="11">
        <f>ROUND(IFERROR(Y16/_xlfn.XLOOKUP(AF$7,'Product Tgt'!$B:$B,'Product Tgt'!$D:$D),0),0)</f>
        <v>0</v>
      </c>
      <c r="AG16" s="10">
        <f>IFERROR(Z16*_xlfn.XLOOKUP(AG$7,'Product Tgt'!$B:$B,'Product Tgt'!$D:$D),0)</f>
        <v>0</v>
      </c>
      <c r="AH16">
        <f>IFERROR(AA16*_xlfn.XLOOKUP(AH$7,'Product Tgt'!$B:$B,'Product Tgt'!$D:$D),0)</f>
        <v>0</v>
      </c>
      <c r="AI16">
        <f>IFERROR(AB16*_xlfn.XLOOKUP(AI$7,'Product Tgt'!$B:$B,'Product Tgt'!$D:$D),0)</f>
        <v>0</v>
      </c>
      <c r="AJ16">
        <f>IFERROR(AC16*_xlfn.XLOOKUP(AJ$7,'Product Tgt'!$B:$B,'Product Tgt'!$D:$D),0)</f>
        <v>0</v>
      </c>
      <c r="AK16">
        <f>IFERROR(AD16*_xlfn.XLOOKUP(AK$7,'Product Tgt'!$B:$B,'Product Tgt'!$D:$D),0)</f>
        <v>0</v>
      </c>
      <c r="AL16">
        <f>IFERROR(AE16*_xlfn.XLOOKUP(AL$7,'Product Tgt'!$B:$B,'Product Tgt'!$D:$D),0)</f>
        <v>0</v>
      </c>
      <c r="AM16">
        <f>IFERROR(AF16*_xlfn.XLOOKUP(AM$7,'Product Tgt'!$B:$B,'Product Tgt'!$D:$D),0)</f>
        <v>0</v>
      </c>
    </row>
    <row r="17" spans="1:39" x14ac:dyDescent="0.25">
      <c r="A17" t="s">
        <v>36</v>
      </c>
      <c r="B17" s="7" t="s">
        <v>39</v>
      </c>
      <c r="C17" s="3">
        <f>_xlfn.XLOOKUP($B17,'Terr Target'!$A:$A,'Terr Target'!$E:$E)</f>
        <v>307113.09794814745</v>
      </c>
      <c r="D17" s="3">
        <f t="shared" si="4"/>
        <v>307111</v>
      </c>
      <c r="E17" s="4">
        <f t="shared" si="5"/>
        <v>-2.0979481474496424</v>
      </c>
      <c r="F17" s="9">
        <f t="shared" si="6"/>
        <v>6.8312373944588189E-6</v>
      </c>
      <c r="G17" s="5">
        <f t="shared" si="7"/>
        <v>1.0000068312373944</v>
      </c>
      <c r="H17" s="44">
        <v>4691.3314140489374</v>
      </c>
      <c r="I17" s="12">
        <v>6421.6914591273808</v>
      </c>
      <c r="J17" s="12">
        <v>41249.191554518766</v>
      </c>
      <c r="K17" s="12">
        <v>14118.124176109352</v>
      </c>
      <c r="L17" s="12">
        <v>170502.71398288111</v>
      </c>
      <c r="M17" s="12">
        <v>74447.078431606642</v>
      </c>
      <c r="N17" s="12">
        <v>9265.0530993958037</v>
      </c>
      <c r="O17" s="12">
        <v>2200.1380623052542</v>
      </c>
      <c r="P17" s="45">
        <v>17409.79467580661</v>
      </c>
      <c r="Q17" s="44">
        <f>IFERROR(ROUND(_xlfn.XLOOKUP(Q$7,'Product Tgt'!$B:$B,'Product Tgt'!$G:$G)*H17/H$95,0),0)</f>
        <v>4214</v>
      </c>
      <c r="R17" s="12">
        <f>IFERROR(ROUND(_xlfn.XLOOKUP(R$7,'Product Tgt'!$B:$B,'Product Tgt'!$G:$G)*I17/I$95,0),0)</f>
        <v>5777</v>
      </c>
      <c r="S17" s="12">
        <f>IFERROR(ROUND(_xlfn.XLOOKUP(S$7,'Product Tgt'!$B:$B,'Product Tgt'!$G:$G)*J17/J$95,0),0)</f>
        <v>37133</v>
      </c>
      <c r="T17" s="12">
        <f>IFERROR(ROUND(_xlfn.XLOOKUP(T$7,'Product Tgt'!$B:$B,'Product Tgt'!$G:$G)*K17/K$95,0),0)</f>
        <v>12718</v>
      </c>
      <c r="U17" s="12">
        <f>IFERROR(ROUND(_xlfn.XLOOKUP(U$7,'Product Tgt'!$B:$B,'Product Tgt'!$G:$G)*L17/L$95,0),0)</f>
        <v>153482</v>
      </c>
      <c r="V17" s="12">
        <f>IFERROR(ROUND(_xlfn.XLOOKUP(V$7,'Product Tgt'!$B:$B,'Product Tgt'!$G:$G)*M17/M$95,0),0)</f>
        <v>67006</v>
      </c>
      <c r="W17" s="12">
        <f>IFERROR(ROUND(_xlfn.XLOOKUP(W$7,'Product Tgt'!$B:$B,'Product Tgt'!$G:$G)*N17/N$95,0),0)</f>
        <v>8967</v>
      </c>
      <c r="X17" s="12">
        <f>IFERROR(ROUND(_xlfn.XLOOKUP(X$7,'Product Tgt'!$B:$B,'Product Tgt'!$G:$G)*O17/O$95,0),0)</f>
        <v>2129</v>
      </c>
      <c r="Y17" s="45">
        <f>IFERROR(ROUND(_xlfn.XLOOKUP(Y$7,'Product Tgt'!$B:$B,'Product Tgt'!$G:$G)*P17/P$95,0),0)</f>
        <v>15685</v>
      </c>
      <c r="Z17" s="20">
        <f>ROUND(IFERROR(Q17/_xlfn.XLOOKUP(Z$7,'Product Tgt'!$B:$B,'Product Tgt'!$D:$D),0),0)</f>
        <v>0</v>
      </c>
      <c r="AA17" s="11">
        <f>ROUND(IFERROR(R17/_xlfn.XLOOKUP(AA$7,'Product Tgt'!$B:$B,'Product Tgt'!$D:$D),0),0)</f>
        <v>0</v>
      </c>
      <c r="AB17" s="11">
        <f>ROUND(IFERROR(U17/_xlfn.XLOOKUP(AB$7,'Product Tgt'!$B:$B,'Product Tgt'!$D:$D),0),0)</f>
        <v>0</v>
      </c>
      <c r="AC17" s="11">
        <f>ROUND(IFERROR(V17/_xlfn.XLOOKUP(AC$7,'Product Tgt'!$B:$B,'Product Tgt'!$D:$D),0),0)</f>
        <v>0</v>
      </c>
      <c r="AD17" s="11">
        <f>ROUND(IFERROR(W17/_xlfn.XLOOKUP(AD$7,'Product Tgt'!$B:$B,'Product Tgt'!$D:$D),0),0)</f>
        <v>0</v>
      </c>
      <c r="AE17" s="11">
        <f>ROUND(IFERROR(X17/_xlfn.XLOOKUP(AE$7,'Product Tgt'!$B:$B,'Product Tgt'!$D:$D),0),0)</f>
        <v>0</v>
      </c>
      <c r="AF17" s="11">
        <f>ROUND(IFERROR(Y17/_xlfn.XLOOKUP(AF$7,'Product Tgt'!$B:$B,'Product Tgt'!$D:$D),0),0)</f>
        <v>0</v>
      </c>
      <c r="AG17" s="10">
        <f>IFERROR(Z17*_xlfn.XLOOKUP(AG$7,'Product Tgt'!$B:$B,'Product Tgt'!$D:$D),0)</f>
        <v>0</v>
      </c>
      <c r="AH17">
        <f>IFERROR(AA17*_xlfn.XLOOKUP(AH$7,'Product Tgt'!$B:$B,'Product Tgt'!$D:$D),0)</f>
        <v>0</v>
      </c>
      <c r="AI17">
        <f>IFERROR(AB17*_xlfn.XLOOKUP(AI$7,'Product Tgt'!$B:$B,'Product Tgt'!$D:$D),0)</f>
        <v>0</v>
      </c>
      <c r="AJ17">
        <f>IFERROR(AC17*_xlfn.XLOOKUP(AJ$7,'Product Tgt'!$B:$B,'Product Tgt'!$D:$D),0)</f>
        <v>0</v>
      </c>
      <c r="AK17">
        <f>IFERROR(AD17*_xlfn.XLOOKUP(AK$7,'Product Tgt'!$B:$B,'Product Tgt'!$D:$D),0)</f>
        <v>0</v>
      </c>
      <c r="AL17">
        <f>IFERROR(AE17*_xlfn.XLOOKUP(AL$7,'Product Tgt'!$B:$B,'Product Tgt'!$D:$D),0)</f>
        <v>0</v>
      </c>
      <c r="AM17">
        <f>IFERROR(AF17*_xlfn.XLOOKUP(AM$7,'Product Tgt'!$B:$B,'Product Tgt'!$D:$D),0)</f>
        <v>0</v>
      </c>
    </row>
    <row r="18" spans="1:39" x14ac:dyDescent="0.25">
      <c r="A18" t="s">
        <v>28</v>
      </c>
      <c r="B18" s="7" t="s">
        <v>40</v>
      </c>
      <c r="C18" s="3">
        <f>_xlfn.XLOOKUP($B18,'Terr Target'!$A:$A,'Terr Target'!$E:$E)</f>
        <v>865023.63150944829</v>
      </c>
      <c r="D18" s="3">
        <f t="shared" si="4"/>
        <v>865025</v>
      </c>
      <c r="E18" s="4">
        <f t="shared" si="5"/>
        <v>1.3684905517147854</v>
      </c>
      <c r="F18" s="9">
        <f t="shared" si="6"/>
        <v>1.5820242787373606E-6</v>
      </c>
      <c r="G18" s="5">
        <f t="shared" si="7"/>
        <v>0.99999841797572131</v>
      </c>
      <c r="H18" s="44">
        <v>5682.2538512861202</v>
      </c>
      <c r="I18" s="12">
        <v>5412.441371745882</v>
      </c>
      <c r="J18" s="12">
        <v>100907.62354319934</v>
      </c>
      <c r="K18" s="12">
        <v>41416.402593163933</v>
      </c>
      <c r="L18" s="12">
        <v>415380.89588057081</v>
      </c>
      <c r="M18" s="12">
        <v>281922.6986022584</v>
      </c>
      <c r="N18" s="12">
        <v>37455.531136163525</v>
      </c>
      <c r="O18" s="12">
        <v>7939.5417443612068</v>
      </c>
      <c r="P18" s="45">
        <v>61392.522128673831</v>
      </c>
      <c r="Q18" s="44">
        <f>IFERROR(ROUND(_xlfn.XLOOKUP(Q$7,'Product Tgt'!$B:$B,'Product Tgt'!$G:$G)*H18/H$95,0),0)</f>
        <v>5104</v>
      </c>
      <c r="R18" s="12">
        <f>IFERROR(ROUND(_xlfn.XLOOKUP(R$7,'Product Tgt'!$B:$B,'Product Tgt'!$G:$G)*I18/I$95,0),0)</f>
        <v>4869</v>
      </c>
      <c r="S18" s="12">
        <f>IFERROR(ROUND(_xlfn.XLOOKUP(S$7,'Product Tgt'!$B:$B,'Product Tgt'!$G:$G)*J18/J$95,0),0)</f>
        <v>90838</v>
      </c>
      <c r="T18" s="12">
        <f>IFERROR(ROUND(_xlfn.XLOOKUP(T$7,'Product Tgt'!$B:$B,'Product Tgt'!$G:$G)*K18/K$95,0),0)</f>
        <v>37310</v>
      </c>
      <c r="U18" s="12">
        <f>IFERROR(ROUND(_xlfn.XLOOKUP(U$7,'Product Tgt'!$B:$B,'Product Tgt'!$G:$G)*L18/L$95,0),0)</f>
        <v>373915</v>
      </c>
      <c r="V18" s="12">
        <f>IFERROR(ROUND(_xlfn.XLOOKUP(V$7,'Product Tgt'!$B:$B,'Product Tgt'!$G:$G)*M18/M$95,0),0)</f>
        <v>253745</v>
      </c>
      <c r="W18" s="12">
        <f>IFERROR(ROUND(_xlfn.XLOOKUP(W$7,'Product Tgt'!$B:$B,'Product Tgt'!$G:$G)*N18/N$95,0),0)</f>
        <v>36252</v>
      </c>
      <c r="X18" s="12">
        <f>IFERROR(ROUND(_xlfn.XLOOKUP(X$7,'Product Tgt'!$B:$B,'Product Tgt'!$G:$G)*O18/O$95,0),0)</f>
        <v>7682</v>
      </c>
      <c r="Y18" s="45">
        <f>IFERROR(ROUND(_xlfn.XLOOKUP(Y$7,'Product Tgt'!$B:$B,'Product Tgt'!$G:$G)*P18/P$95,0),0)</f>
        <v>55310</v>
      </c>
      <c r="Z18" s="20">
        <f>ROUND(IFERROR(Q18/_xlfn.XLOOKUP(Z$7,'Product Tgt'!$B:$B,'Product Tgt'!$D:$D),0),0)</f>
        <v>0</v>
      </c>
      <c r="AA18" s="11">
        <f>ROUND(IFERROR(R18/_xlfn.XLOOKUP(AA$7,'Product Tgt'!$B:$B,'Product Tgt'!$D:$D),0),0)</f>
        <v>0</v>
      </c>
      <c r="AB18" s="11">
        <f>ROUND(IFERROR(U18/_xlfn.XLOOKUP(AB$7,'Product Tgt'!$B:$B,'Product Tgt'!$D:$D),0),0)</f>
        <v>0</v>
      </c>
      <c r="AC18" s="11">
        <f>ROUND(IFERROR(V18/_xlfn.XLOOKUP(AC$7,'Product Tgt'!$B:$B,'Product Tgt'!$D:$D),0),0)</f>
        <v>0</v>
      </c>
      <c r="AD18" s="11">
        <f>ROUND(IFERROR(W18/_xlfn.XLOOKUP(AD$7,'Product Tgt'!$B:$B,'Product Tgt'!$D:$D),0),0)</f>
        <v>0</v>
      </c>
      <c r="AE18" s="11">
        <f>ROUND(IFERROR(X18/_xlfn.XLOOKUP(AE$7,'Product Tgt'!$B:$B,'Product Tgt'!$D:$D),0),0)</f>
        <v>0</v>
      </c>
      <c r="AF18" s="11">
        <f>ROUND(IFERROR(Y18/_xlfn.XLOOKUP(AF$7,'Product Tgt'!$B:$B,'Product Tgt'!$D:$D),0),0)</f>
        <v>0</v>
      </c>
      <c r="AG18" s="10">
        <f>IFERROR(Z18*_xlfn.XLOOKUP(AG$7,'Product Tgt'!$B:$B,'Product Tgt'!$D:$D),0)</f>
        <v>0</v>
      </c>
      <c r="AH18">
        <f>IFERROR(AA18*_xlfn.XLOOKUP(AH$7,'Product Tgt'!$B:$B,'Product Tgt'!$D:$D),0)</f>
        <v>0</v>
      </c>
      <c r="AI18">
        <f>IFERROR(AB18*_xlfn.XLOOKUP(AI$7,'Product Tgt'!$B:$B,'Product Tgt'!$D:$D),0)</f>
        <v>0</v>
      </c>
      <c r="AJ18">
        <f>IFERROR(AC18*_xlfn.XLOOKUP(AJ$7,'Product Tgt'!$B:$B,'Product Tgt'!$D:$D),0)</f>
        <v>0</v>
      </c>
      <c r="AK18">
        <f>IFERROR(AD18*_xlfn.XLOOKUP(AK$7,'Product Tgt'!$B:$B,'Product Tgt'!$D:$D),0)</f>
        <v>0</v>
      </c>
      <c r="AL18">
        <f>IFERROR(AE18*_xlfn.XLOOKUP(AL$7,'Product Tgt'!$B:$B,'Product Tgt'!$D:$D),0)</f>
        <v>0</v>
      </c>
      <c r="AM18">
        <f>IFERROR(AF18*_xlfn.XLOOKUP(AM$7,'Product Tgt'!$B:$B,'Product Tgt'!$D:$D),0)</f>
        <v>0</v>
      </c>
    </row>
    <row r="19" spans="1:39" x14ac:dyDescent="0.25">
      <c r="A19" t="s">
        <v>28</v>
      </c>
      <c r="B19" s="7" t="s">
        <v>41</v>
      </c>
      <c r="C19" s="3">
        <f>_xlfn.XLOOKUP($B19,'Terr Target'!$A:$A,'Terr Target'!$E:$E)</f>
        <v>704592.28453084466</v>
      </c>
      <c r="D19" s="3">
        <f t="shared" si="4"/>
        <v>704599</v>
      </c>
      <c r="E19" s="4">
        <f t="shared" si="5"/>
        <v>6.7154691553441808</v>
      </c>
      <c r="F19" s="9">
        <f t="shared" si="6"/>
        <v>9.5309092907372576E-6</v>
      </c>
      <c r="G19" s="5">
        <f t="shared" si="7"/>
        <v>0.99999046909070921</v>
      </c>
      <c r="H19" s="44">
        <v>10399.087378054757</v>
      </c>
      <c r="I19" s="12">
        <v>7377.3001883857733</v>
      </c>
      <c r="J19" s="12">
        <v>68784.027045302675</v>
      </c>
      <c r="K19" s="12">
        <v>35022.758965134439</v>
      </c>
      <c r="L19" s="12">
        <v>317407.47990695527</v>
      </c>
      <c r="M19" s="12">
        <v>215908.86276126505</v>
      </c>
      <c r="N19" s="12">
        <v>42834.065597242407</v>
      </c>
      <c r="O19" s="12">
        <v>9153.0045868387315</v>
      </c>
      <c r="P19" s="45">
        <v>71911.991479822696</v>
      </c>
      <c r="Q19" s="44">
        <f>IFERROR(ROUND(_xlfn.XLOOKUP(Q$7,'Product Tgt'!$B:$B,'Product Tgt'!$G:$G)*H19/H$95,0),0)</f>
        <v>9340</v>
      </c>
      <c r="R19" s="12">
        <f>IFERROR(ROUND(_xlfn.XLOOKUP(R$7,'Product Tgt'!$B:$B,'Product Tgt'!$G:$G)*I19/I$95,0),0)</f>
        <v>6636</v>
      </c>
      <c r="S19" s="12">
        <f>IFERROR(ROUND(_xlfn.XLOOKUP(S$7,'Product Tgt'!$B:$B,'Product Tgt'!$G:$G)*J19/J$95,0),0)</f>
        <v>61920</v>
      </c>
      <c r="T19" s="12">
        <f>IFERROR(ROUND(_xlfn.XLOOKUP(T$7,'Product Tgt'!$B:$B,'Product Tgt'!$G:$G)*K19/K$95,0),0)</f>
        <v>31550</v>
      </c>
      <c r="U19" s="12">
        <f>IFERROR(ROUND(_xlfn.XLOOKUP(U$7,'Product Tgt'!$B:$B,'Product Tgt'!$G:$G)*L19/L$95,0),0)</f>
        <v>285722</v>
      </c>
      <c r="V19" s="12">
        <f>IFERROR(ROUND(_xlfn.XLOOKUP(V$7,'Product Tgt'!$B:$B,'Product Tgt'!$G:$G)*M19/M$95,0),0)</f>
        <v>194329</v>
      </c>
      <c r="W19" s="12">
        <f>IFERROR(ROUND(_xlfn.XLOOKUP(W$7,'Product Tgt'!$B:$B,'Product Tgt'!$G:$G)*N19/N$95,0),0)</f>
        <v>41458</v>
      </c>
      <c r="X19" s="12">
        <f>IFERROR(ROUND(_xlfn.XLOOKUP(X$7,'Product Tgt'!$B:$B,'Product Tgt'!$G:$G)*O19/O$95,0),0)</f>
        <v>8856</v>
      </c>
      <c r="Y19" s="45">
        <f>IFERROR(ROUND(_xlfn.XLOOKUP(Y$7,'Product Tgt'!$B:$B,'Product Tgt'!$G:$G)*P19/P$95,0),0)</f>
        <v>64788</v>
      </c>
      <c r="Z19" s="20">
        <f>ROUND(IFERROR(Q19/_xlfn.XLOOKUP(Z$7,'Product Tgt'!$B:$B,'Product Tgt'!$D:$D),0),0)</f>
        <v>0</v>
      </c>
      <c r="AA19" s="11">
        <f>ROUND(IFERROR(R19/_xlfn.XLOOKUP(AA$7,'Product Tgt'!$B:$B,'Product Tgt'!$D:$D),0),0)</f>
        <v>0</v>
      </c>
      <c r="AB19" s="11">
        <f>ROUND(IFERROR(U19/_xlfn.XLOOKUP(AB$7,'Product Tgt'!$B:$B,'Product Tgt'!$D:$D),0),0)</f>
        <v>0</v>
      </c>
      <c r="AC19" s="11">
        <f>ROUND(IFERROR(V19/_xlfn.XLOOKUP(AC$7,'Product Tgt'!$B:$B,'Product Tgt'!$D:$D),0),0)</f>
        <v>0</v>
      </c>
      <c r="AD19" s="11">
        <f>ROUND(IFERROR(W19/_xlfn.XLOOKUP(AD$7,'Product Tgt'!$B:$B,'Product Tgt'!$D:$D),0),0)</f>
        <v>0</v>
      </c>
      <c r="AE19" s="11">
        <f>ROUND(IFERROR(X19/_xlfn.XLOOKUP(AE$7,'Product Tgt'!$B:$B,'Product Tgt'!$D:$D),0),0)</f>
        <v>0</v>
      </c>
      <c r="AF19" s="11">
        <f>ROUND(IFERROR(Y19/_xlfn.XLOOKUP(AF$7,'Product Tgt'!$B:$B,'Product Tgt'!$D:$D),0),0)</f>
        <v>0</v>
      </c>
      <c r="AG19" s="10">
        <f>IFERROR(Z19*_xlfn.XLOOKUP(AG$7,'Product Tgt'!$B:$B,'Product Tgt'!$D:$D),0)</f>
        <v>0</v>
      </c>
      <c r="AH19">
        <f>IFERROR(AA19*_xlfn.XLOOKUP(AH$7,'Product Tgt'!$B:$B,'Product Tgt'!$D:$D),0)</f>
        <v>0</v>
      </c>
      <c r="AI19">
        <f>IFERROR(AB19*_xlfn.XLOOKUP(AI$7,'Product Tgt'!$B:$B,'Product Tgt'!$D:$D),0)</f>
        <v>0</v>
      </c>
      <c r="AJ19">
        <f>IFERROR(AC19*_xlfn.XLOOKUP(AJ$7,'Product Tgt'!$B:$B,'Product Tgt'!$D:$D),0)</f>
        <v>0</v>
      </c>
      <c r="AK19">
        <f>IFERROR(AD19*_xlfn.XLOOKUP(AK$7,'Product Tgt'!$B:$B,'Product Tgt'!$D:$D),0)</f>
        <v>0</v>
      </c>
      <c r="AL19">
        <f>IFERROR(AE19*_xlfn.XLOOKUP(AL$7,'Product Tgt'!$B:$B,'Product Tgt'!$D:$D),0)</f>
        <v>0</v>
      </c>
      <c r="AM19">
        <f>IFERROR(AF19*_xlfn.XLOOKUP(AM$7,'Product Tgt'!$B:$B,'Product Tgt'!$D:$D),0)</f>
        <v>0</v>
      </c>
    </row>
    <row r="20" spans="1:39" x14ac:dyDescent="0.25">
      <c r="A20" t="s">
        <v>28</v>
      </c>
      <c r="B20" s="7" t="s">
        <v>42</v>
      </c>
      <c r="C20" s="3">
        <f>_xlfn.XLOOKUP($B20,'Terr Target'!$A:$A,'Terr Target'!$E:$E)</f>
        <v>836248.00081908423</v>
      </c>
      <c r="D20" s="3">
        <f t="shared" si="4"/>
        <v>836252</v>
      </c>
      <c r="E20" s="4">
        <f t="shared" si="5"/>
        <v>3.9991809157654643</v>
      </c>
      <c r="F20" s="9">
        <f t="shared" si="6"/>
        <v>4.7822676845800838E-6</v>
      </c>
      <c r="G20" s="5">
        <f t="shared" si="7"/>
        <v>0.99999521773231537</v>
      </c>
      <c r="H20" s="44">
        <v>9558.1461979880132</v>
      </c>
      <c r="I20" s="12">
        <v>7891.8096923734747</v>
      </c>
      <c r="J20" s="12">
        <v>85637.085258948515</v>
      </c>
      <c r="K20" s="12">
        <v>44100.899201698972</v>
      </c>
      <c r="L20" s="12">
        <v>383569.91511381516</v>
      </c>
      <c r="M20" s="12">
        <v>260815.59810507725</v>
      </c>
      <c r="N20" s="12">
        <v>42282.78489361229</v>
      </c>
      <c r="O20" s="12">
        <v>7657.2101943224297</v>
      </c>
      <c r="P20" s="45">
        <v>83679.767094374896</v>
      </c>
      <c r="Q20" s="44">
        <f>IFERROR(ROUND(_xlfn.XLOOKUP(Q$7,'Product Tgt'!$B:$B,'Product Tgt'!$G:$G)*H20/H$95,0),0)</f>
        <v>8585</v>
      </c>
      <c r="R20" s="12">
        <f>IFERROR(ROUND(_xlfn.XLOOKUP(R$7,'Product Tgt'!$B:$B,'Product Tgt'!$G:$G)*I20/I$95,0),0)</f>
        <v>7099</v>
      </c>
      <c r="S20" s="12">
        <f>IFERROR(ROUND(_xlfn.XLOOKUP(S$7,'Product Tgt'!$B:$B,'Product Tgt'!$G:$G)*J20/J$95,0),0)</f>
        <v>77091</v>
      </c>
      <c r="T20" s="12">
        <f>IFERROR(ROUND(_xlfn.XLOOKUP(T$7,'Product Tgt'!$B:$B,'Product Tgt'!$G:$G)*K20/K$95,0),0)</f>
        <v>39728</v>
      </c>
      <c r="U20" s="12">
        <f>IFERROR(ROUND(_xlfn.XLOOKUP(U$7,'Product Tgt'!$B:$B,'Product Tgt'!$G:$G)*L20/L$95,0),0)</f>
        <v>345280</v>
      </c>
      <c r="V20" s="12">
        <f>IFERROR(ROUND(_xlfn.XLOOKUP(V$7,'Product Tgt'!$B:$B,'Product Tgt'!$G:$G)*M20/M$95,0),0)</f>
        <v>234747</v>
      </c>
      <c r="W20" s="12">
        <f>IFERROR(ROUND(_xlfn.XLOOKUP(W$7,'Product Tgt'!$B:$B,'Product Tgt'!$G:$G)*N20/N$95,0),0)</f>
        <v>40924</v>
      </c>
      <c r="X20" s="12">
        <f>IFERROR(ROUND(_xlfn.XLOOKUP(X$7,'Product Tgt'!$B:$B,'Product Tgt'!$G:$G)*O20/O$95,0),0)</f>
        <v>7408</v>
      </c>
      <c r="Y20" s="45">
        <f>IFERROR(ROUND(_xlfn.XLOOKUP(Y$7,'Product Tgt'!$B:$B,'Product Tgt'!$G:$G)*P20/P$95,0),0)</f>
        <v>75390</v>
      </c>
      <c r="Z20" s="20">
        <f>ROUND(IFERROR(Q20/_xlfn.XLOOKUP(Z$7,'Product Tgt'!$B:$B,'Product Tgt'!$D:$D),0),0)</f>
        <v>0</v>
      </c>
      <c r="AA20" s="11">
        <f>ROUND(IFERROR(R20/_xlfn.XLOOKUP(AA$7,'Product Tgt'!$B:$B,'Product Tgt'!$D:$D),0),0)</f>
        <v>0</v>
      </c>
      <c r="AB20" s="11">
        <f>ROUND(IFERROR(U20/_xlfn.XLOOKUP(AB$7,'Product Tgt'!$B:$B,'Product Tgt'!$D:$D),0),0)</f>
        <v>0</v>
      </c>
      <c r="AC20" s="11">
        <f>ROUND(IFERROR(V20/_xlfn.XLOOKUP(AC$7,'Product Tgt'!$B:$B,'Product Tgt'!$D:$D),0),0)</f>
        <v>0</v>
      </c>
      <c r="AD20" s="11">
        <f>ROUND(IFERROR(W20/_xlfn.XLOOKUP(AD$7,'Product Tgt'!$B:$B,'Product Tgt'!$D:$D),0),0)</f>
        <v>0</v>
      </c>
      <c r="AE20" s="11">
        <f>ROUND(IFERROR(X20/_xlfn.XLOOKUP(AE$7,'Product Tgt'!$B:$B,'Product Tgt'!$D:$D),0),0)</f>
        <v>0</v>
      </c>
      <c r="AF20" s="11">
        <f>ROUND(IFERROR(Y20/_xlfn.XLOOKUP(AF$7,'Product Tgt'!$B:$B,'Product Tgt'!$D:$D),0),0)</f>
        <v>0</v>
      </c>
      <c r="AG20" s="10">
        <f>IFERROR(Z20*_xlfn.XLOOKUP(AG$7,'Product Tgt'!$B:$B,'Product Tgt'!$D:$D),0)</f>
        <v>0</v>
      </c>
      <c r="AH20">
        <f>IFERROR(AA20*_xlfn.XLOOKUP(AH$7,'Product Tgt'!$B:$B,'Product Tgt'!$D:$D),0)</f>
        <v>0</v>
      </c>
      <c r="AI20">
        <f>IFERROR(AB20*_xlfn.XLOOKUP(AI$7,'Product Tgt'!$B:$B,'Product Tgt'!$D:$D),0)</f>
        <v>0</v>
      </c>
      <c r="AJ20">
        <f>IFERROR(AC20*_xlfn.XLOOKUP(AJ$7,'Product Tgt'!$B:$B,'Product Tgt'!$D:$D),0)</f>
        <v>0</v>
      </c>
      <c r="AK20">
        <f>IFERROR(AD20*_xlfn.XLOOKUP(AK$7,'Product Tgt'!$B:$B,'Product Tgt'!$D:$D),0)</f>
        <v>0</v>
      </c>
      <c r="AL20">
        <f>IFERROR(AE20*_xlfn.XLOOKUP(AL$7,'Product Tgt'!$B:$B,'Product Tgt'!$D:$D),0)</f>
        <v>0</v>
      </c>
      <c r="AM20">
        <f>IFERROR(AF20*_xlfn.XLOOKUP(AM$7,'Product Tgt'!$B:$B,'Product Tgt'!$D:$D),0)</f>
        <v>0</v>
      </c>
    </row>
    <row r="21" spans="1:39" x14ac:dyDescent="0.25">
      <c r="A21" t="s">
        <v>28</v>
      </c>
      <c r="B21" s="7" t="s">
        <v>43</v>
      </c>
      <c r="C21" s="3">
        <f>_xlfn.XLOOKUP($B21,'Terr Target'!$A:$A,'Terr Target'!$E:$E)</f>
        <v>613628.32973161666</v>
      </c>
      <c r="D21" s="3">
        <f t="shared" si="4"/>
        <v>613634</v>
      </c>
      <c r="E21" s="4">
        <f t="shared" si="5"/>
        <v>5.6702683833427727</v>
      </c>
      <c r="F21" s="9">
        <f t="shared" si="6"/>
        <v>9.2404729583803587E-6</v>
      </c>
      <c r="G21" s="5">
        <f t="shared" si="7"/>
        <v>0.99999075952704164</v>
      </c>
      <c r="H21" s="44">
        <v>5641.0241686123436</v>
      </c>
      <c r="I21" s="12">
        <v>5325.101538209844</v>
      </c>
      <c r="J21" s="12">
        <v>59497.41684188864</v>
      </c>
      <c r="K21" s="12">
        <v>32725.267346635279</v>
      </c>
      <c r="L21" s="12">
        <v>281354.74352659832</v>
      </c>
      <c r="M21" s="12">
        <v>196958.83186496122</v>
      </c>
      <c r="N21" s="12">
        <v>35714.4844385369</v>
      </c>
      <c r="O21" s="12">
        <v>8832.5356866116817</v>
      </c>
      <c r="P21" s="45">
        <v>52258.953752206638</v>
      </c>
      <c r="Q21" s="44">
        <f>IFERROR(ROUND(_xlfn.XLOOKUP(Q$7,'Product Tgt'!$B:$B,'Product Tgt'!$G:$G)*H21/H$95,0),0)</f>
        <v>5067</v>
      </c>
      <c r="R21" s="12">
        <f>IFERROR(ROUND(_xlfn.XLOOKUP(R$7,'Product Tgt'!$B:$B,'Product Tgt'!$G:$G)*I21/I$95,0),0)</f>
        <v>4790</v>
      </c>
      <c r="S21" s="12">
        <f>IFERROR(ROUND(_xlfn.XLOOKUP(S$7,'Product Tgt'!$B:$B,'Product Tgt'!$G:$G)*J21/J$95,0),0)</f>
        <v>53560</v>
      </c>
      <c r="T21" s="12">
        <f>IFERROR(ROUND(_xlfn.XLOOKUP(T$7,'Product Tgt'!$B:$B,'Product Tgt'!$G:$G)*K21/K$95,0),0)</f>
        <v>29481</v>
      </c>
      <c r="U21" s="12">
        <f>IFERROR(ROUND(_xlfn.XLOOKUP(U$7,'Product Tgt'!$B:$B,'Product Tgt'!$G:$G)*L21/L$95,0),0)</f>
        <v>253268</v>
      </c>
      <c r="V21" s="12">
        <f>IFERROR(ROUND(_xlfn.XLOOKUP(V$7,'Product Tgt'!$B:$B,'Product Tgt'!$G:$G)*M21/M$95,0),0)</f>
        <v>177273</v>
      </c>
      <c r="W21" s="12">
        <f>IFERROR(ROUND(_xlfn.XLOOKUP(W$7,'Product Tgt'!$B:$B,'Product Tgt'!$G:$G)*N21/N$95,0),0)</f>
        <v>34567</v>
      </c>
      <c r="X21" s="12">
        <f>IFERROR(ROUND(_xlfn.XLOOKUP(X$7,'Product Tgt'!$B:$B,'Product Tgt'!$G:$G)*O21/O$95,0),0)</f>
        <v>8546</v>
      </c>
      <c r="Y21" s="45">
        <f>IFERROR(ROUND(_xlfn.XLOOKUP(Y$7,'Product Tgt'!$B:$B,'Product Tgt'!$G:$G)*P21/P$95,0),0)</f>
        <v>47082</v>
      </c>
      <c r="Z21" s="20">
        <f>ROUND(IFERROR(Q21/_xlfn.XLOOKUP(Z$7,'Product Tgt'!$B:$B,'Product Tgt'!$D:$D),0),0)</f>
        <v>0</v>
      </c>
      <c r="AA21" s="11">
        <f>ROUND(IFERROR(R21/_xlfn.XLOOKUP(AA$7,'Product Tgt'!$B:$B,'Product Tgt'!$D:$D),0),0)</f>
        <v>0</v>
      </c>
      <c r="AB21" s="11">
        <f>ROUND(IFERROR(U21/_xlfn.XLOOKUP(AB$7,'Product Tgt'!$B:$B,'Product Tgt'!$D:$D),0),0)</f>
        <v>0</v>
      </c>
      <c r="AC21" s="11">
        <f>ROUND(IFERROR(V21/_xlfn.XLOOKUP(AC$7,'Product Tgt'!$B:$B,'Product Tgt'!$D:$D),0),0)</f>
        <v>0</v>
      </c>
      <c r="AD21" s="11">
        <f>ROUND(IFERROR(W21/_xlfn.XLOOKUP(AD$7,'Product Tgt'!$B:$B,'Product Tgt'!$D:$D),0),0)</f>
        <v>0</v>
      </c>
      <c r="AE21" s="11">
        <f>ROUND(IFERROR(X21/_xlfn.XLOOKUP(AE$7,'Product Tgt'!$B:$B,'Product Tgt'!$D:$D),0),0)</f>
        <v>0</v>
      </c>
      <c r="AF21" s="11">
        <f>ROUND(IFERROR(Y21/_xlfn.XLOOKUP(AF$7,'Product Tgt'!$B:$B,'Product Tgt'!$D:$D),0),0)</f>
        <v>0</v>
      </c>
      <c r="AG21" s="10">
        <f>IFERROR(Z21*_xlfn.XLOOKUP(AG$7,'Product Tgt'!$B:$B,'Product Tgt'!$D:$D),0)</f>
        <v>0</v>
      </c>
      <c r="AH21">
        <f>IFERROR(AA21*_xlfn.XLOOKUP(AH$7,'Product Tgt'!$B:$B,'Product Tgt'!$D:$D),0)</f>
        <v>0</v>
      </c>
      <c r="AI21">
        <f>IFERROR(AB21*_xlfn.XLOOKUP(AI$7,'Product Tgt'!$B:$B,'Product Tgt'!$D:$D),0)</f>
        <v>0</v>
      </c>
      <c r="AJ21">
        <f>IFERROR(AC21*_xlfn.XLOOKUP(AJ$7,'Product Tgt'!$B:$B,'Product Tgt'!$D:$D),0)</f>
        <v>0</v>
      </c>
      <c r="AK21">
        <f>IFERROR(AD21*_xlfn.XLOOKUP(AK$7,'Product Tgt'!$B:$B,'Product Tgt'!$D:$D),0)</f>
        <v>0</v>
      </c>
      <c r="AL21">
        <f>IFERROR(AE21*_xlfn.XLOOKUP(AL$7,'Product Tgt'!$B:$B,'Product Tgt'!$D:$D),0)</f>
        <v>0</v>
      </c>
      <c r="AM21">
        <f>IFERROR(AF21*_xlfn.XLOOKUP(AM$7,'Product Tgt'!$B:$B,'Product Tgt'!$D:$D),0)</f>
        <v>0</v>
      </c>
    </row>
    <row r="22" spans="1:39" x14ac:dyDescent="0.25">
      <c r="A22" t="s">
        <v>44</v>
      </c>
      <c r="B22" s="7" t="s">
        <v>45</v>
      </c>
      <c r="C22" s="3">
        <f>_xlfn.XLOOKUP($B22,'Terr Target'!$A:$A,'Terr Target'!$E:$E)</f>
        <v>406626.82146715798</v>
      </c>
      <c r="D22" s="3">
        <f t="shared" si="4"/>
        <v>406623</v>
      </c>
      <c r="E22" s="4">
        <f t="shared" si="5"/>
        <v>-3.8214671579771675</v>
      </c>
      <c r="F22" s="9">
        <f t="shared" si="6"/>
        <v>9.3980595243681925E-6</v>
      </c>
      <c r="G22" s="5">
        <f t="shared" si="7"/>
        <v>1.0000093980595244</v>
      </c>
      <c r="H22" s="44">
        <v>6364.443209679318</v>
      </c>
      <c r="I22" s="12">
        <v>3089.6606560919217</v>
      </c>
      <c r="J22" s="12">
        <v>30278.586381235909</v>
      </c>
      <c r="K22" s="12">
        <v>9296.3470309527784</v>
      </c>
      <c r="L22" s="12">
        <v>228520.31548582434</v>
      </c>
      <c r="M22" s="12">
        <v>130755.4523235973</v>
      </c>
      <c r="N22" s="12">
        <v>16655.938004381962</v>
      </c>
      <c r="O22" s="12">
        <v>3488.9804555214109</v>
      </c>
      <c r="P22" s="45">
        <v>21760.187559885777</v>
      </c>
      <c r="Q22" s="44">
        <f>IFERROR(ROUND(_xlfn.XLOOKUP(Q$7,'Product Tgt'!$B:$B,'Product Tgt'!$G:$G)*H22/H$95,0),0)</f>
        <v>5716</v>
      </c>
      <c r="R22" s="12">
        <f>IFERROR(ROUND(_xlfn.XLOOKUP(R$7,'Product Tgt'!$B:$B,'Product Tgt'!$G:$G)*I22/I$95,0),0)</f>
        <v>2779</v>
      </c>
      <c r="S22" s="12">
        <f>IFERROR(ROUND(_xlfn.XLOOKUP(S$7,'Product Tgt'!$B:$B,'Product Tgt'!$G:$G)*J22/J$95,0),0)</f>
        <v>27257</v>
      </c>
      <c r="T22" s="12">
        <f>IFERROR(ROUND(_xlfn.XLOOKUP(T$7,'Product Tgt'!$B:$B,'Product Tgt'!$G:$G)*K22/K$95,0),0)</f>
        <v>8375</v>
      </c>
      <c r="U22" s="12">
        <f>IFERROR(ROUND(_xlfn.XLOOKUP(U$7,'Product Tgt'!$B:$B,'Product Tgt'!$G:$G)*L22/L$95,0),0)</f>
        <v>205708</v>
      </c>
      <c r="V22" s="12">
        <f>IFERROR(ROUND(_xlfn.XLOOKUP(V$7,'Product Tgt'!$B:$B,'Product Tgt'!$G:$G)*M22/M$95,0),0)</f>
        <v>117687</v>
      </c>
      <c r="W22" s="12">
        <f>IFERROR(ROUND(_xlfn.XLOOKUP(W$7,'Product Tgt'!$B:$B,'Product Tgt'!$G:$G)*N22/N$95,0),0)</f>
        <v>16121</v>
      </c>
      <c r="X22" s="12">
        <f>IFERROR(ROUND(_xlfn.XLOOKUP(X$7,'Product Tgt'!$B:$B,'Product Tgt'!$G:$G)*O22/O$95,0),0)</f>
        <v>3376</v>
      </c>
      <c r="Y22" s="45">
        <f>IFERROR(ROUND(_xlfn.XLOOKUP(Y$7,'Product Tgt'!$B:$B,'Product Tgt'!$G:$G)*P22/P$95,0),0)</f>
        <v>19604</v>
      </c>
      <c r="Z22" s="20">
        <f>ROUND(IFERROR(Q22/_xlfn.XLOOKUP(Z$7,'Product Tgt'!$B:$B,'Product Tgt'!$D:$D),0),0)</f>
        <v>0</v>
      </c>
      <c r="AA22" s="11">
        <f>ROUND(IFERROR(R22/_xlfn.XLOOKUP(AA$7,'Product Tgt'!$B:$B,'Product Tgt'!$D:$D),0),0)</f>
        <v>0</v>
      </c>
      <c r="AB22" s="11">
        <f>ROUND(IFERROR(U22/_xlfn.XLOOKUP(AB$7,'Product Tgt'!$B:$B,'Product Tgt'!$D:$D),0),0)</f>
        <v>0</v>
      </c>
      <c r="AC22" s="11">
        <f>ROUND(IFERROR(V22/_xlfn.XLOOKUP(AC$7,'Product Tgt'!$B:$B,'Product Tgt'!$D:$D),0),0)</f>
        <v>0</v>
      </c>
      <c r="AD22" s="11">
        <f>ROUND(IFERROR(W22/_xlfn.XLOOKUP(AD$7,'Product Tgt'!$B:$B,'Product Tgt'!$D:$D),0),0)</f>
        <v>0</v>
      </c>
      <c r="AE22" s="11">
        <f>ROUND(IFERROR(X22/_xlfn.XLOOKUP(AE$7,'Product Tgt'!$B:$B,'Product Tgt'!$D:$D),0),0)</f>
        <v>0</v>
      </c>
      <c r="AF22" s="11">
        <f>ROUND(IFERROR(Y22/_xlfn.XLOOKUP(AF$7,'Product Tgt'!$B:$B,'Product Tgt'!$D:$D),0),0)</f>
        <v>0</v>
      </c>
      <c r="AG22" s="10">
        <f>IFERROR(Z22*_xlfn.XLOOKUP(AG$7,'Product Tgt'!$B:$B,'Product Tgt'!$D:$D),0)</f>
        <v>0</v>
      </c>
      <c r="AH22">
        <f>IFERROR(AA22*_xlfn.XLOOKUP(AH$7,'Product Tgt'!$B:$B,'Product Tgt'!$D:$D),0)</f>
        <v>0</v>
      </c>
      <c r="AI22">
        <f>IFERROR(AB22*_xlfn.XLOOKUP(AI$7,'Product Tgt'!$B:$B,'Product Tgt'!$D:$D),0)</f>
        <v>0</v>
      </c>
      <c r="AJ22">
        <f>IFERROR(AC22*_xlfn.XLOOKUP(AJ$7,'Product Tgt'!$B:$B,'Product Tgt'!$D:$D),0)</f>
        <v>0</v>
      </c>
      <c r="AK22">
        <f>IFERROR(AD22*_xlfn.XLOOKUP(AK$7,'Product Tgt'!$B:$B,'Product Tgt'!$D:$D),0)</f>
        <v>0</v>
      </c>
      <c r="AL22">
        <f>IFERROR(AE22*_xlfn.XLOOKUP(AL$7,'Product Tgt'!$B:$B,'Product Tgt'!$D:$D),0)</f>
        <v>0</v>
      </c>
      <c r="AM22">
        <f>IFERROR(AF22*_xlfn.XLOOKUP(AM$7,'Product Tgt'!$B:$B,'Product Tgt'!$D:$D),0)</f>
        <v>0</v>
      </c>
    </row>
    <row r="23" spans="1:39" x14ac:dyDescent="0.25">
      <c r="A23" t="s">
        <v>44</v>
      </c>
      <c r="B23" s="7" t="s">
        <v>46</v>
      </c>
      <c r="C23" s="3">
        <f>_xlfn.XLOOKUP($B23,'Terr Target'!$A:$A,'Terr Target'!$E:$E)</f>
        <v>585992.60332877829</v>
      </c>
      <c r="D23" s="3">
        <f t="shared" si="4"/>
        <v>585989</v>
      </c>
      <c r="E23" s="4">
        <f t="shared" si="5"/>
        <v>-3.6033287782920524</v>
      </c>
      <c r="F23" s="9">
        <f t="shared" si="6"/>
        <v>6.1491406464832149E-6</v>
      </c>
      <c r="G23" s="5">
        <f t="shared" si="7"/>
        <v>1.0000061491406464</v>
      </c>
      <c r="H23" s="44">
        <v>4443.4619984251722</v>
      </c>
      <c r="I23" s="12">
        <v>4771.67550081221</v>
      </c>
      <c r="J23" s="12">
        <v>49206.125353659481</v>
      </c>
      <c r="K23" s="12">
        <v>30959.842465240381</v>
      </c>
      <c r="L23" s="12">
        <v>318584.46520394506</v>
      </c>
      <c r="M23" s="12">
        <v>179978.37996944255</v>
      </c>
      <c r="N23" s="12">
        <v>20251.921984646804</v>
      </c>
      <c r="O23" s="12">
        <v>6557.3446988063797</v>
      </c>
      <c r="P23" s="45">
        <v>34191.368400149564</v>
      </c>
      <c r="Q23" s="44">
        <f>IFERROR(ROUND(_xlfn.XLOOKUP(Q$7,'Product Tgt'!$B:$B,'Product Tgt'!$G:$G)*H23/H$95,0),0)</f>
        <v>3991</v>
      </c>
      <c r="R23" s="12">
        <f>IFERROR(ROUND(_xlfn.XLOOKUP(R$7,'Product Tgt'!$B:$B,'Product Tgt'!$G:$G)*I23/I$95,0),0)</f>
        <v>4292</v>
      </c>
      <c r="S23" s="12">
        <f>IFERROR(ROUND(_xlfn.XLOOKUP(S$7,'Product Tgt'!$B:$B,'Product Tgt'!$G:$G)*J23/J$95,0),0)</f>
        <v>44296</v>
      </c>
      <c r="T23" s="12">
        <f>IFERROR(ROUND(_xlfn.XLOOKUP(T$7,'Product Tgt'!$B:$B,'Product Tgt'!$G:$G)*K23/K$95,0),0)</f>
        <v>27890</v>
      </c>
      <c r="U23" s="12">
        <f>IFERROR(ROUND(_xlfn.XLOOKUP(U$7,'Product Tgt'!$B:$B,'Product Tgt'!$G:$G)*L23/L$95,0),0)</f>
        <v>286781</v>
      </c>
      <c r="V23" s="12">
        <f>IFERROR(ROUND(_xlfn.XLOOKUP(V$7,'Product Tgt'!$B:$B,'Product Tgt'!$G:$G)*M23/M$95,0),0)</f>
        <v>161990</v>
      </c>
      <c r="W23" s="12">
        <f>IFERROR(ROUND(_xlfn.XLOOKUP(W$7,'Product Tgt'!$B:$B,'Product Tgt'!$G:$G)*N23/N$95,0),0)</f>
        <v>19601</v>
      </c>
      <c r="X23" s="12">
        <f>IFERROR(ROUND(_xlfn.XLOOKUP(X$7,'Product Tgt'!$B:$B,'Product Tgt'!$G:$G)*O23/O$95,0),0)</f>
        <v>6344</v>
      </c>
      <c r="Y23" s="45">
        <f>IFERROR(ROUND(_xlfn.XLOOKUP(Y$7,'Product Tgt'!$B:$B,'Product Tgt'!$G:$G)*P23/P$95,0),0)</f>
        <v>30804</v>
      </c>
      <c r="Z23" s="20">
        <f>ROUND(IFERROR(Q23/_xlfn.XLOOKUP(Z$7,'Product Tgt'!$B:$B,'Product Tgt'!$D:$D),0),0)</f>
        <v>0</v>
      </c>
      <c r="AA23" s="11">
        <f>ROUND(IFERROR(R23/_xlfn.XLOOKUP(AA$7,'Product Tgt'!$B:$B,'Product Tgt'!$D:$D),0),0)</f>
        <v>0</v>
      </c>
      <c r="AB23" s="11">
        <f>ROUND(IFERROR(U23/_xlfn.XLOOKUP(AB$7,'Product Tgt'!$B:$B,'Product Tgt'!$D:$D),0),0)</f>
        <v>0</v>
      </c>
      <c r="AC23" s="11">
        <f>ROUND(IFERROR(V23/_xlfn.XLOOKUP(AC$7,'Product Tgt'!$B:$B,'Product Tgt'!$D:$D),0),0)</f>
        <v>0</v>
      </c>
      <c r="AD23" s="11">
        <f>ROUND(IFERROR(W23/_xlfn.XLOOKUP(AD$7,'Product Tgt'!$B:$B,'Product Tgt'!$D:$D),0),0)</f>
        <v>0</v>
      </c>
      <c r="AE23" s="11">
        <f>ROUND(IFERROR(X23/_xlfn.XLOOKUP(AE$7,'Product Tgt'!$B:$B,'Product Tgt'!$D:$D),0),0)</f>
        <v>0</v>
      </c>
      <c r="AF23" s="11">
        <f>ROUND(IFERROR(Y23/_xlfn.XLOOKUP(AF$7,'Product Tgt'!$B:$B,'Product Tgt'!$D:$D),0),0)</f>
        <v>0</v>
      </c>
      <c r="AG23" s="10">
        <f>IFERROR(Z23*_xlfn.XLOOKUP(AG$7,'Product Tgt'!$B:$B,'Product Tgt'!$D:$D),0)</f>
        <v>0</v>
      </c>
      <c r="AH23">
        <f>IFERROR(AA23*_xlfn.XLOOKUP(AH$7,'Product Tgt'!$B:$B,'Product Tgt'!$D:$D),0)</f>
        <v>0</v>
      </c>
      <c r="AI23">
        <f>IFERROR(AB23*_xlfn.XLOOKUP(AI$7,'Product Tgt'!$B:$B,'Product Tgt'!$D:$D),0)</f>
        <v>0</v>
      </c>
      <c r="AJ23">
        <f>IFERROR(AC23*_xlfn.XLOOKUP(AJ$7,'Product Tgt'!$B:$B,'Product Tgt'!$D:$D),0)</f>
        <v>0</v>
      </c>
      <c r="AK23">
        <f>IFERROR(AD23*_xlfn.XLOOKUP(AK$7,'Product Tgt'!$B:$B,'Product Tgt'!$D:$D),0)</f>
        <v>0</v>
      </c>
      <c r="AL23">
        <f>IFERROR(AE23*_xlfn.XLOOKUP(AL$7,'Product Tgt'!$B:$B,'Product Tgt'!$D:$D),0)</f>
        <v>0</v>
      </c>
      <c r="AM23">
        <f>IFERROR(AF23*_xlfn.XLOOKUP(AM$7,'Product Tgt'!$B:$B,'Product Tgt'!$D:$D),0)</f>
        <v>0</v>
      </c>
    </row>
    <row r="24" spans="1:39" x14ac:dyDescent="0.25">
      <c r="A24" t="s">
        <v>44</v>
      </c>
      <c r="B24" s="7" t="s">
        <v>47</v>
      </c>
      <c r="C24" s="3">
        <f>_xlfn.XLOOKUP($B24,'Terr Target'!$A:$A,'Terr Target'!$E:$E)</f>
        <v>382076.63836729951</v>
      </c>
      <c r="D24" s="3">
        <f t="shared" si="4"/>
        <v>382075</v>
      </c>
      <c r="E24" s="4">
        <f t="shared" si="5"/>
        <v>-1.638367299514357</v>
      </c>
      <c r="F24" s="9">
        <f t="shared" si="6"/>
        <v>4.2880777321582331E-6</v>
      </c>
      <c r="G24" s="5">
        <f t="shared" si="7"/>
        <v>1.0000042880777322</v>
      </c>
      <c r="H24" s="44">
        <v>4227.3258164114623</v>
      </c>
      <c r="I24" s="12">
        <v>2436.7457652435246</v>
      </c>
      <c r="J24" s="12">
        <v>24847.710546310547</v>
      </c>
      <c r="K24" s="12">
        <v>8726.4981782083687</v>
      </c>
      <c r="L24" s="12">
        <v>213483.27478607456</v>
      </c>
      <c r="M24" s="12">
        <v>125663.83648656284</v>
      </c>
      <c r="N24" s="12">
        <v>16515.898020690052</v>
      </c>
      <c r="O24" s="12">
        <v>3676.2003594637504</v>
      </c>
      <c r="P24" s="45">
        <v>23352.694591275362</v>
      </c>
      <c r="Q24" s="44">
        <f>IFERROR(ROUND(_xlfn.XLOOKUP(Q$7,'Product Tgt'!$B:$B,'Product Tgt'!$G:$G)*H24/H$95,0),0)</f>
        <v>3797</v>
      </c>
      <c r="R24" s="12">
        <f>IFERROR(ROUND(_xlfn.XLOOKUP(R$7,'Product Tgt'!$B:$B,'Product Tgt'!$G:$G)*I24/I$95,0),0)</f>
        <v>2192</v>
      </c>
      <c r="S24" s="12">
        <f>IFERROR(ROUND(_xlfn.XLOOKUP(S$7,'Product Tgt'!$B:$B,'Product Tgt'!$G:$G)*J24/J$95,0),0)</f>
        <v>22368</v>
      </c>
      <c r="T24" s="12">
        <f>IFERROR(ROUND(_xlfn.XLOOKUP(T$7,'Product Tgt'!$B:$B,'Product Tgt'!$G:$G)*K24/K$95,0),0)</f>
        <v>7861</v>
      </c>
      <c r="U24" s="12">
        <f>IFERROR(ROUND(_xlfn.XLOOKUP(U$7,'Product Tgt'!$B:$B,'Product Tgt'!$G:$G)*L24/L$95,0),0)</f>
        <v>192172</v>
      </c>
      <c r="V24" s="12">
        <f>IFERROR(ROUND(_xlfn.XLOOKUP(V$7,'Product Tgt'!$B:$B,'Product Tgt'!$G:$G)*M24/M$95,0),0)</f>
        <v>113104</v>
      </c>
      <c r="W24" s="12">
        <f>IFERROR(ROUND(_xlfn.XLOOKUP(W$7,'Product Tgt'!$B:$B,'Product Tgt'!$G:$G)*N24/N$95,0),0)</f>
        <v>15985</v>
      </c>
      <c r="X24" s="12">
        <f>IFERROR(ROUND(_xlfn.XLOOKUP(X$7,'Product Tgt'!$B:$B,'Product Tgt'!$G:$G)*O24/O$95,0),0)</f>
        <v>3557</v>
      </c>
      <c r="Y24" s="45">
        <f>IFERROR(ROUND(_xlfn.XLOOKUP(Y$7,'Product Tgt'!$B:$B,'Product Tgt'!$G:$G)*P24/P$95,0),0)</f>
        <v>21039</v>
      </c>
      <c r="Z24" s="20">
        <f>ROUND(IFERROR(Q24/_xlfn.XLOOKUP(Z$7,'Product Tgt'!$B:$B,'Product Tgt'!$D:$D),0),0)</f>
        <v>0</v>
      </c>
      <c r="AA24" s="11">
        <f>ROUND(IFERROR(R24/_xlfn.XLOOKUP(AA$7,'Product Tgt'!$B:$B,'Product Tgt'!$D:$D),0),0)</f>
        <v>0</v>
      </c>
      <c r="AB24" s="11">
        <f>ROUND(IFERROR(U24/_xlfn.XLOOKUP(AB$7,'Product Tgt'!$B:$B,'Product Tgt'!$D:$D),0),0)</f>
        <v>0</v>
      </c>
      <c r="AC24" s="11">
        <f>ROUND(IFERROR(V24/_xlfn.XLOOKUP(AC$7,'Product Tgt'!$B:$B,'Product Tgt'!$D:$D),0),0)</f>
        <v>0</v>
      </c>
      <c r="AD24" s="11">
        <f>ROUND(IFERROR(W24/_xlfn.XLOOKUP(AD$7,'Product Tgt'!$B:$B,'Product Tgt'!$D:$D),0),0)</f>
        <v>0</v>
      </c>
      <c r="AE24" s="11">
        <f>ROUND(IFERROR(X24/_xlfn.XLOOKUP(AE$7,'Product Tgt'!$B:$B,'Product Tgt'!$D:$D),0),0)</f>
        <v>0</v>
      </c>
      <c r="AF24" s="11">
        <f>ROUND(IFERROR(Y24/_xlfn.XLOOKUP(AF$7,'Product Tgt'!$B:$B,'Product Tgt'!$D:$D),0),0)</f>
        <v>0</v>
      </c>
      <c r="AG24" s="10">
        <f>IFERROR(Z24*_xlfn.XLOOKUP(AG$7,'Product Tgt'!$B:$B,'Product Tgt'!$D:$D),0)</f>
        <v>0</v>
      </c>
      <c r="AH24">
        <f>IFERROR(AA24*_xlfn.XLOOKUP(AH$7,'Product Tgt'!$B:$B,'Product Tgt'!$D:$D),0)</f>
        <v>0</v>
      </c>
      <c r="AI24">
        <f>IFERROR(AB24*_xlfn.XLOOKUP(AI$7,'Product Tgt'!$B:$B,'Product Tgt'!$D:$D),0)</f>
        <v>0</v>
      </c>
      <c r="AJ24">
        <f>IFERROR(AC24*_xlfn.XLOOKUP(AJ$7,'Product Tgt'!$B:$B,'Product Tgt'!$D:$D),0)</f>
        <v>0</v>
      </c>
      <c r="AK24">
        <f>IFERROR(AD24*_xlfn.XLOOKUP(AK$7,'Product Tgt'!$B:$B,'Product Tgt'!$D:$D),0)</f>
        <v>0</v>
      </c>
      <c r="AL24">
        <f>IFERROR(AE24*_xlfn.XLOOKUP(AL$7,'Product Tgt'!$B:$B,'Product Tgt'!$D:$D),0)</f>
        <v>0</v>
      </c>
      <c r="AM24">
        <f>IFERROR(AF24*_xlfn.XLOOKUP(AM$7,'Product Tgt'!$B:$B,'Product Tgt'!$D:$D),0)</f>
        <v>0</v>
      </c>
    </row>
    <row r="25" spans="1:39" x14ac:dyDescent="0.25">
      <c r="A25" t="s">
        <v>44</v>
      </c>
      <c r="B25" s="7" t="s">
        <v>48</v>
      </c>
      <c r="C25" s="3">
        <f>_xlfn.XLOOKUP($B25,'Terr Target'!$A:$A,'Terr Target'!$E:$E)</f>
        <v>451889.53346080467</v>
      </c>
      <c r="D25" s="3">
        <f t="shared" si="4"/>
        <v>451884</v>
      </c>
      <c r="E25" s="4">
        <f t="shared" si="5"/>
        <v>-5.5334608046687208</v>
      </c>
      <c r="F25" s="9">
        <f t="shared" si="6"/>
        <v>1.2245312524162664E-5</v>
      </c>
      <c r="G25" s="5">
        <f t="shared" si="7"/>
        <v>1.0000122453125242</v>
      </c>
      <c r="H25" s="44">
        <v>2754.433289098492</v>
      </c>
      <c r="I25" s="12">
        <v>2299.1915547443018</v>
      </c>
      <c r="J25" s="12">
        <v>46113.599076041231</v>
      </c>
      <c r="K25" s="12">
        <v>13452.95162747398</v>
      </c>
      <c r="L25" s="12">
        <v>279976.67748585867</v>
      </c>
      <c r="M25" s="12">
        <v>117597.57293480668</v>
      </c>
      <c r="N25" s="12">
        <v>10219.490825572899</v>
      </c>
      <c r="O25" s="12">
        <v>2799.2038356448288</v>
      </c>
      <c r="P25" s="45">
        <v>25795.06999377759</v>
      </c>
      <c r="Q25" s="44">
        <f>IFERROR(ROUND(_xlfn.XLOOKUP(Q$7,'Product Tgt'!$B:$B,'Product Tgt'!$G:$G)*H25/H$95,0),0)</f>
        <v>2474</v>
      </c>
      <c r="R25" s="12">
        <f>IFERROR(ROUND(_xlfn.XLOOKUP(R$7,'Product Tgt'!$B:$B,'Product Tgt'!$G:$G)*I25/I$95,0),0)</f>
        <v>2068</v>
      </c>
      <c r="S25" s="12">
        <f>IFERROR(ROUND(_xlfn.XLOOKUP(S$7,'Product Tgt'!$B:$B,'Product Tgt'!$G:$G)*J25/J$95,0),0)</f>
        <v>41512</v>
      </c>
      <c r="T25" s="12">
        <f>IFERROR(ROUND(_xlfn.XLOOKUP(T$7,'Product Tgt'!$B:$B,'Product Tgt'!$G:$G)*K25/K$95,0),0)</f>
        <v>12119</v>
      </c>
      <c r="U25" s="12">
        <f>IFERROR(ROUND(_xlfn.XLOOKUP(U$7,'Product Tgt'!$B:$B,'Product Tgt'!$G:$G)*L25/L$95,0),0)</f>
        <v>252028</v>
      </c>
      <c r="V25" s="12">
        <f>IFERROR(ROUND(_xlfn.XLOOKUP(V$7,'Product Tgt'!$B:$B,'Product Tgt'!$G:$G)*M25/M$95,0),0)</f>
        <v>105844</v>
      </c>
      <c r="W25" s="12">
        <f>IFERROR(ROUND(_xlfn.XLOOKUP(W$7,'Product Tgt'!$B:$B,'Product Tgt'!$G:$G)*N25/N$95,0),0)</f>
        <v>9891</v>
      </c>
      <c r="X25" s="12">
        <f>IFERROR(ROUND(_xlfn.XLOOKUP(X$7,'Product Tgt'!$B:$B,'Product Tgt'!$G:$G)*O25/O$95,0),0)</f>
        <v>2708</v>
      </c>
      <c r="Y25" s="45">
        <f>IFERROR(ROUND(_xlfn.XLOOKUP(Y$7,'Product Tgt'!$B:$B,'Product Tgt'!$G:$G)*P25/P$95,0),0)</f>
        <v>23240</v>
      </c>
      <c r="Z25" s="20">
        <f>ROUND(IFERROR(Q25/_xlfn.XLOOKUP(Z$7,'Product Tgt'!$B:$B,'Product Tgt'!$D:$D),0),0)</f>
        <v>0</v>
      </c>
      <c r="AA25" s="11">
        <f>ROUND(IFERROR(R25/_xlfn.XLOOKUP(AA$7,'Product Tgt'!$B:$B,'Product Tgt'!$D:$D),0),0)</f>
        <v>0</v>
      </c>
      <c r="AB25" s="11">
        <f>ROUND(IFERROR(U25/_xlfn.XLOOKUP(AB$7,'Product Tgt'!$B:$B,'Product Tgt'!$D:$D),0),0)</f>
        <v>0</v>
      </c>
      <c r="AC25" s="11">
        <f>ROUND(IFERROR(V25/_xlfn.XLOOKUP(AC$7,'Product Tgt'!$B:$B,'Product Tgt'!$D:$D),0),0)</f>
        <v>0</v>
      </c>
      <c r="AD25" s="11">
        <f>ROUND(IFERROR(W25/_xlfn.XLOOKUP(AD$7,'Product Tgt'!$B:$B,'Product Tgt'!$D:$D),0),0)</f>
        <v>0</v>
      </c>
      <c r="AE25" s="11">
        <f>ROUND(IFERROR(X25/_xlfn.XLOOKUP(AE$7,'Product Tgt'!$B:$B,'Product Tgt'!$D:$D),0),0)</f>
        <v>0</v>
      </c>
      <c r="AF25" s="11">
        <f>ROUND(IFERROR(Y25/_xlfn.XLOOKUP(AF$7,'Product Tgt'!$B:$B,'Product Tgt'!$D:$D),0),0)</f>
        <v>0</v>
      </c>
      <c r="AG25" s="10">
        <f>IFERROR(Z25*_xlfn.XLOOKUP(AG$7,'Product Tgt'!$B:$B,'Product Tgt'!$D:$D),0)</f>
        <v>0</v>
      </c>
      <c r="AH25">
        <f>IFERROR(AA25*_xlfn.XLOOKUP(AH$7,'Product Tgt'!$B:$B,'Product Tgt'!$D:$D),0)</f>
        <v>0</v>
      </c>
      <c r="AI25">
        <f>IFERROR(AB25*_xlfn.XLOOKUP(AI$7,'Product Tgt'!$B:$B,'Product Tgt'!$D:$D),0)</f>
        <v>0</v>
      </c>
      <c r="AJ25">
        <f>IFERROR(AC25*_xlfn.XLOOKUP(AJ$7,'Product Tgt'!$B:$B,'Product Tgt'!$D:$D),0)</f>
        <v>0</v>
      </c>
      <c r="AK25">
        <f>IFERROR(AD25*_xlfn.XLOOKUP(AK$7,'Product Tgt'!$B:$B,'Product Tgt'!$D:$D),0)</f>
        <v>0</v>
      </c>
      <c r="AL25">
        <f>IFERROR(AE25*_xlfn.XLOOKUP(AL$7,'Product Tgt'!$B:$B,'Product Tgt'!$D:$D),0)</f>
        <v>0</v>
      </c>
      <c r="AM25">
        <f>IFERROR(AF25*_xlfn.XLOOKUP(AM$7,'Product Tgt'!$B:$B,'Product Tgt'!$D:$D),0)</f>
        <v>0</v>
      </c>
    </row>
    <row r="26" spans="1:39" x14ac:dyDescent="0.25">
      <c r="A26" t="s">
        <v>44</v>
      </c>
      <c r="B26" s="7" t="s">
        <v>49</v>
      </c>
      <c r="C26" s="3">
        <f>_xlfn.XLOOKUP($B26,'Terr Target'!$A:$A,'Terr Target'!$E:$E)</f>
        <v>208105.80931777772</v>
      </c>
      <c r="D26" s="3">
        <f t="shared" si="4"/>
        <v>208102</v>
      </c>
      <c r="E26" s="4">
        <f t="shared" si="5"/>
        <v>-3.8093177777191158</v>
      </c>
      <c r="F26" s="9">
        <f t="shared" si="6"/>
        <v>1.8305051261973052E-5</v>
      </c>
      <c r="G26" s="5">
        <f t="shared" si="7"/>
        <v>1.0000183050512619</v>
      </c>
      <c r="H26" s="44">
        <v>2891.620694339676</v>
      </c>
      <c r="I26" s="12">
        <v>1998.6090671876084</v>
      </c>
      <c r="J26" s="12">
        <v>5870.8134631376124</v>
      </c>
      <c r="K26" s="12">
        <v>7022.4651360245143</v>
      </c>
      <c r="L26" s="12">
        <v>136356.14100704144</v>
      </c>
      <c r="M26" s="12">
        <v>57391.627870873555</v>
      </c>
      <c r="N26" s="12">
        <v>5132.2692450994227</v>
      </c>
      <c r="O26" s="12">
        <v>4569.4389642500028</v>
      </c>
      <c r="P26" s="45">
        <v>9222.6368045208947</v>
      </c>
      <c r="Q26" s="44">
        <f>IFERROR(ROUND(_xlfn.XLOOKUP(Q$7,'Product Tgt'!$B:$B,'Product Tgt'!$G:$G)*H26/H$95,0),0)</f>
        <v>2597</v>
      </c>
      <c r="R26" s="12">
        <f>IFERROR(ROUND(_xlfn.XLOOKUP(R$7,'Product Tgt'!$B:$B,'Product Tgt'!$G:$G)*I26/I$95,0),0)</f>
        <v>1798</v>
      </c>
      <c r="S26" s="12">
        <f>IFERROR(ROUND(_xlfn.XLOOKUP(S$7,'Product Tgt'!$B:$B,'Product Tgt'!$G:$G)*J26/J$95,0),0)</f>
        <v>5285</v>
      </c>
      <c r="T26" s="12">
        <f>IFERROR(ROUND(_xlfn.XLOOKUP(T$7,'Product Tgt'!$B:$B,'Product Tgt'!$G:$G)*K26/K$95,0),0)</f>
        <v>6326</v>
      </c>
      <c r="U26" s="12">
        <f>IFERROR(ROUND(_xlfn.XLOOKUP(U$7,'Product Tgt'!$B:$B,'Product Tgt'!$G:$G)*L26/L$95,0),0)</f>
        <v>122744</v>
      </c>
      <c r="V26" s="12">
        <f>IFERROR(ROUND(_xlfn.XLOOKUP(V$7,'Product Tgt'!$B:$B,'Product Tgt'!$G:$G)*M26/M$95,0),0)</f>
        <v>51655</v>
      </c>
      <c r="W26" s="12">
        <f>IFERROR(ROUND(_xlfn.XLOOKUP(W$7,'Product Tgt'!$B:$B,'Product Tgt'!$G:$G)*N26/N$95,0),0)</f>
        <v>4967</v>
      </c>
      <c r="X26" s="12">
        <f>IFERROR(ROUND(_xlfn.XLOOKUP(X$7,'Product Tgt'!$B:$B,'Product Tgt'!$G:$G)*O26/O$95,0),0)</f>
        <v>4421</v>
      </c>
      <c r="Y26" s="45">
        <f>IFERROR(ROUND(_xlfn.XLOOKUP(Y$7,'Product Tgt'!$B:$B,'Product Tgt'!$G:$G)*P26/P$95,0),0)</f>
        <v>8309</v>
      </c>
      <c r="Z26" s="20">
        <f>ROUND(IFERROR(Q26/_xlfn.XLOOKUP(Z$7,'Product Tgt'!$B:$B,'Product Tgt'!$D:$D),0),0)</f>
        <v>0</v>
      </c>
      <c r="AA26" s="11">
        <f>ROUND(IFERROR(R26/_xlfn.XLOOKUP(AA$7,'Product Tgt'!$B:$B,'Product Tgt'!$D:$D),0),0)</f>
        <v>0</v>
      </c>
      <c r="AB26" s="11">
        <f>ROUND(IFERROR(U26/_xlfn.XLOOKUP(AB$7,'Product Tgt'!$B:$B,'Product Tgt'!$D:$D),0),0)</f>
        <v>0</v>
      </c>
      <c r="AC26" s="11">
        <f>ROUND(IFERROR(V26/_xlfn.XLOOKUP(AC$7,'Product Tgt'!$B:$B,'Product Tgt'!$D:$D),0),0)</f>
        <v>0</v>
      </c>
      <c r="AD26" s="11">
        <f>ROUND(IFERROR(W26/_xlfn.XLOOKUP(AD$7,'Product Tgt'!$B:$B,'Product Tgt'!$D:$D),0),0)</f>
        <v>0</v>
      </c>
      <c r="AE26" s="11">
        <f>ROUND(IFERROR(X26/_xlfn.XLOOKUP(AE$7,'Product Tgt'!$B:$B,'Product Tgt'!$D:$D),0),0)</f>
        <v>0</v>
      </c>
      <c r="AF26" s="11">
        <f>ROUND(IFERROR(Y26/_xlfn.XLOOKUP(AF$7,'Product Tgt'!$B:$B,'Product Tgt'!$D:$D),0),0)</f>
        <v>0</v>
      </c>
      <c r="AG26" s="10">
        <f>IFERROR(Z26*_xlfn.XLOOKUP(AG$7,'Product Tgt'!$B:$B,'Product Tgt'!$D:$D),0)</f>
        <v>0</v>
      </c>
      <c r="AH26">
        <f>IFERROR(AA26*_xlfn.XLOOKUP(AH$7,'Product Tgt'!$B:$B,'Product Tgt'!$D:$D),0)</f>
        <v>0</v>
      </c>
      <c r="AI26">
        <f>IFERROR(AB26*_xlfn.XLOOKUP(AI$7,'Product Tgt'!$B:$B,'Product Tgt'!$D:$D),0)</f>
        <v>0</v>
      </c>
      <c r="AJ26">
        <f>IFERROR(AC26*_xlfn.XLOOKUP(AJ$7,'Product Tgt'!$B:$B,'Product Tgt'!$D:$D),0)</f>
        <v>0</v>
      </c>
      <c r="AK26">
        <f>IFERROR(AD26*_xlfn.XLOOKUP(AK$7,'Product Tgt'!$B:$B,'Product Tgt'!$D:$D),0)</f>
        <v>0</v>
      </c>
      <c r="AL26">
        <f>IFERROR(AE26*_xlfn.XLOOKUP(AL$7,'Product Tgt'!$B:$B,'Product Tgt'!$D:$D),0)</f>
        <v>0</v>
      </c>
      <c r="AM26">
        <f>IFERROR(AF26*_xlfn.XLOOKUP(AM$7,'Product Tgt'!$B:$B,'Product Tgt'!$D:$D),0)</f>
        <v>0</v>
      </c>
    </row>
    <row r="27" spans="1:39" x14ac:dyDescent="0.25">
      <c r="A27" t="s">
        <v>44</v>
      </c>
      <c r="B27" s="7" t="s">
        <v>50</v>
      </c>
      <c r="C27" s="3">
        <f>_xlfn.XLOOKUP($B27,'Terr Target'!$A:$A,'Terr Target'!$E:$E)</f>
        <v>394466.77885277459</v>
      </c>
      <c r="D27" s="3">
        <f t="shared" si="4"/>
        <v>394464</v>
      </c>
      <c r="E27" s="4">
        <f t="shared" si="5"/>
        <v>-2.7788527745869942</v>
      </c>
      <c r="F27" s="9">
        <f t="shared" si="6"/>
        <v>7.0446296102736729E-6</v>
      </c>
      <c r="G27" s="5">
        <f t="shared" si="7"/>
        <v>1.0000070446296103</v>
      </c>
      <c r="H27" s="44">
        <v>8362.156717602873</v>
      </c>
      <c r="I27" s="12">
        <v>3791.2286688756244</v>
      </c>
      <c r="J27" s="12">
        <v>60140.42640737458</v>
      </c>
      <c r="K27" s="12">
        <v>12917.167222110973</v>
      </c>
      <c r="L27" s="12">
        <v>210184.78437408648</v>
      </c>
      <c r="M27" s="12">
        <v>100910.12251518389</v>
      </c>
      <c r="N27" s="12">
        <v>12926.387384517157</v>
      </c>
      <c r="O27" s="12">
        <v>3367.8420147145021</v>
      </c>
      <c r="P27" s="45">
        <v>24387.65992848574</v>
      </c>
      <c r="Q27" s="44">
        <f>IFERROR(ROUND(_xlfn.XLOOKUP(Q$7,'Product Tgt'!$B:$B,'Product Tgt'!$G:$G)*H27/H$95,0),0)</f>
        <v>7511</v>
      </c>
      <c r="R27" s="12">
        <f>IFERROR(ROUND(_xlfn.XLOOKUP(R$7,'Product Tgt'!$B:$B,'Product Tgt'!$G:$G)*I27/I$95,0),0)</f>
        <v>3410</v>
      </c>
      <c r="S27" s="12">
        <f>IFERROR(ROUND(_xlfn.XLOOKUP(S$7,'Product Tgt'!$B:$B,'Product Tgt'!$G:$G)*J27/J$95,0),0)</f>
        <v>54139</v>
      </c>
      <c r="T27" s="12">
        <f>IFERROR(ROUND(_xlfn.XLOOKUP(T$7,'Product Tgt'!$B:$B,'Product Tgt'!$G:$G)*K27/K$95,0),0)</f>
        <v>11636</v>
      </c>
      <c r="U27" s="12">
        <f>IFERROR(ROUND(_xlfn.XLOOKUP(U$7,'Product Tgt'!$B:$B,'Product Tgt'!$G:$G)*L27/L$95,0),0)</f>
        <v>189203</v>
      </c>
      <c r="V27" s="12">
        <f>IFERROR(ROUND(_xlfn.XLOOKUP(V$7,'Product Tgt'!$B:$B,'Product Tgt'!$G:$G)*M27/M$95,0),0)</f>
        <v>90824</v>
      </c>
      <c r="W27" s="12">
        <f>IFERROR(ROUND(_xlfn.XLOOKUP(W$7,'Product Tgt'!$B:$B,'Product Tgt'!$G:$G)*N27/N$95,0),0)</f>
        <v>12511</v>
      </c>
      <c r="X27" s="12">
        <f>IFERROR(ROUND(_xlfn.XLOOKUP(X$7,'Product Tgt'!$B:$B,'Product Tgt'!$G:$G)*O27/O$95,0),0)</f>
        <v>3258</v>
      </c>
      <c r="Y27" s="45">
        <f>IFERROR(ROUND(_xlfn.XLOOKUP(Y$7,'Product Tgt'!$B:$B,'Product Tgt'!$G:$G)*P27/P$95,0),0)</f>
        <v>21972</v>
      </c>
      <c r="Z27" s="20">
        <f>ROUND(IFERROR(Q27/_xlfn.XLOOKUP(Z$7,'Product Tgt'!$B:$B,'Product Tgt'!$D:$D),0),0)</f>
        <v>0</v>
      </c>
      <c r="AA27" s="11">
        <f>ROUND(IFERROR(R27/_xlfn.XLOOKUP(AA$7,'Product Tgt'!$B:$B,'Product Tgt'!$D:$D),0),0)</f>
        <v>0</v>
      </c>
      <c r="AB27" s="11">
        <f>ROUND(IFERROR(U27/_xlfn.XLOOKUP(AB$7,'Product Tgt'!$B:$B,'Product Tgt'!$D:$D),0),0)</f>
        <v>0</v>
      </c>
      <c r="AC27" s="11">
        <f>ROUND(IFERROR(V27/_xlfn.XLOOKUP(AC$7,'Product Tgt'!$B:$B,'Product Tgt'!$D:$D),0),0)</f>
        <v>0</v>
      </c>
      <c r="AD27" s="11">
        <f>ROUND(IFERROR(W27/_xlfn.XLOOKUP(AD$7,'Product Tgt'!$B:$B,'Product Tgt'!$D:$D),0),0)</f>
        <v>0</v>
      </c>
      <c r="AE27" s="11">
        <f>ROUND(IFERROR(X27/_xlfn.XLOOKUP(AE$7,'Product Tgt'!$B:$B,'Product Tgt'!$D:$D),0),0)</f>
        <v>0</v>
      </c>
      <c r="AF27" s="11">
        <f>ROUND(IFERROR(Y27/_xlfn.XLOOKUP(AF$7,'Product Tgt'!$B:$B,'Product Tgt'!$D:$D),0),0)</f>
        <v>0</v>
      </c>
      <c r="AG27" s="10">
        <f>IFERROR(Z27*_xlfn.XLOOKUP(AG$7,'Product Tgt'!$B:$B,'Product Tgt'!$D:$D),0)</f>
        <v>0</v>
      </c>
      <c r="AH27">
        <f>IFERROR(AA27*_xlfn.XLOOKUP(AH$7,'Product Tgt'!$B:$B,'Product Tgt'!$D:$D),0)</f>
        <v>0</v>
      </c>
      <c r="AI27">
        <f>IFERROR(AB27*_xlfn.XLOOKUP(AI$7,'Product Tgt'!$B:$B,'Product Tgt'!$D:$D),0)</f>
        <v>0</v>
      </c>
      <c r="AJ27">
        <f>IFERROR(AC27*_xlfn.XLOOKUP(AJ$7,'Product Tgt'!$B:$B,'Product Tgt'!$D:$D),0)</f>
        <v>0</v>
      </c>
      <c r="AK27">
        <f>IFERROR(AD27*_xlfn.XLOOKUP(AK$7,'Product Tgt'!$B:$B,'Product Tgt'!$D:$D),0)</f>
        <v>0</v>
      </c>
      <c r="AL27">
        <f>IFERROR(AE27*_xlfn.XLOOKUP(AL$7,'Product Tgt'!$B:$B,'Product Tgt'!$D:$D),0)</f>
        <v>0</v>
      </c>
      <c r="AM27">
        <f>IFERROR(AF27*_xlfn.XLOOKUP(AM$7,'Product Tgt'!$B:$B,'Product Tgt'!$D:$D),0)</f>
        <v>0</v>
      </c>
    </row>
    <row r="28" spans="1:39" x14ac:dyDescent="0.25">
      <c r="A28" t="s">
        <v>44</v>
      </c>
      <c r="B28" s="7" t="s">
        <v>51</v>
      </c>
      <c r="C28" s="3">
        <f>_xlfn.XLOOKUP($B28,'Terr Target'!$A:$A,'Terr Target'!$E:$E)</f>
        <v>362897.14352377312</v>
      </c>
      <c r="D28" s="3">
        <f t="shared" si="4"/>
        <v>362899</v>
      </c>
      <c r="E28" s="4">
        <f t="shared" si="5"/>
        <v>1.8564762268797494</v>
      </c>
      <c r="F28" s="9">
        <f t="shared" si="6"/>
        <v>5.1156829500212167E-6</v>
      </c>
      <c r="G28" s="5">
        <f t="shared" si="7"/>
        <v>0.99999488431704997</v>
      </c>
      <c r="H28" s="44">
        <v>2728.1895489601684</v>
      </c>
      <c r="I28" s="12">
        <v>1691.7337604126392</v>
      </c>
      <c r="J28" s="12">
        <v>37330.994084426326</v>
      </c>
      <c r="K28" s="12">
        <v>17994.530586255132</v>
      </c>
      <c r="L28" s="12">
        <v>185312.91312183824</v>
      </c>
      <c r="M28" s="12">
        <v>112347.11596358649</v>
      </c>
      <c r="N28" s="12">
        <v>25395.950009357595</v>
      </c>
      <c r="O28" s="12">
        <v>6166.7611209502611</v>
      </c>
      <c r="P28" s="45">
        <v>11802.238750854358</v>
      </c>
      <c r="Q28" s="44">
        <f>IFERROR(ROUND(_xlfn.XLOOKUP(Q$7,'Product Tgt'!$B:$B,'Product Tgt'!$G:$G)*H28/H$95,0),0)</f>
        <v>2450</v>
      </c>
      <c r="R28" s="12">
        <f>IFERROR(ROUND(_xlfn.XLOOKUP(R$7,'Product Tgt'!$B:$B,'Product Tgt'!$G:$G)*I28/I$95,0),0)</f>
        <v>1522</v>
      </c>
      <c r="S28" s="12">
        <f>IFERROR(ROUND(_xlfn.XLOOKUP(S$7,'Product Tgt'!$B:$B,'Product Tgt'!$G:$G)*J28/J$95,0),0)</f>
        <v>33606</v>
      </c>
      <c r="T28" s="12">
        <f>IFERROR(ROUND(_xlfn.XLOOKUP(T$7,'Product Tgt'!$B:$B,'Product Tgt'!$G:$G)*K28/K$95,0),0)</f>
        <v>16210</v>
      </c>
      <c r="U28" s="12">
        <f>IFERROR(ROUND(_xlfn.XLOOKUP(U$7,'Product Tgt'!$B:$B,'Product Tgt'!$G:$G)*L28/L$95,0),0)</f>
        <v>166814</v>
      </c>
      <c r="V28" s="12">
        <f>IFERROR(ROUND(_xlfn.XLOOKUP(V$7,'Product Tgt'!$B:$B,'Product Tgt'!$G:$G)*M28/M$95,0),0)</f>
        <v>101118</v>
      </c>
      <c r="W28" s="12">
        <f>IFERROR(ROUND(_xlfn.XLOOKUP(W$7,'Product Tgt'!$B:$B,'Product Tgt'!$G:$G)*N28/N$95,0),0)</f>
        <v>24580</v>
      </c>
      <c r="X28" s="12">
        <f>IFERROR(ROUND(_xlfn.XLOOKUP(X$7,'Product Tgt'!$B:$B,'Product Tgt'!$G:$G)*O28/O$95,0),0)</f>
        <v>5966</v>
      </c>
      <c r="Y28" s="45">
        <f>IFERROR(ROUND(_xlfn.XLOOKUP(Y$7,'Product Tgt'!$B:$B,'Product Tgt'!$G:$G)*P28/P$95,0),0)</f>
        <v>10633</v>
      </c>
      <c r="Z28" s="20">
        <f>ROUND(IFERROR(Q28/_xlfn.XLOOKUP(Z$7,'Product Tgt'!$B:$B,'Product Tgt'!$D:$D),0),0)</f>
        <v>0</v>
      </c>
      <c r="AA28" s="11">
        <f>ROUND(IFERROR(R28/_xlfn.XLOOKUP(AA$7,'Product Tgt'!$B:$B,'Product Tgt'!$D:$D),0),0)</f>
        <v>0</v>
      </c>
      <c r="AB28" s="11">
        <f>ROUND(IFERROR(U28/_xlfn.XLOOKUP(AB$7,'Product Tgt'!$B:$B,'Product Tgt'!$D:$D),0),0)</f>
        <v>0</v>
      </c>
      <c r="AC28" s="11">
        <f>ROUND(IFERROR(V28/_xlfn.XLOOKUP(AC$7,'Product Tgt'!$B:$B,'Product Tgt'!$D:$D),0),0)</f>
        <v>0</v>
      </c>
      <c r="AD28" s="11">
        <f>ROUND(IFERROR(W28/_xlfn.XLOOKUP(AD$7,'Product Tgt'!$B:$B,'Product Tgt'!$D:$D),0),0)</f>
        <v>0</v>
      </c>
      <c r="AE28" s="11">
        <f>ROUND(IFERROR(X28/_xlfn.XLOOKUP(AE$7,'Product Tgt'!$B:$B,'Product Tgt'!$D:$D),0),0)</f>
        <v>0</v>
      </c>
      <c r="AF28" s="11">
        <f>ROUND(IFERROR(Y28/_xlfn.XLOOKUP(AF$7,'Product Tgt'!$B:$B,'Product Tgt'!$D:$D),0),0)</f>
        <v>0</v>
      </c>
      <c r="AG28" s="10">
        <f>IFERROR(Z28*_xlfn.XLOOKUP(AG$7,'Product Tgt'!$B:$B,'Product Tgt'!$D:$D),0)</f>
        <v>0</v>
      </c>
      <c r="AH28">
        <f>IFERROR(AA28*_xlfn.XLOOKUP(AH$7,'Product Tgt'!$B:$B,'Product Tgt'!$D:$D),0)</f>
        <v>0</v>
      </c>
      <c r="AI28">
        <f>IFERROR(AB28*_xlfn.XLOOKUP(AI$7,'Product Tgt'!$B:$B,'Product Tgt'!$D:$D),0)</f>
        <v>0</v>
      </c>
      <c r="AJ28">
        <f>IFERROR(AC28*_xlfn.XLOOKUP(AJ$7,'Product Tgt'!$B:$B,'Product Tgt'!$D:$D),0)</f>
        <v>0</v>
      </c>
      <c r="AK28">
        <f>IFERROR(AD28*_xlfn.XLOOKUP(AK$7,'Product Tgt'!$B:$B,'Product Tgt'!$D:$D),0)</f>
        <v>0</v>
      </c>
      <c r="AL28">
        <f>IFERROR(AE28*_xlfn.XLOOKUP(AL$7,'Product Tgt'!$B:$B,'Product Tgt'!$D:$D),0)</f>
        <v>0</v>
      </c>
      <c r="AM28">
        <f>IFERROR(AF28*_xlfn.XLOOKUP(AM$7,'Product Tgt'!$B:$B,'Product Tgt'!$D:$D),0)</f>
        <v>0</v>
      </c>
    </row>
    <row r="29" spans="1:39" x14ac:dyDescent="0.25">
      <c r="A29" t="s">
        <v>44</v>
      </c>
      <c r="B29" s="7" t="s">
        <v>52</v>
      </c>
      <c r="C29" s="3">
        <f>_xlfn.XLOOKUP($B29,'Terr Target'!$A:$A,'Terr Target'!$E:$E)</f>
        <v>424105.48482790129</v>
      </c>
      <c r="D29" s="3">
        <f t="shared" si="4"/>
        <v>424106</v>
      </c>
      <c r="E29" s="4">
        <f t="shared" si="5"/>
        <v>0.51517209870507941</v>
      </c>
      <c r="F29" s="9">
        <f t="shared" si="6"/>
        <v>1.2147248534684239E-6</v>
      </c>
      <c r="G29" s="5">
        <f t="shared" si="7"/>
        <v>0.99999878527514652</v>
      </c>
      <c r="H29" s="44">
        <v>2722.9230094535046</v>
      </c>
      <c r="I29" s="12">
        <v>2073.2604251740268</v>
      </c>
      <c r="J29" s="12">
        <v>45325.81823943487</v>
      </c>
      <c r="K29" s="12">
        <v>19327.439390880048</v>
      </c>
      <c r="L29" s="12">
        <v>214215.85861869549</v>
      </c>
      <c r="M29" s="12">
        <v>144963.25259163594</v>
      </c>
      <c r="N29" s="12">
        <v>20157.533260202756</v>
      </c>
      <c r="O29" s="12">
        <v>6627.7159188090145</v>
      </c>
      <c r="P29" s="45">
        <v>13711.048321883149</v>
      </c>
      <c r="Q29" s="44">
        <f>IFERROR(ROUND(_xlfn.XLOOKUP(Q$7,'Product Tgt'!$B:$B,'Product Tgt'!$G:$G)*H29/H$95,0),0)</f>
        <v>2446</v>
      </c>
      <c r="R29" s="12">
        <f>IFERROR(ROUND(_xlfn.XLOOKUP(R$7,'Product Tgt'!$B:$B,'Product Tgt'!$G:$G)*I29/I$95,0),0)</f>
        <v>1865</v>
      </c>
      <c r="S29" s="12">
        <f>IFERROR(ROUND(_xlfn.XLOOKUP(S$7,'Product Tgt'!$B:$B,'Product Tgt'!$G:$G)*J29/J$95,0),0)</f>
        <v>40803</v>
      </c>
      <c r="T29" s="12">
        <f>IFERROR(ROUND(_xlfn.XLOOKUP(T$7,'Product Tgt'!$B:$B,'Product Tgt'!$G:$G)*K29/K$95,0),0)</f>
        <v>17411</v>
      </c>
      <c r="U29" s="12">
        <f>IFERROR(ROUND(_xlfn.XLOOKUP(U$7,'Product Tgt'!$B:$B,'Product Tgt'!$G:$G)*L29/L$95,0),0)</f>
        <v>192832</v>
      </c>
      <c r="V29" s="12">
        <f>IFERROR(ROUND(_xlfn.XLOOKUP(V$7,'Product Tgt'!$B:$B,'Product Tgt'!$G:$G)*M29/M$95,0),0)</f>
        <v>130474</v>
      </c>
      <c r="W29" s="12">
        <f>IFERROR(ROUND(_xlfn.XLOOKUP(W$7,'Product Tgt'!$B:$B,'Product Tgt'!$G:$G)*N29/N$95,0),0)</f>
        <v>19510</v>
      </c>
      <c r="X29" s="12">
        <f>IFERROR(ROUND(_xlfn.XLOOKUP(X$7,'Product Tgt'!$B:$B,'Product Tgt'!$G:$G)*O29/O$95,0),0)</f>
        <v>6412</v>
      </c>
      <c r="Y29" s="45">
        <f>IFERROR(ROUND(_xlfn.XLOOKUP(Y$7,'Product Tgt'!$B:$B,'Product Tgt'!$G:$G)*P29/P$95,0),0)</f>
        <v>12353</v>
      </c>
      <c r="Z29" s="20">
        <f>ROUND(IFERROR(Q29/_xlfn.XLOOKUP(Z$7,'Product Tgt'!$B:$B,'Product Tgt'!$D:$D),0),0)</f>
        <v>0</v>
      </c>
      <c r="AA29" s="11">
        <f>ROUND(IFERROR(R29/_xlfn.XLOOKUP(AA$7,'Product Tgt'!$B:$B,'Product Tgt'!$D:$D),0),0)</f>
        <v>0</v>
      </c>
      <c r="AB29" s="11">
        <f>ROUND(IFERROR(U29/_xlfn.XLOOKUP(AB$7,'Product Tgt'!$B:$B,'Product Tgt'!$D:$D),0),0)</f>
        <v>0</v>
      </c>
      <c r="AC29" s="11">
        <f>ROUND(IFERROR(V29/_xlfn.XLOOKUP(AC$7,'Product Tgt'!$B:$B,'Product Tgt'!$D:$D),0),0)</f>
        <v>0</v>
      </c>
      <c r="AD29" s="11">
        <f>ROUND(IFERROR(W29/_xlfn.XLOOKUP(AD$7,'Product Tgt'!$B:$B,'Product Tgt'!$D:$D),0),0)</f>
        <v>0</v>
      </c>
      <c r="AE29" s="11">
        <f>ROUND(IFERROR(X29/_xlfn.XLOOKUP(AE$7,'Product Tgt'!$B:$B,'Product Tgt'!$D:$D),0),0)</f>
        <v>0</v>
      </c>
      <c r="AF29" s="11">
        <f>ROUND(IFERROR(Y29/_xlfn.XLOOKUP(AF$7,'Product Tgt'!$B:$B,'Product Tgt'!$D:$D),0),0)</f>
        <v>0</v>
      </c>
      <c r="AG29" s="10">
        <f>IFERROR(Z29*_xlfn.XLOOKUP(AG$7,'Product Tgt'!$B:$B,'Product Tgt'!$D:$D),0)</f>
        <v>0</v>
      </c>
      <c r="AH29">
        <f>IFERROR(AA29*_xlfn.XLOOKUP(AH$7,'Product Tgt'!$B:$B,'Product Tgt'!$D:$D),0)</f>
        <v>0</v>
      </c>
      <c r="AI29">
        <f>IFERROR(AB29*_xlfn.XLOOKUP(AI$7,'Product Tgt'!$B:$B,'Product Tgt'!$D:$D),0)</f>
        <v>0</v>
      </c>
      <c r="AJ29">
        <f>IFERROR(AC29*_xlfn.XLOOKUP(AJ$7,'Product Tgt'!$B:$B,'Product Tgt'!$D:$D),0)</f>
        <v>0</v>
      </c>
      <c r="AK29">
        <f>IFERROR(AD29*_xlfn.XLOOKUP(AK$7,'Product Tgt'!$B:$B,'Product Tgt'!$D:$D),0)</f>
        <v>0</v>
      </c>
      <c r="AL29">
        <f>IFERROR(AE29*_xlfn.XLOOKUP(AL$7,'Product Tgt'!$B:$B,'Product Tgt'!$D:$D),0)</f>
        <v>0</v>
      </c>
      <c r="AM29">
        <f>IFERROR(AF29*_xlfn.XLOOKUP(AM$7,'Product Tgt'!$B:$B,'Product Tgt'!$D:$D),0)</f>
        <v>0</v>
      </c>
    </row>
    <row r="30" spans="1:39" x14ac:dyDescent="0.25">
      <c r="A30" t="s">
        <v>44</v>
      </c>
      <c r="B30" s="7" t="s">
        <v>53</v>
      </c>
      <c r="C30" s="3">
        <f>_xlfn.XLOOKUP($B30,'Terr Target'!$A:$A,'Terr Target'!$E:$E)</f>
        <v>432825.3505884466</v>
      </c>
      <c r="D30" s="3">
        <f t="shared" si="4"/>
        <v>432821</v>
      </c>
      <c r="E30" s="4">
        <f t="shared" si="5"/>
        <v>-4.3505884465994313</v>
      </c>
      <c r="F30" s="9">
        <f t="shared" si="6"/>
        <v>1.0051703698756371E-5</v>
      </c>
      <c r="G30" s="5">
        <f t="shared" si="7"/>
        <v>1.0000100517036987</v>
      </c>
      <c r="H30" s="44">
        <v>3351.5654756471436</v>
      </c>
      <c r="I30" s="12">
        <v>2159.2250869618351</v>
      </c>
      <c r="J30" s="12">
        <v>25652.847972058877</v>
      </c>
      <c r="K30" s="12">
        <v>20539.484414975177</v>
      </c>
      <c r="L30" s="12">
        <v>243373.46079462764</v>
      </c>
      <c r="M30" s="12">
        <v>145865.82407709121</v>
      </c>
      <c r="N30" s="12">
        <v>17587.908840912642</v>
      </c>
      <c r="O30" s="12">
        <v>7229.7516670538071</v>
      </c>
      <c r="P30" s="45">
        <v>13197.420507483355</v>
      </c>
      <c r="Q30" s="44">
        <f>IFERROR(ROUND(_xlfn.XLOOKUP(Q$7,'Product Tgt'!$B:$B,'Product Tgt'!$G:$G)*H30/H$95,0),0)</f>
        <v>3010</v>
      </c>
      <c r="R30" s="12">
        <f>IFERROR(ROUND(_xlfn.XLOOKUP(R$7,'Product Tgt'!$B:$B,'Product Tgt'!$G:$G)*I30/I$95,0),0)</f>
        <v>1942</v>
      </c>
      <c r="S30" s="12">
        <f>IFERROR(ROUND(_xlfn.XLOOKUP(S$7,'Product Tgt'!$B:$B,'Product Tgt'!$G:$G)*J30/J$95,0),0)</f>
        <v>23093</v>
      </c>
      <c r="T30" s="12">
        <f>IFERROR(ROUND(_xlfn.XLOOKUP(T$7,'Product Tgt'!$B:$B,'Product Tgt'!$G:$G)*K30/K$95,0),0)</f>
        <v>18503</v>
      </c>
      <c r="U30" s="12">
        <f>IFERROR(ROUND(_xlfn.XLOOKUP(U$7,'Product Tgt'!$B:$B,'Product Tgt'!$G:$G)*L30/L$95,0),0)</f>
        <v>219078</v>
      </c>
      <c r="V30" s="12">
        <f>IFERROR(ROUND(_xlfn.XLOOKUP(V$7,'Product Tgt'!$B:$B,'Product Tgt'!$G:$G)*M30/M$95,0),0)</f>
        <v>131287</v>
      </c>
      <c r="W30" s="12">
        <f>IFERROR(ROUND(_xlfn.XLOOKUP(W$7,'Product Tgt'!$B:$B,'Product Tgt'!$G:$G)*N30/N$95,0),0)</f>
        <v>17023</v>
      </c>
      <c r="X30" s="12">
        <f>IFERROR(ROUND(_xlfn.XLOOKUP(X$7,'Product Tgt'!$B:$B,'Product Tgt'!$G:$G)*O30/O$95,0),0)</f>
        <v>6995</v>
      </c>
      <c r="Y30" s="45">
        <f>IFERROR(ROUND(_xlfn.XLOOKUP(Y$7,'Product Tgt'!$B:$B,'Product Tgt'!$G:$G)*P30/P$95,0),0)</f>
        <v>11890</v>
      </c>
      <c r="Z30" s="20">
        <f>ROUND(IFERROR(Q30/_xlfn.XLOOKUP(Z$7,'Product Tgt'!$B:$B,'Product Tgt'!$D:$D),0),0)</f>
        <v>0</v>
      </c>
      <c r="AA30" s="11">
        <f>ROUND(IFERROR(R30/_xlfn.XLOOKUP(AA$7,'Product Tgt'!$B:$B,'Product Tgt'!$D:$D),0),0)</f>
        <v>0</v>
      </c>
      <c r="AB30" s="11">
        <f>ROUND(IFERROR(U30/_xlfn.XLOOKUP(AB$7,'Product Tgt'!$B:$B,'Product Tgt'!$D:$D),0),0)</f>
        <v>0</v>
      </c>
      <c r="AC30" s="11">
        <f>ROUND(IFERROR(V30/_xlfn.XLOOKUP(AC$7,'Product Tgt'!$B:$B,'Product Tgt'!$D:$D),0),0)</f>
        <v>0</v>
      </c>
      <c r="AD30" s="11">
        <f>ROUND(IFERROR(W30/_xlfn.XLOOKUP(AD$7,'Product Tgt'!$B:$B,'Product Tgt'!$D:$D),0),0)</f>
        <v>0</v>
      </c>
      <c r="AE30" s="11">
        <f>ROUND(IFERROR(X30/_xlfn.XLOOKUP(AE$7,'Product Tgt'!$B:$B,'Product Tgt'!$D:$D),0),0)</f>
        <v>0</v>
      </c>
      <c r="AF30" s="11">
        <f>ROUND(IFERROR(Y30/_xlfn.XLOOKUP(AF$7,'Product Tgt'!$B:$B,'Product Tgt'!$D:$D),0),0)</f>
        <v>0</v>
      </c>
      <c r="AG30" s="10">
        <f>IFERROR(Z30*_xlfn.XLOOKUP(AG$7,'Product Tgt'!$B:$B,'Product Tgt'!$D:$D),0)</f>
        <v>0</v>
      </c>
      <c r="AH30">
        <f>IFERROR(AA30*_xlfn.XLOOKUP(AH$7,'Product Tgt'!$B:$B,'Product Tgt'!$D:$D),0)</f>
        <v>0</v>
      </c>
      <c r="AI30">
        <f>IFERROR(AB30*_xlfn.XLOOKUP(AI$7,'Product Tgt'!$B:$B,'Product Tgt'!$D:$D),0)</f>
        <v>0</v>
      </c>
      <c r="AJ30">
        <f>IFERROR(AC30*_xlfn.XLOOKUP(AJ$7,'Product Tgt'!$B:$B,'Product Tgt'!$D:$D),0)</f>
        <v>0</v>
      </c>
      <c r="AK30">
        <f>IFERROR(AD30*_xlfn.XLOOKUP(AK$7,'Product Tgt'!$B:$B,'Product Tgt'!$D:$D),0)</f>
        <v>0</v>
      </c>
      <c r="AL30">
        <f>IFERROR(AE30*_xlfn.XLOOKUP(AL$7,'Product Tgt'!$B:$B,'Product Tgt'!$D:$D),0)</f>
        <v>0</v>
      </c>
      <c r="AM30">
        <f>IFERROR(AF30*_xlfn.XLOOKUP(AM$7,'Product Tgt'!$B:$B,'Product Tgt'!$D:$D),0)</f>
        <v>0</v>
      </c>
    </row>
    <row r="31" spans="1:39" x14ac:dyDescent="0.25">
      <c r="A31" t="s">
        <v>44</v>
      </c>
      <c r="B31" s="7" t="s">
        <v>54</v>
      </c>
      <c r="C31" s="3">
        <f>_xlfn.XLOOKUP($B31,'Terr Target'!$A:$A,'Terr Target'!$E:$E)</f>
        <v>425619.47076442378</v>
      </c>
      <c r="D31" s="3">
        <f t="shared" si="4"/>
        <v>425621</v>
      </c>
      <c r="E31" s="4">
        <f t="shared" si="5"/>
        <v>1.5292355762212537</v>
      </c>
      <c r="F31" s="9">
        <f t="shared" si="6"/>
        <v>3.5929514197402236E-6</v>
      </c>
      <c r="G31" s="5">
        <f t="shared" si="7"/>
        <v>0.99999640704858028</v>
      </c>
      <c r="H31" s="44">
        <v>2714.311087300845</v>
      </c>
      <c r="I31" s="12">
        <v>2060.1760126514823</v>
      </c>
      <c r="J31" s="12">
        <v>52377.898154669652</v>
      </c>
      <c r="K31" s="12">
        <v>19723.106804692889</v>
      </c>
      <c r="L31" s="12">
        <v>216699.82408367767</v>
      </c>
      <c r="M31" s="12">
        <v>135958.71793769702</v>
      </c>
      <c r="N31" s="12">
        <v>20543.745654768558</v>
      </c>
      <c r="O31" s="12">
        <v>6754.2029293617597</v>
      </c>
      <c r="P31" s="45">
        <v>13935.017018977775</v>
      </c>
      <c r="Q31" s="44">
        <f>IFERROR(ROUND(_xlfn.XLOOKUP(Q$7,'Product Tgt'!$B:$B,'Product Tgt'!$G:$G)*H31/H$95,0),0)</f>
        <v>2438</v>
      </c>
      <c r="R31" s="12">
        <f>IFERROR(ROUND(_xlfn.XLOOKUP(R$7,'Product Tgt'!$B:$B,'Product Tgt'!$G:$G)*I31/I$95,0),0)</f>
        <v>1853</v>
      </c>
      <c r="S31" s="12">
        <f>IFERROR(ROUND(_xlfn.XLOOKUP(S$7,'Product Tgt'!$B:$B,'Product Tgt'!$G:$G)*J31/J$95,0),0)</f>
        <v>47151</v>
      </c>
      <c r="T31" s="12">
        <f>IFERROR(ROUND(_xlfn.XLOOKUP(T$7,'Product Tgt'!$B:$B,'Product Tgt'!$G:$G)*K31/K$95,0),0)</f>
        <v>17768</v>
      </c>
      <c r="U31" s="12">
        <f>IFERROR(ROUND(_xlfn.XLOOKUP(U$7,'Product Tgt'!$B:$B,'Product Tgt'!$G:$G)*L31/L$95,0),0)</f>
        <v>195068</v>
      </c>
      <c r="V31" s="12">
        <f>IFERROR(ROUND(_xlfn.XLOOKUP(V$7,'Product Tgt'!$B:$B,'Product Tgt'!$G:$G)*M31/M$95,0),0)</f>
        <v>122370</v>
      </c>
      <c r="W31" s="12">
        <f>IFERROR(ROUND(_xlfn.XLOOKUP(W$7,'Product Tgt'!$B:$B,'Product Tgt'!$G:$G)*N31/N$95,0),0)</f>
        <v>19884</v>
      </c>
      <c r="X31" s="12">
        <f>IFERROR(ROUND(_xlfn.XLOOKUP(X$7,'Product Tgt'!$B:$B,'Product Tgt'!$G:$G)*O31/O$95,0),0)</f>
        <v>6535</v>
      </c>
      <c r="Y31" s="45">
        <f>IFERROR(ROUND(_xlfn.XLOOKUP(Y$7,'Product Tgt'!$B:$B,'Product Tgt'!$G:$G)*P31/P$95,0),0)</f>
        <v>12554</v>
      </c>
      <c r="Z31" s="20">
        <f>ROUND(IFERROR(Q31/_xlfn.XLOOKUP(Z$7,'Product Tgt'!$B:$B,'Product Tgt'!$D:$D),0),0)</f>
        <v>0</v>
      </c>
      <c r="AA31" s="11">
        <f>ROUND(IFERROR(R31/_xlfn.XLOOKUP(AA$7,'Product Tgt'!$B:$B,'Product Tgt'!$D:$D),0),0)</f>
        <v>0</v>
      </c>
      <c r="AB31" s="11">
        <f>ROUND(IFERROR(U31/_xlfn.XLOOKUP(AB$7,'Product Tgt'!$B:$B,'Product Tgt'!$D:$D),0),0)</f>
        <v>0</v>
      </c>
      <c r="AC31" s="11">
        <f>ROUND(IFERROR(V31/_xlfn.XLOOKUP(AC$7,'Product Tgt'!$B:$B,'Product Tgt'!$D:$D),0),0)</f>
        <v>0</v>
      </c>
      <c r="AD31" s="11">
        <f>ROUND(IFERROR(W31/_xlfn.XLOOKUP(AD$7,'Product Tgt'!$B:$B,'Product Tgt'!$D:$D),0),0)</f>
        <v>0</v>
      </c>
      <c r="AE31" s="11">
        <f>ROUND(IFERROR(X31/_xlfn.XLOOKUP(AE$7,'Product Tgt'!$B:$B,'Product Tgt'!$D:$D),0),0)</f>
        <v>0</v>
      </c>
      <c r="AF31" s="11">
        <f>ROUND(IFERROR(Y31/_xlfn.XLOOKUP(AF$7,'Product Tgt'!$B:$B,'Product Tgt'!$D:$D),0),0)</f>
        <v>0</v>
      </c>
      <c r="AG31" s="10">
        <f>IFERROR(Z31*_xlfn.XLOOKUP(AG$7,'Product Tgt'!$B:$B,'Product Tgt'!$D:$D),0)</f>
        <v>0</v>
      </c>
      <c r="AH31">
        <f>IFERROR(AA31*_xlfn.XLOOKUP(AH$7,'Product Tgt'!$B:$B,'Product Tgt'!$D:$D),0)</f>
        <v>0</v>
      </c>
      <c r="AI31">
        <f>IFERROR(AB31*_xlfn.XLOOKUP(AI$7,'Product Tgt'!$B:$B,'Product Tgt'!$D:$D),0)</f>
        <v>0</v>
      </c>
      <c r="AJ31">
        <f>IFERROR(AC31*_xlfn.XLOOKUP(AJ$7,'Product Tgt'!$B:$B,'Product Tgt'!$D:$D),0)</f>
        <v>0</v>
      </c>
      <c r="AK31">
        <f>IFERROR(AD31*_xlfn.XLOOKUP(AK$7,'Product Tgt'!$B:$B,'Product Tgt'!$D:$D),0)</f>
        <v>0</v>
      </c>
      <c r="AL31">
        <f>IFERROR(AE31*_xlfn.XLOOKUP(AL$7,'Product Tgt'!$B:$B,'Product Tgt'!$D:$D),0)</f>
        <v>0</v>
      </c>
      <c r="AM31">
        <f>IFERROR(AF31*_xlfn.XLOOKUP(AM$7,'Product Tgt'!$B:$B,'Product Tgt'!$D:$D),0)</f>
        <v>0</v>
      </c>
    </row>
    <row r="32" spans="1:39" x14ac:dyDescent="0.25">
      <c r="A32" t="s">
        <v>28</v>
      </c>
      <c r="B32" s="7" t="s">
        <v>55</v>
      </c>
      <c r="C32" s="3">
        <f>_xlfn.XLOOKUP($B32,'Terr Target'!$A:$A,'Terr Target'!$E:$E)</f>
        <v>631353.43876081472</v>
      </c>
      <c r="D32" s="3">
        <f t="shared" si="4"/>
        <v>631352</v>
      </c>
      <c r="E32" s="4">
        <f t="shared" si="5"/>
        <v>-1.4387608147226274</v>
      </c>
      <c r="F32" s="9">
        <f t="shared" si="6"/>
        <v>2.2788568258635872E-6</v>
      </c>
      <c r="G32" s="5">
        <f t="shared" si="7"/>
        <v>1.0000022788568259</v>
      </c>
      <c r="H32" s="44">
        <v>4818.7674028197089</v>
      </c>
      <c r="I32" s="12">
        <v>10306.337627090248</v>
      </c>
      <c r="J32" s="12">
        <v>79179.705147746121</v>
      </c>
      <c r="K32" s="12">
        <v>28360.005717863605</v>
      </c>
      <c r="L32" s="12">
        <v>356976.7098833358</v>
      </c>
      <c r="M32" s="12">
        <v>151426.67560039481</v>
      </c>
      <c r="N32" s="12">
        <v>25488.580747570668</v>
      </c>
      <c r="O32" s="12">
        <v>7563.8817797151869</v>
      </c>
      <c r="P32" s="45">
        <v>34748.482596600188</v>
      </c>
      <c r="Q32" s="44">
        <f>IFERROR(ROUND(_xlfn.XLOOKUP(Q$7,'Product Tgt'!$B:$B,'Product Tgt'!$G:$G)*H32/H$95,0),0)</f>
        <v>4328</v>
      </c>
      <c r="R32" s="12">
        <f>IFERROR(ROUND(_xlfn.XLOOKUP(R$7,'Product Tgt'!$B:$B,'Product Tgt'!$G:$G)*I32/I$95,0),0)</f>
        <v>9271</v>
      </c>
      <c r="S32" s="12">
        <f>IFERROR(ROUND(_xlfn.XLOOKUP(S$7,'Product Tgt'!$B:$B,'Product Tgt'!$G:$G)*J32/J$95,0),0)</f>
        <v>71278</v>
      </c>
      <c r="T32" s="12">
        <f>IFERROR(ROUND(_xlfn.XLOOKUP(T$7,'Product Tgt'!$B:$B,'Product Tgt'!$G:$G)*K32/K$95,0),0)</f>
        <v>25548</v>
      </c>
      <c r="U32" s="12">
        <f>IFERROR(ROUND(_xlfn.XLOOKUP(U$7,'Product Tgt'!$B:$B,'Product Tgt'!$G:$G)*L32/L$95,0),0)</f>
        <v>321341</v>
      </c>
      <c r="V32" s="12">
        <f>IFERROR(ROUND(_xlfn.XLOOKUP(V$7,'Product Tgt'!$B:$B,'Product Tgt'!$G:$G)*M32/M$95,0),0)</f>
        <v>136292</v>
      </c>
      <c r="W32" s="12">
        <f>IFERROR(ROUND(_xlfn.XLOOKUP(W$7,'Product Tgt'!$B:$B,'Product Tgt'!$G:$G)*N32/N$95,0),0)</f>
        <v>24670</v>
      </c>
      <c r="X32" s="12">
        <f>IFERROR(ROUND(_xlfn.XLOOKUP(X$7,'Product Tgt'!$B:$B,'Product Tgt'!$G:$G)*O32/O$95,0),0)</f>
        <v>7318</v>
      </c>
      <c r="Y32" s="45">
        <f>IFERROR(ROUND(_xlfn.XLOOKUP(Y$7,'Product Tgt'!$B:$B,'Product Tgt'!$G:$G)*P32/P$95,0),0)</f>
        <v>31306</v>
      </c>
      <c r="Z32" s="20">
        <f>ROUND(IFERROR(Q32/_xlfn.XLOOKUP(Z$7,'Product Tgt'!$B:$B,'Product Tgt'!$D:$D),0),0)</f>
        <v>0</v>
      </c>
      <c r="AA32" s="11">
        <f>ROUND(IFERROR(R32/_xlfn.XLOOKUP(AA$7,'Product Tgt'!$B:$B,'Product Tgt'!$D:$D),0),0)</f>
        <v>0</v>
      </c>
      <c r="AB32" s="11">
        <f>ROUND(IFERROR(U32/_xlfn.XLOOKUP(AB$7,'Product Tgt'!$B:$B,'Product Tgt'!$D:$D),0),0)</f>
        <v>0</v>
      </c>
      <c r="AC32" s="11">
        <f>ROUND(IFERROR(V32/_xlfn.XLOOKUP(AC$7,'Product Tgt'!$B:$B,'Product Tgt'!$D:$D),0),0)</f>
        <v>0</v>
      </c>
      <c r="AD32" s="11">
        <f>ROUND(IFERROR(W32/_xlfn.XLOOKUP(AD$7,'Product Tgt'!$B:$B,'Product Tgt'!$D:$D),0),0)</f>
        <v>0</v>
      </c>
      <c r="AE32" s="11">
        <f>ROUND(IFERROR(X32/_xlfn.XLOOKUP(AE$7,'Product Tgt'!$B:$B,'Product Tgt'!$D:$D),0),0)</f>
        <v>0</v>
      </c>
      <c r="AF32" s="11">
        <f>ROUND(IFERROR(Y32/_xlfn.XLOOKUP(AF$7,'Product Tgt'!$B:$B,'Product Tgt'!$D:$D),0),0)</f>
        <v>0</v>
      </c>
      <c r="AG32" s="10">
        <f>IFERROR(Z32*_xlfn.XLOOKUP(AG$7,'Product Tgt'!$B:$B,'Product Tgt'!$D:$D),0)</f>
        <v>0</v>
      </c>
      <c r="AH32">
        <f>IFERROR(AA32*_xlfn.XLOOKUP(AH$7,'Product Tgt'!$B:$B,'Product Tgt'!$D:$D),0)</f>
        <v>0</v>
      </c>
      <c r="AI32">
        <f>IFERROR(AB32*_xlfn.XLOOKUP(AI$7,'Product Tgt'!$B:$B,'Product Tgt'!$D:$D),0)</f>
        <v>0</v>
      </c>
      <c r="AJ32">
        <f>IFERROR(AC32*_xlfn.XLOOKUP(AJ$7,'Product Tgt'!$B:$B,'Product Tgt'!$D:$D),0)</f>
        <v>0</v>
      </c>
      <c r="AK32">
        <f>IFERROR(AD32*_xlfn.XLOOKUP(AK$7,'Product Tgt'!$B:$B,'Product Tgt'!$D:$D),0)</f>
        <v>0</v>
      </c>
      <c r="AL32">
        <f>IFERROR(AE32*_xlfn.XLOOKUP(AL$7,'Product Tgt'!$B:$B,'Product Tgt'!$D:$D),0)</f>
        <v>0</v>
      </c>
      <c r="AM32">
        <f>IFERROR(AF32*_xlfn.XLOOKUP(AM$7,'Product Tgt'!$B:$B,'Product Tgt'!$D:$D),0)</f>
        <v>0</v>
      </c>
    </row>
    <row r="33" spans="1:39" x14ac:dyDescent="0.25">
      <c r="A33" t="s">
        <v>28</v>
      </c>
      <c r="B33" s="7" t="s">
        <v>56</v>
      </c>
      <c r="C33" s="3">
        <f>_xlfn.XLOOKUP($B33,'Terr Target'!$A:$A,'Terr Target'!$E:$E)</f>
        <v>559985.86284853367</v>
      </c>
      <c r="D33" s="3">
        <f t="shared" si="4"/>
        <v>559981</v>
      </c>
      <c r="E33" s="4">
        <f t="shared" si="5"/>
        <v>-4.8628485336666927</v>
      </c>
      <c r="F33" s="9">
        <f t="shared" si="6"/>
        <v>8.68395272994386E-6</v>
      </c>
      <c r="G33" s="5">
        <f t="shared" si="7"/>
        <v>1.00000868395273</v>
      </c>
      <c r="H33" s="44">
        <v>2739.5116658409665</v>
      </c>
      <c r="I33" s="12">
        <v>9028.1529596004821</v>
      </c>
      <c r="J33" s="12">
        <v>55688.516216551303</v>
      </c>
      <c r="K33" s="12">
        <v>20728.151970275063</v>
      </c>
      <c r="L33" s="12">
        <v>331208.44916572765</v>
      </c>
      <c r="M33" s="12">
        <v>154763.54532148852</v>
      </c>
      <c r="N33" s="12">
        <v>19734.421300750204</v>
      </c>
      <c r="O33" s="12">
        <v>7028.0716884910034</v>
      </c>
      <c r="P33" s="45">
        <v>19152.419728111578</v>
      </c>
      <c r="Q33" s="44">
        <f>IFERROR(ROUND(_xlfn.XLOOKUP(Q$7,'Product Tgt'!$B:$B,'Product Tgt'!$G:$G)*H33/H$95,0),0)</f>
        <v>2461</v>
      </c>
      <c r="R33" s="12">
        <f>IFERROR(ROUND(_xlfn.XLOOKUP(R$7,'Product Tgt'!$B:$B,'Product Tgt'!$G:$G)*I33/I$95,0),0)</f>
        <v>8121</v>
      </c>
      <c r="S33" s="12">
        <f>IFERROR(ROUND(_xlfn.XLOOKUP(S$7,'Product Tgt'!$B:$B,'Product Tgt'!$G:$G)*J33/J$95,0),0)</f>
        <v>50131</v>
      </c>
      <c r="T33" s="12">
        <f>IFERROR(ROUND(_xlfn.XLOOKUP(T$7,'Product Tgt'!$B:$B,'Product Tgt'!$G:$G)*K33/K$95,0),0)</f>
        <v>18673</v>
      </c>
      <c r="U33" s="12">
        <f>IFERROR(ROUND(_xlfn.XLOOKUP(U$7,'Product Tgt'!$B:$B,'Product Tgt'!$G:$G)*L33/L$95,0),0)</f>
        <v>298145</v>
      </c>
      <c r="V33" s="12">
        <f>IFERROR(ROUND(_xlfn.XLOOKUP(V$7,'Product Tgt'!$B:$B,'Product Tgt'!$G:$G)*M33/M$95,0),0)</f>
        <v>139295</v>
      </c>
      <c r="W33" s="12">
        <f>IFERROR(ROUND(_xlfn.XLOOKUP(W$7,'Product Tgt'!$B:$B,'Product Tgt'!$G:$G)*N33/N$95,0),0)</f>
        <v>19100</v>
      </c>
      <c r="X33" s="12">
        <f>IFERROR(ROUND(_xlfn.XLOOKUP(X$7,'Product Tgt'!$B:$B,'Product Tgt'!$G:$G)*O33/O$95,0),0)</f>
        <v>6800</v>
      </c>
      <c r="Y33" s="45">
        <f>IFERROR(ROUND(_xlfn.XLOOKUP(Y$7,'Product Tgt'!$B:$B,'Product Tgt'!$G:$G)*P33/P$95,0),0)</f>
        <v>17255</v>
      </c>
      <c r="Z33" s="20">
        <f>ROUND(IFERROR(Q33/_xlfn.XLOOKUP(Z$7,'Product Tgt'!$B:$B,'Product Tgt'!$D:$D),0),0)</f>
        <v>0</v>
      </c>
      <c r="AA33" s="11">
        <f>ROUND(IFERROR(R33/_xlfn.XLOOKUP(AA$7,'Product Tgt'!$B:$B,'Product Tgt'!$D:$D),0),0)</f>
        <v>0</v>
      </c>
      <c r="AB33" s="11">
        <f>ROUND(IFERROR(U33/_xlfn.XLOOKUP(AB$7,'Product Tgt'!$B:$B,'Product Tgt'!$D:$D),0),0)</f>
        <v>0</v>
      </c>
      <c r="AC33" s="11">
        <f>ROUND(IFERROR(V33/_xlfn.XLOOKUP(AC$7,'Product Tgt'!$B:$B,'Product Tgt'!$D:$D),0),0)</f>
        <v>0</v>
      </c>
      <c r="AD33" s="11">
        <f>ROUND(IFERROR(W33/_xlfn.XLOOKUP(AD$7,'Product Tgt'!$B:$B,'Product Tgt'!$D:$D),0),0)</f>
        <v>0</v>
      </c>
      <c r="AE33" s="11">
        <f>ROUND(IFERROR(X33/_xlfn.XLOOKUP(AE$7,'Product Tgt'!$B:$B,'Product Tgt'!$D:$D),0),0)</f>
        <v>0</v>
      </c>
      <c r="AF33" s="11">
        <f>ROUND(IFERROR(Y33/_xlfn.XLOOKUP(AF$7,'Product Tgt'!$B:$B,'Product Tgt'!$D:$D),0),0)</f>
        <v>0</v>
      </c>
      <c r="AG33" s="10">
        <f>IFERROR(Z33*_xlfn.XLOOKUP(AG$7,'Product Tgt'!$B:$B,'Product Tgt'!$D:$D),0)</f>
        <v>0</v>
      </c>
      <c r="AH33">
        <f>IFERROR(AA33*_xlfn.XLOOKUP(AH$7,'Product Tgt'!$B:$B,'Product Tgt'!$D:$D),0)</f>
        <v>0</v>
      </c>
      <c r="AI33">
        <f>IFERROR(AB33*_xlfn.XLOOKUP(AI$7,'Product Tgt'!$B:$B,'Product Tgt'!$D:$D),0)</f>
        <v>0</v>
      </c>
      <c r="AJ33">
        <f>IFERROR(AC33*_xlfn.XLOOKUP(AJ$7,'Product Tgt'!$B:$B,'Product Tgt'!$D:$D),0)</f>
        <v>0</v>
      </c>
      <c r="AK33">
        <f>IFERROR(AD33*_xlfn.XLOOKUP(AK$7,'Product Tgt'!$B:$B,'Product Tgt'!$D:$D),0)</f>
        <v>0</v>
      </c>
      <c r="AL33">
        <f>IFERROR(AE33*_xlfn.XLOOKUP(AL$7,'Product Tgt'!$B:$B,'Product Tgt'!$D:$D),0)</f>
        <v>0</v>
      </c>
      <c r="AM33">
        <f>IFERROR(AF33*_xlfn.XLOOKUP(AM$7,'Product Tgt'!$B:$B,'Product Tgt'!$D:$D),0)</f>
        <v>0</v>
      </c>
    </row>
    <row r="34" spans="1:39" x14ac:dyDescent="0.25">
      <c r="A34" t="s">
        <v>36</v>
      </c>
      <c r="B34" s="7" t="s">
        <v>57</v>
      </c>
      <c r="C34" s="3">
        <f>_xlfn.XLOOKUP($B34,'Terr Target'!$A:$A,'Terr Target'!$E:$E)</f>
        <v>877408.8098450047</v>
      </c>
      <c r="D34" s="3">
        <f t="shared" si="4"/>
        <v>877417</v>
      </c>
      <c r="E34" s="4">
        <f t="shared" si="5"/>
        <v>8.190154995303601</v>
      </c>
      <c r="F34" s="9">
        <f>ABS(E34)/D34</f>
        <v>9.3343928773930761E-6</v>
      </c>
      <c r="G34" s="5">
        <f t="shared" si="7"/>
        <v>0.99999066560712258</v>
      </c>
      <c r="H34" s="44">
        <v>7846.6769341903064</v>
      </c>
      <c r="I34" s="12">
        <v>7985.5978821109456</v>
      </c>
      <c r="J34" s="12">
        <v>67845.967296885196</v>
      </c>
      <c r="K34" s="12">
        <v>69287.831330317116</v>
      </c>
      <c r="L34" s="12">
        <v>368457.76741209294</v>
      </c>
      <c r="M34" s="12">
        <v>319407.35900700453</v>
      </c>
      <c r="N34" s="12">
        <v>56273.778440974653</v>
      </c>
      <c r="O34" s="12">
        <v>12318.719194218987</v>
      </c>
      <c r="P34" s="45">
        <v>60103.670801784487</v>
      </c>
      <c r="Q34" s="44">
        <f>IFERROR(ROUND(_xlfn.XLOOKUP(Q$7,'Product Tgt'!$B:$B,'Product Tgt'!$G:$G)*H34/H$95,0),0)</f>
        <v>7048</v>
      </c>
      <c r="R34" s="12">
        <f>IFERROR(ROUND(_xlfn.XLOOKUP(R$7,'Product Tgt'!$B:$B,'Product Tgt'!$G:$G)*I34/I$95,0),0)</f>
        <v>7183</v>
      </c>
      <c r="S34" s="12">
        <f>IFERROR(ROUND(_xlfn.XLOOKUP(S$7,'Product Tgt'!$B:$B,'Product Tgt'!$G:$G)*J34/J$95,0),0)</f>
        <v>61076</v>
      </c>
      <c r="T34" s="12">
        <f>IFERROR(ROUND(_xlfn.XLOOKUP(T$7,'Product Tgt'!$B:$B,'Product Tgt'!$G:$G)*K34/K$95,0),0)</f>
        <v>62418</v>
      </c>
      <c r="U34" s="12">
        <f>IFERROR(ROUND(_xlfn.XLOOKUP(U$7,'Product Tgt'!$B:$B,'Product Tgt'!$G:$G)*L34/L$95,0),0)</f>
        <v>331676</v>
      </c>
      <c r="V34" s="12">
        <f>IFERROR(ROUND(_xlfn.XLOOKUP(V$7,'Product Tgt'!$B:$B,'Product Tgt'!$G:$G)*M34/M$95,0),0)</f>
        <v>287483</v>
      </c>
      <c r="W34" s="12">
        <f>IFERROR(ROUND(_xlfn.XLOOKUP(W$7,'Product Tgt'!$B:$B,'Product Tgt'!$G:$G)*N34/N$95,0),0)</f>
        <v>54466</v>
      </c>
      <c r="X34" s="12">
        <f>IFERROR(ROUND(_xlfn.XLOOKUP(X$7,'Product Tgt'!$B:$B,'Product Tgt'!$G:$G)*O34/O$95,0),0)</f>
        <v>11918</v>
      </c>
      <c r="Y34" s="45">
        <f>IFERROR(ROUND(_xlfn.XLOOKUP(Y$7,'Product Tgt'!$B:$B,'Product Tgt'!$G:$G)*P34/P$95,0),0)</f>
        <v>54149</v>
      </c>
      <c r="Z34" s="20">
        <f>ROUND(IFERROR(Q34/_xlfn.XLOOKUP(Z$7,'Product Tgt'!$B:$B,'Product Tgt'!$D:$D),0),0)</f>
        <v>0</v>
      </c>
      <c r="AA34" s="11">
        <f>ROUND(IFERROR(R34/_xlfn.XLOOKUP(AA$7,'Product Tgt'!$B:$B,'Product Tgt'!$D:$D),0),0)</f>
        <v>0</v>
      </c>
      <c r="AB34" s="11">
        <f>ROUND(IFERROR(U34/_xlfn.XLOOKUP(AB$7,'Product Tgt'!$B:$B,'Product Tgt'!$D:$D),0),0)</f>
        <v>0</v>
      </c>
      <c r="AC34" s="11">
        <f>ROUND(IFERROR(V34/_xlfn.XLOOKUP(AC$7,'Product Tgt'!$B:$B,'Product Tgt'!$D:$D),0),0)</f>
        <v>0</v>
      </c>
      <c r="AD34" s="11">
        <f>ROUND(IFERROR(W34/_xlfn.XLOOKUP(AD$7,'Product Tgt'!$B:$B,'Product Tgt'!$D:$D),0),0)</f>
        <v>0</v>
      </c>
      <c r="AE34" s="11">
        <f>ROUND(IFERROR(X34/_xlfn.XLOOKUP(AE$7,'Product Tgt'!$B:$B,'Product Tgt'!$D:$D),0),0)</f>
        <v>0</v>
      </c>
      <c r="AF34" s="11">
        <f>ROUND(IFERROR(Y34/_xlfn.XLOOKUP(AF$7,'Product Tgt'!$B:$B,'Product Tgt'!$D:$D),0),0)</f>
        <v>0</v>
      </c>
      <c r="AG34" s="10">
        <f>IFERROR(Z34*_xlfn.XLOOKUP(AG$7,'Product Tgt'!$B:$B,'Product Tgt'!$D:$D),0)</f>
        <v>0</v>
      </c>
      <c r="AH34">
        <f>IFERROR(AA34*_xlfn.XLOOKUP(AH$7,'Product Tgt'!$B:$B,'Product Tgt'!$D:$D),0)</f>
        <v>0</v>
      </c>
      <c r="AI34">
        <f>IFERROR(AB34*_xlfn.XLOOKUP(AI$7,'Product Tgt'!$B:$B,'Product Tgt'!$D:$D),0)</f>
        <v>0</v>
      </c>
      <c r="AJ34">
        <f>IFERROR(AC34*_xlfn.XLOOKUP(AJ$7,'Product Tgt'!$B:$B,'Product Tgt'!$D:$D),0)</f>
        <v>0</v>
      </c>
      <c r="AK34">
        <f>IFERROR(AD34*_xlfn.XLOOKUP(AK$7,'Product Tgt'!$B:$B,'Product Tgt'!$D:$D),0)</f>
        <v>0</v>
      </c>
      <c r="AL34">
        <f>IFERROR(AE34*_xlfn.XLOOKUP(AL$7,'Product Tgt'!$B:$B,'Product Tgt'!$D:$D),0)</f>
        <v>0</v>
      </c>
      <c r="AM34">
        <f>IFERROR(AF34*_xlfn.XLOOKUP(AM$7,'Product Tgt'!$B:$B,'Product Tgt'!$D:$D),0)</f>
        <v>0</v>
      </c>
    </row>
    <row r="35" spans="1:39" x14ac:dyDescent="0.25">
      <c r="A35" t="s">
        <v>36</v>
      </c>
      <c r="B35" s="7" t="s">
        <v>58</v>
      </c>
      <c r="C35" s="3">
        <f>_xlfn.XLOOKUP($B35,'Terr Target'!$A:$A,'Terr Target'!$E:$E)</f>
        <v>583327.49125764682</v>
      </c>
      <c r="D35" s="3">
        <f t="shared" si="4"/>
        <v>583335</v>
      </c>
      <c r="E35" s="4">
        <f t="shared" si="5"/>
        <v>7.5087423531804234</v>
      </c>
      <c r="F35" s="9">
        <f t="shared" ref="F35:F94" si="8">ABS(E35)/D35</f>
        <v>1.2872092970900809E-5</v>
      </c>
      <c r="G35" s="5">
        <f t="shared" si="7"/>
        <v>0.99998712790702915</v>
      </c>
      <c r="H35" s="44">
        <v>5953.1774190344895</v>
      </c>
      <c r="I35" s="12">
        <v>7007.5865608106169</v>
      </c>
      <c r="J35" s="12">
        <v>44620.966889904652</v>
      </c>
      <c r="K35" s="12">
        <v>49664.540809122889</v>
      </c>
      <c r="L35" s="12">
        <v>228593.44956734526</v>
      </c>
      <c r="M35" s="12">
        <v>220332.80792342976</v>
      </c>
      <c r="N35" s="12">
        <v>36785.715534140756</v>
      </c>
      <c r="O35" s="12">
        <v>9246.6021113270745</v>
      </c>
      <c r="P35" s="45">
        <v>42335.250471408166</v>
      </c>
      <c r="Q35" s="44">
        <f>IFERROR(ROUND(_xlfn.XLOOKUP(Q$7,'Product Tgt'!$B:$B,'Product Tgt'!$G:$G)*H35/H$95,0),0)</f>
        <v>5347</v>
      </c>
      <c r="R35" s="12">
        <f>IFERROR(ROUND(_xlfn.XLOOKUP(R$7,'Product Tgt'!$B:$B,'Product Tgt'!$G:$G)*I35/I$95,0),0)</f>
        <v>6304</v>
      </c>
      <c r="S35" s="12">
        <f>IFERROR(ROUND(_xlfn.XLOOKUP(S$7,'Product Tgt'!$B:$B,'Product Tgt'!$G:$G)*J35/J$95,0),0)</f>
        <v>40168</v>
      </c>
      <c r="T35" s="12">
        <f>IFERROR(ROUND(_xlfn.XLOOKUP(T$7,'Product Tgt'!$B:$B,'Product Tgt'!$G:$G)*K35/K$95,0),0)</f>
        <v>44740</v>
      </c>
      <c r="U35" s="12">
        <f>IFERROR(ROUND(_xlfn.XLOOKUP(U$7,'Product Tgt'!$B:$B,'Product Tgt'!$G:$G)*L35/L$95,0),0)</f>
        <v>205774</v>
      </c>
      <c r="V35" s="12">
        <f>IFERROR(ROUND(_xlfn.XLOOKUP(V$7,'Product Tgt'!$B:$B,'Product Tgt'!$G:$G)*M35/M$95,0),0)</f>
        <v>198311</v>
      </c>
      <c r="W35" s="12">
        <f>IFERROR(ROUND(_xlfn.XLOOKUP(W$7,'Product Tgt'!$B:$B,'Product Tgt'!$G:$G)*N35/N$95,0),0)</f>
        <v>35604</v>
      </c>
      <c r="X35" s="12">
        <f>IFERROR(ROUND(_xlfn.XLOOKUP(X$7,'Product Tgt'!$B:$B,'Product Tgt'!$G:$G)*O35/O$95,0),0)</f>
        <v>8946</v>
      </c>
      <c r="Y35" s="45">
        <f>IFERROR(ROUND(_xlfn.XLOOKUP(Y$7,'Product Tgt'!$B:$B,'Product Tgt'!$G:$G)*P35/P$95,0),0)</f>
        <v>38141</v>
      </c>
      <c r="Z35" s="20">
        <f>ROUND(IFERROR(Q35/_xlfn.XLOOKUP(Z$7,'Product Tgt'!$B:$B,'Product Tgt'!$D:$D),0),0)</f>
        <v>0</v>
      </c>
      <c r="AA35" s="11">
        <f>ROUND(IFERROR(R35/_xlfn.XLOOKUP(AA$7,'Product Tgt'!$B:$B,'Product Tgt'!$D:$D),0),0)</f>
        <v>0</v>
      </c>
      <c r="AB35" s="11">
        <f>ROUND(IFERROR(U35/_xlfn.XLOOKUP(AB$7,'Product Tgt'!$B:$B,'Product Tgt'!$D:$D),0),0)</f>
        <v>0</v>
      </c>
      <c r="AC35" s="11">
        <f>ROUND(IFERROR(V35/_xlfn.XLOOKUP(AC$7,'Product Tgt'!$B:$B,'Product Tgt'!$D:$D),0),0)</f>
        <v>0</v>
      </c>
      <c r="AD35" s="11">
        <f>ROUND(IFERROR(W35/_xlfn.XLOOKUP(AD$7,'Product Tgt'!$B:$B,'Product Tgt'!$D:$D),0),0)</f>
        <v>0</v>
      </c>
      <c r="AE35" s="11">
        <f>ROUND(IFERROR(X35/_xlfn.XLOOKUP(AE$7,'Product Tgt'!$B:$B,'Product Tgt'!$D:$D),0),0)</f>
        <v>0</v>
      </c>
      <c r="AF35" s="11">
        <f>ROUND(IFERROR(Y35/_xlfn.XLOOKUP(AF$7,'Product Tgt'!$B:$B,'Product Tgt'!$D:$D),0),0)</f>
        <v>0</v>
      </c>
      <c r="AG35" s="10">
        <f>IFERROR(Z35*_xlfn.XLOOKUP(AG$7,'Product Tgt'!$B:$B,'Product Tgt'!$D:$D),0)</f>
        <v>0</v>
      </c>
      <c r="AH35">
        <f>IFERROR(AA35*_xlfn.XLOOKUP(AH$7,'Product Tgt'!$B:$B,'Product Tgt'!$D:$D),0)</f>
        <v>0</v>
      </c>
      <c r="AI35">
        <f>IFERROR(AB35*_xlfn.XLOOKUP(AI$7,'Product Tgt'!$B:$B,'Product Tgt'!$D:$D),0)</f>
        <v>0</v>
      </c>
      <c r="AJ35">
        <f>IFERROR(AC35*_xlfn.XLOOKUP(AJ$7,'Product Tgt'!$B:$B,'Product Tgt'!$D:$D),0)</f>
        <v>0</v>
      </c>
      <c r="AK35">
        <f>IFERROR(AD35*_xlfn.XLOOKUP(AK$7,'Product Tgt'!$B:$B,'Product Tgt'!$D:$D),0)</f>
        <v>0</v>
      </c>
      <c r="AL35">
        <f>IFERROR(AE35*_xlfn.XLOOKUP(AL$7,'Product Tgt'!$B:$B,'Product Tgt'!$D:$D),0)</f>
        <v>0</v>
      </c>
      <c r="AM35">
        <f>IFERROR(AF35*_xlfn.XLOOKUP(AM$7,'Product Tgt'!$B:$B,'Product Tgt'!$D:$D),0)</f>
        <v>0</v>
      </c>
    </row>
    <row r="36" spans="1:39" x14ac:dyDescent="0.25">
      <c r="A36" t="s">
        <v>36</v>
      </c>
      <c r="B36" s="7" t="s">
        <v>59</v>
      </c>
      <c r="C36" s="3">
        <f>_xlfn.XLOOKUP($B36,'Terr Target'!$A:$A,'Terr Target'!$E:$E)</f>
        <v>1012291.5637541529</v>
      </c>
      <c r="D36" s="3">
        <f t="shared" si="4"/>
        <v>1012285</v>
      </c>
      <c r="E36" s="4">
        <f t="shared" si="5"/>
        <v>-6.5637541528558359</v>
      </c>
      <c r="F36" s="9">
        <f t="shared" si="8"/>
        <v>6.4840970209534229E-6</v>
      </c>
      <c r="G36" s="5">
        <f t="shared" si="7"/>
        <v>1.0000064840970209</v>
      </c>
      <c r="H36" s="44">
        <v>7438.4204392506599</v>
      </c>
      <c r="I36" s="12">
        <v>9387.4154122857362</v>
      </c>
      <c r="J36" s="12">
        <v>89131.896811720726</v>
      </c>
      <c r="K36" s="12">
        <v>78907.254853824023</v>
      </c>
      <c r="L36" s="12">
        <v>436829.95593811118</v>
      </c>
      <c r="M36" s="12">
        <v>410732.78304909624</v>
      </c>
      <c r="N36" s="12">
        <v>27068.124927328721</v>
      </c>
      <c r="O36" s="12">
        <v>7774.1162948837009</v>
      </c>
      <c r="P36" s="45">
        <v>54628.135723674255</v>
      </c>
      <c r="Q36" s="44">
        <f>IFERROR(ROUND(_xlfn.XLOOKUP(Q$7,'Product Tgt'!$B:$B,'Product Tgt'!$G:$G)*H36/H$95,0),0)</f>
        <v>6681</v>
      </c>
      <c r="R36" s="12">
        <f>IFERROR(ROUND(_xlfn.XLOOKUP(R$7,'Product Tgt'!$B:$B,'Product Tgt'!$G:$G)*I36/I$95,0),0)</f>
        <v>8444</v>
      </c>
      <c r="S36" s="12">
        <f>IFERROR(ROUND(_xlfn.XLOOKUP(S$7,'Product Tgt'!$B:$B,'Product Tgt'!$G:$G)*J36/J$95,0),0)</f>
        <v>80237</v>
      </c>
      <c r="T36" s="12">
        <f>IFERROR(ROUND(_xlfn.XLOOKUP(T$7,'Product Tgt'!$B:$B,'Product Tgt'!$G:$G)*K36/K$95,0),0)</f>
        <v>71084</v>
      </c>
      <c r="U36" s="12">
        <f>IFERROR(ROUND(_xlfn.XLOOKUP(U$7,'Product Tgt'!$B:$B,'Product Tgt'!$G:$G)*L36/L$95,0),0)</f>
        <v>393223</v>
      </c>
      <c r="V36" s="12">
        <f>IFERROR(ROUND(_xlfn.XLOOKUP(V$7,'Product Tgt'!$B:$B,'Product Tgt'!$G:$G)*M36/M$95,0),0)</f>
        <v>369681</v>
      </c>
      <c r="W36" s="12">
        <f>IFERROR(ROUND(_xlfn.XLOOKUP(W$7,'Product Tgt'!$B:$B,'Product Tgt'!$G:$G)*N36/N$95,0),0)</f>
        <v>26198</v>
      </c>
      <c r="X36" s="12">
        <f>IFERROR(ROUND(_xlfn.XLOOKUP(X$7,'Product Tgt'!$B:$B,'Product Tgt'!$G:$G)*O36/O$95,0),0)</f>
        <v>7521</v>
      </c>
      <c r="Y36" s="45">
        <f>IFERROR(ROUND(_xlfn.XLOOKUP(Y$7,'Product Tgt'!$B:$B,'Product Tgt'!$G:$G)*P36/P$95,0),0)</f>
        <v>49216</v>
      </c>
      <c r="Z36" s="20">
        <f>ROUND(IFERROR(Q36/_xlfn.XLOOKUP(Z$7,'Product Tgt'!$B:$B,'Product Tgt'!$D:$D),0),0)</f>
        <v>0</v>
      </c>
      <c r="AA36" s="11">
        <f>ROUND(IFERROR(R36/_xlfn.XLOOKUP(AA$7,'Product Tgt'!$B:$B,'Product Tgt'!$D:$D),0),0)</f>
        <v>0</v>
      </c>
      <c r="AB36" s="11">
        <f>ROUND(IFERROR(U36/_xlfn.XLOOKUP(AB$7,'Product Tgt'!$B:$B,'Product Tgt'!$D:$D),0),0)</f>
        <v>0</v>
      </c>
      <c r="AC36" s="11">
        <f>ROUND(IFERROR(V36/_xlfn.XLOOKUP(AC$7,'Product Tgt'!$B:$B,'Product Tgt'!$D:$D),0),0)</f>
        <v>0</v>
      </c>
      <c r="AD36" s="11">
        <f>ROUND(IFERROR(W36/_xlfn.XLOOKUP(AD$7,'Product Tgt'!$B:$B,'Product Tgt'!$D:$D),0),0)</f>
        <v>0</v>
      </c>
      <c r="AE36" s="11">
        <f>ROUND(IFERROR(X36/_xlfn.XLOOKUP(AE$7,'Product Tgt'!$B:$B,'Product Tgt'!$D:$D),0),0)</f>
        <v>0</v>
      </c>
      <c r="AF36" s="11">
        <f>ROUND(IFERROR(Y36/_xlfn.XLOOKUP(AF$7,'Product Tgt'!$B:$B,'Product Tgt'!$D:$D),0),0)</f>
        <v>0</v>
      </c>
      <c r="AG36" s="10">
        <f>IFERROR(Z36*_xlfn.XLOOKUP(AG$7,'Product Tgt'!$B:$B,'Product Tgt'!$D:$D),0)</f>
        <v>0</v>
      </c>
      <c r="AH36">
        <f>IFERROR(AA36*_xlfn.XLOOKUP(AH$7,'Product Tgt'!$B:$B,'Product Tgt'!$D:$D),0)</f>
        <v>0</v>
      </c>
      <c r="AI36">
        <f>IFERROR(AB36*_xlfn.XLOOKUP(AI$7,'Product Tgt'!$B:$B,'Product Tgt'!$D:$D),0)</f>
        <v>0</v>
      </c>
      <c r="AJ36">
        <f>IFERROR(AC36*_xlfn.XLOOKUP(AJ$7,'Product Tgt'!$B:$B,'Product Tgt'!$D:$D),0)</f>
        <v>0</v>
      </c>
      <c r="AK36">
        <f>IFERROR(AD36*_xlfn.XLOOKUP(AK$7,'Product Tgt'!$B:$B,'Product Tgt'!$D:$D),0)</f>
        <v>0</v>
      </c>
      <c r="AL36">
        <f>IFERROR(AE36*_xlfn.XLOOKUP(AL$7,'Product Tgt'!$B:$B,'Product Tgt'!$D:$D),0)</f>
        <v>0</v>
      </c>
      <c r="AM36">
        <f>IFERROR(AF36*_xlfn.XLOOKUP(AM$7,'Product Tgt'!$B:$B,'Product Tgt'!$D:$D),0)</f>
        <v>0</v>
      </c>
    </row>
    <row r="37" spans="1:39" x14ac:dyDescent="0.25">
      <c r="A37" t="s">
        <v>36</v>
      </c>
      <c r="B37" s="7" t="s">
        <v>60</v>
      </c>
      <c r="C37" s="3">
        <f>_xlfn.XLOOKUP($B37,'Terr Target'!$A:$A,'Terr Target'!$E:$E)</f>
        <v>686304.14164833329</v>
      </c>
      <c r="D37" s="3">
        <f t="shared" si="4"/>
        <v>686313</v>
      </c>
      <c r="E37" s="4">
        <f t="shared" si="5"/>
        <v>8.8583516667131335</v>
      </c>
      <c r="F37" s="9">
        <f t="shared" si="8"/>
        <v>1.2907159949925375E-5</v>
      </c>
      <c r="G37" s="5">
        <f t="shared" si="7"/>
        <v>0.99998709284005005</v>
      </c>
      <c r="H37" s="44">
        <v>5413.9106101740872</v>
      </c>
      <c r="I37" s="12">
        <v>8073.0343476053504</v>
      </c>
      <c r="J37" s="12">
        <v>50039.315908871009</v>
      </c>
      <c r="K37" s="12">
        <v>51440.096107140889</v>
      </c>
      <c r="L37" s="12">
        <v>291772.35308779991</v>
      </c>
      <c r="M37" s="12">
        <v>241120.06046747041</v>
      </c>
      <c r="N37" s="12">
        <v>44938.346723810449</v>
      </c>
      <c r="O37" s="12">
        <v>12906.587938119575</v>
      </c>
      <c r="P37" s="45">
        <v>52340.162039992465</v>
      </c>
      <c r="Q37" s="44">
        <f>IFERROR(ROUND(_xlfn.XLOOKUP(Q$7,'Product Tgt'!$B:$B,'Product Tgt'!$G:$G)*H37/H$95,0),0)</f>
        <v>4863</v>
      </c>
      <c r="R37" s="12">
        <f>IFERROR(ROUND(_xlfn.XLOOKUP(R$7,'Product Tgt'!$B:$B,'Product Tgt'!$G:$G)*I37/I$95,0),0)</f>
        <v>7262</v>
      </c>
      <c r="S37" s="12">
        <f>IFERROR(ROUND(_xlfn.XLOOKUP(S$7,'Product Tgt'!$B:$B,'Product Tgt'!$G:$G)*J37/J$95,0),0)</f>
        <v>45046</v>
      </c>
      <c r="T37" s="12">
        <f>IFERROR(ROUND(_xlfn.XLOOKUP(T$7,'Product Tgt'!$B:$B,'Product Tgt'!$G:$G)*K37/K$95,0),0)</f>
        <v>46340</v>
      </c>
      <c r="U37" s="12">
        <f>IFERROR(ROUND(_xlfn.XLOOKUP(U$7,'Product Tgt'!$B:$B,'Product Tgt'!$G:$G)*L37/L$95,0),0)</f>
        <v>262646</v>
      </c>
      <c r="V37" s="12">
        <f>IFERROR(ROUND(_xlfn.XLOOKUP(V$7,'Product Tgt'!$B:$B,'Product Tgt'!$G:$G)*M37/M$95,0),0)</f>
        <v>217020</v>
      </c>
      <c r="W37" s="12">
        <f>IFERROR(ROUND(_xlfn.XLOOKUP(W$7,'Product Tgt'!$B:$B,'Product Tgt'!$G:$G)*N37/N$95,0),0)</f>
        <v>43494</v>
      </c>
      <c r="X37" s="12">
        <f>IFERROR(ROUND(_xlfn.XLOOKUP(X$7,'Product Tgt'!$B:$B,'Product Tgt'!$G:$G)*O37/O$95,0),0)</f>
        <v>12487</v>
      </c>
      <c r="Y37" s="45">
        <f>IFERROR(ROUND(_xlfn.XLOOKUP(Y$7,'Product Tgt'!$B:$B,'Product Tgt'!$G:$G)*P37/P$95,0),0)</f>
        <v>47155</v>
      </c>
      <c r="Z37" s="20">
        <f>ROUND(IFERROR(Q37/_xlfn.XLOOKUP(Z$7,'Product Tgt'!$B:$B,'Product Tgt'!$D:$D),0),0)</f>
        <v>0</v>
      </c>
      <c r="AA37" s="11">
        <f>ROUND(IFERROR(R37/_xlfn.XLOOKUP(AA$7,'Product Tgt'!$B:$B,'Product Tgt'!$D:$D),0),0)</f>
        <v>0</v>
      </c>
      <c r="AB37" s="11">
        <f>ROUND(IFERROR(U37/_xlfn.XLOOKUP(AB$7,'Product Tgt'!$B:$B,'Product Tgt'!$D:$D),0),0)</f>
        <v>0</v>
      </c>
      <c r="AC37" s="11">
        <f>ROUND(IFERROR(V37/_xlfn.XLOOKUP(AC$7,'Product Tgt'!$B:$B,'Product Tgt'!$D:$D),0),0)</f>
        <v>0</v>
      </c>
      <c r="AD37" s="11">
        <f>ROUND(IFERROR(W37/_xlfn.XLOOKUP(AD$7,'Product Tgt'!$B:$B,'Product Tgt'!$D:$D),0),0)</f>
        <v>0</v>
      </c>
      <c r="AE37" s="11">
        <f>ROUND(IFERROR(X37/_xlfn.XLOOKUP(AE$7,'Product Tgt'!$B:$B,'Product Tgt'!$D:$D),0),0)</f>
        <v>0</v>
      </c>
      <c r="AF37" s="11">
        <f>ROUND(IFERROR(Y37/_xlfn.XLOOKUP(AF$7,'Product Tgt'!$B:$B,'Product Tgt'!$D:$D),0),0)</f>
        <v>0</v>
      </c>
      <c r="AG37" s="10">
        <f>IFERROR(Z37*_xlfn.XLOOKUP(AG$7,'Product Tgt'!$B:$B,'Product Tgt'!$D:$D),0)</f>
        <v>0</v>
      </c>
      <c r="AH37">
        <f>IFERROR(AA37*_xlfn.XLOOKUP(AH$7,'Product Tgt'!$B:$B,'Product Tgt'!$D:$D),0)</f>
        <v>0</v>
      </c>
      <c r="AI37">
        <f>IFERROR(AB37*_xlfn.XLOOKUP(AI$7,'Product Tgt'!$B:$B,'Product Tgt'!$D:$D),0)</f>
        <v>0</v>
      </c>
      <c r="AJ37">
        <f>IFERROR(AC37*_xlfn.XLOOKUP(AJ$7,'Product Tgt'!$B:$B,'Product Tgt'!$D:$D),0)</f>
        <v>0</v>
      </c>
      <c r="AK37">
        <f>IFERROR(AD37*_xlfn.XLOOKUP(AK$7,'Product Tgt'!$B:$B,'Product Tgt'!$D:$D),0)</f>
        <v>0</v>
      </c>
      <c r="AL37">
        <f>IFERROR(AE37*_xlfn.XLOOKUP(AL$7,'Product Tgt'!$B:$B,'Product Tgt'!$D:$D),0)</f>
        <v>0</v>
      </c>
      <c r="AM37">
        <f>IFERROR(AF37*_xlfn.XLOOKUP(AM$7,'Product Tgt'!$B:$B,'Product Tgt'!$D:$D),0)</f>
        <v>0</v>
      </c>
    </row>
    <row r="38" spans="1:39" x14ac:dyDescent="0.25">
      <c r="A38" t="s">
        <v>36</v>
      </c>
      <c r="B38" s="7" t="s">
        <v>61</v>
      </c>
      <c r="C38" s="3">
        <f>_xlfn.XLOOKUP($B38,'Terr Target'!$A:$A,'Terr Target'!$E:$E)</f>
        <v>478280.99927209481</v>
      </c>
      <c r="D38" s="3">
        <f t="shared" si="4"/>
        <v>478279</v>
      </c>
      <c r="E38" s="4">
        <f t="shared" si="5"/>
        <v>-1.9992720948066562</v>
      </c>
      <c r="F38" s="9">
        <f t="shared" si="8"/>
        <v>4.1801377330107662E-6</v>
      </c>
      <c r="G38" s="5">
        <f t="shared" si="7"/>
        <v>1.0000041801377331</v>
      </c>
      <c r="H38" s="44">
        <v>3595.1123314295646</v>
      </c>
      <c r="I38" s="12">
        <v>3607.1696169933994</v>
      </c>
      <c r="J38" s="12">
        <v>53089.949377497745</v>
      </c>
      <c r="K38" s="12">
        <v>17219.50481299563</v>
      </c>
      <c r="L38" s="12">
        <v>278562.42016488872</v>
      </c>
      <c r="M38" s="12">
        <v>127863.02068976904</v>
      </c>
      <c r="N38" s="12">
        <v>17864.764708559982</v>
      </c>
      <c r="O38" s="12">
        <v>5301.3633263808642</v>
      </c>
      <c r="P38" s="45">
        <v>22469.3370019045</v>
      </c>
      <c r="Q38" s="44">
        <f>IFERROR(ROUND(_xlfn.XLOOKUP(Q$7,'Product Tgt'!$B:$B,'Product Tgt'!$G:$G)*H38/H$95,0),0)</f>
        <v>3229</v>
      </c>
      <c r="R38" s="12">
        <f>IFERROR(ROUND(_xlfn.XLOOKUP(R$7,'Product Tgt'!$B:$B,'Product Tgt'!$G:$G)*I38/I$95,0),0)</f>
        <v>3245</v>
      </c>
      <c r="S38" s="12">
        <f>IFERROR(ROUND(_xlfn.XLOOKUP(S$7,'Product Tgt'!$B:$B,'Product Tgt'!$G:$G)*J38/J$95,0),0)</f>
        <v>47792</v>
      </c>
      <c r="T38" s="12">
        <f>IFERROR(ROUND(_xlfn.XLOOKUP(T$7,'Product Tgt'!$B:$B,'Product Tgt'!$G:$G)*K38/K$95,0),0)</f>
        <v>15512</v>
      </c>
      <c r="U38" s="12">
        <f>IFERROR(ROUND(_xlfn.XLOOKUP(U$7,'Product Tgt'!$B:$B,'Product Tgt'!$G:$G)*L38/L$95,0),0)</f>
        <v>250755</v>
      </c>
      <c r="V38" s="12">
        <f>IFERROR(ROUND(_xlfn.XLOOKUP(V$7,'Product Tgt'!$B:$B,'Product Tgt'!$G:$G)*M38/M$95,0),0)</f>
        <v>115083</v>
      </c>
      <c r="W38" s="12">
        <f>IFERROR(ROUND(_xlfn.XLOOKUP(W$7,'Product Tgt'!$B:$B,'Product Tgt'!$G:$G)*N38/N$95,0),0)</f>
        <v>17291</v>
      </c>
      <c r="X38" s="12">
        <f>IFERROR(ROUND(_xlfn.XLOOKUP(X$7,'Product Tgt'!$B:$B,'Product Tgt'!$G:$G)*O38/O$95,0),0)</f>
        <v>5129</v>
      </c>
      <c r="Y38" s="45">
        <f>IFERROR(ROUND(_xlfn.XLOOKUP(Y$7,'Product Tgt'!$B:$B,'Product Tgt'!$G:$G)*P38/P$95,0),0)</f>
        <v>20243</v>
      </c>
      <c r="Z38" s="20">
        <f>ROUND(IFERROR(Q38/_xlfn.XLOOKUP(Z$7,'Product Tgt'!$B:$B,'Product Tgt'!$D:$D),0),0)</f>
        <v>0</v>
      </c>
      <c r="AA38" s="11">
        <f>ROUND(IFERROR(R38/_xlfn.XLOOKUP(AA$7,'Product Tgt'!$B:$B,'Product Tgt'!$D:$D),0),0)</f>
        <v>0</v>
      </c>
      <c r="AB38" s="11">
        <f>ROUND(IFERROR(U38/_xlfn.XLOOKUP(AB$7,'Product Tgt'!$B:$B,'Product Tgt'!$D:$D),0),0)</f>
        <v>0</v>
      </c>
      <c r="AC38" s="11">
        <f>ROUND(IFERROR(V38/_xlfn.XLOOKUP(AC$7,'Product Tgt'!$B:$B,'Product Tgt'!$D:$D),0),0)</f>
        <v>0</v>
      </c>
      <c r="AD38" s="11">
        <f>ROUND(IFERROR(W38/_xlfn.XLOOKUP(AD$7,'Product Tgt'!$B:$B,'Product Tgt'!$D:$D),0),0)</f>
        <v>0</v>
      </c>
      <c r="AE38" s="11">
        <f>ROUND(IFERROR(X38/_xlfn.XLOOKUP(AE$7,'Product Tgt'!$B:$B,'Product Tgt'!$D:$D),0),0)</f>
        <v>0</v>
      </c>
      <c r="AF38" s="11">
        <f>ROUND(IFERROR(Y38/_xlfn.XLOOKUP(AF$7,'Product Tgt'!$B:$B,'Product Tgt'!$D:$D),0),0)</f>
        <v>0</v>
      </c>
      <c r="AG38" s="10">
        <f>IFERROR(Z38*_xlfn.XLOOKUP(AG$7,'Product Tgt'!$B:$B,'Product Tgt'!$D:$D),0)</f>
        <v>0</v>
      </c>
      <c r="AH38">
        <f>IFERROR(AA38*_xlfn.XLOOKUP(AH$7,'Product Tgt'!$B:$B,'Product Tgt'!$D:$D),0)</f>
        <v>0</v>
      </c>
      <c r="AI38">
        <f>IFERROR(AB38*_xlfn.XLOOKUP(AI$7,'Product Tgt'!$B:$B,'Product Tgt'!$D:$D),0)</f>
        <v>0</v>
      </c>
      <c r="AJ38">
        <f>IFERROR(AC38*_xlfn.XLOOKUP(AJ$7,'Product Tgt'!$B:$B,'Product Tgt'!$D:$D),0)</f>
        <v>0</v>
      </c>
      <c r="AK38">
        <f>IFERROR(AD38*_xlfn.XLOOKUP(AK$7,'Product Tgt'!$B:$B,'Product Tgt'!$D:$D),0)</f>
        <v>0</v>
      </c>
      <c r="AL38">
        <f>IFERROR(AE38*_xlfn.XLOOKUP(AL$7,'Product Tgt'!$B:$B,'Product Tgt'!$D:$D),0)</f>
        <v>0</v>
      </c>
      <c r="AM38">
        <f>IFERROR(AF38*_xlfn.XLOOKUP(AM$7,'Product Tgt'!$B:$B,'Product Tgt'!$D:$D),0)</f>
        <v>0</v>
      </c>
    </row>
    <row r="39" spans="1:39" x14ac:dyDescent="0.25">
      <c r="A39" t="s">
        <v>36</v>
      </c>
      <c r="B39" s="7" t="s">
        <v>62</v>
      </c>
      <c r="C39" s="3">
        <f>_xlfn.XLOOKUP($B39,'Terr Target'!$A:$A,'Terr Target'!$E:$E)</f>
        <v>453576.05904229963</v>
      </c>
      <c r="D39" s="3">
        <f t="shared" si="4"/>
        <v>453575</v>
      </c>
      <c r="E39" s="4">
        <f t="shared" si="5"/>
        <v>-1.059042299631983</v>
      </c>
      <c r="F39" s="9">
        <f t="shared" si="8"/>
        <v>2.3348780237711141E-6</v>
      </c>
      <c r="G39" s="5">
        <f t="shared" si="7"/>
        <v>1.0000023348780238</v>
      </c>
      <c r="H39" s="44">
        <v>8367.5843830822359</v>
      </c>
      <c r="I39" s="12">
        <v>8565.6025391750009</v>
      </c>
      <c r="J39" s="12">
        <v>62005.058776256497</v>
      </c>
      <c r="K39" s="12">
        <v>22160.73626400861</v>
      </c>
      <c r="L39" s="12">
        <v>244979.46410074076</v>
      </c>
      <c r="M39" s="12">
        <v>99555.870115073049</v>
      </c>
      <c r="N39" s="12">
        <v>20683.173875349734</v>
      </c>
      <c r="O39" s="12">
        <v>6405.0699810445431</v>
      </c>
      <c r="P39" s="45">
        <v>29111.578477745894</v>
      </c>
      <c r="Q39" s="44">
        <f>IFERROR(ROUND(_xlfn.XLOOKUP(Q$7,'Product Tgt'!$B:$B,'Product Tgt'!$G:$G)*H39/H$95,0),0)</f>
        <v>7516</v>
      </c>
      <c r="R39" s="12">
        <f>IFERROR(ROUND(_xlfn.XLOOKUP(R$7,'Product Tgt'!$B:$B,'Product Tgt'!$G:$G)*I39/I$95,0),0)</f>
        <v>7705</v>
      </c>
      <c r="S39" s="12">
        <f>IFERROR(ROUND(_xlfn.XLOOKUP(S$7,'Product Tgt'!$B:$B,'Product Tgt'!$G:$G)*J39/J$95,0),0)</f>
        <v>55818</v>
      </c>
      <c r="T39" s="12">
        <f>IFERROR(ROUND(_xlfn.XLOOKUP(T$7,'Product Tgt'!$B:$B,'Product Tgt'!$G:$G)*K39/K$95,0),0)</f>
        <v>19963</v>
      </c>
      <c r="U39" s="12">
        <f>IFERROR(ROUND(_xlfn.XLOOKUP(U$7,'Product Tgt'!$B:$B,'Product Tgt'!$G:$G)*L39/L$95,0),0)</f>
        <v>220524</v>
      </c>
      <c r="V39" s="12">
        <f>IFERROR(ROUND(_xlfn.XLOOKUP(V$7,'Product Tgt'!$B:$B,'Product Tgt'!$G:$G)*M39/M$95,0),0)</f>
        <v>89605</v>
      </c>
      <c r="W39" s="12">
        <f>IFERROR(ROUND(_xlfn.XLOOKUP(W$7,'Product Tgt'!$B:$B,'Product Tgt'!$G:$G)*N39/N$95,0),0)</f>
        <v>20019</v>
      </c>
      <c r="X39" s="12">
        <f>IFERROR(ROUND(_xlfn.XLOOKUP(X$7,'Product Tgt'!$B:$B,'Product Tgt'!$G:$G)*O39/O$95,0),0)</f>
        <v>6197</v>
      </c>
      <c r="Y39" s="45">
        <f>IFERROR(ROUND(_xlfn.XLOOKUP(Y$7,'Product Tgt'!$B:$B,'Product Tgt'!$G:$G)*P39/P$95,0),0)</f>
        <v>26228</v>
      </c>
      <c r="Z39" s="20">
        <f>ROUND(IFERROR(Q39/_xlfn.XLOOKUP(Z$7,'Product Tgt'!$B:$B,'Product Tgt'!$D:$D),0),0)</f>
        <v>0</v>
      </c>
      <c r="AA39" s="11">
        <f>ROUND(IFERROR(R39/_xlfn.XLOOKUP(AA$7,'Product Tgt'!$B:$B,'Product Tgt'!$D:$D),0),0)</f>
        <v>0</v>
      </c>
      <c r="AB39" s="11">
        <f>ROUND(IFERROR(U39/_xlfn.XLOOKUP(AB$7,'Product Tgt'!$B:$B,'Product Tgt'!$D:$D),0),0)</f>
        <v>0</v>
      </c>
      <c r="AC39" s="11">
        <f>ROUND(IFERROR(V39/_xlfn.XLOOKUP(AC$7,'Product Tgt'!$B:$B,'Product Tgt'!$D:$D),0),0)</f>
        <v>0</v>
      </c>
      <c r="AD39" s="11">
        <f>ROUND(IFERROR(W39/_xlfn.XLOOKUP(AD$7,'Product Tgt'!$B:$B,'Product Tgt'!$D:$D),0),0)</f>
        <v>0</v>
      </c>
      <c r="AE39" s="11">
        <f>ROUND(IFERROR(X39/_xlfn.XLOOKUP(AE$7,'Product Tgt'!$B:$B,'Product Tgt'!$D:$D),0),0)</f>
        <v>0</v>
      </c>
      <c r="AF39" s="11">
        <f>ROUND(IFERROR(Y39/_xlfn.XLOOKUP(AF$7,'Product Tgt'!$B:$B,'Product Tgt'!$D:$D),0),0)</f>
        <v>0</v>
      </c>
      <c r="AG39" s="10">
        <f>IFERROR(Z39*_xlfn.XLOOKUP(AG$7,'Product Tgt'!$B:$B,'Product Tgt'!$D:$D),0)</f>
        <v>0</v>
      </c>
      <c r="AH39">
        <f>IFERROR(AA39*_xlfn.XLOOKUP(AH$7,'Product Tgt'!$B:$B,'Product Tgt'!$D:$D),0)</f>
        <v>0</v>
      </c>
      <c r="AI39">
        <f>IFERROR(AB39*_xlfn.XLOOKUP(AI$7,'Product Tgt'!$B:$B,'Product Tgt'!$D:$D),0)</f>
        <v>0</v>
      </c>
      <c r="AJ39">
        <f>IFERROR(AC39*_xlfn.XLOOKUP(AJ$7,'Product Tgt'!$B:$B,'Product Tgt'!$D:$D),0)</f>
        <v>0</v>
      </c>
      <c r="AK39">
        <f>IFERROR(AD39*_xlfn.XLOOKUP(AK$7,'Product Tgt'!$B:$B,'Product Tgt'!$D:$D),0)</f>
        <v>0</v>
      </c>
      <c r="AL39">
        <f>IFERROR(AE39*_xlfn.XLOOKUP(AL$7,'Product Tgt'!$B:$B,'Product Tgt'!$D:$D),0)</f>
        <v>0</v>
      </c>
      <c r="AM39">
        <f>IFERROR(AF39*_xlfn.XLOOKUP(AM$7,'Product Tgt'!$B:$B,'Product Tgt'!$D:$D),0)</f>
        <v>0</v>
      </c>
    </row>
    <row r="40" spans="1:39" x14ac:dyDescent="0.25">
      <c r="A40" t="s">
        <v>28</v>
      </c>
      <c r="B40" s="7" t="s">
        <v>63</v>
      </c>
      <c r="C40" s="3">
        <f>_xlfn.XLOOKUP($B40,'Terr Target'!$A:$A,'Terr Target'!$E:$E)</f>
        <v>916835.77551261592</v>
      </c>
      <c r="D40" s="3">
        <f t="shared" si="4"/>
        <v>916846</v>
      </c>
      <c r="E40" s="4">
        <f t="shared" ref="E40:E71" si="9">D40-C40</f>
        <v>10.224487384082749</v>
      </c>
      <c r="F40" s="9">
        <f t="shared" si="8"/>
        <v>1.1151804538693247E-5</v>
      </c>
      <c r="G40" s="5">
        <f t="shared" si="7"/>
        <v>0.9999888481954613</v>
      </c>
      <c r="H40" s="44">
        <v>6290.5238662511611</v>
      </c>
      <c r="I40" s="12">
        <v>10381.065903484478</v>
      </c>
      <c r="J40" s="12">
        <v>74294.839805280935</v>
      </c>
      <c r="K40" s="12">
        <v>38606.864042658657</v>
      </c>
      <c r="L40" s="12">
        <v>387749.44257005589</v>
      </c>
      <c r="M40" s="12">
        <v>330053.53555409546</v>
      </c>
      <c r="N40" s="12">
        <v>53362.545589971858</v>
      </c>
      <c r="O40" s="12">
        <v>10558.102349575642</v>
      </c>
      <c r="P40" s="45">
        <v>102369.2192785873</v>
      </c>
      <c r="Q40" s="44">
        <f>IFERROR(ROUND(_xlfn.XLOOKUP(Q$7,'Product Tgt'!$B:$B,'Product Tgt'!$G:$G)*H40/H$95,0),0)</f>
        <v>5650</v>
      </c>
      <c r="R40" s="12">
        <f>IFERROR(ROUND(_xlfn.XLOOKUP(R$7,'Product Tgt'!$B:$B,'Product Tgt'!$G:$G)*I40/I$95,0),0)</f>
        <v>9338</v>
      </c>
      <c r="S40" s="12">
        <f>IFERROR(ROUND(_xlfn.XLOOKUP(S$7,'Product Tgt'!$B:$B,'Product Tgt'!$G:$G)*J40/J$95,0),0)</f>
        <v>66881</v>
      </c>
      <c r="T40" s="12">
        <f>IFERROR(ROUND(_xlfn.XLOOKUP(T$7,'Product Tgt'!$B:$B,'Product Tgt'!$G:$G)*K40/K$95,0),0)</f>
        <v>34779</v>
      </c>
      <c r="U40" s="12">
        <f>IFERROR(ROUND(_xlfn.XLOOKUP(U$7,'Product Tgt'!$B:$B,'Product Tgt'!$G:$G)*L40/L$95,0),0)</f>
        <v>349042</v>
      </c>
      <c r="V40" s="12">
        <f>IFERROR(ROUND(_xlfn.XLOOKUP(V$7,'Product Tgt'!$B:$B,'Product Tgt'!$G:$G)*M40/M$95,0),0)</f>
        <v>297065</v>
      </c>
      <c r="W40" s="12">
        <f>IFERROR(ROUND(_xlfn.XLOOKUP(W$7,'Product Tgt'!$B:$B,'Product Tgt'!$G:$G)*N40/N$95,0),0)</f>
        <v>51648</v>
      </c>
      <c r="X40" s="12">
        <f>IFERROR(ROUND(_xlfn.XLOOKUP(X$7,'Product Tgt'!$B:$B,'Product Tgt'!$G:$G)*O40/O$95,0),0)</f>
        <v>10215</v>
      </c>
      <c r="Y40" s="45">
        <f>IFERROR(ROUND(_xlfn.XLOOKUP(Y$7,'Product Tgt'!$B:$B,'Product Tgt'!$G:$G)*P40/P$95,0),0)</f>
        <v>92228</v>
      </c>
      <c r="Z40" s="20">
        <f>ROUND(IFERROR(Q40/_xlfn.XLOOKUP(Z$7,'Product Tgt'!$B:$B,'Product Tgt'!$D:$D),0),0)</f>
        <v>0</v>
      </c>
      <c r="AA40" s="11">
        <f>ROUND(IFERROR(R40/_xlfn.XLOOKUP(AA$7,'Product Tgt'!$B:$B,'Product Tgt'!$D:$D),0),0)</f>
        <v>0</v>
      </c>
      <c r="AB40" s="11">
        <f>ROUND(IFERROR(U40/_xlfn.XLOOKUP(AB$7,'Product Tgt'!$B:$B,'Product Tgt'!$D:$D),0),0)</f>
        <v>0</v>
      </c>
      <c r="AC40" s="11">
        <f>ROUND(IFERROR(V40/_xlfn.XLOOKUP(AC$7,'Product Tgt'!$B:$B,'Product Tgt'!$D:$D),0),0)</f>
        <v>0</v>
      </c>
      <c r="AD40" s="11">
        <f>ROUND(IFERROR(W40/_xlfn.XLOOKUP(AD$7,'Product Tgt'!$B:$B,'Product Tgt'!$D:$D),0),0)</f>
        <v>0</v>
      </c>
      <c r="AE40" s="11">
        <f>ROUND(IFERROR(X40/_xlfn.XLOOKUP(AE$7,'Product Tgt'!$B:$B,'Product Tgt'!$D:$D),0),0)</f>
        <v>0</v>
      </c>
      <c r="AF40" s="11">
        <f>ROUND(IFERROR(Y40/_xlfn.XLOOKUP(AF$7,'Product Tgt'!$B:$B,'Product Tgt'!$D:$D),0),0)</f>
        <v>0</v>
      </c>
      <c r="AG40" s="10">
        <f>IFERROR(Z40*_xlfn.XLOOKUP(AG$7,'Product Tgt'!$B:$B,'Product Tgt'!$D:$D),0)</f>
        <v>0</v>
      </c>
      <c r="AH40">
        <f>IFERROR(AA40*_xlfn.XLOOKUP(AH$7,'Product Tgt'!$B:$B,'Product Tgt'!$D:$D),0)</f>
        <v>0</v>
      </c>
      <c r="AI40">
        <f>IFERROR(AB40*_xlfn.XLOOKUP(AI$7,'Product Tgt'!$B:$B,'Product Tgt'!$D:$D),0)</f>
        <v>0</v>
      </c>
      <c r="AJ40">
        <f>IFERROR(AC40*_xlfn.XLOOKUP(AJ$7,'Product Tgt'!$B:$B,'Product Tgt'!$D:$D),0)</f>
        <v>0</v>
      </c>
      <c r="AK40">
        <f>IFERROR(AD40*_xlfn.XLOOKUP(AK$7,'Product Tgt'!$B:$B,'Product Tgt'!$D:$D),0)</f>
        <v>0</v>
      </c>
      <c r="AL40">
        <f>IFERROR(AE40*_xlfn.XLOOKUP(AL$7,'Product Tgt'!$B:$B,'Product Tgt'!$D:$D),0)</f>
        <v>0</v>
      </c>
      <c r="AM40">
        <f>IFERROR(AF40*_xlfn.XLOOKUP(AM$7,'Product Tgt'!$B:$B,'Product Tgt'!$D:$D),0)</f>
        <v>0</v>
      </c>
    </row>
    <row r="41" spans="1:39" x14ac:dyDescent="0.25">
      <c r="A41" t="s">
        <v>28</v>
      </c>
      <c r="B41" s="7" t="s">
        <v>64</v>
      </c>
      <c r="C41" s="3">
        <f>_xlfn.XLOOKUP($B41,'Terr Target'!$A:$A,'Terr Target'!$E:$E)</f>
        <v>814334.89768526598</v>
      </c>
      <c r="D41" s="3">
        <f t="shared" si="4"/>
        <v>814337</v>
      </c>
      <c r="E41" s="4">
        <f t="shared" si="9"/>
        <v>2.1023147340165451</v>
      </c>
      <c r="F41" s="9">
        <f t="shared" si="8"/>
        <v>2.5816274269946536E-6</v>
      </c>
      <c r="G41" s="5">
        <f t="shared" si="7"/>
        <v>0.99999741837257305</v>
      </c>
      <c r="H41" s="44">
        <v>5223.4473791214414</v>
      </c>
      <c r="I41" s="12">
        <v>9946.8933259390651</v>
      </c>
      <c r="J41" s="12">
        <v>86654.359518839294</v>
      </c>
      <c r="K41" s="12">
        <v>61424.944795524265</v>
      </c>
      <c r="L41" s="12">
        <v>350406.20423665649</v>
      </c>
      <c r="M41" s="12">
        <v>286476.94152625831</v>
      </c>
      <c r="N41" s="12">
        <v>28335.326302542155</v>
      </c>
      <c r="O41" s="12">
        <v>7474.6992553619302</v>
      </c>
      <c r="P41" s="45">
        <v>65963.000773968059</v>
      </c>
      <c r="Q41" s="44">
        <f>IFERROR(ROUND(_xlfn.XLOOKUP(Q$7,'Product Tgt'!$B:$B,'Product Tgt'!$G:$G)*H41/H$95,0),0)</f>
        <v>4692</v>
      </c>
      <c r="R41" s="12">
        <f>IFERROR(ROUND(_xlfn.XLOOKUP(R$7,'Product Tgt'!$B:$B,'Product Tgt'!$G:$G)*I41/I$95,0),0)</f>
        <v>8948</v>
      </c>
      <c r="S41" s="12">
        <f>IFERROR(ROUND(_xlfn.XLOOKUP(S$7,'Product Tgt'!$B:$B,'Product Tgt'!$G:$G)*J41/J$95,0),0)</f>
        <v>78007</v>
      </c>
      <c r="T41" s="12">
        <f>IFERROR(ROUND(_xlfn.XLOOKUP(T$7,'Product Tgt'!$B:$B,'Product Tgt'!$G:$G)*K41/K$95,0),0)</f>
        <v>55335</v>
      </c>
      <c r="U41" s="12">
        <f>IFERROR(ROUND(_xlfn.XLOOKUP(U$7,'Product Tgt'!$B:$B,'Product Tgt'!$G:$G)*L41/L$95,0),0)</f>
        <v>315426</v>
      </c>
      <c r="V41" s="12">
        <f>IFERROR(ROUND(_xlfn.XLOOKUP(V$7,'Product Tgt'!$B:$B,'Product Tgt'!$G:$G)*M41/M$95,0),0)</f>
        <v>257844</v>
      </c>
      <c r="W41" s="12">
        <f>IFERROR(ROUND(_xlfn.XLOOKUP(W$7,'Product Tgt'!$B:$B,'Product Tgt'!$G:$G)*N41/N$95,0),0)</f>
        <v>27425</v>
      </c>
      <c r="X41" s="12">
        <f>IFERROR(ROUND(_xlfn.XLOOKUP(X$7,'Product Tgt'!$B:$B,'Product Tgt'!$G:$G)*O41/O$95,0),0)</f>
        <v>7232</v>
      </c>
      <c r="Y41" s="45">
        <f>IFERROR(ROUND(_xlfn.XLOOKUP(Y$7,'Product Tgt'!$B:$B,'Product Tgt'!$G:$G)*P41/P$95,0),0)</f>
        <v>59428</v>
      </c>
      <c r="Z41" s="20">
        <f>ROUND(IFERROR(Q41/_xlfn.XLOOKUP(Z$7,'Product Tgt'!$B:$B,'Product Tgt'!$D:$D),0),0)</f>
        <v>0</v>
      </c>
      <c r="AA41" s="11">
        <f>ROUND(IFERROR(R41/_xlfn.XLOOKUP(AA$7,'Product Tgt'!$B:$B,'Product Tgt'!$D:$D),0),0)</f>
        <v>0</v>
      </c>
      <c r="AB41" s="11">
        <f>ROUND(IFERROR(U41/_xlfn.XLOOKUP(AB$7,'Product Tgt'!$B:$B,'Product Tgt'!$D:$D),0),0)</f>
        <v>0</v>
      </c>
      <c r="AC41" s="11">
        <f>ROUND(IFERROR(V41/_xlfn.XLOOKUP(AC$7,'Product Tgt'!$B:$B,'Product Tgt'!$D:$D),0),0)</f>
        <v>0</v>
      </c>
      <c r="AD41" s="11">
        <f>ROUND(IFERROR(W41/_xlfn.XLOOKUP(AD$7,'Product Tgt'!$B:$B,'Product Tgt'!$D:$D),0),0)</f>
        <v>0</v>
      </c>
      <c r="AE41" s="11">
        <f>ROUND(IFERROR(X41/_xlfn.XLOOKUP(AE$7,'Product Tgt'!$B:$B,'Product Tgt'!$D:$D),0),0)</f>
        <v>0</v>
      </c>
      <c r="AF41" s="11">
        <f>ROUND(IFERROR(Y41/_xlfn.XLOOKUP(AF$7,'Product Tgt'!$B:$B,'Product Tgt'!$D:$D),0),0)</f>
        <v>0</v>
      </c>
      <c r="AG41" s="10">
        <f>IFERROR(Z41*_xlfn.XLOOKUP(AG$7,'Product Tgt'!$B:$B,'Product Tgt'!$D:$D),0)</f>
        <v>0</v>
      </c>
      <c r="AH41">
        <f>IFERROR(AA41*_xlfn.XLOOKUP(AH$7,'Product Tgt'!$B:$B,'Product Tgt'!$D:$D),0)</f>
        <v>0</v>
      </c>
      <c r="AI41">
        <f>IFERROR(AB41*_xlfn.XLOOKUP(AI$7,'Product Tgt'!$B:$B,'Product Tgt'!$D:$D),0)</f>
        <v>0</v>
      </c>
      <c r="AJ41">
        <f>IFERROR(AC41*_xlfn.XLOOKUP(AJ$7,'Product Tgt'!$B:$B,'Product Tgt'!$D:$D),0)</f>
        <v>0</v>
      </c>
      <c r="AK41">
        <f>IFERROR(AD41*_xlfn.XLOOKUP(AK$7,'Product Tgt'!$B:$B,'Product Tgt'!$D:$D),0)</f>
        <v>0</v>
      </c>
      <c r="AL41">
        <f>IFERROR(AE41*_xlfn.XLOOKUP(AL$7,'Product Tgt'!$B:$B,'Product Tgt'!$D:$D),0)</f>
        <v>0</v>
      </c>
      <c r="AM41">
        <f>IFERROR(AF41*_xlfn.XLOOKUP(AM$7,'Product Tgt'!$B:$B,'Product Tgt'!$D:$D),0)</f>
        <v>0</v>
      </c>
    </row>
    <row r="42" spans="1:39" x14ac:dyDescent="0.25">
      <c r="A42" t="s">
        <v>28</v>
      </c>
      <c r="B42" s="7" t="s">
        <v>65</v>
      </c>
      <c r="C42" s="3">
        <f>_xlfn.XLOOKUP($B42,'Terr Target'!$A:$A,'Terr Target'!$E:$E)</f>
        <v>1213585.8178660593</v>
      </c>
      <c r="D42" s="3">
        <f t="shared" si="4"/>
        <v>1213594</v>
      </c>
      <c r="E42" s="4">
        <f t="shared" si="9"/>
        <v>8.1821339407470077</v>
      </c>
      <c r="F42" s="9">
        <f t="shared" si="8"/>
        <v>6.7420685507237243E-6</v>
      </c>
      <c r="G42" s="5">
        <f t="shared" si="7"/>
        <v>0.99999325793144933</v>
      </c>
      <c r="H42" s="44">
        <v>11358.586895970229</v>
      </c>
      <c r="I42" s="12">
        <v>16553.96815129316</v>
      </c>
      <c r="J42" s="12">
        <v>120936.0921805455</v>
      </c>
      <c r="K42" s="12">
        <v>59208.09691751247</v>
      </c>
      <c r="L42" s="12">
        <v>552867.95364210603</v>
      </c>
      <c r="M42" s="12">
        <v>393852.19937092089</v>
      </c>
      <c r="N42" s="12">
        <v>67863.35419902431</v>
      </c>
      <c r="O42" s="12">
        <v>13810.180600424948</v>
      </c>
      <c r="P42" s="45">
        <v>105543.51541653321</v>
      </c>
      <c r="Q42" s="44">
        <f>IFERROR(ROUND(_xlfn.XLOOKUP(Q$7,'Product Tgt'!$B:$B,'Product Tgt'!$G:$G)*H42/H$95,0),0)</f>
        <v>10202</v>
      </c>
      <c r="R42" s="12">
        <f>IFERROR(ROUND(_xlfn.XLOOKUP(R$7,'Product Tgt'!$B:$B,'Product Tgt'!$G:$G)*I42/I$95,0),0)</f>
        <v>14891</v>
      </c>
      <c r="S42" s="12">
        <f>IFERROR(ROUND(_xlfn.XLOOKUP(S$7,'Product Tgt'!$B:$B,'Product Tgt'!$G:$G)*J42/J$95,0),0)</f>
        <v>108868</v>
      </c>
      <c r="T42" s="12">
        <f>IFERROR(ROUND(_xlfn.XLOOKUP(T$7,'Product Tgt'!$B:$B,'Product Tgt'!$G:$G)*K42/K$95,0),0)</f>
        <v>53338</v>
      </c>
      <c r="U42" s="12">
        <f>IFERROR(ROUND(_xlfn.XLOOKUP(U$7,'Product Tgt'!$B:$B,'Product Tgt'!$G:$G)*L42/L$95,0),0)</f>
        <v>497677</v>
      </c>
      <c r="V42" s="12">
        <f>IFERROR(ROUND(_xlfn.XLOOKUP(V$7,'Product Tgt'!$B:$B,'Product Tgt'!$G:$G)*M42/M$95,0),0)</f>
        <v>354487</v>
      </c>
      <c r="W42" s="12">
        <f>IFERROR(ROUND(_xlfn.XLOOKUP(W$7,'Product Tgt'!$B:$B,'Product Tgt'!$G:$G)*N42/N$95,0),0)</f>
        <v>65683</v>
      </c>
      <c r="X42" s="12">
        <f>IFERROR(ROUND(_xlfn.XLOOKUP(X$7,'Product Tgt'!$B:$B,'Product Tgt'!$G:$G)*O42/O$95,0),0)</f>
        <v>13361</v>
      </c>
      <c r="Y42" s="45">
        <f>IFERROR(ROUND(_xlfn.XLOOKUP(Y$7,'Product Tgt'!$B:$B,'Product Tgt'!$G:$G)*P42/P$95,0),0)</f>
        <v>95087</v>
      </c>
      <c r="Z42" s="20">
        <f>ROUND(IFERROR(Q42/_xlfn.XLOOKUP(Z$7,'Product Tgt'!$B:$B,'Product Tgt'!$D:$D),0),0)</f>
        <v>0</v>
      </c>
      <c r="AA42" s="11">
        <f>ROUND(IFERROR(R42/_xlfn.XLOOKUP(AA$7,'Product Tgt'!$B:$B,'Product Tgt'!$D:$D),0),0)</f>
        <v>0</v>
      </c>
      <c r="AB42" s="11">
        <f>ROUND(IFERROR(U42/_xlfn.XLOOKUP(AB$7,'Product Tgt'!$B:$B,'Product Tgt'!$D:$D),0),0)</f>
        <v>0</v>
      </c>
      <c r="AC42" s="11">
        <f>ROUND(IFERROR(V42/_xlfn.XLOOKUP(AC$7,'Product Tgt'!$B:$B,'Product Tgt'!$D:$D),0),0)</f>
        <v>0</v>
      </c>
      <c r="AD42" s="11">
        <f>ROUND(IFERROR(W42/_xlfn.XLOOKUP(AD$7,'Product Tgt'!$B:$B,'Product Tgt'!$D:$D),0),0)</f>
        <v>0</v>
      </c>
      <c r="AE42" s="11">
        <f>ROUND(IFERROR(X42/_xlfn.XLOOKUP(AE$7,'Product Tgt'!$B:$B,'Product Tgt'!$D:$D),0),0)</f>
        <v>0</v>
      </c>
      <c r="AF42" s="11">
        <f>ROUND(IFERROR(Y42/_xlfn.XLOOKUP(AF$7,'Product Tgt'!$B:$B,'Product Tgt'!$D:$D),0),0)</f>
        <v>0</v>
      </c>
      <c r="AG42" s="10">
        <f>IFERROR(Z42*_xlfn.XLOOKUP(AG$7,'Product Tgt'!$B:$B,'Product Tgt'!$D:$D),0)</f>
        <v>0</v>
      </c>
      <c r="AH42">
        <f>IFERROR(AA42*_xlfn.XLOOKUP(AH$7,'Product Tgt'!$B:$B,'Product Tgt'!$D:$D),0)</f>
        <v>0</v>
      </c>
      <c r="AI42">
        <f>IFERROR(AB42*_xlfn.XLOOKUP(AI$7,'Product Tgt'!$B:$B,'Product Tgt'!$D:$D),0)</f>
        <v>0</v>
      </c>
      <c r="AJ42">
        <f>IFERROR(AC42*_xlfn.XLOOKUP(AJ$7,'Product Tgt'!$B:$B,'Product Tgt'!$D:$D),0)</f>
        <v>0</v>
      </c>
      <c r="AK42">
        <f>IFERROR(AD42*_xlfn.XLOOKUP(AK$7,'Product Tgt'!$B:$B,'Product Tgt'!$D:$D),0)</f>
        <v>0</v>
      </c>
      <c r="AL42">
        <f>IFERROR(AE42*_xlfn.XLOOKUP(AL$7,'Product Tgt'!$B:$B,'Product Tgt'!$D:$D),0)</f>
        <v>0</v>
      </c>
      <c r="AM42">
        <f>IFERROR(AF42*_xlfn.XLOOKUP(AM$7,'Product Tgt'!$B:$B,'Product Tgt'!$D:$D),0)</f>
        <v>0</v>
      </c>
    </row>
    <row r="43" spans="1:39" x14ac:dyDescent="0.25">
      <c r="A43" t="s">
        <v>28</v>
      </c>
      <c r="B43" s="7" t="s">
        <v>66</v>
      </c>
      <c r="C43" s="3">
        <f>_xlfn.XLOOKUP($B43,'Terr Target'!$A:$A,'Terr Target'!$E:$E)</f>
        <v>812788.88355122041</v>
      </c>
      <c r="D43" s="3">
        <f t="shared" si="4"/>
        <v>812790</v>
      </c>
      <c r="E43" s="4">
        <f t="shared" si="9"/>
        <v>1.1164487795904279</v>
      </c>
      <c r="F43" s="9">
        <f t="shared" si="8"/>
        <v>1.3736005359200137E-6</v>
      </c>
      <c r="G43" s="5">
        <f t="shared" si="7"/>
        <v>0.99999862639946413</v>
      </c>
      <c r="H43" s="44">
        <v>4640.9437708566529</v>
      </c>
      <c r="I43" s="12">
        <v>13760.903056942396</v>
      </c>
      <c r="J43" s="12">
        <v>74624.196800823935</v>
      </c>
      <c r="K43" s="12">
        <v>43616.05535213503</v>
      </c>
      <c r="L43" s="12">
        <v>399801.91267944465</v>
      </c>
      <c r="M43" s="12">
        <v>251277.56827859272</v>
      </c>
      <c r="N43" s="12">
        <v>41390.501412104197</v>
      </c>
      <c r="O43" s="12">
        <v>10283.843612337192</v>
      </c>
      <c r="P43" s="45">
        <v>59615.666520985178</v>
      </c>
      <c r="Q43" s="44">
        <f>IFERROR(ROUND(_xlfn.XLOOKUP(Q$7,'Product Tgt'!$B:$B,'Product Tgt'!$G:$G)*H43/H$95,0),0)</f>
        <v>4168</v>
      </c>
      <c r="R43" s="12">
        <f>IFERROR(ROUND(_xlfn.XLOOKUP(R$7,'Product Tgt'!$B:$B,'Product Tgt'!$G:$G)*I43/I$95,0),0)</f>
        <v>12379</v>
      </c>
      <c r="S43" s="12">
        <f>IFERROR(ROUND(_xlfn.XLOOKUP(S$7,'Product Tgt'!$B:$B,'Product Tgt'!$G:$G)*J43/J$95,0),0)</f>
        <v>67177</v>
      </c>
      <c r="T43" s="12">
        <f>IFERROR(ROUND(_xlfn.XLOOKUP(T$7,'Product Tgt'!$B:$B,'Product Tgt'!$G:$G)*K43/K$95,0),0)</f>
        <v>39292</v>
      </c>
      <c r="U43" s="12">
        <f>IFERROR(ROUND(_xlfn.XLOOKUP(U$7,'Product Tgt'!$B:$B,'Product Tgt'!$G:$G)*L43/L$95,0),0)</f>
        <v>359891</v>
      </c>
      <c r="V43" s="12">
        <f>IFERROR(ROUND(_xlfn.XLOOKUP(V$7,'Product Tgt'!$B:$B,'Product Tgt'!$G:$G)*M43/M$95,0),0)</f>
        <v>226163</v>
      </c>
      <c r="W43" s="12">
        <f>IFERROR(ROUND(_xlfn.XLOOKUP(W$7,'Product Tgt'!$B:$B,'Product Tgt'!$G:$G)*N43/N$95,0),0)</f>
        <v>40060</v>
      </c>
      <c r="X43" s="12">
        <f>IFERROR(ROUND(_xlfn.XLOOKUP(X$7,'Product Tgt'!$B:$B,'Product Tgt'!$G:$G)*O43/O$95,0),0)</f>
        <v>9950</v>
      </c>
      <c r="Y43" s="45">
        <f>IFERROR(ROUND(_xlfn.XLOOKUP(Y$7,'Product Tgt'!$B:$B,'Product Tgt'!$G:$G)*P43/P$95,0),0)</f>
        <v>53710</v>
      </c>
      <c r="Z43" s="20">
        <f>ROUND(IFERROR(Q43/_xlfn.XLOOKUP(Z$7,'Product Tgt'!$B:$B,'Product Tgt'!$D:$D),0),0)</f>
        <v>0</v>
      </c>
      <c r="AA43" s="11">
        <f>ROUND(IFERROR(R43/_xlfn.XLOOKUP(AA$7,'Product Tgt'!$B:$B,'Product Tgt'!$D:$D),0),0)</f>
        <v>0</v>
      </c>
      <c r="AB43" s="11">
        <f>ROUND(IFERROR(U43/_xlfn.XLOOKUP(AB$7,'Product Tgt'!$B:$B,'Product Tgt'!$D:$D),0),0)</f>
        <v>0</v>
      </c>
      <c r="AC43" s="11">
        <f>ROUND(IFERROR(V43/_xlfn.XLOOKUP(AC$7,'Product Tgt'!$B:$B,'Product Tgt'!$D:$D),0),0)</f>
        <v>0</v>
      </c>
      <c r="AD43" s="11">
        <f>ROUND(IFERROR(W43/_xlfn.XLOOKUP(AD$7,'Product Tgt'!$B:$B,'Product Tgt'!$D:$D),0),0)</f>
        <v>0</v>
      </c>
      <c r="AE43" s="11">
        <f>ROUND(IFERROR(X43/_xlfn.XLOOKUP(AE$7,'Product Tgt'!$B:$B,'Product Tgt'!$D:$D),0),0)</f>
        <v>0</v>
      </c>
      <c r="AF43" s="11">
        <f>ROUND(IFERROR(Y43/_xlfn.XLOOKUP(AF$7,'Product Tgt'!$B:$B,'Product Tgt'!$D:$D),0),0)</f>
        <v>0</v>
      </c>
      <c r="AG43" s="10">
        <f>IFERROR(Z43*_xlfn.XLOOKUP(AG$7,'Product Tgt'!$B:$B,'Product Tgt'!$D:$D),0)</f>
        <v>0</v>
      </c>
      <c r="AH43">
        <f>IFERROR(AA43*_xlfn.XLOOKUP(AH$7,'Product Tgt'!$B:$B,'Product Tgt'!$D:$D),0)</f>
        <v>0</v>
      </c>
      <c r="AI43">
        <f>IFERROR(AB43*_xlfn.XLOOKUP(AI$7,'Product Tgt'!$B:$B,'Product Tgt'!$D:$D),0)</f>
        <v>0</v>
      </c>
      <c r="AJ43">
        <f>IFERROR(AC43*_xlfn.XLOOKUP(AJ$7,'Product Tgt'!$B:$B,'Product Tgt'!$D:$D),0)</f>
        <v>0</v>
      </c>
      <c r="AK43">
        <f>IFERROR(AD43*_xlfn.XLOOKUP(AK$7,'Product Tgt'!$B:$B,'Product Tgt'!$D:$D),0)</f>
        <v>0</v>
      </c>
      <c r="AL43">
        <f>IFERROR(AE43*_xlfn.XLOOKUP(AL$7,'Product Tgt'!$B:$B,'Product Tgt'!$D:$D),0)</f>
        <v>0</v>
      </c>
      <c r="AM43">
        <f>IFERROR(AF43*_xlfn.XLOOKUP(AM$7,'Product Tgt'!$B:$B,'Product Tgt'!$D:$D),0)</f>
        <v>0</v>
      </c>
    </row>
    <row r="44" spans="1:39" x14ac:dyDescent="0.25">
      <c r="A44" t="s">
        <v>36</v>
      </c>
      <c r="B44" s="7" t="s">
        <v>67</v>
      </c>
      <c r="C44" s="3">
        <f>_xlfn.XLOOKUP($B44,'Terr Target'!$A:$A,'Terr Target'!$E:$E)</f>
        <v>481502.10739691084</v>
      </c>
      <c r="D44" s="3">
        <f t="shared" si="4"/>
        <v>481497</v>
      </c>
      <c r="E44" s="4">
        <f t="shared" si="9"/>
        <v>-5.1073969108401798</v>
      </c>
      <c r="F44" s="9">
        <f t="shared" si="8"/>
        <v>1.0607328624768545E-5</v>
      </c>
      <c r="G44" s="5">
        <f t="shared" si="7"/>
        <v>1.0000106073286248</v>
      </c>
      <c r="H44" s="44">
        <v>6222.9265349245716</v>
      </c>
      <c r="I44" s="12">
        <v>4840.7351918092181</v>
      </c>
      <c r="J44" s="12">
        <v>56857.965193149401</v>
      </c>
      <c r="K44" s="12">
        <v>12731.358790527383</v>
      </c>
      <c r="L44" s="12">
        <v>291979.67741295899</v>
      </c>
      <c r="M44" s="12">
        <v>111689.10581208716</v>
      </c>
      <c r="N44" s="12">
        <v>21950.135078650241</v>
      </c>
      <c r="O44" s="12">
        <v>4597.8062893516471</v>
      </c>
      <c r="P44" s="45">
        <v>22032.668295459491</v>
      </c>
      <c r="Q44" s="44">
        <f>IFERROR(ROUND(_xlfn.XLOOKUP(Q$7,'Product Tgt'!$B:$B,'Product Tgt'!$G:$G)*H44/H$95,0),0)</f>
        <v>5589</v>
      </c>
      <c r="R44" s="12">
        <f>IFERROR(ROUND(_xlfn.XLOOKUP(R$7,'Product Tgt'!$B:$B,'Product Tgt'!$G:$G)*I44/I$95,0),0)</f>
        <v>4354</v>
      </c>
      <c r="S44" s="12">
        <f>IFERROR(ROUND(_xlfn.XLOOKUP(S$7,'Product Tgt'!$B:$B,'Product Tgt'!$G:$G)*J44/J$95,0),0)</f>
        <v>51184</v>
      </c>
      <c r="T44" s="12">
        <f>IFERROR(ROUND(_xlfn.XLOOKUP(T$7,'Product Tgt'!$B:$B,'Product Tgt'!$G:$G)*K44/K$95,0),0)</f>
        <v>11469</v>
      </c>
      <c r="U44" s="12">
        <f>IFERROR(ROUND(_xlfn.XLOOKUP(U$7,'Product Tgt'!$B:$B,'Product Tgt'!$G:$G)*L44/L$95,0),0)</f>
        <v>262832</v>
      </c>
      <c r="V44" s="12">
        <f>IFERROR(ROUND(_xlfn.XLOOKUP(V$7,'Product Tgt'!$B:$B,'Product Tgt'!$G:$G)*M44/M$95,0),0)</f>
        <v>100526</v>
      </c>
      <c r="W44" s="12">
        <f>IFERROR(ROUND(_xlfn.XLOOKUP(W$7,'Product Tgt'!$B:$B,'Product Tgt'!$G:$G)*N44/N$95,0),0)</f>
        <v>21245</v>
      </c>
      <c r="X44" s="12">
        <f>IFERROR(ROUND(_xlfn.XLOOKUP(X$7,'Product Tgt'!$B:$B,'Product Tgt'!$G:$G)*O44/O$95,0),0)</f>
        <v>4448</v>
      </c>
      <c r="Y44" s="45">
        <f>IFERROR(ROUND(_xlfn.XLOOKUP(Y$7,'Product Tgt'!$B:$B,'Product Tgt'!$G:$G)*P44/P$95,0),0)</f>
        <v>19850</v>
      </c>
      <c r="Z44" s="20">
        <f>ROUND(IFERROR(Q44/_xlfn.XLOOKUP(Z$7,'Product Tgt'!$B:$B,'Product Tgt'!$D:$D),0),0)</f>
        <v>0</v>
      </c>
      <c r="AA44" s="11">
        <f>ROUND(IFERROR(R44/_xlfn.XLOOKUP(AA$7,'Product Tgt'!$B:$B,'Product Tgt'!$D:$D),0),0)</f>
        <v>0</v>
      </c>
      <c r="AB44" s="11">
        <f>ROUND(IFERROR(U44/_xlfn.XLOOKUP(AB$7,'Product Tgt'!$B:$B,'Product Tgt'!$D:$D),0),0)</f>
        <v>0</v>
      </c>
      <c r="AC44" s="11">
        <f>ROUND(IFERROR(V44/_xlfn.XLOOKUP(AC$7,'Product Tgt'!$B:$B,'Product Tgt'!$D:$D),0),0)</f>
        <v>0</v>
      </c>
      <c r="AD44" s="11">
        <f>ROUND(IFERROR(W44/_xlfn.XLOOKUP(AD$7,'Product Tgt'!$B:$B,'Product Tgt'!$D:$D),0),0)</f>
        <v>0</v>
      </c>
      <c r="AE44" s="11">
        <f>ROUND(IFERROR(X44/_xlfn.XLOOKUP(AE$7,'Product Tgt'!$B:$B,'Product Tgt'!$D:$D),0),0)</f>
        <v>0</v>
      </c>
      <c r="AF44" s="11">
        <f>ROUND(IFERROR(Y44/_xlfn.XLOOKUP(AF$7,'Product Tgt'!$B:$B,'Product Tgt'!$D:$D),0),0)</f>
        <v>0</v>
      </c>
      <c r="AG44" s="10">
        <f>IFERROR(Z44*_xlfn.XLOOKUP(AG$7,'Product Tgt'!$B:$B,'Product Tgt'!$D:$D),0)</f>
        <v>0</v>
      </c>
      <c r="AH44">
        <f>IFERROR(AA44*_xlfn.XLOOKUP(AH$7,'Product Tgt'!$B:$B,'Product Tgt'!$D:$D),0)</f>
        <v>0</v>
      </c>
      <c r="AI44">
        <f>IFERROR(AB44*_xlfn.XLOOKUP(AI$7,'Product Tgt'!$B:$B,'Product Tgt'!$D:$D),0)</f>
        <v>0</v>
      </c>
      <c r="AJ44">
        <f>IFERROR(AC44*_xlfn.XLOOKUP(AJ$7,'Product Tgt'!$B:$B,'Product Tgt'!$D:$D),0)</f>
        <v>0</v>
      </c>
      <c r="AK44">
        <f>IFERROR(AD44*_xlfn.XLOOKUP(AK$7,'Product Tgt'!$B:$B,'Product Tgt'!$D:$D),0)</f>
        <v>0</v>
      </c>
      <c r="AL44">
        <f>IFERROR(AE44*_xlfn.XLOOKUP(AL$7,'Product Tgt'!$B:$B,'Product Tgt'!$D:$D),0)</f>
        <v>0</v>
      </c>
      <c r="AM44">
        <f>IFERROR(AF44*_xlfn.XLOOKUP(AM$7,'Product Tgt'!$B:$B,'Product Tgt'!$D:$D),0)</f>
        <v>0</v>
      </c>
    </row>
    <row r="45" spans="1:39" x14ac:dyDescent="0.25">
      <c r="A45" t="s">
        <v>36</v>
      </c>
      <c r="B45" s="7" t="s">
        <v>68</v>
      </c>
      <c r="C45" s="3">
        <f>_xlfn.XLOOKUP($B45,'Terr Target'!$A:$A,'Terr Target'!$E:$E)</f>
        <v>312443.73778839421</v>
      </c>
      <c r="D45" s="3">
        <f t="shared" si="4"/>
        <v>312437</v>
      </c>
      <c r="E45" s="4">
        <f t="shared" si="9"/>
        <v>-6.7377883942099288</v>
      </c>
      <c r="F45" s="9">
        <f t="shared" si="8"/>
        <v>2.1565270419988442E-5</v>
      </c>
      <c r="G45" s="5">
        <f t="shared" si="7"/>
        <v>1.0000215652704201</v>
      </c>
      <c r="H45" s="44">
        <v>3953.6873793538357</v>
      </c>
      <c r="I45" s="12">
        <v>1464.1634816811584</v>
      </c>
      <c r="J45" s="12">
        <v>27906.097075799717</v>
      </c>
      <c r="K45" s="12">
        <v>11748.88593866757</v>
      </c>
      <c r="L45" s="12">
        <v>196120.16592357427</v>
      </c>
      <c r="M45" s="12">
        <v>84037.231222888528</v>
      </c>
      <c r="N45" s="12">
        <v>5875.8660927425171</v>
      </c>
      <c r="O45" s="12">
        <v>1902.2249196789228</v>
      </c>
      <c r="P45" s="45">
        <v>13493.845699685753</v>
      </c>
      <c r="Q45" s="44">
        <f>IFERROR(ROUND(_xlfn.XLOOKUP(Q$7,'Product Tgt'!$B:$B,'Product Tgt'!$G:$G)*H45/H$95,0),0)</f>
        <v>3551</v>
      </c>
      <c r="R45" s="12">
        <f>IFERROR(ROUND(_xlfn.XLOOKUP(R$7,'Product Tgt'!$B:$B,'Product Tgt'!$G:$G)*I45/I$95,0),0)</f>
        <v>1317</v>
      </c>
      <c r="S45" s="12">
        <f>IFERROR(ROUND(_xlfn.XLOOKUP(S$7,'Product Tgt'!$B:$B,'Product Tgt'!$G:$G)*J45/J$95,0),0)</f>
        <v>25121</v>
      </c>
      <c r="T45" s="12">
        <f>IFERROR(ROUND(_xlfn.XLOOKUP(T$7,'Product Tgt'!$B:$B,'Product Tgt'!$G:$G)*K45/K$95,0),0)</f>
        <v>10584</v>
      </c>
      <c r="U45" s="12">
        <f>IFERROR(ROUND(_xlfn.XLOOKUP(U$7,'Product Tgt'!$B:$B,'Product Tgt'!$G:$G)*L45/L$95,0),0)</f>
        <v>176542</v>
      </c>
      <c r="V45" s="12">
        <f>IFERROR(ROUND(_xlfn.XLOOKUP(V$7,'Product Tgt'!$B:$B,'Product Tgt'!$G:$G)*M45/M$95,0),0)</f>
        <v>75638</v>
      </c>
      <c r="W45" s="12">
        <f>IFERROR(ROUND(_xlfn.XLOOKUP(W$7,'Product Tgt'!$B:$B,'Product Tgt'!$G:$G)*N45/N$95,0),0)</f>
        <v>5687</v>
      </c>
      <c r="X45" s="12">
        <f>IFERROR(ROUND(_xlfn.XLOOKUP(X$7,'Product Tgt'!$B:$B,'Product Tgt'!$G:$G)*O45/O$95,0),0)</f>
        <v>1840</v>
      </c>
      <c r="Y45" s="45">
        <f>IFERROR(ROUND(_xlfn.XLOOKUP(Y$7,'Product Tgt'!$B:$B,'Product Tgt'!$G:$G)*P45/P$95,0),0)</f>
        <v>12157</v>
      </c>
      <c r="Z45" s="20">
        <f>ROUND(IFERROR(Q45/_xlfn.XLOOKUP(Z$7,'Product Tgt'!$B:$B,'Product Tgt'!$D:$D),0),0)</f>
        <v>0</v>
      </c>
      <c r="AA45" s="11">
        <f>ROUND(IFERROR(R45/_xlfn.XLOOKUP(AA$7,'Product Tgt'!$B:$B,'Product Tgt'!$D:$D),0),0)</f>
        <v>0</v>
      </c>
      <c r="AB45" s="11">
        <f>ROUND(IFERROR(U45/_xlfn.XLOOKUP(AB$7,'Product Tgt'!$B:$B,'Product Tgt'!$D:$D),0),0)</f>
        <v>0</v>
      </c>
      <c r="AC45" s="11">
        <f>ROUND(IFERROR(V45/_xlfn.XLOOKUP(AC$7,'Product Tgt'!$B:$B,'Product Tgt'!$D:$D),0),0)</f>
        <v>0</v>
      </c>
      <c r="AD45" s="11">
        <f>ROUND(IFERROR(W45/_xlfn.XLOOKUP(AD$7,'Product Tgt'!$B:$B,'Product Tgt'!$D:$D),0),0)</f>
        <v>0</v>
      </c>
      <c r="AE45" s="11">
        <f>ROUND(IFERROR(X45/_xlfn.XLOOKUP(AE$7,'Product Tgt'!$B:$B,'Product Tgt'!$D:$D),0),0)</f>
        <v>0</v>
      </c>
      <c r="AF45" s="11">
        <f>ROUND(IFERROR(Y45/_xlfn.XLOOKUP(AF$7,'Product Tgt'!$B:$B,'Product Tgt'!$D:$D),0),0)</f>
        <v>0</v>
      </c>
      <c r="AG45" s="10">
        <f>IFERROR(Z45*_xlfn.XLOOKUP(AG$7,'Product Tgt'!$B:$B,'Product Tgt'!$D:$D),0)</f>
        <v>0</v>
      </c>
      <c r="AH45">
        <f>IFERROR(AA45*_xlfn.XLOOKUP(AH$7,'Product Tgt'!$B:$B,'Product Tgt'!$D:$D),0)</f>
        <v>0</v>
      </c>
      <c r="AI45">
        <f>IFERROR(AB45*_xlfn.XLOOKUP(AI$7,'Product Tgt'!$B:$B,'Product Tgt'!$D:$D),0)</f>
        <v>0</v>
      </c>
      <c r="AJ45">
        <f>IFERROR(AC45*_xlfn.XLOOKUP(AJ$7,'Product Tgt'!$B:$B,'Product Tgt'!$D:$D),0)</f>
        <v>0</v>
      </c>
      <c r="AK45">
        <f>IFERROR(AD45*_xlfn.XLOOKUP(AK$7,'Product Tgt'!$B:$B,'Product Tgt'!$D:$D),0)</f>
        <v>0</v>
      </c>
      <c r="AL45">
        <f>IFERROR(AE45*_xlfn.XLOOKUP(AL$7,'Product Tgt'!$B:$B,'Product Tgt'!$D:$D),0)</f>
        <v>0</v>
      </c>
      <c r="AM45">
        <f>IFERROR(AF45*_xlfn.XLOOKUP(AM$7,'Product Tgt'!$B:$B,'Product Tgt'!$D:$D),0)</f>
        <v>0</v>
      </c>
    </row>
    <row r="46" spans="1:39" x14ac:dyDescent="0.25">
      <c r="A46" t="s">
        <v>36</v>
      </c>
      <c r="B46" s="7" t="s">
        <v>69</v>
      </c>
      <c r="C46" s="3">
        <f>_xlfn.XLOOKUP($B46,'Terr Target'!$A:$A,'Terr Target'!$E:$E)</f>
        <v>499493.79629146442</v>
      </c>
      <c r="D46" s="3">
        <f t="shared" si="4"/>
        <v>499487</v>
      </c>
      <c r="E46" s="4">
        <f t="shared" si="9"/>
        <v>-6.7962914644158445</v>
      </c>
      <c r="F46" s="9">
        <f t="shared" si="8"/>
        <v>1.3606543242198184E-5</v>
      </c>
      <c r="G46" s="5">
        <f t="shared" si="7"/>
        <v>1.0000136065432421</v>
      </c>
      <c r="H46" s="44">
        <v>4934.358392121323</v>
      </c>
      <c r="I46" s="12">
        <v>5767.2573288823114</v>
      </c>
      <c r="J46" s="12">
        <v>64668.090436323218</v>
      </c>
      <c r="K46" s="12">
        <v>19963.865250118633</v>
      </c>
      <c r="L46" s="12">
        <v>295930.69214765931</v>
      </c>
      <c r="M46" s="12">
        <v>124610.87411984283</v>
      </c>
      <c r="N46" s="12">
        <v>9070.3674471713621</v>
      </c>
      <c r="O46" s="12">
        <v>2484.7346424942325</v>
      </c>
      <c r="P46" s="45">
        <v>26572.290567036667</v>
      </c>
      <c r="Q46" s="44">
        <f>IFERROR(ROUND(_xlfn.XLOOKUP(Q$7,'Product Tgt'!$B:$B,'Product Tgt'!$G:$G)*H46/H$95,0),0)</f>
        <v>4432</v>
      </c>
      <c r="R46" s="12">
        <f>IFERROR(ROUND(_xlfn.XLOOKUP(R$7,'Product Tgt'!$B:$B,'Product Tgt'!$G:$G)*I46/I$95,0),0)</f>
        <v>5188</v>
      </c>
      <c r="S46" s="12">
        <f>IFERROR(ROUND(_xlfn.XLOOKUP(S$7,'Product Tgt'!$B:$B,'Product Tgt'!$G:$G)*J46/J$95,0),0)</f>
        <v>58215</v>
      </c>
      <c r="T46" s="12">
        <f>IFERROR(ROUND(_xlfn.XLOOKUP(T$7,'Product Tgt'!$B:$B,'Product Tgt'!$G:$G)*K46/K$95,0),0)</f>
        <v>17984</v>
      </c>
      <c r="U46" s="12">
        <f>IFERROR(ROUND(_xlfn.XLOOKUP(U$7,'Product Tgt'!$B:$B,'Product Tgt'!$G:$G)*L46/L$95,0),0)</f>
        <v>266389</v>
      </c>
      <c r="V46" s="12">
        <f>IFERROR(ROUND(_xlfn.XLOOKUP(V$7,'Product Tgt'!$B:$B,'Product Tgt'!$G:$G)*M46/M$95,0),0)</f>
        <v>112156</v>
      </c>
      <c r="W46" s="12">
        <f>IFERROR(ROUND(_xlfn.XLOOKUP(W$7,'Product Tgt'!$B:$B,'Product Tgt'!$G:$G)*N46/N$95,0),0)</f>
        <v>8779</v>
      </c>
      <c r="X46" s="12">
        <f>IFERROR(ROUND(_xlfn.XLOOKUP(X$7,'Product Tgt'!$B:$B,'Product Tgt'!$G:$G)*O46/O$95,0),0)</f>
        <v>2404</v>
      </c>
      <c r="Y46" s="45">
        <f>IFERROR(ROUND(_xlfn.XLOOKUP(Y$7,'Product Tgt'!$B:$B,'Product Tgt'!$G:$G)*P46/P$95,0),0)</f>
        <v>23940</v>
      </c>
      <c r="Z46" s="20">
        <f>ROUND(IFERROR(Q46/_xlfn.XLOOKUP(Z$7,'Product Tgt'!$B:$B,'Product Tgt'!$D:$D),0),0)</f>
        <v>0</v>
      </c>
      <c r="AA46" s="11">
        <f>ROUND(IFERROR(R46/_xlfn.XLOOKUP(AA$7,'Product Tgt'!$B:$B,'Product Tgt'!$D:$D),0),0)</f>
        <v>0</v>
      </c>
      <c r="AB46" s="11">
        <f>ROUND(IFERROR(U46/_xlfn.XLOOKUP(AB$7,'Product Tgt'!$B:$B,'Product Tgt'!$D:$D),0),0)</f>
        <v>0</v>
      </c>
      <c r="AC46" s="11">
        <f>ROUND(IFERROR(V46/_xlfn.XLOOKUP(AC$7,'Product Tgt'!$B:$B,'Product Tgt'!$D:$D),0),0)</f>
        <v>0</v>
      </c>
      <c r="AD46" s="11">
        <f>ROUND(IFERROR(W46/_xlfn.XLOOKUP(AD$7,'Product Tgt'!$B:$B,'Product Tgt'!$D:$D),0),0)</f>
        <v>0</v>
      </c>
      <c r="AE46" s="11">
        <f>ROUND(IFERROR(X46/_xlfn.XLOOKUP(AE$7,'Product Tgt'!$B:$B,'Product Tgt'!$D:$D),0),0)</f>
        <v>0</v>
      </c>
      <c r="AF46" s="11">
        <f>ROUND(IFERROR(Y46/_xlfn.XLOOKUP(AF$7,'Product Tgt'!$B:$B,'Product Tgt'!$D:$D),0),0)</f>
        <v>0</v>
      </c>
      <c r="AG46" s="10">
        <f>IFERROR(Z46*_xlfn.XLOOKUP(AG$7,'Product Tgt'!$B:$B,'Product Tgt'!$D:$D),0)</f>
        <v>0</v>
      </c>
      <c r="AH46">
        <f>IFERROR(AA46*_xlfn.XLOOKUP(AH$7,'Product Tgt'!$B:$B,'Product Tgt'!$D:$D),0)</f>
        <v>0</v>
      </c>
      <c r="AI46">
        <f>IFERROR(AB46*_xlfn.XLOOKUP(AI$7,'Product Tgt'!$B:$B,'Product Tgt'!$D:$D),0)</f>
        <v>0</v>
      </c>
      <c r="AJ46">
        <f>IFERROR(AC46*_xlfn.XLOOKUP(AJ$7,'Product Tgt'!$B:$B,'Product Tgt'!$D:$D),0)</f>
        <v>0</v>
      </c>
      <c r="AK46">
        <f>IFERROR(AD46*_xlfn.XLOOKUP(AK$7,'Product Tgt'!$B:$B,'Product Tgt'!$D:$D),0)</f>
        <v>0</v>
      </c>
      <c r="AL46">
        <f>IFERROR(AE46*_xlfn.XLOOKUP(AL$7,'Product Tgt'!$B:$B,'Product Tgt'!$D:$D),0)</f>
        <v>0</v>
      </c>
      <c r="AM46">
        <f>IFERROR(AF46*_xlfn.XLOOKUP(AM$7,'Product Tgt'!$B:$B,'Product Tgt'!$D:$D),0)</f>
        <v>0</v>
      </c>
    </row>
    <row r="47" spans="1:39" x14ac:dyDescent="0.25">
      <c r="A47" t="s">
        <v>36</v>
      </c>
      <c r="B47" s="7" t="s">
        <v>70</v>
      </c>
      <c r="C47" s="3">
        <f>_xlfn.XLOOKUP($B47,'Terr Target'!$A:$A,'Terr Target'!$E:$E)</f>
        <v>390596.52217819286</v>
      </c>
      <c r="D47" s="3">
        <f t="shared" si="4"/>
        <v>390596</v>
      </c>
      <c r="E47" s="4">
        <f t="shared" si="9"/>
        <v>-0.52217819285579026</v>
      </c>
      <c r="F47" s="9">
        <f t="shared" si="8"/>
        <v>1.3368754233422521E-6</v>
      </c>
      <c r="G47" s="5">
        <f t="shared" si="7"/>
        <v>1.0000013368754233</v>
      </c>
      <c r="H47" s="44">
        <v>2613.6756852651597</v>
      </c>
      <c r="I47" s="12">
        <v>3933.6020039840605</v>
      </c>
      <c r="J47" s="12">
        <v>62817.606038580569</v>
      </c>
      <c r="K47" s="12">
        <v>14278.377544056915</v>
      </c>
      <c r="L47" s="12">
        <v>224021.94674119889</v>
      </c>
      <c r="M47" s="12">
        <v>81244.610550896818</v>
      </c>
      <c r="N47" s="12">
        <v>18159.945606441881</v>
      </c>
      <c r="O47" s="12">
        <v>4850.625233399448</v>
      </c>
      <c r="P47" s="45">
        <v>20252.701943238637</v>
      </c>
      <c r="Q47" s="44">
        <f>IFERROR(ROUND(_xlfn.XLOOKUP(Q$7,'Product Tgt'!$B:$B,'Product Tgt'!$G:$G)*H47/H$95,0),0)</f>
        <v>2348</v>
      </c>
      <c r="R47" s="12">
        <f>IFERROR(ROUND(_xlfn.XLOOKUP(R$7,'Product Tgt'!$B:$B,'Product Tgt'!$G:$G)*I47/I$95,0),0)</f>
        <v>3538</v>
      </c>
      <c r="S47" s="12">
        <f>IFERROR(ROUND(_xlfn.XLOOKUP(S$7,'Product Tgt'!$B:$B,'Product Tgt'!$G:$G)*J47/J$95,0),0)</f>
        <v>56549</v>
      </c>
      <c r="T47" s="12">
        <f>IFERROR(ROUND(_xlfn.XLOOKUP(T$7,'Product Tgt'!$B:$B,'Product Tgt'!$G:$G)*K47/K$95,0),0)</f>
        <v>12863</v>
      </c>
      <c r="U47" s="12">
        <f>IFERROR(ROUND(_xlfn.XLOOKUP(U$7,'Product Tgt'!$B:$B,'Product Tgt'!$G:$G)*L47/L$95,0),0)</f>
        <v>201659</v>
      </c>
      <c r="V47" s="12">
        <f>IFERROR(ROUND(_xlfn.XLOOKUP(V$7,'Product Tgt'!$B:$B,'Product Tgt'!$G:$G)*M47/M$95,0),0)</f>
        <v>73124</v>
      </c>
      <c r="W47" s="12">
        <f>IFERROR(ROUND(_xlfn.XLOOKUP(W$7,'Product Tgt'!$B:$B,'Product Tgt'!$G:$G)*N47/N$95,0),0)</f>
        <v>17576</v>
      </c>
      <c r="X47" s="12">
        <f>IFERROR(ROUND(_xlfn.XLOOKUP(X$7,'Product Tgt'!$B:$B,'Product Tgt'!$G:$G)*O47/O$95,0),0)</f>
        <v>4693</v>
      </c>
      <c r="Y47" s="45">
        <f>IFERROR(ROUND(_xlfn.XLOOKUP(Y$7,'Product Tgt'!$B:$B,'Product Tgt'!$G:$G)*P47/P$95,0),0)</f>
        <v>18246</v>
      </c>
      <c r="Z47" s="20">
        <f>ROUND(IFERROR(Q47/_xlfn.XLOOKUP(Z$7,'Product Tgt'!$B:$B,'Product Tgt'!$D:$D),0),0)</f>
        <v>0</v>
      </c>
      <c r="AA47" s="11">
        <f>ROUND(IFERROR(R47/_xlfn.XLOOKUP(AA$7,'Product Tgt'!$B:$B,'Product Tgt'!$D:$D),0),0)</f>
        <v>0</v>
      </c>
      <c r="AB47" s="11">
        <f>ROUND(IFERROR(U47/_xlfn.XLOOKUP(AB$7,'Product Tgt'!$B:$B,'Product Tgt'!$D:$D),0),0)</f>
        <v>0</v>
      </c>
      <c r="AC47" s="11">
        <f>ROUND(IFERROR(V47/_xlfn.XLOOKUP(AC$7,'Product Tgt'!$B:$B,'Product Tgt'!$D:$D),0),0)</f>
        <v>0</v>
      </c>
      <c r="AD47" s="11">
        <f>ROUND(IFERROR(W47/_xlfn.XLOOKUP(AD$7,'Product Tgt'!$B:$B,'Product Tgt'!$D:$D),0),0)</f>
        <v>0</v>
      </c>
      <c r="AE47" s="11">
        <f>ROUND(IFERROR(X47/_xlfn.XLOOKUP(AE$7,'Product Tgt'!$B:$B,'Product Tgt'!$D:$D),0),0)</f>
        <v>0</v>
      </c>
      <c r="AF47" s="11">
        <f>ROUND(IFERROR(Y47/_xlfn.XLOOKUP(AF$7,'Product Tgt'!$B:$B,'Product Tgt'!$D:$D),0),0)</f>
        <v>0</v>
      </c>
      <c r="AG47" s="10">
        <f>IFERROR(Z47*_xlfn.XLOOKUP(AG$7,'Product Tgt'!$B:$B,'Product Tgt'!$D:$D),0)</f>
        <v>0</v>
      </c>
      <c r="AH47">
        <f>IFERROR(AA47*_xlfn.XLOOKUP(AH$7,'Product Tgt'!$B:$B,'Product Tgt'!$D:$D),0)</f>
        <v>0</v>
      </c>
      <c r="AI47">
        <f>IFERROR(AB47*_xlfn.XLOOKUP(AI$7,'Product Tgt'!$B:$B,'Product Tgt'!$D:$D),0)</f>
        <v>0</v>
      </c>
      <c r="AJ47">
        <f>IFERROR(AC47*_xlfn.XLOOKUP(AJ$7,'Product Tgt'!$B:$B,'Product Tgt'!$D:$D),0)</f>
        <v>0</v>
      </c>
      <c r="AK47">
        <f>IFERROR(AD47*_xlfn.XLOOKUP(AK$7,'Product Tgt'!$B:$B,'Product Tgt'!$D:$D),0)</f>
        <v>0</v>
      </c>
      <c r="AL47">
        <f>IFERROR(AE47*_xlfn.XLOOKUP(AL$7,'Product Tgt'!$B:$B,'Product Tgt'!$D:$D),0)</f>
        <v>0</v>
      </c>
      <c r="AM47">
        <f>IFERROR(AF47*_xlfn.XLOOKUP(AM$7,'Product Tgt'!$B:$B,'Product Tgt'!$D:$D),0)</f>
        <v>0</v>
      </c>
    </row>
    <row r="48" spans="1:39" x14ac:dyDescent="0.25">
      <c r="A48" t="s">
        <v>36</v>
      </c>
      <c r="B48" s="7" t="s">
        <v>71</v>
      </c>
      <c r="C48" s="3">
        <f>_xlfn.XLOOKUP($B48,'Terr Target'!$A:$A,'Terr Target'!$E:$E)</f>
        <v>480850.93457870121</v>
      </c>
      <c r="D48" s="3">
        <f t="shared" si="4"/>
        <v>480854</v>
      </c>
      <c r="E48" s="4">
        <f t="shared" si="9"/>
        <v>3.0654212987865321</v>
      </c>
      <c r="F48" s="9">
        <f t="shared" si="8"/>
        <v>6.3749522698917592E-6</v>
      </c>
      <c r="G48" s="5">
        <f t="shared" si="7"/>
        <v>0.99999362504773015</v>
      </c>
      <c r="H48" s="44">
        <v>4780.5227103161178</v>
      </c>
      <c r="I48" s="12">
        <v>8708.4864375466987</v>
      </c>
      <c r="J48" s="12">
        <v>82383.508997526456</v>
      </c>
      <c r="K48" s="12">
        <v>19809.395880832781</v>
      </c>
      <c r="L48" s="12">
        <v>246872.43788407583</v>
      </c>
      <c r="M48" s="12">
        <v>106903.38611602878</v>
      </c>
      <c r="N48" s="12">
        <v>29467.231327956222</v>
      </c>
      <c r="O48" s="12">
        <v>9125.0909202520434</v>
      </c>
      <c r="P48" s="45">
        <v>23223.216259173514</v>
      </c>
      <c r="Q48" s="44">
        <f>IFERROR(ROUND(_xlfn.XLOOKUP(Q$7,'Product Tgt'!$B:$B,'Product Tgt'!$G:$G)*H48/H$95,0),0)</f>
        <v>4294</v>
      </c>
      <c r="R48" s="12">
        <f>IFERROR(ROUND(_xlfn.XLOOKUP(R$7,'Product Tgt'!$B:$B,'Product Tgt'!$G:$G)*I48/I$95,0),0)</f>
        <v>7834</v>
      </c>
      <c r="S48" s="12">
        <f>IFERROR(ROUND(_xlfn.XLOOKUP(S$7,'Product Tgt'!$B:$B,'Product Tgt'!$G:$G)*J48/J$95,0),0)</f>
        <v>74162</v>
      </c>
      <c r="T48" s="12">
        <f>IFERROR(ROUND(_xlfn.XLOOKUP(T$7,'Product Tgt'!$B:$B,'Product Tgt'!$G:$G)*K48/K$95,0),0)</f>
        <v>17845</v>
      </c>
      <c r="U48" s="12">
        <f>IFERROR(ROUND(_xlfn.XLOOKUP(U$7,'Product Tgt'!$B:$B,'Product Tgt'!$G:$G)*L48/L$95,0),0)</f>
        <v>222228</v>
      </c>
      <c r="V48" s="12">
        <f>IFERROR(ROUND(_xlfn.XLOOKUP(V$7,'Product Tgt'!$B:$B,'Product Tgt'!$G:$G)*M48/M$95,0),0)</f>
        <v>96219</v>
      </c>
      <c r="W48" s="12">
        <f>IFERROR(ROUND(_xlfn.XLOOKUP(W$7,'Product Tgt'!$B:$B,'Product Tgt'!$G:$G)*N48/N$95,0),0)</f>
        <v>28520</v>
      </c>
      <c r="X48" s="12">
        <f>IFERROR(ROUND(_xlfn.XLOOKUP(X$7,'Product Tgt'!$B:$B,'Product Tgt'!$G:$G)*O48/O$95,0),0)</f>
        <v>8829</v>
      </c>
      <c r="Y48" s="45">
        <f>IFERROR(ROUND(_xlfn.XLOOKUP(Y$7,'Product Tgt'!$B:$B,'Product Tgt'!$G:$G)*P48/P$95,0),0)</f>
        <v>20923</v>
      </c>
      <c r="Z48" s="20">
        <f>ROUND(IFERROR(Q48/_xlfn.XLOOKUP(Z$7,'Product Tgt'!$B:$B,'Product Tgt'!$D:$D),0),0)</f>
        <v>0</v>
      </c>
      <c r="AA48" s="11">
        <f>ROUND(IFERROR(R48/_xlfn.XLOOKUP(AA$7,'Product Tgt'!$B:$B,'Product Tgt'!$D:$D),0),0)</f>
        <v>0</v>
      </c>
      <c r="AB48" s="11">
        <f>ROUND(IFERROR(U48/_xlfn.XLOOKUP(AB$7,'Product Tgt'!$B:$B,'Product Tgt'!$D:$D),0),0)</f>
        <v>0</v>
      </c>
      <c r="AC48" s="11">
        <f>ROUND(IFERROR(V48/_xlfn.XLOOKUP(AC$7,'Product Tgt'!$B:$B,'Product Tgt'!$D:$D),0),0)</f>
        <v>0</v>
      </c>
      <c r="AD48" s="11">
        <f>ROUND(IFERROR(W48/_xlfn.XLOOKUP(AD$7,'Product Tgt'!$B:$B,'Product Tgt'!$D:$D),0),0)</f>
        <v>0</v>
      </c>
      <c r="AE48" s="11">
        <f>ROUND(IFERROR(X48/_xlfn.XLOOKUP(AE$7,'Product Tgt'!$B:$B,'Product Tgt'!$D:$D),0),0)</f>
        <v>0</v>
      </c>
      <c r="AF48" s="11">
        <f>ROUND(IFERROR(Y48/_xlfn.XLOOKUP(AF$7,'Product Tgt'!$B:$B,'Product Tgt'!$D:$D),0),0)</f>
        <v>0</v>
      </c>
      <c r="AG48" s="10">
        <f>IFERROR(Z48*_xlfn.XLOOKUP(AG$7,'Product Tgt'!$B:$B,'Product Tgt'!$D:$D),0)</f>
        <v>0</v>
      </c>
      <c r="AH48">
        <f>IFERROR(AA48*_xlfn.XLOOKUP(AH$7,'Product Tgt'!$B:$B,'Product Tgt'!$D:$D),0)</f>
        <v>0</v>
      </c>
      <c r="AI48">
        <f>IFERROR(AB48*_xlfn.XLOOKUP(AI$7,'Product Tgt'!$B:$B,'Product Tgt'!$D:$D),0)</f>
        <v>0</v>
      </c>
      <c r="AJ48">
        <f>IFERROR(AC48*_xlfn.XLOOKUP(AJ$7,'Product Tgt'!$B:$B,'Product Tgt'!$D:$D),0)</f>
        <v>0</v>
      </c>
      <c r="AK48">
        <f>IFERROR(AD48*_xlfn.XLOOKUP(AK$7,'Product Tgt'!$B:$B,'Product Tgt'!$D:$D),0)</f>
        <v>0</v>
      </c>
      <c r="AL48">
        <f>IFERROR(AE48*_xlfn.XLOOKUP(AL$7,'Product Tgt'!$B:$B,'Product Tgt'!$D:$D),0)</f>
        <v>0</v>
      </c>
      <c r="AM48">
        <f>IFERROR(AF48*_xlfn.XLOOKUP(AM$7,'Product Tgt'!$B:$B,'Product Tgt'!$D:$D),0)</f>
        <v>0</v>
      </c>
    </row>
    <row r="49" spans="1:39" x14ac:dyDescent="0.25">
      <c r="A49" t="s">
        <v>36</v>
      </c>
      <c r="B49" s="7" t="s">
        <v>72</v>
      </c>
      <c r="C49" s="3">
        <f>_xlfn.XLOOKUP($B49,'Terr Target'!$A:$A,'Terr Target'!$E:$E)</f>
        <v>311968.42329126864</v>
      </c>
      <c r="D49" s="3">
        <f t="shared" si="4"/>
        <v>311969</v>
      </c>
      <c r="E49" s="4">
        <f t="shared" si="9"/>
        <v>0.57670873135793954</v>
      </c>
      <c r="F49" s="9">
        <f t="shared" si="8"/>
        <v>1.848609096922898E-6</v>
      </c>
      <c r="G49" s="5">
        <f t="shared" si="7"/>
        <v>0.99999815139090309</v>
      </c>
      <c r="H49" s="44">
        <v>2646.1242554737728</v>
      </c>
      <c r="I49" s="12">
        <v>4532.9822713860394</v>
      </c>
      <c r="J49" s="12">
        <v>54916.595350281437</v>
      </c>
      <c r="K49" s="12">
        <v>10571.471325586865</v>
      </c>
      <c r="L49" s="12">
        <v>176125.64406861863</v>
      </c>
      <c r="M49" s="12">
        <v>58826.162202498512</v>
      </c>
      <c r="N49" s="12">
        <v>18273.933148978002</v>
      </c>
      <c r="O49" s="12">
        <v>4649.1247337907444</v>
      </c>
      <c r="P49" s="45">
        <v>14295.002466113452</v>
      </c>
      <c r="Q49" s="44">
        <f>IFERROR(ROUND(_xlfn.XLOOKUP(Q$7,'Product Tgt'!$B:$B,'Product Tgt'!$G:$G)*H49/H$95,0),0)</f>
        <v>2377</v>
      </c>
      <c r="R49" s="12">
        <f>IFERROR(ROUND(_xlfn.XLOOKUP(R$7,'Product Tgt'!$B:$B,'Product Tgt'!$G:$G)*I49/I$95,0),0)</f>
        <v>4078</v>
      </c>
      <c r="S49" s="12">
        <f>IFERROR(ROUND(_xlfn.XLOOKUP(S$7,'Product Tgt'!$B:$B,'Product Tgt'!$G:$G)*J49/J$95,0),0)</f>
        <v>49436</v>
      </c>
      <c r="T49" s="12">
        <f>IFERROR(ROUND(_xlfn.XLOOKUP(T$7,'Product Tgt'!$B:$B,'Product Tgt'!$G:$G)*K49/K$95,0),0)</f>
        <v>9523</v>
      </c>
      <c r="U49" s="12">
        <f>IFERROR(ROUND(_xlfn.XLOOKUP(U$7,'Product Tgt'!$B:$B,'Product Tgt'!$G:$G)*L49/L$95,0),0)</f>
        <v>158544</v>
      </c>
      <c r="V49" s="12">
        <f>IFERROR(ROUND(_xlfn.XLOOKUP(V$7,'Product Tgt'!$B:$B,'Product Tgt'!$G:$G)*M49/M$95,0),0)</f>
        <v>52947</v>
      </c>
      <c r="W49" s="12">
        <f>IFERROR(ROUND(_xlfn.XLOOKUP(W$7,'Product Tgt'!$B:$B,'Product Tgt'!$G:$G)*N49/N$95,0),0)</f>
        <v>17687</v>
      </c>
      <c r="X49" s="12">
        <f>IFERROR(ROUND(_xlfn.XLOOKUP(X$7,'Product Tgt'!$B:$B,'Product Tgt'!$G:$G)*O49/O$95,0),0)</f>
        <v>4498</v>
      </c>
      <c r="Y49" s="45">
        <f>IFERROR(ROUND(_xlfn.XLOOKUP(Y$7,'Product Tgt'!$B:$B,'Product Tgt'!$G:$G)*P49/P$95,0),0)</f>
        <v>12879</v>
      </c>
      <c r="Z49" s="20">
        <f>ROUND(IFERROR(Q49/_xlfn.XLOOKUP(Z$7,'Product Tgt'!$B:$B,'Product Tgt'!$D:$D),0),0)</f>
        <v>0</v>
      </c>
      <c r="AA49" s="11">
        <f>ROUND(IFERROR(R49/_xlfn.XLOOKUP(AA$7,'Product Tgt'!$B:$B,'Product Tgt'!$D:$D),0),0)</f>
        <v>0</v>
      </c>
      <c r="AB49" s="11">
        <f>ROUND(IFERROR(U49/_xlfn.XLOOKUP(AB$7,'Product Tgt'!$B:$B,'Product Tgt'!$D:$D),0),0)</f>
        <v>0</v>
      </c>
      <c r="AC49" s="11">
        <f>ROUND(IFERROR(V49/_xlfn.XLOOKUP(AC$7,'Product Tgt'!$B:$B,'Product Tgt'!$D:$D),0),0)</f>
        <v>0</v>
      </c>
      <c r="AD49" s="11">
        <f>ROUND(IFERROR(W49/_xlfn.XLOOKUP(AD$7,'Product Tgt'!$B:$B,'Product Tgt'!$D:$D),0),0)</f>
        <v>0</v>
      </c>
      <c r="AE49" s="11">
        <f>ROUND(IFERROR(X49/_xlfn.XLOOKUP(AE$7,'Product Tgt'!$B:$B,'Product Tgt'!$D:$D),0),0)</f>
        <v>0</v>
      </c>
      <c r="AF49" s="11">
        <f>ROUND(IFERROR(Y49/_xlfn.XLOOKUP(AF$7,'Product Tgt'!$B:$B,'Product Tgt'!$D:$D),0),0)</f>
        <v>0</v>
      </c>
      <c r="AG49" s="10">
        <f>IFERROR(Z49*_xlfn.XLOOKUP(AG$7,'Product Tgt'!$B:$B,'Product Tgt'!$D:$D),0)</f>
        <v>0</v>
      </c>
      <c r="AH49">
        <f>IFERROR(AA49*_xlfn.XLOOKUP(AH$7,'Product Tgt'!$B:$B,'Product Tgt'!$D:$D),0)</f>
        <v>0</v>
      </c>
      <c r="AI49">
        <f>IFERROR(AB49*_xlfn.XLOOKUP(AI$7,'Product Tgt'!$B:$B,'Product Tgt'!$D:$D),0)</f>
        <v>0</v>
      </c>
      <c r="AJ49">
        <f>IFERROR(AC49*_xlfn.XLOOKUP(AJ$7,'Product Tgt'!$B:$B,'Product Tgt'!$D:$D),0)</f>
        <v>0</v>
      </c>
      <c r="AK49">
        <f>IFERROR(AD49*_xlfn.XLOOKUP(AK$7,'Product Tgt'!$B:$B,'Product Tgt'!$D:$D),0)</f>
        <v>0</v>
      </c>
      <c r="AL49">
        <f>IFERROR(AE49*_xlfn.XLOOKUP(AL$7,'Product Tgt'!$B:$B,'Product Tgt'!$D:$D),0)</f>
        <v>0</v>
      </c>
      <c r="AM49">
        <f>IFERROR(AF49*_xlfn.XLOOKUP(AM$7,'Product Tgt'!$B:$B,'Product Tgt'!$D:$D),0)</f>
        <v>0</v>
      </c>
    </row>
    <row r="50" spans="1:39" x14ac:dyDescent="0.25">
      <c r="A50" t="s">
        <v>36</v>
      </c>
      <c r="B50" s="7" t="s">
        <v>73</v>
      </c>
      <c r="C50" s="3">
        <f>_xlfn.XLOOKUP($B50,'Terr Target'!$A:$A,'Terr Target'!$E:$E)</f>
        <v>757313.81587663072</v>
      </c>
      <c r="D50" s="3">
        <f t="shared" si="4"/>
        <v>757325</v>
      </c>
      <c r="E50" s="4">
        <f t="shared" si="9"/>
        <v>11.184123369283043</v>
      </c>
      <c r="F50" s="9">
        <f t="shared" si="8"/>
        <v>1.4767931032625415E-5</v>
      </c>
      <c r="G50" s="5">
        <f t="shared" si="7"/>
        <v>0.99998523206896739</v>
      </c>
      <c r="H50" s="44">
        <v>4427.9061153521152</v>
      </c>
      <c r="I50" s="12">
        <v>3051.0009097392112</v>
      </c>
      <c r="J50" s="12">
        <v>62743.467841529418</v>
      </c>
      <c r="K50" s="12">
        <v>24134.566494818104</v>
      </c>
      <c r="L50" s="12">
        <v>404540.81745139003</v>
      </c>
      <c r="M50" s="12">
        <v>205341.51513549301</v>
      </c>
      <c r="N50" s="12">
        <v>60995.640338278521</v>
      </c>
      <c r="O50" s="12">
        <v>15306.063445696327</v>
      </c>
      <c r="P50" s="45">
        <v>55009.027039593726</v>
      </c>
      <c r="Q50" s="44">
        <f>IFERROR(ROUND(_xlfn.XLOOKUP(Q$7,'Product Tgt'!$B:$B,'Product Tgt'!$G:$G)*H50/H$95,0),0)</f>
        <v>3977</v>
      </c>
      <c r="R50" s="12">
        <f>IFERROR(ROUND(_xlfn.XLOOKUP(R$7,'Product Tgt'!$B:$B,'Product Tgt'!$G:$G)*I50/I$95,0),0)</f>
        <v>2745</v>
      </c>
      <c r="S50" s="12">
        <f>IFERROR(ROUND(_xlfn.XLOOKUP(S$7,'Product Tgt'!$B:$B,'Product Tgt'!$G:$G)*J50/J$95,0),0)</f>
        <v>56482</v>
      </c>
      <c r="T50" s="12">
        <f>IFERROR(ROUND(_xlfn.XLOOKUP(T$7,'Product Tgt'!$B:$B,'Product Tgt'!$G:$G)*K50/K$95,0),0)</f>
        <v>21742</v>
      </c>
      <c r="U50" s="12">
        <f>IFERROR(ROUND(_xlfn.XLOOKUP(U$7,'Product Tgt'!$B:$B,'Product Tgt'!$G:$G)*L50/L$95,0),0)</f>
        <v>364157</v>
      </c>
      <c r="V50" s="12">
        <f>IFERROR(ROUND(_xlfn.XLOOKUP(V$7,'Product Tgt'!$B:$B,'Product Tgt'!$G:$G)*M50/M$95,0),0)</f>
        <v>184818</v>
      </c>
      <c r="W50" s="12">
        <f>IFERROR(ROUND(_xlfn.XLOOKUP(W$7,'Product Tgt'!$B:$B,'Product Tgt'!$G:$G)*N50/N$95,0),0)</f>
        <v>59036</v>
      </c>
      <c r="X50" s="12">
        <f>IFERROR(ROUND(_xlfn.XLOOKUP(X$7,'Product Tgt'!$B:$B,'Product Tgt'!$G:$G)*O50/O$95,0),0)</f>
        <v>14809</v>
      </c>
      <c r="Y50" s="45">
        <f>IFERROR(ROUND(_xlfn.XLOOKUP(Y$7,'Product Tgt'!$B:$B,'Product Tgt'!$G:$G)*P50/P$95,0),0)</f>
        <v>49559</v>
      </c>
      <c r="Z50" s="20">
        <f>ROUND(IFERROR(Q50/_xlfn.XLOOKUP(Z$7,'Product Tgt'!$B:$B,'Product Tgt'!$D:$D),0),0)</f>
        <v>0</v>
      </c>
      <c r="AA50" s="11">
        <f>ROUND(IFERROR(R50/_xlfn.XLOOKUP(AA$7,'Product Tgt'!$B:$B,'Product Tgt'!$D:$D),0),0)</f>
        <v>0</v>
      </c>
      <c r="AB50" s="11">
        <f>ROUND(IFERROR(U50/_xlfn.XLOOKUP(AB$7,'Product Tgt'!$B:$B,'Product Tgt'!$D:$D),0),0)</f>
        <v>0</v>
      </c>
      <c r="AC50" s="11">
        <f>ROUND(IFERROR(V50/_xlfn.XLOOKUP(AC$7,'Product Tgt'!$B:$B,'Product Tgt'!$D:$D),0),0)</f>
        <v>0</v>
      </c>
      <c r="AD50" s="11">
        <f>ROUND(IFERROR(W50/_xlfn.XLOOKUP(AD$7,'Product Tgt'!$B:$B,'Product Tgt'!$D:$D),0),0)</f>
        <v>0</v>
      </c>
      <c r="AE50" s="11">
        <f>ROUND(IFERROR(X50/_xlfn.XLOOKUP(AE$7,'Product Tgt'!$B:$B,'Product Tgt'!$D:$D),0),0)</f>
        <v>0</v>
      </c>
      <c r="AF50" s="11">
        <f>ROUND(IFERROR(Y50/_xlfn.XLOOKUP(AF$7,'Product Tgt'!$B:$B,'Product Tgt'!$D:$D),0),0)</f>
        <v>0</v>
      </c>
      <c r="AG50" s="10">
        <f>IFERROR(Z50*_xlfn.XLOOKUP(AG$7,'Product Tgt'!$B:$B,'Product Tgt'!$D:$D),0)</f>
        <v>0</v>
      </c>
      <c r="AH50">
        <f>IFERROR(AA50*_xlfn.XLOOKUP(AH$7,'Product Tgt'!$B:$B,'Product Tgt'!$D:$D),0)</f>
        <v>0</v>
      </c>
      <c r="AI50">
        <f>IFERROR(AB50*_xlfn.XLOOKUP(AI$7,'Product Tgt'!$B:$B,'Product Tgt'!$D:$D),0)</f>
        <v>0</v>
      </c>
      <c r="AJ50">
        <f>IFERROR(AC50*_xlfn.XLOOKUP(AJ$7,'Product Tgt'!$B:$B,'Product Tgt'!$D:$D),0)</f>
        <v>0</v>
      </c>
      <c r="AK50">
        <f>IFERROR(AD50*_xlfn.XLOOKUP(AK$7,'Product Tgt'!$B:$B,'Product Tgt'!$D:$D),0)</f>
        <v>0</v>
      </c>
      <c r="AL50">
        <f>IFERROR(AE50*_xlfn.XLOOKUP(AL$7,'Product Tgt'!$B:$B,'Product Tgt'!$D:$D),0)</f>
        <v>0</v>
      </c>
      <c r="AM50">
        <f>IFERROR(AF50*_xlfn.XLOOKUP(AM$7,'Product Tgt'!$B:$B,'Product Tgt'!$D:$D),0)</f>
        <v>0</v>
      </c>
    </row>
    <row r="51" spans="1:39" x14ac:dyDescent="0.25">
      <c r="A51" t="s">
        <v>36</v>
      </c>
      <c r="B51" s="7" t="s">
        <v>74</v>
      </c>
      <c r="C51" s="3">
        <f>_xlfn.XLOOKUP($B51,'Terr Target'!$A:$A,'Terr Target'!$E:$E)</f>
        <v>667264.3425822655</v>
      </c>
      <c r="D51" s="3">
        <f t="shared" si="4"/>
        <v>667268</v>
      </c>
      <c r="E51" s="4">
        <f t="shared" si="9"/>
        <v>3.6574177345028147</v>
      </c>
      <c r="F51" s="9">
        <f t="shared" si="8"/>
        <v>5.4811825750715075E-6</v>
      </c>
      <c r="G51" s="5">
        <f t="shared" si="7"/>
        <v>0.99999451881742496</v>
      </c>
      <c r="H51" s="44">
        <v>4142.6603309419397</v>
      </c>
      <c r="I51" s="12">
        <v>4863.7199119761171</v>
      </c>
      <c r="J51" s="12">
        <v>63088.648624709364</v>
      </c>
      <c r="K51" s="12">
        <v>23506.156368702719</v>
      </c>
      <c r="L51" s="12">
        <v>355603.15500438743</v>
      </c>
      <c r="M51" s="12">
        <v>190220.94909701822</v>
      </c>
      <c r="N51" s="12">
        <v>29406.783776540524</v>
      </c>
      <c r="O51" s="12">
        <v>9319.6083409321673</v>
      </c>
      <c r="P51" s="45">
        <v>58173.13233451415</v>
      </c>
      <c r="Q51" s="44">
        <f>IFERROR(ROUND(_xlfn.XLOOKUP(Q$7,'Product Tgt'!$B:$B,'Product Tgt'!$G:$G)*H51/H$95,0),0)</f>
        <v>3721</v>
      </c>
      <c r="R51" s="12">
        <f>IFERROR(ROUND(_xlfn.XLOOKUP(R$7,'Product Tgt'!$B:$B,'Product Tgt'!$G:$G)*I51/I$95,0),0)</f>
        <v>4375</v>
      </c>
      <c r="S51" s="12">
        <f>IFERROR(ROUND(_xlfn.XLOOKUP(S$7,'Product Tgt'!$B:$B,'Product Tgt'!$G:$G)*J51/J$95,0),0)</f>
        <v>56793</v>
      </c>
      <c r="T51" s="12">
        <f>IFERROR(ROUND(_xlfn.XLOOKUP(T$7,'Product Tgt'!$B:$B,'Product Tgt'!$G:$G)*K51/K$95,0),0)</f>
        <v>21176</v>
      </c>
      <c r="U51" s="12">
        <f>IFERROR(ROUND(_xlfn.XLOOKUP(U$7,'Product Tgt'!$B:$B,'Product Tgt'!$G:$G)*L51/L$95,0),0)</f>
        <v>320105</v>
      </c>
      <c r="V51" s="12">
        <f>IFERROR(ROUND(_xlfn.XLOOKUP(V$7,'Product Tgt'!$B:$B,'Product Tgt'!$G:$G)*M51/M$95,0),0)</f>
        <v>171209</v>
      </c>
      <c r="W51" s="12">
        <f>IFERROR(ROUND(_xlfn.XLOOKUP(W$7,'Product Tgt'!$B:$B,'Product Tgt'!$G:$G)*N51/N$95,0),0)</f>
        <v>28462</v>
      </c>
      <c r="X51" s="12">
        <f>IFERROR(ROUND(_xlfn.XLOOKUP(X$7,'Product Tgt'!$B:$B,'Product Tgt'!$G:$G)*O51/O$95,0),0)</f>
        <v>9017</v>
      </c>
      <c r="Y51" s="45">
        <f>IFERROR(ROUND(_xlfn.XLOOKUP(Y$7,'Product Tgt'!$B:$B,'Product Tgt'!$G:$G)*P51/P$95,0),0)</f>
        <v>52410</v>
      </c>
      <c r="Z51" s="20">
        <f>ROUND(IFERROR(Q51/_xlfn.XLOOKUP(Z$7,'Product Tgt'!$B:$B,'Product Tgt'!$D:$D),0),0)</f>
        <v>0</v>
      </c>
      <c r="AA51" s="11">
        <f>ROUND(IFERROR(R51/_xlfn.XLOOKUP(AA$7,'Product Tgt'!$B:$B,'Product Tgt'!$D:$D),0),0)</f>
        <v>0</v>
      </c>
      <c r="AB51" s="11">
        <f>ROUND(IFERROR(U51/_xlfn.XLOOKUP(AB$7,'Product Tgt'!$B:$B,'Product Tgt'!$D:$D),0),0)</f>
        <v>0</v>
      </c>
      <c r="AC51" s="11">
        <f>ROUND(IFERROR(V51/_xlfn.XLOOKUP(AC$7,'Product Tgt'!$B:$B,'Product Tgt'!$D:$D),0),0)</f>
        <v>0</v>
      </c>
      <c r="AD51" s="11">
        <f>ROUND(IFERROR(W51/_xlfn.XLOOKUP(AD$7,'Product Tgt'!$B:$B,'Product Tgt'!$D:$D),0),0)</f>
        <v>0</v>
      </c>
      <c r="AE51" s="11">
        <f>ROUND(IFERROR(X51/_xlfn.XLOOKUP(AE$7,'Product Tgt'!$B:$B,'Product Tgt'!$D:$D),0),0)</f>
        <v>0</v>
      </c>
      <c r="AF51" s="11">
        <f>ROUND(IFERROR(Y51/_xlfn.XLOOKUP(AF$7,'Product Tgt'!$B:$B,'Product Tgt'!$D:$D),0),0)</f>
        <v>0</v>
      </c>
      <c r="AG51" s="10">
        <f>IFERROR(Z51*_xlfn.XLOOKUP(AG$7,'Product Tgt'!$B:$B,'Product Tgt'!$D:$D),0)</f>
        <v>0</v>
      </c>
      <c r="AH51">
        <f>IFERROR(AA51*_xlfn.XLOOKUP(AH$7,'Product Tgt'!$B:$B,'Product Tgt'!$D:$D),0)</f>
        <v>0</v>
      </c>
      <c r="AI51">
        <f>IFERROR(AB51*_xlfn.XLOOKUP(AI$7,'Product Tgt'!$B:$B,'Product Tgt'!$D:$D),0)</f>
        <v>0</v>
      </c>
      <c r="AJ51">
        <f>IFERROR(AC51*_xlfn.XLOOKUP(AJ$7,'Product Tgt'!$B:$B,'Product Tgt'!$D:$D),0)</f>
        <v>0</v>
      </c>
      <c r="AK51">
        <f>IFERROR(AD51*_xlfn.XLOOKUP(AK$7,'Product Tgt'!$B:$B,'Product Tgt'!$D:$D),0)</f>
        <v>0</v>
      </c>
      <c r="AL51">
        <f>IFERROR(AE51*_xlfn.XLOOKUP(AL$7,'Product Tgt'!$B:$B,'Product Tgt'!$D:$D),0)</f>
        <v>0</v>
      </c>
      <c r="AM51">
        <f>IFERROR(AF51*_xlfn.XLOOKUP(AM$7,'Product Tgt'!$B:$B,'Product Tgt'!$D:$D),0)</f>
        <v>0</v>
      </c>
    </row>
    <row r="52" spans="1:39" x14ac:dyDescent="0.25">
      <c r="A52" t="s">
        <v>36</v>
      </c>
      <c r="B52" s="7" t="s">
        <v>75</v>
      </c>
      <c r="C52" s="3">
        <f>_xlfn.XLOOKUP($B52,'Terr Target'!$A:$A,'Terr Target'!$E:$E)</f>
        <v>1193751.7043547858</v>
      </c>
      <c r="D52" s="3">
        <f t="shared" si="4"/>
        <v>1193745</v>
      </c>
      <c r="E52" s="4">
        <f t="shared" si="9"/>
        <v>-6.7043547858484089</v>
      </c>
      <c r="F52" s="9">
        <f t="shared" si="8"/>
        <v>5.6162369566770194E-6</v>
      </c>
      <c r="G52" s="5">
        <f t="shared" si="7"/>
        <v>1.0000056162369566</v>
      </c>
      <c r="H52" s="44">
        <v>11504.758424532634</v>
      </c>
      <c r="I52" s="12">
        <v>8907.5656607568417</v>
      </c>
      <c r="J52" s="12">
        <v>146108.25442591758</v>
      </c>
      <c r="K52" s="12">
        <v>61785.099785283317</v>
      </c>
      <c r="L52" s="12">
        <v>630554.46910529421</v>
      </c>
      <c r="M52" s="12">
        <v>334980.69290834467</v>
      </c>
      <c r="N52" s="12">
        <v>28841.977189882142</v>
      </c>
      <c r="O52" s="12">
        <v>10272.049930525356</v>
      </c>
      <c r="P52" s="45">
        <v>90184.632496074148</v>
      </c>
      <c r="Q52" s="44">
        <f>IFERROR(ROUND(_xlfn.XLOOKUP(Q$7,'Product Tgt'!$B:$B,'Product Tgt'!$G:$G)*H52/H$95,0),0)</f>
        <v>10333</v>
      </c>
      <c r="R52" s="12">
        <f>IFERROR(ROUND(_xlfn.XLOOKUP(R$7,'Product Tgt'!$B:$B,'Product Tgt'!$G:$G)*I52/I$95,0),0)</f>
        <v>8013</v>
      </c>
      <c r="S52" s="12">
        <f>IFERROR(ROUND(_xlfn.XLOOKUP(S$7,'Product Tgt'!$B:$B,'Product Tgt'!$G:$G)*J52/J$95,0),0)</f>
        <v>131528</v>
      </c>
      <c r="T52" s="12">
        <f>IFERROR(ROUND(_xlfn.XLOOKUP(T$7,'Product Tgt'!$B:$B,'Product Tgt'!$G:$G)*K52/K$95,0),0)</f>
        <v>55659</v>
      </c>
      <c r="U52" s="12">
        <f>IFERROR(ROUND(_xlfn.XLOOKUP(U$7,'Product Tgt'!$B:$B,'Product Tgt'!$G:$G)*L52/L$95,0),0)</f>
        <v>567609</v>
      </c>
      <c r="V52" s="12">
        <f>IFERROR(ROUND(_xlfn.XLOOKUP(V$7,'Product Tgt'!$B:$B,'Product Tgt'!$G:$G)*M52/M$95,0),0)</f>
        <v>301500</v>
      </c>
      <c r="W52" s="12">
        <f>IFERROR(ROUND(_xlfn.XLOOKUP(W$7,'Product Tgt'!$B:$B,'Product Tgt'!$G:$G)*N52/N$95,0),0)</f>
        <v>27915</v>
      </c>
      <c r="X52" s="12">
        <f>IFERROR(ROUND(_xlfn.XLOOKUP(X$7,'Product Tgt'!$B:$B,'Product Tgt'!$G:$G)*O52/O$95,0),0)</f>
        <v>9938</v>
      </c>
      <c r="Y52" s="45">
        <f>IFERROR(ROUND(_xlfn.XLOOKUP(Y$7,'Product Tgt'!$B:$B,'Product Tgt'!$G:$G)*P52/P$95,0),0)</f>
        <v>81250</v>
      </c>
      <c r="Z52" s="20">
        <f>ROUND(IFERROR(Q52/_xlfn.XLOOKUP(Z$7,'Product Tgt'!$B:$B,'Product Tgt'!$D:$D),0),0)</f>
        <v>0</v>
      </c>
      <c r="AA52" s="11">
        <f>ROUND(IFERROR(R52/_xlfn.XLOOKUP(AA$7,'Product Tgt'!$B:$B,'Product Tgt'!$D:$D),0),0)</f>
        <v>0</v>
      </c>
      <c r="AB52" s="11">
        <f>ROUND(IFERROR(U52/_xlfn.XLOOKUP(AB$7,'Product Tgt'!$B:$B,'Product Tgt'!$D:$D),0),0)</f>
        <v>0</v>
      </c>
      <c r="AC52" s="11">
        <f>ROUND(IFERROR(V52/_xlfn.XLOOKUP(AC$7,'Product Tgt'!$B:$B,'Product Tgt'!$D:$D),0),0)</f>
        <v>0</v>
      </c>
      <c r="AD52" s="11">
        <f>ROUND(IFERROR(W52/_xlfn.XLOOKUP(AD$7,'Product Tgt'!$B:$B,'Product Tgt'!$D:$D),0),0)</f>
        <v>0</v>
      </c>
      <c r="AE52" s="11">
        <f>ROUND(IFERROR(X52/_xlfn.XLOOKUP(AE$7,'Product Tgt'!$B:$B,'Product Tgt'!$D:$D),0),0)</f>
        <v>0</v>
      </c>
      <c r="AF52" s="11">
        <f>ROUND(IFERROR(Y52/_xlfn.XLOOKUP(AF$7,'Product Tgt'!$B:$B,'Product Tgt'!$D:$D),0),0)</f>
        <v>0</v>
      </c>
      <c r="AG52" s="10">
        <f>IFERROR(Z52*_xlfn.XLOOKUP(AG$7,'Product Tgt'!$B:$B,'Product Tgt'!$D:$D),0)</f>
        <v>0</v>
      </c>
      <c r="AH52">
        <f>IFERROR(AA52*_xlfn.XLOOKUP(AH$7,'Product Tgt'!$B:$B,'Product Tgt'!$D:$D),0)</f>
        <v>0</v>
      </c>
      <c r="AI52">
        <f>IFERROR(AB52*_xlfn.XLOOKUP(AI$7,'Product Tgt'!$B:$B,'Product Tgt'!$D:$D),0)</f>
        <v>0</v>
      </c>
      <c r="AJ52">
        <f>IFERROR(AC52*_xlfn.XLOOKUP(AJ$7,'Product Tgt'!$B:$B,'Product Tgt'!$D:$D),0)</f>
        <v>0</v>
      </c>
      <c r="AK52">
        <f>IFERROR(AD52*_xlfn.XLOOKUP(AK$7,'Product Tgt'!$B:$B,'Product Tgt'!$D:$D),0)</f>
        <v>0</v>
      </c>
      <c r="AL52">
        <f>IFERROR(AE52*_xlfn.XLOOKUP(AL$7,'Product Tgt'!$B:$B,'Product Tgt'!$D:$D),0)</f>
        <v>0</v>
      </c>
      <c r="AM52">
        <f>IFERROR(AF52*_xlfn.XLOOKUP(AM$7,'Product Tgt'!$B:$B,'Product Tgt'!$D:$D),0)</f>
        <v>0</v>
      </c>
    </row>
    <row r="53" spans="1:39" x14ac:dyDescent="0.25">
      <c r="A53" t="s">
        <v>36</v>
      </c>
      <c r="B53" s="7" t="s">
        <v>76</v>
      </c>
      <c r="C53" s="3">
        <f>_xlfn.XLOOKUP($B53,'Terr Target'!$A:$A,'Terr Target'!$E:$E)</f>
        <v>783615.79546589556</v>
      </c>
      <c r="D53" s="3">
        <f t="shared" si="4"/>
        <v>783617</v>
      </c>
      <c r="E53" s="4">
        <f t="shared" si="9"/>
        <v>1.2045341044431552</v>
      </c>
      <c r="F53" s="9">
        <f t="shared" si="8"/>
        <v>1.5371464688019213E-6</v>
      </c>
      <c r="G53" s="5">
        <f t="shared" si="7"/>
        <v>0.99999846285353122</v>
      </c>
      <c r="H53" s="44">
        <v>8755.8550434204972</v>
      </c>
      <c r="I53" s="12">
        <v>6265.1908223396895</v>
      </c>
      <c r="J53" s="12">
        <v>87630.431609350999</v>
      </c>
      <c r="K53" s="12">
        <v>31866.057803152471</v>
      </c>
      <c r="L53" s="12">
        <v>414257.93154164113</v>
      </c>
      <c r="M53" s="12">
        <v>226299.17724339798</v>
      </c>
      <c r="N53" s="12">
        <v>35545.556071042614</v>
      </c>
      <c r="O53" s="12">
        <v>10850.977825135373</v>
      </c>
      <c r="P53" s="45">
        <v>45550.147807022884</v>
      </c>
      <c r="Q53" s="44">
        <f>IFERROR(ROUND(_xlfn.XLOOKUP(Q$7,'Product Tgt'!$B:$B,'Product Tgt'!$G:$G)*H53/H$95,0),0)</f>
        <v>7864</v>
      </c>
      <c r="R53" s="12">
        <f>IFERROR(ROUND(_xlfn.XLOOKUP(R$7,'Product Tgt'!$B:$B,'Product Tgt'!$G:$G)*I53/I$95,0),0)</f>
        <v>5636</v>
      </c>
      <c r="S53" s="12">
        <f>IFERROR(ROUND(_xlfn.XLOOKUP(S$7,'Product Tgt'!$B:$B,'Product Tgt'!$G:$G)*J53/J$95,0),0)</f>
        <v>78886</v>
      </c>
      <c r="T53" s="12">
        <f>IFERROR(ROUND(_xlfn.XLOOKUP(T$7,'Product Tgt'!$B:$B,'Product Tgt'!$G:$G)*K53/K$95,0),0)</f>
        <v>28707</v>
      </c>
      <c r="U53" s="12">
        <f>IFERROR(ROUND(_xlfn.XLOOKUP(U$7,'Product Tgt'!$B:$B,'Product Tgt'!$G:$G)*L53/L$95,0),0)</f>
        <v>372904</v>
      </c>
      <c r="V53" s="12">
        <f>IFERROR(ROUND(_xlfn.XLOOKUP(V$7,'Product Tgt'!$B:$B,'Product Tgt'!$G:$G)*M53/M$95,0),0)</f>
        <v>203681</v>
      </c>
      <c r="W53" s="12">
        <f>IFERROR(ROUND(_xlfn.XLOOKUP(W$7,'Product Tgt'!$B:$B,'Product Tgt'!$G:$G)*N53/N$95,0),0)</f>
        <v>34403</v>
      </c>
      <c r="X53" s="12">
        <f>IFERROR(ROUND(_xlfn.XLOOKUP(X$7,'Product Tgt'!$B:$B,'Product Tgt'!$G:$G)*O53/O$95,0),0)</f>
        <v>10498</v>
      </c>
      <c r="Y53" s="45">
        <f>IFERROR(ROUND(_xlfn.XLOOKUP(Y$7,'Product Tgt'!$B:$B,'Product Tgt'!$G:$G)*P53/P$95,0),0)</f>
        <v>41038</v>
      </c>
      <c r="Z53" s="20">
        <f>ROUND(IFERROR(Q53/_xlfn.XLOOKUP(Z$7,'Product Tgt'!$B:$B,'Product Tgt'!$D:$D),0),0)</f>
        <v>0</v>
      </c>
      <c r="AA53" s="11">
        <f>ROUND(IFERROR(R53/_xlfn.XLOOKUP(AA$7,'Product Tgt'!$B:$B,'Product Tgt'!$D:$D),0),0)</f>
        <v>0</v>
      </c>
      <c r="AB53" s="11">
        <f>ROUND(IFERROR(U53/_xlfn.XLOOKUP(AB$7,'Product Tgt'!$B:$B,'Product Tgt'!$D:$D),0),0)</f>
        <v>0</v>
      </c>
      <c r="AC53" s="11">
        <f>ROUND(IFERROR(V53/_xlfn.XLOOKUP(AC$7,'Product Tgt'!$B:$B,'Product Tgt'!$D:$D),0),0)</f>
        <v>0</v>
      </c>
      <c r="AD53" s="11">
        <f>ROUND(IFERROR(W53/_xlfn.XLOOKUP(AD$7,'Product Tgt'!$B:$B,'Product Tgt'!$D:$D),0),0)</f>
        <v>0</v>
      </c>
      <c r="AE53" s="11">
        <f>ROUND(IFERROR(X53/_xlfn.XLOOKUP(AE$7,'Product Tgt'!$B:$B,'Product Tgt'!$D:$D),0),0)</f>
        <v>0</v>
      </c>
      <c r="AF53" s="11">
        <f>ROUND(IFERROR(Y53/_xlfn.XLOOKUP(AF$7,'Product Tgt'!$B:$B,'Product Tgt'!$D:$D),0),0)</f>
        <v>0</v>
      </c>
      <c r="AG53" s="10">
        <f>IFERROR(Z53*_xlfn.XLOOKUP(AG$7,'Product Tgt'!$B:$B,'Product Tgt'!$D:$D),0)</f>
        <v>0</v>
      </c>
      <c r="AH53">
        <f>IFERROR(AA53*_xlfn.XLOOKUP(AH$7,'Product Tgt'!$B:$B,'Product Tgt'!$D:$D),0)</f>
        <v>0</v>
      </c>
      <c r="AI53">
        <f>IFERROR(AB53*_xlfn.XLOOKUP(AI$7,'Product Tgt'!$B:$B,'Product Tgt'!$D:$D),0)</f>
        <v>0</v>
      </c>
      <c r="AJ53">
        <f>IFERROR(AC53*_xlfn.XLOOKUP(AJ$7,'Product Tgt'!$B:$B,'Product Tgt'!$D:$D),0)</f>
        <v>0</v>
      </c>
      <c r="AK53">
        <f>IFERROR(AD53*_xlfn.XLOOKUP(AK$7,'Product Tgt'!$B:$B,'Product Tgt'!$D:$D),0)</f>
        <v>0</v>
      </c>
      <c r="AL53">
        <f>IFERROR(AE53*_xlfn.XLOOKUP(AL$7,'Product Tgt'!$B:$B,'Product Tgt'!$D:$D),0)</f>
        <v>0</v>
      </c>
      <c r="AM53">
        <f>IFERROR(AF53*_xlfn.XLOOKUP(AM$7,'Product Tgt'!$B:$B,'Product Tgt'!$D:$D),0)</f>
        <v>0</v>
      </c>
    </row>
    <row r="54" spans="1:39" x14ac:dyDescent="0.25">
      <c r="A54" t="s">
        <v>36</v>
      </c>
      <c r="B54" s="7" t="s">
        <v>77</v>
      </c>
      <c r="C54" s="3">
        <f>_xlfn.XLOOKUP($B54,'Terr Target'!$A:$A,'Terr Target'!$E:$E)</f>
        <v>1063513.4084678863</v>
      </c>
      <c r="D54" s="3">
        <f t="shared" si="4"/>
        <v>1063511</v>
      </c>
      <c r="E54" s="4">
        <f t="shared" si="9"/>
        <v>-2.4084678862709552</v>
      </c>
      <c r="F54" s="9">
        <f t="shared" si="8"/>
        <v>2.2646384346480244E-6</v>
      </c>
      <c r="G54" s="5">
        <f t="shared" si="7"/>
        <v>1.0000022646384346</v>
      </c>
      <c r="H54" s="44">
        <v>9767.6631154561073</v>
      </c>
      <c r="I54" s="12">
        <v>7920.7549240724193</v>
      </c>
      <c r="J54" s="12">
        <v>120912.10355640802</v>
      </c>
      <c r="K54" s="12">
        <v>40909.050937994187</v>
      </c>
      <c r="L54" s="12">
        <v>598019.74667543918</v>
      </c>
      <c r="M54" s="12">
        <v>279424.63877703919</v>
      </c>
      <c r="N54" s="12">
        <v>48356.39170534139</v>
      </c>
      <c r="O54" s="12">
        <v>13102.991495380425</v>
      </c>
      <c r="P54" s="45">
        <v>58402.075516558885</v>
      </c>
      <c r="Q54" s="44">
        <f>IFERROR(ROUND(_xlfn.XLOOKUP(Q$7,'Product Tgt'!$B:$B,'Product Tgt'!$G:$G)*H54/H$95,0),0)</f>
        <v>8773</v>
      </c>
      <c r="R54" s="12">
        <f>IFERROR(ROUND(_xlfn.XLOOKUP(R$7,'Product Tgt'!$B:$B,'Product Tgt'!$G:$G)*I54/I$95,0),0)</f>
        <v>7125</v>
      </c>
      <c r="S54" s="12">
        <f>IFERROR(ROUND(_xlfn.XLOOKUP(S$7,'Product Tgt'!$B:$B,'Product Tgt'!$G:$G)*J54/J$95,0),0)</f>
        <v>108846</v>
      </c>
      <c r="T54" s="12">
        <f>IFERROR(ROUND(_xlfn.XLOOKUP(T$7,'Product Tgt'!$B:$B,'Product Tgt'!$G:$G)*K54/K$95,0),0)</f>
        <v>36853</v>
      </c>
      <c r="U54" s="12">
        <f>IFERROR(ROUND(_xlfn.XLOOKUP(U$7,'Product Tgt'!$B:$B,'Product Tgt'!$G:$G)*L54/L$95,0),0)</f>
        <v>538322</v>
      </c>
      <c r="V54" s="12">
        <f>IFERROR(ROUND(_xlfn.XLOOKUP(V$7,'Product Tgt'!$B:$B,'Product Tgt'!$G:$G)*M54/M$95,0),0)</f>
        <v>251496</v>
      </c>
      <c r="W54" s="12">
        <f>IFERROR(ROUND(_xlfn.XLOOKUP(W$7,'Product Tgt'!$B:$B,'Product Tgt'!$G:$G)*N54/N$95,0),0)</f>
        <v>46803</v>
      </c>
      <c r="X54" s="12">
        <f>IFERROR(ROUND(_xlfn.XLOOKUP(X$7,'Product Tgt'!$B:$B,'Product Tgt'!$G:$G)*O54/O$95,0),0)</f>
        <v>12677</v>
      </c>
      <c r="Y54" s="45">
        <f>IFERROR(ROUND(_xlfn.XLOOKUP(Y$7,'Product Tgt'!$B:$B,'Product Tgt'!$G:$G)*P54/P$95,0),0)</f>
        <v>52616</v>
      </c>
      <c r="Z54" s="20">
        <f>ROUND(IFERROR(Q54/_xlfn.XLOOKUP(Z$7,'Product Tgt'!$B:$B,'Product Tgt'!$D:$D),0),0)</f>
        <v>0</v>
      </c>
      <c r="AA54" s="11">
        <f>ROUND(IFERROR(R54/_xlfn.XLOOKUP(AA$7,'Product Tgt'!$B:$B,'Product Tgt'!$D:$D),0),0)</f>
        <v>0</v>
      </c>
      <c r="AB54" s="11">
        <f>ROUND(IFERROR(U54/_xlfn.XLOOKUP(AB$7,'Product Tgt'!$B:$B,'Product Tgt'!$D:$D),0),0)</f>
        <v>0</v>
      </c>
      <c r="AC54" s="11">
        <f>ROUND(IFERROR(V54/_xlfn.XLOOKUP(AC$7,'Product Tgt'!$B:$B,'Product Tgt'!$D:$D),0),0)</f>
        <v>0</v>
      </c>
      <c r="AD54" s="11">
        <f>ROUND(IFERROR(W54/_xlfn.XLOOKUP(AD$7,'Product Tgt'!$B:$B,'Product Tgt'!$D:$D),0),0)</f>
        <v>0</v>
      </c>
      <c r="AE54" s="11">
        <f>ROUND(IFERROR(X54/_xlfn.XLOOKUP(AE$7,'Product Tgt'!$B:$B,'Product Tgt'!$D:$D),0),0)</f>
        <v>0</v>
      </c>
      <c r="AF54" s="11">
        <f>ROUND(IFERROR(Y54/_xlfn.XLOOKUP(AF$7,'Product Tgt'!$B:$B,'Product Tgt'!$D:$D),0),0)</f>
        <v>0</v>
      </c>
      <c r="AG54" s="10">
        <f>IFERROR(Z54*_xlfn.XLOOKUP(AG$7,'Product Tgt'!$B:$B,'Product Tgt'!$D:$D),0)</f>
        <v>0</v>
      </c>
      <c r="AH54">
        <f>IFERROR(AA54*_xlfn.XLOOKUP(AH$7,'Product Tgt'!$B:$B,'Product Tgt'!$D:$D),0)</f>
        <v>0</v>
      </c>
      <c r="AI54">
        <f>IFERROR(AB54*_xlfn.XLOOKUP(AI$7,'Product Tgt'!$B:$B,'Product Tgt'!$D:$D),0)</f>
        <v>0</v>
      </c>
      <c r="AJ54">
        <f>IFERROR(AC54*_xlfn.XLOOKUP(AJ$7,'Product Tgt'!$B:$B,'Product Tgt'!$D:$D),0)</f>
        <v>0</v>
      </c>
      <c r="AK54">
        <f>IFERROR(AD54*_xlfn.XLOOKUP(AK$7,'Product Tgt'!$B:$B,'Product Tgt'!$D:$D),0)</f>
        <v>0</v>
      </c>
      <c r="AL54">
        <f>IFERROR(AE54*_xlfn.XLOOKUP(AL$7,'Product Tgt'!$B:$B,'Product Tgt'!$D:$D),0)</f>
        <v>0</v>
      </c>
      <c r="AM54">
        <f>IFERROR(AF54*_xlfn.XLOOKUP(AM$7,'Product Tgt'!$B:$B,'Product Tgt'!$D:$D),0)</f>
        <v>0</v>
      </c>
    </row>
    <row r="55" spans="1:39" x14ac:dyDescent="0.25">
      <c r="A55" t="s">
        <v>28</v>
      </c>
      <c r="B55" s="7" t="s">
        <v>78</v>
      </c>
      <c r="C55" s="3">
        <f>_xlfn.XLOOKUP($B55,'Terr Target'!$A:$A,'Terr Target'!$E:$E)</f>
        <v>548970.57997271453</v>
      </c>
      <c r="D55" s="3">
        <f t="shared" si="4"/>
        <v>548974</v>
      </c>
      <c r="E55" s="4">
        <f t="shared" si="9"/>
        <v>3.4200272854650393</v>
      </c>
      <c r="F55" s="9">
        <f t="shared" si="8"/>
        <v>6.2298529355944718E-6</v>
      </c>
      <c r="G55" s="5">
        <f t="shared" si="7"/>
        <v>0.99999377014706436</v>
      </c>
      <c r="H55" s="44">
        <v>5486.088551578332</v>
      </c>
      <c r="I55" s="12">
        <v>3361.1763482303668</v>
      </c>
      <c r="J55" s="12">
        <v>57999.172295244207</v>
      </c>
      <c r="K55" s="12">
        <v>24132.052785084637</v>
      </c>
      <c r="L55" s="12">
        <v>250679.07240180546</v>
      </c>
      <c r="M55" s="12">
        <v>192409.01260352254</v>
      </c>
      <c r="N55" s="12">
        <v>38004.209142837637</v>
      </c>
      <c r="O55" s="12">
        <v>8459.5765754285349</v>
      </c>
      <c r="P55" s="45">
        <v>25831.598646848197</v>
      </c>
      <c r="Q55" s="44">
        <f>IFERROR(ROUND(_xlfn.XLOOKUP(Q$7,'Product Tgt'!$B:$B,'Product Tgt'!$G:$G)*H55/H$95,0),0)</f>
        <v>4927</v>
      </c>
      <c r="R55" s="12">
        <f>IFERROR(ROUND(_xlfn.XLOOKUP(R$7,'Product Tgt'!$B:$B,'Product Tgt'!$G:$G)*I55/I$95,0),0)</f>
        <v>3024</v>
      </c>
      <c r="S55" s="12">
        <f>IFERROR(ROUND(_xlfn.XLOOKUP(S$7,'Product Tgt'!$B:$B,'Product Tgt'!$G:$G)*J55/J$95,0),0)</f>
        <v>52211</v>
      </c>
      <c r="T55" s="12">
        <f>IFERROR(ROUND(_xlfn.XLOOKUP(T$7,'Product Tgt'!$B:$B,'Product Tgt'!$G:$G)*K55/K$95,0),0)</f>
        <v>21739</v>
      </c>
      <c r="U55" s="12">
        <f>IFERROR(ROUND(_xlfn.XLOOKUP(U$7,'Product Tgt'!$B:$B,'Product Tgt'!$G:$G)*L55/L$95,0),0)</f>
        <v>225655</v>
      </c>
      <c r="V55" s="12">
        <f>IFERROR(ROUND(_xlfn.XLOOKUP(V$7,'Product Tgt'!$B:$B,'Product Tgt'!$G:$G)*M55/M$95,0),0)</f>
        <v>173178</v>
      </c>
      <c r="W55" s="12">
        <f>IFERROR(ROUND(_xlfn.XLOOKUP(W$7,'Product Tgt'!$B:$B,'Product Tgt'!$G:$G)*N55/N$95,0),0)</f>
        <v>36783</v>
      </c>
      <c r="X55" s="12">
        <f>IFERROR(ROUND(_xlfn.XLOOKUP(X$7,'Product Tgt'!$B:$B,'Product Tgt'!$G:$G)*O55/O$95,0),0)</f>
        <v>8185</v>
      </c>
      <c r="Y55" s="45">
        <f>IFERROR(ROUND(_xlfn.XLOOKUP(Y$7,'Product Tgt'!$B:$B,'Product Tgt'!$G:$G)*P55/P$95,0),0)</f>
        <v>23272</v>
      </c>
      <c r="Z55" s="20">
        <f>ROUND(IFERROR(Q55/_xlfn.XLOOKUP(Z$7,'Product Tgt'!$B:$B,'Product Tgt'!$D:$D),0),0)</f>
        <v>0</v>
      </c>
      <c r="AA55" s="11">
        <f>ROUND(IFERROR(R55/_xlfn.XLOOKUP(AA$7,'Product Tgt'!$B:$B,'Product Tgt'!$D:$D),0),0)</f>
        <v>0</v>
      </c>
      <c r="AB55" s="11">
        <f>ROUND(IFERROR(U55/_xlfn.XLOOKUP(AB$7,'Product Tgt'!$B:$B,'Product Tgt'!$D:$D),0),0)</f>
        <v>0</v>
      </c>
      <c r="AC55" s="11">
        <f>ROUND(IFERROR(V55/_xlfn.XLOOKUP(AC$7,'Product Tgt'!$B:$B,'Product Tgt'!$D:$D),0),0)</f>
        <v>0</v>
      </c>
      <c r="AD55" s="11">
        <f>ROUND(IFERROR(W55/_xlfn.XLOOKUP(AD$7,'Product Tgt'!$B:$B,'Product Tgt'!$D:$D),0),0)</f>
        <v>0</v>
      </c>
      <c r="AE55" s="11">
        <f>ROUND(IFERROR(X55/_xlfn.XLOOKUP(AE$7,'Product Tgt'!$B:$B,'Product Tgt'!$D:$D),0),0)</f>
        <v>0</v>
      </c>
      <c r="AF55" s="11">
        <f>ROUND(IFERROR(Y55/_xlfn.XLOOKUP(AF$7,'Product Tgt'!$B:$B,'Product Tgt'!$D:$D),0),0)</f>
        <v>0</v>
      </c>
      <c r="AG55" s="10">
        <f>IFERROR(Z55*_xlfn.XLOOKUP(AG$7,'Product Tgt'!$B:$B,'Product Tgt'!$D:$D),0)</f>
        <v>0</v>
      </c>
      <c r="AH55">
        <f>IFERROR(AA55*_xlfn.XLOOKUP(AH$7,'Product Tgt'!$B:$B,'Product Tgt'!$D:$D),0)</f>
        <v>0</v>
      </c>
      <c r="AI55">
        <f>IFERROR(AB55*_xlfn.XLOOKUP(AI$7,'Product Tgt'!$B:$B,'Product Tgt'!$D:$D),0)</f>
        <v>0</v>
      </c>
      <c r="AJ55">
        <f>IFERROR(AC55*_xlfn.XLOOKUP(AJ$7,'Product Tgt'!$B:$B,'Product Tgt'!$D:$D),0)</f>
        <v>0</v>
      </c>
      <c r="AK55">
        <f>IFERROR(AD55*_xlfn.XLOOKUP(AK$7,'Product Tgt'!$B:$B,'Product Tgt'!$D:$D),0)</f>
        <v>0</v>
      </c>
      <c r="AL55">
        <f>IFERROR(AE55*_xlfn.XLOOKUP(AL$7,'Product Tgt'!$B:$B,'Product Tgt'!$D:$D),0)</f>
        <v>0</v>
      </c>
      <c r="AM55">
        <f>IFERROR(AF55*_xlfn.XLOOKUP(AM$7,'Product Tgt'!$B:$B,'Product Tgt'!$D:$D),0)</f>
        <v>0</v>
      </c>
    </row>
    <row r="56" spans="1:39" x14ac:dyDescent="0.25">
      <c r="A56" t="s">
        <v>28</v>
      </c>
      <c r="B56" s="7" t="s">
        <v>79</v>
      </c>
      <c r="C56" s="3">
        <f>_xlfn.XLOOKUP($B56,'Terr Target'!$A:$A,'Terr Target'!$E:$E)</f>
        <v>460306.18180698308</v>
      </c>
      <c r="D56" s="3">
        <f t="shared" si="4"/>
        <v>460311</v>
      </c>
      <c r="E56" s="4">
        <f t="shared" si="9"/>
        <v>4.8181930169230327</v>
      </c>
      <c r="F56" s="9">
        <f t="shared" si="8"/>
        <v>1.0467255870320354E-5</v>
      </c>
      <c r="G56" s="5">
        <f t="shared" si="7"/>
        <v>0.99998953274412972</v>
      </c>
      <c r="H56" s="44">
        <v>5099.6346773963878</v>
      </c>
      <c r="I56" s="12">
        <v>2822.4798946593514</v>
      </c>
      <c r="J56" s="12">
        <v>46262.830426440014</v>
      </c>
      <c r="K56" s="12">
        <v>25516.882163846032</v>
      </c>
      <c r="L56" s="12">
        <v>232416.57978072675</v>
      </c>
      <c r="M56" s="12">
        <v>128322.15927456621</v>
      </c>
      <c r="N56" s="12">
        <v>31978.654815593633</v>
      </c>
      <c r="O56" s="12">
        <v>5422.8628181314989</v>
      </c>
      <c r="P56" s="45">
        <v>30689.54079028964</v>
      </c>
      <c r="Q56" s="44">
        <f>IFERROR(ROUND(_xlfn.XLOOKUP(Q$7,'Product Tgt'!$B:$B,'Product Tgt'!$G:$G)*H56/H$95,0),0)</f>
        <v>4580</v>
      </c>
      <c r="R56" s="12">
        <f>IFERROR(ROUND(_xlfn.XLOOKUP(R$7,'Product Tgt'!$B:$B,'Product Tgt'!$G:$G)*I56/I$95,0),0)</f>
        <v>2539</v>
      </c>
      <c r="S56" s="12">
        <f>IFERROR(ROUND(_xlfn.XLOOKUP(S$7,'Product Tgt'!$B:$B,'Product Tgt'!$G:$G)*J56/J$95,0),0)</f>
        <v>41646</v>
      </c>
      <c r="T56" s="12">
        <f>IFERROR(ROUND(_xlfn.XLOOKUP(T$7,'Product Tgt'!$B:$B,'Product Tgt'!$G:$G)*K56/K$95,0),0)</f>
        <v>22987</v>
      </c>
      <c r="U56" s="12">
        <f>IFERROR(ROUND(_xlfn.XLOOKUP(U$7,'Product Tgt'!$B:$B,'Product Tgt'!$G:$G)*L56/L$95,0),0)</f>
        <v>209215</v>
      </c>
      <c r="V56" s="12">
        <f>IFERROR(ROUND(_xlfn.XLOOKUP(V$7,'Product Tgt'!$B:$B,'Product Tgt'!$G:$G)*M56/M$95,0),0)</f>
        <v>115497</v>
      </c>
      <c r="W56" s="12">
        <f>IFERROR(ROUND(_xlfn.XLOOKUP(W$7,'Product Tgt'!$B:$B,'Product Tgt'!$G:$G)*N56/N$95,0),0)</f>
        <v>30951</v>
      </c>
      <c r="X56" s="12">
        <f>IFERROR(ROUND(_xlfn.XLOOKUP(X$7,'Product Tgt'!$B:$B,'Product Tgt'!$G:$G)*O56/O$95,0),0)</f>
        <v>5247</v>
      </c>
      <c r="Y56" s="45">
        <f>IFERROR(ROUND(_xlfn.XLOOKUP(Y$7,'Product Tgt'!$B:$B,'Product Tgt'!$G:$G)*P56/P$95,0),0)</f>
        <v>27649</v>
      </c>
      <c r="Z56" s="20">
        <f>ROUND(IFERROR(Q56/_xlfn.XLOOKUP(Z$7,'Product Tgt'!$B:$B,'Product Tgt'!$D:$D),0),0)</f>
        <v>0</v>
      </c>
      <c r="AA56" s="11">
        <f>ROUND(IFERROR(R56/_xlfn.XLOOKUP(AA$7,'Product Tgt'!$B:$B,'Product Tgt'!$D:$D),0),0)</f>
        <v>0</v>
      </c>
      <c r="AB56" s="11">
        <f>ROUND(IFERROR(U56/_xlfn.XLOOKUP(AB$7,'Product Tgt'!$B:$B,'Product Tgt'!$D:$D),0),0)</f>
        <v>0</v>
      </c>
      <c r="AC56" s="11">
        <f>ROUND(IFERROR(V56/_xlfn.XLOOKUP(AC$7,'Product Tgt'!$B:$B,'Product Tgt'!$D:$D),0),0)</f>
        <v>0</v>
      </c>
      <c r="AD56" s="11">
        <f>ROUND(IFERROR(W56/_xlfn.XLOOKUP(AD$7,'Product Tgt'!$B:$B,'Product Tgt'!$D:$D),0),0)</f>
        <v>0</v>
      </c>
      <c r="AE56" s="11">
        <f>ROUND(IFERROR(X56/_xlfn.XLOOKUP(AE$7,'Product Tgt'!$B:$B,'Product Tgt'!$D:$D),0),0)</f>
        <v>0</v>
      </c>
      <c r="AF56" s="11">
        <f>ROUND(IFERROR(Y56/_xlfn.XLOOKUP(AF$7,'Product Tgt'!$B:$B,'Product Tgt'!$D:$D),0),0)</f>
        <v>0</v>
      </c>
      <c r="AG56" s="10">
        <f>IFERROR(Z56*_xlfn.XLOOKUP(AG$7,'Product Tgt'!$B:$B,'Product Tgt'!$D:$D),0)</f>
        <v>0</v>
      </c>
      <c r="AH56">
        <f>IFERROR(AA56*_xlfn.XLOOKUP(AH$7,'Product Tgt'!$B:$B,'Product Tgt'!$D:$D),0)</f>
        <v>0</v>
      </c>
      <c r="AI56">
        <f>IFERROR(AB56*_xlfn.XLOOKUP(AI$7,'Product Tgt'!$B:$B,'Product Tgt'!$D:$D),0)</f>
        <v>0</v>
      </c>
      <c r="AJ56">
        <f>IFERROR(AC56*_xlfn.XLOOKUP(AJ$7,'Product Tgt'!$B:$B,'Product Tgt'!$D:$D),0)</f>
        <v>0</v>
      </c>
      <c r="AK56">
        <f>IFERROR(AD56*_xlfn.XLOOKUP(AK$7,'Product Tgt'!$B:$B,'Product Tgt'!$D:$D),0)</f>
        <v>0</v>
      </c>
      <c r="AL56">
        <f>IFERROR(AE56*_xlfn.XLOOKUP(AL$7,'Product Tgt'!$B:$B,'Product Tgt'!$D:$D),0)</f>
        <v>0</v>
      </c>
      <c r="AM56">
        <f>IFERROR(AF56*_xlfn.XLOOKUP(AM$7,'Product Tgt'!$B:$B,'Product Tgt'!$D:$D),0)</f>
        <v>0</v>
      </c>
    </row>
    <row r="57" spans="1:39" x14ac:dyDescent="0.25">
      <c r="A57" t="s">
        <v>28</v>
      </c>
      <c r="B57" s="7" t="s">
        <v>80</v>
      </c>
      <c r="C57" s="3">
        <f>_xlfn.XLOOKUP($B57,'Terr Target'!$A:$A,'Terr Target'!$E:$E)</f>
        <v>718128.49589682417</v>
      </c>
      <c r="D57" s="3">
        <f t="shared" si="4"/>
        <v>718132</v>
      </c>
      <c r="E57" s="4">
        <f t="shared" si="9"/>
        <v>3.504103175830096</v>
      </c>
      <c r="F57" s="9">
        <f t="shared" si="8"/>
        <v>4.8794694789120885E-6</v>
      </c>
      <c r="G57" s="5">
        <f t="shared" si="7"/>
        <v>0.99999512053052109</v>
      </c>
      <c r="H57" s="44">
        <v>8498.1001486899331</v>
      </c>
      <c r="I57" s="12">
        <v>6291.607720502062</v>
      </c>
      <c r="J57" s="12">
        <v>78811.865341279015</v>
      </c>
      <c r="K57" s="12">
        <v>28965.98497249277</v>
      </c>
      <c r="L57" s="12">
        <v>355828.51891836384</v>
      </c>
      <c r="M57" s="12">
        <v>224159.14657386736</v>
      </c>
      <c r="N57" s="12">
        <v>36729.32652321647</v>
      </c>
      <c r="O57" s="12">
        <v>9020.6691519601991</v>
      </c>
      <c r="P57" s="45">
        <v>46017.074802978736</v>
      </c>
      <c r="Q57" s="44">
        <f>IFERROR(ROUND(_xlfn.XLOOKUP(Q$7,'Product Tgt'!$B:$B,'Product Tgt'!$G:$G)*H57/H$95,0),0)</f>
        <v>7633</v>
      </c>
      <c r="R57" s="12">
        <f>IFERROR(ROUND(_xlfn.XLOOKUP(R$7,'Product Tgt'!$B:$B,'Product Tgt'!$G:$G)*I57/I$95,0),0)</f>
        <v>5660</v>
      </c>
      <c r="S57" s="12">
        <f>IFERROR(ROUND(_xlfn.XLOOKUP(S$7,'Product Tgt'!$B:$B,'Product Tgt'!$G:$G)*J57/J$95,0),0)</f>
        <v>70947</v>
      </c>
      <c r="T57" s="12">
        <f>IFERROR(ROUND(_xlfn.XLOOKUP(T$7,'Product Tgt'!$B:$B,'Product Tgt'!$G:$G)*K57/K$95,0),0)</f>
        <v>26094</v>
      </c>
      <c r="U57" s="12">
        <f>IFERROR(ROUND(_xlfn.XLOOKUP(U$7,'Product Tgt'!$B:$B,'Product Tgt'!$G:$G)*L57/L$95,0),0)</f>
        <v>320308</v>
      </c>
      <c r="V57" s="12">
        <f>IFERROR(ROUND(_xlfn.XLOOKUP(V$7,'Product Tgt'!$B:$B,'Product Tgt'!$G:$G)*M57/M$95,0),0)</f>
        <v>201755</v>
      </c>
      <c r="W57" s="12">
        <f>IFERROR(ROUND(_xlfn.XLOOKUP(W$7,'Product Tgt'!$B:$B,'Product Tgt'!$G:$G)*N57/N$95,0),0)</f>
        <v>35549</v>
      </c>
      <c r="X57" s="12">
        <f>IFERROR(ROUND(_xlfn.XLOOKUP(X$7,'Product Tgt'!$B:$B,'Product Tgt'!$G:$G)*O57/O$95,0),0)</f>
        <v>8728</v>
      </c>
      <c r="Y57" s="45">
        <f>IFERROR(ROUND(_xlfn.XLOOKUP(Y$7,'Product Tgt'!$B:$B,'Product Tgt'!$G:$G)*P57/P$95,0),0)</f>
        <v>41458</v>
      </c>
      <c r="Z57" s="20">
        <f>ROUND(IFERROR(Q57/_xlfn.XLOOKUP(Z$7,'Product Tgt'!$B:$B,'Product Tgt'!$D:$D),0),0)</f>
        <v>0</v>
      </c>
      <c r="AA57" s="11">
        <f>ROUND(IFERROR(R57/_xlfn.XLOOKUP(AA$7,'Product Tgt'!$B:$B,'Product Tgt'!$D:$D),0),0)</f>
        <v>0</v>
      </c>
      <c r="AB57" s="11">
        <f>ROUND(IFERROR(U57/_xlfn.XLOOKUP(AB$7,'Product Tgt'!$B:$B,'Product Tgt'!$D:$D),0),0)</f>
        <v>0</v>
      </c>
      <c r="AC57" s="11">
        <f>ROUND(IFERROR(V57/_xlfn.XLOOKUP(AC$7,'Product Tgt'!$B:$B,'Product Tgt'!$D:$D),0),0)</f>
        <v>0</v>
      </c>
      <c r="AD57" s="11">
        <f>ROUND(IFERROR(W57/_xlfn.XLOOKUP(AD$7,'Product Tgt'!$B:$B,'Product Tgt'!$D:$D),0),0)</f>
        <v>0</v>
      </c>
      <c r="AE57" s="11">
        <f>ROUND(IFERROR(X57/_xlfn.XLOOKUP(AE$7,'Product Tgt'!$B:$B,'Product Tgt'!$D:$D),0),0)</f>
        <v>0</v>
      </c>
      <c r="AF57" s="11">
        <f>ROUND(IFERROR(Y57/_xlfn.XLOOKUP(AF$7,'Product Tgt'!$B:$B,'Product Tgt'!$D:$D),0),0)</f>
        <v>0</v>
      </c>
      <c r="AG57" s="10">
        <f>IFERROR(Z57*_xlfn.XLOOKUP(AG$7,'Product Tgt'!$B:$B,'Product Tgt'!$D:$D),0)</f>
        <v>0</v>
      </c>
      <c r="AH57">
        <f>IFERROR(AA57*_xlfn.XLOOKUP(AH$7,'Product Tgt'!$B:$B,'Product Tgt'!$D:$D),0)</f>
        <v>0</v>
      </c>
      <c r="AI57">
        <f>IFERROR(AB57*_xlfn.XLOOKUP(AI$7,'Product Tgt'!$B:$B,'Product Tgt'!$D:$D),0)</f>
        <v>0</v>
      </c>
      <c r="AJ57">
        <f>IFERROR(AC57*_xlfn.XLOOKUP(AJ$7,'Product Tgt'!$B:$B,'Product Tgt'!$D:$D),0)</f>
        <v>0</v>
      </c>
      <c r="AK57">
        <f>IFERROR(AD57*_xlfn.XLOOKUP(AK$7,'Product Tgt'!$B:$B,'Product Tgt'!$D:$D),0)</f>
        <v>0</v>
      </c>
      <c r="AL57">
        <f>IFERROR(AE57*_xlfn.XLOOKUP(AL$7,'Product Tgt'!$B:$B,'Product Tgt'!$D:$D),0)</f>
        <v>0</v>
      </c>
      <c r="AM57">
        <f>IFERROR(AF57*_xlfn.XLOOKUP(AM$7,'Product Tgt'!$B:$B,'Product Tgt'!$D:$D),0)</f>
        <v>0</v>
      </c>
    </row>
    <row r="58" spans="1:39" x14ac:dyDescent="0.25">
      <c r="A58" t="s">
        <v>28</v>
      </c>
      <c r="B58" s="7" t="s">
        <v>81</v>
      </c>
      <c r="C58" s="3">
        <f>_xlfn.XLOOKUP($B58,'Terr Target'!$A:$A,'Terr Target'!$E:$E)</f>
        <v>836644.6630438799</v>
      </c>
      <c r="D58" s="3">
        <f t="shared" si="4"/>
        <v>836641</v>
      </c>
      <c r="E58" s="4">
        <f t="shared" si="9"/>
        <v>-3.6630438799038529</v>
      </c>
      <c r="F58" s="9">
        <f t="shared" si="8"/>
        <v>4.3782744091000235E-6</v>
      </c>
      <c r="G58" s="5">
        <f t="shared" si="7"/>
        <v>1.000004378274409</v>
      </c>
      <c r="H58" s="44">
        <v>6084.3841943671741</v>
      </c>
      <c r="I58" s="12">
        <v>5146.8168445625242</v>
      </c>
      <c r="J58" s="12">
        <v>92260.042413901494</v>
      </c>
      <c r="K58" s="12">
        <v>34017.509543803433</v>
      </c>
      <c r="L58" s="12">
        <v>472823.96725719504</v>
      </c>
      <c r="M58" s="12">
        <v>236954.32530924401</v>
      </c>
      <c r="N58" s="12">
        <v>33967.729412700246</v>
      </c>
      <c r="O58" s="12">
        <v>9677.3169311429756</v>
      </c>
      <c r="P58" s="45">
        <v>35201.043666204525</v>
      </c>
      <c r="Q58" s="44">
        <f>IFERROR(ROUND(_xlfn.XLOOKUP(Q$7,'Product Tgt'!$B:$B,'Product Tgt'!$G:$G)*H58/H$95,0),0)</f>
        <v>5465</v>
      </c>
      <c r="R58" s="12">
        <f>IFERROR(ROUND(_xlfn.XLOOKUP(R$7,'Product Tgt'!$B:$B,'Product Tgt'!$G:$G)*I58/I$95,0),0)</f>
        <v>4630</v>
      </c>
      <c r="S58" s="12">
        <f>IFERROR(ROUND(_xlfn.XLOOKUP(S$7,'Product Tgt'!$B:$B,'Product Tgt'!$G:$G)*J58/J$95,0),0)</f>
        <v>83053</v>
      </c>
      <c r="T58" s="12">
        <f>IFERROR(ROUND(_xlfn.XLOOKUP(T$7,'Product Tgt'!$B:$B,'Product Tgt'!$G:$G)*K58/K$95,0),0)</f>
        <v>30645</v>
      </c>
      <c r="U58" s="12">
        <f>IFERROR(ROUND(_xlfn.XLOOKUP(U$7,'Product Tgt'!$B:$B,'Product Tgt'!$G:$G)*L58/L$95,0),0)</f>
        <v>425624</v>
      </c>
      <c r="V58" s="12">
        <f>IFERROR(ROUND(_xlfn.XLOOKUP(V$7,'Product Tgt'!$B:$B,'Product Tgt'!$G:$G)*M58/M$95,0),0)</f>
        <v>213271</v>
      </c>
      <c r="W58" s="12">
        <f>IFERROR(ROUND(_xlfn.XLOOKUP(W$7,'Product Tgt'!$B:$B,'Product Tgt'!$G:$G)*N58/N$95,0),0)</f>
        <v>32876</v>
      </c>
      <c r="X58" s="12">
        <f>IFERROR(ROUND(_xlfn.XLOOKUP(X$7,'Product Tgt'!$B:$B,'Product Tgt'!$G:$G)*O58/O$95,0),0)</f>
        <v>9363</v>
      </c>
      <c r="Y58" s="45">
        <f>IFERROR(ROUND(_xlfn.XLOOKUP(Y$7,'Product Tgt'!$B:$B,'Product Tgt'!$G:$G)*P58/P$95,0),0)</f>
        <v>31714</v>
      </c>
      <c r="Z58" s="20">
        <f>ROUND(IFERROR(Q58/_xlfn.XLOOKUP(Z$7,'Product Tgt'!$B:$B,'Product Tgt'!$D:$D),0),0)</f>
        <v>0</v>
      </c>
      <c r="AA58" s="11">
        <f>ROUND(IFERROR(R58/_xlfn.XLOOKUP(AA$7,'Product Tgt'!$B:$B,'Product Tgt'!$D:$D),0),0)</f>
        <v>0</v>
      </c>
      <c r="AB58" s="11">
        <f>ROUND(IFERROR(U58/_xlfn.XLOOKUP(AB$7,'Product Tgt'!$B:$B,'Product Tgt'!$D:$D),0),0)</f>
        <v>0</v>
      </c>
      <c r="AC58" s="11">
        <f>ROUND(IFERROR(V58/_xlfn.XLOOKUP(AC$7,'Product Tgt'!$B:$B,'Product Tgt'!$D:$D),0),0)</f>
        <v>0</v>
      </c>
      <c r="AD58" s="11">
        <f>ROUND(IFERROR(W58/_xlfn.XLOOKUP(AD$7,'Product Tgt'!$B:$B,'Product Tgt'!$D:$D),0),0)</f>
        <v>0</v>
      </c>
      <c r="AE58" s="11">
        <f>ROUND(IFERROR(X58/_xlfn.XLOOKUP(AE$7,'Product Tgt'!$B:$B,'Product Tgt'!$D:$D),0),0)</f>
        <v>0</v>
      </c>
      <c r="AF58" s="11">
        <f>ROUND(IFERROR(Y58/_xlfn.XLOOKUP(AF$7,'Product Tgt'!$B:$B,'Product Tgt'!$D:$D),0),0)</f>
        <v>0</v>
      </c>
      <c r="AG58" s="10">
        <f>IFERROR(Z58*_xlfn.XLOOKUP(AG$7,'Product Tgt'!$B:$B,'Product Tgt'!$D:$D),0)</f>
        <v>0</v>
      </c>
      <c r="AH58">
        <f>IFERROR(AA58*_xlfn.XLOOKUP(AH$7,'Product Tgt'!$B:$B,'Product Tgt'!$D:$D),0)</f>
        <v>0</v>
      </c>
      <c r="AI58">
        <f>IFERROR(AB58*_xlfn.XLOOKUP(AI$7,'Product Tgt'!$B:$B,'Product Tgt'!$D:$D),0)</f>
        <v>0</v>
      </c>
      <c r="AJ58">
        <f>IFERROR(AC58*_xlfn.XLOOKUP(AJ$7,'Product Tgt'!$B:$B,'Product Tgt'!$D:$D),0)</f>
        <v>0</v>
      </c>
      <c r="AK58">
        <f>IFERROR(AD58*_xlfn.XLOOKUP(AK$7,'Product Tgt'!$B:$B,'Product Tgt'!$D:$D),0)</f>
        <v>0</v>
      </c>
      <c r="AL58">
        <f>IFERROR(AE58*_xlfn.XLOOKUP(AL$7,'Product Tgt'!$B:$B,'Product Tgt'!$D:$D),0)</f>
        <v>0</v>
      </c>
      <c r="AM58">
        <f>IFERROR(AF58*_xlfn.XLOOKUP(AM$7,'Product Tgt'!$B:$B,'Product Tgt'!$D:$D),0)</f>
        <v>0</v>
      </c>
    </row>
    <row r="59" spans="1:39" x14ac:dyDescent="0.25">
      <c r="A59" t="s">
        <v>28</v>
      </c>
      <c r="B59" s="7" t="s">
        <v>82</v>
      </c>
      <c r="C59" s="3">
        <f>_xlfn.XLOOKUP($B59,'Terr Target'!$A:$A,'Terr Target'!$E:$E)</f>
        <v>585388.50929023616</v>
      </c>
      <c r="D59" s="3">
        <f t="shared" si="4"/>
        <v>585394</v>
      </c>
      <c r="E59" s="4">
        <f t="shared" si="9"/>
        <v>5.4907097638351843</v>
      </c>
      <c r="F59" s="9">
        <f t="shared" si="8"/>
        <v>9.3795115150397581E-6</v>
      </c>
      <c r="G59" s="5">
        <f t="shared" si="7"/>
        <v>0.99999062048848497</v>
      </c>
      <c r="H59" s="44">
        <v>3619.8771835570124</v>
      </c>
      <c r="I59" s="12">
        <v>2440.4402550203631</v>
      </c>
      <c r="J59" s="12">
        <v>61741.405758388668</v>
      </c>
      <c r="K59" s="12">
        <v>26910.55536553017</v>
      </c>
      <c r="L59" s="12">
        <v>277384.45033442782</v>
      </c>
      <c r="M59" s="12">
        <v>176550.63317864353</v>
      </c>
      <c r="N59" s="12">
        <v>37763.923671701101</v>
      </c>
      <c r="O59" s="12">
        <v>8677.2101854435659</v>
      </c>
      <c r="P59" s="45">
        <v>51704.700666419478</v>
      </c>
      <c r="Q59" s="44">
        <f>IFERROR(ROUND(_xlfn.XLOOKUP(Q$7,'Product Tgt'!$B:$B,'Product Tgt'!$G:$G)*H59/H$95,0),0)</f>
        <v>3251</v>
      </c>
      <c r="R59" s="12">
        <f>IFERROR(ROUND(_xlfn.XLOOKUP(R$7,'Product Tgt'!$B:$B,'Product Tgt'!$G:$G)*I59/I$95,0),0)</f>
        <v>2195</v>
      </c>
      <c r="S59" s="12">
        <f>IFERROR(ROUND(_xlfn.XLOOKUP(S$7,'Product Tgt'!$B:$B,'Product Tgt'!$G:$G)*J59/J$95,0),0)</f>
        <v>55580</v>
      </c>
      <c r="T59" s="12">
        <f>IFERROR(ROUND(_xlfn.XLOOKUP(T$7,'Product Tgt'!$B:$B,'Product Tgt'!$G:$G)*K59/K$95,0),0)</f>
        <v>24242</v>
      </c>
      <c r="U59" s="12">
        <f>IFERROR(ROUND(_xlfn.XLOOKUP(U$7,'Product Tgt'!$B:$B,'Product Tgt'!$G:$G)*L59/L$95,0),0)</f>
        <v>249694</v>
      </c>
      <c r="V59" s="12">
        <f>IFERROR(ROUND(_xlfn.XLOOKUP(V$7,'Product Tgt'!$B:$B,'Product Tgt'!$G:$G)*M59/M$95,0),0)</f>
        <v>158905</v>
      </c>
      <c r="W59" s="12">
        <f>IFERROR(ROUND(_xlfn.XLOOKUP(W$7,'Product Tgt'!$B:$B,'Product Tgt'!$G:$G)*N59/N$95,0),0)</f>
        <v>36550</v>
      </c>
      <c r="X59" s="12">
        <f>IFERROR(ROUND(_xlfn.XLOOKUP(X$7,'Product Tgt'!$B:$B,'Product Tgt'!$G:$G)*O59/O$95,0),0)</f>
        <v>8395</v>
      </c>
      <c r="Y59" s="45">
        <f>IFERROR(ROUND(_xlfn.XLOOKUP(Y$7,'Product Tgt'!$B:$B,'Product Tgt'!$G:$G)*P59/P$95,0),0)</f>
        <v>46582</v>
      </c>
      <c r="Z59" s="20">
        <f>ROUND(IFERROR(Q59/_xlfn.XLOOKUP(Z$7,'Product Tgt'!$B:$B,'Product Tgt'!$D:$D),0),0)</f>
        <v>0</v>
      </c>
      <c r="AA59" s="11">
        <f>ROUND(IFERROR(R59/_xlfn.XLOOKUP(AA$7,'Product Tgt'!$B:$B,'Product Tgt'!$D:$D),0),0)</f>
        <v>0</v>
      </c>
      <c r="AB59" s="11">
        <f>ROUND(IFERROR(U59/_xlfn.XLOOKUP(AB$7,'Product Tgt'!$B:$B,'Product Tgt'!$D:$D),0),0)</f>
        <v>0</v>
      </c>
      <c r="AC59" s="11">
        <f>ROUND(IFERROR(V59/_xlfn.XLOOKUP(AC$7,'Product Tgt'!$B:$B,'Product Tgt'!$D:$D),0),0)</f>
        <v>0</v>
      </c>
      <c r="AD59" s="11">
        <f>ROUND(IFERROR(W59/_xlfn.XLOOKUP(AD$7,'Product Tgt'!$B:$B,'Product Tgt'!$D:$D),0),0)</f>
        <v>0</v>
      </c>
      <c r="AE59" s="11">
        <f>ROUND(IFERROR(X59/_xlfn.XLOOKUP(AE$7,'Product Tgt'!$B:$B,'Product Tgt'!$D:$D),0),0)</f>
        <v>0</v>
      </c>
      <c r="AF59" s="11">
        <f>ROUND(IFERROR(Y59/_xlfn.XLOOKUP(AF$7,'Product Tgt'!$B:$B,'Product Tgt'!$D:$D),0),0)</f>
        <v>0</v>
      </c>
      <c r="AG59" s="10">
        <f>IFERROR(Z59*_xlfn.XLOOKUP(AG$7,'Product Tgt'!$B:$B,'Product Tgt'!$D:$D),0)</f>
        <v>0</v>
      </c>
      <c r="AH59">
        <f>IFERROR(AA59*_xlfn.XLOOKUP(AH$7,'Product Tgt'!$B:$B,'Product Tgt'!$D:$D),0)</f>
        <v>0</v>
      </c>
      <c r="AI59">
        <f>IFERROR(AB59*_xlfn.XLOOKUP(AI$7,'Product Tgt'!$B:$B,'Product Tgt'!$D:$D),0)</f>
        <v>0</v>
      </c>
      <c r="AJ59">
        <f>IFERROR(AC59*_xlfn.XLOOKUP(AJ$7,'Product Tgt'!$B:$B,'Product Tgt'!$D:$D),0)</f>
        <v>0</v>
      </c>
      <c r="AK59">
        <f>IFERROR(AD59*_xlfn.XLOOKUP(AK$7,'Product Tgt'!$B:$B,'Product Tgt'!$D:$D),0)</f>
        <v>0</v>
      </c>
      <c r="AL59">
        <f>IFERROR(AE59*_xlfn.XLOOKUP(AL$7,'Product Tgt'!$B:$B,'Product Tgt'!$D:$D),0)</f>
        <v>0</v>
      </c>
      <c r="AM59">
        <f>IFERROR(AF59*_xlfn.XLOOKUP(AM$7,'Product Tgt'!$B:$B,'Product Tgt'!$D:$D),0)</f>
        <v>0</v>
      </c>
    </row>
    <row r="60" spans="1:39" x14ac:dyDescent="0.25">
      <c r="A60" t="s">
        <v>28</v>
      </c>
      <c r="B60" s="7" t="s">
        <v>83</v>
      </c>
      <c r="C60" s="3">
        <f>_xlfn.XLOOKUP($B60,'Terr Target'!$A:$A,'Terr Target'!$E:$E)</f>
        <v>453139.6755650728</v>
      </c>
      <c r="D60" s="3">
        <f t="shared" si="4"/>
        <v>453146</v>
      </c>
      <c r="E60" s="4">
        <f t="shared" si="9"/>
        <v>6.3244349271990359</v>
      </c>
      <c r="F60" s="9">
        <f t="shared" si="8"/>
        <v>1.3956726810341558E-5</v>
      </c>
      <c r="G60" s="5">
        <f t="shared" si="7"/>
        <v>0.99998604327318963</v>
      </c>
      <c r="H60" s="44">
        <v>2560.1037829258225</v>
      </c>
      <c r="I60" s="12">
        <v>5382.5215755026311</v>
      </c>
      <c r="J60" s="12">
        <v>29118.380384556665</v>
      </c>
      <c r="K60" s="12">
        <v>12092.913115867799</v>
      </c>
      <c r="L60" s="12">
        <v>249999.62702598178</v>
      </c>
      <c r="M60" s="12">
        <v>122243.71195605556</v>
      </c>
      <c r="N60" s="12">
        <v>32168.468633138327</v>
      </c>
      <c r="O60" s="12">
        <v>14320.478661262521</v>
      </c>
      <c r="P60" s="45">
        <v>32009.756295283212</v>
      </c>
      <c r="Q60" s="44">
        <f>IFERROR(ROUND(_xlfn.XLOOKUP(Q$7,'Product Tgt'!$B:$B,'Product Tgt'!$G:$G)*H60/H$95,0),0)</f>
        <v>2299</v>
      </c>
      <c r="R60" s="12">
        <f>IFERROR(ROUND(_xlfn.XLOOKUP(R$7,'Product Tgt'!$B:$B,'Product Tgt'!$G:$G)*I60/I$95,0),0)</f>
        <v>4842</v>
      </c>
      <c r="S60" s="12">
        <f>IFERROR(ROUND(_xlfn.XLOOKUP(S$7,'Product Tgt'!$B:$B,'Product Tgt'!$G:$G)*J60/J$95,0),0)</f>
        <v>26213</v>
      </c>
      <c r="T60" s="12">
        <f>IFERROR(ROUND(_xlfn.XLOOKUP(T$7,'Product Tgt'!$B:$B,'Product Tgt'!$G:$G)*K60/K$95,0),0)</f>
        <v>10894</v>
      </c>
      <c r="U60" s="12">
        <f>IFERROR(ROUND(_xlfn.XLOOKUP(U$7,'Product Tgt'!$B:$B,'Product Tgt'!$G:$G)*L60/L$95,0),0)</f>
        <v>225043</v>
      </c>
      <c r="V60" s="12">
        <f>IFERROR(ROUND(_xlfn.XLOOKUP(V$7,'Product Tgt'!$B:$B,'Product Tgt'!$G:$G)*M60/M$95,0),0)</f>
        <v>110026</v>
      </c>
      <c r="W60" s="12">
        <f>IFERROR(ROUND(_xlfn.XLOOKUP(W$7,'Product Tgt'!$B:$B,'Product Tgt'!$G:$G)*N60/N$95,0),0)</f>
        <v>31135</v>
      </c>
      <c r="X60" s="12">
        <f>IFERROR(ROUND(_xlfn.XLOOKUP(X$7,'Product Tgt'!$B:$B,'Product Tgt'!$G:$G)*O60/O$95,0),0)</f>
        <v>13855</v>
      </c>
      <c r="Y60" s="45">
        <f>IFERROR(ROUND(_xlfn.XLOOKUP(Y$7,'Product Tgt'!$B:$B,'Product Tgt'!$G:$G)*P60/P$95,0),0)</f>
        <v>28839</v>
      </c>
      <c r="Z60" s="20">
        <f>ROUND(IFERROR(Q60/_xlfn.XLOOKUP(Z$7,'Product Tgt'!$B:$B,'Product Tgt'!$D:$D),0),0)</f>
        <v>0</v>
      </c>
      <c r="AA60" s="11">
        <f>ROUND(IFERROR(R60/_xlfn.XLOOKUP(AA$7,'Product Tgt'!$B:$B,'Product Tgt'!$D:$D),0),0)</f>
        <v>0</v>
      </c>
      <c r="AB60" s="11">
        <f>ROUND(IFERROR(U60/_xlfn.XLOOKUP(AB$7,'Product Tgt'!$B:$B,'Product Tgt'!$D:$D),0),0)</f>
        <v>0</v>
      </c>
      <c r="AC60" s="11">
        <f>ROUND(IFERROR(V60/_xlfn.XLOOKUP(AC$7,'Product Tgt'!$B:$B,'Product Tgt'!$D:$D),0),0)</f>
        <v>0</v>
      </c>
      <c r="AD60" s="11">
        <f>ROUND(IFERROR(W60/_xlfn.XLOOKUP(AD$7,'Product Tgt'!$B:$B,'Product Tgt'!$D:$D),0),0)</f>
        <v>0</v>
      </c>
      <c r="AE60" s="11">
        <f>ROUND(IFERROR(X60/_xlfn.XLOOKUP(AE$7,'Product Tgt'!$B:$B,'Product Tgt'!$D:$D),0),0)</f>
        <v>0</v>
      </c>
      <c r="AF60" s="11">
        <f>ROUND(IFERROR(Y60/_xlfn.XLOOKUP(AF$7,'Product Tgt'!$B:$B,'Product Tgt'!$D:$D),0),0)</f>
        <v>0</v>
      </c>
      <c r="AG60" s="10">
        <f>IFERROR(Z60*_xlfn.XLOOKUP(AG$7,'Product Tgt'!$B:$B,'Product Tgt'!$D:$D),0)</f>
        <v>0</v>
      </c>
      <c r="AH60">
        <f>IFERROR(AA60*_xlfn.XLOOKUP(AH$7,'Product Tgt'!$B:$B,'Product Tgt'!$D:$D),0)</f>
        <v>0</v>
      </c>
      <c r="AI60">
        <f>IFERROR(AB60*_xlfn.XLOOKUP(AI$7,'Product Tgt'!$B:$B,'Product Tgt'!$D:$D),0)</f>
        <v>0</v>
      </c>
      <c r="AJ60">
        <f>IFERROR(AC60*_xlfn.XLOOKUP(AJ$7,'Product Tgt'!$B:$B,'Product Tgt'!$D:$D),0)</f>
        <v>0</v>
      </c>
      <c r="AK60">
        <f>IFERROR(AD60*_xlfn.XLOOKUP(AK$7,'Product Tgt'!$B:$B,'Product Tgt'!$D:$D),0)</f>
        <v>0</v>
      </c>
      <c r="AL60">
        <f>IFERROR(AE60*_xlfn.XLOOKUP(AL$7,'Product Tgt'!$B:$B,'Product Tgt'!$D:$D),0)</f>
        <v>0</v>
      </c>
      <c r="AM60">
        <f>IFERROR(AF60*_xlfn.XLOOKUP(AM$7,'Product Tgt'!$B:$B,'Product Tgt'!$D:$D),0)</f>
        <v>0</v>
      </c>
    </row>
    <row r="61" spans="1:39" x14ac:dyDescent="0.25">
      <c r="A61" t="s">
        <v>28</v>
      </c>
      <c r="B61" s="7" t="s">
        <v>84</v>
      </c>
      <c r="C61" s="3">
        <f>_xlfn.XLOOKUP($B61,'Terr Target'!$A:$A,'Terr Target'!$E:$E)</f>
        <v>694046.85212630942</v>
      </c>
      <c r="D61" s="3">
        <f t="shared" si="4"/>
        <v>694052</v>
      </c>
      <c r="E61" s="4">
        <f t="shared" si="9"/>
        <v>5.1478736905846745</v>
      </c>
      <c r="F61" s="9">
        <f t="shared" si="8"/>
        <v>7.4171296827682576E-6</v>
      </c>
      <c r="G61" s="5">
        <f t="shared" si="7"/>
        <v>0.99999258287031723</v>
      </c>
      <c r="H61" s="44">
        <v>2983.3854751881281</v>
      </c>
      <c r="I61" s="12">
        <v>4777.5524103448015</v>
      </c>
      <c r="J61" s="12">
        <v>84858.717545029867</v>
      </c>
      <c r="K61" s="12">
        <v>38721.05111648688</v>
      </c>
      <c r="L61" s="12">
        <v>322444.25423699938</v>
      </c>
      <c r="M61" s="12">
        <v>223801.48132873257</v>
      </c>
      <c r="N61" s="12">
        <v>34170.978938767774</v>
      </c>
      <c r="O61" s="12">
        <v>10357.066389238928</v>
      </c>
      <c r="P61" s="45">
        <v>45529.16289383702</v>
      </c>
      <c r="Q61" s="44">
        <f>IFERROR(ROUND(_xlfn.XLOOKUP(Q$7,'Product Tgt'!$B:$B,'Product Tgt'!$G:$G)*H61/H$95,0),0)</f>
        <v>2680</v>
      </c>
      <c r="R61" s="12">
        <f>IFERROR(ROUND(_xlfn.XLOOKUP(R$7,'Product Tgt'!$B:$B,'Product Tgt'!$G:$G)*I61/I$95,0),0)</f>
        <v>4298</v>
      </c>
      <c r="S61" s="12">
        <f>IFERROR(ROUND(_xlfn.XLOOKUP(S$7,'Product Tgt'!$B:$B,'Product Tgt'!$G:$G)*J61/J$95,0),0)</f>
        <v>76391</v>
      </c>
      <c r="T61" s="12">
        <f>IFERROR(ROUND(_xlfn.XLOOKUP(T$7,'Product Tgt'!$B:$B,'Product Tgt'!$G:$G)*K61/K$95,0),0)</f>
        <v>34882</v>
      </c>
      <c r="U61" s="12">
        <f>IFERROR(ROUND(_xlfn.XLOOKUP(U$7,'Product Tgt'!$B:$B,'Product Tgt'!$G:$G)*L61/L$95,0),0)</f>
        <v>290256</v>
      </c>
      <c r="V61" s="12">
        <f>IFERROR(ROUND(_xlfn.XLOOKUP(V$7,'Product Tgt'!$B:$B,'Product Tgt'!$G:$G)*M61/M$95,0),0)</f>
        <v>201433</v>
      </c>
      <c r="W61" s="12">
        <f>IFERROR(ROUND(_xlfn.XLOOKUP(W$7,'Product Tgt'!$B:$B,'Product Tgt'!$G:$G)*N61/N$95,0),0)</f>
        <v>33073</v>
      </c>
      <c r="X61" s="12">
        <f>IFERROR(ROUND(_xlfn.XLOOKUP(X$7,'Product Tgt'!$B:$B,'Product Tgt'!$G:$G)*O61/O$95,0),0)</f>
        <v>10020</v>
      </c>
      <c r="Y61" s="45">
        <f>IFERROR(ROUND(_xlfn.XLOOKUP(Y$7,'Product Tgt'!$B:$B,'Product Tgt'!$G:$G)*P61/P$95,0),0)</f>
        <v>41019</v>
      </c>
      <c r="Z61" s="20">
        <f>ROUND(IFERROR(Q61/_xlfn.XLOOKUP(Z$7,'Product Tgt'!$B:$B,'Product Tgt'!$D:$D),0),0)</f>
        <v>0</v>
      </c>
      <c r="AA61" s="11">
        <f>ROUND(IFERROR(R61/_xlfn.XLOOKUP(AA$7,'Product Tgt'!$B:$B,'Product Tgt'!$D:$D),0),0)</f>
        <v>0</v>
      </c>
      <c r="AB61" s="11">
        <f>ROUND(IFERROR(U61/_xlfn.XLOOKUP(AB$7,'Product Tgt'!$B:$B,'Product Tgt'!$D:$D),0),0)</f>
        <v>0</v>
      </c>
      <c r="AC61" s="11">
        <f>ROUND(IFERROR(V61/_xlfn.XLOOKUP(AC$7,'Product Tgt'!$B:$B,'Product Tgt'!$D:$D),0),0)</f>
        <v>0</v>
      </c>
      <c r="AD61" s="11">
        <f>ROUND(IFERROR(W61/_xlfn.XLOOKUP(AD$7,'Product Tgt'!$B:$B,'Product Tgt'!$D:$D),0),0)</f>
        <v>0</v>
      </c>
      <c r="AE61" s="11">
        <f>ROUND(IFERROR(X61/_xlfn.XLOOKUP(AE$7,'Product Tgt'!$B:$B,'Product Tgt'!$D:$D),0),0)</f>
        <v>0</v>
      </c>
      <c r="AF61" s="11">
        <f>ROUND(IFERROR(Y61/_xlfn.XLOOKUP(AF$7,'Product Tgt'!$B:$B,'Product Tgt'!$D:$D),0),0)</f>
        <v>0</v>
      </c>
      <c r="AG61" s="10">
        <f>IFERROR(Z61*_xlfn.XLOOKUP(AG$7,'Product Tgt'!$B:$B,'Product Tgt'!$D:$D),0)</f>
        <v>0</v>
      </c>
      <c r="AH61">
        <f>IFERROR(AA61*_xlfn.XLOOKUP(AH$7,'Product Tgt'!$B:$B,'Product Tgt'!$D:$D),0)</f>
        <v>0</v>
      </c>
      <c r="AI61">
        <f>IFERROR(AB61*_xlfn.XLOOKUP(AI$7,'Product Tgt'!$B:$B,'Product Tgt'!$D:$D),0)</f>
        <v>0</v>
      </c>
      <c r="AJ61">
        <f>IFERROR(AC61*_xlfn.XLOOKUP(AJ$7,'Product Tgt'!$B:$B,'Product Tgt'!$D:$D),0)</f>
        <v>0</v>
      </c>
      <c r="AK61">
        <f>IFERROR(AD61*_xlfn.XLOOKUP(AK$7,'Product Tgt'!$B:$B,'Product Tgt'!$D:$D),0)</f>
        <v>0</v>
      </c>
      <c r="AL61">
        <f>IFERROR(AE61*_xlfn.XLOOKUP(AL$7,'Product Tgt'!$B:$B,'Product Tgt'!$D:$D),0)</f>
        <v>0</v>
      </c>
      <c r="AM61">
        <f>IFERROR(AF61*_xlfn.XLOOKUP(AM$7,'Product Tgt'!$B:$B,'Product Tgt'!$D:$D),0)</f>
        <v>0</v>
      </c>
    </row>
    <row r="62" spans="1:39" x14ac:dyDescent="0.25">
      <c r="A62" t="s">
        <v>28</v>
      </c>
      <c r="B62" s="7" t="s">
        <v>85</v>
      </c>
      <c r="C62" s="3">
        <f>_xlfn.XLOOKUP($B62,'Terr Target'!$A:$A,'Terr Target'!$E:$E)</f>
        <v>863068.33070202684</v>
      </c>
      <c r="D62" s="3">
        <f t="shared" si="4"/>
        <v>863074</v>
      </c>
      <c r="E62" s="4">
        <f t="shared" si="9"/>
        <v>5.6692979731597006</v>
      </c>
      <c r="F62" s="9">
        <f t="shared" si="8"/>
        <v>6.5687275635225952E-6</v>
      </c>
      <c r="G62" s="5">
        <f t="shared" si="7"/>
        <v>0.99999343127243645</v>
      </c>
      <c r="H62" s="44">
        <v>4058.0764159018868</v>
      </c>
      <c r="I62" s="12">
        <v>6020.2460281623489</v>
      </c>
      <c r="J62" s="12">
        <v>102368.07141218218</v>
      </c>
      <c r="K62" s="12">
        <v>45155.086551543078</v>
      </c>
      <c r="L62" s="12">
        <v>404540.80328365014</v>
      </c>
      <c r="M62" s="12">
        <v>283619.07525175589</v>
      </c>
      <c r="N62" s="12">
        <v>40291.197617314319</v>
      </c>
      <c r="O62" s="12">
        <v>13286.340770078557</v>
      </c>
      <c r="P62" s="45">
        <v>55389.544614308106</v>
      </c>
      <c r="Q62" s="44">
        <f>IFERROR(ROUND(_xlfn.XLOOKUP(Q$7,'Product Tgt'!$B:$B,'Product Tgt'!$G:$G)*H62/H$95,0),0)</f>
        <v>3645</v>
      </c>
      <c r="R62" s="12">
        <f>IFERROR(ROUND(_xlfn.XLOOKUP(R$7,'Product Tgt'!$B:$B,'Product Tgt'!$G:$G)*I62/I$95,0),0)</f>
        <v>5415</v>
      </c>
      <c r="S62" s="12">
        <f>IFERROR(ROUND(_xlfn.XLOOKUP(S$7,'Product Tgt'!$B:$B,'Product Tgt'!$G:$G)*J62/J$95,0),0)</f>
        <v>92153</v>
      </c>
      <c r="T62" s="12">
        <f>IFERROR(ROUND(_xlfn.XLOOKUP(T$7,'Product Tgt'!$B:$B,'Product Tgt'!$G:$G)*K62/K$95,0),0)</f>
        <v>40678</v>
      </c>
      <c r="U62" s="12">
        <f>IFERROR(ROUND(_xlfn.XLOOKUP(U$7,'Product Tgt'!$B:$B,'Product Tgt'!$G:$G)*L62/L$95,0),0)</f>
        <v>364157</v>
      </c>
      <c r="V62" s="12">
        <f>IFERROR(ROUND(_xlfn.XLOOKUP(V$7,'Product Tgt'!$B:$B,'Product Tgt'!$G:$G)*M62/M$95,0),0)</f>
        <v>255272</v>
      </c>
      <c r="W62" s="12">
        <f>IFERROR(ROUND(_xlfn.XLOOKUP(W$7,'Product Tgt'!$B:$B,'Product Tgt'!$G:$G)*N62/N$95,0),0)</f>
        <v>38997</v>
      </c>
      <c r="X62" s="12">
        <f>IFERROR(ROUND(_xlfn.XLOOKUP(X$7,'Product Tgt'!$B:$B,'Product Tgt'!$G:$G)*O62/O$95,0),0)</f>
        <v>12855</v>
      </c>
      <c r="Y62" s="45">
        <f>IFERROR(ROUND(_xlfn.XLOOKUP(Y$7,'Product Tgt'!$B:$B,'Product Tgt'!$G:$G)*P62/P$95,0),0)</f>
        <v>49902</v>
      </c>
      <c r="Z62" s="20">
        <f>ROUND(IFERROR(Q62/_xlfn.XLOOKUP(Z$7,'Product Tgt'!$B:$B,'Product Tgt'!$D:$D),0),0)</f>
        <v>0</v>
      </c>
      <c r="AA62" s="11">
        <f>ROUND(IFERROR(R62/_xlfn.XLOOKUP(AA$7,'Product Tgt'!$B:$B,'Product Tgt'!$D:$D),0),0)</f>
        <v>0</v>
      </c>
      <c r="AB62" s="11">
        <f>ROUND(IFERROR(U62/_xlfn.XLOOKUP(AB$7,'Product Tgt'!$B:$B,'Product Tgt'!$D:$D),0),0)</f>
        <v>0</v>
      </c>
      <c r="AC62" s="11">
        <f>ROUND(IFERROR(V62/_xlfn.XLOOKUP(AC$7,'Product Tgt'!$B:$B,'Product Tgt'!$D:$D),0),0)</f>
        <v>0</v>
      </c>
      <c r="AD62" s="11">
        <f>ROUND(IFERROR(W62/_xlfn.XLOOKUP(AD$7,'Product Tgt'!$B:$B,'Product Tgt'!$D:$D),0),0)</f>
        <v>0</v>
      </c>
      <c r="AE62" s="11">
        <f>ROUND(IFERROR(X62/_xlfn.XLOOKUP(AE$7,'Product Tgt'!$B:$B,'Product Tgt'!$D:$D),0),0)</f>
        <v>0</v>
      </c>
      <c r="AF62" s="11">
        <f>ROUND(IFERROR(Y62/_xlfn.XLOOKUP(AF$7,'Product Tgt'!$B:$B,'Product Tgt'!$D:$D),0),0)</f>
        <v>0</v>
      </c>
      <c r="AG62" s="10">
        <f>IFERROR(Z62*_xlfn.XLOOKUP(AG$7,'Product Tgt'!$B:$B,'Product Tgt'!$D:$D),0)</f>
        <v>0</v>
      </c>
      <c r="AH62">
        <f>IFERROR(AA62*_xlfn.XLOOKUP(AH$7,'Product Tgt'!$B:$B,'Product Tgt'!$D:$D),0)</f>
        <v>0</v>
      </c>
      <c r="AI62">
        <f>IFERROR(AB62*_xlfn.XLOOKUP(AI$7,'Product Tgt'!$B:$B,'Product Tgt'!$D:$D),0)</f>
        <v>0</v>
      </c>
      <c r="AJ62">
        <f>IFERROR(AC62*_xlfn.XLOOKUP(AJ$7,'Product Tgt'!$B:$B,'Product Tgt'!$D:$D),0)</f>
        <v>0</v>
      </c>
      <c r="AK62">
        <f>IFERROR(AD62*_xlfn.XLOOKUP(AK$7,'Product Tgt'!$B:$B,'Product Tgt'!$D:$D),0)</f>
        <v>0</v>
      </c>
      <c r="AL62">
        <f>IFERROR(AE62*_xlfn.XLOOKUP(AL$7,'Product Tgt'!$B:$B,'Product Tgt'!$D:$D),0)</f>
        <v>0</v>
      </c>
      <c r="AM62">
        <f>IFERROR(AF62*_xlfn.XLOOKUP(AM$7,'Product Tgt'!$B:$B,'Product Tgt'!$D:$D),0)</f>
        <v>0</v>
      </c>
    </row>
    <row r="63" spans="1:39" x14ac:dyDescent="0.25">
      <c r="A63" t="s">
        <v>44</v>
      </c>
      <c r="B63" s="7" t="s">
        <v>86</v>
      </c>
      <c r="C63" s="3">
        <f>_xlfn.XLOOKUP($B63,'Terr Target'!$A:$A,'Terr Target'!$E:$E)</f>
        <v>522485.88008866488</v>
      </c>
      <c r="D63" s="3">
        <f t="shared" si="4"/>
        <v>522479</v>
      </c>
      <c r="E63" s="4">
        <f t="shared" si="9"/>
        <v>-6.8800886648823507</v>
      </c>
      <c r="F63" s="9">
        <f t="shared" si="8"/>
        <v>1.3168163055132074E-5</v>
      </c>
      <c r="G63" s="5">
        <f t="shared" si="7"/>
        <v>1.0000131681630551</v>
      </c>
      <c r="H63" s="44">
        <v>3061.176262992291</v>
      </c>
      <c r="I63" s="12">
        <v>5969.1228675775892</v>
      </c>
      <c r="J63" s="12">
        <v>59176.638752450548</v>
      </c>
      <c r="K63" s="12">
        <v>16722.043205012487</v>
      </c>
      <c r="L63" s="12">
        <v>287561.71707518614</v>
      </c>
      <c r="M63" s="12">
        <v>178100.74984224109</v>
      </c>
      <c r="N63" s="12">
        <v>10700.334067011154</v>
      </c>
      <c r="O63" s="12">
        <v>3810.7310215246443</v>
      </c>
      <c r="P63" s="45">
        <v>14236.820874506175</v>
      </c>
      <c r="Q63" s="44">
        <f>IFERROR(ROUND(_xlfn.XLOOKUP(Q$7,'Product Tgt'!$B:$B,'Product Tgt'!$G:$G)*H63/H$95,0),0)</f>
        <v>2749</v>
      </c>
      <c r="R63" s="12">
        <f>IFERROR(ROUND(_xlfn.XLOOKUP(R$7,'Product Tgt'!$B:$B,'Product Tgt'!$G:$G)*I63/I$95,0),0)</f>
        <v>5370</v>
      </c>
      <c r="S63" s="12">
        <f>IFERROR(ROUND(_xlfn.XLOOKUP(S$7,'Product Tgt'!$B:$B,'Product Tgt'!$G:$G)*J63/J$95,0),0)</f>
        <v>53271</v>
      </c>
      <c r="T63" s="12">
        <f>IFERROR(ROUND(_xlfn.XLOOKUP(T$7,'Product Tgt'!$B:$B,'Product Tgt'!$G:$G)*K63/K$95,0),0)</f>
        <v>15064</v>
      </c>
      <c r="U63" s="12">
        <f>IFERROR(ROUND(_xlfn.XLOOKUP(U$7,'Product Tgt'!$B:$B,'Product Tgt'!$G:$G)*L63/L$95,0),0)</f>
        <v>258856</v>
      </c>
      <c r="V63" s="12">
        <f>IFERROR(ROUND(_xlfn.XLOOKUP(V$7,'Product Tgt'!$B:$B,'Product Tgt'!$G:$G)*M63/M$95,0),0)</f>
        <v>160300</v>
      </c>
      <c r="W63" s="12">
        <f>IFERROR(ROUND(_xlfn.XLOOKUP(W$7,'Product Tgt'!$B:$B,'Product Tgt'!$G:$G)*N63/N$95,0),0)</f>
        <v>10356</v>
      </c>
      <c r="X63" s="12">
        <f>IFERROR(ROUND(_xlfn.XLOOKUP(X$7,'Product Tgt'!$B:$B,'Product Tgt'!$G:$G)*O63/O$95,0),0)</f>
        <v>3687</v>
      </c>
      <c r="Y63" s="45">
        <f>IFERROR(ROUND(_xlfn.XLOOKUP(Y$7,'Product Tgt'!$B:$B,'Product Tgt'!$G:$G)*P63/P$95,0),0)</f>
        <v>12826</v>
      </c>
      <c r="Z63" s="20">
        <f>ROUND(IFERROR(Q63/_xlfn.XLOOKUP(Z$7,'Product Tgt'!$B:$B,'Product Tgt'!$D:$D),0),0)</f>
        <v>0</v>
      </c>
      <c r="AA63" s="11">
        <f>ROUND(IFERROR(R63/_xlfn.XLOOKUP(AA$7,'Product Tgt'!$B:$B,'Product Tgt'!$D:$D),0),0)</f>
        <v>0</v>
      </c>
      <c r="AB63" s="11">
        <f>ROUND(IFERROR(U63/_xlfn.XLOOKUP(AB$7,'Product Tgt'!$B:$B,'Product Tgt'!$D:$D),0),0)</f>
        <v>0</v>
      </c>
      <c r="AC63" s="11">
        <f>ROUND(IFERROR(V63/_xlfn.XLOOKUP(AC$7,'Product Tgt'!$B:$B,'Product Tgt'!$D:$D),0),0)</f>
        <v>0</v>
      </c>
      <c r="AD63" s="11">
        <f>ROUND(IFERROR(W63/_xlfn.XLOOKUP(AD$7,'Product Tgt'!$B:$B,'Product Tgt'!$D:$D),0),0)</f>
        <v>0</v>
      </c>
      <c r="AE63" s="11">
        <f>ROUND(IFERROR(X63/_xlfn.XLOOKUP(AE$7,'Product Tgt'!$B:$B,'Product Tgt'!$D:$D),0),0)</f>
        <v>0</v>
      </c>
      <c r="AF63" s="11">
        <f>ROUND(IFERROR(Y63/_xlfn.XLOOKUP(AF$7,'Product Tgt'!$B:$B,'Product Tgt'!$D:$D),0),0)</f>
        <v>0</v>
      </c>
      <c r="AG63" s="10">
        <f>IFERROR(Z63*_xlfn.XLOOKUP(AG$7,'Product Tgt'!$B:$B,'Product Tgt'!$D:$D),0)</f>
        <v>0</v>
      </c>
      <c r="AH63">
        <f>IFERROR(AA63*_xlfn.XLOOKUP(AH$7,'Product Tgt'!$B:$B,'Product Tgt'!$D:$D),0)</f>
        <v>0</v>
      </c>
      <c r="AI63">
        <f>IFERROR(AB63*_xlfn.XLOOKUP(AI$7,'Product Tgt'!$B:$B,'Product Tgt'!$D:$D),0)</f>
        <v>0</v>
      </c>
      <c r="AJ63">
        <f>IFERROR(AC63*_xlfn.XLOOKUP(AJ$7,'Product Tgt'!$B:$B,'Product Tgt'!$D:$D),0)</f>
        <v>0</v>
      </c>
      <c r="AK63">
        <f>IFERROR(AD63*_xlfn.XLOOKUP(AK$7,'Product Tgt'!$B:$B,'Product Tgt'!$D:$D),0)</f>
        <v>0</v>
      </c>
      <c r="AL63">
        <f>IFERROR(AE63*_xlfn.XLOOKUP(AL$7,'Product Tgt'!$B:$B,'Product Tgt'!$D:$D),0)</f>
        <v>0</v>
      </c>
      <c r="AM63">
        <f>IFERROR(AF63*_xlfn.XLOOKUP(AM$7,'Product Tgt'!$B:$B,'Product Tgt'!$D:$D),0)</f>
        <v>0</v>
      </c>
    </row>
    <row r="64" spans="1:39" x14ac:dyDescent="0.25">
      <c r="A64" t="s">
        <v>44</v>
      </c>
      <c r="B64" s="7" t="s">
        <v>87</v>
      </c>
      <c r="C64" s="3">
        <f>_xlfn.XLOOKUP($B64,'Terr Target'!$A:$A,'Terr Target'!$E:$E)</f>
        <v>719071.51716829801</v>
      </c>
      <c r="D64" s="3">
        <f t="shared" si="4"/>
        <v>719066</v>
      </c>
      <c r="E64" s="4">
        <f t="shared" si="9"/>
        <v>-5.5171682980144396</v>
      </c>
      <c r="F64" s="9">
        <f t="shared" si="8"/>
        <v>7.6726869272284312E-6</v>
      </c>
      <c r="G64" s="5">
        <f t="shared" si="7"/>
        <v>1.0000076726869271</v>
      </c>
      <c r="H64" s="44">
        <v>5591.4860715436917</v>
      </c>
      <c r="I64" s="12">
        <v>8749.7343165428629</v>
      </c>
      <c r="J64" s="12">
        <v>76461.877594658217</v>
      </c>
      <c r="K64" s="12">
        <v>46025.854342590676</v>
      </c>
      <c r="L64" s="12">
        <v>357577.80302960391</v>
      </c>
      <c r="M64" s="12">
        <v>230223.69553873147</v>
      </c>
      <c r="N64" s="12">
        <v>24577.491826542268</v>
      </c>
      <c r="O64" s="12">
        <v>5901.093718243249</v>
      </c>
      <c r="P64" s="45">
        <v>41387.255122644703</v>
      </c>
      <c r="Q64" s="44">
        <f>IFERROR(ROUND(_xlfn.XLOOKUP(Q$7,'Product Tgt'!$B:$B,'Product Tgt'!$G:$G)*H64/H$95,0),0)</f>
        <v>5022</v>
      </c>
      <c r="R64" s="12">
        <f>IFERROR(ROUND(_xlfn.XLOOKUP(R$7,'Product Tgt'!$B:$B,'Product Tgt'!$G:$G)*I64/I$95,0),0)</f>
        <v>7871</v>
      </c>
      <c r="S64" s="12">
        <f>IFERROR(ROUND(_xlfn.XLOOKUP(S$7,'Product Tgt'!$B:$B,'Product Tgt'!$G:$G)*J64/J$95,0),0)</f>
        <v>68832</v>
      </c>
      <c r="T64" s="12">
        <f>IFERROR(ROUND(_xlfn.XLOOKUP(T$7,'Product Tgt'!$B:$B,'Product Tgt'!$G:$G)*K64/K$95,0),0)</f>
        <v>41462</v>
      </c>
      <c r="U64" s="12">
        <f>IFERROR(ROUND(_xlfn.XLOOKUP(U$7,'Product Tgt'!$B:$B,'Product Tgt'!$G:$G)*L64/L$95,0),0)</f>
        <v>321882</v>
      </c>
      <c r="V64" s="12">
        <f>IFERROR(ROUND(_xlfn.XLOOKUP(V$7,'Product Tgt'!$B:$B,'Product Tgt'!$G:$G)*M64/M$95,0),0)</f>
        <v>207213</v>
      </c>
      <c r="W64" s="12">
        <f>IFERROR(ROUND(_xlfn.XLOOKUP(W$7,'Product Tgt'!$B:$B,'Product Tgt'!$G:$G)*N64/N$95,0),0)</f>
        <v>23788</v>
      </c>
      <c r="X64" s="12">
        <f>IFERROR(ROUND(_xlfn.XLOOKUP(X$7,'Product Tgt'!$B:$B,'Product Tgt'!$G:$G)*O64/O$95,0),0)</f>
        <v>5709</v>
      </c>
      <c r="Y64" s="45">
        <f>IFERROR(ROUND(_xlfn.XLOOKUP(Y$7,'Product Tgt'!$B:$B,'Product Tgt'!$G:$G)*P64/P$95,0),0)</f>
        <v>37287</v>
      </c>
      <c r="Z64" s="20">
        <f>ROUND(IFERROR(Q64/_xlfn.XLOOKUP(Z$7,'Product Tgt'!$B:$B,'Product Tgt'!$D:$D),0),0)</f>
        <v>0</v>
      </c>
      <c r="AA64" s="11">
        <f>ROUND(IFERROR(R64/_xlfn.XLOOKUP(AA$7,'Product Tgt'!$B:$B,'Product Tgt'!$D:$D),0),0)</f>
        <v>0</v>
      </c>
      <c r="AB64" s="11">
        <f>ROUND(IFERROR(U64/_xlfn.XLOOKUP(AB$7,'Product Tgt'!$B:$B,'Product Tgt'!$D:$D),0),0)</f>
        <v>0</v>
      </c>
      <c r="AC64" s="11">
        <f>ROUND(IFERROR(V64/_xlfn.XLOOKUP(AC$7,'Product Tgt'!$B:$B,'Product Tgt'!$D:$D),0),0)</f>
        <v>0</v>
      </c>
      <c r="AD64" s="11">
        <f>ROUND(IFERROR(W64/_xlfn.XLOOKUP(AD$7,'Product Tgt'!$B:$B,'Product Tgt'!$D:$D),0),0)</f>
        <v>0</v>
      </c>
      <c r="AE64" s="11">
        <f>ROUND(IFERROR(X64/_xlfn.XLOOKUP(AE$7,'Product Tgt'!$B:$B,'Product Tgt'!$D:$D),0),0)</f>
        <v>0</v>
      </c>
      <c r="AF64" s="11">
        <f>ROUND(IFERROR(Y64/_xlfn.XLOOKUP(AF$7,'Product Tgt'!$B:$B,'Product Tgt'!$D:$D),0),0)</f>
        <v>0</v>
      </c>
      <c r="AG64" s="10">
        <f>IFERROR(Z64*_xlfn.XLOOKUP(AG$7,'Product Tgt'!$B:$B,'Product Tgt'!$D:$D),0)</f>
        <v>0</v>
      </c>
      <c r="AH64">
        <f>IFERROR(AA64*_xlfn.XLOOKUP(AH$7,'Product Tgt'!$B:$B,'Product Tgt'!$D:$D),0)</f>
        <v>0</v>
      </c>
      <c r="AI64">
        <f>IFERROR(AB64*_xlfn.XLOOKUP(AI$7,'Product Tgt'!$B:$B,'Product Tgt'!$D:$D),0)</f>
        <v>0</v>
      </c>
      <c r="AJ64">
        <f>IFERROR(AC64*_xlfn.XLOOKUP(AJ$7,'Product Tgt'!$B:$B,'Product Tgt'!$D:$D),0)</f>
        <v>0</v>
      </c>
      <c r="AK64">
        <f>IFERROR(AD64*_xlfn.XLOOKUP(AK$7,'Product Tgt'!$B:$B,'Product Tgt'!$D:$D),0)</f>
        <v>0</v>
      </c>
      <c r="AL64">
        <f>IFERROR(AE64*_xlfn.XLOOKUP(AL$7,'Product Tgt'!$B:$B,'Product Tgt'!$D:$D),0)</f>
        <v>0</v>
      </c>
      <c r="AM64">
        <f>IFERROR(AF64*_xlfn.XLOOKUP(AM$7,'Product Tgt'!$B:$B,'Product Tgt'!$D:$D),0)</f>
        <v>0</v>
      </c>
    </row>
    <row r="65" spans="1:39" x14ac:dyDescent="0.25">
      <c r="A65" t="s">
        <v>44</v>
      </c>
      <c r="B65" s="7" t="s">
        <v>88</v>
      </c>
      <c r="C65" s="3">
        <f>_xlfn.XLOOKUP($B65,'Terr Target'!$A:$A,'Terr Target'!$E:$E)</f>
        <v>420416.84298779169</v>
      </c>
      <c r="D65" s="3">
        <f t="shared" si="4"/>
        <v>420415</v>
      </c>
      <c r="E65" s="4">
        <f t="shared" si="9"/>
        <v>-1.8429877916933037</v>
      </c>
      <c r="F65" s="9">
        <f t="shared" si="8"/>
        <v>4.3837346233918959E-6</v>
      </c>
      <c r="G65" s="5">
        <f t="shared" si="7"/>
        <v>1.0000043837346233</v>
      </c>
      <c r="H65" s="44">
        <v>6929.4656969502994</v>
      </c>
      <c r="I65" s="12">
        <v>6425.4012448222547</v>
      </c>
      <c r="J65" s="12">
        <v>32255.8033548001</v>
      </c>
      <c r="K65" s="12">
        <v>16108.584608711884</v>
      </c>
      <c r="L65" s="12">
        <v>219543.55749693688</v>
      </c>
      <c r="M65" s="12">
        <v>138104.40649699591</v>
      </c>
      <c r="N65" s="12">
        <v>18862.972520913831</v>
      </c>
      <c r="O65" s="12">
        <v>3100.2644786925207</v>
      </c>
      <c r="P65" s="45">
        <v>24061.604854619025</v>
      </c>
      <c r="Q65" s="44">
        <f>IFERROR(ROUND(_xlfn.XLOOKUP(Q$7,'Product Tgt'!$B:$B,'Product Tgt'!$G:$G)*H65/H$95,0),0)</f>
        <v>6224</v>
      </c>
      <c r="R65" s="12">
        <f>IFERROR(ROUND(_xlfn.XLOOKUP(R$7,'Product Tgt'!$B:$B,'Product Tgt'!$G:$G)*I65/I$95,0),0)</f>
        <v>5780</v>
      </c>
      <c r="S65" s="12">
        <f>IFERROR(ROUND(_xlfn.XLOOKUP(S$7,'Product Tgt'!$B:$B,'Product Tgt'!$G:$G)*J65/J$95,0),0)</f>
        <v>29037</v>
      </c>
      <c r="T65" s="12">
        <f>IFERROR(ROUND(_xlfn.XLOOKUP(T$7,'Product Tgt'!$B:$B,'Product Tgt'!$G:$G)*K65/K$95,0),0)</f>
        <v>14511</v>
      </c>
      <c r="U65" s="12">
        <f>IFERROR(ROUND(_xlfn.XLOOKUP(U$7,'Product Tgt'!$B:$B,'Product Tgt'!$G:$G)*L65/L$95,0),0)</f>
        <v>197627</v>
      </c>
      <c r="V65" s="12">
        <f>IFERROR(ROUND(_xlfn.XLOOKUP(V$7,'Product Tgt'!$B:$B,'Product Tgt'!$G:$G)*M65/M$95,0),0)</f>
        <v>124301</v>
      </c>
      <c r="W65" s="12">
        <f>IFERROR(ROUND(_xlfn.XLOOKUP(W$7,'Product Tgt'!$B:$B,'Product Tgt'!$G:$G)*N65/N$95,0),0)</f>
        <v>18257</v>
      </c>
      <c r="X65" s="12">
        <f>IFERROR(ROUND(_xlfn.XLOOKUP(X$7,'Product Tgt'!$B:$B,'Product Tgt'!$G:$G)*O65/O$95,0),0)</f>
        <v>3000</v>
      </c>
      <c r="Y65" s="45">
        <f>IFERROR(ROUND(_xlfn.XLOOKUP(Y$7,'Product Tgt'!$B:$B,'Product Tgt'!$G:$G)*P65/P$95,0),0)</f>
        <v>21678</v>
      </c>
      <c r="Z65" s="20">
        <f>ROUND(IFERROR(Q65/_xlfn.XLOOKUP(Z$7,'Product Tgt'!$B:$B,'Product Tgt'!$D:$D),0),0)</f>
        <v>0</v>
      </c>
      <c r="AA65" s="11">
        <f>ROUND(IFERROR(R65/_xlfn.XLOOKUP(AA$7,'Product Tgt'!$B:$B,'Product Tgt'!$D:$D),0),0)</f>
        <v>0</v>
      </c>
      <c r="AB65" s="11">
        <f>ROUND(IFERROR(U65/_xlfn.XLOOKUP(AB$7,'Product Tgt'!$B:$B,'Product Tgt'!$D:$D),0),0)</f>
        <v>0</v>
      </c>
      <c r="AC65" s="11">
        <f>ROUND(IFERROR(V65/_xlfn.XLOOKUP(AC$7,'Product Tgt'!$B:$B,'Product Tgt'!$D:$D),0),0)</f>
        <v>0</v>
      </c>
      <c r="AD65" s="11">
        <f>ROUND(IFERROR(W65/_xlfn.XLOOKUP(AD$7,'Product Tgt'!$B:$B,'Product Tgt'!$D:$D),0),0)</f>
        <v>0</v>
      </c>
      <c r="AE65" s="11">
        <f>ROUND(IFERROR(X65/_xlfn.XLOOKUP(AE$7,'Product Tgt'!$B:$B,'Product Tgt'!$D:$D),0),0)</f>
        <v>0</v>
      </c>
      <c r="AF65" s="11">
        <f>ROUND(IFERROR(Y65/_xlfn.XLOOKUP(AF$7,'Product Tgt'!$B:$B,'Product Tgt'!$D:$D),0),0)</f>
        <v>0</v>
      </c>
      <c r="AG65" s="10">
        <f>IFERROR(Z65*_xlfn.XLOOKUP(AG$7,'Product Tgt'!$B:$B,'Product Tgt'!$D:$D),0)</f>
        <v>0</v>
      </c>
      <c r="AH65">
        <f>IFERROR(AA65*_xlfn.XLOOKUP(AH$7,'Product Tgt'!$B:$B,'Product Tgt'!$D:$D),0)</f>
        <v>0</v>
      </c>
      <c r="AI65">
        <f>IFERROR(AB65*_xlfn.XLOOKUP(AI$7,'Product Tgt'!$B:$B,'Product Tgt'!$D:$D),0)</f>
        <v>0</v>
      </c>
      <c r="AJ65">
        <f>IFERROR(AC65*_xlfn.XLOOKUP(AJ$7,'Product Tgt'!$B:$B,'Product Tgt'!$D:$D),0)</f>
        <v>0</v>
      </c>
      <c r="AK65">
        <f>IFERROR(AD65*_xlfn.XLOOKUP(AK$7,'Product Tgt'!$B:$B,'Product Tgt'!$D:$D),0)</f>
        <v>0</v>
      </c>
      <c r="AL65">
        <f>IFERROR(AE65*_xlfn.XLOOKUP(AL$7,'Product Tgt'!$B:$B,'Product Tgt'!$D:$D),0)</f>
        <v>0</v>
      </c>
      <c r="AM65">
        <f>IFERROR(AF65*_xlfn.XLOOKUP(AM$7,'Product Tgt'!$B:$B,'Product Tgt'!$D:$D),0)</f>
        <v>0</v>
      </c>
    </row>
    <row r="66" spans="1:39" x14ac:dyDescent="0.25">
      <c r="A66" t="s">
        <v>44</v>
      </c>
      <c r="B66" s="7" t="s">
        <v>89</v>
      </c>
      <c r="C66" s="3">
        <f>_xlfn.XLOOKUP($B66,'Terr Target'!$A:$A,'Terr Target'!$E:$E)</f>
        <v>549789.21286314912</v>
      </c>
      <c r="D66" s="3">
        <f t="shared" si="4"/>
        <v>549783</v>
      </c>
      <c r="E66" s="4">
        <f t="shared" si="9"/>
        <v>-6.2128631491214037</v>
      </c>
      <c r="F66" s="9">
        <f t="shared" si="8"/>
        <v>1.1300573406455645E-5</v>
      </c>
      <c r="G66" s="5">
        <f t="shared" si="7"/>
        <v>1.0000113005734064</v>
      </c>
      <c r="H66" s="44">
        <v>6208.1375612419679</v>
      </c>
      <c r="I66" s="12">
        <v>4561.2667893045236</v>
      </c>
      <c r="J66" s="12">
        <v>51164.802297220238</v>
      </c>
      <c r="K66" s="12">
        <v>24110.461214725801</v>
      </c>
      <c r="L66" s="12">
        <v>309973.3503290122</v>
      </c>
      <c r="M66" s="12">
        <v>173273.50526975482</v>
      </c>
      <c r="N66" s="12">
        <v>18036.597813614808</v>
      </c>
      <c r="O66" s="12">
        <v>4282.0862622084642</v>
      </c>
      <c r="P66" s="45">
        <v>17470.758173259714</v>
      </c>
      <c r="Q66" s="44">
        <f>IFERROR(ROUND(_xlfn.XLOOKUP(Q$7,'Product Tgt'!$B:$B,'Product Tgt'!$G:$G)*H66/H$95,0),0)</f>
        <v>5576</v>
      </c>
      <c r="R66" s="12">
        <f>IFERROR(ROUND(_xlfn.XLOOKUP(R$7,'Product Tgt'!$B:$B,'Product Tgt'!$G:$G)*I66/I$95,0),0)</f>
        <v>4103</v>
      </c>
      <c r="S66" s="12">
        <f>IFERROR(ROUND(_xlfn.XLOOKUP(S$7,'Product Tgt'!$B:$B,'Product Tgt'!$G:$G)*J66/J$95,0),0)</f>
        <v>46059</v>
      </c>
      <c r="T66" s="12">
        <f>IFERROR(ROUND(_xlfn.XLOOKUP(T$7,'Product Tgt'!$B:$B,'Product Tgt'!$G:$G)*K66/K$95,0),0)</f>
        <v>21720</v>
      </c>
      <c r="U66" s="12">
        <f>IFERROR(ROUND(_xlfn.XLOOKUP(U$7,'Product Tgt'!$B:$B,'Product Tgt'!$G:$G)*L66/L$95,0),0)</f>
        <v>279030</v>
      </c>
      <c r="V66" s="12">
        <f>IFERROR(ROUND(_xlfn.XLOOKUP(V$7,'Product Tgt'!$B:$B,'Product Tgt'!$G:$G)*M66/M$95,0),0)</f>
        <v>155955</v>
      </c>
      <c r="W66" s="12">
        <f>IFERROR(ROUND(_xlfn.XLOOKUP(W$7,'Product Tgt'!$B:$B,'Product Tgt'!$G:$G)*N66/N$95,0),0)</f>
        <v>17457</v>
      </c>
      <c r="X66" s="12">
        <f>IFERROR(ROUND(_xlfn.XLOOKUP(X$7,'Product Tgt'!$B:$B,'Product Tgt'!$G:$G)*O66/O$95,0),0)</f>
        <v>4143</v>
      </c>
      <c r="Y66" s="45">
        <f>IFERROR(ROUND(_xlfn.XLOOKUP(Y$7,'Product Tgt'!$B:$B,'Product Tgt'!$G:$G)*P66/P$95,0),0)</f>
        <v>15740</v>
      </c>
      <c r="Z66" s="20">
        <f>ROUND(IFERROR(Q66/_xlfn.XLOOKUP(Z$7,'Product Tgt'!$B:$B,'Product Tgt'!$D:$D),0),0)</f>
        <v>0</v>
      </c>
      <c r="AA66" s="11">
        <f>ROUND(IFERROR(R66/_xlfn.XLOOKUP(AA$7,'Product Tgt'!$B:$B,'Product Tgt'!$D:$D),0),0)</f>
        <v>0</v>
      </c>
      <c r="AB66" s="11">
        <f>ROUND(IFERROR(U66/_xlfn.XLOOKUP(AB$7,'Product Tgt'!$B:$B,'Product Tgt'!$D:$D),0),0)</f>
        <v>0</v>
      </c>
      <c r="AC66" s="11">
        <f>ROUND(IFERROR(V66/_xlfn.XLOOKUP(AC$7,'Product Tgt'!$B:$B,'Product Tgt'!$D:$D),0),0)</f>
        <v>0</v>
      </c>
      <c r="AD66" s="11">
        <f>ROUND(IFERROR(W66/_xlfn.XLOOKUP(AD$7,'Product Tgt'!$B:$B,'Product Tgt'!$D:$D),0),0)</f>
        <v>0</v>
      </c>
      <c r="AE66" s="11">
        <f>ROUND(IFERROR(X66/_xlfn.XLOOKUP(AE$7,'Product Tgt'!$B:$B,'Product Tgt'!$D:$D),0),0)</f>
        <v>0</v>
      </c>
      <c r="AF66" s="11">
        <f>ROUND(IFERROR(Y66/_xlfn.XLOOKUP(AF$7,'Product Tgt'!$B:$B,'Product Tgt'!$D:$D),0),0)</f>
        <v>0</v>
      </c>
      <c r="AG66" s="10">
        <f>IFERROR(Z66*_xlfn.XLOOKUP(AG$7,'Product Tgt'!$B:$B,'Product Tgt'!$D:$D),0)</f>
        <v>0</v>
      </c>
      <c r="AH66">
        <f>IFERROR(AA66*_xlfn.XLOOKUP(AH$7,'Product Tgt'!$B:$B,'Product Tgt'!$D:$D),0)</f>
        <v>0</v>
      </c>
      <c r="AI66">
        <f>IFERROR(AB66*_xlfn.XLOOKUP(AI$7,'Product Tgt'!$B:$B,'Product Tgt'!$D:$D),0)</f>
        <v>0</v>
      </c>
      <c r="AJ66">
        <f>IFERROR(AC66*_xlfn.XLOOKUP(AJ$7,'Product Tgt'!$B:$B,'Product Tgt'!$D:$D),0)</f>
        <v>0</v>
      </c>
      <c r="AK66">
        <f>IFERROR(AD66*_xlfn.XLOOKUP(AK$7,'Product Tgt'!$B:$B,'Product Tgt'!$D:$D),0)</f>
        <v>0</v>
      </c>
      <c r="AL66">
        <f>IFERROR(AE66*_xlfn.XLOOKUP(AL$7,'Product Tgt'!$B:$B,'Product Tgt'!$D:$D),0)</f>
        <v>0</v>
      </c>
      <c r="AM66">
        <f>IFERROR(AF66*_xlfn.XLOOKUP(AM$7,'Product Tgt'!$B:$B,'Product Tgt'!$D:$D),0)</f>
        <v>0</v>
      </c>
    </row>
    <row r="67" spans="1:39" x14ac:dyDescent="0.25">
      <c r="A67" t="s">
        <v>36</v>
      </c>
      <c r="B67" s="7" t="s">
        <v>90</v>
      </c>
      <c r="C67" s="3">
        <f>_xlfn.XLOOKUP($B67,'Terr Target'!$A:$A,'Terr Target'!$E:$E)</f>
        <v>658183.83581838675</v>
      </c>
      <c r="D67" s="3">
        <f t="shared" si="4"/>
        <v>658183</v>
      </c>
      <c r="E67" s="4">
        <f t="shared" si="9"/>
        <v>-0.83581838675308973</v>
      </c>
      <c r="F67" s="9">
        <f t="shared" si="8"/>
        <v>1.269887533942824E-6</v>
      </c>
      <c r="G67" s="5">
        <f t="shared" si="7"/>
        <v>1.000001269887534</v>
      </c>
      <c r="H67" s="44">
        <v>4857.8757578757495</v>
      </c>
      <c r="I67" s="12">
        <v>10956.186547368437</v>
      </c>
      <c r="J67" s="12">
        <v>44460.276977602785</v>
      </c>
      <c r="K67" s="12">
        <v>19725.633809117138</v>
      </c>
      <c r="L67" s="12">
        <v>381318.18300477124</v>
      </c>
      <c r="M67" s="12">
        <v>183462.56819773364</v>
      </c>
      <c r="N67" s="12">
        <v>33714.867828030496</v>
      </c>
      <c r="O67" s="12">
        <v>8280.6420117355538</v>
      </c>
      <c r="P67" s="45">
        <v>41232.125222490598</v>
      </c>
      <c r="Q67" s="44">
        <f>IFERROR(ROUND(_xlfn.XLOOKUP(Q$7,'Product Tgt'!$B:$B,'Product Tgt'!$G:$G)*H67/H$95,0),0)</f>
        <v>4363</v>
      </c>
      <c r="R67" s="12">
        <f>IFERROR(ROUND(_xlfn.XLOOKUP(R$7,'Product Tgt'!$B:$B,'Product Tgt'!$G:$G)*I67/I$95,0),0)</f>
        <v>9856</v>
      </c>
      <c r="S67" s="12">
        <f>IFERROR(ROUND(_xlfn.XLOOKUP(S$7,'Product Tgt'!$B:$B,'Product Tgt'!$G:$G)*J67/J$95,0),0)</f>
        <v>40024</v>
      </c>
      <c r="T67" s="12">
        <f>IFERROR(ROUND(_xlfn.XLOOKUP(T$7,'Product Tgt'!$B:$B,'Product Tgt'!$G:$G)*K67/K$95,0),0)</f>
        <v>17770</v>
      </c>
      <c r="U67" s="12">
        <f>IFERROR(ROUND(_xlfn.XLOOKUP(U$7,'Product Tgt'!$B:$B,'Product Tgt'!$G:$G)*L67/L$95,0),0)</f>
        <v>343253</v>
      </c>
      <c r="V67" s="12">
        <f>IFERROR(ROUND(_xlfn.XLOOKUP(V$7,'Product Tgt'!$B:$B,'Product Tgt'!$G:$G)*M67/M$95,0),0)</f>
        <v>165126</v>
      </c>
      <c r="W67" s="12">
        <f>IFERROR(ROUND(_xlfn.XLOOKUP(W$7,'Product Tgt'!$B:$B,'Product Tgt'!$G:$G)*N67/N$95,0),0)</f>
        <v>32632</v>
      </c>
      <c r="X67" s="12">
        <f>IFERROR(ROUND(_xlfn.XLOOKUP(X$7,'Product Tgt'!$B:$B,'Product Tgt'!$G:$G)*O67/O$95,0),0)</f>
        <v>8012</v>
      </c>
      <c r="Y67" s="45">
        <f>IFERROR(ROUND(_xlfn.XLOOKUP(Y$7,'Product Tgt'!$B:$B,'Product Tgt'!$G:$G)*P67/P$95,0),0)</f>
        <v>37147</v>
      </c>
      <c r="Z67" s="20">
        <f>ROUND(IFERROR(Q67/_xlfn.XLOOKUP(Z$7,'Product Tgt'!$B:$B,'Product Tgt'!$D:$D),0),0)</f>
        <v>0</v>
      </c>
      <c r="AA67" s="11">
        <f>ROUND(IFERROR(R67/_xlfn.XLOOKUP(AA$7,'Product Tgt'!$B:$B,'Product Tgt'!$D:$D),0),0)</f>
        <v>0</v>
      </c>
      <c r="AB67" s="11">
        <f>ROUND(IFERROR(U67/_xlfn.XLOOKUP(AB$7,'Product Tgt'!$B:$B,'Product Tgt'!$D:$D),0),0)</f>
        <v>0</v>
      </c>
      <c r="AC67" s="11">
        <f>ROUND(IFERROR(V67/_xlfn.XLOOKUP(AC$7,'Product Tgt'!$B:$B,'Product Tgt'!$D:$D),0),0)</f>
        <v>0</v>
      </c>
      <c r="AD67" s="11">
        <f>ROUND(IFERROR(W67/_xlfn.XLOOKUP(AD$7,'Product Tgt'!$B:$B,'Product Tgt'!$D:$D),0),0)</f>
        <v>0</v>
      </c>
      <c r="AE67" s="11">
        <f>ROUND(IFERROR(X67/_xlfn.XLOOKUP(AE$7,'Product Tgt'!$B:$B,'Product Tgt'!$D:$D),0),0)</f>
        <v>0</v>
      </c>
      <c r="AF67" s="11">
        <f>ROUND(IFERROR(Y67/_xlfn.XLOOKUP(AF$7,'Product Tgt'!$B:$B,'Product Tgt'!$D:$D),0),0)</f>
        <v>0</v>
      </c>
      <c r="AG67" s="10">
        <f>IFERROR(Z67*_xlfn.XLOOKUP(AG$7,'Product Tgt'!$B:$B,'Product Tgt'!$D:$D),0)</f>
        <v>0</v>
      </c>
      <c r="AH67">
        <f>IFERROR(AA67*_xlfn.XLOOKUP(AH$7,'Product Tgt'!$B:$B,'Product Tgt'!$D:$D),0)</f>
        <v>0</v>
      </c>
      <c r="AI67">
        <f>IFERROR(AB67*_xlfn.XLOOKUP(AI$7,'Product Tgt'!$B:$B,'Product Tgt'!$D:$D),0)</f>
        <v>0</v>
      </c>
      <c r="AJ67">
        <f>IFERROR(AC67*_xlfn.XLOOKUP(AJ$7,'Product Tgt'!$B:$B,'Product Tgt'!$D:$D),0)</f>
        <v>0</v>
      </c>
      <c r="AK67">
        <f>IFERROR(AD67*_xlfn.XLOOKUP(AK$7,'Product Tgt'!$B:$B,'Product Tgt'!$D:$D),0)</f>
        <v>0</v>
      </c>
      <c r="AL67">
        <f>IFERROR(AE67*_xlfn.XLOOKUP(AL$7,'Product Tgt'!$B:$B,'Product Tgt'!$D:$D),0)</f>
        <v>0</v>
      </c>
      <c r="AM67">
        <f>IFERROR(AF67*_xlfn.XLOOKUP(AM$7,'Product Tgt'!$B:$B,'Product Tgt'!$D:$D),0)</f>
        <v>0</v>
      </c>
    </row>
    <row r="68" spans="1:39" x14ac:dyDescent="0.25">
      <c r="A68" t="s">
        <v>36</v>
      </c>
      <c r="B68" s="7" t="s">
        <v>91</v>
      </c>
      <c r="C68" s="3">
        <f>_xlfn.XLOOKUP($B68,'Terr Target'!$A:$A,'Terr Target'!$E:$E)</f>
        <v>676667.43098177761</v>
      </c>
      <c r="D68" s="3">
        <f t="shared" si="4"/>
        <v>676665</v>
      </c>
      <c r="E68" s="4">
        <f t="shared" si="9"/>
        <v>-2.4309817776083946</v>
      </c>
      <c r="F68" s="9">
        <f t="shared" si="8"/>
        <v>3.5925927565462889E-6</v>
      </c>
      <c r="G68" s="5">
        <f t="shared" si="7"/>
        <v>1.0000035925927566</v>
      </c>
      <c r="H68" s="44">
        <v>6154.3828621244338</v>
      </c>
      <c r="I68" s="12">
        <v>11081.007947224516</v>
      </c>
      <c r="J68" s="12">
        <v>108622.9165320755</v>
      </c>
      <c r="K68" s="12">
        <v>34666.272201302403</v>
      </c>
      <c r="L68" s="12">
        <v>318746.87914357003</v>
      </c>
      <c r="M68" s="12">
        <v>196599.297343215</v>
      </c>
      <c r="N68" s="12">
        <v>17806.388764953641</v>
      </c>
      <c r="O68" s="12">
        <v>5435.4474406838326</v>
      </c>
      <c r="P68" s="45">
        <v>50822.133146048058</v>
      </c>
      <c r="Q68" s="44">
        <f>IFERROR(ROUND(_xlfn.XLOOKUP(Q$7,'Product Tgt'!$B:$B,'Product Tgt'!$G:$G)*H68/H$95,0),0)</f>
        <v>5528</v>
      </c>
      <c r="R68" s="12">
        <f>IFERROR(ROUND(_xlfn.XLOOKUP(R$7,'Product Tgt'!$B:$B,'Product Tgt'!$G:$G)*I68/I$95,0),0)</f>
        <v>9968</v>
      </c>
      <c r="S68" s="12">
        <f>IFERROR(ROUND(_xlfn.XLOOKUP(S$7,'Product Tgt'!$B:$B,'Product Tgt'!$G:$G)*J68/J$95,0),0)</f>
        <v>97783</v>
      </c>
      <c r="T68" s="12">
        <f>IFERROR(ROUND(_xlfn.XLOOKUP(T$7,'Product Tgt'!$B:$B,'Product Tgt'!$G:$G)*K68/K$95,0),0)</f>
        <v>31229</v>
      </c>
      <c r="U68" s="12">
        <f>IFERROR(ROUND(_xlfn.XLOOKUP(U$7,'Product Tgt'!$B:$B,'Product Tgt'!$G:$G)*L68/L$95,0),0)</f>
        <v>286928</v>
      </c>
      <c r="V68" s="12">
        <f>IFERROR(ROUND(_xlfn.XLOOKUP(V$7,'Product Tgt'!$B:$B,'Product Tgt'!$G:$G)*M68/M$95,0),0)</f>
        <v>176949</v>
      </c>
      <c r="W68" s="12">
        <f>IFERROR(ROUND(_xlfn.XLOOKUP(W$7,'Product Tgt'!$B:$B,'Product Tgt'!$G:$G)*N68/N$95,0),0)</f>
        <v>17234</v>
      </c>
      <c r="X68" s="12">
        <f>IFERROR(ROUND(_xlfn.XLOOKUP(X$7,'Product Tgt'!$B:$B,'Product Tgt'!$G:$G)*O68/O$95,0),0)</f>
        <v>5259</v>
      </c>
      <c r="Y68" s="45">
        <f>IFERROR(ROUND(_xlfn.XLOOKUP(Y$7,'Product Tgt'!$B:$B,'Product Tgt'!$G:$G)*P68/P$95,0),0)</f>
        <v>45787</v>
      </c>
      <c r="Z68" s="20">
        <f>ROUND(IFERROR(Q68/_xlfn.XLOOKUP(Z$7,'Product Tgt'!$B:$B,'Product Tgt'!$D:$D),0),0)</f>
        <v>0</v>
      </c>
      <c r="AA68" s="11">
        <f>ROUND(IFERROR(R68/_xlfn.XLOOKUP(AA$7,'Product Tgt'!$B:$B,'Product Tgt'!$D:$D),0),0)</f>
        <v>0</v>
      </c>
      <c r="AB68" s="11">
        <f>ROUND(IFERROR(U68/_xlfn.XLOOKUP(AB$7,'Product Tgt'!$B:$B,'Product Tgt'!$D:$D),0),0)</f>
        <v>0</v>
      </c>
      <c r="AC68" s="11">
        <f>ROUND(IFERROR(V68/_xlfn.XLOOKUP(AC$7,'Product Tgt'!$B:$B,'Product Tgt'!$D:$D),0),0)</f>
        <v>0</v>
      </c>
      <c r="AD68" s="11">
        <f>ROUND(IFERROR(W68/_xlfn.XLOOKUP(AD$7,'Product Tgt'!$B:$B,'Product Tgt'!$D:$D),0),0)</f>
        <v>0</v>
      </c>
      <c r="AE68" s="11">
        <f>ROUND(IFERROR(X68/_xlfn.XLOOKUP(AE$7,'Product Tgt'!$B:$B,'Product Tgt'!$D:$D),0),0)</f>
        <v>0</v>
      </c>
      <c r="AF68" s="11">
        <f>ROUND(IFERROR(Y68/_xlfn.XLOOKUP(AF$7,'Product Tgt'!$B:$B,'Product Tgt'!$D:$D),0),0)</f>
        <v>0</v>
      </c>
      <c r="AG68" s="10">
        <f>IFERROR(Z68*_xlfn.XLOOKUP(AG$7,'Product Tgt'!$B:$B,'Product Tgt'!$D:$D),0)</f>
        <v>0</v>
      </c>
      <c r="AH68">
        <f>IFERROR(AA68*_xlfn.XLOOKUP(AH$7,'Product Tgt'!$B:$B,'Product Tgt'!$D:$D),0)</f>
        <v>0</v>
      </c>
      <c r="AI68">
        <f>IFERROR(AB68*_xlfn.XLOOKUP(AI$7,'Product Tgt'!$B:$B,'Product Tgt'!$D:$D),0)</f>
        <v>0</v>
      </c>
      <c r="AJ68">
        <f>IFERROR(AC68*_xlfn.XLOOKUP(AJ$7,'Product Tgt'!$B:$B,'Product Tgt'!$D:$D),0)</f>
        <v>0</v>
      </c>
      <c r="AK68">
        <f>IFERROR(AD68*_xlfn.XLOOKUP(AK$7,'Product Tgt'!$B:$B,'Product Tgt'!$D:$D),0)</f>
        <v>0</v>
      </c>
      <c r="AL68">
        <f>IFERROR(AE68*_xlfn.XLOOKUP(AL$7,'Product Tgt'!$B:$B,'Product Tgt'!$D:$D),0)</f>
        <v>0</v>
      </c>
      <c r="AM68">
        <f>IFERROR(AF68*_xlfn.XLOOKUP(AM$7,'Product Tgt'!$B:$B,'Product Tgt'!$D:$D),0)</f>
        <v>0</v>
      </c>
    </row>
    <row r="69" spans="1:39" x14ac:dyDescent="0.25">
      <c r="A69" t="s">
        <v>36</v>
      </c>
      <c r="B69" s="7" t="s">
        <v>92</v>
      </c>
      <c r="C69" s="3">
        <f>_xlfn.XLOOKUP($B69,'Terr Target'!$A:$A,'Terr Target'!$E:$E)</f>
        <v>996226.30064996332</v>
      </c>
      <c r="D69" s="3">
        <f t="shared" si="4"/>
        <v>996223</v>
      </c>
      <c r="E69" s="4">
        <f t="shared" si="9"/>
        <v>-3.3006499633193016</v>
      </c>
      <c r="F69" s="9">
        <f t="shared" si="8"/>
        <v>3.3131637829274185E-6</v>
      </c>
      <c r="G69" s="5">
        <f t="shared" si="7"/>
        <v>1.0000033131637829</v>
      </c>
      <c r="H69" s="44">
        <v>10904.12520626793</v>
      </c>
      <c r="I69" s="12">
        <v>8306.9782836959148</v>
      </c>
      <c r="J69" s="12">
        <v>114409.97965563738</v>
      </c>
      <c r="K69" s="12">
        <v>51218.780774323779</v>
      </c>
      <c r="L69" s="12">
        <v>515316.11968474841</v>
      </c>
      <c r="M69" s="12">
        <v>291157.0881429243</v>
      </c>
      <c r="N69" s="12">
        <v>39598.611786521578</v>
      </c>
      <c r="O69" s="12">
        <v>10319.214383299683</v>
      </c>
      <c r="P69" s="45">
        <v>61695.360710784727</v>
      </c>
      <c r="Q69" s="44">
        <f>IFERROR(ROUND(_xlfn.XLOOKUP(Q$7,'Product Tgt'!$B:$B,'Product Tgt'!$G:$G)*H69/H$95,0),0)</f>
        <v>9794</v>
      </c>
      <c r="R69" s="12">
        <f>IFERROR(ROUND(_xlfn.XLOOKUP(R$7,'Product Tgt'!$B:$B,'Product Tgt'!$G:$G)*I69/I$95,0),0)</f>
        <v>7473</v>
      </c>
      <c r="S69" s="12">
        <f>IFERROR(ROUND(_xlfn.XLOOKUP(S$7,'Product Tgt'!$B:$B,'Product Tgt'!$G:$G)*J69/J$95,0),0)</f>
        <v>102993</v>
      </c>
      <c r="T69" s="12">
        <f>IFERROR(ROUND(_xlfn.XLOOKUP(T$7,'Product Tgt'!$B:$B,'Product Tgt'!$G:$G)*K69/K$95,0),0)</f>
        <v>46140</v>
      </c>
      <c r="U69" s="12">
        <f>IFERROR(ROUND(_xlfn.XLOOKUP(U$7,'Product Tgt'!$B:$B,'Product Tgt'!$G:$G)*L69/L$95,0),0)</f>
        <v>463874</v>
      </c>
      <c r="V69" s="12">
        <f>IFERROR(ROUND(_xlfn.XLOOKUP(V$7,'Product Tgt'!$B:$B,'Product Tgt'!$G:$G)*M69/M$95,0),0)</f>
        <v>262056</v>
      </c>
      <c r="W69" s="12">
        <f>IFERROR(ROUND(_xlfn.XLOOKUP(W$7,'Product Tgt'!$B:$B,'Product Tgt'!$G:$G)*N69/N$95,0),0)</f>
        <v>38326</v>
      </c>
      <c r="X69" s="12">
        <f>IFERROR(ROUND(_xlfn.XLOOKUP(X$7,'Product Tgt'!$B:$B,'Product Tgt'!$G:$G)*O69/O$95,0),0)</f>
        <v>9984</v>
      </c>
      <c r="Y69" s="45">
        <f>IFERROR(ROUND(_xlfn.XLOOKUP(Y$7,'Product Tgt'!$B:$B,'Product Tgt'!$G:$G)*P69/P$95,0),0)</f>
        <v>55583</v>
      </c>
      <c r="Z69" s="20">
        <f>ROUND(IFERROR(Q69/_xlfn.XLOOKUP(Z$7,'Product Tgt'!$B:$B,'Product Tgt'!$D:$D),0),0)</f>
        <v>0</v>
      </c>
      <c r="AA69" s="11">
        <f>ROUND(IFERROR(R69/_xlfn.XLOOKUP(AA$7,'Product Tgt'!$B:$B,'Product Tgt'!$D:$D),0),0)</f>
        <v>0</v>
      </c>
      <c r="AB69" s="11">
        <f>ROUND(IFERROR(U69/_xlfn.XLOOKUP(AB$7,'Product Tgt'!$B:$B,'Product Tgt'!$D:$D),0),0)</f>
        <v>0</v>
      </c>
      <c r="AC69" s="11">
        <f>ROUND(IFERROR(V69/_xlfn.XLOOKUP(AC$7,'Product Tgt'!$B:$B,'Product Tgt'!$D:$D),0),0)</f>
        <v>0</v>
      </c>
      <c r="AD69" s="11">
        <f>ROUND(IFERROR(W69/_xlfn.XLOOKUP(AD$7,'Product Tgt'!$B:$B,'Product Tgt'!$D:$D),0),0)</f>
        <v>0</v>
      </c>
      <c r="AE69" s="11">
        <f>ROUND(IFERROR(X69/_xlfn.XLOOKUP(AE$7,'Product Tgt'!$B:$B,'Product Tgt'!$D:$D),0),0)</f>
        <v>0</v>
      </c>
      <c r="AF69" s="11">
        <f>ROUND(IFERROR(Y69/_xlfn.XLOOKUP(AF$7,'Product Tgt'!$B:$B,'Product Tgt'!$D:$D),0),0)</f>
        <v>0</v>
      </c>
      <c r="AG69" s="10">
        <f>IFERROR(Z69*_xlfn.XLOOKUP(AG$7,'Product Tgt'!$B:$B,'Product Tgt'!$D:$D),0)</f>
        <v>0</v>
      </c>
      <c r="AH69">
        <f>IFERROR(AA69*_xlfn.XLOOKUP(AH$7,'Product Tgt'!$B:$B,'Product Tgt'!$D:$D),0)</f>
        <v>0</v>
      </c>
      <c r="AI69">
        <f>IFERROR(AB69*_xlfn.XLOOKUP(AI$7,'Product Tgt'!$B:$B,'Product Tgt'!$D:$D),0)</f>
        <v>0</v>
      </c>
      <c r="AJ69">
        <f>IFERROR(AC69*_xlfn.XLOOKUP(AJ$7,'Product Tgt'!$B:$B,'Product Tgt'!$D:$D),0)</f>
        <v>0</v>
      </c>
      <c r="AK69">
        <f>IFERROR(AD69*_xlfn.XLOOKUP(AK$7,'Product Tgt'!$B:$B,'Product Tgt'!$D:$D),0)</f>
        <v>0</v>
      </c>
      <c r="AL69">
        <f>IFERROR(AE69*_xlfn.XLOOKUP(AL$7,'Product Tgt'!$B:$B,'Product Tgt'!$D:$D),0)</f>
        <v>0</v>
      </c>
      <c r="AM69">
        <f>IFERROR(AF69*_xlfn.XLOOKUP(AM$7,'Product Tgt'!$B:$B,'Product Tgt'!$D:$D),0)</f>
        <v>0</v>
      </c>
    </row>
    <row r="70" spans="1:39" x14ac:dyDescent="0.25">
      <c r="A70" t="s">
        <v>36</v>
      </c>
      <c r="B70" s="7" t="s">
        <v>93</v>
      </c>
      <c r="C70" s="3">
        <f>_xlfn.XLOOKUP($B70,'Terr Target'!$A:$A,'Terr Target'!$E:$E)</f>
        <v>652159.86596219835</v>
      </c>
      <c r="D70" s="3">
        <f t="shared" si="4"/>
        <v>652164</v>
      </c>
      <c r="E70" s="4">
        <f t="shared" si="9"/>
        <v>4.1340378016466275</v>
      </c>
      <c r="F70" s="9">
        <f t="shared" si="8"/>
        <v>6.3389543146304109E-6</v>
      </c>
      <c r="G70" s="5">
        <f t="shared" si="7"/>
        <v>0.99999366104568532</v>
      </c>
      <c r="H70" s="44">
        <v>5606.791533660944</v>
      </c>
      <c r="I70" s="12">
        <v>5553.8394235510577</v>
      </c>
      <c r="J70" s="12">
        <v>82219.566309963091</v>
      </c>
      <c r="K70" s="12">
        <v>32093.912401128342</v>
      </c>
      <c r="L70" s="12">
        <v>310340.03310368257</v>
      </c>
      <c r="M70" s="12">
        <v>196569.27856603352</v>
      </c>
      <c r="N70" s="12">
        <v>39881.537888000385</v>
      </c>
      <c r="O70" s="12">
        <v>9794.77212455673</v>
      </c>
      <c r="P70" s="45">
        <v>38678.450366278899</v>
      </c>
      <c r="Q70" s="44">
        <f>IFERROR(ROUND(_xlfn.XLOOKUP(Q$7,'Product Tgt'!$B:$B,'Product Tgt'!$G:$G)*H70/H$95,0),0)</f>
        <v>5036</v>
      </c>
      <c r="R70" s="12">
        <f>IFERROR(ROUND(_xlfn.XLOOKUP(R$7,'Product Tgt'!$B:$B,'Product Tgt'!$G:$G)*I70/I$95,0),0)</f>
        <v>4996</v>
      </c>
      <c r="S70" s="12">
        <f>IFERROR(ROUND(_xlfn.XLOOKUP(S$7,'Product Tgt'!$B:$B,'Product Tgt'!$G:$G)*J70/J$95,0),0)</f>
        <v>74015</v>
      </c>
      <c r="T70" s="12">
        <f>IFERROR(ROUND(_xlfn.XLOOKUP(T$7,'Product Tgt'!$B:$B,'Product Tgt'!$G:$G)*K70/K$95,0),0)</f>
        <v>28912</v>
      </c>
      <c r="U70" s="12">
        <f>IFERROR(ROUND(_xlfn.XLOOKUP(U$7,'Product Tgt'!$B:$B,'Product Tgt'!$G:$G)*L70/L$95,0),0)</f>
        <v>279360</v>
      </c>
      <c r="V70" s="12">
        <f>IFERROR(ROUND(_xlfn.XLOOKUP(V$7,'Product Tgt'!$B:$B,'Product Tgt'!$G:$G)*M70/M$95,0),0)</f>
        <v>176922</v>
      </c>
      <c r="W70" s="12">
        <f>IFERROR(ROUND(_xlfn.XLOOKUP(W$7,'Product Tgt'!$B:$B,'Product Tgt'!$G:$G)*N70/N$95,0),0)</f>
        <v>38600</v>
      </c>
      <c r="X70" s="12">
        <f>IFERROR(ROUND(_xlfn.XLOOKUP(X$7,'Product Tgt'!$B:$B,'Product Tgt'!$G:$G)*O70/O$95,0),0)</f>
        <v>9476</v>
      </c>
      <c r="Y70" s="45">
        <f>IFERROR(ROUND(_xlfn.XLOOKUP(Y$7,'Product Tgt'!$B:$B,'Product Tgt'!$G:$G)*P70/P$95,0),0)</f>
        <v>34847</v>
      </c>
      <c r="Z70" s="20">
        <f>ROUND(IFERROR(Q70/_xlfn.XLOOKUP(Z$7,'Product Tgt'!$B:$B,'Product Tgt'!$D:$D),0),0)</f>
        <v>0</v>
      </c>
      <c r="AA70" s="11">
        <f>ROUND(IFERROR(R70/_xlfn.XLOOKUP(AA$7,'Product Tgt'!$B:$B,'Product Tgt'!$D:$D),0),0)</f>
        <v>0</v>
      </c>
      <c r="AB70" s="11">
        <f>ROUND(IFERROR(U70/_xlfn.XLOOKUP(AB$7,'Product Tgt'!$B:$B,'Product Tgt'!$D:$D),0),0)</f>
        <v>0</v>
      </c>
      <c r="AC70" s="11">
        <f>ROUND(IFERROR(V70/_xlfn.XLOOKUP(AC$7,'Product Tgt'!$B:$B,'Product Tgt'!$D:$D),0),0)</f>
        <v>0</v>
      </c>
      <c r="AD70" s="11">
        <f>ROUND(IFERROR(W70/_xlfn.XLOOKUP(AD$7,'Product Tgt'!$B:$B,'Product Tgt'!$D:$D),0),0)</f>
        <v>0</v>
      </c>
      <c r="AE70" s="11">
        <f>ROUND(IFERROR(X70/_xlfn.XLOOKUP(AE$7,'Product Tgt'!$B:$B,'Product Tgt'!$D:$D),0),0)</f>
        <v>0</v>
      </c>
      <c r="AF70" s="11">
        <f>ROUND(IFERROR(Y70/_xlfn.XLOOKUP(AF$7,'Product Tgt'!$B:$B,'Product Tgt'!$D:$D),0),0)</f>
        <v>0</v>
      </c>
      <c r="AG70" s="10">
        <f>IFERROR(Z70*_xlfn.XLOOKUP(AG$7,'Product Tgt'!$B:$B,'Product Tgt'!$D:$D),0)</f>
        <v>0</v>
      </c>
      <c r="AH70">
        <f>IFERROR(AA70*_xlfn.XLOOKUP(AH$7,'Product Tgt'!$B:$B,'Product Tgt'!$D:$D),0)</f>
        <v>0</v>
      </c>
      <c r="AI70">
        <f>IFERROR(AB70*_xlfn.XLOOKUP(AI$7,'Product Tgt'!$B:$B,'Product Tgt'!$D:$D),0)</f>
        <v>0</v>
      </c>
      <c r="AJ70">
        <f>IFERROR(AC70*_xlfn.XLOOKUP(AJ$7,'Product Tgt'!$B:$B,'Product Tgt'!$D:$D),0)</f>
        <v>0</v>
      </c>
      <c r="AK70">
        <f>IFERROR(AD70*_xlfn.XLOOKUP(AK$7,'Product Tgt'!$B:$B,'Product Tgt'!$D:$D),0)</f>
        <v>0</v>
      </c>
      <c r="AL70">
        <f>IFERROR(AE70*_xlfn.XLOOKUP(AL$7,'Product Tgt'!$B:$B,'Product Tgt'!$D:$D),0)</f>
        <v>0</v>
      </c>
      <c r="AM70">
        <f>IFERROR(AF70*_xlfn.XLOOKUP(AM$7,'Product Tgt'!$B:$B,'Product Tgt'!$D:$D),0)</f>
        <v>0</v>
      </c>
    </row>
    <row r="71" spans="1:39" x14ac:dyDescent="0.25">
      <c r="A71" t="s">
        <v>28</v>
      </c>
      <c r="B71" s="7" t="s">
        <v>94</v>
      </c>
      <c r="C71" s="3">
        <f>_xlfn.XLOOKUP($B71,'Terr Target'!$A:$A,'Terr Target'!$E:$E)</f>
        <v>662685.46543545905</v>
      </c>
      <c r="D71" s="3">
        <f t="shared" si="4"/>
        <v>662682</v>
      </c>
      <c r="E71" s="4">
        <f t="shared" si="9"/>
        <v>-3.4654354590456933</v>
      </c>
      <c r="F71" s="9">
        <f t="shared" si="8"/>
        <v>5.2294093683632471E-6</v>
      </c>
      <c r="G71" s="5">
        <f t="shared" si="7"/>
        <v>1.0000052294093684</v>
      </c>
      <c r="H71" s="44">
        <v>6684.0096247382253</v>
      </c>
      <c r="I71" s="12">
        <v>4305.6244049557981</v>
      </c>
      <c r="J71" s="12">
        <v>68457.045581085651</v>
      </c>
      <c r="K71" s="12">
        <v>24779.341289828302</v>
      </c>
      <c r="L71" s="12">
        <v>391701.62342646171</v>
      </c>
      <c r="M71" s="12">
        <v>170130.75484468284</v>
      </c>
      <c r="N71" s="12">
        <v>26697.735062918491</v>
      </c>
      <c r="O71" s="12">
        <v>5282.4620850559259</v>
      </c>
      <c r="P71" s="45">
        <v>35719.935314296454</v>
      </c>
      <c r="Q71" s="44">
        <f>IFERROR(ROUND(_xlfn.XLOOKUP(Q$7,'Product Tgt'!$B:$B,'Product Tgt'!$G:$G)*H71/H$95,0),0)</f>
        <v>6003</v>
      </c>
      <c r="R71" s="12">
        <f>IFERROR(ROUND(_xlfn.XLOOKUP(R$7,'Product Tgt'!$B:$B,'Product Tgt'!$G:$G)*I71/I$95,0),0)</f>
        <v>3873</v>
      </c>
      <c r="S71" s="12">
        <f>IFERROR(ROUND(_xlfn.XLOOKUP(S$7,'Product Tgt'!$B:$B,'Product Tgt'!$G:$G)*J71/J$95,0),0)</f>
        <v>61626</v>
      </c>
      <c r="T71" s="12">
        <f>IFERROR(ROUND(_xlfn.XLOOKUP(T$7,'Product Tgt'!$B:$B,'Product Tgt'!$G:$G)*K71/K$95,0),0)</f>
        <v>22322</v>
      </c>
      <c r="U71" s="12">
        <f>IFERROR(ROUND(_xlfn.XLOOKUP(U$7,'Product Tgt'!$B:$B,'Product Tgt'!$G:$G)*L71/L$95,0),0)</f>
        <v>352600</v>
      </c>
      <c r="V71" s="12">
        <f>IFERROR(ROUND(_xlfn.XLOOKUP(V$7,'Product Tgt'!$B:$B,'Product Tgt'!$G:$G)*M71/M$95,0),0)</f>
        <v>153126</v>
      </c>
      <c r="W71" s="12">
        <f>IFERROR(ROUND(_xlfn.XLOOKUP(W$7,'Product Tgt'!$B:$B,'Product Tgt'!$G:$G)*N71/N$95,0),0)</f>
        <v>25840</v>
      </c>
      <c r="X71" s="12">
        <f>IFERROR(ROUND(_xlfn.XLOOKUP(X$7,'Product Tgt'!$B:$B,'Product Tgt'!$G:$G)*O71/O$95,0),0)</f>
        <v>5111</v>
      </c>
      <c r="Y71" s="45">
        <f>IFERROR(ROUND(_xlfn.XLOOKUP(Y$7,'Product Tgt'!$B:$B,'Product Tgt'!$G:$G)*P71/P$95,0),0)</f>
        <v>32181</v>
      </c>
      <c r="Z71" s="20">
        <f>ROUND(IFERROR(Q71/_xlfn.XLOOKUP(Z$7,'Product Tgt'!$B:$B,'Product Tgt'!$D:$D),0),0)</f>
        <v>0</v>
      </c>
      <c r="AA71" s="11">
        <f>ROUND(IFERROR(R71/_xlfn.XLOOKUP(AA$7,'Product Tgt'!$B:$B,'Product Tgt'!$D:$D),0),0)</f>
        <v>0</v>
      </c>
      <c r="AB71" s="11">
        <f>ROUND(IFERROR(U71/_xlfn.XLOOKUP(AB$7,'Product Tgt'!$B:$B,'Product Tgt'!$D:$D),0),0)</f>
        <v>0</v>
      </c>
      <c r="AC71" s="11">
        <f>ROUND(IFERROR(V71/_xlfn.XLOOKUP(AC$7,'Product Tgt'!$B:$B,'Product Tgt'!$D:$D),0),0)</f>
        <v>0</v>
      </c>
      <c r="AD71" s="11">
        <f>ROUND(IFERROR(W71/_xlfn.XLOOKUP(AD$7,'Product Tgt'!$B:$B,'Product Tgt'!$D:$D),0),0)</f>
        <v>0</v>
      </c>
      <c r="AE71" s="11">
        <f>ROUND(IFERROR(X71/_xlfn.XLOOKUP(AE$7,'Product Tgt'!$B:$B,'Product Tgt'!$D:$D),0),0)</f>
        <v>0</v>
      </c>
      <c r="AF71" s="11">
        <f>ROUND(IFERROR(Y71/_xlfn.XLOOKUP(AF$7,'Product Tgt'!$B:$B,'Product Tgt'!$D:$D),0),0)</f>
        <v>0</v>
      </c>
      <c r="AG71" s="10">
        <f>IFERROR(Z71*_xlfn.XLOOKUP(AG$7,'Product Tgt'!$B:$B,'Product Tgt'!$D:$D),0)</f>
        <v>0</v>
      </c>
      <c r="AH71">
        <f>IFERROR(AA71*_xlfn.XLOOKUP(AH$7,'Product Tgt'!$B:$B,'Product Tgt'!$D:$D),0)</f>
        <v>0</v>
      </c>
      <c r="AI71">
        <f>IFERROR(AB71*_xlfn.XLOOKUP(AI$7,'Product Tgt'!$B:$B,'Product Tgt'!$D:$D),0)</f>
        <v>0</v>
      </c>
      <c r="AJ71">
        <f>IFERROR(AC71*_xlfn.XLOOKUP(AJ$7,'Product Tgt'!$B:$B,'Product Tgt'!$D:$D),0)</f>
        <v>0</v>
      </c>
      <c r="AK71">
        <f>IFERROR(AD71*_xlfn.XLOOKUP(AK$7,'Product Tgt'!$B:$B,'Product Tgt'!$D:$D),0)</f>
        <v>0</v>
      </c>
      <c r="AL71">
        <f>IFERROR(AE71*_xlfn.XLOOKUP(AL$7,'Product Tgt'!$B:$B,'Product Tgt'!$D:$D),0)</f>
        <v>0</v>
      </c>
      <c r="AM71">
        <f>IFERROR(AF71*_xlfn.XLOOKUP(AM$7,'Product Tgt'!$B:$B,'Product Tgt'!$D:$D),0)</f>
        <v>0</v>
      </c>
    </row>
    <row r="72" spans="1:39" x14ac:dyDescent="0.25">
      <c r="A72" t="s">
        <v>28</v>
      </c>
      <c r="B72" s="7" t="s">
        <v>95</v>
      </c>
      <c r="C72" s="3">
        <f>_xlfn.XLOOKUP($B72,'Terr Target'!$A:$A,'Terr Target'!$E:$E)</f>
        <v>450185.4219438007</v>
      </c>
      <c r="D72" s="3">
        <f t="shared" ref="D72:D94" si="10">SUM(Q72:Y72)</f>
        <v>450184</v>
      </c>
      <c r="E72" s="4">
        <f t="shared" ref="E72:E94" si="11">D72-C72</f>
        <v>-1.4219438006985001</v>
      </c>
      <c r="F72" s="9">
        <f t="shared" si="8"/>
        <v>3.1585836029234715E-6</v>
      </c>
      <c r="G72" s="5">
        <f t="shared" si="7"/>
        <v>1.0000031585836029</v>
      </c>
      <c r="H72" s="44">
        <v>5309.0004432980941</v>
      </c>
      <c r="I72" s="12">
        <v>5188.649252609488</v>
      </c>
      <c r="J72" s="12">
        <v>54018.637770577028</v>
      </c>
      <c r="K72" s="12">
        <v>19294.008757517979</v>
      </c>
      <c r="L72" s="12">
        <v>214795.67813061262</v>
      </c>
      <c r="M72" s="12">
        <v>151525.27084217878</v>
      </c>
      <c r="N72" s="12">
        <v>19819.414086979185</v>
      </c>
      <c r="O72" s="12">
        <v>7057.923501883246</v>
      </c>
      <c r="P72" s="45">
        <v>21082.821038413244</v>
      </c>
      <c r="Q72" s="44">
        <f>IFERROR(ROUND(_xlfn.XLOOKUP(Q$7,'Product Tgt'!$B:$B,'Product Tgt'!$G:$G)*H72/H$95,0),0)</f>
        <v>4768</v>
      </c>
      <c r="R72" s="12">
        <f>IFERROR(ROUND(_xlfn.XLOOKUP(R$7,'Product Tgt'!$B:$B,'Product Tgt'!$G:$G)*I72/I$95,0),0)</f>
        <v>4667</v>
      </c>
      <c r="S72" s="12">
        <f>IFERROR(ROUND(_xlfn.XLOOKUP(S$7,'Product Tgt'!$B:$B,'Product Tgt'!$G:$G)*J72/J$95,0),0)</f>
        <v>48628</v>
      </c>
      <c r="T72" s="12">
        <f>IFERROR(ROUND(_xlfn.XLOOKUP(T$7,'Product Tgt'!$B:$B,'Product Tgt'!$G:$G)*K72/K$95,0),0)</f>
        <v>17381</v>
      </c>
      <c r="U72" s="12">
        <f>IFERROR(ROUND(_xlfn.XLOOKUP(U$7,'Product Tgt'!$B:$B,'Product Tgt'!$G:$G)*L72/L$95,0),0)</f>
        <v>193353</v>
      </c>
      <c r="V72" s="12">
        <f>IFERROR(ROUND(_xlfn.XLOOKUP(V$7,'Product Tgt'!$B:$B,'Product Tgt'!$G:$G)*M72/M$95,0),0)</f>
        <v>136381</v>
      </c>
      <c r="W72" s="12">
        <f>IFERROR(ROUND(_xlfn.XLOOKUP(W$7,'Product Tgt'!$B:$B,'Product Tgt'!$G:$G)*N72/N$95,0),0)</f>
        <v>19183</v>
      </c>
      <c r="X72" s="12">
        <f>IFERROR(ROUND(_xlfn.XLOOKUP(X$7,'Product Tgt'!$B:$B,'Product Tgt'!$G:$G)*O72/O$95,0),0)</f>
        <v>6829</v>
      </c>
      <c r="Y72" s="45">
        <f>IFERROR(ROUND(_xlfn.XLOOKUP(Y$7,'Product Tgt'!$B:$B,'Product Tgt'!$G:$G)*P72/P$95,0),0)</f>
        <v>18994</v>
      </c>
      <c r="Z72" s="20">
        <f>ROUND(IFERROR(Q72/_xlfn.XLOOKUP(Z$7,'Product Tgt'!$B:$B,'Product Tgt'!$D:$D),0),0)</f>
        <v>0</v>
      </c>
      <c r="AA72" s="11">
        <f>ROUND(IFERROR(R72/_xlfn.XLOOKUP(AA$7,'Product Tgt'!$B:$B,'Product Tgt'!$D:$D),0),0)</f>
        <v>0</v>
      </c>
      <c r="AB72" s="11">
        <f>ROUND(IFERROR(U72/_xlfn.XLOOKUP(AB$7,'Product Tgt'!$B:$B,'Product Tgt'!$D:$D),0),0)</f>
        <v>0</v>
      </c>
      <c r="AC72" s="11">
        <f>ROUND(IFERROR(V72/_xlfn.XLOOKUP(AC$7,'Product Tgt'!$B:$B,'Product Tgt'!$D:$D),0),0)</f>
        <v>0</v>
      </c>
      <c r="AD72" s="11">
        <f>ROUND(IFERROR(W72/_xlfn.XLOOKUP(AD$7,'Product Tgt'!$B:$B,'Product Tgt'!$D:$D),0),0)</f>
        <v>0</v>
      </c>
      <c r="AE72" s="11">
        <f>ROUND(IFERROR(X72/_xlfn.XLOOKUP(AE$7,'Product Tgt'!$B:$B,'Product Tgt'!$D:$D),0),0)</f>
        <v>0</v>
      </c>
      <c r="AF72" s="11">
        <f>ROUND(IFERROR(Y72/_xlfn.XLOOKUP(AF$7,'Product Tgt'!$B:$B,'Product Tgt'!$D:$D),0),0)</f>
        <v>0</v>
      </c>
      <c r="AG72" s="10">
        <f>IFERROR(Z72*_xlfn.XLOOKUP(AG$7,'Product Tgt'!$B:$B,'Product Tgt'!$D:$D),0)</f>
        <v>0</v>
      </c>
      <c r="AH72">
        <f>IFERROR(AA72*_xlfn.XLOOKUP(AH$7,'Product Tgt'!$B:$B,'Product Tgt'!$D:$D),0)</f>
        <v>0</v>
      </c>
      <c r="AI72">
        <f>IFERROR(AB72*_xlfn.XLOOKUP(AI$7,'Product Tgt'!$B:$B,'Product Tgt'!$D:$D),0)</f>
        <v>0</v>
      </c>
      <c r="AJ72">
        <f>IFERROR(AC72*_xlfn.XLOOKUP(AJ$7,'Product Tgt'!$B:$B,'Product Tgt'!$D:$D),0)</f>
        <v>0</v>
      </c>
      <c r="AK72">
        <f>IFERROR(AD72*_xlfn.XLOOKUP(AK$7,'Product Tgt'!$B:$B,'Product Tgt'!$D:$D),0)</f>
        <v>0</v>
      </c>
      <c r="AL72">
        <f>IFERROR(AE72*_xlfn.XLOOKUP(AL$7,'Product Tgt'!$B:$B,'Product Tgt'!$D:$D),0)</f>
        <v>0</v>
      </c>
      <c r="AM72">
        <f>IFERROR(AF72*_xlfn.XLOOKUP(AM$7,'Product Tgt'!$B:$B,'Product Tgt'!$D:$D),0)</f>
        <v>0</v>
      </c>
    </row>
    <row r="73" spans="1:39" x14ac:dyDescent="0.25">
      <c r="A73" t="s">
        <v>28</v>
      </c>
      <c r="B73" s="7" t="s">
        <v>96</v>
      </c>
      <c r="C73" s="3">
        <f>_xlfn.XLOOKUP($B73,'Terr Target'!$A:$A,'Terr Target'!$E:$E)</f>
        <v>562077.60100434732</v>
      </c>
      <c r="D73" s="3">
        <f t="shared" si="10"/>
        <v>562080</v>
      </c>
      <c r="E73" s="4">
        <f t="shared" si="11"/>
        <v>2.3989956526784226</v>
      </c>
      <c r="F73" s="9">
        <f t="shared" si="8"/>
        <v>4.2680679844122236E-6</v>
      </c>
      <c r="G73" s="5">
        <f t="shared" ref="G73:G94" si="12">1-E73/D73</f>
        <v>0.99999573193201563</v>
      </c>
      <c r="H73" s="44">
        <v>5868.2620994146046</v>
      </c>
      <c r="I73" s="12">
        <v>5964.7951647652817</v>
      </c>
      <c r="J73" s="12">
        <v>64576.163629185707</v>
      </c>
      <c r="K73" s="12">
        <v>31716.391436984672</v>
      </c>
      <c r="L73" s="12">
        <v>285258.84282279928</v>
      </c>
      <c r="M73" s="12">
        <v>157850.71007734901</v>
      </c>
      <c r="N73" s="12">
        <v>31065.656236039544</v>
      </c>
      <c r="O73" s="12">
        <v>8510.4029626523206</v>
      </c>
      <c r="P73" s="45">
        <v>30614.109319603762</v>
      </c>
      <c r="Q73" s="44">
        <f>IFERROR(ROUND(_xlfn.XLOOKUP(Q$7,'Product Tgt'!$B:$B,'Product Tgt'!$G:$G)*H73/H$95,0),0)</f>
        <v>5271</v>
      </c>
      <c r="R73" s="12">
        <f>IFERROR(ROUND(_xlfn.XLOOKUP(R$7,'Product Tgt'!$B:$B,'Product Tgt'!$G:$G)*I73/I$95,0),0)</f>
        <v>5366</v>
      </c>
      <c r="S73" s="12">
        <f>IFERROR(ROUND(_xlfn.XLOOKUP(S$7,'Product Tgt'!$B:$B,'Product Tgt'!$G:$G)*J73/J$95,0),0)</f>
        <v>58132</v>
      </c>
      <c r="T73" s="12">
        <f>IFERROR(ROUND(_xlfn.XLOOKUP(T$7,'Product Tgt'!$B:$B,'Product Tgt'!$G:$G)*K73/K$95,0),0)</f>
        <v>28572</v>
      </c>
      <c r="U73" s="12">
        <f>IFERROR(ROUND(_xlfn.XLOOKUP(U$7,'Product Tgt'!$B:$B,'Product Tgt'!$G:$G)*L73/L$95,0),0)</f>
        <v>256783</v>
      </c>
      <c r="V73" s="12">
        <f>IFERROR(ROUND(_xlfn.XLOOKUP(V$7,'Product Tgt'!$B:$B,'Product Tgt'!$G:$G)*M73/M$95,0),0)</f>
        <v>142074</v>
      </c>
      <c r="W73" s="12">
        <f>IFERROR(ROUND(_xlfn.XLOOKUP(W$7,'Product Tgt'!$B:$B,'Product Tgt'!$G:$G)*N73/N$95,0),0)</f>
        <v>30067</v>
      </c>
      <c r="X73" s="12">
        <f>IFERROR(ROUND(_xlfn.XLOOKUP(X$7,'Product Tgt'!$B:$B,'Product Tgt'!$G:$G)*O73/O$95,0),0)</f>
        <v>8234</v>
      </c>
      <c r="Y73" s="45">
        <f>IFERROR(ROUND(_xlfn.XLOOKUP(Y$7,'Product Tgt'!$B:$B,'Product Tgt'!$G:$G)*P73/P$95,0),0)</f>
        <v>27581</v>
      </c>
      <c r="Z73" s="20">
        <f>ROUND(IFERROR(Q73/_xlfn.XLOOKUP(Z$7,'Product Tgt'!$B:$B,'Product Tgt'!$D:$D),0),0)</f>
        <v>0</v>
      </c>
      <c r="AA73" s="11">
        <f>ROUND(IFERROR(R73/_xlfn.XLOOKUP(AA$7,'Product Tgt'!$B:$B,'Product Tgt'!$D:$D),0),0)</f>
        <v>0</v>
      </c>
      <c r="AB73" s="11">
        <f>ROUND(IFERROR(U73/_xlfn.XLOOKUP(AB$7,'Product Tgt'!$B:$B,'Product Tgt'!$D:$D),0),0)</f>
        <v>0</v>
      </c>
      <c r="AC73" s="11">
        <f>ROUND(IFERROR(V73/_xlfn.XLOOKUP(AC$7,'Product Tgt'!$B:$B,'Product Tgt'!$D:$D),0),0)</f>
        <v>0</v>
      </c>
      <c r="AD73" s="11">
        <f>ROUND(IFERROR(W73/_xlfn.XLOOKUP(AD$7,'Product Tgt'!$B:$B,'Product Tgt'!$D:$D),0),0)</f>
        <v>0</v>
      </c>
      <c r="AE73" s="11">
        <f>ROUND(IFERROR(X73/_xlfn.XLOOKUP(AE$7,'Product Tgt'!$B:$B,'Product Tgt'!$D:$D),0),0)</f>
        <v>0</v>
      </c>
      <c r="AF73" s="11">
        <f>ROUND(IFERROR(Y73/_xlfn.XLOOKUP(AF$7,'Product Tgt'!$B:$B,'Product Tgt'!$D:$D),0),0)</f>
        <v>0</v>
      </c>
      <c r="AG73" s="10">
        <f>IFERROR(Z73*_xlfn.XLOOKUP(AG$7,'Product Tgt'!$B:$B,'Product Tgt'!$D:$D),0)</f>
        <v>0</v>
      </c>
      <c r="AH73">
        <f>IFERROR(AA73*_xlfn.XLOOKUP(AH$7,'Product Tgt'!$B:$B,'Product Tgt'!$D:$D),0)</f>
        <v>0</v>
      </c>
      <c r="AI73">
        <f>IFERROR(AB73*_xlfn.XLOOKUP(AI$7,'Product Tgt'!$B:$B,'Product Tgt'!$D:$D),0)</f>
        <v>0</v>
      </c>
      <c r="AJ73">
        <f>IFERROR(AC73*_xlfn.XLOOKUP(AJ$7,'Product Tgt'!$B:$B,'Product Tgt'!$D:$D),0)</f>
        <v>0</v>
      </c>
      <c r="AK73">
        <f>IFERROR(AD73*_xlfn.XLOOKUP(AK$7,'Product Tgt'!$B:$B,'Product Tgt'!$D:$D),0)</f>
        <v>0</v>
      </c>
      <c r="AL73">
        <f>IFERROR(AE73*_xlfn.XLOOKUP(AL$7,'Product Tgt'!$B:$B,'Product Tgt'!$D:$D),0)</f>
        <v>0</v>
      </c>
      <c r="AM73">
        <f>IFERROR(AF73*_xlfn.XLOOKUP(AM$7,'Product Tgt'!$B:$B,'Product Tgt'!$D:$D),0)</f>
        <v>0</v>
      </c>
    </row>
    <row r="74" spans="1:39" x14ac:dyDescent="0.25">
      <c r="A74" t="s">
        <v>28</v>
      </c>
      <c r="B74" s="7" t="s">
        <v>97</v>
      </c>
      <c r="C74" s="3">
        <f>_xlfn.XLOOKUP($B74,'Terr Target'!$A:$A,'Terr Target'!$E:$E)</f>
        <v>509473.32295108325</v>
      </c>
      <c r="D74" s="3">
        <f t="shared" si="10"/>
        <v>509475</v>
      </c>
      <c r="E74" s="4">
        <f t="shared" si="11"/>
        <v>1.6770489167538472</v>
      </c>
      <c r="F74" s="9">
        <f t="shared" si="8"/>
        <v>3.2917197443522198E-6</v>
      </c>
      <c r="G74" s="5">
        <f t="shared" si="12"/>
        <v>0.99999670828025566</v>
      </c>
      <c r="H74" s="44">
        <v>3368.8744599949309</v>
      </c>
      <c r="I74" s="12">
        <v>3260.8092287338827</v>
      </c>
      <c r="J74" s="12">
        <v>53058.599906546049</v>
      </c>
      <c r="K74" s="12">
        <v>28844.864196909988</v>
      </c>
      <c r="L74" s="12">
        <v>256138.12242710133</v>
      </c>
      <c r="M74" s="12">
        <v>153495.86413618337</v>
      </c>
      <c r="N74" s="12">
        <v>24423.215261542799</v>
      </c>
      <c r="O74" s="12">
        <v>7014.143003660929</v>
      </c>
      <c r="P74" s="45">
        <v>33986.983401650192</v>
      </c>
      <c r="Q74" s="44">
        <f>IFERROR(ROUND(_xlfn.XLOOKUP(Q$7,'Product Tgt'!$B:$B,'Product Tgt'!$G:$G)*H74/H$95,0),0)</f>
        <v>3026</v>
      </c>
      <c r="R74" s="12">
        <f>IFERROR(ROUND(_xlfn.XLOOKUP(R$7,'Product Tgt'!$B:$B,'Product Tgt'!$G:$G)*I74/I$95,0),0)</f>
        <v>2933</v>
      </c>
      <c r="S74" s="12">
        <f>IFERROR(ROUND(_xlfn.XLOOKUP(S$7,'Product Tgt'!$B:$B,'Product Tgt'!$G:$G)*J74/J$95,0),0)</f>
        <v>47764</v>
      </c>
      <c r="T74" s="12">
        <f>IFERROR(ROUND(_xlfn.XLOOKUP(T$7,'Product Tgt'!$B:$B,'Product Tgt'!$G:$G)*K74/K$95,0),0)</f>
        <v>25985</v>
      </c>
      <c r="U74" s="12">
        <f>IFERROR(ROUND(_xlfn.XLOOKUP(U$7,'Product Tgt'!$B:$B,'Product Tgt'!$G:$G)*L74/L$95,0),0)</f>
        <v>230569</v>
      </c>
      <c r="V74" s="12">
        <f>IFERROR(ROUND(_xlfn.XLOOKUP(V$7,'Product Tgt'!$B:$B,'Product Tgt'!$G:$G)*M74/M$95,0),0)</f>
        <v>138154</v>
      </c>
      <c r="W74" s="12">
        <f>IFERROR(ROUND(_xlfn.XLOOKUP(W$7,'Product Tgt'!$B:$B,'Product Tgt'!$G:$G)*N74/N$95,0),0)</f>
        <v>23638</v>
      </c>
      <c r="X74" s="12">
        <f>IFERROR(ROUND(_xlfn.XLOOKUP(X$7,'Product Tgt'!$B:$B,'Product Tgt'!$G:$G)*O74/O$95,0),0)</f>
        <v>6786</v>
      </c>
      <c r="Y74" s="45">
        <f>IFERROR(ROUND(_xlfn.XLOOKUP(Y$7,'Product Tgt'!$B:$B,'Product Tgt'!$G:$G)*P74/P$95,0),0)</f>
        <v>30620</v>
      </c>
      <c r="Z74" s="20">
        <f>ROUND(IFERROR(Q74/_xlfn.XLOOKUP(Z$7,'Product Tgt'!$B:$B,'Product Tgt'!$D:$D),0),0)</f>
        <v>0</v>
      </c>
      <c r="AA74" s="11">
        <f>ROUND(IFERROR(R74/_xlfn.XLOOKUP(AA$7,'Product Tgt'!$B:$B,'Product Tgt'!$D:$D),0),0)</f>
        <v>0</v>
      </c>
      <c r="AB74" s="11">
        <f>ROUND(IFERROR(U74/_xlfn.XLOOKUP(AB$7,'Product Tgt'!$B:$B,'Product Tgt'!$D:$D),0),0)</f>
        <v>0</v>
      </c>
      <c r="AC74" s="11">
        <f>ROUND(IFERROR(V74/_xlfn.XLOOKUP(AC$7,'Product Tgt'!$B:$B,'Product Tgt'!$D:$D),0),0)</f>
        <v>0</v>
      </c>
      <c r="AD74" s="11">
        <f>ROUND(IFERROR(W74/_xlfn.XLOOKUP(AD$7,'Product Tgt'!$B:$B,'Product Tgt'!$D:$D),0),0)</f>
        <v>0</v>
      </c>
      <c r="AE74" s="11">
        <f>ROUND(IFERROR(X74/_xlfn.XLOOKUP(AE$7,'Product Tgt'!$B:$B,'Product Tgt'!$D:$D),0),0)</f>
        <v>0</v>
      </c>
      <c r="AF74" s="11">
        <f>ROUND(IFERROR(Y74/_xlfn.XLOOKUP(AF$7,'Product Tgt'!$B:$B,'Product Tgt'!$D:$D),0),0)</f>
        <v>0</v>
      </c>
      <c r="AG74" s="10">
        <f>IFERROR(Z74*_xlfn.XLOOKUP(AG$7,'Product Tgt'!$B:$B,'Product Tgt'!$D:$D),0)</f>
        <v>0</v>
      </c>
      <c r="AH74">
        <f>IFERROR(AA74*_xlfn.XLOOKUP(AH$7,'Product Tgt'!$B:$B,'Product Tgt'!$D:$D),0)</f>
        <v>0</v>
      </c>
      <c r="AI74">
        <f>IFERROR(AB74*_xlfn.XLOOKUP(AI$7,'Product Tgt'!$B:$B,'Product Tgt'!$D:$D),0)</f>
        <v>0</v>
      </c>
      <c r="AJ74">
        <f>IFERROR(AC74*_xlfn.XLOOKUP(AJ$7,'Product Tgt'!$B:$B,'Product Tgt'!$D:$D),0)</f>
        <v>0</v>
      </c>
      <c r="AK74">
        <f>IFERROR(AD74*_xlfn.XLOOKUP(AK$7,'Product Tgt'!$B:$B,'Product Tgt'!$D:$D),0)</f>
        <v>0</v>
      </c>
      <c r="AL74">
        <f>IFERROR(AE74*_xlfn.XLOOKUP(AL$7,'Product Tgt'!$B:$B,'Product Tgt'!$D:$D),0)</f>
        <v>0</v>
      </c>
      <c r="AM74">
        <f>IFERROR(AF74*_xlfn.XLOOKUP(AM$7,'Product Tgt'!$B:$B,'Product Tgt'!$D:$D),0)</f>
        <v>0</v>
      </c>
    </row>
    <row r="75" spans="1:39" x14ac:dyDescent="0.25">
      <c r="A75" t="s">
        <v>28</v>
      </c>
      <c r="B75" s="7" t="s">
        <v>98</v>
      </c>
      <c r="C75" s="3">
        <f>_xlfn.XLOOKUP($B75,'Terr Target'!$A:$A,'Terr Target'!$E:$E)</f>
        <v>488642.68301841617</v>
      </c>
      <c r="D75" s="3">
        <f t="shared" si="10"/>
        <v>488649</v>
      </c>
      <c r="E75" s="4">
        <f t="shared" si="11"/>
        <v>6.3169815838336945</v>
      </c>
      <c r="F75" s="9">
        <f t="shared" si="8"/>
        <v>1.2927441954928168E-5</v>
      </c>
      <c r="G75" s="5">
        <f t="shared" si="12"/>
        <v>0.99998707255804509</v>
      </c>
      <c r="H75" s="44">
        <v>3317.6486924780438</v>
      </c>
      <c r="I75" s="12">
        <v>3410.2310679620309</v>
      </c>
      <c r="J75" s="12">
        <v>55230.090848401145</v>
      </c>
      <c r="K75" s="12">
        <v>25197.244941468907</v>
      </c>
      <c r="L75" s="12">
        <v>230127.52451778267</v>
      </c>
      <c r="M75" s="12">
        <v>153806.22674263522</v>
      </c>
      <c r="N75" s="12">
        <v>30909.271375742705</v>
      </c>
      <c r="O75" s="12">
        <v>8805.9945616612858</v>
      </c>
      <c r="P75" s="45">
        <v>29035.726705300898</v>
      </c>
      <c r="Q75" s="44">
        <f>IFERROR(ROUND(_xlfn.XLOOKUP(Q$7,'Product Tgt'!$B:$B,'Product Tgt'!$G:$G)*H75/H$95,0),0)</f>
        <v>2980</v>
      </c>
      <c r="R75" s="12">
        <f>IFERROR(ROUND(_xlfn.XLOOKUP(R$7,'Product Tgt'!$B:$B,'Product Tgt'!$G:$G)*I75/I$95,0),0)</f>
        <v>3068</v>
      </c>
      <c r="S75" s="12">
        <f>IFERROR(ROUND(_xlfn.XLOOKUP(S$7,'Product Tgt'!$B:$B,'Product Tgt'!$G:$G)*J75/J$95,0),0)</f>
        <v>49719</v>
      </c>
      <c r="T75" s="12">
        <f>IFERROR(ROUND(_xlfn.XLOOKUP(T$7,'Product Tgt'!$B:$B,'Product Tgt'!$G:$G)*K75/K$95,0),0)</f>
        <v>22699</v>
      </c>
      <c r="U75" s="12">
        <f>IFERROR(ROUND(_xlfn.XLOOKUP(U$7,'Product Tgt'!$B:$B,'Product Tgt'!$G:$G)*L75/L$95,0),0)</f>
        <v>207155</v>
      </c>
      <c r="V75" s="12">
        <f>IFERROR(ROUND(_xlfn.XLOOKUP(V$7,'Product Tgt'!$B:$B,'Product Tgt'!$G:$G)*M75/M$95,0),0)</f>
        <v>138433</v>
      </c>
      <c r="W75" s="12">
        <f>IFERROR(ROUND(_xlfn.XLOOKUP(W$7,'Product Tgt'!$B:$B,'Product Tgt'!$G:$G)*N75/N$95,0),0)</f>
        <v>29916</v>
      </c>
      <c r="X75" s="12">
        <f>IFERROR(ROUND(_xlfn.XLOOKUP(X$7,'Product Tgt'!$B:$B,'Product Tgt'!$G:$G)*O75/O$95,0),0)</f>
        <v>8520</v>
      </c>
      <c r="Y75" s="45">
        <f>IFERROR(ROUND(_xlfn.XLOOKUP(Y$7,'Product Tgt'!$B:$B,'Product Tgt'!$G:$G)*P75/P$95,0),0)</f>
        <v>26159</v>
      </c>
      <c r="Z75" s="20">
        <f>ROUND(IFERROR(Q75/_xlfn.XLOOKUP(Z$7,'Product Tgt'!$B:$B,'Product Tgt'!$D:$D),0),0)</f>
        <v>0</v>
      </c>
      <c r="AA75" s="11">
        <f>ROUND(IFERROR(R75/_xlfn.XLOOKUP(AA$7,'Product Tgt'!$B:$B,'Product Tgt'!$D:$D),0),0)</f>
        <v>0</v>
      </c>
      <c r="AB75" s="11">
        <f>ROUND(IFERROR(U75/_xlfn.XLOOKUP(AB$7,'Product Tgt'!$B:$B,'Product Tgt'!$D:$D),0),0)</f>
        <v>0</v>
      </c>
      <c r="AC75" s="11">
        <f>ROUND(IFERROR(V75/_xlfn.XLOOKUP(AC$7,'Product Tgt'!$B:$B,'Product Tgt'!$D:$D),0),0)</f>
        <v>0</v>
      </c>
      <c r="AD75" s="11">
        <f>ROUND(IFERROR(W75/_xlfn.XLOOKUP(AD$7,'Product Tgt'!$B:$B,'Product Tgt'!$D:$D),0),0)</f>
        <v>0</v>
      </c>
      <c r="AE75" s="11">
        <f>ROUND(IFERROR(X75/_xlfn.XLOOKUP(AE$7,'Product Tgt'!$B:$B,'Product Tgt'!$D:$D),0),0)</f>
        <v>0</v>
      </c>
      <c r="AF75" s="11">
        <f>ROUND(IFERROR(Y75/_xlfn.XLOOKUP(AF$7,'Product Tgt'!$B:$B,'Product Tgt'!$D:$D),0),0)</f>
        <v>0</v>
      </c>
      <c r="AG75" s="10">
        <f>IFERROR(Z75*_xlfn.XLOOKUP(AG$7,'Product Tgt'!$B:$B,'Product Tgt'!$D:$D),0)</f>
        <v>0</v>
      </c>
      <c r="AH75">
        <f>IFERROR(AA75*_xlfn.XLOOKUP(AH$7,'Product Tgt'!$B:$B,'Product Tgt'!$D:$D),0)</f>
        <v>0</v>
      </c>
      <c r="AI75">
        <f>IFERROR(AB75*_xlfn.XLOOKUP(AI$7,'Product Tgt'!$B:$B,'Product Tgt'!$D:$D),0)</f>
        <v>0</v>
      </c>
      <c r="AJ75">
        <f>IFERROR(AC75*_xlfn.XLOOKUP(AJ$7,'Product Tgt'!$B:$B,'Product Tgt'!$D:$D),0)</f>
        <v>0</v>
      </c>
      <c r="AK75">
        <f>IFERROR(AD75*_xlfn.XLOOKUP(AK$7,'Product Tgt'!$B:$B,'Product Tgt'!$D:$D),0)</f>
        <v>0</v>
      </c>
      <c r="AL75">
        <f>IFERROR(AE75*_xlfn.XLOOKUP(AL$7,'Product Tgt'!$B:$B,'Product Tgt'!$D:$D),0)</f>
        <v>0</v>
      </c>
      <c r="AM75">
        <f>IFERROR(AF75*_xlfn.XLOOKUP(AM$7,'Product Tgt'!$B:$B,'Product Tgt'!$D:$D),0)</f>
        <v>0</v>
      </c>
    </row>
    <row r="76" spans="1:39" x14ac:dyDescent="0.25">
      <c r="A76" t="s">
        <v>28</v>
      </c>
      <c r="B76" s="7" t="s">
        <v>99</v>
      </c>
      <c r="C76" s="3">
        <f>_xlfn.XLOOKUP($B76,'Terr Target'!$A:$A,'Terr Target'!$E:$E)</f>
        <v>431536.5381386677</v>
      </c>
      <c r="D76" s="3">
        <f t="shared" si="10"/>
        <v>431534</v>
      </c>
      <c r="E76" s="4">
        <f t="shared" si="11"/>
        <v>-2.5381386677036062</v>
      </c>
      <c r="F76" s="9">
        <f t="shared" si="8"/>
        <v>5.8816655644829985E-6</v>
      </c>
      <c r="G76" s="5">
        <f t="shared" si="12"/>
        <v>1.0000058816655646</v>
      </c>
      <c r="H76" s="44">
        <v>2552.3598951123236</v>
      </c>
      <c r="I76" s="12">
        <v>2125.4702644036515</v>
      </c>
      <c r="J76" s="12">
        <v>18866.454163432329</v>
      </c>
      <c r="K76" s="12">
        <v>10685.737594374488</v>
      </c>
      <c r="L76" s="12">
        <v>231626.3505543127</v>
      </c>
      <c r="M76" s="12">
        <v>173389.30311267037</v>
      </c>
      <c r="N76" s="12">
        <v>18976.638257205959</v>
      </c>
      <c r="O76" s="12">
        <v>7509.4643922993455</v>
      </c>
      <c r="P76" s="45">
        <v>11682.483241869584</v>
      </c>
      <c r="Q76" s="44">
        <f>IFERROR(ROUND(_xlfn.XLOOKUP(Q$7,'Product Tgt'!$B:$B,'Product Tgt'!$G:$G)*H76/H$95,0),0)</f>
        <v>2292</v>
      </c>
      <c r="R76" s="12">
        <f>IFERROR(ROUND(_xlfn.XLOOKUP(R$7,'Product Tgt'!$B:$B,'Product Tgt'!$G:$G)*I76/I$95,0),0)</f>
        <v>1912</v>
      </c>
      <c r="S76" s="12">
        <f>IFERROR(ROUND(_xlfn.XLOOKUP(S$7,'Product Tgt'!$B:$B,'Product Tgt'!$G:$G)*J76/J$95,0),0)</f>
        <v>16984</v>
      </c>
      <c r="T76" s="12">
        <f>IFERROR(ROUND(_xlfn.XLOOKUP(T$7,'Product Tgt'!$B:$B,'Product Tgt'!$G:$G)*K76/K$95,0),0)</f>
        <v>9626</v>
      </c>
      <c r="U76" s="12">
        <f>IFERROR(ROUND(_xlfn.XLOOKUP(U$7,'Product Tgt'!$B:$B,'Product Tgt'!$G:$G)*L76/L$95,0),0)</f>
        <v>208504</v>
      </c>
      <c r="V76" s="12">
        <f>IFERROR(ROUND(_xlfn.XLOOKUP(V$7,'Product Tgt'!$B:$B,'Product Tgt'!$G:$G)*M76/M$95,0),0)</f>
        <v>156059</v>
      </c>
      <c r="W76" s="12">
        <f>IFERROR(ROUND(_xlfn.XLOOKUP(W$7,'Product Tgt'!$B:$B,'Product Tgt'!$G:$G)*N76/N$95,0),0)</f>
        <v>18367</v>
      </c>
      <c r="X76" s="12">
        <f>IFERROR(ROUND(_xlfn.XLOOKUP(X$7,'Product Tgt'!$B:$B,'Product Tgt'!$G:$G)*O76/O$95,0),0)</f>
        <v>7265</v>
      </c>
      <c r="Y76" s="45">
        <f>IFERROR(ROUND(_xlfn.XLOOKUP(Y$7,'Product Tgt'!$B:$B,'Product Tgt'!$G:$G)*P76/P$95,0),0)</f>
        <v>10525</v>
      </c>
      <c r="Z76" s="20">
        <f>ROUND(IFERROR(Q76/_xlfn.XLOOKUP(Z$7,'Product Tgt'!$B:$B,'Product Tgt'!$D:$D),0),0)</f>
        <v>0</v>
      </c>
      <c r="AA76" s="11">
        <f>ROUND(IFERROR(R76/_xlfn.XLOOKUP(AA$7,'Product Tgt'!$B:$B,'Product Tgt'!$D:$D),0),0)</f>
        <v>0</v>
      </c>
      <c r="AB76" s="11">
        <f>ROUND(IFERROR(U76/_xlfn.XLOOKUP(AB$7,'Product Tgt'!$B:$B,'Product Tgt'!$D:$D),0),0)</f>
        <v>0</v>
      </c>
      <c r="AC76" s="11">
        <f>ROUND(IFERROR(V76/_xlfn.XLOOKUP(AC$7,'Product Tgt'!$B:$B,'Product Tgt'!$D:$D),0),0)</f>
        <v>0</v>
      </c>
      <c r="AD76" s="11">
        <f>ROUND(IFERROR(W76/_xlfn.XLOOKUP(AD$7,'Product Tgt'!$B:$B,'Product Tgt'!$D:$D),0),0)</f>
        <v>0</v>
      </c>
      <c r="AE76" s="11">
        <f>ROUND(IFERROR(X76/_xlfn.XLOOKUP(AE$7,'Product Tgt'!$B:$B,'Product Tgt'!$D:$D),0),0)</f>
        <v>0</v>
      </c>
      <c r="AF76" s="11">
        <f>ROUND(IFERROR(Y76/_xlfn.XLOOKUP(AF$7,'Product Tgt'!$B:$B,'Product Tgt'!$D:$D),0),0)</f>
        <v>0</v>
      </c>
      <c r="AG76" s="10">
        <f>IFERROR(Z76*_xlfn.XLOOKUP(AG$7,'Product Tgt'!$B:$B,'Product Tgt'!$D:$D),0)</f>
        <v>0</v>
      </c>
      <c r="AH76">
        <f>IFERROR(AA76*_xlfn.XLOOKUP(AH$7,'Product Tgt'!$B:$B,'Product Tgt'!$D:$D),0)</f>
        <v>0</v>
      </c>
      <c r="AI76">
        <f>IFERROR(AB76*_xlfn.XLOOKUP(AI$7,'Product Tgt'!$B:$B,'Product Tgt'!$D:$D),0)</f>
        <v>0</v>
      </c>
      <c r="AJ76">
        <f>IFERROR(AC76*_xlfn.XLOOKUP(AJ$7,'Product Tgt'!$B:$B,'Product Tgt'!$D:$D),0)</f>
        <v>0</v>
      </c>
      <c r="AK76">
        <f>IFERROR(AD76*_xlfn.XLOOKUP(AK$7,'Product Tgt'!$B:$B,'Product Tgt'!$D:$D),0)</f>
        <v>0</v>
      </c>
      <c r="AL76">
        <f>IFERROR(AE76*_xlfn.XLOOKUP(AL$7,'Product Tgt'!$B:$B,'Product Tgt'!$D:$D),0)</f>
        <v>0</v>
      </c>
      <c r="AM76">
        <f>IFERROR(AF76*_xlfn.XLOOKUP(AM$7,'Product Tgt'!$B:$B,'Product Tgt'!$D:$D),0)</f>
        <v>0</v>
      </c>
    </row>
    <row r="77" spans="1:39" x14ac:dyDescent="0.25">
      <c r="A77" t="s">
        <v>28</v>
      </c>
      <c r="B77" s="7" t="s">
        <v>100</v>
      </c>
      <c r="C77" s="3">
        <f>_xlfn.XLOOKUP($B77,'Terr Target'!$A:$A,'Terr Target'!$E:$E)</f>
        <v>503211.66186262213</v>
      </c>
      <c r="D77" s="3">
        <f t="shared" si="10"/>
        <v>503208</v>
      </c>
      <c r="E77" s="4">
        <f t="shared" si="11"/>
        <v>-3.6618626221315935</v>
      </c>
      <c r="F77" s="9">
        <f t="shared" si="8"/>
        <v>7.2770357826815027E-6</v>
      </c>
      <c r="G77" s="5">
        <f t="shared" si="12"/>
        <v>1.0000072770357826</v>
      </c>
      <c r="H77" s="44">
        <v>2895.1636009455174</v>
      </c>
      <c r="I77" s="12">
        <v>6669.0556064368102</v>
      </c>
      <c r="J77" s="12">
        <v>22690.777003492567</v>
      </c>
      <c r="K77" s="12">
        <v>19438.183055413108</v>
      </c>
      <c r="L77" s="12">
        <v>299978.71804873092</v>
      </c>
      <c r="M77" s="12">
        <v>154551.79859802852</v>
      </c>
      <c r="N77" s="12">
        <v>19753.47074902281</v>
      </c>
      <c r="O77" s="12">
        <v>5276.7160262860916</v>
      </c>
      <c r="P77" s="45">
        <v>25872.730825419454</v>
      </c>
      <c r="Q77" s="44">
        <f>IFERROR(ROUND(_xlfn.XLOOKUP(Q$7,'Product Tgt'!$B:$B,'Product Tgt'!$G:$G)*H77/H$95,0),0)</f>
        <v>2600</v>
      </c>
      <c r="R77" s="12">
        <f>IFERROR(ROUND(_xlfn.XLOOKUP(R$7,'Product Tgt'!$B:$B,'Product Tgt'!$G:$G)*I77/I$95,0),0)</f>
        <v>5999</v>
      </c>
      <c r="S77" s="12">
        <f>IFERROR(ROUND(_xlfn.XLOOKUP(S$7,'Product Tgt'!$B:$B,'Product Tgt'!$G:$G)*J77/J$95,0),0)</f>
        <v>20426</v>
      </c>
      <c r="T77" s="12">
        <f>IFERROR(ROUND(_xlfn.XLOOKUP(T$7,'Product Tgt'!$B:$B,'Product Tgt'!$G:$G)*K77/K$95,0),0)</f>
        <v>17511</v>
      </c>
      <c r="U77" s="12">
        <f>IFERROR(ROUND(_xlfn.XLOOKUP(U$7,'Product Tgt'!$B:$B,'Product Tgt'!$G:$G)*L77/L$95,0),0)</f>
        <v>270033</v>
      </c>
      <c r="V77" s="12">
        <f>IFERROR(ROUND(_xlfn.XLOOKUP(V$7,'Product Tgt'!$B:$B,'Product Tgt'!$G:$G)*M77/M$95,0),0)</f>
        <v>139105</v>
      </c>
      <c r="W77" s="12">
        <f>IFERROR(ROUND(_xlfn.XLOOKUP(W$7,'Product Tgt'!$B:$B,'Product Tgt'!$G:$G)*N77/N$95,0),0)</f>
        <v>19119</v>
      </c>
      <c r="X77" s="12">
        <f>IFERROR(ROUND(_xlfn.XLOOKUP(X$7,'Product Tgt'!$B:$B,'Product Tgt'!$G:$G)*O77/O$95,0),0)</f>
        <v>5105</v>
      </c>
      <c r="Y77" s="45">
        <f>IFERROR(ROUND(_xlfn.XLOOKUP(Y$7,'Product Tgt'!$B:$B,'Product Tgt'!$G:$G)*P77/P$95,0),0)</f>
        <v>23310</v>
      </c>
      <c r="Z77" s="20">
        <f>ROUND(IFERROR(Q77/_xlfn.XLOOKUP(Z$7,'Product Tgt'!$B:$B,'Product Tgt'!$D:$D),0),0)</f>
        <v>0</v>
      </c>
      <c r="AA77" s="11">
        <f>ROUND(IFERROR(R77/_xlfn.XLOOKUP(AA$7,'Product Tgt'!$B:$B,'Product Tgt'!$D:$D),0),0)</f>
        <v>0</v>
      </c>
      <c r="AB77" s="11">
        <f>ROUND(IFERROR(U77/_xlfn.XLOOKUP(AB$7,'Product Tgt'!$B:$B,'Product Tgt'!$D:$D),0),0)</f>
        <v>0</v>
      </c>
      <c r="AC77" s="11">
        <f>ROUND(IFERROR(V77/_xlfn.XLOOKUP(AC$7,'Product Tgt'!$B:$B,'Product Tgt'!$D:$D),0),0)</f>
        <v>0</v>
      </c>
      <c r="AD77" s="11">
        <f>ROUND(IFERROR(W77/_xlfn.XLOOKUP(AD$7,'Product Tgt'!$B:$B,'Product Tgt'!$D:$D),0),0)</f>
        <v>0</v>
      </c>
      <c r="AE77" s="11">
        <f>ROUND(IFERROR(X77/_xlfn.XLOOKUP(AE$7,'Product Tgt'!$B:$B,'Product Tgt'!$D:$D),0),0)</f>
        <v>0</v>
      </c>
      <c r="AF77" s="11">
        <f>ROUND(IFERROR(Y77/_xlfn.XLOOKUP(AF$7,'Product Tgt'!$B:$B,'Product Tgt'!$D:$D),0),0)</f>
        <v>0</v>
      </c>
      <c r="AG77" s="10">
        <f>IFERROR(Z77*_xlfn.XLOOKUP(AG$7,'Product Tgt'!$B:$B,'Product Tgt'!$D:$D),0)</f>
        <v>0</v>
      </c>
      <c r="AH77">
        <f>IFERROR(AA77*_xlfn.XLOOKUP(AH$7,'Product Tgt'!$B:$B,'Product Tgt'!$D:$D),0)</f>
        <v>0</v>
      </c>
      <c r="AI77">
        <f>IFERROR(AB77*_xlfn.XLOOKUP(AI$7,'Product Tgt'!$B:$B,'Product Tgt'!$D:$D),0)</f>
        <v>0</v>
      </c>
      <c r="AJ77">
        <f>IFERROR(AC77*_xlfn.XLOOKUP(AJ$7,'Product Tgt'!$B:$B,'Product Tgt'!$D:$D),0)</f>
        <v>0</v>
      </c>
      <c r="AK77">
        <f>IFERROR(AD77*_xlfn.XLOOKUP(AK$7,'Product Tgt'!$B:$B,'Product Tgt'!$D:$D),0)</f>
        <v>0</v>
      </c>
      <c r="AL77">
        <f>IFERROR(AE77*_xlfn.XLOOKUP(AL$7,'Product Tgt'!$B:$B,'Product Tgt'!$D:$D),0)</f>
        <v>0</v>
      </c>
      <c r="AM77">
        <f>IFERROR(AF77*_xlfn.XLOOKUP(AM$7,'Product Tgt'!$B:$B,'Product Tgt'!$D:$D),0)</f>
        <v>0</v>
      </c>
    </row>
    <row r="78" spans="1:39" x14ac:dyDescent="0.25">
      <c r="A78" t="s">
        <v>28</v>
      </c>
      <c r="B78" s="7" t="s">
        <v>101</v>
      </c>
      <c r="C78" s="3">
        <f>_xlfn.XLOOKUP($B78,'Terr Target'!$A:$A,'Terr Target'!$E:$E)</f>
        <v>634203.26258087333</v>
      </c>
      <c r="D78" s="3">
        <f t="shared" si="10"/>
        <v>634197</v>
      </c>
      <c r="E78" s="4">
        <f t="shared" si="11"/>
        <v>-6.2625808733282611</v>
      </c>
      <c r="F78" s="9">
        <f t="shared" si="8"/>
        <v>9.8748194540943285E-6</v>
      </c>
      <c r="G78" s="5">
        <f t="shared" si="12"/>
        <v>1.0000098748194541</v>
      </c>
      <c r="H78" s="44">
        <v>3429.5612006119454</v>
      </c>
      <c r="I78" s="12">
        <v>8973.2011302474002</v>
      </c>
      <c r="J78" s="12">
        <v>71722.613133687904</v>
      </c>
      <c r="K78" s="12">
        <v>24917.146739546475</v>
      </c>
      <c r="L78" s="12">
        <v>360579.50914881349</v>
      </c>
      <c r="M78" s="12">
        <v>173078.52916172196</v>
      </c>
      <c r="N78" s="12">
        <v>20098.201553749772</v>
      </c>
      <c r="O78" s="12">
        <v>5506.353615750987</v>
      </c>
      <c r="P78" s="45">
        <v>34286.986215136123</v>
      </c>
      <c r="Q78" s="44">
        <f>IFERROR(ROUND(_xlfn.XLOOKUP(Q$7,'Product Tgt'!$B:$B,'Product Tgt'!$G:$G)*H78/H$95,0),0)</f>
        <v>3080</v>
      </c>
      <c r="R78" s="12">
        <f>IFERROR(ROUND(_xlfn.XLOOKUP(R$7,'Product Tgt'!$B:$B,'Product Tgt'!$G:$G)*I78/I$95,0),0)</f>
        <v>8072</v>
      </c>
      <c r="S78" s="12">
        <f>IFERROR(ROUND(_xlfn.XLOOKUP(S$7,'Product Tgt'!$B:$B,'Product Tgt'!$G:$G)*J78/J$95,0),0)</f>
        <v>64565</v>
      </c>
      <c r="T78" s="12">
        <f>IFERROR(ROUND(_xlfn.XLOOKUP(T$7,'Product Tgt'!$B:$B,'Product Tgt'!$G:$G)*K78/K$95,0),0)</f>
        <v>22447</v>
      </c>
      <c r="U78" s="12">
        <f>IFERROR(ROUND(_xlfn.XLOOKUP(U$7,'Product Tgt'!$B:$B,'Product Tgt'!$G:$G)*L78/L$95,0),0)</f>
        <v>324584</v>
      </c>
      <c r="V78" s="12">
        <f>IFERROR(ROUND(_xlfn.XLOOKUP(V$7,'Product Tgt'!$B:$B,'Product Tgt'!$G:$G)*M78/M$95,0),0)</f>
        <v>155780</v>
      </c>
      <c r="W78" s="12">
        <f>IFERROR(ROUND(_xlfn.XLOOKUP(W$7,'Product Tgt'!$B:$B,'Product Tgt'!$G:$G)*N78/N$95,0),0)</f>
        <v>19452</v>
      </c>
      <c r="X78" s="12">
        <f>IFERROR(ROUND(_xlfn.XLOOKUP(X$7,'Product Tgt'!$B:$B,'Product Tgt'!$G:$G)*O78/O$95,0),0)</f>
        <v>5327</v>
      </c>
      <c r="Y78" s="45">
        <f>IFERROR(ROUND(_xlfn.XLOOKUP(Y$7,'Product Tgt'!$B:$B,'Product Tgt'!$G:$G)*P78/P$95,0),0)</f>
        <v>30890</v>
      </c>
      <c r="Z78" s="20">
        <f>ROUND(IFERROR(Q78/_xlfn.XLOOKUP(Z$7,'Product Tgt'!$B:$B,'Product Tgt'!$D:$D),0),0)</f>
        <v>0</v>
      </c>
      <c r="AA78" s="11">
        <f>ROUND(IFERROR(R78/_xlfn.XLOOKUP(AA$7,'Product Tgt'!$B:$B,'Product Tgt'!$D:$D),0),0)</f>
        <v>0</v>
      </c>
      <c r="AB78" s="11">
        <f>ROUND(IFERROR(U78/_xlfn.XLOOKUP(AB$7,'Product Tgt'!$B:$B,'Product Tgt'!$D:$D),0),0)</f>
        <v>0</v>
      </c>
      <c r="AC78" s="11">
        <f>ROUND(IFERROR(V78/_xlfn.XLOOKUP(AC$7,'Product Tgt'!$B:$B,'Product Tgt'!$D:$D),0),0)</f>
        <v>0</v>
      </c>
      <c r="AD78" s="11">
        <f>ROUND(IFERROR(W78/_xlfn.XLOOKUP(AD$7,'Product Tgt'!$B:$B,'Product Tgt'!$D:$D),0),0)</f>
        <v>0</v>
      </c>
      <c r="AE78" s="11">
        <f>ROUND(IFERROR(X78/_xlfn.XLOOKUP(AE$7,'Product Tgt'!$B:$B,'Product Tgt'!$D:$D),0),0)</f>
        <v>0</v>
      </c>
      <c r="AF78" s="11">
        <f>ROUND(IFERROR(Y78/_xlfn.XLOOKUP(AF$7,'Product Tgt'!$B:$B,'Product Tgt'!$D:$D),0),0)</f>
        <v>0</v>
      </c>
      <c r="AG78" s="10">
        <f>IFERROR(Z78*_xlfn.XLOOKUP(AG$7,'Product Tgt'!$B:$B,'Product Tgt'!$D:$D),0)</f>
        <v>0</v>
      </c>
      <c r="AH78">
        <f>IFERROR(AA78*_xlfn.XLOOKUP(AH$7,'Product Tgt'!$B:$B,'Product Tgt'!$D:$D),0)</f>
        <v>0</v>
      </c>
      <c r="AI78">
        <f>IFERROR(AB78*_xlfn.XLOOKUP(AI$7,'Product Tgt'!$B:$B,'Product Tgt'!$D:$D),0)</f>
        <v>0</v>
      </c>
      <c r="AJ78">
        <f>IFERROR(AC78*_xlfn.XLOOKUP(AJ$7,'Product Tgt'!$B:$B,'Product Tgt'!$D:$D),0)</f>
        <v>0</v>
      </c>
      <c r="AK78">
        <f>IFERROR(AD78*_xlfn.XLOOKUP(AK$7,'Product Tgt'!$B:$B,'Product Tgt'!$D:$D),0)</f>
        <v>0</v>
      </c>
      <c r="AL78">
        <f>IFERROR(AE78*_xlfn.XLOOKUP(AL$7,'Product Tgt'!$B:$B,'Product Tgt'!$D:$D),0)</f>
        <v>0</v>
      </c>
      <c r="AM78">
        <f>IFERROR(AF78*_xlfn.XLOOKUP(AM$7,'Product Tgt'!$B:$B,'Product Tgt'!$D:$D),0)</f>
        <v>0</v>
      </c>
    </row>
    <row r="79" spans="1:39" x14ac:dyDescent="0.25">
      <c r="A79" t="s">
        <v>36</v>
      </c>
      <c r="B79" s="7" t="s">
        <v>102</v>
      </c>
      <c r="C79" s="3">
        <f>_xlfn.XLOOKUP($B79,'Terr Target'!$A:$A,'Terr Target'!$E:$E)</f>
        <v>883394.1378625005</v>
      </c>
      <c r="D79" s="3">
        <f t="shared" si="10"/>
        <v>883406</v>
      </c>
      <c r="E79" s="4">
        <f t="shared" si="11"/>
        <v>11.862137499498203</v>
      </c>
      <c r="F79" s="9">
        <f t="shared" si="8"/>
        <v>1.3427730284261374E-5</v>
      </c>
      <c r="G79" s="5">
        <f t="shared" si="12"/>
        <v>0.99998657226971577</v>
      </c>
      <c r="H79" s="44">
        <v>6344.3719962572295</v>
      </c>
      <c r="I79" s="12">
        <v>7301.9593596009508</v>
      </c>
      <c r="J79" s="12">
        <v>99911.410195493358</v>
      </c>
      <c r="K79" s="12">
        <v>39617.385114651537</v>
      </c>
      <c r="L79" s="12">
        <v>396442.52637849824</v>
      </c>
      <c r="M79" s="12">
        <v>246737.4220105049</v>
      </c>
      <c r="N79" s="12">
        <v>52844.208473017221</v>
      </c>
      <c r="O79" s="12">
        <v>16818.152903044051</v>
      </c>
      <c r="P79" s="45">
        <v>110051.83331667814</v>
      </c>
      <c r="Q79" s="44">
        <f>IFERROR(ROUND(_xlfn.XLOOKUP(Q$7,'Product Tgt'!$B:$B,'Product Tgt'!$G:$G)*H79/H$95,0),0)</f>
        <v>5698</v>
      </c>
      <c r="R79" s="12">
        <f>IFERROR(ROUND(_xlfn.XLOOKUP(R$7,'Product Tgt'!$B:$B,'Product Tgt'!$G:$G)*I79/I$95,0),0)</f>
        <v>6568</v>
      </c>
      <c r="S79" s="12">
        <f>IFERROR(ROUND(_xlfn.XLOOKUP(S$7,'Product Tgt'!$B:$B,'Product Tgt'!$G:$G)*J79/J$95,0),0)</f>
        <v>89941</v>
      </c>
      <c r="T79" s="12">
        <f>IFERROR(ROUND(_xlfn.XLOOKUP(T$7,'Product Tgt'!$B:$B,'Product Tgt'!$G:$G)*K79/K$95,0),0)</f>
        <v>35689</v>
      </c>
      <c r="U79" s="12">
        <f>IFERROR(ROUND(_xlfn.XLOOKUP(U$7,'Product Tgt'!$B:$B,'Product Tgt'!$G:$G)*L79/L$95,0),0)</f>
        <v>356867</v>
      </c>
      <c r="V79" s="12">
        <f>IFERROR(ROUND(_xlfn.XLOOKUP(V$7,'Product Tgt'!$B:$B,'Product Tgt'!$G:$G)*M79/M$95,0),0)</f>
        <v>222076</v>
      </c>
      <c r="W79" s="12">
        <f>IFERROR(ROUND(_xlfn.XLOOKUP(W$7,'Product Tgt'!$B:$B,'Product Tgt'!$G:$G)*N79/N$95,0),0)</f>
        <v>51146</v>
      </c>
      <c r="X79" s="12">
        <f>IFERROR(ROUND(_xlfn.XLOOKUP(X$7,'Product Tgt'!$B:$B,'Product Tgt'!$G:$G)*O79/O$95,0),0)</f>
        <v>16272</v>
      </c>
      <c r="Y79" s="45">
        <f>IFERROR(ROUND(_xlfn.XLOOKUP(Y$7,'Product Tgt'!$B:$B,'Product Tgt'!$G:$G)*P79/P$95,0),0)</f>
        <v>99149</v>
      </c>
      <c r="Z79" s="20">
        <f>ROUND(IFERROR(Q79/_xlfn.XLOOKUP(Z$7,'Product Tgt'!$B:$B,'Product Tgt'!$D:$D),0),0)</f>
        <v>0</v>
      </c>
      <c r="AA79" s="11">
        <f>ROUND(IFERROR(R79/_xlfn.XLOOKUP(AA$7,'Product Tgt'!$B:$B,'Product Tgt'!$D:$D),0),0)</f>
        <v>0</v>
      </c>
      <c r="AB79" s="11">
        <f>ROUND(IFERROR(U79/_xlfn.XLOOKUP(AB$7,'Product Tgt'!$B:$B,'Product Tgt'!$D:$D),0),0)</f>
        <v>0</v>
      </c>
      <c r="AC79" s="11">
        <f>ROUND(IFERROR(V79/_xlfn.XLOOKUP(AC$7,'Product Tgt'!$B:$B,'Product Tgt'!$D:$D),0),0)</f>
        <v>0</v>
      </c>
      <c r="AD79" s="11">
        <f>ROUND(IFERROR(W79/_xlfn.XLOOKUP(AD$7,'Product Tgt'!$B:$B,'Product Tgt'!$D:$D),0),0)</f>
        <v>0</v>
      </c>
      <c r="AE79" s="11">
        <f>ROUND(IFERROR(X79/_xlfn.XLOOKUP(AE$7,'Product Tgt'!$B:$B,'Product Tgt'!$D:$D),0),0)</f>
        <v>0</v>
      </c>
      <c r="AF79" s="11">
        <f>ROUND(IFERROR(Y79/_xlfn.XLOOKUP(AF$7,'Product Tgt'!$B:$B,'Product Tgt'!$D:$D),0),0)</f>
        <v>0</v>
      </c>
      <c r="AG79" s="10">
        <f>IFERROR(Z79*_xlfn.XLOOKUP(AG$7,'Product Tgt'!$B:$B,'Product Tgt'!$D:$D),0)</f>
        <v>0</v>
      </c>
      <c r="AH79">
        <f>IFERROR(AA79*_xlfn.XLOOKUP(AH$7,'Product Tgt'!$B:$B,'Product Tgt'!$D:$D),0)</f>
        <v>0</v>
      </c>
      <c r="AI79">
        <f>IFERROR(AB79*_xlfn.XLOOKUP(AI$7,'Product Tgt'!$B:$B,'Product Tgt'!$D:$D),0)</f>
        <v>0</v>
      </c>
      <c r="AJ79">
        <f>IFERROR(AC79*_xlfn.XLOOKUP(AJ$7,'Product Tgt'!$B:$B,'Product Tgt'!$D:$D),0)</f>
        <v>0</v>
      </c>
      <c r="AK79">
        <f>IFERROR(AD79*_xlfn.XLOOKUP(AK$7,'Product Tgt'!$B:$B,'Product Tgt'!$D:$D),0)</f>
        <v>0</v>
      </c>
      <c r="AL79">
        <f>IFERROR(AE79*_xlfn.XLOOKUP(AL$7,'Product Tgt'!$B:$B,'Product Tgt'!$D:$D),0)</f>
        <v>0</v>
      </c>
      <c r="AM79">
        <f>IFERROR(AF79*_xlfn.XLOOKUP(AM$7,'Product Tgt'!$B:$B,'Product Tgt'!$D:$D),0)</f>
        <v>0</v>
      </c>
    </row>
    <row r="80" spans="1:39" x14ac:dyDescent="0.25">
      <c r="A80" t="s">
        <v>36</v>
      </c>
      <c r="B80" s="7" t="s">
        <v>103</v>
      </c>
      <c r="C80" s="3">
        <f>_xlfn.XLOOKUP($B80,'Terr Target'!$A:$A,'Terr Target'!$E:$E)</f>
        <v>751347.40211740974</v>
      </c>
      <c r="D80" s="3">
        <f t="shared" si="10"/>
        <v>751349</v>
      </c>
      <c r="E80" s="4">
        <f t="shared" si="11"/>
        <v>1.5978825902566314</v>
      </c>
      <c r="F80" s="9">
        <f t="shared" si="8"/>
        <v>2.1266849230605636E-6</v>
      </c>
      <c r="G80" s="5">
        <f t="shared" si="12"/>
        <v>0.99999787331507695</v>
      </c>
      <c r="H80" s="44">
        <v>5957.448390723328</v>
      </c>
      <c r="I80" s="12">
        <v>6256.4245376166937</v>
      </c>
      <c r="J80" s="12">
        <v>77789.774365037214</v>
      </c>
      <c r="K80" s="12">
        <v>36870.202320300785</v>
      </c>
      <c r="L80" s="12">
        <v>388809.87615990406</v>
      </c>
      <c r="M80" s="12">
        <v>228053.63617642908</v>
      </c>
      <c r="N80" s="12">
        <v>37199.051088057458</v>
      </c>
      <c r="O80" s="12">
        <v>8564.2144672029444</v>
      </c>
      <c r="P80" s="45">
        <v>41714.495682649329</v>
      </c>
      <c r="Q80" s="44">
        <f>IFERROR(ROUND(_xlfn.XLOOKUP(Q$7,'Product Tgt'!$B:$B,'Product Tgt'!$G:$G)*H80/H$95,0),0)</f>
        <v>5351</v>
      </c>
      <c r="R80" s="12">
        <f>IFERROR(ROUND(_xlfn.XLOOKUP(R$7,'Product Tgt'!$B:$B,'Product Tgt'!$G:$G)*I80/I$95,0),0)</f>
        <v>5628</v>
      </c>
      <c r="S80" s="12">
        <f>IFERROR(ROUND(_xlfn.XLOOKUP(S$7,'Product Tgt'!$B:$B,'Product Tgt'!$G:$G)*J80/J$95,0),0)</f>
        <v>70027</v>
      </c>
      <c r="T80" s="12">
        <f>IFERROR(ROUND(_xlfn.XLOOKUP(T$7,'Product Tgt'!$B:$B,'Product Tgt'!$G:$G)*K80/K$95,0),0)</f>
        <v>33215</v>
      </c>
      <c r="U80" s="12">
        <f>IFERROR(ROUND(_xlfn.XLOOKUP(U$7,'Product Tgt'!$B:$B,'Product Tgt'!$G:$G)*L80/L$95,0),0)</f>
        <v>349996</v>
      </c>
      <c r="V80" s="12">
        <f>IFERROR(ROUND(_xlfn.XLOOKUP(V$7,'Product Tgt'!$B:$B,'Product Tgt'!$G:$G)*M80/M$95,0),0)</f>
        <v>205260</v>
      </c>
      <c r="W80" s="12">
        <f>IFERROR(ROUND(_xlfn.XLOOKUP(W$7,'Product Tgt'!$B:$B,'Product Tgt'!$G:$G)*N80/N$95,0),0)</f>
        <v>36004</v>
      </c>
      <c r="X80" s="12">
        <f>IFERROR(ROUND(_xlfn.XLOOKUP(X$7,'Product Tgt'!$B:$B,'Product Tgt'!$G:$G)*O80/O$95,0),0)</f>
        <v>8286</v>
      </c>
      <c r="Y80" s="45">
        <f>IFERROR(ROUND(_xlfn.XLOOKUP(Y$7,'Product Tgt'!$B:$B,'Product Tgt'!$G:$G)*P80/P$95,0),0)</f>
        <v>37582</v>
      </c>
      <c r="Z80" s="20">
        <f>ROUND(IFERROR(Q80/_xlfn.XLOOKUP(Z$7,'Product Tgt'!$B:$B,'Product Tgt'!$D:$D),0),0)</f>
        <v>0</v>
      </c>
      <c r="AA80" s="11">
        <f>ROUND(IFERROR(R80/_xlfn.XLOOKUP(AA$7,'Product Tgt'!$B:$B,'Product Tgt'!$D:$D),0),0)</f>
        <v>0</v>
      </c>
      <c r="AB80" s="11">
        <f>ROUND(IFERROR(U80/_xlfn.XLOOKUP(AB$7,'Product Tgt'!$B:$B,'Product Tgt'!$D:$D),0),0)</f>
        <v>0</v>
      </c>
      <c r="AC80" s="11">
        <f>ROUND(IFERROR(V80/_xlfn.XLOOKUP(AC$7,'Product Tgt'!$B:$B,'Product Tgt'!$D:$D),0),0)</f>
        <v>0</v>
      </c>
      <c r="AD80" s="11">
        <f>ROUND(IFERROR(W80/_xlfn.XLOOKUP(AD$7,'Product Tgt'!$B:$B,'Product Tgt'!$D:$D),0),0)</f>
        <v>0</v>
      </c>
      <c r="AE80" s="11">
        <f>ROUND(IFERROR(X80/_xlfn.XLOOKUP(AE$7,'Product Tgt'!$B:$B,'Product Tgt'!$D:$D),0),0)</f>
        <v>0</v>
      </c>
      <c r="AF80" s="11">
        <f>ROUND(IFERROR(Y80/_xlfn.XLOOKUP(AF$7,'Product Tgt'!$B:$B,'Product Tgt'!$D:$D),0),0)</f>
        <v>0</v>
      </c>
      <c r="AG80" s="10">
        <f>IFERROR(Z80*_xlfn.XLOOKUP(AG$7,'Product Tgt'!$B:$B,'Product Tgt'!$D:$D),0)</f>
        <v>0</v>
      </c>
      <c r="AH80">
        <f>IFERROR(AA80*_xlfn.XLOOKUP(AH$7,'Product Tgt'!$B:$B,'Product Tgt'!$D:$D),0)</f>
        <v>0</v>
      </c>
      <c r="AI80">
        <f>IFERROR(AB80*_xlfn.XLOOKUP(AI$7,'Product Tgt'!$B:$B,'Product Tgt'!$D:$D),0)</f>
        <v>0</v>
      </c>
      <c r="AJ80">
        <f>IFERROR(AC80*_xlfn.XLOOKUP(AJ$7,'Product Tgt'!$B:$B,'Product Tgt'!$D:$D),0)</f>
        <v>0</v>
      </c>
      <c r="AK80">
        <f>IFERROR(AD80*_xlfn.XLOOKUP(AK$7,'Product Tgt'!$B:$B,'Product Tgt'!$D:$D),0)</f>
        <v>0</v>
      </c>
      <c r="AL80">
        <f>IFERROR(AE80*_xlfn.XLOOKUP(AL$7,'Product Tgt'!$B:$B,'Product Tgt'!$D:$D),0)</f>
        <v>0</v>
      </c>
      <c r="AM80">
        <f>IFERROR(AF80*_xlfn.XLOOKUP(AM$7,'Product Tgt'!$B:$B,'Product Tgt'!$D:$D),0)</f>
        <v>0</v>
      </c>
    </row>
    <row r="81" spans="1:39" x14ac:dyDescent="0.25">
      <c r="A81" t="s">
        <v>36</v>
      </c>
      <c r="B81" s="7" t="s">
        <v>104</v>
      </c>
      <c r="C81" s="3">
        <f>_xlfn.XLOOKUP($B81,'Terr Target'!$A:$A,'Terr Target'!$E:$E)</f>
        <v>1065103.281555587</v>
      </c>
      <c r="D81" s="3">
        <f t="shared" si="10"/>
        <v>1065107</v>
      </c>
      <c r="E81" s="4">
        <f t="shared" si="11"/>
        <v>3.7184444130398333</v>
      </c>
      <c r="F81" s="9">
        <f t="shared" si="8"/>
        <v>3.4911463477752312E-6</v>
      </c>
      <c r="G81" s="5">
        <f t="shared" si="12"/>
        <v>0.99999650885365221</v>
      </c>
      <c r="H81" s="44">
        <v>13595.739824152346</v>
      </c>
      <c r="I81" s="12">
        <v>10149.647238294385</v>
      </c>
      <c r="J81" s="12">
        <v>122866.2123237065</v>
      </c>
      <c r="K81" s="12">
        <v>48200.499826903586</v>
      </c>
      <c r="L81" s="12">
        <v>536759.93139259517</v>
      </c>
      <c r="M81" s="12">
        <v>305032.27085646399</v>
      </c>
      <c r="N81" s="12">
        <v>53919.523705132051</v>
      </c>
      <c r="O81" s="12">
        <v>15430.372268328927</v>
      </c>
      <c r="P81" s="45">
        <v>72038.657963368882</v>
      </c>
      <c r="Q81" s="44">
        <f>IFERROR(ROUND(_xlfn.XLOOKUP(Q$7,'Product Tgt'!$B:$B,'Product Tgt'!$G:$G)*H81/H$95,0),0)</f>
        <v>12211</v>
      </c>
      <c r="R81" s="12">
        <f>IFERROR(ROUND(_xlfn.XLOOKUP(R$7,'Product Tgt'!$B:$B,'Product Tgt'!$G:$G)*I81/I$95,0),0)</f>
        <v>9130</v>
      </c>
      <c r="S81" s="12">
        <f>IFERROR(ROUND(_xlfn.XLOOKUP(S$7,'Product Tgt'!$B:$B,'Product Tgt'!$G:$G)*J81/J$95,0),0)</f>
        <v>110605</v>
      </c>
      <c r="T81" s="12">
        <f>IFERROR(ROUND(_xlfn.XLOOKUP(T$7,'Product Tgt'!$B:$B,'Product Tgt'!$G:$G)*K81/K$95,0),0)</f>
        <v>43421</v>
      </c>
      <c r="U81" s="12">
        <f>IFERROR(ROUND(_xlfn.XLOOKUP(U$7,'Product Tgt'!$B:$B,'Product Tgt'!$G:$G)*L81/L$95,0),0)</f>
        <v>483177</v>
      </c>
      <c r="V81" s="12">
        <f>IFERROR(ROUND(_xlfn.XLOOKUP(V$7,'Product Tgt'!$B:$B,'Product Tgt'!$G:$G)*M81/M$95,0),0)</f>
        <v>274545</v>
      </c>
      <c r="W81" s="12">
        <f>IFERROR(ROUND(_xlfn.XLOOKUP(W$7,'Product Tgt'!$B:$B,'Product Tgt'!$G:$G)*N81/N$95,0),0)</f>
        <v>52187</v>
      </c>
      <c r="X81" s="12">
        <f>IFERROR(ROUND(_xlfn.XLOOKUP(X$7,'Product Tgt'!$B:$B,'Product Tgt'!$G:$G)*O81/O$95,0),0)</f>
        <v>14929</v>
      </c>
      <c r="Y81" s="45">
        <f>IFERROR(ROUND(_xlfn.XLOOKUP(Y$7,'Product Tgt'!$B:$B,'Product Tgt'!$G:$G)*P81/P$95,0),0)</f>
        <v>64902</v>
      </c>
      <c r="Z81" s="20">
        <f>ROUND(IFERROR(Q81/_xlfn.XLOOKUP(Z$7,'Product Tgt'!$B:$B,'Product Tgt'!$D:$D),0),0)</f>
        <v>0</v>
      </c>
      <c r="AA81" s="11">
        <f>ROUND(IFERROR(R81/_xlfn.XLOOKUP(AA$7,'Product Tgt'!$B:$B,'Product Tgt'!$D:$D),0),0)</f>
        <v>0</v>
      </c>
      <c r="AB81" s="11">
        <f>ROUND(IFERROR(U81/_xlfn.XLOOKUP(AB$7,'Product Tgt'!$B:$B,'Product Tgt'!$D:$D),0),0)</f>
        <v>0</v>
      </c>
      <c r="AC81" s="11">
        <f>ROUND(IFERROR(V81/_xlfn.XLOOKUP(AC$7,'Product Tgt'!$B:$B,'Product Tgt'!$D:$D),0),0)</f>
        <v>0</v>
      </c>
      <c r="AD81" s="11">
        <f>ROUND(IFERROR(W81/_xlfn.XLOOKUP(AD$7,'Product Tgt'!$B:$B,'Product Tgt'!$D:$D),0),0)</f>
        <v>0</v>
      </c>
      <c r="AE81" s="11">
        <f>ROUND(IFERROR(X81/_xlfn.XLOOKUP(AE$7,'Product Tgt'!$B:$B,'Product Tgt'!$D:$D),0),0)</f>
        <v>0</v>
      </c>
      <c r="AF81" s="11">
        <f>ROUND(IFERROR(Y81/_xlfn.XLOOKUP(AF$7,'Product Tgt'!$B:$B,'Product Tgt'!$D:$D),0),0)</f>
        <v>0</v>
      </c>
      <c r="AG81" s="10">
        <f>IFERROR(Z81*_xlfn.XLOOKUP(AG$7,'Product Tgt'!$B:$B,'Product Tgt'!$D:$D),0)</f>
        <v>0</v>
      </c>
      <c r="AH81">
        <f>IFERROR(AA81*_xlfn.XLOOKUP(AH$7,'Product Tgt'!$B:$B,'Product Tgt'!$D:$D),0)</f>
        <v>0</v>
      </c>
      <c r="AI81">
        <f>IFERROR(AB81*_xlfn.XLOOKUP(AI$7,'Product Tgt'!$B:$B,'Product Tgt'!$D:$D),0)</f>
        <v>0</v>
      </c>
      <c r="AJ81">
        <f>IFERROR(AC81*_xlfn.XLOOKUP(AJ$7,'Product Tgt'!$B:$B,'Product Tgt'!$D:$D),0)</f>
        <v>0</v>
      </c>
      <c r="AK81">
        <f>IFERROR(AD81*_xlfn.XLOOKUP(AK$7,'Product Tgt'!$B:$B,'Product Tgt'!$D:$D),0)</f>
        <v>0</v>
      </c>
      <c r="AL81">
        <f>IFERROR(AE81*_xlfn.XLOOKUP(AL$7,'Product Tgt'!$B:$B,'Product Tgt'!$D:$D),0)</f>
        <v>0</v>
      </c>
      <c r="AM81">
        <f>IFERROR(AF81*_xlfn.XLOOKUP(AM$7,'Product Tgt'!$B:$B,'Product Tgt'!$D:$D),0)</f>
        <v>0</v>
      </c>
    </row>
    <row r="82" spans="1:39" x14ac:dyDescent="0.25">
      <c r="A82" t="s">
        <v>36</v>
      </c>
      <c r="B82" s="7" t="s">
        <v>105</v>
      </c>
      <c r="C82" s="3">
        <f>_xlfn.XLOOKUP($B82,'Terr Target'!$A:$A,'Terr Target'!$E:$E)</f>
        <v>341286.13812739687</v>
      </c>
      <c r="D82" s="3">
        <f t="shared" si="10"/>
        <v>341285</v>
      </c>
      <c r="E82" s="4">
        <f t="shared" si="11"/>
        <v>-1.1381273968727328</v>
      </c>
      <c r="F82" s="9">
        <f t="shared" si="8"/>
        <v>3.3348298251394956E-6</v>
      </c>
      <c r="G82" s="5">
        <f t="shared" si="12"/>
        <v>1.0000033348298252</v>
      </c>
      <c r="H82" s="44">
        <v>2643.1453621375108</v>
      </c>
      <c r="I82" s="12">
        <v>1558.2671123597031</v>
      </c>
      <c r="J82" s="12">
        <v>32266.883832973199</v>
      </c>
      <c r="K82" s="12">
        <v>15167.098532534461</v>
      </c>
      <c r="L82" s="12">
        <v>182006.74363991275</v>
      </c>
      <c r="M82" s="12">
        <v>105968.15843821646</v>
      </c>
      <c r="N82" s="12">
        <v>11924.533442791189</v>
      </c>
      <c r="O82" s="12">
        <v>3538.9923263939368</v>
      </c>
      <c r="P82" s="45">
        <v>22886.556569311029</v>
      </c>
      <c r="Q82" s="44">
        <f>IFERROR(ROUND(_xlfn.XLOOKUP(Q$7,'Product Tgt'!$B:$B,'Product Tgt'!$G:$G)*H82/H$95,0),0)</f>
        <v>2374</v>
      </c>
      <c r="R82" s="12">
        <f>IFERROR(ROUND(_xlfn.XLOOKUP(R$7,'Product Tgt'!$B:$B,'Product Tgt'!$G:$G)*I82/I$95,0),0)</f>
        <v>1402</v>
      </c>
      <c r="S82" s="12">
        <f>IFERROR(ROUND(_xlfn.XLOOKUP(S$7,'Product Tgt'!$B:$B,'Product Tgt'!$G:$G)*J82/J$95,0),0)</f>
        <v>29047</v>
      </c>
      <c r="T82" s="12">
        <f>IFERROR(ROUND(_xlfn.XLOOKUP(T$7,'Product Tgt'!$B:$B,'Product Tgt'!$G:$G)*K82/K$95,0),0)</f>
        <v>13663</v>
      </c>
      <c r="U82" s="12">
        <f>IFERROR(ROUND(_xlfn.XLOOKUP(U$7,'Product Tgt'!$B:$B,'Product Tgt'!$G:$G)*L82/L$95,0),0)</f>
        <v>163838</v>
      </c>
      <c r="V82" s="12">
        <f>IFERROR(ROUND(_xlfn.XLOOKUP(V$7,'Product Tgt'!$B:$B,'Product Tgt'!$G:$G)*M82/M$95,0),0)</f>
        <v>95377</v>
      </c>
      <c r="W82" s="12">
        <f>IFERROR(ROUND(_xlfn.XLOOKUP(W$7,'Product Tgt'!$B:$B,'Product Tgt'!$G:$G)*N82/N$95,0),0)</f>
        <v>11541</v>
      </c>
      <c r="X82" s="12">
        <f>IFERROR(ROUND(_xlfn.XLOOKUP(X$7,'Product Tgt'!$B:$B,'Product Tgt'!$G:$G)*O82/O$95,0),0)</f>
        <v>3424</v>
      </c>
      <c r="Y82" s="45">
        <f>IFERROR(ROUND(_xlfn.XLOOKUP(Y$7,'Product Tgt'!$B:$B,'Product Tgt'!$G:$G)*P82/P$95,0),0)</f>
        <v>20619</v>
      </c>
      <c r="Z82" s="20">
        <f>ROUND(IFERROR(Q82/_xlfn.XLOOKUP(Z$7,'Product Tgt'!$B:$B,'Product Tgt'!$D:$D),0),0)</f>
        <v>0</v>
      </c>
      <c r="AA82" s="11">
        <f>ROUND(IFERROR(R82/_xlfn.XLOOKUP(AA$7,'Product Tgt'!$B:$B,'Product Tgt'!$D:$D),0),0)</f>
        <v>0</v>
      </c>
      <c r="AB82" s="11">
        <f>ROUND(IFERROR(U82/_xlfn.XLOOKUP(AB$7,'Product Tgt'!$B:$B,'Product Tgt'!$D:$D),0),0)</f>
        <v>0</v>
      </c>
      <c r="AC82" s="11">
        <f>ROUND(IFERROR(V82/_xlfn.XLOOKUP(AC$7,'Product Tgt'!$B:$B,'Product Tgt'!$D:$D),0),0)</f>
        <v>0</v>
      </c>
      <c r="AD82" s="11">
        <f>ROUND(IFERROR(W82/_xlfn.XLOOKUP(AD$7,'Product Tgt'!$B:$B,'Product Tgt'!$D:$D),0),0)</f>
        <v>0</v>
      </c>
      <c r="AE82" s="11">
        <f>ROUND(IFERROR(X82/_xlfn.XLOOKUP(AE$7,'Product Tgt'!$B:$B,'Product Tgt'!$D:$D),0),0)</f>
        <v>0</v>
      </c>
      <c r="AF82" s="11">
        <f>ROUND(IFERROR(Y82/_xlfn.XLOOKUP(AF$7,'Product Tgt'!$B:$B,'Product Tgt'!$D:$D),0),0)</f>
        <v>0</v>
      </c>
      <c r="AG82" s="10">
        <f>IFERROR(Z82*_xlfn.XLOOKUP(AG$7,'Product Tgt'!$B:$B,'Product Tgt'!$D:$D),0)</f>
        <v>0</v>
      </c>
      <c r="AH82">
        <f>IFERROR(AA82*_xlfn.XLOOKUP(AH$7,'Product Tgt'!$B:$B,'Product Tgt'!$D:$D),0)</f>
        <v>0</v>
      </c>
      <c r="AI82">
        <f>IFERROR(AB82*_xlfn.XLOOKUP(AI$7,'Product Tgt'!$B:$B,'Product Tgt'!$D:$D),0)</f>
        <v>0</v>
      </c>
      <c r="AJ82">
        <f>IFERROR(AC82*_xlfn.XLOOKUP(AJ$7,'Product Tgt'!$B:$B,'Product Tgt'!$D:$D),0)</f>
        <v>0</v>
      </c>
      <c r="AK82">
        <f>IFERROR(AD82*_xlfn.XLOOKUP(AK$7,'Product Tgt'!$B:$B,'Product Tgt'!$D:$D),0)</f>
        <v>0</v>
      </c>
      <c r="AL82">
        <f>IFERROR(AE82*_xlfn.XLOOKUP(AL$7,'Product Tgt'!$B:$B,'Product Tgt'!$D:$D),0)</f>
        <v>0</v>
      </c>
      <c r="AM82">
        <f>IFERROR(AF82*_xlfn.XLOOKUP(AM$7,'Product Tgt'!$B:$B,'Product Tgt'!$D:$D),0)</f>
        <v>0</v>
      </c>
    </row>
    <row r="83" spans="1:39" x14ac:dyDescent="0.25">
      <c r="A83" t="s">
        <v>36</v>
      </c>
      <c r="B83" s="7" t="s">
        <v>106</v>
      </c>
      <c r="C83" s="3">
        <f>_xlfn.XLOOKUP($B83,'Terr Target'!$A:$A,'Terr Target'!$E:$E)</f>
        <v>750709.16112126934</v>
      </c>
      <c r="D83" s="3">
        <f t="shared" si="10"/>
        <v>750713</v>
      </c>
      <c r="E83" s="4">
        <f t="shared" si="11"/>
        <v>3.8388787306612357</v>
      </c>
      <c r="F83" s="9">
        <f t="shared" si="8"/>
        <v>5.1136436036957346E-6</v>
      </c>
      <c r="G83" s="5">
        <f t="shared" si="12"/>
        <v>0.99999488635639633</v>
      </c>
      <c r="H83" s="44">
        <v>4958.7015967531279</v>
      </c>
      <c r="I83" s="12">
        <v>5796.1362451629702</v>
      </c>
      <c r="J83" s="12">
        <v>65348.693483043789</v>
      </c>
      <c r="K83" s="12">
        <v>33892.923632357393</v>
      </c>
      <c r="L83" s="12">
        <v>394960.77855116245</v>
      </c>
      <c r="M83" s="12">
        <v>212441.52767511184</v>
      </c>
      <c r="N83" s="12">
        <v>38825.6624465407</v>
      </c>
      <c r="O83" s="12">
        <v>11287.844374304163</v>
      </c>
      <c r="P83" s="45">
        <v>62651.392220288246</v>
      </c>
      <c r="Q83" s="44">
        <f>IFERROR(ROUND(_xlfn.XLOOKUP(Q$7,'Product Tgt'!$B:$B,'Product Tgt'!$G:$G)*H83/H$95,0),0)</f>
        <v>4454</v>
      </c>
      <c r="R83" s="12">
        <f>IFERROR(ROUND(_xlfn.XLOOKUP(R$7,'Product Tgt'!$B:$B,'Product Tgt'!$G:$G)*I83/I$95,0),0)</f>
        <v>5214</v>
      </c>
      <c r="S83" s="12">
        <f>IFERROR(ROUND(_xlfn.XLOOKUP(S$7,'Product Tgt'!$B:$B,'Product Tgt'!$G:$G)*J83/J$95,0),0)</f>
        <v>58828</v>
      </c>
      <c r="T83" s="12">
        <f>IFERROR(ROUND(_xlfn.XLOOKUP(T$7,'Product Tgt'!$B:$B,'Product Tgt'!$G:$G)*K83/K$95,0),0)</f>
        <v>30532</v>
      </c>
      <c r="U83" s="12">
        <f>IFERROR(ROUND(_xlfn.XLOOKUP(U$7,'Product Tgt'!$B:$B,'Product Tgt'!$G:$G)*L83/L$95,0),0)</f>
        <v>355533</v>
      </c>
      <c r="V83" s="12">
        <f>IFERROR(ROUND(_xlfn.XLOOKUP(V$7,'Product Tgt'!$B:$B,'Product Tgt'!$G:$G)*M83/M$95,0),0)</f>
        <v>191208</v>
      </c>
      <c r="W83" s="12">
        <f>IFERROR(ROUND(_xlfn.XLOOKUP(W$7,'Product Tgt'!$B:$B,'Product Tgt'!$G:$G)*N83/N$95,0),0)</f>
        <v>37578</v>
      </c>
      <c r="X83" s="12">
        <f>IFERROR(ROUND(_xlfn.XLOOKUP(X$7,'Product Tgt'!$B:$B,'Product Tgt'!$G:$G)*O83/O$95,0),0)</f>
        <v>10921</v>
      </c>
      <c r="Y83" s="45">
        <f>IFERROR(ROUND(_xlfn.XLOOKUP(Y$7,'Product Tgt'!$B:$B,'Product Tgt'!$G:$G)*P83/P$95,0),0)</f>
        <v>56445</v>
      </c>
      <c r="Z83" s="20">
        <f>ROUND(IFERROR(Q83/_xlfn.XLOOKUP(Z$7,'Product Tgt'!$B:$B,'Product Tgt'!$D:$D),0),0)</f>
        <v>0</v>
      </c>
      <c r="AA83" s="11">
        <f>ROUND(IFERROR(R83/_xlfn.XLOOKUP(AA$7,'Product Tgt'!$B:$B,'Product Tgt'!$D:$D),0),0)</f>
        <v>0</v>
      </c>
      <c r="AB83" s="11">
        <f>ROUND(IFERROR(U83/_xlfn.XLOOKUP(AB$7,'Product Tgt'!$B:$B,'Product Tgt'!$D:$D),0),0)</f>
        <v>0</v>
      </c>
      <c r="AC83" s="11">
        <f>ROUND(IFERROR(V83/_xlfn.XLOOKUP(AC$7,'Product Tgt'!$B:$B,'Product Tgt'!$D:$D),0),0)</f>
        <v>0</v>
      </c>
      <c r="AD83" s="11">
        <f>ROUND(IFERROR(W83/_xlfn.XLOOKUP(AD$7,'Product Tgt'!$B:$B,'Product Tgt'!$D:$D),0),0)</f>
        <v>0</v>
      </c>
      <c r="AE83" s="11">
        <f>ROUND(IFERROR(X83/_xlfn.XLOOKUP(AE$7,'Product Tgt'!$B:$B,'Product Tgt'!$D:$D),0),0)</f>
        <v>0</v>
      </c>
      <c r="AF83" s="11">
        <f>ROUND(IFERROR(Y83/_xlfn.XLOOKUP(AF$7,'Product Tgt'!$B:$B,'Product Tgt'!$D:$D),0),0)</f>
        <v>0</v>
      </c>
      <c r="AG83" s="10">
        <f>IFERROR(Z83*_xlfn.XLOOKUP(AG$7,'Product Tgt'!$B:$B,'Product Tgt'!$D:$D),0)</f>
        <v>0</v>
      </c>
      <c r="AH83">
        <f>IFERROR(AA83*_xlfn.XLOOKUP(AH$7,'Product Tgt'!$B:$B,'Product Tgt'!$D:$D),0)</f>
        <v>0</v>
      </c>
      <c r="AI83">
        <f>IFERROR(AB83*_xlfn.XLOOKUP(AI$7,'Product Tgt'!$B:$B,'Product Tgt'!$D:$D),0)</f>
        <v>0</v>
      </c>
      <c r="AJ83">
        <f>IFERROR(AC83*_xlfn.XLOOKUP(AJ$7,'Product Tgt'!$B:$B,'Product Tgt'!$D:$D),0)</f>
        <v>0</v>
      </c>
      <c r="AK83">
        <f>IFERROR(AD83*_xlfn.XLOOKUP(AK$7,'Product Tgt'!$B:$B,'Product Tgt'!$D:$D),0)</f>
        <v>0</v>
      </c>
      <c r="AL83">
        <f>IFERROR(AE83*_xlfn.XLOOKUP(AL$7,'Product Tgt'!$B:$B,'Product Tgt'!$D:$D),0)</f>
        <v>0</v>
      </c>
      <c r="AM83">
        <f>IFERROR(AF83*_xlfn.XLOOKUP(AM$7,'Product Tgt'!$B:$B,'Product Tgt'!$D:$D),0)</f>
        <v>0</v>
      </c>
    </row>
    <row r="84" spans="1:39" x14ac:dyDescent="0.25">
      <c r="A84" t="s">
        <v>44</v>
      </c>
      <c r="B84" s="7" t="s">
        <v>107</v>
      </c>
      <c r="C84" s="3">
        <f>_xlfn.XLOOKUP($B84,'Terr Target'!$A:$A,'Terr Target'!$E:$E)</f>
        <v>600892.23121182923</v>
      </c>
      <c r="D84" s="3">
        <f t="shared" si="10"/>
        <v>600880</v>
      </c>
      <c r="E84" s="4">
        <f t="shared" si="11"/>
        <v>-12.231211829232052</v>
      </c>
      <c r="F84" s="9">
        <f t="shared" si="8"/>
        <v>2.0355498317853901E-5</v>
      </c>
      <c r="G84" s="5">
        <f t="shared" si="12"/>
        <v>1.0000203554983178</v>
      </c>
      <c r="H84" s="44">
        <v>11881.780166542347</v>
      </c>
      <c r="I84" s="12">
        <v>17763.165849328292</v>
      </c>
      <c r="J84" s="12">
        <v>34453.188174243864</v>
      </c>
      <c r="K84" s="12">
        <v>19410.850515105096</v>
      </c>
      <c r="L84" s="12">
        <v>344403.67370946321</v>
      </c>
      <c r="M84" s="12">
        <v>204899.07402051723</v>
      </c>
      <c r="N84" s="12">
        <v>12828.920266956886</v>
      </c>
      <c r="O84" s="12">
        <v>3514.4673800899718</v>
      </c>
      <c r="P84" s="45">
        <v>17168.78322716921</v>
      </c>
      <c r="Q84" s="44">
        <f>IFERROR(ROUND(_xlfn.XLOOKUP(Q$7,'Product Tgt'!$B:$B,'Product Tgt'!$G:$G)*H84/H$95,0),0)</f>
        <v>10672</v>
      </c>
      <c r="R84" s="12">
        <f>IFERROR(ROUND(_xlfn.XLOOKUP(R$7,'Product Tgt'!$B:$B,'Product Tgt'!$G:$G)*I84/I$95,0),0)</f>
        <v>15979</v>
      </c>
      <c r="S84" s="12">
        <f>IFERROR(ROUND(_xlfn.XLOOKUP(S$7,'Product Tgt'!$B:$B,'Product Tgt'!$G:$G)*J84/J$95,0),0)</f>
        <v>31015</v>
      </c>
      <c r="T84" s="12">
        <f>IFERROR(ROUND(_xlfn.XLOOKUP(T$7,'Product Tgt'!$B:$B,'Product Tgt'!$G:$G)*K84/K$95,0),0)</f>
        <v>17486</v>
      </c>
      <c r="U84" s="12">
        <f>IFERROR(ROUND(_xlfn.XLOOKUP(U$7,'Product Tgt'!$B:$B,'Product Tgt'!$G:$G)*L84/L$95,0),0)</f>
        <v>310023</v>
      </c>
      <c r="V84" s="12">
        <f>IFERROR(ROUND(_xlfn.XLOOKUP(V$7,'Product Tgt'!$B:$B,'Product Tgt'!$G:$G)*M84/M$95,0),0)</f>
        <v>184420</v>
      </c>
      <c r="W84" s="12">
        <f>IFERROR(ROUND(_xlfn.XLOOKUP(W$7,'Product Tgt'!$B:$B,'Product Tgt'!$G:$G)*N84/N$95,0),0)</f>
        <v>12417</v>
      </c>
      <c r="X84" s="12">
        <f>IFERROR(ROUND(_xlfn.XLOOKUP(X$7,'Product Tgt'!$B:$B,'Product Tgt'!$G:$G)*O84/O$95,0),0)</f>
        <v>3400</v>
      </c>
      <c r="Y84" s="45">
        <f>IFERROR(ROUND(_xlfn.XLOOKUP(Y$7,'Product Tgt'!$B:$B,'Product Tgt'!$G:$G)*P84/P$95,0),0)</f>
        <v>15468</v>
      </c>
      <c r="Z84" s="20">
        <f>ROUND(IFERROR(Q84/_xlfn.XLOOKUP(Z$7,'Product Tgt'!$B:$B,'Product Tgt'!$D:$D),0),0)</f>
        <v>0</v>
      </c>
      <c r="AA84" s="11">
        <f>ROUND(IFERROR(R84/_xlfn.XLOOKUP(AA$7,'Product Tgt'!$B:$B,'Product Tgt'!$D:$D),0),0)</f>
        <v>0</v>
      </c>
      <c r="AB84" s="11">
        <f>ROUND(IFERROR(U84/_xlfn.XLOOKUP(AB$7,'Product Tgt'!$B:$B,'Product Tgt'!$D:$D),0),0)</f>
        <v>0</v>
      </c>
      <c r="AC84" s="11">
        <f>ROUND(IFERROR(V84/_xlfn.XLOOKUP(AC$7,'Product Tgt'!$B:$B,'Product Tgt'!$D:$D),0),0)</f>
        <v>0</v>
      </c>
      <c r="AD84" s="11">
        <f>ROUND(IFERROR(W84/_xlfn.XLOOKUP(AD$7,'Product Tgt'!$B:$B,'Product Tgt'!$D:$D),0),0)</f>
        <v>0</v>
      </c>
      <c r="AE84" s="11">
        <f>ROUND(IFERROR(X84/_xlfn.XLOOKUP(AE$7,'Product Tgt'!$B:$B,'Product Tgt'!$D:$D),0),0)</f>
        <v>0</v>
      </c>
      <c r="AF84" s="11">
        <f>ROUND(IFERROR(Y84/_xlfn.XLOOKUP(AF$7,'Product Tgt'!$B:$B,'Product Tgt'!$D:$D),0),0)</f>
        <v>0</v>
      </c>
      <c r="AG84" s="10">
        <f>IFERROR(Z84*_xlfn.XLOOKUP(AG$7,'Product Tgt'!$B:$B,'Product Tgt'!$D:$D),0)</f>
        <v>0</v>
      </c>
      <c r="AH84">
        <f>IFERROR(AA84*_xlfn.XLOOKUP(AH$7,'Product Tgt'!$B:$B,'Product Tgt'!$D:$D),0)</f>
        <v>0</v>
      </c>
      <c r="AI84">
        <f>IFERROR(AB84*_xlfn.XLOOKUP(AI$7,'Product Tgt'!$B:$B,'Product Tgt'!$D:$D),0)</f>
        <v>0</v>
      </c>
      <c r="AJ84">
        <f>IFERROR(AC84*_xlfn.XLOOKUP(AJ$7,'Product Tgt'!$B:$B,'Product Tgt'!$D:$D),0)</f>
        <v>0</v>
      </c>
      <c r="AK84">
        <f>IFERROR(AD84*_xlfn.XLOOKUP(AK$7,'Product Tgt'!$B:$B,'Product Tgt'!$D:$D),0)</f>
        <v>0</v>
      </c>
      <c r="AL84">
        <f>IFERROR(AE84*_xlfn.XLOOKUP(AL$7,'Product Tgt'!$B:$B,'Product Tgt'!$D:$D),0)</f>
        <v>0</v>
      </c>
      <c r="AM84">
        <f>IFERROR(AF84*_xlfn.XLOOKUP(AM$7,'Product Tgt'!$B:$B,'Product Tgt'!$D:$D),0)</f>
        <v>0</v>
      </c>
    </row>
    <row r="85" spans="1:39" x14ac:dyDescent="0.25">
      <c r="A85" t="s">
        <v>44</v>
      </c>
      <c r="B85" s="7" t="s">
        <v>108</v>
      </c>
      <c r="C85" s="3">
        <f>_xlfn.XLOOKUP($B85,'Terr Target'!$A:$A,'Terr Target'!$E:$E)</f>
        <v>808535.97688230826</v>
      </c>
      <c r="D85" s="3">
        <f t="shared" si="10"/>
        <v>808523</v>
      </c>
      <c r="E85" s="4">
        <f t="shared" si="11"/>
        <v>-12.976882308255881</v>
      </c>
      <c r="F85" s="9">
        <f t="shared" si="8"/>
        <v>1.6050109036175695E-5</v>
      </c>
      <c r="G85" s="5">
        <f t="shared" si="12"/>
        <v>1.0000160501090363</v>
      </c>
      <c r="H85" s="44">
        <v>11124.921330322881</v>
      </c>
      <c r="I85" s="12">
        <v>16452.130186140625</v>
      </c>
      <c r="J85" s="12">
        <v>38956.537642649761</v>
      </c>
      <c r="K85" s="12">
        <v>21656.16866734947</v>
      </c>
      <c r="L85" s="12">
        <v>475977.52810730546</v>
      </c>
      <c r="M85" s="12">
        <v>275847.90735024243</v>
      </c>
      <c r="N85" s="12">
        <v>21227.706855935467</v>
      </c>
      <c r="O85" s="12">
        <v>5154.9746803927728</v>
      </c>
      <c r="P85" s="45">
        <v>29836.650905047478</v>
      </c>
      <c r="Q85" s="44">
        <f>IFERROR(ROUND(_xlfn.XLOOKUP(Q$7,'Product Tgt'!$B:$B,'Product Tgt'!$G:$G)*H85/H$95,0),0)</f>
        <v>9992</v>
      </c>
      <c r="R85" s="12">
        <f>IFERROR(ROUND(_xlfn.XLOOKUP(R$7,'Product Tgt'!$B:$B,'Product Tgt'!$G:$G)*I85/I$95,0),0)</f>
        <v>14799</v>
      </c>
      <c r="S85" s="12">
        <f>IFERROR(ROUND(_xlfn.XLOOKUP(S$7,'Product Tgt'!$B:$B,'Product Tgt'!$G:$G)*J85/J$95,0),0)</f>
        <v>35069</v>
      </c>
      <c r="T85" s="12">
        <f>IFERROR(ROUND(_xlfn.XLOOKUP(T$7,'Product Tgt'!$B:$B,'Product Tgt'!$G:$G)*K85/K$95,0),0)</f>
        <v>19509</v>
      </c>
      <c r="U85" s="12">
        <f>IFERROR(ROUND(_xlfn.XLOOKUP(U$7,'Product Tgt'!$B:$B,'Product Tgt'!$G:$G)*L85/L$95,0),0)</f>
        <v>428463</v>
      </c>
      <c r="V85" s="12">
        <f>IFERROR(ROUND(_xlfn.XLOOKUP(V$7,'Product Tgt'!$B:$B,'Product Tgt'!$G:$G)*M85/M$95,0),0)</f>
        <v>248277</v>
      </c>
      <c r="W85" s="12">
        <f>IFERROR(ROUND(_xlfn.XLOOKUP(W$7,'Product Tgt'!$B:$B,'Product Tgt'!$G:$G)*N85/N$95,0),0)</f>
        <v>20546</v>
      </c>
      <c r="X85" s="12">
        <f>IFERROR(ROUND(_xlfn.XLOOKUP(X$7,'Product Tgt'!$B:$B,'Product Tgt'!$G:$G)*O85/O$95,0),0)</f>
        <v>4987</v>
      </c>
      <c r="Y85" s="45">
        <f>IFERROR(ROUND(_xlfn.XLOOKUP(Y$7,'Product Tgt'!$B:$B,'Product Tgt'!$G:$G)*P85/P$95,0),0)</f>
        <v>26881</v>
      </c>
      <c r="Z85" s="20">
        <f>ROUND(IFERROR(Q85/_xlfn.XLOOKUP(Z$7,'Product Tgt'!$B:$B,'Product Tgt'!$D:$D),0),0)</f>
        <v>0</v>
      </c>
      <c r="AA85" s="11">
        <f>ROUND(IFERROR(R85/_xlfn.XLOOKUP(AA$7,'Product Tgt'!$B:$B,'Product Tgt'!$D:$D),0),0)</f>
        <v>0</v>
      </c>
      <c r="AB85" s="11">
        <f>ROUND(IFERROR(U85/_xlfn.XLOOKUP(AB$7,'Product Tgt'!$B:$B,'Product Tgt'!$D:$D),0),0)</f>
        <v>0</v>
      </c>
      <c r="AC85" s="11">
        <f>ROUND(IFERROR(V85/_xlfn.XLOOKUP(AC$7,'Product Tgt'!$B:$B,'Product Tgt'!$D:$D),0),0)</f>
        <v>0</v>
      </c>
      <c r="AD85" s="11">
        <f>ROUND(IFERROR(W85/_xlfn.XLOOKUP(AD$7,'Product Tgt'!$B:$B,'Product Tgt'!$D:$D),0),0)</f>
        <v>0</v>
      </c>
      <c r="AE85" s="11">
        <f>ROUND(IFERROR(X85/_xlfn.XLOOKUP(AE$7,'Product Tgt'!$B:$B,'Product Tgt'!$D:$D),0),0)</f>
        <v>0</v>
      </c>
      <c r="AF85" s="11">
        <f>ROUND(IFERROR(Y85/_xlfn.XLOOKUP(AF$7,'Product Tgt'!$B:$B,'Product Tgt'!$D:$D),0),0)</f>
        <v>0</v>
      </c>
      <c r="AG85" s="10">
        <f>IFERROR(Z85*_xlfn.XLOOKUP(AG$7,'Product Tgt'!$B:$B,'Product Tgt'!$D:$D),0)</f>
        <v>0</v>
      </c>
      <c r="AH85">
        <f>IFERROR(AA85*_xlfn.XLOOKUP(AH$7,'Product Tgt'!$B:$B,'Product Tgt'!$D:$D),0)</f>
        <v>0</v>
      </c>
      <c r="AI85">
        <f>IFERROR(AB85*_xlfn.XLOOKUP(AI$7,'Product Tgt'!$B:$B,'Product Tgt'!$D:$D),0)</f>
        <v>0</v>
      </c>
      <c r="AJ85">
        <f>IFERROR(AC85*_xlfn.XLOOKUP(AJ$7,'Product Tgt'!$B:$B,'Product Tgt'!$D:$D),0)</f>
        <v>0</v>
      </c>
      <c r="AK85">
        <f>IFERROR(AD85*_xlfn.XLOOKUP(AK$7,'Product Tgt'!$B:$B,'Product Tgt'!$D:$D),0)</f>
        <v>0</v>
      </c>
      <c r="AL85">
        <f>IFERROR(AE85*_xlfn.XLOOKUP(AL$7,'Product Tgt'!$B:$B,'Product Tgt'!$D:$D),0)</f>
        <v>0</v>
      </c>
      <c r="AM85">
        <f>IFERROR(AF85*_xlfn.XLOOKUP(AM$7,'Product Tgt'!$B:$B,'Product Tgt'!$D:$D),0)</f>
        <v>0</v>
      </c>
    </row>
    <row r="86" spans="1:39" x14ac:dyDescent="0.25">
      <c r="A86" t="s">
        <v>44</v>
      </c>
      <c r="B86" s="7" t="s">
        <v>109</v>
      </c>
      <c r="C86" s="3">
        <f>_xlfn.XLOOKUP($B86,'Terr Target'!$A:$A,'Terr Target'!$E:$E)</f>
        <v>653601.67827227106</v>
      </c>
      <c r="D86" s="3">
        <f t="shared" si="10"/>
        <v>653592</v>
      </c>
      <c r="E86" s="4">
        <f t="shared" si="11"/>
        <v>-9.6782722710631788</v>
      </c>
      <c r="F86" s="9">
        <f t="shared" si="8"/>
        <v>1.4807819359880749E-5</v>
      </c>
      <c r="G86" s="5">
        <f t="shared" si="12"/>
        <v>1.0000148078193598</v>
      </c>
      <c r="H86" s="44">
        <v>7424.3660768299824</v>
      </c>
      <c r="I86" s="12">
        <v>18191.800675679326</v>
      </c>
      <c r="J86" s="12">
        <v>54725.321927644865</v>
      </c>
      <c r="K86" s="12">
        <v>22404.384585147694</v>
      </c>
      <c r="L86" s="12">
        <v>363591.93409772374</v>
      </c>
      <c r="M86" s="12">
        <v>210467.31403847641</v>
      </c>
      <c r="N86" s="12">
        <v>16213.889845320498</v>
      </c>
      <c r="O86" s="12">
        <v>4124.5454138764344</v>
      </c>
      <c r="P86" s="45">
        <v>27418.58163774075</v>
      </c>
      <c r="Q86" s="44">
        <f>IFERROR(ROUND(_xlfn.XLOOKUP(Q$7,'Product Tgt'!$B:$B,'Product Tgt'!$G:$G)*H86/H$95,0),0)</f>
        <v>6668</v>
      </c>
      <c r="R86" s="12">
        <f>IFERROR(ROUND(_xlfn.XLOOKUP(R$7,'Product Tgt'!$B:$B,'Product Tgt'!$G:$G)*I86/I$95,0),0)</f>
        <v>16364</v>
      </c>
      <c r="S86" s="12">
        <f>IFERROR(ROUND(_xlfn.XLOOKUP(S$7,'Product Tgt'!$B:$B,'Product Tgt'!$G:$G)*J86/J$95,0),0)</f>
        <v>49264</v>
      </c>
      <c r="T86" s="12">
        <f>IFERROR(ROUND(_xlfn.XLOOKUP(T$7,'Product Tgt'!$B:$B,'Product Tgt'!$G:$G)*K86/K$95,0),0)</f>
        <v>20183</v>
      </c>
      <c r="U86" s="12">
        <f>IFERROR(ROUND(_xlfn.XLOOKUP(U$7,'Product Tgt'!$B:$B,'Product Tgt'!$G:$G)*L86/L$95,0),0)</f>
        <v>327296</v>
      </c>
      <c r="V86" s="12">
        <f>IFERROR(ROUND(_xlfn.XLOOKUP(V$7,'Product Tgt'!$B:$B,'Product Tgt'!$G:$G)*M86/M$95,0),0)</f>
        <v>189431</v>
      </c>
      <c r="W86" s="12">
        <f>IFERROR(ROUND(_xlfn.XLOOKUP(W$7,'Product Tgt'!$B:$B,'Product Tgt'!$G:$G)*N86/N$95,0),0)</f>
        <v>15693</v>
      </c>
      <c r="X86" s="12">
        <f>IFERROR(ROUND(_xlfn.XLOOKUP(X$7,'Product Tgt'!$B:$B,'Product Tgt'!$G:$G)*O86/O$95,0),0)</f>
        <v>3991</v>
      </c>
      <c r="Y86" s="45">
        <f>IFERROR(ROUND(_xlfn.XLOOKUP(Y$7,'Product Tgt'!$B:$B,'Product Tgt'!$G:$G)*P86/P$95,0),0)</f>
        <v>24702</v>
      </c>
      <c r="Z86" s="20">
        <f>ROUND(IFERROR(Q86/_xlfn.XLOOKUP(Z$7,'Product Tgt'!$B:$B,'Product Tgt'!$D:$D),0),0)</f>
        <v>0</v>
      </c>
      <c r="AA86" s="11">
        <f>ROUND(IFERROR(R86/_xlfn.XLOOKUP(AA$7,'Product Tgt'!$B:$B,'Product Tgt'!$D:$D),0),0)</f>
        <v>0</v>
      </c>
      <c r="AB86" s="11">
        <f>ROUND(IFERROR(U86/_xlfn.XLOOKUP(AB$7,'Product Tgt'!$B:$B,'Product Tgt'!$D:$D),0),0)</f>
        <v>0</v>
      </c>
      <c r="AC86" s="11">
        <f>ROUND(IFERROR(V86/_xlfn.XLOOKUP(AC$7,'Product Tgt'!$B:$B,'Product Tgt'!$D:$D),0),0)</f>
        <v>0</v>
      </c>
      <c r="AD86" s="11">
        <f>ROUND(IFERROR(W86/_xlfn.XLOOKUP(AD$7,'Product Tgt'!$B:$B,'Product Tgt'!$D:$D),0),0)</f>
        <v>0</v>
      </c>
      <c r="AE86" s="11">
        <f>ROUND(IFERROR(X86/_xlfn.XLOOKUP(AE$7,'Product Tgt'!$B:$B,'Product Tgt'!$D:$D),0),0)</f>
        <v>0</v>
      </c>
      <c r="AF86" s="11">
        <f>ROUND(IFERROR(Y86/_xlfn.XLOOKUP(AF$7,'Product Tgt'!$B:$B,'Product Tgt'!$D:$D),0),0)</f>
        <v>0</v>
      </c>
      <c r="AG86" s="10">
        <f>IFERROR(Z86*_xlfn.XLOOKUP(AG$7,'Product Tgt'!$B:$B,'Product Tgt'!$D:$D),0)</f>
        <v>0</v>
      </c>
      <c r="AH86">
        <f>IFERROR(AA86*_xlfn.XLOOKUP(AH$7,'Product Tgt'!$B:$B,'Product Tgt'!$D:$D),0)</f>
        <v>0</v>
      </c>
      <c r="AI86">
        <f>IFERROR(AB86*_xlfn.XLOOKUP(AI$7,'Product Tgt'!$B:$B,'Product Tgt'!$D:$D),0)</f>
        <v>0</v>
      </c>
      <c r="AJ86">
        <f>IFERROR(AC86*_xlfn.XLOOKUP(AJ$7,'Product Tgt'!$B:$B,'Product Tgt'!$D:$D),0)</f>
        <v>0</v>
      </c>
      <c r="AK86">
        <f>IFERROR(AD86*_xlfn.XLOOKUP(AK$7,'Product Tgt'!$B:$B,'Product Tgt'!$D:$D),0)</f>
        <v>0</v>
      </c>
      <c r="AL86">
        <f>IFERROR(AE86*_xlfn.XLOOKUP(AL$7,'Product Tgt'!$B:$B,'Product Tgt'!$D:$D),0)</f>
        <v>0</v>
      </c>
      <c r="AM86">
        <f>IFERROR(AF86*_xlfn.XLOOKUP(AM$7,'Product Tgt'!$B:$B,'Product Tgt'!$D:$D),0)</f>
        <v>0</v>
      </c>
    </row>
    <row r="87" spans="1:39" x14ac:dyDescent="0.25">
      <c r="A87" t="s">
        <v>44</v>
      </c>
      <c r="B87" s="7" t="s">
        <v>110</v>
      </c>
      <c r="C87" s="3">
        <f>_xlfn.XLOOKUP($B87,'Terr Target'!$A:$A,'Terr Target'!$E:$E)</f>
        <v>625301.40326723421</v>
      </c>
      <c r="D87" s="3">
        <f t="shared" si="10"/>
        <v>625295</v>
      </c>
      <c r="E87" s="4">
        <f t="shared" si="11"/>
        <v>-6.4032672342145815</v>
      </c>
      <c r="F87" s="9">
        <f t="shared" si="8"/>
        <v>1.0240394108724012E-5</v>
      </c>
      <c r="G87" s="5">
        <f t="shared" si="12"/>
        <v>1.0000102403941087</v>
      </c>
      <c r="H87" s="44">
        <v>11087.976271164147</v>
      </c>
      <c r="I87" s="12">
        <v>12517.196278194346</v>
      </c>
      <c r="J87" s="12">
        <v>39325.170567766094</v>
      </c>
      <c r="K87" s="12">
        <v>18025.734516299177</v>
      </c>
      <c r="L87" s="12">
        <v>352195.73703521438</v>
      </c>
      <c r="M87" s="12">
        <v>198530.57887755186</v>
      </c>
      <c r="N87" s="12">
        <v>19626.627508218451</v>
      </c>
      <c r="O87" s="12">
        <v>5177.3813448231522</v>
      </c>
      <c r="P87" s="45">
        <v>36303.010941230561</v>
      </c>
      <c r="Q87" s="44">
        <f>IFERROR(ROUND(_xlfn.XLOOKUP(Q$7,'Product Tgt'!$B:$B,'Product Tgt'!$G:$G)*H87/H$95,0),0)</f>
        <v>9959</v>
      </c>
      <c r="R87" s="12">
        <f>IFERROR(ROUND(_xlfn.XLOOKUP(R$7,'Product Tgt'!$B:$B,'Product Tgt'!$G:$G)*I87/I$95,0),0)</f>
        <v>11260</v>
      </c>
      <c r="S87" s="12">
        <f>IFERROR(ROUND(_xlfn.XLOOKUP(S$7,'Product Tgt'!$B:$B,'Product Tgt'!$G:$G)*J87/J$95,0),0)</f>
        <v>35401</v>
      </c>
      <c r="T87" s="12">
        <f>IFERROR(ROUND(_xlfn.XLOOKUP(T$7,'Product Tgt'!$B:$B,'Product Tgt'!$G:$G)*K87/K$95,0),0)</f>
        <v>16238</v>
      </c>
      <c r="U87" s="12">
        <f>IFERROR(ROUND(_xlfn.XLOOKUP(U$7,'Product Tgt'!$B:$B,'Product Tgt'!$G:$G)*L87/L$95,0),0)</f>
        <v>317037</v>
      </c>
      <c r="V87" s="12">
        <f>IFERROR(ROUND(_xlfn.XLOOKUP(V$7,'Product Tgt'!$B:$B,'Product Tgt'!$G:$G)*M87/M$95,0),0)</f>
        <v>178688</v>
      </c>
      <c r="W87" s="12">
        <f>IFERROR(ROUND(_xlfn.XLOOKUP(W$7,'Product Tgt'!$B:$B,'Product Tgt'!$G:$G)*N87/N$95,0),0)</f>
        <v>18996</v>
      </c>
      <c r="X87" s="12">
        <f>IFERROR(ROUND(_xlfn.XLOOKUP(X$7,'Product Tgt'!$B:$B,'Product Tgt'!$G:$G)*O87/O$95,0),0)</f>
        <v>5009</v>
      </c>
      <c r="Y87" s="45">
        <f>IFERROR(ROUND(_xlfn.XLOOKUP(Y$7,'Product Tgt'!$B:$B,'Product Tgt'!$G:$G)*P87/P$95,0),0)</f>
        <v>32707</v>
      </c>
      <c r="Z87" s="20">
        <f>ROUND(IFERROR(Q87/_xlfn.XLOOKUP(Z$7,'Product Tgt'!$B:$B,'Product Tgt'!$D:$D),0),0)</f>
        <v>0</v>
      </c>
      <c r="AA87" s="11">
        <f>ROUND(IFERROR(R87/_xlfn.XLOOKUP(AA$7,'Product Tgt'!$B:$B,'Product Tgt'!$D:$D),0),0)</f>
        <v>0</v>
      </c>
      <c r="AB87" s="11">
        <f>ROUND(IFERROR(U87/_xlfn.XLOOKUP(AB$7,'Product Tgt'!$B:$B,'Product Tgt'!$D:$D),0),0)</f>
        <v>0</v>
      </c>
      <c r="AC87" s="11">
        <f>ROUND(IFERROR(V87/_xlfn.XLOOKUP(AC$7,'Product Tgt'!$B:$B,'Product Tgt'!$D:$D),0),0)</f>
        <v>0</v>
      </c>
      <c r="AD87" s="11">
        <f>ROUND(IFERROR(W87/_xlfn.XLOOKUP(AD$7,'Product Tgt'!$B:$B,'Product Tgt'!$D:$D),0),0)</f>
        <v>0</v>
      </c>
      <c r="AE87" s="11">
        <f>ROUND(IFERROR(X87/_xlfn.XLOOKUP(AE$7,'Product Tgt'!$B:$B,'Product Tgt'!$D:$D),0),0)</f>
        <v>0</v>
      </c>
      <c r="AF87" s="11">
        <f>ROUND(IFERROR(Y87/_xlfn.XLOOKUP(AF$7,'Product Tgt'!$B:$B,'Product Tgt'!$D:$D),0),0)</f>
        <v>0</v>
      </c>
      <c r="AG87" s="10">
        <f>IFERROR(Z87*_xlfn.XLOOKUP(AG$7,'Product Tgt'!$B:$B,'Product Tgt'!$D:$D),0)</f>
        <v>0</v>
      </c>
      <c r="AH87">
        <f>IFERROR(AA87*_xlfn.XLOOKUP(AH$7,'Product Tgt'!$B:$B,'Product Tgt'!$D:$D),0)</f>
        <v>0</v>
      </c>
      <c r="AI87">
        <f>IFERROR(AB87*_xlfn.XLOOKUP(AI$7,'Product Tgt'!$B:$B,'Product Tgt'!$D:$D),0)</f>
        <v>0</v>
      </c>
      <c r="AJ87">
        <f>IFERROR(AC87*_xlfn.XLOOKUP(AJ$7,'Product Tgt'!$B:$B,'Product Tgt'!$D:$D),0)</f>
        <v>0</v>
      </c>
      <c r="AK87">
        <f>IFERROR(AD87*_xlfn.XLOOKUP(AK$7,'Product Tgt'!$B:$B,'Product Tgt'!$D:$D),0)</f>
        <v>0</v>
      </c>
      <c r="AL87">
        <f>IFERROR(AE87*_xlfn.XLOOKUP(AL$7,'Product Tgt'!$B:$B,'Product Tgt'!$D:$D),0)</f>
        <v>0</v>
      </c>
      <c r="AM87">
        <f>IFERROR(AF87*_xlfn.XLOOKUP(AM$7,'Product Tgt'!$B:$B,'Product Tgt'!$D:$D),0)</f>
        <v>0</v>
      </c>
    </row>
    <row r="88" spans="1:39" x14ac:dyDescent="0.25">
      <c r="A88" t="s">
        <v>28</v>
      </c>
      <c r="B88" s="7" t="s">
        <v>111</v>
      </c>
      <c r="C88" s="3">
        <f>_xlfn.XLOOKUP($B88,'Terr Target'!$A:$A,'Terr Target'!$E:$E)</f>
        <v>407139.89030537504</v>
      </c>
      <c r="D88" s="3">
        <f t="shared" si="10"/>
        <v>407138</v>
      </c>
      <c r="E88" s="4">
        <f t="shared" si="11"/>
        <v>-1.8903053750400431</v>
      </c>
      <c r="F88" s="9">
        <f t="shared" si="8"/>
        <v>4.6429106962259561E-6</v>
      </c>
      <c r="G88" s="5">
        <f t="shared" si="12"/>
        <v>1.0000046429106961</v>
      </c>
      <c r="H88" s="44">
        <v>3996.0611626484756</v>
      </c>
      <c r="I88" s="12">
        <v>7055.0619466236385</v>
      </c>
      <c r="J88" s="12">
        <v>53067.356199472553</v>
      </c>
      <c r="K88" s="12">
        <v>12981.015551660461</v>
      </c>
      <c r="L88" s="12">
        <v>198455.08399732984</v>
      </c>
      <c r="M88" s="12">
        <v>125860.98467665567</v>
      </c>
      <c r="N88" s="12">
        <v>20805.71039952412</v>
      </c>
      <c r="O88" s="12">
        <v>5700.0154263273989</v>
      </c>
      <c r="P88" s="45">
        <v>22377.282285276455</v>
      </c>
      <c r="Q88" s="44">
        <f>IFERROR(ROUND(_xlfn.XLOOKUP(Q$7,'Product Tgt'!$B:$B,'Product Tgt'!$G:$G)*H88/H$95,0),0)</f>
        <v>3589</v>
      </c>
      <c r="R88" s="12">
        <f>IFERROR(ROUND(_xlfn.XLOOKUP(R$7,'Product Tgt'!$B:$B,'Product Tgt'!$G:$G)*I88/I$95,0),0)</f>
        <v>6346</v>
      </c>
      <c r="S88" s="12">
        <f>IFERROR(ROUND(_xlfn.XLOOKUP(S$7,'Product Tgt'!$B:$B,'Product Tgt'!$G:$G)*J88/J$95,0),0)</f>
        <v>47772</v>
      </c>
      <c r="T88" s="12">
        <f>IFERROR(ROUND(_xlfn.XLOOKUP(T$7,'Product Tgt'!$B:$B,'Product Tgt'!$G:$G)*K88/K$95,0),0)</f>
        <v>11694</v>
      </c>
      <c r="U88" s="12">
        <f>IFERROR(ROUND(_xlfn.XLOOKUP(U$7,'Product Tgt'!$B:$B,'Product Tgt'!$G:$G)*L88/L$95,0),0)</f>
        <v>178644</v>
      </c>
      <c r="V88" s="12">
        <f>IFERROR(ROUND(_xlfn.XLOOKUP(V$7,'Product Tgt'!$B:$B,'Product Tgt'!$G:$G)*M88/M$95,0),0)</f>
        <v>113281</v>
      </c>
      <c r="W88" s="12">
        <f>IFERROR(ROUND(_xlfn.XLOOKUP(W$7,'Product Tgt'!$B:$B,'Product Tgt'!$G:$G)*N88/N$95,0),0)</f>
        <v>20137</v>
      </c>
      <c r="X88" s="12">
        <f>IFERROR(ROUND(_xlfn.XLOOKUP(X$7,'Product Tgt'!$B:$B,'Product Tgt'!$G:$G)*O88/O$95,0),0)</f>
        <v>5515</v>
      </c>
      <c r="Y88" s="45">
        <f>IFERROR(ROUND(_xlfn.XLOOKUP(Y$7,'Product Tgt'!$B:$B,'Product Tgt'!$G:$G)*P88/P$95,0),0)</f>
        <v>20160</v>
      </c>
      <c r="Z88" s="20">
        <f>ROUND(IFERROR(Q88/_xlfn.XLOOKUP(Z$7,'Product Tgt'!$B:$B,'Product Tgt'!$D:$D),0),0)</f>
        <v>0</v>
      </c>
      <c r="AA88" s="11">
        <f>ROUND(IFERROR(R88/_xlfn.XLOOKUP(AA$7,'Product Tgt'!$B:$B,'Product Tgt'!$D:$D),0),0)</f>
        <v>0</v>
      </c>
      <c r="AB88" s="11">
        <f>ROUND(IFERROR(U88/_xlfn.XLOOKUP(AB$7,'Product Tgt'!$B:$B,'Product Tgt'!$D:$D),0),0)</f>
        <v>0</v>
      </c>
      <c r="AC88" s="11">
        <f>ROUND(IFERROR(V88/_xlfn.XLOOKUP(AC$7,'Product Tgt'!$B:$B,'Product Tgt'!$D:$D),0),0)</f>
        <v>0</v>
      </c>
      <c r="AD88" s="11">
        <f>ROUND(IFERROR(W88/_xlfn.XLOOKUP(AD$7,'Product Tgt'!$B:$B,'Product Tgt'!$D:$D),0),0)</f>
        <v>0</v>
      </c>
      <c r="AE88" s="11">
        <f>ROUND(IFERROR(X88/_xlfn.XLOOKUP(AE$7,'Product Tgt'!$B:$B,'Product Tgt'!$D:$D),0),0)</f>
        <v>0</v>
      </c>
      <c r="AF88" s="11">
        <f>ROUND(IFERROR(Y88/_xlfn.XLOOKUP(AF$7,'Product Tgt'!$B:$B,'Product Tgt'!$D:$D),0),0)</f>
        <v>0</v>
      </c>
      <c r="AG88" s="10">
        <f>IFERROR(Z88*_xlfn.XLOOKUP(AG$7,'Product Tgt'!$B:$B,'Product Tgt'!$D:$D),0)</f>
        <v>0</v>
      </c>
      <c r="AH88">
        <f>IFERROR(AA88*_xlfn.XLOOKUP(AH$7,'Product Tgt'!$B:$B,'Product Tgt'!$D:$D),0)</f>
        <v>0</v>
      </c>
      <c r="AI88">
        <f>IFERROR(AB88*_xlfn.XLOOKUP(AI$7,'Product Tgt'!$B:$B,'Product Tgt'!$D:$D),0)</f>
        <v>0</v>
      </c>
      <c r="AJ88">
        <f>IFERROR(AC88*_xlfn.XLOOKUP(AJ$7,'Product Tgt'!$B:$B,'Product Tgt'!$D:$D),0)</f>
        <v>0</v>
      </c>
      <c r="AK88">
        <f>IFERROR(AD88*_xlfn.XLOOKUP(AK$7,'Product Tgt'!$B:$B,'Product Tgt'!$D:$D),0)</f>
        <v>0</v>
      </c>
      <c r="AL88">
        <f>IFERROR(AE88*_xlfn.XLOOKUP(AL$7,'Product Tgt'!$B:$B,'Product Tgt'!$D:$D),0)</f>
        <v>0</v>
      </c>
      <c r="AM88">
        <f>IFERROR(AF88*_xlfn.XLOOKUP(AM$7,'Product Tgt'!$B:$B,'Product Tgt'!$D:$D),0)</f>
        <v>0</v>
      </c>
    </row>
    <row r="89" spans="1:39" x14ac:dyDescent="0.25">
      <c r="A89" t="s">
        <v>28</v>
      </c>
      <c r="B89" s="7" t="s">
        <v>112</v>
      </c>
      <c r="C89" s="3">
        <f>_xlfn.XLOOKUP($B89,'Terr Target'!$A:$A,'Terr Target'!$E:$E)</f>
        <v>557003.21591447771</v>
      </c>
      <c r="D89" s="3">
        <f t="shared" si="10"/>
        <v>556998</v>
      </c>
      <c r="E89" s="4">
        <f t="shared" si="11"/>
        <v>-5.2159144777106121</v>
      </c>
      <c r="F89" s="9">
        <f t="shared" si="8"/>
        <v>9.3643325069580352E-6</v>
      </c>
      <c r="G89" s="5">
        <f t="shared" si="12"/>
        <v>1.000009364332507</v>
      </c>
      <c r="H89" s="44">
        <v>7130.6076359921699</v>
      </c>
      <c r="I89" s="12">
        <v>7033.0098626875806</v>
      </c>
      <c r="J89" s="12">
        <v>36694.891358785586</v>
      </c>
      <c r="K89" s="12">
        <v>17569.897766810904</v>
      </c>
      <c r="L89" s="12">
        <v>331300.65562396974</v>
      </c>
      <c r="M89" s="12">
        <v>165718.9544246748</v>
      </c>
      <c r="N89" s="12">
        <v>21177.862470605869</v>
      </c>
      <c r="O89" s="12">
        <v>5028.5330438087112</v>
      </c>
      <c r="P89" s="45">
        <v>25151.056023855592</v>
      </c>
      <c r="Q89" s="44">
        <f>IFERROR(ROUND(_xlfn.XLOOKUP(Q$7,'Product Tgt'!$B:$B,'Product Tgt'!$G:$G)*H89/H$95,0),0)</f>
        <v>6405</v>
      </c>
      <c r="R89" s="12">
        <f>IFERROR(ROUND(_xlfn.XLOOKUP(R$7,'Product Tgt'!$B:$B,'Product Tgt'!$G:$G)*I89/I$95,0),0)</f>
        <v>6327</v>
      </c>
      <c r="S89" s="12">
        <f>IFERROR(ROUND(_xlfn.XLOOKUP(S$7,'Product Tgt'!$B:$B,'Product Tgt'!$G:$G)*J89/J$95,0),0)</f>
        <v>33033</v>
      </c>
      <c r="T89" s="12">
        <f>IFERROR(ROUND(_xlfn.XLOOKUP(T$7,'Product Tgt'!$B:$B,'Product Tgt'!$G:$G)*K89/K$95,0),0)</f>
        <v>15828</v>
      </c>
      <c r="U89" s="12">
        <f>IFERROR(ROUND(_xlfn.XLOOKUP(U$7,'Product Tgt'!$B:$B,'Product Tgt'!$G:$G)*L89/L$95,0),0)</f>
        <v>298228</v>
      </c>
      <c r="V89" s="12">
        <f>IFERROR(ROUND(_xlfn.XLOOKUP(V$7,'Product Tgt'!$B:$B,'Product Tgt'!$G:$G)*M89/M$95,0),0)</f>
        <v>149156</v>
      </c>
      <c r="W89" s="12">
        <f>IFERROR(ROUND(_xlfn.XLOOKUP(W$7,'Product Tgt'!$B:$B,'Product Tgt'!$G:$G)*N89/N$95,0),0)</f>
        <v>20497</v>
      </c>
      <c r="X89" s="12">
        <f>IFERROR(ROUND(_xlfn.XLOOKUP(X$7,'Product Tgt'!$B:$B,'Product Tgt'!$G:$G)*O89/O$95,0),0)</f>
        <v>4865</v>
      </c>
      <c r="Y89" s="45">
        <f>IFERROR(ROUND(_xlfn.XLOOKUP(Y$7,'Product Tgt'!$B:$B,'Product Tgt'!$G:$G)*P89/P$95,0),0)</f>
        <v>22659</v>
      </c>
      <c r="Z89" s="20">
        <f>ROUND(IFERROR(Q89/_xlfn.XLOOKUP(Z$7,'Product Tgt'!$B:$B,'Product Tgt'!$D:$D),0),0)</f>
        <v>0</v>
      </c>
      <c r="AA89" s="11">
        <f>ROUND(IFERROR(R89/_xlfn.XLOOKUP(AA$7,'Product Tgt'!$B:$B,'Product Tgt'!$D:$D),0),0)</f>
        <v>0</v>
      </c>
      <c r="AB89" s="11">
        <f>ROUND(IFERROR(U89/_xlfn.XLOOKUP(AB$7,'Product Tgt'!$B:$B,'Product Tgt'!$D:$D),0),0)</f>
        <v>0</v>
      </c>
      <c r="AC89" s="11">
        <f>ROUND(IFERROR(V89/_xlfn.XLOOKUP(AC$7,'Product Tgt'!$B:$B,'Product Tgt'!$D:$D),0),0)</f>
        <v>0</v>
      </c>
      <c r="AD89" s="11">
        <f>ROUND(IFERROR(W89/_xlfn.XLOOKUP(AD$7,'Product Tgt'!$B:$B,'Product Tgt'!$D:$D),0),0)</f>
        <v>0</v>
      </c>
      <c r="AE89" s="11">
        <f>ROUND(IFERROR(X89/_xlfn.XLOOKUP(AE$7,'Product Tgt'!$B:$B,'Product Tgt'!$D:$D),0),0)</f>
        <v>0</v>
      </c>
      <c r="AF89" s="11">
        <f>ROUND(IFERROR(Y89/_xlfn.XLOOKUP(AF$7,'Product Tgt'!$B:$B,'Product Tgt'!$D:$D),0),0)</f>
        <v>0</v>
      </c>
      <c r="AG89" s="10">
        <f>IFERROR(Z89*_xlfn.XLOOKUP(AG$7,'Product Tgt'!$B:$B,'Product Tgt'!$D:$D),0)</f>
        <v>0</v>
      </c>
      <c r="AH89">
        <f>IFERROR(AA89*_xlfn.XLOOKUP(AH$7,'Product Tgt'!$B:$B,'Product Tgt'!$D:$D),0)</f>
        <v>0</v>
      </c>
      <c r="AI89">
        <f>IFERROR(AB89*_xlfn.XLOOKUP(AI$7,'Product Tgt'!$B:$B,'Product Tgt'!$D:$D),0)</f>
        <v>0</v>
      </c>
      <c r="AJ89">
        <f>IFERROR(AC89*_xlfn.XLOOKUP(AJ$7,'Product Tgt'!$B:$B,'Product Tgt'!$D:$D),0)</f>
        <v>0</v>
      </c>
      <c r="AK89">
        <f>IFERROR(AD89*_xlfn.XLOOKUP(AK$7,'Product Tgt'!$B:$B,'Product Tgt'!$D:$D),0)</f>
        <v>0</v>
      </c>
      <c r="AL89">
        <f>IFERROR(AE89*_xlfn.XLOOKUP(AL$7,'Product Tgt'!$B:$B,'Product Tgt'!$D:$D),0)</f>
        <v>0</v>
      </c>
      <c r="AM89">
        <f>IFERROR(AF89*_xlfn.XLOOKUP(AM$7,'Product Tgt'!$B:$B,'Product Tgt'!$D:$D),0)</f>
        <v>0</v>
      </c>
    </row>
    <row r="90" spans="1:39" x14ac:dyDescent="0.25">
      <c r="A90" t="s">
        <v>28</v>
      </c>
      <c r="B90" s="7" t="s">
        <v>113</v>
      </c>
      <c r="C90" s="3">
        <f>_xlfn.XLOOKUP($B90,'Terr Target'!$A:$A,'Terr Target'!$E:$E)</f>
        <v>880029.02915678953</v>
      </c>
      <c r="D90" s="3">
        <f t="shared" si="10"/>
        <v>880032</v>
      </c>
      <c r="E90" s="4">
        <f t="shared" si="11"/>
        <v>2.9708432104671374</v>
      </c>
      <c r="F90" s="9">
        <f t="shared" si="8"/>
        <v>3.375835436060436E-6</v>
      </c>
      <c r="G90" s="5">
        <f t="shared" si="12"/>
        <v>0.99999662416456392</v>
      </c>
      <c r="H90" s="44">
        <v>5814.0835039885169</v>
      </c>
      <c r="I90" s="12">
        <v>13224.327604835409</v>
      </c>
      <c r="J90" s="12">
        <v>71053.813253479049</v>
      </c>
      <c r="K90" s="12">
        <v>34742.542520188828</v>
      </c>
      <c r="L90" s="12">
        <v>461853.84793657786</v>
      </c>
      <c r="M90" s="12">
        <v>233665.96278077169</v>
      </c>
      <c r="N90" s="12">
        <v>40707.238791842945</v>
      </c>
      <c r="O90" s="12">
        <v>12606.139653312413</v>
      </c>
      <c r="P90" s="45">
        <v>99894.749902454787</v>
      </c>
      <c r="Q90" s="44">
        <f>IFERROR(ROUND(_xlfn.XLOOKUP(Q$7,'Product Tgt'!$B:$B,'Product Tgt'!$G:$G)*H90/H$95,0),0)</f>
        <v>5222</v>
      </c>
      <c r="R90" s="12">
        <f>IFERROR(ROUND(_xlfn.XLOOKUP(R$7,'Product Tgt'!$B:$B,'Product Tgt'!$G:$G)*I90/I$95,0),0)</f>
        <v>11896</v>
      </c>
      <c r="S90" s="12">
        <f>IFERROR(ROUND(_xlfn.XLOOKUP(S$7,'Product Tgt'!$B:$B,'Product Tgt'!$G:$G)*J90/J$95,0),0)</f>
        <v>63963</v>
      </c>
      <c r="T90" s="12">
        <f>IFERROR(ROUND(_xlfn.XLOOKUP(T$7,'Product Tgt'!$B:$B,'Product Tgt'!$G:$G)*K90/K$95,0),0)</f>
        <v>31298</v>
      </c>
      <c r="U90" s="12">
        <f>IFERROR(ROUND(_xlfn.XLOOKUP(U$7,'Product Tgt'!$B:$B,'Product Tgt'!$G:$G)*L90/L$95,0),0)</f>
        <v>415749</v>
      </c>
      <c r="V90" s="12">
        <f>IFERROR(ROUND(_xlfn.XLOOKUP(V$7,'Product Tgt'!$B:$B,'Product Tgt'!$G:$G)*M90/M$95,0),0)</f>
        <v>210311</v>
      </c>
      <c r="W90" s="12">
        <f>IFERROR(ROUND(_xlfn.XLOOKUP(W$7,'Product Tgt'!$B:$B,'Product Tgt'!$G:$G)*N90/N$95,0),0)</f>
        <v>39399</v>
      </c>
      <c r="X90" s="12">
        <f>IFERROR(ROUND(_xlfn.XLOOKUP(X$7,'Product Tgt'!$B:$B,'Product Tgt'!$G:$G)*O90/O$95,0),0)</f>
        <v>12196</v>
      </c>
      <c r="Y90" s="45">
        <f>IFERROR(ROUND(_xlfn.XLOOKUP(Y$7,'Product Tgt'!$B:$B,'Product Tgt'!$G:$G)*P90/P$95,0),0)</f>
        <v>89998</v>
      </c>
      <c r="Z90" s="20">
        <f>ROUND(IFERROR(Q90/_xlfn.XLOOKUP(Z$7,'Product Tgt'!$B:$B,'Product Tgt'!$D:$D),0),0)</f>
        <v>0</v>
      </c>
      <c r="AA90" s="11">
        <f>ROUND(IFERROR(R90/_xlfn.XLOOKUP(AA$7,'Product Tgt'!$B:$B,'Product Tgt'!$D:$D),0),0)</f>
        <v>0</v>
      </c>
      <c r="AB90" s="11">
        <f>ROUND(IFERROR(U90/_xlfn.XLOOKUP(AB$7,'Product Tgt'!$B:$B,'Product Tgt'!$D:$D),0),0)</f>
        <v>0</v>
      </c>
      <c r="AC90" s="11">
        <f>ROUND(IFERROR(V90/_xlfn.XLOOKUP(AC$7,'Product Tgt'!$B:$B,'Product Tgt'!$D:$D),0),0)</f>
        <v>0</v>
      </c>
      <c r="AD90" s="11">
        <f>ROUND(IFERROR(W90/_xlfn.XLOOKUP(AD$7,'Product Tgt'!$B:$B,'Product Tgt'!$D:$D),0),0)</f>
        <v>0</v>
      </c>
      <c r="AE90" s="11">
        <f>ROUND(IFERROR(X90/_xlfn.XLOOKUP(AE$7,'Product Tgt'!$B:$B,'Product Tgt'!$D:$D),0),0)</f>
        <v>0</v>
      </c>
      <c r="AF90" s="11">
        <f>ROUND(IFERROR(Y90/_xlfn.XLOOKUP(AF$7,'Product Tgt'!$B:$B,'Product Tgt'!$D:$D),0),0)</f>
        <v>0</v>
      </c>
      <c r="AG90" s="10">
        <f>IFERROR(Z90*_xlfn.XLOOKUP(AG$7,'Product Tgt'!$B:$B,'Product Tgt'!$D:$D),0)</f>
        <v>0</v>
      </c>
      <c r="AH90">
        <f>IFERROR(AA90*_xlfn.XLOOKUP(AH$7,'Product Tgt'!$B:$B,'Product Tgt'!$D:$D),0)</f>
        <v>0</v>
      </c>
      <c r="AI90">
        <f>IFERROR(AB90*_xlfn.XLOOKUP(AI$7,'Product Tgt'!$B:$B,'Product Tgt'!$D:$D),0)</f>
        <v>0</v>
      </c>
      <c r="AJ90">
        <f>IFERROR(AC90*_xlfn.XLOOKUP(AJ$7,'Product Tgt'!$B:$B,'Product Tgt'!$D:$D),0)</f>
        <v>0</v>
      </c>
      <c r="AK90">
        <f>IFERROR(AD90*_xlfn.XLOOKUP(AK$7,'Product Tgt'!$B:$B,'Product Tgt'!$D:$D),0)</f>
        <v>0</v>
      </c>
      <c r="AL90">
        <f>IFERROR(AE90*_xlfn.XLOOKUP(AL$7,'Product Tgt'!$B:$B,'Product Tgt'!$D:$D),0)</f>
        <v>0</v>
      </c>
      <c r="AM90">
        <f>IFERROR(AF90*_xlfn.XLOOKUP(AM$7,'Product Tgt'!$B:$B,'Product Tgt'!$D:$D),0)</f>
        <v>0</v>
      </c>
    </row>
    <row r="91" spans="1:39" x14ac:dyDescent="0.25">
      <c r="A91" t="s">
        <v>28</v>
      </c>
      <c r="B91" s="7" t="s">
        <v>114</v>
      </c>
      <c r="C91" s="3">
        <f>_xlfn.XLOOKUP($B91,'Terr Target'!$A:$A,'Terr Target'!$E:$E)</f>
        <v>1146007.7667164048</v>
      </c>
      <c r="D91" s="3">
        <f t="shared" si="10"/>
        <v>1146015</v>
      </c>
      <c r="E91" s="4">
        <f t="shared" si="11"/>
        <v>7.2332835951820016</v>
      </c>
      <c r="F91" s="9">
        <f t="shared" si="8"/>
        <v>6.3116831762079915E-6</v>
      </c>
      <c r="G91" s="5">
        <f t="shared" si="12"/>
        <v>0.99999368831682378</v>
      </c>
      <c r="H91" s="44">
        <v>10050.387336864473</v>
      </c>
      <c r="I91" s="12">
        <v>15661.832608264995</v>
      </c>
      <c r="J91" s="12">
        <v>129767.81425355549</v>
      </c>
      <c r="K91" s="12">
        <v>61219.916526985558</v>
      </c>
      <c r="L91" s="12">
        <v>523086.93508875644</v>
      </c>
      <c r="M91" s="12">
        <v>348087.27837652672</v>
      </c>
      <c r="N91" s="12">
        <v>51731.01060815993</v>
      </c>
      <c r="O91" s="12">
        <v>14969.035418611793</v>
      </c>
      <c r="P91" s="45">
        <v>113453.46800566309</v>
      </c>
      <c r="Q91" s="44">
        <f>IFERROR(ROUND(_xlfn.XLOOKUP(Q$7,'Product Tgt'!$B:$B,'Product Tgt'!$G:$G)*H91/H$95,0),0)</f>
        <v>9027</v>
      </c>
      <c r="R91" s="12">
        <f>IFERROR(ROUND(_xlfn.XLOOKUP(R$7,'Product Tgt'!$B:$B,'Product Tgt'!$G:$G)*I91/I$95,0),0)</f>
        <v>14089</v>
      </c>
      <c r="S91" s="12">
        <f>IFERROR(ROUND(_xlfn.XLOOKUP(S$7,'Product Tgt'!$B:$B,'Product Tgt'!$G:$G)*J91/J$95,0),0)</f>
        <v>116818</v>
      </c>
      <c r="T91" s="12">
        <f>IFERROR(ROUND(_xlfn.XLOOKUP(T$7,'Product Tgt'!$B:$B,'Product Tgt'!$G:$G)*K91/K$95,0),0)</f>
        <v>55150</v>
      </c>
      <c r="U91" s="12">
        <f>IFERROR(ROUND(_xlfn.XLOOKUP(U$7,'Product Tgt'!$B:$B,'Product Tgt'!$G:$G)*L91/L$95,0),0)</f>
        <v>470869</v>
      </c>
      <c r="V91" s="12">
        <f>IFERROR(ROUND(_xlfn.XLOOKUP(V$7,'Product Tgt'!$B:$B,'Product Tgt'!$G:$G)*M91/M$95,0),0)</f>
        <v>313296</v>
      </c>
      <c r="W91" s="12">
        <f>IFERROR(ROUND(_xlfn.XLOOKUP(W$7,'Product Tgt'!$B:$B,'Product Tgt'!$G:$G)*N91/N$95,0),0)</f>
        <v>50069</v>
      </c>
      <c r="X91" s="12">
        <f>IFERROR(ROUND(_xlfn.XLOOKUP(X$7,'Product Tgt'!$B:$B,'Product Tgt'!$G:$G)*O91/O$95,0),0)</f>
        <v>14483</v>
      </c>
      <c r="Y91" s="45">
        <f>IFERROR(ROUND(_xlfn.XLOOKUP(Y$7,'Product Tgt'!$B:$B,'Product Tgt'!$G:$G)*P91/P$95,0),0)</f>
        <v>102214</v>
      </c>
      <c r="Z91" s="20">
        <f>ROUND(IFERROR(Q91/_xlfn.XLOOKUP(Z$7,'Product Tgt'!$B:$B,'Product Tgt'!$D:$D),0),0)</f>
        <v>0</v>
      </c>
      <c r="AA91" s="11">
        <f>ROUND(IFERROR(R91/_xlfn.XLOOKUP(AA$7,'Product Tgt'!$B:$B,'Product Tgt'!$D:$D),0),0)</f>
        <v>0</v>
      </c>
      <c r="AB91" s="11">
        <f>ROUND(IFERROR(U91/_xlfn.XLOOKUP(AB$7,'Product Tgt'!$B:$B,'Product Tgt'!$D:$D),0),0)</f>
        <v>0</v>
      </c>
      <c r="AC91" s="11">
        <f>ROUND(IFERROR(V91/_xlfn.XLOOKUP(AC$7,'Product Tgt'!$B:$B,'Product Tgt'!$D:$D),0),0)</f>
        <v>0</v>
      </c>
      <c r="AD91" s="11">
        <f>ROUND(IFERROR(W91/_xlfn.XLOOKUP(AD$7,'Product Tgt'!$B:$B,'Product Tgt'!$D:$D),0),0)</f>
        <v>0</v>
      </c>
      <c r="AE91" s="11">
        <f>ROUND(IFERROR(X91/_xlfn.XLOOKUP(AE$7,'Product Tgt'!$B:$B,'Product Tgt'!$D:$D),0),0)</f>
        <v>0</v>
      </c>
      <c r="AF91" s="11">
        <f>ROUND(IFERROR(Y91/_xlfn.XLOOKUP(AF$7,'Product Tgt'!$B:$B,'Product Tgt'!$D:$D),0),0)</f>
        <v>0</v>
      </c>
      <c r="AG91" s="10">
        <f>IFERROR(Z91*_xlfn.XLOOKUP(AG$7,'Product Tgt'!$B:$B,'Product Tgt'!$D:$D),0)</f>
        <v>0</v>
      </c>
      <c r="AH91">
        <f>IFERROR(AA91*_xlfn.XLOOKUP(AH$7,'Product Tgt'!$B:$B,'Product Tgt'!$D:$D),0)</f>
        <v>0</v>
      </c>
      <c r="AI91">
        <f>IFERROR(AB91*_xlfn.XLOOKUP(AI$7,'Product Tgt'!$B:$B,'Product Tgt'!$D:$D),0)</f>
        <v>0</v>
      </c>
      <c r="AJ91">
        <f>IFERROR(AC91*_xlfn.XLOOKUP(AJ$7,'Product Tgt'!$B:$B,'Product Tgt'!$D:$D),0)</f>
        <v>0</v>
      </c>
      <c r="AK91">
        <f>IFERROR(AD91*_xlfn.XLOOKUP(AK$7,'Product Tgt'!$B:$B,'Product Tgt'!$D:$D),0)</f>
        <v>0</v>
      </c>
      <c r="AL91">
        <f>IFERROR(AE91*_xlfn.XLOOKUP(AL$7,'Product Tgt'!$B:$B,'Product Tgt'!$D:$D),0)</f>
        <v>0</v>
      </c>
      <c r="AM91">
        <f>IFERROR(AF91*_xlfn.XLOOKUP(AM$7,'Product Tgt'!$B:$B,'Product Tgt'!$D:$D),0)</f>
        <v>0</v>
      </c>
    </row>
    <row r="92" spans="1:39" x14ac:dyDescent="0.25">
      <c r="A92" t="s">
        <v>28</v>
      </c>
      <c r="B92" s="7" t="s">
        <v>115</v>
      </c>
      <c r="C92" s="3">
        <f>_xlfn.XLOOKUP($B92,'Terr Target'!$A:$A,'Terr Target'!$E:$E)</f>
        <v>1137849.5361294332</v>
      </c>
      <c r="D92" s="3">
        <f t="shared" si="10"/>
        <v>1137848</v>
      </c>
      <c r="E92" s="4">
        <f t="shared" si="11"/>
        <v>-1.536129433196038</v>
      </c>
      <c r="F92" s="9">
        <f t="shared" si="8"/>
        <v>1.3500304374538936E-6</v>
      </c>
      <c r="G92" s="5">
        <f t="shared" si="12"/>
        <v>1.0000013500304374</v>
      </c>
      <c r="H92" s="44">
        <v>8916.2083447626119</v>
      </c>
      <c r="I92" s="12">
        <v>14417.280664283528</v>
      </c>
      <c r="J92" s="12">
        <v>123197.86514324497</v>
      </c>
      <c r="K92" s="12">
        <v>60320.721200292843</v>
      </c>
      <c r="L92" s="12">
        <v>584439.78016973101</v>
      </c>
      <c r="M92" s="12">
        <v>323862.04023981834</v>
      </c>
      <c r="N92" s="12">
        <v>47233.492698206785</v>
      </c>
      <c r="O92" s="12">
        <v>12939.813491771994</v>
      </c>
      <c r="P92" s="45">
        <v>84138.502337503349</v>
      </c>
      <c r="Q92" s="44">
        <f>IFERROR(ROUND(_xlfn.XLOOKUP(Q$7,'Product Tgt'!$B:$B,'Product Tgt'!$G:$G)*H92/H$95,0),0)</f>
        <v>8008</v>
      </c>
      <c r="R92" s="12">
        <f>IFERROR(ROUND(_xlfn.XLOOKUP(R$7,'Product Tgt'!$B:$B,'Product Tgt'!$G:$G)*I92/I$95,0),0)</f>
        <v>12969</v>
      </c>
      <c r="S92" s="12">
        <f>IFERROR(ROUND(_xlfn.XLOOKUP(S$7,'Product Tgt'!$B:$B,'Product Tgt'!$G:$G)*J92/J$95,0),0)</f>
        <v>110904</v>
      </c>
      <c r="T92" s="12">
        <f>IFERROR(ROUND(_xlfn.XLOOKUP(T$7,'Product Tgt'!$B:$B,'Product Tgt'!$G:$G)*K92/K$95,0),0)</f>
        <v>54340</v>
      </c>
      <c r="U92" s="12">
        <f>IFERROR(ROUND(_xlfn.XLOOKUP(U$7,'Product Tgt'!$B:$B,'Product Tgt'!$G:$G)*L92/L$95,0),0)</f>
        <v>526097</v>
      </c>
      <c r="V92" s="12">
        <f>IFERROR(ROUND(_xlfn.XLOOKUP(V$7,'Product Tgt'!$B:$B,'Product Tgt'!$G:$G)*M92/M$95,0),0)</f>
        <v>291492</v>
      </c>
      <c r="W92" s="12">
        <f>IFERROR(ROUND(_xlfn.XLOOKUP(W$7,'Product Tgt'!$B:$B,'Product Tgt'!$G:$G)*N92/N$95,0),0)</f>
        <v>45716</v>
      </c>
      <c r="X92" s="12">
        <f>IFERROR(ROUND(_xlfn.XLOOKUP(X$7,'Product Tgt'!$B:$B,'Product Tgt'!$G:$G)*O92/O$95,0),0)</f>
        <v>12519</v>
      </c>
      <c r="Y92" s="45">
        <f>IFERROR(ROUND(_xlfn.XLOOKUP(Y$7,'Product Tgt'!$B:$B,'Product Tgt'!$G:$G)*P92/P$95,0),0)</f>
        <v>75803</v>
      </c>
      <c r="Z92" s="20">
        <f>ROUND(IFERROR(Q92/_xlfn.XLOOKUP(Z$7,'Product Tgt'!$B:$B,'Product Tgt'!$D:$D),0),0)</f>
        <v>0</v>
      </c>
      <c r="AA92" s="11">
        <f>ROUND(IFERROR(R92/_xlfn.XLOOKUP(AA$7,'Product Tgt'!$B:$B,'Product Tgt'!$D:$D),0),0)</f>
        <v>0</v>
      </c>
      <c r="AB92" s="11">
        <f>ROUND(IFERROR(U92/_xlfn.XLOOKUP(AB$7,'Product Tgt'!$B:$B,'Product Tgt'!$D:$D),0),0)</f>
        <v>0</v>
      </c>
      <c r="AC92" s="11">
        <f>ROUND(IFERROR(V92/_xlfn.XLOOKUP(AC$7,'Product Tgt'!$B:$B,'Product Tgt'!$D:$D),0),0)</f>
        <v>0</v>
      </c>
      <c r="AD92" s="11">
        <f>ROUND(IFERROR(W92/_xlfn.XLOOKUP(AD$7,'Product Tgt'!$B:$B,'Product Tgt'!$D:$D),0),0)</f>
        <v>0</v>
      </c>
      <c r="AE92" s="11">
        <f>ROUND(IFERROR(X92/_xlfn.XLOOKUP(AE$7,'Product Tgt'!$B:$B,'Product Tgt'!$D:$D),0),0)</f>
        <v>0</v>
      </c>
      <c r="AF92" s="11">
        <f>ROUND(IFERROR(Y92/_xlfn.XLOOKUP(AF$7,'Product Tgt'!$B:$B,'Product Tgt'!$D:$D),0),0)</f>
        <v>0</v>
      </c>
      <c r="AG92" s="10">
        <f>IFERROR(Z92*_xlfn.XLOOKUP(AG$7,'Product Tgt'!$B:$B,'Product Tgt'!$D:$D),0)</f>
        <v>0</v>
      </c>
      <c r="AH92">
        <f>IFERROR(AA92*_xlfn.XLOOKUP(AH$7,'Product Tgt'!$B:$B,'Product Tgt'!$D:$D),0)</f>
        <v>0</v>
      </c>
      <c r="AI92">
        <f>IFERROR(AB92*_xlfn.XLOOKUP(AI$7,'Product Tgt'!$B:$B,'Product Tgt'!$D:$D),0)</f>
        <v>0</v>
      </c>
      <c r="AJ92">
        <f>IFERROR(AC92*_xlfn.XLOOKUP(AJ$7,'Product Tgt'!$B:$B,'Product Tgt'!$D:$D),0)</f>
        <v>0</v>
      </c>
      <c r="AK92">
        <f>IFERROR(AD92*_xlfn.XLOOKUP(AK$7,'Product Tgt'!$B:$B,'Product Tgt'!$D:$D),0)</f>
        <v>0</v>
      </c>
      <c r="AL92">
        <f>IFERROR(AE92*_xlfn.XLOOKUP(AL$7,'Product Tgt'!$B:$B,'Product Tgt'!$D:$D),0)</f>
        <v>0</v>
      </c>
      <c r="AM92">
        <f>IFERROR(AF92*_xlfn.XLOOKUP(AM$7,'Product Tgt'!$B:$B,'Product Tgt'!$D:$D),0)</f>
        <v>0</v>
      </c>
    </row>
    <row r="93" spans="1:39" x14ac:dyDescent="0.25">
      <c r="A93" t="s">
        <v>28</v>
      </c>
      <c r="B93" s="7" t="s">
        <v>116</v>
      </c>
      <c r="C93" s="3">
        <f>_xlfn.XLOOKUP($B93,'Terr Target'!$A:$A,'Terr Target'!$E:$E)</f>
        <v>575552.37038562051</v>
      </c>
      <c r="D93" s="3">
        <f t="shared" si="10"/>
        <v>575555</v>
      </c>
      <c r="E93" s="4">
        <f t="shared" si="11"/>
        <v>2.6296143794897944</v>
      </c>
      <c r="F93" s="9">
        <f t="shared" si="8"/>
        <v>4.5688324825425797E-6</v>
      </c>
      <c r="G93" s="5">
        <f t="shared" si="12"/>
        <v>0.99999543116751743</v>
      </c>
      <c r="H93" s="44">
        <v>5401.4321725709488</v>
      </c>
      <c r="I93" s="12">
        <v>6187.4387748522695</v>
      </c>
      <c r="J93" s="12">
        <v>75629.384676298301</v>
      </c>
      <c r="K93" s="12">
        <v>26277.55175819535</v>
      </c>
      <c r="L93" s="12">
        <v>267083.70674786088</v>
      </c>
      <c r="M93" s="12">
        <v>174655.18047697531</v>
      </c>
      <c r="N93" s="12">
        <v>32082.100206745712</v>
      </c>
      <c r="O93" s="12">
        <v>7879.1780497139871</v>
      </c>
      <c r="P93" s="45">
        <v>41167.522540362799</v>
      </c>
      <c r="Q93" s="44">
        <f>IFERROR(ROUND(_xlfn.XLOOKUP(Q$7,'Product Tgt'!$B:$B,'Product Tgt'!$G:$G)*H93/H$95,0),0)</f>
        <v>4851</v>
      </c>
      <c r="R93" s="12">
        <f>IFERROR(ROUND(_xlfn.XLOOKUP(R$7,'Product Tgt'!$B:$B,'Product Tgt'!$G:$G)*I93/I$95,0),0)</f>
        <v>5566</v>
      </c>
      <c r="S93" s="12">
        <f>IFERROR(ROUND(_xlfn.XLOOKUP(S$7,'Product Tgt'!$B:$B,'Product Tgt'!$G:$G)*J93/J$95,0),0)</f>
        <v>68082</v>
      </c>
      <c r="T93" s="12">
        <f>IFERROR(ROUND(_xlfn.XLOOKUP(T$7,'Product Tgt'!$B:$B,'Product Tgt'!$G:$G)*K93/K$95,0),0)</f>
        <v>23672</v>
      </c>
      <c r="U93" s="12">
        <f>IFERROR(ROUND(_xlfn.XLOOKUP(U$7,'Product Tgt'!$B:$B,'Product Tgt'!$G:$G)*L93/L$95,0),0)</f>
        <v>240422</v>
      </c>
      <c r="V93" s="12">
        <f>IFERROR(ROUND(_xlfn.XLOOKUP(V$7,'Product Tgt'!$B:$B,'Product Tgt'!$G:$G)*M93/M$95,0),0)</f>
        <v>157199</v>
      </c>
      <c r="W93" s="12">
        <f>IFERROR(ROUND(_xlfn.XLOOKUP(W$7,'Product Tgt'!$B:$B,'Product Tgt'!$G:$G)*N93/N$95,0),0)</f>
        <v>31051</v>
      </c>
      <c r="X93" s="12">
        <f>IFERROR(ROUND(_xlfn.XLOOKUP(X$7,'Product Tgt'!$B:$B,'Product Tgt'!$G:$G)*O93/O$95,0),0)</f>
        <v>7623</v>
      </c>
      <c r="Y93" s="45">
        <f>IFERROR(ROUND(_xlfn.XLOOKUP(Y$7,'Product Tgt'!$B:$B,'Product Tgt'!$G:$G)*P93/P$95,0),0)</f>
        <v>37089</v>
      </c>
      <c r="Z93" s="20">
        <f>ROUND(IFERROR(Q93/_xlfn.XLOOKUP(Z$7,'Product Tgt'!$B:$B,'Product Tgt'!$D:$D),0),0)</f>
        <v>0</v>
      </c>
      <c r="AA93" s="11">
        <f>ROUND(IFERROR(R93/_xlfn.XLOOKUP(AA$7,'Product Tgt'!$B:$B,'Product Tgt'!$D:$D),0),0)</f>
        <v>0</v>
      </c>
      <c r="AB93" s="11">
        <f>ROUND(IFERROR(U93/_xlfn.XLOOKUP(AB$7,'Product Tgt'!$B:$B,'Product Tgt'!$D:$D),0),0)</f>
        <v>0</v>
      </c>
      <c r="AC93" s="11">
        <f>ROUND(IFERROR(V93/_xlfn.XLOOKUP(AC$7,'Product Tgt'!$B:$B,'Product Tgt'!$D:$D),0),0)</f>
        <v>0</v>
      </c>
      <c r="AD93" s="11">
        <f>ROUND(IFERROR(W93/_xlfn.XLOOKUP(AD$7,'Product Tgt'!$B:$B,'Product Tgt'!$D:$D),0),0)</f>
        <v>0</v>
      </c>
      <c r="AE93" s="11">
        <f>ROUND(IFERROR(X93/_xlfn.XLOOKUP(AE$7,'Product Tgt'!$B:$B,'Product Tgt'!$D:$D),0),0)</f>
        <v>0</v>
      </c>
      <c r="AF93" s="11">
        <f>ROUND(IFERROR(Y93/_xlfn.XLOOKUP(AF$7,'Product Tgt'!$B:$B,'Product Tgt'!$D:$D),0),0)</f>
        <v>0</v>
      </c>
      <c r="AG93" s="10">
        <f>IFERROR(Z93*_xlfn.XLOOKUP(AG$7,'Product Tgt'!$B:$B,'Product Tgt'!$D:$D),0)</f>
        <v>0</v>
      </c>
      <c r="AH93">
        <f>IFERROR(AA93*_xlfn.XLOOKUP(AH$7,'Product Tgt'!$B:$B,'Product Tgt'!$D:$D),0)</f>
        <v>0</v>
      </c>
      <c r="AI93">
        <f>IFERROR(AB93*_xlfn.XLOOKUP(AI$7,'Product Tgt'!$B:$B,'Product Tgt'!$D:$D),0)</f>
        <v>0</v>
      </c>
      <c r="AJ93">
        <f>IFERROR(AC93*_xlfn.XLOOKUP(AJ$7,'Product Tgt'!$B:$B,'Product Tgt'!$D:$D),0)</f>
        <v>0</v>
      </c>
      <c r="AK93">
        <f>IFERROR(AD93*_xlfn.XLOOKUP(AK$7,'Product Tgt'!$B:$B,'Product Tgt'!$D:$D),0)</f>
        <v>0</v>
      </c>
      <c r="AL93">
        <f>IFERROR(AE93*_xlfn.XLOOKUP(AL$7,'Product Tgt'!$B:$B,'Product Tgt'!$D:$D),0)</f>
        <v>0</v>
      </c>
      <c r="AM93">
        <f>IFERROR(AF93*_xlfn.XLOOKUP(AM$7,'Product Tgt'!$B:$B,'Product Tgt'!$D:$D),0)</f>
        <v>0</v>
      </c>
    </row>
    <row r="94" spans="1:39" ht="15.75" thickBot="1" x14ac:dyDescent="0.3">
      <c r="A94" t="s">
        <v>28</v>
      </c>
      <c r="B94" s="7" t="s">
        <v>117</v>
      </c>
      <c r="C94" s="3">
        <f>_xlfn.XLOOKUP($B94,'Terr Target'!$A:$A,'Terr Target'!$E:$E)</f>
        <v>462304.85342713835</v>
      </c>
      <c r="D94" s="3">
        <f t="shared" si="10"/>
        <v>462305</v>
      </c>
      <c r="E94" s="4">
        <f t="shared" si="11"/>
        <v>0.14657286164583638</v>
      </c>
      <c r="F94" s="9">
        <f t="shared" si="8"/>
        <v>3.1704796972958626E-7</v>
      </c>
      <c r="G94" s="5">
        <f t="shared" si="12"/>
        <v>0.99999968295203023</v>
      </c>
      <c r="H94" s="49">
        <v>3604.4303163627133</v>
      </c>
      <c r="I94" s="50">
        <v>5285.4402956450231</v>
      </c>
      <c r="J94" s="50">
        <v>27733.430007044346</v>
      </c>
      <c r="K94" s="50">
        <v>14204.08147377959</v>
      </c>
      <c r="L94" s="50">
        <v>261863.01982663781</v>
      </c>
      <c r="M94" s="50">
        <v>133284.72114555142</v>
      </c>
      <c r="N94" s="50">
        <v>25581.954031596691</v>
      </c>
      <c r="O94" s="50">
        <v>7592.2100881859069</v>
      </c>
      <c r="P94" s="51">
        <v>31924.753383912852</v>
      </c>
      <c r="Q94" s="44">
        <f>IFERROR(ROUND(_xlfn.XLOOKUP(Q$7,'Product Tgt'!$B:$B,'Product Tgt'!$G:$G)*H94/H$95,0),0)</f>
        <v>3237</v>
      </c>
      <c r="R94" s="12">
        <f>IFERROR(ROUND(_xlfn.XLOOKUP(R$7,'Product Tgt'!$B:$B,'Product Tgt'!$G:$G)*I94/I$95,0),0)</f>
        <v>4754</v>
      </c>
      <c r="S94" s="12">
        <f>IFERROR(ROUND(_xlfn.XLOOKUP(S$7,'Product Tgt'!$B:$B,'Product Tgt'!$G:$G)*J94/J$95,0),0)</f>
        <v>24966</v>
      </c>
      <c r="T94" s="12">
        <f>IFERROR(ROUND(_xlfn.XLOOKUP(T$7,'Product Tgt'!$B:$B,'Product Tgt'!$G:$G)*K94/K$95,0),0)</f>
        <v>12796</v>
      </c>
      <c r="U94" s="12">
        <f>IFERROR(ROUND(_xlfn.XLOOKUP(U$7,'Product Tgt'!$B:$B,'Product Tgt'!$G:$G)*L94/L$95,0),0)</f>
        <v>235722</v>
      </c>
      <c r="V94" s="12">
        <f>IFERROR(ROUND(_xlfn.XLOOKUP(V$7,'Product Tgt'!$B:$B,'Product Tgt'!$G:$G)*M94/M$95,0),0)</f>
        <v>119963</v>
      </c>
      <c r="W94" s="12">
        <f>IFERROR(ROUND(_xlfn.XLOOKUP(W$7,'Product Tgt'!$B:$B,'Product Tgt'!$G:$G)*N94/N$95,0),0)</f>
        <v>24760</v>
      </c>
      <c r="X94" s="12">
        <f>IFERROR(ROUND(_xlfn.XLOOKUP(X$7,'Product Tgt'!$B:$B,'Product Tgt'!$G:$G)*O94/O$95,0),0)</f>
        <v>7345</v>
      </c>
      <c r="Y94" s="45">
        <f>IFERROR(ROUND(_xlfn.XLOOKUP(Y$7,'Product Tgt'!$B:$B,'Product Tgt'!$G:$G)*P94/P$95,0),0)</f>
        <v>28762</v>
      </c>
      <c r="Z94" s="20">
        <f>ROUND(IFERROR(Q94/_xlfn.XLOOKUP(Z$7,'Product Tgt'!$B:$B,'Product Tgt'!$D:$D),0),0)</f>
        <v>0</v>
      </c>
      <c r="AA94" s="11">
        <f>ROUND(IFERROR(R94/_xlfn.XLOOKUP(AA$7,'Product Tgt'!$B:$B,'Product Tgt'!$D:$D),0),0)</f>
        <v>0</v>
      </c>
      <c r="AB94" s="11">
        <f>ROUND(IFERROR(U94/_xlfn.XLOOKUP(AB$7,'Product Tgt'!$B:$B,'Product Tgt'!$D:$D),0),0)</f>
        <v>0</v>
      </c>
      <c r="AC94" s="11">
        <f>ROUND(IFERROR(V94/_xlfn.XLOOKUP(AC$7,'Product Tgt'!$B:$B,'Product Tgt'!$D:$D),0),0)</f>
        <v>0</v>
      </c>
      <c r="AD94" s="11">
        <f>ROUND(IFERROR(W94/_xlfn.XLOOKUP(AD$7,'Product Tgt'!$B:$B,'Product Tgt'!$D:$D),0),0)</f>
        <v>0</v>
      </c>
      <c r="AE94" s="11">
        <f>ROUND(IFERROR(X94/_xlfn.XLOOKUP(AE$7,'Product Tgt'!$B:$B,'Product Tgt'!$D:$D),0),0)</f>
        <v>0</v>
      </c>
      <c r="AF94" s="11">
        <f>ROUND(IFERROR(Y94/_xlfn.XLOOKUP(AF$7,'Product Tgt'!$B:$B,'Product Tgt'!$D:$D),0),0)</f>
        <v>0</v>
      </c>
      <c r="AG94" s="10">
        <f>IFERROR(Z94*_xlfn.XLOOKUP(AG$7,'Product Tgt'!$B:$B,'Product Tgt'!$D:$D),0)</f>
        <v>0</v>
      </c>
      <c r="AH94">
        <f>IFERROR(AA94*_xlfn.XLOOKUP(AH$7,'Product Tgt'!$B:$B,'Product Tgt'!$D:$D),0)</f>
        <v>0</v>
      </c>
      <c r="AI94">
        <f>IFERROR(AB94*_xlfn.XLOOKUP(AI$7,'Product Tgt'!$B:$B,'Product Tgt'!$D:$D),0)</f>
        <v>0</v>
      </c>
      <c r="AJ94">
        <f>IFERROR(AC94*_xlfn.XLOOKUP(AJ$7,'Product Tgt'!$B:$B,'Product Tgt'!$D:$D),0)</f>
        <v>0</v>
      </c>
      <c r="AK94">
        <f>IFERROR(AD94*_xlfn.XLOOKUP(AK$7,'Product Tgt'!$B:$B,'Product Tgt'!$D:$D),0)</f>
        <v>0</v>
      </c>
      <c r="AL94">
        <f>IFERROR(AE94*_xlfn.XLOOKUP(AL$7,'Product Tgt'!$B:$B,'Product Tgt'!$D:$D),0)</f>
        <v>0</v>
      </c>
      <c r="AM94">
        <f>IFERROR(AF94*_xlfn.XLOOKUP(AM$7,'Product Tgt'!$B:$B,'Product Tgt'!$D:$D),0)</f>
        <v>0</v>
      </c>
    </row>
    <row r="95" spans="1:39" ht="15.75" thickBot="1" x14ac:dyDescent="0.3">
      <c r="C95" s="37">
        <f>SUM(C8:C94)</f>
        <v>56069473.089999996</v>
      </c>
      <c r="D95" s="37">
        <f>SUM(D8:D94)</f>
        <v>56069474</v>
      </c>
      <c r="E95" s="37">
        <f>SUM(E8:E94)</f>
        <v>0.90999999552150257</v>
      </c>
      <c r="F95" s="9">
        <f>ABS(E95)/C95</f>
        <v>1.6229865296947143E-8</v>
      </c>
      <c r="G95" s="5"/>
      <c r="H95" s="35">
        <f t="shared" ref="H95:P95" si="13">SUM(H8:H94)</f>
        <v>535404.46475296537</v>
      </c>
      <c r="I95" s="36">
        <f t="shared" si="13"/>
        <v>605215.02805894008</v>
      </c>
      <c r="J95" s="36">
        <f t="shared" si="13"/>
        <v>5793936.9678301476</v>
      </c>
      <c r="K95" s="36">
        <f t="shared" si="13"/>
        <v>2604195.0872406797</v>
      </c>
      <c r="L95" s="36">
        <f t="shared" si="13"/>
        <v>28632604.863929871</v>
      </c>
      <c r="M95" s="36">
        <f t="shared" si="13"/>
        <v>16947206.044091616</v>
      </c>
      <c r="N95" s="36">
        <f t="shared" si="13"/>
        <v>2533782.4244677774</v>
      </c>
      <c r="O95" s="36">
        <f t="shared" si="13"/>
        <v>674056.65696350473</v>
      </c>
      <c r="P95" s="36">
        <f t="shared" si="13"/>
        <v>3718630.2944680857</v>
      </c>
    </row>
    <row r="96" spans="1:39" x14ac:dyDescent="0.25">
      <c r="C96" s="3"/>
      <c r="D96" s="3"/>
      <c r="E96" s="4"/>
      <c r="F96" s="5"/>
      <c r="G96" s="5"/>
    </row>
    <row r="97" spans="3:7" x14ac:dyDescent="0.25">
      <c r="C97" s="3"/>
      <c r="D97" s="3"/>
      <c r="E97" s="4"/>
      <c r="F97" s="5"/>
      <c r="G97" s="5"/>
    </row>
    <row r="98" spans="3:7" x14ac:dyDescent="0.25">
      <c r="C98" s="3"/>
      <c r="D98" s="3"/>
      <c r="E98" s="4"/>
      <c r="F98" s="5"/>
      <c r="G98" s="5"/>
    </row>
    <row r="99" spans="3:7" x14ac:dyDescent="0.25">
      <c r="C99" s="3"/>
      <c r="D99" s="3"/>
      <c r="E99" s="4"/>
      <c r="F99" s="5"/>
      <c r="G99" s="5"/>
    </row>
    <row r="100" spans="3:7" x14ac:dyDescent="0.25">
      <c r="C100" s="3"/>
      <c r="D100" s="3"/>
      <c r="E100" s="4"/>
      <c r="F100" s="5"/>
      <c r="G100" s="5"/>
    </row>
    <row r="101" spans="3:7" x14ac:dyDescent="0.25">
      <c r="C101" s="3"/>
      <c r="D101" s="3"/>
      <c r="E101" s="4"/>
      <c r="F101" s="5"/>
      <c r="G101" s="5"/>
    </row>
    <row r="102" spans="3:7" x14ac:dyDescent="0.25">
      <c r="C102" s="3"/>
      <c r="D102" s="3"/>
      <c r="E102" s="4"/>
      <c r="F102" s="5"/>
      <c r="G102" s="5"/>
    </row>
    <row r="103" spans="3:7" x14ac:dyDescent="0.25">
      <c r="C103" s="3"/>
      <c r="D103" s="3"/>
      <c r="E103" s="4"/>
      <c r="F103" s="5"/>
      <c r="G103" s="5"/>
    </row>
    <row r="104" spans="3:7" x14ac:dyDescent="0.25">
      <c r="C104" s="3"/>
      <c r="D104" s="3"/>
      <c r="E104" s="4"/>
      <c r="F104" s="5"/>
      <c r="G104" s="5"/>
    </row>
    <row r="105" spans="3:7" x14ac:dyDescent="0.25">
      <c r="C105" s="3"/>
      <c r="D105" s="3"/>
      <c r="E105" s="4"/>
      <c r="F105" s="5"/>
      <c r="G105" s="5"/>
    </row>
    <row r="106" spans="3:7" x14ac:dyDescent="0.25">
      <c r="C106" s="3"/>
      <c r="D106" s="3"/>
      <c r="E106" s="4"/>
      <c r="F106" s="5"/>
      <c r="G106" s="5"/>
    </row>
    <row r="107" spans="3:7" x14ac:dyDescent="0.25">
      <c r="C107" s="3"/>
      <c r="D107" s="3"/>
      <c r="E107" s="4"/>
      <c r="F107" s="5"/>
      <c r="G107" s="5"/>
    </row>
    <row r="108" spans="3:7" x14ac:dyDescent="0.25">
      <c r="C108" s="3"/>
      <c r="D108" s="3"/>
      <c r="E108" s="4"/>
      <c r="F108" s="5"/>
      <c r="G108" s="5"/>
    </row>
    <row r="109" spans="3:7" x14ac:dyDescent="0.25">
      <c r="C109" s="3"/>
      <c r="D109" s="3"/>
      <c r="E109" s="4"/>
      <c r="F109" s="5"/>
      <c r="G109" s="5"/>
    </row>
    <row r="110" spans="3:7" x14ac:dyDescent="0.25">
      <c r="C110" s="3"/>
      <c r="D110" s="3"/>
      <c r="E110" s="4"/>
      <c r="F110" s="5"/>
      <c r="G110" s="5"/>
    </row>
    <row r="111" spans="3:7" x14ac:dyDescent="0.25">
      <c r="C111" s="3"/>
      <c r="D111" s="3"/>
      <c r="E111" s="4"/>
      <c r="F111" s="5"/>
      <c r="G111" s="5"/>
    </row>
    <row r="112" spans="3:7" x14ac:dyDescent="0.25">
      <c r="C112" s="3"/>
      <c r="D112" s="3"/>
      <c r="E112" s="4"/>
      <c r="F112" s="5"/>
      <c r="G112" s="5"/>
    </row>
    <row r="113" spans="3:7" x14ac:dyDescent="0.25">
      <c r="C113" s="3"/>
      <c r="D113" s="3"/>
      <c r="E113" s="4"/>
      <c r="F113" s="5"/>
      <c r="G113" s="5"/>
    </row>
    <row r="114" spans="3:7" x14ac:dyDescent="0.25">
      <c r="C114" s="3"/>
      <c r="D114" s="3"/>
      <c r="E114" s="4"/>
      <c r="F114" s="5"/>
      <c r="G114" s="5"/>
    </row>
    <row r="115" spans="3:7" x14ac:dyDescent="0.25">
      <c r="C115" s="3"/>
      <c r="D115" s="3"/>
      <c r="E115" s="4"/>
      <c r="F115" s="5"/>
      <c r="G115" s="5"/>
    </row>
    <row r="116" spans="3:7" x14ac:dyDescent="0.25">
      <c r="C116" s="3"/>
      <c r="D116" s="3"/>
      <c r="E116" s="4"/>
      <c r="F116" s="5"/>
      <c r="G116" s="5"/>
    </row>
    <row r="117" spans="3:7" x14ac:dyDescent="0.25">
      <c r="C117" s="3"/>
      <c r="D117" s="3"/>
      <c r="E117" s="4"/>
      <c r="F117" s="5"/>
      <c r="G117" s="5"/>
    </row>
    <row r="118" spans="3:7" x14ac:dyDescent="0.25">
      <c r="C118" s="3"/>
      <c r="D118" s="3"/>
      <c r="E118" s="4"/>
      <c r="F118" s="5"/>
      <c r="G118" s="5"/>
    </row>
    <row r="119" spans="3:7" x14ac:dyDescent="0.25">
      <c r="C119" s="3"/>
      <c r="D119" s="3"/>
      <c r="E119" s="4"/>
      <c r="F119" s="5"/>
      <c r="G119" s="5"/>
    </row>
    <row r="120" spans="3:7" x14ac:dyDescent="0.25">
      <c r="C120" s="3"/>
      <c r="D120" s="3"/>
      <c r="E120" s="4"/>
      <c r="F120" s="5"/>
      <c r="G120" s="5"/>
    </row>
    <row r="121" spans="3:7" x14ac:dyDescent="0.25">
      <c r="C121" s="3"/>
      <c r="D121" s="3"/>
      <c r="E121" s="4"/>
      <c r="F121" s="5"/>
      <c r="G121" s="5"/>
    </row>
    <row r="122" spans="3:7" x14ac:dyDescent="0.25">
      <c r="C122" s="3"/>
      <c r="D122" s="3"/>
      <c r="E122" s="4"/>
      <c r="F122" s="5"/>
      <c r="G122" s="5"/>
    </row>
    <row r="123" spans="3:7" x14ac:dyDescent="0.25">
      <c r="C123" s="3"/>
      <c r="D123" s="3"/>
      <c r="E123" s="4"/>
      <c r="F123" s="5"/>
      <c r="G123" s="5"/>
    </row>
    <row r="124" spans="3:7" x14ac:dyDescent="0.25">
      <c r="C124" s="3"/>
      <c r="D124" s="3"/>
      <c r="E124" s="4"/>
      <c r="F124" s="5"/>
      <c r="G124" s="5"/>
    </row>
    <row r="125" spans="3:7" x14ac:dyDescent="0.25">
      <c r="C125" s="3"/>
      <c r="D125" s="3"/>
      <c r="E125" s="4"/>
      <c r="F125" s="5"/>
      <c r="G125" s="5"/>
    </row>
    <row r="126" spans="3:7" x14ac:dyDescent="0.25">
      <c r="C126" s="3"/>
      <c r="D126" s="3"/>
      <c r="E126" s="4"/>
      <c r="F126" s="5"/>
      <c r="G126" s="5"/>
    </row>
    <row r="127" spans="3:7" x14ac:dyDescent="0.25">
      <c r="C127" s="3"/>
      <c r="D127" s="3"/>
      <c r="E127" s="4"/>
      <c r="F127" s="5"/>
      <c r="G127" s="5"/>
    </row>
    <row r="128" spans="3:7" x14ac:dyDescent="0.25">
      <c r="C128" s="3"/>
      <c r="D128" s="3"/>
      <c r="E128" s="4"/>
      <c r="F128" s="5"/>
      <c r="G128" s="5"/>
    </row>
    <row r="129" spans="3:7" x14ac:dyDescent="0.25">
      <c r="C129" s="3"/>
      <c r="D129" s="3"/>
      <c r="E129" s="4"/>
      <c r="F129" s="5"/>
      <c r="G129" s="5"/>
    </row>
    <row r="130" spans="3:7" x14ac:dyDescent="0.25">
      <c r="C130" s="3"/>
      <c r="D130" s="3"/>
      <c r="E130" s="4"/>
      <c r="F130" s="5"/>
      <c r="G130" s="5"/>
    </row>
    <row r="131" spans="3:7" x14ac:dyDescent="0.25">
      <c r="C131" s="3"/>
      <c r="D131" s="3"/>
      <c r="E131" s="4"/>
      <c r="F131" s="5"/>
      <c r="G131" s="5"/>
    </row>
    <row r="132" spans="3:7" x14ac:dyDescent="0.25">
      <c r="C132" s="3"/>
      <c r="D132" s="3"/>
      <c r="E132" s="4"/>
      <c r="F132" s="5"/>
      <c r="G132" s="5"/>
    </row>
    <row r="133" spans="3:7" x14ac:dyDescent="0.25">
      <c r="C133" s="3"/>
      <c r="D133" s="3"/>
      <c r="E133" s="4"/>
      <c r="F133" s="5"/>
      <c r="G133" s="5"/>
    </row>
    <row r="134" spans="3:7" x14ac:dyDescent="0.25">
      <c r="C134" s="3"/>
      <c r="D134" s="3"/>
      <c r="E134" s="4"/>
      <c r="F134" s="5"/>
      <c r="G134" s="5"/>
    </row>
    <row r="135" spans="3:7" x14ac:dyDescent="0.25">
      <c r="C135" s="3"/>
      <c r="D135" s="3"/>
      <c r="E135" s="4"/>
      <c r="F135" s="5"/>
      <c r="G135" s="5"/>
    </row>
    <row r="136" spans="3:7" x14ac:dyDescent="0.25">
      <c r="C136" s="3"/>
      <c r="D136" s="3"/>
      <c r="E136" s="4"/>
      <c r="F136" s="5"/>
      <c r="G136" s="5"/>
    </row>
    <row r="137" spans="3:7" x14ac:dyDescent="0.25">
      <c r="C137" s="3"/>
      <c r="D137" s="3"/>
      <c r="E137" s="4"/>
      <c r="F137" s="5"/>
      <c r="G137" s="5"/>
    </row>
    <row r="138" spans="3:7" x14ac:dyDescent="0.25">
      <c r="C138" s="3"/>
      <c r="D138" s="3"/>
      <c r="E138" s="4"/>
      <c r="F138" s="5"/>
      <c r="G138" s="5"/>
    </row>
    <row r="139" spans="3:7" x14ac:dyDescent="0.25">
      <c r="C139" s="3"/>
      <c r="D139" s="3"/>
      <c r="E139" s="4"/>
      <c r="F139" s="5"/>
      <c r="G139" s="5"/>
    </row>
    <row r="140" spans="3:7" x14ac:dyDescent="0.25">
      <c r="C140" s="3"/>
      <c r="D140" s="3"/>
      <c r="E140" s="4"/>
      <c r="F140" s="5"/>
      <c r="G140" s="5"/>
    </row>
    <row r="141" spans="3:7" x14ac:dyDescent="0.25">
      <c r="C141" s="3"/>
      <c r="D141" s="3"/>
      <c r="E141" s="4"/>
      <c r="F141" s="5"/>
      <c r="G141" s="5"/>
    </row>
    <row r="142" spans="3:7" x14ac:dyDescent="0.25">
      <c r="C142" s="3"/>
      <c r="D142" s="3"/>
      <c r="E142" s="4"/>
      <c r="F142" s="5"/>
      <c r="G142" s="5"/>
    </row>
    <row r="143" spans="3:7" x14ac:dyDescent="0.25">
      <c r="C143" s="3"/>
      <c r="D143" s="3"/>
      <c r="E143" s="4"/>
      <c r="F143" s="5"/>
      <c r="G143" s="5"/>
    </row>
    <row r="144" spans="3:7" x14ac:dyDescent="0.25">
      <c r="C144" s="3"/>
      <c r="D144" s="3"/>
      <c r="E144" s="4"/>
      <c r="F144" s="5"/>
      <c r="G144" s="5"/>
    </row>
    <row r="145" spans="3:7" x14ac:dyDescent="0.25">
      <c r="C145" s="3"/>
      <c r="D145" s="3"/>
      <c r="E145" s="4"/>
      <c r="F145" s="5"/>
      <c r="G145" s="5"/>
    </row>
    <row r="146" spans="3:7" x14ac:dyDescent="0.25">
      <c r="C146" s="3"/>
      <c r="D146" s="3"/>
      <c r="E146" s="4"/>
      <c r="F146" s="5"/>
      <c r="G146" s="5"/>
    </row>
    <row r="147" spans="3:7" x14ac:dyDescent="0.25">
      <c r="C147" s="3"/>
      <c r="D147" s="3"/>
      <c r="E147" s="4"/>
      <c r="F147" s="5"/>
      <c r="G147" s="5"/>
    </row>
    <row r="148" spans="3:7" x14ac:dyDescent="0.25">
      <c r="C148" s="3"/>
      <c r="D148" s="3"/>
      <c r="E148" s="4"/>
      <c r="F148" s="5"/>
      <c r="G148" s="5"/>
    </row>
    <row r="149" spans="3:7" x14ac:dyDescent="0.25">
      <c r="C149" s="3"/>
      <c r="D149" s="3"/>
      <c r="E149" s="4"/>
      <c r="F149" s="5"/>
      <c r="G149" s="5"/>
    </row>
    <row r="150" spans="3:7" x14ac:dyDescent="0.25">
      <c r="C150" s="3"/>
      <c r="D150" s="3"/>
      <c r="E150" s="4"/>
      <c r="F150" s="5"/>
      <c r="G150" s="5"/>
    </row>
    <row r="151" spans="3:7" x14ac:dyDescent="0.25">
      <c r="C151" s="3"/>
      <c r="D151" s="3"/>
      <c r="E151" s="4"/>
      <c r="F151" s="5"/>
      <c r="G151" s="5"/>
    </row>
    <row r="152" spans="3:7" x14ac:dyDescent="0.25">
      <c r="C152" s="3"/>
      <c r="D152" s="3"/>
      <c r="E152" s="4"/>
      <c r="F152" s="5"/>
      <c r="G152" s="5"/>
    </row>
    <row r="153" spans="3:7" x14ac:dyDescent="0.25">
      <c r="C153" s="3"/>
      <c r="D153" s="3"/>
      <c r="E153" s="4"/>
      <c r="F153" s="5"/>
      <c r="G153" s="5"/>
    </row>
    <row r="154" spans="3:7" x14ac:dyDescent="0.25">
      <c r="C154" s="3"/>
      <c r="D154" s="3"/>
      <c r="E154" s="4"/>
      <c r="F154" s="5"/>
      <c r="G154" s="5"/>
    </row>
    <row r="155" spans="3:7" x14ac:dyDescent="0.25">
      <c r="C155" s="3"/>
      <c r="D155" s="3"/>
      <c r="E155" s="4"/>
      <c r="F155" s="5"/>
      <c r="G155" s="5"/>
    </row>
    <row r="156" spans="3:7" x14ac:dyDescent="0.25">
      <c r="C156" s="3"/>
      <c r="D156" s="3"/>
      <c r="E156" s="4"/>
      <c r="F156" s="5"/>
      <c r="G156" s="5"/>
    </row>
    <row r="157" spans="3:7" x14ac:dyDescent="0.25">
      <c r="C157" s="3"/>
      <c r="D157" s="3"/>
      <c r="E157" s="4"/>
      <c r="F157" s="5"/>
      <c r="G157" s="5"/>
    </row>
    <row r="158" spans="3:7" x14ac:dyDescent="0.25">
      <c r="C158" s="3"/>
      <c r="D158" s="3"/>
      <c r="E158" s="4"/>
      <c r="F158" s="5"/>
      <c r="G158" s="5"/>
    </row>
    <row r="159" spans="3:7" x14ac:dyDescent="0.25">
      <c r="C159" s="3"/>
      <c r="D159" s="3"/>
      <c r="E159" s="4"/>
      <c r="F159" s="5"/>
      <c r="G159" s="5"/>
    </row>
    <row r="160" spans="3:7" x14ac:dyDescent="0.25">
      <c r="C160" s="3"/>
      <c r="D160" s="3"/>
      <c r="E160" s="4"/>
      <c r="F160" s="5"/>
      <c r="G160" s="5"/>
    </row>
    <row r="161" spans="3:7" x14ac:dyDescent="0.25">
      <c r="C161" s="3"/>
      <c r="D161" s="3"/>
      <c r="E161" s="4"/>
      <c r="F161" s="5"/>
      <c r="G161" s="5"/>
    </row>
    <row r="162" spans="3:7" x14ac:dyDescent="0.25">
      <c r="C162" s="3"/>
      <c r="D162" s="3"/>
      <c r="E162" s="4"/>
      <c r="F162" s="5"/>
      <c r="G162" s="5"/>
    </row>
    <row r="163" spans="3:7" x14ac:dyDescent="0.25">
      <c r="C163" s="3"/>
      <c r="D163" s="3"/>
      <c r="E163" s="4"/>
      <c r="F163" s="5"/>
      <c r="G163" s="5"/>
    </row>
    <row r="164" spans="3:7" x14ac:dyDescent="0.25">
      <c r="C164" s="3"/>
      <c r="D164" s="3"/>
      <c r="E164" s="4"/>
      <c r="F164" s="5"/>
      <c r="G164" s="5"/>
    </row>
    <row r="165" spans="3:7" x14ac:dyDescent="0.25">
      <c r="C165" s="3"/>
      <c r="D165" s="3"/>
      <c r="E165" s="4"/>
      <c r="F165" s="5"/>
      <c r="G165" s="5"/>
    </row>
    <row r="166" spans="3:7" x14ac:dyDescent="0.25">
      <c r="C166" s="3"/>
      <c r="D166" s="3"/>
      <c r="E166" s="4"/>
      <c r="F166" s="5"/>
      <c r="G166" s="5"/>
    </row>
    <row r="167" spans="3:7" x14ac:dyDescent="0.25">
      <c r="C167" s="3"/>
      <c r="D167" s="3"/>
      <c r="E167" s="4"/>
      <c r="F167" s="5"/>
      <c r="G167" s="5"/>
    </row>
    <row r="168" spans="3:7" x14ac:dyDescent="0.25">
      <c r="C168" s="3"/>
      <c r="D168" s="3"/>
      <c r="E168" s="4"/>
      <c r="F168" s="5"/>
      <c r="G168" s="5"/>
    </row>
    <row r="169" spans="3:7" x14ac:dyDescent="0.25">
      <c r="C169" s="3"/>
      <c r="D169" s="3"/>
      <c r="E169" s="4"/>
      <c r="F169" s="5"/>
      <c r="G169" s="5"/>
    </row>
    <row r="170" spans="3:7" x14ac:dyDescent="0.25">
      <c r="C170" s="3"/>
      <c r="D170" s="3"/>
      <c r="E170" s="4"/>
      <c r="F170" s="5"/>
      <c r="G170" s="5"/>
    </row>
    <row r="171" spans="3:7" x14ac:dyDescent="0.25">
      <c r="C171" s="3"/>
      <c r="D171" s="3"/>
      <c r="E171" s="4"/>
      <c r="F171" s="5"/>
      <c r="G171" s="5"/>
    </row>
    <row r="172" spans="3:7" x14ac:dyDescent="0.25">
      <c r="C172" s="3"/>
      <c r="D172" s="3"/>
      <c r="E172" s="4"/>
      <c r="F172" s="5"/>
      <c r="G172" s="5"/>
    </row>
    <row r="173" spans="3:7" x14ac:dyDescent="0.25">
      <c r="C173" s="3"/>
      <c r="D173" s="3"/>
      <c r="E173" s="4"/>
      <c r="F173" s="5"/>
      <c r="G173" s="5"/>
    </row>
    <row r="174" spans="3:7" x14ac:dyDescent="0.25">
      <c r="C174" s="3"/>
      <c r="D174" s="3"/>
      <c r="E174" s="4"/>
      <c r="F174" s="5"/>
      <c r="G174" s="5"/>
    </row>
    <row r="175" spans="3:7" x14ac:dyDescent="0.25">
      <c r="C175" s="3"/>
      <c r="D175" s="3"/>
      <c r="E175" s="4"/>
      <c r="F175" s="5"/>
      <c r="G175" s="5"/>
    </row>
    <row r="176" spans="3:7" x14ac:dyDescent="0.25">
      <c r="C176" s="3"/>
      <c r="D176" s="3"/>
      <c r="E176" s="4"/>
      <c r="F176" s="5"/>
      <c r="G176" s="5"/>
    </row>
    <row r="177" spans="3:7" x14ac:dyDescent="0.25">
      <c r="C177" s="3"/>
      <c r="D177" s="3"/>
      <c r="E177" s="4"/>
      <c r="F177" s="5"/>
      <c r="G177" s="5"/>
    </row>
    <row r="178" spans="3:7" x14ac:dyDescent="0.25">
      <c r="C178" s="3"/>
      <c r="D178" s="3"/>
      <c r="E178" s="4"/>
      <c r="F178" s="5"/>
      <c r="G178" s="5"/>
    </row>
    <row r="179" spans="3:7" x14ac:dyDescent="0.25">
      <c r="C179" s="3"/>
      <c r="D179" s="3"/>
      <c r="E179" s="4"/>
      <c r="F179" s="5"/>
      <c r="G179" s="5"/>
    </row>
    <row r="180" spans="3:7" x14ac:dyDescent="0.25">
      <c r="C180" s="3"/>
      <c r="D180" s="3"/>
      <c r="E180" s="4"/>
      <c r="F180" s="5"/>
      <c r="G180" s="5"/>
    </row>
    <row r="181" spans="3:7" x14ac:dyDescent="0.25">
      <c r="C181" s="3"/>
      <c r="D181" s="3"/>
      <c r="E181" s="4"/>
      <c r="F181" s="5"/>
      <c r="G181" s="5"/>
    </row>
    <row r="182" spans="3:7" x14ac:dyDescent="0.25">
      <c r="C182" s="3"/>
      <c r="D182" s="3"/>
      <c r="E182" s="4"/>
      <c r="F182" s="5"/>
      <c r="G182" s="5"/>
    </row>
    <row r="183" spans="3:7" x14ac:dyDescent="0.25">
      <c r="C183" s="3"/>
      <c r="D183" s="3"/>
      <c r="E183" s="4"/>
      <c r="F183" s="5"/>
      <c r="G183" s="5"/>
    </row>
    <row r="184" spans="3:7" x14ac:dyDescent="0.25">
      <c r="C184" s="3"/>
      <c r="D184" s="3"/>
      <c r="E184" s="4"/>
      <c r="F184" s="5"/>
      <c r="G184" s="5"/>
    </row>
    <row r="185" spans="3:7" x14ac:dyDescent="0.25">
      <c r="C185" s="3"/>
      <c r="D185" s="3"/>
      <c r="E185" s="4"/>
      <c r="F185" s="5"/>
      <c r="G185" s="5"/>
    </row>
    <row r="186" spans="3:7" x14ac:dyDescent="0.25">
      <c r="C186" s="3"/>
      <c r="D186" s="3"/>
      <c r="E186" s="4"/>
      <c r="F186" s="5"/>
      <c r="G186" s="5"/>
    </row>
    <row r="187" spans="3:7" x14ac:dyDescent="0.25">
      <c r="C187" s="3"/>
      <c r="D187" s="3"/>
      <c r="E187" s="4"/>
      <c r="F187" s="5"/>
      <c r="G187" s="5"/>
    </row>
    <row r="188" spans="3:7" x14ac:dyDescent="0.25">
      <c r="C188" s="3"/>
      <c r="D188" s="3"/>
      <c r="E188" s="4"/>
      <c r="F188" s="5"/>
      <c r="G188" s="5"/>
    </row>
    <row r="189" spans="3:7" x14ac:dyDescent="0.25">
      <c r="C189" s="3"/>
      <c r="D189" s="3"/>
      <c r="E189" s="4"/>
      <c r="F189" s="5"/>
      <c r="G189" s="5"/>
    </row>
    <row r="190" spans="3:7" x14ac:dyDescent="0.25">
      <c r="C190" s="3"/>
      <c r="D190" s="3"/>
      <c r="E190" s="4"/>
      <c r="F190" s="5"/>
      <c r="G190" s="5"/>
    </row>
    <row r="191" spans="3:7" x14ac:dyDescent="0.25">
      <c r="C191" s="3"/>
      <c r="D191" s="3"/>
      <c r="E191" s="4"/>
      <c r="F191" s="5"/>
      <c r="G191" s="5"/>
    </row>
    <row r="192" spans="3:7" x14ac:dyDescent="0.25">
      <c r="C192" s="3"/>
      <c r="D192" s="3"/>
      <c r="E192" s="4"/>
      <c r="F192" s="5"/>
      <c r="G192" s="5"/>
    </row>
    <row r="193" spans="3:7" x14ac:dyDescent="0.25">
      <c r="C193" s="3"/>
      <c r="D193" s="3"/>
      <c r="E193" s="4"/>
      <c r="F193" s="5"/>
      <c r="G193" s="5"/>
    </row>
    <row r="194" spans="3:7" x14ac:dyDescent="0.25">
      <c r="C194" s="3"/>
      <c r="D194" s="3"/>
      <c r="E194" s="4"/>
      <c r="F194" s="5"/>
      <c r="G194" s="5"/>
    </row>
    <row r="195" spans="3:7" x14ac:dyDescent="0.25">
      <c r="C195" s="3"/>
      <c r="D195" s="3"/>
      <c r="E195" s="4"/>
      <c r="F195" s="5"/>
      <c r="G195" s="5"/>
    </row>
    <row r="196" spans="3:7" x14ac:dyDescent="0.25">
      <c r="C196" s="3"/>
      <c r="D196" s="3"/>
      <c r="E196" s="4"/>
      <c r="F196" s="5"/>
      <c r="G196" s="5"/>
    </row>
    <row r="197" spans="3:7" x14ac:dyDescent="0.25">
      <c r="C197" s="3"/>
      <c r="D197" s="3"/>
      <c r="E197" s="4"/>
      <c r="F197" s="5"/>
      <c r="G197" s="5"/>
    </row>
    <row r="198" spans="3:7" x14ac:dyDescent="0.25">
      <c r="C198" s="3"/>
      <c r="D198" s="3"/>
      <c r="E198" s="4"/>
      <c r="F198" s="5"/>
      <c r="G198" s="5"/>
    </row>
    <row r="199" spans="3:7" x14ac:dyDescent="0.25">
      <c r="C199" s="3"/>
      <c r="D199" s="3"/>
      <c r="E199" s="4"/>
      <c r="F199" s="5"/>
      <c r="G199" s="5"/>
    </row>
    <row r="200" spans="3:7" x14ac:dyDescent="0.25">
      <c r="C200" s="3"/>
      <c r="D200" s="3"/>
      <c r="E200" s="4"/>
      <c r="F200" s="5"/>
      <c r="G200" s="5"/>
    </row>
    <row r="201" spans="3:7" x14ac:dyDescent="0.25">
      <c r="C201" s="3"/>
      <c r="D201" s="3"/>
      <c r="E201" s="4"/>
      <c r="F201" s="5"/>
      <c r="G201" s="5"/>
    </row>
    <row r="202" spans="3:7" x14ac:dyDescent="0.25">
      <c r="C202" s="3"/>
      <c r="D202" s="3"/>
      <c r="E202" s="4"/>
      <c r="F202" s="5"/>
      <c r="G202" s="5"/>
    </row>
    <row r="203" spans="3:7" x14ac:dyDescent="0.25">
      <c r="C203" s="3"/>
      <c r="D203" s="3"/>
      <c r="E203" s="4"/>
      <c r="F203" s="5"/>
      <c r="G203" s="5"/>
    </row>
    <row r="204" spans="3:7" x14ac:dyDescent="0.25">
      <c r="C204" s="3"/>
      <c r="D204" s="3"/>
      <c r="E204" s="4"/>
      <c r="F204" s="5"/>
      <c r="G204" s="5"/>
    </row>
    <row r="205" spans="3:7" x14ac:dyDescent="0.25">
      <c r="C205" s="3"/>
      <c r="D205" s="3"/>
      <c r="E205" s="4"/>
      <c r="F205" s="5"/>
      <c r="G205" s="5"/>
    </row>
    <row r="206" spans="3:7" x14ac:dyDescent="0.25">
      <c r="C206" s="3"/>
      <c r="D206" s="3"/>
      <c r="E206" s="4"/>
      <c r="F206" s="5"/>
      <c r="G206" s="5"/>
    </row>
    <row r="207" spans="3:7" x14ac:dyDescent="0.25">
      <c r="C207" s="3"/>
      <c r="D207" s="3"/>
      <c r="E207" s="4"/>
      <c r="F207" s="5"/>
      <c r="G207" s="5"/>
    </row>
    <row r="208" spans="3:7" x14ac:dyDescent="0.25">
      <c r="C208" s="3"/>
      <c r="D208" s="3"/>
      <c r="E208" s="4"/>
      <c r="F208" s="5"/>
      <c r="G208" s="5"/>
    </row>
    <row r="209" spans="3:7" x14ac:dyDescent="0.25">
      <c r="C209" s="3"/>
      <c r="D209" s="3"/>
      <c r="E209" s="4"/>
      <c r="F209" s="5"/>
      <c r="G209" s="5"/>
    </row>
    <row r="210" spans="3:7" x14ac:dyDescent="0.25">
      <c r="C210" s="3"/>
      <c r="D210" s="3"/>
      <c r="E210" s="4"/>
      <c r="F210" s="5"/>
      <c r="G210" s="5"/>
    </row>
    <row r="211" spans="3:7" x14ac:dyDescent="0.25">
      <c r="C211" s="3"/>
      <c r="D211" s="3"/>
      <c r="E211" s="4"/>
      <c r="F211" s="5"/>
      <c r="G211" s="5"/>
    </row>
    <row r="212" spans="3:7" x14ac:dyDescent="0.25">
      <c r="C212" s="3"/>
      <c r="D212" s="3"/>
      <c r="E212" s="4"/>
      <c r="F212" s="5"/>
      <c r="G212" s="5"/>
    </row>
    <row r="213" spans="3:7" x14ac:dyDescent="0.25">
      <c r="C213" s="3"/>
      <c r="D213" s="3"/>
      <c r="E213" s="4"/>
      <c r="F213" s="5"/>
      <c r="G213" s="5"/>
    </row>
    <row r="214" spans="3:7" x14ac:dyDescent="0.25">
      <c r="C214" s="3"/>
      <c r="D214" s="3"/>
      <c r="E214" s="4"/>
      <c r="F214" s="5"/>
      <c r="G214" s="5"/>
    </row>
    <row r="215" spans="3:7" x14ac:dyDescent="0.25">
      <c r="C215" s="3"/>
      <c r="D215" s="3"/>
      <c r="E215" s="4"/>
      <c r="F215" s="5"/>
      <c r="G215" s="5"/>
    </row>
    <row r="216" spans="3:7" x14ac:dyDescent="0.25">
      <c r="C216" s="3"/>
      <c r="D216" s="3"/>
      <c r="E216" s="4"/>
      <c r="F216" s="5"/>
      <c r="G216" s="5"/>
    </row>
    <row r="217" spans="3:7" x14ac:dyDescent="0.25">
      <c r="C217" s="3"/>
      <c r="D217" s="3"/>
      <c r="E217" s="4"/>
      <c r="F217" s="5"/>
      <c r="G217" s="5"/>
    </row>
    <row r="218" spans="3:7" x14ac:dyDescent="0.25">
      <c r="C218" s="3"/>
      <c r="D218" s="3"/>
      <c r="E218" s="4"/>
      <c r="F218" s="5"/>
      <c r="G218" s="5"/>
    </row>
    <row r="219" spans="3:7" x14ac:dyDescent="0.25">
      <c r="C219" s="3"/>
      <c r="D219" s="3"/>
      <c r="E219" s="4"/>
      <c r="F219" s="5"/>
      <c r="G219" s="5"/>
    </row>
    <row r="220" spans="3:7" x14ac:dyDescent="0.25">
      <c r="C220" s="3"/>
      <c r="D220" s="3"/>
      <c r="E220" s="4"/>
      <c r="F220" s="5"/>
      <c r="G220" s="5"/>
    </row>
    <row r="221" spans="3:7" x14ac:dyDescent="0.25">
      <c r="C221" s="3"/>
      <c r="D221" s="3"/>
      <c r="E221" s="4"/>
      <c r="F221" s="5"/>
      <c r="G221" s="5"/>
    </row>
  </sheetData>
  <conditionalFormatting sqref="Q5:Y5">
    <cfRule type="cellIs" dxfId="1" priority="8" operator="between">
      <formula>1000</formula>
      <formula>3000</formula>
    </cfRule>
    <cfRule type="cellIs" dxfId="0" priority="9" operator="greaterThan">
      <formula>3333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showGridLines="0" workbookViewId="0">
      <pane xSplit="6" ySplit="1" topLeftCell="G2" activePane="bottomRight" state="frozen"/>
      <selection pane="topRight" activeCell="G1" sqref="G1"/>
      <selection pane="bottomLeft" activeCell="A2" sqref="A2"/>
      <selection pane="bottomRight" activeCell="D2" sqref="D2:D10"/>
    </sheetView>
  </sheetViews>
  <sheetFormatPr defaultRowHeight="15" x14ac:dyDescent="0.25"/>
  <cols>
    <col min="1" max="1" width="10.42578125" bestFit="1" customWidth="1"/>
    <col min="2" max="2" width="10.85546875" bestFit="1" customWidth="1"/>
    <col min="3" max="3" width="33.42578125" customWidth="1"/>
    <col min="4" max="4" width="7.85546875" bestFit="1" customWidth="1"/>
    <col min="5" max="5" width="6.140625" bestFit="1" customWidth="1"/>
    <col min="6" max="6" width="8.85546875" bestFit="1" customWidth="1"/>
    <col min="7" max="7" width="14.28515625" bestFit="1" customWidth="1"/>
    <col min="8" max="8" width="9.7109375" customWidth="1"/>
    <col min="9" max="9" width="10.85546875" bestFit="1" customWidth="1"/>
  </cols>
  <sheetData>
    <row r="1" spans="1:8" x14ac:dyDescent="0.25">
      <c r="A1" s="16" t="s">
        <v>118</v>
      </c>
      <c r="B1" s="16" t="s">
        <v>119</v>
      </c>
      <c r="C1" s="16" t="s">
        <v>120</v>
      </c>
      <c r="D1" s="16" t="s">
        <v>121</v>
      </c>
      <c r="E1" s="16" t="s">
        <v>122</v>
      </c>
      <c r="F1" s="16" t="s">
        <v>123</v>
      </c>
      <c r="G1" s="16" t="s">
        <v>170</v>
      </c>
      <c r="H1" s="16" t="s">
        <v>124</v>
      </c>
    </row>
    <row r="2" spans="1:8" x14ac:dyDescent="0.25">
      <c r="A2" s="17" t="s">
        <v>125</v>
      </c>
      <c r="B2" s="17">
        <v>682</v>
      </c>
      <c r="C2" s="17" t="s">
        <v>14</v>
      </c>
      <c r="D2" s="17">
        <v>1095.4100000000001</v>
      </c>
      <c r="E2" s="17" t="s">
        <v>126</v>
      </c>
      <c r="F2" s="17" t="s">
        <v>127</v>
      </c>
      <c r="G2" s="18">
        <v>480884.99000000005</v>
      </c>
      <c r="H2" s="56">
        <f>G2/D2</f>
        <v>439</v>
      </c>
    </row>
    <row r="3" spans="1:8" x14ac:dyDescent="0.25">
      <c r="A3" s="17" t="s">
        <v>125</v>
      </c>
      <c r="B3" s="17">
        <v>683</v>
      </c>
      <c r="C3" s="17" t="s">
        <v>15</v>
      </c>
      <c r="D3" s="17">
        <v>1095.4100000000001</v>
      </c>
      <c r="E3" s="17" t="s">
        <v>126</v>
      </c>
      <c r="F3" s="17" t="s">
        <v>127</v>
      </c>
      <c r="G3" s="18">
        <v>544418.77</v>
      </c>
      <c r="H3" s="56">
        <f t="shared" ref="H3:H10" si="0">G3/D3</f>
        <v>497</v>
      </c>
    </row>
    <row r="4" spans="1:8" x14ac:dyDescent="0.25">
      <c r="A4" s="17" t="s">
        <v>128</v>
      </c>
      <c r="B4" s="17">
        <v>684</v>
      </c>
      <c r="C4" s="17" t="s">
        <v>16</v>
      </c>
      <c r="D4" s="17">
        <v>4202.87</v>
      </c>
      <c r="E4" s="17" t="s">
        <v>126</v>
      </c>
      <c r="F4" s="17" t="s">
        <v>127</v>
      </c>
      <c r="G4" s="18">
        <v>5215761.67</v>
      </c>
      <c r="H4" s="56">
        <f t="shared" si="0"/>
        <v>1241</v>
      </c>
    </row>
    <row r="5" spans="1:8" x14ac:dyDescent="0.25">
      <c r="A5" s="17" t="s">
        <v>129</v>
      </c>
      <c r="B5" s="17">
        <v>686</v>
      </c>
      <c r="C5" s="17" t="s">
        <v>17</v>
      </c>
      <c r="D5" s="17">
        <v>6222.78</v>
      </c>
      <c r="E5" s="17" t="s">
        <v>126</v>
      </c>
      <c r="F5" s="17" t="s">
        <v>127</v>
      </c>
      <c r="G5" s="18">
        <v>2345988.06</v>
      </c>
      <c r="H5" s="56">
        <f t="shared" si="0"/>
        <v>377</v>
      </c>
    </row>
    <row r="6" spans="1:8" x14ac:dyDescent="0.25">
      <c r="A6" s="17" t="s">
        <v>130</v>
      </c>
      <c r="B6" s="17">
        <v>708</v>
      </c>
      <c r="C6" s="17" t="s">
        <v>18</v>
      </c>
      <c r="D6" s="17">
        <v>4364.83</v>
      </c>
      <c r="E6" s="17" t="s">
        <v>126</v>
      </c>
      <c r="F6" s="17" t="s">
        <v>127</v>
      </c>
      <c r="G6" s="18">
        <v>25774321.149999999</v>
      </c>
      <c r="H6" s="56">
        <f t="shared" si="0"/>
        <v>5905</v>
      </c>
    </row>
    <row r="7" spans="1:8" x14ac:dyDescent="0.25">
      <c r="A7" s="17" t="s">
        <v>131</v>
      </c>
      <c r="B7" s="17">
        <v>710</v>
      </c>
      <c r="C7" s="17" t="s">
        <v>19</v>
      </c>
      <c r="D7" s="17">
        <v>6889.5</v>
      </c>
      <c r="E7" s="17" t="s">
        <v>126</v>
      </c>
      <c r="F7" s="17" t="s">
        <v>127</v>
      </c>
      <c r="G7" s="18">
        <v>15253353</v>
      </c>
      <c r="H7" s="56">
        <f t="shared" si="0"/>
        <v>2214</v>
      </c>
    </row>
    <row r="8" spans="1:8" x14ac:dyDescent="0.25">
      <c r="A8" s="17" t="s">
        <v>132</v>
      </c>
      <c r="B8" s="17">
        <v>750</v>
      </c>
      <c r="C8" s="17" t="s">
        <v>20</v>
      </c>
      <c r="D8" s="17">
        <v>6147.21</v>
      </c>
      <c r="E8" s="17" t="s">
        <v>126</v>
      </c>
      <c r="F8" s="17" t="s">
        <v>127</v>
      </c>
      <c r="G8" s="18">
        <v>3350229.45</v>
      </c>
      <c r="H8" s="56">
        <f t="shared" si="0"/>
        <v>545</v>
      </c>
    </row>
    <row r="9" spans="1:8" x14ac:dyDescent="0.25">
      <c r="A9" s="17" t="s">
        <v>167</v>
      </c>
      <c r="B9" s="17">
        <v>809</v>
      </c>
      <c r="C9" s="17" t="s">
        <v>168</v>
      </c>
      <c r="D9" s="17">
        <v>1499</v>
      </c>
      <c r="E9" s="17" t="s">
        <v>126</v>
      </c>
      <c r="F9" s="17" t="s">
        <v>127</v>
      </c>
      <c r="G9" s="18">
        <v>2452364</v>
      </c>
      <c r="H9" s="56">
        <f t="shared" si="0"/>
        <v>1636</v>
      </c>
    </row>
    <row r="10" spans="1:8" x14ac:dyDescent="0.25">
      <c r="A10" s="17" t="s">
        <v>167</v>
      </c>
      <c r="B10" s="17">
        <v>810</v>
      </c>
      <c r="C10" s="17" t="s">
        <v>169</v>
      </c>
      <c r="D10" s="17">
        <v>1874</v>
      </c>
      <c r="E10" s="17" t="s">
        <v>126</v>
      </c>
      <c r="F10" s="17" t="s">
        <v>127</v>
      </c>
      <c r="G10" s="18">
        <v>652152</v>
      </c>
      <c r="H10" s="56">
        <f t="shared" si="0"/>
        <v>348</v>
      </c>
    </row>
    <row r="11" spans="1:8" x14ac:dyDescent="0.25">
      <c r="A11" t="s">
        <v>167</v>
      </c>
      <c r="B11">
        <v>811</v>
      </c>
      <c r="C11" t="s">
        <v>188</v>
      </c>
      <c r="D11">
        <v>2324</v>
      </c>
      <c r="E11" t="s">
        <v>126</v>
      </c>
      <c r="F11" t="s">
        <v>127</v>
      </c>
      <c r="G11" s="4">
        <v>0</v>
      </c>
    </row>
    <row r="12" spans="1:8" x14ac:dyDescent="0.25">
      <c r="G12" s="4">
        <f>SUM(G2:G11)</f>
        <v>56069473.090000004</v>
      </c>
    </row>
    <row r="13" spans="1:8" x14ac:dyDescent="0.25">
      <c r="G13" s="4">
        <f>'Terr Target'!E89</f>
        <v>56069473.089999996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DF665-9C0D-49AF-9571-4F243577DEBE}">
  <dimension ref="A1:E186"/>
  <sheetViews>
    <sheetView zoomScaleNormal="100" workbookViewId="0">
      <pane xSplit="4" ySplit="1" topLeftCell="E88" activePane="bottomRight" state="frozen"/>
      <selection pane="topRight" activeCell="E1" sqref="E1"/>
      <selection pane="bottomLeft" activeCell="A2" sqref="A2"/>
      <selection pane="bottomRight"/>
    </sheetView>
  </sheetViews>
  <sheetFormatPr defaultRowHeight="15" x14ac:dyDescent="0.25"/>
  <cols>
    <col min="1" max="1" width="16.42578125" bestFit="1" customWidth="1"/>
    <col min="2" max="2" width="10.42578125" bestFit="1" customWidth="1"/>
    <col min="3" max="3" width="11.5703125" bestFit="1" customWidth="1"/>
    <col min="4" max="4" width="8.42578125" bestFit="1" customWidth="1"/>
    <col min="5" max="5" width="18.42578125" bestFit="1" customWidth="1"/>
  </cols>
  <sheetData>
    <row r="1" spans="1:5" x14ac:dyDescent="0.25">
      <c r="A1" s="16" t="s">
        <v>22</v>
      </c>
      <c r="B1" s="16" t="s">
        <v>133</v>
      </c>
      <c r="C1" s="16" t="s">
        <v>21</v>
      </c>
      <c r="D1" s="16" t="s">
        <v>134</v>
      </c>
      <c r="E1" s="16" t="s">
        <v>135</v>
      </c>
    </row>
    <row r="2" spans="1:5" x14ac:dyDescent="0.25">
      <c r="A2" s="17" t="s">
        <v>45</v>
      </c>
      <c r="B2" s="17" t="s">
        <v>141</v>
      </c>
      <c r="C2" s="17" t="s">
        <v>44</v>
      </c>
      <c r="D2" s="17" t="s">
        <v>137</v>
      </c>
      <c r="E2" s="33">
        <v>406626.82146715798</v>
      </c>
    </row>
    <row r="3" spans="1:5" x14ac:dyDescent="0.25">
      <c r="A3" s="17" t="s">
        <v>46</v>
      </c>
      <c r="B3" s="17" t="s">
        <v>141</v>
      </c>
      <c r="C3" s="17" t="s">
        <v>44</v>
      </c>
      <c r="D3" s="17" t="s">
        <v>137</v>
      </c>
      <c r="E3" s="33">
        <v>585992.60332877829</v>
      </c>
    </row>
    <row r="4" spans="1:5" x14ac:dyDescent="0.25">
      <c r="A4" s="17" t="s">
        <v>47</v>
      </c>
      <c r="B4" s="17" t="s">
        <v>141</v>
      </c>
      <c r="C4" s="17" t="s">
        <v>44</v>
      </c>
      <c r="D4" s="17" t="s">
        <v>137</v>
      </c>
      <c r="E4" s="33">
        <v>382076.63836729951</v>
      </c>
    </row>
    <row r="5" spans="1:5" x14ac:dyDescent="0.25">
      <c r="A5" s="17" t="s">
        <v>48</v>
      </c>
      <c r="B5" s="17" t="s">
        <v>142</v>
      </c>
      <c r="C5" s="17" t="s">
        <v>44</v>
      </c>
      <c r="D5" s="17" t="s">
        <v>137</v>
      </c>
      <c r="E5" s="33">
        <v>451889.53346080467</v>
      </c>
    </row>
    <row r="6" spans="1:5" x14ac:dyDescent="0.25">
      <c r="A6" s="17" t="s">
        <v>49</v>
      </c>
      <c r="B6" s="17" t="s">
        <v>142</v>
      </c>
      <c r="C6" s="17" t="s">
        <v>44</v>
      </c>
      <c r="D6" s="17" t="s">
        <v>137</v>
      </c>
      <c r="E6" s="33">
        <v>208105.80931777772</v>
      </c>
    </row>
    <row r="7" spans="1:5" x14ac:dyDescent="0.25">
      <c r="A7" s="17" t="s">
        <v>50</v>
      </c>
      <c r="B7" s="17" t="s">
        <v>142</v>
      </c>
      <c r="C7" s="17" t="s">
        <v>44</v>
      </c>
      <c r="D7" s="17" t="s">
        <v>137</v>
      </c>
      <c r="E7" s="33">
        <v>394466.77885277459</v>
      </c>
    </row>
    <row r="8" spans="1:5" x14ac:dyDescent="0.25">
      <c r="A8" s="17" t="s">
        <v>51</v>
      </c>
      <c r="B8" s="17" t="s">
        <v>143</v>
      </c>
      <c r="C8" s="17" t="s">
        <v>44</v>
      </c>
      <c r="D8" s="17" t="s">
        <v>137</v>
      </c>
      <c r="E8" s="33">
        <v>362897.14352377312</v>
      </c>
    </row>
    <row r="9" spans="1:5" x14ac:dyDescent="0.25">
      <c r="A9" s="17" t="s">
        <v>52</v>
      </c>
      <c r="B9" s="17" t="s">
        <v>143</v>
      </c>
      <c r="C9" s="17" t="s">
        <v>44</v>
      </c>
      <c r="D9" s="17" t="s">
        <v>137</v>
      </c>
      <c r="E9" s="33">
        <v>424105.48482790129</v>
      </c>
    </row>
    <row r="10" spans="1:5" x14ac:dyDescent="0.25">
      <c r="A10" s="17" t="s">
        <v>53</v>
      </c>
      <c r="B10" s="17" t="s">
        <v>143</v>
      </c>
      <c r="C10" s="17" t="s">
        <v>44</v>
      </c>
      <c r="D10" s="17" t="s">
        <v>137</v>
      </c>
      <c r="E10" s="33">
        <v>432825.3505884466</v>
      </c>
    </row>
    <row r="11" spans="1:5" x14ac:dyDescent="0.25">
      <c r="A11" s="17" t="s">
        <v>54</v>
      </c>
      <c r="B11" s="17" t="s">
        <v>143</v>
      </c>
      <c r="C11" s="17" t="s">
        <v>44</v>
      </c>
      <c r="D11" s="17" t="s">
        <v>137</v>
      </c>
      <c r="E11" s="33">
        <v>425619.47076442378</v>
      </c>
    </row>
    <row r="12" spans="1:5" x14ac:dyDescent="0.25">
      <c r="A12" s="17" t="s">
        <v>86</v>
      </c>
      <c r="B12" s="17" t="s">
        <v>153</v>
      </c>
      <c r="C12" s="17" t="s">
        <v>44</v>
      </c>
      <c r="D12" s="17" t="s">
        <v>137</v>
      </c>
      <c r="E12" s="33">
        <v>522485.88008866488</v>
      </c>
    </row>
    <row r="13" spans="1:5" x14ac:dyDescent="0.25">
      <c r="A13" s="17" t="s">
        <v>87</v>
      </c>
      <c r="B13" s="17" t="s">
        <v>153</v>
      </c>
      <c r="C13" s="17" t="s">
        <v>44</v>
      </c>
      <c r="D13" s="17" t="s">
        <v>137</v>
      </c>
      <c r="E13" s="33">
        <v>719071.51716829801</v>
      </c>
    </row>
    <row r="14" spans="1:5" x14ac:dyDescent="0.25">
      <c r="A14" s="17" t="s">
        <v>88</v>
      </c>
      <c r="B14" s="17" t="s">
        <v>153</v>
      </c>
      <c r="C14" s="17" t="s">
        <v>44</v>
      </c>
      <c r="D14" s="17" t="s">
        <v>137</v>
      </c>
      <c r="E14" s="33">
        <v>420416.84298779169</v>
      </c>
    </row>
    <row r="15" spans="1:5" x14ac:dyDescent="0.25">
      <c r="A15" s="17" t="s">
        <v>89</v>
      </c>
      <c r="B15" s="17" t="s">
        <v>153</v>
      </c>
      <c r="C15" s="17" t="s">
        <v>44</v>
      </c>
      <c r="D15" s="17" t="s">
        <v>137</v>
      </c>
      <c r="E15" s="33">
        <v>549789.21286314912</v>
      </c>
    </row>
    <row r="16" spans="1:5" x14ac:dyDescent="0.25">
      <c r="A16" s="17" t="s">
        <v>107</v>
      </c>
      <c r="B16" s="17" t="s">
        <v>159</v>
      </c>
      <c r="C16" s="17" t="s">
        <v>44</v>
      </c>
      <c r="D16" s="17" t="s">
        <v>137</v>
      </c>
      <c r="E16" s="33">
        <v>600892.23121182923</v>
      </c>
    </row>
    <row r="17" spans="1:5" x14ac:dyDescent="0.25">
      <c r="A17" s="17" t="s">
        <v>108</v>
      </c>
      <c r="B17" s="17" t="s">
        <v>159</v>
      </c>
      <c r="C17" s="17" t="s">
        <v>44</v>
      </c>
      <c r="D17" s="17" t="s">
        <v>137</v>
      </c>
      <c r="E17" s="33">
        <v>808535.97688230826</v>
      </c>
    </row>
    <row r="18" spans="1:5" x14ac:dyDescent="0.25">
      <c r="A18" s="17" t="s">
        <v>109</v>
      </c>
      <c r="B18" s="17" t="s">
        <v>159</v>
      </c>
      <c r="C18" s="17" t="s">
        <v>44</v>
      </c>
      <c r="D18" s="17" t="s">
        <v>137</v>
      </c>
      <c r="E18" s="33">
        <v>653601.67827227106</v>
      </c>
    </row>
    <row r="19" spans="1:5" x14ac:dyDescent="0.25">
      <c r="A19" s="17" t="s">
        <v>110</v>
      </c>
      <c r="B19" s="17" t="s">
        <v>159</v>
      </c>
      <c r="C19" s="17" t="s">
        <v>44</v>
      </c>
      <c r="D19" s="17" t="s">
        <v>137</v>
      </c>
      <c r="E19" s="33">
        <v>625301.40326723421</v>
      </c>
    </row>
    <row r="20" spans="1:5" x14ac:dyDescent="0.25">
      <c r="A20" s="17" t="s">
        <v>29</v>
      </c>
      <c r="B20" s="17" t="s">
        <v>136</v>
      </c>
      <c r="C20" s="17" t="s">
        <v>28</v>
      </c>
      <c r="D20" s="17" t="s">
        <v>137</v>
      </c>
      <c r="E20" s="33">
        <v>926799.02933874156</v>
      </c>
    </row>
    <row r="21" spans="1:5" x14ac:dyDescent="0.25">
      <c r="A21" s="17" t="s">
        <v>30</v>
      </c>
      <c r="B21" s="17" t="s">
        <v>136</v>
      </c>
      <c r="C21" s="17" t="s">
        <v>28</v>
      </c>
      <c r="D21" s="17" t="s">
        <v>137</v>
      </c>
      <c r="E21" s="33">
        <v>575761.09242190269</v>
      </c>
    </row>
    <row r="22" spans="1:5" x14ac:dyDescent="0.25">
      <c r="A22" s="17" t="s">
        <v>31</v>
      </c>
      <c r="B22" s="17" t="s">
        <v>136</v>
      </c>
      <c r="C22" s="17" t="s">
        <v>28</v>
      </c>
      <c r="D22" s="17" t="s">
        <v>137</v>
      </c>
      <c r="E22" s="33">
        <v>959428.33745223505</v>
      </c>
    </row>
    <row r="23" spans="1:5" x14ac:dyDescent="0.25">
      <c r="A23" s="17" t="s">
        <v>32</v>
      </c>
      <c r="B23" s="17" t="s">
        <v>136</v>
      </c>
      <c r="C23" s="17" t="s">
        <v>28</v>
      </c>
      <c r="D23" s="17" t="s">
        <v>137</v>
      </c>
      <c r="E23" s="33">
        <v>841686.52002419927</v>
      </c>
    </row>
    <row r="24" spans="1:5" x14ac:dyDescent="0.25">
      <c r="A24" s="17" t="s">
        <v>33</v>
      </c>
      <c r="B24" s="17" t="s">
        <v>138</v>
      </c>
      <c r="C24" s="17" t="s">
        <v>28</v>
      </c>
      <c r="D24" s="17" t="s">
        <v>137</v>
      </c>
      <c r="E24" s="33">
        <v>662603.01289420994</v>
      </c>
    </row>
    <row r="25" spans="1:5" x14ac:dyDescent="0.25">
      <c r="A25" s="17" t="s">
        <v>34</v>
      </c>
      <c r="B25" s="17" t="s">
        <v>138</v>
      </c>
      <c r="C25" s="17" t="s">
        <v>28</v>
      </c>
      <c r="D25" s="17" t="s">
        <v>137</v>
      </c>
      <c r="E25" s="33">
        <v>742144.17988963926</v>
      </c>
    </row>
    <row r="26" spans="1:5" x14ac:dyDescent="0.25">
      <c r="A26" s="17" t="s">
        <v>35</v>
      </c>
      <c r="B26" s="17" t="s">
        <v>138</v>
      </c>
      <c r="C26" s="17" t="s">
        <v>28</v>
      </c>
      <c r="D26" s="17" t="s">
        <v>137</v>
      </c>
      <c r="E26" s="33">
        <v>689959.59994501946</v>
      </c>
    </row>
    <row r="27" spans="1:5" x14ac:dyDescent="0.25">
      <c r="A27" s="17" t="s">
        <v>40</v>
      </c>
      <c r="B27" s="17" t="s">
        <v>140</v>
      </c>
      <c r="C27" s="17" t="s">
        <v>28</v>
      </c>
      <c r="D27" s="17" t="s">
        <v>137</v>
      </c>
      <c r="E27" s="33">
        <v>865023.63150944829</v>
      </c>
    </row>
    <row r="28" spans="1:5" x14ac:dyDescent="0.25">
      <c r="A28" s="17" t="s">
        <v>41</v>
      </c>
      <c r="B28" s="17" t="s">
        <v>140</v>
      </c>
      <c r="C28" s="17" t="s">
        <v>28</v>
      </c>
      <c r="D28" s="17" t="s">
        <v>137</v>
      </c>
      <c r="E28" s="33">
        <v>704592.28453084466</v>
      </c>
    </row>
    <row r="29" spans="1:5" x14ac:dyDescent="0.25">
      <c r="A29" s="17" t="s">
        <v>42</v>
      </c>
      <c r="B29" s="17" t="s">
        <v>140</v>
      </c>
      <c r="C29" s="17" t="s">
        <v>28</v>
      </c>
      <c r="D29" s="17" t="s">
        <v>137</v>
      </c>
      <c r="E29" s="33">
        <v>836248.00081908423</v>
      </c>
    </row>
    <row r="30" spans="1:5" x14ac:dyDescent="0.25">
      <c r="A30" s="17" t="s">
        <v>43</v>
      </c>
      <c r="B30" s="17" t="s">
        <v>140</v>
      </c>
      <c r="C30" s="17" t="s">
        <v>28</v>
      </c>
      <c r="D30" s="17" t="s">
        <v>137</v>
      </c>
      <c r="E30" s="33">
        <v>613628.32973161666</v>
      </c>
    </row>
    <row r="31" spans="1:5" x14ac:dyDescent="0.25">
      <c r="A31" s="17" t="s">
        <v>55</v>
      </c>
      <c r="B31" s="17" t="s">
        <v>144</v>
      </c>
      <c r="C31" s="17" t="s">
        <v>28</v>
      </c>
      <c r="D31" s="17" t="s">
        <v>137</v>
      </c>
      <c r="E31" s="33">
        <v>631353.43876081472</v>
      </c>
    </row>
    <row r="32" spans="1:5" x14ac:dyDescent="0.25">
      <c r="A32" s="17" t="s">
        <v>56</v>
      </c>
      <c r="B32" s="17" t="s">
        <v>144</v>
      </c>
      <c r="C32" s="17" t="s">
        <v>28</v>
      </c>
      <c r="D32" s="17" t="s">
        <v>137</v>
      </c>
      <c r="E32" s="33">
        <v>559985.86284853367</v>
      </c>
    </row>
    <row r="33" spans="1:5" x14ac:dyDescent="0.25">
      <c r="A33" s="17" t="s">
        <v>63</v>
      </c>
      <c r="B33" s="17" t="s">
        <v>147</v>
      </c>
      <c r="C33" s="17" t="s">
        <v>28</v>
      </c>
      <c r="D33" s="17" t="s">
        <v>137</v>
      </c>
      <c r="E33" s="33">
        <v>916835.77551261592</v>
      </c>
    </row>
    <row r="34" spans="1:5" x14ac:dyDescent="0.25">
      <c r="A34" s="17" t="s">
        <v>64</v>
      </c>
      <c r="B34" s="17" t="s">
        <v>147</v>
      </c>
      <c r="C34" s="17" t="s">
        <v>28</v>
      </c>
      <c r="D34" s="17" t="s">
        <v>137</v>
      </c>
      <c r="E34" s="33">
        <v>814334.89768526598</v>
      </c>
    </row>
    <row r="35" spans="1:5" x14ac:dyDescent="0.25">
      <c r="A35" s="17" t="s">
        <v>65</v>
      </c>
      <c r="B35" s="17" t="s">
        <v>147</v>
      </c>
      <c r="C35" s="17" t="s">
        <v>28</v>
      </c>
      <c r="D35" s="17" t="s">
        <v>137</v>
      </c>
      <c r="E35" s="33">
        <v>1213585.8178660593</v>
      </c>
    </row>
    <row r="36" spans="1:5" x14ac:dyDescent="0.25">
      <c r="A36" s="17" t="s">
        <v>66</v>
      </c>
      <c r="B36" s="17" t="s">
        <v>147</v>
      </c>
      <c r="C36" s="17" t="s">
        <v>28</v>
      </c>
      <c r="D36" s="17" t="s">
        <v>137</v>
      </c>
      <c r="E36" s="33">
        <v>812788.88355122041</v>
      </c>
    </row>
    <row r="37" spans="1:5" x14ac:dyDescent="0.25">
      <c r="A37" s="17" t="s">
        <v>78</v>
      </c>
      <c r="B37" s="17" t="s">
        <v>151</v>
      </c>
      <c r="C37" s="17" t="s">
        <v>28</v>
      </c>
      <c r="D37" s="17" t="s">
        <v>137</v>
      </c>
      <c r="E37" s="33">
        <v>548970.57997271453</v>
      </c>
    </row>
    <row r="38" spans="1:5" x14ac:dyDescent="0.25">
      <c r="A38" s="17" t="s">
        <v>79</v>
      </c>
      <c r="B38" s="17" t="s">
        <v>151</v>
      </c>
      <c r="C38" s="17" t="s">
        <v>28</v>
      </c>
      <c r="D38" s="17" t="s">
        <v>137</v>
      </c>
      <c r="E38" s="33">
        <v>460306.18180698308</v>
      </c>
    </row>
    <row r="39" spans="1:5" x14ac:dyDescent="0.25">
      <c r="A39" s="17" t="s">
        <v>80</v>
      </c>
      <c r="B39" s="17" t="s">
        <v>151</v>
      </c>
      <c r="C39" s="17" t="s">
        <v>28</v>
      </c>
      <c r="D39" s="17" t="s">
        <v>137</v>
      </c>
      <c r="E39" s="33">
        <v>718128.49589682417</v>
      </c>
    </row>
    <row r="40" spans="1:5" x14ac:dyDescent="0.25">
      <c r="A40" s="17" t="s">
        <v>81</v>
      </c>
      <c r="B40" s="17" t="s">
        <v>151</v>
      </c>
      <c r="C40" s="17" t="s">
        <v>28</v>
      </c>
      <c r="D40" s="17" t="s">
        <v>137</v>
      </c>
      <c r="E40" s="33">
        <v>836644.6630438799</v>
      </c>
    </row>
    <row r="41" spans="1:5" x14ac:dyDescent="0.25">
      <c r="A41" s="17" t="s">
        <v>82</v>
      </c>
      <c r="B41" s="17" t="s">
        <v>151</v>
      </c>
      <c r="C41" s="17" t="s">
        <v>28</v>
      </c>
      <c r="D41" s="17" t="s">
        <v>137</v>
      </c>
      <c r="E41" s="33">
        <v>585388.50929023616</v>
      </c>
    </row>
    <row r="42" spans="1:5" x14ac:dyDescent="0.25">
      <c r="A42" s="17" t="s">
        <v>83</v>
      </c>
      <c r="B42" s="17" t="s">
        <v>152</v>
      </c>
      <c r="C42" s="17" t="s">
        <v>28</v>
      </c>
      <c r="D42" s="17" t="s">
        <v>137</v>
      </c>
      <c r="E42" s="33">
        <v>453139.6755650728</v>
      </c>
    </row>
    <row r="43" spans="1:5" x14ac:dyDescent="0.25">
      <c r="A43" s="17" t="s">
        <v>84</v>
      </c>
      <c r="B43" s="17" t="s">
        <v>152</v>
      </c>
      <c r="C43" s="17" t="s">
        <v>28</v>
      </c>
      <c r="D43" s="17" t="s">
        <v>137</v>
      </c>
      <c r="E43" s="33">
        <v>694046.85212630942</v>
      </c>
    </row>
    <row r="44" spans="1:5" x14ac:dyDescent="0.25">
      <c r="A44" s="17" t="s">
        <v>85</v>
      </c>
      <c r="B44" s="17" t="s">
        <v>152</v>
      </c>
      <c r="C44" s="17" t="s">
        <v>28</v>
      </c>
      <c r="D44" s="17" t="s">
        <v>137</v>
      </c>
      <c r="E44" s="33">
        <v>863068.33070202684</v>
      </c>
    </row>
    <row r="45" spans="1:5" x14ac:dyDescent="0.25">
      <c r="A45" s="17" t="s">
        <v>94</v>
      </c>
      <c r="B45" s="17" t="s">
        <v>155</v>
      </c>
      <c r="C45" s="17" t="s">
        <v>28</v>
      </c>
      <c r="D45" s="17" t="s">
        <v>137</v>
      </c>
      <c r="E45" s="33">
        <v>662685.46543545905</v>
      </c>
    </row>
    <row r="46" spans="1:5" x14ac:dyDescent="0.25">
      <c r="A46" s="17" t="s">
        <v>95</v>
      </c>
      <c r="B46" s="17" t="s">
        <v>155</v>
      </c>
      <c r="C46" s="17" t="s">
        <v>28</v>
      </c>
      <c r="D46" s="17" t="s">
        <v>137</v>
      </c>
      <c r="E46" s="33">
        <v>450185.4219438007</v>
      </c>
    </row>
    <row r="47" spans="1:5" x14ac:dyDescent="0.25">
      <c r="A47" s="17" t="s">
        <v>96</v>
      </c>
      <c r="B47" s="17" t="s">
        <v>156</v>
      </c>
      <c r="C47" s="17" t="s">
        <v>28</v>
      </c>
      <c r="D47" s="17" t="s">
        <v>137</v>
      </c>
      <c r="E47" s="33">
        <v>562077.60100434732</v>
      </c>
    </row>
    <row r="48" spans="1:5" x14ac:dyDescent="0.25">
      <c r="A48" s="17" t="s">
        <v>97</v>
      </c>
      <c r="B48" s="17" t="s">
        <v>156</v>
      </c>
      <c r="C48" s="17" t="s">
        <v>28</v>
      </c>
      <c r="D48" s="17" t="s">
        <v>137</v>
      </c>
      <c r="E48" s="33">
        <v>509473.32295108325</v>
      </c>
    </row>
    <row r="49" spans="1:5" x14ac:dyDescent="0.25">
      <c r="A49" s="17" t="s">
        <v>98</v>
      </c>
      <c r="B49" s="17" t="s">
        <v>156</v>
      </c>
      <c r="C49" s="17" t="s">
        <v>28</v>
      </c>
      <c r="D49" s="17" t="s">
        <v>137</v>
      </c>
      <c r="E49" s="33">
        <v>488642.68301841617</v>
      </c>
    </row>
    <row r="50" spans="1:5" x14ac:dyDescent="0.25">
      <c r="A50" s="17" t="s">
        <v>99</v>
      </c>
      <c r="B50" s="17" t="s">
        <v>157</v>
      </c>
      <c r="C50" s="17" t="s">
        <v>28</v>
      </c>
      <c r="D50" s="17" t="s">
        <v>137</v>
      </c>
      <c r="E50" s="33">
        <v>431536.5381386677</v>
      </c>
    </row>
    <row r="51" spans="1:5" x14ac:dyDescent="0.25">
      <c r="A51" s="17" t="s">
        <v>100</v>
      </c>
      <c r="B51" s="17" t="s">
        <v>157</v>
      </c>
      <c r="C51" s="17" t="s">
        <v>28</v>
      </c>
      <c r="D51" s="17" t="s">
        <v>137</v>
      </c>
      <c r="E51" s="33">
        <v>503211.66186262213</v>
      </c>
    </row>
    <row r="52" spans="1:5" x14ac:dyDescent="0.25">
      <c r="A52" s="17" t="s">
        <v>101</v>
      </c>
      <c r="B52" s="17" t="s">
        <v>157</v>
      </c>
      <c r="C52" s="17" t="s">
        <v>28</v>
      </c>
      <c r="D52" s="17" t="s">
        <v>137</v>
      </c>
      <c r="E52" s="33">
        <v>634203.26258087333</v>
      </c>
    </row>
    <row r="53" spans="1:5" x14ac:dyDescent="0.25">
      <c r="A53" s="17" t="s">
        <v>111</v>
      </c>
      <c r="B53" s="17" t="s">
        <v>160</v>
      </c>
      <c r="C53" s="17" t="s">
        <v>28</v>
      </c>
      <c r="D53" s="17" t="s">
        <v>137</v>
      </c>
      <c r="E53" s="33">
        <v>407139.89030537504</v>
      </c>
    </row>
    <row r="54" spans="1:5" x14ac:dyDescent="0.25">
      <c r="A54" s="17" t="s">
        <v>112</v>
      </c>
      <c r="B54" s="17" t="s">
        <v>160</v>
      </c>
      <c r="C54" s="17" t="s">
        <v>28</v>
      </c>
      <c r="D54" s="17" t="s">
        <v>137</v>
      </c>
      <c r="E54" s="33">
        <v>557003.21591447771</v>
      </c>
    </row>
    <row r="55" spans="1:5" x14ac:dyDescent="0.25">
      <c r="A55" s="17" t="s">
        <v>113</v>
      </c>
      <c r="B55" s="17" t="s">
        <v>161</v>
      </c>
      <c r="C55" s="17" t="s">
        <v>28</v>
      </c>
      <c r="D55" s="17" t="s">
        <v>137</v>
      </c>
      <c r="E55" s="33">
        <v>880029.02915678953</v>
      </c>
    </row>
    <row r="56" spans="1:5" x14ac:dyDescent="0.25">
      <c r="A56" s="17" t="s">
        <v>114</v>
      </c>
      <c r="B56" s="17" t="s">
        <v>161</v>
      </c>
      <c r="C56" s="17" t="s">
        <v>28</v>
      </c>
      <c r="D56" s="17" t="s">
        <v>137</v>
      </c>
      <c r="E56" s="33">
        <v>1146007.7667164048</v>
      </c>
    </row>
    <row r="57" spans="1:5" x14ac:dyDescent="0.25">
      <c r="A57" s="17" t="s">
        <v>115</v>
      </c>
      <c r="B57" s="17" t="s">
        <v>161</v>
      </c>
      <c r="C57" s="17" t="s">
        <v>28</v>
      </c>
      <c r="D57" s="17" t="s">
        <v>137</v>
      </c>
      <c r="E57" s="33">
        <v>1137849.5361294332</v>
      </c>
    </row>
    <row r="58" spans="1:5" x14ac:dyDescent="0.25">
      <c r="A58" s="17" t="s">
        <v>116</v>
      </c>
      <c r="B58" s="17" t="s">
        <v>161</v>
      </c>
      <c r="C58" s="17" t="s">
        <v>28</v>
      </c>
      <c r="D58" s="17" t="s">
        <v>137</v>
      </c>
      <c r="E58" s="33">
        <v>575552.37038562051</v>
      </c>
    </row>
    <row r="59" spans="1:5" x14ac:dyDescent="0.25">
      <c r="A59" s="17" t="s">
        <v>117</v>
      </c>
      <c r="B59" s="17" t="s">
        <v>161</v>
      </c>
      <c r="C59" s="17" t="s">
        <v>28</v>
      </c>
      <c r="D59" s="17" t="s">
        <v>137</v>
      </c>
      <c r="E59" s="33">
        <v>462304.85342713835</v>
      </c>
    </row>
    <row r="60" spans="1:5" x14ac:dyDescent="0.25">
      <c r="A60" s="17" t="s">
        <v>37</v>
      </c>
      <c r="B60" s="17" t="s">
        <v>139</v>
      </c>
      <c r="C60" s="17" t="s">
        <v>36</v>
      </c>
      <c r="D60" s="17" t="s">
        <v>137</v>
      </c>
      <c r="E60" s="33">
        <v>508375.92474781821</v>
      </c>
    </row>
    <row r="61" spans="1:5" x14ac:dyDescent="0.25">
      <c r="A61" s="17" t="s">
        <v>38</v>
      </c>
      <c r="B61" s="17" t="s">
        <v>139</v>
      </c>
      <c r="C61" s="17" t="s">
        <v>36</v>
      </c>
      <c r="D61" s="17" t="s">
        <v>137</v>
      </c>
      <c r="E61" s="33">
        <v>536347.88061893045</v>
      </c>
    </row>
    <row r="62" spans="1:5" x14ac:dyDescent="0.25">
      <c r="A62" s="17" t="s">
        <v>39</v>
      </c>
      <c r="B62" s="17" t="s">
        <v>139</v>
      </c>
      <c r="C62" s="17" t="s">
        <v>36</v>
      </c>
      <c r="D62" s="17" t="s">
        <v>137</v>
      </c>
      <c r="E62" s="33">
        <v>307113.09794814745</v>
      </c>
    </row>
    <row r="63" spans="1:5" x14ac:dyDescent="0.25">
      <c r="A63" s="17" t="s">
        <v>57</v>
      </c>
      <c r="B63" s="17" t="s">
        <v>145</v>
      </c>
      <c r="C63" s="17" t="s">
        <v>36</v>
      </c>
      <c r="D63" s="17" t="s">
        <v>137</v>
      </c>
      <c r="E63" s="33">
        <v>877408.8098450047</v>
      </c>
    </row>
    <row r="64" spans="1:5" x14ac:dyDescent="0.25">
      <c r="A64" s="17" t="s">
        <v>58</v>
      </c>
      <c r="B64" s="17" t="s">
        <v>145</v>
      </c>
      <c r="C64" s="17" t="s">
        <v>36</v>
      </c>
      <c r="D64" s="17" t="s">
        <v>137</v>
      </c>
      <c r="E64" s="33">
        <v>583327.49125764682</v>
      </c>
    </row>
    <row r="65" spans="1:5" x14ac:dyDescent="0.25">
      <c r="A65" s="17" t="s">
        <v>59</v>
      </c>
      <c r="B65" s="17" t="s">
        <v>145</v>
      </c>
      <c r="C65" s="17" t="s">
        <v>36</v>
      </c>
      <c r="D65" s="17" t="s">
        <v>137</v>
      </c>
      <c r="E65" s="33">
        <v>1012291.5637541529</v>
      </c>
    </row>
    <row r="66" spans="1:5" x14ac:dyDescent="0.25">
      <c r="A66" s="17" t="s">
        <v>60</v>
      </c>
      <c r="B66" s="17" t="s">
        <v>145</v>
      </c>
      <c r="C66" s="17" t="s">
        <v>36</v>
      </c>
      <c r="D66" s="17" t="s">
        <v>137</v>
      </c>
      <c r="E66" s="33">
        <v>686304.14164833329</v>
      </c>
    </row>
    <row r="67" spans="1:5" x14ac:dyDescent="0.25">
      <c r="A67" s="17" t="s">
        <v>61</v>
      </c>
      <c r="B67" s="17" t="s">
        <v>146</v>
      </c>
      <c r="C67" s="17" t="s">
        <v>36</v>
      </c>
      <c r="D67" s="17" t="s">
        <v>137</v>
      </c>
      <c r="E67" s="33">
        <v>478280.99927209481</v>
      </c>
    </row>
    <row r="68" spans="1:5" x14ac:dyDescent="0.25">
      <c r="A68" s="17" t="s">
        <v>62</v>
      </c>
      <c r="B68" s="17" t="s">
        <v>146</v>
      </c>
      <c r="C68" s="17" t="s">
        <v>36</v>
      </c>
      <c r="D68" s="17" t="s">
        <v>137</v>
      </c>
      <c r="E68" s="33">
        <v>453576.05904229963</v>
      </c>
    </row>
    <row r="69" spans="1:5" x14ac:dyDescent="0.25">
      <c r="A69" s="17" t="s">
        <v>67</v>
      </c>
      <c r="B69" s="17" t="s">
        <v>148</v>
      </c>
      <c r="C69" s="17" t="s">
        <v>36</v>
      </c>
      <c r="D69" s="17" t="s">
        <v>137</v>
      </c>
      <c r="E69" s="33">
        <v>481502.10739691084</v>
      </c>
    </row>
    <row r="70" spans="1:5" x14ac:dyDescent="0.25">
      <c r="A70" s="17" t="s">
        <v>68</v>
      </c>
      <c r="B70" s="17" t="s">
        <v>148</v>
      </c>
      <c r="C70" s="17" t="s">
        <v>36</v>
      </c>
      <c r="D70" s="17" t="s">
        <v>137</v>
      </c>
      <c r="E70" s="33">
        <v>312443.73778839421</v>
      </c>
    </row>
    <row r="71" spans="1:5" x14ac:dyDescent="0.25">
      <c r="A71" s="17" t="s">
        <v>69</v>
      </c>
      <c r="B71" s="17" t="s">
        <v>149</v>
      </c>
      <c r="C71" s="17" t="s">
        <v>36</v>
      </c>
      <c r="D71" s="17" t="s">
        <v>137</v>
      </c>
      <c r="E71" s="33">
        <v>499493.79629146442</v>
      </c>
    </row>
    <row r="72" spans="1:5" x14ac:dyDescent="0.25">
      <c r="A72" s="17" t="s">
        <v>70</v>
      </c>
      <c r="B72" s="17" t="s">
        <v>149</v>
      </c>
      <c r="C72" s="17" t="s">
        <v>36</v>
      </c>
      <c r="D72" s="17" t="s">
        <v>137</v>
      </c>
      <c r="E72" s="33">
        <v>390596.52217819286</v>
      </c>
    </row>
    <row r="73" spans="1:5" x14ac:dyDescent="0.25">
      <c r="A73" s="17" t="s">
        <v>71</v>
      </c>
      <c r="B73" s="17" t="s">
        <v>149</v>
      </c>
      <c r="C73" s="17" t="s">
        <v>36</v>
      </c>
      <c r="D73" s="17" t="s">
        <v>137</v>
      </c>
      <c r="E73" s="33">
        <v>480850.93457870121</v>
      </c>
    </row>
    <row r="74" spans="1:5" x14ac:dyDescent="0.25">
      <c r="A74" s="17" t="s">
        <v>72</v>
      </c>
      <c r="B74" s="17" t="s">
        <v>149</v>
      </c>
      <c r="C74" s="17" t="s">
        <v>36</v>
      </c>
      <c r="D74" s="17" t="s">
        <v>137</v>
      </c>
      <c r="E74" s="33">
        <v>311968.42329126864</v>
      </c>
    </row>
    <row r="75" spans="1:5" x14ac:dyDescent="0.25">
      <c r="A75" s="17" t="s">
        <v>73</v>
      </c>
      <c r="B75" s="17" t="s">
        <v>150</v>
      </c>
      <c r="C75" s="17" t="s">
        <v>36</v>
      </c>
      <c r="D75" s="17" t="s">
        <v>137</v>
      </c>
      <c r="E75" s="33">
        <v>757313.81587663072</v>
      </c>
    </row>
    <row r="76" spans="1:5" x14ac:dyDescent="0.25">
      <c r="A76" s="17" t="s">
        <v>74</v>
      </c>
      <c r="B76" s="17" t="s">
        <v>150</v>
      </c>
      <c r="C76" s="17" t="s">
        <v>36</v>
      </c>
      <c r="D76" s="17" t="s">
        <v>137</v>
      </c>
      <c r="E76" s="33">
        <v>667264.3425822655</v>
      </c>
    </row>
    <row r="77" spans="1:5" x14ac:dyDescent="0.25">
      <c r="A77" s="17" t="s">
        <v>75</v>
      </c>
      <c r="B77" s="17" t="s">
        <v>150</v>
      </c>
      <c r="C77" s="17" t="s">
        <v>36</v>
      </c>
      <c r="D77" s="17" t="s">
        <v>137</v>
      </c>
      <c r="E77" s="33">
        <v>1193751.7043547858</v>
      </c>
    </row>
    <row r="78" spans="1:5" x14ac:dyDescent="0.25">
      <c r="A78" s="17" t="s">
        <v>76</v>
      </c>
      <c r="B78" s="17" t="s">
        <v>150</v>
      </c>
      <c r="C78" s="17" t="s">
        <v>36</v>
      </c>
      <c r="D78" s="17" t="s">
        <v>137</v>
      </c>
      <c r="E78" s="33">
        <v>783615.79546589556</v>
      </c>
    </row>
    <row r="79" spans="1:5" x14ac:dyDescent="0.25">
      <c r="A79" s="17" t="s">
        <v>77</v>
      </c>
      <c r="B79" s="17" t="s">
        <v>150</v>
      </c>
      <c r="C79" s="17" t="s">
        <v>36</v>
      </c>
      <c r="D79" s="17" t="s">
        <v>137</v>
      </c>
      <c r="E79" s="33">
        <v>1063513.4084678863</v>
      </c>
    </row>
    <row r="80" spans="1:5" x14ac:dyDescent="0.25">
      <c r="A80" s="17" t="s">
        <v>90</v>
      </c>
      <c r="B80" s="17" t="s">
        <v>154</v>
      </c>
      <c r="C80" s="17" t="s">
        <v>36</v>
      </c>
      <c r="D80" s="17" t="s">
        <v>137</v>
      </c>
      <c r="E80" s="33">
        <v>658183.83581838675</v>
      </c>
    </row>
    <row r="81" spans="1:5" x14ac:dyDescent="0.25">
      <c r="A81" s="17" t="s">
        <v>91</v>
      </c>
      <c r="B81" s="17" t="s">
        <v>154</v>
      </c>
      <c r="C81" s="17" t="s">
        <v>36</v>
      </c>
      <c r="D81" s="17" t="s">
        <v>137</v>
      </c>
      <c r="E81" s="33">
        <v>676667.43098177761</v>
      </c>
    </row>
    <row r="82" spans="1:5" x14ac:dyDescent="0.25">
      <c r="A82" s="17" t="s">
        <v>92</v>
      </c>
      <c r="B82" s="17" t="s">
        <v>154</v>
      </c>
      <c r="C82" s="17" t="s">
        <v>36</v>
      </c>
      <c r="D82" s="17" t="s">
        <v>137</v>
      </c>
      <c r="E82" s="33">
        <v>996226.30064996332</v>
      </c>
    </row>
    <row r="83" spans="1:5" x14ac:dyDescent="0.25">
      <c r="A83" s="17" t="s">
        <v>93</v>
      </c>
      <c r="B83" s="17" t="s">
        <v>154</v>
      </c>
      <c r="C83" s="17" t="s">
        <v>36</v>
      </c>
      <c r="D83" s="17" t="s">
        <v>137</v>
      </c>
      <c r="E83" s="33">
        <v>652159.86596219835</v>
      </c>
    </row>
    <row r="84" spans="1:5" x14ac:dyDescent="0.25">
      <c r="A84" s="17" t="s">
        <v>102</v>
      </c>
      <c r="B84" s="17" t="s">
        <v>158</v>
      </c>
      <c r="C84" s="17" t="s">
        <v>36</v>
      </c>
      <c r="D84" s="17" t="s">
        <v>137</v>
      </c>
      <c r="E84" s="33">
        <v>883394.1378625005</v>
      </c>
    </row>
    <row r="85" spans="1:5" x14ac:dyDescent="0.25">
      <c r="A85" s="17" t="s">
        <v>103</v>
      </c>
      <c r="B85" s="17" t="s">
        <v>158</v>
      </c>
      <c r="C85" s="17" t="s">
        <v>36</v>
      </c>
      <c r="D85" s="17" t="s">
        <v>137</v>
      </c>
      <c r="E85" s="33">
        <v>751347.40211740974</v>
      </c>
    </row>
    <row r="86" spans="1:5" x14ac:dyDescent="0.25">
      <c r="A86" s="17" t="s">
        <v>104</v>
      </c>
      <c r="B86" s="17" t="s">
        <v>158</v>
      </c>
      <c r="C86" s="17" t="s">
        <v>36</v>
      </c>
      <c r="D86" s="17" t="s">
        <v>137</v>
      </c>
      <c r="E86" s="33">
        <v>1065103.281555587</v>
      </c>
    </row>
    <row r="87" spans="1:5" x14ac:dyDescent="0.25">
      <c r="A87" s="17" t="s">
        <v>105</v>
      </c>
      <c r="B87" s="17" t="s">
        <v>158</v>
      </c>
      <c r="C87" s="17" t="s">
        <v>36</v>
      </c>
      <c r="D87" s="17" t="s">
        <v>137</v>
      </c>
      <c r="E87" s="33">
        <v>341286.13812739687</v>
      </c>
    </row>
    <row r="88" spans="1:5" x14ac:dyDescent="0.25">
      <c r="A88" s="17" t="s">
        <v>106</v>
      </c>
      <c r="B88" s="17" t="s">
        <v>158</v>
      </c>
      <c r="C88" s="17" t="s">
        <v>36</v>
      </c>
      <c r="D88" s="17" t="s">
        <v>137</v>
      </c>
      <c r="E88" s="33">
        <v>750709.16112126934</v>
      </c>
    </row>
    <row r="89" spans="1:5" x14ac:dyDescent="0.25">
      <c r="A89" s="17"/>
      <c r="B89" s="17"/>
      <c r="C89" s="17"/>
      <c r="D89" s="17"/>
      <c r="E89" s="38">
        <f>SUM(E2:E88)</f>
        <v>56069473.089999996</v>
      </c>
    </row>
    <row r="90" spans="1:5" x14ac:dyDescent="0.25">
      <c r="A90" s="17"/>
      <c r="B90" s="17"/>
      <c r="C90" s="17"/>
      <c r="D90" s="17"/>
      <c r="E90" s="33"/>
    </row>
    <row r="91" spans="1:5" x14ac:dyDescent="0.25">
      <c r="A91" s="17"/>
      <c r="B91" s="17"/>
      <c r="C91" s="17"/>
      <c r="D91" s="17"/>
      <c r="E91" s="33"/>
    </row>
    <row r="92" spans="1:5" x14ac:dyDescent="0.25">
      <c r="A92" s="17"/>
      <c r="B92" s="17"/>
      <c r="C92" s="17"/>
      <c r="D92" s="17"/>
      <c r="E92" s="33"/>
    </row>
    <row r="93" spans="1:5" x14ac:dyDescent="0.25">
      <c r="A93" s="17"/>
      <c r="B93" s="17"/>
      <c r="C93" s="17"/>
      <c r="D93" s="17"/>
      <c r="E93" s="33"/>
    </row>
    <row r="94" spans="1:5" x14ac:dyDescent="0.25">
      <c r="A94" s="17"/>
      <c r="B94" s="17"/>
      <c r="C94" s="17"/>
      <c r="D94" s="17"/>
      <c r="E94" s="33"/>
    </row>
    <row r="95" spans="1:5" x14ac:dyDescent="0.25">
      <c r="A95" s="17"/>
      <c r="B95" s="17"/>
      <c r="C95" s="17"/>
      <c r="D95" s="17"/>
      <c r="E95" s="33"/>
    </row>
    <row r="96" spans="1:5" x14ac:dyDescent="0.25">
      <c r="A96" s="17"/>
      <c r="B96" s="17"/>
      <c r="C96" s="17"/>
      <c r="D96" s="17"/>
      <c r="E96" s="33"/>
    </row>
    <row r="97" spans="1:5" x14ac:dyDescent="0.25">
      <c r="A97" s="17"/>
      <c r="B97" s="17"/>
      <c r="C97" s="17"/>
      <c r="D97" s="17"/>
      <c r="E97" s="33"/>
    </row>
    <row r="98" spans="1:5" x14ac:dyDescent="0.25">
      <c r="A98" s="17"/>
      <c r="B98" s="17"/>
      <c r="C98" s="17"/>
      <c r="D98" s="17"/>
      <c r="E98" s="33"/>
    </row>
    <row r="99" spans="1:5" x14ac:dyDescent="0.25">
      <c r="A99" s="17"/>
      <c r="B99" s="17"/>
      <c r="C99" s="17"/>
      <c r="D99" s="17"/>
      <c r="E99" s="33"/>
    </row>
    <row r="100" spans="1:5" x14ac:dyDescent="0.25">
      <c r="A100" s="17"/>
      <c r="B100" s="17"/>
      <c r="C100" s="17"/>
      <c r="D100" s="17"/>
      <c r="E100" s="33"/>
    </row>
    <row r="101" spans="1:5" x14ac:dyDescent="0.25">
      <c r="A101" s="17"/>
      <c r="B101" s="17"/>
      <c r="C101" s="17"/>
      <c r="D101" s="17"/>
      <c r="E101" s="33"/>
    </row>
    <row r="102" spans="1:5" x14ac:dyDescent="0.25">
      <c r="A102" s="17"/>
      <c r="B102" s="17"/>
      <c r="C102" s="17"/>
      <c r="D102" s="17"/>
      <c r="E102" s="33"/>
    </row>
    <row r="103" spans="1:5" x14ac:dyDescent="0.25">
      <c r="A103" s="17"/>
      <c r="B103" s="17"/>
      <c r="C103" s="17"/>
      <c r="D103" s="17"/>
      <c r="E103" s="33"/>
    </row>
    <row r="104" spans="1:5" x14ac:dyDescent="0.25">
      <c r="A104" s="17"/>
      <c r="B104" s="17"/>
      <c r="C104" s="17"/>
      <c r="D104" s="17"/>
      <c r="E104" s="33"/>
    </row>
    <row r="105" spans="1:5" x14ac:dyDescent="0.25">
      <c r="A105" s="17"/>
      <c r="B105" s="17"/>
      <c r="C105" s="17"/>
      <c r="D105" s="17"/>
      <c r="E105" s="33"/>
    </row>
    <row r="106" spans="1:5" x14ac:dyDescent="0.25">
      <c r="A106" s="17"/>
      <c r="B106" s="17"/>
      <c r="C106" s="17"/>
      <c r="D106" s="17"/>
      <c r="E106" s="33"/>
    </row>
    <row r="107" spans="1:5" x14ac:dyDescent="0.25">
      <c r="A107" s="17"/>
      <c r="B107" s="17"/>
      <c r="C107" s="17"/>
      <c r="D107" s="17"/>
      <c r="E107" s="33"/>
    </row>
    <row r="108" spans="1:5" x14ac:dyDescent="0.25">
      <c r="A108" s="17"/>
      <c r="B108" s="17"/>
      <c r="C108" s="17"/>
      <c r="D108" s="17"/>
      <c r="E108" s="33"/>
    </row>
    <row r="109" spans="1:5" x14ac:dyDescent="0.25">
      <c r="A109" s="17"/>
      <c r="B109" s="17"/>
      <c r="C109" s="17"/>
      <c r="D109" s="17"/>
      <c r="E109" s="33"/>
    </row>
    <row r="110" spans="1:5" x14ac:dyDescent="0.25">
      <c r="A110" s="17"/>
      <c r="B110" s="17"/>
      <c r="C110" s="17"/>
      <c r="D110" s="17"/>
      <c r="E110" s="33"/>
    </row>
    <row r="111" spans="1:5" x14ac:dyDescent="0.25">
      <c r="A111" s="17"/>
      <c r="B111" s="17"/>
      <c r="C111" s="17"/>
      <c r="D111" s="17"/>
      <c r="E111" s="33"/>
    </row>
    <row r="112" spans="1:5" x14ac:dyDescent="0.25">
      <c r="A112" s="17"/>
      <c r="B112" s="17"/>
      <c r="C112" s="17"/>
      <c r="D112" s="17"/>
      <c r="E112" s="33"/>
    </row>
    <row r="113" spans="1:5" x14ac:dyDescent="0.25">
      <c r="A113" s="17"/>
      <c r="B113" s="17"/>
      <c r="C113" s="17"/>
      <c r="D113" s="17"/>
      <c r="E113" s="33"/>
    </row>
    <row r="114" spans="1:5" x14ac:dyDescent="0.25">
      <c r="A114" s="17"/>
      <c r="B114" s="17"/>
      <c r="C114" s="17"/>
      <c r="D114" s="17"/>
      <c r="E114" s="33"/>
    </row>
    <row r="115" spans="1:5" x14ac:dyDescent="0.25">
      <c r="A115" s="17"/>
      <c r="B115" s="17"/>
      <c r="C115" s="17"/>
      <c r="D115" s="17"/>
      <c r="E115" s="33"/>
    </row>
    <row r="116" spans="1:5" x14ac:dyDescent="0.25">
      <c r="A116" s="17"/>
      <c r="B116" s="17"/>
      <c r="C116" s="17"/>
      <c r="D116" s="17"/>
      <c r="E116" s="33"/>
    </row>
    <row r="117" spans="1:5" x14ac:dyDescent="0.25">
      <c r="A117" s="17"/>
      <c r="B117" s="17"/>
      <c r="C117" s="17"/>
      <c r="D117" s="17"/>
      <c r="E117" s="33"/>
    </row>
    <row r="118" spans="1:5" x14ac:dyDescent="0.25">
      <c r="A118" s="17"/>
      <c r="B118" s="17"/>
      <c r="C118" s="17"/>
      <c r="D118" s="17"/>
      <c r="E118" s="33"/>
    </row>
    <row r="119" spans="1:5" x14ac:dyDescent="0.25">
      <c r="A119" s="17"/>
      <c r="B119" s="17"/>
      <c r="C119" s="17"/>
      <c r="D119" s="17"/>
      <c r="E119" s="33"/>
    </row>
    <row r="120" spans="1:5" x14ac:dyDescent="0.25">
      <c r="A120" s="17"/>
      <c r="B120" s="17"/>
      <c r="C120" s="17"/>
      <c r="D120" s="17"/>
      <c r="E120" s="33"/>
    </row>
    <row r="121" spans="1:5" x14ac:dyDescent="0.25">
      <c r="A121" s="17"/>
      <c r="B121" s="17"/>
      <c r="C121" s="17"/>
      <c r="D121" s="17"/>
      <c r="E121" s="33"/>
    </row>
    <row r="122" spans="1:5" x14ac:dyDescent="0.25">
      <c r="A122" s="17"/>
      <c r="B122" s="17"/>
      <c r="C122" s="17"/>
      <c r="D122" s="17"/>
      <c r="E122" s="33"/>
    </row>
    <row r="123" spans="1:5" x14ac:dyDescent="0.25">
      <c r="A123" s="17"/>
      <c r="B123" s="17"/>
      <c r="C123" s="17"/>
      <c r="D123" s="17"/>
      <c r="E123" s="33"/>
    </row>
    <row r="124" spans="1:5" x14ac:dyDescent="0.25">
      <c r="A124" s="17"/>
      <c r="B124" s="17"/>
      <c r="C124" s="17"/>
      <c r="D124" s="17"/>
      <c r="E124" s="33"/>
    </row>
    <row r="125" spans="1:5" x14ac:dyDescent="0.25">
      <c r="A125" s="17"/>
      <c r="B125" s="17"/>
      <c r="C125" s="17"/>
      <c r="D125" s="17"/>
      <c r="E125" s="33"/>
    </row>
    <row r="126" spans="1:5" x14ac:dyDescent="0.25">
      <c r="A126" s="17"/>
      <c r="B126" s="17"/>
      <c r="C126" s="17"/>
      <c r="D126" s="17"/>
      <c r="E126" s="33"/>
    </row>
    <row r="127" spans="1:5" x14ac:dyDescent="0.25">
      <c r="A127" s="17"/>
      <c r="B127" s="17"/>
      <c r="C127" s="17"/>
      <c r="D127" s="17"/>
      <c r="E127" s="33"/>
    </row>
    <row r="128" spans="1:5" x14ac:dyDescent="0.25">
      <c r="A128" s="17"/>
      <c r="B128" s="17"/>
      <c r="C128" s="17"/>
      <c r="D128" s="17"/>
      <c r="E128" s="33"/>
    </row>
    <row r="129" spans="1:5" x14ac:dyDescent="0.25">
      <c r="A129" s="17"/>
      <c r="B129" s="17"/>
      <c r="C129" s="17"/>
      <c r="D129" s="17"/>
      <c r="E129" s="33"/>
    </row>
    <row r="130" spans="1:5" x14ac:dyDescent="0.25">
      <c r="A130" s="17"/>
      <c r="B130" s="17"/>
      <c r="C130" s="17"/>
      <c r="D130" s="17"/>
      <c r="E130" s="33"/>
    </row>
    <row r="131" spans="1:5" x14ac:dyDescent="0.25">
      <c r="A131" s="17"/>
      <c r="B131" s="17"/>
      <c r="C131" s="17"/>
      <c r="D131" s="17"/>
      <c r="E131" s="33"/>
    </row>
    <row r="132" spans="1:5" x14ac:dyDescent="0.25">
      <c r="A132" s="17"/>
      <c r="B132" s="17"/>
      <c r="C132" s="17"/>
      <c r="D132" s="17"/>
      <c r="E132" s="33"/>
    </row>
    <row r="133" spans="1:5" x14ac:dyDescent="0.25">
      <c r="A133" s="17"/>
      <c r="B133" s="17"/>
      <c r="C133" s="17"/>
      <c r="D133" s="17"/>
      <c r="E133" s="33"/>
    </row>
    <row r="134" spans="1:5" x14ac:dyDescent="0.25">
      <c r="A134" s="17"/>
      <c r="B134" s="17"/>
      <c r="C134" s="17"/>
      <c r="D134" s="17"/>
      <c r="E134" s="33"/>
    </row>
    <row r="135" spans="1:5" x14ac:dyDescent="0.25">
      <c r="A135" s="17"/>
      <c r="B135" s="17"/>
      <c r="C135" s="17"/>
      <c r="D135" s="17"/>
      <c r="E135" s="33"/>
    </row>
    <row r="136" spans="1:5" x14ac:dyDescent="0.25">
      <c r="A136" s="17"/>
      <c r="B136" s="17"/>
      <c r="C136" s="17"/>
      <c r="D136" s="17"/>
      <c r="E136" s="33"/>
    </row>
    <row r="137" spans="1:5" x14ac:dyDescent="0.25">
      <c r="A137" s="17"/>
      <c r="B137" s="17"/>
      <c r="C137" s="17"/>
      <c r="D137" s="17"/>
      <c r="E137" s="33"/>
    </row>
    <row r="138" spans="1:5" x14ac:dyDescent="0.25">
      <c r="A138" s="17"/>
      <c r="B138" s="17"/>
      <c r="C138" s="17"/>
      <c r="D138" s="17"/>
      <c r="E138" s="33"/>
    </row>
    <row r="139" spans="1:5" x14ac:dyDescent="0.25">
      <c r="A139" s="17"/>
      <c r="B139" s="17"/>
      <c r="C139" s="17"/>
      <c r="D139" s="17"/>
      <c r="E139" s="33"/>
    </row>
    <row r="140" spans="1:5" x14ac:dyDescent="0.25">
      <c r="A140" s="17"/>
      <c r="B140" s="17"/>
      <c r="C140" s="17"/>
      <c r="D140" s="17"/>
      <c r="E140" s="33"/>
    </row>
    <row r="141" spans="1:5" x14ac:dyDescent="0.25">
      <c r="A141" s="17"/>
      <c r="B141" s="17"/>
      <c r="C141" s="17"/>
      <c r="D141" s="17"/>
      <c r="E141" s="33"/>
    </row>
    <row r="142" spans="1:5" x14ac:dyDescent="0.25">
      <c r="A142" s="17"/>
      <c r="B142" s="17"/>
      <c r="C142" s="17"/>
      <c r="D142" s="17"/>
      <c r="E142" s="33"/>
    </row>
    <row r="143" spans="1:5" x14ac:dyDescent="0.25">
      <c r="A143" s="17"/>
      <c r="B143" s="17"/>
      <c r="C143" s="17"/>
      <c r="D143" s="17"/>
      <c r="E143" s="33"/>
    </row>
    <row r="144" spans="1:5" x14ac:dyDescent="0.25">
      <c r="A144" s="17"/>
      <c r="B144" s="17"/>
      <c r="C144" s="17"/>
      <c r="D144" s="17"/>
      <c r="E144" s="33"/>
    </row>
    <row r="145" spans="1:5" x14ac:dyDescent="0.25">
      <c r="A145" s="17"/>
      <c r="B145" s="17"/>
      <c r="C145" s="17"/>
      <c r="D145" s="17"/>
      <c r="E145" s="33"/>
    </row>
    <row r="146" spans="1:5" x14ac:dyDescent="0.25">
      <c r="A146" s="17"/>
      <c r="B146" s="17"/>
      <c r="C146" s="17"/>
      <c r="D146" s="17"/>
      <c r="E146" s="33"/>
    </row>
    <row r="147" spans="1:5" x14ac:dyDescent="0.25">
      <c r="A147" s="17"/>
      <c r="B147" s="17"/>
      <c r="C147" s="17"/>
      <c r="D147" s="17"/>
      <c r="E147" s="33"/>
    </row>
    <row r="148" spans="1:5" x14ac:dyDescent="0.25">
      <c r="A148" s="17"/>
      <c r="B148" s="17"/>
      <c r="C148" s="17"/>
      <c r="D148" s="17"/>
      <c r="E148" s="33"/>
    </row>
    <row r="149" spans="1:5" x14ac:dyDescent="0.25">
      <c r="A149" s="17"/>
      <c r="B149" s="17"/>
      <c r="C149" s="17"/>
      <c r="D149" s="17"/>
      <c r="E149" s="33"/>
    </row>
    <row r="150" spans="1:5" x14ac:dyDescent="0.25">
      <c r="A150" s="17"/>
      <c r="B150" s="17"/>
      <c r="C150" s="17"/>
      <c r="D150" s="17"/>
      <c r="E150" s="33"/>
    </row>
    <row r="151" spans="1:5" x14ac:dyDescent="0.25">
      <c r="A151" s="17"/>
      <c r="B151" s="17"/>
      <c r="C151" s="17"/>
      <c r="D151" s="17"/>
      <c r="E151" s="33"/>
    </row>
    <row r="152" spans="1:5" x14ac:dyDescent="0.25">
      <c r="A152" s="17"/>
      <c r="B152" s="17"/>
      <c r="C152" s="17"/>
      <c r="D152" s="17"/>
      <c r="E152" s="33"/>
    </row>
    <row r="153" spans="1:5" x14ac:dyDescent="0.25">
      <c r="A153" s="17"/>
      <c r="B153" s="17"/>
      <c r="C153" s="17"/>
      <c r="D153" s="17"/>
      <c r="E153" s="33"/>
    </row>
    <row r="154" spans="1:5" x14ac:dyDescent="0.25">
      <c r="A154" s="17"/>
      <c r="B154" s="17"/>
      <c r="C154" s="17"/>
      <c r="D154" s="17"/>
      <c r="E154" s="33"/>
    </row>
    <row r="155" spans="1:5" x14ac:dyDescent="0.25">
      <c r="A155" s="17"/>
      <c r="B155" s="17"/>
      <c r="C155" s="17"/>
      <c r="D155" s="17"/>
      <c r="E155" s="33"/>
    </row>
    <row r="156" spans="1:5" x14ac:dyDescent="0.25">
      <c r="A156" s="17"/>
      <c r="B156" s="17"/>
      <c r="C156" s="17"/>
      <c r="D156" s="17"/>
      <c r="E156" s="33"/>
    </row>
    <row r="157" spans="1:5" x14ac:dyDescent="0.25">
      <c r="A157" s="17"/>
      <c r="B157" s="17"/>
      <c r="C157" s="17"/>
      <c r="D157" s="17"/>
      <c r="E157" s="33"/>
    </row>
    <row r="158" spans="1:5" x14ac:dyDescent="0.25">
      <c r="A158" s="17"/>
      <c r="B158" s="17"/>
      <c r="C158" s="17"/>
      <c r="D158" s="17"/>
      <c r="E158" s="33"/>
    </row>
    <row r="159" spans="1:5" x14ac:dyDescent="0.25">
      <c r="A159" s="17"/>
      <c r="B159" s="17"/>
      <c r="C159" s="17"/>
      <c r="D159" s="17"/>
      <c r="E159" s="33"/>
    </row>
    <row r="160" spans="1:5" x14ac:dyDescent="0.25">
      <c r="A160" s="17"/>
      <c r="B160" s="17"/>
      <c r="C160" s="17"/>
      <c r="D160" s="17"/>
      <c r="E160" s="33"/>
    </row>
    <row r="161" spans="1:5" x14ac:dyDescent="0.25">
      <c r="A161" s="17"/>
      <c r="B161" s="17"/>
      <c r="C161" s="17"/>
      <c r="D161" s="17"/>
      <c r="E161" s="33"/>
    </row>
    <row r="162" spans="1:5" x14ac:dyDescent="0.25">
      <c r="A162" s="17"/>
      <c r="B162" s="17"/>
      <c r="C162" s="17"/>
      <c r="D162" s="17"/>
      <c r="E162" s="33"/>
    </row>
    <row r="163" spans="1:5" x14ac:dyDescent="0.25">
      <c r="A163" s="17"/>
      <c r="B163" s="17"/>
      <c r="C163" s="17"/>
      <c r="D163" s="17"/>
      <c r="E163" s="33"/>
    </row>
    <row r="164" spans="1:5" x14ac:dyDescent="0.25">
      <c r="A164" s="17"/>
      <c r="B164" s="17"/>
      <c r="C164" s="17"/>
      <c r="D164" s="17"/>
      <c r="E164" s="33"/>
    </row>
    <row r="165" spans="1:5" x14ac:dyDescent="0.25">
      <c r="A165" s="17"/>
      <c r="B165" s="17"/>
      <c r="C165" s="17"/>
      <c r="D165" s="17"/>
      <c r="E165" s="33"/>
    </row>
    <row r="166" spans="1:5" x14ac:dyDescent="0.25">
      <c r="A166" s="17"/>
      <c r="B166" s="17"/>
      <c r="C166" s="17"/>
      <c r="D166" s="17"/>
      <c r="E166" s="33"/>
    </row>
    <row r="167" spans="1:5" x14ac:dyDescent="0.25">
      <c r="A167" s="17"/>
      <c r="B167" s="17"/>
      <c r="C167" s="17"/>
      <c r="D167" s="17"/>
      <c r="E167" s="33"/>
    </row>
    <row r="168" spans="1:5" x14ac:dyDescent="0.25">
      <c r="A168" s="17"/>
      <c r="B168" s="17"/>
      <c r="C168" s="17"/>
      <c r="D168" s="17"/>
      <c r="E168" s="33"/>
    </row>
    <row r="169" spans="1:5" x14ac:dyDescent="0.25">
      <c r="A169" s="17"/>
      <c r="B169" s="17"/>
      <c r="C169" s="17"/>
      <c r="D169" s="17"/>
      <c r="E169" s="33"/>
    </row>
    <row r="170" spans="1:5" x14ac:dyDescent="0.25">
      <c r="A170" s="17"/>
      <c r="B170" s="17"/>
      <c r="C170" s="17"/>
      <c r="D170" s="17"/>
      <c r="E170" s="33"/>
    </row>
    <row r="171" spans="1:5" x14ac:dyDescent="0.25">
      <c r="A171" s="17"/>
      <c r="B171" s="17"/>
      <c r="C171" s="17"/>
      <c r="D171" s="17"/>
      <c r="E171" s="33"/>
    </row>
    <row r="172" spans="1:5" x14ac:dyDescent="0.25">
      <c r="A172" s="17"/>
      <c r="B172" s="17"/>
      <c r="C172" s="17"/>
      <c r="D172" s="17"/>
      <c r="E172" s="33"/>
    </row>
    <row r="173" spans="1:5" x14ac:dyDescent="0.25">
      <c r="A173" s="34"/>
      <c r="B173" s="34"/>
      <c r="C173" s="34"/>
      <c r="D173" s="34"/>
      <c r="E173" s="33"/>
    </row>
    <row r="174" spans="1:5" x14ac:dyDescent="0.25">
      <c r="A174" s="17"/>
      <c r="B174" s="17"/>
      <c r="C174" s="17"/>
      <c r="D174" s="17"/>
      <c r="E174" s="33"/>
    </row>
    <row r="175" spans="1:5" x14ac:dyDescent="0.25">
      <c r="A175" s="17"/>
      <c r="B175" s="17"/>
      <c r="C175" s="17"/>
      <c r="D175" s="17"/>
      <c r="E175" s="33"/>
    </row>
    <row r="176" spans="1:5" x14ac:dyDescent="0.25">
      <c r="A176" s="17"/>
      <c r="B176" s="17"/>
      <c r="C176" s="17"/>
      <c r="D176" s="17"/>
      <c r="E176" s="33"/>
    </row>
    <row r="177" spans="1:5" x14ac:dyDescent="0.25">
      <c r="A177" s="17"/>
      <c r="B177" s="17"/>
      <c r="C177" s="17"/>
      <c r="D177" s="17"/>
      <c r="E177" s="33"/>
    </row>
    <row r="178" spans="1:5" x14ac:dyDescent="0.25">
      <c r="A178" s="17"/>
      <c r="B178" s="17"/>
      <c r="C178" s="17"/>
      <c r="D178" s="17"/>
      <c r="E178" s="33"/>
    </row>
    <row r="179" spans="1:5" x14ac:dyDescent="0.25">
      <c r="A179" s="17"/>
      <c r="B179" s="17"/>
      <c r="C179" s="17"/>
      <c r="D179" s="17"/>
      <c r="E179" s="33"/>
    </row>
    <row r="180" spans="1:5" x14ac:dyDescent="0.25">
      <c r="A180" s="17"/>
      <c r="B180" s="17"/>
      <c r="C180" s="17"/>
      <c r="D180" s="17"/>
      <c r="E180" s="33"/>
    </row>
    <row r="181" spans="1:5" x14ac:dyDescent="0.25">
      <c r="A181" s="17"/>
      <c r="B181" s="17"/>
      <c r="C181" s="17"/>
      <c r="D181" s="17"/>
      <c r="E181" s="33"/>
    </row>
    <row r="182" spans="1:5" x14ac:dyDescent="0.25">
      <c r="A182" s="17"/>
      <c r="B182" s="17"/>
      <c r="C182" s="17"/>
      <c r="D182" s="17"/>
      <c r="E182" s="33"/>
    </row>
    <row r="183" spans="1:5" x14ac:dyDescent="0.25">
      <c r="A183" s="17"/>
      <c r="B183" s="17"/>
      <c r="C183" s="17"/>
      <c r="D183" s="17"/>
      <c r="E183" s="33"/>
    </row>
    <row r="184" spans="1:5" x14ac:dyDescent="0.25">
      <c r="A184" s="17"/>
      <c r="B184" s="17"/>
      <c r="C184" s="17"/>
      <c r="D184" s="17"/>
      <c r="E184" s="33"/>
    </row>
    <row r="185" spans="1:5" x14ac:dyDescent="0.25">
      <c r="A185" s="17"/>
      <c r="B185" s="17"/>
      <c r="C185" s="17"/>
      <c r="D185" s="17"/>
      <c r="E185" s="33"/>
    </row>
    <row r="186" spans="1:5" x14ac:dyDescent="0.25">
      <c r="E186" s="4">
        <f>SUM(E2:E185)</f>
        <v>112138946.17999999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B42C1-831F-4B8A-B9D4-F1F14D9DE4AA}">
  <dimension ref="A1:L89"/>
  <sheetViews>
    <sheetView workbookViewId="0">
      <selection activeCell="F2" sqref="F2"/>
    </sheetView>
  </sheetViews>
  <sheetFormatPr defaultRowHeight="15" x14ac:dyDescent="0.25"/>
  <cols>
    <col min="1" max="1" width="16.42578125" bestFit="1" customWidth="1"/>
    <col min="11" max="11" width="12" bestFit="1" customWidth="1"/>
  </cols>
  <sheetData>
    <row r="1" spans="1:12" x14ac:dyDescent="0.25">
      <c r="B1" t="s">
        <v>171</v>
      </c>
      <c r="C1" t="s">
        <v>172</v>
      </c>
      <c r="D1" t="s">
        <v>173</v>
      </c>
      <c r="E1" t="s">
        <v>17</v>
      </c>
      <c r="F1" t="s">
        <v>189</v>
      </c>
      <c r="G1" t="s">
        <v>174</v>
      </c>
      <c r="H1" t="s">
        <v>175</v>
      </c>
      <c r="I1" t="s">
        <v>176</v>
      </c>
      <c r="J1" t="s">
        <v>177</v>
      </c>
      <c r="K1" t="s">
        <v>190</v>
      </c>
      <c r="L1" t="s">
        <v>178</v>
      </c>
    </row>
    <row r="2" spans="1:12" x14ac:dyDescent="0.25">
      <c r="A2" t="s">
        <v>162</v>
      </c>
      <c r="B2">
        <v>682</v>
      </c>
      <c r="C2">
        <v>683</v>
      </c>
      <c r="D2">
        <v>684</v>
      </c>
      <c r="E2">
        <v>686</v>
      </c>
      <c r="F2">
        <v>704</v>
      </c>
      <c r="G2">
        <v>708</v>
      </c>
      <c r="H2">
        <v>710</v>
      </c>
      <c r="I2">
        <v>809</v>
      </c>
      <c r="J2">
        <v>810</v>
      </c>
      <c r="K2">
        <v>811</v>
      </c>
      <c r="L2">
        <v>750</v>
      </c>
    </row>
    <row r="3" spans="1:12" x14ac:dyDescent="0.25">
      <c r="A3" t="s">
        <v>29</v>
      </c>
      <c r="B3">
        <v>12080.986736464129</v>
      </c>
      <c r="C3">
        <v>9130.5447413420989</v>
      </c>
      <c r="D3">
        <v>81906.56781798153</v>
      </c>
      <c r="E3">
        <v>45559.291519849532</v>
      </c>
      <c r="F3">
        <v>0</v>
      </c>
      <c r="G3">
        <v>447665.95101238042</v>
      </c>
      <c r="H3">
        <v>304106.14968891989</v>
      </c>
      <c r="I3">
        <v>30671.489875388714</v>
      </c>
      <c r="J3">
        <v>6350.5113531758943</v>
      </c>
      <c r="K3">
        <v>0</v>
      </c>
      <c r="L3">
        <v>88098.920968349717</v>
      </c>
    </row>
    <row r="4" spans="1:12" x14ac:dyDescent="0.25">
      <c r="A4" t="s">
        <v>30</v>
      </c>
      <c r="B4">
        <v>8988.0746855117395</v>
      </c>
      <c r="C4">
        <v>5918.5339595545247</v>
      </c>
      <c r="D4">
        <v>42832.528380838841</v>
      </c>
      <c r="E4">
        <v>18752.011629442488</v>
      </c>
      <c r="F4">
        <v>0</v>
      </c>
      <c r="G4">
        <v>268024.54275579436</v>
      </c>
      <c r="H4">
        <v>188854.80335856919</v>
      </c>
      <c r="I4">
        <v>34504.473606900741</v>
      </c>
      <c r="J4">
        <v>8192.5319216686948</v>
      </c>
      <c r="K4">
        <v>0</v>
      </c>
      <c r="L4">
        <v>61053.950051933854</v>
      </c>
    </row>
    <row r="5" spans="1:12" x14ac:dyDescent="0.25">
      <c r="A5" t="s">
        <v>31</v>
      </c>
      <c r="B5">
        <v>12007.709827676297</v>
      </c>
      <c r="C5">
        <v>10442.265084514471</v>
      </c>
      <c r="D5">
        <v>89512.737936032412</v>
      </c>
      <c r="E5">
        <v>62437.274887762956</v>
      </c>
      <c r="F5">
        <v>0</v>
      </c>
      <c r="G5">
        <v>424375.79058889631</v>
      </c>
      <c r="H5">
        <v>344318.90760094859</v>
      </c>
      <c r="I5">
        <v>33892.531854340188</v>
      </c>
      <c r="J5">
        <v>6352.3826480868493</v>
      </c>
      <c r="K5">
        <v>0</v>
      </c>
      <c r="L5">
        <v>78337.511676320573</v>
      </c>
    </row>
    <row r="6" spans="1:12" x14ac:dyDescent="0.25">
      <c r="A6" t="s">
        <v>32</v>
      </c>
      <c r="B6">
        <v>10664.421577753748</v>
      </c>
      <c r="C6">
        <v>8873.5025204115445</v>
      </c>
      <c r="D6">
        <v>81248.616891313432</v>
      </c>
      <c r="E6">
        <v>41959.811558730536</v>
      </c>
      <c r="F6">
        <v>0</v>
      </c>
      <c r="G6">
        <v>366931.98713043239</v>
      </c>
      <c r="H6">
        <v>305081.91643294966</v>
      </c>
      <c r="I6">
        <v>29230.291373038552</v>
      </c>
      <c r="J6">
        <v>6245.7727790609488</v>
      </c>
      <c r="K6">
        <v>0</v>
      </c>
      <c r="L6">
        <v>81150.922528824813</v>
      </c>
    </row>
    <row r="7" spans="1:12" x14ac:dyDescent="0.25">
      <c r="A7" t="s">
        <v>33</v>
      </c>
      <c r="B7">
        <v>7327.805942562517</v>
      </c>
      <c r="C7">
        <v>7567.0943957522395</v>
      </c>
      <c r="D7">
        <v>98621.571267949534</v>
      </c>
      <c r="E7">
        <v>28068.831552665903</v>
      </c>
      <c r="F7">
        <v>0</v>
      </c>
      <c r="G7">
        <v>352103.26812220237</v>
      </c>
      <c r="H7">
        <v>164234.82802872581</v>
      </c>
      <c r="I7">
        <v>30776.239600854347</v>
      </c>
      <c r="J7">
        <v>8768.5949069834769</v>
      </c>
      <c r="K7">
        <v>0</v>
      </c>
      <c r="L7">
        <v>35750.106459166636</v>
      </c>
    </row>
    <row r="8" spans="1:12" x14ac:dyDescent="0.25">
      <c r="A8" t="s">
        <v>34</v>
      </c>
      <c r="B8">
        <v>6422.199310611597</v>
      </c>
      <c r="C8">
        <v>9706.7627379883979</v>
      </c>
      <c r="D8">
        <v>82945.82149902331</v>
      </c>
      <c r="E8">
        <v>36728.110617069076</v>
      </c>
      <c r="F8">
        <v>0</v>
      </c>
      <c r="G8">
        <v>399476.7004375775</v>
      </c>
      <c r="H8">
        <v>203504.44650542515</v>
      </c>
      <c r="I8">
        <v>31639.838503163639</v>
      </c>
      <c r="J8">
        <v>7512.5867140137661</v>
      </c>
      <c r="K8">
        <v>0</v>
      </c>
      <c r="L8">
        <v>43299.950104905489</v>
      </c>
    </row>
    <row r="9" spans="1:12" x14ac:dyDescent="0.25">
      <c r="A9" t="s">
        <v>35</v>
      </c>
      <c r="B9">
        <v>12129.91</v>
      </c>
      <c r="C9">
        <v>9356.99</v>
      </c>
      <c r="D9">
        <v>92158.01</v>
      </c>
      <c r="E9">
        <v>33299.339999999997</v>
      </c>
      <c r="F9">
        <v>0</v>
      </c>
      <c r="G9">
        <v>363029.89</v>
      </c>
      <c r="H9">
        <v>181384</v>
      </c>
      <c r="I9">
        <v>25789.200000000001</v>
      </c>
      <c r="J9">
        <v>6560.15</v>
      </c>
      <c r="K9">
        <v>0</v>
      </c>
      <c r="L9">
        <v>39782.9</v>
      </c>
    </row>
    <row r="10" spans="1:12" x14ac:dyDescent="0.25">
      <c r="A10" t="s">
        <v>37</v>
      </c>
      <c r="B10">
        <v>4626.03</v>
      </c>
      <c r="C10">
        <v>3682</v>
      </c>
      <c r="D10">
        <v>91912.98</v>
      </c>
      <c r="E10">
        <v>29098.959999999999</v>
      </c>
      <c r="F10">
        <v>0</v>
      </c>
      <c r="G10">
        <v>249747.72</v>
      </c>
      <c r="H10">
        <v>118433.26</v>
      </c>
      <c r="I10">
        <v>27001.49</v>
      </c>
      <c r="J10">
        <v>7693.2</v>
      </c>
      <c r="K10">
        <v>0</v>
      </c>
      <c r="L10">
        <v>30359.23</v>
      </c>
    </row>
    <row r="11" spans="1:12" x14ac:dyDescent="0.25">
      <c r="A11" t="s">
        <v>38</v>
      </c>
      <c r="B11">
        <v>6098.91</v>
      </c>
      <c r="C11">
        <v>4256</v>
      </c>
      <c r="D11">
        <v>97656.21</v>
      </c>
      <c r="E11">
        <v>25268.84</v>
      </c>
      <c r="F11">
        <v>0</v>
      </c>
      <c r="G11">
        <v>283146.96000000002</v>
      </c>
      <c r="H11">
        <v>108052.16</v>
      </c>
      <c r="I11">
        <v>27629.53</v>
      </c>
      <c r="J11">
        <v>6786.16</v>
      </c>
      <c r="K11">
        <v>0</v>
      </c>
      <c r="L11">
        <v>34613.1</v>
      </c>
    </row>
    <row r="12" spans="1:12" x14ac:dyDescent="0.25">
      <c r="A12" t="s">
        <v>39</v>
      </c>
      <c r="B12">
        <v>4684.96</v>
      </c>
      <c r="C12">
        <v>6412.97</v>
      </c>
      <c r="D12">
        <v>41193.17</v>
      </c>
      <c r="E12">
        <v>14098.95</v>
      </c>
      <c r="F12">
        <v>0</v>
      </c>
      <c r="G12">
        <v>170271.15</v>
      </c>
      <c r="H12">
        <v>74345.97</v>
      </c>
      <c r="I12">
        <v>9252.4699999999993</v>
      </c>
      <c r="J12">
        <v>2197.15</v>
      </c>
      <c r="K12">
        <v>0</v>
      </c>
      <c r="L12">
        <v>17386.150000000001</v>
      </c>
    </row>
    <row r="13" spans="1:12" x14ac:dyDescent="0.25">
      <c r="A13" t="s">
        <v>40</v>
      </c>
      <c r="B13">
        <v>5680.4826688268422</v>
      </c>
      <c r="C13">
        <v>5410.7542909729355</v>
      </c>
      <c r="D13">
        <v>100876.17021191484</v>
      </c>
      <c r="E13">
        <v>41403.492926028455</v>
      </c>
      <c r="F13">
        <v>0</v>
      </c>
      <c r="G13">
        <v>415251.41990572744</v>
      </c>
      <c r="H13">
        <v>281834.82210963679</v>
      </c>
      <c r="I13">
        <v>37443.85608934451</v>
      </c>
      <c r="J13">
        <v>7937.0669557578894</v>
      </c>
      <c r="K13">
        <v>0</v>
      </c>
      <c r="L13">
        <v>61373.385820939089</v>
      </c>
    </row>
    <row r="14" spans="1:12" x14ac:dyDescent="0.25">
      <c r="A14" t="s">
        <v>41</v>
      </c>
      <c r="B14">
        <v>10410.89038984457</v>
      </c>
      <c r="C14">
        <v>7385.673457879042</v>
      </c>
      <c r="D14">
        <v>68862.097230949905</v>
      </c>
      <c r="E14">
        <v>35062.50995692335</v>
      </c>
      <c r="F14">
        <v>0</v>
      </c>
      <c r="G14">
        <v>317767.7388500066</v>
      </c>
      <c r="H14">
        <v>216153.92030911046</v>
      </c>
      <c r="I14">
        <v>42882.68245782546</v>
      </c>
      <c r="J14">
        <v>9163.3932889549051</v>
      </c>
      <c r="K14">
        <v>0</v>
      </c>
      <c r="L14">
        <v>71993.611919425544</v>
      </c>
    </row>
    <row r="15" spans="1:12" x14ac:dyDescent="0.25">
      <c r="A15" t="s">
        <v>42</v>
      </c>
      <c r="B15">
        <v>9559.9635265975467</v>
      </c>
      <c r="C15">
        <v>7893.3101937508191</v>
      </c>
      <c r="D15">
        <v>85653.367780878441</v>
      </c>
      <c r="E15">
        <v>44109.284282253844</v>
      </c>
      <c r="F15">
        <v>0</v>
      </c>
      <c r="G15">
        <v>383642.84479767364</v>
      </c>
      <c r="H15">
        <v>260865.18801910771</v>
      </c>
      <c r="I15">
        <v>42290.824288813637</v>
      </c>
      <c r="J15">
        <v>7658.6660903578222</v>
      </c>
      <c r="K15">
        <v>0</v>
      </c>
      <c r="L15">
        <v>83695.677463564658</v>
      </c>
    </row>
    <row r="16" spans="1:12" x14ac:dyDescent="0.25">
      <c r="A16" t="s">
        <v>43</v>
      </c>
      <c r="B16">
        <v>5646.9781369352213</v>
      </c>
      <c r="C16">
        <v>5330.722057627403</v>
      </c>
      <c r="D16">
        <v>59560.214965878382</v>
      </c>
      <c r="E16">
        <v>32759.808096562167</v>
      </c>
      <c r="F16">
        <v>0</v>
      </c>
      <c r="G16">
        <v>281651.7068404181</v>
      </c>
      <c r="H16">
        <v>197166.71727916668</v>
      </c>
      <c r="I16">
        <v>35752.180236792497</v>
      </c>
      <c r="J16">
        <v>8841.8582202716825</v>
      </c>
      <c r="K16">
        <v>0</v>
      </c>
      <c r="L16">
        <v>52314.111848666966</v>
      </c>
    </row>
    <row r="17" spans="1:12" x14ac:dyDescent="0.25">
      <c r="A17" t="s">
        <v>45</v>
      </c>
      <c r="B17">
        <v>6360.94</v>
      </c>
      <c r="C17">
        <v>3087.96</v>
      </c>
      <c r="D17">
        <v>30261.919999999998</v>
      </c>
      <c r="E17">
        <v>9291.23</v>
      </c>
      <c r="F17">
        <v>0</v>
      </c>
      <c r="G17">
        <v>228394.53</v>
      </c>
      <c r="H17">
        <v>130683.48</v>
      </c>
      <c r="I17">
        <v>16646.77</v>
      </c>
      <c r="J17">
        <v>3487.06</v>
      </c>
      <c r="K17">
        <v>0</v>
      </c>
      <c r="L17">
        <v>21748.21</v>
      </c>
    </row>
    <row r="18" spans="1:12" x14ac:dyDescent="0.25">
      <c r="A18" t="s">
        <v>46</v>
      </c>
      <c r="B18">
        <v>4440.03</v>
      </c>
      <c r="C18">
        <v>4767.99</v>
      </c>
      <c r="D18">
        <v>49168.12</v>
      </c>
      <c r="E18">
        <v>30935.93</v>
      </c>
      <c r="F18">
        <v>0</v>
      </c>
      <c r="G18">
        <v>318338.40000000002</v>
      </c>
      <c r="H18">
        <v>179839.37</v>
      </c>
      <c r="I18">
        <v>20236.28</v>
      </c>
      <c r="J18">
        <v>6552.28</v>
      </c>
      <c r="K18">
        <v>0</v>
      </c>
      <c r="L18">
        <v>34164.959999999999</v>
      </c>
    </row>
    <row r="19" spans="1:12" x14ac:dyDescent="0.25">
      <c r="A19" t="s">
        <v>47</v>
      </c>
      <c r="B19">
        <v>4225.9799999999996</v>
      </c>
      <c r="C19">
        <v>2435.9699999999998</v>
      </c>
      <c r="D19">
        <v>24839.8</v>
      </c>
      <c r="E19">
        <v>8723.7199999999993</v>
      </c>
      <c r="F19">
        <v>0</v>
      </c>
      <c r="G19">
        <v>213415.31</v>
      </c>
      <c r="H19">
        <v>125623.83</v>
      </c>
      <c r="I19">
        <v>16510.64</v>
      </c>
      <c r="J19">
        <v>3675.03</v>
      </c>
      <c r="K19">
        <v>0</v>
      </c>
      <c r="L19">
        <v>23345.26</v>
      </c>
    </row>
    <row r="20" spans="1:12" x14ac:dyDescent="0.25">
      <c r="A20" t="s">
        <v>48</v>
      </c>
      <c r="B20">
        <v>2749.1575435882769</v>
      </c>
      <c r="C20">
        <v>2294.7877633836342</v>
      </c>
      <c r="D20">
        <v>46025.274695760119</v>
      </c>
      <c r="E20">
        <v>13427.184312858415</v>
      </c>
      <c r="F20">
        <v>0</v>
      </c>
      <c r="G20">
        <v>279440.41991699435</v>
      </c>
      <c r="H20">
        <v>117372.33064272486</v>
      </c>
      <c r="I20">
        <v>10199.916769068031</v>
      </c>
      <c r="J20">
        <v>2793.8423381903331</v>
      </c>
      <c r="K20">
        <v>0</v>
      </c>
      <c r="L20">
        <v>25745.66301585441</v>
      </c>
    </row>
    <row r="21" spans="1:12" x14ac:dyDescent="0.25">
      <c r="A21" t="s">
        <v>49</v>
      </c>
      <c r="B21">
        <v>2889.4696259556163</v>
      </c>
      <c r="C21">
        <v>1997.1223076050194</v>
      </c>
      <c r="D21">
        <v>5866.4461817531674</v>
      </c>
      <c r="E21">
        <v>7017.2411442465354</v>
      </c>
      <c r="F21">
        <v>0</v>
      </c>
      <c r="G21">
        <v>136254.70606280176</v>
      </c>
      <c r="H21">
        <v>57348.934402651939</v>
      </c>
      <c r="I21">
        <v>5128.4513646515388</v>
      </c>
      <c r="J21">
        <v>4566.0397716421585</v>
      </c>
      <c r="K21">
        <v>0</v>
      </c>
      <c r="L21">
        <v>9215.7761113163178</v>
      </c>
    </row>
    <row r="22" spans="1:12" x14ac:dyDescent="0.25">
      <c r="A22" t="s">
        <v>50</v>
      </c>
      <c r="B22">
        <v>8352.94</v>
      </c>
      <c r="C22">
        <v>3787.05</v>
      </c>
      <c r="D22">
        <v>60074.14</v>
      </c>
      <c r="E22">
        <v>12902.93</v>
      </c>
      <c r="F22">
        <v>0</v>
      </c>
      <c r="G22">
        <v>209953.12</v>
      </c>
      <c r="H22">
        <v>100798.9</v>
      </c>
      <c r="I22">
        <v>12912.14</v>
      </c>
      <c r="J22">
        <v>3364.13</v>
      </c>
      <c r="K22">
        <v>0</v>
      </c>
      <c r="L22">
        <v>24360.78</v>
      </c>
    </row>
    <row r="23" spans="1:12" x14ac:dyDescent="0.25">
      <c r="A23" t="s">
        <v>51</v>
      </c>
      <c r="B23">
        <v>2733.6463955841414</v>
      </c>
      <c r="C23">
        <v>1695.1175178435287</v>
      </c>
      <c r="D23">
        <v>37405.662469955772</v>
      </c>
      <c r="E23">
        <v>18030.522731125351</v>
      </c>
      <c r="F23">
        <v>0</v>
      </c>
      <c r="G23">
        <v>185683.57070489839</v>
      </c>
      <c r="H23">
        <v>112571.82944828285</v>
      </c>
      <c r="I23">
        <v>25446.746261444983</v>
      </c>
      <c r="J23">
        <v>6179.095699981448</v>
      </c>
      <c r="K23">
        <v>0</v>
      </c>
      <c r="L23">
        <v>11825.845250889324</v>
      </c>
    </row>
    <row r="24" spans="1:12" x14ac:dyDescent="0.25">
      <c r="A24" t="s">
        <v>52</v>
      </c>
      <c r="B24">
        <v>2723.96</v>
      </c>
      <c r="C24">
        <v>2074.0500000000002</v>
      </c>
      <c r="D24">
        <v>45343.08</v>
      </c>
      <c r="E24">
        <v>19334.8</v>
      </c>
      <c r="F24">
        <v>0</v>
      </c>
      <c r="G24">
        <v>214297.44</v>
      </c>
      <c r="H24">
        <v>145018.46</v>
      </c>
      <c r="I24">
        <v>20165.21</v>
      </c>
      <c r="J24">
        <v>6630.24</v>
      </c>
      <c r="K24">
        <v>0</v>
      </c>
      <c r="L24">
        <v>13716.27</v>
      </c>
    </row>
    <row r="25" spans="1:12" x14ac:dyDescent="0.25">
      <c r="A25" t="s">
        <v>53</v>
      </c>
      <c r="B25">
        <v>3351.5317870426834</v>
      </c>
      <c r="C25">
        <v>2159.2033832892012</v>
      </c>
      <c r="D25">
        <v>25652.590119823886</v>
      </c>
      <c r="E25">
        <v>20539.277960238935</v>
      </c>
      <c r="F25">
        <v>0</v>
      </c>
      <c r="G25">
        <v>243371.01450130102</v>
      </c>
      <c r="H25">
        <v>145864.35789178548</v>
      </c>
      <c r="I25">
        <v>17587.7320542413</v>
      </c>
      <c r="J25">
        <v>7229.6789964626978</v>
      </c>
      <c r="K25">
        <v>0</v>
      </c>
      <c r="L25">
        <v>13197.287852256237</v>
      </c>
    </row>
    <row r="26" spans="1:12" x14ac:dyDescent="0.25">
      <c r="A26" t="s">
        <v>54</v>
      </c>
      <c r="B26">
        <v>2715.5325303112718</v>
      </c>
      <c r="C26">
        <v>2061.1030941502372</v>
      </c>
      <c r="D26">
        <v>52401.468267138036</v>
      </c>
      <c r="E26">
        <v>19731.982224707641</v>
      </c>
      <c r="F26">
        <v>0</v>
      </c>
      <c r="G26">
        <v>216797.33924571128</v>
      </c>
      <c r="H26">
        <v>136019.89951209672</v>
      </c>
      <c r="I26">
        <v>20552.990363179251</v>
      </c>
      <c r="J26">
        <v>6757.2423281976826</v>
      </c>
      <c r="K26">
        <v>0</v>
      </c>
      <c r="L26">
        <v>13941.28779214657</v>
      </c>
    </row>
    <row r="27" spans="1:12" x14ac:dyDescent="0.25">
      <c r="A27" t="s">
        <v>55</v>
      </c>
      <c r="B27">
        <v>4817.1765064304063</v>
      </c>
      <c r="C27">
        <v>10302.93503178999</v>
      </c>
      <c r="D27">
        <v>79153.564291278992</v>
      </c>
      <c r="E27">
        <v>28350.642777732744</v>
      </c>
      <c r="F27">
        <v>0</v>
      </c>
      <c r="G27">
        <v>356858.85547963786</v>
      </c>
      <c r="H27">
        <v>151376.68270152283</v>
      </c>
      <c r="I27">
        <v>25480.165796673467</v>
      </c>
      <c r="J27">
        <v>7561.3845950190716</v>
      </c>
      <c r="K27">
        <v>0</v>
      </c>
      <c r="L27">
        <v>34737.010526903628</v>
      </c>
    </row>
    <row r="28" spans="1:12" x14ac:dyDescent="0.25">
      <c r="A28" t="s">
        <v>56</v>
      </c>
      <c r="B28">
        <v>2737.716932937873</v>
      </c>
      <c r="C28">
        <v>9022.2383568729983</v>
      </c>
      <c r="D28">
        <v>55652.033067519842</v>
      </c>
      <c r="E28">
        <v>20714.572361607854</v>
      </c>
      <c r="F28">
        <v>0</v>
      </c>
      <c r="G28">
        <v>330991.46498241049</v>
      </c>
      <c r="H28">
        <v>154662.15527068081</v>
      </c>
      <c r="I28">
        <v>19721.492713632437</v>
      </c>
      <c r="J28">
        <v>7023.4673965429483</v>
      </c>
      <c r="K28">
        <v>0</v>
      </c>
      <c r="L28">
        <v>19139.87242696718</v>
      </c>
    </row>
    <row r="29" spans="1:12" x14ac:dyDescent="0.25">
      <c r="A29" t="s">
        <v>57</v>
      </c>
      <c r="B29">
        <v>7857.92</v>
      </c>
      <c r="C29">
        <v>7997.04</v>
      </c>
      <c r="D29">
        <v>67943.179999999993</v>
      </c>
      <c r="E29">
        <v>69387.11</v>
      </c>
      <c r="F29">
        <v>0</v>
      </c>
      <c r="G29">
        <v>368985.71</v>
      </c>
      <c r="H29">
        <v>319865.02</v>
      </c>
      <c r="I29">
        <v>56354.41</v>
      </c>
      <c r="J29">
        <v>12336.37</v>
      </c>
      <c r="K29">
        <v>0</v>
      </c>
      <c r="L29">
        <v>60189.79</v>
      </c>
    </row>
    <row r="30" spans="1:12" x14ac:dyDescent="0.25">
      <c r="A30" t="s">
        <v>58</v>
      </c>
      <c r="B30">
        <v>5961.99</v>
      </c>
      <c r="C30">
        <v>7017.96</v>
      </c>
      <c r="D30">
        <v>44687.02</v>
      </c>
      <c r="E30">
        <v>49738.06</v>
      </c>
      <c r="F30">
        <v>0</v>
      </c>
      <c r="G30">
        <v>228931.84</v>
      </c>
      <c r="H30">
        <v>220658.97</v>
      </c>
      <c r="I30">
        <v>36840.17</v>
      </c>
      <c r="J30">
        <v>9260.2900000000009</v>
      </c>
      <c r="K30">
        <v>0</v>
      </c>
      <c r="L30">
        <v>42397.919999999998</v>
      </c>
    </row>
    <row r="31" spans="1:12" x14ac:dyDescent="0.25">
      <c r="A31" t="s">
        <v>59</v>
      </c>
      <c r="B31">
        <v>7426.99</v>
      </c>
      <c r="C31">
        <v>9372.99</v>
      </c>
      <c r="D31">
        <v>88994.93</v>
      </c>
      <c r="E31">
        <v>78786</v>
      </c>
      <c r="F31">
        <v>0</v>
      </c>
      <c r="G31">
        <v>436158.69</v>
      </c>
      <c r="H31">
        <v>410101.62</v>
      </c>
      <c r="I31">
        <v>27026.53</v>
      </c>
      <c r="J31">
        <v>7762.17</v>
      </c>
      <c r="K31">
        <v>0</v>
      </c>
      <c r="L31">
        <v>54544.19</v>
      </c>
    </row>
    <row r="32" spans="1:12" x14ac:dyDescent="0.25">
      <c r="A32" t="s">
        <v>60</v>
      </c>
      <c r="B32">
        <v>5423.92</v>
      </c>
      <c r="C32">
        <v>8087.96</v>
      </c>
      <c r="D32">
        <v>50131.83</v>
      </c>
      <c r="E32">
        <v>51535.199999999997</v>
      </c>
      <c r="F32">
        <v>0</v>
      </c>
      <c r="G32">
        <v>292311.78999999998</v>
      </c>
      <c r="H32">
        <v>241565.85</v>
      </c>
      <c r="I32">
        <v>45021.43</v>
      </c>
      <c r="J32">
        <v>12930.45</v>
      </c>
      <c r="K32">
        <v>0</v>
      </c>
      <c r="L32">
        <v>52436.93</v>
      </c>
    </row>
    <row r="33" spans="1:12" x14ac:dyDescent="0.25">
      <c r="A33" t="s">
        <v>61</v>
      </c>
      <c r="B33">
        <v>3592.94</v>
      </c>
      <c r="C33">
        <v>3604.99</v>
      </c>
      <c r="D33">
        <v>53057.87</v>
      </c>
      <c r="E33">
        <v>17209.099999999999</v>
      </c>
      <c r="F33">
        <v>0</v>
      </c>
      <c r="G33">
        <v>278394.09999999998</v>
      </c>
      <c r="H33">
        <v>127785.76</v>
      </c>
      <c r="I33">
        <v>17853.97</v>
      </c>
      <c r="J33">
        <v>5298.16</v>
      </c>
      <c r="K33">
        <v>0</v>
      </c>
      <c r="L33">
        <v>22455.759999999998</v>
      </c>
    </row>
    <row r="34" spans="1:12" x14ac:dyDescent="0.25">
      <c r="A34" t="s">
        <v>62</v>
      </c>
      <c r="B34">
        <v>8368.93</v>
      </c>
      <c r="C34">
        <v>8566.98</v>
      </c>
      <c r="D34">
        <v>62015.03</v>
      </c>
      <c r="E34">
        <v>22164.3</v>
      </c>
      <c r="F34">
        <v>0</v>
      </c>
      <c r="G34">
        <v>245018.86</v>
      </c>
      <c r="H34">
        <v>99571.88</v>
      </c>
      <c r="I34">
        <v>20686.5</v>
      </c>
      <c r="J34">
        <v>6406.1</v>
      </c>
      <c r="K34">
        <v>0</v>
      </c>
      <c r="L34">
        <v>29116.26</v>
      </c>
    </row>
    <row r="35" spans="1:12" x14ac:dyDescent="0.25">
      <c r="A35" t="s">
        <v>63</v>
      </c>
      <c r="B35">
        <v>6295.98</v>
      </c>
      <c r="C35">
        <v>10390.07</v>
      </c>
      <c r="D35">
        <v>74359.28</v>
      </c>
      <c r="E35">
        <v>38640.35</v>
      </c>
      <c r="F35">
        <v>0</v>
      </c>
      <c r="G35">
        <v>388085.76000000001</v>
      </c>
      <c r="H35">
        <v>330339.81</v>
      </c>
      <c r="I35">
        <v>53408.83</v>
      </c>
      <c r="J35">
        <v>10567.26</v>
      </c>
      <c r="K35">
        <v>0</v>
      </c>
      <c r="L35">
        <v>102458.01</v>
      </c>
    </row>
    <row r="36" spans="1:12" x14ac:dyDescent="0.25">
      <c r="A36" t="s">
        <v>64</v>
      </c>
      <c r="B36">
        <v>5218.900245298867</v>
      </c>
      <c r="C36">
        <v>9938.2343213030254</v>
      </c>
      <c r="D36">
        <v>86578.924860376646</v>
      </c>
      <c r="E36">
        <v>61371.472936087928</v>
      </c>
      <c r="F36">
        <v>0</v>
      </c>
      <c r="G36">
        <v>350101.16739273362</v>
      </c>
      <c r="H36">
        <v>286227.55660942954</v>
      </c>
      <c r="I36">
        <v>28310.659734421075</v>
      </c>
      <c r="J36">
        <v>7468.1923538214869</v>
      </c>
      <c r="K36">
        <v>0</v>
      </c>
      <c r="L36">
        <v>65905.578430046939</v>
      </c>
    </row>
    <row r="37" spans="1:12" x14ac:dyDescent="0.25">
      <c r="A37" t="s">
        <v>65</v>
      </c>
      <c r="B37">
        <v>11366.431882672328</v>
      </c>
      <c r="C37">
        <v>16565.401409778857</v>
      </c>
      <c r="D37">
        <v>121019.61859484769</v>
      </c>
      <c r="E37">
        <v>59248.989920949309</v>
      </c>
      <c r="F37">
        <v>0</v>
      </c>
      <c r="G37">
        <v>553249.80059050396</v>
      </c>
      <c r="H37">
        <v>394124.21958742809</v>
      </c>
      <c r="I37">
        <v>67910.225092043591</v>
      </c>
      <c r="J37">
        <v>13819.718818880834</v>
      </c>
      <c r="K37">
        <v>0</v>
      </c>
      <c r="L37">
        <v>105616.41070557918</v>
      </c>
    </row>
    <row r="38" spans="1:12" x14ac:dyDescent="0.25">
      <c r="A38" t="s">
        <v>66</v>
      </c>
      <c r="B38">
        <v>4643</v>
      </c>
      <c r="C38">
        <v>13767</v>
      </c>
      <c r="D38">
        <v>74657.259999999995</v>
      </c>
      <c r="E38">
        <v>43635.38</v>
      </c>
      <c r="F38">
        <v>0</v>
      </c>
      <c r="G38">
        <v>399979.05</v>
      </c>
      <c r="H38">
        <v>251388.9</v>
      </c>
      <c r="I38">
        <v>41408.839999999997</v>
      </c>
      <c r="J38">
        <v>10288.4</v>
      </c>
      <c r="K38">
        <v>0</v>
      </c>
      <c r="L38">
        <v>59642.080000000002</v>
      </c>
    </row>
    <row r="39" spans="1:12" x14ac:dyDescent="0.25">
      <c r="A39" t="s">
        <v>67</v>
      </c>
      <c r="B39">
        <v>6221.93</v>
      </c>
      <c r="C39">
        <v>4839.96</v>
      </c>
      <c r="D39">
        <v>56848.86</v>
      </c>
      <c r="E39">
        <v>12729.32</v>
      </c>
      <c r="F39">
        <v>0</v>
      </c>
      <c r="G39">
        <v>291932.92</v>
      </c>
      <c r="H39">
        <v>111671.22</v>
      </c>
      <c r="I39">
        <v>21946.62</v>
      </c>
      <c r="J39">
        <v>4597.07</v>
      </c>
      <c r="K39">
        <v>0</v>
      </c>
      <c r="L39">
        <v>22029.14</v>
      </c>
    </row>
    <row r="40" spans="1:12" x14ac:dyDescent="0.25">
      <c r="A40" t="s">
        <v>68</v>
      </c>
      <c r="B40">
        <v>3945.01</v>
      </c>
      <c r="C40">
        <v>1460.95</v>
      </c>
      <c r="D40">
        <v>27844.85</v>
      </c>
      <c r="E40">
        <v>11723.1</v>
      </c>
      <c r="F40">
        <v>0</v>
      </c>
      <c r="G40">
        <v>195689.73</v>
      </c>
      <c r="H40">
        <v>83852.789999999994</v>
      </c>
      <c r="I40">
        <v>5862.97</v>
      </c>
      <c r="J40">
        <v>1898.05</v>
      </c>
      <c r="K40">
        <v>0</v>
      </c>
      <c r="L40">
        <v>13464.23</v>
      </c>
    </row>
    <row r="41" spans="1:12" x14ac:dyDescent="0.25">
      <c r="A41" t="s">
        <v>69</v>
      </c>
      <c r="B41">
        <v>4922.99</v>
      </c>
      <c r="C41">
        <v>5753.97</v>
      </c>
      <c r="D41">
        <v>64519.1</v>
      </c>
      <c r="E41">
        <v>19917.87</v>
      </c>
      <c r="F41">
        <v>0</v>
      </c>
      <c r="G41">
        <v>295248.89</v>
      </c>
      <c r="H41">
        <v>124323.78</v>
      </c>
      <c r="I41">
        <v>9049.4699999999993</v>
      </c>
      <c r="J41">
        <v>2479.0100000000002</v>
      </c>
      <c r="K41">
        <v>0</v>
      </c>
      <c r="L41">
        <v>26511.07</v>
      </c>
    </row>
    <row r="42" spans="1:12" x14ac:dyDescent="0.25">
      <c r="A42" t="s">
        <v>70</v>
      </c>
      <c r="B42">
        <v>2613.98</v>
      </c>
      <c r="C42">
        <v>3934.06</v>
      </c>
      <c r="D42">
        <v>62824.92</v>
      </c>
      <c r="E42">
        <v>14280.04</v>
      </c>
      <c r="F42">
        <v>0</v>
      </c>
      <c r="G42">
        <v>224048.03</v>
      </c>
      <c r="H42">
        <v>81254.070000000007</v>
      </c>
      <c r="I42">
        <v>18162.060000000001</v>
      </c>
      <c r="J42">
        <v>4851.1899999999996</v>
      </c>
      <c r="K42">
        <v>0</v>
      </c>
      <c r="L42">
        <v>20255.060000000001</v>
      </c>
    </row>
    <row r="43" spans="1:12" x14ac:dyDescent="0.25">
      <c r="A43" t="s">
        <v>71</v>
      </c>
      <c r="B43">
        <v>4787.93</v>
      </c>
      <c r="C43">
        <v>8721.98</v>
      </c>
      <c r="D43">
        <v>82511.16</v>
      </c>
      <c r="E43">
        <v>19840.09</v>
      </c>
      <c r="F43">
        <v>0</v>
      </c>
      <c r="G43">
        <v>247254.96</v>
      </c>
      <c r="H43">
        <v>107069.03</v>
      </c>
      <c r="I43">
        <v>29512.89</v>
      </c>
      <c r="J43">
        <v>9139.23</v>
      </c>
      <c r="K43">
        <v>0</v>
      </c>
      <c r="L43">
        <v>23259.200000000001</v>
      </c>
    </row>
    <row r="44" spans="1:12" x14ac:dyDescent="0.25">
      <c r="A44" t="s">
        <v>72</v>
      </c>
      <c r="B44">
        <v>2649.03</v>
      </c>
      <c r="C44">
        <v>4537.96</v>
      </c>
      <c r="D44">
        <v>54976.9</v>
      </c>
      <c r="E44">
        <v>10583.08</v>
      </c>
      <c r="F44">
        <v>0</v>
      </c>
      <c r="G44">
        <v>176319.05</v>
      </c>
      <c r="H44">
        <v>58890.76</v>
      </c>
      <c r="I44">
        <v>18294</v>
      </c>
      <c r="J44">
        <v>4654.2299999999996</v>
      </c>
      <c r="K44">
        <v>0</v>
      </c>
      <c r="L44">
        <v>14310.7</v>
      </c>
    </row>
    <row r="45" spans="1:12" x14ac:dyDescent="0.25">
      <c r="A45" t="s">
        <v>73</v>
      </c>
      <c r="B45">
        <v>4441.01</v>
      </c>
      <c r="C45">
        <v>3060.03</v>
      </c>
      <c r="D45">
        <v>62929.15</v>
      </c>
      <c r="E45">
        <v>24205.99</v>
      </c>
      <c r="F45">
        <v>0</v>
      </c>
      <c r="G45">
        <v>405738.01</v>
      </c>
      <c r="H45">
        <v>205949.2</v>
      </c>
      <c r="I45">
        <v>61176.15</v>
      </c>
      <c r="J45">
        <v>15351.36</v>
      </c>
      <c r="K45">
        <v>0</v>
      </c>
      <c r="L45">
        <v>55171.82</v>
      </c>
    </row>
    <row r="46" spans="1:12" x14ac:dyDescent="0.25">
      <c r="A46" t="s">
        <v>74</v>
      </c>
      <c r="B46">
        <v>4142.95</v>
      </c>
      <c r="C46">
        <v>4864.0600000000004</v>
      </c>
      <c r="D46">
        <v>63093.06</v>
      </c>
      <c r="E46">
        <v>23507.8</v>
      </c>
      <c r="F46">
        <v>0</v>
      </c>
      <c r="G46">
        <v>355628.02</v>
      </c>
      <c r="H46">
        <v>190234.25</v>
      </c>
      <c r="I46">
        <v>29408.84</v>
      </c>
      <c r="J46">
        <v>9320.26</v>
      </c>
      <c r="K46">
        <v>0</v>
      </c>
      <c r="L46">
        <v>58177.2</v>
      </c>
    </row>
    <row r="47" spans="1:12" x14ac:dyDescent="0.25">
      <c r="A47" t="s">
        <v>75</v>
      </c>
      <c r="B47">
        <v>11485.92</v>
      </c>
      <c r="C47">
        <v>8892.98</v>
      </c>
      <c r="D47">
        <v>145869.01</v>
      </c>
      <c r="E47">
        <v>61683.93</v>
      </c>
      <c r="F47">
        <v>0</v>
      </c>
      <c r="G47">
        <v>629521.97</v>
      </c>
      <c r="H47">
        <v>334432.18</v>
      </c>
      <c r="I47">
        <v>28794.75</v>
      </c>
      <c r="J47">
        <v>10255.23</v>
      </c>
      <c r="K47">
        <v>0</v>
      </c>
      <c r="L47">
        <v>90036.96</v>
      </c>
    </row>
    <row r="48" spans="1:12" x14ac:dyDescent="0.25">
      <c r="A48" t="s">
        <v>76</v>
      </c>
      <c r="B48">
        <v>8756.93</v>
      </c>
      <c r="C48">
        <v>6265.96</v>
      </c>
      <c r="D48">
        <v>87641.19</v>
      </c>
      <c r="E48">
        <v>31869.97</v>
      </c>
      <c r="F48">
        <v>0</v>
      </c>
      <c r="G48">
        <v>414308.79</v>
      </c>
      <c r="H48">
        <v>226326.96</v>
      </c>
      <c r="I48">
        <v>35549.919999999998</v>
      </c>
      <c r="J48">
        <v>10852.31</v>
      </c>
      <c r="K48">
        <v>0</v>
      </c>
      <c r="L48">
        <v>45555.74</v>
      </c>
    </row>
    <row r="49" spans="1:12" x14ac:dyDescent="0.25">
      <c r="A49" t="s">
        <v>77</v>
      </c>
      <c r="B49">
        <v>9767.99</v>
      </c>
      <c r="C49">
        <v>7921.02</v>
      </c>
      <c r="D49">
        <v>120916.15</v>
      </c>
      <c r="E49">
        <v>40910.42</v>
      </c>
      <c r="F49">
        <v>0</v>
      </c>
      <c r="G49">
        <v>598039.76</v>
      </c>
      <c r="H49">
        <v>279433.99</v>
      </c>
      <c r="I49">
        <v>48358.01</v>
      </c>
      <c r="J49">
        <v>13103.43</v>
      </c>
      <c r="K49">
        <v>0</v>
      </c>
      <c r="L49">
        <v>58404.03</v>
      </c>
    </row>
    <row r="50" spans="1:12" x14ac:dyDescent="0.25">
      <c r="A50" t="s">
        <v>78</v>
      </c>
      <c r="B50">
        <v>5496.1661072228399</v>
      </c>
      <c r="C50">
        <v>3367.3505908372513</v>
      </c>
      <c r="D50">
        <v>58105.712661963698</v>
      </c>
      <c r="E50">
        <v>24176.381654819696</v>
      </c>
      <c r="F50">
        <v>0</v>
      </c>
      <c r="G50">
        <v>251139.55208187117</v>
      </c>
      <c r="H50">
        <v>192762.45431573462</v>
      </c>
      <c r="I50">
        <v>38074.020180111598</v>
      </c>
      <c r="J50">
        <v>8475.1162177194583</v>
      </c>
      <c r="K50">
        <v>0</v>
      </c>
      <c r="L50">
        <v>25879.049461814593</v>
      </c>
    </row>
    <row r="51" spans="1:12" x14ac:dyDescent="0.25">
      <c r="A51" t="s">
        <v>79</v>
      </c>
      <c r="B51">
        <v>5107.9639118923396</v>
      </c>
      <c r="C51">
        <v>2827.0898517229284</v>
      </c>
      <c r="D51">
        <v>46338.391518056284</v>
      </c>
      <c r="E51">
        <v>25558.558893375361</v>
      </c>
      <c r="F51">
        <v>0</v>
      </c>
      <c r="G51">
        <v>232796.18583414098</v>
      </c>
      <c r="H51">
        <v>128531.74788693528</v>
      </c>
      <c r="I51">
        <v>32030.885559886901</v>
      </c>
      <c r="J51">
        <v>5431.7199812243371</v>
      </c>
      <c r="K51">
        <v>0</v>
      </c>
      <c r="L51">
        <v>30739.66602434776</v>
      </c>
    </row>
    <row r="52" spans="1:12" x14ac:dyDescent="0.25">
      <c r="A52" t="s">
        <v>80</v>
      </c>
      <c r="B52">
        <v>8501.7272190257499</v>
      </c>
      <c r="C52">
        <v>6294.2930387883089</v>
      </c>
      <c r="D52">
        <v>78845.502998389216</v>
      </c>
      <c r="E52">
        <v>28978.347931625187</v>
      </c>
      <c r="F52">
        <v>0</v>
      </c>
      <c r="G52">
        <v>355980.38992988697</v>
      </c>
      <c r="H52">
        <v>224254.81983928132</v>
      </c>
      <c r="I52">
        <v>36745.002950695081</v>
      </c>
      <c r="J52">
        <v>9024.5192597393288</v>
      </c>
      <c r="K52">
        <v>0</v>
      </c>
      <c r="L52">
        <v>46036.715330159939</v>
      </c>
    </row>
    <row r="53" spans="1:12" x14ac:dyDescent="0.25">
      <c r="A53" t="s">
        <v>81</v>
      </c>
      <c r="B53">
        <v>6082.2485699359468</v>
      </c>
      <c r="C53">
        <v>5145.0103071307694</v>
      </c>
      <c r="D53">
        <v>92227.659054417454</v>
      </c>
      <c r="E53">
        <v>34005.5693667616</v>
      </c>
      <c r="F53">
        <v>0</v>
      </c>
      <c r="G53">
        <v>472658.00561113737</v>
      </c>
      <c r="H53">
        <v>236871.15412378797</v>
      </c>
      <c r="I53">
        <v>33955.806708530079</v>
      </c>
      <c r="J53">
        <v>9673.9201840266414</v>
      </c>
      <c r="K53">
        <v>0</v>
      </c>
      <c r="L53">
        <v>35188.688067600502</v>
      </c>
    </row>
    <row r="54" spans="1:12" x14ac:dyDescent="0.25">
      <c r="A54" t="s">
        <v>82</v>
      </c>
      <c r="B54">
        <v>3625.3713591293617</v>
      </c>
      <c r="C54">
        <v>2444.1443053389253</v>
      </c>
      <c r="D54">
        <v>61835.115601601341</v>
      </c>
      <c r="E54">
        <v>26951.39965621474</v>
      </c>
      <c r="F54">
        <v>0</v>
      </c>
      <c r="G54">
        <v>277805.45878137171</v>
      </c>
      <c r="H54">
        <v>176818.59811969154</v>
      </c>
      <c r="I54">
        <v>37821.240982878284</v>
      </c>
      <c r="J54">
        <v>8690.3802776371795</v>
      </c>
      <c r="K54">
        <v>0</v>
      </c>
      <c r="L54">
        <v>51783.177003867459</v>
      </c>
    </row>
    <row r="55" spans="1:12" x14ac:dyDescent="0.25">
      <c r="A55" t="s">
        <v>83</v>
      </c>
      <c r="B55">
        <v>2567.9699999999998</v>
      </c>
      <c r="C55">
        <v>5399.06</v>
      </c>
      <c r="D55">
        <v>29207.85</v>
      </c>
      <c r="E55">
        <v>12130.07</v>
      </c>
      <c r="F55">
        <v>0</v>
      </c>
      <c r="G55">
        <v>250767.78</v>
      </c>
      <c r="H55">
        <v>122619.32</v>
      </c>
      <c r="I55">
        <v>32267.31</v>
      </c>
      <c r="J55">
        <v>14364.48</v>
      </c>
      <c r="K55">
        <v>0</v>
      </c>
      <c r="L55">
        <v>32108.11</v>
      </c>
    </row>
    <row r="56" spans="1:12" x14ac:dyDescent="0.25">
      <c r="A56" t="s">
        <v>84</v>
      </c>
      <c r="B56">
        <v>2984.8218218985544</v>
      </c>
      <c r="C56">
        <v>4779.852556184338</v>
      </c>
      <c r="D56">
        <v>84899.572654371412</v>
      </c>
      <c r="E56">
        <v>38739.693311690273</v>
      </c>
      <c r="F56">
        <v>0</v>
      </c>
      <c r="G56">
        <v>322599.49456639058</v>
      </c>
      <c r="H56">
        <v>223909.23023485567</v>
      </c>
      <c r="I56">
        <v>34187.430508167352</v>
      </c>
      <c r="J56">
        <v>10362.05278417903</v>
      </c>
      <c r="K56">
        <v>0</v>
      </c>
      <c r="L56">
        <v>45551.082844810473</v>
      </c>
    </row>
    <row r="57" spans="1:12" x14ac:dyDescent="0.25">
      <c r="A57" t="s">
        <v>85</v>
      </c>
      <c r="B57">
        <v>4059.433715235471</v>
      </c>
      <c r="C57">
        <v>6022.2596117139101</v>
      </c>
      <c r="D57">
        <v>102402.310322658</v>
      </c>
      <c r="E57">
        <v>45170.189512306504</v>
      </c>
      <c r="F57">
        <v>0</v>
      </c>
      <c r="G57">
        <v>404676.10949931253</v>
      </c>
      <c r="H57">
        <v>283713.93694049161</v>
      </c>
      <c r="I57">
        <v>40304.673759720361</v>
      </c>
      <c r="J57">
        <v>13290.784634516975</v>
      </c>
      <c r="K57">
        <v>0</v>
      </c>
      <c r="L57">
        <v>55408.070680426019</v>
      </c>
    </row>
    <row r="58" spans="1:12" x14ac:dyDescent="0.25">
      <c r="A58" t="s">
        <v>86</v>
      </c>
      <c r="B58">
        <v>3054.99</v>
      </c>
      <c r="C58">
        <v>5957.06</v>
      </c>
      <c r="D58">
        <v>59057.05</v>
      </c>
      <c r="E58">
        <v>16688.25</v>
      </c>
      <c r="F58">
        <v>0</v>
      </c>
      <c r="G58">
        <v>286980.59000000003</v>
      </c>
      <c r="H58">
        <v>177740.83</v>
      </c>
      <c r="I58">
        <v>10678.71</v>
      </c>
      <c r="J58">
        <v>3803.03</v>
      </c>
      <c r="K58">
        <v>0</v>
      </c>
      <c r="L58">
        <v>14208.05</v>
      </c>
    </row>
    <row r="59" spans="1:12" x14ac:dyDescent="0.25">
      <c r="A59" t="s">
        <v>87</v>
      </c>
      <c r="B59">
        <v>5585.93</v>
      </c>
      <c r="C59">
        <v>8741.0400000000009</v>
      </c>
      <c r="D59">
        <v>76385.899999999994</v>
      </c>
      <c r="E59">
        <v>45980.12</v>
      </c>
      <c r="F59">
        <v>0</v>
      </c>
      <c r="G59">
        <v>357222.49</v>
      </c>
      <c r="H59">
        <v>229994.93</v>
      </c>
      <c r="I59">
        <v>24553.07</v>
      </c>
      <c r="J59">
        <v>5895.23</v>
      </c>
      <c r="K59">
        <v>0</v>
      </c>
      <c r="L59">
        <v>41346.129999999997</v>
      </c>
    </row>
    <row r="60" spans="1:12" x14ac:dyDescent="0.25">
      <c r="A60" t="s">
        <v>88</v>
      </c>
      <c r="B60">
        <v>6926.93</v>
      </c>
      <c r="C60">
        <v>6423.05</v>
      </c>
      <c r="D60">
        <v>32244</v>
      </c>
      <c r="E60">
        <v>16102.69</v>
      </c>
      <c r="F60">
        <v>0</v>
      </c>
      <c r="G60">
        <v>219463.22</v>
      </c>
      <c r="H60">
        <v>138053.87</v>
      </c>
      <c r="I60">
        <v>18856.07</v>
      </c>
      <c r="J60">
        <v>3099.13</v>
      </c>
      <c r="K60">
        <v>0</v>
      </c>
      <c r="L60">
        <v>24052.799999999999</v>
      </c>
    </row>
    <row r="61" spans="1:12" x14ac:dyDescent="0.25">
      <c r="A61" t="s">
        <v>89</v>
      </c>
      <c r="B61">
        <v>6201.01</v>
      </c>
      <c r="C61">
        <v>4556.03</v>
      </c>
      <c r="D61">
        <v>51106.06</v>
      </c>
      <c r="E61">
        <v>24082.78</v>
      </c>
      <c r="F61">
        <v>0</v>
      </c>
      <c r="G61">
        <v>309617.46999999997</v>
      </c>
      <c r="H61">
        <v>173074.57</v>
      </c>
      <c r="I61">
        <v>18015.89</v>
      </c>
      <c r="J61">
        <v>4277.17</v>
      </c>
      <c r="K61">
        <v>0</v>
      </c>
      <c r="L61">
        <v>17450.7</v>
      </c>
    </row>
    <row r="62" spans="1:12" x14ac:dyDescent="0.25">
      <c r="A62" t="s">
        <v>90</v>
      </c>
      <c r="B62">
        <v>4860.01</v>
      </c>
      <c r="C62">
        <v>10961</v>
      </c>
      <c r="D62">
        <v>44479.81</v>
      </c>
      <c r="E62">
        <v>19734.3</v>
      </c>
      <c r="F62">
        <v>0</v>
      </c>
      <c r="G62">
        <v>381485.71</v>
      </c>
      <c r="H62">
        <v>183543.17</v>
      </c>
      <c r="I62">
        <v>33729.68</v>
      </c>
      <c r="J62">
        <v>8284.2800000000007</v>
      </c>
      <c r="K62">
        <v>0</v>
      </c>
      <c r="L62">
        <v>41250.239999999998</v>
      </c>
    </row>
    <row r="63" spans="1:12" x14ac:dyDescent="0.25">
      <c r="A63" t="s">
        <v>91</v>
      </c>
      <c r="B63">
        <v>6144.92</v>
      </c>
      <c r="C63">
        <v>11063.97</v>
      </c>
      <c r="D63">
        <v>108455.9</v>
      </c>
      <c r="E63">
        <v>34612.97</v>
      </c>
      <c r="F63">
        <v>0</v>
      </c>
      <c r="G63">
        <v>318256.78000000003</v>
      </c>
      <c r="H63">
        <v>196297.01</v>
      </c>
      <c r="I63">
        <v>17779.009999999998</v>
      </c>
      <c r="J63">
        <v>5427.09</v>
      </c>
      <c r="K63">
        <v>0</v>
      </c>
      <c r="L63">
        <v>50743.99</v>
      </c>
    </row>
    <row r="64" spans="1:12" x14ac:dyDescent="0.25">
      <c r="A64" t="s">
        <v>92</v>
      </c>
      <c r="B64">
        <v>10898.89</v>
      </c>
      <c r="C64">
        <v>8302.99</v>
      </c>
      <c r="D64">
        <v>114355.05</v>
      </c>
      <c r="E64">
        <v>51194.19</v>
      </c>
      <c r="F64">
        <v>0</v>
      </c>
      <c r="G64">
        <v>515068.71</v>
      </c>
      <c r="H64">
        <v>291017.3</v>
      </c>
      <c r="I64">
        <v>39579.599999999999</v>
      </c>
      <c r="J64">
        <v>10314.26</v>
      </c>
      <c r="K64">
        <v>0</v>
      </c>
      <c r="L64">
        <v>61665.74</v>
      </c>
    </row>
    <row r="65" spans="1:12" x14ac:dyDescent="0.25">
      <c r="A65" t="s">
        <v>93</v>
      </c>
      <c r="B65">
        <v>5613.98</v>
      </c>
      <c r="C65">
        <v>5560.96</v>
      </c>
      <c r="D65">
        <v>82324.98</v>
      </c>
      <c r="E65">
        <v>32135.06</v>
      </c>
      <c r="F65">
        <v>0</v>
      </c>
      <c r="G65">
        <v>310737.91999999998</v>
      </c>
      <c r="H65">
        <v>196821.3</v>
      </c>
      <c r="I65">
        <v>39932.67</v>
      </c>
      <c r="J65">
        <v>9807.33</v>
      </c>
      <c r="K65">
        <v>0</v>
      </c>
      <c r="L65">
        <v>38728.04</v>
      </c>
    </row>
    <row r="66" spans="1:12" x14ac:dyDescent="0.25">
      <c r="A66" t="s">
        <v>94</v>
      </c>
      <c r="B66">
        <v>6679.92</v>
      </c>
      <c r="C66">
        <v>4302.99</v>
      </c>
      <c r="D66">
        <v>68415.16</v>
      </c>
      <c r="E66">
        <v>24764.18</v>
      </c>
      <c r="F66">
        <v>0</v>
      </c>
      <c r="G66">
        <v>391461.96</v>
      </c>
      <c r="H66">
        <v>170026.66</v>
      </c>
      <c r="I66">
        <v>26681.4</v>
      </c>
      <c r="J66">
        <v>5279.23</v>
      </c>
      <c r="K66">
        <v>0</v>
      </c>
      <c r="L66">
        <v>35698.080000000002</v>
      </c>
    </row>
    <row r="67" spans="1:12" x14ac:dyDescent="0.25">
      <c r="A67" t="s">
        <v>95</v>
      </c>
      <c r="B67">
        <v>5309.7620071166402</v>
      </c>
      <c r="C67">
        <v>5189.3935523284499</v>
      </c>
      <c r="D67">
        <v>54026.386619064157</v>
      </c>
      <c r="E67">
        <v>19296.776438391502</v>
      </c>
      <c r="F67">
        <v>0</v>
      </c>
      <c r="G67">
        <v>214826.49007319796</v>
      </c>
      <c r="H67">
        <v>151547.00679136568</v>
      </c>
      <c r="I67">
        <v>19822.257136030439</v>
      </c>
      <c r="J67">
        <v>7058.9359446642384</v>
      </c>
      <c r="K67">
        <v>0</v>
      </c>
      <c r="L67">
        <v>21085.845320265773</v>
      </c>
    </row>
    <row r="68" spans="1:12" x14ac:dyDescent="0.25">
      <c r="A68" t="s">
        <v>96</v>
      </c>
      <c r="B68">
        <v>5873.4968583119808</v>
      </c>
      <c r="C68">
        <v>5970.1160355837301</v>
      </c>
      <c r="D68">
        <v>64633.768528453926</v>
      </c>
      <c r="E68">
        <v>31744.683912585577</v>
      </c>
      <c r="F68">
        <v>0</v>
      </c>
      <c r="G68">
        <v>285513.30679189682</v>
      </c>
      <c r="H68">
        <v>157991.52014940031</v>
      </c>
      <c r="I68">
        <v>31093.368226000021</v>
      </c>
      <c r="J68">
        <v>8517.9946323620698</v>
      </c>
      <c r="K68">
        <v>0</v>
      </c>
      <c r="L68">
        <v>30641.418509007901</v>
      </c>
    </row>
    <row r="69" spans="1:12" x14ac:dyDescent="0.25">
      <c r="A69" t="s">
        <v>97</v>
      </c>
      <c r="B69">
        <v>3369.9369313393922</v>
      </c>
      <c r="C69">
        <v>3261.8376186030887</v>
      </c>
      <c r="D69">
        <v>53075.333460333044</v>
      </c>
      <c r="E69">
        <v>28853.961253510948</v>
      </c>
      <c r="F69">
        <v>0</v>
      </c>
      <c r="G69">
        <v>256218.90294253299</v>
      </c>
      <c r="H69">
        <v>153544.27346668075</v>
      </c>
      <c r="I69">
        <v>24430.917824123608</v>
      </c>
      <c r="J69">
        <v>7016.3551151645897</v>
      </c>
      <c r="K69">
        <v>0</v>
      </c>
      <c r="L69">
        <v>33997.702173268946</v>
      </c>
    </row>
    <row r="70" spans="1:12" x14ac:dyDescent="0.25">
      <c r="A70" t="s">
        <v>98</v>
      </c>
      <c r="B70">
        <v>3323.0485120921599</v>
      </c>
      <c r="C70">
        <v>3415.7815750579753</v>
      </c>
      <c r="D70">
        <v>55319.983587354727</v>
      </c>
      <c r="E70">
        <v>25238.25608823834</v>
      </c>
      <c r="F70">
        <v>0</v>
      </c>
      <c r="G70">
        <v>230502.08108956693</v>
      </c>
      <c r="H70">
        <v>154056.56243424147</v>
      </c>
      <c r="I70">
        <v>30959.579441877373</v>
      </c>
      <c r="J70">
        <v>8820.3272371683906</v>
      </c>
      <c r="K70">
        <v>0</v>
      </c>
      <c r="L70">
        <v>29082.985381883769</v>
      </c>
    </row>
    <row r="71" spans="1:12" x14ac:dyDescent="0.25">
      <c r="A71" t="s">
        <v>99</v>
      </c>
      <c r="B71">
        <v>2552.96</v>
      </c>
      <c r="C71">
        <v>2125.9699999999998</v>
      </c>
      <c r="D71">
        <v>18870.89</v>
      </c>
      <c r="E71">
        <v>10688.25</v>
      </c>
      <c r="F71">
        <v>0</v>
      </c>
      <c r="G71">
        <v>231680.81</v>
      </c>
      <c r="H71">
        <v>173430.07</v>
      </c>
      <c r="I71">
        <v>18981.099999999999</v>
      </c>
      <c r="J71">
        <v>7511.23</v>
      </c>
      <c r="K71">
        <v>0</v>
      </c>
      <c r="L71">
        <v>11685.23</v>
      </c>
    </row>
    <row r="72" spans="1:12" x14ac:dyDescent="0.25">
      <c r="A72" t="s">
        <v>100</v>
      </c>
      <c r="B72">
        <v>2893.6754231738723</v>
      </c>
      <c r="C72">
        <v>6665.627565165456</v>
      </c>
      <c r="D72">
        <v>22679.113445016312</v>
      </c>
      <c r="E72">
        <v>19428.191401768807</v>
      </c>
      <c r="F72">
        <v>0</v>
      </c>
      <c r="G72">
        <v>299824.5223894525</v>
      </c>
      <c r="H72">
        <v>154472.35557409501</v>
      </c>
      <c r="I72">
        <v>19743.317030569062</v>
      </c>
      <c r="J72">
        <v>5274.0036781842309</v>
      </c>
      <c r="K72">
        <v>0</v>
      </c>
      <c r="L72">
        <v>25859.431672689858</v>
      </c>
    </row>
    <row r="73" spans="1:12" x14ac:dyDescent="0.25">
      <c r="A73" t="s">
        <v>101</v>
      </c>
      <c r="B73">
        <v>3425.6554437826021</v>
      </c>
      <c r="C73">
        <v>8962.981997377201</v>
      </c>
      <c r="D73">
        <v>71640.931813635863</v>
      </c>
      <c r="E73">
        <v>24888.769839309683</v>
      </c>
      <c r="F73">
        <v>0</v>
      </c>
      <c r="G73">
        <v>360168.86306379014</v>
      </c>
      <c r="H73">
        <v>172881.41862549199</v>
      </c>
      <c r="I73">
        <v>20075.312710721668</v>
      </c>
      <c r="J73">
        <v>5500.0827032401785</v>
      </c>
      <c r="K73">
        <v>0</v>
      </c>
      <c r="L73">
        <v>34247.938470327405</v>
      </c>
    </row>
    <row r="74" spans="1:12" x14ac:dyDescent="0.25">
      <c r="A74" t="s">
        <v>102</v>
      </c>
      <c r="B74">
        <v>6353.93</v>
      </c>
      <c r="C74">
        <v>7312.96</v>
      </c>
      <c r="D74">
        <v>100061.93</v>
      </c>
      <c r="E74">
        <v>39677.07</v>
      </c>
      <c r="F74">
        <v>0</v>
      </c>
      <c r="G74">
        <v>397039.78</v>
      </c>
      <c r="H74">
        <v>247109.14</v>
      </c>
      <c r="I74">
        <v>52923.82</v>
      </c>
      <c r="J74">
        <v>16843.490000000002</v>
      </c>
      <c r="K74">
        <v>0</v>
      </c>
      <c r="L74">
        <v>110217.63</v>
      </c>
    </row>
    <row r="75" spans="1:12" x14ac:dyDescent="0.25">
      <c r="A75" t="s">
        <v>103</v>
      </c>
      <c r="B75">
        <v>5958.92</v>
      </c>
      <c r="C75">
        <v>6257.97</v>
      </c>
      <c r="D75">
        <v>77808.990000000005</v>
      </c>
      <c r="E75">
        <v>36879.31</v>
      </c>
      <c r="F75">
        <v>0</v>
      </c>
      <c r="G75">
        <v>388905.92</v>
      </c>
      <c r="H75">
        <v>228109.97</v>
      </c>
      <c r="I75">
        <v>37208.239999999998</v>
      </c>
      <c r="J75">
        <v>8566.33</v>
      </c>
      <c r="K75">
        <v>0</v>
      </c>
      <c r="L75">
        <v>41724.800000000003</v>
      </c>
    </row>
    <row r="76" spans="1:12" x14ac:dyDescent="0.25">
      <c r="A76" t="s">
        <v>104</v>
      </c>
      <c r="B76">
        <v>13602.91</v>
      </c>
      <c r="C76">
        <v>10155</v>
      </c>
      <c r="D76">
        <v>122931.01</v>
      </c>
      <c r="E76">
        <v>48225.919999999998</v>
      </c>
      <c r="F76">
        <v>0</v>
      </c>
      <c r="G76">
        <v>537043.01</v>
      </c>
      <c r="H76">
        <v>305193.14</v>
      </c>
      <c r="I76">
        <v>53947.96</v>
      </c>
      <c r="J76">
        <v>15438.51</v>
      </c>
      <c r="K76">
        <v>0</v>
      </c>
      <c r="L76">
        <v>72076.649999999994</v>
      </c>
    </row>
    <row r="77" spans="1:12" x14ac:dyDescent="0.25">
      <c r="A77" t="s">
        <v>105</v>
      </c>
      <c r="B77">
        <v>2641.03</v>
      </c>
      <c r="C77">
        <v>1557.02</v>
      </c>
      <c r="D77">
        <v>32241.06</v>
      </c>
      <c r="E77">
        <v>15154.96</v>
      </c>
      <c r="F77">
        <v>0</v>
      </c>
      <c r="G77">
        <v>181861.08</v>
      </c>
      <c r="H77">
        <v>105883.35</v>
      </c>
      <c r="I77">
        <v>11914.99</v>
      </c>
      <c r="J77">
        <v>3536.16</v>
      </c>
      <c r="K77">
        <v>0</v>
      </c>
      <c r="L77">
        <v>22868.240000000002</v>
      </c>
    </row>
    <row r="78" spans="1:12" x14ac:dyDescent="0.25">
      <c r="A78" t="s">
        <v>106</v>
      </c>
      <c r="B78">
        <v>4961.99</v>
      </c>
      <c r="C78">
        <v>5799.98</v>
      </c>
      <c r="D78">
        <v>65392.03</v>
      </c>
      <c r="E78">
        <v>33915.4</v>
      </c>
      <c r="F78">
        <v>0</v>
      </c>
      <c r="G78">
        <v>395222.7</v>
      </c>
      <c r="H78">
        <v>212582.41</v>
      </c>
      <c r="I78">
        <v>38851.410000000003</v>
      </c>
      <c r="J78">
        <v>11295.33</v>
      </c>
      <c r="K78">
        <v>0</v>
      </c>
      <c r="L78">
        <v>62692.94</v>
      </c>
    </row>
    <row r="79" spans="1:12" x14ac:dyDescent="0.25">
      <c r="A79" t="s">
        <v>107</v>
      </c>
      <c r="B79">
        <v>11856.94</v>
      </c>
      <c r="C79">
        <v>17726.03</v>
      </c>
      <c r="D79">
        <v>34381.160000000003</v>
      </c>
      <c r="E79">
        <v>19370.27</v>
      </c>
      <c r="F79">
        <v>0</v>
      </c>
      <c r="G79">
        <v>343683.66</v>
      </c>
      <c r="H79">
        <v>204470.71</v>
      </c>
      <c r="I79">
        <v>12802.1</v>
      </c>
      <c r="J79">
        <v>3507.12</v>
      </c>
      <c r="K79">
        <v>0</v>
      </c>
      <c r="L79">
        <v>17132.89</v>
      </c>
    </row>
    <row r="80" spans="1:12" x14ac:dyDescent="0.25">
      <c r="A80" t="s">
        <v>108</v>
      </c>
      <c r="B80">
        <v>11105.92</v>
      </c>
      <c r="C80">
        <v>16424.03</v>
      </c>
      <c r="D80">
        <v>38890</v>
      </c>
      <c r="E80">
        <v>21619.18</v>
      </c>
      <c r="F80">
        <v>0</v>
      </c>
      <c r="G80">
        <v>475164.56</v>
      </c>
      <c r="H80">
        <v>275376.76</v>
      </c>
      <c r="I80">
        <v>21191.45</v>
      </c>
      <c r="J80">
        <v>5146.17</v>
      </c>
      <c r="K80">
        <v>0</v>
      </c>
      <c r="L80">
        <v>29785.69</v>
      </c>
    </row>
    <row r="81" spans="1:12" x14ac:dyDescent="0.25">
      <c r="A81" t="s">
        <v>109</v>
      </c>
      <c r="B81">
        <v>7411</v>
      </c>
      <c r="C81">
        <v>18159.05</v>
      </c>
      <c r="D81">
        <v>54626.8</v>
      </c>
      <c r="E81">
        <v>22364.05</v>
      </c>
      <c r="F81">
        <v>0</v>
      </c>
      <c r="G81">
        <v>362937.36</v>
      </c>
      <c r="H81">
        <v>210088.41</v>
      </c>
      <c r="I81">
        <v>16184.7</v>
      </c>
      <c r="J81">
        <v>4117.12</v>
      </c>
      <c r="K81">
        <v>0</v>
      </c>
      <c r="L81">
        <v>27369.22</v>
      </c>
    </row>
    <row r="82" spans="1:12" x14ac:dyDescent="0.25">
      <c r="A82" t="s">
        <v>110</v>
      </c>
      <c r="B82">
        <v>11074.403979113273</v>
      </c>
      <c r="C82">
        <v>12501.874542343632</v>
      </c>
      <c r="D82">
        <v>39277.034398744501</v>
      </c>
      <c r="E82">
        <v>18003.670027044904</v>
      </c>
      <c r="F82">
        <v>0</v>
      </c>
      <c r="G82">
        <v>351764.63010594127</v>
      </c>
      <c r="H82">
        <v>198287.56654314033</v>
      </c>
      <c r="I82">
        <v>19602.603438000337</v>
      </c>
      <c r="J82">
        <v>5171.0439456483873</v>
      </c>
      <c r="K82">
        <v>0</v>
      </c>
      <c r="L82">
        <v>36258.57406160792</v>
      </c>
    </row>
    <row r="83" spans="1:12" x14ac:dyDescent="0.25">
      <c r="A83" t="s">
        <v>111</v>
      </c>
      <c r="B83">
        <v>3998.1135656414549</v>
      </c>
      <c r="C83">
        <v>7058.6854723069409</v>
      </c>
      <c r="D83">
        <v>53094.611938626731</v>
      </c>
      <c r="E83">
        <v>12987.682685642085</v>
      </c>
      <c r="F83">
        <v>0</v>
      </c>
      <c r="G83">
        <v>198557.01181869936</v>
      </c>
      <c r="H83">
        <v>125925.62769665352</v>
      </c>
      <c r="I83">
        <v>20816.396347650785</v>
      </c>
      <c r="J83">
        <v>5702.9429913082286</v>
      </c>
      <c r="K83">
        <v>0</v>
      </c>
      <c r="L83">
        <v>22388.775402941003</v>
      </c>
    </row>
    <row r="84" spans="1:12" x14ac:dyDescent="0.25">
      <c r="A84" t="s">
        <v>112</v>
      </c>
      <c r="B84">
        <v>7125.5097813309785</v>
      </c>
      <c r="C84">
        <v>7027.9817831828641</v>
      </c>
      <c r="D84">
        <v>36668.657237865642</v>
      </c>
      <c r="E84">
        <v>17557.33659533723</v>
      </c>
      <c r="F84">
        <v>0</v>
      </c>
      <c r="G84">
        <v>331063.80027057696</v>
      </c>
      <c r="H84">
        <v>165600.47768504923</v>
      </c>
      <c r="I84">
        <v>21162.721872437924</v>
      </c>
      <c r="J84">
        <v>5024.9380162984407</v>
      </c>
      <c r="K84">
        <v>0</v>
      </c>
      <c r="L84">
        <v>25133.074887502229</v>
      </c>
    </row>
    <row r="85" spans="1:12" x14ac:dyDescent="0.25">
      <c r="A85" t="s">
        <v>113</v>
      </c>
      <c r="B85">
        <v>5815.5962445439964</v>
      </c>
      <c r="C85">
        <v>13227.768383880473</v>
      </c>
      <c r="D85">
        <v>71072.3004294641</v>
      </c>
      <c r="E85">
        <v>34751.582027969322</v>
      </c>
      <c r="F85">
        <v>0</v>
      </c>
      <c r="G85">
        <v>461974.01563729951</v>
      </c>
      <c r="H85">
        <v>233726.75928947184</v>
      </c>
      <c r="I85">
        <v>40717.830227445782</v>
      </c>
      <c r="J85">
        <v>12609.419588780922</v>
      </c>
      <c r="K85">
        <v>0</v>
      </c>
      <c r="L85">
        <v>99920.741073608981</v>
      </c>
    </row>
    <row r="86" spans="1:12" x14ac:dyDescent="0.25">
      <c r="A86" t="s">
        <v>114</v>
      </c>
      <c r="B86">
        <v>10051.283913771447</v>
      </c>
      <c r="C86">
        <v>15663.2297720724</v>
      </c>
      <c r="D86">
        <v>129779.39060595154</v>
      </c>
      <c r="E86">
        <v>61225.377845198011</v>
      </c>
      <c r="F86">
        <v>0</v>
      </c>
      <c r="G86">
        <v>523133.59872973082</v>
      </c>
      <c r="H86">
        <v>348118.33061411156</v>
      </c>
      <c r="I86">
        <v>51735.625438208881</v>
      </c>
      <c r="J86">
        <v>14970.37077923285</v>
      </c>
      <c r="K86">
        <v>0</v>
      </c>
      <c r="L86">
        <v>113463.58898468815</v>
      </c>
    </row>
    <row r="87" spans="1:12" x14ac:dyDescent="0.25">
      <c r="A87" t="s">
        <v>115</v>
      </c>
      <c r="B87">
        <v>8913.7122902271221</v>
      </c>
      <c r="C87">
        <v>14413.244607991433</v>
      </c>
      <c r="D87">
        <v>123163.37642582576</v>
      </c>
      <c r="E87">
        <v>60303.834671410368</v>
      </c>
      <c r="F87">
        <v>0</v>
      </c>
      <c r="G87">
        <v>584276.16874348279</v>
      </c>
      <c r="H87">
        <v>323771.37644158083</v>
      </c>
      <c r="I87">
        <v>47220.26988318075</v>
      </c>
      <c r="J87">
        <v>12936.191046119578</v>
      </c>
      <c r="K87">
        <v>0</v>
      </c>
      <c r="L87">
        <v>84114.948122275513</v>
      </c>
    </row>
    <row r="88" spans="1:12" x14ac:dyDescent="0.25">
      <c r="A88" t="s">
        <v>116</v>
      </c>
      <c r="B88">
        <v>5405.9052364761228</v>
      </c>
      <c r="C88">
        <v>6192.5627508951075</v>
      </c>
      <c r="D88">
        <v>75692.015300910047</v>
      </c>
      <c r="E88">
        <v>26299.312869791422</v>
      </c>
      <c r="F88">
        <v>0</v>
      </c>
      <c r="G88">
        <v>267304.88558527752</v>
      </c>
      <c r="H88">
        <v>174799.8168916674</v>
      </c>
      <c r="I88">
        <v>32108.668213128483</v>
      </c>
      <c r="J88">
        <v>7885.7029982481163</v>
      </c>
      <c r="K88">
        <v>0</v>
      </c>
      <c r="L88">
        <v>41201.614416972086</v>
      </c>
    </row>
    <row r="89" spans="1:12" x14ac:dyDescent="0.25">
      <c r="A89" t="s">
        <v>117</v>
      </c>
      <c r="B89">
        <v>3607.9555460949568</v>
      </c>
      <c r="C89">
        <v>5290.6095983205732</v>
      </c>
      <c r="D89">
        <v>27760.554047033165</v>
      </c>
      <c r="E89">
        <v>14217.973447249924</v>
      </c>
      <c r="F89">
        <v>0</v>
      </c>
      <c r="G89">
        <v>262119.12889859779</v>
      </c>
      <c r="H89">
        <v>133415.07718536808</v>
      </c>
      <c r="I89">
        <v>25606.973870252383</v>
      </c>
      <c r="J89">
        <v>7599.6354737218162</v>
      </c>
      <c r="K89">
        <v>0</v>
      </c>
      <c r="L89">
        <v>31955.976650822082</v>
      </c>
    </row>
  </sheetData>
  <sortState xmlns:xlrd2="http://schemas.microsoft.com/office/spreadsheetml/2017/richdata2" columnSort="1" ref="B1:L89">
    <sortCondition ref="B1:L1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FCA98-A2D8-43EA-87D4-A6B35A633185}">
  <dimension ref="A1:F784"/>
  <sheetViews>
    <sheetView tabSelected="1" workbookViewId="0">
      <selection activeCell="C5" sqref="C5"/>
    </sheetView>
  </sheetViews>
  <sheetFormatPr defaultRowHeight="15" x14ac:dyDescent="0.25"/>
  <cols>
    <col min="1" max="1" width="9.140625" bestFit="1" customWidth="1"/>
    <col min="2" max="2" width="16.28515625" bestFit="1" customWidth="1"/>
    <col min="3" max="4" width="7" bestFit="1" customWidth="1"/>
    <col min="5" max="5" width="12" bestFit="1" customWidth="1"/>
    <col min="6" max="6" width="8" bestFit="1" customWidth="1"/>
    <col min="7" max="7" width="6.85546875" bestFit="1" customWidth="1"/>
    <col min="8" max="8" width="11.85546875" bestFit="1" customWidth="1"/>
    <col min="9" max="9" width="9.85546875" bestFit="1" customWidth="1"/>
    <col min="10" max="10" width="16.42578125" customWidth="1"/>
    <col min="11" max="11" width="5.5703125" bestFit="1" customWidth="1"/>
    <col min="12" max="49" width="9.140625" bestFit="1" customWidth="1"/>
    <col min="50" max="51" width="13.140625" bestFit="1" customWidth="1"/>
  </cols>
  <sheetData>
    <row r="1" spans="1:6" x14ac:dyDescent="0.25">
      <c r="A1" t="s">
        <v>163</v>
      </c>
      <c r="B1" t="s">
        <v>22</v>
      </c>
      <c r="C1" t="s">
        <v>11</v>
      </c>
      <c r="D1" t="s">
        <v>164</v>
      </c>
      <c r="E1" t="s">
        <v>124</v>
      </c>
      <c r="F1" t="s">
        <v>165</v>
      </c>
    </row>
    <row r="2" spans="1:6" x14ac:dyDescent="0.25">
      <c r="A2">
        <v>682</v>
      </c>
      <c r="B2" t="s">
        <v>29</v>
      </c>
      <c r="C2">
        <v>202602</v>
      </c>
      <c r="D2">
        <v>10863</v>
      </c>
      <c r="E2">
        <v>9.9168347924521409</v>
      </c>
      <c r="F2">
        <v>1095.4100000000001</v>
      </c>
    </row>
    <row r="3" spans="1:6" x14ac:dyDescent="0.25">
      <c r="A3">
        <v>682</v>
      </c>
      <c r="B3" t="s">
        <v>30</v>
      </c>
      <c r="C3">
        <v>202602</v>
      </c>
      <c r="D3">
        <v>8064</v>
      </c>
      <c r="E3">
        <v>7.3616271533033286</v>
      </c>
      <c r="F3">
        <v>1095.4100000000001</v>
      </c>
    </row>
    <row r="4" spans="1:6" x14ac:dyDescent="0.25">
      <c r="A4">
        <v>683</v>
      </c>
      <c r="B4" t="s">
        <v>29</v>
      </c>
      <c r="C4">
        <v>202602</v>
      </c>
      <c r="D4">
        <v>8223</v>
      </c>
      <c r="E4">
        <v>7.5067782839302177</v>
      </c>
      <c r="F4">
        <v>1095.4100000000001</v>
      </c>
    </row>
    <row r="5" spans="1:6" x14ac:dyDescent="0.25">
      <c r="A5">
        <v>684</v>
      </c>
      <c r="B5" t="s">
        <v>29</v>
      </c>
      <c r="C5">
        <v>202602</v>
      </c>
      <c r="D5">
        <v>73818</v>
      </c>
      <c r="E5">
        <v>17.56371241556365</v>
      </c>
      <c r="F5">
        <v>4202.87</v>
      </c>
    </row>
    <row r="6" spans="1:6" x14ac:dyDescent="0.25">
      <c r="A6">
        <v>686</v>
      </c>
      <c r="B6" t="s">
        <v>29</v>
      </c>
      <c r="C6">
        <v>202602</v>
      </c>
      <c r="D6">
        <v>41089</v>
      </c>
      <c r="E6">
        <v>6.6029973741639587</v>
      </c>
      <c r="F6">
        <v>6222.78</v>
      </c>
    </row>
    <row r="7" spans="1:6" x14ac:dyDescent="0.25">
      <c r="A7">
        <v>708</v>
      </c>
      <c r="B7" t="s">
        <v>29</v>
      </c>
      <c r="C7">
        <v>202602</v>
      </c>
      <c r="D7">
        <v>403442</v>
      </c>
      <c r="E7">
        <v>92.430174829260253</v>
      </c>
      <c r="F7">
        <v>4364.83</v>
      </c>
    </row>
    <row r="8" spans="1:6" x14ac:dyDescent="0.25">
      <c r="A8">
        <v>710</v>
      </c>
      <c r="B8" t="s">
        <v>29</v>
      </c>
      <c r="C8">
        <v>202602</v>
      </c>
      <c r="D8">
        <v>274027</v>
      </c>
      <c r="E8">
        <v>39.774584512664198</v>
      </c>
      <c r="F8">
        <v>6889.5</v>
      </c>
    </row>
    <row r="9" spans="1:6" x14ac:dyDescent="0.25">
      <c r="A9">
        <v>809</v>
      </c>
      <c r="B9" t="s">
        <v>29</v>
      </c>
      <c r="C9">
        <v>202602</v>
      </c>
      <c r="D9">
        <v>29720</v>
      </c>
      <c r="E9">
        <v>19.826551034022682</v>
      </c>
      <c r="F9">
        <v>1499</v>
      </c>
    </row>
    <row r="10" spans="1:6" x14ac:dyDescent="0.25">
      <c r="A10">
        <v>750</v>
      </c>
      <c r="B10" t="s">
        <v>29</v>
      </c>
      <c r="C10">
        <v>202602</v>
      </c>
      <c r="D10">
        <v>79463</v>
      </c>
      <c r="E10">
        <v>12.926677305639469</v>
      </c>
      <c r="F10">
        <v>6147.21</v>
      </c>
    </row>
    <row r="11" spans="1:6" x14ac:dyDescent="0.25">
      <c r="A11">
        <v>810</v>
      </c>
      <c r="B11" t="s">
        <v>29</v>
      </c>
      <c r="C11">
        <v>202602</v>
      </c>
      <c r="D11">
        <v>6151</v>
      </c>
      <c r="E11">
        <v>3.2822838847385274</v>
      </c>
      <c r="F11">
        <v>1874</v>
      </c>
    </row>
    <row r="12" spans="1:6" x14ac:dyDescent="0.25">
      <c r="A12">
        <v>683</v>
      </c>
      <c r="B12" t="s">
        <v>30</v>
      </c>
      <c r="C12">
        <v>202602</v>
      </c>
      <c r="D12">
        <v>5318</v>
      </c>
      <c r="E12">
        <v>4.8548032243634802</v>
      </c>
      <c r="F12">
        <v>1095.4100000000001</v>
      </c>
    </row>
    <row r="13" spans="1:6" x14ac:dyDescent="0.25">
      <c r="A13">
        <v>684</v>
      </c>
      <c r="B13" t="s">
        <v>30</v>
      </c>
      <c r="C13">
        <v>202602</v>
      </c>
      <c r="D13">
        <v>38514</v>
      </c>
      <c r="E13">
        <v>9.163738112289936</v>
      </c>
      <c r="F13">
        <v>4202.87</v>
      </c>
    </row>
    <row r="14" spans="1:6" x14ac:dyDescent="0.25">
      <c r="A14">
        <v>686</v>
      </c>
      <c r="B14" t="s">
        <v>30</v>
      </c>
      <c r="C14">
        <v>202602</v>
      </c>
      <c r="D14">
        <v>16874</v>
      </c>
      <c r="E14">
        <v>2.7116497771092662</v>
      </c>
      <c r="F14">
        <v>6222.78</v>
      </c>
    </row>
    <row r="15" spans="1:6" x14ac:dyDescent="0.25">
      <c r="A15">
        <v>708</v>
      </c>
      <c r="B15" t="s">
        <v>30</v>
      </c>
      <c r="C15">
        <v>202602</v>
      </c>
      <c r="D15">
        <v>240994</v>
      </c>
      <c r="E15">
        <v>55.212688695779676</v>
      </c>
      <c r="F15">
        <v>4364.83</v>
      </c>
    </row>
    <row r="16" spans="1:6" x14ac:dyDescent="0.25">
      <c r="A16">
        <v>710</v>
      </c>
      <c r="B16" t="s">
        <v>30</v>
      </c>
      <c r="C16">
        <v>202602</v>
      </c>
      <c r="D16">
        <v>169786</v>
      </c>
      <c r="E16">
        <v>24.644168662457364</v>
      </c>
      <c r="F16">
        <v>6889.5</v>
      </c>
    </row>
    <row r="17" spans="1:6" x14ac:dyDescent="0.25">
      <c r="A17">
        <v>809</v>
      </c>
      <c r="B17" t="s">
        <v>30</v>
      </c>
      <c r="C17">
        <v>202602</v>
      </c>
      <c r="D17">
        <v>33358</v>
      </c>
      <c r="E17">
        <v>22.253502334889927</v>
      </c>
      <c r="F17">
        <v>1499</v>
      </c>
    </row>
    <row r="18" spans="1:6" x14ac:dyDescent="0.25">
      <c r="A18">
        <v>810</v>
      </c>
      <c r="B18" t="s">
        <v>30</v>
      </c>
      <c r="C18">
        <v>202602</v>
      </c>
      <c r="D18">
        <v>7917</v>
      </c>
      <c r="E18">
        <v>4.2246531483457845</v>
      </c>
      <c r="F18">
        <v>1874</v>
      </c>
    </row>
    <row r="19" spans="1:6" x14ac:dyDescent="0.25">
      <c r="A19">
        <v>750</v>
      </c>
      <c r="B19" t="s">
        <v>30</v>
      </c>
      <c r="C19">
        <v>202602</v>
      </c>
      <c r="D19">
        <v>54943</v>
      </c>
      <c r="E19">
        <v>8.9378758819041479</v>
      </c>
      <c r="F19">
        <v>6147.21</v>
      </c>
    </row>
    <row r="20" spans="1:6" x14ac:dyDescent="0.25">
      <c r="A20">
        <v>682</v>
      </c>
      <c r="B20" t="s">
        <v>31</v>
      </c>
      <c r="C20">
        <v>202602</v>
      </c>
      <c r="D20">
        <v>10796</v>
      </c>
      <c r="E20">
        <v>9.85567047954647</v>
      </c>
      <c r="F20">
        <v>1095.4100000000001</v>
      </c>
    </row>
    <row r="21" spans="1:6" x14ac:dyDescent="0.25">
      <c r="A21">
        <v>683</v>
      </c>
      <c r="B21" t="s">
        <v>31</v>
      </c>
      <c r="C21">
        <v>202602</v>
      </c>
      <c r="D21">
        <v>9403</v>
      </c>
      <c r="E21">
        <v>8.584000511224108</v>
      </c>
      <c r="F21">
        <v>1095.4100000000001</v>
      </c>
    </row>
    <row r="22" spans="1:6" x14ac:dyDescent="0.25">
      <c r="A22">
        <v>684</v>
      </c>
      <c r="B22" t="s">
        <v>31</v>
      </c>
      <c r="C22">
        <v>202602</v>
      </c>
      <c r="D22">
        <v>80663</v>
      </c>
      <c r="E22">
        <v>19.192361410179235</v>
      </c>
      <c r="F22">
        <v>4202.87</v>
      </c>
    </row>
    <row r="23" spans="1:6" x14ac:dyDescent="0.25">
      <c r="A23">
        <v>686</v>
      </c>
      <c r="B23" t="s">
        <v>31</v>
      </c>
      <c r="C23">
        <v>202602</v>
      </c>
      <c r="D23">
        <v>56304</v>
      </c>
      <c r="E23">
        <v>9.0480460501576463</v>
      </c>
      <c r="F23">
        <v>6222.78</v>
      </c>
    </row>
    <row r="24" spans="1:6" x14ac:dyDescent="0.25">
      <c r="A24">
        <v>708</v>
      </c>
      <c r="B24" t="s">
        <v>31</v>
      </c>
      <c r="C24">
        <v>202602</v>
      </c>
      <c r="D24">
        <v>382402</v>
      </c>
      <c r="E24">
        <v>87.609826728646937</v>
      </c>
      <c r="F24">
        <v>4364.83</v>
      </c>
    </row>
    <row r="25" spans="1:6" x14ac:dyDescent="0.25">
      <c r="A25">
        <v>710</v>
      </c>
      <c r="B25" t="s">
        <v>31</v>
      </c>
      <c r="C25">
        <v>202602</v>
      </c>
      <c r="D25">
        <v>310221</v>
      </c>
      <c r="E25">
        <v>45.028086218158066</v>
      </c>
      <c r="F25">
        <v>6889.5</v>
      </c>
    </row>
    <row r="26" spans="1:6" x14ac:dyDescent="0.25">
      <c r="A26">
        <v>809</v>
      </c>
      <c r="B26" t="s">
        <v>31</v>
      </c>
      <c r="C26">
        <v>202602</v>
      </c>
      <c r="D26">
        <v>32837</v>
      </c>
      <c r="E26">
        <v>21.905937291527685</v>
      </c>
      <c r="F26">
        <v>1499</v>
      </c>
    </row>
    <row r="27" spans="1:6" x14ac:dyDescent="0.25">
      <c r="A27">
        <v>810</v>
      </c>
      <c r="B27" t="s">
        <v>31</v>
      </c>
      <c r="C27">
        <v>202602</v>
      </c>
      <c r="D27">
        <v>6152</v>
      </c>
      <c r="E27">
        <v>3.2828175026680895</v>
      </c>
      <c r="F27">
        <v>1874</v>
      </c>
    </row>
    <row r="28" spans="1:6" x14ac:dyDescent="0.25">
      <c r="A28">
        <v>750</v>
      </c>
      <c r="B28" t="s">
        <v>31</v>
      </c>
      <c r="C28">
        <v>202602</v>
      </c>
      <c r="D28">
        <v>70649</v>
      </c>
      <c r="E28">
        <v>11.492856108706226</v>
      </c>
      <c r="F28">
        <v>6147.21</v>
      </c>
    </row>
    <row r="29" spans="1:6" x14ac:dyDescent="0.25">
      <c r="A29">
        <v>682</v>
      </c>
      <c r="B29" t="s">
        <v>32</v>
      </c>
      <c r="C29">
        <v>202602</v>
      </c>
      <c r="D29">
        <v>9588</v>
      </c>
      <c r="E29">
        <v>8.7528870468591666</v>
      </c>
      <c r="F29">
        <v>1095.4100000000001</v>
      </c>
    </row>
    <row r="30" spans="1:6" x14ac:dyDescent="0.25">
      <c r="A30">
        <v>683</v>
      </c>
      <c r="B30" t="s">
        <v>32</v>
      </c>
      <c r="C30">
        <v>202602</v>
      </c>
      <c r="D30">
        <v>7990</v>
      </c>
      <c r="E30">
        <v>7.2940725390493055</v>
      </c>
      <c r="F30">
        <v>1095.4100000000001</v>
      </c>
    </row>
    <row r="31" spans="1:6" x14ac:dyDescent="0.25">
      <c r="A31">
        <v>684</v>
      </c>
      <c r="B31" t="s">
        <v>32</v>
      </c>
      <c r="C31">
        <v>202602</v>
      </c>
      <c r="D31">
        <v>73215</v>
      </c>
      <c r="E31">
        <v>17.420239027140976</v>
      </c>
      <c r="F31">
        <v>4202.87</v>
      </c>
    </row>
    <row r="32" spans="1:6" x14ac:dyDescent="0.25">
      <c r="A32">
        <v>686</v>
      </c>
      <c r="B32" t="s">
        <v>32</v>
      </c>
      <c r="C32">
        <v>202602</v>
      </c>
      <c r="D32">
        <v>37838</v>
      </c>
      <c r="E32">
        <v>6.0805620639007003</v>
      </c>
      <c r="F32">
        <v>6222.78</v>
      </c>
    </row>
    <row r="33" spans="1:6" x14ac:dyDescent="0.25">
      <c r="A33">
        <v>708</v>
      </c>
      <c r="B33" t="s">
        <v>32</v>
      </c>
      <c r="C33">
        <v>202602</v>
      </c>
      <c r="D33">
        <v>330636</v>
      </c>
      <c r="E33">
        <v>75.750029210759635</v>
      </c>
      <c r="F33">
        <v>4364.83</v>
      </c>
    </row>
    <row r="34" spans="1:6" x14ac:dyDescent="0.25">
      <c r="A34">
        <v>710</v>
      </c>
      <c r="B34" t="s">
        <v>32</v>
      </c>
      <c r="C34">
        <v>202602</v>
      </c>
      <c r="D34">
        <v>274867</v>
      </c>
      <c r="E34">
        <v>39.896509180637203</v>
      </c>
      <c r="F34">
        <v>6889.5</v>
      </c>
    </row>
    <row r="35" spans="1:6" x14ac:dyDescent="0.25">
      <c r="A35">
        <v>809</v>
      </c>
      <c r="B35" t="s">
        <v>32</v>
      </c>
      <c r="C35">
        <v>202602</v>
      </c>
      <c r="D35">
        <v>28320</v>
      </c>
      <c r="E35">
        <v>18.892595063375584</v>
      </c>
      <c r="F35">
        <v>1499</v>
      </c>
    </row>
    <row r="36" spans="1:6" x14ac:dyDescent="0.25">
      <c r="A36">
        <v>810</v>
      </c>
      <c r="B36" t="s">
        <v>32</v>
      </c>
      <c r="C36">
        <v>202602</v>
      </c>
      <c r="D36">
        <v>6049</v>
      </c>
      <c r="E36">
        <v>3.2278548559231592</v>
      </c>
      <c r="F36">
        <v>1874</v>
      </c>
    </row>
    <row r="37" spans="1:6" x14ac:dyDescent="0.25">
      <c r="A37">
        <v>750</v>
      </c>
      <c r="B37" t="s">
        <v>32</v>
      </c>
      <c r="C37">
        <v>202602</v>
      </c>
      <c r="D37">
        <v>73185</v>
      </c>
      <c r="E37">
        <v>11.905400986789129</v>
      </c>
      <c r="F37">
        <v>6147.21</v>
      </c>
    </row>
    <row r="38" spans="1:6" x14ac:dyDescent="0.25">
      <c r="A38">
        <v>682</v>
      </c>
      <c r="B38" t="s">
        <v>33</v>
      </c>
      <c r="C38">
        <v>202602</v>
      </c>
      <c r="D38">
        <v>6581</v>
      </c>
      <c r="E38">
        <v>6.0077961676449911</v>
      </c>
      <c r="F38">
        <v>1095.4100000000001</v>
      </c>
    </row>
    <row r="39" spans="1:6" x14ac:dyDescent="0.25">
      <c r="A39">
        <v>683</v>
      </c>
      <c r="B39" t="s">
        <v>33</v>
      </c>
      <c r="C39">
        <v>202602</v>
      </c>
      <c r="D39">
        <v>6806</v>
      </c>
      <c r="E39">
        <v>6.2131987109849272</v>
      </c>
      <c r="F39">
        <v>1095.4100000000001</v>
      </c>
    </row>
    <row r="40" spans="1:6" x14ac:dyDescent="0.25">
      <c r="A40">
        <v>684</v>
      </c>
      <c r="B40" t="s">
        <v>33</v>
      </c>
      <c r="C40">
        <v>202602</v>
      </c>
      <c r="D40">
        <v>88766</v>
      </c>
      <c r="E40">
        <v>21.120329679480928</v>
      </c>
      <c r="F40">
        <v>4202.87</v>
      </c>
    </row>
    <row r="41" spans="1:6" x14ac:dyDescent="0.25">
      <c r="A41">
        <v>686</v>
      </c>
      <c r="B41" t="s">
        <v>33</v>
      </c>
      <c r="C41">
        <v>202602</v>
      </c>
      <c r="D41">
        <v>25282</v>
      </c>
      <c r="E41">
        <v>4.0628143691404812</v>
      </c>
      <c r="F41">
        <v>6222.78</v>
      </c>
    </row>
    <row r="42" spans="1:6" x14ac:dyDescent="0.25">
      <c r="A42">
        <v>708</v>
      </c>
      <c r="B42" t="s">
        <v>33</v>
      </c>
      <c r="C42">
        <v>202602</v>
      </c>
      <c r="D42">
        <v>316904</v>
      </c>
      <c r="E42">
        <v>72.603973121519047</v>
      </c>
      <c r="F42">
        <v>4364.83</v>
      </c>
    </row>
    <row r="43" spans="1:6" x14ac:dyDescent="0.25">
      <c r="A43">
        <v>710</v>
      </c>
      <c r="B43" t="s">
        <v>33</v>
      </c>
      <c r="C43">
        <v>202602</v>
      </c>
      <c r="D43">
        <v>147796</v>
      </c>
      <c r="E43">
        <v>21.452355033021263</v>
      </c>
      <c r="F43">
        <v>6889.5</v>
      </c>
    </row>
    <row r="44" spans="1:6" x14ac:dyDescent="0.25">
      <c r="A44">
        <v>809</v>
      </c>
      <c r="B44" t="s">
        <v>33</v>
      </c>
      <c r="C44">
        <v>202602</v>
      </c>
      <c r="D44">
        <v>29783</v>
      </c>
      <c r="E44">
        <v>19.868579052701801</v>
      </c>
      <c r="F44">
        <v>1499</v>
      </c>
    </row>
    <row r="45" spans="1:6" x14ac:dyDescent="0.25">
      <c r="A45">
        <v>810</v>
      </c>
      <c r="B45" t="s">
        <v>33</v>
      </c>
      <c r="C45">
        <v>202602</v>
      </c>
      <c r="D45">
        <v>8482</v>
      </c>
      <c r="E45">
        <v>4.5261472785485592</v>
      </c>
      <c r="F45">
        <v>1874</v>
      </c>
    </row>
    <row r="46" spans="1:6" x14ac:dyDescent="0.25">
      <c r="A46">
        <v>750</v>
      </c>
      <c r="B46" t="s">
        <v>33</v>
      </c>
      <c r="C46">
        <v>202602</v>
      </c>
      <c r="D46">
        <v>32203</v>
      </c>
      <c r="E46">
        <v>5.2386367148673951</v>
      </c>
      <c r="F46">
        <v>6147.21</v>
      </c>
    </row>
    <row r="47" spans="1:6" x14ac:dyDescent="0.25">
      <c r="A47">
        <v>682</v>
      </c>
      <c r="B47" t="s">
        <v>34</v>
      </c>
      <c r="C47">
        <v>202602</v>
      </c>
      <c r="D47">
        <v>5770</v>
      </c>
      <c r="E47">
        <v>5.2674341114285967</v>
      </c>
      <c r="F47">
        <v>1095.4100000000001</v>
      </c>
    </row>
    <row r="48" spans="1:6" x14ac:dyDescent="0.25">
      <c r="A48">
        <v>683</v>
      </c>
      <c r="B48" t="s">
        <v>34</v>
      </c>
      <c r="C48">
        <v>202602</v>
      </c>
      <c r="D48">
        <v>8734</v>
      </c>
      <c r="E48">
        <v>7.973270282360029</v>
      </c>
      <c r="F48">
        <v>1095.4100000000001</v>
      </c>
    </row>
    <row r="49" spans="1:6" x14ac:dyDescent="0.25">
      <c r="A49">
        <v>684</v>
      </c>
      <c r="B49" t="s">
        <v>34</v>
      </c>
      <c r="C49">
        <v>202602</v>
      </c>
      <c r="D49">
        <v>74691</v>
      </c>
      <c r="E49">
        <v>17.77142761969797</v>
      </c>
      <c r="F49">
        <v>4202.87</v>
      </c>
    </row>
    <row r="50" spans="1:6" x14ac:dyDescent="0.25">
      <c r="A50">
        <v>686</v>
      </c>
      <c r="B50" t="s">
        <v>34</v>
      </c>
      <c r="C50">
        <v>202602</v>
      </c>
      <c r="D50">
        <v>33096</v>
      </c>
      <c r="E50">
        <v>5.3185232323816685</v>
      </c>
      <c r="F50">
        <v>6222.78</v>
      </c>
    </row>
    <row r="51" spans="1:6" x14ac:dyDescent="0.25">
      <c r="A51">
        <v>708</v>
      </c>
      <c r="B51" t="s">
        <v>34</v>
      </c>
      <c r="C51">
        <v>202602</v>
      </c>
      <c r="D51">
        <v>359706</v>
      </c>
      <c r="E51">
        <v>82.41008240870778</v>
      </c>
      <c r="F51">
        <v>4364.83</v>
      </c>
    </row>
    <row r="52" spans="1:6" x14ac:dyDescent="0.25">
      <c r="A52">
        <v>710</v>
      </c>
      <c r="B52" t="s">
        <v>34</v>
      </c>
      <c r="C52">
        <v>202602</v>
      </c>
      <c r="D52">
        <v>183219</v>
      </c>
      <c r="E52">
        <v>26.593947311125625</v>
      </c>
      <c r="F52">
        <v>6889.5</v>
      </c>
    </row>
    <row r="53" spans="1:6" x14ac:dyDescent="0.25">
      <c r="A53">
        <v>809</v>
      </c>
      <c r="B53" t="s">
        <v>34</v>
      </c>
      <c r="C53">
        <v>202602</v>
      </c>
      <c r="D53">
        <v>30632</v>
      </c>
      <c r="E53">
        <v>20.434956637758507</v>
      </c>
      <c r="F53">
        <v>1499</v>
      </c>
    </row>
    <row r="54" spans="1:6" x14ac:dyDescent="0.25">
      <c r="A54">
        <v>810</v>
      </c>
      <c r="B54" t="s">
        <v>34</v>
      </c>
      <c r="C54">
        <v>202602</v>
      </c>
      <c r="D54">
        <v>7271</v>
      </c>
      <c r="E54">
        <v>3.8799359658484525</v>
      </c>
      <c r="F54">
        <v>1874</v>
      </c>
    </row>
    <row r="55" spans="1:6" x14ac:dyDescent="0.25">
      <c r="A55">
        <v>750</v>
      </c>
      <c r="B55" t="s">
        <v>34</v>
      </c>
      <c r="C55">
        <v>202602</v>
      </c>
      <c r="D55">
        <v>39022</v>
      </c>
      <c r="E55">
        <v>6.3479204387030865</v>
      </c>
      <c r="F55">
        <v>6147.21</v>
      </c>
    </row>
    <row r="56" spans="1:6" x14ac:dyDescent="0.25">
      <c r="A56">
        <v>682</v>
      </c>
      <c r="B56" t="s">
        <v>35</v>
      </c>
      <c r="C56">
        <v>202602</v>
      </c>
      <c r="D56">
        <v>10902</v>
      </c>
      <c r="E56">
        <v>9.9524378999643961</v>
      </c>
      <c r="F56">
        <v>1095.4100000000001</v>
      </c>
    </row>
    <row r="57" spans="1:6" x14ac:dyDescent="0.25">
      <c r="A57">
        <v>683</v>
      </c>
      <c r="B57" t="s">
        <v>35</v>
      </c>
      <c r="C57">
        <v>202602</v>
      </c>
      <c r="D57">
        <v>8423</v>
      </c>
      <c r="E57">
        <v>7.6893583224546056</v>
      </c>
      <c r="F57">
        <v>1095.4100000000001</v>
      </c>
    </row>
    <row r="58" spans="1:6" x14ac:dyDescent="0.25">
      <c r="A58">
        <v>684</v>
      </c>
      <c r="B58" t="s">
        <v>35</v>
      </c>
      <c r="C58">
        <v>202602</v>
      </c>
      <c r="D58">
        <v>83021</v>
      </c>
      <c r="E58">
        <v>19.753406600727597</v>
      </c>
      <c r="F58">
        <v>4202.87</v>
      </c>
    </row>
    <row r="59" spans="1:6" x14ac:dyDescent="0.25">
      <c r="A59">
        <v>686</v>
      </c>
      <c r="B59" t="s">
        <v>35</v>
      </c>
      <c r="C59">
        <v>202602</v>
      </c>
      <c r="D59">
        <v>30019</v>
      </c>
      <c r="E59">
        <v>4.8240497012589234</v>
      </c>
      <c r="F59">
        <v>6222.78</v>
      </c>
    </row>
    <row r="60" spans="1:6" x14ac:dyDescent="0.25">
      <c r="A60">
        <v>708</v>
      </c>
      <c r="B60" t="s">
        <v>35</v>
      </c>
      <c r="C60">
        <v>202602</v>
      </c>
      <c r="D60">
        <v>327023</v>
      </c>
      <c r="E60">
        <v>74.922276468957548</v>
      </c>
      <c r="F60">
        <v>4364.83</v>
      </c>
    </row>
    <row r="61" spans="1:6" x14ac:dyDescent="0.25">
      <c r="A61">
        <v>710</v>
      </c>
      <c r="B61" t="s">
        <v>35</v>
      </c>
      <c r="C61">
        <v>202602</v>
      </c>
      <c r="D61">
        <v>163371</v>
      </c>
      <c r="E61">
        <v>23.713041585020683</v>
      </c>
      <c r="F61">
        <v>6889.5</v>
      </c>
    </row>
    <row r="62" spans="1:6" x14ac:dyDescent="0.25">
      <c r="A62">
        <v>809</v>
      </c>
      <c r="B62" t="s">
        <v>35</v>
      </c>
      <c r="C62">
        <v>202602</v>
      </c>
      <c r="D62">
        <v>24978</v>
      </c>
      <c r="E62">
        <v>16.663108739159441</v>
      </c>
      <c r="F62">
        <v>1499</v>
      </c>
    </row>
    <row r="63" spans="1:6" x14ac:dyDescent="0.25">
      <c r="A63">
        <v>810</v>
      </c>
      <c r="B63" t="s">
        <v>35</v>
      </c>
      <c r="C63">
        <v>202602</v>
      </c>
      <c r="D63">
        <v>6351</v>
      </c>
      <c r="E63">
        <v>3.389007470651014</v>
      </c>
      <c r="F63">
        <v>1874</v>
      </c>
    </row>
    <row r="64" spans="1:6" x14ac:dyDescent="0.25">
      <c r="A64">
        <v>750</v>
      </c>
      <c r="B64" t="s">
        <v>35</v>
      </c>
      <c r="C64">
        <v>202602</v>
      </c>
      <c r="D64">
        <v>35867</v>
      </c>
      <c r="E64">
        <v>5.8346794724761315</v>
      </c>
      <c r="F64">
        <v>6147.21</v>
      </c>
    </row>
    <row r="65" spans="1:6" x14ac:dyDescent="0.25">
      <c r="A65">
        <v>682</v>
      </c>
      <c r="B65" t="s">
        <v>37</v>
      </c>
      <c r="C65">
        <v>202602</v>
      </c>
      <c r="D65">
        <v>4152</v>
      </c>
      <c r="E65">
        <v>3.7903615997662974</v>
      </c>
      <c r="F65">
        <v>1095.4100000000001</v>
      </c>
    </row>
    <row r="66" spans="1:6" x14ac:dyDescent="0.25">
      <c r="A66">
        <v>683</v>
      </c>
      <c r="B66" t="s">
        <v>37</v>
      </c>
      <c r="C66">
        <v>202602</v>
      </c>
      <c r="D66">
        <v>3310</v>
      </c>
      <c r="E66">
        <v>3.0216996375786231</v>
      </c>
      <c r="F66">
        <v>1095.4100000000001</v>
      </c>
    </row>
    <row r="67" spans="1:6" x14ac:dyDescent="0.25">
      <c r="A67">
        <v>684</v>
      </c>
      <c r="B67" t="s">
        <v>37</v>
      </c>
      <c r="C67">
        <v>202602</v>
      </c>
      <c r="D67">
        <v>82679</v>
      </c>
      <c r="E67">
        <v>19.672033634159515</v>
      </c>
      <c r="F67">
        <v>4202.87</v>
      </c>
    </row>
    <row r="68" spans="1:6" x14ac:dyDescent="0.25">
      <c r="A68">
        <v>686</v>
      </c>
      <c r="B68" t="s">
        <v>37</v>
      </c>
      <c r="C68">
        <v>202602</v>
      </c>
      <c r="D68">
        <v>26194</v>
      </c>
      <c r="E68">
        <v>4.2093726598079959</v>
      </c>
      <c r="F68">
        <v>6222.78</v>
      </c>
    </row>
    <row r="69" spans="1:6" x14ac:dyDescent="0.25">
      <c r="A69">
        <v>708</v>
      </c>
      <c r="B69" t="s">
        <v>37</v>
      </c>
      <c r="C69">
        <v>202602</v>
      </c>
      <c r="D69">
        <v>224647</v>
      </c>
      <c r="E69">
        <v>51.467525653920084</v>
      </c>
      <c r="F69">
        <v>4364.83</v>
      </c>
    </row>
    <row r="70" spans="1:6" x14ac:dyDescent="0.25">
      <c r="A70">
        <v>710</v>
      </c>
      <c r="B70" t="s">
        <v>37</v>
      </c>
      <c r="C70">
        <v>202602</v>
      </c>
      <c r="D70">
        <v>106516</v>
      </c>
      <c r="E70">
        <v>15.460628492633719</v>
      </c>
      <c r="F70">
        <v>6889.5</v>
      </c>
    </row>
    <row r="71" spans="1:6" x14ac:dyDescent="0.25">
      <c r="A71">
        <v>809</v>
      </c>
      <c r="B71" t="s">
        <v>37</v>
      </c>
      <c r="C71">
        <v>202602</v>
      </c>
      <c r="D71">
        <v>26114</v>
      </c>
      <c r="E71">
        <v>17.420947298198801</v>
      </c>
      <c r="F71">
        <v>1499</v>
      </c>
    </row>
    <row r="72" spans="1:6" x14ac:dyDescent="0.25">
      <c r="A72">
        <v>810</v>
      </c>
      <c r="B72" t="s">
        <v>37</v>
      </c>
      <c r="C72">
        <v>202602</v>
      </c>
      <c r="D72">
        <v>7438</v>
      </c>
      <c r="E72">
        <v>3.9690501600853789</v>
      </c>
      <c r="F72">
        <v>1874</v>
      </c>
    </row>
    <row r="73" spans="1:6" x14ac:dyDescent="0.25">
      <c r="A73">
        <v>750</v>
      </c>
      <c r="B73" t="s">
        <v>37</v>
      </c>
      <c r="C73">
        <v>202602</v>
      </c>
      <c r="D73">
        <v>27331</v>
      </c>
      <c r="E73">
        <v>4.4460820437239006</v>
      </c>
      <c r="F73">
        <v>6147.21</v>
      </c>
    </row>
    <row r="74" spans="1:6" x14ac:dyDescent="0.25">
      <c r="A74">
        <v>682</v>
      </c>
      <c r="B74" t="s">
        <v>38</v>
      </c>
      <c r="C74">
        <v>202602</v>
      </c>
      <c r="D74">
        <v>5475</v>
      </c>
      <c r="E74">
        <v>4.9981285546051248</v>
      </c>
      <c r="F74">
        <v>1095.4100000000001</v>
      </c>
    </row>
    <row r="75" spans="1:6" x14ac:dyDescent="0.25">
      <c r="A75">
        <v>683</v>
      </c>
      <c r="B75" t="s">
        <v>38</v>
      </c>
      <c r="C75">
        <v>202602</v>
      </c>
      <c r="D75">
        <v>3827</v>
      </c>
      <c r="E75">
        <v>3.4936690371641665</v>
      </c>
      <c r="F75">
        <v>1095.4100000000001</v>
      </c>
    </row>
    <row r="76" spans="1:6" x14ac:dyDescent="0.25">
      <c r="A76">
        <v>684</v>
      </c>
      <c r="B76" t="s">
        <v>38</v>
      </c>
      <c r="C76">
        <v>202602</v>
      </c>
      <c r="D76">
        <v>87869</v>
      </c>
      <c r="E76">
        <v>20.906904091727796</v>
      </c>
      <c r="F76">
        <v>4202.87</v>
      </c>
    </row>
    <row r="77" spans="1:6" x14ac:dyDescent="0.25">
      <c r="A77">
        <v>686</v>
      </c>
      <c r="B77" t="s">
        <v>38</v>
      </c>
      <c r="C77">
        <v>202602</v>
      </c>
      <c r="D77">
        <v>22752</v>
      </c>
      <c r="E77">
        <v>3.6562436724422205</v>
      </c>
      <c r="F77">
        <v>6222.78</v>
      </c>
    </row>
    <row r="78" spans="1:6" x14ac:dyDescent="0.25">
      <c r="A78">
        <v>708</v>
      </c>
      <c r="B78" t="s">
        <v>38</v>
      </c>
      <c r="C78">
        <v>202602</v>
      </c>
      <c r="D78">
        <v>254759</v>
      </c>
      <c r="E78">
        <v>58.366305216927124</v>
      </c>
      <c r="F78">
        <v>4364.83</v>
      </c>
    </row>
    <row r="79" spans="1:6" x14ac:dyDescent="0.25">
      <c r="A79">
        <v>710</v>
      </c>
      <c r="B79" t="s">
        <v>38</v>
      </c>
      <c r="C79">
        <v>202602</v>
      </c>
      <c r="D79">
        <v>97206</v>
      </c>
      <c r="E79">
        <v>14.109296755932942</v>
      </c>
      <c r="F79">
        <v>6889.5</v>
      </c>
    </row>
    <row r="80" spans="1:6" x14ac:dyDescent="0.25">
      <c r="A80">
        <v>809</v>
      </c>
      <c r="B80" t="s">
        <v>38</v>
      </c>
      <c r="C80">
        <v>202602</v>
      </c>
      <c r="D80">
        <v>26729</v>
      </c>
      <c r="E80">
        <v>17.831220813875916</v>
      </c>
      <c r="F80">
        <v>1499</v>
      </c>
    </row>
    <row r="81" spans="1:6" x14ac:dyDescent="0.25">
      <c r="A81">
        <v>810</v>
      </c>
      <c r="B81" t="s">
        <v>38</v>
      </c>
      <c r="C81">
        <v>202602</v>
      </c>
      <c r="D81">
        <v>6562</v>
      </c>
      <c r="E81">
        <v>3.5016008537886871</v>
      </c>
      <c r="F81">
        <v>1874</v>
      </c>
    </row>
    <row r="82" spans="1:6" x14ac:dyDescent="0.25">
      <c r="A82">
        <v>750</v>
      </c>
      <c r="B82" t="s">
        <v>38</v>
      </c>
      <c r="C82">
        <v>202602</v>
      </c>
      <c r="D82">
        <v>31169</v>
      </c>
      <c r="E82">
        <v>5.0704303253020475</v>
      </c>
      <c r="F82">
        <v>6147.21</v>
      </c>
    </row>
    <row r="83" spans="1:6" x14ac:dyDescent="0.25">
      <c r="A83">
        <v>682</v>
      </c>
      <c r="B83" t="s">
        <v>39</v>
      </c>
      <c r="C83">
        <v>202602</v>
      </c>
      <c r="D83">
        <v>4214</v>
      </c>
      <c r="E83">
        <v>3.8469614117088575</v>
      </c>
      <c r="F83">
        <v>1095.4100000000001</v>
      </c>
    </row>
    <row r="84" spans="1:6" x14ac:dyDescent="0.25">
      <c r="A84">
        <v>683</v>
      </c>
      <c r="B84" t="s">
        <v>39</v>
      </c>
      <c r="C84">
        <v>202602</v>
      </c>
      <c r="D84">
        <v>5777</v>
      </c>
      <c r="E84">
        <v>5.2738244127769507</v>
      </c>
      <c r="F84">
        <v>1095.4100000000001</v>
      </c>
    </row>
    <row r="85" spans="1:6" x14ac:dyDescent="0.25">
      <c r="A85">
        <v>684</v>
      </c>
      <c r="B85" t="s">
        <v>39</v>
      </c>
      <c r="C85">
        <v>202602</v>
      </c>
      <c r="D85">
        <v>37133</v>
      </c>
      <c r="E85">
        <v>8.8351531215574131</v>
      </c>
      <c r="F85">
        <v>4202.87</v>
      </c>
    </row>
    <row r="86" spans="1:6" x14ac:dyDescent="0.25">
      <c r="A86">
        <v>686</v>
      </c>
      <c r="B86" t="s">
        <v>39</v>
      </c>
      <c r="C86">
        <v>202602</v>
      </c>
      <c r="D86">
        <v>12718</v>
      </c>
      <c r="E86">
        <v>2.043781075339318</v>
      </c>
      <c r="F86">
        <v>6222.78</v>
      </c>
    </row>
    <row r="87" spans="1:6" x14ac:dyDescent="0.25">
      <c r="A87">
        <v>708</v>
      </c>
      <c r="B87" t="s">
        <v>39</v>
      </c>
      <c r="C87">
        <v>202602</v>
      </c>
      <c r="D87">
        <v>153482</v>
      </c>
      <c r="E87">
        <v>35.163339694787659</v>
      </c>
      <c r="F87">
        <v>4364.83</v>
      </c>
    </row>
    <row r="88" spans="1:6" x14ac:dyDescent="0.25">
      <c r="A88">
        <v>710</v>
      </c>
      <c r="B88" t="s">
        <v>39</v>
      </c>
      <c r="C88">
        <v>202602</v>
      </c>
      <c r="D88">
        <v>67006</v>
      </c>
      <c r="E88">
        <v>9.7258146454749976</v>
      </c>
      <c r="F88">
        <v>6889.5</v>
      </c>
    </row>
    <row r="89" spans="1:6" x14ac:dyDescent="0.25">
      <c r="A89">
        <v>809</v>
      </c>
      <c r="B89" t="s">
        <v>39</v>
      </c>
      <c r="C89">
        <v>202602</v>
      </c>
      <c r="D89">
        <v>8967</v>
      </c>
      <c r="E89">
        <v>5.9819879919946635</v>
      </c>
      <c r="F89">
        <v>1499</v>
      </c>
    </row>
    <row r="90" spans="1:6" x14ac:dyDescent="0.25">
      <c r="A90">
        <v>810</v>
      </c>
      <c r="B90" t="s">
        <v>39</v>
      </c>
      <c r="C90">
        <v>202602</v>
      </c>
      <c r="D90">
        <v>2129</v>
      </c>
      <c r="E90">
        <v>1.1360725720384204</v>
      </c>
      <c r="F90">
        <v>1874</v>
      </c>
    </row>
    <row r="91" spans="1:6" x14ac:dyDescent="0.25">
      <c r="A91">
        <v>750</v>
      </c>
      <c r="B91" t="s">
        <v>39</v>
      </c>
      <c r="C91">
        <v>202602</v>
      </c>
      <c r="D91">
        <v>15685</v>
      </c>
      <c r="E91">
        <v>2.5515640428747348</v>
      </c>
      <c r="F91">
        <v>6147.21</v>
      </c>
    </row>
    <row r="92" spans="1:6" x14ac:dyDescent="0.25">
      <c r="A92">
        <v>682</v>
      </c>
      <c r="B92" t="s">
        <v>40</v>
      </c>
      <c r="C92">
        <v>202602</v>
      </c>
      <c r="D92">
        <v>5104</v>
      </c>
      <c r="E92">
        <v>4.6594425831423845</v>
      </c>
      <c r="F92">
        <v>1095.4100000000001</v>
      </c>
    </row>
    <row r="93" spans="1:6" x14ac:dyDescent="0.25">
      <c r="A93">
        <v>683</v>
      </c>
      <c r="B93" t="s">
        <v>40</v>
      </c>
      <c r="C93">
        <v>202602</v>
      </c>
      <c r="D93">
        <v>4869</v>
      </c>
      <c r="E93">
        <v>4.4449110378762287</v>
      </c>
      <c r="F93">
        <v>1095.4100000000001</v>
      </c>
    </row>
    <row r="94" spans="1:6" x14ac:dyDescent="0.25">
      <c r="A94">
        <v>684</v>
      </c>
      <c r="B94" t="s">
        <v>40</v>
      </c>
      <c r="C94">
        <v>202602</v>
      </c>
      <c r="D94">
        <v>90838</v>
      </c>
      <c r="E94">
        <v>21.613326131905104</v>
      </c>
      <c r="F94">
        <v>4202.87</v>
      </c>
    </row>
    <row r="95" spans="1:6" x14ac:dyDescent="0.25">
      <c r="A95">
        <v>686</v>
      </c>
      <c r="B95" t="s">
        <v>40</v>
      </c>
      <c r="C95">
        <v>202602</v>
      </c>
      <c r="D95">
        <v>37310</v>
      </c>
      <c r="E95">
        <v>5.9957125271984548</v>
      </c>
      <c r="F95">
        <v>6222.78</v>
      </c>
    </row>
    <row r="96" spans="1:6" x14ac:dyDescent="0.25">
      <c r="A96">
        <v>708</v>
      </c>
      <c r="B96" t="s">
        <v>40</v>
      </c>
      <c r="C96">
        <v>202602</v>
      </c>
      <c r="D96">
        <v>373915</v>
      </c>
      <c r="E96">
        <v>85.665421104602018</v>
      </c>
      <c r="F96">
        <v>4364.83</v>
      </c>
    </row>
    <row r="97" spans="1:6" x14ac:dyDescent="0.25">
      <c r="A97">
        <v>710</v>
      </c>
      <c r="B97" t="s">
        <v>40</v>
      </c>
      <c r="C97">
        <v>202602</v>
      </c>
      <c r="D97">
        <v>253745</v>
      </c>
      <c r="E97">
        <v>36.830684374773206</v>
      </c>
      <c r="F97">
        <v>6889.5</v>
      </c>
    </row>
    <row r="98" spans="1:6" x14ac:dyDescent="0.25">
      <c r="A98">
        <v>809</v>
      </c>
      <c r="B98" t="s">
        <v>40</v>
      </c>
      <c r="C98">
        <v>202602</v>
      </c>
      <c r="D98">
        <v>36252</v>
      </c>
      <c r="E98">
        <v>24.184122748499</v>
      </c>
      <c r="F98">
        <v>1499</v>
      </c>
    </row>
    <row r="99" spans="1:6" x14ac:dyDescent="0.25">
      <c r="A99">
        <v>810</v>
      </c>
      <c r="B99" t="s">
        <v>40</v>
      </c>
      <c r="C99">
        <v>202602</v>
      </c>
      <c r="D99">
        <v>7682</v>
      </c>
      <c r="E99">
        <v>4.0992529348986126</v>
      </c>
      <c r="F99">
        <v>1874</v>
      </c>
    </row>
    <row r="100" spans="1:6" x14ac:dyDescent="0.25">
      <c r="A100">
        <v>750</v>
      </c>
      <c r="B100" t="s">
        <v>40</v>
      </c>
      <c r="C100">
        <v>202602</v>
      </c>
      <c r="D100">
        <v>55310</v>
      </c>
      <c r="E100">
        <v>8.9975777629200895</v>
      </c>
      <c r="F100">
        <v>6147.21</v>
      </c>
    </row>
    <row r="101" spans="1:6" x14ac:dyDescent="0.25">
      <c r="A101">
        <v>682</v>
      </c>
      <c r="B101" t="s">
        <v>41</v>
      </c>
      <c r="C101">
        <v>202602</v>
      </c>
      <c r="D101">
        <v>9340</v>
      </c>
      <c r="E101">
        <v>8.5264877990889243</v>
      </c>
      <c r="F101">
        <v>1095.4100000000001</v>
      </c>
    </row>
    <row r="102" spans="1:6" x14ac:dyDescent="0.25">
      <c r="A102">
        <v>683</v>
      </c>
      <c r="B102" t="s">
        <v>41</v>
      </c>
      <c r="C102">
        <v>202602</v>
      </c>
      <c r="D102">
        <v>6636</v>
      </c>
      <c r="E102">
        <v>6.0580056782391978</v>
      </c>
      <c r="F102">
        <v>1095.4100000000001</v>
      </c>
    </row>
    <row r="103" spans="1:6" x14ac:dyDescent="0.25">
      <c r="A103">
        <v>684</v>
      </c>
      <c r="B103" t="s">
        <v>41</v>
      </c>
      <c r="C103">
        <v>202602</v>
      </c>
      <c r="D103">
        <v>61920</v>
      </c>
      <c r="E103">
        <v>14.732789736537176</v>
      </c>
      <c r="F103">
        <v>4202.87</v>
      </c>
    </row>
    <row r="104" spans="1:6" x14ac:dyDescent="0.25">
      <c r="A104">
        <v>686</v>
      </c>
      <c r="B104" t="s">
        <v>41</v>
      </c>
      <c r="C104">
        <v>202602</v>
      </c>
      <c r="D104">
        <v>31550</v>
      </c>
      <c r="E104">
        <v>5.0700812177194114</v>
      </c>
      <c r="F104">
        <v>6222.78</v>
      </c>
    </row>
    <row r="105" spans="1:6" x14ac:dyDescent="0.25">
      <c r="A105">
        <v>708</v>
      </c>
      <c r="B105" t="s">
        <v>41</v>
      </c>
      <c r="C105">
        <v>202602</v>
      </c>
      <c r="D105">
        <v>285722</v>
      </c>
      <c r="E105">
        <v>65.460052281532157</v>
      </c>
      <c r="F105">
        <v>4364.83</v>
      </c>
    </row>
    <row r="106" spans="1:6" x14ac:dyDescent="0.25">
      <c r="A106">
        <v>710</v>
      </c>
      <c r="B106" t="s">
        <v>41</v>
      </c>
      <c r="C106">
        <v>202602</v>
      </c>
      <c r="D106">
        <v>194329</v>
      </c>
      <c r="E106">
        <v>28.206546193482836</v>
      </c>
      <c r="F106">
        <v>6889.5</v>
      </c>
    </row>
    <row r="107" spans="1:6" x14ac:dyDescent="0.25">
      <c r="A107">
        <v>809</v>
      </c>
      <c r="B107" t="s">
        <v>41</v>
      </c>
      <c r="C107">
        <v>202602</v>
      </c>
      <c r="D107">
        <v>41458</v>
      </c>
      <c r="E107">
        <v>27.657104736490993</v>
      </c>
      <c r="F107">
        <v>1499</v>
      </c>
    </row>
    <row r="108" spans="1:6" x14ac:dyDescent="0.25">
      <c r="A108">
        <v>810</v>
      </c>
      <c r="B108" t="s">
        <v>41</v>
      </c>
      <c r="C108">
        <v>202602</v>
      </c>
      <c r="D108">
        <v>8856</v>
      </c>
      <c r="E108">
        <v>4.7257203842049096</v>
      </c>
      <c r="F108">
        <v>1874</v>
      </c>
    </row>
    <row r="109" spans="1:6" x14ac:dyDescent="0.25">
      <c r="A109">
        <v>750</v>
      </c>
      <c r="B109" t="s">
        <v>41</v>
      </c>
      <c r="C109">
        <v>202602</v>
      </c>
      <c r="D109">
        <v>64788</v>
      </c>
      <c r="E109">
        <v>10.539415442127405</v>
      </c>
      <c r="F109">
        <v>6147.21</v>
      </c>
    </row>
    <row r="110" spans="1:6" x14ac:dyDescent="0.25">
      <c r="A110">
        <v>682</v>
      </c>
      <c r="B110" t="s">
        <v>42</v>
      </c>
      <c r="C110">
        <v>202602</v>
      </c>
      <c r="D110">
        <v>8585</v>
      </c>
      <c r="E110">
        <v>7.8372481536593597</v>
      </c>
      <c r="F110">
        <v>1095.4100000000001</v>
      </c>
    </row>
    <row r="111" spans="1:6" x14ac:dyDescent="0.25">
      <c r="A111">
        <v>683</v>
      </c>
      <c r="B111" t="s">
        <v>42</v>
      </c>
      <c r="C111">
        <v>202602</v>
      </c>
      <c r="D111">
        <v>7099</v>
      </c>
      <c r="E111">
        <v>6.4806784674231563</v>
      </c>
      <c r="F111">
        <v>1095.4100000000001</v>
      </c>
    </row>
    <row r="112" spans="1:6" x14ac:dyDescent="0.25">
      <c r="A112">
        <v>684</v>
      </c>
      <c r="B112" t="s">
        <v>42</v>
      </c>
      <c r="C112">
        <v>202602</v>
      </c>
      <c r="D112">
        <v>77091</v>
      </c>
      <c r="E112">
        <v>18.342465981579256</v>
      </c>
      <c r="F112">
        <v>4202.87</v>
      </c>
    </row>
    <row r="113" spans="1:6" x14ac:dyDescent="0.25">
      <c r="A113">
        <v>686</v>
      </c>
      <c r="B113" t="s">
        <v>42</v>
      </c>
      <c r="C113">
        <v>202602</v>
      </c>
      <c r="D113">
        <v>39728</v>
      </c>
      <c r="E113">
        <v>6.3842848373235119</v>
      </c>
      <c r="F113">
        <v>6222.78</v>
      </c>
    </row>
    <row r="114" spans="1:6" x14ac:dyDescent="0.25">
      <c r="A114">
        <v>708</v>
      </c>
      <c r="B114" t="s">
        <v>42</v>
      </c>
      <c r="C114">
        <v>202602</v>
      </c>
      <c r="D114">
        <v>345280</v>
      </c>
      <c r="E114">
        <v>79.105028145426061</v>
      </c>
      <c r="F114">
        <v>4364.83</v>
      </c>
    </row>
    <row r="115" spans="1:6" x14ac:dyDescent="0.25">
      <c r="A115">
        <v>710</v>
      </c>
      <c r="B115" t="s">
        <v>42</v>
      </c>
      <c r="C115">
        <v>202602</v>
      </c>
      <c r="D115">
        <v>234747</v>
      </c>
      <c r="E115">
        <v>34.073154800783804</v>
      </c>
      <c r="F115">
        <v>6889.5</v>
      </c>
    </row>
    <row r="116" spans="1:6" x14ac:dyDescent="0.25">
      <c r="A116">
        <v>809</v>
      </c>
      <c r="B116" t="s">
        <v>42</v>
      </c>
      <c r="C116">
        <v>202602</v>
      </c>
      <c r="D116">
        <v>40924</v>
      </c>
      <c r="E116">
        <v>27.300867244829888</v>
      </c>
      <c r="F116">
        <v>1499</v>
      </c>
    </row>
    <row r="117" spans="1:6" x14ac:dyDescent="0.25">
      <c r="A117">
        <v>810</v>
      </c>
      <c r="B117" t="s">
        <v>42</v>
      </c>
      <c r="C117">
        <v>202602</v>
      </c>
      <c r="D117">
        <v>7408</v>
      </c>
      <c r="E117">
        <v>3.9530416221985059</v>
      </c>
      <c r="F117">
        <v>1874</v>
      </c>
    </row>
    <row r="118" spans="1:6" x14ac:dyDescent="0.25">
      <c r="A118">
        <v>750</v>
      </c>
      <c r="B118" t="s">
        <v>42</v>
      </c>
      <c r="C118">
        <v>202602</v>
      </c>
      <c r="D118">
        <v>75390</v>
      </c>
      <c r="E118">
        <v>12.264100299160107</v>
      </c>
      <c r="F118">
        <v>6147.21</v>
      </c>
    </row>
    <row r="119" spans="1:6" x14ac:dyDescent="0.25">
      <c r="A119">
        <v>682</v>
      </c>
      <c r="B119" t="s">
        <v>43</v>
      </c>
      <c r="C119">
        <v>202602</v>
      </c>
      <c r="D119">
        <v>5067</v>
      </c>
      <c r="E119">
        <v>4.6256652760153729</v>
      </c>
      <c r="F119">
        <v>1095.4100000000001</v>
      </c>
    </row>
    <row r="120" spans="1:6" x14ac:dyDescent="0.25">
      <c r="A120">
        <v>683</v>
      </c>
      <c r="B120" t="s">
        <v>43</v>
      </c>
      <c r="C120">
        <v>202602</v>
      </c>
      <c r="D120">
        <v>4790</v>
      </c>
      <c r="E120">
        <v>4.3727919226590952</v>
      </c>
      <c r="F120">
        <v>1095.4100000000001</v>
      </c>
    </row>
    <row r="121" spans="1:6" x14ac:dyDescent="0.25">
      <c r="A121">
        <v>684</v>
      </c>
      <c r="B121" t="s">
        <v>43</v>
      </c>
      <c r="C121">
        <v>202602</v>
      </c>
      <c r="D121">
        <v>53560</v>
      </c>
      <c r="E121">
        <v>12.743672775984031</v>
      </c>
      <c r="F121">
        <v>4202.87</v>
      </c>
    </row>
    <row r="122" spans="1:6" x14ac:dyDescent="0.25">
      <c r="A122">
        <v>686</v>
      </c>
      <c r="B122" t="s">
        <v>43</v>
      </c>
      <c r="C122">
        <v>202602</v>
      </c>
      <c r="D122">
        <v>29481</v>
      </c>
      <c r="E122">
        <v>4.7375931657554986</v>
      </c>
      <c r="F122">
        <v>6222.78</v>
      </c>
    </row>
    <row r="123" spans="1:6" x14ac:dyDescent="0.25">
      <c r="A123">
        <v>708</v>
      </c>
      <c r="B123" t="s">
        <v>43</v>
      </c>
      <c r="C123">
        <v>202602</v>
      </c>
      <c r="D123">
        <v>253268</v>
      </c>
      <c r="E123">
        <v>58.024711157135556</v>
      </c>
      <c r="F123">
        <v>4364.83</v>
      </c>
    </row>
    <row r="124" spans="1:6" x14ac:dyDescent="0.25">
      <c r="A124">
        <v>710</v>
      </c>
      <c r="B124" t="s">
        <v>43</v>
      </c>
      <c r="C124">
        <v>202602</v>
      </c>
      <c r="D124">
        <v>177273</v>
      </c>
      <c r="E124">
        <v>25.730894839973875</v>
      </c>
      <c r="F124">
        <v>6889.5</v>
      </c>
    </row>
    <row r="125" spans="1:6" x14ac:dyDescent="0.25">
      <c r="A125">
        <v>809</v>
      </c>
      <c r="B125" t="s">
        <v>43</v>
      </c>
      <c r="C125">
        <v>202602</v>
      </c>
      <c r="D125">
        <v>34567</v>
      </c>
      <c r="E125">
        <v>23.060040026684458</v>
      </c>
      <c r="F125">
        <v>1499</v>
      </c>
    </row>
    <row r="126" spans="1:6" x14ac:dyDescent="0.25">
      <c r="A126">
        <v>810</v>
      </c>
      <c r="B126" t="s">
        <v>43</v>
      </c>
      <c r="C126">
        <v>202602</v>
      </c>
      <c r="D126">
        <v>8546</v>
      </c>
      <c r="E126">
        <v>4.5602988260405546</v>
      </c>
      <c r="F126">
        <v>1874</v>
      </c>
    </row>
    <row r="127" spans="1:6" x14ac:dyDescent="0.25">
      <c r="A127">
        <v>750</v>
      </c>
      <c r="B127" t="s">
        <v>43</v>
      </c>
      <c r="C127">
        <v>202602</v>
      </c>
      <c r="D127">
        <v>47082</v>
      </c>
      <c r="E127">
        <v>7.6590843651022169</v>
      </c>
      <c r="F127">
        <v>6147.21</v>
      </c>
    </row>
    <row r="128" spans="1:6" x14ac:dyDescent="0.25">
      <c r="A128">
        <v>682</v>
      </c>
      <c r="B128" t="s">
        <v>45</v>
      </c>
      <c r="C128">
        <v>202602</v>
      </c>
      <c r="D128">
        <v>5716</v>
      </c>
      <c r="E128">
        <v>5.2181375010270123</v>
      </c>
      <c r="F128">
        <v>1095.4100000000001</v>
      </c>
    </row>
    <row r="129" spans="1:6" x14ac:dyDescent="0.25">
      <c r="A129">
        <v>683</v>
      </c>
      <c r="B129" t="s">
        <v>45</v>
      </c>
      <c r="C129">
        <v>202602</v>
      </c>
      <c r="D129">
        <v>2779</v>
      </c>
      <c r="E129">
        <v>2.5369496352963727</v>
      </c>
      <c r="F129">
        <v>1095.4100000000001</v>
      </c>
    </row>
    <row r="130" spans="1:6" x14ac:dyDescent="0.25">
      <c r="A130">
        <v>684</v>
      </c>
      <c r="B130" t="s">
        <v>45</v>
      </c>
      <c r="C130">
        <v>202602</v>
      </c>
      <c r="D130">
        <v>27257</v>
      </c>
      <c r="E130">
        <v>6.4853302624159204</v>
      </c>
      <c r="F130">
        <v>4202.87</v>
      </c>
    </row>
    <row r="131" spans="1:6" x14ac:dyDescent="0.25">
      <c r="A131">
        <v>686</v>
      </c>
      <c r="B131" t="s">
        <v>45</v>
      </c>
      <c r="C131">
        <v>202602</v>
      </c>
      <c r="D131">
        <v>8375</v>
      </c>
      <c r="E131">
        <v>1.3458614959873241</v>
      </c>
      <c r="F131">
        <v>6222.78</v>
      </c>
    </row>
    <row r="132" spans="1:6" x14ac:dyDescent="0.25">
      <c r="A132">
        <v>708</v>
      </c>
      <c r="B132" t="s">
        <v>45</v>
      </c>
      <c r="C132">
        <v>202602</v>
      </c>
      <c r="D132">
        <v>205708</v>
      </c>
      <c r="E132">
        <v>47.12852505137657</v>
      </c>
      <c r="F132">
        <v>4364.83</v>
      </c>
    </row>
    <row r="133" spans="1:6" x14ac:dyDescent="0.25">
      <c r="A133">
        <v>710</v>
      </c>
      <c r="B133" t="s">
        <v>45</v>
      </c>
      <c r="C133">
        <v>202602</v>
      </c>
      <c r="D133">
        <v>117687</v>
      </c>
      <c r="E133">
        <v>17.082081428260395</v>
      </c>
      <c r="F133">
        <v>6889.5</v>
      </c>
    </row>
    <row r="134" spans="1:6" x14ac:dyDescent="0.25">
      <c r="A134">
        <v>809</v>
      </c>
      <c r="B134" t="s">
        <v>45</v>
      </c>
      <c r="C134">
        <v>202602</v>
      </c>
      <c r="D134">
        <v>16121</v>
      </c>
      <c r="E134">
        <v>10.754503002001334</v>
      </c>
      <c r="F134">
        <v>1499</v>
      </c>
    </row>
    <row r="135" spans="1:6" x14ac:dyDescent="0.25">
      <c r="A135">
        <v>810</v>
      </c>
      <c r="B135" t="s">
        <v>45</v>
      </c>
      <c r="C135">
        <v>202602</v>
      </c>
      <c r="D135">
        <v>3376</v>
      </c>
      <c r="E135">
        <v>1.8014941302027747</v>
      </c>
      <c r="F135">
        <v>1874</v>
      </c>
    </row>
    <row r="136" spans="1:6" x14ac:dyDescent="0.25">
      <c r="A136">
        <v>750</v>
      </c>
      <c r="B136" t="s">
        <v>45</v>
      </c>
      <c r="C136">
        <v>202602</v>
      </c>
      <c r="D136">
        <v>19604</v>
      </c>
      <c r="E136">
        <v>3.1890890338869178</v>
      </c>
      <c r="F136">
        <v>6147.21</v>
      </c>
    </row>
    <row r="137" spans="1:6" x14ac:dyDescent="0.25">
      <c r="A137">
        <v>682</v>
      </c>
      <c r="B137" t="s">
        <v>46</v>
      </c>
      <c r="C137">
        <v>202602</v>
      </c>
      <c r="D137">
        <v>3991</v>
      </c>
      <c r="E137">
        <v>3.6433846687541647</v>
      </c>
      <c r="F137">
        <v>1095.4100000000001</v>
      </c>
    </row>
    <row r="138" spans="1:6" x14ac:dyDescent="0.25">
      <c r="A138">
        <v>683</v>
      </c>
      <c r="B138" t="s">
        <v>46</v>
      </c>
      <c r="C138">
        <v>202602</v>
      </c>
      <c r="D138">
        <v>4292</v>
      </c>
      <c r="E138">
        <v>3.9181676267333692</v>
      </c>
      <c r="F138">
        <v>1095.4100000000001</v>
      </c>
    </row>
    <row r="139" spans="1:6" x14ac:dyDescent="0.25">
      <c r="A139">
        <v>684</v>
      </c>
      <c r="B139" t="s">
        <v>46</v>
      </c>
      <c r="C139">
        <v>202602</v>
      </c>
      <c r="D139">
        <v>44296</v>
      </c>
      <c r="E139">
        <v>10.539464699122266</v>
      </c>
      <c r="F139">
        <v>4202.87</v>
      </c>
    </row>
    <row r="140" spans="1:6" x14ac:dyDescent="0.25">
      <c r="A140">
        <v>686</v>
      </c>
      <c r="B140" t="s">
        <v>46</v>
      </c>
      <c r="C140">
        <v>202602</v>
      </c>
      <c r="D140">
        <v>27890</v>
      </c>
      <c r="E140">
        <v>4.4819196564879364</v>
      </c>
      <c r="F140">
        <v>6222.78</v>
      </c>
    </row>
    <row r="141" spans="1:6" x14ac:dyDescent="0.25">
      <c r="A141">
        <v>708</v>
      </c>
      <c r="B141" t="s">
        <v>46</v>
      </c>
      <c r="C141">
        <v>202602</v>
      </c>
      <c r="D141">
        <v>286781</v>
      </c>
      <c r="E141">
        <v>65.702673414543071</v>
      </c>
      <c r="F141">
        <v>4364.83</v>
      </c>
    </row>
    <row r="142" spans="1:6" x14ac:dyDescent="0.25">
      <c r="A142">
        <v>710</v>
      </c>
      <c r="B142" t="s">
        <v>46</v>
      </c>
      <c r="C142">
        <v>202602</v>
      </c>
      <c r="D142">
        <v>161990</v>
      </c>
      <c r="E142">
        <v>23.512591624936498</v>
      </c>
      <c r="F142">
        <v>6889.5</v>
      </c>
    </row>
    <row r="143" spans="1:6" x14ac:dyDescent="0.25">
      <c r="A143">
        <v>809</v>
      </c>
      <c r="B143" t="s">
        <v>46</v>
      </c>
      <c r="C143">
        <v>202602</v>
      </c>
      <c r="D143">
        <v>19601</v>
      </c>
      <c r="E143">
        <v>13.076050700466977</v>
      </c>
      <c r="F143">
        <v>1499</v>
      </c>
    </row>
    <row r="144" spans="1:6" x14ac:dyDescent="0.25">
      <c r="A144">
        <v>810</v>
      </c>
      <c r="B144" t="s">
        <v>46</v>
      </c>
      <c r="C144">
        <v>202602</v>
      </c>
      <c r="D144">
        <v>6344</v>
      </c>
      <c r="E144">
        <v>3.3852721451440768</v>
      </c>
      <c r="F144">
        <v>1874</v>
      </c>
    </row>
    <row r="145" spans="1:6" x14ac:dyDescent="0.25">
      <c r="A145">
        <v>750</v>
      </c>
      <c r="B145" t="s">
        <v>46</v>
      </c>
      <c r="C145">
        <v>202602</v>
      </c>
      <c r="D145">
        <v>30804</v>
      </c>
      <c r="E145">
        <v>5.0110537951363305</v>
      </c>
      <c r="F145">
        <v>6147.21</v>
      </c>
    </row>
    <row r="146" spans="1:6" x14ac:dyDescent="0.25">
      <c r="A146">
        <v>682</v>
      </c>
      <c r="B146" t="s">
        <v>47</v>
      </c>
      <c r="C146">
        <v>202602</v>
      </c>
      <c r="D146">
        <v>3797</v>
      </c>
      <c r="E146">
        <v>3.4662820313855085</v>
      </c>
      <c r="F146">
        <v>1095.4100000000001</v>
      </c>
    </row>
    <row r="147" spans="1:6" x14ac:dyDescent="0.25">
      <c r="A147">
        <v>683</v>
      </c>
      <c r="B147" t="s">
        <v>47</v>
      </c>
      <c r="C147">
        <v>202602</v>
      </c>
      <c r="D147">
        <v>2192</v>
      </c>
      <c r="E147">
        <v>2.0010772222272939</v>
      </c>
      <c r="F147">
        <v>1095.4100000000001</v>
      </c>
    </row>
    <row r="148" spans="1:6" x14ac:dyDescent="0.25">
      <c r="A148">
        <v>684</v>
      </c>
      <c r="B148" t="s">
        <v>47</v>
      </c>
      <c r="C148">
        <v>202602</v>
      </c>
      <c r="D148">
        <v>22368</v>
      </c>
      <c r="E148">
        <v>5.3220775327335845</v>
      </c>
      <c r="F148">
        <v>4202.87</v>
      </c>
    </row>
    <row r="149" spans="1:6" x14ac:dyDescent="0.25">
      <c r="A149">
        <v>686</v>
      </c>
      <c r="B149" t="s">
        <v>47</v>
      </c>
      <c r="C149">
        <v>202602</v>
      </c>
      <c r="D149">
        <v>7861</v>
      </c>
      <c r="E149">
        <v>1.2632617576067289</v>
      </c>
      <c r="F149">
        <v>6222.78</v>
      </c>
    </row>
    <row r="150" spans="1:6" x14ac:dyDescent="0.25">
      <c r="A150">
        <v>708</v>
      </c>
      <c r="B150" t="s">
        <v>47</v>
      </c>
      <c r="C150">
        <v>202602</v>
      </c>
      <c r="D150">
        <v>192172</v>
      </c>
      <c r="E150">
        <v>44.02737334558276</v>
      </c>
      <c r="F150">
        <v>4364.83</v>
      </c>
    </row>
    <row r="151" spans="1:6" x14ac:dyDescent="0.25">
      <c r="A151">
        <v>710</v>
      </c>
      <c r="B151" t="s">
        <v>47</v>
      </c>
      <c r="C151">
        <v>202602</v>
      </c>
      <c r="D151">
        <v>113104</v>
      </c>
      <c r="E151">
        <v>16.416866245736266</v>
      </c>
      <c r="F151">
        <v>6889.5</v>
      </c>
    </row>
    <row r="152" spans="1:6" x14ac:dyDescent="0.25">
      <c r="A152">
        <v>809</v>
      </c>
      <c r="B152" t="s">
        <v>47</v>
      </c>
      <c r="C152">
        <v>202602</v>
      </c>
      <c r="D152">
        <v>15985</v>
      </c>
      <c r="E152">
        <v>10.663775850567045</v>
      </c>
      <c r="F152">
        <v>1499</v>
      </c>
    </row>
    <row r="153" spans="1:6" x14ac:dyDescent="0.25">
      <c r="A153">
        <v>810</v>
      </c>
      <c r="B153" t="s">
        <v>47</v>
      </c>
      <c r="C153">
        <v>202602</v>
      </c>
      <c r="D153">
        <v>3557</v>
      </c>
      <c r="E153">
        <v>1.8980789754535752</v>
      </c>
      <c r="F153">
        <v>1874</v>
      </c>
    </row>
    <row r="154" spans="1:6" x14ac:dyDescent="0.25">
      <c r="A154">
        <v>750</v>
      </c>
      <c r="B154" t="s">
        <v>47</v>
      </c>
      <c r="C154">
        <v>202602</v>
      </c>
      <c r="D154">
        <v>21039</v>
      </c>
      <c r="E154">
        <v>3.4225282689219987</v>
      </c>
      <c r="F154">
        <v>6147.21</v>
      </c>
    </row>
    <row r="155" spans="1:6" x14ac:dyDescent="0.25">
      <c r="A155">
        <v>682</v>
      </c>
      <c r="B155" t="s">
        <v>48</v>
      </c>
      <c r="C155">
        <v>202602</v>
      </c>
      <c r="D155">
        <v>2474</v>
      </c>
      <c r="E155">
        <v>2.258515076546681</v>
      </c>
      <c r="F155">
        <v>1095.4100000000001</v>
      </c>
    </row>
    <row r="156" spans="1:6" x14ac:dyDescent="0.25">
      <c r="A156">
        <v>683</v>
      </c>
      <c r="B156" t="s">
        <v>48</v>
      </c>
      <c r="C156">
        <v>202602</v>
      </c>
      <c r="D156">
        <v>2068</v>
      </c>
      <c r="E156">
        <v>1.8878775983421732</v>
      </c>
      <c r="F156">
        <v>1095.4100000000001</v>
      </c>
    </row>
    <row r="157" spans="1:6" x14ac:dyDescent="0.25">
      <c r="A157">
        <v>684</v>
      </c>
      <c r="B157" t="s">
        <v>48</v>
      </c>
      <c r="C157">
        <v>202602</v>
      </c>
      <c r="D157">
        <v>41512</v>
      </c>
      <c r="E157">
        <v>9.8770601993399758</v>
      </c>
      <c r="F157">
        <v>4202.87</v>
      </c>
    </row>
    <row r="158" spans="1:6" x14ac:dyDescent="0.25">
      <c r="A158">
        <v>686</v>
      </c>
      <c r="B158" t="s">
        <v>48</v>
      </c>
      <c r="C158">
        <v>202602</v>
      </c>
      <c r="D158">
        <v>12119</v>
      </c>
      <c r="E158">
        <v>1.9475218471487021</v>
      </c>
      <c r="F158">
        <v>6222.78</v>
      </c>
    </row>
    <row r="159" spans="1:6" x14ac:dyDescent="0.25">
      <c r="A159">
        <v>708</v>
      </c>
      <c r="B159" t="s">
        <v>48</v>
      </c>
      <c r="C159">
        <v>202602</v>
      </c>
      <c r="D159">
        <v>252028</v>
      </c>
      <c r="E159">
        <v>57.740622200635535</v>
      </c>
      <c r="F159">
        <v>4364.83</v>
      </c>
    </row>
    <row r="160" spans="1:6" x14ac:dyDescent="0.25">
      <c r="A160">
        <v>710</v>
      </c>
      <c r="B160" t="s">
        <v>48</v>
      </c>
      <c r="C160">
        <v>202602</v>
      </c>
      <c r="D160">
        <v>105844</v>
      </c>
      <c r="E160">
        <v>15.363088758255316</v>
      </c>
      <c r="F160">
        <v>6889.5</v>
      </c>
    </row>
    <row r="161" spans="1:6" x14ac:dyDescent="0.25">
      <c r="A161">
        <v>809</v>
      </c>
      <c r="B161" t="s">
        <v>48</v>
      </c>
      <c r="C161">
        <v>202602</v>
      </c>
      <c r="D161">
        <v>9891</v>
      </c>
      <c r="E161">
        <v>6.5983989326217483</v>
      </c>
      <c r="F161">
        <v>1499</v>
      </c>
    </row>
    <row r="162" spans="1:6" x14ac:dyDescent="0.25">
      <c r="A162">
        <v>810</v>
      </c>
      <c r="B162" t="s">
        <v>48</v>
      </c>
      <c r="C162">
        <v>202602</v>
      </c>
      <c r="D162">
        <v>2708</v>
      </c>
      <c r="E162">
        <v>1.4450373532550693</v>
      </c>
      <c r="F162">
        <v>1874</v>
      </c>
    </row>
    <row r="163" spans="1:6" x14ac:dyDescent="0.25">
      <c r="A163">
        <v>750</v>
      </c>
      <c r="B163" t="s">
        <v>48</v>
      </c>
      <c r="C163">
        <v>202602</v>
      </c>
      <c r="D163">
        <v>23240</v>
      </c>
      <c r="E163">
        <v>3.7805768795925307</v>
      </c>
      <c r="F163">
        <v>6147.21</v>
      </c>
    </row>
    <row r="164" spans="1:6" x14ac:dyDescent="0.25">
      <c r="A164">
        <v>682</v>
      </c>
      <c r="B164" t="s">
        <v>49</v>
      </c>
      <c r="C164">
        <v>202602</v>
      </c>
      <c r="D164">
        <v>2597</v>
      </c>
      <c r="E164">
        <v>2.3708018002391795</v>
      </c>
      <c r="F164">
        <v>1095.4100000000001</v>
      </c>
    </row>
    <row r="165" spans="1:6" x14ac:dyDescent="0.25">
      <c r="A165">
        <v>683</v>
      </c>
      <c r="B165" t="s">
        <v>49</v>
      </c>
      <c r="C165">
        <v>202602</v>
      </c>
      <c r="D165">
        <v>1798</v>
      </c>
      <c r="E165">
        <v>1.6413945463342492</v>
      </c>
      <c r="F165">
        <v>1095.4100000000001</v>
      </c>
    </row>
    <row r="166" spans="1:6" x14ac:dyDescent="0.25">
      <c r="A166">
        <v>684</v>
      </c>
      <c r="B166" t="s">
        <v>49</v>
      </c>
      <c r="C166">
        <v>202602</v>
      </c>
      <c r="D166">
        <v>5285</v>
      </c>
      <c r="E166">
        <v>1.2574740593927483</v>
      </c>
      <c r="F166">
        <v>4202.87</v>
      </c>
    </row>
    <row r="167" spans="1:6" x14ac:dyDescent="0.25">
      <c r="A167">
        <v>686</v>
      </c>
      <c r="B167" t="s">
        <v>49</v>
      </c>
      <c r="C167">
        <v>202602</v>
      </c>
      <c r="D167">
        <v>6326</v>
      </c>
      <c r="E167">
        <v>1.0165874416257685</v>
      </c>
      <c r="F167">
        <v>6222.78</v>
      </c>
    </row>
    <row r="168" spans="1:6" x14ac:dyDescent="0.25">
      <c r="A168">
        <v>708</v>
      </c>
      <c r="B168" t="s">
        <v>49</v>
      </c>
      <c r="C168">
        <v>202602</v>
      </c>
      <c r="D168">
        <v>122744</v>
      </c>
      <c r="E168">
        <v>28.121141029547545</v>
      </c>
      <c r="F168">
        <v>4364.83</v>
      </c>
    </row>
    <row r="169" spans="1:6" x14ac:dyDescent="0.25">
      <c r="A169">
        <v>710</v>
      </c>
      <c r="B169" t="s">
        <v>49</v>
      </c>
      <c r="C169">
        <v>202602</v>
      </c>
      <c r="D169">
        <v>51655</v>
      </c>
      <c r="E169">
        <v>7.4976413382683793</v>
      </c>
      <c r="F169">
        <v>6889.5</v>
      </c>
    </row>
    <row r="170" spans="1:6" x14ac:dyDescent="0.25">
      <c r="A170">
        <v>809</v>
      </c>
      <c r="B170" t="s">
        <v>49</v>
      </c>
      <c r="C170">
        <v>202602</v>
      </c>
      <c r="D170">
        <v>4967</v>
      </c>
      <c r="E170">
        <v>3.3135423615743829</v>
      </c>
      <c r="F170">
        <v>1499</v>
      </c>
    </row>
    <row r="171" spans="1:6" x14ac:dyDescent="0.25">
      <c r="A171">
        <v>810</v>
      </c>
      <c r="B171" t="s">
        <v>49</v>
      </c>
      <c r="C171">
        <v>202602</v>
      </c>
      <c r="D171">
        <v>4421</v>
      </c>
      <c r="E171">
        <v>2.3591248665955176</v>
      </c>
      <c r="F171">
        <v>1874</v>
      </c>
    </row>
    <row r="172" spans="1:6" x14ac:dyDescent="0.25">
      <c r="A172">
        <v>750</v>
      </c>
      <c r="B172" t="s">
        <v>49</v>
      </c>
      <c r="C172">
        <v>202602</v>
      </c>
      <c r="D172">
        <v>8309</v>
      </c>
      <c r="E172">
        <v>1.3516701072519077</v>
      </c>
      <c r="F172">
        <v>6147.21</v>
      </c>
    </row>
    <row r="173" spans="1:6" x14ac:dyDescent="0.25">
      <c r="A173">
        <v>682</v>
      </c>
      <c r="B173" t="s">
        <v>50</v>
      </c>
      <c r="C173">
        <v>202602</v>
      </c>
      <c r="D173">
        <v>7511</v>
      </c>
      <c r="E173">
        <v>6.8567933467833955</v>
      </c>
      <c r="F173">
        <v>1095.4100000000001</v>
      </c>
    </row>
    <row r="174" spans="1:6" x14ac:dyDescent="0.25">
      <c r="A174">
        <v>683</v>
      </c>
      <c r="B174" t="s">
        <v>50</v>
      </c>
      <c r="C174">
        <v>202602</v>
      </c>
      <c r="D174">
        <v>3410</v>
      </c>
      <c r="E174">
        <v>3.1129896568408175</v>
      </c>
      <c r="F174">
        <v>1095.4100000000001</v>
      </c>
    </row>
    <row r="175" spans="1:6" x14ac:dyDescent="0.25">
      <c r="A175">
        <v>684</v>
      </c>
      <c r="B175" t="s">
        <v>50</v>
      </c>
      <c r="C175">
        <v>202602</v>
      </c>
      <c r="D175">
        <v>54139</v>
      </c>
      <c r="E175">
        <v>12.881435780787891</v>
      </c>
      <c r="F175">
        <v>4202.87</v>
      </c>
    </row>
    <row r="176" spans="1:6" x14ac:dyDescent="0.25">
      <c r="A176">
        <v>686</v>
      </c>
      <c r="B176" t="s">
        <v>50</v>
      </c>
      <c r="C176">
        <v>202602</v>
      </c>
      <c r="D176">
        <v>11636</v>
      </c>
      <c r="E176">
        <v>1.8699038050517616</v>
      </c>
      <c r="F176">
        <v>6222.78</v>
      </c>
    </row>
    <row r="177" spans="1:6" x14ac:dyDescent="0.25">
      <c r="A177">
        <v>708</v>
      </c>
      <c r="B177" t="s">
        <v>50</v>
      </c>
      <c r="C177">
        <v>202602</v>
      </c>
      <c r="D177">
        <v>189203</v>
      </c>
      <c r="E177">
        <v>43.347163577962945</v>
      </c>
      <c r="F177">
        <v>4364.83</v>
      </c>
    </row>
    <row r="178" spans="1:6" x14ac:dyDescent="0.25">
      <c r="A178">
        <v>710</v>
      </c>
      <c r="B178" t="s">
        <v>50</v>
      </c>
      <c r="C178">
        <v>202602</v>
      </c>
      <c r="D178">
        <v>90824</v>
      </c>
      <c r="E178">
        <v>13.182959576166631</v>
      </c>
      <c r="F178">
        <v>6889.5</v>
      </c>
    </row>
    <row r="179" spans="1:6" x14ac:dyDescent="0.25">
      <c r="A179">
        <v>809</v>
      </c>
      <c r="B179" t="s">
        <v>50</v>
      </c>
      <c r="C179">
        <v>202602</v>
      </c>
      <c r="D179">
        <v>12511</v>
      </c>
      <c r="E179">
        <v>8.3462308205470315</v>
      </c>
      <c r="F179">
        <v>1499</v>
      </c>
    </row>
    <row r="180" spans="1:6" x14ac:dyDescent="0.25">
      <c r="A180">
        <v>810</v>
      </c>
      <c r="B180" t="s">
        <v>50</v>
      </c>
      <c r="C180">
        <v>202602</v>
      </c>
      <c r="D180">
        <v>3258</v>
      </c>
      <c r="E180">
        <v>1.7385272145144077</v>
      </c>
      <c r="F180">
        <v>1874</v>
      </c>
    </row>
    <row r="181" spans="1:6" x14ac:dyDescent="0.25">
      <c r="A181">
        <v>750</v>
      </c>
      <c r="B181" t="s">
        <v>50</v>
      </c>
      <c r="C181">
        <v>202602</v>
      </c>
      <c r="D181">
        <v>21972</v>
      </c>
      <c r="E181">
        <v>3.5743044405510793</v>
      </c>
      <c r="F181">
        <v>6147.21</v>
      </c>
    </row>
    <row r="182" spans="1:6" x14ac:dyDescent="0.25">
      <c r="A182">
        <v>682</v>
      </c>
      <c r="B182" t="s">
        <v>51</v>
      </c>
      <c r="C182">
        <v>202602</v>
      </c>
      <c r="D182">
        <v>2450</v>
      </c>
      <c r="E182">
        <v>2.2366054719237543</v>
      </c>
      <c r="F182">
        <v>1095.4100000000001</v>
      </c>
    </row>
    <row r="183" spans="1:6" x14ac:dyDescent="0.25">
      <c r="A183">
        <v>683</v>
      </c>
      <c r="B183" t="s">
        <v>51</v>
      </c>
      <c r="C183">
        <v>202602</v>
      </c>
      <c r="D183">
        <v>1522</v>
      </c>
      <c r="E183">
        <v>1.3894340931705935</v>
      </c>
      <c r="F183">
        <v>1095.4100000000001</v>
      </c>
    </row>
    <row r="184" spans="1:6" x14ac:dyDescent="0.25">
      <c r="A184">
        <v>684</v>
      </c>
      <c r="B184" t="s">
        <v>51</v>
      </c>
      <c r="C184">
        <v>202602</v>
      </c>
      <c r="D184">
        <v>33606</v>
      </c>
      <c r="E184">
        <v>7.9959646622427059</v>
      </c>
      <c r="F184">
        <v>4202.87</v>
      </c>
    </row>
    <row r="185" spans="1:6" x14ac:dyDescent="0.25">
      <c r="A185">
        <v>686</v>
      </c>
      <c r="B185" t="s">
        <v>51</v>
      </c>
      <c r="C185">
        <v>202602</v>
      </c>
      <c r="D185">
        <v>16210</v>
      </c>
      <c r="E185">
        <v>2.6049450567109877</v>
      </c>
      <c r="F185">
        <v>6222.78</v>
      </c>
    </row>
    <row r="186" spans="1:6" x14ac:dyDescent="0.25">
      <c r="A186">
        <v>708</v>
      </c>
      <c r="B186" t="s">
        <v>51</v>
      </c>
      <c r="C186">
        <v>202602</v>
      </c>
      <c r="D186">
        <v>166814</v>
      </c>
      <c r="E186">
        <v>38.217754185157268</v>
      </c>
      <c r="F186">
        <v>4364.83</v>
      </c>
    </row>
    <row r="187" spans="1:6" x14ac:dyDescent="0.25">
      <c r="A187">
        <v>710</v>
      </c>
      <c r="B187" t="s">
        <v>51</v>
      </c>
      <c r="C187">
        <v>202602</v>
      </c>
      <c r="D187">
        <v>101118</v>
      </c>
      <c r="E187">
        <v>14.677117352492925</v>
      </c>
      <c r="F187">
        <v>6889.5</v>
      </c>
    </row>
    <row r="188" spans="1:6" x14ac:dyDescent="0.25">
      <c r="A188">
        <v>809</v>
      </c>
      <c r="B188" t="s">
        <v>51</v>
      </c>
      <c r="C188">
        <v>202602</v>
      </c>
      <c r="D188">
        <v>24580</v>
      </c>
      <c r="E188">
        <v>16.397598398932622</v>
      </c>
      <c r="F188">
        <v>1499</v>
      </c>
    </row>
    <row r="189" spans="1:6" x14ac:dyDescent="0.25">
      <c r="A189">
        <v>810</v>
      </c>
      <c r="B189" t="s">
        <v>51</v>
      </c>
      <c r="C189">
        <v>202602</v>
      </c>
      <c r="D189">
        <v>5966</v>
      </c>
      <c r="E189">
        <v>3.1835645677694773</v>
      </c>
      <c r="F189">
        <v>1874</v>
      </c>
    </row>
    <row r="190" spans="1:6" x14ac:dyDescent="0.25">
      <c r="A190">
        <v>750</v>
      </c>
      <c r="B190" t="s">
        <v>51</v>
      </c>
      <c r="C190">
        <v>202602</v>
      </c>
      <c r="D190">
        <v>10633</v>
      </c>
      <c r="E190">
        <v>1.7297277952111609</v>
      </c>
      <c r="F190">
        <v>6147.21</v>
      </c>
    </row>
    <row r="191" spans="1:6" x14ac:dyDescent="0.25">
      <c r="A191">
        <v>682</v>
      </c>
      <c r="B191" t="s">
        <v>52</v>
      </c>
      <c r="C191">
        <v>202602</v>
      </c>
      <c r="D191">
        <v>2446</v>
      </c>
      <c r="E191">
        <v>2.2329538711532666</v>
      </c>
      <c r="F191">
        <v>1095.4100000000001</v>
      </c>
    </row>
    <row r="192" spans="1:6" x14ac:dyDescent="0.25">
      <c r="A192">
        <v>683</v>
      </c>
      <c r="B192" t="s">
        <v>52</v>
      </c>
      <c r="C192">
        <v>202602</v>
      </c>
      <c r="D192">
        <v>1865</v>
      </c>
      <c r="E192">
        <v>1.7025588592399192</v>
      </c>
      <c r="F192">
        <v>1095.4100000000001</v>
      </c>
    </row>
    <row r="193" spans="1:6" x14ac:dyDescent="0.25">
      <c r="A193">
        <v>684</v>
      </c>
      <c r="B193" t="s">
        <v>52</v>
      </c>
      <c r="C193">
        <v>202602</v>
      </c>
      <c r="D193">
        <v>40803</v>
      </c>
      <c r="E193">
        <v>9.7083659499342119</v>
      </c>
      <c r="F193">
        <v>4202.87</v>
      </c>
    </row>
    <row r="194" spans="1:6" x14ac:dyDescent="0.25">
      <c r="A194">
        <v>686</v>
      </c>
      <c r="B194" t="s">
        <v>52</v>
      </c>
      <c r="C194">
        <v>202602</v>
      </c>
      <c r="D194">
        <v>17411</v>
      </c>
      <c r="E194">
        <v>2.797945612732573</v>
      </c>
      <c r="F194">
        <v>6222.78</v>
      </c>
    </row>
    <row r="195" spans="1:6" x14ac:dyDescent="0.25">
      <c r="A195">
        <v>708</v>
      </c>
      <c r="B195" t="s">
        <v>52</v>
      </c>
      <c r="C195">
        <v>202602</v>
      </c>
      <c r="D195">
        <v>192832</v>
      </c>
      <c r="E195">
        <v>44.178581983719873</v>
      </c>
      <c r="F195">
        <v>4364.83</v>
      </c>
    </row>
    <row r="196" spans="1:6" x14ac:dyDescent="0.25">
      <c r="A196">
        <v>710</v>
      </c>
      <c r="B196" t="s">
        <v>52</v>
      </c>
      <c r="C196">
        <v>202602</v>
      </c>
      <c r="D196">
        <v>130474</v>
      </c>
      <c r="E196">
        <v>18.938094201320851</v>
      </c>
      <c r="F196">
        <v>6889.5</v>
      </c>
    </row>
    <row r="197" spans="1:6" x14ac:dyDescent="0.25">
      <c r="A197">
        <v>809</v>
      </c>
      <c r="B197" t="s">
        <v>52</v>
      </c>
      <c r="C197">
        <v>202602</v>
      </c>
      <c r="D197">
        <v>19510</v>
      </c>
      <c r="E197">
        <v>13.015343562374916</v>
      </c>
      <c r="F197">
        <v>1499</v>
      </c>
    </row>
    <row r="198" spans="1:6" x14ac:dyDescent="0.25">
      <c r="A198">
        <v>810</v>
      </c>
      <c r="B198" t="s">
        <v>52</v>
      </c>
      <c r="C198">
        <v>202602</v>
      </c>
      <c r="D198">
        <v>6412</v>
      </c>
      <c r="E198">
        <v>3.4215581643543223</v>
      </c>
      <c r="F198">
        <v>1874</v>
      </c>
    </row>
    <row r="199" spans="1:6" x14ac:dyDescent="0.25">
      <c r="A199">
        <v>750</v>
      </c>
      <c r="B199" t="s">
        <v>52</v>
      </c>
      <c r="C199">
        <v>202602</v>
      </c>
      <c r="D199">
        <v>12353</v>
      </c>
      <c r="E199">
        <v>2.0095295264030351</v>
      </c>
      <c r="F199">
        <v>6147.21</v>
      </c>
    </row>
    <row r="200" spans="1:6" x14ac:dyDescent="0.25">
      <c r="A200">
        <v>682</v>
      </c>
      <c r="B200" t="s">
        <v>53</v>
      </c>
      <c r="C200">
        <v>202602</v>
      </c>
      <c r="D200">
        <v>3010</v>
      </c>
      <c r="E200">
        <v>2.7478295797920413</v>
      </c>
      <c r="F200">
        <v>1095.4100000000001</v>
      </c>
    </row>
    <row r="201" spans="1:6" x14ac:dyDescent="0.25">
      <c r="A201">
        <v>683</v>
      </c>
      <c r="B201" t="s">
        <v>53</v>
      </c>
      <c r="C201">
        <v>202602</v>
      </c>
      <c r="D201">
        <v>1942</v>
      </c>
      <c r="E201">
        <v>1.7728521740718086</v>
      </c>
      <c r="F201">
        <v>1095.4100000000001</v>
      </c>
    </row>
    <row r="202" spans="1:6" x14ac:dyDescent="0.25">
      <c r="A202">
        <v>684</v>
      </c>
      <c r="B202" t="s">
        <v>53</v>
      </c>
      <c r="C202">
        <v>202602</v>
      </c>
      <c r="D202">
        <v>23093</v>
      </c>
      <c r="E202">
        <v>5.4945787045518895</v>
      </c>
      <c r="F202">
        <v>4202.87</v>
      </c>
    </row>
    <row r="203" spans="1:6" x14ac:dyDescent="0.25">
      <c r="A203">
        <v>686</v>
      </c>
      <c r="B203" t="s">
        <v>53</v>
      </c>
      <c r="C203">
        <v>202602</v>
      </c>
      <c r="D203">
        <v>18503</v>
      </c>
      <c r="E203">
        <v>2.9734298818213083</v>
      </c>
      <c r="F203">
        <v>6222.78</v>
      </c>
    </row>
    <row r="204" spans="1:6" x14ac:dyDescent="0.25">
      <c r="A204">
        <v>708</v>
      </c>
      <c r="B204" t="s">
        <v>53</v>
      </c>
      <c r="C204">
        <v>202602</v>
      </c>
      <c r="D204">
        <v>219078</v>
      </c>
      <c r="E204">
        <v>50.19164549363893</v>
      </c>
      <c r="F204">
        <v>4364.83</v>
      </c>
    </row>
    <row r="205" spans="1:6" x14ac:dyDescent="0.25">
      <c r="A205">
        <v>710</v>
      </c>
      <c r="B205" t="s">
        <v>53</v>
      </c>
      <c r="C205">
        <v>202602</v>
      </c>
      <c r="D205">
        <v>131287</v>
      </c>
      <c r="E205">
        <v>19.056099862109008</v>
      </c>
      <c r="F205">
        <v>6889.5</v>
      </c>
    </row>
    <row r="206" spans="1:6" x14ac:dyDescent="0.25">
      <c r="A206">
        <v>809</v>
      </c>
      <c r="B206" t="s">
        <v>53</v>
      </c>
      <c r="C206">
        <v>202602</v>
      </c>
      <c r="D206">
        <v>17023</v>
      </c>
      <c r="E206">
        <v>11.356237491661107</v>
      </c>
      <c r="F206">
        <v>1499</v>
      </c>
    </row>
    <row r="207" spans="1:6" x14ac:dyDescent="0.25">
      <c r="A207">
        <v>810</v>
      </c>
      <c r="B207" t="s">
        <v>53</v>
      </c>
      <c r="C207">
        <v>202602</v>
      </c>
      <c r="D207">
        <v>6995</v>
      </c>
      <c r="E207">
        <v>3.7326574172892211</v>
      </c>
      <c r="F207">
        <v>1874</v>
      </c>
    </row>
    <row r="208" spans="1:6" x14ac:dyDescent="0.25">
      <c r="A208">
        <v>750</v>
      </c>
      <c r="B208" t="s">
        <v>53</v>
      </c>
      <c r="C208">
        <v>202602</v>
      </c>
      <c r="D208">
        <v>11890</v>
      </c>
      <c r="E208">
        <v>1.9342108045763851</v>
      </c>
      <c r="F208">
        <v>6147.21</v>
      </c>
    </row>
    <row r="209" spans="1:6" x14ac:dyDescent="0.25">
      <c r="A209">
        <v>682</v>
      </c>
      <c r="B209" t="s">
        <v>54</v>
      </c>
      <c r="C209">
        <v>202602</v>
      </c>
      <c r="D209">
        <v>2438</v>
      </c>
      <c r="E209">
        <v>2.2256506696122913</v>
      </c>
      <c r="F209">
        <v>1095.4100000000001</v>
      </c>
    </row>
    <row r="210" spans="1:6" x14ac:dyDescent="0.25">
      <c r="A210">
        <v>683</v>
      </c>
      <c r="B210" t="s">
        <v>54</v>
      </c>
      <c r="C210">
        <v>202602</v>
      </c>
      <c r="D210">
        <v>1853</v>
      </c>
      <c r="E210">
        <v>1.6916040569284558</v>
      </c>
      <c r="F210">
        <v>1095.4100000000001</v>
      </c>
    </row>
    <row r="211" spans="1:6" x14ac:dyDescent="0.25">
      <c r="A211">
        <v>684</v>
      </c>
      <c r="B211" t="s">
        <v>54</v>
      </c>
      <c r="C211">
        <v>202602</v>
      </c>
      <c r="D211">
        <v>47151</v>
      </c>
      <c r="E211">
        <v>11.218762417110213</v>
      </c>
      <c r="F211">
        <v>4202.87</v>
      </c>
    </row>
    <row r="212" spans="1:6" x14ac:dyDescent="0.25">
      <c r="A212">
        <v>686</v>
      </c>
      <c r="B212" t="s">
        <v>54</v>
      </c>
      <c r="C212">
        <v>202602</v>
      </c>
      <c r="D212">
        <v>17768</v>
      </c>
      <c r="E212">
        <v>2.8553154699346597</v>
      </c>
      <c r="F212">
        <v>6222.78</v>
      </c>
    </row>
    <row r="213" spans="1:6" x14ac:dyDescent="0.25">
      <c r="A213">
        <v>708</v>
      </c>
      <c r="B213" t="s">
        <v>54</v>
      </c>
      <c r="C213">
        <v>202602</v>
      </c>
      <c r="D213">
        <v>195068</v>
      </c>
      <c r="E213">
        <v>44.690858521408622</v>
      </c>
      <c r="F213">
        <v>4364.83</v>
      </c>
    </row>
    <row r="214" spans="1:6" x14ac:dyDescent="0.25">
      <c r="A214">
        <v>710</v>
      </c>
      <c r="B214" t="s">
        <v>54</v>
      </c>
      <c r="C214">
        <v>202602</v>
      </c>
      <c r="D214">
        <v>122370</v>
      </c>
      <c r="E214">
        <v>17.761811452209884</v>
      </c>
      <c r="F214">
        <v>6889.5</v>
      </c>
    </row>
    <row r="215" spans="1:6" x14ac:dyDescent="0.25">
      <c r="A215">
        <v>809</v>
      </c>
      <c r="B215" t="s">
        <v>54</v>
      </c>
      <c r="C215">
        <v>202602</v>
      </c>
      <c r="D215">
        <v>19884</v>
      </c>
      <c r="E215">
        <v>13.264843228819213</v>
      </c>
      <c r="F215">
        <v>1499</v>
      </c>
    </row>
    <row r="216" spans="1:6" x14ac:dyDescent="0.25">
      <c r="A216">
        <v>810</v>
      </c>
      <c r="B216" t="s">
        <v>54</v>
      </c>
      <c r="C216">
        <v>202602</v>
      </c>
      <c r="D216">
        <v>6535</v>
      </c>
      <c r="E216">
        <v>3.4871931696905016</v>
      </c>
      <c r="F216">
        <v>1874</v>
      </c>
    </row>
    <row r="217" spans="1:6" x14ac:dyDescent="0.25">
      <c r="A217">
        <v>750</v>
      </c>
      <c r="B217" t="s">
        <v>54</v>
      </c>
      <c r="C217">
        <v>202602</v>
      </c>
      <c r="D217">
        <v>12554</v>
      </c>
      <c r="E217">
        <v>2.0422272868504572</v>
      </c>
      <c r="F217">
        <v>6147.21</v>
      </c>
    </row>
    <row r="218" spans="1:6" x14ac:dyDescent="0.25">
      <c r="A218">
        <v>682</v>
      </c>
      <c r="B218" t="s">
        <v>55</v>
      </c>
      <c r="C218">
        <v>202602</v>
      </c>
      <c r="D218">
        <v>4328</v>
      </c>
      <c r="E218">
        <v>3.9510320336677589</v>
      </c>
      <c r="F218">
        <v>1095.4100000000001</v>
      </c>
    </row>
    <row r="219" spans="1:6" x14ac:dyDescent="0.25">
      <c r="A219">
        <v>683</v>
      </c>
      <c r="B219" t="s">
        <v>55</v>
      </c>
      <c r="C219">
        <v>202602</v>
      </c>
      <c r="D219">
        <v>9271</v>
      </c>
      <c r="E219">
        <v>8.4634976857980107</v>
      </c>
      <c r="F219">
        <v>1095.4100000000001</v>
      </c>
    </row>
    <row r="220" spans="1:6" x14ac:dyDescent="0.25">
      <c r="A220">
        <v>684</v>
      </c>
      <c r="B220" t="s">
        <v>55</v>
      </c>
      <c r="C220">
        <v>202602</v>
      </c>
      <c r="D220">
        <v>71278</v>
      </c>
      <c r="E220">
        <v>16.959363482572623</v>
      </c>
      <c r="F220">
        <v>4202.87</v>
      </c>
    </row>
    <row r="221" spans="1:6" x14ac:dyDescent="0.25">
      <c r="A221">
        <v>686</v>
      </c>
      <c r="B221" t="s">
        <v>55</v>
      </c>
      <c r="C221">
        <v>202602</v>
      </c>
      <c r="D221">
        <v>25548</v>
      </c>
      <c r="E221">
        <v>4.1055605372518391</v>
      </c>
      <c r="F221">
        <v>6222.78</v>
      </c>
    </row>
    <row r="222" spans="1:6" x14ac:dyDescent="0.25">
      <c r="A222">
        <v>708</v>
      </c>
      <c r="B222" t="s">
        <v>55</v>
      </c>
      <c r="C222">
        <v>202602</v>
      </c>
      <c r="D222">
        <v>321341</v>
      </c>
      <c r="E222">
        <v>73.620507556995349</v>
      </c>
      <c r="F222">
        <v>4364.83</v>
      </c>
    </row>
    <row r="223" spans="1:6" x14ac:dyDescent="0.25">
      <c r="A223">
        <v>710</v>
      </c>
      <c r="B223" t="s">
        <v>55</v>
      </c>
      <c r="C223">
        <v>202602</v>
      </c>
      <c r="D223">
        <v>136292</v>
      </c>
      <c r="E223">
        <v>19.782567675448146</v>
      </c>
      <c r="F223">
        <v>6889.5</v>
      </c>
    </row>
    <row r="224" spans="1:6" x14ac:dyDescent="0.25">
      <c r="A224">
        <v>809</v>
      </c>
      <c r="B224" t="s">
        <v>55</v>
      </c>
      <c r="C224">
        <v>202602</v>
      </c>
      <c r="D224">
        <v>24670</v>
      </c>
      <c r="E224">
        <v>16.457638425617077</v>
      </c>
      <c r="F224">
        <v>1499</v>
      </c>
    </row>
    <row r="225" spans="1:6" x14ac:dyDescent="0.25">
      <c r="A225">
        <v>810</v>
      </c>
      <c r="B225" t="s">
        <v>55</v>
      </c>
      <c r="C225">
        <v>202602</v>
      </c>
      <c r="D225">
        <v>7318</v>
      </c>
      <c r="E225">
        <v>3.9050160085378867</v>
      </c>
      <c r="F225">
        <v>1874</v>
      </c>
    </row>
    <row r="226" spans="1:6" x14ac:dyDescent="0.25">
      <c r="A226">
        <v>750</v>
      </c>
      <c r="B226" t="s">
        <v>55</v>
      </c>
      <c r="C226">
        <v>202602</v>
      </c>
      <c r="D226">
        <v>31306</v>
      </c>
      <c r="E226">
        <v>5.0927168585423308</v>
      </c>
      <c r="F226">
        <v>6147.21</v>
      </c>
    </row>
    <row r="227" spans="1:6" x14ac:dyDescent="0.25">
      <c r="A227">
        <v>682</v>
      </c>
      <c r="B227" t="s">
        <v>56</v>
      </c>
      <c r="C227">
        <v>202602</v>
      </c>
      <c r="D227">
        <v>2461</v>
      </c>
      <c r="E227">
        <v>2.2466473740425958</v>
      </c>
      <c r="F227">
        <v>1095.4100000000001</v>
      </c>
    </row>
    <row r="228" spans="1:6" x14ac:dyDescent="0.25">
      <c r="A228">
        <v>683</v>
      </c>
      <c r="B228" t="s">
        <v>56</v>
      </c>
      <c r="C228">
        <v>202602</v>
      </c>
      <c r="D228">
        <v>8121</v>
      </c>
      <c r="E228">
        <v>7.4136624642827798</v>
      </c>
      <c r="F228">
        <v>1095.4100000000001</v>
      </c>
    </row>
    <row r="229" spans="1:6" x14ac:dyDescent="0.25">
      <c r="A229">
        <v>684</v>
      </c>
      <c r="B229" t="s">
        <v>56</v>
      </c>
      <c r="C229">
        <v>202602</v>
      </c>
      <c r="D229">
        <v>50131</v>
      </c>
      <c r="E229">
        <v>11.927801716446144</v>
      </c>
      <c r="F229">
        <v>4202.87</v>
      </c>
    </row>
    <row r="230" spans="1:6" x14ac:dyDescent="0.25">
      <c r="A230">
        <v>686</v>
      </c>
      <c r="B230" t="s">
        <v>56</v>
      </c>
      <c r="C230">
        <v>202602</v>
      </c>
      <c r="D230">
        <v>18673</v>
      </c>
      <c r="E230">
        <v>3.0007488614413496</v>
      </c>
      <c r="F230">
        <v>6222.78</v>
      </c>
    </row>
    <row r="231" spans="1:6" x14ac:dyDescent="0.25">
      <c r="A231">
        <v>708</v>
      </c>
      <c r="B231" t="s">
        <v>56</v>
      </c>
      <c r="C231">
        <v>202602</v>
      </c>
      <c r="D231">
        <v>298145</v>
      </c>
      <c r="E231">
        <v>68.306211238467483</v>
      </c>
      <c r="F231">
        <v>4364.83</v>
      </c>
    </row>
    <row r="232" spans="1:6" x14ac:dyDescent="0.25">
      <c r="A232">
        <v>710</v>
      </c>
      <c r="B232" t="s">
        <v>56</v>
      </c>
      <c r="C232">
        <v>202602</v>
      </c>
      <c r="D232">
        <v>139295</v>
      </c>
      <c r="E232">
        <v>20.218448363451628</v>
      </c>
      <c r="F232">
        <v>6889.5</v>
      </c>
    </row>
    <row r="233" spans="1:6" x14ac:dyDescent="0.25">
      <c r="A233">
        <v>809</v>
      </c>
      <c r="B233" t="s">
        <v>56</v>
      </c>
      <c r="C233">
        <v>202602</v>
      </c>
      <c r="D233">
        <v>19100</v>
      </c>
      <c r="E233">
        <v>12.741827885256837</v>
      </c>
      <c r="F233">
        <v>1499</v>
      </c>
    </row>
    <row r="234" spans="1:6" x14ac:dyDescent="0.25">
      <c r="A234">
        <v>810</v>
      </c>
      <c r="B234" t="s">
        <v>56</v>
      </c>
      <c r="C234">
        <v>202602</v>
      </c>
      <c r="D234">
        <v>6800</v>
      </c>
      <c r="E234">
        <v>3.6286019210245466</v>
      </c>
      <c r="F234">
        <v>1874</v>
      </c>
    </row>
    <row r="235" spans="1:6" x14ac:dyDescent="0.25">
      <c r="A235">
        <v>750</v>
      </c>
      <c r="B235" t="s">
        <v>56</v>
      </c>
      <c r="C235">
        <v>202602</v>
      </c>
      <c r="D235">
        <v>17255</v>
      </c>
      <c r="E235">
        <v>2.8069644602998758</v>
      </c>
      <c r="F235">
        <v>6147.21</v>
      </c>
    </row>
    <row r="236" spans="1:6" x14ac:dyDescent="0.25">
      <c r="A236">
        <v>682</v>
      </c>
      <c r="B236" t="s">
        <v>57</v>
      </c>
      <c r="C236">
        <v>202602</v>
      </c>
      <c r="D236">
        <v>7048</v>
      </c>
      <c r="E236">
        <v>6.4341205575994369</v>
      </c>
      <c r="F236">
        <v>1095.4100000000001</v>
      </c>
    </row>
    <row r="237" spans="1:6" x14ac:dyDescent="0.25">
      <c r="A237">
        <v>683</v>
      </c>
      <c r="B237" t="s">
        <v>57</v>
      </c>
      <c r="C237">
        <v>202602</v>
      </c>
      <c r="D237">
        <v>7183</v>
      </c>
      <c r="E237">
        <v>6.5573620836033992</v>
      </c>
      <c r="F237">
        <v>1095.4100000000001</v>
      </c>
    </row>
    <row r="238" spans="1:6" x14ac:dyDescent="0.25">
      <c r="A238">
        <v>684</v>
      </c>
      <c r="B238" t="s">
        <v>57</v>
      </c>
      <c r="C238">
        <v>202602</v>
      </c>
      <c r="D238">
        <v>61076</v>
      </c>
      <c r="E238">
        <v>14.531974579275591</v>
      </c>
      <c r="F238">
        <v>4202.87</v>
      </c>
    </row>
    <row r="239" spans="1:6" x14ac:dyDescent="0.25">
      <c r="A239">
        <v>686</v>
      </c>
      <c r="B239" t="s">
        <v>57</v>
      </c>
      <c r="C239">
        <v>202602</v>
      </c>
      <c r="D239">
        <v>62418</v>
      </c>
      <c r="E239">
        <v>10.030565117198423</v>
      </c>
      <c r="F239">
        <v>6222.78</v>
      </c>
    </row>
    <row r="240" spans="1:6" x14ac:dyDescent="0.25">
      <c r="A240">
        <v>708</v>
      </c>
      <c r="B240" t="s">
        <v>57</v>
      </c>
      <c r="C240">
        <v>202602</v>
      </c>
      <c r="D240">
        <v>331676</v>
      </c>
      <c r="E240">
        <v>75.988297367824174</v>
      </c>
      <c r="F240">
        <v>4364.83</v>
      </c>
    </row>
    <row r="241" spans="1:6" x14ac:dyDescent="0.25">
      <c r="A241">
        <v>710</v>
      </c>
      <c r="B241" t="s">
        <v>57</v>
      </c>
      <c r="C241">
        <v>202602</v>
      </c>
      <c r="D241">
        <v>287483</v>
      </c>
      <c r="E241">
        <v>41.727701574860298</v>
      </c>
      <c r="F241">
        <v>6889.5</v>
      </c>
    </row>
    <row r="242" spans="1:6" x14ac:dyDescent="0.25">
      <c r="A242">
        <v>809</v>
      </c>
      <c r="B242" t="s">
        <v>57</v>
      </c>
      <c r="C242">
        <v>202602</v>
      </c>
      <c r="D242">
        <v>54466</v>
      </c>
      <c r="E242">
        <v>36.334889926617748</v>
      </c>
      <c r="F242">
        <v>1499</v>
      </c>
    </row>
    <row r="243" spans="1:6" x14ac:dyDescent="0.25">
      <c r="A243">
        <v>810</v>
      </c>
      <c r="B243" t="s">
        <v>57</v>
      </c>
      <c r="C243">
        <v>202602</v>
      </c>
      <c r="D243">
        <v>11918</v>
      </c>
      <c r="E243">
        <v>6.3596584845250801</v>
      </c>
      <c r="F243">
        <v>1874</v>
      </c>
    </row>
    <row r="244" spans="1:6" x14ac:dyDescent="0.25">
      <c r="A244">
        <v>750</v>
      </c>
      <c r="B244" t="s">
        <v>57</v>
      </c>
      <c r="C244">
        <v>202602</v>
      </c>
      <c r="D244">
        <v>54149</v>
      </c>
      <c r="E244">
        <v>8.8087115943655743</v>
      </c>
      <c r="F244">
        <v>6147.21</v>
      </c>
    </row>
    <row r="245" spans="1:6" x14ac:dyDescent="0.25">
      <c r="A245">
        <v>682</v>
      </c>
      <c r="B245" t="s">
        <v>58</v>
      </c>
      <c r="C245">
        <v>202602</v>
      </c>
      <c r="D245">
        <v>5347</v>
      </c>
      <c r="E245">
        <v>4.8812773299495165</v>
      </c>
      <c r="F245">
        <v>1095.4100000000001</v>
      </c>
    </row>
    <row r="246" spans="1:6" x14ac:dyDescent="0.25">
      <c r="A246">
        <v>683</v>
      </c>
      <c r="B246" t="s">
        <v>58</v>
      </c>
      <c r="C246">
        <v>202602</v>
      </c>
      <c r="D246">
        <v>6304</v>
      </c>
      <c r="E246">
        <v>5.7549228142887134</v>
      </c>
      <c r="F246">
        <v>1095.4100000000001</v>
      </c>
    </row>
    <row r="247" spans="1:6" x14ac:dyDescent="0.25">
      <c r="A247">
        <v>684</v>
      </c>
      <c r="B247" t="s">
        <v>58</v>
      </c>
      <c r="C247">
        <v>202602</v>
      </c>
      <c r="D247">
        <v>40168</v>
      </c>
      <c r="E247">
        <v>9.5572787166864543</v>
      </c>
      <c r="F247">
        <v>4202.87</v>
      </c>
    </row>
    <row r="248" spans="1:6" x14ac:dyDescent="0.25">
      <c r="A248">
        <v>686</v>
      </c>
      <c r="B248" t="s">
        <v>58</v>
      </c>
      <c r="C248">
        <v>202602</v>
      </c>
      <c r="D248">
        <v>44740</v>
      </c>
      <c r="E248">
        <v>7.1897126364743738</v>
      </c>
      <c r="F248">
        <v>6222.78</v>
      </c>
    </row>
    <row r="249" spans="1:6" x14ac:dyDescent="0.25">
      <c r="A249">
        <v>708</v>
      </c>
      <c r="B249" t="s">
        <v>58</v>
      </c>
      <c r="C249">
        <v>202602</v>
      </c>
      <c r="D249">
        <v>205774</v>
      </c>
      <c r="E249">
        <v>47.143645915190284</v>
      </c>
      <c r="F249">
        <v>4364.83</v>
      </c>
    </row>
    <row r="250" spans="1:6" x14ac:dyDescent="0.25">
      <c r="A250">
        <v>710</v>
      </c>
      <c r="B250" t="s">
        <v>58</v>
      </c>
      <c r="C250">
        <v>202602</v>
      </c>
      <c r="D250">
        <v>198311</v>
      </c>
      <c r="E250">
        <v>28.78452717904057</v>
      </c>
      <c r="F250">
        <v>6889.5</v>
      </c>
    </row>
    <row r="251" spans="1:6" x14ac:dyDescent="0.25">
      <c r="A251">
        <v>809</v>
      </c>
      <c r="B251" t="s">
        <v>58</v>
      </c>
      <c r="C251">
        <v>202602</v>
      </c>
      <c r="D251">
        <v>35604</v>
      </c>
      <c r="E251">
        <v>23.751834556370913</v>
      </c>
      <c r="F251">
        <v>1499</v>
      </c>
    </row>
    <row r="252" spans="1:6" x14ac:dyDescent="0.25">
      <c r="A252">
        <v>810</v>
      </c>
      <c r="B252" t="s">
        <v>58</v>
      </c>
      <c r="C252">
        <v>202602</v>
      </c>
      <c r="D252">
        <v>8946</v>
      </c>
      <c r="E252">
        <v>4.7737459978655279</v>
      </c>
      <c r="F252">
        <v>1874</v>
      </c>
    </row>
    <row r="253" spans="1:6" x14ac:dyDescent="0.25">
      <c r="A253">
        <v>750</v>
      </c>
      <c r="B253" t="s">
        <v>58</v>
      </c>
      <c r="C253">
        <v>202602</v>
      </c>
      <c r="D253">
        <v>38141</v>
      </c>
      <c r="E253">
        <v>6.2046033891798071</v>
      </c>
      <c r="F253">
        <v>6147.21</v>
      </c>
    </row>
    <row r="254" spans="1:6" x14ac:dyDescent="0.25">
      <c r="A254">
        <v>682</v>
      </c>
      <c r="B254" t="s">
        <v>59</v>
      </c>
      <c r="C254">
        <v>202602</v>
      </c>
      <c r="D254">
        <v>6681</v>
      </c>
      <c r="E254">
        <v>6.0990861869071846</v>
      </c>
      <c r="F254">
        <v>1095.4100000000001</v>
      </c>
    </row>
    <row r="255" spans="1:6" x14ac:dyDescent="0.25">
      <c r="A255">
        <v>683</v>
      </c>
      <c r="B255" t="s">
        <v>59</v>
      </c>
      <c r="C255">
        <v>202602</v>
      </c>
      <c r="D255">
        <v>8444</v>
      </c>
      <c r="E255">
        <v>7.7085292264996665</v>
      </c>
      <c r="F255">
        <v>1095.4100000000001</v>
      </c>
    </row>
    <row r="256" spans="1:6" x14ac:dyDescent="0.25">
      <c r="A256">
        <v>684</v>
      </c>
      <c r="B256" t="s">
        <v>59</v>
      </c>
      <c r="C256">
        <v>202602</v>
      </c>
      <c r="D256">
        <v>80237</v>
      </c>
      <c r="E256">
        <v>19.091002100945307</v>
      </c>
      <c r="F256">
        <v>4202.87</v>
      </c>
    </row>
    <row r="257" spans="1:6" x14ac:dyDescent="0.25">
      <c r="A257">
        <v>686</v>
      </c>
      <c r="B257" t="s">
        <v>59</v>
      </c>
      <c r="C257">
        <v>202602</v>
      </c>
      <c r="D257">
        <v>71084</v>
      </c>
      <c r="E257">
        <v>11.423190278300053</v>
      </c>
      <c r="F257">
        <v>6222.78</v>
      </c>
    </row>
    <row r="258" spans="1:6" x14ac:dyDescent="0.25">
      <c r="A258">
        <v>708</v>
      </c>
      <c r="B258" t="s">
        <v>59</v>
      </c>
      <c r="C258">
        <v>202602</v>
      </c>
      <c r="D258">
        <v>393223</v>
      </c>
      <c r="E258">
        <v>90.088961082104007</v>
      </c>
      <c r="F258">
        <v>4364.83</v>
      </c>
    </row>
    <row r="259" spans="1:6" x14ac:dyDescent="0.25">
      <c r="A259">
        <v>710</v>
      </c>
      <c r="B259" t="s">
        <v>59</v>
      </c>
      <c r="C259">
        <v>202602</v>
      </c>
      <c r="D259">
        <v>369681</v>
      </c>
      <c r="E259">
        <v>53.658610929675596</v>
      </c>
      <c r="F259">
        <v>6889.5</v>
      </c>
    </row>
    <row r="260" spans="1:6" x14ac:dyDescent="0.25">
      <c r="A260">
        <v>809</v>
      </c>
      <c r="B260" t="s">
        <v>59</v>
      </c>
      <c r="C260">
        <v>202602</v>
      </c>
      <c r="D260">
        <v>26198</v>
      </c>
      <c r="E260">
        <v>17.476984656437626</v>
      </c>
      <c r="F260">
        <v>1499</v>
      </c>
    </row>
    <row r="261" spans="1:6" x14ac:dyDescent="0.25">
      <c r="A261">
        <v>810</v>
      </c>
      <c r="B261" t="s">
        <v>59</v>
      </c>
      <c r="C261">
        <v>202602</v>
      </c>
      <c r="D261">
        <v>7521</v>
      </c>
      <c r="E261">
        <v>4.0133404482390604</v>
      </c>
      <c r="F261">
        <v>1874</v>
      </c>
    </row>
    <row r="262" spans="1:6" x14ac:dyDescent="0.25">
      <c r="A262">
        <v>750</v>
      </c>
      <c r="B262" t="s">
        <v>59</v>
      </c>
      <c r="C262">
        <v>202602</v>
      </c>
      <c r="D262">
        <v>49216</v>
      </c>
      <c r="E262">
        <v>8.0062337222902755</v>
      </c>
      <c r="F262">
        <v>6147.21</v>
      </c>
    </row>
    <row r="263" spans="1:6" x14ac:dyDescent="0.25">
      <c r="A263">
        <v>682</v>
      </c>
      <c r="B263" t="s">
        <v>60</v>
      </c>
      <c r="C263">
        <v>202602</v>
      </c>
      <c r="D263">
        <v>4863</v>
      </c>
      <c r="E263">
        <v>4.439433636720497</v>
      </c>
      <c r="F263">
        <v>1095.4100000000001</v>
      </c>
    </row>
    <row r="264" spans="1:6" x14ac:dyDescent="0.25">
      <c r="A264">
        <v>683</v>
      </c>
      <c r="B264" t="s">
        <v>60</v>
      </c>
      <c r="C264">
        <v>202602</v>
      </c>
      <c r="D264">
        <v>7262</v>
      </c>
      <c r="E264">
        <v>6.6294811988205327</v>
      </c>
      <c r="F264">
        <v>1095.4100000000001</v>
      </c>
    </row>
    <row r="265" spans="1:6" x14ac:dyDescent="0.25">
      <c r="A265">
        <v>684</v>
      </c>
      <c r="B265" t="s">
        <v>60</v>
      </c>
      <c r="C265">
        <v>202602</v>
      </c>
      <c r="D265">
        <v>45046</v>
      </c>
      <c r="E265">
        <v>10.717914187210168</v>
      </c>
      <c r="F265">
        <v>4202.87</v>
      </c>
    </row>
    <row r="266" spans="1:6" x14ac:dyDescent="0.25">
      <c r="A266">
        <v>686</v>
      </c>
      <c r="B266" t="s">
        <v>60</v>
      </c>
      <c r="C266">
        <v>202602</v>
      </c>
      <c r="D266">
        <v>46340</v>
      </c>
      <c r="E266">
        <v>7.4468324446629968</v>
      </c>
      <c r="F266">
        <v>6222.78</v>
      </c>
    </row>
    <row r="267" spans="1:6" x14ac:dyDescent="0.25">
      <c r="A267">
        <v>708</v>
      </c>
      <c r="B267" t="s">
        <v>60</v>
      </c>
      <c r="C267">
        <v>202602</v>
      </c>
      <c r="D267">
        <v>262646</v>
      </c>
      <c r="E267">
        <v>60.173248442665582</v>
      </c>
      <c r="F267">
        <v>4364.83</v>
      </c>
    </row>
    <row r="268" spans="1:6" x14ac:dyDescent="0.25">
      <c r="A268">
        <v>710</v>
      </c>
      <c r="B268" t="s">
        <v>60</v>
      </c>
      <c r="C268">
        <v>202602</v>
      </c>
      <c r="D268">
        <v>217020</v>
      </c>
      <c r="E268">
        <v>31.500108861310689</v>
      </c>
      <c r="F268">
        <v>6889.5</v>
      </c>
    </row>
    <row r="269" spans="1:6" x14ac:dyDescent="0.25">
      <c r="A269">
        <v>809</v>
      </c>
      <c r="B269" t="s">
        <v>60</v>
      </c>
      <c r="C269">
        <v>202602</v>
      </c>
      <c r="D269">
        <v>43494</v>
      </c>
      <c r="E269">
        <v>29.015343562374916</v>
      </c>
      <c r="F269">
        <v>1499</v>
      </c>
    </row>
    <row r="270" spans="1:6" x14ac:dyDescent="0.25">
      <c r="A270">
        <v>810</v>
      </c>
      <c r="B270" t="s">
        <v>60</v>
      </c>
      <c r="C270">
        <v>202602</v>
      </c>
      <c r="D270">
        <v>12487</v>
      </c>
      <c r="E270">
        <v>6.6632870864461049</v>
      </c>
      <c r="F270">
        <v>1874</v>
      </c>
    </row>
    <row r="271" spans="1:6" x14ac:dyDescent="0.25">
      <c r="A271">
        <v>750</v>
      </c>
      <c r="B271" t="s">
        <v>60</v>
      </c>
      <c r="C271">
        <v>202602</v>
      </c>
      <c r="D271">
        <v>47155</v>
      </c>
      <c r="E271">
        <v>7.6709596711353605</v>
      </c>
      <c r="F271">
        <v>6147.21</v>
      </c>
    </row>
    <row r="272" spans="1:6" x14ac:dyDescent="0.25">
      <c r="A272">
        <v>682</v>
      </c>
      <c r="B272" t="s">
        <v>61</v>
      </c>
      <c r="C272">
        <v>202602</v>
      </c>
      <c r="D272">
        <v>3229</v>
      </c>
      <c r="E272">
        <v>2.9477547219762461</v>
      </c>
      <c r="F272">
        <v>1095.4100000000001</v>
      </c>
    </row>
    <row r="273" spans="1:6" x14ac:dyDescent="0.25">
      <c r="A273">
        <v>683</v>
      </c>
      <c r="B273" t="s">
        <v>61</v>
      </c>
      <c r="C273">
        <v>202602</v>
      </c>
      <c r="D273">
        <v>3245</v>
      </c>
      <c r="E273">
        <v>2.9623611250581972</v>
      </c>
      <c r="F273">
        <v>1095.4100000000001</v>
      </c>
    </row>
    <row r="274" spans="1:6" x14ac:dyDescent="0.25">
      <c r="A274">
        <v>684</v>
      </c>
      <c r="B274" t="s">
        <v>61</v>
      </c>
      <c r="C274">
        <v>202602</v>
      </c>
      <c r="D274">
        <v>47792</v>
      </c>
      <c r="E274">
        <v>11.371277246262673</v>
      </c>
      <c r="F274">
        <v>4202.87</v>
      </c>
    </row>
    <row r="275" spans="1:6" x14ac:dyDescent="0.25">
      <c r="A275">
        <v>686</v>
      </c>
      <c r="B275" t="s">
        <v>61</v>
      </c>
      <c r="C275">
        <v>202602</v>
      </c>
      <c r="D275">
        <v>15512</v>
      </c>
      <c r="E275">
        <v>2.492776540388701</v>
      </c>
      <c r="F275">
        <v>6222.78</v>
      </c>
    </row>
    <row r="276" spans="1:6" x14ac:dyDescent="0.25">
      <c r="A276">
        <v>708</v>
      </c>
      <c r="B276" t="s">
        <v>61</v>
      </c>
      <c r="C276">
        <v>202602</v>
      </c>
      <c r="D276">
        <v>250755</v>
      </c>
      <c r="E276">
        <v>57.448972812228654</v>
      </c>
      <c r="F276">
        <v>4364.83</v>
      </c>
    </row>
    <row r="277" spans="1:6" x14ac:dyDescent="0.25">
      <c r="A277">
        <v>710</v>
      </c>
      <c r="B277" t="s">
        <v>61</v>
      </c>
      <c r="C277">
        <v>202602</v>
      </c>
      <c r="D277">
        <v>115083</v>
      </c>
      <c r="E277">
        <v>16.704114957544089</v>
      </c>
      <c r="F277">
        <v>6889.5</v>
      </c>
    </row>
    <row r="278" spans="1:6" x14ac:dyDescent="0.25">
      <c r="A278">
        <v>809</v>
      </c>
      <c r="B278" t="s">
        <v>61</v>
      </c>
      <c r="C278">
        <v>202602</v>
      </c>
      <c r="D278">
        <v>17291</v>
      </c>
      <c r="E278">
        <v>11.535023348899266</v>
      </c>
      <c r="F278">
        <v>1499</v>
      </c>
    </row>
    <row r="279" spans="1:6" x14ac:dyDescent="0.25">
      <c r="A279">
        <v>810</v>
      </c>
      <c r="B279" t="s">
        <v>61</v>
      </c>
      <c r="C279">
        <v>202602</v>
      </c>
      <c r="D279">
        <v>5129</v>
      </c>
      <c r="E279">
        <v>2.7369263607257204</v>
      </c>
      <c r="F279">
        <v>1874</v>
      </c>
    </row>
    <row r="280" spans="1:6" x14ac:dyDescent="0.25">
      <c r="A280">
        <v>750</v>
      </c>
      <c r="B280" t="s">
        <v>61</v>
      </c>
      <c r="C280">
        <v>202602</v>
      </c>
      <c r="D280">
        <v>20243</v>
      </c>
      <c r="E280">
        <v>3.2930386305332013</v>
      </c>
      <c r="F280">
        <v>6147.21</v>
      </c>
    </row>
    <row r="281" spans="1:6" x14ac:dyDescent="0.25">
      <c r="A281">
        <v>682</v>
      </c>
      <c r="B281" t="s">
        <v>62</v>
      </c>
      <c r="C281">
        <v>202602</v>
      </c>
      <c r="D281">
        <v>7516</v>
      </c>
      <c r="E281">
        <v>6.8613578477465049</v>
      </c>
      <c r="F281">
        <v>1095.4100000000001</v>
      </c>
    </row>
    <row r="282" spans="1:6" x14ac:dyDescent="0.25">
      <c r="A282">
        <v>683</v>
      </c>
      <c r="B282" t="s">
        <v>62</v>
      </c>
      <c r="C282">
        <v>202602</v>
      </c>
      <c r="D282">
        <v>7705</v>
      </c>
      <c r="E282">
        <v>7.0338959841520525</v>
      </c>
      <c r="F282">
        <v>1095.4100000000001</v>
      </c>
    </row>
    <row r="283" spans="1:6" x14ac:dyDescent="0.25">
      <c r="A283">
        <v>684</v>
      </c>
      <c r="B283" t="s">
        <v>62</v>
      </c>
      <c r="C283">
        <v>202602</v>
      </c>
      <c r="D283">
        <v>55818</v>
      </c>
      <c r="E283">
        <v>13.280924701454007</v>
      </c>
      <c r="F283">
        <v>4202.87</v>
      </c>
    </row>
    <row r="284" spans="1:6" x14ac:dyDescent="0.25">
      <c r="A284">
        <v>686</v>
      </c>
      <c r="B284" t="s">
        <v>62</v>
      </c>
      <c r="C284">
        <v>202602</v>
      </c>
      <c r="D284">
        <v>19963</v>
      </c>
      <c r="E284">
        <v>3.2080517067934267</v>
      </c>
      <c r="F284">
        <v>6222.78</v>
      </c>
    </row>
    <row r="285" spans="1:6" x14ac:dyDescent="0.25">
      <c r="A285">
        <v>708</v>
      </c>
      <c r="B285" t="s">
        <v>62</v>
      </c>
      <c r="C285">
        <v>202602</v>
      </c>
      <c r="D285">
        <v>220524</v>
      </c>
      <c r="E285">
        <v>50.522929873557501</v>
      </c>
      <c r="F285">
        <v>4364.83</v>
      </c>
    </row>
    <row r="286" spans="1:6" x14ac:dyDescent="0.25">
      <c r="A286">
        <v>710</v>
      </c>
      <c r="B286" t="s">
        <v>62</v>
      </c>
      <c r="C286">
        <v>202602</v>
      </c>
      <c r="D286">
        <v>89605</v>
      </c>
      <c r="E286">
        <v>13.006023659191523</v>
      </c>
      <c r="F286">
        <v>6889.5</v>
      </c>
    </row>
    <row r="287" spans="1:6" x14ac:dyDescent="0.25">
      <c r="A287">
        <v>809</v>
      </c>
      <c r="B287" t="s">
        <v>62</v>
      </c>
      <c r="C287">
        <v>202602</v>
      </c>
      <c r="D287">
        <v>20019</v>
      </c>
      <c r="E287">
        <v>13.354903268845897</v>
      </c>
      <c r="F287">
        <v>1499</v>
      </c>
    </row>
    <row r="288" spans="1:6" x14ac:dyDescent="0.25">
      <c r="A288">
        <v>810</v>
      </c>
      <c r="B288" t="s">
        <v>62</v>
      </c>
      <c r="C288">
        <v>202602</v>
      </c>
      <c r="D288">
        <v>6197</v>
      </c>
      <c r="E288">
        <v>3.3068303094983991</v>
      </c>
      <c r="F288">
        <v>1874</v>
      </c>
    </row>
    <row r="289" spans="1:6" x14ac:dyDescent="0.25">
      <c r="A289">
        <v>750</v>
      </c>
      <c r="B289" t="s">
        <v>62</v>
      </c>
      <c r="C289">
        <v>202602</v>
      </c>
      <c r="D289">
        <v>26228</v>
      </c>
      <c r="E289">
        <v>4.2666510498258559</v>
      </c>
      <c r="F289">
        <v>6147.21</v>
      </c>
    </row>
    <row r="290" spans="1:6" x14ac:dyDescent="0.25">
      <c r="A290">
        <v>682</v>
      </c>
      <c r="B290" t="s">
        <v>63</v>
      </c>
      <c r="C290">
        <v>202602</v>
      </c>
      <c r="D290">
        <v>5650</v>
      </c>
      <c r="E290">
        <v>5.1578860883139646</v>
      </c>
      <c r="F290">
        <v>1095.4100000000001</v>
      </c>
    </row>
    <row r="291" spans="1:6" x14ac:dyDescent="0.25">
      <c r="A291">
        <v>683</v>
      </c>
      <c r="B291" t="s">
        <v>63</v>
      </c>
      <c r="C291">
        <v>202602</v>
      </c>
      <c r="D291">
        <v>9338</v>
      </c>
      <c r="E291">
        <v>8.5246619987036816</v>
      </c>
      <c r="F291">
        <v>1095.4100000000001</v>
      </c>
    </row>
    <row r="292" spans="1:6" x14ac:dyDescent="0.25">
      <c r="A292">
        <v>684</v>
      </c>
      <c r="B292" t="s">
        <v>63</v>
      </c>
      <c r="C292">
        <v>202602</v>
      </c>
      <c r="D292">
        <v>66881</v>
      </c>
      <c r="E292">
        <v>15.913173617075952</v>
      </c>
      <c r="F292">
        <v>4202.87</v>
      </c>
    </row>
    <row r="293" spans="1:6" x14ac:dyDescent="0.25">
      <c r="A293">
        <v>686</v>
      </c>
      <c r="B293" t="s">
        <v>63</v>
      </c>
      <c r="C293">
        <v>202602</v>
      </c>
      <c r="D293">
        <v>34779</v>
      </c>
      <c r="E293">
        <v>5.588981130620077</v>
      </c>
      <c r="F293">
        <v>6222.78</v>
      </c>
    </row>
    <row r="294" spans="1:6" x14ac:dyDescent="0.25">
      <c r="A294">
        <v>708</v>
      </c>
      <c r="B294" t="s">
        <v>63</v>
      </c>
      <c r="C294">
        <v>202602</v>
      </c>
      <c r="D294">
        <v>349042</v>
      </c>
      <c r="E294">
        <v>79.96691738280758</v>
      </c>
      <c r="F294">
        <v>4364.83</v>
      </c>
    </row>
    <row r="295" spans="1:6" x14ac:dyDescent="0.25">
      <c r="A295">
        <v>710</v>
      </c>
      <c r="B295" t="s">
        <v>63</v>
      </c>
      <c r="C295">
        <v>202602</v>
      </c>
      <c r="D295">
        <v>297065</v>
      </c>
      <c r="E295">
        <v>43.118513680238046</v>
      </c>
      <c r="F295">
        <v>6889.5</v>
      </c>
    </row>
    <row r="296" spans="1:6" x14ac:dyDescent="0.25">
      <c r="A296">
        <v>809</v>
      </c>
      <c r="B296" t="s">
        <v>63</v>
      </c>
      <c r="C296">
        <v>202602</v>
      </c>
      <c r="D296">
        <v>51648</v>
      </c>
      <c r="E296">
        <v>34.454969979986657</v>
      </c>
      <c r="F296">
        <v>1499</v>
      </c>
    </row>
    <row r="297" spans="1:6" x14ac:dyDescent="0.25">
      <c r="A297">
        <v>810</v>
      </c>
      <c r="B297" t="s">
        <v>63</v>
      </c>
      <c r="C297">
        <v>202602</v>
      </c>
      <c r="D297">
        <v>10215</v>
      </c>
      <c r="E297">
        <v>5.4509071504802558</v>
      </c>
      <c r="F297">
        <v>1874</v>
      </c>
    </row>
    <row r="298" spans="1:6" x14ac:dyDescent="0.25">
      <c r="A298">
        <v>750</v>
      </c>
      <c r="B298" t="s">
        <v>63</v>
      </c>
      <c r="C298">
        <v>202602</v>
      </c>
      <c r="D298">
        <v>92228</v>
      </c>
      <c r="E298">
        <v>15.003229107188464</v>
      </c>
      <c r="F298">
        <v>6147.21</v>
      </c>
    </row>
    <row r="299" spans="1:6" x14ac:dyDescent="0.25">
      <c r="A299">
        <v>682</v>
      </c>
      <c r="B299" t="s">
        <v>64</v>
      </c>
      <c r="C299">
        <v>202602</v>
      </c>
      <c r="D299">
        <v>4692</v>
      </c>
      <c r="E299">
        <v>4.2833277037821453</v>
      </c>
      <c r="F299">
        <v>1095.4100000000001</v>
      </c>
    </row>
    <row r="300" spans="1:6" x14ac:dyDescent="0.25">
      <c r="A300">
        <v>683</v>
      </c>
      <c r="B300" t="s">
        <v>64</v>
      </c>
      <c r="C300">
        <v>202602</v>
      </c>
      <c r="D300">
        <v>8948</v>
      </c>
      <c r="E300">
        <v>8.1686309235811247</v>
      </c>
      <c r="F300">
        <v>1095.4100000000001</v>
      </c>
    </row>
    <row r="301" spans="1:6" x14ac:dyDescent="0.25">
      <c r="A301">
        <v>684</v>
      </c>
      <c r="B301" t="s">
        <v>64</v>
      </c>
      <c r="C301">
        <v>202602</v>
      </c>
      <c r="D301">
        <v>78007</v>
      </c>
      <c r="E301">
        <v>18.560412289697279</v>
      </c>
      <c r="F301">
        <v>4202.87</v>
      </c>
    </row>
    <row r="302" spans="1:6" x14ac:dyDescent="0.25">
      <c r="A302">
        <v>686</v>
      </c>
      <c r="B302" t="s">
        <v>64</v>
      </c>
      <c r="C302">
        <v>202602</v>
      </c>
      <c r="D302">
        <v>55335</v>
      </c>
      <c r="E302">
        <v>8.8923278663234129</v>
      </c>
      <c r="F302">
        <v>6222.78</v>
      </c>
    </row>
    <row r="303" spans="1:6" x14ac:dyDescent="0.25">
      <c r="A303">
        <v>708</v>
      </c>
      <c r="B303" t="s">
        <v>64</v>
      </c>
      <c r="C303">
        <v>202602</v>
      </c>
      <c r="D303">
        <v>315426</v>
      </c>
      <c r="E303">
        <v>72.265357413690793</v>
      </c>
      <c r="F303">
        <v>4364.83</v>
      </c>
    </row>
    <row r="304" spans="1:6" x14ac:dyDescent="0.25">
      <c r="A304">
        <v>710</v>
      </c>
      <c r="B304" t="s">
        <v>64</v>
      </c>
      <c r="C304">
        <v>202602</v>
      </c>
      <c r="D304">
        <v>257844</v>
      </c>
      <c r="E304">
        <v>37.425647724798608</v>
      </c>
      <c r="F304">
        <v>6889.5</v>
      </c>
    </row>
    <row r="305" spans="1:6" x14ac:dyDescent="0.25">
      <c r="A305">
        <v>809</v>
      </c>
      <c r="B305" t="s">
        <v>64</v>
      </c>
      <c r="C305">
        <v>202602</v>
      </c>
      <c r="D305">
        <v>27425</v>
      </c>
      <c r="E305">
        <v>18.295530353569045</v>
      </c>
      <c r="F305">
        <v>1499</v>
      </c>
    </row>
    <row r="306" spans="1:6" x14ac:dyDescent="0.25">
      <c r="A306">
        <v>810</v>
      </c>
      <c r="B306" t="s">
        <v>64</v>
      </c>
      <c r="C306">
        <v>202602</v>
      </c>
      <c r="D306">
        <v>7232</v>
      </c>
      <c r="E306">
        <v>3.8591248665955176</v>
      </c>
      <c r="F306">
        <v>1874</v>
      </c>
    </row>
    <row r="307" spans="1:6" x14ac:dyDescent="0.25">
      <c r="A307">
        <v>750</v>
      </c>
      <c r="B307" t="s">
        <v>64</v>
      </c>
      <c r="C307">
        <v>202602</v>
      </c>
      <c r="D307">
        <v>59428</v>
      </c>
      <c r="E307">
        <v>9.6674751635294704</v>
      </c>
      <c r="F307">
        <v>6147.21</v>
      </c>
    </row>
    <row r="308" spans="1:6" x14ac:dyDescent="0.25">
      <c r="A308">
        <v>682</v>
      </c>
      <c r="B308" t="s">
        <v>65</v>
      </c>
      <c r="C308">
        <v>202602</v>
      </c>
      <c r="D308">
        <v>10202</v>
      </c>
      <c r="E308">
        <v>9.3134077651290372</v>
      </c>
      <c r="F308">
        <v>1095.4100000000001</v>
      </c>
    </row>
    <row r="309" spans="1:6" x14ac:dyDescent="0.25">
      <c r="A309">
        <v>683</v>
      </c>
      <c r="B309" t="s">
        <v>65</v>
      </c>
      <c r="C309">
        <v>202602</v>
      </c>
      <c r="D309">
        <v>14891</v>
      </c>
      <c r="E309">
        <v>13.593996768333318</v>
      </c>
      <c r="F309">
        <v>1095.4100000000001</v>
      </c>
    </row>
    <row r="310" spans="1:6" x14ac:dyDescent="0.25">
      <c r="A310">
        <v>684</v>
      </c>
      <c r="B310" t="s">
        <v>65</v>
      </c>
      <c r="C310">
        <v>202602</v>
      </c>
      <c r="D310">
        <v>108868</v>
      </c>
      <c r="E310">
        <v>25.903251825538263</v>
      </c>
      <c r="F310">
        <v>4202.87</v>
      </c>
    </row>
    <row r="311" spans="1:6" x14ac:dyDescent="0.25">
      <c r="A311">
        <v>686</v>
      </c>
      <c r="B311" t="s">
        <v>65</v>
      </c>
      <c r="C311">
        <v>202602</v>
      </c>
      <c r="D311">
        <v>53338</v>
      </c>
      <c r="E311">
        <v>8.5714102057279877</v>
      </c>
      <c r="F311">
        <v>6222.78</v>
      </c>
    </row>
    <row r="312" spans="1:6" x14ac:dyDescent="0.25">
      <c r="A312">
        <v>708</v>
      </c>
      <c r="B312" t="s">
        <v>65</v>
      </c>
      <c r="C312">
        <v>202602</v>
      </c>
      <c r="D312">
        <v>497677</v>
      </c>
      <c r="E312">
        <v>114.01979000327619</v>
      </c>
      <c r="F312">
        <v>4364.83</v>
      </c>
    </row>
    <row r="313" spans="1:6" x14ac:dyDescent="0.25">
      <c r="A313">
        <v>710</v>
      </c>
      <c r="B313" t="s">
        <v>65</v>
      </c>
      <c r="C313">
        <v>202602</v>
      </c>
      <c r="D313">
        <v>354487</v>
      </c>
      <c r="E313">
        <v>51.453225923506785</v>
      </c>
      <c r="F313">
        <v>6889.5</v>
      </c>
    </row>
    <row r="314" spans="1:6" x14ac:dyDescent="0.25">
      <c r="A314">
        <v>809</v>
      </c>
      <c r="B314" t="s">
        <v>65</v>
      </c>
      <c r="C314">
        <v>202602</v>
      </c>
      <c r="D314">
        <v>65683</v>
      </c>
      <c r="E314">
        <v>43.817878585723818</v>
      </c>
      <c r="F314">
        <v>1499</v>
      </c>
    </row>
    <row r="315" spans="1:6" x14ac:dyDescent="0.25">
      <c r="A315">
        <v>810</v>
      </c>
      <c r="B315" t="s">
        <v>65</v>
      </c>
      <c r="C315">
        <v>202602</v>
      </c>
      <c r="D315">
        <v>13361</v>
      </c>
      <c r="E315">
        <v>7.1296691568836712</v>
      </c>
      <c r="F315">
        <v>1874</v>
      </c>
    </row>
    <row r="316" spans="1:6" x14ac:dyDescent="0.25">
      <c r="A316">
        <v>750</v>
      </c>
      <c r="B316" t="s">
        <v>65</v>
      </c>
      <c r="C316">
        <v>202602</v>
      </c>
      <c r="D316">
        <v>95087</v>
      </c>
      <c r="E316">
        <v>15.4683181475824</v>
      </c>
      <c r="F316">
        <v>6147.21</v>
      </c>
    </row>
    <row r="317" spans="1:6" x14ac:dyDescent="0.25">
      <c r="A317">
        <v>682</v>
      </c>
      <c r="B317" t="s">
        <v>66</v>
      </c>
      <c r="C317">
        <v>202602</v>
      </c>
      <c r="D317">
        <v>4168</v>
      </c>
      <c r="E317">
        <v>3.8049680028482484</v>
      </c>
      <c r="F317">
        <v>1095.4100000000001</v>
      </c>
    </row>
    <row r="318" spans="1:6" x14ac:dyDescent="0.25">
      <c r="A318">
        <v>683</v>
      </c>
      <c r="B318" t="s">
        <v>66</v>
      </c>
      <c r="C318">
        <v>202602</v>
      </c>
      <c r="D318">
        <v>12379</v>
      </c>
      <c r="E318">
        <v>11.300791484467002</v>
      </c>
      <c r="F318">
        <v>1095.4100000000001</v>
      </c>
    </row>
    <row r="319" spans="1:6" x14ac:dyDescent="0.25">
      <c r="A319">
        <v>684</v>
      </c>
      <c r="B319" t="s">
        <v>66</v>
      </c>
      <c r="C319">
        <v>202602</v>
      </c>
      <c r="D319">
        <v>67177</v>
      </c>
      <c r="E319">
        <v>15.983601681707976</v>
      </c>
      <c r="F319">
        <v>4202.87</v>
      </c>
    </row>
    <row r="320" spans="1:6" x14ac:dyDescent="0.25">
      <c r="A320">
        <v>686</v>
      </c>
      <c r="B320" t="s">
        <v>66</v>
      </c>
      <c r="C320">
        <v>202602</v>
      </c>
      <c r="D320">
        <v>39292</v>
      </c>
      <c r="E320">
        <v>6.3142196895921119</v>
      </c>
      <c r="F320">
        <v>6222.78</v>
      </c>
    </row>
    <row r="321" spans="1:6" x14ac:dyDescent="0.25">
      <c r="A321">
        <v>708</v>
      </c>
      <c r="B321" t="s">
        <v>66</v>
      </c>
      <c r="C321">
        <v>202602</v>
      </c>
      <c r="D321">
        <v>359891</v>
      </c>
      <c r="E321">
        <v>82.452466648185606</v>
      </c>
      <c r="F321">
        <v>4364.83</v>
      </c>
    </row>
    <row r="322" spans="1:6" x14ac:dyDescent="0.25">
      <c r="A322">
        <v>710</v>
      </c>
      <c r="B322" t="s">
        <v>66</v>
      </c>
      <c r="C322">
        <v>202602</v>
      </c>
      <c r="D322">
        <v>226163</v>
      </c>
      <c r="E322">
        <v>32.827200812831123</v>
      </c>
      <c r="F322">
        <v>6889.5</v>
      </c>
    </row>
    <row r="323" spans="1:6" x14ac:dyDescent="0.25">
      <c r="A323">
        <v>809</v>
      </c>
      <c r="B323" t="s">
        <v>66</v>
      </c>
      <c r="C323">
        <v>202602</v>
      </c>
      <c r="D323">
        <v>40060</v>
      </c>
      <c r="E323">
        <v>26.724482988659105</v>
      </c>
      <c r="F323">
        <v>1499</v>
      </c>
    </row>
    <row r="324" spans="1:6" x14ac:dyDescent="0.25">
      <c r="A324">
        <v>810</v>
      </c>
      <c r="B324" t="s">
        <v>66</v>
      </c>
      <c r="C324">
        <v>202602</v>
      </c>
      <c r="D324">
        <v>9950</v>
      </c>
      <c r="E324">
        <v>5.3094983991462117</v>
      </c>
      <c r="F324">
        <v>1874</v>
      </c>
    </row>
    <row r="325" spans="1:6" x14ac:dyDescent="0.25">
      <c r="A325">
        <v>750</v>
      </c>
      <c r="B325" t="s">
        <v>66</v>
      </c>
      <c r="C325">
        <v>202602</v>
      </c>
      <c r="D325">
        <v>53710</v>
      </c>
      <c r="E325">
        <v>8.7372970827416019</v>
      </c>
      <c r="F325">
        <v>6147.21</v>
      </c>
    </row>
    <row r="326" spans="1:6" x14ac:dyDescent="0.25">
      <c r="A326">
        <v>682</v>
      </c>
      <c r="B326" t="s">
        <v>67</v>
      </c>
      <c r="C326">
        <v>202602</v>
      </c>
      <c r="D326">
        <v>5589</v>
      </c>
      <c r="E326">
        <v>5.1021991765640262</v>
      </c>
      <c r="F326">
        <v>1095.4100000000001</v>
      </c>
    </row>
    <row r="327" spans="1:6" x14ac:dyDescent="0.25">
      <c r="A327">
        <v>683</v>
      </c>
      <c r="B327" t="s">
        <v>67</v>
      </c>
      <c r="C327">
        <v>202602</v>
      </c>
      <c r="D327">
        <v>4354</v>
      </c>
      <c r="E327">
        <v>3.9747674386759293</v>
      </c>
      <c r="F327">
        <v>1095.4100000000001</v>
      </c>
    </row>
    <row r="328" spans="1:6" x14ac:dyDescent="0.25">
      <c r="A328">
        <v>684</v>
      </c>
      <c r="B328" t="s">
        <v>67</v>
      </c>
      <c r="C328">
        <v>202602</v>
      </c>
      <c r="D328">
        <v>51184</v>
      </c>
      <c r="E328">
        <v>12.178344797721557</v>
      </c>
      <c r="F328">
        <v>4202.87</v>
      </c>
    </row>
    <row r="329" spans="1:6" x14ac:dyDescent="0.25">
      <c r="A329">
        <v>686</v>
      </c>
      <c r="B329" t="s">
        <v>67</v>
      </c>
      <c r="C329">
        <v>202602</v>
      </c>
      <c r="D329">
        <v>11469</v>
      </c>
      <c r="E329">
        <v>1.8430669250720739</v>
      </c>
      <c r="F329">
        <v>6222.78</v>
      </c>
    </row>
    <row r="330" spans="1:6" x14ac:dyDescent="0.25">
      <c r="A330">
        <v>708</v>
      </c>
      <c r="B330" t="s">
        <v>67</v>
      </c>
      <c r="C330">
        <v>202602</v>
      </c>
      <c r="D330">
        <v>262832</v>
      </c>
      <c r="E330">
        <v>60.215861786140586</v>
      </c>
      <c r="F330">
        <v>4364.83</v>
      </c>
    </row>
    <row r="331" spans="1:6" x14ac:dyDescent="0.25">
      <c r="A331">
        <v>710</v>
      </c>
      <c r="B331" t="s">
        <v>67</v>
      </c>
      <c r="C331">
        <v>202602</v>
      </c>
      <c r="D331">
        <v>100526</v>
      </c>
      <c r="E331">
        <v>14.591189491254807</v>
      </c>
      <c r="F331">
        <v>6889.5</v>
      </c>
    </row>
    <row r="332" spans="1:6" x14ac:dyDescent="0.25">
      <c r="A332">
        <v>809</v>
      </c>
      <c r="B332" t="s">
        <v>67</v>
      </c>
      <c r="C332">
        <v>202602</v>
      </c>
      <c r="D332">
        <v>21245</v>
      </c>
      <c r="E332">
        <v>14.172781854569713</v>
      </c>
      <c r="F332">
        <v>1499</v>
      </c>
    </row>
    <row r="333" spans="1:6" x14ac:dyDescent="0.25">
      <c r="A333">
        <v>810</v>
      </c>
      <c r="B333" t="s">
        <v>67</v>
      </c>
      <c r="C333">
        <v>202602</v>
      </c>
      <c r="D333">
        <v>4448</v>
      </c>
      <c r="E333">
        <v>2.3735325506937035</v>
      </c>
      <c r="F333">
        <v>1874</v>
      </c>
    </row>
    <row r="334" spans="1:6" x14ac:dyDescent="0.25">
      <c r="A334">
        <v>750</v>
      </c>
      <c r="B334" t="s">
        <v>67</v>
      </c>
      <c r="C334">
        <v>202602</v>
      </c>
      <c r="D334">
        <v>19850</v>
      </c>
      <c r="E334">
        <v>3.2291071884643601</v>
      </c>
      <c r="F334">
        <v>6147.21</v>
      </c>
    </row>
    <row r="335" spans="1:6" x14ac:dyDescent="0.25">
      <c r="A335">
        <v>682</v>
      </c>
      <c r="B335" t="s">
        <v>68</v>
      </c>
      <c r="C335">
        <v>202602</v>
      </c>
      <c r="D335">
        <v>3551</v>
      </c>
      <c r="E335">
        <v>3.2417085840005111</v>
      </c>
      <c r="F335">
        <v>1095.4100000000001</v>
      </c>
    </row>
    <row r="336" spans="1:6" x14ac:dyDescent="0.25">
      <c r="A336">
        <v>683</v>
      </c>
      <c r="B336" t="s">
        <v>68</v>
      </c>
      <c r="C336">
        <v>202602</v>
      </c>
      <c r="D336">
        <v>1317</v>
      </c>
      <c r="E336">
        <v>1.2022895536830958</v>
      </c>
      <c r="F336">
        <v>1095.4100000000001</v>
      </c>
    </row>
    <row r="337" spans="1:6" x14ac:dyDescent="0.25">
      <c r="A337">
        <v>684</v>
      </c>
      <c r="B337" t="s">
        <v>68</v>
      </c>
      <c r="C337">
        <v>202602</v>
      </c>
      <c r="D337">
        <v>25121</v>
      </c>
      <c r="E337">
        <v>5.9771061203415758</v>
      </c>
      <c r="F337">
        <v>4202.87</v>
      </c>
    </row>
    <row r="338" spans="1:6" x14ac:dyDescent="0.25">
      <c r="A338">
        <v>686</v>
      </c>
      <c r="B338" t="s">
        <v>68</v>
      </c>
      <c r="C338">
        <v>202602</v>
      </c>
      <c r="D338">
        <v>10584</v>
      </c>
      <c r="E338">
        <v>1.7008475311677418</v>
      </c>
      <c r="F338">
        <v>6222.78</v>
      </c>
    </row>
    <row r="339" spans="1:6" x14ac:dyDescent="0.25">
      <c r="A339">
        <v>708</v>
      </c>
      <c r="B339" t="s">
        <v>68</v>
      </c>
      <c r="C339">
        <v>202602</v>
      </c>
      <c r="D339">
        <v>176542</v>
      </c>
      <c r="E339">
        <v>40.446477869699393</v>
      </c>
      <c r="F339">
        <v>4364.83</v>
      </c>
    </row>
    <row r="340" spans="1:6" x14ac:dyDescent="0.25">
      <c r="A340">
        <v>710</v>
      </c>
      <c r="B340" t="s">
        <v>68</v>
      </c>
      <c r="C340">
        <v>202602</v>
      </c>
      <c r="D340">
        <v>75638</v>
      </c>
      <c r="E340">
        <v>10.978735757311851</v>
      </c>
      <c r="F340">
        <v>6889.5</v>
      </c>
    </row>
    <row r="341" spans="1:6" x14ac:dyDescent="0.25">
      <c r="A341">
        <v>809</v>
      </c>
      <c r="B341" t="s">
        <v>68</v>
      </c>
      <c r="C341">
        <v>202602</v>
      </c>
      <c r="D341">
        <v>5687</v>
      </c>
      <c r="E341">
        <v>3.7938625750500332</v>
      </c>
      <c r="F341">
        <v>1499</v>
      </c>
    </row>
    <row r="342" spans="1:6" x14ac:dyDescent="0.25">
      <c r="A342">
        <v>810</v>
      </c>
      <c r="B342" t="s">
        <v>68</v>
      </c>
      <c r="C342">
        <v>202602</v>
      </c>
      <c r="D342">
        <v>1840</v>
      </c>
      <c r="E342">
        <v>0.98185699039487728</v>
      </c>
      <c r="F342">
        <v>1874</v>
      </c>
    </row>
    <row r="343" spans="1:6" x14ac:dyDescent="0.25">
      <c r="A343">
        <v>750</v>
      </c>
      <c r="B343" t="s">
        <v>68</v>
      </c>
      <c r="C343">
        <v>202602</v>
      </c>
      <c r="D343">
        <v>12157</v>
      </c>
      <c r="E343">
        <v>1.9776451430811701</v>
      </c>
      <c r="F343">
        <v>6147.21</v>
      </c>
    </row>
    <row r="344" spans="1:6" x14ac:dyDescent="0.25">
      <c r="A344">
        <v>682</v>
      </c>
      <c r="B344" t="s">
        <v>69</v>
      </c>
      <c r="C344">
        <v>202602</v>
      </c>
      <c r="D344">
        <v>4432</v>
      </c>
      <c r="E344">
        <v>4.0459736537004405</v>
      </c>
      <c r="F344">
        <v>1095.4100000000001</v>
      </c>
    </row>
    <row r="345" spans="1:6" x14ac:dyDescent="0.25">
      <c r="A345">
        <v>683</v>
      </c>
      <c r="B345" t="s">
        <v>69</v>
      </c>
      <c r="C345">
        <v>202602</v>
      </c>
      <c r="D345">
        <v>5188</v>
      </c>
      <c r="E345">
        <v>4.7361261993226274</v>
      </c>
      <c r="F345">
        <v>1095.4100000000001</v>
      </c>
    </row>
    <row r="346" spans="1:6" x14ac:dyDescent="0.25">
      <c r="A346">
        <v>684</v>
      </c>
      <c r="B346" t="s">
        <v>69</v>
      </c>
      <c r="C346">
        <v>202602</v>
      </c>
      <c r="D346">
        <v>58215</v>
      </c>
      <c r="E346">
        <v>13.851249265382942</v>
      </c>
      <c r="F346">
        <v>4202.87</v>
      </c>
    </row>
    <row r="347" spans="1:6" x14ac:dyDescent="0.25">
      <c r="A347">
        <v>686</v>
      </c>
      <c r="B347" t="s">
        <v>69</v>
      </c>
      <c r="C347">
        <v>202602</v>
      </c>
      <c r="D347">
        <v>17984</v>
      </c>
      <c r="E347">
        <v>2.8900266440401237</v>
      </c>
      <c r="F347">
        <v>6222.78</v>
      </c>
    </row>
    <row r="348" spans="1:6" x14ac:dyDescent="0.25">
      <c r="A348">
        <v>708</v>
      </c>
      <c r="B348" t="s">
        <v>69</v>
      </c>
      <c r="C348">
        <v>202602</v>
      </c>
      <c r="D348">
        <v>266389</v>
      </c>
      <c r="E348">
        <v>61.030784704100732</v>
      </c>
      <c r="F348">
        <v>4364.83</v>
      </c>
    </row>
    <row r="349" spans="1:6" x14ac:dyDescent="0.25">
      <c r="A349">
        <v>710</v>
      </c>
      <c r="B349" t="s">
        <v>69</v>
      </c>
      <c r="C349">
        <v>202602</v>
      </c>
      <c r="D349">
        <v>112156</v>
      </c>
      <c r="E349">
        <v>16.279265549023876</v>
      </c>
      <c r="F349">
        <v>6889.5</v>
      </c>
    </row>
    <row r="350" spans="1:6" x14ac:dyDescent="0.25">
      <c r="A350">
        <v>809</v>
      </c>
      <c r="B350" t="s">
        <v>69</v>
      </c>
      <c r="C350">
        <v>202602</v>
      </c>
      <c r="D350">
        <v>8779</v>
      </c>
      <c r="E350">
        <v>5.85657104736491</v>
      </c>
      <c r="F350">
        <v>1499</v>
      </c>
    </row>
    <row r="351" spans="1:6" x14ac:dyDescent="0.25">
      <c r="A351">
        <v>810</v>
      </c>
      <c r="B351" t="s">
        <v>69</v>
      </c>
      <c r="C351">
        <v>202602</v>
      </c>
      <c r="D351">
        <v>2404</v>
      </c>
      <c r="E351">
        <v>1.2828175026680897</v>
      </c>
      <c r="F351">
        <v>1874</v>
      </c>
    </row>
    <row r="352" spans="1:6" x14ac:dyDescent="0.25">
      <c r="A352">
        <v>750</v>
      </c>
      <c r="B352" t="s">
        <v>69</v>
      </c>
      <c r="C352">
        <v>202602</v>
      </c>
      <c r="D352">
        <v>23940</v>
      </c>
      <c r="E352">
        <v>3.894449677170619</v>
      </c>
      <c r="F352">
        <v>6147.21</v>
      </c>
    </row>
    <row r="353" spans="1:6" x14ac:dyDescent="0.25">
      <c r="A353">
        <v>682</v>
      </c>
      <c r="B353" t="s">
        <v>70</v>
      </c>
      <c r="C353">
        <v>202602</v>
      </c>
      <c r="D353">
        <v>2348</v>
      </c>
      <c r="E353">
        <v>2.1434896522763163</v>
      </c>
      <c r="F353">
        <v>1095.4100000000001</v>
      </c>
    </row>
    <row r="354" spans="1:6" x14ac:dyDescent="0.25">
      <c r="A354">
        <v>683</v>
      </c>
      <c r="B354" t="s">
        <v>70</v>
      </c>
      <c r="C354">
        <v>202602</v>
      </c>
      <c r="D354">
        <v>3538</v>
      </c>
      <c r="E354">
        <v>3.2298408814964259</v>
      </c>
      <c r="F354">
        <v>1095.4100000000001</v>
      </c>
    </row>
    <row r="355" spans="1:6" x14ac:dyDescent="0.25">
      <c r="A355">
        <v>684</v>
      </c>
      <c r="B355" t="s">
        <v>70</v>
      </c>
      <c r="C355">
        <v>202602</v>
      </c>
      <c r="D355">
        <v>56549</v>
      </c>
      <c r="E355">
        <v>13.454853469177015</v>
      </c>
      <c r="F355">
        <v>4202.87</v>
      </c>
    </row>
    <row r="356" spans="1:6" x14ac:dyDescent="0.25">
      <c r="A356">
        <v>686</v>
      </c>
      <c r="B356" t="s">
        <v>70</v>
      </c>
      <c r="C356">
        <v>202602</v>
      </c>
      <c r="D356">
        <v>12863</v>
      </c>
      <c r="E356">
        <v>2.0670825579564118</v>
      </c>
      <c r="F356">
        <v>6222.78</v>
      </c>
    </row>
    <row r="357" spans="1:6" x14ac:dyDescent="0.25">
      <c r="A357">
        <v>708</v>
      </c>
      <c r="B357" t="s">
        <v>70</v>
      </c>
      <c r="C357">
        <v>202602</v>
      </c>
      <c r="D357">
        <v>201659</v>
      </c>
      <c r="E357">
        <v>46.200882966805125</v>
      </c>
      <c r="F357">
        <v>4364.83</v>
      </c>
    </row>
    <row r="358" spans="1:6" x14ac:dyDescent="0.25">
      <c r="A358">
        <v>710</v>
      </c>
      <c r="B358" t="s">
        <v>70</v>
      </c>
      <c r="C358">
        <v>202602</v>
      </c>
      <c r="D358">
        <v>73124</v>
      </c>
      <c r="E358">
        <v>10.613832643878366</v>
      </c>
      <c r="F358">
        <v>6889.5</v>
      </c>
    </row>
    <row r="359" spans="1:6" x14ac:dyDescent="0.25">
      <c r="A359">
        <v>809</v>
      </c>
      <c r="B359" t="s">
        <v>70</v>
      </c>
      <c r="C359">
        <v>202602</v>
      </c>
      <c r="D359">
        <v>17576</v>
      </c>
      <c r="E359">
        <v>11.725150100066712</v>
      </c>
      <c r="F359">
        <v>1499</v>
      </c>
    </row>
    <row r="360" spans="1:6" x14ac:dyDescent="0.25">
      <c r="A360">
        <v>810</v>
      </c>
      <c r="B360" t="s">
        <v>70</v>
      </c>
      <c r="C360">
        <v>202602</v>
      </c>
      <c r="D360">
        <v>4693</v>
      </c>
      <c r="E360">
        <v>2.5042689434364993</v>
      </c>
      <c r="F360">
        <v>1874</v>
      </c>
    </row>
    <row r="361" spans="1:6" x14ac:dyDescent="0.25">
      <c r="A361">
        <v>750</v>
      </c>
      <c r="B361" t="s">
        <v>70</v>
      </c>
      <c r="C361">
        <v>202602</v>
      </c>
      <c r="D361">
        <v>18246</v>
      </c>
      <c r="E361">
        <v>2.9681758065854265</v>
      </c>
      <c r="F361">
        <v>6147.21</v>
      </c>
    </row>
    <row r="362" spans="1:6" x14ac:dyDescent="0.25">
      <c r="A362">
        <v>682</v>
      </c>
      <c r="B362" t="s">
        <v>71</v>
      </c>
      <c r="C362">
        <v>202602</v>
      </c>
      <c r="D362">
        <v>4294</v>
      </c>
      <c r="E362">
        <v>3.9199934271186128</v>
      </c>
      <c r="F362">
        <v>1095.4100000000001</v>
      </c>
    </row>
    <row r="363" spans="1:6" x14ac:dyDescent="0.25">
      <c r="A363">
        <v>683</v>
      </c>
      <c r="B363" t="s">
        <v>71</v>
      </c>
      <c r="C363">
        <v>202602</v>
      </c>
      <c r="D363">
        <v>7834</v>
      </c>
      <c r="E363">
        <v>7.1516601090002823</v>
      </c>
      <c r="F363">
        <v>1095.4100000000001</v>
      </c>
    </row>
    <row r="364" spans="1:6" x14ac:dyDescent="0.25">
      <c r="A364">
        <v>684</v>
      </c>
      <c r="B364" t="s">
        <v>71</v>
      </c>
      <c r="C364">
        <v>202602</v>
      </c>
      <c r="D364">
        <v>74162</v>
      </c>
      <c r="E364">
        <v>17.645561247433303</v>
      </c>
      <c r="F364">
        <v>4202.87</v>
      </c>
    </row>
    <row r="365" spans="1:6" x14ac:dyDescent="0.25">
      <c r="A365">
        <v>686</v>
      </c>
      <c r="B365" t="s">
        <v>71</v>
      </c>
      <c r="C365">
        <v>202602</v>
      </c>
      <c r="D365">
        <v>17845</v>
      </c>
      <c r="E365">
        <v>2.867689360703737</v>
      </c>
      <c r="F365">
        <v>6222.78</v>
      </c>
    </row>
    <row r="366" spans="1:6" x14ac:dyDescent="0.25">
      <c r="A366">
        <v>708</v>
      </c>
      <c r="B366" t="s">
        <v>71</v>
      </c>
      <c r="C366">
        <v>202602</v>
      </c>
      <c r="D366">
        <v>222228</v>
      </c>
      <c r="E366">
        <v>50.913323084747859</v>
      </c>
      <c r="F366">
        <v>4364.83</v>
      </c>
    </row>
    <row r="367" spans="1:6" x14ac:dyDescent="0.25">
      <c r="A367">
        <v>710</v>
      </c>
      <c r="B367" t="s">
        <v>71</v>
      </c>
      <c r="C367">
        <v>202602</v>
      </c>
      <c r="D367">
        <v>96219</v>
      </c>
      <c r="E367">
        <v>13.966035271064664</v>
      </c>
      <c r="F367">
        <v>6889.5</v>
      </c>
    </row>
    <row r="368" spans="1:6" x14ac:dyDescent="0.25">
      <c r="A368">
        <v>809</v>
      </c>
      <c r="B368" t="s">
        <v>71</v>
      </c>
      <c r="C368">
        <v>202602</v>
      </c>
      <c r="D368">
        <v>28520</v>
      </c>
      <c r="E368">
        <v>19.026017344896598</v>
      </c>
      <c r="F368">
        <v>1499</v>
      </c>
    </row>
    <row r="369" spans="1:6" x14ac:dyDescent="0.25">
      <c r="A369">
        <v>810</v>
      </c>
      <c r="B369" t="s">
        <v>71</v>
      </c>
      <c r="C369">
        <v>202602</v>
      </c>
      <c r="D369">
        <v>8829</v>
      </c>
      <c r="E369">
        <v>4.7113127001067232</v>
      </c>
      <c r="F369">
        <v>1874</v>
      </c>
    </row>
    <row r="370" spans="1:6" x14ac:dyDescent="0.25">
      <c r="A370">
        <v>750</v>
      </c>
      <c r="B370" t="s">
        <v>71</v>
      </c>
      <c r="C370">
        <v>202602</v>
      </c>
      <c r="D370">
        <v>20923</v>
      </c>
      <c r="E370">
        <v>3.4036579196090586</v>
      </c>
      <c r="F370">
        <v>6147.21</v>
      </c>
    </row>
    <row r="371" spans="1:6" x14ac:dyDescent="0.25">
      <c r="A371">
        <v>682</v>
      </c>
      <c r="B371" t="s">
        <v>72</v>
      </c>
      <c r="C371">
        <v>202602</v>
      </c>
      <c r="D371">
        <v>2377</v>
      </c>
      <c r="E371">
        <v>2.169963757862353</v>
      </c>
      <c r="F371">
        <v>1095.4100000000001</v>
      </c>
    </row>
    <row r="372" spans="1:6" x14ac:dyDescent="0.25">
      <c r="A372">
        <v>683</v>
      </c>
      <c r="B372" t="s">
        <v>72</v>
      </c>
      <c r="C372">
        <v>202602</v>
      </c>
      <c r="D372">
        <v>4078</v>
      </c>
      <c r="E372">
        <v>3.7228069855122738</v>
      </c>
      <c r="F372">
        <v>1095.4100000000001</v>
      </c>
    </row>
    <row r="373" spans="1:6" x14ac:dyDescent="0.25">
      <c r="A373">
        <v>684</v>
      </c>
      <c r="B373" t="s">
        <v>72</v>
      </c>
      <c r="C373">
        <v>202602</v>
      </c>
      <c r="D373">
        <v>49436</v>
      </c>
      <c r="E373">
        <v>11.762438524151355</v>
      </c>
      <c r="F373">
        <v>4202.87</v>
      </c>
    </row>
    <row r="374" spans="1:6" x14ac:dyDescent="0.25">
      <c r="A374">
        <v>686</v>
      </c>
      <c r="B374" t="s">
        <v>72</v>
      </c>
      <c r="C374">
        <v>202602</v>
      </c>
      <c r="D374">
        <v>9523</v>
      </c>
      <c r="E374">
        <v>1.5303449583626612</v>
      </c>
      <c r="F374">
        <v>6222.78</v>
      </c>
    </row>
    <row r="375" spans="1:6" x14ac:dyDescent="0.25">
      <c r="A375">
        <v>708</v>
      </c>
      <c r="B375" t="s">
        <v>72</v>
      </c>
      <c r="C375">
        <v>202602</v>
      </c>
      <c r="D375">
        <v>158544</v>
      </c>
      <c r="E375">
        <v>36.323064128499851</v>
      </c>
      <c r="F375">
        <v>4364.83</v>
      </c>
    </row>
    <row r="376" spans="1:6" x14ac:dyDescent="0.25">
      <c r="A376">
        <v>710</v>
      </c>
      <c r="B376" t="s">
        <v>72</v>
      </c>
      <c r="C376">
        <v>202602</v>
      </c>
      <c r="D376">
        <v>52947</v>
      </c>
      <c r="E376">
        <v>7.6851730894839978</v>
      </c>
      <c r="F376">
        <v>6889.5</v>
      </c>
    </row>
    <row r="377" spans="1:6" x14ac:dyDescent="0.25">
      <c r="A377">
        <v>809</v>
      </c>
      <c r="B377" t="s">
        <v>72</v>
      </c>
      <c r="C377">
        <v>202602</v>
      </c>
      <c r="D377">
        <v>17687</v>
      </c>
      <c r="E377">
        <v>11.799199466310874</v>
      </c>
      <c r="F377">
        <v>1499</v>
      </c>
    </row>
    <row r="378" spans="1:6" x14ac:dyDescent="0.25">
      <c r="A378">
        <v>810</v>
      </c>
      <c r="B378" t="s">
        <v>72</v>
      </c>
      <c r="C378">
        <v>202602</v>
      </c>
      <c r="D378">
        <v>4498</v>
      </c>
      <c r="E378">
        <v>2.4002134471718248</v>
      </c>
      <c r="F378">
        <v>1874</v>
      </c>
    </row>
    <row r="379" spans="1:6" x14ac:dyDescent="0.25">
      <c r="A379">
        <v>750</v>
      </c>
      <c r="B379" t="s">
        <v>72</v>
      </c>
      <c r="C379">
        <v>202602</v>
      </c>
      <c r="D379">
        <v>12879</v>
      </c>
      <c r="E379">
        <v>2.0950968000117127</v>
      </c>
      <c r="F379">
        <v>6147.21</v>
      </c>
    </row>
    <row r="380" spans="1:6" x14ac:dyDescent="0.25">
      <c r="A380">
        <v>682</v>
      </c>
      <c r="B380" t="s">
        <v>73</v>
      </c>
      <c r="C380">
        <v>202602</v>
      </c>
      <c r="D380">
        <v>3977</v>
      </c>
      <c r="E380">
        <v>3.6306040660574577</v>
      </c>
      <c r="F380">
        <v>1095.4100000000001</v>
      </c>
    </row>
    <row r="381" spans="1:6" x14ac:dyDescent="0.25">
      <c r="A381">
        <v>683</v>
      </c>
      <c r="B381" t="s">
        <v>73</v>
      </c>
      <c r="C381">
        <v>202602</v>
      </c>
      <c r="D381">
        <v>2745</v>
      </c>
      <c r="E381">
        <v>2.505911028747227</v>
      </c>
      <c r="F381">
        <v>1095.4100000000001</v>
      </c>
    </row>
    <row r="382" spans="1:6" x14ac:dyDescent="0.25">
      <c r="A382">
        <v>684</v>
      </c>
      <c r="B382" t="s">
        <v>73</v>
      </c>
      <c r="C382">
        <v>202602</v>
      </c>
      <c r="D382">
        <v>56482</v>
      </c>
      <c r="E382">
        <v>13.438911981574496</v>
      </c>
      <c r="F382">
        <v>4202.87</v>
      </c>
    </row>
    <row r="383" spans="1:6" x14ac:dyDescent="0.25">
      <c r="A383">
        <v>686</v>
      </c>
      <c r="B383" t="s">
        <v>73</v>
      </c>
      <c r="C383">
        <v>202602</v>
      </c>
      <c r="D383">
        <v>21742</v>
      </c>
      <c r="E383">
        <v>3.4939367935231522</v>
      </c>
      <c r="F383">
        <v>6222.78</v>
      </c>
    </row>
    <row r="384" spans="1:6" x14ac:dyDescent="0.25">
      <c r="A384">
        <v>708</v>
      </c>
      <c r="B384" t="s">
        <v>73</v>
      </c>
      <c r="C384">
        <v>202602</v>
      </c>
      <c r="D384">
        <v>364157</v>
      </c>
      <c r="E384">
        <v>83.42982430014456</v>
      </c>
      <c r="F384">
        <v>4364.83</v>
      </c>
    </row>
    <row r="385" spans="1:6" x14ac:dyDescent="0.25">
      <c r="A385">
        <v>710</v>
      </c>
      <c r="B385" t="s">
        <v>73</v>
      </c>
      <c r="C385">
        <v>202602</v>
      </c>
      <c r="D385">
        <v>184818</v>
      </c>
      <c r="E385">
        <v>26.82603962551709</v>
      </c>
      <c r="F385">
        <v>6889.5</v>
      </c>
    </row>
    <row r="386" spans="1:6" x14ac:dyDescent="0.25">
      <c r="A386">
        <v>809</v>
      </c>
      <c r="B386" t="s">
        <v>73</v>
      </c>
      <c r="C386">
        <v>202602</v>
      </c>
      <c r="D386">
        <v>59036</v>
      </c>
      <c r="E386">
        <v>39.383589059372916</v>
      </c>
      <c r="F386">
        <v>1499</v>
      </c>
    </row>
    <row r="387" spans="1:6" x14ac:dyDescent="0.25">
      <c r="A387">
        <v>810</v>
      </c>
      <c r="B387" t="s">
        <v>73</v>
      </c>
      <c r="C387">
        <v>202602</v>
      </c>
      <c r="D387">
        <v>14809</v>
      </c>
      <c r="E387">
        <v>7.9023479188900749</v>
      </c>
      <c r="F387">
        <v>1874</v>
      </c>
    </row>
    <row r="388" spans="1:6" x14ac:dyDescent="0.25">
      <c r="A388">
        <v>750</v>
      </c>
      <c r="B388" t="s">
        <v>73</v>
      </c>
      <c r="C388">
        <v>202602</v>
      </c>
      <c r="D388">
        <v>49559</v>
      </c>
      <c r="E388">
        <v>8.0620313931035383</v>
      </c>
      <c r="F388">
        <v>6147.21</v>
      </c>
    </row>
    <row r="389" spans="1:6" x14ac:dyDescent="0.25">
      <c r="A389">
        <v>682</v>
      </c>
      <c r="B389" t="s">
        <v>74</v>
      </c>
      <c r="C389">
        <v>202602</v>
      </c>
      <c r="D389">
        <v>3721</v>
      </c>
      <c r="E389">
        <v>3.3969016167462409</v>
      </c>
      <c r="F389">
        <v>1095.4100000000001</v>
      </c>
    </row>
    <row r="390" spans="1:6" x14ac:dyDescent="0.25">
      <c r="A390">
        <v>683</v>
      </c>
      <c r="B390" t="s">
        <v>74</v>
      </c>
      <c r="C390">
        <v>202602</v>
      </c>
      <c r="D390">
        <v>4375</v>
      </c>
      <c r="E390">
        <v>3.9939383427209898</v>
      </c>
      <c r="F390">
        <v>1095.4100000000001</v>
      </c>
    </row>
    <row r="391" spans="1:6" x14ac:dyDescent="0.25">
      <c r="A391">
        <v>684</v>
      </c>
      <c r="B391" t="s">
        <v>74</v>
      </c>
      <c r="C391">
        <v>202602</v>
      </c>
      <c r="D391">
        <v>56793</v>
      </c>
      <c r="E391">
        <v>13.51290903596828</v>
      </c>
      <c r="F391">
        <v>4202.87</v>
      </c>
    </row>
    <row r="392" spans="1:6" x14ac:dyDescent="0.25">
      <c r="A392">
        <v>686</v>
      </c>
      <c r="B392" t="s">
        <v>74</v>
      </c>
      <c r="C392">
        <v>202602</v>
      </c>
      <c r="D392">
        <v>21176</v>
      </c>
      <c r="E392">
        <v>3.4029806613764269</v>
      </c>
      <c r="F392">
        <v>6222.78</v>
      </c>
    </row>
    <row r="393" spans="1:6" x14ac:dyDescent="0.25">
      <c r="A393">
        <v>708</v>
      </c>
      <c r="B393" t="s">
        <v>74</v>
      </c>
      <c r="C393">
        <v>202602</v>
      </c>
      <c r="D393">
        <v>320105</v>
      </c>
      <c r="E393">
        <v>73.337335016484033</v>
      </c>
      <c r="F393">
        <v>4364.83</v>
      </c>
    </row>
    <row r="394" spans="1:6" x14ac:dyDescent="0.25">
      <c r="A394">
        <v>710</v>
      </c>
      <c r="B394" t="s">
        <v>74</v>
      </c>
      <c r="C394">
        <v>202602</v>
      </c>
      <c r="D394">
        <v>171209</v>
      </c>
      <c r="E394">
        <v>24.8507148559402</v>
      </c>
      <c r="F394">
        <v>6889.5</v>
      </c>
    </row>
    <row r="395" spans="1:6" x14ac:dyDescent="0.25">
      <c r="A395">
        <v>809</v>
      </c>
      <c r="B395" t="s">
        <v>74</v>
      </c>
      <c r="C395">
        <v>202602</v>
      </c>
      <c r="D395">
        <v>28462</v>
      </c>
      <c r="E395">
        <v>18.987324883255503</v>
      </c>
      <c r="F395">
        <v>1499</v>
      </c>
    </row>
    <row r="396" spans="1:6" x14ac:dyDescent="0.25">
      <c r="A396">
        <v>810</v>
      </c>
      <c r="B396" t="s">
        <v>74</v>
      </c>
      <c r="C396">
        <v>202602</v>
      </c>
      <c r="D396">
        <v>9017</v>
      </c>
      <c r="E396">
        <v>4.8116328708644609</v>
      </c>
      <c r="F396">
        <v>1874</v>
      </c>
    </row>
    <row r="397" spans="1:6" x14ac:dyDescent="0.25">
      <c r="A397">
        <v>750</v>
      </c>
      <c r="B397" t="s">
        <v>74</v>
      </c>
      <c r="C397">
        <v>202602</v>
      </c>
      <c r="D397">
        <v>52410</v>
      </c>
      <c r="E397">
        <v>8.5258190300965797</v>
      </c>
      <c r="F397">
        <v>6147.21</v>
      </c>
    </row>
    <row r="398" spans="1:6" x14ac:dyDescent="0.25">
      <c r="A398">
        <v>682</v>
      </c>
      <c r="B398" t="s">
        <v>75</v>
      </c>
      <c r="C398">
        <v>202602</v>
      </c>
      <c r="D398">
        <v>10333</v>
      </c>
      <c r="E398">
        <v>9.4329976903625123</v>
      </c>
      <c r="F398">
        <v>1095.4100000000001</v>
      </c>
    </row>
    <row r="399" spans="1:6" x14ac:dyDescent="0.25">
      <c r="A399">
        <v>683</v>
      </c>
      <c r="B399" t="s">
        <v>75</v>
      </c>
      <c r="C399">
        <v>202602</v>
      </c>
      <c r="D399">
        <v>8013</v>
      </c>
      <c r="E399">
        <v>7.3150692434796101</v>
      </c>
      <c r="F399">
        <v>1095.4100000000001</v>
      </c>
    </row>
    <row r="400" spans="1:6" x14ac:dyDescent="0.25">
      <c r="A400">
        <v>684</v>
      </c>
      <c r="B400" t="s">
        <v>75</v>
      </c>
      <c r="C400">
        <v>202602</v>
      </c>
      <c r="D400">
        <v>131528</v>
      </c>
      <c r="E400">
        <v>31.294805692300738</v>
      </c>
      <c r="F400">
        <v>4202.87</v>
      </c>
    </row>
    <row r="401" spans="1:6" x14ac:dyDescent="0.25">
      <c r="A401">
        <v>686</v>
      </c>
      <c r="B401" t="s">
        <v>75</v>
      </c>
      <c r="C401">
        <v>202602</v>
      </c>
      <c r="D401">
        <v>55659</v>
      </c>
      <c r="E401">
        <v>8.9443946274816089</v>
      </c>
      <c r="F401">
        <v>6222.78</v>
      </c>
    </row>
    <row r="402" spans="1:6" x14ac:dyDescent="0.25">
      <c r="A402">
        <v>708</v>
      </c>
      <c r="B402" t="s">
        <v>75</v>
      </c>
      <c r="C402">
        <v>202602</v>
      </c>
      <c r="D402">
        <v>567609</v>
      </c>
      <c r="E402">
        <v>130.04149073388885</v>
      </c>
      <c r="F402">
        <v>4364.83</v>
      </c>
    </row>
    <row r="403" spans="1:6" x14ac:dyDescent="0.25">
      <c r="A403">
        <v>710</v>
      </c>
      <c r="B403" t="s">
        <v>75</v>
      </c>
      <c r="C403">
        <v>202602</v>
      </c>
      <c r="D403">
        <v>301500</v>
      </c>
      <c r="E403">
        <v>43.762246897452648</v>
      </c>
      <c r="F403">
        <v>6889.5</v>
      </c>
    </row>
    <row r="404" spans="1:6" x14ac:dyDescent="0.25">
      <c r="A404">
        <v>809</v>
      </c>
      <c r="B404" t="s">
        <v>75</v>
      </c>
      <c r="C404">
        <v>202602</v>
      </c>
      <c r="D404">
        <v>27915</v>
      </c>
      <c r="E404">
        <v>18.622414943295531</v>
      </c>
      <c r="F404">
        <v>1499</v>
      </c>
    </row>
    <row r="405" spans="1:6" x14ac:dyDescent="0.25">
      <c r="A405">
        <v>810</v>
      </c>
      <c r="B405" t="s">
        <v>75</v>
      </c>
      <c r="C405">
        <v>202602</v>
      </c>
      <c r="D405">
        <v>9938</v>
      </c>
      <c r="E405">
        <v>5.3030949839914623</v>
      </c>
      <c r="F405">
        <v>1874</v>
      </c>
    </row>
    <row r="406" spans="1:6" x14ac:dyDescent="0.25">
      <c r="A406">
        <v>750</v>
      </c>
      <c r="B406" t="s">
        <v>75</v>
      </c>
      <c r="C406">
        <v>202602</v>
      </c>
      <c r="D406">
        <v>81250</v>
      </c>
      <c r="E406">
        <v>13.217378290313818</v>
      </c>
      <c r="F406">
        <v>6147.21</v>
      </c>
    </row>
    <row r="407" spans="1:6" x14ac:dyDescent="0.25">
      <c r="A407">
        <v>682</v>
      </c>
      <c r="B407" t="s">
        <v>76</v>
      </c>
      <c r="C407">
        <v>202602</v>
      </c>
      <c r="D407">
        <v>7864</v>
      </c>
      <c r="E407">
        <v>7.1790471147789408</v>
      </c>
      <c r="F407">
        <v>1095.4100000000001</v>
      </c>
    </row>
    <row r="408" spans="1:6" x14ac:dyDescent="0.25">
      <c r="A408">
        <v>683</v>
      </c>
      <c r="B408" t="s">
        <v>76</v>
      </c>
      <c r="C408">
        <v>202602</v>
      </c>
      <c r="D408">
        <v>5636</v>
      </c>
      <c r="E408">
        <v>5.1451054856172567</v>
      </c>
      <c r="F408">
        <v>1095.4100000000001</v>
      </c>
    </row>
    <row r="409" spans="1:6" x14ac:dyDescent="0.25">
      <c r="A409">
        <v>684</v>
      </c>
      <c r="B409" t="s">
        <v>76</v>
      </c>
      <c r="C409">
        <v>202602</v>
      </c>
      <c r="D409">
        <v>78886</v>
      </c>
      <c r="E409">
        <v>18.769555089736301</v>
      </c>
      <c r="F409">
        <v>4202.87</v>
      </c>
    </row>
    <row r="410" spans="1:6" x14ac:dyDescent="0.25">
      <c r="A410">
        <v>686</v>
      </c>
      <c r="B410" t="s">
        <v>76</v>
      </c>
      <c r="C410">
        <v>202602</v>
      </c>
      <c r="D410">
        <v>28707</v>
      </c>
      <c r="E410">
        <v>4.6132114585442521</v>
      </c>
      <c r="F410">
        <v>6222.78</v>
      </c>
    </row>
    <row r="411" spans="1:6" x14ac:dyDescent="0.25">
      <c r="A411">
        <v>708</v>
      </c>
      <c r="B411" t="s">
        <v>76</v>
      </c>
      <c r="C411">
        <v>202602</v>
      </c>
      <c r="D411">
        <v>372904</v>
      </c>
      <c r="E411">
        <v>85.43379696345562</v>
      </c>
      <c r="F411">
        <v>4364.83</v>
      </c>
    </row>
    <row r="412" spans="1:6" x14ac:dyDescent="0.25">
      <c r="A412">
        <v>710</v>
      </c>
      <c r="B412" t="s">
        <v>76</v>
      </c>
      <c r="C412">
        <v>202602</v>
      </c>
      <c r="D412">
        <v>203681</v>
      </c>
      <c r="E412">
        <v>29.563974163582262</v>
      </c>
      <c r="F412">
        <v>6889.5</v>
      </c>
    </row>
    <row r="413" spans="1:6" x14ac:dyDescent="0.25">
      <c r="A413">
        <v>809</v>
      </c>
      <c r="B413" t="s">
        <v>76</v>
      </c>
      <c r="C413">
        <v>202602</v>
      </c>
      <c r="D413">
        <v>34403</v>
      </c>
      <c r="E413">
        <v>22.950633755837224</v>
      </c>
      <c r="F413">
        <v>1499</v>
      </c>
    </row>
    <row r="414" spans="1:6" x14ac:dyDescent="0.25">
      <c r="A414">
        <v>810</v>
      </c>
      <c r="B414" t="s">
        <v>76</v>
      </c>
      <c r="C414">
        <v>202602</v>
      </c>
      <c r="D414">
        <v>10498</v>
      </c>
      <c r="E414">
        <v>5.6019210245464244</v>
      </c>
      <c r="F414">
        <v>1874</v>
      </c>
    </row>
    <row r="415" spans="1:6" x14ac:dyDescent="0.25">
      <c r="A415">
        <v>750</v>
      </c>
      <c r="B415" t="s">
        <v>76</v>
      </c>
      <c r="C415">
        <v>202602</v>
      </c>
      <c r="D415">
        <v>41038</v>
      </c>
      <c r="E415">
        <v>6.6758740957279805</v>
      </c>
      <c r="F415">
        <v>6147.21</v>
      </c>
    </row>
    <row r="416" spans="1:6" x14ac:dyDescent="0.25">
      <c r="A416">
        <v>682</v>
      </c>
      <c r="B416" t="s">
        <v>77</v>
      </c>
      <c r="C416">
        <v>202602</v>
      </c>
      <c r="D416">
        <v>8773</v>
      </c>
      <c r="E416">
        <v>8.008873389872285</v>
      </c>
      <c r="F416">
        <v>1095.4100000000001</v>
      </c>
    </row>
    <row r="417" spans="1:6" x14ac:dyDescent="0.25">
      <c r="A417">
        <v>683</v>
      </c>
      <c r="B417" t="s">
        <v>77</v>
      </c>
      <c r="C417">
        <v>202602</v>
      </c>
      <c r="D417">
        <v>7125</v>
      </c>
      <c r="E417">
        <v>6.5044138724313267</v>
      </c>
      <c r="F417">
        <v>1095.4100000000001</v>
      </c>
    </row>
    <row r="418" spans="1:6" x14ac:dyDescent="0.25">
      <c r="A418">
        <v>684</v>
      </c>
      <c r="B418" t="s">
        <v>77</v>
      </c>
      <c r="C418">
        <v>202602</v>
      </c>
      <c r="D418">
        <v>108846</v>
      </c>
      <c r="E418">
        <v>25.898017307221018</v>
      </c>
      <c r="F418">
        <v>4202.87</v>
      </c>
    </row>
    <row r="419" spans="1:6" x14ac:dyDescent="0.25">
      <c r="A419">
        <v>686</v>
      </c>
      <c r="B419" t="s">
        <v>77</v>
      </c>
      <c r="C419">
        <v>202602</v>
      </c>
      <c r="D419">
        <v>36853</v>
      </c>
      <c r="E419">
        <v>5.9222726819845795</v>
      </c>
      <c r="F419">
        <v>6222.78</v>
      </c>
    </row>
    <row r="420" spans="1:6" x14ac:dyDescent="0.25">
      <c r="A420">
        <v>708</v>
      </c>
      <c r="B420" t="s">
        <v>77</v>
      </c>
      <c r="C420">
        <v>202602</v>
      </c>
      <c r="D420">
        <v>538322</v>
      </c>
      <c r="E420">
        <v>123.33172196855318</v>
      </c>
      <c r="F420">
        <v>4364.83</v>
      </c>
    </row>
    <row r="421" spans="1:6" x14ac:dyDescent="0.25">
      <c r="A421">
        <v>710</v>
      </c>
      <c r="B421" t="s">
        <v>77</v>
      </c>
      <c r="C421">
        <v>202602</v>
      </c>
      <c r="D421">
        <v>251496</v>
      </c>
      <c r="E421">
        <v>36.50424559111692</v>
      </c>
      <c r="F421">
        <v>6889.5</v>
      </c>
    </row>
    <row r="422" spans="1:6" x14ac:dyDescent="0.25">
      <c r="A422">
        <v>809</v>
      </c>
      <c r="B422" t="s">
        <v>77</v>
      </c>
      <c r="C422">
        <v>202602</v>
      </c>
      <c r="D422">
        <v>46803</v>
      </c>
      <c r="E422">
        <v>31.222815210140094</v>
      </c>
      <c r="F422">
        <v>1499</v>
      </c>
    </row>
    <row r="423" spans="1:6" x14ac:dyDescent="0.25">
      <c r="A423">
        <v>810</v>
      </c>
      <c r="B423" t="s">
        <v>77</v>
      </c>
      <c r="C423">
        <v>202602</v>
      </c>
      <c r="D423">
        <v>12677</v>
      </c>
      <c r="E423">
        <v>6.7646744930629668</v>
      </c>
      <c r="F423">
        <v>1874</v>
      </c>
    </row>
    <row r="424" spans="1:6" x14ac:dyDescent="0.25">
      <c r="A424">
        <v>750</v>
      </c>
      <c r="B424" t="s">
        <v>77</v>
      </c>
      <c r="C424">
        <v>202602</v>
      </c>
      <c r="D424">
        <v>52616</v>
      </c>
      <c r="E424">
        <v>8.559330167669561</v>
      </c>
      <c r="F424">
        <v>6147.21</v>
      </c>
    </row>
    <row r="425" spans="1:6" x14ac:dyDescent="0.25">
      <c r="A425">
        <v>682</v>
      </c>
      <c r="B425" t="s">
        <v>78</v>
      </c>
      <c r="C425">
        <v>202602</v>
      </c>
      <c r="D425">
        <v>4927</v>
      </c>
      <c r="E425">
        <v>4.4978592490483011</v>
      </c>
      <c r="F425">
        <v>1095.4100000000001</v>
      </c>
    </row>
    <row r="426" spans="1:6" x14ac:dyDescent="0.25">
      <c r="A426">
        <v>683</v>
      </c>
      <c r="B426" t="s">
        <v>78</v>
      </c>
      <c r="C426">
        <v>202602</v>
      </c>
      <c r="D426">
        <v>3024</v>
      </c>
      <c r="E426">
        <v>2.7606101824887483</v>
      </c>
      <c r="F426">
        <v>1095.4100000000001</v>
      </c>
    </row>
    <row r="427" spans="1:6" x14ac:dyDescent="0.25">
      <c r="A427">
        <v>684</v>
      </c>
      <c r="B427" t="s">
        <v>78</v>
      </c>
      <c r="C427">
        <v>202602</v>
      </c>
      <c r="D427">
        <v>52211</v>
      </c>
      <c r="E427">
        <v>12.42270163007659</v>
      </c>
      <c r="F427">
        <v>4202.87</v>
      </c>
    </row>
    <row r="428" spans="1:6" x14ac:dyDescent="0.25">
      <c r="A428">
        <v>686</v>
      </c>
      <c r="B428" t="s">
        <v>78</v>
      </c>
      <c r="C428">
        <v>202602</v>
      </c>
      <c r="D428">
        <v>21739</v>
      </c>
      <c r="E428">
        <v>3.4934546938827986</v>
      </c>
      <c r="F428">
        <v>6222.78</v>
      </c>
    </row>
    <row r="429" spans="1:6" x14ac:dyDescent="0.25">
      <c r="A429">
        <v>708</v>
      </c>
      <c r="B429" t="s">
        <v>78</v>
      </c>
      <c r="C429">
        <v>202602</v>
      </c>
      <c r="D429">
        <v>225655</v>
      </c>
      <c r="E429">
        <v>51.698462483074941</v>
      </c>
      <c r="F429">
        <v>4364.83</v>
      </c>
    </row>
    <row r="430" spans="1:6" x14ac:dyDescent="0.25">
      <c r="A430">
        <v>710</v>
      </c>
      <c r="B430" t="s">
        <v>78</v>
      </c>
      <c r="C430">
        <v>202602</v>
      </c>
      <c r="D430">
        <v>173178</v>
      </c>
      <c r="E430">
        <v>25.136512083605485</v>
      </c>
      <c r="F430">
        <v>6889.5</v>
      </c>
    </row>
    <row r="431" spans="1:6" x14ac:dyDescent="0.25">
      <c r="A431">
        <v>809</v>
      </c>
      <c r="B431" t="s">
        <v>78</v>
      </c>
      <c r="C431">
        <v>202602</v>
      </c>
      <c r="D431">
        <v>36783</v>
      </c>
      <c r="E431">
        <v>24.53835890593729</v>
      </c>
      <c r="F431">
        <v>1499</v>
      </c>
    </row>
    <row r="432" spans="1:6" x14ac:dyDescent="0.25">
      <c r="A432">
        <v>810</v>
      </c>
      <c r="B432" t="s">
        <v>78</v>
      </c>
      <c r="C432">
        <v>202602</v>
      </c>
      <c r="D432">
        <v>8185</v>
      </c>
      <c r="E432">
        <v>4.3676627534685162</v>
      </c>
      <c r="F432">
        <v>1874</v>
      </c>
    </row>
    <row r="433" spans="1:6" x14ac:dyDescent="0.25">
      <c r="A433">
        <v>750</v>
      </c>
      <c r="B433" t="s">
        <v>78</v>
      </c>
      <c r="C433">
        <v>202602</v>
      </c>
      <c r="D433">
        <v>23272</v>
      </c>
      <c r="E433">
        <v>3.7857824931961002</v>
      </c>
      <c r="F433">
        <v>6147.21</v>
      </c>
    </row>
    <row r="434" spans="1:6" x14ac:dyDescent="0.25">
      <c r="A434">
        <v>682</v>
      </c>
      <c r="B434" t="s">
        <v>79</v>
      </c>
      <c r="C434">
        <v>202602</v>
      </c>
      <c r="D434">
        <v>4580</v>
      </c>
      <c r="E434">
        <v>4.1810828822084876</v>
      </c>
      <c r="F434">
        <v>1095.4100000000001</v>
      </c>
    </row>
    <row r="435" spans="1:6" x14ac:dyDescent="0.25">
      <c r="A435">
        <v>683</v>
      </c>
      <c r="B435" t="s">
        <v>79</v>
      </c>
      <c r="C435">
        <v>202602</v>
      </c>
      <c r="D435">
        <v>2539</v>
      </c>
      <c r="E435">
        <v>2.317853589067107</v>
      </c>
      <c r="F435">
        <v>1095.4100000000001</v>
      </c>
    </row>
    <row r="436" spans="1:6" x14ac:dyDescent="0.25">
      <c r="A436">
        <v>684</v>
      </c>
      <c r="B436" t="s">
        <v>79</v>
      </c>
      <c r="C436">
        <v>202602</v>
      </c>
      <c r="D436">
        <v>41646</v>
      </c>
      <c r="E436">
        <v>9.9089431745450138</v>
      </c>
      <c r="F436">
        <v>4202.87</v>
      </c>
    </row>
    <row r="437" spans="1:6" x14ac:dyDescent="0.25">
      <c r="A437">
        <v>686</v>
      </c>
      <c r="B437" t="s">
        <v>79</v>
      </c>
      <c r="C437">
        <v>202602</v>
      </c>
      <c r="D437">
        <v>22987</v>
      </c>
      <c r="E437">
        <v>3.6940081442699246</v>
      </c>
      <c r="F437">
        <v>6222.78</v>
      </c>
    </row>
    <row r="438" spans="1:6" x14ac:dyDescent="0.25">
      <c r="A438">
        <v>708</v>
      </c>
      <c r="B438" t="s">
        <v>79</v>
      </c>
      <c r="C438">
        <v>202602</v>
      </c>
      <c r="D438">
        <v>209215</v>
      </c>
      <c r="E438">
        <v>47.931992769477851</v>
      </c>
      <c r="F438">
        <v>4364.83</v>
      </c>
    </row>
    <row r="439" spans="1:6" x14ac:dyDescent="0.25">
      <c r="A439">
        <v>710</v>
      </c>
      <c r="B439" t="s">
        <v>79</v>
      </c>
      <c r="C439">
        <v>202602</v>
      </c>
      <c r="D439">
        <v>115497</v>
      </c>
      <c r="E439">
        <v>16.764206401045069</v>
      </c>
      <c r="F439">
        <v>6889.5</v>
      </c>
    </row>
    <row r="440" spans="1:6" x14ac:dyDescent="0.25">
      <c r="A440">
        <v>809</v>
      </c>
      <c r="B440" t="s">
        <v>79</v>
      </c>
      <c r="C440">
        <v>202602</v>
      </c>
      <c r="D440">
        <v>30951</v>
      </c>
      <c r="E440">
        <v>20.647765176784524</v>
      </c>
      <c r="F440">
        <v>1499</v>
      </c>
    </row>
    <row r="441" spans="1:6" x14ac:dyDescent="0.25">
      <c r="A441">
        <v>810</v>
      </c>
      <c r="B441" t="s">
        <v>79</v>
      </c>
      <c r="C441">
        <v>202602</v>
      </c>
      <c r="D441">
        <v>5247</v>
      </c>
      <c r="E441">
        <v>2.7998932764140876</v>
      </c>
      <c r="F441">
        <v>1874</v>
      </c>
    </row>
    <row r="442" spans="1:6" x14ac:dyDescent="0.25">
      <c r="A442">
        <v>750</v>
      </c>
      <c r="B442" t="s">
        <v>79</v>
      </c>
      <c r="C442">
        <v>202602</v>
      </c>
      <c r="D442">
        <v>27649</v>
      </c>
      <c r="E442">
        <v>4.4978128289093755</v>
      </c>
      <c r="F442">
        <v>6147.21</v>
      </c>
    </row>
    <row r="443" spans="1:6" x14ac:dyDescent="0.25">
      <c r="A443">
        <v>682</v>
      </c>
      <c r="B443" t="s">
        <v>80</v>
      </c>
      <c r="C443">
        <v>202602</v>
      </c>
      <c r="D443">
        <v>7633</v>
      </c>
      <c r="E443">
        <v>6.9681671702832721</v>
      </c>
      <c r="F443">
        <v>1095.4100000000001</v>
      </c>
    </row>
    <row r="444" spans="1:6" x14ac:dyDescent="0.25">
      <c r="A444">
        <v>683</v>
      </c>
      <c r="B444" t="s">
        <v>80</v>
      </c>
      <c r="C444">
        <v>202602</v>
      </c>
      <c r="D444">
        <v>5660</v>
      </c>
      <c r="E444">
        <v>5.1670150902401835</v>
      </c>
      <c r="F444">
        <v>1095.4100000000001</v>
      </c>
    </row>
    <row r="445" spans="1:6" x14ac:dyDescent="0.25">
      <c r="A445">
        <v>684</v>
      </c>
      <c r="B445" t="s">
        <v>80</v>
      </c>
      <c r="C445">
        <v>202602</v>
      </c>
      <c r="D445">
        <v>70947</v>
      </c>
      <c r="E445">
        <v>16.880607775163163</v>
      </c>
      <c r="F445">
        <v>4202.87</v>
      </c>
    </row>
    <row r="446" spans="1:6" x14ac:dyDescent="0.25">
      <c r="A446">
        <v>686</v>
      </c>
      <c r="B446" t="s">
        <v>80</v>
      </c>
      <c r="C446">
        <v>202602</v>
      </c>
      <c r="D446">
        <v>26094</v>
      </c>
      <c r="E446">
        <v>4.1933026717962072</v>
      </c>
      <c r="F446">
        <v>6222.78</v>
      </c>
    </row>
    <row r="447" spans="1:6" x14ac:dyDescent="0.25">
      <c r="A447">
        <v>708</v>
      </c>
      <c r="B447" t="s">
        <v>80</v>
      </c>
      <c r="C447">
        <v>202602</v>
      </c>
      <c r="D447">
        <v>320308</v>
      </c>
      <c r="E447">
        <v>73.383843127911049</v>
      </c>
      <c r="F447">
        <v>4364.83</v>
      </c>
    </row>
    <row r="448" spans="1:6" x14ac:dyDescent="0.25">
      <c r="A448">
        <v>710</v>
      </c>
      <c r="B448" t="s">
        <v>80</v>
      </c>
      <c r="C448">
        <v>202602</v>
      </c>
      <c r="D448">
        <v>201755</v>
      </c>
      <c r="E448">
        <v>29.28441831772988</v>
      </c>
      <c r="F448">
        <v>6889.5</v>
      </c>
    </row>
    <row r="449" spans="1:6" x14ac:dyDescent="0.25">
      <c r="A449">
        <v>809</v>
      </c>
      <c r="B449" t="s">
        <v>80</v>
      </c>
      <c r="C449">
        <v>202602</v>
      </c>
      <c r="D449">
        <v>35549</v>
      </c>
      <c r="E449">
        <v>23.715143428952636</v>
      </c>
      <c r="F449">
        <v>1499</v>
      </c>
    </row>
    <row r="450" spans="1:6" x14ac:dyDescent="0.25">
      <c r="A450">
        <v>810</v>
      </c>
      <c r="B450" t="s">
        <v>80</v>
      </c>
      <c r="C450">
        <v>202602</v>
      </c>
      <c r="D450">
        <v>8728</v>
      </c>
      <c r="E450">
        <v>4.657417289220918</v>
      </c>
      <c r="F450">
        <v>1874</v>
      </c>
    </row>
    <row r="451" spans="1:6" x14ac:dyDescent="0.25">
      <c r="A451">
        <v>750</v>
      </c>
      <c r="B451" t="s">
        <v>80</v>
      </c>
      <c r="C451">
        <v>202602</v>
      </c>
      <c r="D451">
        <v>41458</v>
      </c>
      <c r="E451">
        <v>6.7441977742748334</v>
      </c>
      <c r="F451">
        <v>6147.21</v>
      </c>
    </row>
    <row r="452" spans="1:6" x14ac:dyDescent="0.25">
      <c r="A452">
        <v>682</v>
      </c>
      <c r="B452" t="s">
        <v>81</v>
      </c>
      <c r="C452">
        <v>202602</v>
      </c>
      <c r="D452">
        <v>5465</v>
      </c>
      <c r="E452">
        <v>4.988999552678905</v>
      </c>
      <c r="F452">
        <v>1095.4100000000001</v>
      </c>
    </row>
    <row r="453" spans="1:6" x14ac:dyDescent="0.25">
      <c r="A453">
        <v>683</v>
      </c>
      <c r="B453" t="s">
        <v>81</v>
      </c>
      <c r="C453">
        <v>202602</v>
      </c>
      <c r="D453">
        <v>4630</v>
      </c>
      <c r="E453">
        <v>4.2267278918395847</v>
      </c>
      <c r="F453">
        <v>1095.4100000000001</v>
      </c>
    </row>
    <row r="454" spans="1:6" x14ac:dyDescent="0.25">
      <c r="A454">
        <v>684</v>
      </c>
      <c r="B454" t="s">
        <v>81</v>
      </c>
      <c r="C454">
        <v>202602</v>
      </c>
      <c r="D454">
        <v>83053</v>
      </c>
      <c r="E454">
        <v>19.761020445552681</v>
      </c>
      <c r="F454">
        <v>4202.87</v>
      </c>
    </row>
    <row r="455" spans="1:6" x14ac:dyDescent="0.25">
      <c r="A455">
        <v>686</v>
      </c>
      <c r="B455" t="s">
        <v>81</v>
      </c>
      <c r="C455">
        <v>202602</v>
      </c>
      <c r="D455">
        <v>30645</v>
      </c>
      <c r="E455">
        <v>4.9246478262127216</v>
      </c>
      <c r="F455">
        <v>6222.78</v>
      </c>
    </row>
    <row r="456" spans="1:6" x14ac:dyDescent="0.25">
      <c r="A456">
        <v>708</v>
      </c>
      <c r="B456" t="s">
        <v>81</v>
      </c>
      <c r="C456">
        <v>202602</v>
      </c>
      <c r="D456">
        <v>425624</v>
      </c>
      <c r="E456">
        <v>97.512159694650194</v>
      </c>
      <c r="F456">
        <v>4364.83</v>
      </c>
    </row>
    <row r="457" spans="1:6" x14ac:dyDescent="0.25">
      <c r="A457">
        <v>710</v>
      </c>
      <c r="B457" t="s">
        <v>81</v>
      </c>
      <c r="C457">
        <v>202602</v>
      </c>
      <c r="D457">
        <v>213271</v>
      </c>
      <c r="E457">
        <v>30.955947456274039</v>
      </c>
      <c r="F457">
        <v>6889.5</v>
      </c>
    </row>
    <row r="458" spans="1:6" x14ac:dyDescent="0.25">
      <c r="A458">
        <v>809</v>
      </c>
      <c r="B458" t="s">
        <v>81</v>
      </c>
      <c r="C458">
        <v>202602</v>
      </c>
      <c r="D458">
        <v>32876</v>
      </c>
      <c r="E458">
        <v>21.931954636424283</v>
      </c>
      <c r="F458">
        <v>1499</v>
      </c>
    </row>
    <row r="459" spans="1:6" x14ac:dyDescent="0.25">
      <c r="A459">
        <v>810</v>
      </c>
      <c r="B459" t="s">
        <v>81</v>
      </c>
      <c r="C459">
        <v>202602</v>
      </c>
      <c r="D459">
        <v>9363</v>
      </c>
      <c r="E459">
        <v>4.9962646744930632</v>
      </c>
      <c r="F459">
        <v>1874</v>
      </c>
    </row>
    <row r="460" spans="1:6" x14ac:dyDescent="0.25">
      <c r="A460">
        <v>750</v>
      </c>
      <c r="B460" t="s">
        <v>81</v>
      </c>
      <c r="C460">
        <v>202602</v>
      </c>
      <c r="D460">
        <v>31714</v>
      </c>
      <c r="E460">
        <v>5.1590884319878452</v>
      </c>
      <c r="F460">
        <v>6147.21</v>
      </c>
    </row>
    <row r="461" spans="1:6" x14ac:dyDescent="0.25">
      <c r="A461">
        <v>682</v>
      </c>
      <c r="B461" t="s">
        <v>82</v>
      </c>
      <c r="C461">
        <v>202602</v>
      </c>
      <c r="D461">
        <v>3251</v>
      </c>
      <c r="E461">
        <v>2.9678385262139289</v>
      </c>
      <c r="F461">
        <v>1095.4100000000001</v>
      </c>
    </row>
    <row r="462" spans="1:6" x14ac:dyDescent="0.25">
      <c r="A462">
        <v>683</v>
      </c>
      <c r="B462" t="s">
        <v>82</v>
      </c>
      <c r="C462">
        <v>202602</v>
      </c>
      <c r="D462">
        <v>2195</v>
      </c>
      <c r="E462">
        <v>2.0038159228051597</v>
      </c>
      <c r="F462">
        <v>1095.4100000000001</v>
      </c>
    </row>
    <row r="463" spans="1:6" x14ac:dyDescent="0.25">
      <c r="A463">
        <v>684</v>
      </c>
      <c r="B463" t="s">
        <v>82</v>
      </c>
      <c r="C463">
        <v>202602</v>
      </c>
      <c r="D463">
        <v>55580</v>
      </c>
      <c r="E463">
        <v>13.224296730567445</v>
      </c>
      <c r="F463">
        <v>4202.87</v>
      </c>
    </row>
    <row r="464" spans="1:6" x14ac:dyDescent="0.25">
      <c r="A464">
        <v>686</v>
      </c>
      <c r="B464" t="s">
        <v>82</v>
      </c>
      <c r="C464">
        <v>202602</v>
      </c>
      <c r="D464">
        <v>24242</v>
      </c>
      <c r="E464">
        <v>3.8956864938178759</v>
      </c>
      <c r="F464">
        <v>6222.78</v>
      </c>
    </row>
    <row r="465" spans="1:6" x14ac:dyDescent="0.25">
      <c r="A465">
        <v>708</v>
      </c>
      <c r="B465" t="s">
        <v>82</v>
      </c>
      <c r="C465">
        <v>202602</v>
      </c>
      <c r="D465">
        <v>249694</v>
      </c>
      <c r="E465">
        <v>57.205893471223391</v>
      </c>
      <c r="F465">
        <v>4364.83</v>
      </c>
    </row>
    <row r="466" spans="1:6" x14ac:dyDescent="0.25">
      <c r="A466">
        <v>710</v>
      </c>
      <c r="B466" t="s">
        <v>82</v>
      </c>
      <c r="C466">
        <v>202602</v>
      </c>
      <c r="D466">
        <v>158905</v>
      </c>
      <c r="E466">
        <v>23.064808766964219</v>
      </c>
      <c r="F466">
        <v>6889.5</v>
      </c>
    </row>
    <row r="467" spans="1:6" x14ac:dyDescent="0.25">
      <c r="A467">
        <v>809</v>
      </c>
      <c r="B467" t="s">
        <v>82</v>
      </c>
      <c r="C467">
        <v>202602</v>
      </c>
      <c r="D467">
        <v>36550</v>
      </c>
      <c r="E467">
        <v>24.382921947965311</v>
      </c>
      <c r="F467">
        <v>1499</v>
      </c>
    </row>
    <row r="468" spans="1:6" x14ac:dyDescent="0.25">
      <c r="A468">
        <v>810</v>
      </c>
      <c r="B468" t="s">
        <v>82</v>
      </c>
      <c r="C468">
        <v>202602</v>
      </c>
      <c r="D468">
        <v>8395</v>
      </c>
      <c r="E468">
        <v>4.4797225186766276</v>
      </c>
      <c r="F468">
        <v>1874</v>
      </c>
    </row>
    <row r="469" spans="1:6" x14ac:dyDescent="0.25">
      <c r="A469">
        <v>750</v>
      </c>
      <c r="B469" t="s">
        <v>82</v>
      </c>
      <c r="C469">
        <v>202602</v>
      </c>
      <c r="D469">
        <v>46582</v>
      </c>
      <c r="E469">
        <v>7.5777466525464394</v>
      </c>
      <c r="F469">
        <v>6147.21</v>
      </c>
    </row>
    <row r="470" spans="1:6" x14ac:dyDescent="0.25">
      <c r="A470">
        <v>682</v>
      </c>
      <c r="B470" t="s">
        <v>83</v>
      </c>
      <c r="C470">
        <v>202602</v>
      </c>
      <c r="D470">
        <v>2299</v>
      </c>
      <c r="E470">
        <v>2.0987575428378413</v>
      </c>
      <c r="F470">
        <v>1095.4100000000001</v>
      </c>
    </row>
    <row r="471" spans="1:6" x14ac:dyDescent="0.25">
      <c r="A471">
        <v>683</v>
      </c>
      <c r="B471" t="s">
        <v>83</v>
      </c>
      <c r="C471">
        <v>202602</v>
      </c>
      <c r="D471">
        <v>4842</v>
      </c>
      <c r="E471">
        <v>4.420262732675436</v>
      </c>
      <c r="F471">
        <v>1095.4100000000001</v>
      </c>
    </row>
    <row r="472" spans="1:6" x14ac:dyDescent="0.25">
      <c r="A472">
        <v>684</v>
      </c>
      <c r="B472" t="s">
        <v>83</v>
      </c>
      <c r="C472">
        <v>202602</v>
      </c>
      <c r="D472">
        <v>26213</v>
      </c>
      <c r="E472">
        <v>6.2369285749975614</v>
      </c>
      <c r="F472">
        <v>4202.87</v>
      </c>
    </row>
    <row r="473" spans="1:6" x14ac:dyDescent="0.25">
      <c r="A473">
        <v>686</v>
      </c>
      <c r="B473" t="s">
        <v>83</v>
      </c>
      <c r="C473">
        <v>202602</v>
      </c>
      <c r="D473">
        <v>10894</v>
      </c>
      <c r="E473">
        <v>1.7506644940042875</v>
      </c>
      <c r="F473">
        <v>6222.78</v>
      </c>
    </row>
    <row r="474" spans="1:6" x14ac:dyDescent="0.25">
      <c r="A474">
        <v>708</v>
      </c>
      <c r="B474" t="s">
        <v>83</v>
      </c>
      <c r="C474">
        <v>202602</v>
      </c>
      <c r="D474">
        <v>225043</v>
      </c>
      <c r="E474">
        <v>51.558250836802351</v>
      </c>
      <c r="F474">
        <v>4364.83</v>
      </c>
    </row>
    <row r="475" spans="1:6" x14ac:dyDescent="0.25">
      <c r="A475">
        <v>710</v>
      </c>
      <c r="B475" t="s">
        <v>83</v>
      </c>
      <c r="C475">
        <v>202602</v>
      </c>
      <c r="D475">
        <v>110026</v>
      </c>
      <c r="E475">
        <v>15.970099426663763</v>
      </c>
      <c r="F475">
        <v>6889.5</v>
      </c>
    </row>
    <row r="476" spans="1:6" x14ac:dyDescent="0.25">
      <c r="A476">
        <v>809</v>
      </c>
      <c r="B476" t="s">
        <v>83</v>
      </c>
      <c r="C476">
        <v>202602</v>
      </c>
      <c r="D476">
        <v>31135</v>
      </c>
      <c r="E476">
        <v>20.770513675783857</v>
      </c>
      <c r="F476">
        <v>1499</v>
      </c>
    </row>
    <row r="477" spans="1:6" x14ac:dyDescent="0.25">
      <c r="A477">
        <v>810</v>
      </c>
      <c r="B477" t="s">
        <v>83</v>
      </c>
      <c r="C477">
        <v>202602</v>
      </c>
      <c r="D477">
        <v>13855</v>
      </c>
      <c r="E477">
        <v>7.3932764140875129</v>
      </c>
      <c r="F477">
        <v>1874</v>
      </c>
    </row>
    <row r="478" spans="1:6" x14ac:dyDescent="0.25">
      <c r="A478">
        <v>750</v>
      </c>
      <c r="B478" t="s">
        <v>83</v>
      </c>
      <c r="C478">
        <v>202602</v>
      </c>
      <c r="D478">
        <v>28839</v>
      </c>
      <c r="E478">
        <v>4.6913965847921251</v>
      </c>
      <c r="F478">
        <v>6147.21</v>
      </c>
    </row>
    <row r="479" spans="1:6" x14ac:dyDescent="0.25">
      <c r="A479">
        <v>682</v>
      </c>
      <c r="B479" t="s">
        <v>84</v>
      </c>
      <c r="C479">
        <v>202602</v>
      </c>
      <c r="D479">
        <v>2680</v>
      </c>
      <c r="E479">
        <v>2.4465725162268006</v>
      </c>
      <c r="F479">
        <v>1095.4100000000001</v>
      </c>
    </row>
    <row r="480" spans="1:6" x14ac:dyDescent="0.25">
      <c r="A480">
        <v>683</v>
      </c>
      <c r="B480" t="s">
        <v>84</v>
      </c>
      <c r="C480">
        <v>202602</v>
      </c>
      <c r="D480">
        <v>4298</v>
      </c>
      <c r="E480">
        <v>3.9236450278891004</v>
      </c>
      <c r="F480">
        <v>1095.4100000000001</v>
      </c>
    </row>
    <row r="481" spans="1:6" x14ac:dyDescent="0.25">
      <c r="A481">
        <v>684</v>
      </c>
      <c r="B481" t="s">
        <v>84</v>
      </c>
      <c r="C481">
        <v>202602</v>
      </c>
      <c r="D481">
        <v>76391</v>
      </c>
      <c r="E481">
        <v>18.175913126030547</v>
      </c>
      <c r="F481">
        <v>4202.87</v>
      </c>
    </row>
    <row r="482" spans="1:6" x14ac:dyDescent="0.25">
      <c r="A482">
        <v>686</v>
      </c>
      <c r="B482" t="s">
        <v>84</v>
      </c>
      <c r="C482">
        <v>202602</v>
      </c>
      <c r="D482">
        <v>34882</v>
      </c>
      <c r="E482">
        <v>5.6055332182722193</v>
      </c>
      <c r="F482">
        <v>6222.78</v>
      </c>
    </row>
    <row r="483" spans="1:6" x14ac:dyDescent="0.25">
      <c r="A483">
        <v>708</v>
      </c>
      <c r="B483" t="s">
        <v>84</v>
      </c>
      <c r="C483">
        <v>202602</v>
      </c>
      <c r="D483">
        <v>290256</v>
      </c>
      <c r="E483">
        <v>66.498809804734663</v>
      </c>
      <c r="F483">
        <v>4364.83</v>
      </c>
    </row>
    <row r="484" spans="1:6" x14ac:dyDescent="0.25">
      <c r="A484">
        <v>710</v>
      </c>
      <c r="B484" t="s">
        <v>84</v>
      </c>
      <c r="C484">
        <v>202602</v>
      </c>
      <c r="D484">
        <v>201433</v>
      </c>
      <c r="E484">
        <v>29.237680528340228</v>
      </c>
      <c r="F484">
        <v>6889.5</v>
      </c>
    </row>
    <row r="485" spans="1:6" x14ac:dyDescent="0.25">
      <c r="A485">
        <v>809</v>
      </c>
      <c r="B485" t="s">
        <v>84</v>
      </c>
      <c r="C485">
        <v>202602</v>
      </c>
      <c r="D485">
        <v>33073</v>
      </c>
      <c r="E485">
        <v>22.063375583722483</v>
      </c>
      <c r="F485">
        <v>1499</v>
      </c>
    </row>
    <row r="486" spans="1:6" x14ac:dyDescent="0.25">
      <c r="A486">
        <v>810</v>
      </c>
      <c r="B486" t="s">
        <v>84</v>
      </c>
      <c r="C486">
        <v>202602</v>
      </c>
      <c r="D486">
        <v>10020</v>
      </c>
      <c r="E486">
        <v>5.3468516542155813</v>
      </c>
      <c r="F486">
        <v>1874</v>
      </c>
    </row>
    <row r="487" spans="1:6" x14ac:dyDescent="0.25">
      <c r="A487">
        <v>750</v>
      </c>
      <c r="B487" t="s">
        <v>84</v>
      </c>
      <c r="C487">
        <v>202602</v>
      </c>
      <c r="D487">
        <v>41019</v>
      </c>
      <c r="E487">
        <v>6.672783262650861</v>
      </c>
      <c r="F487">
        <v>6147.21</v>
      </c>
    </row>
    <row r="488" spans="1:6" x14ac:dyDescent="0.25">
      <c r="A488">
        <v>682</v>
      </c>
      <c r="B488" t="s">
        <v>85</v>
      </c>
      <c r="C488">
        <v>202602</v>
      </c>
      <c r="D488">
        <v>3645</v>
      </c>
      <c r="E488">
        <v>3.3275212021069733</v>
      </c>
      <c r="F488">
        <v>1095.4100000000001</v>
      </c>
    </row>
    <row r="489" spans="1:6" x14ac:dyDescent="0.25">
      <c r="A489">
        <v>683</v>
      </c>
      <c r="B489" t="s">
        <v>85</v>
      </c>
      <c r="C489">
        <v>202602</v>
      </c>
      <c r="D489">
        <v>5415</v>
      </c>
      <c r="E489">
        <v>4.9433545430478079</v>
      </c>
      <c r="F489">
        <v>1095.4100000000001</v>
      </c>
    </row>
    <row r="490" spans="1:6" x14ac:dyDescent="0.25">
      <c r="A490">
        <v>684</v>
      </c>
      <c r="B490" t="s">
        <v>85</v>
      </c>
      <c r="C490">
        <v>202602</v>
      </c>
      <c r="D490">
        <v>92153</v>
      </c>
      <c r="E490">
        <v>21.926207567685893</v>
      </c>
      <c r="F490">
        <v>4202.87</v>
      </c>
    </row>
    <row r="491" spans="1:6" x14ac:dyDescent="0.25">
      <c r="A491">
        <v>686</v>
      </c>
      <c r="B491" t="s">
        <v>85</v>
      </c>
      <c r="C491">
        <v>202602</v>
      </c>
      <c r="D491">
        <v>40678</v>
      </c>
      <c r="E491">
        <v>6.536949723435507</v>
      </c>
      <c r="F491">
        <v>6222.78</v>
      </c>
    </row>
    <row r="492" spans="1:6" x14ac:dyDescent="0.25">
      <c r="A492">
        <v>708</v>
      </c>
      <c r="B492" t="s">
        <v>85</v>
      </c>
      <c r="C492">
        <v>202602</v>
      </c>
      <c r="D492">
        <v>364157</v>
      </c>
      <c r="E492">
        <v>83.42982430014456</v>
      </c>
      <c r="F492">
        <v>4364.83</v>
      </c>
    </row>
    <row r="493" spans="1:6" x14ac:dyDescent="0.25">
      <c r="A493">
        <v>710</v>
      </c>
      <c r="B493" t="s">
        <v>85</v>
      </c>
      <c r="C493">
        <v>202602</v>
      </c>
      <c r="D493">
        <v>255272</v>
      </c>
      <c r="E493">
        <v>37.052326003338415</v>
      </c>
      <c r="F493">
        <v>6889.5</v>
      </c>
    </row>
    <row r="494" spans="1:6" x14ac:dyDescent="0.25">
      <c r="A494">
        <v>809</v>
      </c>
      <c r="B494" t="s">
        <v>85</v>
      </c>
      <c r="C494">
        <v>202602</v>
      </c>
      <c r="D494">
        <v>38997</v>
      </c>
      <c r="E494">
        <v>26.015343562374916</v>
      </c>
      <c r="F494">
        <v>1499</v>
      </c>
    </row>
    <row r="495" spans="1:6" x14ac:dyDescent="0.25">
      <c r="A495">
        <v>810</v>
      </c>
      <c r="B495" t="s">
        <v>85</v>
      </c>
      <c r="C495">
        <v>202602</v>
      </c>
      <c r="D495">
        <v>12855</v>
      </c>
      <c r="E495">
        <v>6.8596584845250801</v>
      </c>
      <c r="F495">
        <v>1874</v>
      </c>
    </row>
    <row r="496" spans="1:6" x14ac:dyDescent="0.25">
      <c r="A496">
        <v>750</v>
      </c>
      <c r="B496" t="s">
        <v>85</v>
      </c>
      <c r="C496">
        <v>202602</v>
      </c>
      <c r="D496">
        <v>49902</v>
      </c>
      <c r="E496">
        <v>8.1178290639168011</v>
      </c>
      <c r="F496">
        <v>6147.21</v>
      </c>
    </row>
    <row r="497" spans="1:6" x14ac:dyDescent="0.25">
      <c r="A497">
        <v>682</v>
      </c>
      <c r="B497" t="s">
        <v>86</v>
      </c>
      <c r="C497">
        <v>202602</v>
      </c>
      <c r="D497">
        <v>2749</v>
      </c>
      <c r="E497">
        <v>2.5095626295177147</v>
      </c>
      <c r="F497">
        <v>1095.4100000000001</v>
      </c>
    </row>
    <row r="498" spans="1:6" x14ac:dyDescent="0.25">
      <c r="A498">
        <v>683</v>
      </c>
      <c r="B498" t="s">
        <v>86</v>
      </c>
      <c r="C498">
        <v>202602</v>
      </c>
      <c r="D498">
        <v>5370</v>
      </c>
      <c r="E498">
        <v>4.902274034379821</v>
      </c>
      <c r="F498">
        <v>1095.4100000000001</v>
      </c>
    </row>
    <row r="499" spans="1:6" x14ac:dyDescent="0.25">
      <c r="A499">
        <v>684</v>
      </c>
      <c r="B499" t="s">
        <v>86</v>
      </c>
      <c r="C499">
        <v>202602</v>
      </c>
      <c r="D499">
        <v>53271</v>
      </c>
      <c r="E499">
        <v>12.674910239907492</v>
      </c>
      <c r="F499">
        <v>4202.87</v>
      </c>
    </row>
    <row r="500" spans="1:6" x14ac:dyDescent="0.25">
      <c r="A500">
        <v>686</v>
      </c>
      <c r="B500" t="s">
        <v>86</v>
      </c>
      <c r="C500">
        <v>202602</v>
      </c>
      <c r="D500">
        <v>15064</v>
      </c>
      <c r="E500">
        <v>2.4207829940958865</v>
      </c>
      <c r="F500">
        <v>6222.78</v>
      </c>
    </row>
    <row r="501" spans="1:6" x14ac:dyDescent="0.25">
      <c r="A501">
        <v>708</v>
      </c>
      <c r="B501" t="s">
        <v>86</v>
      </c>
      <c r="C501">
        <v>202602</v>
      </c>
      <c r="D501">
        <v>258856</v>
      </c>
      <c r="E501">
        <v>59.304944293363086</v>
      </c>
      <c r="F501">
        <v>4364.83</v>
      </c>
    </row>
    <row r="502" spans="1:6" x14ac:dyDescent="0.25">
      <c r="A502">
        <v>710</v>
      </c>
      <c r="B502" t="s">
        <v>86</v>
      </c>
      <c r="C502">
        <v>202602</v>
      </c>
      <c r="D502">
        <v>160300</v>
      </c>
      <c r="E502">
        <v>23.267290804847956</v>
      </c>
      <c r="F502">
        <v>6889.5</v>
      </c>
    </row>
    <row r="503" spans="1:6" x14ac:dyDescent="0.25">
      <c r="A503">
        <v>809</v>
      </c>
      <c r="B503" t="s">
        <v>86</v>
      </c>
      <c r="C503">
        <v>202602</v>
      </c>
      <c r="D503">
        <v>10356</v>
      </c>
      <c r="E503">
        <v>6.9086057371581058</v>
      </c>
      <c r="F503">
        <v>1499</v>
      </c>
    </row>
    <row r="504" spans="1:6" x14ac:dyDescent="0.25">
      <c r="A504">
        <v>810</v>
      </c>
      <c r="B504" t="s">
        <v>86</v>
      </c>
      <c r="C504">
        <v>202602</v>
      </c>
      <c r="D504">
        <v>3687</v>
      </c>
      <c r="E504">
        <v>1.9674493062966916</v>
      </c>
      <c r="F504">
        <v>1874</v>
      </c>
    </row>
    <row r="505" spans="1:6" x14ac:dyDescent="0.25">
      <c r="A505">
        <v>750</v>
      </c>
      <c r="B505" t="s">
        <v>86</v>
      </c>
      <c r="C505">
        <v>202602</v>
      </c>
      <c r="D505">
        <v>12826</v>
      </c>
      <c r="E505">
        <v>2.0864750024808001</v>
      </c>
      <c r="F505">
        <v>6147.21</v>
      </c>
    </row>
    <row r="506" spans="1:6" x14ac:dyDescent="0.25">
      <c r="A506">
        <v>682</v>
      </c>
      <c r="B506" t="s">
        <v>87</v>
      </c>
      <c r="C506">
        <v>202602</v>
      </c>
      <c r="D506">
        <v>5022</v>
      </c>
      <c r="E506">
        <v>4.5845847673473852</v>
      </c>
      <c r="F506">
        <v>1095.4100000000001</v>
      </c>
    </row>
    <row r="507" spans="1:6" x14ac:dyDescent="0.25">
      <c r="A507">
        <v>683</v>
      </c>
      <c r="B507" t="s">
        <v>87</v>
      </c>
      <c r="C507">
        <v>202602</v>
      </c>
      <c r="D507">
        <v>7871</v>
      </c>
      <c r="E507">
        <v>7.1854374161272947</v>
      </c>
      <c r="F507">
        <v>1095.4100000000001</v>
      </c>
    </row>
    <row r="508" spans="1:6" x14ac:dyDescent="0.25">
      <c r="A508">
        <v>684</v>
      </c>
      <c r="B508" t="s">
        <v>87</v>
      </c>
      <c r="C508">
        <v>202602</v>
      </c>
      <c r="D508">
        <v>68832</v>
      </c>
      <c r="E508">
        <v>16.377380218755281</v>
      </c>
      <c r="F508">
        <v>4202.87</v>
      </c>
    </row>
    <row r="509" spans="1:6" x14ac:dyDescent="0.25">
      <c r="A509">
        <v>686</v>
      </c>
      <c r="B509" t="s">
        <v>87</v>
      </c>
      <c r="C509">
        <v>202602</v>
      </c>
      <c r="D509">
        <v>41462</v>
      </c>
      <c r="E509">
        <v>6.6629384294479319</v>
      </c>
      <c r="F509">
        <v>6222.78</v>
      </c>
    </row>
    <row r="510" spans="1:6" x14ac:dyDescent="0.25">
      <c r="A510">
        <v>708</v>
      </c>
      <c r="B510" t="s">
        <v>87</v>
      </c>
      <c r="C510">
        <v>202602</v>
      </c>
      <c r="D510">
        <v>321882</v>
      </c>
      <c r="E510">
        <v>73.744452819468336</v>
      </c>
      <c r="F510">
        <v>4364.83</v>
      </c>
    </row>
    <row r="511" spans="1:6" x14ac:dyDescent="0.25">
      <c r="A511">
        <v>710</v>
      </c>
      <c r="B511" t="s">
        <v>87</v>
      </c>
      <c r="C511">
        <v>202602</v>
      </c>
      <c r="D511">
        <v>207213</v>
      </c>
      <c r="E511">
        <v>30.076638362725888</v>
      </c>
      <c r="F511">
        <v>6889.5</v>
      </c>
    </row>
    <row r="512" spans="1:6" x14ac:dyDescent="0.25">
      <c r="A512">
        <v>809</v>
      </c>
      <c r="B512" t="s">
        <v>87</v>
      </c>
      <c r="C512">
        <v>202602</v>
      </c>
      <c r="D512">
        <v>23788</v>
      </c>
      <c r="E512">
        <v>15.869246164109406</v>
      </c>
      <c r="F512">
        <v>1499</v>
      </c>
    </row>
    <row r="513" spans="1:6" x14ac:dyDescent="0.25">
      <c r="A513">
        <v>810</v>
      </c>
      <c r="B513" t="s">
        <v>87</v>
      </c>
      <c r="C513">
        <v>202602</v>
      </c>
      <c r="D513">
        <v>5709</v>
      </c>
      <c r="E513">
        <v>3.0464247598719316</v>
      </c>
      <c r="F513">
        <v>1874</v>
      </c>
    </row>
    <row r="514" spans="1:6" x14ac:dyDescent="0.25">
      <c r="A514">
        <v>750</v>
      </c>
      <c r="B514" t="s">
        <v>87</v>
      </c>
      <c r="C514">
        <v>202602</v>
      </c>
      <c r="D514">
        <v>37287</v>
      </c>
      <c r="E514">
        <v>6.0656785761345393</v>
      </c>
      <c r="F514">
        <v>6147.21</v>
      </c>
    </row>
    <row r="515" spans="1:6" x14ac:dyDescent="0.25">
      <c r="A515">
        <v>682</v>
      </c>
      <c r="B515" t="s">
        <v>88</v>
      </c>
      <c r="C515">
        <v>202602</v>
      </c>
      <c r="D515">
        <v>6224</v>
      </c>
      <c r="E515">
        <v>5.6818907988789578</v>
      </c>
      <c r="F515">
        <v>1095.4100000000001</v>
      </c>
    </row>
    <row r="516" spans="1:6" x14ac:dyDescent="0.25">
      <c r="A516">
        <v>683</v>
      </c>
      <c r="B516" t="s">
        <v>88</v>
      </c>
      <c r="C516">
        <v>202602</v>
      </c>
      <c r="D516">
        <v>5780</v>
      </c>
      <c r="E516">
        <v>5.2765631133548165</v>
      </c>
      <c r="F516">
        <v>1095.4100000000001</v>
      </c>
    </row>
    <row r="517" spans="1:6" x14ac:dyDescent="0.25">
      <c r="A517">
        <v>684</v>
      </c>
      <c r="B517" t="s">
        <v>88</v>
      </c>
      <c r="C517">
        <v>202602</v>
      </c>
      <c r="D517">
        <v>29037</v>
      </c>
      <c r="E517">
        <v>6.9088503808112076</v>
      </c>
      <c r="F517">
        <v>4202.87</v>
      </c>
    </row>
    <row r="518" spans="1:6" x14ac:dyDescent="0.25">
      <c r="A518">
        <v>686</v>
      </c>
      <c r="B518" t="s">
        <v>88</v>
      </c>
      <c r="C518">
        <v>202602</v>
      </c>
      <c r="D518">
        <v>14511</v>
      </c>
      <c r="E518">
        <v>2.3319159603906936</v>
      </c>
      <c r="F518">
        <v>6222.78</v>
      </c>
    </row>
    <row r="519" spans="1:6" x14ac:dyDescent="0.25">
      <c r="A519">
        <v>708</v>
      </c>
      <c r="B519" t="s">
        <v>88</v>
      </c>
      <c r="C519">
        <v>202602</v>
      </c>
      <c r="D519">
        <v>197627</v>
      </c>
      <c r="E519">
        <v>45.277135650185691</v>
      </c>
      <c r="F519">
        <v>4364.83</v>
      </c>
    </row>
    <row r="520" spans="1:6" x14ac:dyDescent="0.25">
      <c r="A520">
        <v>710</v>
      </c>
      <c r="B520" t="s">
        <v>88</v>
      </c>
      <c r="C520">
        <v>202602</v>
      </c>
      <c r="D520">
        <v>124301</v>
      </c>
      <c r="E520">
        <v>18.042093040133537</v>
      </c>
      <c r="F520">
        <v>6889.5</v>
      </c>
    </row>
    <row r="521" spans="1:6" x14ac:dyDescent="0.25">
      <c r="A521">
        <v>809</v>
      </c>
      <c r="B521" t="s">
        <v>88</v>
      </c>
      <c r="C521">
        <v>202602</v>
      </c>
      <c r="D521">
        <v>18257</v>
      </c>
      <c r="E521">
        <v>12.179452968645764</v>
      </c>
      <c r="F521">
        <v>1499</v>
      </c>
    </row>
    <row r="522" spans="1:6" x14ac:dyDescent="0.25">
      <c r="A522">
        <v>810</v>
      </c>
      <c r="B522" t="s">
        <v>88</v>
      </c>
      <c r="C522">
        <v>202602</v>
      </c>
      <c r="D522">
        <v>3000</v>
      </c>
      <c r="E522">
        <v>1.6008537886873</v>
      </c>
      <c r="F522">
        <v>1874</v>
      </c>
    </row>
    <row r="523" spans="1:6" x14ac:dyDescent="0.25">
      <c r="A523">
        <v>750</v>
      </c>
      <c r="B523" t="s">
        <v>88</v>
      </c>
      <c r="C523">
        <v>202602</v>
      </c>
      <c r="D523">
        <v>21678</v>
      </c>
      <c r="E523">
        <v>3.5264778655682822</v>
      </c>
      <c r="F523">
        <v>6147.21</v>
      </c>
    </row>
    <row r="524" spans="1:6" x14ac:dyDescent="0.25">
      <c r="A524">
        <v>682</v>
      </c>
      <c r="B524" t="s">
        <v>89</v>
      </c>
      <c r="C524">
        <v>202602</v>
      </c>
      <c r="D524">
        <v>5576</v>
      </c>
      <c r="E524">
        <v>5.0903314740599406</v>
      </c>
      <c r="F524">
        <v>1095.4100000000001</v>
      </c>
    </row>
    <row r="525" spans="1:6" x14ac:dyDescent="0.25">
      <c r="A525">
        <v>683</v>
      </c>
      <c r="B525" t="s">
        <v>89</v>
      </c>
      <c r="C525">
        <v>202602</v>
      </c>
      <c r="D525">
        <v>4103</v>
      </c>
      <c r="E525">
        <v>3.745629490327822</v>
      </c>
      <c r="F525">
        <v>1095.4100000000001</v>
      </c>
    </row>
    <row r="526" spans="1:6" x14ac:dyDescent="0.25">
      <c r="A526">
        <v>684</v>
      </c>
      <c r="B526" t="s">
        <v>89</v>
      </c>
      <c r="C526">
        <v>202602</v>
      </c>
      <c r="D526">
        <v>46059</v>
      </c>
      <c r="E526">
        <v>10.958939962454227</v>
      </c>
      <c r="F526">
        <v>4202.87</v>
      </c>
    </row>
    <row r="527" spans="1:6" x14ac:dyDescent="0.25">
      <c r="A527">
        <v>686</v>
      </c>
      <c r="B527" t="s">
        <v>89</v>
      </c>
      <c r="C527">
        <v>202602</v>
      </c>
      <c r="D527">
        <v>21720</v>
      </c>
      <c r="E527">
        <v>3.4904013961605584</v>
      </c>
      <c r="F527">
        <v>6222.78</v>
      </c>
    </row>
    <row r="528" spans="1:6" x14ac:dyDescent="0.25">
      <c r="A528">
        <v>708</v>
      </c>
      <c r="B528" t="s">
        <v>89</v>
      </c>
      <c r="C528">
        <v>202602</v>
      </c>
      <c r="D528">
        <v>279030</v>
      </c>
      <c r="E528">
        <v>63.926888332420738</v>
      </c>
      <c r="F528">
        <v>4364.83</v>
      </c>
    </row>
    <row r="529" spans="1:6" x14ac:dyDescent="0.25">
      <c r="A529">
        <v>710</v>
      </c>
      <c r="B529" t="s">
        <v>89</v>
      </c>
      <c r="C529">
        <v>202602</v>
      </c>
      <c r="D529">
        <v>155955</v>
      </c>
      <c r="E529">
        <v>22.636620944916178</v>
      </c>
      <c r="F529">
        <v>6889.5</v>
      </c>
    </row>
    <row r="530" spans="1:6" x14ac:dyDescent="0.25">
      <c r="A530">
        <v>809</v>
      </c>
      <c r="B530" t="s">
        <v>89</v>
      </c>
      <c r="C530">
        <v>202602</v>
      </c>
      <c r="D530">
        <v>17457</v>
      </c>
      <c r="E530">
        <v>11.645763842561708</v>
      </c>
      <c r="F530">
        <v>1499</v>
      </c>
    </row>
    <row r="531" spans="1:6" x14ac:dyDescent="0.25">
      <c r="A531">
        <v>810</v>
      </c>
      <c r="B531" t="s">
        <v>89</v>
      </c>
      <c r="C531">
        <v>202602</v>
      </c>
      <c r="D531">
        <v>4143</v>
      </c>
      <c r="E531">
        <v>2.2107790821771611</v>
      </c>
      <c r="F531">
        <v>1874</v>
      </c>
    </row>
    <row r="532" spans="1:6" x14ac:dyDescent="0.25">
      <c r="A532">
        <v>750</v>
      </c>
      <c r="B532" t="s">
        <v>89</v>
      </c>
      <c r="C532">
        <v>202602</v>
      </c>
      <c r="D532">
        <v>15740</v>
      </c>
      <c r="E532">
        <v>2.5605111912558707</v>
      </c>
      <c r="F532">
        <v>6147.21</v>
      </c>
    </row>
    <row r="533" spans="1:6" x14ac:dyDescent="0.25">
      <c r="A533">
        <v>682</v>
      </c>
      <c r="B533" t="s">
        <v>90</v>
      </c>
      <c r="C533">
        <v>202602</v>
      </c>
      <c r="D533">
        <v>4363</v>
      </c>
      <c r="E533">
        <v>3.9829835404095268</v>
      </c>
      <c r="F533">
        <v>1095.4100000000001</v>
      </c>
    </row>
    <row r="534" spans="1:6" x14ac:dyDescent="0.25">
      <c r="A534">
        <v>683</v>
      </c>
      <c r="B534" t="s">
        <v>90</v>
      </c>
      <c r="C534">
        <v>202602</v>
      </c>
      <c r="D534">
        <v>9856</v>
      </c>
      <c r="E534">
        <v>8.9975442984818468</v>
      </c>
      <c r="F534">
        <v>1095.4100000000001</v>
      </c>
    </row>
    <row r="535" spans="1:6" x14ac:dyDescent="0.25">
      <c r="A535">
        <v>684</v>
      </c>
      <c r="B535" t="s">
        <v>90</v>
      </c>
      <c r="C535">
        <v>202602</v>
      </c>
      <c r="D535">
        <v>40024</v>
      </c>
      <c r="E535">
        <v>9.5230164149735774</v>
      </c>
      <c r="F535">
        <v>4202.87</v>
      </c>
    </row>
    <row r="536" spans="1:6" x14ac:dyDescent="0.25">
      <c r="A536">
        <v>686</v>
      </c>
      <c r="B536" t="s">
        <v>90</v>
      </c>
      <c r="C536">
        <v>202602</v>
      </c>
      <c r="D536">
        <v>17770</v>
      </c>
      <c r="E536">
        <v>2.8556368696948953</v>
      </c>
      <c r="F536">
        <v>6222.78</v>
      </c>
    </row>
    <row r="537" spans="1:6" x14ac:dyDescent="0.25">
      <c r="A537">
        <v>708</v>
      </c>
      <c r="B537" t="s">
        <v>90</v>
      </c>
      <c r="C537">
        <v>202602</v>
      </c>
      <c r="D537">
        <v>343253</v>
      </c>
      <c r="E537">
        <v>78.640634343147383</v>
      </c>
      <c r="F537">
        <v>4364.83</v>
      </c>
    </row>
    <row r="538" spans="1:6" x14ac:dyDescent="0.25">
      <c r="A538">
        <v>710</v>
      </c>
      <c r="B538" t="s">
        <v>90</v>
      </c>
      <c r="C538">
        <v>202602</v>
      </c>
      <c r="D538">
        <v>165126</v>
      </c>
      <c r="E538">
        <v>23.967777052035707</v>
      </c>
      <c r="F538">
        <v>6889.5</v>
      </c>
    </row>
    <row r="539" spans="1:6" x14ac:dyDescent="0.25">
      <c r="A539">
        <v>809</v>
      </c>
      <c r="B539" t="s">
        <v>90</v>
      </c>
      <c r="C539">
        <v>202602</v>
      </c>
      <c r="D539">
        <v>32632</v>
      </c>
      <c r="E539">
        <v>21.769179452968647</v>
      </c>
      <c r="F539">
        <v>1499</v>
      </c>
    </row>
    <row r="540" spans="1:6" x14ac:dyDescent="0.25">
      <c r="A540">
        <v>810</v>
      </c>
      <c r="B540" t="s">
        <v>90</v>
      </c>
      <c r="C540">
        <v>202602</v>
      </c>
      <c r="D540">
        <v>8012</v>
      </c>
      <c r="E540">
        <v>4.2753468516542155</v>
      </c>
      <c r="F540">
        <v>1874</v>
      </c>
    </row>
    <row r="541" spans="1:6" x14ac:dyDescent="0.25">
      <c r="A541">
        <v>750</v>
      </c>
      <c r="B541" t="s">
        <v>90</v>
      </c>
      <c r="C541">
        <v>202602</v>
      </c>
      <c r="D541">
        <v>37147</v>
      </c>
      <c r="E541">
        <v>6.0429040166189214</v>
      </c>
      <c r="F541">
        <v>6147.21</v>
      </c>
    </row>
    <row r="542" spans="1:6" x14ac:dyDescent="0.25">
      <c r="A542">
        <v>682</v>
      </c>
      <c r="B542" t="s">
        <v>91</v>
      </c>
      <c r="C542">
        <v>202602</v>
      </c>
      <c r="D542">
        <v>5528</v>
      </c>
      <c r="E542">
        <v>5.0465122648140879</v>
      </c>
      <c r="F542">
        <v>1095.4100000000001</v>
      </c>
    </row>
    <row r="543" spans="1:6" x14ac:dyDescent="0.25">
      <c r="A543">
        <v>683</v>
      </c>
      <c r="B543" t="s">
        <v>91</v>
      </c>
      <c r="C543">
        <v>202602</v>
      </c>
      <c r="D543">
        <v>9968</v>
      </c>
      <c r="E543">
        <v>9.0997891200555028</v>
      </c>
      <c r="F543">
        <v>1095.4100000000001</v>
      </c>
    </row>
    <row r="544" spans="1:6" x14ac:dyDescent="0.25">
      <c r="A544">
        <v>684</v>
      </c>
      <c r="B544" t="s">
        <v>91</v>
      </c>
      <c r="C544">
        <v>202602</v>
      </c>
      <c r="D544">
        <v>97783</v>
      </c>
      <c r="E544">
        <v>23.265768391599075</v>
      </c>
      <c r="F544">
        <v>4202.87</v>
      </c>
    </row>
    <row r="545" spans="1:6" x14ac:dyDescent="0.25">
      <c r="A545">
        <v>686</v>
      </c>
      <c r="B545" t="s">
        <v>91</v>
      </c>
      <c r="C545">
        <v>202602</v>
      </c>
      <c r="D545">
        <v>31229</v>
      </c>
      <c r="E545">
        <v>5.0184965562015691</v>
      </c>
      <c r="F545">
        <v>6222.78</v>
      </c>
    </row>
    <row r="546" spans="1:6" x14ac:dyDescent="0.25">
      <c r="A546">
        <v>708</v>
      </c>
      <c r="B546" t="s">
        <v>91</v>
      </c>
      <c r="C546">
        <v>202602</v>
      </c>
      <c r="D546">
        <v>286928</v>
      </c>
      <c r="E546">
        <v>65.736351702128147</v>
      </c>
      <c r="F546">
        <v>4364.83</v>
      </c>
    </row>
    <row r="547" spans="1:6" x14ac:dyDescent="0.25">
      <c r="A547">
        <v>710</v>
      </c>
      <c r="B547" t="s">
        <v>91</v>
      </c>
      <c r="C547">
        <v>202602</v>
      </c>
      <c r="D547">
        <v>176949</v>
      </c>
      <c r="E547">
        <v>25.683866753755716</v>
      </c>
      <c r="F547">
        <v>6889.5</v>
      </c>
    </row>
    <row r="548" spans="1:6" x14ac:dyDescent="0.25">
      <c r="A548">
        <v>809</v>
      </c>
      <c r="B548" t="s">
        <v>91</v>
      </c>
      <c r="C548">
        <v>202602</v>
      </c>
      <c r="D548">
        <v>17234</v>
      </c>
      <c r="E548">
        <v>11.496997998665778</v>
      </c>
      <c r="F548">
        <v>1499</v>
      </c>
    </row>
    <row r="549" spans="1:6" x14ac:dyDescent="0.25">
      <c r="A549">
        <v>810</v>
      </c>
      <c r="B549" t="s">
        <v>91</v>
      </c>
      <c r="C549">
        <v>202602</v>
      </c>
      <c r="D549">
        <v>5259</v>
      </c>
      <c r="E549">
        <v>2.8062966915688365</v>
      </c>
      <c r="F549">
        <v>1874</v>
      </c>
    </row>
    <row r="550" spans="1:6" x14ac:dyDescent="0.25">
      <c r="A550">
        <v>750</v>
      </c>
      <c r="B550" t="s">
        <v>91</v>
      </c>
      <c r="C550">
        <v>202602</v>
      </c>
      <c r="D550">
        <v>45787</v>
      </c>
      <c r="E550">
        <v>7.4484196895827539</v>
      </c>
      <c r="F550">
        <v>6147.21</v>
      </c>
    </row>
    <row r="551" spans="1:6" x14ac:dyDescent="0.25">
      <c r="A551">
        <v>682</v>
      </c>
      <c r="B551" t="s">
        <v>92</v>
      </c>
      <c r="C551">
        <v>202602</v>
      </c>
      <c r="D551">
        <v>9794</v>
      </c>
      <c r="E551">
        <v>8.9409444865392853</v>
      </c>
      <c r="F551">
        <v>1095.4100000000001</v>
      </c>
    </row>
    <row r="552" spans="1:6" x14ac:dyDescent="0.25">
      <c r="A552">
        <v>683</v>
      </c>
      <c r="B552" t="s">
        <v>92</v>
      </c>
      <c r="C552">
        <v>202602</v>
      </c>
      <c r="D552">
        <v>7473</v>
      </c>
      <c r="E552">
        <v>6.8221031394637617</v>
      </c>
      <c r="F552">
        <v>1095.4100000000001</v>
      </c>
    </row>
    <row r="553" spans="1:6" x14ac:dyDescent="0.25">
      <c r="A553">
        <v>684</v>
      </c>
      <c r="B553" t="s">
        <v>92</v>
      </c>
      <c r="C553">
        <v>202602</v>
      </c>
      <c r="D553">
        <v>102993</v>
      </c>
      <c r="E553">
        <v>24.505397502183033</v>
      </c>
      <c r="F553">
        <v>4202.87</v>
      </c>
    </row>
    <row r="554" spans="1:6" x14ac:dyDescent="0.25">
      <c r="A554">
        <v>686</v>
      </c>
      <c r="B554" t="s">
        <v>92</v>
      </c>
      <c r="C554">
        <v>202602</v>
      </c>
      <c r="D554">
        <v>46140</v>
      </c>
      <c r="E554">
        <v>7.4146924686394184</v>
      </c>
      <c r="F554">
        <v>6222.78</v>
      </c>
    </row>
    <row r="555" spans="1:6" x14ac:dyDescent="0.25">
      <c r="A555">
        <v>708</v>
      </c>
      <c r="B555" t="s">
        <v>92</v>
      </c>
      <c r="C555">
        <v>202602</v>
      </c>
      <c r="D555">
        <v>463874</v>
      </c>
      <c r="E555">
        <v>106.27538758668723</v>
      </c>
      <c r="F555">
        <v>4364.83</v>
      </c>
    </row>
    <row r="556" spans="1:6" x14ac:dyDescent="0.25">
      <c r="A556">
        <v>710</v>
      </c>
      <c r="B556" t="s">
        <v>92</v>
      </c>
      <c r="C556">
        <v>202602</v>
      </c>
      <c r="D556">
        <v>262056</v>
      </c>
      <c r="E556">
        <v>38.037012845634663</v>
      </c>
      <c r="F556">
        <v>6889.5</v>
      </c>
    </row>
    <row r="557" spans="1:6" x14ac:dyDescent="0.25">
      <c r="A557">
        <v>809</v>
      </c>
      <c r="B557" t="s">
        <v>92</v>
      </c>
      <c r="C557">
        <v>202602</v>
      </c>
      <c r="D557">
        <v>38326</v>
      </c>
      <c r="E557">
        <v>25.567711807871916</v>
      </c>
      <c r="F557">
        <v>1499</v>
      </c>
    </row>
    <row r="558" spans="1:6" x14ac:dyDescent="0.25">
      <c r="A558">
        <v>810</v>
      </c>
      <c r="B558" t="s">
        <v>92</v>
      </c>
      <c r="C558">
        <v>202602</v>
      </c>
      <c r="D558">
        <v>9984</v>
      </c>
      <c r="E558">
        <v>5.327641408751334</v>
      </c>
      <c r="F558">
        <v>1874</v>
      </c>
    </row>
    <row r="559" spans="1:6" x14ac:dyDescent="0.25">
      <c r="A559">
        <v>750</v>
      </c>
      <c r="B559" t="s">
        <v>92</v>
      </c>
      <c r="C559">
        <v>202602</v>
      </c>
      <c r="D559">
        <v>55583</v>
      </c>
      <c r="E559">
        <v>9.0419881539755433</v>
      </c>
      <c r="F559">
        <v>6147.21</v>
      </c>
    </row>
    <row r="560" spans="1:6" x14ac:dyDescent="0.25">
      <c r="A560">
        <v>682</v>
      </c>
      <c r="B560" t="s">
        <v>93</v>
      </c>
      <c r="C560">
        <v>202602</v>
      </c>
      <c r="D560">
        <v>5036</v>
      </c>
      <c r="E560">
        <v>4.5973653700440931</v>
      </c>
      <c r="F560">
        <v>1095.4100000000001</v>
      </c>
    </row>
    <row r="561" spans="1:6" x14ac:dyDescent="0.25">
      <c r="A561">
        <v>683</v>
      </c>
      <c r="B561" t="s">
        <v>93</v>
      </c>
      <c r="C561">
        <v>202602</v>
      </c>
      <c r="D561">
        <v>4996</v>
      </c>
      <c r="E561">
        <v>4.5608493623392148</v>
      </c>
      <c r="F561">
        <v>1095.4100000000001</v>
      </c>
    </row>
    <row r="562" spans="1:6" x14ac:dyDescent="0.25">
      <c r="A562">
        <v>684</v>
      </c>
      <c r="B562" t="s">
        <v>93</v>
      </c>
      <c r="C562">
        <v>202602</v>
      </c>
      <c r="D562">
        <v>74015</v>
      </c>
      <c r="E562">
        <v>17.610585147768074</v>
      </c>
      <c r="F562">
        <v>4202.87</v>
      </c>
    </row>
    <row r="563" spans="1:6" x14ac:dyDescent="0.25">
      <c r="A563">
        <v>686</v>
      </c>
      <c r="B563" t="s">
        <v>93</v>
      </c>
      <c r="C563">
        <v>202602</v>
      </c>
      <c r="D563">
        <v>28912</v>
      </c>
      <c r="E563">
        <v>4.6461549339684192</v>
      </c>
      <c r="F563">
        <v>6222.78</v>
      </c>
    </row>
    <row r="564" spans="1:6" x14ac:dyDescent="0.25">
      <c r="A564">
        <v>708</v>
      </c>
      <c r="B564" t="s">
        <v>93</v>
      </c>
      <c r="C564">
        <v>202602</v>
      </c>
      <c r="D564">
        <v>279360</v>
      </c>
      <c r="E564">
        <v>64.002492651489291</v>
      </c>
      <c r="F564">
        <v>4364.83</v>
      </c>
    </row>
    <row r="565" spans="1:6" x14ac:dyDescent="0.25">
      <c r="A565">
        <v>710</v>
      </c>
      <c r="B565" t="s">
        <v>93</v>
      </c>
      <c r="C565">
        <v>202602</v>
      </c>
      <c r="D565">
        <v>176922</v>
      </c>
      <c r="E565">
        <v>25.679947746570868</v>
      </c>
      <c r="F565">
        <v>6889.5</v>
      </c>
    </row>
    <row r="566" spans="1:6" x14ac:dyDescent="0.25">
      <c r="A566">
        <v>809</v>
      </c>
      <c r="B566" t="s">
        <v>93</v>
      </c>
      <c r="C566">
        <v>202602</v>
      </c>
      <c r="D566">
        <v>38600</v>
      </c>
      <c r="E566">
        <v>25.750500333555703</v>
      </c>
      <c r="F566">
        <v>1499</v>
      </c>
    </row>
    <row r="567" spans="1:6" x14ac:dyDescent="0.25">
      <c r="A567">
        <v>810</v>
      </c>
      <c r="B567" t="s">
        <v>93</v>
      </c>
      <c r="C567">
        <v>202602</v>
      </c>
      <c r="D567">
        <v>9476</v>
      </c>
      <c r="E567">
        <v>5.0565635005336178</v>
      </c>
      <c r="F567">
        <v>1874</v>
      </c>
    </row>
    <row r="568" spans="1:6" x14ac:dyDescent="0.25">
      <c r="A568">
        <v>750</v>
      </c>
      <c r="B568" t="s">
        <v>93</v>
      </c>
      <c r="C568">
        <v>202602</v>
      </c>
      <c r="D568">
        <v>34847</v>
      </c>
      <c r="E568">
        <v>5.668750538862346</v>
      </c>
      <c r="F568">
        <v>6147.21</v>
      </c>
    </row>
    <row r="569" spans="1:6" x14ac:dyDescent="0.25">
      <c r="A569">
        <v>682</v>
      </c>
      <c r="B569" t="s">
        <v>94</v>
      </c>
      <c r="C569">
        <v>202602</v>
      </c>
      <c r="D569">
        <v>6003</v>
      </c>
      <c r="E569">
        <v>5.480139856309509</v>
      </c>
      <c r="F569">
        <v>1095.4100000000001</v>
      </c>
    </row>
    <row r="570" spans="1:6" x14ac:dyDescent="0.25">
      <c r="A570">
        <v>683</v>
      </c>
      <c r="B570" t="s">
        <v>94</v>
      </c>
      <c r="C570">
        <v>202602</v>
      </c>
      <c r="D570">
        <v>3873</v>
      </c>
      <c r="E570">
        <v>3.5356624460247756</v>
      </c>
      <c r="F570">
        <v>1095.4100000000001</v>
      </c>
    </row>
    <row r="571" spans="1:6" x14ac:dyDescent="0.25">
      <c r="A571">
        <v>684</v>
      </c>
      <c r="B571" t="s">
        <v>94</v>
      </c>
      <c r="C571">
        <v>202602</v>
      </c>
      <c r="D571">
        <v>61626</v>
      </c>
      <c r="E571">
        <v>14.662837537206718</v>
      </c>
      <c r="F571">
        <v>4202.87</v>
      </c>
    </row>
    <row r="572" spans="1:6" x14ac:dyDescent="0.25">
      <c r="A572">
        <v>686</v>
      </c>
      <c r="B572" t="s">
        <v>94</v>
      </c>
      <c r="C572">
        <v>202602</v>
      </c>
      <c r="D572">
        <v>22322</v>
      </c>
      <c r="E572">
        <v>3.5871427239915281</v>
      </c>
      <c r="F572">
        <v>6222.78</v>
      </c>
    </row>
    <row r="573" spans="1:6" x14ac:dyDescent="0.25">
      <c r="A573">
        <v>708</v>
      </c>
      <c r="B573" t="s">
        <v>94</v>
      </c>
      <c r="C573">
        <v>202602</v>
      </c>
      <c r="D573">
        <v>352600</v>
      </c>
      <c r="E573">
        <v>80.782069404764911</v>
      </c>
      <c r="F573">
        <v>4364.83</v>
      </c>
    </row>
    <row r="574" spans="1:6" x14ac:dyDescent="0.25">
      <c r="A574">
        <v>710</v>
      </c>
      <c r="B574" t="s">
        <v>94</v>
      </c>
      <c r="C574">
        <v>202602</v>
      </c>
      <c r="D574">
        <v>153126</v>
      </c>
      <c r="E574">
        <v>22.225996080992815</v>
      </c>
      <c r="F574">
        <v>6889.5</v>
      </c>
    </row>
    <row r="575" spans="1:6" x14ac:dyDescent="0.25">
      <c r="A575">
        <v>809</v>
      </c>
      <c r="B575" t="s">
        <v>94</v>
      </c>
      <c r="C575">
        <v>202602</v>
      </c>
      <c r="D575">
        <v>25840</v>
      </c>
      <c r="E575">
        <v>17.23815877251501</v>
      </c>
      <c r="F575">
        <v>1499</v>
      </c>
    </row>
    <row r="576" spans="1:6" x14ac:dyDescent="0.25">
      <c r="A576">
        <v>810</v>
      </c>
      <c r="B576" t="s">
        <v>94</v>
      </c>
      <c r="C576">
        <v>202602</v>
      </c>
      <c r="D576">
        <v>5111</v>
      </c>
      <c r="E576">
        <v>2.7273212379935967</v>
      </c>
      <c r="F576">
        <v>1874</v>
      </c>
    </row>
    <row r="577" spans="1:6" x14ac:dyDescent="0.25">
      <c r="A577">
        <v>750</v>
      </c>
      <c r="B577" t="s">
        <v>94</v>
      </c>
      <c r="C577">
        <v>202602</v>
      </c>
      <c r="D577">
        <v>32181</v>
      </c>
      <c r="E577">
        <v>5.235057855514941</v>
      </c>
      <c r="F577">
        <v>6147.21</v>
      </c>
    </row>
    <row r="578" spans="1:6" x14ac:dyDescent="0.25">
      <c r="A578">
        <v>682</v>
      </c>
      <c r="B578" t="s">
        <v>95</v>
      </c>
      <c r="C578">
        <v>202602</v>
      </c>
      <c r="D578">
        <v>4768</v>
      </c>
      <c r="E578">
        <v>4.3527081184214129</v>
      </c>
      <c r="F578">
        <v>1095.4100000000001</v>
      </c>
    </row>
    <row r="579" spans="1:6" x14ac:dyDescent="0.25">
      <c r="A579">
        <v>683</v>
      </c>
      <c r="B579" t="s">
        <v>95</v>
      </c>
      <c r="C579">
        <v>202602</v>
      </c>
      <c r="D579">
        <v>4667</v>
      </c>
      <c r="E579">
        <v>4.2605051989665963</v>
      </c>
      <c r="F579">
        <v>1095.4100000000001</v>
      </c>
    </row>
    <row r="580" spans="1:6" x14ac:dyDescent="0.25">
      <c r="A580">
        <v>684</v>
      </c>
      <c r="B580" t="s">
        <v>95</v>
      </c>
      <c r="C580">
        <v>202602</v>
      </c>
      <c r="D580">
        <v>48628</v>
      </c>
      <c r="E580">
        <v>11.570188942317987</v>
      </c>
      <c r="F580">
        <v>4202.87</v>
      </c>
    </row>
    <row r="581" spans="1:6" x14ac:dyDescent="0.25">
      <c r="A581">
        <v>686</v>
      </c>
      <c r="B581" t="s">
        <v>95</v>
      </c>
      <c r="C581">
        <v>202602</v>
      </c>
      <c r="D581">
        <v>17381</v>
      </c>
      <c r="E581">
        <v>2.7931246163290364</v>
      </c>
      <c r="F581">
        <v>6222.78</v>
      </c>
    </row>
    <row r="582" spans="1:6" x14ac:dyDescent="0.25">
      <c r="A582">
        <v>708</v>
      </c>
      <c r="B582" t="s">
        <v>95</v>
      </c>
      <c r="C582">
        <v>202602</v>
      </c>
      <c r="D582">
        <v>193353</v>
      </c>
      <c r="E582">
        <v>44.297945166249313</v>
      </c>
      <c r="F582">
        <v>4364.83</v>
      </c>
    </row>
    <row r="583" spans="1:6" x14ac:dyDescent="0.25">
      <c r="A583">
        <v>710</v>
      </c>
      <c r="B583" t="s">
        <v>95</v>
      </c>
      <c r="C583">
        <v>202602</v>
      </c>
      <c r="D583">
        <v>136381</v>
      </c>
      <c r="E583">
        <v>19.795485884316715</v>
      </c>
      <c r="F583">
        <v>6889.5</v>
      </c>
    </row>
    <row r="584" spans="1:6" x14ac:dyDescent="0.25">
      <c r="A584">
        <v>809</v>
      </c>
      <c r="B584" t="s">
        <v>95</v>
      </c>
      <c r="C584">
        <v>202602</v>
      </c>
      <c r="D584">
        <v>19183</v>
      </c>
      <c r="E584">
        <v>12.797198132088059</v>
      </c>
      <c r="F584">
        <v>1499</v>
      </c>
    </row>
    <row r="585" spans="1:6" x14ac:dyDescent="0.25">
      <c r="A585">
        <v>810</v>
      </c>
      <c r="B585" t="s">
        <v>95</v>
      </c>
      <c r="C585">
        <v>202602</v>
      </c>
      <c r="D585">
        <v>6829</v>
      </c>
      <c r="E585">
        <v>3.6440768409818571</v>
      </c>
      <c r="F585">
        <v>1874</v>
      </c>
    </row>
    <row r="586" spans="1:6" x14ac:dyDescent="0.25">
      <c r="A586">
        <v>750</v>
      </c>
      <c r="B586" t="s">
        <v>95</v>
      </c>
      <c r="C586">
        <v>202602</v>
      </c>
      <c r="D586">
        <v>18994</v>
      </c>
      <c r="E586">
        <v>3.0898570245688695</v>
      </c>
      <c r="F586">
        <v>6147.21</v>
      </c>
    </row>
    <row r="587" spans="1:6" x14ac:dyDescent="0.25">
      <c r="A587">
        <v>682</v>
      </c>
      <c r="B587" t="s">
        <v>96</v>
      </c>
      <c r="C587">
        <v>202602</v>
      </c>
      <c r="D587">
        <v>5271</v>
      </c>
      <c r="E587">
        <v>4.8118969153102489</v>
      </c>
      <c r="F587">
        <v>1095.4100000000001</v>
      </c>
    </row>
    <row r="588" spans="1:6" x14ac:dyDescent="0.25">
      <c r="A588">
        <v>683</v>
      </c>
      <c r="B588" t="s">
        <v>96</v>
      </c>
      <c r="C588">
        <v>202602</v>
      </c>
      <c r="D588">
        <v>5366</v>
      </c>
      <c r="E588">
        <v>4.8986224336093329</v>
      </c>
      <c r="F588">
        <v>1095.4100000000001</v>
      </c>
    </row>
    <row r="589" spans="1:6" x14ac:dyDescent="0.25">
      <c r="A589">
        <v>684</v>
      </c>
      <c r="B589" t="s">
        <v>96</v>
      </c>
      <c r="C589">
        <v>202602</v>
      </c>
      <c r="D589">
        <v>58132</v>
      </c>
      <c r="E589">
        <v>13.83150085536788</v>
      </c>
      <c r="F589">
        <v>4202.87</v>
      </c>
    </row>
    <row r="590" spans="1:6" x14ac:dyDescent="0.25">
      <c r="A590">
        <v>686</v>
      </c>
      <c r="B590" t="s">
        <v>96</v>
      </c>
      <c r="C590">
        <v>202602</v>
      </c>
      <c r="D590">
        <v>28572</v>
      </c>
      <c r="E590">
        <v>4.5915169747283366</v>
      </c>
      <c r="F590">
        <v>6222.78</v>
      </c>
    </row>
    <row r="591" spans="1:6" x14ac:dyDescent="0.25">
      <c r="A591">
        <v>708</v>
      </c>
      <c r="B591" t="s">
        <v>96</v>
      </c>
      <c r="C591">
        <v>202602</v>
      </c>
      <c r="D591">
        <v>256783</v>
      </c>
      <c r="E591">
        <v>58.830011707214254</v>
      </c>
      <c r="F591">
        <v>4364.83</v>
      </c>
    </row>
    <row r="592" spans="1:6" x14ac:dyDescent="0.25">
      <c r="A592">
        <v>710</v>
      </c>
      <c r="B592" t="s">
        <v>96</v>
      </c>
      <c r="C592">
        <v>202602</v>
      </c>
      <c r="D592">
        <v>142074</v>
      </c>
      <c r="E592">
        <v>20.621815806662312</v>
      </c>
      <c r="F592">
        <v>6889.5</v>
      </c>
    </row>
    <row r="593" spans="1:6" x14ac:dyDescent="0.25">
      <c r="A593">
        <v>809</v>
      </c>
      <c r="B593" t="s">
        <v>96</v>
      </c>
      <c r="C593">
        <v>202602</v>
      </c>
      <c r="D593">
        <v>30067</v>
      </c>
      <c r="E593">
        <v>20.05803869246164</v>
      </c>
      <c r="F593">
        <v>1499</v>
      </c>
    </row>
    <row r="594" spans="1:6" x14ac:dyDescent="0.25">
      <c r="A594">
        <v>810</v>
      </c>
      <c r="B594" t="s">
        <v>96</v>
      </c>
      <c r="C594">
        <v>202602</v>
      </c>
      <c r="D594">
        <v>8234</v>
      </c>
      <c r="E594">
        <v>4.3938100320170754</v>
      </c>
      <c r="F594">
        <v>1874</v>
      </c>
    </row>
    <row r="595" spans="1:6" x14ac:dyDescent="0.25">
      <c r="A595">
        <v>750</v>
      </c>
      <c r="B595" t="s">
        <v>96</v>
      </c>
      <c r="C595">
        <v>202602</v>
      </c>
      <c r="D595">
        <v>27581</v>
      </c>
      <c r="E595">
        <v>4.4867509000017893</v>
      </c>
      <c r="F595">
        <v>6147.21</v>
      </c>
    </row>
    <row r="596" spans="1:6" x14ac:dyDescent="0.25">
      <c r="A596">
        <v>682</v>
      </c>
      <c r="B596" t="s">
        <v>97</v>
      </c>
      <c r="C596">
        <v>202602</v>
      </c>
      <c r="D596">
        <v>3026</v>
      </c>
      <c r="E596">
        <v>2.7624359828739924</v>
      </c>
      <c r="F596">
        <v>1095.4100000000001</v>
      </c>
    </row>
    <row r="597" spans="1:6" x14ac:dyDescent="0.25">
      <c r="A597">
        <v>683</v>
      </c>
      <c r="B597" t="s">
        <v>97</v>
      </c>
      <c r="C597">
        <v>202602</v>
      </c>
      <c r="D597">
        <v>2933</v>
      </c>
      <c r="E597">
        <v>2.6775362649601515</v>
      </c>
      <c r="F597">
        <v>1095.4100000000001</v>
      </c>
    </row>
    <row r="598" spans="1:6" x14ac:dyDescent="0.25">
      <c r="A598">
        <v>684</v>
      </c>
      <c r="B598" t="s">
        <v>97</v>
      </c>
      <c r="C598">
        <v>202602</v>
      </c>
      <c r="D598">
        <v>47764</v>
      </c>
      <c r="E598">
        <v>11.364615132040726</v>
      </c>
      <c r="F598">
        <v>4202.87</v>
      </c>
    </row>
    <row r="599" spans="1:6" x14ac:dyDescent="0.25">
      <c r="A599">
        <v>686</v>
      </c>
      <c r="B599" t="s">
        <v>97</v>
      </c>
      <c r="C599">
        <v>202602</v>
      </c>
      <c r="D599">
        <v>25985</v>
      </c>
      <c r="E599">
        <v>4.1757863848633567</v>
      </c>
      <c r="F599">
        <v>6222.78</v>
      </c>
    </row>
    <row r="600" spans="1:6" x14ac:dyDescent="0.25">
      <c r="A600">
        <v>708</v>
      </c>
      <c r="B600" t="s">
        <v>97</v>
      </c>
      <c r="C600">
        <v>202602</v>
      </c>
      <c r="D600">
        <v>230569</v>
      </c>
      <c r="E600">
        <v>52.824279525204879</v>
      </c>
      <c r="F600">
        <v>4364.83</v>
      </c>
    </row>
    <row r="601" spans="1:6" x14ac:dyDescent="0.25">
      <c r="A601">
        <v>710</v>
      </c>
      <c r="B601" t="s">
        <v>97</v>
      </c>
      <c r="C601">
        <v>202602</v>
      </c>
      <c r="D601">
        <v>138154</v>
      </c>
      <c r="E601">
        <v>20.0528340227883</v>
      </c>
      <c r="F601">
        <v>6889.5</v>
      </c>
    </row>
    <row r="602" spans="1:6" x14ac:dyDescent="0.25">
      <c r="A602">
        <v>809</v>
      </c>
      <c r="B602" t="s">
        <v>97</v>
      </c>
      <c r="C602">
        <v>202602</v>
      </c>
      <c r="D602">
        <v>23638</v>
      </c>
      <c r="E602">
        <v>15.769179452968645</v>
      </c>
      <c r="F602">
        <v>1499</v>
      </c>
    </row>
    <row r="603" spans="1:6" x14ac:dyDescent="0.25">
      <c r="A603">
        <v>810</v>
      </c>
      <c r="B603" t="s">
        <v>97</v>
      </c>
      <c r="C603">
        <v>202602</v>
      </c>
      <c r="D603">
        <v>6786</v>
      </c>
      <c r="E603">
        <v>3.6211312700106721</v>
      </c>
      <c r="F603">
        <v>1874</v>
      </c>
    </row>
    <row r="604" spans="1:6" x14ac:dyDescent="0.25">
      <c r="A604">
        <v>750</v>
      </c>
      <c r="B604" t="s">
        <v>97</v>
      </c>
      <c r="C604">
        <v>202602</v>
      </c>
      <c r="D604">
        <v>30620</v>
      </c>
      <c r="E604">
        <v>4.9811215169158043</v>
      </c>
      <c r="F604">
        <v>6147.21</v>
      </c>
    </row>
    <row r="605" spans="1:6" x14ac:dyDescent="0.25">
      <c r="A605">
        <v>682</v>
      </c>
      <c r="B605" t="s">
        <v>98</v>
      </c>
      <c r="C605">
        <v>202602</v>
      </c>
      <c r="D605">
        <v>2980</v>
      </c>
      <c r="E605">
        <v>2.7204425740133829</v>
      </c>
      <c r="F605">
        <v>1095.4100000000001</v>
      </c>
    </row>
    <row r="606" spans="1:6" x14ac:dyDescent="0.25">
      <c r="A606">
        <v>683</v>
      </c>
      <c r="B606" t="s">
        <v>98</v>
      </c>
      <c r="C606">
        <v>202602</v>
      </c>
      <c r="D606">
        <v>3068</v>
      </c>
      <c r="E606">
        <v>2.8007777909641138</v>
      </c>
      <c r="F606">
        <v>1095.4100000000001</v>
      </c>
    </row>
    <row r="607" spans="1:6" x14ac:dyDescent="0.25">
      <c r="A607">
        <v>684</v>
      </c>
      <c r="B607" t="s">
        <v>98</v>
      </c>
      <c r="C607">
        <v>202602</v>
      </c>
      <c r="D607">
        <v>49719</v>
      </c>
      <c r="E607">
        <v>11.829773464323189</v>
      </c>
      <c r="F607">
        <v>4202.87</v>
      </c>
    </row>
    <row r="608" spans="1:6" x14ac:dyDescent="0.25">
      <c r="A608">
        <v>686</v>
      </c>
      <c r="B608" t="s">
        <v>98</v>
      </c>
      <c r="C608">
        <v>202602</v>
      </c>
      <c r="D608">
        <v>22699</v>
      </c>
      <c r="E608">
        <v>3.6477265787959725</v>
      </c>
      <c r="F608">
        <v>6222.78</v>
      </c>
    </row>
    <row r="609" spans="1:6" x14ac:dyDescent="0.25">
      <c r="A609">
        <v>708</v>
      </c>
      <c r="B609" t="s">
        <v>98</v>
      </c>
      <c r="C609">
        <v>202602</v>
      </c>
      <c r="D609">
        <v>207155</v>
      </c>
      <c r="E609">
        <v>47.460038535292327</v>
      </c>
      <c r="F609">
        <v>4364.83</v>
      </c>
    </row>
    <row r="610" spans="1:6" x14ac:dyDescent="0.25">
      <c r="A610">
        <v>710</v>
      </c>
      <c r="B610" t="s">
        <v>98</v>
      </c>
      <c r="C610">
        <v>202602</v>
      </c>
      <c r="D610">
        <v>138433</v>
      </c>
      <c r="E610">
        <v>20.093330430365047</v>
      </c>
      <c r="F610">
        <v>6889.5</v>
      </c>
    </row>
    <row r="611" spans="1:6" x14ac:dyDescent="0.25">
      <c r="A611">
        <v>809</v>
      </c>
      <c r="B611" t="s">
        <v>98</v>
      </c>
      <c r="C611">
        <v>202602</v>
      </c>
      <c r="D611">
        <v>29916</v>
      </c>
      <c r="E611">
        <v>19.957304869913276</v>
      </c>
      <c r="F611">
        <v>1499</v>
      </c>
    </row>
    <row r="612" spans="1:6" x14ac:dyDescent="0.25">
      <c r="A612">
        <v>810</v>
      </c>
      <c r="B612" t="s">
        <v>98</v>
      </c>
      <c r="C612">
        <v>202602</v>
      </c>
      <c r="D612">
        <v>8520</v>
      </c>
      <c r="E612">
        <v>4.5464247598719316</v>
      </c>
      <c r="F612">
        <v>1874</v>
      </c>
    </row>
    <row r="613" spans="1:6" x14ac:dyDescent="0.25">
      <c r="A613">
        <v>750</v>
      </c>
      <c r="B613" t="s">
        <v>98</v>
      </c>
      <c r="C613">
        <v>202602</v>
      </c>
      <c r="D613">
        <v>26159</v>
      </c>
      <c r="E613">
        <v>4.2554264454931587</v>
      </c>
      <c r="F613">
        <v>6147.21</v>
      </c>
    </row>
    <row r="614" spans="1:6" x14ac:dyDescent="0.25">
      <c r="A614">
        <v>682</v>
      </c>
      <c r="B614" t="s">
        <v>99</v>
      </c>
      <c r="C614">
        <v>202602</v>
      </c>
      <c r="D614">
        <v>2292</v>
      </c>
      <c r="E614">
        <v>2.0923672414894878</v>
      </c>
      <c r="F614">
        <v>1095.4100000000001</v>
      </c>
    </row>
    <row r="615" spans="1:6" x14ac:dyDescent="0.25">
      <c r="A615">
        <v>683</v>
      </c>
      <c r="B615" t="s">
        <v>99</v>
      </c>
      <c r="C615">
        <v>202602</v>
      </c>
      <c r="D615">
        <v>1912</v>
      </c>
      <c r="E615">
        <v>1.7454651682931503</v>
      </c>
      <c r="F615">
        <v>1095.4100000000001</v>
      </c>
    </row>
    <row r="616" spans="1:6" x14ac:dyDescent="0.25">
      <c r="A616">
        <v>684</v>
      </c>
      <c r="B616" t="s">
        <v>99</v>
      </c>
      <c r="C616">
        <v>202602</v>
      </c>
      <c r="D616">
        <v>16984</v>
      </c>
      <c r="E616">
        <v>4.0410481409132331</v>
      </c>
      <c r="F616">
        <v>4202.87</v>
      </c>
    </row>
    <row r="617" spans="1:6" x14ac:dyDescent="0.25">
      <c r="A617">
        <v>686</v>
      </c>
      <c r="B617" t="s">
        <v>99</v>
      </c>
      <c r="C617">
        <v>202602</v>
      </c>
      <c r="D617">
        <v>9626</v>
      </c>
      <c r="E617">
        <v>1.5468970460148037</v>
      </c>
      <c r="F617">
        <v>6222.78</v>
      </c>
    </row>
    <row r="618" spans="1:6" x14ac:dyDescent="0.25">
      <c r="A618">
        <v>708</v>
      </c>
      <c r="B618" t="s">
        <v>99</v>
      </c>
      <c r="C618">
        <v>202602</v>
      </c>
      <c r="D618">
        <v>208504</v>
      </c>
      <c r="E618">
        <v>47.769099827484688</v>
      </c>
      <c r="F618">
        <v>4364.83</v>
      </c>
    </row>
    <row r="619" spans="1:6" x14ac:dyDescent="0.25">
      <c r="A619">
        <v>710</v>
      </c>
      <c r="B619" t="s">
        <v>99</v>
      </c>
      <c r="C619">
        <v>202602</v>
      </c>
      <c r="D619">
        <v>156059</v>
      </c>
      <c r="E619">
        <v>22.651716379998547</v>
      </c>
      <c r="F619">
        <v>6889.5</v>
      </c>
    </row>
    <row r="620" spans="1:6" x14ac:dyDescent="0.25">
      <c r="A620">
        <v>809</v>
      </c>
      <c r="B620" t="s">
        <v>99</v>
      </c>
      <c r="C620">
        <v>202602</v>
      </c>
      <c r="D620">
        <v>18367</v>
      </c>
      <c r="E620">
        <v>12.252835223482322</v>
      </c>
      <c r="F620">
        <v>1499</v>
      </c>
    </row>
    <row r="621" spans="1:6" x14ac:dyDescent="0.25">
      <c r="A621">
        <v>810</v>
      </c>
      <c r="B621" t="s">
        <v>99</v>
      </c>
      <c r="C621">
        <v>202602</v>
      </c>
      <c r="D621">
        <v>7265</v>
      </c>
      <c r="E621">
        <v>3.8767342582710778</v>
      </c>
      <c r="F621">
        <v>1874</v>
      </c>
    </row>
    <row r="622" spans="1:6" x14ac:dyDescent="0.25">
      <c r="A622">
        <v>750</v>
      </c>
      <c r="B622" t="s">
        <v>99</v>
      </c>
      <c r="C622">
        <v>202602</v>
      </c>
      <c r="D622">
        <v>10525</v>
      </c>
      <c r="E622">
        <v>1.7121588492991129</v>
      </c>
      <c r="F622">
        <v>6147.21</v>
      </c>
    </row>
    <row r="623" spans="1:6" x14ac:dyDescent="0.25">
      <c r="A623">
        <v>682</v>
      </c>
      <c r="B623" t="s">
        <v>100</v>
      </c>
      <c r="C623">
        <v>202602</v>
      </c>
      <c r="D623">
        <v>2600</v>
      </c>
      <c r="E623">
        <v>2.3735405008170454</v>
      </c>
      <c r="F623">
        <v>1095.4100000000001</v>
      </c>
    </row>
    <row r="624" spans="1:6" x14ac:dyDescent="0.25">
      <c r="A624">
        <v>683</v>
      </c>
      <c r="B624" t="s">
        <v>100</v>
      </c>
      <c r="C624">
        <v>202602</v>
      </c>
      <c r="D624">
        <v>5999</v>
      </c>
      <c r="E624">
        <v>5.4764882555390217</v>
      </c>
      <c r="F624">
        <v>1095.4100000000001</v>
      </c>
    </row>
    <row r="625" spans="1:6" x14ac:dyDescent="0.25">
      <c r="A625">
        <v>684</v>
      </c>
      <c r="B625" t="s">
        <v>100</v>
      </c>
      <c r="C625">
        <v>202602</v>
      </c>
      <c r="D625">
        <v>20426</v>
      </c>
      <c r="E625">
        <v>4.8600123249113105</v>
      </c>
      <c r="F625">
        <v>4202.87</v>
      </c>
    </row>
    <row r="626" spans="1:6" x14ac:dyDescent="0.25">
      <c r="A626">
        <v>686</v>
      </c>
      <c r="B626" t="s">
        <v>100</v>
      </c>
      <c r="C626">
        <v>202602</v>
      </c>
      <c r="D626">
        <v>17511</v>
      </c>
      <c r="E626">
        <v>2.8140156007443617</v>
      </c>
      <c r="F626">
        <v>6222.78</v>
      </c>
    </row>
    <row r="627" spans="1:6" x14ac:dyDescent="0.25">
      <c r="A627">
        <v>708</v>
      </c>
      <c r="B627" t="s">
        <v>100</v>
      </c>
      <c r="C627">
        <v>202602</v>
      </c>
      <c r="D627">
        <v>270033</v>
      </c>
      <c r="E627">
        <v>61.865639669815323</v>
      </c>
      <c r="F627">
        <v>4364.83</v>
      </c>
    </row>
    <row r="628" spans="1:6" x14ac:dyDescent="0.25">
      <c r="A628">
        <v>710</v>
      </c>
      <c r="B628" t="s">
        <v>100</v>
      </c>
      <c r="C628">
        <v>202602</v>
      </c>
      <c r="D628">
        <v>139105</v>
      </c>
      <c r="E628">
        <v>20.190870164743451</v>
      </c>
      <c r="F628">
        <v>6889.5</v>
      </c>
    </row>
    <row r="629" spans="1:6" x14ac:dyDescent="0.25">
      <c r="A629">
        <v>809</v>
      </c>
      <c r="B629" t="s">
        <v>100</v>
      </c>
      <c r="C629">
        <v>202602</v>
      </c>
      <c r="D629">
        <v>19119</v>
      </c>
      <c r="E629">
        <v>12.754503002001334</v>
      </c>
      <c r="F629">
        <v>1499</v>
      </c>
    </row>
    <row r="630" spans="1:6" x14ac:dyDescent="0.25">
      <c r="A630">
        <v>810</v>
      </c>
      <c r="B630" t="s">
        <v>100</v>
      </c>
      <c r="C630">
        <v>202602</v>
      </c>
      <c r="D630">
        <v>5105</v>
      </c>
      <c r="E630">
        <v>2.724119530416222</v>
      </c>
      <c r="F630">
        <v>1874</v>
      </c>
    </row>
    <row r="631" spans="1:6" x14ac:dyDescent="0.25">
      <c r="A631">
        <v>750</v>
      </c>
      <c r="B631" t="s">
        <v>100</v>
      </c>
      <c r="C631">
        <v>202602</v>
      </c>
      <c r="D631">
        <v>23310</v>
      </c>
      <c r="E631">
        <v>3.7919641593503393</v>
      </c>
      <c r="F631">
        <v>6147.21</v>
      </c>
    </row>
    <row r="632" spans="1:6" x14ac:dyDescent="0.25">
      <c r="A632">
        <v>682</v>
      </c>
      <c r="B632" t="s">
        <v>101</v>
      </c>
      <c r="C632">
        <v>202602</v>
      </c>
      <c r="D632">
        <v>3080</v>
      </c>
      <c r="E632">
        <v>2.8117325932755768</v>
      </c>
      <c r="F632">
        <v>1095.4100000000001</v>
      </c>
    </row>
    <row r="633" spans="1:6" x14ac:dyDescent="0.25">
      <c r="A633">
        <v>683</v>
      </c>
      <c r="B633" t="s">
        <v>101</v>
      </c>
      <c r="C633">
        <v>202602</v>
      </c>
      <c r="D633">
        <v>8072</v>
      </c>
      <c r="E633">
        <v>7.3689303548443039</v>
      </c>
      <c r="F633">
        <v>1095.4100000000001</v>
      </c>
    </row>
    <row r="634" spans="1:6" x14ac:dyDescent="0.25">
      <c r="A634">
        <v>684</v>
      </c>
      <c r="B634" t="s">
        <v>101</v>
      </c>
      <c r="C634">
        <v>202602</v>
      </c>
      <c r="D634">
        <v>64565</v>
      </c>
      <c r="E634">
        <v>15.36212159786051</v>
      </c>
      <c r="F634">
        <v>4202.87</v>
      </c>
    </row>
    <row r="635" spans="1:6" x14ac:dyDescent="0.25">
      <c r="A635">
        <v>686</v>
      </c>
      <c r="B635" t="s">
        <v>101</v>
      </c>
      <c r="C635">
        <v>202602</v>
      </c>
      <c r="D635">
        <v>22447</v>
      </c>
      <c r="E635">
        <v>3.6072302090062642</v>
      </c>
      <c r="F635">
        <v>6222.78</v>
      </c>
    </row>
    <row r="636" spans="1:6" x14ac:dyDescent="0.25">
      <c r="A636">
        <v>708</v>
      </c>
      <c r="B636" t="s">
        <v>101</v>
      </c>
      <c r="C636">
        <v>202602</v>
      </c>
      <c r="D636">
        <v>324584</v>
      </c>
      <c r="E636">
        <v>74.363491819841784</v>
      </c>
      <c r="F636">
        <v>4364.83</v>
      </c>
    </row>
    <row r="637" spans="1:6" x14ac:dyDescent="0.25">
      <c r="A637">
        <v>710</v>
      </c>
      <c r="B637" t="s">
        <v>101</v>
      </c>
      <c r="C637">
        <v>202602</v>
      </c>
      <c r="D637">
        <v>155780</v>
      </c>
      <c r="E637">
        <v>22.6112199724218</v>
      </c>
      <c r="F637">
        <v>6889.5</v>
      </c>
    </row>
    <row r="638" spans="1:6" x14ac:dyDescent="0.25">
      <c r="A638">
        <v>809</v>
      </c>
      <c r="B638" t="s">
        <v>101</v>
      </c>
      <c r="C638">
        <v>202602</v>
      </c>
      <c r="D638">
        <v>19452</v>
      </c>
      <c r="E638">
        <v>12.976651100733822</v>
      </c>
      <c r="F638">
        <v>1499</v>
      </c>
    </row>
    <row r="639" spans="1:6" x14ac:dyDescent="0.25">
      <c r="A639">
        <v>810</v>
      </c>
      <c r="B639" t="s">
        <v>101</v>
      </c>
      <c r="C639">
        <v>202602</v>
      </c>
      <c r="D639">
        <v>5327</v>
      </c>
      <c r="E639">
        <v>2.842582710779082</v>
      </c>
      <c r="F639">
        <v>1874</v>
      </c>
    </row>
    <row r="640" spans="1:6" x14ac:dyDescent="0.25">
      <c r="A640">
        <v>750</v>
      </c>
      <c r="B640" t="s">
        <v>101</v>
      </c>
      <c r="C640">
        <v>202602</v>
      </c>
      <c r="D640">
        <v>30890</v>
      </c>
      <c r="E640">
        <v>5.0250438816959235</v>
      </c>
      <c r="F640">
        <v>6147.21</v>
      </c>
    </row>
    <row r="641" spans="1:6" x14ac:dyDescent="0.25">
      <c r="A641">
        <v>682</v>
      </c>
      <c r="B641" t="s">
        <v>102</v>
      </c>
      <c r="C641">
        <v>202602</v>
      </c>
      <c r="D641">
        <v>5698</v>
      </c>
      <c r="E641">
        <v>5.2017052975598173</v>
      </c>
      <c r="F641">
        <v>1095.4100000000001</v>
      </c>
    </row>
    <row r="642" spans="1:6" x14ac:dyDescent="0.25">
      <c r="A642">
        <v>683</v>
      </c>
      <c r="B642" t="s">
        <v>102</v>
      </c>
      <c r="C642">
        <v>202602</v>
      </c>
      <c r="D642">
        <v>6568</v>
      </c>
      <c r="E642">
        <v>5.9959284651409055</v>
      </c>
      <c r="F642">
        <v>1095.4100000000001</v>
      </c>
    </row>
    <row r="643" spans="1:6" x14ac:dyDescent="0.25">
      <c r="A643">
        <v>684</v>
      </c>
      <c r="B643" t="s">
        <v>102</v>
      </c>
      <c r="C643">
        <v>202602</v>
      </c>
      <c r="D643">
        <v>89941</v>
      </c>
      <c r="E643">
        <v>21.399900544151972</v>
      </c>
      <c r="F643">
        <v>4202.87</v>
      </c>
    </row>
    <row r="644" spans="1:6" x14ac:dyDescent="0.25">
      <c r="A644">
        <v>686</v>
      </c>
      <c r="B644" t="s">
        <v>102</v>
      </c>
      <c r="C644">
        <v>202602</v>
      </c>
      <c r="D644">
        <v>35689</v>
      </c>
      <c r="E644">
        <v>5.7352180215273565</v>
      </c>
      <c r="F644">
        <v>6222.78</v>
      </c>
    </row>
    <row r="645" spans="1:6" x14ac:dyDescent="0.25">
      <c r="A645">
        <v>708</v>
      </c>
      <c r="B645" t="s">
        <v>102</v>
      </c>
      <c r="C645">
        <v>202602</v>
      </c>
      <c r="D645">
        <v>356867</v>
      </c>
      <c r="E645">
        <v>81.759656160721036</v>
      </c>
      <c r="F645">
        <v>4364.83</v>
      </c>
    </row>
    <row r="646" spans="1:6" x14ac:dyDescent="0.25">
      <c r="A646">
        <v>710</v>
      </c>
      <c r="B646" t="s">
        <v>102</v>
      </c>
      <c r="C646">
        <v>202602</v>
      </c>
      <c r="D646">
        <v>222076</v>
      </c>
      <c r="E646">
        <v>32.233979243776758</v>
      </c>
      <c r="F646">
        <v>6889.5</v>
      </c>
    </row>
    <row r="647" spans="1:6" x14ac:dyDescent="0.25">
      <c r="A647">
        <v>809</v>
      </c>
      <c r="B647" t="s">
        <v>102</v>
      </c>
      <c r="C647">
        <v>202602</v>
      </c>
      <c r="D647">
        <v>51146</v>
      </c>
      <c r="E647">
        <v>34.120080053368916</v>
      </c>
      <c r="F647">
        <v>1499</v>
      </c>
    </row>
    <row r="648" spans="1:6" x14ac:dyDescent="0.25">
      <c r="A648">
        <v>810</v>
      </c>
      <c r="B648" t="s">
        <v>102</v>
      </c>
      <c r="C648">
        <v>202602</v>
      </c>
      <c r="D648">
        <v>16272</v>
      </c>
      <c r="E648">
        <v>8.6830309498399139</v>
      </c>
      <c r="F648">
        <v>1874</v>
      </c>
    </row>
    <row r="649" spans="1:6" x14ac:dyDescent="0.25">
      <c r="A649">
        <v>750</v>
      </c>
      <c r="B649" t="s">
        <v>102</v>
      </c>
      <c r="C649">
        <v>202602</v>
      </c>
      <c r="D649">
        <v>99149</v>
      </c>
      <c r="E649">
        <v>16.129105724385536</v>
      </c>
      <c r="F649">
        <v>6147.21</v>
      </c>
    </row>
    <row r="650" spans="1:6" x14ac:dyDescent="0.25">
      <c r="A650">
        <v>682</v>
      </c>
      <c r="B650" t="s">
        <v>103</v>
      </c>
      <c r="C650">
        <v>202602</v>
      </c>
      <c r="D650">
        <v>5351</v>
      </c>
      <c r="E650">
        <v>4.8849289307200037</v>
      </c>
      <c r="F650">
        <v>1095.4100000000001</v>
      </c>
    </row>
    <row r="651" spans="1:6" x14ac:dyDescent="0.25">
      <c r="A651">
        <v>683</v>
      </c>
      <c r="B651" t="s">
        <v>103</v>
      </c>
      <c r="C651">
        <v>202602</v>
      </c>
      <c r="D651">
        <v>5628</v>
      </c>
      <c r="E651">
        <v>5.1378022840762814</v>
      </c>
      <c r="F651">
        <v>1095.4100000000001</v>
      </c>
    </row>
    <row r="652" spans="1:6" x14ac:dyDescent="0.25">
      <c r="A652">
        <v>684</v>
      </c>
      <c r="B652" t="s">
        <v>103</v>
      </c>
      <c r="C652">
        <v>202602</v>
      </c>
      <c r="D652">
        <v>70027</v>
      </c>
      <c r="E652">
        <v>16.661709736442003</v>
      </c>
      <c r="F652">
        <v>4202.87</v>
      </c>
    </row>
    <row r="653" spans="1:6" x14ac:dyDescent="0.25">
      <c r="A653">
        <v>686</v>
      </c>
      <c r="B653" t="s">
        <v>103</v>
      </c>
      <c r="C653">
        <v>202602</v>
      </c>
      <c r="D653">
        <v>33215</v>
      </c>
      <c r="E653">
        <v>5.3376465181156973</v>
      </c>
      <c r="F653">
        <v>6222.78</v>
      </c>
    </row>
    <row r="654" spans="1:6" x14ac:dyDescent="0.25">
      <c r="A654">
        <v>708</v>
      </c>
      <c r="B654" t="s">
        <v>103</v>
      </c>
      <c r="C654">
        <v>202602</v>
      </c>
      <c r="D654">
        <v>349996</v>
      </c>
      <c r="E654">
        <v>80.185482596114852</v>
      </c>
      <c r="F654">
        <v>4364.83</v>
      </c>
    </row>
    <row r="655" spans="1:6" x14ac:dyDescent="0.25">
      <c r="A655">
        <v>710</v>
      </c>
      <c r="B655" t="s">
        <v>103</v>
      </c>
      <c r="C655">
        <v>202602</v>
      </c>
      <c r="D655">
        <v>205260</v>
      </c>
      <c r="E655">
        <v>29.793163509688657</v>
      </c>
      <c r="F655">
        <v>6889.5</v>
      </c>
    </row>
    <row r="656" spans="1:6" x14ac:dyDescent="0.25">
      <c r="A656">
        <v>809</v>
      </c>
      <c r="B656" t="s">
        <v>103</v>
      </c>
      <c r="C656">
        <v>202602</v>
      </c>
      <c r="D656">
        <v>36004</v>
      </c>
      <c r="E656">
        <v>24.018679119412941</v>
      </c>
      <c r="F656">
        <v>1499</v>
      </c>
    </row>
    <row r="657" spans="1:6" x14ac:dyDescent="0.25">
      <c r="A657">
        <v>810</v>
      </c>
      <c r="B657" t="s">
        <v>103</v>
      </c>
      <c r="C657">
        <v>202602</v>
      </c>
      <c r="D657">
        <v>8286</v>
      </c>
      <c r="E657">
        <v>4.4215581643543223</v>
      </c>
      <c r="F657">
        <v>1874</v>
      </c>
    </row>
    <row r="658" spans="1:6" x14ac:dyDescent="0.25">
      <c r="A658">
        <v>750</v>
      </c>
      <c r="B658" t="s">
        <v>103</v>
      </c>
      <c r="C658">
        <v>202602</v>
      </c>
      <c r="D658">
        <v>37582</v>
      </c>
      <c r="E658">
        <v>6.1136678265424473</v>
      </c>
      <c r="F658">
        <v>6147.21</v>
      </c>
    </row>
    <row r="659" spans="1:6" x14ac:dyDescent="0.25">
      <c r="A659">
        <v>682</v>
      </c>
      <c r="B659" t="s">
        <v>104</v>
      </c>
      <c r="C659">
        <v>202602</v>
      </c>
      <c r="D659">
        <v>12211</v>
      </c>
      <c r="E659">
        <v>11.147424252106516</v>
      </c>
      <c r="F659">
        <v>1095.4100000000001</v>
      </c>
    </row>
    <row r="660" spans="1:6" x14ac:dyDescent="0.25">
      <c r="A660">
        <v>683</v>
      </c>
      <c r="B660" t="s">
        <v>104</v>
      </c>
      <c r="C660">
        <v>202602</v>
      </c>
      <c r="D660">
        <v>9130</v>
      </c>
      <c r="E660">
        <v>8.3347787586383166</v>
      </c>
      <c r="F660">
        <v>1095.4100000000001</v>
      </c>
    </row>
    <row r="661" spans="1:6" x14ac:dyDescent="0.25">
      <c r="A661">
        <v>684</v>
      </c>
      <c r="B661" t="s">
        <v>104</v>
      </c>
      <c r="C661">
        <v>202602</v>
      </c>
      <c r="D661">
        <v>110605</v>
      </c>
      <c r="E661">
        <v>26.316540839949845</v>
      </c>
      <c r="F661">
        <v>4202.87</v>
      </c>
    </row>
    <row r="662" spans="1:6" x14ac:dyDescent="0.25">
      <c r="A662">
        <v>686</v>
      </c>
      <c r="B662" t="s">
        <v>104</v>
      </c>
      <c r="C662">
        <v>202602</v>
      </c>
      <c r="D662">
        <v>43421</v>
      </c>
      <c r="E662">
        <v>6.9777494945988776</v>
      </c>
      <c r="F662">
        <v>6222.78</v>
      </c>
    </row>
    <row r="663" spans="1:6" x14ac:dyDescent="0.25">
      <c r="A663">
        <v>708</v>
      </c>
      <c r="B663" t="s">
        <v>104</v>
      </c>
      <c r="C663">
        <v>202602</v>
      </c>
      <c r="D663">
        <v>483177</v>
      </c>
      <c r="E663">
        <v>110.69778204420332</v>
      </c>
      <c r="F663">
        <v>4364.83</v>
      </c>
    </row>
    <row r="664" spans="1:6" x14ac:dyDescent="0.25">
      <c r="A664">
        <v>710</v>
      </c>
      <c r="B664" t="s">
        <v>104</v>
      </c>
      <c r="C664">
        <v>202602</v>
      </c>
      <c r="D664">
        <v>274545</v>
      </c>
      <c r="E664">
        <v>39.84977139124755</v>
      </c>
      <c r="F664">
        <v>6889.5</v>
      </c>
    </row>
    <row r="665" spans="1:6" x14ac:dyDescent="0.25">
      <c r="A665">
        <v>809</v>
      </c>
      <c r="B665" t="s">
        <v>104</v>
      </c>
      <c r="C665">
        <v>202602</v>
      </c>
      <c r="D665">
        <v>52187</v>
      </c>
      <c r="E665">
        <v>34.81454302868579</v>
      </c>
      <c r="F665">
        <v>1499</v>
      </c>
    </row>
    <row r="666" spans="1:6" x14ac:dyDescent="0.25">
      <c r="A666">
        <v>810</v>
      </c>
      <c r="B666" t="s">
        <v>104</v>
      </c>
      <c r="C666">
        <v>202602</v>
      </c>
      <c r="D666">
        <v>14929</v>
      </c>
      <c r="E666">
        <v>7.9663820704375663</v>
      </c>
      <c r="F666">
        <v>1874</v>
      </c>
    </row>
    <row r="667" spans="1:6" x14ac:dyDescent="0.25">
      <c r="A667">
        <v>750</v>
      </c>
      <c r="B667" t="s">
        <v>104</v>
      </c>
      <c r="C667">
        <v>202602</v>
      </c>
      <c r="D667">
        <v>64902</v>
      </c>
      <c r="E667">
        <v>10.557960440590122</v>
      </c>
      <c r="F667">
        <v>6147.21</v>
      </c>
    </row>
    <row r="668" spans="1:6" x14ac:dyDescent="0.25">
      <c r="A668">
        <v>682</v>
      </c>
      <c r="B668" t="s">
        <v>105</v>
      </c>
      <c r="C668">
        <v>202602</v>
      </c>
      <c r="D668">
        <v>2374</v>
      </c>
      <c r="E668">
        <v>2.1672250572844871</v>
      </c>
      <c r="F668">
        <v>1095.4100000000001</v>
      </c>
    </row>
    <row r="669" spans="1:6" x14ac:dyDescent="0.25">
      <c r="A669">
        <v>683</v>
      </c>
      <c r="B669" t="s">
        <v>105</v>
      </c>
      <c r="C669">
        <v>202602</v>
      </c>
      <c r="D669">
        <v>1402</v>
      </c>
      <c r="E669">
        <v>1.2798860700559607</v>
      </c>
      <c r="F669">
        <v>1095.4100000000001</v>
      </c>
    </row>
    <row r="670" spans="1:6" x14ac:dyDescent="0.25">
      <c r="A670">
        <v>684</v>
      </c>
      <c r="B670" t="s">
        <v>105</v>
      </c>
      <c r="C670">
        <v>202602</v>
      </c>
      <c r="D670">
        <v>29047</v>
      </c>
      <c r="E670">
        <v>6.9112297073190465</v>
      </c>
      <c r="F670">
        <v>4202.87</v>
      </c>
    </row>
    <row r="671" spans="1:6" x14ac:dyDescent="0.25">
      <c r="A671">
        <v>686</v>
      </c>
      <c r="B671" t="s">
        <v>105</v>
      </c>
      <c r="C671">
        <v>202602</v>
      </c>
      <c r="D671">
        <v>13663</v>
      </c>
      <c r="E671">
        <v>2.1956424620507233</v>
      </c>
      <c r="F671">
        <v>6222.78</v>
      </c>
    </row>
    <row r="672" spans="1:6" x14ac:dyDescent="0.25">
      <c r="A672">
        <v>708</v>
      </c>
      <c r="B672" t="s">
        <v>105</v>
      </c>
      <c r="C672">
        <v>202602</v>
      </c>
      <c r="D672">
        <v>163838</v>
      </c>
      <c r="E672">
        <v>37.535940689557208</v>
      </c>
      <c r="F672">
        <v>4364.83</v>
      </c>
    </row>
    <row r="673" spans="1:6" x14ac:dyDescent="0.25">
      <c r="A673">
        <v>710</v>
      </c>
      <c r="B673" t="s">
        <v>105</v>
      </c>
      <c r="C673">
        <v>202602</v>
      </c>
      <c r="D673">
        <v>95377</v>
      </c>
      <c r="E673">
        <v>13.843820306263154</v>
      </c>
      <c r="F673">
        <v>6889.5</v>
      </c>
    </row>
    <row r="674" spans="1:6" x14ac:dyDescent="0.25">
      <c r="A674">
        <v>809</v>
      </c>
      <c r="B674" t="s">
        <v>105</v>
      </c>
      <c r="C674">
        <v>202602</v>
      </c>
      <c r="D674">
        <v>11541</v>
      </c>
      <c r="E674">
        <v>7.6991327551701136</v>
      </c>
      <c r="F674">
        <v>1499</v>
      </c>
    </row>
    <row r="675" spans="1:6" x14ac:dyDescent="0.25">
      <c r="A675">
        <v>810</v>
      </c>
      <c r="B675" t="s">
        <v>105</v>
      </c>
      <c r="C675">
        <v>202602</v>
      </c>
      <c r="D675">
        <v>3424</v>
      </c>
      <c r="E675">
        <v>1.8271077908217717</v>
      </c>
      <c r="F675">
        <v>1874</v>
      </c>
    </row>
    <row r="676" spans="1:6" x14ac:dyDescent="0.25">
      <c r="A676">
        <v>750</v>
      </c>
      <c r="B676" t="s">
        <v>105</v>
      </c>
      <c r="C676">
        <v>202602</v>
      </c>
      <c r="D676">
        <v>20619</v>
      </c>
      <c r="E676">
        <v>3.3542045903751458</v>
      </c>
      <c r="F676">
        <v>6147.21</v>
      </c>
    </row>
    <row r="677" spans="1:6" x14ac:dyDescent="0.25">
      <c r="A677">
        <v>682</v>
      </c>
      <c r="B677" t="s">
        <v>106</v>
      </c>
      <c r="C677">
        <v>202602</v>
      </c>
      <c r="D677">
        <v>4454</v>
      </c>
      <c r="E677">
        <v>4.0660574579381237</v>
      </c>
      <c r="F677">
        <v>1095.4100000000001</v>
      </c>
    </row>
    <row r="678" spans="1:6" x14ac:dyDescent="0.25">
      <c r="A678">
        <v>683</v>
      </c>
      <c r="B678" t="s">
        <v>106</v>
      </c>
      <c r="C678">
        <v>202602</v>
      </c>
      <c r="D678">
        <v>5214</v>
      </c>
      <c r="E678">
        <v>4.7598616043307977</v>
      </c>
      <c r="F678">
        <v>1095.4100000000001</v>
      </c>
    </row>
    <row r="679" spans="1:6" x14ac:dyDescent="0.25">
      <c r="A679">
        <v>684</v>
      </c>
      <c r="B679" t="s">
        <v>106</v>
      </c>
      <c r="C679">
        <v>202602</v>
      </c>
      <c r="D679">
        <v>58828</v>
      </c>
      <c r="E679">
        <v>13.997101980313452</v>
      </c>
      <c r="F679">
        <v>4202.87</v>
      </c>
    </row>
    <row r="680" spans="1:6" x14ac:dyDescent="0.25">
      <c r="A680">
        <v>686</v>
      </c>
      <c r="B680" t="s">
        <v>106</v>
      </c>
      <c r="C680">
        <v>202602</v>
      </c>
      <c r="D680">
        <v>30532</v>
      </c>
      <c r="E680">
        <v>4.9064887397593999</v>
      </c>
      <c r="F680">
        <v>6222.78</v>
      </c>
    </row>
    <row r="681" spans="1:6" x14ac:dyDescent="0.25">
      <c r="A681">
        <v>708</v>
      </c>
      <c r="B681" t="s">
        <v>106</v>
      </c>
      <c r="C681">
        <v>202602</v>
      </c>
      <c r="D681">
        <v>355533</v>
      </c>
      <c r="E681">
        <v>81.454031428486331</v>
      </c>
      <c r="F681">
        <v>4364.83</v>
      </c>
    </row>
    <row r="682" spans="1:6" x14ac:dyDescent="0.25">
      <c r="A682">
        <v>710</v>
      </c>
      <c r="B682" t="s">
        <v>106</v>
      </c>
      <c r="C682">
        <v>202602</v>
      </c>
      <c r="D682">
        <v>191208</v>
      </c>
      <c r="E682">
        <v>27.75353799259743</v>
      </c>
      <c r="F682">
        <v>6889.5</v>
      </c>
    </row>
    <row r="683" spans="1:6" x14ac:dyDescent="0.25">
      <c r="A683">
        <v>809</v>
      </c>
      <c r="B683" t="s">
        <v>106</v>
      </c>
      <c r="C683">
        <v>202602</v>
      </c>
      <c r="D683">
        <v>37578</v>
      </c>
      <c r="E683">
        <v>25.068712474983322</v>
      </c>
      <c r="F683">
        <v>1499</v>
      </c>
    </row>
    <row r="684" spans="1:6" x14ac:dyDescent="0.25">
      <c r="A684">
        <v>810</v>
      </c>
      <c r="B684" t="s">
        <v>106</v>
      </c>
      <c r="C684">
        <v>202602</v>
      </c>
      <c r="D684">
        <v>10921</v>
      </c>
      <c r="E684">
        <v>5.827641408751334</v>
      </c>
      <c r="F684">
        <v>1874</v>
      </c>
    </row>
    <row r="685" spans="1:6" x14ac:dyDescent="0.25">
      <c r="A685">
        <v>750</v>
      </c>
      <c r="B685" t="s">
        <v>106</v>
      </c>
      <c r="C685">
        <v>202602</v>
      </c>
      <c r="D685">
        <v>56445</v>
      </c>
      <c r="E685">
        <v>9.1822143704217041</v>
      </c>
      <c r="F685">
        <v>6147.21</v>
      </c>
    </row>
    <row r="686" spans="1:6" x14ac:dyDescent="0.25">
      <c r="A686">
        <v>682</v>
      </c>
      <c r="B686" t="s">
        <v>107</v>
      </c>
      <c r="C686">
        <v>202602</v>
      </c>
      <c r="D686">
        <v>10672</v>
      </c>
      <c r="E686">
        <v>9.7424708556613506</v>
      </c>
      <c r="F686">
        <v>1095.4100000000001</v>
      </c>
    </row>
    <row r="687" spans="1:6" x14ac:dyDescent="0.25">
      <c r="A687">
        <v>683</v>
      </c>
      <c r="B687" t="s">
        <v>107</v>
      </c>
      <c r="C687">
        <v>202602</v>
      </c>
      <c r="D687">
        <v>15979</v>
      </c>
      <c r="E687">
        <v>14.587232177905989</v>
      </c>
      <c r="F687">
        <v>1095.4100000000001</v>
      </c>
    </row>
    <row r="688" spans="1:6" x14ac:dyDescent="0.25">
      <c r="A688">
        <v>684</v>
      </c>
      <c r="B688" t="s">
        <v>107</v>
      </c>
      <c r="C688">
        <v>202602</v>
      </c>
      <c r="D688">
        <v>31015</v>
      </c>
      <c r="E688">
        <v>7.3794811640617013</v>
      </c>
      <c r="F688">
        <v>4202.87</v>
      </c>
    </row>
    <row r="689" spans="1:6" x14ac:dyDescent="0.25">
      <c r="A689">
        <v>686</v>
      </c>
      <c r="B689" t="s">
        <v>107</v>
      </c>
      <c r="C689">
        <v>202602</v>
      </c>
      <c r="D689">
        <v>17486</v>
      </c>
      <c r="E689">
        <v>2.8099981037414148</v>
      </c>
      <c r="F689">
        <v>6222.78</v>
      </c>
    </row>
    <row r="690" spans="1:6" x14ac:dyDescent="0.25">
      <c r="A690">
        <v>708</v>
      </c>
      <c r="B690" t="s">
        <v>107</v>
      </c>
      <c r="C690">
        <v>202602</v>
      </c>
      <c r="D690">
        <v>310023</v>
      </c>
      <c r="E690">
        <v>71.027508516941097</v>
      </c>
      <c r="F690">
        <v>4364.83</v>
      </c>
    </row>
    <row r="691" spans="1:6" x14ac:dyDescent="0.25">
      <c r="A691">
        <v>710</v>
      </c>
      <c r="B691" t="s">
        <v>107</v>
      </c>
      <c r="C691">
        <v>202602</v>
      </c>
      <c r="D691">
        <v>184420</v>
      </c>
      <c r="E691">
        <v>26.768270556644168</v>
      </c>
      <c r="F691">
        <v>6889.5</v>
      </c>
    </row>
    <row r="692" spans="1:6" x14ac:dyDescent="0.25">
      <c r="A692">
        <v>809</v>
      </c>
      <c r="B692" t="s">
        <v>107</v>
      </c>
      <c r="C692">
        <v>202602</v>
      </c>
      <c r="D692">
        <v>12417</v>
      </c>
      <c r="E692">
        <v>8.2835223482321556</v>
      </c>
      <c r="F692">
        <v>1499</v>
      </c>
    </row>
    <row r="693" spans="1:6" x14ac:dyDescent="0.25">
      <c r="A693">
        <v>810</v>
      </c>
      <c r="B693" t="s">
        <v>107</v>
      </c>
      <c r="C693">
        <v>202602</v>
      </c>
      <c r="D693">
        <v>3400</v>
      </c>
      <c r="E693">
        <v>1.8143009605122733</v>
      </c>
      <c r="F693">
        <v>1874</v>
      </c>
    </row>
    <row r="694" spans="1:6" x14ac:dyDescent="0.25">
      <c r="A694">
        <v>750</v>
      </c>
      <c r="B694" t="s">
        <v>107</v>
      </c>
      <c r="C694">
        <v>202602</v>
      </c>
      <c r="D694">
        <v>15468</v>
      </c>
      <c r="E694">
        <v>2.5162634756255278</v>
      </c>
      <c r="F694">
        <v>6147.21</v>
      </c>
    </row>
    <row r="695" spans="1:6" x14ac:dyDescent="0.25">
      <c r="A695">
        <v>682</v>
      </c>
      <c r="B695" t="s">
        <v>108</v>
      </c>
      <c r="C695">
        <v>202602</v>
      </c>
      <c r="D695">
        <v>9992</v>
      </c>
      <c r="E695">
        <v>9.1216987246784296</v>
      </c>
      <c r="F695">
        <v>1095.4100000000001</v>
      </c>
    </row>
    <row r="696" spans="1:6" x14ac:dyDescent="0.25">
      <c r="A696">
        <v>683</v>
      </c>
      <c r="B696" t="s">
        <v>108</v>
      </c>
      <c r="C696">
        <v>202602</v>
      </c>
      <c r="D696">
        <v>14799</v>
      </c>
      <c r="E696">
        <v>13.510009950612099</v>
      </c>
      <c r="F696">
        <v>1095.4100000000001</v>
      </c>
    </row>
    <row r="697" spans="1:6" x14ac:dyDescent="0.25">
      <c r="A697">
        <v>684</v>
      </c>
      <c r="B697" t="s">
        <v>108</v>
      </c>
      <c r="C697">
        <v>202602</v>
      </c>
      <c r="D697">
        <v>35069</v>
      </c>
      <c r="E697">
        <v>8.344060130339507</v>
      </c>
      <c r="F697">
        <v>4202.87</v>
      </c>
    </row>
    <row r="698" spans="1:6" x14ac:dyDescent="0.25">
      <c r="A698">
        <v>686</v>
      </c>
      <c r="B698" t="s">
        <v>108</v>
      </c>
      <c r="C698">
        <v>202602</v>
      </c>
      <c r="D698">
        <v>19509</v>
      </c>
      <c r="E698">
        <v>3.1350939612199049</v>
      </c>
      <c r="F698">
        <v>6222.78</v>
      </c>
    </row>
    <row r="699" spans="1:6" x14ac:dyDescent="0.25">
      <c r="A699">
        <v>708</v>
      </c>
      <c r="B699" t="s">
        <v>108</v>
      </c>
      <c r="C699">
        <v>202602</v>
      </c>
      <c r="D699">
        <v>428463</v>
      </c>
      <c r="E699">
        <v>98.162585942636937</v>
      </c>
      <c r="F699">
        <v>4364.83</v>
      </c>
    </row>
    <row r="700" spans="1:6" x14ac:dyDescent="0.25">
      <c r="A700">
        <v>710</v>
      </c>
      <c r="B700" t="s">
        <v>108</v>
      </c>
      <c r="C700">
        <v>202602</v>
      </c>
      <c r="D700">
        <v>248277</v>
      </c>
      <c r="E700">
        <v>36.037012845634663</v>
      </c>
      <c r="F700">
        <v>6889.5</v>
      </c>
    </row>
    <row r="701" spans="1:6" x14ac:dyDescent="0.25">
      <c r="A701">
        <v>809</v>
      </c>
      <c r="B701" t="s">
        <v>108</v>
      </c>
      <c r="C701">
        <v>202602</v>
      </c>
      <c r="D701">
        <v>20546</v>
      </c>
      <c r="E701">
        <v>13.706470980653769</v>
      </c>
      <c r="F701">
        <v>1499</v>
      </c>
    </row>
    <row r="702" spans="1:6" x14ac:dyDescent="0.25">
      <c r="A702">
        <v>810</v>
      </c>
      <c r="B702" t="s">
        <v>108</v>
      </c>
      <c r="C702">
        <v>202602</v>
      </c>
      <c r="D702">
        <v>4987</v>
      </c>
      <c r="E702">
        <v>2.6611526147278548</v>
      </c>
      <c r="F702">
        <v>1874</v>
      </c>
    </row>
    <row r="703" spans="1:6" x14ac:dyDescent="0.25">
      <c r="A703">
        <v>750</v>
      </c>
      <c r="B703" t="s">
        <v>108</v>
      </c>
      <c r="C703">
        <v>202602</v>
      </c>
      <c r="D703">
        <v>26881</v>
      </c>
      <c r="E703">
        <v>4.3728781024237016</v>
      </c>
      <c r="F703">
        <v>6147.21</v>
      </c>
    </row>
    <row r="704" spans="1:6" x14ac:dyDescent="0.25">
      <c r="A704">
        <v>682</v>
      </c>
      <c r="B704" t="s">
        <v>109</v>
      </c>
      <c r="C704">
        <v>202602</v>
      </c>
      <c r="D704">
        <v>6668</v>
      </c>
      <c r="E704">
        <v>6.0872184844030999</v>
      </c>
      <c r="F704">
        <v>1095.4100000000001</v>
      </c>
    </row>
    <row r="705" spans="1:6" x14ac:dyDescent="0.25">
      <c r="A705">
        <v>683</v>
      </c>
      <c r="B705" t="s">
        <v>109</v>
      </c>
      <c r="C705">
        <v>202602</v>
      </c>
      <c r="D705">
        <v>16364</v>
      </c>
      <c r="E705">
        <v>14.938698752065436</v>
      </c>
      <c r="F705">
        <v>1095.4100000000001</v>
      </c>
    </row>
    <row r="706" spans="1:6" x14ac:dyDescent="0.25">
      <c r="A706">
        <v>684</v>
      </c>
      <c r="B706" t="s">
        <v>109</v>
      </c>
      <c r="C706">
        <v>202602</v>
      </c>
      <c r="D706">
        <v>49264</v>
      </c>
      <c r="E706">
        <v>11.721514108216528</v>
      </c>
      <c r="F706">
        <v>4202.87</v>
      </c>
    </row>
    <row r="707" spans="1:6" x14ac:dyDescent="0.25">
      <c r="A707">
        <v>686</v>
      </c>
      <c r="B707" t="s">
        <v>109</v>
      </c>
      <c r="C707">
        <v>202602</v>
      </c>
      <c r="D707">
        <v>20183</v>
      </c>
      <c r="E707">
        <v>3.2434056804193627</v>
      </c>
      <c r="F707">
        <v>6222.78</v>
      </c>
    </row>
    <row r="708" spans="1:6" x14ac:dyDescent="0.25">
      <c r="A708">
        <v>708</v>
      </c>
      <c r="B708" t="s">
        <v>109</v>
      </c>
      <c r="C708">
        <v>202602</v>
      </c>
      <c r="D708">
        <v>327296</v>
      </c>
      <c r="E708">
        <v>74.984821860186997</v>
      </c>
      <c r="F708">
        <v>4364.83</v>
      </c>
    </row>
    <row r="709" spans="1:6" x14ac:dyDescent="0.25">
      <c r="A709">
        <v>710</v>
      </c>
      <c r="B709" t="s">
        <v>109</v>
      </c>
      <c r="C709">
        <v>202602</v>
      </c>
      <c r="D709">
        <v>189431</v>
      </c>
      <c r="E709">
        <v>27.495609260468829</v>
      </c>
      <c r="F709">
        <v>6889.5</v>
      </c>
    </row>
    <row r="710" spans="1:6" x14ac:dyDescent="0.25">
      <c r="A710">
        <v>809</v>
      </c>
      <c r="B710" t="s">
        <v>109</v>
      </c>
      <c r="C710">
        <v>202602</v>
      </c>
      <c r="D710">
        <v>15693</v>
      </c>
      <c r="E710">
        <v>10.468979319546364</v>
      </c>
      <c r="F710">
        <v>1499</v>
      </c>
    </row>
    <row r="711" spans="1:6" x14ac:dyDescent="0.25">
      <c r="A711">
        <v>810</v>
      </c>
      <c r="B711" t="s">
        <v>109</v>
      </c>
      <c r="C711">
        <v>202602</v>
      </c>
      <c r="D711">
        <v>3991</v>
      </c>
      <c r="E711">
        <v>2.1296691568836712</v>
      </c>
      <c r="F711">
        <v>1874</v>
      </c>
    </row>
    <row r="712" spans="1:6" x14ac:dyDescent="0.25">
      <c r="A712">
        <v>750</v>
      </c>
      <c r="B712" t="s">
        <v>109</v>
      </c>
      <c r="C712">
        <v>202602</v>
      </c>
      <c r="D712">
        <v>24702</v>
      </c>
      <c r="E712">
        <v>4.0184083511056237</v>
      </c>
      <c r="F712">
        <v>6147.21</v>
      </c>
    </row>
    <row r="713" spans="1:6" x14ac:dyDescent="0.25">
      <c r="A713">
        <v>682</v>
      </c>
      <c r="B713" t="s">
        <v>110</v>
      </c>
      <c r="C713">
        <v>202602</v>
      </c>
      <c r="D713">
        <v>9959</v>
      </c>
      <c r="E713">
        <v>9.0915730183219061</v>
      </c>
      <c r="F713">
        <v>1095.4100000000001</v>
      </c>
    </row>
    <row r="714" spans="1:6" x14ac:dyDescent="0.25">
      <c r="A714">
        <v>683</v>
      </c>
      <c r="B714" t="s">
        <v>110</v>
      </c>
      <c r="C714">
        <v>202602</v>
      </c>
      <c r="D714">
        <v>11260</v>
      </c>
      <c r="E714">
        <v>10.279256168923052</v>
      </c>
      <c r="F714">
        <v>1095.4100000000001</v>
      </c>
    </row>
    <row r="715" spans="1:6" x14ac:dyDescent="0.25">
      <c r="A715">
        <v>684</v>
      </c>
      <c r="B715" t="s">
        <v>110</v>
      </c>
      <c r="C715">
        <v>202602</v>
      </c>
      <c r="D715">
        <v>35401</v>
      </c>
      <c r="E715">
        <v>8.4230537703997506</v>
      </c>
      <c r="F715">
        <v>4202.87</v>
      </c>
    </row>
    <row r="716" spans="1:6" x14ac:dyDescent="0.25">
      <c r="A716">
        <v>686</v>
      </c>
      <c r="B716" t="s">
        <v>110</v>
      </c>
      <c r="C716">
        <v>202602</v>
      </c>
      <c r="D716">
        <v>16238</v>
      </c>
      <c r="E716">
        <v>2.6094446533542888</v>
      </c>
      <c r="F716">
        <v>6222.78</v>
      </c>
    </row>
    <row r="717" spans="1:6" x14ac:dyDescent="0.25">
      <c r="A717">
        <v>708</v>
      </c>
      <c r="B717" t="s">
        <v>110</v>
      </c>
      <c r="C717">
        <v>202602</v>
      </c>
      <c r="D717">
        <v>317037</v>
      </c>
      <c r="E717">
        <v>72.634443953143645</v>
      </c>
      <c r="F717">
        <v>4364.83</v>
      </c>
    </row>
    <row r="718" spans="1:6" x14ac:dyDescent="0.25">
      <c r="A718">
        <v>710</v>
      </c>
      <c r="B718" t="s">
        <v>110</v>
      </c>
      <c r="C718">
        <v>202602</v>
      </c>
      <c r="D718">
        <v>178688</v>
      </c>
      <c r="E718">
        <v>25.936279846142682</v>
      </c>
      <c r="F718">
        <v>6889.5</v>
      </c>
    </row>
    <row r="719" spans="1:6" x14ac:dyDescent="0.25">
      <c r="A719">
        <v>809</v>
      </c>
      <c r="B719" t="s">
        <v>110</v>
      </c>
      <c r="C719">
        <v>202602</v>
      </c>
      <c r="D719">
        <v>18996</v>
      </c>
      <c r="E719">
        <v>12.672448298865911</v>
      </c>
      <c r="F719">
        <v>1499</v>
      </c>
    </row>
    <row r="720" spans="1:6" x14ac:dyDescent="0.25">
      <c r="A720">
        <v>810</v>
      </c>
      <c r="B720" t="s">
        <v>110</v>
      </c>
      <c r="C720">
        <v>202602</v>
      </c>
      <c r="D720">
        <v>5009</v>
      </c>
      <c r="E720">
        <v>2.6728922091782286</v>
      </c>
      <c r="F720">
        <v>1874</v>
      </c>
    </row>
    <row r="721" spans="1:6" x14ac:dyDescent="0.25">
      <c r="A721">
        <v>750</v>
      </c>
      <c r="B721" t="s">
        <v>110</v>
      </c>
      <c r="C721">
        <v>202602</v>
      </c>
      <c r="D721">
        <v>32707</v>
      </c>
      <c r="E721">
        <v>5.3206251291236191</v>
      </c>
      <c r="F721">
        <v>6147.21</v>
      </c>
    </row>
    <row r="722" spans="1:6" x14ac:dyDescent="0.25">
      <c r="A722">
        <v>682</v>
      </c>
      <c r="B722" t="s">
        <v>111</v>
      </c>
      <c r="C722">
        <v>202602</v>
      </c>
      <c r="D722">
        <v>3589</v>
      </c>
      <c r="E722">
        <v>3.2763987913201449</v>
      </c>
      <c r="F722">
        <v>1095.4100000000001</v>
      </c>
    </row>
    <row r="723" spans="1:6" x14ac:dyDescent="0.25">
      <c r="A723">
        <v>683</v>
      </c>
      <c r="B723" t="s">
        <v>111</v>
      </c>
      <c r="C723">
        <v>202602</v>
      </c>
      <c r="D723">
        <v>6346</v>
      </c>
      <c r="E723">
        <v>5.7932646223788353</v>
      </c>
      <c r="F723">
        <v>1095.4100000000001</v>
      </c>
    </row>
    <row r="724" spans="1:6" x14ac:dyDescent="0.25">
      <c r="A724">
        <v>684</v>
      </c>
      <c r="B724" t="s">
        <v>111</v>
      </c>
      <c r="C724">
        <v>202602</v>
      </c>
      <c r="D724">
        <v>47772</v>
      </c>
      <c r="E724">
        <v>11.366518593246996</v>
      </c>
      <c r="F724">
        <v>4202.87</v>
      </c>
    </row>
    <row r="725" spans="1:6" x14ac:dyDescent="0.25">
      <c r="A725">
        <v>686</v>
      </c>
      <c r="B725" t="s">
        <v>111</v>
      </c>
      <c r="C725">
        <v>202602</v>
      </c>
      <c r="D725">
        <v>11694</v>
      </c>
      <c r="E725">
        <v>1.8792243980985992</v>
      </c>
      <c r="F725">
        <v>6222.78</v>
      </c>
    </row>
    <row r="726" spans="1:6" x14ac:dyDescent="0.25">
      <c r="A726">
        <v>708</v>
      </c>
      <c r="B726" t="s">
        <v>111</v>
      </c>
      <c r="C726">
        <v>202602</v>
      </c>
      <c r="D726">
        <v>178644</v>
      </c>
      <c r="E726">
        <v>40.928054471766373</v>
      </c>
      <c r="F726">
        <v>4364.83</v>
      </c>
    </row>
    <row r="727" spans="1:6" x14ac:dyDescent="0.25">
      <c r="A727">
        <v>710</v>
      </c>
      <c r="B727" t="s">
        <v>111</v>
      </c>
      <c r="C727">
        <v>202602</v>
      </c>
      <c r="D727">
        <v>113281</v>
      </c>
      <c r="E727">
        <v>16.442557515059146</v>
      </c>
      <c r="F727">
        <v>6889.5</v>
      </c>
    </row>
    <row r="728" spans="1:6" x14ac:dyDescent="0.25">
      <c r="A728">
        <v>809</v>
      </c>
      <c r="B728" t="s">
        <v>111</v>
      </c>
      <c r="C728">
        <v>202602</v>
      </c>
      <c r="D728">
        <v>20137</v>
      </c>
      <c r="E728">
        <v>13.433622414943295</v>
      </c>
      <c r="F728">
        <v>1499</v>
      </c>
    </row>
    <row r="729" spans="1:6" x14ac:dyDescent="0.25">
      <c r="A729">
        <v>810</v>
      </c>
      <c r="B729" t="s">
        <v>111</v>
      </c>
      <c r="C729">
        <v>202602</v>
      </c>
      <c r="D729">
        <v>5515</v>
      </c>
      <c r="E729">
        <v>2.9429028815368197</v>
      </c>
      <c r="F729">
        <v>1874</v>
      </c>
    </row>
    <row r="730" spans="1:6" x14ac:dyDescent="0.25">
      <c r="A730">
        <v>750</v>
      </c>
      <c r="B730" t="s">
        <v>111</v>
      </c>
      <c r="C730">
        <v>202602</v>
      </c>
      <c r="D730">
        <v>20160</v>
      </c>
      <c r="E730">
        <v>3.2795365702489421</v>
      </c>
      <c r="F730">
        <v>6147.21</v>
      </c>
    </row>
    <row r="731" spans="1:6" x14ac:dyDescent="0.25">
      <c r="A731">
        <v>682</v>
      </c>
      <c r="B731" t="s">
        <v>112</v>
      </c>
      <c r="C731">
        <v>202602</v>
      </c>
      <c r="D731">
        <v>6405</v>
      </c>
      <c r="E731">
        <v>5.8471257337435292</v>
      </c>
      <c r="F731">
        <v>1095.4100000000001</v>
      </c>
    </row>
    <row r="732" spans="1:6" x14ac:dyDescent="0.25">
      <c r="A732">
        <v>683</v>
      </c>
      <c r="B732" t="s">
        <v>112</v>
      </c>
      <c r="C732">
        <v>202602</v>
      </c>
      <c r="D732">
        <v>6327</v>
      </c>
      <c r="E732">
        <v>5.775919518719018</v>
      </c>
      <c r="F732">
        <v>1095.4100000000001</v>
      </c>
    </row>
    <row r="733" spans="1:6" x14ac:dyDescent="0.25">
      <c r="A733">
        <v>684</v>
      </c>
      <c r="B733" t="s">
        <v>112</v>
      </c>
      <c r="C733">
        <v>202602</v>
      </c>
      <c r="D733">
        <v>33033</v>
      </c>
      <c r="E733">
        <v>7.8596292533435488</v>
      </c>
      <c r="F733">
        <v>4202.87</v>
      </c>
    </row>
    <row r="734" spans="1:6" x14ac:dyDescent="0.25">
      <c r="A734">
        <v>686</v>
      </c>
      <c r="B734" t="s">
        <v>112</v>
      </c>
      <c r="C734">
        <v>202602</v>
      </c>
      <c r="D734">
        <v>15828</v>
      </c>
      <c r="E734">
        <v>2.5435577025059541</v>
      </c>
      <c r="F734">
        <v>6222.78</v>
      </c>
    </row>
    <row r="735" spans="1:6" x14ac:dyDescent="0.25">
      <c r="A735">
        <v>708</v>
      </c>
      <c r="B735" t="s">
        <v>112</v>
      </c>
      <c r="C735">
        <v>202602</v>
      </c>
      <c r="D735">
        <v>298228</v>
      </c>
      <c r="E735">
        <v>68.325226870233209</v>
      </c>
      <c r="F735">
        <v>4364.83</v>
      </c>
    </row>
    <row r="736" spans="1:6" x14ac:dyDescent="0.25">
      <c r="A736">
        <v>710</v>
      </c>
      <c r="B736" t="s">
        <v>112</v>
      </c>
      <c r="C736">
        <v>202602</v>
      </c>
      <c r="D736">
        <v>149156</v>
      </c>
      <c r="E736">
        <v>21.649756876406126</v>
      </c>
      <c r="F736">
        <v>6889.5</v>
      </c>
    </row>
    <row r="737" spans="1:6" x14ac:dyDescent="0.25">
      <c r="A737">
        <v>809</v>
      </c>
      <c r="B737" t="s">
        <v>112</v>
      </c>
      <c r="C737">
        <v>202602</v>
      </c>
      <c r="D737">
        <v>20497</v>
      </c>
      <c r="E737">
        <v>13.673782521681121</v>
      </c>
      <c r="F737">
        <v>1499</v>
      </c>
    </row>
    <row r="738" spans="1:6" x14ac:dyDescent="0.25">
      <c r="A738">
        <v>810</v>
      </c>
      <c r="B738" t="s">
        <v>112</v>
      </c>
      <c r="C738">
        <v>202602</v>
      </c>
      <c r="D738">
        <v>4865</v>
      </c>
      <c r="E738">
        <v>2.5960512273212379</v>
      </c>
      <c r="F738">
        <v>1874</v>
      </c>
    </row>
    <row r="739" spans="1:6" x14ac:dyDescent="0.25">
      <c r="A739">
        <v>750</v>
      </c>
      <c r="B739" t="s">
        <v>112</v>
      </c>
      <c r="C739">
        <v>202602</v>
      </c>
      <c r="D739">
        <v>22659</v>
      </c>
      <c r="E739">
        <v>3.6860624576027172</v>
      </c>
      <c r="F739">
        <v>6147.21</v>
      </c>
    </row>
    <row r="740" spans="1:6" x14ac:dyDescent="0.25">
      <c r="A740">
        <v>682</v>
      </c>
      <c r="B740" t="s">
        <v>113</v>
      </c>
      <c r="C740">
        <v>202602</v>
      </c>
      <c r="D740">
        <v>5222</v>
      </c>
      <c r="E740">
        <v>4.7671648058717739</v>
      </c>
      <c r="F740">
        <v>1095.4100000000001</v>
      </c>
    </row>
    <row r="741" spans="1:6" x14ac:dyDescent="0.25">
      <c r="A741">
        <v>683</v>
      </c>
      <c r="B741" t="s">
        <v>113</v>
      </c>
      <c r="C741">
        <v>202602</v>
      </c>
      <c r="D741">
        <v>11896</v>
      </c>
      <c r="E741">
        <v>10.859860691430605</v>
      </c>
      <c r="F741">
        <v>1095.4100000000001</v>
      </c>
    </row>
    <row r="742" spans="1:6" x14ac:dyDescent="0.25">
      <c r="A742">
        <v>684</v>
      </c>
      <c r="B742" t="s">
        <v>113</v>
      </c>
      <c r="C742">
        <v>202602</v>
      </c>
      <c r="D742">
        <v>63963</v>
      </c>
      <c r="E742">
        <v>15.218886142088621</v>
      </c>
      <c r="F742">
        <v>4202.87</v>
      </c>
    </row>
    <row r="743" spans="1:6" x14ac:dyDescent="0.25">
      <c r="A743">
        <v>686</v>
      </c>
      <c r="B743" t="s">
        <v>113</v>
      </c>
      <c r="C743">
        <v>202602</v>
      </c>
      <c r="D743">
        <v>31298</v>
      </c>
      <c r="E743">
        <v>5.0295848479297041</v>
      </c>
      <c r="F743">
        <v>6222.78</v>
      </c>
    </row>
    <row r="744" spans="1:6" x14ac:dyDescent="0.25">
      <c r="A744">
        <v>708</v>
      </c>
      <c r="B744" t="s">
        <v>113</v>
      </c>
      <c r="C744">
        <v>202602</v>
      </c>
      <c r="D744">
        <v>415749</v>
      </c>
      <c r="E744">
        <v>95.249757722522986</v>
      </c>
      <c r="F744">
        <v>4364.83</v>
      </c>
    </row>
    <row r="745" spans="1:6" x14ac:dyDescent="0.25">
      <c r="A745">
        <v>710</v>
      </c>
      <c r="B745" t="s">
        <v>113</v>
      </c>
      <c r="C745">
        <v>202602</v>
      </c>
      <c r="D745">
        <v>210311</v>
      </c>
      <c r="E745">
        <v>30.526308150083459</v>
      </c>
      <c r="F745">
        <v>6889.5</v>
      </c>
    </row>
    <row r="746" spans="1:6" x14ac:dyDescent="0.25">
      <c r="A746">
        <v>809</v>
      </c>
      <c r="B746" t="s">
        <v>113</v>
      </c>
      <c r="C746">
        <v>202602</v>
      </c>
      <c r="D746">
        <v>39399</v>
      </c>
      <c r="E746">
        <v>26.283522348232154</v>
      </c>
      <c r="F746">
        <v>1499</v>
      </c>
    </row>
    <row r="747" spans="1:6" x14ac:dyDescent="0.25">
      <c r="A747">
        <v>810</v>
      </c>
      <c r="B747" t="s">
        <v>113</v>
      </c>
      <c r="C747">
        <v>202602</v>
      </c>
      <c r="D747">
        <v>12196</v>
      </c>
      <c r="E747">
        <v>6.5080042689434361</v>
      </c>
      <c r="F747">
        <v>1874</v>
      </c>
    </row>
    <row r="748" spans="1:6" x14ac:dyDescent="0.25">
      <c r="A748">
        <v>750</v>
      </c>
      <c r="B748" t="s">
        <v>113</v>
      </c>
      <c r="C748">
        <v>202602</v>
      </c>
      <c r="D748">
        <v>89998</v>
      </c>
      <c r="E748">
        <v>14.640462909189697</v>
      </c>
      <c r="F748">
        <v>6147.21</v>
      </c>
    </row>
    <row r="749" spans="1:6" x14ac:dyDescent="0.25">
      <c r="A749">
        <v>682</v>
      </c>
      <c r="B749" t="s">
        <v>114</v>
      </c>
      <c r="C749">
        <v>202602</v>
      </c>
      <c r="D749">
        <v>9027</v>
      </c>
      <c r="E749">
        <v>8.2407500387982573</v>
      </c>
      <c r="F749">
        <v>1095.4100000000001</v>
      </c>
    </row>
    <row r="750" spans="1:6" x14ac:dyDescent="0.25">
      <c r="A750">
        <v>683</v>
      </c>
      <c r="B750" t="s">
        <v>114</v>
      </c>
      <c r="C750">
        <v>202602</v>
      </c>
      <c r="D750">
        <v>14089</v>
      </c>
      <c r="E750">
        <v>12.861850813850522</v>
      </c>
      <c r="F750">
        <v>1095.4100000000001</v>
      </c>
    </row>
    <row r="751" spans="1:6" x14ac:dyDescent="0.25">
      <c r="A751">
        <v>684</v>
      </c>
      <c r="B751" t="s">
        <v>114</v>
      </c>
      <c r="C751">
        <v>202602</v>
      </c>
      <c r="D751">
        <v>116818</v>
      </c>
      <c r="E751">
        <v>27.794816399270022</v>
      </c>
      <c r="F751">
        <v>4202.87</v>
      </c>
    </row>
    <row r="752" spans="1:6" x14ac:dyDescent="0.25">
      <c r="A752">
        <v>686</v>
      </c>
      <c r="B752" t="s">
        <v>114</v>
      </c>
      <c r="C752">
        <v>202602</v>
      </c>
      <c r="D752">
        <v>55150</v>
      </c>
      <c r="E752">
        <v>8.8625983885016026</v>
      </c>
      <c r="F752">
        <v>6222.78</v>
      </c>
    </row>
    <row r="753" spans="1:6" x14ac:dyDescent="0.25">
      <c r="A753">
        <v>708</v>
      </c>
      <c r="B753" t="s">
        <v>114</v>
      </c>
      <c r="C753">
        <v>202602</v>
      </c>
      <c r="D753">
        <v>470869</v>
      </c>
      <c r="E753">
        <v>107.87797004694342</v>
      </c>
      <c r="F753">
        <v>4364.83</v>
      </c>
    </row>
    <row r="754" spans="1:6" x14ac:dyDescent="0.25">
      <c r="A754">
        <v>710</v>
      </c>
      <c r="B754" t="s">
        <v>114</v>
      </c>
      <c r="C754">
        <v>202602</v>
      </c>
      <c r="D754">
        <v>313296</v>
      </c>
      <c r="E754">
        <v>45.474417591987809</v>
      </c>
      <c r="F754">
        <v>6889.5</v>
      </c>
    </row>
    <row r="755" spans="1:6" x14ac:dyDescent="0.25">
      <c r="A755">
        <v>809</v>
      </c>
      <c r="B755" t="s">
        <v>114</v>
      </c>
      <c r="C755">
        <v>202602</v>
      </c>
      <c r="D755">
        <v>50069</v>
      </c>
      <c r="E755">
        <v>33.401601067378252</v>
      </c>
      <c r="F755">
        <v>1499</v>
      </c>
    </row>
    <row r="756" spans="1:6" x14ac:dyDescent="0.25">
      <c r="A756">
        <v>810</v>
      </c>
      <c r="B756" t="s">
        <v>114</v>
      </c>
      <c r="C756">
        <v>202602</v>
      </c>
      <c r="D756">
        <v>14483</v>
      </c>
      <c r="E756">
        <v>7.7283884738527213</v>
      </c>
      <c r="F756">
        <v>1874</v>
      </c>
    </row>
    <row r="757" spans="1:6" x14ac:dyDescent="0.25">
      <c r="A757">
        <v>750</v>
      </c>
      <c r="B757" t="s">
        <v>114</v>
      </c>
      <c r="C757">
        <v>202602</v>
      </c>
      <c r="D757">
        <v>102214</v>
      </c>
      <c r="E757">
        <v>16.627705902352449</v>
      </c>
      <c r="F757">
        <v>6147.21</v>
      </c>
    </row>
    <row r="758" spans="1:6" x14ac:dyDescent="0.25">
      <c r="A758">
        <v>682</v>
      </c>
      <c r="B758" t="s">
        <v>115</v>
      </c>
      <c r="C758">
        <v>202602</v>
      </c>
      <c r="D758">
        <v>8008</v>
      </c>
      <c r="E758">
        <v>7.3105047425164997</v>
      </c>
      <c r="F758">
        <v>1095.4100000000001</v>
      </c>
    </row>
    <row r="759" spans="1:6" x14ac:dyDescent="0.25">
      <c r="A759">
        <v>683</v>
      </c>
      <c r="B759" t="s">
        <v>115</v>
      </c>
      <c r="C759">
        <v>202602</v>
      </c>
      <c r="D759">
        <v>12969</v>
      </c>
      <c r="E759">
        <v>11.839402598113947</v>
      </c>
      <c r="F759">
        <v>1095.4100000000001</v>
      </c>
    </row>
    <row r="760" spans="1:6" x14ac:dyDescent="0.25">
      <c r="A760">
        <v>684</v>
      </c>
      <c r="B760" t="s">
        <v>115</v>
      </c>
      <c r="C760">
        <v>202602</v>
      </c>
      <c r="D760">
        <v>110904</v>
      </c>
      <c r="E760">
        <v>26.387682702534221</v>
      </c>
      <c r="F760">
        <v>4202.87</v>
      </c>
    </row>
    <row r="761" spans="1:6" x14ac:dyDescent="0.25">
      <c r="A761">
        <v>686</v>
      </c>
      <c r="B761" t="s">
        <v>115</v>
      </c>
      <c r="C761">
        <v>202602</v>
      </c>
      <c r="D761">
        <v>54340</v>
      </c>
      <c r="E761">
        <v>8.7324314856061118</v>
      </c>
      <c r="F761">
        <v>6222.78</v>
      </c>
    </row>
    <row r="762" spans="1:6" x14ac:dyDescent="0.25">
      <c r="A762">
        <v>708</v>
      </c>
      <c r="B762" t="s">
        <v>115</v>
      </c>
      <c r="C762">
        <v>202602</v>
      </c>
      <c r="D762">
        <v>526097</v>
      </c>
      <c r="E762">
        <v>120.530925603059</v>
      </c>
      <c r="F762">
        <v>4364.83</v>
      </c>
    </row>
    <row r="763" spans="1:6" x14ac:dyDescent="0.25">
      <c r="A763">
        <v>710</v>
      </c>
      <c r="B763" t="s">
        <v>115</v>
      </c>
      <c r="C763">
        <v>202602</v>
      </c>
      <c r="D763">
        <v>291492</v>
      </c>
      <c r="E763">
        <v>42.309601567602876</v>
      </c>
      <c r="F763">
        <v>6889.5</v>
      </c>
    </row>
    <row r="764" spans="1:6" x14ac:dyDescent="0.25">
      <c r="A764">
        <v>809</v>
      </c>
      <c r="B764" t="s">
        <v>115</v>
      </c>
      <c r="C764">
        <v>202602</v>
      </c>
      <c r="D764">
        <v>45716</v>
      </c>
      <c r="E764">
        <v>30.497665110073381</v>
      </c>
      <c r="F764">
        <v>1499</v>
      </c>
    </row>
    <row r="765" spans="1:6" x14ac:dyDescent="0.25">
      <c r="A765">
        <v>810</v>
      </c>
      <c r="B765" t="s">
        <v>115</v>
      </c>
      <c r="C765">
        <v>202602</v>
      </c>
      <c r="D765">
        <v>12519</v>
      </c>
      <c r="E765">
        <v>6.6803628601921021</v>
      </c>
      <c r="F765">
        <v>1874</v>
      </c>
    </row>
    <row r="766" spans="1:6" x14ac:dyDescent="0.25">
      <c r="A766">
        <v>750</v>
      </c>
      <c r="B766" t="s">
        <v>115</v>
      </c>
      <c r="C766">
        <v>202602</v>
      </c>
      <c r="D766">
        <v>75803</v>
      </c>
      <c r="E766">
        <v>12.331285249731179</v>
      </c>
      <c r="F766">
        <v>6147.21</v>
      </c>
    </row>
    <row r="767" spans="1:6" x14ac:dyDescent="0.25">
      <c r="A767">
        <v>682</v>
      </c>
      <c r="B767" t="s">
        <v>116</v>
      </c>
      <c r="C767">
        <v>202602</v>
      </c>
      <c r="D767">
        <v>4851</v>
      </c>
      <c r="E767">
        <v>4.4284788344090336</v>
      </c>
      <c r="F767">
        <v>1095.4100000000001</v>
      </c>
    </row>
    <row r="768" spans="1:6" x14ac:dyDescent="0.25">
      <c r="A768">
        <v>683</v>
      </c>
      <c r="B768" t="s">
        <v>116</v>
      </c>
      <c r="C768">
        <v>202602</v>
      </c>
      <c r="D768">
        <v>5566</v>
      </c>
      <c r="E768">
        <v>5.0812024721337217</v>
      </c>
      <c r="F768">
        <v>1095.4100000000001</v>
      </c>
    </row>
    <row r="769" spans="1:6" x14ac:dyDescent="0.25">
      <c r="A769">
        <v>684</v>
      </c>
      <c r="B769" t="s">
        <v>116</v>
      </c>
      <c r="C769">
        <v>202602</v>
      </c>
      <c r="D769">
        <v>68082</v>
      </c>
      <c r="E769">
        <v>16.198930730667378</v>
      </c>
      <c r="F769">
        <v>4202.87</v>
      </c>
    </row>
    <row r="770" spans="1:6" x14ac:dyDescent="0.25">
      <c r="A770">
        <v>686</v>
      </c>
      <c r="B770" t="s">
        <v>116</v>
      </c>
      <c r="C770">
        <v>202602</v>
      </c>
      <c r="D770">
        <v>23672</v>
      </c>
      <c r="E770">
        <v>3.8040875621506789</v>
      </c>
      <c r="F770">
        <v>6222.78</v>
      </c>
    </row>
    <row r="771" spans="1:6" x14ac:dyDescent="0.25">
      <c r="A771">
        <v>708</v>
      </c>
      <c r="B771" t="s">
        <v>116</v>
      </c>
      <c r="C771">
        <v>202602</v>
      </c>
      <c r="D771">
        <v>240422</v>
      </c>
      <c r="E771">
        <v>55.081641209394178</v>
      </c>
      <c r="F771">
        <v>4364.83</v>
      </c>
    </row>
    <row r="772" spans="1:6" x14ac:dyDescent="0.25">
      <c r="A772">
        <v>710</v>
      </c>
      <c r="B772" t="s">
        <v>116</v>
      </c>
      <c r="C772">
        <v>202602</v>
      </c>
      <c r="D772">
        <v>157199</v>
      </c>
      <c r="E772">
        <v>22.817185572247624</v>
      </c>
      <c r="F772">
        <v>6889.5</v>
      </c>
    </row>
    <row r="773" spans="1:6" x14ac:dyDescent="0.25">
      <c r="A773">
        <v>809</v>
      </c>
      <c r="B773" t="s">
        <v>116</v>
      </c>
      <c r="C773">
        <v>202602</v>
      </c>
      <c r="D773">
        <v>31051</v>
      </c>
      <c r="E773">
        <v>20.714476317545031</v>
      </c>
      <c r="F773">
        <v>1499</v>
      </c>
    </row>
    <row r="774" spans="1:6" x14ac:dyDescent="0.25">
      <c r="A774">
        <v>810</v>
      </c>
      <c r="B774" t="s">
        <v>116</v>
      </c>
      <c r="C774">
        <v>202602</v>
      </c>
      <c r="D774">
        <v>7623</v>
      </c>
      <c r="E774">
        <v>4.067769477054429</v>
      </c>
      <c r="F774">
        <v>1874</v>
      </c>
    </row>
    <row r="775" spans="1:6" x14ac:dyDescent="0.25">
      <c r="A775">
        <v>750</v>
      </c>
      <c r="B775" t="s">
        <v>116</v>
      </c>
      <c r="C775">
        <v>202602</v>
      </c>
      <c r="D775">
        <v>37089</v>
      </c>
      <c r="E775">
        <v>6.0334688419624509</v>
      </c>
      <c r="F775">
        <v>6147.21</v>
      </c>
    </row>
    <row r="776" spans="1:6" x14ac:dyDescent="0.25">
      <c r="A776">
        <v>682</v>
      </c>
      <c r="B776" t="s">
        <v>117</v>
      </c>
      <c r="C776">
        <v>202602</v>
      </c>
      <c r="D776">
        <v>3237</v>
      </c>
      <c r="E776">
        <v>2.9550579235172219</v>
      </c>
      <c r="F776">
        <v>1095.4100000000001</v>
      </c>
    </row>
    <row r="777" spans="1:6" x14ac:dyDescent="0.25">
      <c r="A777">
        <v>683</v>
      </c>
      <c r="B777" t="s">
        <v>117</v>
      </c>
      <c r="C777">
        <v>202602</v>
      </c>
      <c r="D777">
        <v>4754</v>
      </c>
      <c r="E777">
        <v>4.3399275157247059</v>
      </c>
      <c r="F777">
        <v>1095.4100000000001</v>
      </c>
    </row>
    <row r="778" spans="1:6" x14ac:dyDescent="0.25">
      <c r="A778">
        <v>684</v>
      </c>
      <c r="B778" t="s">
        <v>117</v>
      </c>
      <c r="C778">
        <v>202602</v>
      </c>
      <c r="D778">
        <v>24966</v>
      </c>
      <c r="E778">
        <v>5.9402265594700765</v>
      </c>
      <c r="F778">
        <v>4202.87</v>
      </c>
    </row>
    <row r="779" spans="1:6" x14ac:dyDescent="0.25">
      <c r="A779">
        <v>686</v>
      </c>
      <c r="B779" t="s">
        <v>117</v>
      </c>
      <c r="C779">
        <v>202602</v>
      </c>
      <c r="D779">
        <v>12796</v>
      </c>
      <c r="E779">
        <v>2.0563156659885133</v>
      </c>
      <c r="F779">
        <v>6222.78</v>
      </c>
    </row>
    <row r="780" spans="1:6" x14ac:dyDescent="0.25">
      <c r="A780">
        <v>708</v>
      </c>
      <c r="B780" t="s">
        <v>117</v>
      </c>
      <c r="C780">
        <v>202602</v>
      </c>
      <c r="D780">
        <v>235722</v>
      </c>
      <c r="E780">
        <v>54.004852422660221</v>
      </c>
      <c r="F780">
        <v>4364.83</v>
      </c>
    </row>
    <row r="781" spans="1:6" x14ac:dyDescent="0.25">
      <c r="A781">
        <v>710</v>
      </c>
      <c r="B781" t="s">
        <v>117</v>
      </c>
      <c r="C781">
        <v>202602</v>
      </c>
      <c r="D781">
        <v>119963</v>
      </c>
      <c r="E781">
        <v>17.412439219101532</v>
      </c>
      <c r="F781">
        <v>6889.5</v>
      </c>
    </row>
    <row r="782" spans="1:6" x14ac:dyDescent="0.25">
      <c r="A782">
        <v>809</v>
      </c>
      <c r="B782" t="s">
        <v>117</v>
      </c>
      <c r="C782">
        <v>202602</v>
      </c>
      <c r="D782">
        <v>24760</v>
      </c>
      <c r="E782">
        <v>16.517678452301535</v>
      </c>
      <c r="F782">
        <v>1499</v>
      </c>
    </row>
    <row r="783" spans="1:6" x14ac:dyDescent="0.25">
      <c r="A783">
        <v>810</v>
      </c>
      <c r="B783" t="s">
        <v>117</v>
      </c>
      <c r="C783">
        <v>202602</v>
      </c>
      <c r="D783">
        <v>7345</v>
      </c>
      <c r="E783">
        <v>3.9194236926360726</v>
      </c>
      <c r="F783">
        <v>1874</v>
      </c>
    </row>
    <row r="784" spans="1:6" x14ac:dyDescent="0.25">
      <c r="A784">
        <v>750</v>
      </c>
      <c r="B784" t="s">
        <v>117</v>
      </c>
      <c r="C784">
        <v>202602</v>
      </c>
      <c r="D784">
        <v>28762</v>
      </c>
      <c r="E784">
        <v>4.678870577058535</v>
      </c>
      <c r="F784">
        <v>6147.21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59A62-6AB5-48F9-A9BD-067CCF70EF37}">
  <dimension ref="A1:J88"/>
  <sheetViews>
    <sheetView zoomScale="85" zoomScaleNormal="85" workbookViewId="0">
      <selection activeCell="C1" sqref="C1"/>
    </sheetView>
  </sheetViews>
  <sheetFormatPr defaultRowHeight="15" x14ac:dyDescent="0.25"/>
  <cols>
    <col min="1" max="1" width="16.5703125" bestFit="1" customWidth="1"/>
    <col min="3" max="3" width="10.140625" customWidth="1"/>
    <col min="21" max="21" width="10.140625" customWidth="1"/>
  </cols>
  <sheetData>
    <row r="1" spans="1:10" x14ac:dyDescent="0.25">
      <c r="A1" t="s">
        <v>22</v>
      </c>
      <c r="B1" s="1" t="s">
        <v>179</v>
      </c>
      <c r="C1" s="1" t="s">
        <v>180</v>
      </c>
      <c r="D1" s="1" t="s">
        <v>181</v>
      </c>
      <c r="E1" s="1" t="s">
        <v>182</v>
      </c>
      <c r="F1" s="1" t="s">
        <v>183</v>
      </c>
      <c r="G1" s="1" t="s">
        <v>184</v>
      </c>
      <c r="H1" s="1" t="s">
        <v>185</v>
      </c>
      <c r="I1" s="57" t="s">
        <v>186</v>
      </c>
      <c r="J1" s="58" t="s">
        <v>187</v>
      </c>
    </row>
    <row r="2" spans="1:10" x14ac:dyDescent="0.25">
      <c r="A2" t="s">
        <v>29</v>
      </c>
      <c r="B2">
        <v>10863</v>
      </c>
      <c r="C2">
        <v>8223</v>
      </c>
      <c r="D2">
        <v>73818</v>
      </c>
      <c r="E2">
        <v>41089</v>
      </c>
      <c r="F2">
        <v>403442</v>
      </c>
      <c r="G2">
        <v>274027</v>
      </c>
      <c r="H2">
        <v>29720</v>
      </c>
      <c r="I2">
        <v>6151</v>
      </c>
      <c r="J2">
        <v>79463</v>
      </c>
    </row>
    <row r="3" spans="1:10" x14ac:dyDescent="0.25">
      <c r="A3" t="s">
        <v>30</v>
      </c>
      <c r="B3">
        <v>8064</v>
      </c>
      <c r="C3">
        <v>5318</v>
      </c>
      <c r="D3">
        <v>38514</v>
      </c>
      <c r="E3">
        <v>16874</v>
      </c>
      <c r="F3">
        <v>240994</v>
      </c>
      <c r="G3">
        <v>169786</v>
      </c>
      <c r="H3">
        <v>33358</v>
      </c>
      <c r="I3">
        <v>7917</v>
      </c>
      <c r="J3">
        <v>54943</v>
      </c>
    </row>
    <row r="4" spans="1:10" x14ac:dyDescent="0.25">
      <c r="A4" t="s">
        <v>31</v>
      </c>
      <c r="B4">
        <v>10796</v>
      </c>
      <c r="C4">
        <v>9403</v>
      </c>
      <c r="D4">
        <v>80663</v>
      </c>
      <c r="E4">
        <v>56304</v>
      </c>
      <c r="F4">
        <v>382402</v>
      </c>
      <c r="G4">
        <v>310221</v>
      </c>
      <c r="H4">
        <v>32837</v>
      </c>
      <c r="I4">
        <v>6152</v>
      </c>
      <c r="J4">
        <v>70649</v>
      </c>
    </row>
    <row r="5" spans="1:10" x14ac:dyDescent="0.25">
      <c r="A5" t="s">
        <v>32</v>
      </c>
      <c r="B5">
        <v>9588</v>
      </c>
      <c r="C5">
        <v>7990</v>
      </c>
      <c r="D5">
        <v>73215</v>
      </c>
      <c r="E5">
        <v>37838</v>
      </c>
      <c r="F5">
        <v>330636</v>
      </c>
      <c r="G5">
        <v>274867</v>
      </c>
      <c r="H5">
        <v>28320</v>
      </c>
      <c r="I5">
        <v>6049</v>
      </c>
      <c r="J5">
        <v>73185</v>
      </c>
    </row>
    <row r="6" spans="1:10" x14ac:dyDescent="0.25">
      <c r="A6" t="s">
        <v>33</v>
      </c>
      <c r="B6">
        <v>6581</v>
      </c>
      <c r="C6">
        <v>6806</v>
      </c>
      <c r="D6">
        <v>88766</v>
      </c>
      <c r="E6">
        <v>25282</v>
      </c>
      <c r="F6">
        <v>316904</v>
      </c>
      <c r="G6">
        <v>147796</v>
      </c>
      <c r="H6">
        <v>29783</v>
      </c>
      <c r="I6">
        <v>8482</v>
      </c>
      <c r="J6">
        <v>32203</v>
      </c>
    </row>
    <row r="7" spans="1:10" x14ac:dyDescent="0.25">
      <c r="A7" t="s">
        <v>34</v>
      </c>
      <c r="B7">
        <v>5770</v>
      </c>
      <c r="C7">
        <v>8734</v>
      </c>
      <c r="D7">
        <v>74691</v>
      </c>
      <c r="E7">
        <v>33096</v>
      </c>
      <c r="F7">
        <v>359706</v>
      </c>
      <c r="G7">
        <v>183219</v>
      </c>
      <c r="H7">
        <v>30632</v>
      </c>
      <c r="I7">
        <v>7271</v>
      </c>
      <c r="J7">
        <v>39022</v>
      </c>
    </row>
    <row r="8" spans="1:10" x14ac:dyDescent="0.25">
      <c r="A8" t="s">
        <v>35</v>
      </c>
      <c r="B8">
        <v>10902</v>
      </c>
      <c r="C8">
        <v>8423</v>
      </c>
      <c r="D8">
        <v>83021</v>
      </c>
      <c r="E8">
        <v>30019</v>
      </c>
      <c r="F8">
        <v>327023</v>
      </c>
      <c r="G8">
        <v>163371</v>
      </c>
      <c r="H8">
        <v>24978</v>
      </c>
      <c r="I8">
        <v>6351</v>
      </c>
      <c r="J8">
        <v>35867</v>
      </c>
    </row>
    <row r="9" spans="1:10" x14ac:dyDescent="0.25">
      <c r="A9" t="s">
        <v>37</v>
      </c>
      <c r="B9">
        <v>4152</v>
      </c>
      <c r="C9">
        <v>3310</v>
      </c>
      <c r="D9">
        <v>82679</v>
      </c>
      <c r="E9">
        <v>26194</v>
      </c>
      <c r="F9">
        <v>224647</v>
      </c>
      <c r="G9">
        <v>106516</v>
      </c>
      <c r="H9">
        <v>26114</v>
      </c>
      <c r="I9">
        <v>7438</v>
      </c>
      <c r="J9">
        <v>27331</v>
      </c>
    </row>
    <row r="10" spans="1:10" x14ac:dyDescent="0.25">
      <c r="A10" t="s">
        <v>38</v>
      </c>
      <c r="B10">
        <v>5475</v>
      </c>
      <c r="C10">
        <v>3827</v>
      </c>
      <c r="D10">
        <v>87869</v>
      </c>
      <c r="E10">
        <v>22752</v>
      </c>
      <c r="F10">
        <v>254759</v>
      </c>
      <c r="G10">
        <v>97206</v>
      </c>
      <c r="H10">
        <v>26729</v>
      </c>
      <c r="I10">
        <v>6562</v>
      </c>
      <c r="J10">
        <v>31169</v>
      </c>
    </row>
    <row r="11" spans="1:10" x14ac:dyDescent="0.25">
      <c r="A11" t="s">
        <v>39</v>
      </c>
      <c r="B11">
        <v>4214</v>
      </c>
      <c r="C11">
        <v>5777</v>
      </c>
      <c r="D11">
        <v>37133</v>
      </c>
      <c r="E11">
        <v>12718</v>
      </c>
      <c r="F11">
        <v>153482</v>
      </c>
      <c r="G11">
        <v>67006</v>
      </c>
      <c r="H11">
        <v>8967</v>
      </c>
      <c r="I11">
        <v>2129</v>
      </c>
      <c r="J11">
        <v>15685</v>
      </c>
    </row>
    <row r="12" spans="1:10" x14ac:dyDescent="0.25">
      <c r="A12" t="s">
        <v>40</v>
      </c>
      <c r="B12">
        <v>5104</v>
      </c>
      <c r="C12">
        <v>4869</v>
      </c>
      <c r="D12">
        <v>90838</v>
      </c>
      <c r="E12">
        <v>37310</v>
      </c>
      <c r="F12">
        <v>373915</v>
      </c>
      <c r="G12">
        <v>253745</v>
      </c>
      <c r="H12">
        <v>36252</v>
      </c>
      <c r="I12">
        <v>7682</v>
      </c>
      <c r="J12">
        <v>55310</v>
      </c>
    </row>
    <row r="13" spans="1:10" x14ac:dyDescent="0.25">
      <c r="A13" t="s">
        <v>41</v>
      </c>
      <c r="B13">
        <v>9340</v>
      </c>
      <c r="C13">
        <v>6636</v>
      </c>
      <c r="D13">
        <v>61920</v>
      </c>
      <c r="E13">
        <v>31550</v>
      </c>
      <c r="F13">
        <v>285722</v>
      </c>
      <c r="G13">
        <v>194329</v>
      </c>
      <c r="H13">
        <v>41458</v>
      </c>
      <c r="I13">
        <v>8856</v>
      </c>
      <c r="J13">
        <v>64788</v>
      </c>
    </row>
    <row r="14" spans="1:10" x14ac:dyDescent="0.25">
      <c r="A14" t="s">
        <v>42</v>
      </c>
      <c r="B14">
        <v>8585</v>
      </c>
      <c r="C14">
        <v>7099</v>
      </c>
      <c r="D14">
        <v>77091</v>
      </c>
      <c r="E14">
        <v>39728</v>
      </c>
      <c r="F14">
        <v>345280</v>
      </c>
      <c r="G14">
        <v>234747</v>
      </c>
      <c r="H14">
        <v>40924</v>
      </c>
      <c r="I14">
        <v>7408</v>
      </c>
      <c r="J14">
        <v>75390</v>
      </c>
    </row>
    <row r="15" spans="1:10" x14ac:dyDescent="0.25">
      <c r="A15" t="s">
        <v>43</v>
      </c>
      <c r="B15">
        <v>5067</v>
      </c>
      <c r="C15">
        <v>4790</v>
      </c>
      <c r="D15">
        <v>53560</v>
      </c>
      <c r="E15">
        <v>29481</v>
      </c>
      <c r="F15">
        <v>253268</v>
      </c>
      <c r="G15">
        <v>177273</v>
      </c>
      <c r="H15">
        <v>34567</v>
      </c>
      <c r="I15">
        <v>8546</v>
      </c>
      <c r="J15">
        <v>47082</v>
      </c>
    </row>
    <row r="16" spans="1:10" x14ac:dyDescent="0.25">
      <c r="A16" t="s">
        <v>45</v>
      </c>
      <c r="B16">
        <v>5716</v>
      </c>
      <c r="C16">
        <v>2779</v>
      </c>
      <c r="D16">
        <v>27257</v>
      </c>
      <c r="E16">
        <v>8375</v>
      </c>
      <c r="F16">
        <v>205708</v>
      </c>
      <c r="G16">
        <v>117687</v>
      </c>
      <c r="H16">
        <v>16121</v>
      </c>
      <c r="I16">
        <v>3376</v>
      </c>
      <c r="J16">
        <v>19604</v>
      </c>
    </row>
    <row r="17" spans="1:10" x14ac:dyDescent="0.25">
      <c r="A17" t="s">
        <v>46</v>
      </c>
      <c r="B17">
        <v>3991</v>
      </c>
      <c r="C17">
        <v>4292</v>
      </c>
      <c r="D17">
        <v>44296</v>
      </c>
      <c r="E17">
        <v>27890</v>
      </c>
      <c r="F17">
        <v>286781</v>
      </c>
      <c r="G17">
        <v>161990</v>
      </c>
      <c r="H17">
        <v>19601</v>
      </c>
      <c r="I17">
        <v>6344</v>
      </c>
      <c r="J17">
        <v>30804</v>
      </c>
    </row>
    <row r="18" spans="1:10" x14ac:dyDescent="0.25">
      <c r="A18" t="s">
        <v>47</v>
      </c>
      <c r="B18">
        <v>3797</v>
      </c>
      <c r="C18">
        <v>2192</v>
      </c>
      <c r="D18">
        <v>22368</v>
      </c>
      <c r="E18">
        <v>7861</v>
      </c>
      <c r="F18">
        <v>192172</v>
      </c>
      <c r="G18">
        <v>113104</v>
      </c>
      <c r="H18">
        <v>15985</v>
      </c>
      <c r="I18">
        <v>3557</v>
      </c>
      <c r="J18">
        <v>21039</v>
      </c>
    </row>
    <row r="19" spans="1:10" x14ac:dyDescent="0.25">
      <c r="A19" t="s">
        <v>48</v>
      </c>
      <c r="B19">
        <v>2474</v>
      </c>
      <c r="C19">
        <v>2068</v>
      </c>
      <c r="D19">
        <v>41512</v>
      </c>
      <c r="E19">
        <v>12119</v>
      </c>
      <c r="F19">
        <v>252028</v>
      </c>
      <c r="G19">
        <v>105844</v>
      </c>
      <c r="H19">
        <v>9891</v>
      </c>
      <c r="I19">
        <v>2708</v>
      </c>
      <c r="J19">
        <v>23240</v>
      </c>
    </row>
    <row r="20" spans="1:10" x14ac:dyDescent="0.25">
      <c r="A20" t="s">
        <v>49</v>
      </c>
      <c r="B20">
        <v>2597</v>
      </c>
      <c r="C20">
        <v>1798</v>
      </c>
      <c r="D20">
        <v>5285</v>
      </c>
      <c r="E20">
        <v>6326</v>
      </c>
      <c r="F20">
        <v>122744</v>
      </c>
      <c r="G20">
        <v>51655</v>
      </c>
      <c r="H20">
        <v>4967</v>
      </c>
      <c r="I20">
        <v>4421</v>
      </c>
      <c r="J20">
        <v>8309</v>
      </c>
    </row>
    <row r="21" spans="1:10" x14ac:dyDescent="0.25">
      <c r="A21" t="s">
        <v>50</v>
      </c>
      <c r="B21">
        <v>7511</v>
      </c>
      <c r="C21">
        <v>3410</v>
      </c>
      <c r="D21">
        <v>54139</v>
      </c>
      <c r="E21">
        <v>11636</v>
      </c>
      <c r="F21">
        <v>189203</v>
      </c>
      <c r="G21">
        <v>90824</v>
      </c>
      <c r="H21">
        <v>12511</v>
      </c>
      <c r="I21">
        <v>3258</v>
      </c>
      <c r="J21">
        <v>21972</v>
      </c>
    </row>
    <row r="22" spans="1:10" x14ac:dyDescent="0.25">
      <c r="A22" t="s">
        <v>51</v>
      </c>
      <c r="B22">
        <v>2450</v>
      </c>
      <c r="C22">
        <v>1522</v>
      </c>
      <c r="D22">
        <v>33606</v>
      </c>
      <c r="E22">
        <v>16210</v>
      </c>
      <c r="F22">
        <v>166814</v>
      </c>
      <c r="G22">
        <v>101118</v>
      </c>
      <c r="H22">
        <v>24580</v>
      </c>
      <c r="I22">
        <v>5966</v>
      </c>
      <c r="J22">
        <v>10633</v>
      </c>
    </row>
    <row r="23" spans="1:10" x14ac:dyDescent="0.25">
      <c r="A23" t="s">
        <v>52</v>
      </c>
      <c r="B23">
        <v>2446</v>
      </c>
      <c r="C23">
        <v>1865</v>
      </c>
      <c r="D23">
        <v>40803</v>
      </c>
      <c r="E23">
        <v>17411</v>
      </c>
      <c r="F23">
        <v>192832</v>
      </c>
      <c r="G23">
        <v>130474</v>
      </c>
      <c r="H23">
        <v>19510</v>
      </c>
      <c r="I23">
        <v>6412</v>
      </c>
      <c r="J23">
        <v>12353</v>
      </c>
    </row>
    <row r="24" spans="1:10" x14ac:dyDescent="0.25">
      <c r="A24" t="s">
        <v>53</v>
      </c>
      <c r="B24">
        <v>3010</v>
      </c>
      <c r="C24">
        <v>1942</v>
      </c>
      <c r="D24">
        <v>23093</v>
      </c>
      <c r="E24">
        <v>18503</v>
      </c>
      <c r="F24">
        <v>219078</v>
      </c>
      <c r="G24">
        <v>131287</v>
      </c>
      <c r="H24">
        <v>17023</v>
      </c>
      <c r="I24">
        <v>6995</v>
      </c>
      <c r="J24">
        <v>11890</v>
      </c>
    </row>
    <row r="25" spans="1:10" x14ac:dyDescent="0.25">
      <c r="A25" t="s">
        <v>54</v>
      </c>
      <c r="B25">
        <v>2438</v>
      </c>
      <c r="C25">
        <v>1853</v>
      </c>
      <c r="D25">
        <v>47151</v>
      </c>
      <c r="E25">
        <v>17768</v>
      </c>
      <c r="F25">
        <v>195068</v>
      </c>
      <c r="G25">
        <v>122370</v>
      </c>
      <c r="H25">
        <v>19884</v>
      </c>
      <c r="I25">
        <v>6535</v>
      </c>
      <c r="J25">
        <v>12554</v>
      </c>
    </row>
    <row r="26" spans="1:10" x14ac:dyDescent="0.25">
      <c r="A26" t="s">
        <v>55</v>
      </c>
      <c r="B26">
        <v>4328</v>
      </c>
      <c r="C26">
        <v>9271</v>
      </c>
      <c r="D26">
        <v>71278</v>
      </c>
      <c r="E26">
        <v>25548</v>
      </c>
      <c r="F26">
        <v>321341</v>
      </c>
      <c r="G26">
        <v>136292</v>
      </c>
      <c r="H26">
        <v>24670</v>
      </c>
      <c r="I26">
        <v>7318</v>
      </c>
      <c r="J26">
        <v>31306</v>
      </c>
    </row>
    <row r="27" spans="1:10" x14ac:dyDescent="0.25">
      <c r="A27" t="s">
        <v>56</v>
      </c>
      <c r="B27">
        <v>2461</v>
      </c>
      <c r="C27">
        <v>8121</v>
      </c>
      <c r="D27">
        <v>50131</v>
      </c>
      <c r="E27">
        <v>18673</v>
      </c>
      <c r="F27">
        <v>298145</v>
      </c>
      <c r="G27">
        <v>139295</v>
      </c>
      <c r="H27">
        <v>19100</v>
      </c>
      <c r="I27">
        <v>6800</v>
      </c>
      <c r="J27">
        <v>17255</v>
      </c>
    </row>
    <row r="28" spans="1:10" x14ac:dyDescent="0.25">
      <c r="A28" t="s">
        <v>57</v>
      </c>
      <c r="B28">
        <v>7048</v>
      </c>
      <c r="C28">
        <v>7183</v>
      </c>
      <c r="D28">
        <v>61076</v>
      </c>
      <c r="E28">
        <v>62418</v>
      </c>
      <c r="F28">
        <v>331676</v>
      </c>
      <c r="G28">
        <v>287483</v>
      </c>
      <c r="H28">
        <v>54466</v>
      </c>
      <c r="I28">
        <v>11918</v>
      </c>
      <c r="J28">
        <v>54149</v>
      </c>
    </row>
    <row r="29" spans="1:10" x14ac:dyDescent="0.25">
      <c r="A29" t="s">
        <v>58</v>
      </c>
      <c r="B29">
        <v>5347</v>
      </c>
      <c r="C29">
        <v>6304</v>
      </c>
      <c r="D29">
        <v>40168</v>
      </c>
      <c r="E29">
        <v>44740</v>
      </c>
      <c r="F29">
        <v>205774</v>
      </c>
      <c r="G29">
        <v>198311</v>
      </c>
      <c r="H29">
        <v>35604</v>
      </c>
      <c r="I29">
        <v>8946</v>
      </c>
      <c r="J29">
        <v>38141</v>
      </c>
    </row>
    <row r="30" spans="1:10" x14ac:dyDescent="0.25">
      <c r="A30" t="s">
        <v>59</v>
      </c>
      <c r="B30">
        <v>6681</v>
      </c>
      <c r="C30">
        <v>8444</v>
      </c>
      <c r="D30">
        <v>80237</v>
      </c>
      <c r="E30">
        <v>71084</v>
      </c>
      <c r="F30">
        <v>393223</v>
      </c>
      <c r="G30">
        <v>369681</v>
      </c>
      <c r="H30">
        <v>26198</v>
      </c>
      <c r="I30">
        <v>7521</v>
      </c>
      <c r="J30">
        <v>49216</v>
      </c>
    </row>
    <row r="31" spans="1:10" x14ac:dyDescent="0.25">
      <c r="A31" t="s">
        <v>60</v>
      </c>
      <c r="B31">
        <v>4863</v>
      </c>
      <c r="C31">
        <v>7262</v>
      </c>
      <c r="D31">
        <v>45046</v>
      </c>
      <c r="E31">
        <v>46340</v>
      </c>
      <c r="F31">
        <v>262646</v>
      </c>
      <c r="G31">
        <v>217020</v>
      </c>
      <c r="H31">
        <v>43494</v>
      </c>
      <c r="I31">
        <v>12487</v>
      </c>
      <c r="J31">
        <v>47155</v>
      </c>
    </row>
    <row r="32" spans="1:10" x14ac:dyDescent="0.25">
      <c r="A32" t="s">
        <v>61</v>
      </c>
      <c r="B32">
        <v>3229</v>
      </c>
      <c r="C32">
        <v>3245</v>
      </c>
      <c r="D32">
        <v>47792</v>
      </c>
      <c r="E32">
        <v>15512</v>
      </c>
      <c r="F32">
        <v>250755</v>
      </c>
      <c r="G32">
        <v>115083</v>
      </c>
      <c r="H32">
        <v>17291</v>
      </c>
      <c r="I32">
        <v>5129</v>
      </c>
      <c r="J32">
        <v>20243</v>
      </c>
    </row>
    <row r="33" spans="1:10" x14ac:dyDescent="0.25">
      <c r="A33" t="s">
        <v>62</v>
      </c>
      <c r="B33">
        <v>7516</v>
      </c>
      <c r="C33">
        <v>7705</v>
      </c>
      <c r="D33">
        <v>55818</v>
      </c>
      <c r="E33">
        <v>19963</v>
      </c>
      <c r="F33">
        <v>220524</v>
      </c>
      <c r="G33">
        <v>89605</v>
      </c>
      <c r="H33">
        <v>20019</v>
      </c>
      <c r="I33">
        <v>6197</v>
      </c>
      <c r="J33">
        <v>26228</v>
      </c>
    </row>
    <row r="34" spans="1:10" x14ac:dyDescent="0.25">
      <c r="A34" t="s">
        <v>63</v>
      </c>
      <c r="B34">
        <v>5650</v>
      </c>
      <c r="C34">
        <v>9338</v>
      </c>
      <c r="D34">
        <v>66881</v>
      </c>
      <c r="E34">
        <v>34779</v>
      </c>
      <c r="F34">
        <v>349042</v>
      </c>
      <c r="G34">
        <v>297065</v>
      </c>
      <c r="H34">
        <v>51648</v>
      </c>
      <c r="I34">
        <v>10215</v>
      </c>
      <c r="J34">
        <v>92228</v>
      </c>
    </row>
    <row r="35" spans="1:10" x14ac:dyDescent="0.25">
      <c r="A35" t="s">
        <v>64</v>
      </c>
      <c r="B35">
        <v>4692</v>
      </c>
      <c r="C35">
        <v>8948</v>
      </c>
      <c r="D35">
        <v>78007</v>
      </c>
      <c r="E35">
        <v>55335</v>
      </c>
      <c r="F35">
        <v>315426</v>
      </c>
      <c r="G35">
        <v>257844</v>
      </c>
      <c r="H35">
        <v>27425</v>
      </c>
      <c r="I35">
        <v>7232</v>
      </c>
      <c r="J35">
        <v>59428</v>
      </c>
    </row>
    <row r="36" spans="1:10" x14ac:dyDescent="0.25">
      <c r="A36" t="s">
        <v>65</v>
      </c>
      <c r="B36">
        <v>10202</v>
      </c>
      <c r="C36">
        <v>14891</v>
      </c>
      <c r="D36">
        <v>108868</v>
      </c>
      <c r="E36">
        <v>53338</v>
      </c>
      <c r="F36">
        <v>497677</v>
      </c>
      <c r="G36">
        <v>354487</v>
      </c>
      <c r="H36">
        <v>65683</v>
      </c>
      <c r="I36">
        <v>13361</v>
      </c>
      <c r="J36">
        <v>95087</v>
      </c>
    </row>
    <row r="37" spans="1:10" x14ac:dyDescent="0.25">
      <c r="A37" t="s">
        <v>66</v>
      </c>
      <c r="B37">
        <v>4168</v>
      </c>
      <c r="C37">
        <v>12379</v>
      </c>
      <c r="D37">
        <v>67177</v>
      </c>
      <c r="E37">
        <v>39292</v>
      </c>
      <c r="F37">
        <v>359891</v>
      </c>
      <c r="G37">
        <v>226163</v>
      </c>
      <c r="H37">
        <v>40060</v>
      </c>
      <c r="I37">
        <v>9950</v>
      </c>
      <c r="J37">
        <v>53710</v>
      </c>
    </row>
    <row r="38" spans="1:10" x14ac:dyDescent="0.25">
      <c r="A38" t="s">
        <v>67</v>
      </c>
      <c r="B38">
        <v>5589</v>
      </c>
      <c r="C38">
        <v>4354</v>
      </c>
      <c r="D38">
        <v>51184</v>
      </c>
      <c r="E38">
        <v>11469</v>
      </c>
      <c r="F38">
        <v>262832</v>
      </c>
      <c r="G38">
        <v>100526</v>
      </c>
      <c r="H38">
        <v>21245</v>
      </c>
      <c r="I38">
        <v>4448</v>
      </c>
      <c r="J38">
        <v>19850</v>
      </c>
    </row>
    <row r="39" spans="1:10" x14ac:dyDescent="0.25">
      <c r="A39" t="s">
        <v>68</v>
      </c>
      <c r="B39">
        <v>3551</v>
      </c>
      <c r="C39">
        <v>1317</v>
      </c>
      <c r="D39">
        <v>25121</v>
      </c>
      <c r="E39">
        <v>10584</v>
      </c>
      <c r="F39">
        <v>176542</v>
      </c>
      <c r="G39">
        <v>75638</v>
      </c>
      <c r="H39">
        <v>5687</v>
      </c>
      <c r="I39">
        <v>1840</v>
      </c>
      <c r="J39">
        <v>12157</v>
      </c>
    </row>
    <row r="40" spans="1:10" x14ac:dyDescent="0.25">
      <c r="A40" t="s">
        <v>69</v>
      </c>
      <c r="B40">
        <v>4432</v>
      </c>
      <c r="C40">
        <v>5188</v>
      </c>
      <c r="D40">
        <v>58215</v>
      </c>
      <c r="E40">
        <v>17984</v>
      </c>
      <c r="F40">
        <v>266389</v>
      </c>
      <c r="G40">
        <v>112156</v>
      </c>
      <c r="H40">
        <v>8779</v>
      </c>
      <c r="I40">
        <v>2404</v>
      </c>
      <c r="J40">
        <v>23940</v>
      </c>
    </row>
    <row r="41" spans="1:10" x14ac:dyDescent="0.25">
      <c r="A41" t="s">
        <v>70</v>
      </c>
      <c r="B41">
        <v>2348</v>
      </c>
      <c r="C41">
        <v>3538</v>
      </c>
      <c r="D41">
        <v>56549</v>
      </c>
      <c r="E41">
        <v>12863</v>
      </c>
      <c r="F41">
        <v>201659</v>
      </c>
      <c r="G41">
        <v>73124</v>
      </c>
      <c r="H41">
        <v>17576</v>
      </c>
      <c r="I41">
        <v>4693</v>
      </c>
      <c r="J41">
        <v>18246</v>
      </c>
    </row>
    <row r="42" spans="1:10" x14ac:dyDescent="0.25">
      <c r="A42" t="s">
        <v>71</v>
      </c>
      <c r="B42">
        <v>4294</v>
      </c>
      <c r="C42">
        <v>7834</v>
      </c>
      <c r="D42">
        <v>74162</v>
      </c>
      <c r="E42">
        <v>17845</v>
      </c>
      <c r="F42">
        <v>222228</v>
      </c>
      <c r="G42">
        <v>96219</v>
      </c>
      <c r="H42">
        <v>28520</v>
      </c>
      <c r="I42">
        <v>8829</v>
      </c>
      <c r="J42">
        <v>20923</v>
      </c>
    </row>
    <row r="43" spans="1:10" x14ac:dyDescent="0.25">
      <c r="A43" t="s">
        <v>72</v>
      </c>
      <c r="B43">
        <v>2377</v>
      </c>
      <c r="C43">
        <v>4078</v>
      </c>
      <c r="D43">
        <v>49436</v>
      </c>
      <c r="E43">
        <v>9523</v>
      </c>
      <c r="F43">
        <v>158544</v>
      </c>
      <c r="G43">
        <v>52947</v>
      </c>
      <c r="H43">
        <v>17687</v>
      </c>
      <c r="I43">
        <v>4498</v>
      </c>
      <c r="J43">
        <v>12879</v>
      </c>
    </row>
    <row r="44" spans="1:10" x14ac:dyDescent="0.25">
      <c r="A44" t="s">
        <v>73</v>
      </c>
      <c r="B44">
        <v>3977</v>
      </c>
      <c r="C44">
        <v>2745</v>
      </c>
      <c r="D44">
        <v>56482</v>
      </c>
      <c r="E44">
        <v>21742</v>
      </c>
      <c r="F44">
        <v>364157</v>
      </c>
      <c r="G44">
        <v>184818</v>
      </c>
      <c r="H44">
        <v>59036</v>
      </c>
      <c r="I44">
        <v>14809</v>
      </c>
      <c r="J44">
        <v>49559</v>
      </c>
    </row>
    <row r="45" spans="1:10" x14ac:dyDescent="0.25">
      <c r="A45" t="s">
        <v>74</v>
      </c>
      <c r="B45">
        <v>3721</v>
      </c>
      <c r="C45">
        <v>4375</v>
      </c>
      <c r="D45">
        <v>56793</v>
      </c>
      <c r="E45">
        <v>21176</v>
      </c>
      <c r="F45">
        <v>320105</v>
      </c>
      <c r="G45">
        <v>171209</v>
      </c>
      <c r="H45">
        <v>28462</v>
      </c>
      <c r="I45">
        <v>9017</v>
      </c>
      <c r="J45">
        <v>52410</v>
      </c>
    </row>
    <row r="46" spans="1:10" x14ac:dyDescent="0.25">
      <c r="A46" t="s">
        <v>75</v>
      </c>
      <c r="B46">
        <v>10333</v>
      </c>
      <c r="C46">
        <v>8013</v>
      </c>
      <c r="D46">
        <v>131528</v>
      </c>
      <c r="E46">
        <v>55659</v>
      </c>
      <c r="F46">
        <v>567609</v>
      </c>
      <c r="G46">
        <v>301500</v>
      </c>
      <c r="H46">
        <v>27915</v>
      </c>
      <c r="I46">
        <v>9938</v>
      </c>
      <c r="J46">
        <v>81250</v>
      </c>
    </row>
    <row r="47" spans="1:10" x14ac:dyDescent="0.25">
      <c r="A47" t="s">
        <v>76</v>
      </c>
      <c r="B47">
        <v>7864</v>
      </c>
      <c r="C47">
        <v>5636</v>
      </c>
      <c r="D47">
        <v>78886</v>
      </c>
      <c r="E47">
        <v>28707</v>
      </c>
      <c r="F47">
        <v>372904</v>
      </c>
      <c r="G47">
        <v>203681</v>
      </c>
      <c r="H47">
        <v>34403</v>
      </c>
      <c r="I47">
        <v>10498</v>
      </c>
      <c r="J47">
        <v>41038</v>
      </c>
    </row>
    <row r="48" spans="1:10" x14ac:dyDescent="0.25">
      <c r="A48" t="s">
        <v>77</v>
      </c>
      <c r="B48">
        <v>8773</v>
      </c>
      <c r="C48">
        <v>7125</v>
      </c>
      <c r="D48">
        <v>108846</v>
      </c>
      <c r="E48">
        <v>36853</v>
      </c>
      <c r="F48">
        <v>538322</v>
      </c>
      <c r="G48">
        <v>251496</v>
      </c>
      <c r="H48">
        <v>46803</v>
      </c>
      <c r="I48">
        <v>12677</v>
      </c>
      <c r="J48">
        <v>52616</v>
      </c>
    </row>
    <row r="49" spans="1:10" x14ac:dyDescent="0.25">
      <c r="A49" t="s">
        <v>78</v>
      </c>
      <c r="B49">
        <v>4927</v>
      </c>
      <c r="C49">
        <v>3024</v>
      </c>
      <c r="D49">
        <v>52211</v>
      </c>
      <c r="E49">
        <v>21739</v>
      </c>
      <c r="F49">
        <v>225655</v>
      </c>
      <c r="G49">
        <v>173178</v>
      </c>
      <c r="H49">
        <v>36783</v>
      </c>
      <c r="I49">
        <v>8185</v>
      </c>
      <c r="J49">
        <v>23272</v>
      </c>
    </row>
    <row r="50" spans="1:10" x14ac:dyDescent="0.25">
      <c r="A50" t="s">
        <v>79</v>
      </c>
      <c r="B50">
        <v>4580</v>
      </c>
      <c r="C50">
        <v>2539</v>
      </c>
      <c r="D50">
        <v>41646</v>
      </c>
      <c r="E50">
        <v>22987</v>
      </c>
      <c r="F50">
        <v>209215</v>
      </c>
      <c r="G50">
        <v>115497</v>
      </c>
      <c r="H50">
        <v>30951</v>
      </c>
      <c r="I50">
        <v>5247</v>
      </c>
      <c r="J50">
        <v>27649</v>
      </c>
    </row>
    <row r="51" spans="1:10" x14ac:dyDescent="0.25">
      <c r="A51" t="s">
        <v>80</v>
      </c>
      <c r="B51">
        <v>7633</v>
      </c>
      <c r="C51">
        <v>5660</v>
      </c>
      <c r="D51">
        <v>70947</v>
      </c>
      <c r="E51">
        <v>26094</v>
      </c>
      <c r="F51">
        <v>320308</v>
      </c>
      <c r="G51">
        <v>201755</v>
      </c>
      <c r="H51">
        <v>35549</v>
      </c>
      <c r="I51">
        <v>8728</v>
      </c>
      <c r="J51">
        <v>41458</v>
      </c>
    </row>
    <row r="52" spans="1:10" x14ac:dyDescent="0.25">
      <c r="A52" t="s">
        <v>81</v>
      </c>
      <c r="B52">
        <v>5465</v>
      </c>
      <c r="C52">
        <v>4630</v>
      </c>
      <c r="D52">
        <v>83053</v>
      </c>
      <c r="E52">
        <v>30645</v>
      </c>
      <c r="F52">
        <v>425624</v>
      </c>
      <c r="G52">
        <v>213271</v>
      </c>
      <c r="H52">
        <v>32876</v>
      </c>
      <c r="I52">
        <v>9363</v>
      </c>
      <c r="J52">
        <v>31714</v>
      </c>
    </row>
    <row r="53" spans="1:10" x14ac:dyDescent="0.25">
      <c r="A53" t="s">
        <v>82</v>
      </c>
      <c r="B53">
        <v>3251</v>
      </c>
      <c r="C53">
        <v>2195</v>
      </c>
      <c r="D53">
        <v>55580</v>
      </c>
      <c r="E53">
        <v>24242</v>
      </c>
      <c r="F53">
        <v>249694</v>
      </c>
      <c r="G53">
        <v>158905</v>
      </c>
      <c r="H53">
        <v>36550</v>
      </c>
      <c r="I53">
        <v>8395</v>
      </c>
      <c r="J53">
        <v>46582</v>
      </c>
    </row>
    <row r="54" spans="1:10" x14ac:dyDescent="0.25">
      <c r="A54" t="s">
        <v>83</v>
      </c>
      <c r="B54">
        <v>2299</v>
      </c>
      <c r="C54">
        <v>4842</v>
      </c>
      <c r="D54">
        <v>26213</v>
      </c>
      <c r="E54">
        <v>10894</v>
      </c>
      <c r="F54">
        <v>225043</v>
      </c>
      <c r="G54">
        <v>110026</v>
      </c>
      <c r="H54">
        <v>31135</v>
      </c>
      <c r="I54">
        <v>13855</v>
      </c>
      <c r="J54">
        <v>28839</v>
      </c>
    </row>
    <row r="55" spans="1:10" x14ac:dyDescent="0.25">
      <c r="A55" t="s">
        <v>84</v>
      </c>
      <c r="B55">
        <v>2680</v>
      </c>
      <c r="C55">
        <v>4298</v>
      </c>
      <c r="D55">
        <v>76391</v>
      </c>
      <c r="E55">
        <v>34882</v>
      </c>
      <c r="F55">
        <v>290256</v>
      </c>
      <c r="G55">
        <v>201433</v>
      </c>
      <c r="H55">
        <v>33073</v>
      </c>
      <c r="I55">
        <v>10020</v>
      </c>
      <c r="J55">
        <v>41019</v>
      </c>
    </row>
    <row r="56" spans="1:10" x14ac:dyDescent="0.25">
      <c r="A56" t="s">
        <v>85</v>
      </c>
      <c r="B56">
        <v>3645</v>
      </c>
      <c r="C56">
        <v>5415</v>
      </c>
      <c r="D56">
        <v>92153</v>
      </c>
      <c r="E56">
        <v>40678</v>
      </c>
      <c r="F56">
        <v>364157</v>
      </c>
      <c r="G56">
        <v>255272</v>
      </c>
      <c r="H56">
        <v>38997</v>
      </c>
      <c r="I56">
        <v>12855</v>
      </c>
      <c r="J56">
        <v>49902</v>
      </c>
    </row>
    <row r="57" spans="1:10" x14ac:dyDescent="0.25">
      <c r="A57" t="s">
        <v>86</v>
      </c>
      <c r="B57">
        <v>2749</v>
      </c>
      <c r="C57">
        <v>5370</v>
      </c>
      <c r="D57">
        <v>53271</v>
      </c>
      <c r="E57">
        <v>15064</v>
      </c>
      <c r="F57">
        <v>258856</v>
      </c>
      <c r="G57">
        <v>160300</v>
      </c>
      <c r="H57">
        <v>10356</v>
      </c>
      <c r="I57">
        <v>3687</v>
      </c>
      <c r="J57">
        <v>12826</v>
      </c>
    </row>
    <row r="58" spans="1:10" x14ac:dyDescent="0.25">
      <c r="A58" t="s">
        <v>87</v>
      </c>
      <c r="B58">
        <v>5022</v>
      </c>
      <c r="C58">
        <v>7871</v>
      </c>
      <c r="D58">
        <v>68832</v>
      </c>
      <c r="E58">
        <v>41462</v>
      </c>
      <c r="F58">
        <v>321882</v>
      </c>
      <c r="G58">
        <v>207213</v>
      </c>
      <c r="H58">
        <v>23788</v>
      </c>
      <c r="I58">
        <v>5709</v>
      </c>
      <c r="J58">
        <v>37287</v>
      </c>
    </row>
    <row r="59" spans="1:10" x14ac:dyDescent="0.25">
      <c r="A59" t="s">
        <v>88</v>
      </c>
      <c r="B59">
        <v>6224</v>
      </c>
      <c r="C59">
        <v>5780</v>
      </c>
      <c r="D59">
        <v>29037</v>
      </c>
      <c r="E59">
        <v>14511</v>
      </c>
      <c r="F59">
        <v>197627</v>
      </c>
      <c r="G59">
        <v>124301</v>
      </c>
      <c r="H59">
        <v>18257</v>
      </c>
      <c r="I59">
        <v>3000</v>
      </c>
      <c r="J59">
        <v>21678</v>
      </c>
    </row>
    <row r="60" spans="1:10" x14ac:dyDescent="0.25">
      <c r="A60" t="s">
        <v>89</v>
      </c>
      <c r="B60">
        <v>5576</v>
      </c>
      <c r="C60">
        <v>4103</v>
      </c>
      <c r="D60">
        <v>46059</v>
      </c>
      <c r="E60">
        <v>21720</v>
      </c>
      <c r="F60">
        <v>279030</v>
      </c>
      <c r="G60">
        <v>155955</v>
      </c>
      <c r="H60">
        <v>17457</v>
      </c>
      <c r="I60">
        <v>4143</v>
      </c>
      <c r="J60">
        <v>15740</v>
      </c>
    </row>
    <row r="61" spans="1:10" x14ac:dyDescent="0.25">
      <c r="A61" t="s">
        <v>90</v>
      </c>
      <c r="B61">
        <v>4363</v>
      </c>
      <c r="C61">
        <v>9856</v>
      </c>
      <c r="D61">
        <v>40024</v>
      </c>
      <c r="E61">
        <v>17770</v>
      </c>
      <c r="F61">
        <v>343253</v>
      </c>
      <c r="G61">
        <v>165126</v>
      </c>
      <c r="H61">
        <v>32632</v>
      </c>
      <c r="I61">
        <v>8012</v>
      </c>
      <c r="J61">
        <v>37147</v>
      </c>
    </row>
    <row r="62" spans="1:10" x14ac:dyDescent="0.25">
      <c r="A62" t="s">
        <v>91</v>
      </c>
      <c r="B62">
        <v>5528</v>
      </c>
      <c r="C62">
        <v>9968</v>
      </c>
      <c r="D62">
        <v>97783</v>
      </c>
      <c r="E62">
        <v>31229</v>
      </c>
      <c r="F62">
        <v>286928</v>
      </c>
      <c r="G62">
        <v>176949</v>
      </c>
      <c r="H62">
        <v>17234</v>
      </c>
      <c r="I62">
        <v>5259</v>
      </c>
      <c r="J62">
        <v>45787</v>
      </c>
    </row>
    <row r="63" spans="1:10" x14ac:dyDescent="0.25">
      <c r="A63" t="s">
        <v>92</v>
      </c>
      <c r="B63">
        <v>9794</v>
      </c>
      <c r="C63">
        <v>7473</v>
      </c>
      <c r="D63">
        <v>102993</v>
      </c>
      <c r="E63">
        <v>46140</v>
      </c>
      <c r="F63">
        <v>463874</v>
      </c>
      <c r="G63">
        <v>262056</v>
      </c>
      <c r="H63">
        <v>38326</v>
      </c>
      <c r="I63">
        <v>9984</v>
      </c>
      <c r="J63">
        <v>55583</v>
      </c>
    </row>
    <row r="64" spans="1:10" x14ac:dyDescent="0.25">
      <c r="A64" t="s">
        <v>93</v>
      </c>
      <c r="B64">
        <v>5036</v>
      </c>
      <c r="C64">
        <v>4996</v>
      </c>
      <c r="D64">
        <v>74015</v>
      </c>
      <c r="E64">
        <v>28912</v>
      </c>
      <c r="F64">
        <v>279360</v>
      </c>
      <c r="G64">
        <v>176922</v>
      </c>
      <c r="H64">
        <v>38600</v>
      </c>
      <c r="I64">
        <v>9476</v>
      </c>
      <c r="J64">
        <v>34847</v>
      </c>
    </row>
    <row r="65" spans="1:10" x14ac:dyDescent="0.25">
      <c r="A65" t="s">
        <v>94</v>
      </c>
      <c r="B65">
        <v>6003</v>
      </c>
      <c r="C65">
        <v>3873</v>
      </c>
      <c r="D65">
        <v>61626</v>
      </c>
      <c r="E65">
        <v>22322</v>
      </c>
      <c r="F65">
        <v>352600</v>
      </c>
      <c r="G65">
        <v>153126</v>
      </c>
      <c r="H65">
        <v>25840</v>
      </c>
      <c r="I65">
        <v>5111</v>
      </c>
      <c r="J65">
        <v>32181</v>
      </c>
    </row>
    <row r="66" spans="1:10" x14ac:dyDescent="0.25">
      <c r="A66" t="s">
        <v>95</v>
      </c>
      <c r="B66">
        <v>4768</v>
      </c>
      <c r="C66">
        <v>4667</v>
      </c>
      <c r="D66">
        <v>48628</v>
      </c>
      <c r="E66">
        <v>17381</v>
      </c>
      <c r="F66">
        <v>193353</v>
      </c>
      <c r="G66">
        <v>136381</v>
      </c>
      <c r="H66">
        <v>19183</v>
      </c>
      <c r="I66">
        <v>6829</v>
      </c>
      <c r="J66">
        <v>18994</v>
      </c>
    </row>
    <row r="67" spans="1:10" x14ac:dyDescent="0.25">
      <c r="A67" t="s">
        <v>96</v>
      </c>
      <c r="B67">
        <v>5271</v>
      </c>
      <c r="C67">
        <v>5366</v>
      </c>
      <c r="D67">
        <v>58132</v>
      </c>
      <c r="E67">
        <v>28572</v>
      </c>
      <c r="F67">
        <v>256783</v>
      </c>
      <c r="G67">
        <v>142074</v>
      </c>
      <c r="H67">
        <v>30067</v>
      </c>
      <c r="I67">
        <v>8234</v>
      </c>
      <c r="J67">
        <v>27581</v>
      </c>
    </row>
    <row r="68" spans="1:10" x14ac:dyDescent="0.25">
      <c r="A68" t="s">
        <v>97</v>
      </c>
      <c r="B68">
        <v>3026</v>
      </c>
      <c r="C68">
        <v>2933</v>
      </c>
      <c r="D68">
        <v>47764</v>
      </c>
      <c r="E68">
        <v>25985</v>
      </c>
      <c r="F68">
        <v>230569</v>
      </c>
      <c r="G68">
        <v>138154</v>
      </c>
      <c r="H68">
        <v>23638</v>
      </c>
      <c r="I68">
        <v>6786</v>
      </c>
      <c r="J68">
        <v>30620</v>
      </c>
    </row>
    <row r="69" spans="1:10" x14ac:dyDescent="0.25">
      <c r="A69" t="s">
        <v>98</v>
      </c>
      <c r="B69">
        <v>2980</v>
      </c>
      <c r="C69">
        <v>3068</v>
      </c>
      <c r="D69">
        <v>49719</v>
      </c>
      <c r="E69">
        <v>22699</v>
      </c>
      <c r="F69">
        <v>207155</v>
      </c>
      <c r="G69">
        <v>138433</v>
      </c>
      <c r="H69">
        <v>29916</v>
      </c>
      <c r="I69">
        <v>8520</v>
      </c>
      <c r="J69">
        <v>26159</v>
      </c>
    </row>
    <row r="70" spans="1:10" x14ac:dyDescent="0.25">
      <c r="A70" t="s">
        <v>99</v>
      </c>
      <c r="B70">
        <v>2292</v>
      </c>
      <c r="C70">
        <v>1912</v>
      </c>
      <c r="D70">
        <v>16984</v>
      </c>
      <c r="E70">
        <v>9626</v>
      </c>
      <c r="F70">
        <v>208504</v>
      </c>
      <c r="G70">
        <v>156059</v>
      </c>
      <c r="H70">
        <v>18367</v>
      </c>
      <c r="I70">
        <v>7265</v>
      </c>
      <c r="J70">
        <v>10525</v>
      </c>
    </row>
    <row r="71" spans="1:10" x14ac:dyDescent="0.25">
      <c r="A71" t="s">
        <v>100</v>
      </c>
      <c r="B71">
        <v>2600</v>
      </c>
      <c r="C71">
        <v>5999</v>
      </c>
      <c r="D71">
        <v>20426</v>
      </c>
      <c r="E71">
        <v>17511</v>
      </c>
      <c r="F71">
        <v>270033</v>
      </c>
      <c r="G71">
        <v>139105</v>
      </c>
      <c r="H71">
        <v>19119</v>
      </c>
      <c r="I71">
        <v>5105</v>
      </c>
      <c r="J71">
        <v>23310</v>
      </c>
    </row>
    <row r="72" spans="1:10" x14ac:dyDescent="0.25">
      <c r="A72" t="s">
        <v>101</v>
      </c>
      <c r="B72">
        <v>3080</v>
      </c>
      <c r="C72">
        <v>8072</v>
      </c>
      <c r="D72">
        <v>64565</v>
      </c>
      <c r="E72">
        <v>22447</v>
      </c>
      <c r="F72">
        <v>324584</v>
      </c>
      <c r="G72">
        <v>155780</v>
      </c>
      <c r="H72">
        <v>19452</v>
      </c>
      <c r="I72">
        <v>5327</v>
      </c>
      <c r="J72">
        <v>30890</v>
      </c>
    </row>
    <row r="73" spans="1:10" x14ac:dyDescent="0.25">
      <c r="A73" t="s">
        <v>102</v>
      </c>
      <c r="B73">
        <v>5698</v>
      </c>
      <c r="C73">
        <v>6568</v>
      </c>
      <c r="D73">
        <v>89941</v>
      </c>
      <c r="E73">
        <v>35689</v>
      </c>
      <c r="F73">
        <v>356867</v>
      </c>
      <c r="G73">
        <v>222076</v>
      </c>
      <c r="H73">
        <v>51146</v>
      </c>
      <c r="I73">
        <v>16272</v>
      </c>
      <c r="J73">
        <v>99149</v>
      </c>
    </row>
    <row r="74" spans="1:10" x14ac:dyDescent="0.25">
      <c r="A74" t="s">
        <v>103</v>
      </c>
      <c r="B74">
        <v>5351</v>
      </c>
      <c r="C74">
        <v>5628</v>
      </c>
      <c r="D74">
        <v>70027</v>
      </c>
      <c r="E74">
        <v>33215</v>
      </c>
      <c r="F74">
        <v>349996</v>
      </c>
      <c r="G74">
        <v>205260</v>
      </c>
      <c r="H74">
        <v>36004</v>
      </c>
      <c r="I74">
        <v>8286</v>
      </c>
      <c r="J74">
        <v>37582</v>
      </c>
    </row>
    <row r="75" spans="1:10" x14ac:dyDescent="0.25">
      <c r="A75" t="s">
        <v>104</v>
      </c>
      <c r="B75">
        <v>12211</v>
      </c>
      <c r="C75">
        <v>9130</v>
      </c>
      <c r="D75">
        <v>110605</v>
      </c>
      <c r="E75">
        <v>43421</v>
      </c>
      <c r="F75">
        <v>483177</v>
      </c>
      <c r="G75">
        <v>274545</v>
      </c>
      <c r="H75">
        <v>52187</v>
      </c>
      <c r="I75">
        <v>14929</v>
      </c>
      <c r="J75">
        <v>64902</v>
      </c>
    </row>
    <row r="76" spans="1:10" x14ac:dyDescent="0.25">
      <c r="A76" t="s">
        <v>105</v>
      </c>
      <c r="B76">
        <v>2374</v>
      </c>
      <c r="C76">
        <v>1402</v>
      </c>
      <c r="D76">
        <v>29047</v>
      </c>
      <c r="E76">
        <v>13663</v>
      </c>
      <c r="F76">
        <v>163838</v>
      </c>
      <c r="G76">
        <v>95377</v>
      </c>
      <c r="H76">
        <v>11541</v>
      </c>
      <c r="I76">
        <v>3424</v>
      </c>
      <c r="J76">
        <v>20619</v>
      </c>
    </row>
    <row r="77" spans="1:10" x14ac:dyDescent="0.25">
      <c r="A77" t="s">
        <v>106</v>
      </c>
      <c r="B77">
        <v>4454</v>
      </c>
      <c r="C77">
        <v>5214</v>
      </c>
      <c r="D77">
        <v>58828</v>
      </c>
      <c r="E77">
        <v>30532</v>
      </c>
      <c r="F77">
        <v>355533</v>
      </c>
      <c r="G77">
        <v>191208</v>
      </c>
      <c r="H77">
        <v>37578</v>
      </c>
      <c r="I77">
        <v>10921</v>
      </c>
      <c r="J77">
        <v>56445</v>
      </c>
    </row>
    <row r="78" spans="1:10" x14ac:dyDescent="0.25">
      <c r="A78" t="s">
        <v>107</v>
      </c>
      <c r="B78">
        <v>10672</v>
      </c>
      <c r="C78">
        <v>15979</v>
      </c>
      <c r="D78">
        <v>31015</v>
      </c>
      <c r="E78">
        <v>17486</v>
      </c>
      <c r="F78">
        <v>310023</v>
      </c>
      <c r="G78">
        <v>184420</v>
      </c>
      <c r="H78">
        <v>12417</v>
      </c>
      <c r="I78">
        <v>3400</v>
      </c>
      <c r="J78">
        <v>15468</v>
      </c>
    </row>
    <row r="79" spans="1:10" x14ac:dyDescent="0.25">
      <c r="A79" t="s">
        <v>108</v>
      </c>
      <c r="B79">
        <v>9992</v>
      </c>
      <c r="C79">
        <v>14799</v>
      </c>
      <c r="D79">
        <v>35069</v>
      </c>
      <c r="E79">
        <v>19509</v>
      </c>
      <c r="F79">
        <v>428463</v>
      </c>
      <c r="G79">
        <v>248277</v>
      </c>
      <c r="H79">
        <v>20546</v>
      </c>
      <c r="I79">
        <v>4987</v>
      </c>
      <c r="J79">
        <v>26881</v>
      </c>
    </row>
    <row r="80" spans="1:10" x14ac:dyDescent="0.25">
      <c r="A80" t="s">
        <v>109</v>
      </c>
      <c r="B80">
        <v>6668</v>
      </c>
      <c r="C80">
        <v>16364</v>
      </c>
      <c r="D80">
        <v>49264</v>
      </c>
      <c r="E80">
        <v>20183</v>
      </c>
      <c r="F80">
        <v>327296</v>
      </c>
      <c r="G80">
        <v>189431</v>
      </c>
      <c r="H80">
        <v>15693</v>
      </c>
      <c r="I80">
        <v>3991</v>
      </c>
      <c r="J80">
        <v>24702</v>
      </c>
    </row>
    <row r="81" spans="1:10" x14ac:dyDescent="0.25">
      <c r="A81" t="s">
        <v>110</v>
      </c>
      <c r="B81">
        <v>9959</v>
      </c>
      <c r="C81">
        <v>11260</v>
      </c>
      <c r="D81">
        <v>35401</v>
      </c>
      <c r="E81">
        <v>16238</v>
      </c>
      <c r="F81">
        <v>317037</v>
      </c>
      <c r="G81">
        <v>178688</v>
      </c>
      <c r="H81">
        <v>18996</v>
      </c>
      <c r="I81">
        <v>5009</v>
      </c>
      <c r="J81">
        <v>32707</v>
      </c>
    </row>
    <row r="82" spans="1:10" x14ac:dyDescent="0.25">
      <c r="A82" t="s">
        <v>111</v>
      </c>
      <c r="B82">
        <v>3589</v>
      </c>
      <c r="C82">
        <v>6346</v>
      </c>
      <c r="D82">
        <v>47772</v>
      </c>
      <c r="E82">
        <v>11694</v>
      </c>
      <c r="F82">
        <v>178644</v>
      </c>
      <c r="G82">
        <v>113281</v>
      </c>
      <c r="H82">
        <v>20137</v>
      </c>
      <c r="I82">
        <v>5515</v>
      </c>
      <c r="J82">
        <v>20160</v>
      </c>
    </row>
    <row r="83" spans="1:10" x14ac:dyDescent="0.25">
      <c r="A83" t="s">
        <v>112</v>
      </c>
      <c r="B83">
        <v>6405</v>
      </c>
      <c r="C83">
        <v>6327</v>
      </c>
      <c r="D83">
        <v>33033</v>
      </c>
      <c r="E83">
        <v>15828</v>
      </c>
      <c r="F83">
        <v>298228</v>
      </c>
      <c r="G83">
        <v>149156</v>
      </c>
      <c r="H83">
        <v>20497</v>
      </c>
      <c r="I83">
        <v>4865</v>
      </c>
      <c r="J83">
        <v>22659</v>
      </c>
    </row>
    <row r="84" spans="1:10" x14ac:dyDescent="0.25">
      <c r="A84" t="s">
        <v>113</v>
      </c>
      <c r="B84">
        <v>5222</v>
      </c>
      <c r="C84">
        <v>11896</v>
      </c>
      <c r="D84">
        <v>63963</v>
      </c>
      <c r="E84">
        <v>31298</v>
      </c>
      <c r="F84">
        <v>415749</v>
      </c>
      <c r="G84">
        <v>210311</v>
      </c>
      <c r="H84">
        <v>39399</v>
      </c>
      <c r="I84">
        <v>12196</v>
      </c>
      <c r="J84">
        <v>89998</v>
      </c>
    </row>
    <row r="85" spans="1:10" x14ac:dyDescent="0.25">
      <c r="A85" t="s">
        <v>114</v>
      </c>
      <c r="B85">
        <v>9027</v>
      </c>
      <c r="C85">
        <v>14089</v>
      </c>
      <c r="D85">
        <v>116818</v>
      </c>
      <c r="E85">
        <v>55150</v>
      </c>
      <c r="F85">
        <v>470869</v>
      </c>
      <c r="G85">
        <v>313296</v>
      </c>
      <c r="H85">
        <v>50069</v>
      </c>
      <c r="I85">
        <v>14483</v>
      </c>
      <c r="J85">
        <v>102214</v>
      </c>
    </row>
    <row r="86" spans="1:10" x14ac:dyDescent="0.25">
      <c r="A86" t="s">
        <v>115</v>
      </c>
      <c r="B86">
        <v>8008</v>
      </c>
      <c r="C86">
        <v>12969</v>
      </c>
      <c r="D86">
        <v>110904</v>
      </c>
      <c r="E86">
        <v>54340</v>
      </c>
      <c r="F86">
        <v>526097</v>
      </c>
      <c r="G86">
        <v>291492</v>
      </c>
      <c r="H86">
        <v>45716</v>
      </c>
      <c r="I86">
        <v>12519</v>
      </c>
      <c r="J86">
        <v>75803</v>
      </c>
    </row>
    <row r="87" spans="1:10" x14ac:dyDescent="0.25">
      <c r="A87" t="s">
        <v>116</v>
      </c>
      <c r="B87">
        <v>4851</v>
      </c>
      <c r="C87">
        <v>5566</v>
      </c>
      <c r="D87">
        <v>68082</v>
      </c>
      <c r="E87">
        <v>23672</v>
      </c>
      <c r="F87">
        <v>240422</v>
      </c>
      <c r="G87">
        <v>157199</v>
      </c>
      <c r="H87">
        <v>31051</v>
      </c>
      <c r="I87">
        <v>7623</v>
      </c>
      <c r="J87">
        <v>37089</v>
      </c>
    </row>
    <row r="88" spans="1:10" x14ac:dyDescent="0.25">
      <c r="A88" t="s">
        <v>117</v>
      </c>
      <c r="B88">
        <v>3237</v>
      </c>
      <c r="C88">
        <v>4754</v>
      </c>
      <c r="D88">
        <v>24966</v>
      </c>
      <c r="E88">
        <v>12796</v>
      </c>
      <c r="F88">
        <v>235722</v>
      </c>
      <c r="G88">
        <v>119963</v>
      </c>
      <c r="H88">
        <v>24760</v>
      </c>
      <c r="I88">
        <v>7345</v>
      </c>
      <c r="J88">
        <v>28762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018F8-4141-46D2-AD4C-31106CCDD2B1}">
  <dimension ref="A1:B10"/>
  <sheetViews>
    <sheetView zoomScaleNormal="100" workbookViewId="0">
      <selection activeCell="B10" sqref="B10"/>
    </sheetView>
  </sheetViews>
  <sheetFormatPr defaultRowHeight="15" x14ac:dyDescent="0.25"/>
  <cols>
    <col min="1" max="1" width="11.140625" customWidth="1"/>
  </cols>
  <sheetData>
    <row r="1" spans="1:2" x14ac:dyDescent="0.25">
      <c r="A1" t="s">
        <v>166</v>
      </c>
      <c r="B1" t="s">
        <v>10</v>
      </c>
    </row>
    <row r="2" spans="1:2" x14ac:dyDescent="0.25">
      <c r="A2">
        <v>682</v>
      </c>
      <c r="B2">
        <v>1095.4100000000001</v>
      </c>
    </row>
    <row r="3" spans="1:2" x14ac:dyDescent="0.25">
      <c r="A3">
        <v>683</v>
      </c>
      <c r="B3">
        <v>1095.4100000000001</v>
      </c>
    </row>
    <row r="4" spans="1:2" x14ac:dyDescent="0.25">
      <c r="A4">
        <v>684</v>
      </c>
      <c r="B4">
        <v>4202.87</v>
      </c>
    </row>
    <row r="5" spans="1:2" x14ac:dyDescent="0.25">
      <c r="A5">
        <v>686</v>
      </c>
      <c r="B5">
        <v>6222.78</v>
      </c>
    </row>
    <row r="6" spans="1:2" x14ac:dyDescent="0.25">
      <c r="A6">
        <v>708</v>
      </c>
      <c r="B6">
        <v>4364.83</v>
      </c>
    </row>
    <row r="7" spans="1:2" x14ac:dyDescent="0.25">
      <c r="A7">
        <v>710</v>
      </c>
      <c r="B7">
        <v>6889.5</v>
      </c>
    </row>
    <row r="8" spans="1:2" x14ac:dyDescent="0.25">
      <c r="A8">
        <v>750</v>
      </c>
      <c r="B8">
        <v>6147.21</v>
      </c>
    </row>
    <row r="9" spans="1:2" x14ac:dyDescent="0.25">
      <c r="A9">
        <v>809</v>
      </c>
      <c r="B9">
        <v>1499</v>
      </c>
    </row>
    <row r="10" spans="1:2" x14ac:dyDescent="0.25">
      <c r="A10">
        <v>810</v>
      </c>
      <c r="B10">
        <v>1874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B29E0-4D26-4BA4-8B0A-D3FC166DFA93}">
  <dimension ref="A1:A2"/>
  <sheetViews>
    <sheetView workbookViewId="0">
      <selection activeCell="A3" sqref="A3"/>
    </sheetView>
  </sheetViews>
  <sheetFormatPr defaultRowHeight="15" x14ac:dyDescent="0.25"/>
  <cols>
    <col min="1" max="1" width="8.5703125" customWidth="1"/>
  </cols>
  <sheetData>
    <row r="1" spans="1:1" x14ac:dyDescent="0.25">
      <c r="A1" t="s">
        <v>11</v>
      </c>
    </row>
    <row r="2" spans="1:1" x14ac:dyDescent="0.25">
      <c r="A2">
        <v>202602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2B70988-7CCC-42C7-BC8E-E0549CF5073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Ter. Ratio Dev</vt:lpstr>
      <vt:lpstr>Product Tgt</vt:lpstr>
      <vt:lpstr>Terr Target</vt:lpstr>
      <vt:lpstr>SYD_SORT</vt:lpstr>
      <vt:lpstr>Output Data</vt:lpstr>
      <vt:lpstr>Input</vt:lpstr>
      <vt:lpstr>Price</vt:lpstr>
      <vt:lpstr>Month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BOS-AFSAR Jamil</dc:creator>
  <cp:keywords/>
  <dc:description/>
  <cp:lastModifiedBy>BOS-Rafian Ahmed Rizwan</cp:lastModifiedBy>
  <cp:revision/>
  <dcterms:created xsi:type="dcterms:W3CDTF">2015-06-05T18:17:20Z</dcterms:created>
  <dcterms:modified xsi:type="dcterms:W3CDTF">2026-01-29T10:38:44Z</dcterms:modified>
  <cp:category/>
  <cp:contentStatus/>
</cp:coreProperties>
</file>