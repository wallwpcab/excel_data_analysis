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ynoviapharma-my.sharepoint.com/personal/rafianahmed_rizwan_synoviapharma_com/Documents/Documents/Target Deployment/2026/Feb/"/>
    </mc:Choice>
  </mc:AlternateContent>
  <xr:revisionPtr revIDLastSave="6" documentId="8_{A50AFE81-A5A8-43EE-BC31-D7F01CFD63A0}" xr6:coauthVersionLast="47" xr6:coauthVersionMax="47" xr10:uidLastSave="{61C51EFA-5AFF-4815-8696-145E7276DF94}"/>
  <bookViews>
    <workbookView xWindow="-120" yWindow="-120" windowWidth="20730" windowHeight="11160" xr2:uid="{5D02006F-DECE-427E-8405-7FC9AD6622F7}"/>
  </bookViews>
  <sheets>
    <sheet name="Q3_Feb Mar-26 TGT" sheetId="1" r:id="rId1"/>
    <sheet name="Adjustment Summary" sheetId="2" r:id="rId2"/>
  </sheets>
  <definedNames>
    <definedName name="_xlnm._FilterDatabase" localSheetId="0" hidden="1">'Q3_Feb Mar-26 TGT'!$A$5:$AS$156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2" l="1"/>
  <c r="C7" i="2"/>
  <c r="AQ156" i="1"/>
  <c r="AP156" i="1"/>
  <c r="AQ155" i="1"/>
  <c r="AP155" i="1"/>
  <c r="AQ154" i="1"/>
  <c r="AP154" i="1"/>
  <c r="AQ153" i="1"/>
  <c r="AP153" i="1"/>
  <c r="AQ152" i="1"/>
  <c r="AP152" i="1"/>
  <c r="AQ151" i="1"/>
  <c r="AP151" i="1"/>
  <c r="AQ150" i="1"/>
  <c r="AP150" i="1"/>
  <c r="AQ149" i="1"/>
  <c r="AP149" i="1"/>
  <c r="E3" i="2" s="1"/>
  <c r="AQ148" i="1"/>
  <c r="F3" i="2" s="1"/>
  <c r="F7" i="2" s="1"/>
  <c r="F9" i="2" s="1"/>
  <c r="AP148" i="1"/>
  <c r="AQ147" i="1"/>
  <c r="AP147" i="1"/>
  <c r="AQ146" i="1"/>
  <c r="AP146" i="1"/>
  <c r="AQ145" i="1"/>
  <c r="AP145" i="1"/>
  <c r="AQ144" i="1"/>
  <c r="AP144" i="1"/>
  <c r="AQ143" i="1"/>
  <c r="AP143" i="1"/>
  <c r="AQ142" i="1"/>
  <c r="AP142" i="1"/>
  <c r="AQ141" i="1"/>
  <c r="AP141" i="1"/>
  <c r="AQ140" i="1"/>
  <c r="AP140" i="1"/>
  <c r="AQ139" i="1"/>
  <c r="AP139" i="1"/>
  <c r="AQ138" i="1"/>
  <c r="AP138" i="1"/>
  <c r="AQ137" i="1"/>
  <c r="AP137" i="1"/>
  <c r="AQ136" i="1"/>
  <c r="AP136" i="1"/>
  <c r="AQ135" i="1"/>
  <c r="AP135" i="1"/>
  <c r="AQ134" i="1"/>
  <c r="AP134" i="1"/>
  <c r="AQ133" i="1"/>
  <c r="AP133" i="1"/>
  <c r="AQ132" i="1"/>
  <c r="AP132" i="1"/>
  <c r="AQ131" i="1"/>
  <c r="AP131" i="1"/>
  <c r="AQ130" i="1"/>
  <c r="AP130" i="1"/>
  <c r="AQ129" i="1"/>
  <c r="AP129" i="1"/>
  <c r="AQ128" i="1"/>
  <c r="AP128" i="1"/>
  <c r="AQ127" i="1"/>
  <c r="AP127" i="1"/>
  <c r="AQ126" i="1"/>
  <c r="AP126" i="1"/>
  <c r="AQ125" i="1"/>
  <c r="AP125" i="1"/>
  <c r="AQ124" i="1"/>
  <c r="AP124" i="1"/>
  <c r="AQ123" i="1"/>
  <c r="AP123" i="1"/>
  <c r="AQ122" i="1"/>
  <c r="AP122" i="1"/>
  <c r="AQ121" i="1"/>
  <c r="AP121" i="1"/>
  <c r="AQ120" i="1"/>
  <c r="AP120" i="1"/>
  <c r="AQ119" i="1"/>
  <c r="AP119" i="1"/>
  <c r="AQ118" i="1"/>
  <c r="AP118" i="1"/>
  <c r="AQ117" i="1"/>
  <c r="AP117" i="1"/>
  <c r="AQ116" i="1"/>
  <c r="AP116" i="1"/>
  <c r="AQ115" i="1"/>
  <c r="AP115" i="1"/>
  <c r="AQ114" i="1"/>
  <c r="AP114" i="1"/>
  <c r="AQ113" i="1"/>
  <c r="AP113" i="1"/>
  <c r="AQ112" i="1"/>
  <c r="F6" i="2" s="1"/>
  <c r="AP112" i="1"/>
  <c r="AQ111" i="1"/>
  <c r="AP111" i="1"/>
  <c r="E6" i="2" s="1"/>
  <c r="AQ110" i="1"/>
  <c r="AP110" i="1"/>
  <c r="AQ109" i="1"/>
  <c r="AP109" i="1"/>
  <c r="AQ108" i="1"/>
  <c r="AP108" i="1"/>
  <c r="AQ107" i="1"/>
  <c r="AP107" i="1"/>
  <c r="AQ106" i="1"/>
  <c r="AP106" i="1"/>
  <c r="AQ105" i="1"/>
  <c r="AP105" i="1"/>
  <c r="AQ104" i="1"/>
  <c r="AP104" i="1"/>
  <c r="AQ103" i="1"/>
  <c r="AP103" i="1"/>
  <c r="AQ102" i="1"/>
  <c r="AP102" i="1"/>
  <c r="AQ101" i="1"/>
  <c r="AP101" i="1"/>
  <c r="AQ100" i="1"/>
  <c r="AP100" i="1"/>
  <c r="AQ99" i="1"/>
  <c r="AP99" i="1"/>
  <c r="AQ98" i="1"/>
  <c r="AP98" i="1"/>
  <c r="AQ97" i="1"/>
  <c r="AP97" i="1"/>
  <c r="AQ96" i="1"/>
  <c r="AP96" i="1"/>
  <c r="AQ95" i="1"/>
  <c r="AP95" i="1"/>
  <c r="AQ94" i="1"/>
  <c r="AP94" i="1"/>
  <c r="AQ93" i="1"/>
  <c r="AP93" i="1"/>
  <c r="AQ92" i="1"/>
  <c r="AP92" i="1"/>
  <c r="AQ91" i="1"/>
  <c r="AP91" i="1"/>
  <c r="AQ90" i="1"/>
  <c r="AP90" i="1"/>
  <c r="AQ89" i="1"/>
  <c r="AP89" i="1"/>
  <c r="AQ88" i="1"/>
  <c r="AP88" i="1"/>
  <c r="AQ87" i="1"/>
  <c r="AP87" i="1"/>
  <c r="AQ86" i="1"/>
  <c r="AP86" i="1"/>
  <c r="AQ85" i="1"/>
  <c r="AP85" i="1"/>
  <c r="AQ84" i="1"/>
  <c r="AP84" i="1"/>
  <c r="AQ83" i="1"/>
  <c r="F5" i="2" s="1"/>
  <c r="AP83" i="1"/>
  <c r="E5" i="2" s="1"/>
  <c r="AQ82" i="1"/>
  <c r="AP82" i="1"/>
  <c r="AQ81" i="1"/>
  <c r="AP81" i="1"/>
  <c r="AQ80" i="1"/>
  <c r="AP80" i="1"/>
  <c r="AQ79" i="1"/>
  <c r="AP79" i="1"/>
  <c r="AQ78" i="1"/>
  <c r="AP78" i="1"/>
  <c r="AQ77" i="1"/>
  <c r="AP77" i="1"/>
  <c r="AQ76" i="1"/>
  <c r="AP76" i="1"/>
  <c r="AQ75" i="1"/>
  <c r="AP75" i="1"/>
  <c r="AQ74" i="1"/>
  <c r="AP74" i="1"/>
  <c r="AQ73" i="1"/>
  <c r="AP73" i="1"/>
  <c r="AQ72" i="1"/>
  <c r="AP72" i="1"/>
  <c r="AQ71" i="1"/>
  <c r="AP71" i="1"/>
  <c r="AQ70" i="1"/>
  <c r="AP70" i="1"/>
  <c r="AQ69" i="1"/>
  <c r="AP69" i="1"/>
  <c r="AQ68" i="1"/>
  <c r="AP68" i="1"/>
  <c r="AQ67" i="1"/>
  <c r="AP67" i="1"/>
  <c r="AQ66" i="1"/>
  <c r="AP66" i="1"/>
  <c r="AQ65" i="1"/>
  <c r="AP65" i="1"/>
  <c r="AQ64" i="1"/>
  <c r="AP64" i="1"/>
  <c r="AQ63" i="1"/>
  <c r="AP63" i="1"/>
  <c r="AQ62" i="1"/>
  <c r="AP62" i="1"/>
  <c r="AQ61" i="1"/>
  <c r="AP61" i="1"/>
  <c r="AQ60" i="1"/>
  <c r="AP60" i="1"/>
  <c r="AQ59" i="1"/>
  <c r="AP59" i="1"/>
  <c r="AQ58" i="1"/>
  <c r="AP58" i="1"/>
  <c r="AQ57" i="1"/>
  <c r="AP57" i="1"/>
  <c r="AQ56" i="1"/>
  <c r="AP56" i="1"/>
  <c r="AQ55" i="1"/>
  <c r="AP55" i="1"/>
  <c r="AQ54" i="1"/>
  <c r="AP54" i="1"/>
  <c r="AQ53" i="1"/>
  <c r="AP53" i="1"/>
  <c r="AQ52" i="1"/>
  <c r="AP52" i="1"/>
  <c r="AQ51" i="1"/>
  <c r="AP51" i="1"/>
  <c r="AQ50" i="1"/>
  <c r="AP50" i="1"/>
  <c r="AQ49" i="1"/>
  <c r="AP49" i="1"/>
  <c r="AQ48" i="1"/>
  <c r="AP48" i="1"/>
  <c r="AQ47" i="1"/>
  <c r="AP47" i="1"/>
  <c r="AQ46" i="1"/>
  <c r="AP46" i="1"/>
  <c r="AQ45" i="1"/>
  <c r="AP45" i="1"/>
  <c r="AQ44" i="1"/>
  <c r="AP44" i="1"/>
  <c r="AQ43" i="1"/>
  <c r="AP43" i="1"/>
  <c r="AQ42" i="1"/>
  <c r="AP42" i="1"/>
  <c r="AQ41" i="1"/>
  <c r="AP41" i="1"/>
  <c r="AQ40" i="1"/>
  <c r="AP40" i="1"/>
  <c r="AQ39" i="1"/>
  <c r="AP39" i="1"/>
  <c r="AQ38" i="1"/>
  <c r="AP38" i="1"/>
  <c r="AQ37" i="1"/>
  <c r="AP37" i="1"/>
  <c r="AQ36" i="1"/>
  <c r="AP36" i="1"/>
  <c r="AQ35" i="1"/>
  <c r="AP35" i="1"/>
  <c r="AQ34" i="1"/>
  <c r="AP34" i="1"/>
  <c r="AQ33" i="1"/>
  <c r="AP33" i="1"/>
  <c r="AQ32" i="1"/>
  <c r="AP32" i="1"/>
  <c r="AQ31" i="1"/>
  <c r="AP31" i="1"/>
  <c r="AQ30" i="1"/>
  <c r="AP30" i="1"/>
  <c r="AQ29" i="1"/>
  <c r="AP29" i="1"/>
  <c r="E4" i="2" s="1"/>
  <c r="AQ28" i="1"/>
  <c r="AP28" i="1"/>
  <c r="AQ27" i="1"/>
  <c r="AP27" i="1"/>
  <c r="AQ26" i="1"/>
  <c r="AP26" i="1"/>
  <c r="AQ25" i="1"/>
  <c r="AP25" i="1"/>
  <c r="AQ24" i="1"/>
  <c r="AP24" i="1"/>
  <c r="AQ23" i="1"/>
  <c r="AP23" i="1"/>
  <c r="AQ22" i="1"/>
  <c r="AP22" i="1"/>
  <c r="AQ21" i="1"/>
  <c r="AP21" i="1"/>
  <c r="AQ20" i="1"/>
  <c r="AP20" i="1"/>
  <c r="AQ19" i="1"/>
  <c r="AP19" i="1"/>
  <c r="AQ18" i="1"/>
  <c r="AP18" i="1"/>
  <c r="AQ17" i="1"/>
  <c r="AP17" i="1"/>
  <c r="AQ16" i="1"/>
  <c r="AP16" i="1"/>
  <c r="AQ15" i="1"/>
  <c r="AP15" i="1"/>
  <c r="AQ14" i="1"/>
  <c r="AP14" i="1"/>
  <c r="AQ13" i="1"/>
  <c r="AP13" i="1"/>
  <c r="AQ12" i="1"/>
  <c r="AP12" i="1"/>
  <c r="AQ11" i="1"/>
  <c r="AP11" i="1"/>
  <c r="AQ10" i="1"/>
  <c r="AP10" i="1"/>
  <c r="AQ9" i="1"/>
  <c r="AP9" i="1"/>
  <c r="AQ8" i="1"/>
  <c r="AP8" i="1"/>
  <c r="AQ7" i="1"/>
  <c r="AP7" i="1"/>
  <c r="AQ6" i="1"/>
  <c r="F4" i="2" s="1"/>
  <c r="AP6" i="1"/>
  <c r="E7" i="2" l="1"/>
  <c r="E9" i="2" s="1"/>
  <c r="K1" i="1" l="1"/>
  <c r="AM4" i="1" l="1"/>
  <c r="AL4" i="1"/>
  <c r="AK4" i="1"/>
  <c r="Z4" i="1"/>
  <c r="Y4" i="1"/>
  <c r="X4" i="1"/>
  <c r="W4" i="1"/>
  <c r="V4" i="1"/>
  <c r="U4" i="1"/>
  <c r="T4" i="1"/>
  <c r="S4" i="1"/>
  <c r="R4" i="1"/>
  <c r="Q4" i="1"/>
  <c r="P4" i="1"/>
  <c r="O4" i="1"/>
  <c r="N4" i="1"/>
  <c r="L4" i="1"/>
  <c r="K4" i="1"/>
  <c r="J4" i="1"/>
  <c r="AD4" i="1"/>
  <c r="AC4" i="1"/>
  <c r="AB4" i="1"/>
  <c r="AI4" i="1"/>
  <c r="AH4" i="1"/>
  <c r="AG4" i="1"/>
  <c r="AO4" i="1"/>
  <c r="AF156" i="1"/>
  <c r="AF155" i="1"/>
  <c r="AF154" i="1"/>
  <c r="AF153" i="1"/>
  <c r="AF152" i="1"/>
  <c r="AF151" i="1"/>
  <c r="AF150" i="1"/>
  <c r="AF149" i="1"/>
  <c r="AF148" i="1"/>
  <c r="AF147" i="1"/>
  <c r="Y3" i="1" l="1"/>
  <c r="AF130" i="1" l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 l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18" i="1" l="1"/>
  <c r="AF17" i="1"/>
  <c r="AF16" i="1"/>
  <c r="AF15" i="1"/>
  <c r="AF14" i="1"/>
  <c r="AF13" i="1"/>
  <c r="AF12" i="1"/>
  <c r="AF11" i="1"/>
  <c r="AF10" i="1"/>
  <c r="AF9" i="1"/>
  <c r="AF8" i="1"/>
  <c r="AF7" i="1"/>
  <c r="AF6" i="1"/>
  <c r="AP4" i="1" l="1"/>
  <c r="AQ4" i="1"/>
  <c r="AF4" i="1"/>
  <c r="Z3" i="1"/>
</calcChain>
</file>

<file path=xl/sharedStrings.xml><?xml version="1.0" encoding="utf-8"?>
<sst xmlns="http://schemas.openxmlformats.org/spreadsheetml/2006/main" count="821" uniqueCount="274">
  <si>
    <t>Q3'25-26 National SKU Target Proposal</t>
  </si>
  <si>
    <t>BO&amp;S proposal</t>
  </si>
  <si>
    <t>Review by Marketing</t>
  </si>
  <si>
    <t>Q1'25-26 target</t>
  </si>
  <si>
    <t>Sales Trend</t>
  </si>
  <si>
    <t>Q2'25-26 Budget</t>
  </si>
  <si>
    <t>Q3'25-26 target Qty</t>
  </si>
  <si>
    <t>Q3'25-26 target</t>
  </si>
  <si>
    <t>Family</t>
  </si>
  <si>
    <t>Product Id</t>
  </si>
  <si>
    <t>P Code</t>
  </si>
  <si>
    <t>Product Name</t>
  </si>
  <si>
    <t>TP</t>
  </si>
  <si>
    <t>Group</t>
  </si>
  <si>
    <t>Sales Line</t>
  </si>
  <si>
    <t>Product Type</t>
  </si>
  <si>
    <t>Oct'25</t>
  </si>
  <si>
    <t>Nov'25</t>
  </si>
  <si>
    <t>Dec'25</t>
  </si>
  <si>
    <t>2025, Jan_S</t>
  </si>
  <si>
    <t>2025, Feb_S</t>
  </si>
  <si>
    <t>2025, Mar_S</t>
  </si>
  <si>
    <t>2025, Apr_S</t>
  </si>
  <si>
    <t>2025, May_S</t>
  </si>
  <si>
    <t>2025, Jun_S</t>
  </si>
  <si>
    <t>2025, Jul_S</t>
  </si>
  <si>
    <t>2025, Aug_S</t>
  </si>
  <si>
    <t>2025, Sep_S</t>
  </si>
  <si>
    <t>2025, Oct_S</t>
  </si>
  <si>
    <t>2025, Nov_S</t>
  </si>
  <si>
    <t>2025, Dec_S</t>
  </si>
  <si>
    <t>2026, Jan Landing</t>
  </si>
  <si>
    <t>Jan'26</t>
  </si>
  <si>
    <t>Feb'26</t>
  </si>
  <si>
    <t>Mar'26</t>
  </si>
  <si>
    <t>Q3 Review</t>
  </si>
  <si>
    <t>Regular Brands</t>
  </si>
  <si>
    <t>New Product</t>
  </si>
  <si>
    <t>Brodactam</t>
  </si>
  <si>
    <t>Brodactam 4.5g Inj 1 Com</t>
  </si>
  <si>
    <t>ABT</t>
  </si>
  <si>
    <t>SYNGENA</t>
  </si>
  <si>
    <t>BRODACTAM 2.25 gm Inj 1 Com</t>
  </si>
  <si>
    <t>Carbanem</t>
  </si>
  <si>
    <t>Carbanem 500mg Inj 1 Com</t>
  </si>
  <si>
    <t>Carbanem 1gm Inj 1 Com</t>
  </si>
  <si>
    <t>Curazith</t>
  </si>
  <si>
    <t>Curazith 250mg Tab 1x6's</t>
  </si>
  <si>
    <t>Curazith 500mg Tab 2x6's</t>
  </si>
  <si>
    <t>Fimoxyclav</t>
  </si>
  <si>
    <t>FIMOXYCLAV 100ml Sus</t>
  </si>
  <si>
    <t>Fimoxyclav 375mg Tab 5x6's</t>
  </si>
  <si>
    <t>FIMOXYCLAV 625mg Tab 5x6's</t>
  </si>
  <si>
    <t>FIMOXYCLAV 1g Tab 4x6's</t>
  </si>
  <si>
    <t>FIMOXYCLAV-BID 50ml Sus</t>
  </si>
  <si>
    <t>Fimoxyclav 0.6gm Inj 1 Com</t>
  </si>
  <si>
    <t>Fimoxyclav 1.2g Inj 1 Com</t>
  </si>
  <si>
    <t>FIMOXYCLAV ES Susp 75 ml 1 Bot</t>
  </si>
  <si>
    <t>Fimoxyl</t>
  </si>
  <si>
    <t>FIMOXYL 250mg Cap 8X15?s</t>
  </si>
  <si>
    <t>FIMOXYL 500mg Cap 8x15?s</t>
  </si>
  <si>
    <t>Fimoxyl 100ml Syp 1 Bot</t>
  </si>
  <si>
    <t>Fimoxyl 15ml Drp 1 Bot</t>
  </si>
  <si>
    <t>Flagyl</t>
  </si>
  <si>
    <t>Flagyl 60ml Sus 1 Bot</t>
  </si>
  <si>
    <t>FLAGYL 400mg Tab 30x10?s</t>
  </si>
  <si>
    <t>FLAGYL 500mg Inj 1 Bot new</t>
  </si>
  <si>
    <t>Kuracef</t>
  </si>
  <si>
    <t>Kuracef 400mg Tab 2x4's</t>
  </si>
  <si>
    <t>Kuracef 50ml Sus 1 Bot</t>
  </si>
  <si>
    <t>Kuracef 200mg Tab 3x4's</t>
  </si>
  <si>
    <t>Kuracef 30ml Sus 1 Bot</t>
  </si>
  <si>
    <t>Oracyn-K</t>
  </si>
  <si>
    <t>Oracyn-K 500mg Tab 25x10's</t>
  </si>
  <si>
    <t>ORACYN-K 250mg Tab</t>
  </si>
  <si>
    <t>ORACYN-K 50ml Syp</t>
  </si>
  <si>
    <t>Sefrad</t>
  </si>
  <si>
    <t>Sefrad-DS 100ml Syp 1 Bot</t>
  </si>
  <si>
    <t>Sefrad 100ml Syp 1 Bot</t>
  </si>
  <si>
    <t>Sefrad 15ml Drp 1 Bot</t>
  </si>
  <si>
    <t>Sefrad 500mg Cap 5x4's</t>
  </si>
  <si>
    <t>Sefrad 250mg Cap 5x4's</t>
  </si>
  <si>
    <t>Sefurox</t>
  </si>
  <si>
    <t>Sefurox 500mg Tab 3x4's</t>
  </si>
  <si>
    <t/>
  </si>
  <si>
    <t>Sefurox 250mg Tab 5x4's</t>
  </si>
  <si>
    <t>Targocid</t>
  </si>
  <si>
    <t>TARGOCID 400mg Inj 1 Vial</t>
  </si>
  <si>
    <t>TARGOCID 200mg Inj 1 Vial</t>
  </si>
  <si>
    <t>Farpem</t>
  </si>
  <si>
    <t>Farpem 150 mg Tab 3 x 4's</t>
  </si>
  <si>
    <t>Farpem 200 mg Tab  3 x 4's</t>
  </si>
  <si>
    <t>Avil</t>
  </si>
  <si>
    <t>Avil 22.7mg Tab 20x15's</t>
  </si>
  <si>
    <t>ACC</t>
  </si>
  <si>
    <t>Avil 75ml Syp 1 Bot</t>
  </si>
  <si>
    <t>Avil 2ml Inj 5x5's Amp</t>
  </si>
  <si>
    <t>Monfast</t>
  </si>
  <si>
    <t>Monfast 4 mg ODT 3 x 10's</t>
  </si>
  <si>
    <t>Monfast 5 mg ODT 3 x 10's</t>
  </si>
  <si>
    <t>Monfast 10 mg Tab. 3 x 10's</t>
  </si>
  <si>
    <t>Phenergan Plus</t>
  </si>
  <si>
    <t>Phenergan plus 100ml Syp 1 Bot</t>
  </si>
  <si>
    <t>Telfast</t>
  </si>
  <si>
    <t>Telfast 50ml Susp</t>
  </si>
  <si>
    <t>TELFAST 120mg Tab 5 X 10s</t>
  </si>
  <si>
    <t>TELFAST 180mg Tab 3 X 10s</t>
  </si>
  <si>
    <t>Doxovia</t>
  </si>
  <si>
    <t>Doxovia 200 mg Tab 6x10's</t>
  </si>
  <si>
    <t>Doxovia 400 mg Tab 3x10's</t>
  </si>
  <si>
    <t>Doxovia 100 ml Syrup</t>
  </si>
  <si>
    <t>Luzol</t>
  </si>
  <si>
    <t>Luzol Cream 10G</t>
  </si>
  <si>
    <t>DERMA</t>
  </si>
  <si>
    <t>Luzol Cream 30G</t>
  </si>
  <si>
    <t>Pevisone</t>
  </si>
  <si>
    <t>Pevisone 10gm Crm 1 Tub</t>
  </si>
  <si>
    <t>VTAPA</t>
  </si>
  <si>
    <t>Vtapa 30G Cream</t>
  </si>
  <si>
    <t>Itraconazole</t>
  </si>
  <si>
    <t>Itraconazole Suba</t>
  </si>
  <si>
    <t>Enterogermina</t>
  </si>
  <si>
    <t>ENTEROGERMINA 5ml Sus 1X10 Bot</t>
  </si>
  <si>
    <t>GST</t>
  </si>
  <si>
    <t>Gavisyn</t>
  </si>
  <si>
    <t>Gavisyn Suspension 200 ml</t>
  </si>
  <si>
    <t>Respite</t>
  </si>
  <si>
    <t>Respite 20mg Tab</t>
  </si>
  <si>
    <t>Sandom</t>
  </si>
  <si>
    <t>Sandom 10mg Tab 10x10s</t>
  </si>
  <si>
    <t>Xerosec</t>
  </si>
  <si>
    <t>Xerosec 20mg Cap 10x10's</t>
  </si>
  <si>
    <t>Butapan</t>
  </si>
  <si>
    <t>Butapan 10mg Tab 10x10’s</t>
  </si>
  <si>
    <t>Butapan 20mg Tab 5x10’s</t>
  </si>
  <si>
    <t>Prazan</t>
  </si>
  <si>
    <t>Prazan 10mg Tablet</t>
  </si>
  <si>
    <t>Prazan 20mg Tablet</t>
  </si>
  <si>
    <t xml:space="preserve">Sandom 100ml Suspension </t>
  </si>
  <si>
    <t>Profenid</t>
  </si>
  <si>
    <t>PROFENID-E 100mg Tab 5x10's</t>
  </si>
  <si>
    <t>Pain</t>
  </si>
  <si>
    <t>PROFENID-E 50mg Tab</t>
  </si>
  <si>
    <t>Profenid-CR 100mg Cap 5x10's</t>
  </si>
  <si>
    <t>Profenid 2ml Inj 2x5's Amp</t>
  </si>
  <si>
    <t>Profenid-CR 200mg Cap 5x10's</t>
  </si>
  <si>
    <t>Profenid Gel</t>
  </si>
  <si>
    <t>Profenid 30g Gel 1 Tub</t>
  </si>
  <si>
    <t>SYNKOLIN</t>
  </si>
  <si>
    <t>Synkolin 2.5 mg</t>
  </si>
  <si>
    <t>Synkolin 5 mg</t>
  </si>
  <si>
    <t>Synkolin 10 mg</t>
  </si>
  <si>
    <t>Renvela</t>
  </si>
  <si>
    <t>Renvela 800mg Tab 30's Bot</t>
  </si>
  <si>
    <t>REN</t>
  </si>
  <si>
    <t>Epilim</t>
  </si>
  <si>
    <t>Epilim 100ml Syp</t>
  </si>
  <si>
    <t>CNS</t>
  </si>
  <si>
    <t>SYNKEI</t>
  </si>
  <si>
    <t>EPILIM 200mg Tab</t>
  </si>
  <si>
    <t>EPILIM 300mg Tab</t>
  </si>
  <si>
    <t>EPILIM 500mg Tab</t>
  </si>
  <si>
    <t>EXPRES</t>
  </si>
  <si>
    <t>EXPRES 5mg Tab</t>
  </si>
  <si>
    <t>EXPRES 10mg Tab</t>
  </si>
  <si>
    <t>Frisium</t>
  </si>
  <si>
    <t>Frisium 10mg Tab 10x10s</t>
  </si>
  <si>
    <t>Imovane</t>
  </si>
  <si>
    <t>Imovane 7.5mg Tab 3x10's</t>
  </si>
  <si>
    <t>Leveron</t>
  </si>
  <si>
    <t>Leveron 250mg Tab 5x6's</t>
  </si>
  <si>
    <t>Leveron 500mg Tab 5x4's</t>
  </si>
  <si>
    <t>LEVERON 100ml Syp</t>
  </si>
  <si>
    <t>Qpine</t>
  </si>
  <si>
    <t>Qpine 25mg Tab 10x10's</t>
  </si>
  <si>
    <t>Qpine 100mg Tab 3x10's</t>
  </si>
  <si>
    <t>Qpine 200mg Tab 3x10's</t>
  </si>
  <si>
    <t>Sperdal</t>
  </si>
  <si>
    <t>Sperdal 1mg Tab 5x10's</t>
  </si>
  <si>
    <t>Sperdal 2mg Tab 5x10's</t>
  </si>
  <si>
    <t>Sperdal 4mg Tab 3x10's</t>
  </si>
  <si>
    <t>SPERDAL 100ml Solution</t>
  </si>
  <si>
    <t>Stemetil</t>
  </si>
  <si>
    <t>STEMETIL 5mg Tab. 30x20?s</t>
  </si>
  <si>
    <t>Vortiox</t>
  </si>
  <si>
    <t>Vortiox 5 mg Tablet 3x10's</t>
  </si>
  <si>
    <t>Vortiox 10 mg Tablet 3x10's</t>
  </si>
  <si>
    <t>Vortiox 20 mg Tablet 2x10's</t>
  </si>
  <si>
    <t>Leveron 500 XR</t>
  </si>
  <si>
    <t>Leveron 750 XR</t>
  </si>
  <si>
    <t>Qpine XR</t>
  </si>
  <si>
    <t>Qpine XR 50 mg Tab 5x10's</t>
  </si>
  <si>
    <t>Qpine XR 200 mg Tab 3x10's</t>
  </si>
  <si>
    <t>Qpine XR 300 mg Tab 2x10's</t>
  </si>
  <si>
    <t>Quetiapine XR</t>
  </si>
  <si>
    <t>Landing Ach.</t>
  </si>
  <si>
    <t>Feb-Mar'26</t>
  </si>
  <si>
    <t>Betanol</t>
  </si>
  <si>
    <t>Betanol 25mg Tab 20x10's</t>
  </si>
  <si>
    <t>CVD</t>
  </si>
  <si>
    <t>SYNTARA</t>
  </si>
  <si>
    <t>BETANOL 50mg Tab. 5x4x10?s</t>
  </si>
  <si>
    <t>Betanol 100mg Tab 10x10's</t>
  </si>
  <si>
    <t xml:space="preserve"> </t>
  </si>
  <si>
    <t>Lasix 2ml Inj 5x5's Amp</t>
  </si>
  <si>
    <t>Lasix</t>
  </si>
  <si>
    <t>Lasix 40mg Tab 10x10's</t>
  </si>
  <si>
    <t>Orva</t>
  </si>
  <si>
    <t>Orva 20mg Tab 3x10's</t>
  </si>
  <si>
    <t>Orva 10mg Tab 2X15's</t>
  </si>
  <si>
    <t>Ovenox</t>
  </si>
  <si>
    <t>Ovenox 20mg Inj 1 PFS</t>
  </si>
  <si>
    <t>Ovenox 40mg Inj 1 PFS</t>
  </si>
  <si>
    <t>Ovenox 60mg Inj 1 PFS</t>
  </si>
  <si>
    <t>Ovenox 80mg Inj 1 PFS</t>
  </si>
  <si>
    <t>Copixa</t>
  </si>
  <si>
    <t>Copixa 2.5mg</t>
  </si>
  <si>
    <t>Copixa 5mg</t>
  </si>
  <si>
    <t>Rozenon</t>
  </si>
  <si>
    <t>Rozenon 20mg Tab 2X1</t>
  </si>
  <si>
    <t>Rozenon 5mg Tab 3 x 10s</t>
  </si>
  <si>
    <t>Rozenon 10mg Tab 3 x 10s</t>
  </si>
  <si>
    <t>Sacutril</t>
  </si>
  <si>
    <t>Sacutril 50 mg Tablet</t>
  </si>
  <si>
    <t>Sacutril 100 mg Tablet</t>
  </si>
  <si>
    <t>Tritace</t>
  </si>
  <si>
    <t>Tritace 2.5mg Tab 2x14's</t>
  </si>
  <si>
    <t>Tritace 5mg Tab 2x14's</t>
  </si>
  <si>
    <t>Amaryl</t>
  </si>
  <si>
    <t>Amaryl 1mg Tab 4x15s</t>
  </si>
  <si>
    <t>OAD</t>
  </si>
  <si>
    <t>Amaryl 2mg Tab 3x15s</t>
  </si>
  <si>
    <t>Amaryl 3mg Tab 2x15's</t>
  </si>
  <si>
    <t>Amaryl 4mg Tab 2x15's</t>
  </si>
  <si>
    <t>Amaryl-M</t>
  </si>
  <si>
    <t>AMARYL M1 1mg Tab 3x10's</t>
  </si>
  <si>
    <t>AMARYL M 2mg Tab 3x10's</t>
  </si>
  <si>
    <t>ERTU</t>
  </si>
  <si>
    <t>ERTU 5mg Tablet 3 x 10s</t>
  </si>
  <si>
    <t>ERTU 15mg Tablet 2 x10s</t>
  </si>
  <si>
    <t>Incrit</t>
  </si>
  <si>
    <t>Incrit 50mg Tab 2x10's</t>
  </si>
  <si>
    <t>Incrit-M</t>
  </si>
  <si>
    <t>Incrit-M 500mg Tab</t>
  </si>
  <si>
    <t>Incrit-M 1000mg Tab</t>
  </si>
  <si>
    <t>Metsa</t>
  </si>
  <si>
    <t>Metsa 500mg Tab 10x10's</t>
  </si>
  <si>
    <t>Metsa 850mg Tab 5x10's</t>
  </si>
  <si>
    <t>Metsa XR 500mg Tab 5x10's</t>
  </si>
  <si>
    <t>METSA XR 500mg Tab</t>
  </si>
  <si>
    <t>METSA XR 750mg Tab</t>
  </si>
  <si>
    <t>ALLSTAR</t>
  </si>
  <si>
    <t>Allstar Insulin Pen 1PC</t>
  </si>
  <si>
    <t>INS</t>
  </si>
  <si>
    <t>INSYN</t>
  </si>
  <si>
    <t>ALLSTAR Insulin Pen 1PC (Teal Col)</t>
  </si>
  <si>
    <t>Apidra Crt</t>
  </si>
  <si>
    <t>APIDRA 3ml inj Crt 5?s</t>
  </si>
  <si>
    <t>Apidra Solo</t>
  </si>
  <si>
    <t>APIDRA SoloStar 3ml Inj 5 Pen</t>
  </si>
  <si>
    <t>Lantus Crt</t>
  </si>
  <si>
    <t>Lantus 3ml Inj Crt 5's</t>
  </si>
  <si>
    <t>Lantus Solo</t>
  </si>
  <si>
    <t>Lantus SoloStar 3ml Inj 5 Pen</t>
  </si>
  <si>
    <t>Toujeo</t>
  </si>
  <si>
    <t>TOUJEO 1.5 ml SoloStar injection 3?1.5 ml Prefilled Pen</t>
  </si>
  <si>
    <t>Mounvia</t>
  </si>
  <si>
    <t>Mounvia 2.5</t>
  </si>
  <si>
    <t>Mounvia 5</t>
  </si>
  <si>
    <t>Mounvia 7.5</t>
  </si>
  <si>
    <t>Adjusted Target</t>
  </si>
  <si>
    <t>Foundation</t>
  </si>
  <si>
    <t>Adjustment</t>
  </si>
  <si>
    <t>Previously Set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</si>
</sst>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000_);_(* \(#,##0.00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  <font>
      <sz val="10"/>
      <color theme="1"/>
      <name val="Aptos Narrow"/>
      <family val="2"/>
      <scheme val="minor"/>
    </font>
    <font>
      <b/>
      <sz val="11"/>
      <name val="Calibri"/>
      <family val="2"/>
    </font>
    <font>
      <b/>
      <u val="singleAccounting"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3F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164" fontId="0" fillId="0" borderId="0" xfId="0" applyNumberFormat="1"/>
    <xf numFmtId="164" fontId="0" fillId="0" borderId="0" xfId="1" applyNumberFormat="1" applyFont="1"/>
    <xf numFmtId="9" fontId="0" fillId="0" borderId="0" xfId="2" applyFont="1"/>
    <xf numFmtId="0" fontId="2" fillId="0" borderId="0" xfId="0" applyFont="1"/>
    <xf numFmtId="164" fontId="4" fillId="0" borderId="0" xfId="1" applyNumberFormat="1" applyFont="1"/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164" fontId="6" fillId="2" borderId="0" xfId="0" applyNumberFormat="1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4" borderId="1" xfId="1" applyNumberFormat="1" applyFont="1" applyFill="1" applyBorder="1" applyAlignment="1">
      <alignment vertical="center"/>
    </xf>
    <xf numFmtId="164" fontId="7" fillId="4" borderId="0" xfId="1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6" borderId="0" xfId="0" applyFont="1" applyFill="1" applyAlignment="1">
      <alignment vertical="center"/>
    </xf>
    <xf numFmtId="0" fontId="7" fillId="7" borderId="1" xfId="0" applyFont="1" applyFill="1" applyBorder="1" applyAlignment="1">
      <alignment vertical="center"/>
    </xf>
    <xf numFmtId="164" fontId="7" fillId="7" borderId="1" xfId="1" applyNumberFormat="1" applyFont="1" applyFill="1" applyBorder="1" applyAlignment="1">
      <alignment vertical="center"/>
    </xf>
    <xf numFmtId="164" fontId="4" fillId="0" borderId="1" xfId="1" applyNumberFormat="1" applyFont="1" applyBorder="1"/>
    <xf numFmtId="0" fontId="7" fillId="7" borderId="2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164" fontId="7" fillId="8" borderId="1" xfId="0" applyNumberFormat="1" applyFont="1" applyFill="1" applyBorder="1" applyAlignment="1">
      <alignment vertical="center"/>
    </xf>
    <xf numFmtId="164" fontId="9" fillId="0" borderId="1" xfId="1" applyNumberFormat="1" applyFont="1" applyBorder="1" applyAlignment="1">
      <alignment vertical="center"/>
    </xf>
    <xf numFmtId="164" fontId="7" fillId="12" borderId="1" xfId="0" applyNumberFormat="1" applyFont="1" applyFill="1" applyBorder="1" applyAlignment="1">
      <alignment vertical="center"/>
    </xf>
    <xf numFmtId="164" fontId="7" fillId="13" borderId="1" xfId="0" applyNumberFormat="1" applyFont="1" applyFill="1" applyBorder="1" applyAlignment="1">
      <alignment vertical="center"/>
    </xf>
    <xf numFmtId="164" fontId="7" fillId="8" borderId="0" xfId="0" applyNumberFormat="1" applyFont="1" applyFill="1" applyAlignment="1">
      <alignment vertical="center"/>
    </xf>
    <xf numFmtId="164" fontId="7" fillId="8" borderId="5" xfId="0" applyNumberFormat="1" applyFont="1" applyFill="1" applyBorder="1" applyAlignment="1">
      <alignment vertical="center"/>
    </xf>
    <xf numFmtId="164" fontId="0" fillId="0" borderId="0" xfId="1" applyNumberFormat="1" applyFont="1" applyFill="1"/>
    <xf numFmtId="164" fontId="7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1" xfId="0" applyFont="1" applyBorder="1" applyAlignment="1">
      <alignment horizontal="left" vertical="center"/>
    </xf>
    <xf numFmtId="164" fontId="0" fillId="0" borderId="0" xfId="0" applyNumberFormat="1" applyAlignment="1">
      <alignment vertical="center"/>
    </xf>
    <xf numFmtId="9" fontId="10" fillId="4" borderId="0" xfId="2" applyFont="1" applyFill="1" applyBorder="1" applyAlignment="1">
      <alignment vertical="center"/>
    </xf>
    <xf numFmtId="164" fontId="11" fillId="0" borderId="0" xfId="0" applyNumberFormat="1" applyFont="1"/>
    <xf numFmtId="9" fontId="10" fillId="14" borderId="0" xfId="2" applyFont="1" applyFill="1" applyBorder="1" applyAlignment="1">
      <alignment vertical="center"/>
    </xf>
    <xf numFmtId="2" fontId="0" fillId="0" borderId="0" xfId="0" applyNumberFormat="1"/>
    <xf numFmtId="0" fontId="12" fillId="0" borderId="0" xfId="0" applyFont="1"/>
    <xf numFmtId="164" fontId="7" fillId="15" borderId="1" xfId="0" applyNumberFormat="1" applyFont="1" applyFill="1" applyBorder="1" applyAlignment="1">
      <alignment vertical="center"/>
    </xf>
    <xf numFmtId="164" fontId="7" fillId="15" borderId="0" xfId="0" applyNumberFormat="1" applyFont="1" applyFill="1" applyAlignment="1">
      <alignment vertical="center"/>
    </xf>
    <xf numFmtId="164" fontId="7" fillId="15" borderId="5" xfId="0" applyNumberFormat="1" applyFont="1" applyFill="1" applyBorder="1" applyAlignment="1">
      <alignment vertical="center"/>
    </xf>
    <xf numFmtId="165" fontId="0" fillId="0" borderId="0" xfId="2" applyNumberFormat="1" applyFont="1"/>
    <xf numFmtId="0" fontId="0" fillId="0" borderId="0" xfId="0" applyAlignment="1">
      <alignment horizontal="left"/>
    </xf>
    <xf numFmtId="164" fontId="7" fillId="13" borderId="5" xfId="0" applyNumberFormat="1" applyFont="1" applyFill="1" applyBorder="1" applyAlignment="1">
      <alignment vertical="center"/>
    </xf>
    <xf numFmtId="43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6" xfId="0" applyBorder="1"/>
    <xf numFmtId="0" fontId="2" fillId="0" borderId="6" xfId="0" applyFont="1" applyBorder="1"/>
    <xf numFmtId="0" fontId="2" fillId="14" borderId="6" xfId="0" applyFont="1" applyFill="1" applyBorder="1"/>
    <xf numFmtId="0" fontId="0" fillId="14" borderId="6" xfId="0" applyFill="1" applyBorder="1"/>
    <xf numFmtId="16" fontId="2" fillId="13" borderId="6" xfId="0" applyNumberFormat="1" applyFont="1" applyFill="1" applyBorder="1"/>
    <xf numFmtId="164" fontId="0" fillId="0" borderId="6" xfId="1" applyNumberFormat="1" applyFont="1" applyBorder="1"/>
    <xf numFmtId="164" fontId="2" fillId="0" borderId="6" xfId="0" applyNumberFormat="1" applyFont="1" applyBorder="1"/>
    <xf numFmtId="16" fontId="2" fillId="10" borderId="6" xfId="0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CFCB5-7DE5-4C1F-B362-135A905EAD7D}">
  <dimension ref="A1:AT156"/>
  <sheetViews>
    <sheetView showGridLines="0" tabSelected="1" zoomScale="90" zoomScaleNormal="90" workbookViewId="0">
      <pane xSplit="7" ySplit="5" topLeftCell="AE6" activePane="bottomRight" state="frozen"/>
      <selection pane="topRight" activeCell="H1" sqref="H1"/>
      <selection pane="bottomLeft" activeCell="A6" sqref="A6"/>
      <selection pane="bottomRight" activeCell="AM9" sqref="AM9"/>
    </sheetView>
  </sheetViews>
  <sheetFormatPr defaultRowHeight="15" x14ac:dyDescent="0.25"/>
  <cols>
    <col min="3" max="3" width="6.85546875" customWidth="1"/>
    <col min="4" max="4" width="12.140625" customWidth="1"/>
    <col min="8" max="8" width="10.5703125" customWidth="1"/>
    <col min="9" max="9" width="2.85546875" customWidth="1"/>
    <col min="10" max="10" width="11.7109375" customWidth="1"/>
    <col min="11" max="12" width="12" bestFit="1" customWidth="1"/>
    <col min="13" max="13" width="1.7109375" customWidth="1"/>
    <col min="14" max="24" width="12" bestFit="1" customWidth="1"/>
    <col min="25" max="25" width="11.85546875" bestFit="1" customWidth="1"/>
    <col min="26" max="26" width="11.28515625" customWidth="1"/>
    <col min="27" max="27" width="2.7109375" customWidth="1"/>
    <col min="28" max="28" width="11.5703125" customWidth="1"/>
    <col min="29" max="30" width="11.7109375" customWidth="1"/>
    <col min="31" max="31" width="3.42578125" customWidth="1"/>
    <col min="32" max="32" width="12.140625" customWidth="1"/>
    <col min="33" max="35" width="12.5703125" customWidth="1"/>
    <col min="36" max="36" width="2.85546875" customWidth="1"/>
    <col min="37" max="37" width="10.140625" customWidth="1"/>
    <col min="38" max="39" width="10" bestFit="1" customWidth="1"/>
    <col min="40" max="40" width="3" customWidth="1"/>
    <col min="41" max="41" width="12.5703125" bestFit="1" customWidth="1"/>
    <col min="42" max="43" width="12.5703125" customWidth="1"/>
    <col min="44" max="44" width="13" bestFit="1" customWidth="1"/>
    <col min="45" max="46" width="12" bestFit="1" customWidth="1"/>
  </cols>
  <sheetData>
    <row r="1" spans="1:46" x14ac:dyDescent="0.25">
      <c r="K1">
        <f>5.5/6</f>
        <v>0.91666666666666663</v>
      </c>
      <c r="Z1">
        <v>1.01</v>
      </c>
      <c r="AQ1" s="4"/>
    </row>
    <row r="2" spans="1:46" ht="21.75" x14ac:dyDescent="0.4">
      <c r="A2" s="1" t="s">
        <v>0</v>
      </c>
      <c r="L2" s="2"/>
      <c r="Z2" s="42" t="s">
        <v>195</v>
      </c>
      <c r="AA2" s="2"/>
      <c r="AB2" s="3"/>
      <c r="AC2" s="4"/>
      <c r="AD2" s="4"/>
      <c r="AF2" s="5" t="s">
        <v>1</v>
      </c>
      <c r="AG2" s="6"/>
      <c r="AH2" s="6"/>
      <c r="AI2" s="6"/>
      <c r="AK2" s="7" t="s">
        <v>2</v>
      </c>
      <c r="AL2" s="8"/>
      <c r="AM2" s="8"/>
      <c r="AN2" s="8"/>
      <c r="AO2" s="8"/>
      <c r="AP2" s="9"/>
      <c r="AQ2" s="9"/>
    </row>
    <row r="3" spans="1:46" x14ac:dyDescent="0.25">
      <c r="A3" s="5" t="s">
        <v>196</v>
      </c>
      <c r="J3" s="10" t="s">
        <v>3</v>
      </c>
      <c r="K3" s="10"/>
      <c r="L3" s="10"/>
      <c r="N3" s="11" t="s">
        <v>4</v>
      </c>
      <c r="O3" s="11"/>
      <c r="P3" s="11"/>
      <c r="Q3" s="11"/>
      <c r="R3" s="11"/>
      <c r="S3" s="11"/>
      <c r="T3" s="11"/>
      <c r="U3" s="11"/>
      <c r="V3" s="11"/>
      <c r="W3" s="12"/>
      <c r="X3" s="12"/>
      <c r="Y3" s="41">
        <f>Y4/L4</f>
        <v>0.87864702107433412</v>
      </c>
      <c r="Z3" s="43">
        <f>Z4/AO4</f>
        <v>0.81727056884955362</v>
      </c>
      <c r="AB3" s="13" t="s">
        <v>5</v>
      </c>
      <c r="AC3" s="13"/>
      <c r="AD3" s="13"/>
      <c r="AF3" s="14"/>
      <c r="AG3" s="14"/>
      <c r="AH3" s="14"/>
      <c r="AI3" s="14"/>
      <c r="AK3" s="15" t="s">
        <v>6</v>
      </c>
      <c r="AL3" s="15"/>
      <c r="AM3" s="15"/>
      <c r="AO3" s="15" t="s">
        <v>7</v>
      </c>
      <c r="AP3" s="16"/>
      <c r="AQ3" s="16"/>
    </row>
    <row r="4" spans="1:46" x14ac:dyDescent="0.25">
      <c r="J4" s="17">
        <f t="shared" ref="J4:L4" si="0">SUBTOTAL(9,J6:J156)</f>
        <v>424761723.82999992</v>
      </c>
      <c r="K4" s="17">
        <f t="shared" si="0"/>
        <v>437659240.23999983</v>
      </c>
      <c r="L4" s="17">
        <f t="shared" si="0"/>
        <v>430867192.48999995</v>
      </c>
      <c r="M4" s="6"/>
      <c r="N4" s="17">
        <f t="shared" ref="N4:Z4" si="1">SUBTOTAL(9,N6:N156)</f>
        <v>346438305.25437707</v>
      </c>
      <c r="O4" s="17">
        <f t="shared" si="1"/>
        <v>306497687.88861537</v>
      </c>
      <c r="P4" s="17">
        <f t="shared" si="1"/>
        <v>356248749.89455962</v>
      </c>
      <c r="Q4" s="17">
        <f t="shared" si="1"/>
        <v>333970155.62020993</v>
      </c>
      <c r="R4" s="17">
        <f t="shared" si="1"/>
        <v>312090754.96577656</v>
      </c>
      <c r="S4" s="17">
        <f t="shared" si="1"/>
        <v>330581245.74833632</v>
      </c>
      <c r="T4" s="17">
        <f t="shared" si="1"/>
        <v>379070767.72502434</v>
      </c>
      <c r="U4" s="17">
        <f t="shared" si="1"/>
        <v>401684901</v>
      </c>
      <c r="V4" s="17">
        <f t="shared" si="1"/>
        <v>364441904.26999992</v>
      </c>
      <c r="W4" s="17">
        <f t="shared" si="1"/>
        <v>381450328.48000008</v>
      </c>
      <c r="X4" s="17">
        <f t="shared" si="1"/>
        <v>370210293.62</v>
      </c>
      <c r="Y4" s="17">
        <f t="shared" si="1"/>
        <v>378580175.16000015</v>
      </c>
      <c r="Z4" s="17">
        <f t="shared" si="1"/>
        <v>351501470.42446649</v>
      </c>
      <c r="AA4" s="6"/>
      <c r="AB4" s="17">
        <f t="shared" ref="AB4:AD4" si="2">SUBTOTAL(9,AB6:AB156)</f>
        <v>400731209.03785998</v>
      </c>
      <c r="AC4" s="17">
        <f t="shared" si="2"/>
        <v>384224000.08557278</v>
      </c>
      <c r="AD4" s="17">
        <f t="shared" si="2"/>
        <v>389997983.13128859</v>
      </c>
      <c r="AF4" s="17">
        <f t="shared" ref="AF4:AI4" si="3">SUBTOTAL(9,AF6:AF156)</f>
        <v>413261453.1912213</v>
      </c>
      <c r="AG4" s="17">
        <f t="shared" si="3"/>
        <v>431268645.05413097</v>
      </c>
      <c r="AH4" s="17">
        <f t="shared" si="3"/>
        <v>390881605.47468895</v>
      </c>
      <c r="AI4" s="17">
        <f t="shared" si="3"/>
        <v>417634109.04484326</v>
      </c>
      <c r="AK4" s="17">
        <f t="shared" ref="AK4:AM4" si="4">SUBTOTAL(9,AK6:AK156)</f>
        <v>2100333.9195808209</v>
      </c>
      <c r="AL4" s="17">
        <f t="shared" si="4"/>
        <v>1915582</v>
      </c>
      <c r="AM4" s="17">
        <f t="shared" si="4"/>
        <v>2110843</v>
      </c>
      <c r="AO4" s="17">
        <f>SUBTOTAL(9,AO6:AO156)</f>
        <v>430091922.82460898</v>
      </c>
      <c r="AP4" s="17">
        <f t="shared" ref="AP4:AQ4" si="5">SUBTOTAL(9,AP6:AP156)</f>
        <v>396403186.22746634</v>
      </c>
      <c r="AQ4" s="17">
        <f t="shared" si="5"/>
        <v>421967782.43761629</v>
      </c>
      <c r="AR4" s="49"/>
      <c r="AS4" s="49"/>
      <c r="AT4" s="2"/>
    </row>
    <row r="5" spans="1:46" ht="24" x14ac:dyDescent="0.25">
      <c r="A5" s="18" t="s">
        <v>8</v>
      </c>
      <c r="B5" s="18" t="s">
        <v>9</v>
      </c>
      <c r="C5" s="18" t="s">
        <v>10</v>
      </c>
      <c r="D5" s="18" t="s">
        <v>11</v>
      </c>
      <c r="E5" s="18" t="s">
        <v>12</v>
      </c>
      <c r="F5" s="18" t="s">
        <v>13</v>
      </c>
      <c r="G5" s="19" t="s">
        <v>14</v>
      </c>
      <c r="H5" s="20" t="s">
        <v>15</v>
      </c>
      <c r="J5" s="21" t="s">
        <v>16</v>
      </c>
      <c r="K5" s="21" t="s">
        <v>17</v>
      </c>
      <c r="L5" s="21" t="s">
        <v>18</v>
      </c>
      <c r="M5" s="22"/>
      <c r="N5" s="23" t="s">
        <v>19</v>
      </c>
      <c r="O5" s="23" t="s">
        <v>20</v>
      </c>
      <c r="P5" s="23" t="s">
        <v>21</v>
      </c>
      <c r="Q5" s="23" t="s">
        <v>22</v>
      </c>
      <c r="R5" s="23" t="s">
        <v>23</v>
      </c>
      <c r="S5" s="23" t="s">
        <v>24</v>
      </c>
      <c r="T5" s="23" t="s">
        <v>25</v>
      </c>
      <c r="U5" s="23" t="s">
        <v>26</v>
      </c>
      <c r="V5" s="23" t="s">
        <v>27</v>
      </c>
      <c r="W5" s="23" t="s">
        <v>28</v>
      </c>
      <c r="X5" s="23" t="s">
        <v>29</v>
      </c>
      <c r="Y5" s="23" t="s">
        <v>30</v>
      </c>
      <c r="Z5" s="23" t="s">
        <v>31</v>
      </c>
      <c r="AA5" s="6"/>
      <c r="AB5" s="24" t="s">
        <v>32</v>
      </c>
      <c r="AC5" s="24" t="s">
        <v>33</v>
      </c>
      <c r="AD5" s="24" t="s">
        <v>34</v>
      </c>
      <c r="AF5" s="25" t="s">
        <v>35</v>
      </c>
      <c r="AG5" s="26" t="s">
        <v>32</v>
      </c>
      <c r="AH5" s="26" t="s">
        <v>33</v>
      </c>
      <c r="AI5" s="26" t="s">
        <v>34</v>
      </c>
      <c r="AK5" s="27" t="s">
        <v>32</v>
      </c>
      <c r="AL5" s="27" t="s">
        <v>33</v>
      </c>
      <c r="AM5" s="27" t="s">
        <v>34</v>
      </c>
      <c r="AO5" s="27" t="s">
        <v>32</v>
      </c>
      <c r="AP5" s="27" t="s">
        <v>33</v>
      </c>
      <c r="AQ5" s="27" t="s">
        <v>34</v>
      </c>
      <c r="AR5" s="50"/>
    </row>
    <row r="6" spans="1:46" ht="24" x14ac:dyDescent="0.25">
      <c r="A6" s="28" t="s">
        <v>92</v>
      </c>
      <c r="B6" s="28">
        <v>327131</v>
      </c>
      <c r="C6" s="28">
        <v>513</v>
      </c>
      <c r="D6" s="28" t="s">
        <v>93</v>
      </c>
      <c r="E6" s="29">
        <v>340.59</v>
      </c>
      <c r="F6" s="28" t="s">
        <v>94</v>
      </c>
      <c r="G6" s="28" t="s">
        <v>41</v>
      </c>
      <c r="H6" s="28" t="s">
        <v>36</v>
      </c>
      <c r="I6" s="3"/>
      <c r="J6" s="30">
        <v>6055545.0900000045</v>
      </c>
      <c r="K6" s="30">
        <v>6214064.6399999978</v>
      </c>
      <c r="L6" s="30">
        <v>6142540.6499999994</v>
      </c>
      <c r="M6" s="34"/>
      <c r="N6" s="31">
        <v>4128628.0632200199</v>
      </c>
      <c r="O6" s="31">
        <v>3596289.7078243098</v>
      </c>
      <c r="P6" s="31">
        <v>4593192.5507474104</v>
      </c>
      <c r="Q6" s="31">
        <v>4513497.8966567498</v>
      </c>
      <c r="R6" s="31">
        <v>4357163.6466935603</v>
      </c>
      <c r="S6" s="31">
        <v>5530500.4190086704</v>
      </c>
      <c r="T6" s="31">
        <v>5746775.0687163202</v>
      </c>
      <c r="U6" s="31">
        <v>5672179</v>
      </c>
      <c r="V6" s="31">
        <v>5373489</v>
      </c>
      <c r="W6" s="31">
        <v>5369060.8099999977</v>
      </c>
      <c r="X6" s="31">
        <v>4566971.3499999978</v>
      </c>
      <c r="Y6" s="31">
        <v>3799962.5999999992</v>
      </c>
      <c r="Z6" s="31">
        <v>3686916.2079603672</v>
      </c>
      <c r="AA6" s="2"/>
      <c r="AB6" s="30">
        <v>6011952.6567144711</v>
      </c>
      <c r="AC6" s="30">
        <v>5677955.2868969999</v>
      </c>
      <c r="AD6" s="30">
        <v>5343957.9170795297</v>
      </c>
      <c r="AF6" s="32">
        <f t="shared" ref="AF6:AF18" si="6">IFERROR(SUM(AG6:AI6)/3,0)</f>
        <v>5615977.6556880297</v>
      </c>
      <c r="AG6" s="30">
        <v>5884712.8770744288</v>
      </c>
      <c r="AH6" s="30">
        <v>5296241.5893669855</v>
      </c>
      <c r="AI6" s="30">
        <v>5666978.5006226748</v>
      </c>
      <c r="AK6" s="30">
        <v>16500</v>
      </c>
      <c r="AL6" s="33">
        <v>14829</v>
      </c>
      <c r="AM6" s="33">
        <v>16034</v>
      </c>
      <c r="AO6" s="30">
        <v>5619735</v>
      </c>
      <c r="AP6" s="33">
        <f>AL6*$E6</f>
        <v>5050609.1099999994</v>
      </c>
      <c r="AQ6" s="33">
        <f t="shared" ref="AQ6" si="7">AM6*$E6</f>
        <v>5461020.0599999996</v>
      </c>
      <c r="AR6" s="53"/>
    </row>
    <row r="7" spans="1:46" ht="24" x14ac:dyDescent="0.25">
      <c r="A7" s="28" t="s">
        <v>92</v>
      </c>
      <c r="B7" s="28">
        <v>334946</v>
      </c>
      <c r="C7" s="28">
        <v>515</v>
      </c>
      <c r="D7" s="28" t="s">
        <v>95</v>
      </c>
      <c r="E7" s="29">
        <v>18.8</v>
      </c>
      <c r="F7" s="28" t="s">
        <v>94</v>
      </c>
      <c r="G7" s="28" t="s">
        <v>41</v>
      </c>
      <c r="H7" s="28" t="s">
        <v>36</v>
      </c>
      <c r="I7" s="3"/>
      <c r="J7" s="30">
        <v>562363.80999999971</v>
      </c>
      <c r="K7" s="30">
        <v>515383.19</v>
      </c>
      <c r="L7" s="30">
        <v>508596.4</v>
      </c>
      <c r="M7" s="34"/>
      <c r="N7" s="31">
        <v>413276.207600041</v>
      </c>
      <c r="O7" s="31">
        <v>393333.56616023497</v>
      </c>
      <c r="P7" s="31">
        <v>468759.16240006097</v>
      </c>
      <c r="Q7" s="31">
        <v>448831.16240042303</v>
      </c>
      <c r="R7" s="31">
        <v>420217.58872056397</v>
      </c>
      <c r="S7" s="31">
        <v>462724.39997650898</v>
      </c>
      <c r="T7" s="31">
        <v>454113.99994961702</v>
      </c>
      <c r="U7" s="31">
        <v>470442</v>
      </c>
      <c r="V7" s="31">
        <v>418375</v>
      </c>
      <c r="W7" s="31">
        <v>484833.17</v>
      </c>
      <c r="X7" s="31">
        <v>455636.83000000037</v>
      </c>
      <c r="Y7" s="31">
        <v>386828.85999999987</v>
      </c>
      <c r="Z7" s="31">
        <v>329611.29949705274</v>
      </c>
      <c r="AA7" s="2"/>
      <c r="AB7" s="30">
        <v>442466.347401987</v>
      </c>
      <c r="AC7" s="30">
        <v>405594.15178515471</v>
      </c>
      <c r="AD7" s="30">
        <v>368721.95616832247</v>
      </c>
      <c r="AF7" s="32">
        <f t="shared" si="6"/>
        <v>468857.43439668167</v>
      </c>
      <c r="AG7" s="30">
        <v>491293.1551484614</v>
      </c>
      <c r="AH7" s="30">
        <v>442163.83963361528</v>
      </c>
      <c r="AI7" s="30">
        <v>473115.30840796838</v>
      </c>
      <c r="AK7" s="30">
        <v>26133</v>
      </c>
      <c r="AL7" s="33">
        <v>23251</v>
      </c>
      <c r="AM7" s="33">
        <v>23049</v>
      </c>
      <c r="AO7" s="30">
        <v>491300.4</v>
      </c>
      <c r="AP7" s="33">
        <f t="shared" ref="AP7:AP70" si="8">AL7*$E7</f>
        <v>437118.8</v>
      </c>
      <c r="AQ7" s="33">
        <f t="shared" ref="AQ7:AQ70" si="9">AM7*$E7</f>
        <v>433321.2</v>
      </c>
      <c r="AR7" s="40"/>
    </row>
    <row r="8" spans="1:46" ht="24" x14ac:dyDescent="0.25">
      <c r="A8" s="28" t="s">
        <v>92</v>
      </c>
      <c r="B8" s="28">
        <v>373259</v>
      </c>
      <c r="C8" s="28">
        <v>514</v>
      </c>
      <c r="D8" s="28" t="s">
        <v>96</v>
      </c>
      <c r="E8" s="29">
        <v>141.54</v>
      </c>
      <c r="F8" s="28" t="s">
        <v>94</v>
      </c>
      <c r="G8" s="28" t="s">
        <v>41</v>
      </c>
      <c r="H8" s="28" t="s">
        <v>36</v>
      </c>
      <c r="I8" s="3"/>
      <c r="J8" s="30">
        <v>993786.73999999906</v>
      </c>
      <c r="K8" s="30">
        <v>1291835.7000000004</v>
      </c>
      <c r="L8" s="30">
        <v>1148738.6399999999</v>
      </c>
      <c r="M8" s="34"/>
      <c r="N8" s="31">
        <v>1077542.2366003699</v>
      </c>
      <c r="O8" s="31">
        <v>939252.34885294305</v>
      </c>
      <c r="P8" s="31">
        <v>965018.247991301</v>
      </c>
      <c r="Q8" s="31">
        <v>1048811.3292392101</v>
      </c>
      <c r="R8" s="31">
        <v>868914.01754105499</v>
      </c>
      <c r="S8" s="31">
        <v>1021777.25951543</v>
      </c>
      <c r="T8" s="31">
        <v>1163600.33942906</v>
      </c>
      <c r="U8" s="31">
        <v>1180305</v>
      </c>
      <c r="V8" s="31">
        <v>1312501</v>
      </c>
      <c r="W8" s="31">
        <v>1208468.5799999994</v>
      </c>
      <c r="X8" s="31">
        <v>1026589.6699999996</v>
      </c>
      <c r="Y8" s="31">
        <v>956385.82999999914</v>
      </c>
      <c r="Z8" s="31">
        <v>863619.72083689447</v>
      </c>
      <c r="AA8" s="2"/>
      <c r="AB8" s="30">
        <v>832801.686320176</v>
      </c>
      <c r="AC8" s="30">
        <v>763401.54579349468</v>
      </c>
      <c r="AD8" s="30">
        <v>694001.40526681335</v>
      </c>
      <c r="AF8" s="32">
        <f t="shared" si="6"/>
        <v>1095504.939227141</v>
      </c>
      <c r="AG8" s="30">
        <v>1147926.9359697599</v>
      </c>
      <c r="AH8" s="30">
        <v>1033134.2423727841</v>
      </c>
      <c r="AI8" s="30">
        <v>1105453.6393388789</v>
      </c>
      <c r="AK8" s="30">
        <v>8000</v>
      </c>
      <c r="AL8" s="33">
        <v>6920</v>
      </c>
      <c r="AM8" s="33">
        <v>6013</v>
      </c>
      <c r="AO8" s="30">
        <v>1132320</v>
      </c>
      <c r="AP8" s="33">
        <f t="shared" si="8"/>
        <v>979456.79999999993</v>
      </c>
      <c r="AQ8" s="33">
        <f t="shared" si="9"/>
        <v>851080.0199999999</v>
      </c>
      <c r="AR8" s="40"/>
    </row>
    <row r="9" spans="1:46" ht="24" x14ac:dyDescent="0.25">
      <c r="A9" s="28" t="s">
        <v>97</v>
      </c>
      <c r="B9" s="28">
        <v>4011000142</v>
      </c>
      <c r="C9" s="28">
        <v>778</v>
      </c>
      <c r="D9" s="28" t="s">
        <v>98</v>
      </c>
      <c r="E9" s="29">
        <v>157.41999999999999</v>
      </c>
      <c r="F9" s="28" t="s">
        <v>94</v>
      </c>
      <c r="G9" s="28" t="s">
        <v>41</v>
      </c>
      <c r="H9" s="28" t="s">
        <v>37</v>
      </c>
      <c r="I9" s="3"/>
      <c r="J9" s="30">
        <v>459509.04</v>
      </c>
      <c r="K9" s="30">
        <v>396383.50000000035</v>
      </c>
      <c r="L9" s="30">
        <v>358602.75999999995</v>
      </c>
      <c r="M9" s="34"/>
      <c r="N9" s="31">
        <v>312950.96000000101</v>
      </c>
      <c r="O9" s="31">
        <v>333100.72000000201</v>
      </c>
      <c r="P9" s="31">
        <v>344907.22000009398</v>
      </c>
      <c r="Q9" s="31">
        <v>248566.180000094</v>
      </c>
      <c r="R9" s="31">
        <v>198506.62</v>
      </c>
      <c r="S9" s="31">
        <v>191422.71999399501</v>
      </c>
      <c r="T9" s="31">
        <v>224008.659984989</v>
      </c>
      <c r="U9" s="31">
        <v>255001</v>
      </c>
      <c r="V9" s="31">
        <v>199136</v>
      </c>
      <c r="W9" s="31">
        <v>246204.85000000021</v>
      </c>
      <c r="X9" s="31">
        <v>341601.46000000014</v>
      </c>
      <c r="Y9" s="31">
        <v>401263.6100000001</v>
      </c>
      <c r="Z9" s="31">
        <v>362877.86864778982</v>
      </c>
      <c r="AA9" s="2"/>
      <c r="AB9" s="30">
        <v>448047.16542750923</v>
      </c>
      <c r="AC9" s="30">
        <v>371239.0799256505</v>
      </c>
      <c r="AD9" s="30">
        <v>371239.0799256505</v>
      </c>
      <c r="AF9" s="32">
        <f t="shared" si="6"/>
        <v>434306.15182061977</v>
      </c>
      <c r="AG9" s="30">
        <v>434306.15182061977</v>
      </c>
      <c r="AH9" s="30">
        <v>421276.96726600116</v>
      </c>
      <c r="AI9" s="30">
        <v>447335.33637523832</v>
      </c>
      <c r="AK9" s="30">
        <v>2945.0914819041568</v>
      </c>
      <c r="AL9" s="33">
        <v>2175</v>
      </c>
      <c r="AM9" s="33">
        <v>2228</v>
      </c>
      <c r="AO9" s="30">
        <v>463616.30108135234</v>
      </c>
      <c r="AP9" s="33">
        <f t="shared" si="8"/>
        <v>342388.5</v>
      </c>
      <c r="AQ9" s="33">
        <f t="shared" si="9"/>
        <v>350731.75999999995</v>
      </c>
      <c r="AR9" s="52"/>
      <c r="AS9" s="44"/>
    </row>
    <row r="10" spans="1:46" ht="24" x14ac:dyDescent="0.25">
      <c r="A10" s="28" t="s">
        <v>97</v>
      </c>
      <c r="B10" s="28">
        <v>4011000143</v>
      </c>
      <c r="C10" s="28">
        <v>779</v>
      </c>
      <c r="D10" s="28" t="s">
        <v>99</v>
      </c>
      <c r="E10" s="29">
        <v>202.4</v>
      </c>
      <c r="F10" s="28" t="s">
        <v>94</v>
      </c>
      <c r="G10" s="28" t="s">
        <v>41</v>
      </c>
      <c r="H10" s="28" t="s">
        <v>37</v>
      </c>
      <c r="I10" s="3"/>
      <c r="J10" s="30">
        <v>492236.7900000001</v>
      </c>
      <c r="K10" s="30">
        <v>169813.61000000002</v>
      </c>
      <c r="L10" s="30">
        <v>153621.6</v>
      </c>
      <c r="M10" s="34"/>
      <c r="N10" s="31">
        <v>154633.59999999899</v>
      </c>
      <c r="O10" s="31">
        <v>224461.59999999899</v>
      </c>
      <c r="P10" s="31">
        <v>178112.00000012101</v>
      </c>
      <c r="Q10" s="31">
        <v>149978.4</v>
      </c>
      <c r="R10" s="31">
        <v>121035.2</v>
      </c>
      <c r="S10" s="31">
        <v>106057.59999807</v>
      </c>
      <c r="T10" s="31">
        <v>156657.599982627</v>
      </c>
      <c r="U10" s="31">
        <v>193472</v>
      </c>
      <c r="V10" s="31">
        <v>137632</v>
      </c>
      <c r="W10" s="31">
        <v>153824.00999999975</v>
      </c>
      <c r="X10" s="31">
        <v>201185.61999999965</v>
      </c>
      <c r="Y10" s="31">
        <v>200983.16999999975</v>
      </c>
      <c r="Z10" s="31">
        <v>194710.40042573662</v>
      </c>
      <c r="AA10" s="2"/>
      <c r="AB10" s="30">
        <v>362100.37174721184</v>
      </c>
      <c r="AC10" s="30">
        <v>263345.72490706318</v>
      </c>
      <c r="AD10" s="30">
        <v>263345.72490706318</v>
      </c>
      <c r="AF10" s="32">
        <f t="shared" si="6"/>
        <v>225186.13762044456</v>
      </c>
      <c r="AG10" s="30">
        <v>225186.13762044456</v>
      </c>
      <c r="AH10" s="30">
        <v>218430.5534918312</v>
      </c>
      <c r="AI10" s="30">
        <v>231941.72174905788</v>
      </c>
      <c r="AK10" s="30">
        <v>736.2728704760392</v>
      </c>
      <c r="AL10" s="33">
        <v>643</v>
      </c>
      <c r="AM10" s="33">
        <v>658</v>
      </c>
      <c r="AO10" s="30">
        <v>149021.62898435033</v>
      </c>
      <c r="AP10" s="33">
        <f t="shared" si="8"/>
        <v>130143.2</v>
      </c>
      <c r="AQ10" s="33">
        <f t="shared" si="9"/>
        <v>133179.20000000001</v>
      </c>
      <c r="AR10" s="40"/>
      <c r="AS10" s="44"/>
    </row>
    <row r="11" spans="1:46" ht="36" x14ac:dyDescent="0.25">
      <c r="A11" s="28" t="s">
        <v>97</v>
      </c>
      <c r="B11" s="28">
        <v>4011000144</v>
      </c>
      <c r="C11" s="28">
        <v>780</v>
      </c>
      <c r="D11" s="28" t="s">
        <v>100</v>
      </c>
      <c r="E11" s="29">
        <v>393.55</v>
      </c>
      <c r="F11" s="28" t="s">
        <v>94</v>
      </c>
      <c r="G11" s="28" t="s">
        <v>41</v>
      </c>
      <c r="H11" s="28" t="s">
        <v>37</v>
      </c>
      <c r="I11" s="3"/>
      <c r="J11" s="30">
        <v>2680469.2499999995</v>
      </c>
      <c r="K11" s="30">
        <v>3633647.0700000031</v>
      </c>
      <c r="L11" s="30">
        <v>3287716.7</v>
      </c>
      <c r="M11" s="34"/>
      <c r="N11" s="31">
        <v>1150740.2000007301</v>
      </c>
      <c r="O11" s="31">
        <v>1180256.45000002</v>
      </c>
      <c r="P11" s="31">
        <v>1199146.8500000001</v>
      </c>
      <c r="Q11" s="31">
        <v>1048810.75</v>
      </c>
      <c r="R11" s="31">
        <v>928384.450000001</v>
      </c>
      <c r="S11" s="31">
        <v>997649.24998124805</v>
      </c>
      <c r="T11" s="31">
        <v>1110204.54996999</v>
      </c>
      <c r="U11" s="31">
        <v>1432152</v>
      </c>
      <c r="V11" s="31">
        <v>1195999</v>
      </c>
      <c r="W11" s="31">
        <v>1262508.5100000009</v>
      </c>
      <c r="X11" s="31">
        <v>1331773.29</v>
      </c>
      <c r="Y11" s="31">
        <v>1528941.7800000003</v>
      </c>
      <c r="Z11" s="31">
        <v>1517668.0150591058</v>
      </c>
      <c r="AA11" s="2"/>
      <c r="AB11" s="30">
        <v>1536161.7100371744</v>
      </c>
      <c r="AC11" s="30">
        <v>1280134.7583643119</v>
      </c>
      <c r="AD11" s="30">
        <v>1280134.7583643119</v>
      </c>
      <c r="AF11" s="32">
        <f t="shared" si="6"/>
        <v>3254447.0023589358</v>
      </c>
      <c r="AG11" s="30">
        <v>3254447.0023589358</v>
      </c>
      <c r="AH11" s="30">
        <v>3156813.5922881681</v>
      </c>
      <c r="AI11" s="30">
        <v>3352080.4124297039</v>
      </c>
      <c r="AK11" s="30">
        <v>8099.0015752364307</v>
      </c>
      <c r="AL11" s="33">
        <v>6525</v>
      </c>
      <c r="AM11" s="33">
        <v>6683</v>
      </c>
      <c r="AO11" s="30">
        <v>3187362.0699342974</v>
      </c>
      <c r="AP11" s="33">
        <f t="shared" si="8"/>
        <v>2567913.75</v>
      </c>
      <c r="AQ11" s="33">
        <f t="shared" si="9"/>
        <v>2630094.65</v>
      </c>
      <c r="AR11" s="40"/>
      <c r="AS11" s="44"/>
    </row>
    <row r="12" spans="1:46" ht="36" x14ac:dyDescent="0.25">
      <c r="A12" s="28" t="s">
        <v>101</v>
      </c>
      <c r="B12" s="28">
        <v>352704</v>
      </c>
      <c r="C12" s="28">
        <v>759</v>
      </c>
      <c r="D12" s="28" t="s">
        <v>102</v>
      </c>
      <c r="E12" s="29">
        <v>69.72</v>
      </c>
      <c r="F12" s="28" t="s">
        <v>94</v>
      </c>
      <c r="G12" s="28" t="s">
        <v>41</v>
      </c>
      <c r="H12" s="28" t="s">
        <v>37</v>
      </c>
      <c r="I12" s="3"/>
      <c r="J12" s="30">
        <v>3834597.2299999972</v>
      </c>
      <c r="K12" s="30">
        <v>4509629.0999999978</v>
      </c>
      <c r="L12" s="30">
        <v>4200002.5199999996</v>
      </c>
      <c r="M12" s="34"/>
      <c r="N12" s="31">
        <v>3150690.1797846002</v>
      </c>
      <c r="O12" s="31">
        <v>2813019.0407776898</v>
      </c>
      <c r="P12" s="31">
        <v>3130326.59923589</v>
      </c>
      <c r="Q12" s="31">
        <v>2299225.9647869999</v>
      </c>
      <c r="R12" s="31">
        <v>1819620.1186810001</v>
      </c>
      <c r="S12" s="31">
        <v>1735749.11984632</v>
      </c>
      <c r="T12" s="31">
        <v>2321536.5597705101</v>
      </c>
      <c r="U12" s="31">
        <v>3007308</v>
      </c>
      <c r="V12" s="31">
        <v>2365669</v>
      </c>
      <c r="W12" s="31">
        <v>2570436.9600000014</v>
      </c>
      <c r="X12" s="31">
        <v>3263802.430000003</v>
      </c>
      <c r="Y12" s="31">
        <v>3975155.5699999984</v>
      </c>
      <c r="Z12" s="31">
        <v>3198762.3468196858</v>
      </c>
      <c r="AA12" s="2"/>
      <c r="AB12" s="30">
        <v>4179401.6393442624</v>
      </c>
      <c r="AC12" s="30">
        <v>3582344.2622950817</v>
      </c>
      <c r="AD12" s="30">
        <v>2985286.8852459015</v>
      </c>
      <c r="AF12" s="32">
        <f t="shared" si="6"/>
        <v>4506002.5955999997</v>
      </c>
      <c r="AG12" s="30">
        <v>4506002.5955999997</v>
      </c>
      <c r="AH12" s="30">
        <v>4370822.517732</v>
      </c>
      <c r="AI12" s="30">
        <v>4641182.6734679993</v>
      </c>
      <c r="AK12" s="30">
        <v>76500</v>
      </c>
      <c r="AL12" s="33">
        <v>64259</v>
      </c>
      <c r="AM12" s="33">
        <v>65821</v>
      </c>
      <c r="AO12" s="30">
        <v>5333580</v>
      </c>
      <c r="AP12" s="33">
        <f t="shared" si="8"/>
        <v>4480137.4799999995</v>
      </c>
      <c r="AQ12" s="33">
        <f t="shared" si="9"/>
        <v>4589040.12</v>
      </c>
      <c r="AR12" s="40"/>
    </row>
    <row r="13" spans="1:46" ht="24" x14ac:dyDescent="0.25">
      <c r="A13" s="28" t="s">
        <v>103</v>
      </c>
      <c r="B13" s="28">
        <v>330987</v>
      </c>
      <c r="C13" s="28">
        <v>674</v>
      </c>
      <c r="D13" s="28" t="s">
        <v>104</v>
      </c>
      <c r="E13" s="29">
        <v>52.47</v>
      </c>
      <c r="F13" s="28" t="s">
        <v>94</v>
      </c>
      <c r="G13" s="28" t="s">
        <v>41</v>
      </c>
      <c r="H13" s="28" t="s">
        <v>36</v>
      </c>
      <c r="I13" s="3"/>
      <c r="J13" s="30">
        <v>1357025.7699999993</v>
      </c>
      <c r="K13" s="30">
        <v>1573050.5900000008</v>
      </c>
      <c r="L13" s="30">
        <v>1482015.15</v>
      </c>
      <c r="M13" s="34"/>
      <c r="N13" s="31">
        <v>1029459.8363964499</v>
      </c>
      <c r="O13" s="31">
        <v>1034445.6879592401</v>
      </c>
      <c r="P13" s="31">
        <v>1197468.76590261</v>
      </c>
      <c r="Q13" s="31">
        <v>988481.99944368098</v>
      </c>
      <c r="R13" s="31">
        <v>879869.24635681498</v>
      </c>
      <c r="S13" s="31">
        <v>850276.349812823</v>
      </c>
      <c r="T13" s="31">
        <v>1117820.8796832</v>
      </c>
      <c r="U13" s="31">
        <v>1268941</v>
      </c>
      <c r="V13" s="31">
        <v>982659</v>
      </c>
      <c r="W13" s="31">
        <v>1118922.850000001</v>
      </c>
      <c r="X13" s="31">
        <v>1340451.2399999977</v>
      </c>
      <c r="Y13" s="31">
        <v>1399322.4600000011</v>
      </c>
      <c r="Z13" s="31">
        <v>1259818.2008489475</v>
      </c>
      <c r="AA13" s="2"/>
      <c r="AB13" s="30">
        <v>1130706.0664508357</v>
      </c>
      <c r="AC13" s="30">
        <v>1002216.7407177861</v>
      </c>
      <c r="AD13" s="30">
        <v>1002216.7407177861</v>
      </c>
      <c r="AF13" s="32">
        <f t="shared" si="6"/>
        <v>1483398.296268767</v>
      </c>
      <c r="AG13" s="30">
        <v>1554381.7285387008</v>
      </c>
      <c r="AH13" s="30">
        <v>1398943.555684831</v>
      </c>
      <c r="AI13" s="30">
        <v>1496869.6045827691</v>
      </c>
      <c r="AK13" s="30">
        <v>29217.391304347824</v>
      </c>
      <c r="AL13" s="33">
        <v>25209</v>
      </c>
      <c r="AM13" s="33">
        <v>26329</v>
      </c>
      <c r="AO13" s="30">
        <v>1533036.5217391304</v>
      </c>
      <c r="AP13" s="33">
        <f t="shared" si="8"/>
        <v>1322716.23</v>
      </c>
      <c r="AQ13" s="33">
        <f t="shared" si="9"/>
        <v>1381482.63</v>
      </c>
      <c r="AR13" s="40"/>
    </row>
    <row r="14" spans="1:46" ht="36" x14ac:dyDescent="0.25">
      <c r="A14" s="28" t="s">
        <v>103</v>
      </c>
      <c r="B14" s="28">
        <v>346157</v>
      </c>
      <c r="C14" s="28">
        <v>671</v>
      </c>
      <c r="D14" s="28" t="s">
        <v>105</v>
      </c>
      <c r="E14" s="29">
        <v>375</v>
      </c>
      <c r="F14" s="28" t="s">
        <v>94</v>
      </c>
      <c r="G14" s="28" t="s">
        <v>41</v>
      </c>
      <c r="H14" s="28" t="s">
        <v>36</v>
      </c>
      <c r="I14" s="3"/>
      <c r="J14" s="30">
        <v>5414058.1600000029</v>
      </c>
      <c r="K14" s="30">
        <v>6423750.7499999991</v>
      </c>
      <c r="L14" s="30">
        <v>6619875</v>
      </c>
      <c r="M14" s="34"/>
      <c r="N14" s="31">
        <v>4221741.6375025501</v>
      </c>
      <c r="O14" s="31">
        <v>3640124.4750004499</v>
      </c>
      <c r="P14" s="31">
        <v>4386733.7625024002</v>
      </c>
      <c r="Q14" s="31">
        <v>3681748.46250326</v>
      </c>
      <c r="R14" s="31">
        <v>3566994.9375042701</v>
      </c>
      <c r="S14" s="31">
        <v>3770999.9992346801</v>
      </c>
      <c r="T14" s="31">
        <v>4510874.9987304201</v>
      </c>
      <c r="U14" s="31">
        <v>5229764</v>
      </c>
      <c r="V14" s="31">
        <v>4596751</v>
      </c>
      <c r="W14" s="31">
        <v>4807125.0000000009</v>
      </c>
      <c r="X14" s="31">
        <v>5080500.0299999993</v>
      </c>
      <c r="Y14" s="31">
        <v>5182875.0200000014</v>
      </c>
      <c r="Z14" s="31">
        <v>4473836.4631578941</v>
      </c>
      <c r="AA14" s="2"/>
      <c r="AB14" s="30">
        <v>4995582.704315247</v>
      </c>
      <c r="AC14" s="30">
        <v>4775189.3497131038</v>
      </c>
      <c r="AD14" s="30">
        <v>4775189.3497131038</v>
      </c>
      <c r="AF14" s="32">
        <f t="shared" si="6"/>
        <v>6499606.4870731002</v>
      </c>
      <c r="AG14" s="30">
        <v>6810625.0301150186</v>
      </c>
      <c r="AH14" s="30">
        <v>6129562.5271035172</v>
      </c>
      <c r="AI14" s="30">
        <v>6558631.9040007638</v>
      </c>
      <c r="AK14" s="30">
        <v>19826.08695652174</v>
      </c>
      <c r="AL14" s="33">
        <v>15817</v>
      </c>
      <c r="AM14" s="33">
        <v>16708</v>
      </c>
      <c r="AO14" s="30">
        <v>7434782.6086956523</v>
      </c>
      <c r="AP14" s="33">
        <f t="shared" si="8"/>
        <v>5931375</v>
      </c>
      <c r="AQ14" s="33">
        <f t="shared" si="9"/>
        <v>6265500</v>
      </c>
      <c r="AR14" s="40"/>
    </row>
    <row r="15" spans="1:46" ht="36" x14ac:dyDescent="0.25">
      <c r="A15" s="28" t="s">
        <v>103</v>
      </c>
      <c r="B15" s="28">
        <v>346158</v>
      </c>
      <c r="C15" s="28">
        <v>673</v>
      </c>
      <c r="D15" s="28" t="s">
        <v>106</v>
      </c>
      <c r="E15" s="29">
        <v>292.5</v>
      </c>
      <c r="F15" s="28" t="s">
        <v>94</v>
      </c>
      <c r="G15" s="28" t="s">
        <v>41</v>
      </c>
      <c r="H15" s="28" t="s">
        <v>36</v>
      </c>
      <c r="I15" s="3"/>
      <c r="J15" s="30">
        <v>2590683.2800000007</v>
      </c>
      <c r="K15" s="30">
        <v>3006314.9100000011</v>
      </c>
      <c r="L15" s="30">
        <v>3098160</v>
      </c>
      <c r="M15" s="34"/>
      <c r="N15" s="31">
        <v>1957116.15450181</v>
      </c>
      <c r="O15" s="31">
        <v>1659059.1517501699</v>
      </c>
      <c r="P15" s="31">
        <v>2024680.4370008199</v>
      </c>
      <c r="Q15" s="31">
        <v>1717558.53750149</v>
      </c>
      <c r="R15" s="31">
        <v>1683335.6280042999</v>
      </c>
      <c r="S15" s="31">
        <v>1729259.99913525</v>
      </c>
      <c r="T15" s="31">
        <v>2168594.9988339902</v>
      </c>
      <c r="U15" s="31">
        <v>2444802</v>
      </c>
      <c r="V15" s="31">
        <v>2314262</v>
      </c>
      <c r="W15" s="31">
        <v>2380950.0699999984</v>
      </c>
      <c r="X15" s="31">
        <v>2495610.0999999987</v>
      </c>
      <c r="Y15" s="31">
        <v>2433015.0299999989</v>
      </c>
      <c r="Z15" s="31">
        <v>2216047.1187288403</v>
      </c>
      <c r="AA15" s="2"/>
      <c r="AB15" s="30">
        <v>2206137.4795674537</v>
      </c>
      <c r="AC15" s="30">
        <v>2091532.9351743395</v>
      </c>
      <c r="AD15" s="30">
        <v>2091532.9351743395</v>
      </c>
      <c r="AF15" s="32">
        <f t="shared" si="6"/>
        <v>3071529.2489529978</v>
      </c>
      <c r="AG15" s="30">
        <v>3218507.7704711817</v>
      </c>
      <c r="AH15" s="30">
        <v>2896656.993424064</v>
      </c>
      <c r="AI15" s="30">
        <v>3099422.9829637483</v>
      </c>
      <c r="AK15" s="30">
        <v>10434.782608695652</v>
      </c>
      <c r="AL15" s="33">
        <v>8403</v>
      </c>
      <c r="AM15" s="33">
        <v>9114</v>
      </c>
      <c r="AO15" s="30">
        <v>3052173.913043478</v>
      </c>
      <c r="AP15" s="33">
        <f t="shared" si="8"/>
        <v>2457877.5</v>
      </c>
      <c r="AQ15" s="33">
        <f t="shared" si="9"/>
        <v>2665845</v>
      </c>
      <c r="AR15" s="40"/>
    </row>
    <row r="16" spans="1:46" ht="24" x14ac:dyDescent="0.25">
      <c r="A16" s="28" t="s">
        <v>107</v>
      </c>
      <c r="B16" s="28">
        <v>4011000160</v>
      </c>
      <c r="C16" s="28">
        <v>798</v>
      </c>
      <c r="D16" s="28" t="s">
        <v>108</v>
      </c>
      <c r="E16" s="29">
        <v>292.2</v>
      </c>
      <c r="F16" s="28" t="s">
        <v>94</v>
      </c>
      <c r="G16" s="28" t="s">
        <v>41</v>
      </c>
      <c r="H16" s="28" t="s">
        <v>37</v>
      </c>
      <c r="I16" s="3"/>
      <c r="J16" s="30">
        <v>1314899.639999999</v>
      </c>
      <c r="K16" s="30">
        <v>1461000.2699999996</v>
      </c>
      <c r="L16" s="30">
        <v>1391456.4</v>
      </c>
      <c r="M16" s="34"/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775206.59999997902</v>
      </c>
      <c r="U16" s="31">
        <v>709460</v>
      </c>
      <c r="V16" s="31">
        <v>598134</v>
      </c>
      <c r="W16" s="31">
        <v>586445.44000000076</v>
      </c>
      <c r="X16" s="31">
        <v>757382.39999999991</v>
      </c>
      <c r="Y16" s="31">
        <v>866665.19999999925</v>
      </c>
      <c r="Z16" s="31">
        <v>748461.85542000132</v>
      </c>
      <c r="AA16" s="34"/>
      <c r="AB16" s="30">
        <v>800000</v>
      </c>
      <c r="AC16" s="30">
        <v>800000</v>
      </c>
      <c r="AD16" s="30">
        <v>800000</v>
      </c>
      <c r="AF16" s="32">
        <f t="shared" si="6"/>
        <v>1592119.9846860897</v>
      </c>
      <c r="AG16" s="30">
        <v>1592119.9846860897</v>
      </c>
      <c r="AH16" s="30">
        <v>1544356.3851455068</v>
      </c>
      <c r="AI16" s="30">
        <v>1639883.5842266725</v>
      </c>
      <c r="AK16" s="30">
        <v>6451.3274988756257</v>
      </c>
      <c r="AL16" s="33">
        <v>5932</v>
      </c>
      <c r="AM16" s="33">
        <v>6013</v>
      </c>
      <c r="AO16" s="30">
        <v>1885077.8951714577</v>
      </c>
      <c r="AP16" s="33">
        <f t="shared" si="8"/>
        <v>1733330.4</v>
      </c>
      <c r="AQ16" s="33">
        <f t="shared" si="9"/>
        <v>1756998.5999999999</v>
      </c>
      <c r="AR16" s="40"/>
    </row>
    <row r="17" spans="1:44" ht="24" x14ac:dyDescent="0.25">
      <c r="A17" s="28" t="s">
        <v>107</v>
      </c>
      <c r="B17" s="28">
        <v>4011000161</v>
      </c>
      <c r="C17" s="28">
        <v>799</v>
      </c>
      <c r="D17" s="28" t="s">
        <v>109</v>
      </c>
      <c r="E17" s="29">
        <v>225</v>
      </c>
      <c r="F17" s="28" t="s">
        <v>94</v>
      </c>
      <c r="G17" s="28" t="s">
        <v>41</v>
      </c>
      <c r="H17" s="28" t="s">
        <v>37</v>
      </c>
      <c r="I17" s="3"/>
      <c r="J17" s="30">
        <v>450000.26000000007</v>
      </c>
      <c r="K17" s="30">
        <v>270000.18000000005</v>
      </c>
      <c r="L17" s="30">
        <v>257175</v>
      </c>
      <c r="M17" s="34"/>
      <c r="N17" s="31">
        <v>0</v>
      </c>
      <c r="O17" s="31">
        <v>0</v>
      </c>
      <c r="P17" s="31">
        <v>0</v>
      </c>
      <c r="Q17" s="31">
        <v>0</v>
      </c>
      <c r="R17" s="31">
        <v>0</v>
      </c>
      <c r="S17" s="31">
        <v>0</v>
      </c>
      <c r="T17" s="31">
        <v>126900</v>
      </c>
      <c r="U17" s="31">
        <v>55352</v>
      </c>
      <c r="V17" s="31">
        <v>36900</v>
      </c>
      <c r="W17" s="31">
        <v>31274.990000000009</v>
      </c>
      <c r="X17" s="31">
        <v>40500</v>
      </c>
      <c r="Y17" s="31">
        <v>42975</v>
      </c>
      <c r="Z17" s="31">
        <v>44938.089473684209</v>
      </c>
      <c r="AA17" s="34"/>
      <c r="AB17" s="30">
        <v>266666.66666666669</v>
      </c>
      <c r="AC17" s="30">
        <v>266666.66666666669</v>
      </c>
      <c r="AD17" s="30">
        <v>266666.66666666669</v>
      </c>
      <c r="AF17" s="32">
        <f t="shared" si="6"/>
        <v>246990.11428642482</v>
      </c>
      <c r="AG17" s="30">
        <v>246990.11428642482</v>
      </c>
      <c r="AH17" s="30">
        <v>239580.41085783206</v>
      </c>
      <c r="AI17" s="30">
        <v>254399.81771501762</v>
      </c>
      <c r="AK17" s="30">
        <v>368.64728565003577</v>
      </c>
      <c r="AL17" s="33">
        <v>395</v>
      </c>
      <c r="AM17" s="33">
        <v>401</v>
      </c>
      <c r="AO17" s="30">
        <v>82945.639271258042</v>
      </c>
      <c r="AP17" s="33">
        <f t="shared" si="8"/>
        <v>88875</v>
      </c>
      <c r="AQ17" s="33">
        <f t="shared" si="9"/>
        <v>90225</v>
      </c>
      <c r="AR17" s="40"/>
    </row>
    <row r="18" spans="1:44" ht="24" x14ac:dyDescent="0.25">
      <c r="A18" s="28" t="s">
        <v>107</v>
      </c>
      <c r="B18" s="28">
        <v>4011000164</v>
      </c>
      <c r="C18" s="28">
        <v>800</v>
      </c>
      <c r="D18" s="28" t="s">
        <v>110</v>
      </c>
      <c r="E18" s="29">
        <v>82.46</v>
      </c>
      <c r="F18" s="28" t="s">
        <v>94</v>
      </c>
      <c r="G18" s="28" t="s">
        <v>41</v>
      </c>
      <c r="H18" s="28" t="s">
        <v>37</v>
      </c>
      <c r="I18" s="3"/>
      <c r="J18" s="30">
        <v>247379.98000000004</v>
      </c>
      <c r="K18" s="30">
        <v>371070.03999999963</v>
      </c>
      <c r="L18" s="30">
        <v>353423.56</v>
      </c>
      <c r="M18" s="34"/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142325.96000000101</v>
      </c>
      <c r="U18" s="31">
        <v>231773</v>
      </c>
      <c r="V18" s="31">
        <v>180010</v>
      </c>
      <c r="W18" s="31">
        <v>295784.0300000002</v>
      </c>
      <c r="X18" s="31">
        <v>430523.70000000059</v>
      </c>
      <c r="Y18" s="31">
        <v>312935.72000000009</v>
      </c>
      <c r="Z18" s="31">
        <v>219728.08394147371</v>
      </c>
      <c r="AA18" s="34"/>
      <c r="AB18" s="30">
        <v>266666.66666666669</v>
      </c>
      <c r="AC18" s="30">
        <v>266666.66666666669</v>
      </c>
      <c r="AD18" s="30">
        <v>266666.66666666669</v>
      </c>
      <c r="AF18" s="32">
        <f t="shared" si="6"/>
        <v>461006.50982748531</v>
      </c>
      <c r="AG18" s="30">
        <v>461006.50982748531</v>
      </c>
      <c r="AH18" s="30">
        <v>447176.3145326607</v>
      </c>
      <c r="AI18" s="30">
        <v>474836.70512230991</v>
      </c>
      <c r="AK18" s="30">
        <v>6451.3274988756257</v>
      </c>
      <c r="AL18" s="33">
        <v>5932</v>
      </c>
      <c r="AM18" s="33">
        <v>6013</v>
      </c>
      <c r="AO18" s="30">
        <v>531976.46555728407</v>
      </c>
      <c r="AP18" s="33">
        <f t="shared" si="8"/>
        <v>489152.72</v>
      </c>
      <c r="AQ18" s="33">
        <f t="shared" si="9"/>
        <v>495831.98</v>
      </c>
      <c r="AR18" s="40"/>
    </row>
    <row r="19" spans="1:44" ht="24" x14ac:dyDescent="0.25">
      <c r="A19" s="28" t="s">
        <v>38</v>
      </c>
      <c r="B19" s="28">
        <v>325054</v>
      </c>
      <c r="C19" s="28">
        <v>523</v>
      </c>
      <c r="D19" s="28" t="s">
        <v>39</v>
      </c>
      <c r="E19" s="29">
        <v>751.88</v>
      </c>
      <c r="F19" s="28" t="s">
        <v>40</v>
      </c>
      <c r="G19" s="28" t="s">
        <v>41</v>
      </c>
      <c r="H19" s="28" t="s">
        <v>36</v>
      </c>
      <c r="I19" s="3"/>
      <c r="J19" s="30">
        <v>8387540.8199999984</v>
      </c>
      <c r="K19" s="30">
        <v>8387972.8700000001</v>
      </c>
      <c r="L19" s="30">
        <v>8387221.4000000004</v>
      </c>
      <c r="M19" s="34"/>
      <c r="N19" s="31">
        <v>5832333.1399999904</v>
      </c>
      <c r="O19" s="31">
        <v>9031582.5199999902</v>
      </c>
      <c r="P19" s="31">
        <v>9501507.5199999996</v>
      </c>
      <c r="Q19" s="31">
        <v>6863912.5599999996</v>
      </c>
      <c r="R19" s="31">
        <v>6148874.6200029301</v>
      </c>
      <c r="S19" s="31">
        <v>5873686.5393905099</v>
      </c>
      <c r="T19" s="31">
        <v>7060905.03997848</v>
      </c>
      <c r="U19" s="31">
        <v>8609780</v>
      </c>
      <c r="V19" s="31">
        <v>8341356</v>
      </c>
      <c r="W19" s="31">
        <v>7845867.7999999942</v>
      </c>
      <c r="X19" s="31">
        <v>9341357.1700000018</v>
      </c>
      <c r="Y19" s="31">
        <v>14745118.689999999</v>
      </c>
      <c r="Z19" s="31">
        <v>7657373.2693080567</v>
      </c>
      <c r="AA19" s="2"/>
      <c r="AB19" s="30">
        <v>7798644.451315592</v>
      </c>
      <c r="AC19" s="30">
        <v>7430783.8639893848</v>
      </c>
      <c r="AD19" s="30">
        <v>7467569.9227220044</v>
      </c>
      <c r="AF19" s="32">
        <v>8235732.91438735</v>
      </c>
      <c r="AG19" s="30">
        <v>8629828.4118623994</v>
      </c>
      <c r="AH19" s="30">
        <v>7766845.5706761591</v>
      </c>
      <c r="AI19" s="30">
        <v>8310524.7606234904</v>
      </c>
      <c r="AJ19" s="35"/>
      <c r="AK19" s="30">
        <v>10449.291015604591</v>
      </c>
      <c r="AL19" s="33">
        <v>10330</v>
      </c>
      <c r="AM19" s="33">
        <v>11024</v>
      </c>
      <c r="AO19" s="30">
        <v>7856612.9288127795</v>
      </c>
      <c r="AP19" s="33">
        <f t="shared" si="8"/>
        <v>7766920.4000000004</v>
      </c>
      <c r="AQ19" s="33">
        <f t="shared" si="9"/>
        <v>8288725.1200000001</v>
      </c>
    </row>
    <row r="20" spans="1:44" ht="36" x14ac:dyDescent="0.25">
      <c r="A20" s="28" t="s">
        <v>38</v>
      </c>
      <c r="B20" s="28">
        <v>4011000127</v>
      </c>
      <c r="C20" s="28">
        <v>761</v>
      </c>
      <c r="D20" s="28" t="s">
        <v>42</v>
      </c>
      <c r="E20" s="29">
        <v>451.27</v>
      </c>
      <c r="F20" s="28" t="s">
        <v>40</v>
      </c>
      <c r="G20" s="28" t="s">
        <v>41</v>
      </c>
      <c r="H20" s="28" t="s">
        <v>36</v>
      </c>
      <c r="I20" s="3"/>
      <c r="J20" s="30">
        <v>2155265.5599999996</v>
      </c>
      <c r="K20" s="30">
        <v>2155265.4000000004</v>
      </c>
      <c r="L20" s="30">
        <v>2155265.52</v>
      </c>
      <c r="M20" s="34"/>
      <c r="N20" s="31">
        <v>2257252.54</v>
      </c>
      <c r="O20" s="31">
        <v>1909323.37</v>
      </c>
      <c r="P20" s="31">
        <v>2109687.25</v>
      </c>
      <c r="Q20" s="31">
        <v>1315000.78</v>
      </c>
      <c r="R20" s="31">
        <v>1475652.9000013501</v>
      </c>
      <c r="S20" s="31">
        <v>1643976.6098967099</v>
      </c>
      <c r="T20" s="31">
        <v>2274852.0699483599</v>
      </c>
      <c r="U20" s="31">
        <v>2480182</v>
      </c>
      <c r="V20" s="31">
        <v>2531624</v>
      </c>
      <c r="W20" s="31">
        <v>2431442.8200000008</v>
      </c>
      <c r="X20" s="31">
        <v>2430991.5500000003</v>
      </c>
      <c r="Y20" s="31">
        <v>2592546.2000000007</v>
      </c>
      <c r="Z20" s="31">
        <v>1832639.9995856844</v>
      </c>
      <c r="AA20" s="2"/>
      <c r="AB20" s="30">
        <v>1814859.4939817172</v>
      </c>
      <c r="AC20" s="30">
        <v>1722129.4468439652</v>
      </c>
      <c r="AD20" s="30">
        <v>1744208.0294958109</v>
      </c>
      <c r="AF20" s="32">
        <v>2203641.1478891317</v>
      </c>
      <c r="AG20" s="30">
        <v>2309089.5716616819</v>
      </c>
      <c r="AH20" s="30">
        <v>2078180.6144955137</v>
      </c>
      <c r="AI20" s="30">
        <v>2223653.2575101997</v>
      </c>
      <c r="AK20" s="30">
        <v>4749.6777343657232</v>
      </c>
      <c r="AL20" s="33">
        <v>4605</v>
      </c>
      <c r="AM20" s="33">
        <v>5011</v>
      </c>
      <c r="AO20" s="30">
        <v>2143387.0711872196</v>
      </c>
      <c r="AP20" s="33">
        <f t="shared" si="8"/>
        <v>2078098.3499999999</v>
      </c>
      <c r="AQ20" s="33">
        <f t="shared" si="9"/>
        <v>2261313.9699999997</v>
      </c>
    </row>
    <row r="21" spans="1:44" ht="36" x14ac:dyDescent="0.25">
      <c r="A21" s="28" t="s">
        <v>43</v>
      </c>
      <c r="B21" s="28">
        <v>314547</v>
      </c>
      <c r="C21" s="28">
        <v>528</v>
      </c>
      <c r="D21" s="28" t="s">
        <v>44</v>
      </c>
      <c r="E21" s="29">
        <v>526.32000000000005</v>
      </c>
      <c r="F21" s="28" t="s">
        <v>40</v>
      </c>
      <c r="G21" s="28" t="s">
        <v>41</v>
      </c>
      <c r="H21" s="28" t="s">
        <v>36</v>
      </c>
      <c r="I21" s="3"/>
      <c r="J21" s="30">
        <v>2600020.7500000005</v>
      </c>
      <c r="K21" s="30">
        <v>2412650.7400000002</v>
      </c>
      <c r="L21" s="30">
        <v>2412650.8800000004</v>
      </c>
      <c r="M21" s="34"/>
      <c r="N21" s="31">
        <v>2501598.96</v>
      </c>
      <c r="O21" s="31">
        <v>2488967.2799999998</v>
      </c>
      <c r="P21" s="31">
        <v>1822119.84</v>
      </c>
      <c r="Q21" s="31">
        <v>2488440.96</v>
      </c>
      <c r="R21" s="31">
        <v>1590012.72</v>
      </c>
      <c r="S21" s="31">
        <v>1266325.92</v>
      </c>
      <c r="T21" s="31">
        <v>2242649.5199748999</v>
      </c>
      <c r="U21" s="31">
        <v>2238965</v>
      </c>
      <c r="V21" s="31">
        <v>2742127</v>
      </c>
      <c r="W21" s="31">
        <v>2409492.9700000007</v>
      </c>
      <c r="X21" s="31">
        <v>1970542.09</v>
      </c>
      <c r="Y21" s="31">
        <v>2076332.3899999997</v>
      </c>
      <c r="Z21" s="31">
        <v>2331017.775393737</v>
      </c>
      <c r="AA21" s="2"/>
      <c r="AB21" s="30">
        <v>2465780.0806997754</v>
      </c>
      <c r="AC21" s="30">
        <v>2260298.4073081273</v>
      </c>
      <c r="AD21" s="30">
        <v>2301394.7419864573</v>
      </c>
      <c r="AF21" s="32">
        <v>2280352.4392884676</v>
      </c>
      <c r="AG21" s="30">
        <v>2389471.6443819078</v>
      </c>
      <c r="AH21" s="30">
        <v>2150524.4799437174</v>
      </c>
      <c r="AI21" s="30">
        <v>2301061.1935397773</v>
      </c>
      <c r="AK21" s="30">
        <v>4297.0737351531452</v>
      </c>
      <c r="AL21" s="33">
        <v>4297</v>
      </c>
      <c r="AM21" s="33">
        <v>4306</v>
      </c>
      <c r="AO21" s="30">
        <v>2261635.8482858036</v>
      </c>
      <c r="AP21" s="33">
        <f t="shared" si="8"/>
        <v>2261597.04</v>
      </c>
      <c r="AQ21" s="33">
        <f t="shared" si="9"/>
        <v>2266333.9200000004</v>
      </c>
    </row>
    <row r="22" spans="1:44" ht="24" x14ac:dyDescent="0.25">
      <c r="A22" s="28" t="s">
        <v>43</v>
      </c>
      <c r="B22" s="28">
        <v>314548</v>
      </c>
      <c r="C22" s="28">
        <v>527</v>
      </c>
      <c r="D22" s="28" t="s">
        <v>45</v>
      </c>
      <c r="E22" s="29">
        <v>977.44</v>
      </c>
      <c r="F22" s="28" t="s">
        <v>40</v>
      </c>
      <c r="G22" s="28" t="s">
        <v>41</v>
      </c>
      <c r="H22" s="28" t="s">
        <v>36</v>
      </c>
      <c r="I22" s="3"/>
      <c r="J22" s="30">
        <v>8201700.049999997</v>
      </c>
      <c r="K22" s="30">
        <v>8680644.6700000055</v>
      </c>
      <c r="L22" s="30">
        <v>8680644.6400000006</v>
      </c>
      <c r="M22" s="34"/>
      <c r="N22" s="31">
        <v>8486964.9039999992</v>
      </c>
      <c r="O22" s="31">
        <v>7294634.7199999997</v>
      </c>
      <c r="P22" s="31">
        <v>8795005.1199999992</v>
      </c>
      <c r="Q22" s="31">
        <v>5956519.3600000003</v>
      </c>
      <c r="R22" s="31">
        <v>8347337.5999999996</v>
      </c>
      <c r="S22" s="31">
        <v>5070958.72</v>
      </c>
      <c r="T22" s="31">
        <v>7135312</v>
      </c>
      <c r="U22" s="31">
        <v>9194778</v>
      </c>
      <c r="V22" s="31">
        <v>8653277</v>
      </c>
      <c r="W22" s="31">
        <v>11659881.74</v>
      </c>
      <c r="X22" s="31">
        <v>6549825.4099999974</v>
      </c>
      <c r="Y22" s="31">
        <v>7525310.5399999963</v>
      </c>
      <c r="Z22" s="31">
        <v>5150529.2603907362</v>
      </c>
      <c r="AA22" s="2"/>
      <c r="AB22" s="30">
        <v>7785722.375786311</v>
      </c>
      <c r="AC22" s="30">
        <v>7126461.4260064922</v>
      </c>
      <c r="AD22" s="30">
        <v>7269563.0610668631</v>
      </c>
      <c r="AF22" s="32">
        <v>8306349.2519648671</v>
      </c>
      <c r="AG22" s="30">
        <v>8703823.8756180927</v>
      </c>
      <c r="AH22" s="30">
        <v>7833441.4880562834</v>
      </c>
      <c r="AI22" s="30">
        <v>8381782.3922202243</v>
      </c>
      <c r="AK22" s="30">
        <v>8428.5113681803432</v>
      </c>
      <c r="AL22" s="33">
        <v>8429</v>
      </c>
      <c r="AM22" s="33">
        <v>8447</v>
      </c>
      <c r="AO22" s="30">
        <v>8238364.1517141955</v>
      </c>
      <c r="AP22" s="33">
        <f t="shared" si="8"/>
        <v>8238841.7600000007</v>
      </c>
      <c r="AQ22" s="33">
        <f t="shared" si="9"/>
        <v>8256435.6800000006</v>
      </c>
    </row>
    <row r="23" spans="1:44" ht="36" x14ac:dyDescent="0.25">
      <c r="A23" s="28" t="s">
        <v>46</v>
      </c>
      <c r="B23" s="28">
        <v>321870</v>
      </c>
      <c r="C23" s="28">
        <v>538</v>
      </c>
      <c r="D23" s="28" t="s">
        <v>47</v>
      </c>
      <c r="E23" s="29">
        <v>90.23</v>
      </c>
      <c r="F23" s="28" t="s">
        <v>40</v>
      </c>
      <c r="G23" s="28" t="s">
        <v>41</v>
      </c>
      <c r="H23" s="28" t="s">
        <v>36</v>
      </c>
      <c r="I23" s="3"/>
      <c r="J23" s="30">
        <v>1874600.4700000002</v>
      </c>
      <c r="K23" s="30">
        <v>1718791.28</v>
      </c>
      <c r="L23" s="30">
        <v>1714370</v>
      </c>
      <c r="M23" s="34"/>
      <c r="N23" s="31">
        <v>724998.05000208504</v>
      </c>
      <c r="O23" s="31">
        <v>833454.51000127697</v>
      </c>
      <c r="P23" s="31">
        <v>1175516.44000225</v>
      </c>
      <c r="Q23" s="31">
        <v>1007147.2600054099</v>
      </c>
      <c r="R23" s="31">
        <v>1044412.25000271</v>
      </c>
      <c r="S23" s="31">
        <v>1514059.3996902099</v>
      </c>
      <c r="T23" s="31">
        <v>2774752.9593115202</v>
      </c>
      <c r="U23" s="31">
        <v>2148015</v>
      </c>
      <c r="V23" s="31">
        <v>1272062</v>
      </c>
      <c r="W23" s="31">
        <v>1075902.5400000007</v>
      </c>
      <c r="X23" s="31">
        <v>1273776.93</v>
      </c>
      <c r="Y23" s="31">
        <v>1048833.53</v>
      </c>
      <c r="Z23" s="31">
        <v>843991.59554163273</v>
      </c>
      <c r="AA23" s="2"/>
      <c r="AB23" s="30">
        <v>1205344.7878029861</v>
      </c>
      <c r="AC23" s="30">
        <v>1205344.7878029861</v>
      </c>
      <c r="AD23" s="30">
        <v>1068373.7891890104</v>
      </c>
      <c r="AF23" s="32">
        <v>1581283.7934809607</v>
      </c>
      <c r="AG23" s="30">
        <v>1656951.2331270981</v>
      </c>
      <c r="AH23" s="30">
        <v>1491256.1098143882</v>
      </c>
      <c r="AI23" s="30">
        <v>1595644.0375013954</v>
      </c>
      <c r="AJ23" s="35"/>
      <c r="AK23" s="30">
        <v>18364</v>
      </c>
      <c r="AL23" s="33">
        <v>11550</v>
      </c>
      <c r="AM23" s="33">
        <v>12101</v>
      </c>
      <c r="AO23" s="30">
        <v>1656983.72</v>
      </c>
      <c r="AP23" s="33">
        <f t="shared" si="8"/>
        <v>1042156.5</v>
      </c>
      <c r="AQ23" s="33">
        <f t="shared" si="9"/>
        <v>1091873.23</v>
      </c>
    </row>
    <row r="24" spans="1:44" ht="36" x14ac:dyDescent="0.25">
      <c r="A24" s="28" t="s">
        <v>46</v>
      </c>
      <c r="B24" s="28">
        <v>321871</v>
      </c>
      <c r="C24" s="28">
        <v>540</v>
      </c>
      <c r="D24" s="28" t="s">
        <v>48</v>
      </c>
      <c r="E24" s="29">
        <v>315.79000000000002</v>
      </c>
      <c r="F24" s="28" t="s">
        <v>40</v>
      </c>
      <c r="G24" s="28" t="s">
        <v>41</v>
      </c>
      <c r="H24" s="28" t="s">
        <v>36</v>
      </c>
      <c r="I24" s="3"/>
      <c r="J24" s="30">
        <v>3643194.28</v>
      </c>
      <c r="K24" s="30">
        <v>3288637.1199999992</v>
      </c>
      <c r="L24" s="30">
        <v>3284216</v>
      </c>
      <c r="M24" s="34"/>
      <c r="N24" s="31">
        <v>2419582.9800006198</v>
      </c>
      <c r="O24" s="31">
        <v>2483356.7705031498</v>
      </c>
      <c r="P24" s="31">
        <v>3231794.8600022201</v>
      </c>
      <c r="Q24" s="31">
        <v>2716425.5800075801</v>
      </c>
      <c r="R24" s="31">
        <v>2765373.0300009502</v>
      </c>
      <c r="S24" s="31">
        <v>4281480.8195483303</v>
      </c>
      <c r="T24" s="31">
        <v>7113169.7486750698</v>
      </c>
      <c r="U24" s="31">
        <v>6473398</v>
      </c>
      <c r="V24" s="31">
        <v>3597795</v>
      </c>
      <c r="W24" s="31">
        <v>3164847.3900000048</v>
      </c>
      <c r="X24" s="31">
        <v>3823585.3500000052</v>
      </c>
      <c r="Y24" s="31">
        <v>3621479.7900000066</v>
      </c>
      <c r="Z24" s="31">
        <v>2743067.6505117873</v>
      </c>
      <c r="AA24" s="2"/>
      <c r="AB24" s="30">
        <v>3131921.4022875787</v>
      </c>
      <c r="AC24" s="30">
        <v>3131921.4022875787</v>
      </c>
      <c r="AD24" s="30">
        <v>2780379.2040716261</v>
      </c>
      <c r="AF24" s="32">
        <v>3384560.5200710543</v>
      </c>
      <c r="AG24" s="30">
        <v>3546518.1837978214</v>
      </c>
      <c r="AH24" s="30">
        <v>3191866.3654180393</v>
      </c>
      <c r="AI24" s="30">
        <v>3415297.0109973024</v>
      </c>
      <c r="AK24" s="30">
        <v>11231</v>
      </c>
      <c r="AL24" s="33">
        <v>11550</v>
      </c>
      <c r="AM24" s="33">
        <v>12101</v>
      </c>
      <c r="AO24" s="30">
        <v>3546637.49</v>
      </c>
      <c r="AP24" s="33">
        <f t="shared" si="8"/>
        <v>3647374.5000000005</v>
      </c>
      <c r="AQ24" s="33">
        <f t="shared" si="9"/>
        <v>3821374.79</v>
      </c>
    </row>
    <row r="25" spans="1:44" ht="24" x14ac:dyDescent="0.25">
      <c r="A25" s="28" t="s">
        <v>49</v>
      </c>
      <c r="B25" s="28">
        <v>341324</v>
      </c>
      <c r="C25" s="28">
        <v>559</v>
      </c>
      <c r="D25" s="28" t="s">
        <v>50</v>
      </c>
      <c r="E25" s="29">
        <v>184.21</v>
      </c>
      <c r="F25" s="28" t="s">
        <v>40</v>
      </c>
      <c r="G25" s="28" t="s">
        <v>41</v>
      </c>
      <c r="H25" s="28" t="s">
        <v>36</v>
      </c>
      <c r="I25" s="3"/>
      <c r="J25" s="30">
        <v>2749724.4099999988</v>
      </c>
      <c r="K25" s="30">
        <v>2816570.7600000002</v>
      </c>
      <c r="L25" s="30">
        <v>2883991.7600000002</v>
      </c>
      <c r="M25" s="34"/>
      <c r="N25" s="31">
        <v>1494125.28369084</v>
      </c>
      <c r="O25" s="31">
        <v>1832705.0136849601</v>
      </c>
      <c r="P25" s="31">
        <v>2279782.5731604798</v>
      </c>
      <c r="Q25" s="31">
        <v>1772284.1152661601</v>
      </c>
      <c r="R25" s="31">
        <v>1605942.5036877701</v>
      </c>
      <c r="S25" s="31">
        <v>1423206.45986469</v>
      </c>
      <c r="T25" s="31">
        <v>2009731.0997592299</v>
      </c>
      <c r="U25" s="31">
        <v>2224525</v>
      </c>
      <c r="V25" s="31">
        <v>1751652</v>
      </c>
      <c r="W25" s="31">
        <v>2267809.4000000027</v>
      </c>
      <c r="X25" s="31">
        <v>2971491.61</v>
      </c>
      <c r="Y25" s="31">
        <v>2691492.379999999</v>
      </c>
      <c r="Z25" s="31">
        <v>2213610.8584611034</v>
      </c>
      <c r="AA25" s="2"/>
      <c r="AB25" s="30">
        <v>2195708.6936201425</v>
      </c>
      <c r="AC25" s="30">
        <v>2066549.3587013106</v>
      </c>
      <c r="AD25" s="30">
        <v>2110188.6442550407</v>
      </c>
      <c r="AF25" s="32">
        <v>2683532.3001853009</v>
      </c>
      <c r="AG25" s="30">
        <v>2811944.4291148805</v>
      </c>
      <c r="AH25" s="30">
        <v>2530749.9862033925</v>
      </c>
      <c r="AI25" s="30">
        <v>2707902.4852376301</v>
      </c>
      <c r="AK25" s="30">
        <v>14700</v>
      </c>
      <c r="AL25" s="33">
        <v>14175</v>
      </c>
      <c r="AM25" s="33">
        <v>15784</v>
      </c>
      <c r="AO25" s="30">
        <v>2707887</v>
      </c>
      <c r="AP25" s="33">
        <f t="shared" si="8"/>
        <v>2611176.75</v>
      </c>
      <c r="AQ25" s="33">
        <f t="shared" si="9"/>
        <v>2907570.64</v>
      </c>
    </row>
    <row r="26" spans="1:44" ht="36" x14ac:dyDescent="0.25">
      <c r="A26" s="28" t="s">
        <v>49</v>
      </c>
      <c r="B26" s="28">
        <v>341325</v>
      </c>
      <c r="C26" s="28">
        <v>563</v>
      </c>
      <c r="D26" s="28" t="s">
        <v>51</v>
      </c>
      <c r="E26" s="29">
        <v>563.91</v>
      </c>
      <c r="F26" s="28" t="s">
        <v>40</v>
      </c>
      <c r="G26" s="28" t="s">
        <v>41</v>
      </c>
      <c r="H26" s="28" t="s">
        <v>36</v>
      </c>
      <c r="I26" s="3"/>
      <c r="J26" s="30">
        <v>2061801.1900000009</v>
      </c>
      <c r="K26" s="30">
        <v>2172180.9299999983</v>
      </c>
      <c r="L26" s="30">
        <v>2287218.96</v>
      </c>
      <c r="M26" s="34"/>
      <c r="N26" s="31">
        <v>1596417.5934551</v>
      </c>
      <c r="O26" s="31">
        <v>1708647.07443596</v>
      </c>
      <c r="P26" s="31">
        <v>1800564.5172182301</v>
      </c>
      <c r="Q26" s="31">
        <v>1525376.43721801</v>
      </c>
      <c r="R26" s="31">
        <v>1530451.1760906801</v>
      </c>
      <c r="S26" s="31">
        <v>1555263.77993544</v>
      </c>
      <c r="T26" s="31">
        <v>2327820.4798762798</v>
      </c>
      <c r="U26" s="31">
        <v>2533094</v>
      </c>
      <c r="V26" s="31">
        <v>2020490</v>
      </c>
      <c r="W26" s="31">
        <v>2100000.8800000013</v>
      </c>
      <c r="X26" s="31">
        <v>2242106.2599999993</v>
      </c>
      <c r="Y26" s="31">
        <v>2125940.739999997</v>
      </c>
      <c r="Z26" s="31">
        <v>1729760.53506821</v>
      </c>
      <c r="AA26" s="2"/>
      <c r="AB26" s="30">
        <v>1967729.9640086372</v>
      </c>
      <c r="AC26" s="30">
        <v>1858411.632674824</v>
      </c>
      <c r="AD26" s="30">
        <v>1886229.311798475</v>
      </c>
      <c r="AF26" s="32">
        <v>2282439.4938674495</v>
      </c>
      <c r="AG26" s="30">
        <v>2391658.5684954063</v>
      </c>
      <c r="AH26" s="30">
        <v>2152492.7116458658</v>
      </c>
      <c r="AI26" s="30">
        <v>2303167.2014610763</v>
      </c>
      <c r="AK26" s="30">
        <v>4084</v>
      </c>
      <c r="AL26" s="33">
        <v>3990</v>
      </c>
      <c r="AM26" s="33">
        <v>4419</v>
      </c>
      <c r="AO26" s="30">
        <v>2303008.44</v>
      </c>
      <c r="AP26" s="33">
        <f t="shared" si="8"/>
        <v>2250000.9</v>
      </c>
      <c r="AQ26" s="33">
        <f t="shared" si="9"/>
        <v>2491918.29</v>
      </c>
    </row>
    <row r="27" spans="1:44" ht="36" x14ac:dyDescent="0.25">
      <c r="A27" s="28" t="s">
        <v>49</v>
      </c>
      <c r="B27" s="28">
        <v>341326</v>
      </c>
      <c r="C27" s="28">
        <v>565</v>
      </c>
      <c r="D27" s="28" t="s">
        <v>52</v>
      </c>
      <c r="E27" s="29">
        <v>721.8</v>
      </c>
      <c r="F27" s="28" t="s">
        <v>40</v>
      </c>
      <c r="G27" s="28" t="s">
        <v>41</v>
      </c>
      <c r="H27" s="28" t="s">
        <v>36</v>
      </c>
      <c r="I27" s="3"/>
      <c r="J27" s="30">
        <v>15766016.209999995</v>
      </c>
      <c r="K27" s="30">
        <v>16093253.940000005</v>
      </c>
      <c r="L27" s="30">
        <v>16421671.799999999</v>
      </c>
      <c r="M27" s="34"/>
      <c r="N27" s="31">
        <v>13414615.4664058</v>
      </c>
      <c r="O27" s="31">
        <v>13248528.8533211</v>
      </c>
      <c r="P27" s="31">
        <v>13422547.5431449</v>
      </c>
      <c r="Q27" s="31">
        <v>13456515.306787301</v>
      </c>
      <c r="R27" s="31">
        <v>11347416.067683799</v>
      </c>
      <c r="S27" s="31">
        <v>11114998.1992155</v>
      </c>
      <c r="T27" s="31">
        <v>16063658.9975853</v>
      </c>
      <c r="U27" s="31">
        <v>18563972</v>
      </c>
      <c r="V27" s="31">
        <v>14849594</v>
      </c>
      <c r="W27" s="31">
        <v>15525196.250000011</v>
      </c>
      <c r="X27" s="31">
        <v>16818661.780000005</v>
      </c>
      <c r="Y27" s="31">
        <v>16919713.809999991</v>
      </c>
      <c r="Z27" s="31">
        <v>14377695.99897453</v>
      </c>
      <c r="AA27" s="2"/>
      <c r="AB27" s="30">
        <v>15486891.427096732</v>
      </c>
      <c r="AC27" s="30">
        <v>14578774.203135261</v>
      </c>
      <c r="AD27" s="30">
        <v>14867706.110765574</v>
      </c>
      <c r="AF27" s="32">
        <v>16454005.569274925</v>
      </c>
      <c r="AG27" s="30">
        <v>17241361.057570651</v>
      </c>
      <c r="AH27" s="30">
        <v>15517224.951813586</v>
      </c>
      <c r="AI27" s="30">
        <v>16603430.698440539</v>
      </c>
      <c r="AK27" s="30">
        <v>23400</v>
      </c>
      <c r="AL27" s="33">
        <v>24150</v>
      </c>
      <c r="AM27" s="33">
        <v>25780</v>
      </c>
      <c r="AO27" s="30">
        <v>16890120</v>
      </c>
      <c r="AP27" s="33">
        <f t="shared" si="8"/>
        <v>17431470</v>
      </c>
      <c r="AQ27" s="33">
        <f t="shared" si="9"/>
        <v>18608004</v>
      </c>
    </row>
    <row r="28" spans="1:44" ht="24" x14ac:dyDescent="0.25">
      <c r="A28" s="28" t="s">
        <v>49</v>
      </c>
      <c r="B28" s="28">
        <v>341327</v>
      </c>
      <c r="C28" s="28">
        <v>561</v>
      </c>
      <c r="D28" s="28" t="s">
        <v>53</v>
      </c>
      <c r="E28" s="29">
        <v>812.03</v>
      </c>
      <c r="F28" s="28" t="s">
        <v>40</v>
      </c>
      <c r="G28" s="28" t="s">
        <v>41</v>
      </c>
      <c r="H28" s="28" t="s">
        <v>36</v>
      </c>
      <c r="I28" s="3"/>
      <c r="J28" s="30">
        <v>2766597.3400000008</v>
      </c>
      <c r="K28" s="30">
        <v>2786887.0099999993</v>
      </c>
      <c r="L28" s="30">
        <v>2805563.65</v>
      </c>
      <c r="M28" s="34"/>
      <c r="N28" s="31">
        <v>2138869.6425596601</v>
      </c>
      <c r="O28" s="31">
        <v>2103968.8367670402</v>
      </c>
      <c r="P28" s="31">
        <v>3517696.1765439902</v>
      </c>
      <c r="Q28" s="31">
        <v>2443397.4579738998</v>
      </c>
      <c r="R28" s="31">
        <v>2162434.7531584902</v>
      </c>
      <c r="S28" s="31">
        <v>2033323.1195431401</v>
      </c>
      <c r="T28" s="31">
        <v>2814495.9792255498</v>
      </c>
      <c r="U28" s="31">
        <v>3176623</v>
      </c>
      <c r="V28" s="31">
        <v>2559518</v>
      </c>
      <c r="W28" s="31">
        <v>2698375.7799999989</v>
      </c>
      <c r="X28" s="31">
        <v>2675638.9500000007</v>
      </c>
      <c r="Y28" s="31">
        <v>2648029.8800000008</v>
      </c>
      <c r="Z28" s="31">
        <v>2363810.8635187978</v>
      </c>
      <c r="AA28" s="2"/>
      <c r="AB28" s="30">
        <v>2649923.5646262481</v>
      </c>
      <c r="AC28" s="30">
        <v>2491719.1727082632</v>
      </c>
      <c r="AD28" s="30">
        <v>2323961.1365427952</v>
      </c>
      <c r="AF28" s="32">
        <v>2815593.7777295434</v>
      </c>
      <c r="AG28" s="30">
        <v>2950325.2997515299</v>
      </c>
      <c r="AH28" s="30">
        <v>2655292.7697763769</v>
      </c>
      <c r="AI28" s="30">
        <v>2841163.2636607238</v>
      </c>
      <c r="AK28" s="30">
        <v>3499</v>
      </c>
      <c r="AL28" s="33">
        <v>3360</v>
      </c>
      <c r="AM28" s="33">
        <v>3472</v>
      </c>
      <c r="AO28" s="30">
        <v>2841292.9699999997</v>
      </c>
      <c r="AP28" s="33">
        <f t="shared" si="8"/>
        <v>2728420.8</v>
      </c>
      <c r="AQ28" s="33">
        <f t="shared" si="9"/>
        <v>2819368.1599999997</v>
      </c>
    </row>
    <row r="29" spans="1:44" ht="24" x14ac:dyDescent="0.25">
      <c r="A29" s="28" t="s">
        <v>49</v>
      </c>
      <c r="B29" s="28">
        <v>341328</v>
      </c>
      <c r="C29" s="28">
        <v>567</v>
      </c>
      <c r="D29" s="28" t="s">
        <v>54</v>
      </c>
      <c r="E29" s="29">
        <v>184.21</v>
      </c>
      <c r="F29" s="28" t="s">
        <v>40</v>
      </c>
      <c r="G29" s="28" t="s">
        <v>41</v>
      </c>
      <c r="H29" s="28" t="s">
        <v>36</v>
      </c>
      <c r="I29" s="3"/>
      <c r="J29" s="30">
        <v>521498.59999999992</v>
      </c>
      <c r="K29" s="30">
        <v>513761.68000000023</v>
      </c>
      <c r="L29" s="30">
        <v>506209.08</v>
      </c>
      <c r="M29" s="34"/>
      <c r="N29" s="31">
        <v>252367.58947400001</v>
      </c>
      <c r="O29" s="31">
        <v>335630.509474185</v>
      </c>
      <c r="P29" s="31">
        <v>435656.55789499998</v>
      </c>
      <c r="Q29" s="31">
        <v>342998.909474165</v>
      </c>
      <c r="R29" s="31">
        <v>278709.58263199998</v>
      </c>
      <c r="S29" s="31">
        <v>305972.80999824399</v>
      </c>
      <c r="T29" s="31">
        <v>443209.25996310997</v>
      </c>
      <c r="U29" s="31">
        <v>491827</v>
      </c>
      <c r="V29" s="31">
        <v>405630</v>
      </c>
      <c r="W29" s="31">
        <v>509709.11000000045</v>
      </c>
      <c r="X29" s="31">
        <v>642892.99000000057</v>
      </c>
      <c r="Y29" s="31">
        <v>580261.54</v>
      </c>
      <c r="Z29" s="31">
        <v>429231.93698457873</v>
      </c>
      <c r="AA29" s="2"/>
      <c r="AB29" s="30">
        <v>407852.22332166671</v>
      </c>
      <c r="AC29" s="30">
        <v>390119.51795985515</v>
      </c>
      <c r="AD29" s="30">
        <v>390316.37191241578</v>
      </c>
      <c r="AF29" s="32">
        <v>503525.61783499178</v>
      </c>
      <c r="AG29" s="30">
        <v>527620.27715856628</v>
      </c>
      <c r="AH29" s="30">
        <v>474858.24944270967</v>
      </c>
      <c r="AI29" s="30">
        <v>508098.32690369937</v>
      </c>
      <c r="AK29" s="30">
        <v>2758</v>
      </c>
      <c r="AL29" s="33">
        <v>3255</v>
      </c>
      <c r="AM29" s="33">
        <v>3472</v>
      </c>
      <c r="AO29" s="30">
        <v>508051.18</v>
      </c>
      <c r="AP29" s="33">
        <f t="shared" si="8"/>
        <v>599603.55000000005</v>
      </c>
      <c r="AQ29" s="33">
        <f t="shared" si="9"/>
        <v>639577.12</v>
      </c>
    </row>
    <row r="30" spans="1:44" ht="36" x14ac:dyDescent="0.25">
      <c r="A30" s="28" t="s">
        <v>49</v>
      </c>
      <c r="B30" s="28">
        <v>372932</v>
      </c>
      <c r="C30" s="28">
        <v>556</v>
      </c>
      <c r="D30" s="28" t="s">
        <v>55</v>
      </c>
      <c r="E30" s="29">
        <v>112.78</v>
      </c>
      <c r="F30" s="28" t="s">
        <v>40</v>
      </c>
      <c r="G30" s="28" t="s">
        <v>41</v>
      </c>
      <c r="H30" s="28" t="s">
        <v>36</v>
      </c>
      <c r="I30" s="3"/>
      <c r="J30" s="30">
        <v>831075.7699999999</v>
      </c>
      <c r="K30" s="30">
        <v>932126.7200000002</v>
      </c>
      <c r="L30" s="30">
        <v>1045470.6</v>
      </c>
      <c r="M30" s="34"/>
      <c r="N30" s="31">
        <v>436120.26</v>
      </c>
      <c r="O30" s="31">
        <v>590064.96000000101</v>
      </c>
      <c r="P30" s="31">
        <v>557133.19999999995</v>
      </c>
      <c r="Q30" s="31">
        <v>626154.56000000006</v>
      </c>
      <c r="R30" s="31">
        <v>511682.86</v>
      </c>
      <c r="S30" s="31">
        <v>267739.71999999997</v>
      </c>
      <c r="T30" s="31">
        <v>549013.04</v>
      </c>
      <c r="U30" s="31">
        <v>653222</v>
      </c>
      <c r="V30" s="31">
        <v>512247</v>
      </c>
      <c r="W30" s="31">
        <v>830286.39999999967</v>
      </c>
      <c r="X30" s="31">
        <v>585328.16</v>
      </c>
      <c r="Y30" s="31">
        <v>548223.62000000011</v>
      </c>
      <c r="Z30" s="31">
        <v>505310.15850257879</v>
      </c>
      <c r="AA30" s="2"/>
      <c r="AB30" s="30">
        <v>655618.48934560386</v>
      </c>
      <c r="AC30" s="30">
        <v>622837.56487832358</v>
      </c>
      <c r="AD30" s="30">
        <v>636956.43116205919</v>
      </c>
      <c r="AF30" s="32">
        <v>906169.33011804207</v>
      </c>
      <c r="AG30" s="30">
        <v>949531.25754597492</v>
      </c>
      <c r="AH30" s="30">
        <v>854578.13179137744</v>
      </c>
      <c r="AI30" s="30">
        <v>914398.60101677396</v>
      </c>
      <c r="AK30" s="30">
        <v>8108</v>
      </c>
      <c r="AL30" s="33">
        <v>5040</v>
      </c>
      <c r="AM30" s="33">
        <v>5366</v>
      </c>
      <c r="AO30" s="30">
        <v>914420.24</v>
      </c>
      <c r="AP30" s="33">
        <f t="shared" si="8"/>
        <v>568411.19999999995</v>
      </c>
      <c r="AQ30" s="33">
        <f t="shared" si="9"/>
        <v>605177.48</v>
      </c>
    </row>
    <row r="31" spans="1:44" ht="24" x14ac:dyDescent="0.25">
      <c r="A31" s="28" t="s">
        <v>49</v>
      </c>
      <c r="B31" s="28">
        <v>373179</v>
      </c>
      <c r="C31" s="28">
        <v>557</v>
      </c>
      <c r="D31" s="28" t="s">
        <v>56</v>
      </c>
      <c r="E31" s="29">
        <v>225.56</v>
      </c>
      <c r="F31" s="28" t="s">
        <v>40</v>
      </c>
      <c r="G31" s="28" t="s">
        <v>41</v>
      </c>
      <c r="H31" s="28" t="s">
        <v>36</v>
      </c>
      <c r="I31" s="3"/>
      <c r="J31" s="30">
        <v>7429389.4399999985</v>
      </c>
      <c r="K31" s="30">
        <v>7335211.2099999972</v>
      </c>
      <c r="L31" s="30">
        <v>7241378.2400000002</v>
      </c>
      <c r="M31" s="34"/>
      <c r="N31" s="31">
        <v>4361428.0246640099</v>
      </c>
      <c r="O31" s="31">
        <v>10350221.9768</v>
      </c>
      <c r="P31" s="31">
        <v>13907578.48</v>
      </c>
      <c r="Q31" s="31">
        <v>13656079.16</v>
      </c>
      <c r="R31" s="31">
        <v>7270023.2322007399</v>
      </c>
      <c r="S31" s="31">
        <v>3249191.8000000198</v>
      </c>
      <c r="T31" s="31">
        <v>4947884.1598752402</v>
      </c>
      <c r="U31" s="31">
        <v>12996086</v>
      </c>
      <c r="V31" s="31">
        <v>3954518</v>
      </c>
      <c r="W31" s="31">
        <v>4390750.9800000023</v>
      </c>
      <c r="X31" s="31">
        <v>4229250.0000000019</v>
      </c>
      <c r="Y31" s="31">
        <v>7160627.8100000061</v>
      </c>
      <c r="Z31" s="31">
        <v>4505744.3208515337</v>
      </c>
      <c r="AA31" s="2"/>
      <c r="AB31" s="30">
        <v>8798893.8778837044</v>
      </c>
      <c r="AC31" s="30">
        <v>8279101.5705069453</v>
      </c>
      <c r="AD31" s="30">
        <v>8445975.4684112091</v>
      </c>
      <c r="AF31" s="32">
        <v>6850789.9282752937</v>
      </c>
      <c r="AG31" s="30">
        <v>7178613.2674907017</v>
      </c>
      <c r="AH31" s="30">
        <v>6460751.9407416321</v>
      </c>
      <c r="AI31" s="30">
        <v>6913004.5765935471</v>
      </c>
      <c r="AK31" s="30">
        <v>30648</v>
      </c>
      <c r="AL31" s="33">
        <v>22575</v>
      </c>
      <c r="AM31" s="33">
        <v>23149</v>
      </c>
      <c r="AO31" s="30">
        <v>6912962.8799999999</v>
      </c>
      <c r="AP31" s="33">
        <f t="shared" si="8"/>
        <v>5092017</v>
      </c>
      <c r="AQ31" s="33">
        <f t="shared" si="9"/>
        <v>5221488.4400000004</v>
      </c>
    </row>
    <row r="32" spans="1:44" ht="36" x14ac:dyDescent="0.25">
      <c r="A32" s="28" t="s">
        <v>49</v>
      </c>
      <c r="B32" s="28">
        <v>4011000141</v>
      </c>
      <c r="C32" s="28">
        <v>777</v>
      </c>
      <c r="D32" s="28" t="s">
        <v>57</v>
      </c>
      <c r="E32" s="29">
        <v>247.38</v>
      </c>
      <c r="F32" s="28" t="s">
        <v>40</v>
      </c>
      <c r="G32" s="28" t="s">
        <v>41</v>
      </c>
      <c r="H32" s="28" t="s">
        <v>36</v>
      </c>
      <c r="I32" s="3"/>
      <c r="J32" s="30">
        <v>438340.04999999976</v>
      </c>
      <c r="K32" s="30">
        <v>474722.3499999998</v>
      </c>
      <c r="L32" s="30">
        <v>513560.88</v>
      </c>
      <c r="M32" s="34"/>
      <c r="N32" s="31">
        <v>270386.34000049601</v>
      </c>
      <c r="O32" s="31">
        <v>342868.68000000197</v>
      </c>
      <c r="P32" s="31">
        <v>300071.94</v>
      </c>
      <c r="Q32" s="31">
        <v>270138.96000296902</v>
      </c>
      <c r="R32" s="31">
        <v>201862.08</v>
      </c>
      <c r="S32" s="31">
        <v>208788.719992923</v>
      </c>
      <c r="T32" s="31">
        <v>295619.099995283</v>
      </c>
      <c r="U32" s="31">
        <v>343848</v>
      </c>
      <c r="V32" s="31">
        <v>266182</v>
      </c>
      <c r="W32" s="31">
        <v>374780.74000000069</v>
      </c>
      <c r="X32" s="31">
        <v>374285.98000000027</v>
      </c>
      <c r="Y32" s="31">
        <v>338663.28000000038</v>
      </c>
      <c r="Z32" s="31">
        <v>278743.16309268447</v>
      </c>
      <c r="AA32" s="2"/>
      <c r="AB32" s="30">
        <v>353557.97028573265</v>
      </c>
      <c r="AC32" s="30">
        <v>334446.728648666</v>
      </c>
      <c r="AD32" s="30">
        <v>338666.5251524343</v>
      </c>
      <c r="AF32" s="32">
        <v>456042.73864915501</v>
      </c>
      <c r="AG32" s="30">
        <v>477865.25181539124</v>
      </c>
      <c r="AH32" s="30">
        <v>430078.72663385211</v>
      </c>
      <c r="AI32" s="30">
        <v>460184.2374982218</v>
      </c>
      <c r="AK32" s="30">
        <v>1860</v>
      </c>
      <c r="AL32" s="33">
        <v>1365</v>
      </c>
      <c r="AM32" s="33">
        <v>1368</v>
      </c>
      <c r="AO32" s="30">
        <v>460126.8</v>
      </c>
      <c r="AP32" s="33">
        <f t="shared" si="8"/>
        <v>337673.7</v>
      </c>
      <c r="AQ32" s="33">
        <f t="shared" si="9"/>
        <v>338415.83999999997</v>
      </c>
    </row>
    <row r="33" spans="1:43" ht="36" x14ac:dyDescent="0.25">
      <c r="A33" s="28" t="s">
        <v>58</v>
      </c>
      <c r="B33" s="28">
        <v>337429</v>
      </c>
      <c r="C33" s="28">
        <v>570</v>
      </c>
      <c r="D33" s="28" t="s">
        <v>59</v>
      </c>
      <c r="E33" s="29">
        <v>360</v>
      </c>
      <c r="F33" s="28" t="s">
        <v>40</v>
      </c>
      <c r="G33" s="28" t="s">
        <v>41</v>
      </c>
      <c r="H33" s="28" t="s">
        <v>36</v>
      </c>
      <c r="I33" s="3"/>
      <c r="J33" s="30">
        <v>1681265.2999999984</v>
      </c>
      <c r="K33" s="30">
        <v>1608119.7299999993</v>
      </c>
      <c r="L33" s="30">
        <v>1598760</v>
      </c>
      <c r="M33" s="34"/>
      <c r="N33" s="31">
        <v>1349279.8560045401</v>
      </c>
      <c r="O33" s="31">
        <v>1305359.7480001401</v>
      </c>
      <c r="P33" s="31">
        <v>1541879.5680034601</v>
      </c>
      <c r="Q33" s="31">
        <v>1312559.64000583</v>
      </c>
      <c r="R33" s="31">
        <v>1210319.78400497</v>
      </c>
      <c r="S33" s="31">
        <v>1443599.99953308</v>
      </c>
      <c r="T33" s="31">
        <v>1677599.9992652901</v>
      </c>
      <c r="U33" s="31">
        <v>1764004</v>
      </c>
      <c r="V33" s="31">
        <v>1323002</v>
      </c>
      <c r="W33" s="31">
        <v>1387439.9799999995</v>
      </c>
      <c r="X33" s="31">
        <v>1546559.9800000004</v>
      </c>
      <c r="Y33" s="31">
        <v>1445759.9900000002</v>
      </c>
      <c r="Z33" s="31">
        <v>1281634.3117894733</v>
      </c>
      <c r="AA33" s="2"/>
      <c r="AB33" s="30">
        <v>1695091.6105732752</v>
      </c>
      <c r="AC33" s="30">
        <v>1543290.0657846881</v>
      </c>
      <c r="AD33" s="30">
        <v>1557903.1615837368</v>
      </c>
      <c r="AF33" s="32">
        <v>1576721.3189079436</v>
      </c>
      <c r="AG33" s="30">
        <v>1652170.4354606464</v>
      </c>
      <c r="AH33" s="30">
        <v>1486953.3919145816</v>
      </c>
      <c r="AI33" s="30">
        <v>1591040.1293486024</v>
      </c>
      <c r="AK33" s="30">
        <v>5030.7765151515159</v>
      </c>
      <c r="AL33" s="33">
        <v>3990</v>
      </c>
      <c r="AM33" s="33">
        <v>3999</v>
      </c>
      <c r="AO33" s="30">
        <v>1811079.5454545456</v>
      </c>
      <c r="AP33" s="33">
        <f t="shared" si="8"/>
        <v>1436400</v>
      </c>
      <c r="AQ33" s="33">
        <f t="shared" si="9"/>
        <v>1439640</v>
      </c>
    </row>
    <row r="34" spans="1:43" ht="36" x14ac:dyDescent="0.25">
      <c r="A34" s="28" t="s">
        <v>58</v>
      </c>
      <c r="B34" s="28">
        <v>337440</v>
      </c>
      <c r="C34" s="28">
        <v>571</v>
      </c>
      <c r="D34" s="28" t="s">
        <v>60</v>
      </c>
      <c r="E34" s="29">
        <v>674.4</v>
      </c>
      <c r="F34" s="28" t="s">
        <v>40</v>
      </c>
      <c r="G34" s="28" t="s">
        <v>41</v>
      </c>
      <c r="H34" s="28" t="s">
        <v>36</v>
      </c>
      <c r="I34" s="3"/>
      <c r="J34" s="30">
        <v>15401513.310000001</v>
      </c>
      <c r="K34" s="30">
        <v>14692477.750000013</v>
      </c>
      <c r="L34" s="30">
        <v>14647293.6</v>
      </c>
      <c r="M34" s="34"/>
      <c r="N34" s="31">
        <v>14660086.563410999</v>
      </c>
      <c r="O34" s="31">
        <v>12973398.203286201</v>
      </c>
      <c r="P34" s="31">
        <v>14840143.6752232</v>
      </c>
      <c r="Q34" s="31">
        <v>12681415.9140497</v>
      </c>
      <c r="R34" s="31">
        <v>10954271.242114799</v>
      </c>
      <c r="S34" s="31">
        <v>12526979.9951717</v>
      </c>
      <c r="T34" s="31">
        <v>15026306.392451599</v>
      </c>
      <c r="U34" s="31">
        <v>15847038</v>
      </c>
      <c r="V34" s="31">
        <v>12982205</v>
      </c>
      <c r="W34" s="31">
        <v>13249936.809999997</v>
      </c>
      <c r="X34" s="31">
        <v>14947401.599999992</v>
      </c>
      <c r="Y34" s="31">
        <v>14910984.040000012</v>
      </c>
      <c r="Z34" s="31">
        <v>13191074.839002581</v>
      </c>
      <c r="AA34" s="2"/>
      <c r="AB34" s="30">
        <v>15809794.8598064</v>
      </c>
      <c r="AC34" s="30">
        <v>14337211.477505378</v>
      </c>
      <c r="AD34" s="30">
        <v>14327043.984164618</v>
      </c>
      <c r="AF34" s="32">
        <v>14488354.147226617</v>
      </c>
      <c r="AG34" s="30">
        <v>15181649.473167954</v>
      </c>
      <c r="AH34" s="30">
        <v>13663484.525851158</v>
      </c>
      <c r="AI34" s="30">
        <v>14619928.44266074</v>
      </c>
      <c r="AK34" s="30">
        <v>23476.957070707074</v>
      </c>
      <c r="AL34" s="33">
        <v>22050</v>
      </c>
      <c r="AM34" s="33">
        <v>22097</v>
      </c>
      <c r="AO34" s="30">
        <v>15832859.84848485</v>
      </c>
      <c r="AP34" s="33">
        <f t="shared" si="8"/>
        <v>14870520</v>
      </c>
      <c r="AQ34" s="33">
        <f t="shared" si="9"/>
        <v>14902216.799999999</v>
      </c>
    </row>
    <row r="35" spans="1:43" ht="24" x14ac:dyDescent="0.25">
      <c r="A35" s="28" t="s">
        <v>58</v>
      </c>
      <c r="B35" s="28">
        <v>372910</v>
      </c>
      <c r="C35" s="28">
        <v>568</v>
      </c>
      <c r="D35" s="28" t="s">
        <v>61</v>
      </c>
      <c r="E35" s="29">
        <v>52.47</v>
      </c>
      <c r="F35" s="28" t="s">
        <v>40</v>
      </c>
      <c r="G35" s="28" t="s">
        <v>41</v>
      </c>
      <c r="H35" s="28" t="s">
        <v>36</v>
      </c>
      <c r="I35" s="3"/>
      <c r="J35" s="30">
        <v>3411052.350000002</v>
      </c>
      <c r="K35" s="30">
        <v>3261587.6599999988</v>
      </c>
      <c r="L35" s="30">
        <v>3244010.2199999997</v>
      </c>
      <c r="M35" s="34"/>
      <c r="N35" s="31">
        <v>2405434.49636102</v>
      </c>
      <c r="O35" s="31">
        <v>2657079.2783764899</v>
      </c>
      <c r="P35" s="31">
        <v>3429228.1394293499</v>
      </c>
      <c r="Q35" s="31">
        <v>2532936.2972841701</v>
      </c>
      <c r="R35" s="31">
        <v>2188680.8056769599</v>
      </c>
      <c r="S35" s="31">
        <v>2345723.8196967002</v>
      </c>
      <c r="T35" s="31">
        <v>2906890.46950508</v>
      </c>
      <c r="U35" s="31">
        <v>3291285</v>
      </c>
      <c r="V35" s="31">
        <v>2281659</v>
      </c>
      <c r="W35" s="31">
        <v>2506544.4500000002</v>
      </c>
      <c r="X35" s="31">
        <v>3133141.100000001</v>
      </c>
      <c r="Y35" s="31">
        <v>2895714.4199999985</v>
      </c>
      <c r="Z35" s="31">
        <v>2525312.4984918409</v>
      </c>
      <c r="AA35" s="2"/>
      <c r="AB35" s="30">
        <v>3432551.4949661451</v>
      </c>
      <c r="AC35" s="30">
        <v>3108186.1924903621</v>
      </c>
      <c r="AD35" s="30">
        <v>3104060.6172521817</v>
      </c>
      <c r="AF35" s="32">
        <v>3090307.189628683</v>
      </c>
      <c r="AG35" s="30">
        <v>3238184.2713538418</v>
      </c>
      <c r="AH35" s="30">
        <v>2914365.8442184576</v>
      </c>
      <c r="AI35" s="30">
        <v>3118371.4533137497</v>
      </c>
      <c r="AK35" s="30">
        <v>63131.313131313145</v>
      </c>
      <c r="AL35" s="33">
        <v>55650</v>
      </c>
      <c r="AM35" s="33">
        <v>58926</v>
      </c>
      <c r="AO35" s="30">
        <v>3312500.0000000005</v>
      </c>
      <c r="AP35" s="33">
        <f t="shared" si="8"/>
        <v>2919955.5</v>
      </c>
      <c r="AQ35" s="33">
        <f t="shared" si="9"/>
        <v>3091847.2199999997</v>
      </c>
    </row>
    <row r="36" spans="1:43" ht="24" x14ac:dyDescent="0.25">
      <c r="A36" s="28" t="s">
        <v>58</v>
      </c>
      <c r="B36" s="28">
        <v>373196</v>
      </c>
      <c r="C36" s="28">
        <v>569</v>
      </c>
      <c r="D36" s="28" t="s">
        <v>62</v>
      </c>
      <c r="E36" s="29">
        <v>26.24</v>
      </c>
      <c r="F36" s="28" t="s">
        <v>40</v>
      </c>
      <c r="G36" s="28" t="s">
        <v>41</v>
      </c>
      <c r="H36" s="28" t="s">
        <v>36</v>
      </c>
      <c r="I36" s="3"/>
      <c r="J36" s="30">
        <v>536032.03000000026</v>
      </c>
      <c r="K36" s="30">
        <v>518240.04</v>
      </c>
      <c r="L36" s="30">
        <v>509790.71999999997</v>
      </c>
      <c r="M36" s="34"/>
      <c r="N36" s="31">
        <v>461797.76000031101</v>
      </c>
      <c r="O36" s="31">
        <v>466153.59475231601</v>
      </c>
      <c r="P36" s="31">
        <v>571375.20755233697</v>
      </c>
      <c r="Q36" s="31">
        <v>462689.91212883499</v>
      </c>
      <c r="R36" s="31">
        <v>415799.04000033101</v>
      </c>
      <c r="S36" s="31">
        <v>407454.71997472399</v>
      </c>
      <c r="T36" s="31">
        <v>384547.199983984</v>
      </c>
      <c r="U36" s="31">
        <v>419066</v>
      </c>
      <c r="V36" s="31">
        <v>356445</v>
      </c>
      <c r="W36" s="31">
        <v>445843.87000000005</v>
      </c>
      <c r="X36" s="31">
        <v>505933.45</v>
      </c>
      <c r="Y36" s="31">
        <v>487434.17000000033</v>
      </c>
      <c r="Z36" s="31">
        <v>486912.13850984233</v>
      </c>
      <c r="AA36" s="2"/>
      <c r="AB36" s="30">
        <v>562562.0346541811</v>
      </c>
      <c r="AC36" s="30">
        <v>511312.26421957335</v>
      </c>
      <c r="AD36" s="30">
        <v>510992.23699946562</v>
      </c>
      <c r="AF36" s="32">
        <v>482071.95936843968</v>
      </c>
      <c r="AG36" s="30">
        <v>505140.0202952564</v>
      </c>
      <c r="AH36" s="30">
        <v>454626.01826573076</v>
      </c>
      <c r="AI36" s="30">
        <v>486449.83954433189</v>
      </c>
      <c r="AK36" s="30">
        <v>20714.962121212124</v>
      </c>
      <c r="AL36" s="33">
        <v>17850</v>
      </c>
      <c r="AM36" s="33">
        <v>19993</v>
      </c>
      <c r="AO36" s="30">
        <v>543560.60606060608</v>
      </c>
      <c r="AP36" s="33">
        <f t="shared" si="8"/>
        <v>468384</v>
      </c>
      <c r="AQ36" s="33">
        <f t="shared" si="9"/>
        <v>524616.31999999995</v>
      </c>
    </row>
    <row r="37" spans="1:43" ht="24" x14ac:dyDescent="0.25">
      <c r="A37" s="28" t="s">
        <v>63</v>
      </c>
      <c r="B37" s="28">
        <v>331002</v>
      </c>
      <c r="C37" s="28">
        <v>576</v>
      </c>
      <c r="D37" s="28" t="s">
        <v>64</v>
      </c>
      <c r="E37" s="29">
        <v>26.24</v>
      </c>
      <c r="F37" s="28" t="s">
        <v>40</v>
      </c>
      <c r="G37" s="28" t="s">
        <v>41</v>
      </c>
      <c r="H37" s="28" t="s">
        <v>36</v>
      </c>
      <c r="I37" s="3"/>
      <c r="J37" s="30">
        <v>2224699.4999999977</v>
      </c>
      <c r="K37" s="30">
        <v>2088913.9300000002</v>
      </c>
      <c r="L37" s="30">
        <v>1853882.24</v>
      </c>
      <c r="M37" s="34"/>
      <c r="N37" s="31">
        <v>2298280.1143081002</v>
      </c>
      <c r="O37" s="31">
        <v>2065139.27559021</v>
      </c>
      <c r="P37" s="31">
        <v>2640105.2382112402</v>
      </c>
      <c r="Q37" s="31">
        <v>2484927.8714364301</v>
      </c>
      <c r="R37" s="31">
        <v>1979125.6707884199</v>
      </c>
      <c r="S37" s="31">
        <v>2322581.1195225702</v>
      </c>
      <c r="T37" s="31">
        <v>2043912.31959285</v>
      </c>
      <c r="U37" s="31">
        <v>1507219</v>
      </c>
      <c r="V37" s="31">
        <v>1135799</v>
      </c>
      <c r="W37" s="31">
        <v>1351281.3200000005</v>
      </c>
      <c r="X37" s="31">
        <v>1415595.5499999996</v>
      </c>
      <c r="Y37" s="31">
        <v>1783244.2100000002</v>
      </c>
      <c r="Z37" s="31">
        <v>2380100.1386973676</v>
      </c>
      <c r="AA37" s="2"/>
      <c r="AB37" s="30">
        <v>2337167.5577393523</v>
      </c>
      <c r="AC37" s="30">
        <v>2296286.0958548188</v>
      </c>
      <c r="AD37" s="30">
        <v>2337073.4126880374</v>
      </c>
      <c r="AF37" s="32">
        <v>1795104.6613742046</v>
      </c>
      <c r="AG37" s="30">
        <v>1881003.83657793</v>
      </c>
      <c r="AH37" s="30">
        <v>1692903.452920137</v>
      </c>
      <c r="AI37" s="30">
        <v>1811406.6946245467</v>
      </c>
      <c r="AJ37" s="35"/>
      <c r="AK37" s="30">
        <v>69280.111023385514</v>
      </c>
      <c r="AL37" s="33">
        <v>68250</v>
      </c>
      <c r="AM37" s="33">
        <v>75762</v>
      </c>
      <c r="AO37" s="30">
        <v>1817910.1132536358</v>
      </c>
      <c r="AP37" s="33">
        <f t="shared" si="8"/>
        <v>1790880</v>
      </c>
      <c r="AQ37" s="33">
        <f t="shared" si="9"/>
        <v>1987994.88</v>
      </c>
    </row>
    <row r="38" spans="1:43" ht="24" x14ac:dyDescent="0.25">
      <c r="A38" s="28" t="s">
        <v>63</v>
      </c>
      <c r="B38" s="28">
        <v>337421</v>
      </c>
      <c r="C38" s="28">
        <v>574</v>
      </c>
      <c r="D38" s="28" t="s">
        <v>65</v>
      </c>
      <c r="E38" s="29">
        <v>381</v>
      </c>
      <c r="F38" s="28" t="s">
        <v>40</v>
      </c>
      <c r="G38" s="28" t="s">
        <v>41</v>
      </c>
      <c r="H38" s="28" t="s">
        <v>36</v>
      </c>
      <c r="I38" s="3"/>
      <c r="J38" s="30">
        <v>12423990.489999989</v>
      </c>
      <c r="K38" s="30">
        <v>11654789.890000006</v>
      </c>
      <c r="L38" s="30">
        <v>10352913</v>
      </c>
      <c r="M38" s="34"/>
      <c r="N38" s="31">
        <v>10288126.6170197</v>
      </c>
      <c r="O38" s="31">
        <v>9664436.9703025408</v>
      </c>
      <c r="P38" s="31">
        <v>13762846.2360113</v>
      </c>
      <c r="Q38" s="31">
        <v>13857348.2568598</v>
      </c>
      <c r="R38" s="31">
        <v>10699621.4379451</v>
      </c>
      <c r="S38" s="31">
        <v>13423391.994360801</v>
      </c>
      <c r="T38" s="31">
        <v>11712320.994774999</v>
      </c>
      <c r="U38" s="31">
        <v>10092694</v>
      </c>
      <c r="V38" s="31">
        <v>8115683</v>
      </c>
      <c r="W38" s="31">
        <v>8791194.0800000057</v>
      </c>
      <c r="X38" s="31">
        <v>8357996.9900000021</v>
      </c>
      <c r="Y38" s="31">
        <v>8963787.0100000035</v>
      </c>
      <c r="Z38" s="31">
        <v>10047098.314583834</v>
      </c>
      <c r="AA38" s="2"/>
      <c r="AB38" s="30">
        <v>13004234.450536693</v>
      </c>
      <c r="AC38" s="30">
        <v>12654522.40960696</v>
      </c>
      <c r="AD38" s="30">
        <v>13003710.618038844</v>
      </c>
      <c r="AF38" s="32">
        <v>10327856.746494951</v>
      </c>
      <c r="AG38" s="30">
        <v>10822064.351898305</v>
      </c>
      <c r="AH38" s="30">
        <v>9739857.916708475</v>
      </c>
      <c r="AI38" s="30">
        <v>10421647.970878068</v>
      </c>
      <c r="AK38" s="30">
        <v>28471.278502761168</v>
      </c>
      <c r="AL38" s="33">
        <v>26250</v>
      </c>
      <c r="AM38" s="33">
        <v>28411</v>
      </c>
      <c r="AO38" s="30">
        <v>10847557.109552005</v>
      </c>
      <c r="AP38" s="33">
        <f t="shared" si="8"/>
        <v>10001250</v>
      </c>
      <c r="AQ38" s="33">
        <f t="shared" si="9"/>
        <v>10824591</v>
      </c>
    </row>
    <row r="39" spans="1:43" ht="24" x14ac:dyDescent="0.25">
      <c r="A39" s="28" t="s">
        <v>63</v>
      </c>
      <c r="B39" s="28">
        <v>4011000126</v>
      </c>
      <c r="C39" s="28">
        <v>763</v>
      </c>
      <c r="D39" s="28" t="s">
        <v>66</v>
      </c>
      <c r="E39" s="29">
        <v>64.09</v>
      </c>
      <c r="F39" s="28" t="s">
        <v>40</v>
      </c>
      <c r="G39" s="28" t="s">
        <v>41</v>
      </c>
      <c r="H39" s="28" t="s">
        <v>36</v>
      </c>
      <c r="I39" s="3"/>
      <c r="J39" s="30">
        <v>351675.27000000014</v>
      </c>
      <c r="K39" s="30">
        <v>337562.08000000013</v>
      </c>
      <c r="L39" s="30">
        <v>293019.48000000004</v>
      </c>
      <c r="M39" s="34"/>
      <c r="N39" s="31">
        <v>253475.95</v>
      </c>
      <c r="O39" s="31">
        <v>262320.37</v>
      </c>
      <c r="P39" s="31">
        <v>339484.73</v>
      </c>
      <c r="Q39" s="31">
        <v>306606.56</v>
      </c>
      <c r="R39" s="31">
        <v>353712.71000038501</v>
      </c>
      <c r="S39" s="31">
        <v>137665.32</v>
      </c>
      <c r="T39" s="31">
        <v>514450.43000000098</v>
      </c>
      <c r="U39" s="31">
        <v>379599</v>
      </c>
      <c r="V39" s="31">
        <v>379028</v>
      </c>
      <c r="W39" s="31">
        <v>732676.88</v>
      </c>
      <c r="X39" s="31">
        <v>238158.45999999985</v>
      </c>
      <c r="Y39" s="31">
        <v>230916.28999999992</v>
      </c>
      <c r="Z39" s="31">
        <v>294408.41464584204</v>
      </c>
      <c r="AA39" s="2"/>
      <c r="AB39" s="30">
        <v>358597.99172395573</v>
      </c>
      <c r="AC39" s="30">
        <v>349191.49453821877</v>
      </c>
      <c r="AD39" s="30">
        <v>359215.96927311819</v>
      </c>
      <c r="AF39" s="32">
        <v>326724.88571794296</v>
      </c>
      <c r="AG39" s="30">
        <v>342359.29345226299</v>
      </c>
      <c r="AH39" s="30">
        <v>308123.36410703667</v>
      </c>
      <c r="AI39" s="30">
        <v>329691.99959452928</v>
      </c>
      <c r="AK39" s="30">
        <v>5219.7343921728807</v>
      </c>
      <c r="AL39" s="33">
        <v>6825</v>
      </c>
      <c r="AM39" s="33">
        <v>6840</v>
      </c>
      <c r="AO39" s="30">
        <v>334532.77719435992</v>
      </c>
      <c r="AP39" s="33">
        <f t="shared" si="8"/>
        <v>437414.25</v>
      </c>
      <c r="AQ39" s="33">
        <f t="shared" si="9"/>
        <v>438375.60000000003</v>
      </c>
    </row>
    <row r="40" spans="1:43" ht="24" x14ac:dyDescent="0.25">
      <c r="A40" s="28" t="s">
        <v>67</v>
      </c>
      <c r="B40" s="28">
        <v>311149</v>
      </c>
      <c r="C40" s="28">
        <v>591</v>
      </c>
      <c r="D40" s="28" t="s">
        <v>68</v>
      </c>
      <c r="E40" s="29">
        <v>329.84</v>
      </c>
      <c r="F40" s="28" t="s">
        <v>40</v>
      </c>
      <c r="G40" s="28" t="s">
        <v>41</v>
      </c>
      <c r="H40" s="28" t="s">
        <v>36</v>
      </c>
      <c r="I40" s="3"/>
      <c r="J40" s="30">
        <v>859674.89</v>
      </c>
      <c r="K40" s="30">
        <v>781720.77999999991</v>
      </c>
      <c r="L40" s="30">
        <v>779741.75999999989</v>
      </c>
      <c r="M40" s="34"/>
      <c r="N40" s="31">
        <v>451550.960000002</v>
      </c>
      <c r="O40" s="31">
        <v>382284.56000000099</v>
      </c>
      <c r="P40" s="31">
        <v>546528.38800000004</v>
      </c>
      <c r="Q40" s="31">
        <v>465404.24</v>
      </c>
      <c r="R40" s="31">
        <v>523456.08</v>
      </c>
      <c r="S40" s="31">
        <v>730265.75999999896</v>
      </c>
      <c r="T40" s="31">
        <v>1215130.55999999</v>
      </c>
      <c r="U40" s="31">
        <v>1218081</v>
      </c>
      <c r="V40" s="31">
        <v>699592</v>
      </c>
      <c r="W40" s="31">
        <v>2117902.6399999973</v>
      </c>
      <c r="X40" s="31">
        <v>706187.44000000006</v>
      </c>
      <c r="Y40" s="31">
        <v>537639.20000000054</v>
      </c>
      <c r="Z40" s="31">
        <v>556113.71720800048</v>
      </c>
      <c r="AA40" s="2"/>
      <c r="AB40" s="30">
        <v>659680</v>
      </c>
      <c r="AC40" s="30">
        <v>587115.19999999995</v>
      </c>
      <c r="AD40" s="30">
        <v>587115.19999999995</v>
      </c>
      <c r="AF40" s="32">
        <v>820348.39353031234</v>
      </c>
      <c r="AG40" s="30">
        <v>859603.62577399111</v>
      </c>
      <c r="AH40" s="30">
        <v>773643.26319659199</v>
      </c>
      <c r="AI40" s="30">
        <v>827798.29162035347</v>
      </c>
      <c r="AJ40" s="35"/>
      <c r="AK40" s="30">
        <v>2606</v>
      </c>
      <c r="AL40" s="33">
        <v>2300</v>
      </c>
      <c r="AM40" s="33">
        <v>2505</v>
      </c>
      <c r="AO40" s="30">
        <v>859563.03999999992</v>
      </c>
      <c r="AP40" s="33">
        <f t="shared" si="8"/>
        <v>758632</v>
      </c>
      <c r="AQ40" s="33">
        <f t="shared" si="9"/>
        <v>826249.2</v>
      </c>
    </row>
    <row r="41" spans="1:43" ht="24" x14ac:dyDescent="0.25">
      <c r="A41" s="28" t="s">
        <v>67</v>
      </c>
      <c r="B41" s="28">
        <v>311160</v>
      </c>
      <c r="C41" s="28">
        <v>592</v>
      </c>
      <c r="D41" s="28" t="s">
        <v>69</v>
      </c>
      <c r="E41" s="29">
        <v>161.16999999999999</v>
      </c>
      <c r="F41" s="28" t="s">
        <v>40</v>
      </c>
      <c r="G41" s="28" t="s">
        <v>41</v>
      </c>
      <c r="H41" s="28" t="s">
        <v>36</v>
      </c>
      <c r="I41" s="3"/>
      <c r="J41" s="30">
        <v>2113744.6400000006</v>
      </c>
      <c r="K41" s="30">
        <v>1917600.4699999997</v>
      </c>
      <c r="L41" s="30">
        <v>1917600.66</v>
      </c>
      <c r="M41" s="34"/>
      <c r="N41" s="31">
        <v>961056.70999999205</v>
      </c>
      <c r="O41" s="31">
        <v>1291294.0400003199</v>
      </c>
      <c r="P41" s="31">
        <v>1618952.6500001601</v>
      </c>
      <c r="Q41" s="31">
        <v>1370267.3400043501</v>
      </c>
      <c r="R41" s="31">
        <v>1126417.0977693901</v>
      </c>
      <c r="S41" s="31">
        <v>1330297.1798847199</v>
      </c>
      <c r="T41" s="31">
        <v>1999152.6798663</v>
      </c>
      <c r="U41" s="31">
        <v>2291694</v>
      </c>
      <c r="V41" s="31">
        <v>1228276</v>
      </c>
      <c r="W41" s="31">
        <v>1502749.0699999998</v>
      </c>
      <c r="X41" s="31">
        <v>1702599.8800000008</v>
      </c>
      <c r="Y41" s="31">
        <v>1469709.2299999993</v>
      </c>
      <c r="Z41" s="31">
        <v>1307436.4645537885</v>
      </c>
      <c r="AA41" s="2"/>
      <c r="AB41" s="30">
        <v>1978361.7499999998</v>
      </c>
      <c r="AC41" s="30">
        <v>1764811.4999999998</v>
      </c>
      <c r="AD41" s="30">
        <v>1764811.4999999998</v>
      </c>
      <c r="AF41" s="32">
        <v>1723581.3098469812</v>
      </c>
      <c r="AG41" s="30">
        <v>1806057.9565284469</v>
      </c>
      <c r="AH41" s="30">
        <v>1625452.1608756024</v>
      </c>
      <c r="AI41" s="30">
        <v>1739233.8121368946</v>
      </c>
      <c r="AK41" s="30">
        <v>11000</v>
      </c>
      <c r="AL41" s="33">
        <v>10000</v>
      </c>
      <c r="AM41" s="33">
        <v>10723</v>
      </c>
      <c r="AO41" s="30">
        <v>1772869.9999999998</v>
      </c>
      <c r="AP41" s="33">
        <f t="shared" si="8"/>
        <v>1611699.9999999998</v>
      </c>
      <c r="AQ41" s="33">
        <f t="shared" si="9"/>
        <v>1728225.91</v>
      </c>
    </row>
    <row r="42" spans="1:43" ht="24" x14ac:dyDescent="0.25">
      <c r="A42" s="28" t="s">
        <v>67</v>
      </c>
      <c r="B42" s="28">
        <v>315353</v>
      </c>
      <c r="C42" s="28">
        <v>589</v>
      </c>
      <c r="D42" s="28" t="s">
        <v>70</v>
      </c>
      <c r="E42" s="29">
        <v>359.88</v>
      </c>
      <c r="F42" s="28" t="s">
        <v>40</v>
      </c>
      <c r="G42" s="28" t="s">
        <v>41</v>
      </c>
      <c r="H42" s="28" t="s">
        <v>36</v>
      </c>
      <c r="I42" s="3"/>
      <c r="J42" s="30">
        <v>1444671.43</v>
      </c>
      <c r="K42" s="30">
        <v>1312842.1999999986</v>
      </c>
      <c r="L42" s="30">
        <v>1310682.96</v>
      </c>
      <c r="M42" s="34"/>
      <c r="N42" s="31">
        <v>679453.44000000297</v>
      </c>
      <c r="O42" s="31">
        <v>675494.76000000304</v>
      </c>
      <c r="P42" s="31">
        <v>956920.91999999899</v>
      </c>
      <c r="Q42" s="31">
        <v>860832.96</v>
      </c>
      <c r="R42" s="31">
        <v>970596.36</v>
      </c>
      <c r="S42" s="31">
        <v>1377980.52</v>
      </c>
      <c r="T42" s="31">
        <v>2545071.3601372601</v>
      </c>
      <c r="U42" s="31">
        <v>1999472</v>
      </c>
      <c r="V42" s="31">
        <v>1192642</v>
      </c>
      <c r="W42" s="31">
        <v>1396694.2799999996</v>
      </c>
      <c r="X42" s="31">
        <v>1009463.4000000017</v>
      </c>
      <c r="Y42" s="31">
        <v>946844.28000000177</v>
      </c>
      <c r="Z42" s="31">
        <v>858929.84866952815</v>
      </c>
      <c r="AA42" s="2"/>
      <c r="AB42" s="30">
        <v>1151616</v>
      </c>
      <c r="AC42" s="30">
        <v>1025658</v>
      </c>
      <c r="AD42" s="30">
        <v>1025658</v>
      </c>
      <c r="AF42" s="32">
        <v>1299879.3543416837</v>
      </c>
      <c r="AG42" s="30">
        <v>1362081.0558941849</v>
      </c>
      <c r="AH42" s="30">
        <v>1225872.9503047664</v>
      </c>
      <c r="AI42" s="30">
        <v>1311684.0568261</v>
      </c>
      <c r="AK42" s="30">
        <v>3600</v>
      </c>
      <c r="AL42" s="33">
        <v>3000</v>
      </c>
      <c r="AM42" s="33">
        <v>3608</v>
      </c>
      <c r="AO42" s="30">
        <v>1295568</v>
      </c>
      <c r="AP42" s="33">
        <f t="shared" si="8"/>
        <v>1079640</v>
      </c>
      <c r="AQ42" s="33">
        <f t="shared" si="9"/>
        <v>1298447.04</v>
      </c>
    </row>
    <row r="43" spans="1:43" ht="24" x14ac:dyDescent="0.25">
      <c r="A43" s="28" t="s">
        <v>67</v>
      </c>
      <c r="B43" s="28">
        <v>315354</v>
      </c>
      <c r="C43" s="28">
        <v>590</v>
      </c>
      <c r="D43" s="28" t="s">
        <v>71</v>
      </c>
      <c r="E43" s="29">
        <v>101.2</v>
      </c>
      <c r="F43" s="28" t="s">
        <v>40</v>
      </c>
      <c r="G43" s="28" t="s">
        <v>41</v>
      </c>
      <c r="H43" s="28" t="s">
        <v>36</v>
      </c>
      <c r="I43" s="3"/>
      <c r="J43" s="30">
        <v>972189.96999999916</v>
      </c>
      <c r="K43" s="30">
        <v>882970.01999999979</v>
      </c>
      <c r="L43" s="30">
        <v>882059.20000000007</v>
      </c>
      <c r="M43" s="34"/>
      <c r="N43" s="31">
        <v>452060.4</v>
      </c>
      <c r="O43" s="31">
        <v>565100.80000000005</v>
      </c>
      <c r="P43" s="31">
        <v>743820.00000020198</v>
      </c>
      <c r="Q43" s="31">
        <v>537776.80000000005</v>
      </c>
      <c r="R43" s="31">
        <v>427671.2</v>
      </c>
      <c r="S43" s="31">
        <v>529984.4</v>
      </c>
      <c r="T43" s="31">
        <v>654662.80000000005</v>
      </c>
      <c r="U43" s="31">
        <v>833486</v>
      </c>
      <c r="V43" s="31">
        <v>461978</v>
      </c>
      <c r="W43" s="31">
        <v>540104.39999999991</v>
      </c>
      <c r="X43" s="31">
        <v>690993.59999999974</v>
      </c>
      <c r="Y43" s="31">
        <v>594448.80000000005</v>
      </c>
      <c r="Z43" s="31">
        <v>502103.59280631586</v>
      </c>
      <c r="AA43" s="2"/>
      <c r="AB43" s="30">
        <v>715484</v>
      </c>
      <c r="AC43" s="30">
        <v>637560</v>
      </c>
      <c r="AD43" s="30">
        <v>637560</v>
      </c>
      <c r="AF43" s="32">
        <v>750793.26852576656</v>
      </c>
      <c r="AG43" s="30">
        <v>786720.15563300718</v>
      </c>
      <c r="AH43" s="30">
        <v>708048.14006970648</v>
      </c>
      <c r="AI43" s="30">
        <v>757611.50987458602</v>
      </c>
      <c r="AK43" s="30">
        <v>7000</v>
      </c>
      <c r="AL43" s="33">
        <v>6000</v>
      </c>
      <c r="AM43" s="33">
        <v>6514</v>
      </c>
      <c r="AO43" s="30">
        <v>708400</v>
      </c>
      <c r="AP43" s="33">
        <f t="shared" si="8"/>
        <v>607200</v>
      </c>
      <c r="AQ43" s="33">
        <f t="shared" si="9"/>
        <v>659216.80000000005</v>
      </c>
    </row>
    <row r="44" spans="1:43" ht="36" x14ac:dyDescent="0.25">
      <c r="A44" s="28" t="s">
        <v>72</v>
      </c>
      <c r="B44" s="28">
        <v>318740</v>
      </c>
      <c r="C44" s="28">
        <v>611</v>
      </c>
      <c r="D44" s="28" t="s">
        <v>73</v>
      </c>
      <c r="E44" s="29">
        <v>1030</v>
      </c>
      <c r="F44" s="28" t="s">
        <v>40</v>
      </c>
      <c r="G44" s="28" t="s">
        <v>41</v>
      </c>
      <c r="H44" s="28" t="s">
        <v>36</v>
      </c>
      <c r="I44" s="3"/>
      <c r="J44" s="30">
        <v>2780704.27</v>
      </c>
      <c r="K44" s="30">
        <v>2869580.6900000004</v>
      </c>
      <c r="L44" s="30">
        <v>2865460</v>
      </c>
      <c r="M44" s="34"/>
      <c r="N44" s="31">
        <v>2680060.0000024699</v>
      </c>
      <c r="O44" s="31">
        <v>2503919.7000000002</v>
      </c>
      <c r="P44" s="31">
        <v>2762460.0000012401</v>
      </c>
      <c r="Q44" s="31">
        <v>2786150.00000556</v>
      </c>
      <c r="R44" s="31">
        <v>2758340.0000015502</v>
      </c>
      <c r="S44" s="31">
        <v>3289819.9998035398</v>
      </c>
      <c r="T44" s="31">
        <v>3609119.9995874399</v>
      </c>
      <c r="U44" s="31">
        <v>3547326</v>
      </c>
      <c r="V44" s="31">
        <v>3582344</v>
      </c>
      <c r="W44" s="31">
        <v>3671950.0199999991</v>
      </c>
      <c r="X44" s="31">
        <v>3263040.0399999996</v>
      </c>
      <c r="Y44" s="31">
        <v>3041589.9600000009</v>
      </c>
      <c r="Z44" s="31">
        <v>3284608.1450283155</v>
      </c>
      <c r="AA44" s="2"/>
      <c r="AB44" s="30">
        <v>2750100</v>
      </c>
      <c r="AC44" s="30">
        <v>2750100</v>
      </c>
      <c r="AD44" s="30">
        <v>2750100</v>
      </c>
      <c r="AF44" s="32">
        <v>2898947.6954231407</v>
      </c>
      <c r="AG44" s="30">
        <v>3037667.8610790856</v>
      </c>
      <c r="AH44" s="30">
        <v>2733901.0749711767</v>
      </c>
      <c r="AI44" s="30">
        <v>2925274.1502191597</v>
      </c>
      <c r="AK44" s="30">
        <v>2669.6060076247436</v>
      </c>
      <c r="AL44" s="33">
        <v>3150</v>
      </c>
      <c r="AM44" s="33">
        <v>3367</v>
      </c>
      <c r="AO44" s="30">
        <v>2749694.1878534858</v>
      </c>
      <c r="AP44" s="33">
        <f t="shared" si="8"/>
        <v>3244500</v>
      </c>
      <c r="AQ44" s="33">
        <f t="shared" si="9"/>
        <v>3468010</v>
      </c>
    </row>
    <row r="45" spans="1:43" ht="24" x14ac:dyDescent="0.25">
      <c r="A45" s="28" t="s">
        <v>72</v>
      </c>
      <c r="B45" s="28">
        <v>343279</v>
      </c>
      <c r="C45" s="28">
        <v>610</v>
      </c>
      <c r="D45" s="28" t="s">
        <v>74</v>
      </c>
      <c r="E45" s="29">
        <v>630</v>
      </c>
      <c r="F45" s="28" t="s">
        <v>40</v>
      </c>
      <c r="G45" s="28" t="s">
        <v>41</v>
      </c>
      <c r="H45" s="28" t="s">
        <v>36</v>
      </c>
      <c r="I45" s="3"/>
      <c r="J45" s="30">
        <v>7559857.1699999971</v>
      </c>
      <c r="K45" s="30">
        <v>7813890.4999999991</v>
      </c>
      <c r="L45" s="30">
        <v>7789320</v>
      </c>
      <c r="M45" s="34"/>
      <c r="N45" s="31">
        <v>6400144.7370045697</v>
      </c>
      <c r="O45" s="31">
        <v>5257980.00000038</v>
      </c>
      <c r="P45" s="31">
        <v>6199168.4370010104</v>
      </c>
      <c r="Q45" s="31">
        <v>6061859.9370051101</v>
      </c>
      <c r="R45" s="31">
        <v>5846399.7480030302</v>
      </c>
      <c r="S45" s="31">
        <v>7677179.9995854404</v>
      </c>
      <c r="T45" s="31">
        <v>8117549.9994292296</v>
      </c>
      <c r="U45" s="31">
        <v>7558117</v>
      </c>
      <c r="V45" s="31">
        <v>7394313</v>
      </c>
      <c r="W45" s="31">
        <v>7588980.0199999986</v>
      </c>
      <c r="X45" s="31">
        <v>6965909.9900000002</v>
      </c>
      <c r="Y45" s="31">
        <v>6421590</v>
      </c>
      <c r="Z45" s="31">
        <v>6314400.7455789475</v>
      </c>
      <c r="AA45" s="2"/>
      <c r="AB45" s="30">
        <v>6728400</v>
      </c>
      <c r="AC45" s="30">
        <v>6728400</v>
      </c>
      <c r="AD45" s="30">
        <v>6728400</v>
      </c>
      <c r="AF45" s="32">
        <v>7338358.6222967012</v>
      </c>
      <c r="AG45" s="30">
        <v>7689513.0516556418</v>
      </c>
      <c r="AH45" s="30">
        <v>6920561.7464900771</v>
      </c>
      <c r="AI45" s="30">
        <v>7405001.0687443838</v>
      </c>
      <c r="AK45" s="30">
        <v>11049.579833525813</v>
      </c>
      <c r="AL45" s="33">
        <v>10500</v>
      </c>
      <c r="AM45" s="33">
        <v>11825</v>
      </c>
      <c r="AO45" s="30">
        <v>6961235.2951212628</v>
      </c>
      <c r="AP45" s="33">
        <f t="shared" si="8"/>
        <v>6615000</v>
      </c>
      <c r="AQ45" s="33">
        <f t="shared" si="9"/>
        <v>7449750</v>
      </c>
    </row>
    <row r="46" spans="1:43" ht="24" x14ac:dyDescent="0.25">
      <c r="A46" s="28" t="s">
        <v>72</v>
      </c>
      <c r="B46" s="28">
        <v>4011000064</v>
      </c>
      <c r="C46" s="28">
        <v>764</v>
      </c>
      <c r="D46" s="28" t="s">
        <v>75</v>
      </c>
      <c r="E46" s="29">
        <v>26.24</v>
      </c>
      <c r="F46" s="28" t="s">
        <v>40</v>
      </c>
      <c r="G46" s="28" t="s">
        <v>41</v>
      </c>
      <c r="H46" s="28" t="s">
        <v>36</v>
      </c>
      <c r="I46" s="3"/>
      <c r="J46" s="30">
        <v>524807.56000000029</v>
      </c>
      <c r="K46" s="30">
        <v>549544.34999999951</v>
      </c>
      <c r="L46" s="30">
        <v>540701.43999999994</v>
      </c>
      <c r="M46" s="34"/>
      <c r="N46" s="31">
        <v>406536.29376079602</v>
      </c>
      <c r="O46" s="31">
        <v>404198.31238422397</v>
      </c>
      <c r="P46" s="31">
        <v>478246.30400052603</v>
      </c>
      <c r="Q46" s="31">
        <v>482317.40851377201</v>
      </c>
      <c r="R46" s="31">
        <v>461219.92896092997</v>
      </c>
      <c r="S46" s="31">
        <v>493679.35991266201</v>
      </c>
      <c r="T46" s="31">
        <v>471768.95989489497</v>
      </c>
      <c r="U46" s="31">
        <v>604957</v>
      </c>
      <c r="V46" s="31">
        <v>533276</v>
      </c>
      <c r="W46" s="31">
        <v>607718.37999999942</v>
      </c>
      <c r="X46" s="31">
        <v>566442.87000000011</v>
      </c>
      <c r="Y46" s="31">
        <v>473107.25000000006</v>
      </c>
      <c r="Z46" s="31">
        <v>480099.12469594751</v>
      </c>
      <c r="AA46" s="2"/>
      <c r="AB46" s="30">
        <v>514303.99999999994</v>
      </c>
      <c r="AC46" s="30">
        <v>513516.79999999999</v>
      </c>
      <c r="AD46" s="30">
        <v>513516.79999999999</v>
      </c>
      <c r="AF46" s="32">
        <v>515574.74691761419</v>
      </c>
      <c r="AG46" s="30">
        <v>540245.9800044857</v>
      </c>
      <c r="AH46" s="30">
        <v>486221.38200403709</v>
      </c>
      <c r="AI46" s="30">
        <v>520256.87874431978</v>
      </c>
      <c r="AK46" s="30">
        <v>18638.358118340406</v>
      </c>
      <c r="AL46" s="33">
        <v>21000</v>
      </c>
      <c r="AM46" s="33">
        <v>20043</v>
      </c>
      <c r="AO46" s="30">
        <v>489070.51702525222</v>
      </c>
      <c r="AP46" s="33">
        <f t="shared" si="8"/>
        <v>551040</v>
      </c>
      <c r="AQ46" s="33">
        <f t="shared" si="9"/>
        <v>525928.31999999995</v>
      </c>
    </row>
    <row r="47" spans="1:43" ht="36" x14ac:dyDescent="0.25">
      <c r="A47" s="28" t="s">
        <v>76</v>
      </c>
      <c r="B47" s="28">
        <v>310723</v>
      </c>
      <c r="C47" s="28">
        <v>659</v>
      </c>
      <c r="D47" s="28" t="s">
        <v>77</v>
      </c>
      <c r="E47" s="29">
        <v>97.74</v>
      </c>
      <c r="F47" s="28" t="s">
        <v>40</v>
      </c>
      <c r="G47" s="28" t="s">
        <v>41</v>
      </c>
      <c r="H47" s="28" t="s">
        <v>36</v>
      </c>
      <c r="I47" s="3"/>
      <c r="J47" s="30">
        <v>132971.91999999995</v>
      </c>
      <c r="K47" s="30">
        <v>133806.16000000012</v>
      </c>
      <c r="L47" s="30">
        <v>127843.92</v>
      </c>
      <c r="M47" s="34"/>
      <c r="N47" s="31">
        <v>103408.92</v>
      </c>
      <c r="O47" s="31">
        <v>91680.120000000199</v>
      </c>
      <c r="P47" s="31">
        <v>121002.12</v>
      </c>
      <c r="Q47" s="31">
        <v>101649.60000000001</v>
      </c>
      <c r="R47" s="31">
        <v>105754.68</v>
      </c>
      <c r="S47" s="31">
        <v>126671.03999999999</v>
      </c>
      <c r="T47" s="31">
        <v>143384.57999999999</v>
      </c>
      <c r="U47" s="31">
        <v>131754</v>
      </c>
      <c r="V47" s="31">
        <v>117777</v>
      </c>
      <c r="W47" s="31">
        <v>134783.47</v>
      </c>
      <c r="X47" s="31">
        <v>128625.83000000002</v>
      </c>
      <c r="Y47" s="31">
        <v>104874.98000000005</v>
      </c>
      <c r="Z47" s="31">
        <v>106878.07236257898</v>
      </c>
      <c r="AA47" s="2"/>
      <c r="AB47" s="30">
        <v>117288</v>
      </c>
      <c r="AC47" s="30">
        <v>117288</v>
      </c>
      <c r="AD47" s="30">
        <v>117288</v>
      </c>
      <c r="AF47" s="32">
        <v>121006.41461548621</v>
      </c>
      <c r="AG47" s="30">
        <v>126796.80190236066</v>
      </c>
      <c r="AH47" s="30">
        <v>114117.12171212462</v>
      </c>
      <c r="AI47" s="30">
        <v>122105.32023197335</v>
      </c>
      <c r="AK47" s="30">
        <v>1297</v>
      </c>
      <c r="AL47" s="33">
        <v>1170</v>
      </c>
      <c r="AM47" s="33">
        <v>1263</v>
      </c>
      <c r="AO47" s="30">
        <v>126768.78</v>
      </c>
      <c r="AP47" s="33">
        <f t="shared" si="8"/>
        <v>114355.79999999999</v>
      </c>
      <c r="AQ47" s="33">
        <f t="shared" si="9"/>
        <v>123445.62</v>
      </c>
    </row>
    <row r="48" spans="1:43" ht="24" x14ac:dyDescent="0.25">
      <c r="A48" s="28" t="s">
        <v>76</v>
      </c>
      <c r="B48" s="28">
        <v>373011</v>
      </c>
      <c r="C48" s="28">
        <v>654</v>
      </c>
      <c r="D48" s="28" t="s">
        <v>78</v>
      </c>
      <c r="E48" s="29">
        <v>71.430000000000007</v>
      </c>
      <c r="F48" s="28" t="s">
        <v>40</v>
      </c>
      <c r="G48" s="28" t="s">
        <v>41</v>
      </c>
      <c r="H48" s="28" t="s">
        <v>36</v>
      </c>
      <c r="I48" s="3"/>
      <c r="J48" s="30">
        <v>1296651.6099999996</v>
      </c>
      <c r="K48" s="30">
        <v>1299526.1300000001</v>
      </c>
      <c r="L48" s="30">
        <v>1247310.6600000001</v>
      </c>
      <c r="M48" s="34"/>
      <c r="N48" s="31">
        <v>814444.80285794404</v>
      </c>
      <c r="O48" s="31">
        <v>843731.07428482699</v>
      </c>
      <c r="P48" s="31">
        <v>989519.790000626</v>
      </c>
      <c r="Q48" s="31">
        <v>946161.71571670601</v>
      </c>
      <c r="R48" s="31">
        <v>829086.53139977099</v>
      </c>
      <c r="S48" s="31">
        <v>998519.96988692204</v>
      </c>
      <c r="T48" s="31">
        <v>1039949.36984196</v>
      </c>
      <c r="U48" s="31">
        <v>1064502</v>
      </c>
      <c r="V48" s="31">
        <v>929804</v>
      </c>
      <c r="W48" s="31">
        <v>1085021.69</v>
      </c>
      <c r="X48" s="31">
        <v>1052021.04</v>
      </c>
      <c r="Y48" s="31">
        <v>905232.4300000004</v>
      </c>
      <c r="Z48" s="31">
        <v>860736.24336020998</v>
      </c>
      <c r="AA48" s="2"/>
      <c r="AB48" s="30">
        <v>1071450</v>
      </c>
      <c r="AC48" s="30">
        <v>1071450</v>
      </c>
      <c r="AD48" s="30">
        <v>1026449.1000000001</v>
      </c>
      <c r="AF48" s="32">
        <v>1105781.8764490962</v>
      </c>
      <c r="AG48" s="30">
        <v>1158695.644200939</v>
      </c>
      <c r="AH48" s="30">
        <v>1042826.0797808451</v>
      </c>
      <c r="AI48" s="30">
        <v>1115823.9053655043</v>
      </c>
      <c r="AK48" s="30">
        <v>16221</v>
      </c>
      <c r="AL48" s="33">
        <v>14700</v>
      </c>
      <c r="AM48" s="33">
        <v>14731</v>
      </c>
      <c r="AO48" s="30">
        <v>1158666.03</v>
      </c>
      <c r="AP48" s="33">
        <f t="shared" si="8"/>
        <v>1050021</v>
      </c>
      <c r="AQ48" s="33">
        <f t="shared" si="9"/>
        <v>1052235.33</v>
      </c>
    </row>
    <row r="49" spans="1:44" ht="24" x14ac:dyDescent="0.25">
      <c r="A49" s="28" t="s">
        <v>76</v>
      </c>
      <c r="B49" s="28">
        <v>373156</v>
      </c>
      <c r="C49" s="28">
        <v>655</v>
      </c>
      <c r="D49" s="28" t="s">
        <v>79</v>
      </c>
      <c r="E49" s="29">
        <v>48.87</v>
      </c>
      <c r="F49" s="28" t="s">
        <v>40</v>
      </c>
      <c r="G49" s="28" t="s">
        <v>41</v>
      </c>
      <c r="H49" s="28" t="s">
        <v>36</v>
      </c>
      <c r="I49" s="3"/>
      <c r="J49" s="30">
        <v>251946.85000000009</v>
      </c>
      <c r="K49" s="30">
        <v>254026.25000000017</v>
      </c>
      <c r="L49" s="30">
        <v>242346.33</v>
      </c>
      <c r="M49" s="34"/>
      <c r="N49" s="31">
        <v>235700.010000429</v>
      </c>
      <c r="O49" s="31">
        <v>217618.11000027199</v>
      </c>
      <c r="P49" s="31">
        <v>244398.87000046001</v>
      </c>
      <c r="Q49" s="31">
        <v>213806.24022685099</v>
      </c>
      <c r="R49" s="31">
        <v>190983.960000088</v>
      </c>
      <c r="S49" s="31">
        <v>191814.749962248</v>
      </c>
      <c r="T49" s="31">
        <v>193965.029965044</v>
      </c>
      <c r="U49" s="31">
        <v>214688</v>
      </c>
      <c r="V49" s="31">
        <v>196165</v>
      </c>
      <c r="W49" s="31">
        <v>248992.71999999974</v>
      </c>
      <c r="X49" s="31">
        <v>258033.59000000003</v>
      </c>
      <c r="Y49" s="31">
        <v>268785.03999999969</v>
      </c>
      <c r="Z49" s="31">
        <v>254343.84433184206</v>
      </c>
      <c r="AA49" s="2"/>
      <c r="AB49" s="30">
        <v>241906.5</v>
      </c>
      <c r="AC49" s="30">
        <v>241906.5</v>
      </c>
      <c r="AD49" s="30">
        <v>231155.09999999998</v>
      </c>
      <c r="AF49" s="32">
        <v>220188.61165920543</v>
      </c>
      <c r="AG49" s="30">
        <v>230725.05587761654</v>
      </c>
      <c r="AH49" s="30">
        <v>207652.55028985493</v>
      </c>
      <c r="AI49" s="30">
        <v>222188.22881014479</v>
      </c>
      <c r="AK49" s="30">
        <v>4721</v>
      </c>
      <c r="AL49" s="33">
        <v>5000</v>
      </c>
      <c r="AM49" s="33">
        <v>5011</v>
      </c>
      <c r="AO49" s="30">
        <v>230715.27</v>
      </c>
      <c r="AP49" s="33">
        <f t="shared" si="8"/>
        <v>244350</v>
      </c>
      <c r="AQ49" s="33">
        <f t="shared" si="9"/>
        <v>244887.56999999998</v>
      </c>
    </row>
    <row r="50" spans="1:44" ht="24" x14ac:dyDescent="0.25">
      <c r="A50" s="28" t="s">
        <v>76</v>
      </c>
      <c r="B50" s="28">
        <v>373299</v>
      </c>
      <c r="C50" s="28">
        <v>657</v>
      </c>
      <c r="D50" s="28" t="s">
        <v>80</v>
      </c>
      <c r="E50" s="29">
        <v>240.6</v>
      </c>
      <c r="F50" s="28" t="s">
        <v>40</v>
      </c>
      <c r="G50" s="28" t="s">
        <v>41</v>
      </c>
      <c r="H50" s="28" t="s">
        <v>36</v>
      </c>
      <c r="I50" s="3"/>
      <c r="J50" s="30">
        <v>2979582.1800000025</v>
      </c>
      <c r="K50" s="30">
        <v>2983680.3799999985</v>
      </c>
      <c r="L50" s="30">
        <v>2866267.8</v>
      </c>
      <c r="M50" s="34"/>
      <c r="N50" s="31">
        <v>2360045.1353437598</v>
      </c>
      <c r="O50" s="31">
        <v>2091533.17746028</v>
      </c>
      <c r="P50" s="31">
        <v>2341757.17746265</v>
      </c>
      <c r="Q50" s="31">
        <v>2395172.85564462</v>
      </c>
      <c r="R50" s="31">
        <v>2132678.1834632601</v>
      </c>
      <c r="S50" s="31">
        <v>2577547.7996720001</v>
      </c>
      <c r="T50" s="31">
        <v>2701697.3995389398</v>
      </c>
      <c r="U50" s="31">
        <v>2755117</v>
      </c>
      <c r="V50" s="31">
        <v>2504165</v>
      </c>
      <c r="W50" s="31">
        <v>2766418.8500000029</v>
      </c>
      <c r="X50" s="31">
        <v>2285459.439999999</v>
      </c>
      <c r="Y50" s="31">
        <v>2129550.6100000008</v>
      </c>
      <c r="Z50" s="31">
        <v>2226492.6281085261</v>
      </c>
      <c r="AA50" s="2"/>
      <c r="AB50" s="30">
        <v>2579232</v>
      </c>
      <c r="AC50" s="30">
        <v>2579232</v>
      </c>
      <c r="AD50" s="30">
        <v>2579232</v>
      </c>
      <c r="AF50" s="32">
        <v>2612953.4896242847</v>
      </c>
      <c r="AG50" s="30">
        <v>2737988.288114863</v>
      </c>
      <c r="AH50" s="30">
        <v>2464189.4593033772</v>
      </c>
      <c r="AI50" s="30">
        <v>2636682.7214546138</v>
      </c>
      <c r="AK50" s="30">
        <v>11380</v>
      </c>
      <c r="AL50" s="33">
        <v>10500</v>
      </c>
      <c r="AM50" s="33">
        <v>11024</v>
      </c>
      <c r="AO50" s="30">
        <v>2738028</v>
      </c>
      <c r="AP50" s="33">
        <f t="shared" si="8"/>
        <v>2526300</v>
      </c>
      <c r="AQ50" s="33">
        <f t="shared" si="9"/>
        <v>2652374.4</v>
      </c>
    </row>
    <row r="51" spans="1:44" ht="24" x14ac:dyDescent="0.25">
      <c r="A51" s="28" t="s">
        <v>76</v>
      </c>
      <c r="B51" s="28">
        <v>373365</v>
      </c>
      <c r="C51" s="28">
        <v>656</v>
      </c>
      <c r="D51" s="28" t="s">
        <v>81</v>
      </c>
      <c r="E51" s="29">
        <v>150.38</v>
      </c>
      <c r="F51" s="28" t="s">
        <v>40</v>
      </c>
      <c r="G51" s="28" t="s">
        <v>41</v>
      </c>
      <c r="H51" s="28" t="s">
        <v>36</v>
      </c>
      <c r="I51" s="3"/>
      <c r="J51" s="30">
        <v>594671.28999999969</v>
      </c>
      <c r="K51" s="30">
        <v>596858.25999999989</v>
      </c>
      <c r="L51" s="30">
        <v>572045.52</v>
      </c>
      <c r="M51" s="34"/>
      <c r="N51" s="31">
        <v>490088.420000488</v>
      </c>
      <c r="O51" s="31">
        <v>601369.62000000803</v>
      </c>
      <c r="P51" s="31">
        <v>690093.82000054105</v>
      </c>
      <c r="Q51" s="31">
        <v>765734.960000135</v>
      </c>
      <c r="R51" s="31">
        <v>443771.33488618</v>
      </c>
      <c r="S51" s="31">
        <v>755659.49995555298</v>
      </c>
      <c r="T51" s="31">
        <v>533247.47996845702</v>
      </c>
      <c r="U51" s="31">
        <v>498662</v>
      </c>
      <c r="V51" s="31">
        <v>426027</v>
      </c>
      <c r="W51" s="31">
        <v>503021.17000000097</v>
      </c>
      <c r="X51" s="31">
        <v>446779.01000000088</v>
      </c>
      <c r="Y51" s="31">
        <v>397905.50000000087</v>
      </c>
      <c r="Z51" s="31">
        <v>368174.50488547375</v>
      </c>
      <c r="AA51" s="2"/>
      <c r="AB51" s="30">
        <v>586482</v>
      </c>
      <c r="AC51" s="30">
        <v>586482</v>
      </c>
      <c r="AD51" s="30">
        <v>563925</v>
      </c>
      <c r="AF51" s="32">
        <v>524131.17474298895</v>
      </c>
      <c r="AG51" s="30">
        <v>549211.84918930021</v>
      </c>
      <c r="AH51" s="30">
        <v>494290.66427037027</v>
      </c>
      <c r="AI51" s="30">
        <v>528891.0107692962</v>
      </c>
      <c r="AK51" s="30">
        <v>3652</v>
      </c>
      <c r="AL51" s="33">
        <v>3360</v>
      </c>
      <c r="AM51" s="33">
        <v>3367</v>
      </c>
      <c r="AO51" s="30">
        <v>549187.76</v>
      </c>
      <c r="AP51" s="33">
        <f t="shared" si="8"/>
        <v>505276.8</v>
      </c>
      <c r="AQ51" s="33">
        <f t="shared" si="9"/>
        <v>506329.45999999996</v>
      </c>
    </row>
    <row r="52" spans="1:44" ht="24" x14ac:dyDescent="0.25">
      <c r="A52" s="28" t="s">
        <v>82</v>
      </c>
      <c r="B52" s="28">
        <v>315048</v>
      </c>
      <c r="C52" s="28">
        <v>662</v>
      </c>
      <c r="D52" s="28" t="s">
        <v>83</v>
      </c>
      <c r="E52" s="29">
        <v>407.55</v>
      </c>
      <c r="F52" s="28" t="s">
        <v>40</v>
      </c>
      <c r="G52" s="28" t="s">
        <v>41</v>
      </c>
      <c r="H52" s="28" t="s">
        <v>36</v>
      </c>
      <c r="I52" s="3"/>
      <c r="J52" s="30">
        <v>0</v>
      </c>
      <c r="K52" s="30">
        <v>0</v>
      </c>
      <c r="L52" s="30">
        <v>0</v>
      </c>
      <c r="M52" s="34"/>
      <c r="N52" s="31">
        <v>9373.65</v>
      </c>
      <c r="O52" s="31">
        <v>17524.650000000001</v>
      </c>
      <c r="P52" s="31">
        <v>0</v>
      </c>
      <c r="Q52" s="31">
        <v>0</v>
      </c>
      <c r="R52" s="31">
        <v>0</v>
      </c>
      <c r="S52" s="31">
        <v>0</v>
      </c>
      <c r="T52" s="31">
        <v>0</v>
      </c>
      <c r="U52" s="31">
        <v>0</v>
      </c>
      <c r="V52" s="31">
        <v>0</v>
      </c>
      <c r="W52" s="31">
        <v>0</v>
      </c>
      <c r="X52" s="31">
        <v>0</v>
      </c>
      <c r="Y52" s="31">
        <v>0</v>
      </c>
      <c r="Z52" s="31">
        <v>1356.6309900000001</v>
      </c>
      <c r="AA52" s="2"/>
      <c r="AB52" s="30">
        <v>0</v>
      </c>
      <c r="AC52" s="30">
        <v>0</v>
      </c>
      <c r="AD52" s="30">
        <v>0</v>
      </c>
      <c r="AF52" s="32">
        <v>0</v>
      </c>
      <c r="AG52" s="30">
        <v>0</v>
      </c>
      <c r="AH52" s="30">
        <v>0</v>
      </c>
      <c r="AI52" s="30">
        <v>0</v>
      </c>
      <c r="AK52" s="30">
        <v>0</v>
      </c>
      <c r="AL52" s="33">
        <v>0</v>
      </c>
      <c r="AM52" s="33">
        <v>0</v>
      </c>
      <c r="AO52" s="30">
        <v>0</v>
      </c>
      <c r="AP52" s="33">
        <f t="shared" si="8"/>
        <v>0</v>
      </c>
      <c r="AQ52" s="33">
        <f t="shared" si="9"/>
        <v>0</v>
      </c>
    </row>
    <row r="53" spans="1:44" ht="24" x14ac:dyDescent="0.25">
      <c r="A53" s="28" t="s">
        <v>82</v>
      </c>
      <c r="B53" s="28">
        <v>320277</v>
      </c>
      <c r="C53" s="28" t="s">
        <v>84</v>
      </c>
      <c r="D53" s="28" t="s">
        <v>85</v>
      </c>
      <c r="E53" s="29">
        <v>0</v>
      </c>
      <c r="F53" s="28" t="s">
        <v>40</v>
      </c>
      <c r="G53" s="28" t="s">
        <v>41</v>
      </c>
      <c r="H53" s="28" t="s">
        <v>36</v>
      </c>
      <c r="I53" s="3"/>
      <c r="J53" s="30">
        <v>0</v>
      </c>
      <c r="K53" s="30">
        <v>0</v>
      </c>
      <c r="L53" s="30">
        <v>0</v>
      </c>
      <c r="M53" s="34"/>
      <c r="N53" s="31">
        <v>0</v>
      </c>
      <c r="O53" s="31">
        <v>0</v>
      </c>
      <c r="P53" s="31">
        <v>0</v>
      </c>
      <c r="Q53" s="31">
        <v>0</v>
      </c>
      <c r="R53" s="31">
        <v>754.58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2"/>
      <c r="AB53" s="30">
        <v>0</v>
      </c>
      <c r="AC53" s="30">
        <v>0</v>
      </c>
      <c r="AD53" s="30">
        <v>0</v>
      </c>
      <c r="AF53" s="32">
        <v>0</v>
      </c>
      <c r="AG53" s="30">
        <v>0</v>
      </c>
      <c r="AH53" s="30">
        <v>0</v>
      </c>
      <c r="AI53" s="30">
        <v>0</v>
      </c>
      <c r="AK53" s="30">
        <v>0</v>
      </c>
      <c r="AL53" s="33">
        <v>0</v>
      </c>
      <c r="AM53" s="33">
        <v>0</v>
      </c>
      <c r="AO53" s="30">
        <v>0</v>
      </c>
      <c r="AP53" s="33">
        <f t="shared" si="8"/>
        <v>0</v>
      </c>
      <c r="AQ53" s="33">
        <f t="shared" si="9"/>
        <v>0</v>
      </c>
    </row>
    <row r="54" spans="1:44" ht="36" x14ac:dyDescent="0.25">
      <c r="A54" s="28" t="s">
        <v>86</v>
      </c>
      <c r="B54" s="28">
        <v>348132</v>
      </c>
      <c r="C54" s="28">
        <v>729</v>
      </c>
      <c r="D54" s="28" t="s">
        <v>87</v>
      </c>
      <c r="E54" s="29">
        <v>1404.59</v>
      </c>
      <c r="F54" s="28" t="s">
        <v>40</v>
      </c>
      <c r="G54" s="28" t="s">
        <v>41</v>
      </c>
      <c r="H54" s="28" t="s">
        <v>36</v>
      </c>
      <c r="I54" s="3"/>
      <c r="J54" s="30">
        <v>1320314.6300000008</v>
      </c>
      <c r="K54" s="30">
        <v>1453750.6800000004</v>
      </c>
      <c r="L54" s="30">
        <v>1410208.3599999999</v>
      </c>
      <c r="M54" s="34"/>
      <c r="N54" s="31">
        <v>1014113.98</v>
      </c>
      <c r="O54" s="31">
        <v>1147549.8895409999</v>
      </c>
      <c r="P54" s="31">
        <v>1139122.51</v>
      </c>
      <c r="Q54" s="31">
        <v>1348406.47</v>
      </c>
      <c r="R54" s="31">
        <v>1094175.6499999999</v>
      </c>
      <c r="S54" s="31">
        <v>859609.1</v>
      </c>
      <c r="T54" s="31">
        <v>1411612.95</v>
      </c>
      <c r="U54" s="31">
        <v>1540839</v>
      </c>
      <c r="V54" s="31">
        <v>1384925</v>
      </c>
      <c r="W54" s="31">
        <v>1585782.1399999997</v>
      </c>
      <c r="X54" s="31">
        <v>1832989.98</v>
      </c>
      <c r="Y54" s="31">
        <v>1179855.6000000001</v>
      </c>
      <c r="Z54" s="31">
        <v>56106.319838263153</v>
      </c>
      <c r="AA54" s="2"/>
      <c r="AB54" s="30">
        <v>1250085.0999999999</v>
      </c>
      <c r="AC54" s="30">
        <v>1165809.7</v>
      </c>
      <c r="AD54" s="30">
        <v>1221993.2999999998</v>
      </c>
      <c r="AF54" s="32">
        <v>1350079.1398506763</v>
      </c>
      <c r="AG54" s="30">
        <v>1414682.9966999753</v>
      </c>
      <c r="AH54" s="30">
        <v>1273214.6970299778</v>
      </c>
      <c r="AI54" s="30">
        <v>1362339.7258220764</v>
      </c>
      <c r="AK54" s="30">
        <v>600</v>
      </c>
      <c r="AL54" s="33">
        <v>630</v>
      </c>
      <c r="AM54" s="33">
        <v>631</v>
      </c>
      <c r="AO54" s="30">
        <v>842754</v>
      </c>
      <c r="AP54" s="33">
        <f t="shared" si="8"/>
        <v>884891.7</v>
      </c>
      <c r="AQ54" s="33">
        <f t="shared" si="9"/>
        <v>886296.28999999992</v>
      </c>
    </row>
    <row r="55" spans="1:44" ht="36" x14ac:dyDescent="0.25">
      <c r="A55" s="28" t="s">
        <v>86</v>
      </c>
      <c r="B55" s="28">
        <v>348296</v>
      </c>
      <c r="C55" s="28">
        <v>726</v>
      </c>
      <c r="D55" s="28" t="s">
        <v>88</v>
      </c>
      <c r="E55" s="29">
        <v>962.9</v>
      </c>
      <c r="F55" s="28" t="s">
        <v>40</v>
      </c>
      <c r="G55" s="28" t="s">
        <v>41</v>
      </c>
      <c r="H55" s="28" t="s">
        <v>36</v>
      </c>
      <c r="I55" s="3"/>
      <c r="J55" s="30">
        <v>694250.64</v>
      </c>
      <c r="K55" s="30">
        <v>645143.41999999993</v>
      </c>
      <c r="L55" s="30">
        <v>625885</v>
      </c>
      <c r="M55" s="34"/>
      <c r="N55" s="31">
        <v>364939.1</v>
      </c>
      <c r="O55" s="31">
        <v>363976.10371</v>
      </c>
      <c r="P55" s="31">
        <v>341829.5</v>
      </c>
      <c r="Q55" s="31">
        <v>414047</v>
      </c>
      <c r="R55" s="31">
        <v>451600.1</v>
      </c>
      <c r="S55" s="31">
        <v>232058.9</v>
      </c>
      <c r="T55" s="31">
        <v>469895.2</v>
      </c>
      <c r="U55" s="31">
        <v>563302</v>
      </c>
      <c r="V55" s="31">
        <v>502634</v>
      </c>
      <c r="W55" s="31">
        <v>1040894.9600000001</v>
      </c>
      <c r="X55" s="31">
        <v>884905.12000000011</v>
      </c>
      <c r="Y55" s="31">
        <v>490116.1</v>
      </c>
      <c r="Z55" s="31">
        <v>631434.39904363174</v>
      </c>
      <c r="AA55" s="2"/>
      <c r="AB55" s="30">
        <v>500708</v>
      </c>
      <c r="AC55" s="30">
        <v>462192</v>
      </c>
      <c r="AD55" s="30">
        <v>491079</v>
      </c>
      <c r="AF55" s="32">
        <v>593032.62337598996</v>
      </c>
      <c r="AG55" s="30">
        <v>621410.3633000243</v>
      </c>
      <c r="AH55" s="30">
        <v>559269.32697002194</v>
      </c>
      <c r="AI55" s="30">
        <v>598418.17985792353</v>
      </c>
      <c r="AK55" s="30">
        <v>600</v>
      </c>
      <c r="AL55" s="33">
        <v>525</v>
      </c>
      <c r="AM55" s="33">
        <v>526</v>
      </c>
      <c r="AO55" s="30">
        <v>577740</v>
      </c>
      <c r="AP55" s="33">
        <f t="shared" si="8"/>
        <v>505522.5</v>
      </c>
      <c r="AQ55" s="33">
        <f t="shared" si="9"/>
        <v>506485.39999999997</v>
      </c>
    </row>
    <row r="56" spans="1:44" ht="24" x14ac:dyDescent="0.25">
      <c r="A56" s="28" t="s">
        <v>89</v>
      </c>
      <c r="B56" s="28">
        <v>4011000149</v>
      </c>
      <c r="C56" s="28">
        <v>786</v>
      </c>
      <c r="D56" s="28" t="s">
        <v>90</v>
      </c>
      <c r="E56" s="29">
        <v>674.64</v>
      </c>
      <c r="F56" s="28" t="s">
        <v>40</v>
      </c>
      <c r="G56" s="28" t="s">
        <v>41</v>
      </c>
      <c r="H56" s="28" t="s">
        <v>37</v>
      </c>
      <c r="I56" s="3"/>
      <c r="J56" s="30">
        <v>1304753.8499999992</v>
      </c>
      <c r="K56" s="30">
        <v>1551671.8299999987</v>
      </c>
      <c r="L56" s="30">
        <v>1436308.56</v>
      </c>
      <c r="M56" s="34"/>
      <c r="N56" s="31">
        <v>404109.36000108201</v>
      </c>
      <c r="O56" s="31">
        <v>412879.68000000302</v>
      </c>
      <c r="P56" s="31">
        <v>393989.76</v>
      </c>
      <c r="Q56" s="31">
        <v>330573.60000040499</v>
      </c>
      <c r="R56" s="31">
        <v>363630.96000060701</v>
      </c>
      <c r="S56" s="31">
        <v>362281.67995496502</v>
      </c>
      <c r="T56" s="31">
        <v>487090.07996783499</v>
      </c>
      <c r="U56" s="31">
        <v>714467</v>
      </c>
      <c r="V56" s="31">
        <v>626066</v>
      </c>
      <c r="W56" s="31">
        <v>557927.270000002</v>
      </c>
      <c r="X56" s="31">
        <v>563324.4000000013</v>
      </c>
      <c r="Y56" s="31">
        <v>741429.44000000216</v>
      </c>
      <c r="Z56" s="31">
        <v>503038.1552737382</v>
      </c>
      <c r="AA56" s="2"/>
      <c r="AB56" s="30">
        <v>1008704.0828268791</v>
      </c>
      <c r="AC56" s="30">
        <v>904355.38460340875</v>
      </c>
      <c r="AD56" s="30">
        <v>1008704.0828268791</v>
      </c>
      <c r="AF56" s="32">
        <v>1334236.2666939739</v>
      </c>
      <c r="AG56" s="30">
        <v>1334236.2666939739</v>
      </c>
      <c r="AH56" s="30">
        <v>1294209.1786931546</v>
      </c>
      <c r="AI56" s="30">
        <v>1374263.3546947932</v>
      </c>
      <c r="AJ56" s="35"/>
      <c r="AK56" s="30">
        <v>1900</v>
      </c>
      <c r="AL56" s="33">
        <v>1000</v>
      </c>
      <c r="AM56" s="33">
        <v>1102</v>
      </c>
      <c r="AO56" s="30">
        <v>1281816</v>
      </c>
      <c r="AP56" s="33">
        <f t="shared" si="8"/>
        <v>674640</v>
      </c>
      <c r="AQ56" s="33">
        <f t="shared" si="9"/>
        <v>743453.28</v>
      </c>
    </row>
    <row r="57" spans="1:44" ht="24" x14ac:dyDescent="0.25">
      <c r="A57" s="28" t="s">
        <v>89</v>
      </c>
      <c r="B57" s="28">
        <v>4011000150</v>
      </c>
      <c r="C57" s="28">
        <v>787</v>
      </c>
      <c r="D57" s="28" t="s">
        <v>91</v>
      </c>
      <c r="E57" s="29">
        <v>854.52</v>
      </c>
      <c r="F57" s="28" t="s">
        <v>40</v>
      </c>
      <c r="G57" s="28" t="s">
        <v>41</v>
      </c>
      <c r="H57" s="28" t="s">
        <v>37</v>
      </c>
      <c r="I57" s="36"/>
      <c r="J57" s="37">
        <v>2203806.3500000006</v>
      </c>
      <c r="K57" s="37">
        <v>2649012.2999999998</v>
      </c>
      <c r="L57" s="30">
        <v>2414019</v>
      </c>
      <c r="M57" s="38"/>
      <c r="N57" s="31">
        <v>747705.00000615604</v>
      </c>
      <c r="O57" s="31">
        <v>888700.80000017595</v>
      </c>
      <c r="P57" s="31">
        <v>857938.08000017097</v>
      </c>
      <c r="Q57" s="31">
        <v>852810.96000025596</v>
      </c>
      <c r="R57" s="31">
        <v>1045077.78909728</v>
      </c>
      <c r="S57" s="31">
        <v>1120275.7198940699</v>
      </c>
      <c r="T57" s="31">
        <v>1593679.79984518</v>
      </c>
      <c r="U57" s="31">
        <v>1891098</v>
      </c>
      <c r="V57" s="31">
        <v>2001287</v>
      </c>
      <c r="W57" s="31">
        <v>1972232.1400000039</v>
      </c>
      <c r="X57" s="31">
        <v>1916688.3300000045</v>
      </c>
      <c r="Y57" s="31">
        <v>3118143.4700000035</v>
      </c>
      <c r="Z57" s="31">
        <v>1922869.24212269</v>
      </c>
      <c r="AA57" s="2"/>
      <c r="AB57" s="37">
        <v>1938512.4820449774</v>
      </c>
      <c r="AC57" s="37">
        <v>1894455.3801803188</v>
      </c>
      <c r="AD57" s="37">
        <v>2088306.6283848165</v>
      </c>
      <c r="AF57" s="32">
        <v>2671601.1201060251</v>
      </c>
      <c r="AG57" s="30">
        <v>2671601.1201060256</v>
      </c>
      <c r="AH57" s="30">
        <v>2591453.0865028445</v>
      </c>
      <c r="AI57" s="30">
        <v>2751749.1537092063</v>
      </c>
      <c r="AK57" s="30">
        <v>3000</v>
      </c>
      <c r="AL57" s="33">
        <v>2750</v>
      </c>
      <c r="AM57" s="33">
        <v>2806</v>
      </c>
      <c r="AO57" s="30">
        <v>2563560</v>
      </c>
      <c r="AP57" s="33">
        <f t="shared" si="8"/>
        <v>2349930</v>
      </c>
      <c r="AQ57" s="33">
        <f t="shared" si="9"/>
        <v>2397783.12</v>
      </c>
    </row>
    <row r="58" spans="1:44" ht="36" x14ac:dyDescent="0.25">
      <c r="A58" s="28" t="s">
        <v>121</v>
      </c>
      <c r="B58" s="28">
        <v>4021000009</v>
      </c>
      <c r="C58" s="28">
        <v>755</v>
      </c>
      <c r="D58" s="28" t="s">
        <v>122</v>
      </c>
      <c r="E58" s="29">
        <v>541.05999999999995</v>
      </c>
      <c r="F58" s="28" t="s">
        <v>123</v>
      </c>
      <c r="G58" s="28" t="s">
        <v>41</v>
      </c>
      <c r="H58" s="28" t="s">
        <v>36</v>
      </c>
      <c r="I58" s="3"/>
      <c r="J58" s="30">
        <v>39497160.970000006</v>
      </c>
      <c r="K58" s="30">
        <v>40112024.290000007</v>
      </c>
      <c r="L58" s="30">
        <v>48013123.339999996</v>
      </c>
      <c r="M58" s="34"/>
      <c r="N58" s="31">
        <v>49777514.318892099</v>
      </c>
      <c r="O58" s="31">
        <v>38334066.081634097</v>
      </c>
      <c r="P58" s="31">
        <v>44151032.879751302</v>
      </c>
      <c r="Q58" s="31">
        <v>43840464.527969599</v>
      </c>
      <c r="R58" s="31">
        <v>40166128.089889303</v>
      </c>
      <c r="S58" s="31">
        <v>39868547.155839004</v>
      </c>
      <c r="T58" s="31">
        <v>38422293.753423601</v>
      </c>
      <c r="U58" s="31">
        <v>32850452</v>
      </c>
      <c r="V58" s="31">
        <v>28927232</v>
      </c>
      <c r="W58" s="31">
        <v>32339156.280000024</v>
      </c>
      <c r="X58" s="31">
        <v>35144011.249999963</v>
      </c>
      <c r="Y58" s="31">
        <v>49736940.480000019</v>
      </c>
      <c r="Z58" s="31">
        <v>55831713.292881444</v>
      </c>
      <c r="AA58" s="2"/>
      <c r="AB58" s="30">
        <v>50000000.000000007</v>
      </c>
      <c r="AC58" s="30">
        <v>44622596.346119903</v>
      </c>
      <c r="AD58" s="30">
        <v>44500000</v>
      </c>
      <c r="AF58" s="32">
        <v>48017319.619950153</v>
      </c>
      <c r="AG58" s="30">
        <v>51013607.705152087</v>
      </c>
      <c r="AH58" s="30">
        <v>45912246.934636883</v>
      </c>
      <c r="AI58" s="30">
        <v>47126104.220061496</v>
      </c>
      <c r="AK58" s="30">
        <v>94285</v>
      </c>
      <c r="AL58" s="33">
        <v>91673</v>
      </c>
      <c r="AM58" s="33">
        <v>98200</v>
      </c>
      <c r="AO58" s="30">
        <v>52013842.099999994</v>
      </c>
      <c r="AP58" s="33">
        <f t="shared" si="8"/>
        <v>49600593.379999995</v>
      </c>
      <c r="AQ58" s="33">
        <f t="shared" si="9"/>
        <v>53132091.999999993</v>
      </c>
      <c r="AR58" s="51"/>
    </row>
    <row r="59" spans="1:44" ht="36" x14ac:dyDescent="0.25">
      <c r="A59" s="28" t="s">
        <v>124</v>
      </c>
      <c r="B59" s="28">
        <v>4011000129</v>
      </c>
      <c r="C59" s="28">
        <v>765</v>
      </c>
      <c r="D59" s="28" t="s">
        <v>125</v>
      </c>
      <c r="E59" s="29">
        <v>224.89</v>
      </c>
      <c r="F59" s="28" t="s">
        <v>123</v>
      </c>
      <c r="G59" s="28" t="s">
        <v>41</v>
      </c>
      <c r="H59" s="28" t="s">
        <v>37</v>
      </c>
      <c r="I59" s="3"/>
      <c r="J59" s="30">
        <v>3000707.5999999978</v>
      </c>
      <c r="K59" s="30">
        <v>3215926.9500000011</v>
      </c>
      <c r="L59" s="30">
        <v>2541481.8899999997</v>
      </c>
      <c r="M59" s="34"/>
      <c r="N59" s="31">
        <v>1453907.1033002699</v>
      </c>
      <c r="O59" s="31">
        <v>1510136.28253299</v>
      </c>
      <c r="P59" s="31">
        <v>1750089.48220023</v>
      </c>
      <c r="Q59" s="31">
        <v>1476402.8500012199</v>
      </c>
      <c r="R59" s="31">
        <v>1491468.20861235</v>
      </c>
      <c r="S59" s="31">
        <v>1451440.0599742599</v>
      </c>
      <c r="T59" s="31">
        <v>1795071.9799635201</v>
      </c>
      <c r="U59" s="31">
        <v>1949798</v>
      </c>
      <c r="V59" s="31">
        <v>1815987</v>
      </c>
      <c r="W59" s="31">
        <v>1780903.9900000012</v>
      </c>
      <c r="X59" s="31">
        <v>1435472.9200000002</v>
      </c>
      <c r="Y59" s="31">
        <v>1309534.4900000012</v>
      </c>
      <c r="Z59" s="31">
        <v>1321656.7568055277</v>
      </c>
      <c r="AA59" s="2"/>
      <c r="AB59" s="30">
        <v>2127109.8863244923</v>
      </c>
      <c r="AC59" s="30">
        <v>2127109.8863244923</v>
      </c>
      <c r="AD59" s="30">
        <v>2127109.8863244923</v>
      </c>
      <c r="AF59" s="32">
        <v>2617726.3466999996</v>
      </c>
      <c r="AG59" s="30">
        <v>2617726.3466999996</v>
      </c>
      <c r="AH59" s="30">
        <v>2539194.5562989996</v>
      </c>
      <c r="AI59" s="30">
        <v>2696258.1371009997</v>
      </c>
      <c r="AK59" s="30">
        <v>11640</v>
      </c>
      <c r="AL59" s="33">
        <v>8400</v>
      </c>
      <c r="AM59" s="33">
        <v>10522</v>
      </c>
      <c r="AO59" s="30">
        <v>2617719.5999999996</v>
      </c>
      <c r="AP59" s="33">
        <f t="shared" si="8"/>
        <v>1889076</v>
      </c>
      <c r="AQ59" s="33">
        <f t="shared" si="9"/>
        <v>2366292.58</v>
      </c>
    </row>
    <row r="60" spans="1:44" ht="24" x14ac:dyDescent="0.25">
      <c r="A60" s="28" t="s">
        <v>126</v>
      </c>
      <c r="B60" s="28">
        <v>321874</v>
      </c>
      <c r="C60" s="28">
        <v>638</v>
      </c>
      <c r="D60" s="28" t="s">
        <v>127</v>
      </c>
      <c r="E60" s="29">
        <v>225.56</v>
      </c>
      <c r="F60" s="28" t="s">
        <v>123</v>
      </c>
      <c r="G60" s="28" t="s">
        <v>41</v>
      </c>
      <c r="H60" s="28" t="s">
        <v>36</v>
      </c>
      <c r="I60" s="3"/>
      <c r="J60" s="30">
        <v>320523.7200000002</v>
      </c>
      <c r="K60" s="30">
        <v>320746.22000000009</v>
      </c>
      <c r="L60" s="30">
        <v>320520.76</v>
      </c>
      <c r="M60" s="34"/>
      <c r="N60" s="31">
        <v>297062.51999999897</v>
      </c>
      <c r="O60" s="31">
        <v>238868.03999999899</v>
      </c>
      <c r="P60" s="31">
        <v>311498.36</v>
      </c>
      <c r="Q60" s="31">
        <v>239770.28</v>
      </c>
      <c r="R60" s="31">
        <v>256461.72</v>
      </c>
      <c r="S60" s="31">
        <v>275859.87999999902</v>
      </c>
      <c r="T60" s="31">
        <v>297739.199993546</v>
      </c>
      <c r="U60" s="31">
        <v>213630</v>
      </c>
      <c r="V60" s="31">
        <v>71729</v>
      </c>
      <c r="W60" s="31">
        <v>12631.36</v>
      </c>
      <c r="X60" s="31">
        <v>92254.050000000047</v>
      </c>
      <c r="Y60" s="31">
        <v>198041.66999999978</v>
      </c>
      <c r="Z60" s="31">
        <v>195591.78615394747</v>
      </c>
      <c r="AA60" s="2"/>
      <c r="AB60" s="30">
        <v>189470.4</v>
      </c>
      <c r="AC60" s="30">
        <v>219921</v>
      </c>
      <c r="AD60" s="30">
        <v>225560</v>
      </c>
      <c r="AF60" s="32">
        <v>255433.7433499326</v>
      </c>
      <c r="AG60" s="30">
        <v>267656.73421229399</v>
      </c>
      <c r="AH60" s="30">
        <v>240891.06079106461</v>
      </c>
      <c r="AI60" s="30">
        <v>257753.43504643915</v>
      </c>
      <c r="AK60" s="30">
        <v>1187</v>
      </c>
      <c r="AL60" s="33">
        <v>945</v>
      </c>
      <c r="AM60" s="33">
        <v>947</v>
      </c>
      <c r="AO60" s="30">
        <v>267739.72000000003</v>
      </c>
      <c r="AP60" s="33">
        <f t="shared" si="8"/>
        <v>213154.2</v>
      </c>
      <c r="AQ60" s="33">
        <f t="shared" si="9"/>
        <v>213605.32</v>
      </c>
    </row>
    <row r="61" spans="1:44" ht="24" x14ac:dyDescent="0.25">
      <c r="A61" s="28" t="s">
        <v>128</v>
      </c>
      <c r="B61" s="28">
        <v>337862</v>
      </c>
      <c r="C61" s="28">
        <v>645</v>
      </c>
      <c r="D61" s="28" t="s">
        <v>129</v>
      </c>
      <c r="E61" s="29">
        <v>151.13</v>
      </c>
      <c r="F61" s="28" t="s">
        <v>123</v>
      </c>
      <c r="G61" s="28" t="s">
        <v>41</v>
      </c>
      <c r="H61" s="28" t="s">
        <v>36</v>
      </c>
      <c r="I61" s="3"/>
      <c r="J61" s="30">
        <v>2534258.1299999994</v>
      </c>
      <c r="K61" s="30">
        <v>2537926.0599999977</v>
      </c>
      <c r="L61" s="30">
        <v>2534298.9699999997</v>
      </c>
      <c r="M61" s="34"/>
      <c r="N61" s="31">
        <v>1554219.3784781799</v>
      </c>
      <c r="O61" s="31">
        <v>1598198.0271202</v>
      </c>
      <c r="P61" s="31">
        <v>1869326.9095535099</v>
      </c>
      <c r="Q61" s="31">
        <v>1846355.0135437101</v>
      </c>
      <c r="R61" s="31">
        <v>1754921.37865313</v>
      </c>
      <c r="S61" s="31">
        <v>1942927.2791927101</v>
      </c>
      <c r="T61" s="31">
        <v>2210880.7690427802</v>
      </c>
      <c r="U61" s="31">
        <v>2172646</v>
      </c>
      <c r="V61" s="31">
        <v>1951694</v>
      </c>
      <c r="W61" s="31">
        <v>2020759.2499999977</v>
      </c>
      <c r="X61" s="31">
        <v>1823081.2399999967</v>
      </c>
      <c r="Y61" s="31">
        <v>1653966.7699999989</v>
      </c>
      <c r="Z61" s="31">
        <v>1583675.644013528</v>
      </c>
      <c r="AA61" s="2"/>
      <c r="AB61" s="30">
        <v>2300198.6</v>
      </c>
      <c r="AC61" s="30">
        <v>2399944.4</v>
      </c>
      <c r="AD61" s="30">
        <v>2399944.4</v>
      </c>
      <c r="AF61" s="32">
        <v>2255422.0660785381</v>
      </c>
      <c r="AG61" s="30">
        <v>2363348.3053564839</v>
      </c>
      <c r="AH61" s="30">
        <v>2127013.4748208355</v>
      </c>
      <c r="AI61" s="30">
        <v>2275904.4180582943</v>
      </c>
      <c r="AK61" s="30">
        <v>15638</v>
      </c>
      <c r="AL61" s="33">
        <v>14280</v>
      </c>
      <c r="AM61" s="33">
        <v>16310</v>
      </c>
      <c r="AO61" s="30">
        <v>2363370.94</v>
      </c>
      <c r="AP61" s="33">
        <f t="shared" si="8"/>
        <v>2158136.4</v>
      </c>
      <c r="AQ61" s="33">
        <f t="shared" si="9"/>
        <v>2464930.2999999998</v>
      </c>
    </row>
    <row r="62" spans="1:44" ht="24" x14ac:dyDescent="0.25">
      <c r="A62" s="28" t="s">
        <v>130</v>
      </c>
      <c r="B62" s="28">
        <v>319022</v>
      </c>
      <c r="C62" s="28">
        <v>680</v>
      </c>
      <c r="D62" s="28" t="s">
        <v>131</v>
      </c>
      <c r="E62" s="29">
        <v>375.94</v>
      </c>
      <c r="F62" s="28" t="s">
        <v>123</v>
      </c>
      <c r="G62" s="28" t="s">
        <v>41</v>
      </c>
      <c r="H62" s="28" t="s">
        <v>36</v>
      </c>
      <c r="I62" s="3"/>
      <c r="J62" s="30">
        <v>490977.67000000016</v>
      </c>
      <c r="K62" s="30">
        <v>500375.94000000024</v>
      </c>
      <c r="L62" s="30">
        <v>500376.14</v>
      </c>
      <c r="M62" s="34"/>
      <c r="N62" s="31">
        <v>411650.540600001</v>
      </c>
      <c r="O62" s="31">
        <v>555639.31999999995</v>
      </c>
      <c r="P62" s="31">
        <v>421428.74</v>
      </c>
      <c r="Q62" s="31">
        <v>444361.08</v>
      </c>
      <c r="R62" s="31">
        <v>340601.64</v>
      </c>
      <c r="S62" s="31">
        <v>474812.22000000102</v>
      </c>
      <c r="T62" s="31">
        <v>292105.38000000099</v>
      </c>
      <c r="U62" s="31">
        <v>282719</v>
      </c>
      <c r="V62" s="31">
        <v>401128</v>
      </c>
      <c r="W62" s="31">
        <v>343233.21000000066</v>
      </c>
      <c r="X62" s="31">
        <v>289097.90000000043</v>
      </c>
      <c r="Y62" s="31">
        <v>228571.51000000018</v>
      </c>
      <c r="Z62" s="31">
        <v>369165.80585179001</v>
      </c>
      <c r="AA62" s="2"/>
      <c r="AB62" s="30">
        <v>397636.76331527991</v>
      </c>
      <c r="AC62" s="30">
        <v>373718.76251436083</v>
      </c>
      <c r="AD62" s="30">
        <v>397636.76331527991</v>
      </c>
      <c r="AF62" s="32">
        <v>466135.47283465619</v>
      </c>
      <c r="AG62" s="30">
        <v>488440.94254417345</v>
      </c>
      <c r="AH62" s="30">
        <v>439596.8482897561</v>
      </c>
      <c r="AI62" s="30">
        <v>470368.62767003907</v>
      </c>
      <c r="AK62" s="30">
        <v>1299</v>
      </c>
      <c r="AL62" s="33">
        <v>756</v>
      </c>
      <c r="AM62" s="33">
        <v>758</v>
      </c>
      <c r="AO62" s="30">
        <v>488346.06</v>
      </c>
      <c r="AP62" s="33">
        <f t="shared" si="8"/>
        <v>284210.64</v>
      </c>
      <c r="AQ62" s="33">
        <f t="shared" si="9"/>
        <v>284962.52</v>
      </c>
    </row>
    <row r="63" spans="1:44" ht="24" x14ac:dyDescent="0.25">
      <c r="A63" s="28" t="s">
        <v>132</v>
      </c>
      <c r="B63" s="28">
        <v>4011000145</v>
      </c>
      <c r="C63" s="28">
        <v>782</v>
      </c>
      <c r="D63" s="28" t="s">
        <v>133</v>
      </c>
      <c r="E63" s="29">
        <v>517</v>
      </c>
      <c r="F63" s="28" t="s">
        <v>123</v>
      </c>
      <c r="G63" s="28" t="s">
        <v>41</v>
      </c>
      <c r="H63" s="28" t="s">
        <v>37</v>
      </c>
      <c r="I63" s="3"/>
      <c r="J63" s="30">
        <v>685025.08000000066</v>
      </c>
      <c r="K63" s="30">
        <v>696398.97999999986</v>
      </c>
      <c r="L63" s="30">
        <v>653488</v>
      </c>
      <c r="M63" s="34"/>
      <c r="N63" s="31">
        <v>321057</v>
      </c>
      <c r="O63" s="31">
        <v>389818</v>
      </c>
      <c r="P63" s="31">
        <v>400157.94829999999</v>
      </c>
      <c r="Q63" s="31">
        <v>379478</v>
      </c>
      <c r="R63" s="31">
        <v>430660.94830031</v>
      </c>
      <c r="S63" s="31">
        <v>416701.99999506999</v>
      </c>
      <c r="T63" s="31">
        <v>494769</v>
      </c>
      <c r="U63" s="31">
        <v>459619</v>
      </c>
      <c r="V63" s="31">
        <v>401192</v>
      </c>
      <c r="W63" s="31">
        <v>443585.98</v>
      </c>
      <c r="X63" s="31">
        <v>363451.03</v>
      </c>
      <c r="Y63" s="31">
        <v>343804.96000000008</v>
      </c>
      <c r="Z63" s="31">
        <v>351076.31080889469</v>
      </c>
      <c r="AA63" s="2"/>
      <c r="AB63" s="30">
        <v>506660</v>
      </c>
      <c r="AC63" s="30">
        <v>460130</v>
      </c>
      <c r="AD63" s="30">
        <v>506660</v>
      </c>
      <c r="AF63" s="32">
        <v>632717.53274370031</v>
      </c>
      <c r="AG63" s="30">
        <v>632717.53274370031</v>
      </c>
      <c r="AH63" s="30">
        <v>613736.0067613892</v>
      </c>
      <c r="AI63" s="30">
        <v>651699.05872601131</v>
      </c>
      <c r="AK63" s="30">
        <v>1224</v>
      </c>
      <c r="AL63" s="33">
        <v>788</v>
      </c>
      <c r="AM63" s="33">
        <v>842</v>
      </c>
      <c r="AO63" s="30">
        <v>632808</v>
      </c>
      <c r="AP63" s="33">
        <f t="shared" si="8"/>
        <v>407396</v>
      </c>
      <c r="AQ63" s="33">
        <f t="shared" si="9"/>
        <v>435314</v>
      </c>
    </row>
    <row r="64" spans="1:44" ht="24" x14ac:dyDescent="0.25">
      <c r="A64" s="28" t="s">
        <v>132</v>
      </c>
      <c r="B64" s="28">
        <v>4011000146</v>
      </c>
      <c r="C64" s="28">
        <v>783</v>
      </c>
      <c r="D64" s="28" t="s">
        <v>134</v>
      </c>
      <c r="E64" s="29">
        <v>511</v>
      </c>
      <c r="F64" s="28" t="s">
        <v>123</v>
      </c>
      <c r="G64" s="28" t="s">
        <v>41</v>
      </c>
      <c r="H64" s="28" t="s">
        <v>37</v>
      </c>
      <c r="I64" s="3"/>
      <c r="J64" s="30">
        <v>1025576.7999999997</v>
      </c>
      <c r="K64" s="30">
        <v>925932.09000000032</v>
      </c>
      <c r="L64" s="30">
        <v>869722</v>
      </c>
      <c r="M64" s="34"/>
      <c r="N64" s="31">
        <v>488005</v>
      </c>
      <c r="O64" s="31">
        <v>482378.89</v>
      </c>
      <c r="P64" s="31">
        <v>550858.00000020396</v>
      </c>
      <c r="Q64" s="31">
        <v>565677.00000015297</v>
      </c>
      <c r="R64" s="31">
        <v>642327.00000030699</v>
      </c>
      <c r="S64" s="31">
        <v>646926</v>
      </c>
      <c r="T64" s="31">
        <v>764966.99998537998</v>
      </c>
      <c r="U64" s="31">
        <v>745557</v>
      </c>
      <c r="V64" s="31">
        <v>650503</v>
      </c>
      <c r="W64" s="31">
        <v>713867</v>
      </c>
      <c r="X64" s="31">
        <v>623420</v>
      </c>
      <c r="Y64" s="31">
        <v>527863</v>
      </c>
      <c r="Z64" s="31">
        <v>501792.0220526316</v>
      </c>
      <c r="AA64" s="2"/>
      <c r="AB64" s="30">
        <v>689850</v>
      </c>
      <c r="AC64" s="30">
        <v>654080</v>
      </c>
      <c r="AD64" s="30">
        <v>689850</v>
      </c>
      <c r="AF64" s="32">
        <v>890492.46725629957</v>
      </c>
      <c r="AG64" s="30">
        <v>890492.46725629957</v>
      </c>
      <c r="AH64" s="30">
        <v>863777.69323861052</v>
      </c>
      <c r="AI64" s="30">
        <v>917207.24127398862</v>
      </c>
      <c r="AK64" s="30">
        <v>1743</v>
      </c>
      <c r="AL64" s="33">
        <v>1365</v>
      </c>
      <c r="AM64" s="33">
        <v>1473</v>
      </c>
      <c r="AO64" s="30">
        <v>890673</v>
      </c>
      <c r="AP64" s="33">
        <f t="shared" si="8"/>
        <v>697515</v>
      </c>
      <c r="AQ64" s="33">
        <f t="shared" si="9"/>
        <v>752703</v>
      </c>
    </row>
    <row r="65" spans="1:46" ht="24" x14ac:dyDescent="0.25">
      <c r="A65" s="28" t="s">
        <v>135</v>
      </c>
      <c r="B65" s="39">
        <v>4011000162</v>
      </c>
      <c r="C65" s="39">
        <v>801</v>
      </c>
      <c r="D65" s="28" t="s">
        <v>136</v>
      </c>
      <c r="E65" s="29">
        <v>157.41999999999999</v>
      </c>
      <c r="F65" s="28" t="s">
        <v>123</v>
      </c>
      <c r="G65" s="28" t="s">
        <v>41</v>
      </c>
      <c r="H65" s="28" t="s">
        <v>37</v>
      </c>
      <c r="I65" s="3"/>
      <c r="J65" s="30">
        <v>170485.80999999991</v>
      </c>
      <c r="K65" s="30">
        <v>179931.04</v>
      </c>
      <c r="L65" s="30">
        <v>126880.51999999999</v>
      </c>
      <c r="M65" s="34"/>
      <c r="N65" s="31">
        <v>0</v>
      </c>
      <c r="O65" s="31">
        <v>0</v>
      </c>
      <c r="P65" s="31">
        <v>0</v>
      </c>
      <c r="Q65" s="31">
        <v>0</v>
      </c>
      <c r="R65" s="31">
        <v>0</v>
      </c>
      <c r="S65" s="31">
        <v>0</v>
      </c>
      <c r="T65" s="31">
        <v>0</v>
      </c>
      <c r="U65" s="31">
        <v>61510</v>
      </c>
      <c r="V65" s="31">
        <v>21882</v>
      </c>
      <c r="W65" s="31">
        <v>17316.200000000004</v>
      </c>
      <c r="X65" s="31">
        <v>32743.369999999926</v>
      </c>
      <c r="Y65" s="31">
        <v>25502.059999999954</v>
      </c>
      <c r="Z65" s="31">
        <v>32488.774040631572</v>
      </c>
      <c r="AA65" s="2"/>
      <c r="AB65" s="30">
        <v>224182.70520374188</v>
      </c>
      <c r="AC65" s="30">
        <v>224182.70520374188</v>
      </c>
      <c r="AD65" s="30">
        <v>224182.70520374188</v>
      </c>
      <c r="AF65" s="32">
        <v>135432.26754769078</v>
      </c>
      <c r="AG65" s="30">
        <v>135432.26754769078</v>
      </c>
      <c r="AH65" s="30">
        <v>131369.29952126005</v>
      </c>
      <c r="AI65" s="30">
        <v>139495.2355741215</v>
      </c>
      <c r="AK65" s="30">
        <v>974.11565953544425</v>
      </c>
      <c r="AL65" s="33">
        <v>420</v>
      </c>
      <c r="AM65" s="33">
        <v>631</v>
      </c>
      <c r="AO65" s="30">
        <v>153345.28712406961</v>
      </c>
      <c r="AP65" s="33">
        <f t="shared" si="8"/>
        <v>66116.399999999994</v>
      </c>
      <c r="AQ65" s="33">
        <f t="shared" si="9"/>
        <v>99332.01999999999</v>
      </c>
    </row>
    <row r="66" spans="1:46" ht="24" x14ac:dyDescent="0.25">
      <c r="A66" s="28" t="s">
        <v>135</v>
      </c>
      <c r="B66" s="39">
        <v>4011000163</v>
      </c>
      <c r="C66" s="39">
        <v>802</v>
      </c>
      <c r="D66" s="28" t="s">
        <v>137</v>
      </c>
      <c r="E66" s="29">
        <v>224.89</v>
      </c>
      <c r="F66" s="28" t="s">
        <v>123</v>
      </c>
      <c r="G66" s="28" t="s">
        <v>41</v>
      </c>
      <c r="H66" s="28" t="s">
        <v>37</v>
      </c>
      <c r="I66" s="3"/>
      <c r="J66" s="30">
        <v>1430300.3699999992</v>
      </c>
      <c r="K66" s="30">
        <v>1521605.6800000013</v>
      </c>
      <c r="L66" s="30">
        <v>1073175.0799999998</v>
      </c>
      <c r="M66" s="34"/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224.89</v>
      </c>
      <c r="U66" s="31">
        <v>247192</v>
      </c>
      <c r="V66" s="31">
        <v>147527</v>
      </c>
      <c r="W66" s="31">
        <v>210047.26000000027</v>
      </c>
      <c r="X66" s="31">
        <v>387485.48000000115</v>
      </c>
      <c r="Y66" s="31">
        <v>314621.16000000091</v>
      </c>
      <c r="Z66" s="31">
        <v>390770.27503463271</v>
      </c>
      <c r="AA66" s="2"/>
      <c r="AB66" s="30">
        <v>1883924.180845154</v>
      </c>
      <c r="AC66" s="30">
        <v>1883924.180845154</v>
      </c>
      <c r="AD66" s="30">
        <v>1883924.180845154</v>
      </c>
      <c r="AF66" s="32">
        <v>1100625.0004523091</v>
      </c>
      <c r="AG66" s="30">
        <v>1100625.0004523091</v>
      </c>
      <c r="AH66" s="30">
        <v>1067606.2504387398</v>
      </c>
      <c r="AI66" s="30">
        <v>1133643.7504658783</v>
      </c>
      <c r="AK66" s="30">
        <v>5543.3977183330981</v>
      </c>
      <c r="AL66" s="33">
        <v>4200</v>
      </c>
      <c r="AM66" s="33">
        <v>5261</v>
      </c>
      <c r="AO66" s="30">
        <v>1246654.7128759304</v>
      </c>
      <c r="AP66" s="33">
        <f t="shared" si="8"/>
        <v>944538</v>
      </c>
      <c r="AQ66" s="33">
        <f t="shared" si="9"/>
        <v>1183146.29</v>
      </c>
    </row>
    <row r="67" spans="1:46" ht="36" x14ac:dyDescent="0.25">
      <c r="A67" s="28" t="s">
        <v>128</v>
      </c>
      <c r="B67" s="28"/>
      <c r="C67" s="28"/>
      <c r="D67" s="28" t="s">
        <v>138</v>
      </c>
      <c r="E67" s="29">
        <v>29.99</v>
      </c>
      <c r="F67" s="28" t="s">
        <v>123</v>
      </c>
      <c r="G67" s="28" t="s">
        <v>41</v>
      </c>
      <c r="H67" s="28" t="s">
        <v>37</v>
      </c>
      <c r="J67">
        <v>0</v>
      </c>
      <c r="K67">
        <v>0</v>
      </c>
      <c r="L67" s="30">
        <v>0</v>
      </c>
      <c r="N67" s="31"/>
      <c r="O67" s="31"/>
      <c r="P67" s="31"/>
      <c r="Q67" s="31"/>
      <c r="R67" s="31"/>
      <c r="S67" s="31"/>
      <c r="T67" s="31"/>
      <c r="U67" s="31"/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B67" s="30">
        <v>497947.16981132067</v>
      </c>
      <c r="AC67" s="30">
        <v>546610.1886792453</v>
      </c>
      <c r="AD67" s="30">
        <v>599800</v>
      </c>
      <c r="AF67" s="32">
        <v>0</v>
      </c>
      <c r="AG67" s="30">
        <v>0</v>
      </c>
      <c r="AH67" s="30">
        <v>0</v>
      </c>
      <c r="AI67" s="30">
        <v>0</v>
      </c>
      <c r="AK67" s="30">
        <v>0</v>
      </c>
      <c r="AL67" s="33">
        <v>0</v>
      </c>
      <c r="AM67" s="33">
        <v>0</v>
      </c>
      <c r="AO67" s="30">
        <v>0</v>
      </c>
      <c r="AP67" s="33">
        <f t="shared" si="8"/>
        <v>0</v>
      </c>
      <c r="AQ67" s="33">
        <f t="shared" si="9"/>
        <v>0</v>
      </c>
    </row>
    <row r="68" spans="1:46" ht="24" x14ac:dyDescent="0.25">
      <c r="A68" s="28" t="s">
        <v>111</v>
      </c>
      <c r="B68" s="28">
        <v>4011000128</v>
      </c>
      <c r="C68" s="28">
        <v>762</v>
      </c>
      <c r="D68" s="28" t="s">
        <v>112</v>
      </c>
      <c r="E68" s="29">
        <v>74.959999999999994</v>
      </c>
      <c r="F68" s="28" t="s">
        <v>113</v>
      </c>
      <c r="G68" s="28" t="s">
        <v>41</v>
      </c>
      <c r="H68" s="28" t="s">
        <v>37</v>
      </c>
      <c r="I68" s="3"/>
      <c r="J68" s="30">
        <v>0</v>
      </c>
      <c r="K68" s="30">
        <v>0</v>
      </c>
      <c r="L68" s="30">
        <v>0</v>
      </c>
      <c r="M68" s="34"/>
      <c r="N68" s="31">
        <v>713907.04640000698</v>
      </c>
      <c r="O68" s="31">
        <v>644805.92000021494</v>
      </c>
      <c r="P68" s="31">
        <v>704324.16</v>
      </c>
      <c r="Q68" s="31">
        <v>668343.36000116903</v>
      </c>
      <c r="R68" s="31">
        <v>666694.24000022397</v>
      </c>
      <c r="S68" s="31">
        <v>745851.99995854602</v>
      </c>
      <c r="T68" s="31">
        <v>924706.55992208899</v>
      </c>
      <c r="U68" s="31">
        <v>948025</v>
      </c>
      <c r="V68" s="31">
        <v>46849</v>
      </c>
      <c r="W68" s="31">
        <v>2098.88</v>
      </c>
      <c r="X68" s="31">
        <v>149.91999999999999</v>
      </c>
      <c r="Y68" s="31">
        <v>299.83999999999997</v>
      </c>
      <c r="Z68" s="31">
        <v>374.28435410526316</v>
      </c>
      <c r="AA68" s="2"/>
      <c r="AB68" s="30">
        <v>0</v>
      </c>
      <c r="AC68" s="30">
        <v>0</v>
      </c>
      <c r="AD68" s="30">
        <v>0</v>
      </c>
      <c r="AF68" s="32">
        <v>245479.24287108282</v>
      </c>
      <c r="AG68" s="30">
        <v>245479.24287108282</v>
      </c>
      <c r="AH68" s="30">
        <v>238114.86558495034</v>
      </c>
      <c r="AI68" s="30">
        <v>252843.62015721531</v>
      </c>
      <c r="AK68" s="30"/>
      <c r="AL68" s="33">
        <v>0</v>
      </c>
      <c r="AM68" s="33">
        <v>0</v>
      </c>
      <c r="AO68" s="30">
        <v>0</v>
      </c>
      <c r="AP68" s="33">
        <f t="shared" si="8"/>
        <v>0</v>
      </c>
      <c r="AQ68" s="33">
        <f t="shared" si="9"/>
        <v>0</v>
      </c>
    </row>
    <row r="69" spans="1:46" ht="24" x14ac:dyDescent="0.25">
      <c r="A69" s="28" t="s">
        <v>111</v>
      </c>
      <c r="B69" s="28">
        <v>4011000165</v>
      </c>
      <c r="C69" s="28">
        <v>803</v>
      </c>
      <c r="D69" s="28" t="s">
        <v>114</v>
      </c>
      <c r="E69" s="29">
        <v>209.9</v>
      </c>
      <c r="F69" s="28" t="s">
        <v>113</v>
      </c>
      <c r="G69" s="28" t="s">
        <v>41</v>
      </c>
      <c r="H69" s="28" t="s">
        <v>37</v>
      </c>
      <c r="I69" s="3"/>
      <c r="J69" s="30">
        <v>4512850</v>
      </c>
      <c r="K69" s="30">
        <v>5033612.3899999904</v>
      </c>
      <c r="L69" s="30">
        <v>5000027.9000000004</v>
      </c>
      <c r="M69" s="34"/>
      <c r="N69" s="31">
        <v>482770.00000000402</v>
      </c>
      <c r="O69" s="31">
        <v>530207.40000021399</v>
      </c>
      <c r="P69" s="31">
        <v>590230.40399999998</v>
      </c>
      <c r="Q69" s="31">
        <v>514255.00000031502</v>
      </c>
      <c r="R69" s="31">
        <v>556440.70200000098</v>
      </c>
      <c r="S69" s="31">
        <v>715339.20000000496</v>
      </c>
      <c r="T69" s="31">
        <v>1107642.2999499701</v>
      </c>
      <c r="U69" s="31">
        <v>1818797</v>
      </c>
      <c r="V69" s="31">
        <v>3139054</v>
      </c>
      <c r="W69" s="31">
        <v>3687943.0400000028</v>
      </c>
      <c r="X69" s="31">
        <v>3653519.5200000014</v>
      </c>
      <c r="Y69" s="31">
        <v>3444039.2499999958</v>
      </c>
      <c r="Z69" s="31">
        <v>3002680.9185715779</v>
      </c>
      <c r="AA69" s="2"/>
      <c r="AB69" s="30">
        <v>2274368.2310469318</v>
      </c>
      <c r="AC69" s="30">
        <v>2148014.4404332135</v>
      </c>
      <c r="AD69" s="30">
        <v>2274368.2310469318</v>
      </c>
      <c r="AF69" s="32">
        <v>4904549.4941289173</v>
      </c>
      <c r="AG69" s="30">
        <v>4904549.4941289173</v>
      </c>
      <c r="AH69" s="30">
        <v>4757413.0093050497</v>
      </c>
      <c r="AI69" s="30">
        <v>5051685.978952785</v>
      </c>
      <c r="AK69" s="30">
        <v>24000</v>
      </c>
      <c r="AL69" s="33">
        <v>21490</v>
      </c>
      <c r="AM69" s="33">
        <v>24051</v>
      </c>
      <c r="AO69" s="30">
        <v>5037600</v>
      </c>
      <c r="AP69" s="33">
        <f t="shared" si="8"/>
        <v>4510751</v>
      </c>
      <c r="AQ69" s="33">
        <f t="shared" si="9"/>
        <v>5048304.9000000004</v>
      </c>
    </row>
    <row r="70" spans="1:46" ht="36" x14ac:dyDescent="0.25">
      <c r="A70" s="28" t="s">
        <v>115</v>
      </c>
      <c r="B70" s="28">
        <v>372948</v>
      </c>
      <c r="C70" s="28">
        <v>620</v>
      </c>
      <c r="D70" s="28" t="s">
        <v>116</v>
      </c>
      <c r="E70" s="29">
        <v>52.47</v>
      </c>
      <c r="F70" s="28" t="s">
        <v>113</v>
      </c>
      <c r="G70" s="28" t="s">
        <v>41</v>
      </c>
      <c r="H70" s="28" t="s">
        <v>36</v>
      </c>
      <c r="I70" s="3"/>
      <c r="J70" s="30">
        <v>61500087</v>
      </c>
      <c r="K70" s="30">
        <v>60453153.020000003</v>
      </c>
      <c r="L70" s="30">
        <v>50500013.850000001</v>
      </c>
      <c r="M70" s="34"/>
      <c r="N70" s="31">
        <v>38035300.990552202</v>
      </c>
      <c r="O70" s="31">
        <v>31386926.983506501</v>
      </c>
      <c r="P70" s="31">
        <v>38784890.034019701</v>
      </c>
      <c r="Q70" s="31">
        <v>37837940.332571998</v>
      </c>
      <c r="R70" s="31">
        <v>36243172.399592303</v>
      </c>
      <c r="S70" s="31">
        <v>47421494.0000128</v>
      </c>
      <c r="T70" s="31">
        <v>54650338.364600599</v>
      </c>
      <c r="U70" s="31">
        <v>57676230</v>
      </c>
      <c r="V70" s="31">
        <v>56080461</v>
      </c>
      <c r="W70" s="31">
        <v>57438699.290000044</v>
      </c>
      <c r="X70" s="31">
        <v>47179292.600000009</v>
      </c>
      <c r="Y70" s="31">
        <v>38376872.850000009</v>
      </c>
      <c r="Z70" s="31">
        <v>34176286.248792201</v>
      </c>
      <c r="AA70" s="2"/>
      <c r="AB70" s="30">
        <v>48345734.130875595</v>
      </c>
      <c r="AC70" s="30">
        <v>46665366.275670759</v>
      </c>
      <c r="AD70" s="30">
        <v>50175032.17907089</v>
      </c>
      <c r="AF70" s="32">
        <v>43519947.170900725</v>
      </c>
      <c r="AG70" s="30">
        <v>45008676.742124401</v>
      </c>
      <c r="AH70" s="30">
        <v>40507809.06791196</v>
      </c>
      <c r="AI70" s="30">
        <v>45043355.702665798</v>
      </c>
      <c r="AK70" s="30">
        <v>899259.57690108637</v>
      </c>
      <c r="AL70" s="33">
        <v>820649</v>
      </c>
      <c r="AM70" s="33">
        <v>956748</v>
      </c>
      <c r="AO70" s="30">
        <v>47184150</v>
      </c>
      <c r="AP70" s="33">
        <f t="shared" si="8"/>
        <v>43059453.030000001</v>
      </c>
      <c r="AQ70" s="33">
        <f t="shared" si="9"/>
        <v>50200567.560000002</v>
      </c>
      <c r="AR70" s="51"/>
      <c r="AS70" s="51"/>
    </row>
    <row r="71" spans="1:46" ht="24" x14ac:dyDescent="0.25">
      <c r="A71" s="28" t="s">
        <v>117</v>
      </c>
      <c r="B71" s="28">
        <v>4011000133</v>
      </c>
      <c r="C71" s="28">
        <v>766</v>
      </c>
      <c r="D71" s="28" t="s">
        <v>118</v>
      </c>
      <c r="E71" s="29">
        <v>1124.44</v>
      </c>
      <c r="F71" s="28" t="s">
        <v>113</v>
      </c>
      <c r="G71" s="28" t="s">
        <v>41</v>
      </c>
      <c r="H71" s="28" t="s">
        <v>37</v>
      </c>
      <c r="I71" s="3"/>
      <c r="J71" s="30">
        <v>603824.28</v>
      </c>
      <c r="K71" s="30">
        <v>609446.80000000005</v>
      </c>
      <c r="L71" s="30">
        <v>652175.20000000007</v>
      </c>
      <c r="M71" s="34"/>
      <c r="N71" s="31">
        <v>272114.48</v>
      </c>
      <c r="O71" s="31">
        <v>254123.44</v>
      </c>
      <c r="P71" s="31">
        <v>286732.2</v>
      </c>
      <c r="Q71" s="31">
        <v>273238.92</v>
      </c>
      <c r="R71" s="31">
        <v>337332</v>
      </c>
      <c r="S71" s="31">
        <v>274363.35998927703</v>
      </c>
      <c r="T71" s="31">
        <v>319340.95998927701</v>
      </c>
      <c r="U71" s="31">
        <v>317076</v>
      </c>
      <c r="V71" s="31">
        <v>266492</v>
      </c>
      <c r="W71" s="31">
        <v>315967.65000000026</v>
      </c>
      <c r="X71" s="31">
        <v>276612.28000000003</v>
      </c>
      <c r="Y71" s="31">
        <v>230510.26000000015</v>
      </c>
      <c r="Z71" s="31">
        <v>207735.25627878957</v>
      </c>
      <c r="AA71" s="2"/>
      <c r="AB71" s="30">
        <v>516413.11520737328</v>
      </c>
      <c r="AC71" s="30">
        <v>459033.88018433185</v>
      </c>
      <c r="AD71" s="30">
        <v>516413.11520737328</v>
      </c>
      <c r="AF71" s="32">
        <v>671740.45600000012</v>
      </c>
      <c r="AG71" s="30">
        <v>671740.45600000012</v>
      </c>
      <c r="AH71" s="30">
        <v>651588.24232000008</v>
      </c>
      <c r="AI71" s="30">
        <v>691892.66968000017</v>
      </c>
      <c r="AK71" s="30">
        <v>500</v>
      </c>
      <c r="AL71" s="33">
        <v>500</v>
      </c>
      <c r="AM71" s="33">
        <v>501</v>
      </c>
      <c r="AO71" s="30">
        <v>562220</v>
      </c>
      <c r="AP71" s="33">
        <f t="shared" ref="AP71:AP134" si="10">AL71*$E71</f>
        <v>562220</v>
      </c>
      <c r="AQ71" s="33">
        <f t="shared" ref="AQ71:AQ134" si="11">AM71*$E71</f>
        <v>563344.44000000006</v>
      </c>
    </row>
    <row r="72" spans="1:46" ht="24" x14ac:dyDescent="0.25">
      <c r="A72" s="28" t="s">
        <v>119</v>
      </c>
      <c r="B72" s="28"/>
      <c r="C72" s="28"/>
      <c r="D72" s="28" t="s">
        <v>120</v>
      </c>
      <c r="E72" s="29">
        <v>449.77511244377808</v>
      </c>
      <c r="F72" s="28" t="s">
        <v>113</v>
      </c>
      <c r="G72" s="28" t="s">
        <v>41</v>
      </c>
      <c r="H72" s="28" t="s">
        <v>37</v>
      </c>
      <c r="J72">
        <v>0</v>
      </c>
      <c r="K72">
        <v>0</v>
      </c>
      <c r="L72" s="30">
        <v>0</v>
      </c>
      <c r="N72" s="31"/>
      <c r="O72" s="31"/>
      <c r="P72" s="31"/>
      <c r="Q72" s="31"/>
      <c r="R72" s="31"/>
      <c r="S72" s="31"/>
      <c r="T72" s="31"/>
      <c r="U72" s="31"/>
      <c r="V72" s="31">
        <v>0</v>
      </c>
      <c r="W72" s="31">
        <v>0</v>
      </c>
      <c r="X72" s="31">
        <v>0</v>
      </c>
      <c r="Y72" s="31">
        <v>0</v>
      </c>
      <c r="Z72" s="31">
        <v>0</v>
      </c>
      <c r="AB72" s="30">
        <v>1631299.7347480108</v>
      </c>
      <c r="AC72" s="30">
        <v>1710875.3315649868</v>
      </c>
      <c r="AD72" s="30">
        <v>1790450.9283819629</v>
      </c>
      <c r="AF72" s="32">
        <v>0</v>
      </c>
      <c r="AG72" s="30">
        <v>0</v>
      </c>
      <c r="AH72" s="30">
        <v>0</v>
      </c>
      <c r="AI72" s="30">
        <v>0</v>
      </c>
      <c r="AK72" s="30">
        <v>0</v>
      </c>
      <c r="AL72" s="33">
        <v>0</v>
      </c>
      <c r="AM72" s="33">
        <v>0</v>
      </c>
      <c r="AO72" s="30">
        <v>0</v>
      </c>
      <c r="AP72" s="33">
        <f t="shared" si="10"/>
        <v>0</v>
      </c>
      <c r="AQ72" s="33">
        <f t="shared" si="11"/>
        <v>0</v>
      </c>
    </row>
    <row r="73" spans="1:46" ht="36" x14ac:dyDescent="0.25">
      <c r="A73" s="28" t="s">
        <v>139</v>
      </c>
      <c r="B73" s="28">
        <v>345252</v>
      </c>
      <c r="C73" s="28">
        <v>630</v>
      </c>
      <c r="D73" s="28" t="s">
        <v>140</v>
      </c>
      <c r="E73" s="29">
        <v>338.35</v>
      </c>
      <c r="F73" s="28" t="s">
        <v>141</v>
      </c>
      <c r="G73" s="28" t="s">
        <v>41</v>
      </c>
      <c r="H73" s="28" t="s">
        <v>36</v>
      </c>
      <c r="I73" s="3"/>
      <c r="J73" s="30">
        <v>3789540.5400000019</v>
      </c>
      <c r="K73" s="30">
        <v>3960387.03</v>
      </c>
      <c r="L73" s="30">
        <v>4005387.3000000003</v>
      </c>
      <c r="M73" s="34"/>
      <c r="N73" s="31">
        <v>3059688.89950134</v>
      </c>
      <c r="O73" s="31">
        <v>2806938.0660002301</v>
      </c>
      <c r="P73" s="31">
        <v>3159502.1495006601</v>
      </c>
      <c r="Q73" s="31">
        <v>2966314.4500026298</v>
      </c>
      <c r="R73" s="31">
        <v>3225490.5500013102</v>
      </c>
      <c r="S73" s="31">
        <v>3369627.6493871701</v>
      </c>
      <c r="T73" s="31">
        <v>4042944.1490903501</v>
      </c>
      <c r="U73" s="31">
        <v>4203660</v>
      </c>
      <c r="V73" s="31">
        <v>4025350</v>
      </c>
      <c r="W73" s="31">
        <v>4152907.9900000012</v>
      </c>
      <c r="X73" s="31">
        <v>3836889.07</v>
      </c>
      <c r="Y73" s="31">
        <v>3411921.4800000009</v>
      </c>
      <c r="Z73" s="31">
        <v>3137257.6975116343</v>
      </c>
      <c r="AA73" s="2"/>
      <c r="AB73" s="30">
        <v>3342240.2464693016</v>
      </c>
      <c r="AC73" s="30">
        <v>3239926.7695365683</v>
      </c>
      <c r="AD73" s="30">
        <v>3239926.7695365683</v>
      </c>
      <c r="AF73" s="32">
        <v>3911186.4529923946</v>
      </c>
      <c r="AG73" s="30">
        <v>4098344.1700933222</v>
      </c>
      <c r="AH73" s="30">
        <v>3688509.7530839904</v>
      </c>
      <c r="AI73" s="30">
        <v>3946705.4357998697</v>
      </c>
      <c r="AK73" s="30">
        <v>12000</v>
      </c>
      <c r="AL73" s="33">
        <v>10783</v>
      </c>
      <c r="AM73" s="33">
        <v>11027</v>
      </c>
      <c r="AO73" s="30">
        <v>4060200.0000000005</v>
      </c>
      <c r="AP73" s="33">
        <f t="shared" si="10"/>
        <v>3648428.0500000003</v>
      </c>
      <c r="AQ73" s="33">
        <f t="shared" si="11"/>
        <v>3730985.45</v>
      </c>
      <c r="AT73" s="2"/>
    </row>
    <row r="74" spans="1:46" ht="24" x14ac:dyDescent="0.25">
      <c r="A74" s="28" t="s">
        <v>139</v>
      </c>
      <c r="B74" s="28">
        <v>345806</v>
      </c>
      <c r="C74" s="28">
        <v>632</v>
      </c>
      <c r="D74" s="28" t="s">
        <v>142</v>
      </c>
      <c r="E74" s="29">
        <v>225.56</v>
      </c>
      <c r="F74" s="28" t="s">
        <v>141</v>
      </c>
      <c r="G74" s="28" t="s">
        <v>41</v>
      </c>
      <c r="H74" s="28" t="s">
        <v>36</v>
      </c>
      <c r="I74" s="3"/>
      <c r="J74" s="30">
        <v>1353293.5400000003</v>
      </c>
      <c r="K74" s="30">
        <v>1489372.9099999992</v>
      </c>
      <c r="L74" s="30">
        <v>1506289.68</v>
      </c>
      <c r="M74" s="34"/>
      <c r="N74" s="31">
        <v>930435.00000100001</v>
      </c>
      <c r="O74" s="31">
        <v>875172.80000004603</v>
      </c>
      <c r="P74" s="31">
        <v>1007799.8244</v>
      </c>
      <c r="Q74" s="31">
        <v>974419.20000134897</v>
      </c>
      <c r="R74" s="31">
        <v>1002839.76000067</v>
      </c>
      <c r="S74" s="31">
        <v>1094191.55981078</v>
      </c>
      <c r="T74" s="31">
        <v>1261331.5197914401</v>
      </c>
      <c r="U74" s="31">
        <v>1284338</v>
      </c>
      <c r="V74" s="31">
        <v>1260881</v>
      </c>
      <c r="W74" s="31">
        <v>1386066.1700000032</v>
      </c>
      <c r="X74" s="31">
        <v>1201332.5500000019</v>
      </c>
      <c r="Y74" s="31">
        <v>1060132.0300000014</v>
      </c>
      <c r="Z74" s="31">
        <v>970450.7080679459</v>
      </c>
      <c r="AA74" s="2"/>
      <c r="AB74" s="30">
        <v>1248062.9752480879</v>
      </c>
      <c r="AC74" s="30">
        <v>1179986.8129618282</v>
      </c>
      <c r="AD74" s="30">
        <v>1179986.8129618282</v>
      </c>
      <c r="AF74" s="32">
        <v>1397733.5347860658</v>
      </c>
      <c r="AG74" s="30">
        <v>1464617.7451478161</v>
      </c>
      <c r="AH74" s="30">
        <v>1318155.9706330346</v>
      </c>
      <c r="AI74" s="30">
        <v>1410426.8885773469</v>
      </c>
      <c r="AK74" s="30">
        <v>6400</v>
      </c>
      <c r="AL74" s="33">
        <v>5666</v>
      </c>
      <c r="AM74" s="33">
        <v>5794</v>
      </c>
      <c r="AO74" s="30">
        <v>1443584</v>
      </c>
      <c r="AP74" s="33">
        <f t="shared" si="10"/>
        <v>1278022.96</v>
      </c>
      <c r="AQ74" s="33">
        <f t="shared" si="11"/>
        <v>1306894.6399999999</v>
      </c>
      <c r="AR74" s="51"/>
      <c r="AS74" s="51"/>
      <c r="AT74" s="2"/>
    </row>
    <row r="75" spans="1:46" ht="36" x14ac:dyDescent="0.25">
      <c r="A75" s="28" t="s">
        <v>139</v>
      </c>
      <c r="B75" s="28">
        <v>372992</v>
      </c>
      <c r="C75" s="28">
        <v>628</v>
      </c>
      <c r="D75" s="28" t="s">
        <v>143</v>
      </c>
      <c r="E75" s="29">
        <v>413.53</v>
      </c>
      <c r="F75" s="28" t="s">
        <v>141</v>
      </c>
      <c r="G75" s="28" t="s">
        <v>41</v>
      </c>
      <c r="H75" s="28" t="s">
        <v>36</v>
      </c>
      <c r="I75" s="3"/>
      <c r="J75" s="30">
        <v>4548708.6299999971</v>
      </c>
      <c r="K75" s="30">
        <v>4756835.509999997</v>
      </c>
      <c r="L75" s="30">
        <v>4811421.55</v>
      </c>
      <c r="M75" s="34"/>
      <c r="N75" s="31">
        <v>3427299.4223028701</v>
      </c>
      <c r="O75" s="31">
        <v>3352438.0864003701</v>
      </c>
      <c r="P75" s="31">
        <v>3751937.0135012902</v>
      </c>
      <c r="Q75" s="31">
        <v>3504253.2200019099</v>
      </c>
      <c r="R75" s="31">
        <v>3741205.9100040202</v>
      </c>
      <c r="S75" s="31">
        <v>3806543.6494238898</v>
      </c>
      <c r="T75" s="31">
        <v>4534356.44912023</v>
      </c>
      <c r="U75" s="31">
        <v>4634848</v>
      </c>
      <c r="V75" s="31">
        <v>4581084</v>
      </c>
      <c r="W75" s="31">
        <v>4755594.9899999993</v>
      </c>
      <c r="X75" s="31">
        <v>4270937.8999999966</v>
      </c>
      <c r="Y75" s="31">
        <v>3892144.3699999987</v>
      </c>
      <c r="Z75" s="31">
        <v>3768269.9115265268</v>
      </c>
      <c r="AA75" s="2"/>
      <c r="AB75" s="30">
        <v>4122230.7759963246</v>
      </c>
      <c r="AC75" s="30">
        <v>4122230.7759963246</v>
      </c>
      <c r="AD75" s="30">
        <v>4122230.7759963246</v>
      </c>
      <c r="AF75" s="32">
        <v>4603974.7513307026</v>
      </c>
      <c r="AG75" s="30">
        <v>4824283.7072972776</v>
      </c>
      <c r="AH75" s="30">
        <v>4341855.33656755</v>
      </c>
      <c r="AI75" s="30">
        <v>4645785.2101272782</v>
      </c>
      <c r="AK75" s="30">
        <v>11500</v>
      </c>
      <c r="AL75" s="33">
        <v>10326</v>
      </c>
      <c r="AM75" s="33">
        <v>10559</v>
      </c>
      <c r="AO75" s="30">
        <v>4755595</v>
      </c>
      <c r="AP75" s="33">
        <f t="shared" si="10"/>
        <v>4270110.7799999993</v>
      </c>
      <c r="AQ75" s="33">
        <f t="shared" si="11"/>
        <v>4366463.2699999996</v>
      </c>
      <c r="AT75" s="2"/>
    </row>
    <row r="76" spans="1:46" ht="24" x14ac:dyDescent="0.25">
      <c r="A76" s="28" t="s">
        <v>139</v>
      </c>
      <c r="B76" s="28">
        <v>372995</v>
      </c>
      <c r="C76" s="28">
        <v>626</v>
      </c>
      <c r="D76" s="28" t="s">
        <v>144</v>
      </c>
      <c r="E76" s="29">
        <v>375.94</v>
      </c>
      <c r="F76" s="28" t="s">
        <v>141</v>
      </c>
      <c r="G76" s="28" t="s">
        <v>41</v>
      </c>
      <c r="H76" s="28" t="s">
        <v>36</v>
      </c>
      <c r="I76" s="3"/>
      <c r="J76" s="30">
        <v>225563.85999999996</v>
      </c>
      <c r="K76" s="30">
        <v>225563.85999999996</v>
      </c>
      <c r="L76" s="30">
        <v>228195.58</v>
      </c>
      <c r="M76" s="34"/>
      <c r="N76" s="31">
        <v>185338.420000752</v>
      </c>
      <c r="O76" s="31">
        <v>127067.72</v>
      </c>
      <c r="P76" s="31">
        <v>165789.54</v>
      </c>
      <c r="Q76" s="31">
        <v>174436.160000451</v>
      </c>
      <c r="R76" s="31">
        <v>195112.86</v>
      </c>
      <c r="S76" s="31">
        <v>179699.319982074</v>
      </c>
      <c r="T76" s="31">
        <v>188721.87998565999</v>
      </c>
      <c r="U76" s="31">
        <v>213169</v>
      </c>
      <c r="V76" s="31">
        <v>145865</v>
      </c>
      <c r="W76" s="31">
        <v>164661.73000000016</v>
      </c>
      <c r="X76" s="31">
        <v>168797.07000000018</v>
      </c>
      <c r="Y76" s="31">
        <v>118421.13000000012</v>
      </c>
      <c r="Z76" s="31">
        <v>179577.29907063165</v>
      </c>
      <c r="AA76" s="2"/>
      <c r="AB76" s="30">
        <v>210035.66497459207</v>
      </c>
      <c r="AC76" s="30">
        <v>190941.51361326553</v>
      </c>
      <c r="AD76" s="30">
        <v>210035.66497459207</v>
      </c>
      <c r="AF76" s="32">
        <v>207907.09543445174</v>
      </c>
      <c r="AG76" s="30">
        <v>217855.84572244331</v>
      </c>
      <c r="AH76" s="30">
        <v>196070.26115019899</v>
      </c>
      <c r="AI76" s="30">
        <v>209795.17943071295</v>
      </c>
      <c r="AK76" s="30">
        <v>550</v>
      </c>
      <c r="AL76" s="33">
        <v>457</v>
      </c>
      <c r="AM76" s="33">
        <v>467</v>
      </c>
      <c r="AO76" s="30">
        <v>206767</v>
      </c>
      <c r="AP76" s="33">
        <f t="shared" si="10"/>
        <v>171804.58</v>
      </c>
      <c r="AQ76" s="33">
        <f t="shared" si="11"/>
        <v>175563.98</v>
      </c>
      <c r="AT76" s="2"/>
    </row>
    <row r="77" spans="1:46" ht="36" x14ac:dyDescent="0.25">
      <c r="A77" s="28" t="s">
        <v>139</v>
      </c>
      <c r="B77" s="28">
        <v>373028</v>
      </c>
      <c r="C77" s="28">
        <v>629</v>
      </c>
      <c r="D77" s="28" t="s">
        <v>145</v>
      </c>
      <c r="E77" s="29">
        <v>751.88</v>
      </c>
      <c r="F77" s="28" t="s">
        <v>141</v>
      </c>
      <c r="G77" s="28" t="s">
        <v>41</v>
      </c>
      <c r="H77" s="28" t="s">
        <v>36</v>
      </c>
      <c r="I77" s="3"/>
      <c r="J77" s="30">
        <v>3984918.1100000003</v>
      </c>
      <c r="K77" s="30">
        <v>4136843.5300000003</v>
      </c>
      <c r="L77" s="30">
        <v>4184212.2</v>
      </c>
      <c r="M77" s="34"/>
      <c r="N77" s="31">
        <v>2569038.6216013702</v>
      </c>
      <c r="O77" s="31">
        <v>2328497.1719998801</v>
      </c>
      <c r="P77" s="31">
        <v>2776670.2836004598</v>
      </c>
      <c r="Q77" s="31">
        <v>2827820.6800018102</v>
      </c>
      <c r="R77" s="31">
        <v>3032332.0400015898</v>
      </c>
      <c r="S77" s="31">
        <v>3157144.1195337302</v>
      </c>
      <c r="T77" s="31">
        <v>3887219.5994476299</v>
      </c>
      <c r="U77" s="31">
        <v>3869944</v>
      </c>
      <c r="V77" s="31">
        <v>3839854</v>
      </c>
      <c r="W77" s="31">
        <v>3739099.2299999935</v>
      </c>
      <c r="X77" s="31">
        <v>3438347.1799999927</v>
      </c>
      <c r="Y77" s="31">
        <v>3106768.2099999897</v>
      </c>
      <c r="Z77" s="31">
        <v>3012142.1007106695</v>
      </c>
      <c r="AA77" s="2"/>
      <c r="AB77" s="30">
        <v>3055611.922533751</v>
      </c>
      <c r="AC77" s="30">
        <v>2902831.3264070638</v>
      </c>
      <c r="AD77" s="30">
        <v>3055611.922533751</v>
      </c>
      <c r="AF77" s="32">
        <v>3941783.0206330549</v>
      </c>
      <c r="AG77" s="30">
        <v>4130404.8417391418</v>
      </c>
      <c r="AH77" s="30">
        <v>3717364.3575652279</v>
      </c>
      <c r="AI77" s="30">
        <v>3977579.862594794</v>
      </c>
      <c r="AK77" s="30">
        <v>5200</v>
      </c>
      <c r="AL77" s="33">
        <v>4569</v>
      </c>
      <c r="AM77" s="33">
        <v>4672</v>
      </c>
      <c r="AO77" s="30">
        <v>3909776</v>
      </c>
      <c r="AP77" s="33">
        <f t="shared" si="10"/>
        <v>3435339.72</v>
      </c>
      <c r="AQ77" s="33">
        <f t="shared" si="11"/>
        <v>3512783.36</v>
      </c>
      <c r="AT77" s="2"/>
    </row>
    <row r="78" spans="1:46" ht="24" x14ac:dyDescent="0.25">
      <c r="A78" s="28" t="s">
        <v>146</v>
      </c>
      <c r="B78" s="28">
        <v>373161</v>
      </c>
      <c r="C78" s="28">
        <v>627</v>
      </c>
      <c r="D78" s="28" t="s">
        <v>147</v>
      </c>
      <c r="E78" s="29">
        <v>90.23</v>
      </c>
      <c r="F78" s="28" t="s">
        <v>141</v>
      </c>
      <c r="G78" s="28" t="s">
        <v>41</v>
      </c>
      <c r="H78" s="28" t="s">
        <v>36</v>
      </c>
      <c r="I78" s="3"/>
      <c r="J78" s="30">
        <v>2165519.2299999991</v>
      </c>
      <c r="K78" s="30">
        <v>2436751.4300000002</v>
      </c>
      <c r="L78" s="30">
        <v>2464812.91</v>
      </c>
      <c r="M78" s="34"/>
      <c r="N78" s="31">
        <v>1287391.7147003801</v>
      </c>
      <c r="O78" s="31">
        <v>1203212.53850041</v>
      </c>
      <c r="P78" s="31">
        <v>1279632.83700031</v>
      </c>
      <c r="Q78" s="31">
        <v>1282709.6800013599</v>
      </c>
      <c r="R78" s="31">
        <v>1322410.8800009</v>
      </c>
      <c r="S78" s="31">
        <v>1330892.4998622399</v>
      </c>
      <c r="T78" s="31">
        <v>1670788.90971334</v>
      </c>
      <c r="U78" s="31">
        <v>1650219</v>
      </c>
      <c r="V78" s="31">
        <v>1552858</v>
      </c>
      <c r="W78" s="31">
        <v>1659419.9799999995</v>
      </c>
      <c r="X78" s="31">
        <v>1444762.8500000003</v>
      </c>
      <c r="Y78" s="31">
        <v>1260152.2500000002</v>
      </c>
      <c r="Z78" s="31">
        <v>1094786.2628543165</v>
      </c>
      <c r="AA78" s="2"/>
      <c r="AB78" s="30">
        <v>1820132.6744181123</v>
      </c>
      <c r="AC78" s="30">
        <v>1729126.0406972065</v>
      </c>
      <c r="AD78" s="30">
        <v>1638119.4069763005</v>
      </c>
      <c r="AF78" s="32">
        <v>2117033.7315048496</v>
      </c>
      <c r="AG78" s="30">
        <v>2218337.8255377398</v>
      </c>
      <c r="AH78" s="30">
        <v>1996504.0429839659</v>
      </c>
      <c r="AI78" s="30">
        <v>2136259.3259928436</v>
      </c>
      <c r="AK78" s="30">
        <v>23600</v>
      </c>
      <c r="AL78" s="33">
        <v>21018</v>
      </c>
      <c r="AM78" s="33">
        <v>21492</v>
      </c>
      <c r="AO78" s="30">
        <v>2129428</v>
      </c>
      <c r="AP78" s="33">
        <f t="shared" si="10"/>
        <v>1896454.1400000001</v>
      </c>
      <c r="AQ78" s="33">
        <f t="shared" si="11"/>
        <v>1939223.1600000001</v>
      </c>
      <c r="AT78" s="2"/>
    </row>
    <row r="79" spans="1:46" ht="24" x14ac:dyDescent="0.25">
      <c r="A79" s="28" t="s">
        <v>148</v>
      </c>
      <c r="B79" s="28">
        <v>4011000156</v>
      </c>
      <c r="C79" s="28">
        <v>793</v>
      </c>
      <c r="D79" s="28" t="s">
        <v>149</v>
      </c>
      <c r="E79" s="29">
        <v>270</v>
      </c>
      <c r="F79" s="28" t="s">
        <v>141</v>
      </c>
      <c r="G79" s="28" t="s">
        <v>41</v>
      </c>
      <c r="H79" s="28" t="s">
        <v>37</v>
      </c>
      <c r="I79" s="3"/>
      <c r="J79" s="30">
        <v>598860.34000000055</v>
      </c>
      <c r="K79" s="30">
        <v>621000.25000000012</v>
      </c>
      <c r="L79" s="30">
        <v>581040</v>
      </c>
      <c r="M79" s="34"/>
      <c r="N79" s="31">
        <v>184947.30000005401</v>
      </c>
      <c r="O79" s="31">
        <v>200340.000000108</v>
      </c>
      <c r="P79" s="31">
        <v>219237.3</v>
      </c>
      <c r="Q79" s="31">
        <v>211410</v>
      </c>
      <c r="R79" s="31">
        <v>265410.00000008103</v>
      </c>
      <c r="S79" s="31">
        <v>260279.99997682599</v>
      </c>
      <c r="T79" s="31">
        <v>348839.99997167598</v>
      </c>
      <c r="U79" s="31">
        <v>421202</v>
      </c>
      <c r="V79" s="31">
        <v>423360</v>
      </c>
      <c r="W79" s="31">
        <v>387720.02999999991</v>
      </c>
      <c r="X79" s="31">
        <v>372870.02000000014</v>
      </c>
      <c r="Y79" s="31">
        <v>353159.97000000009</v>
      </c>
      <c r="Z79" s="31">
        <v>330744.30523884215</v>
      </c>
      <c r="AA79" s="2"/>
      <c r="AB79" s="30">
        <v>356019.08183363068</v>
      </c>
      <c r="AC79" s="30">
        <v>333767.88921902882</v>
      </c>
      <c r="AD79" s="30">
        <v>347674.88460315502</v>
      </c>
      <c r="AF79" s="32">
        <v>596572.63847948762</v>
      </c>
      <c r="AG79" s="30">
        <v>596572.63847948762</v>
      </c>
      <c r="AH79" s="30">
        <v>578675.45932510297</v>
      </c>
      <c r="AI79" s="30">
        <v>614469.81763387227</v>
      </c>
      <c r="AK79" s="30">
        <v>2299.1017081183281</v>
      </c>
      <c r="AL79" s="33">
        <v>2299</v>
      </c>
      <c r="AM79" s="33">
        <v>2405</v>
      </c>
      <c r="AO79" s="30">
        <v>620757.46119194862</v>
      </c>
      <c r="AP79" s="33">
        <f t="shared" si="10"/>
        <v>620730</v>
      </c>
      <c r="AQ79" s="33">
        <f t="shared" si="11"/>
        <v>649350</v>
      </c>
    </row>
    <row r="80" spans="1:46" x14ac:dyDescent="0.25">
      <c r="A80" s="28" t="s">
        <v>148</v>
      </c>
      <c r="B80" s="28">
        <v>4011000157</v>
      </c>
      <c r="C80" s="28">
        <v>794</v>
      </c>
      <c r="D80" s="28" t="s">
        <v>150</v>
      </c>
      <c r="E80" s="29">
        <v>449.7</v>
      </c>
      <c r="F80" s="28" t="s">
        <v>141</v>
      </c>
      <c r="G80" s="28" t="s">
        <v>41</v>
      </c>
      <c r="H80" s="28" t="s">
        <v>37</v>
      </c>
      <c r="I80" s="3"/>
      <c r="J80" s="30">
        <v>1523583.53</v>
      </c>
      <c r="K80" s="30">
        <v>1708860.1300000015</v>
      </c>
      <c r="L80" s="30">
        <v>1312674.3</v>
      </c>
      <c r="M80" s="34"/>
      <c r="N80" s="31">
        <v>472630.20300036401</v>
      </c>
      <c r="O80" s="31">
        <v>553122.00600018399</v>
      </c>
      <c r="P80" s="31">
        <v>632264.70900008897</v>
      </c>
      <c r="Q80" s="31">
        <v>660159.60000040405</v>
      </c>
      <c r="R80" s="31">
        <v>757744.49999999895</v>
      </c>
      <c r="S80" s="31">
        <v>690739.19987562695</v>
      </c>
      <c r="T80" s="31">
        <v>847234.79993995</v>
      </c>
      <c r="U80" s="31">
        <v>1010490</v>
      </c>
      <c r="V80" s="31">
        <v>1036109</v>
      </c>
      <c r="W80" s="31">
        <v>927281.52000000083</v>
      </c>
      <c r="X80" s="31">
        <v>892204.8600000001</v>
      </c>
      <c r="Y80" s="31">
        <v>862524.6599999998</v>
      </c>
      <c r="Z80" s="31">
        <v>884690.17572315957</v>
      </c>
      <c r="AA80" s="2"/>
      <c r="AB80" s="30">
        <v>926514.93692467432</v>
      </c>
      <c r="AC80" s="30">
        <v>857026.31665532372</v>
      </c>
      <c r="AD80" s="30">
        <v>880189.19007844059</v>
      </c>
      <c r="AF80" s="32">
        <v>1379985.7244056892</v>
      </c>
      <c r="AG80" s="30">
        <v>1379985.7244056892</v>
      </c>
      <c r="AH80" s="30">
        <v>1338586.1526735185</v>
      </c>
      <c r="AI80" s="30">
        <v>1421385.29613786</v>
      </c>
      <c r="AK80" s="30">
        <v>3202.3202363076712</v>
      </c>
      <c r="AL80" s="33">
        <v>3202</v>
      </c>
      <c r="AM80" s="33">
        <v>3608</v>
      </c>
      <c r="AO80" s="30">
        <v>1440083.4102675596</v>
      </c>
      <c r="AP80" s="33">
        <f t="shared" si="10"/>
        <v>1439939.4</v>
      </c>
      <c r="AQ80" s="33">
        <f t="shared" si="11"/>
        <v>1622517.5999999999</v>
      </c>
    </row>
    <row r="81" spans="1:43" ht="24" x14ac:dyDescent="0.25">
      <c r="A81" s="28" t="s">
        <v>148</v>
      </c>
      <c r="B81" s="28">
        <v>4011000158</v>
      </c>
      <c r="C81" s="28">
        <v>795</v>
      </c>
      <c r="D81" s="28" t="s">
        <v>151</v>
      </c>
      <c r="E81" s="29">
        <v>524.79999999999995</v>
      </c>
      <c r="F81" s="28" t="s">
        <v>141</v>
      </c>
      <c r="G81" s="28" t="s">
        <v>41</v>
      </c>
      <c r="H81" s="28" t="s">
        <v>37</v>
      </c>
      <c r="I81" s="3"/>
      <c r="J81" s="30">
        <v>384678.57000000007</v>
      </c>
      <c r="K81" s="30">
        <v>419839.99000000011</v>
      </c>
      <c r="L81" s="30">
        <v>306483.19999999995</v>
      </c>
      <c r="M81" s="34"/>
      <c r="N81" s="31">
        <v>91840.000000000102</v>
      </c>
      <c r="O81" s="31">
        <v>89216.000000000204</v>
      </c>
      <c r="P81" s="31">
        <v>117030.39999999999</v>
      </c>
      <c r="Q81" s="31">
        <v>80819.199999999997</v>
      </c>
      <c r="R81" s="31">
        <v>115980.8</v>
      </c>
      <c r="S81" s="31">
        <v>119654.399949951</v>
      </c>
      <c r="T81" s="31">
        <v>172134.39996996999</v>
      </c>
      <c r="U81" s="31">
        <v>173197</v>
      </c>
      <c r="V81" s="31">
        <v>156391</v>
      </c>
      <c r="W81" s="31">
        <v>138022.40000000011</v>
      </c>
      <c r="X81" s="31">
        <v>96563.20000000007</v>
      </c>
      <c r="Y81" s="31">
        <v>123852.79000000004</v>
      </c>
      <c r="Z81" s="31">
        <v>131019.47977731588</v>
      </c>
      <c r="AA81" s="2"/>
      <c r="AB81" s="30">
        <v>178405.11767440825</v>
      </c>
      <c r="AC81" s="30">
        <v>151374.03923889186</v>
      </c>
      <c r="AD81" s="30">
        <v>156780.25492599513</v>
      </c>
      <c r="AF81" s="32">
        <v>289645.06211482332</v>
      </c>
      <c r="AG81" s="30">
        <v>289645.06211482338</v>
      </c>
      <c r="AH81" s="30">
        <v>280955.71025137865</v>
      </c>
      <c r="AI81" s="30">
        <v>298334.41397826804</v>
      </c>
      <c r="AK81" s="30">
        <v>455.71480285916857</v>
      </c>
      <c r="AL81" s="33">
        <v>456</v>
      </c>
      <c r="AM81" s="33">
        <v>501</v>
      </c>
      <c r="AO81" s="30">
        <v>239159.12854049166</v>
      </c>
      <c r="AP81" s="33">
        <f t="shared" si="10"/>
        <v>239308.79999999999</v>
      </c>
      <c r="AQ81" s="33">
        <f t="shared" si="11"/>
        <v>262924.79999999999</v>
      </c>
    </row>
    <row r="82" spans="1:43" ht="36" x14ac:dyDescent="0.25">
      <c r="A82" s="28" t="s">
        <v>152</v>
      </c>
      <c r="B82" s="28">
        <v>336275</v>
      </c>
      <c r="C82" s="28">
        <v>717</v>
      </c>
      <c r="D82" s="28" t="s">
        <v>153</v>
      </c>
      <c r="E82" s="29">
        <v>1843.6</v>
      </c>
      <c r="F82" s="28" t="s">
        <v>154</v>
      </c>
      <c r="G82" s="28" t="s">
        <v>41</v>
      </c>
      <c r="H82" s="28" t="s">
        <v>36</v>
      </c>
      <c r="I82" s="3"/>
      <c r="J82" s="30">
        <v>2211598.2599999993</v>
      </c>
      <c r="K82" s="30">
        <v>2510983.9000000008</v>
      </c>
      <c r="L82" s="30">
        <v>2507296</v>
      </c>
      <c r="M82" s="34"/>
      <c r="N82" s="31">
        <v>1884159.2</v>
      </c>
      <c r="O82" s="31">
        <v>1718235.2</v>
      </c>
      <c r="P82" s="31">
        <v>1924718.4</v>
      </c>
      <c r="Q82" s="31">
        <v>2079580.8</v>
      </c>
      <c r="R82" s="31">
        <v>1867566.8</v>
      </c>
      <c r="S82" s="31">
        <v>1768012.3995604599</v>
      </c>
      <c r="T82" s="31">
        <v>1812258.79949013</v>
      </c>
      <c r="U82" s="31">
        <v>2232604</v>
      </c>
      <c r="V82" s="31">
        <v>2680595</v>
      </c>
      <c r="W82" s="31">
        <v>2660314.7800000007</v>
      </c>
      <c r="X82" s="31">
        <v>2066675.6</v>
      </c>
      <c r="Y82" s="31">
        <v>1897064.4100000013</v>
      </c>
      <c r="Z82" s="31">
        <v>1709120.6536540519</v>
      </c>
      <c r="AA82" s="2"/>
      <c r="AB82" s="30">
        <v>2192794.2056074766</v>
      </c>
      <c r="AC82" s="30">
        <v>2097455.3271028036</v>
      </c>
      <c r="AD82" s="30">
        <v>2097455.3271028036</v>
      </c>
      <c r="AF82" s="32">
        <f t="shared" ref="AF82:AF130" si="12">IFERROR(SUM(AG82:AI82)/3,0)</f>
        <v>2353064.9936425057</v>
      </c>
      <c r="AG82" s="30">
        <v>2465663.632877233</v>
      </c>
      <c r="AH82" s="30">
        <v>2219097.2695895098</v>
      </c>
      <c r="AI82" s="30">
        <v>2374434.0784607758</v>
      </c>
      <c r="AK82" s="30">
        <v>1370</v>
      </c>
      <c r="AL82" s="33">
        <v>1221</v>
      </c>
      <c r="AM82" s="33">
        <v>1278</v>
      </c>
      <c r="AO82" s="30">
        <v>2525732</v>
      </c>
      <c r="AP82" s="33">
        <f t="shared" si="10"/>
        <v>2251035.6</v>
      </c>
      <c r="AQ82" s="33">
        <f t="shared" si="11"/>
        <v>2356120.7999999998</v>
      </c>
    </row>
    <row r="83" spans="1:43" ht="24" x14ac:dyDescent="0.25">
      <c r="A83" s="28" t="s">
        <v>155</v>
      </c>
      <c r="B83" s="28">
        <v>331006</v>
      </c>
      <c r="C83" s="28">
        <v>542</v>
      </c>
      <c r="D83" s="28" t="s">
        <v>156</v>
      </c>
      <c r="E83" s="29">
        <v>60.38</v>
      </c>
      <c r="F83" s="28" t="s">
        <v>157</v>
      </c>
      <c r="G83" s="28" t="s">
        <v>158</v>
      </c>
      <c r="H83" s="28" t="s">
        <v>36</v>
      </c>
      <c r="I83" s="3">
        <v>752844.67555557867</v>
      </c>
      <c r="J83" s="30">
        <v>784912.90000000014</v>
      </c>
      <c r="K83" s="30">
        <v>798042.50999999978</v>
      </c>
      <c r="L83" s="30">
        <v>797317.9</v>
      </c>
      <c r="M83" s="34"/>
      <c r="N83" s="31">
        <v>677523.98000001803</v>
      </c>
      <c r="O83" s="31">
        <v>608388.88000001805</v>
      </c>
      <c r="P83" s="31">
        <v>729450.77999999898</v>
      </c>
      <c r="Q83" s="31">
        <v>661945.93999999901</v>
      </c>
      <c r="R83" s="31">
        <v>669070.78</v>
      </c>
      <c r="S83" s="31">
        <v>663274.30000001995</v>
      </c>
      <c r="T83" s="31">
        <v>761754.08000002301</v>
      </c>
      <c r="U83" s="31">
        <v>731807</v>
      </c>
      <c r="V83" s="31">
        <v>699985</v>
      </c>
      <c r="W83" s="31">
        <v>752515.94000000029</v>
      </c>
      <c r="X83" s="31">
        <v>726250.63999999978</v>
      </c>
      <c r="Y83" s="31">
        <v>724318.48999999976</v>
      </c>
      <c r="Z83" s="31">
        <v>760846.7595914735</v>
      </c>
      <c r="AA83" s="2"/>
      <c r="AB83" s="30">
        <v>729445.42267633695</v>
      </c>
      <c r="AC83" s="30">
        <v>729445.42267633695</v>
      </c>
      <c r="AD83" s="30">
        <v>729445.42267633695</v>
      </c>
      <c r="AF83" s="32">
        <f t="shared" si="12"/>
        <v>787950.20254646137</v>
      </c>
      <c r="AG83" s="30">
        <v>825655.11967844353</v>
      </c>
      <c r="AH83" s="30">
        <v>743089.6077105992</v>
      </c>
      <c r="AI83" s="30">
        <v>795105.88025034114</v>
      </c>
      <c r="AK83" s="30">
        <v>13302</v>
      </c>
      <c r="AL83" s="33">
        <v>12500</v>
      </c>
      <c r="AM83" s="33">
        <v>13028</v>
      </c>
      <c r="AO83" s="30">
        <v>803174.76</v>
      </c>
      <c r="AP83" s="33">
        <f t="shared" si="10"/>
        <v>754750</v>
      </c>
      <c r="AQ83" s="33">
        <f t="shared" si="11"/>
        <v>786630.64</v>
      </c>
    </row>
    <row r="84" spans="1:43" ht="24" x14ac:dyDescent="0.25">
      <c r="A84" s="28" t="s">
        <v>155</v>
      </c>
      <c r="B84" s="28">
        <v>347706</v>
      </c>
      <c r="C84" s="28">
        <v>543</v>
      </c>
      <c r="D84" s="28" t="s">
        <v>159</v>
      </c>
      <c r="E84" s="29">
        <v>225.6</v>
      </c>
      <c r="F84" s="28" t="s">
        <v>157</v>
      </c>
      <c r="G84" s="28" t="s">
        <v>158</v>
      </c>
      <c r="H84" s="28" t="s">
        <v>36</v>
      </c>
      <c r="I84" s="3">
        <v>1062325.3333333016</v>
      </c>
      <c r="J84" s="30">
        <v>1128057.31</v>
      </c>
      <c r="K84" s="30">
        <v>1160937.6099999999</v>
      </c>
      <c r="L84" s="30">
        <v>1159809.5999999999</v>
      </c>
      <c r="M84" s="34"/>
      <c r="N84" s="31">
        <v>986548.79999997001</v>
      </c>
      <c r="O84" s="31">
        <v>871267.19999997399</v>
      </c>
      <c r="P84" s="31">
        <v>987676.800000004</v>
      </c>
      <c r="Q84" s="31">
        <v>897436.80000000296</v>
      </c>
      <c r="R84" s="31">
        <v>819604.80000000203</v>
      </c>
      <c r="S84" s="31">
        <v>908491.19999996899</v>
      </c>
      <c r="T84" s="31">
        <v>955190.39999996999</v>
      </c>
      <c r="U84" s="31">
        <v>1061001</v>
      </c>
      <c r="V84" s="31">
        <v>1017231</v>
      </c>
      <c r="W84" s="31">
        <v>1061222.3999999999</v>
      </c>
      <c r="X84" s="31">
        <v>1005499.2000000002</v>
      </c>
      <c r="Y84" s="31">
        <v>953611.2</v>
      </c>
      <c r="Z84" s="31">
        <v>961986.68549052591</v>
      </c>
      <c r="AA84" s="2"/>
      <c r="AB84" s="30">
        <v>1098422.320100727</v>
      </c>
      <c r="AC84" s="30">
        <v>1087327.1451502144</v>
      </c>
      <c r="AD84" s="30">
        <v>1098422.320100727</v>
      </c>
      <c r="AF84" s="32">
        <f t="shared" si="12"/>
        <v>1128629.6779709731</v>
      </c>
      <c r="AG84" s="30">
        <v>1182636.7565186587</v>
      </c>
      <c r="AH84" s="30">
        <v>1064373.0808667929</v>
      </c>
      <c r="AI84" s="30">
        <v>1138879.1965274683</v>
      </c>
      <c r="AK84" s="30">
        <v>5250</v>
      </c>
      <c r="AL84" s="33">
        <v>5000</v>
      </c>
      <c r="AM84" s="33">
        <v>5111</v>
      </c>
      <c r="AO84" s="30">
        <v>1184400</v>
      </c>
      <c r="AP84" s="33">
        <f t="shared" si="10"/>
        <v>1128000</v>
      </c>
      <c r="AQ84" s="33">
        <f t="shared" si="11"/>
        <v>1153041.5999999999</v>
      </c>
    </row>
    <row r="85" spans="1:43" ht="24" x14ac:dyDescent="0.25">
      <c r="A85" s="28" t="s">
        <v>155</v>
      </c>
      <c r="B85" s="28">
        <v>347707</v>
      </c>
      <c r="C85" s="28">
        <v>545</v>
      </c>
      <c r="D85" s="28" t="s">
        <v>160</v>
      </c>
      <c r="E85" s="29">
        <v>360.6</v>
      </c>
      <c r="F85" s="28" t="s">
        <v>157</v>
      </c>
      <c r="G85" s="28" t="s">
        <v>158</v>
      </c>
      <c r="H85" s="28" t="s">
        <v>36</v>
      </c>
      <c r="I85" s="3">
        <v>3952857.1333335498</v>
      </c>
      <c r="J85" s="30">
        <v>4653637.7500000019</v>
      </c>
      <c r="K85" s="30">
        <v>4762804.59</v>
      </c>
      <c r="L85" s="30">
        <v>4761723</v>
      </c>
      <c r="M85" s="34"/>
      <c r="N85" s="31">
        <v>3793872.6000002199</v>
      </c>
      <c r="O85" s="31">
        <v>3346007.4000002001</v>
      </c>
      <c r="P85" s="31">
        <v>3839668.79999997</v>
      </c>
      <c r="Q85" s="31">
        <v>3472938.5999999801</v>
      </c>
      <c r="R85" s="31">
        <v>3199603.79999999</v>
      </c>
      <c r="S85" s="31">
        <v>3383509.8000002098</v>
      </c>
      <c r="T85" s="31">
        <v>3851208.00000023</v>
      </c>
      <c r="U85" s="31">
        <v>4003019</v>
      </c>
      <c r="V85" s="31">
        <v>3730047</v>
      </c>
      <c r="W85" s="31">
        <v>4019968.8</v>
      </c>
      <c r="X85" s="31">
        <v>3906019.2000000007</v>
      </c>
      <c r="Y85" s="31">
        <v>3706607.4000000008</v>
      </c>
      <c r="Z85" s="31">
        <v>3925732.5775926318</v>
      </c>
      <c r="AA85" s="2"/>
      <c r="AB85" s="30">
        <v>4352064.6692720754</v>
      </c>
      <c r="AC85" s="30">
        <v>4337877.0093885474</v>
      </c>
      <c r="AD85" s="30">
        <v>4352064.6692720754</v>
      </c>
      <c r="AF85" s="32">
        <f t="shared" si="12"/>
        <v>4529164.5807911176</v>
      </c>
      <c r="AG85" s="30">
        <v>4745893.7276889114</v>
      </c>
      <c r="AH85" s="30">
        <v>4271304.3549200203</v>
      </c>
      <c r="AI85" s="30">
        <v>4570295.6597644221</v>
      </c>
      <c r="AK85" s="30">
        <v>13190</v>
      </c>
      <c r="AL85" s="33">
        <v>12110</v>
      </c>
      <c r="AM85" s="33">
        <v>12552</v>
      </c>
      <c r="AO85" s="30">
        <v>4756314</v>
      </c>
      <c r="AP85" s="33">
        <f t="shared" si="10"/>
        <v>4366866</v>
      </c>
      <c r="AQ85" s="33">
        <f t="shared" si="11"/>
        <v>4526251.2</v>
      </c>
    </row>
    <row r="86" spans="1:43" ht="24" x14ac:dyDescent="0.25">
      <c r="A86" s="28" t="s">
        <v>155</v>
      </c>
      <c r="B86" s="28">
        <v>347708</v>
      </c>
      <c r="C86" s="28">
        <v>547</v>
      </c>
      <c r="D86" s="28" t="s">
        <v>161</v>
      </c>
      <c r="E86" s="29">
        <v>433.44</v>
      </c>
      <c r="F86" s="28" t="s">
        <v>157</v>
      </c>
      <c r="G86" s="28" t="s">
        <v>158</v>
      </c>
      <c r="H86" s="28" t="s">
        <v>36</v>
      </c>
      <c r="I86" s="3">
        <v>4967318.719999725</v>
      </c>
      <c r="J86" s="30">
        <v>5634619.8400000008</v>
      </c>
      <c r="K86" s="30">
        <v>5781656.1100000022</v>
      </c>
      <c r="L86" s="30">
        <v>5780789.2800000003</v>
      </c>
      <c r="M86" s="34"/>
      <c r="N86" s="31">
        <v>4667281.91999989</v>
      </c>
      <c r="O86" s="31">
        <v>3939102.7199998</v>
      </c>
      <c r="P86" s="31">
        <v>4613101.9199999897</v>
      </c>
      <c r="Q86" s="31">
        <v>4405050.72</v>
      </c>
      <c r="R86" s="31">
        <v>3939536.1600000099</v>
      </c>
      <c r="S86" s="31">
        <v>4257681.1199997803</v>
      </c>
      <c r="T86" s="31">
        <v>4733164.7999999402</v>
      </c>
      <c r="U86" s="31">
        <v>4865796</v>
      </c>
      <c r="V86" s="31">
        <v>4579727</v>
      </c>
      <c r="W86" s="31">
        <v>4766973.12</v>
      </c>
      <c r="X86" s="31">
        <v>4328765.2800000012</v>
      </c>
      <c r="Y86" s="31">
        <v>4756137.120000001</v>
      </c>
      <c r="Z86" s="31">
        <v>3169137.1277027358</v>
      </c>
      <c r="AA86" s="2"/>
      <c r="AB86" s="30">
        <v>5256747.5296704452</v>
      </c>
      <c r="AC86" s="30">
        <v>5235430.6297123339</v>
      </c>
      <c r="AD86" s="30">
        <v>5256747.5296704452</v>
      </c>
      <c r="AF86" s="32">
        <f t="shared" si="12"/>
        <v>5483078.4354047803</v>
      </c>
      <c r="AG86" s="30">
        <v>5745454.1761139864</v>
      </c>
      <c r="AH86" s="30">
        <v>5170908.7585025877</v>
      </c>
      <c r="AI86" s="30">
        <v>5532872.3715977687</v>
      </c>
      <c r="AK86" s="30">
        <v>13280</v>
      </c>
      <c r="AL86" s="33">
        <v>12115</v>
      </c>
      <c r="AM86" s="33">
        <v>12827</v>
      </c>
      <c r="AO86" s="30">
        <v>5756083.2000000002</v>
      </c>
      <c r="AP86" s="33">
        <f t="shared" si="10"/>
        <v>5251125.5999999996</v>
      </c>
      <c r="AQ86" s="33">
        <f t="shared" si="11"/>
        <v>5559734.8799999999</v>
      </c>
    </row>
    <row r="87" spans="1:43" ht="24" x14ac:dyDescent="0.25">
      <c r="A87" s="28" t="s">
        <v>162</v>
      </c>
      <c r="B87" s="28">
        <v>342922</v>
      </c>
      <c r="C87" s="28">
        <v>552</v>
      </c>
      <c r="D87" s="28" t="s">
        <v>163</v>
      </c>
      <c r="E87" s="29">
        <v>157.41999999999999</v>
      </c>
      <c r="F87" s="28" t="s">
        <v>157</v>
      </c>
      <c r="G87" s="28" t="s">
        <v>158</v>
      </c>
      <c r="H87" s="28" t="s">
        <v>36</v>
      </c>
      <c r="I87" s="3">
        <v>294235.47111111402</v>
      </c>
      <c r="J87" s="30">
        <v>362009.17000000016</v>
      </c>
      <c r="K87" s="30">
        <v>362065.99</v>
      </c>
      <c r="L87" s="30">
        <v>362066</v>
      </c>
      <c r="M87" s="34"/>
      <c r="N87" s="31">
        <v>262104.30000000299</v>
      </c>
      <c r="O87" s="31">
        <v>240380.34000000299</v>
      </c>
      <c r="P87" s="31">
        <v>247464.239999999</v>
      </c>
      <c r="Q87" s="31">
        <v>234555.799999999</v>
      </c>
      <c r="R87" s="31">
        <v>240695.179999999</v>
      </c>
      <c r="S87" s="31">
        <v>241639.70000000301</v>
      </c>
      <c r="T87" s="31">
        <v>279105.660000003</v>
      </c>
      <c r="U87" s="31">
        <v>299254</v>
      </c>
      <c r="V87" s="31">
        <v>286031</v>
      </c>
      <c r="W87" s="31">
        <v>320979.38000000012</v>
      </c>
      <c r="X87" s="31">
        <v>302561.24</v>
      </c>
      <c r="Y87" s="31">
        <v>276586.94000000006</v>
      </c>
      <c r="Z87" s="31">
        <v>279822.10997721058</v>
      </c>
      <c r="AA87" s="2"/>
      <c r="AB87" s="30">
        <v>295409.1968379569</v>
      </c>
      <c r="AC87" s="30">
        <v>280362.88800070953</v>
      </c>
      <c r="AD87" s="30">
        <v>295409.1968379569</v>
      </c>
      <c r="AF87" s="32">
        <f t="shared" si="12"/>
        <v>356094.96718042437</v>
      </c>
      <c r="AG87" s="30">
        <v>373134.78922154143</v>
      </c>
      <c r="AH87" s="30">
        <v>335821.31029938732</v>
      </c>
      <c r="AI87" s="30">
        <v>359328.80202034448</v>
      </c>
      <c r="AJ87" s="35"/>
      <c r="AK87" s="30">
        <v>2370</v>
      </c>
      <c r="AL87" s="33">
        <v>2046</v>
      </c>
      <c r="AM87" s="33">
        <v>2160</v>
      </c>
      <c r="AO87" s="30">
        <v>373085.39999999997</v>
      </c>
      <c r="AP87" s="33">
        <f t="shared" si="10"/>
        <v>322081.31999999995</v>
      </c>
      <c r="AQ87" s="33">
        <f t="shared" si="11"/>
        <v>340027.19999999995</v>
      </c>
    </row>
    <row r="88" spans="1:43" ht="24" x14ac:dyDescent="0.25">
      <c r="A88" s="28" t="s">
        <v>162</v>
      </c>
      <c r="B88" s="28">
        <v>342923</v>
      </c>
      <c r="C88" s="28">
        <v>551</v>
      </c>
      <c r="D88" s="28" t="s">
        <v>164</v>
      </c>
      <c r="E88" s="29">
        <v>269.86</v>
      </c>
      <c r="F88" s="28" t="s">
        <v>157</v>
      </c>
      <c r="G88" s="28" t="s">
        <v>158</v>
      </c>
      <c r="H88" s="28" t="s">
        <v>36</v>
      </c>
      <c r="I88" s="3">
        <v>500500.34666665655</v>
      </c>
      <c r="J88" s="30">
        <v>738067.03999999992</v>
      </c>
      <c r="K88" s="30">
        <v>738067.09999999974</v>
      </c>
      <c r="L88" s="30">
        <v>738067.10000000009</v>
      </c>
      <c r="M88" s="34"/>
      <c r="N88" s="31">
        <v>454714.09999999101</v>
      </c>
      <c r="O88" s="31">
        <v>399122.93999999203</v>
      </c>
      <c r="P88" s="31">
        <v>476033.04000000103</v>
      </c>
      <c r="Q88" s="31">
        <v>436093.760000001</v>
      </c>
      <c r="R88" s="31">
        <v>414504.96000000101</v>
      </c>
      <c r="S88" s="31">
        <v>431506.13999999099</v>
      </c>
      <c r="T88" s="31">
        <v>515972.31999998901</v>
      </c>
      <c r="U88" s="31">
        <v>550243</v>
      </c>
      <c r="V88" s="31">
        <v>493304</v>
      </c>
      <c r="W88" s="31">
        <v>527036.58000000007</v>
      </c>
      <c r="X88" s="31">
        <v>521639.38</v>
      </c>
      <c r="Y88" s="31">
        <v>491954.78</v>
      </c>
      <c r="Z88" s="31">
        <v>463520.59801478958</v>
      </c>
      <c r="AA88" s="2"/>
      <c r="AB88" s="30">
        <v>676862.64391259395</v>
      </c>
      <c r="AC88" s="30">
        <v>663965.94431019411</v>
      </c>
      <c r="AD88" s="30">
        <v>676862.64391259395</v>
      </c>
      <c r="AF88" s="32">
        <f t="shared" si="12"/>
        <v>693798.72125290905</v>
      </c>
      <c r="AG88" s="30">
        <v>726998.3107784586</v>
      </c>
      <c r="AH88" s="30">
        <v>654298.47970061284</v>
      </c>
      <c r="AI88" s="30">
        <v>700099.37327965582</v>
      </c>
      <c r="AK88" s="30">
        <v>2694</v>
      </c>
      <c r="AL88" s="33">
        <v>2327</v>
      </c>
      <c r="AM88" s="33">
        <v>2455</v>
      </c>
      <c r="AO88" s="30">
        <v>727002.84000000008</v>
      </c>
      <c r="AP88" s="33">
        <f t="shared" si="10"/>
        <v>627964.22000000009</v>
      </c>
      <c r="AQ88" s="33">
        <f t="shared" si="11"/>
        <v>662506.30000000005</v>
      </c>
    </row>
    <row r="89" spans="1:43" ht="24" x14ac:dyDescent="0.25">
      <c r="A89" s="28" t="s">
        <v>165</v>
      </c>
      <c r="B89" s="28">
        <v>337864</v>
      </c>
      <c r="C89" s="28">
        <v>577</v>
      </c>
      <c r="D89" s="28" t="s">
        <v>166</v>
      </c>
      <c r="E89" s="29">
        <v>375.94</v>
      </c>
      <c r="F89" s="28" t="s">
        <v>157</v>
      </c>
      <c r="G89" s="28" t="s">
        <v>158</v>
      </c>
      <c r="H89" s="28" t="s">
        <v>36</v>
      </c>
      <c r="I89" s="3">
        <v>863951.18346735463</v>
      </c>
      <c r="J89" s="30">
        <v>956322.74999999895</v>
      </c>
      <c r="K89" s="30">
        <v>1001128.1699999998</v>
      </c>
      <c r="L89" s="30">
        <v>1000000.4</v>
      </c>
      <c r="M89" s="34"/>
      <c r="N89" s="31">
        <v>790376.10562921199</v>
      </c>
      <c r="O89" s="31">
        <v>741090.18365992699</v>
      </c>
      <c r="P89" s="31">
        <v>825789.57844139903</v>
      </c>
      <c r="Q89" s="31">
        <v>760902.07128428598</v>
      </c>
      <c r="R89" s="31">
        <v>725116.11712039495</v>
      </c>
      <c r="S89" s="31">
        <v>761653.72431948502</v>
      </c>
      <c r="T89" s="31">
        <v>856390.60376887908</v>
      </c>
      <c r="U89" s="31">
        <v>868466</v>
      </c>
      <c r="V89" s="31">
        <v>863536</v>
      </c>
      <c r="W89" s="31">
        <v>901316.28999999817</v>
      </c>
      <c r="X89" s="31">
        <v>873496.6199999986</v>
      </c>
      <c r="Y89" s="31">
        <v>884962.78999999946</v>
      </c>
      <c r="Z89" s="31">
        <v>967339.49434005283</v>
      </c>
      <c r="AA89" s="2"/>
      <c r="AB89" s="30">
        <v>847368.76</v>
      </c>
      <c r="AC89" s="30">
        <v>862406.36</v>
      </c>
      <c r="AD89" s="30">
        <v>877443.96</v>
      </c>
      <c r="AF89" s="32">
        <f t="shared" si="12"/>
        <v>954333.71506666671</v>
      </c>
      <c r="AG89" s="30">
        <v>1000000.4</v>
      </c>
      <c r="AH89" s="30">
        <v>900000.36</v>
      </c>
      <c r="AI89" s="30">
        <v>963000.38520000002</v>
      </c>
      <c r="AK89" s="30">
        <v>2680</v>
      </c>
      <c r="AL89" s="33">
        <v>2447</v>
      </c>
      <c r="AM89" s="33">
        <v>2532</v>
      </c>
      <c r="AO89" s="30">
        <v>1007519.2</v>
      </c>
      <c r="AP89" s="33">
        <f t="shared" si="10"/>
        <v>919925.18</v>
      </c>
      <c r="AQ89" s="33">
        <f t="shared" si="11"/>
        <v>951880.08</v>
      </c>
    </row>
    <row r="90" spans="1:43" ht="36" x14ac:dyDescent="0.25">
      <c r="A90" s="28" t="s">
        <v>167</v>
      </c>
      <c r="B90" s="28">
        <v>372979</v>
      </c>
      <c r="C90" s="28">
        <v>578</v>
      </c>
      <c r="D90" s="28" t="s">
        <v>168</v>
      </c>
      <c r="E90" s="29">
        <v>225.56</v>
      </c>
      <c r="F90" s="28" t="s">
        <v>157</v>
      </c>
      <c r="G90" s="28" t="s">
        <v>158</v>
      </c>
      <c r="H90" s="28" t="s">
        <v>36</v>
      </c>
      <c r="I90" s="3">
        <v>771189.64</v>
      </c>
      <c r="J90" s="30">
        <v>596304.76</v>
      </c>
      <c r="K90" s="30">
        <v>669462.07999999996</v>
      </c>
      <c r="L90" s="30">
        <v>669462.07999999996</v>
      </c>
      <c r="M90" s="34"/>
      <c r="N90" s="31">
        <v>80524.919999999896</v>
      </c>
      <c r="O90" s="31">
        <v>671717.68000000203</v>
      </c>
      <c r="P90" s="31">
        <v>215635.36</v>
      </c>
      <c r="Q90" s="31">
        <v>664048.64000000001</v>
      </c>
      <c r="R90" s="31">
        <v>1008929.88</v>
      </c>
      <c r="S90" s="31">
        <v>1105920.68</v>
      </c>
      <c r="T90" s="31">
        <v>1223888.58</v>
      </c>
      <c r="U90" s="31">
        <v>790588</v>
      </c>
      <c r="V90" s="31">
        <v>955473</v>
      </c>
      <c r="W90" s="31">
        <v>756528.24000000022</v>
      </c>
      <c r="X90" s="31">
        <v>859158.04000000027</v>
      </c>
      <c r="Y90" s="31">
        <v>794873.44</v>
      </c>
      <c r="Z90" s="31">
        <v>397565.67977494741</v>
      </c>
      <c r="AA90" s="2"/>
      <c r="AB90" s="30">
        <v>416666.66666666669</v>
      </c>
      <c r="AC90" s="30">
        <v>416666.66666666669</v>
      </c>
      <c r="AD90" s="30">
        <v>416666.66666666669</v>
      </c>
      <c r="AF90" s="32">
        <f t="shared" si="12"/>
        <v>638889.97834666667</v>
      </c>
      <c r="AG90" s="30">
        <v>669462.07999999996</v>
      </c>
      <c r="AH90" s="30">
        <v>602515.87199999997</v>
      </c>
      <c r="AI90" s="30">
        <v>644691.98303999996</v>
      </c>
      <c r="AK90" s="30">
        <v>2968</v>
      </c>
      <c r="AL90" s="33">
        <v>2500</v>
      </c>
      <c r="AM90" s="33">
        <v>2505</v>
      </c>
      <c r="AO90" s="30">
        <v>669462.07999999996</v>
      </c>
      <c r="AP90" s="33">
        <f t="shared" si="10"/>
        <v>563900</v>
      </c>
      <c r="AQ90" s="33">
        <f t="shared" si="11"/>
        <v>565027.80000000005</v>
      </c>
    </row>
    <row r="91" spans="1:43" ht="36" x14ac:dyDescent="0.25">
      <c r="A91" s="28" t="s">
        <v>169</v>
      </c>
      <c r="B91" s="28">
        <v>330444</v>
      </c>
      <c r="C91" s="28">
        <v>596</v>
      </c>
      <c r="D91" s="28" t="s">
        <v>170</v>
      </c>
      <c r="E91" s="29">
        <v>360.9</v>
      </c>
      <c r="F91" s="28" t="s">
        <v>157</v>
      </c>
      <c r="G91" s="28" t="s">
        <v>158</v>
      </c>
      <c r="H91" s="28" t="s">
        <v>36</v>
      </c>
      <c r="I91" s="3">
        <v>166816</v>
      </c>
      <c r="J91" s="30">
        <v>217622.69999999998</v>
      </c>
      <c r="K91" s="30">
        <v>218705.38</v>
      </c>
      <c r="L91" s="30">
        <v>218705.4</v>
      </c>
      <c r="M91" s="34"/>
      <c r="N91" s="31">
        <v>150856.20000000001</v>
      </c>
      <c r="O91" s="31">
        <v>138946.5</v>
      </c>
      <c r="P91" s="31">
        <v>140390.1</v>
      </c>
      <c r="Q91" s="31">
        <v>151217.1</v>
      </c>
      <c r="R91" s="31">
        <v>131006.7</v>
      </c>
      <c r="S91" s="31">
        <v>138946.5</v>
      </c>
      <c r="T91" s="31">
        <v>145442.70000000001</v>
      </c>
      <c r="U91" s="31">
        <v>180808</v>
      </c>
      <c r="V91" s="31">
        <v>143639</v>
      </c>
      <c r="W91" s="31">
        <v>163126.80000000008</v>
      </c>
      <c r="X91" s="31">
        <v>142916.39000000001</v>
      </c>
      <c r="Y91" s="31">
        <v>146164.49999999997</v>
      </c>
      <c r="Z91" s="31">
        <v>167587.61707421049</v>
      </c>
      <c r="AA91" s="2"/>
      <c r="AB91" s="30">
        <v>152936.70492386969</v>
      </c>
      <c r="AC91" s="30">
        <v>140452.07595049258</v>
      </c>
      <c r="AD91" s="30">
        <v>140452.07595049258</v>
      </c>
      <c r="AF91" s="32">
        <f t="shared" si="12"/>
        <v>207391.19702565364</v>
      </c>
      <c r="AG91" s="30">
        <v>217315.26059272123</v>
      </c>
      <c r="AH91" s="30">
        <v>195583.73453344914</v>
      </c>
      <c r="AI91" s="30">
        <v>209274.59595079059</v>
      </c>
      <c r="AK91" s="30">
        <v>602</v>
      </c>
      <c r="AL91" s="33">
        <v>480</v>
      </c>
      <c r="AM91" s="33">
        <v>501</v>
      </c>
      <c r="AO91" s="30">
        <v>217261.8</v>
      </c>
      <c r="AP91" s="33">
        <f t="shared" si="10"/>
        <v>173232</v>
      </c>
      <c r="AQ91" s="33">
        <f t="shared" si="11"/>
        <v>180810.9</v>
      </c>
    </row>
    <row r="92" spans="1:43" ht="36" x14ac:dyDescent="0.25">
      <c r="A92" s="28" t="s">
        <v>169</v>
      </c>
      <c r="B92" s="28">
        <v>330445</v>
      </c>
      <c r="C92" s="28">
        <v>598</v>
      </c>
      <c r="D92" s="28" t="s">
        <v>171</v>
      </c>
      <c r="E92" s="29">
        <v>451.13</v>
      </c>
      <c r="F92" s="28" t="s">
        <v>157</v>
      </c>
      <c r="G92" s="28" t="s">
        <v>158</v>
      </c>
      <c r="H92" s="28" t="s">
        <v>36</v>
      </c>
      <c r="I92" s="3">
        <v>610579.39222222508</v>
      </c>
      <c r="J92" s="30">
        <v>657672.67000000016</v>
      </c>
      <c r="K92" s="30">
        <v>649627.17999999993</v>
      </c>
      <c r="L92" s="30">
        <v>647822.68000000005</v>
      </c>
      <c r="M92" s="34"/>
      <c r="N92" s="31">
        <v>588724.65000000305</v>
      </c>
      <c r="O92" s="31">
        <v>547220.69000000297</v>
      </c>
      <c r="P92" s="31">
        <v>583311.09</v>
      </c>
      <c r="Q92" s="31">
        <v>617596.97</v>
      </c>
      <c r="R92" s="31">
        <v>558498.93999999994</v>
      </c>
      <c r="S92" s="31">
        <v>531882.270000002</v>
      </c>
      <c r="T92" s="31">
        <v>611281.15000000305</v>
      </c>
      <c r="U92" s="31">
        <v>619403</v>
      </c>
      <c r="V92" s="31">
        <v>569778</v>
      </c>
      <c r="W92" s="31">
        <v>631130.9</v>
      </c>
      <c r="X92" s="31">
        <v>616243.60999999987</v>
      </c>
      <c r="Y92" s="31">
        <v>557596.69000000006</v>
      </c>
      <c r="Z92" s="31">
        <v>723067.55742699979</v>
      </c>
      <c r="AA92" s="2"/>
      <c r="AB92" s="30">
        <v>561814.53054958791</v>
      </c>
      <c r="AC92" s="30">
        <v>540356.33667443017</v>
      </c>
      <c r="AD92" s="30">
        <v>544257.82646991336</v>
      </c>
      <c r="AF92" s="32">
        <f t="shared" si="12"/>
        <v>672576.15163097437</v>
      </c>
      <c r="AG92" s="30">
        <v>704760.20080088126</v>
      </c>
      <c r="AH92" s="30">
        <v>634284.1807207932</v>
      </c>
      <c r="AI92" s="30">
        <v>678684.07337124879</v>
      </c>
      <c r="AK92" s="30">
        <v>1562</v>
      </c>
      <c r="AL92" s="33">
        <v>1320</v>
      </c>
      <c r="AM92" s="33">
        <v>1364</v>
      </c>
      <c r="AO92" s="30">
        <v>704665.05999999994</v>
      </c>
      <c r="AP92" s="33">
        <f t="shared" si="10"/>
        <v>595491.6</v>
      </c>
      <c r="AQ92" s="33">
        <f t="shared" si="11"/>
        <v>615341.31999999995</v>
      </c>
    </row>
    <row r="93" spans="1:43" ht="24" x14ac:dyDescent="0.25">
      <c r="A93" s="28" t="s">
        <v>169</v>
      </c>
      <c r="B93" s="28">
        <v>340941</v>
      </c>
      <c r="C93" s="28">
        <v>597</v>
      </c>
      <c r="D93" s="28" t="s">
        <v>172</v>
      </c>
      <c r="E93" s="29">
        <v>299.85000000000002</v>
      </c>
      <c r="F93" s="28" t="s">
        <v>157</v>
      </c>
      <c r="G93" s="28" t="s">
        <v>158</v>
      </c>
      <c r="H93" s="28" t="s">
        <v>36</v>
      </c>
      <c r="I93" s="3">
        <v>78827.233333333192</v>
      </c>
      <c r="J93" s="30">
        <v>113430.13000000005</v>
      </c>
      <c r="K93" s="30">
        <v>120239.84</v>
      </c>
      <c r="L93" s="30">
        <v>120239.85</v>
      </c>
      <c r="M93" s="34"/>
      <c r="N93" s="31">
        <v>80359.8</v>
      </c>
      <c r="O93" s="31">
        <v>55172.4</v>
      </c>
      <c r="P93" s="31">
        <v>30584.7</v>
      </c>
      <c r="Q93" s="31">
        <v>107046.45</v>
      </c>
      <c r="R93" s="31">
        <v>86356.800000000003</v>
      </c>
      <c r="S93" s="31">
        <v>84557.7</v>
      </c>
      <c r="T93" s="31">
        <v>84557.7</v>
      </c>
      <c r="U93" s="31">
        <v>80360</v>
      </c>
      <c r="V93" s="31">
        <v>68066</v>
      </c>
      <c r="W93" s="31">
        <v>68965.519999999975</v>
      </c>
      <c r="X93" s="31">
        <v>59670.17</v>
      </c>
      <c r="Y93" s="31">
        <v>73763.100000000006</v>
      </c>
      <c r="Z93" s="31">
        <v>78851.883618999986</v>
      </c>
      <c r="AA93" s="2"/>
      <c r="AB93" s="30">
        <v>97244.285059931659</v>
      </c>
      <c r="AC93" s="30">
        <v>88168.151787671362</v>
      </c>
      <c r="AD93" s="30">
        <v>90761.332722602892</v>
      </c>
      <c r="AF93" s="32">
        <f t="shared" si="12"/>
        <v>110214.08426862959</v>
      </c>
      <c r="AG93" s="30">
        <v>115488.03800415253</v>
      </c>
      <c r="AH93" s="30">
        <v>103939.23420373729</v>
      </c>
      <c r="AI93" s="30">
        <v>111214.98059799892</v>
      </c>
      <c r="AK93" s="30">
        <v>385</v>
      </c>
      <c r="AL93" s="33">
        <v>350</v>
      </c>
      <c r="AM93" s="33">
        <v>372</v>
      </c>
      <c r="AO93" s="30">
        <v>115442.25000000001</v>
      </c>
      <c r="AP93" s="33">
        <f t="shared" si="10"/>
        <v>104947.50000000001</v>
      </c>
      <c r="AQ93" s="33">
        <f t="shared" si="11"/>
        <v>111544.20000000001</v>
      </c>
    </row>
    <row r="94" spans="1:43" ht="24" x14ac:dyDescent="0.25">
      <c r="A94" s="28" t="s">
        <v>173</v>
      </c>
      <c r="B94" s="28">
        <v>318678</v>
      </c>
      <c r="C94" s="28">
        <v>636</v>
      </c>
      <c r="D94" s="28" t="s">
        <v>174</v>
      </c>
      <c r="E94" s="29">
        <v>226.32</v>
      </c>
      <c r="F94" s="28" t="s">
        <v>157</v>
      </c>
      <c r="G94" s="28" t="s">
        <v>158</v>
      </c>
      <c r="H94" s="28" t="s">
        <v>36</v>
      </c>
      <c r="I94" s="3">
        <v>781960.74666667683</v>
      </c>
      <c r="J94" s="30">
        <v>950542.69000000018</v>
      </c>
      <c r="K94" s="30">
        <v>962086.48999999976</v>
      </c>
      <c r="L94" s="30">
        <v>961860</v>
      </c>
      <c r="M94" s="34"/>
      <c r="N94" s="31">
        <v>752966.63999999105</v>
      </c>
      <c r="O94" s="31">
        <v>688465.43999999203</v>
      </c>
      <c r="P94" s="31">
        <v>741876.96000000299</v>
      </c>
      <c r="Q94" s="31">
        <v>759529.92000000295</v>
      </c>
      <c r="R94" s="31">
        <v>683712.72000000195</v>
      </c>
      <c r="S94" s="31">
        <v>689597.039999992</v>
      </c>
      <c r="T94" s="31">
        <v>765866.87999998406</v>
      </c>
      <c r="U94" s="31">
        <v>789854</v>
      </c>
      <c r="V94" s="31">
        <v>727846</v>
      </c>
      <c r="W94" s="31">
        <v>786688.32</v>
      </c>
      <c r="X94" s="31">
        <v>700913.0399999998</v>
      </c>
      <c r="Y94" s="31">
        <v>769488</v>
      </c>
      <c r="Z94" s="31">
        <v>746205.14778531576</v>
      </c>
      <c r="AA94" s="2"/>
      <c r="AB94" s="30">
        <v>773489.03324974293</v>
      </c>
      <c r="AC94" s="30">
        <v>763216.93453460687</v>
      </c>
      <c r="AD94" s="30">
        <v>763216.93453460687</v>
      </c>
      <c r="AF94" s="32">
        <f t="shared" si="12"/>
        <v>902723.704500144</v>
      </c>
      <c r="AG94" s="30">
        <v>945920.75218317576</v>
      </c>
      <c r="AH94" s="30">
        <v>851328.6769648582</v>
      </c>
      <c r="AI94" s="30">
        <v>910921.68435239827</v>
      </c>
      <c r="AJ94" s="35"/>
      <c r="AK94" s="30">
        <v>3625.1523427115444</v>
      </c>
      <c r="AL94" s="33">
        <v>3300</v>
      </c>
      <c r="AM94" s="33">
        <v>3307</v>
      </c>
      <c r="AO94" s="30">
        <v>820444.47820247675</v>
      </c>
      <c r="AP94" s="33">
        <f t="shared" si="10"/>
        <v>746856</v>
      </c>
      <c r="AQ94" s="33">
        <f t="shared" si="11"/>
        <v>748440.24</v>
      </c>
    </row>
    <row r="95" spans="1:43" ht="24" x14ac:dyDescent="0.25">
      <c r="A95" s="28" t="s">
        <v>173</v>
      </c>
      <c r="B95" s="28">
        <v>318732</v>
      </c>
      <c r="C95" s="28">
        <v>634</v>
      </c>
      <c r="D95" s="28" t="s">
        <v>175</v>
      </c>
      <c r="E95" s="29">
        <v>226.47</v>
      </c>
      <c r="F95" s="28" t="s">
        <v>157</v>
      </c>
      <c r="G95" s="28" t="s">
        <v>158</v>
      </c>
      <c r="H95" s="28" t="s">
        <v>36</v>
      </c>
      <c r="I95" s="3">
        <v>893700.94666663627</v>
      </c>
      <c r="J95" s="30">
        <v>996432.07000000018</v>
      </c>
      <c r="K95" s="30">
        <v>1019567.8400000002</v>
      </c>
      <c r="L95" s="30">
        <v>1019115</v>
      </c>
      <c r="M95" s="34"/>
      <c r="N95" s="31">
        <v>844053.68999996595</v>
      </c>
      <c r="O95" s="31">
        <v>697527.59999997402</v>
      </c>
      <c r="P95" s="31">
        <v>873947.73000000196</v>
      </c>
      <c r="Q95" s="31">
        <v>808950.84000000195</v>
      </c>
      <c r="R95" s="31">
        <v>754598.04000000202</v>
      </c>
      <c r="S95" s="31">
        <v>778377.38999996905</v>
      </c>
      <c r="T95" s="31">
        <v>889347.689999967</v>
      </c>
      <c r="U95" s="31">
        <v>929433</v>
      </c>
      <c r="V95" s="31">
        <v>785625</v>
      </c>
      <c r="W95" s="31">
        <v>902256.51000000013</v>
      </c>
      <c r="X95" s="31">
        <v>904521.17999999982</v>
      </c>
      <c r="Y95" s="31">
        <v>931697.6</v>
      </c>
      <c r="Z95" s="31">
        <v>890310.38284878957</v>
      </c>
      <c r="AA95" s="2"/>
      <c r="AB95" s="30">
        <v>807922.07761985203</v>
      </c>
      <c r="AC95" s="30">
        <v>791475.82667593635</v>
      </c>
      <c r="AD95" s="30">
        <v>791475.82667593635</v>
      </c>
      <c r="AF95" s="32">
        <f t="shared" si="12"/>
        <v>983478.13755939377</v>
      </c>
      <c r="AG95" s="30">
        <v>1030539.4385882575</v>
      </c>
      <c r="AH95" s="30">
        <v>927485.4947294317</v>
      </c>
      <c r="AI95" s="30">
        <v>992409.47936049197</v>
      </c>
      <c r="AK95" s="30">
        <v>4350.1828112538533</v>
      </c>
      <c r="AL95" s="33">
        <v>4250</v>
      </c>
      <c r="AM95" s="33">
        <v>4259</v>
      </c>
      <c r="AO95" s="30">
        <v>985185.90126466018</v>
      </c>
      <c r="AP95" s="33">
        <f t="shared" si="10"/>
        <v>962497.5</v>
      </c>
      <c r="AQ95" s="33">
        <f t="shared" si="11"/>
        <v>964535.73</v>
      </c>
    </row>
    <row r="96" spans="1:43" ht="24" x14ac:dyDescent="0.25">
      <c r="A96" s="28" t="s">
        <v>173</v>
      </c>
      <c r="B96" s="28">
        <v>328438</v>
      </c>
      <c r="C96" s="28">
        <v>635</v>
      </c>
      <c r="D96" s="28" t="s">
        <v>176</v>
      </c>
      <c r="E96" s="29">
        <v>406.01</v>
      </c>
      <c r="F96" s="28" t="s">
        <v>157</v>
      </c>
      <c r="G96" s="28" t="s">
        <v>158</v>
      </c>
      <c r="H96" s="28" t="s">
        <v>36</v>
      </c>
      <c r="I96" s="3">
        <v>270357.54777777777</v>
      </c>
      <c r="J96" s="30">
        <v>304388.73</v>
      </c>
      <c r="K96" s="30">
        <v>324808.10999999993</v>
      </c>
      <c r="L96" s="30">
        <v>324808</v>
      </c>
      <c r="M96" s="34"/>
      <c r="N96" s="31">
        <v>296793.31000000099</v>
      </c>
      <c r="O96" s="31">
        <v>318311.84000000102</v>
      </c>
      <c r="P96" s="31">
        <v>279334.88</v>
      </c>
      <c r="Q96" s="31">
        <v>353228.7</v>
      </c>
      <c r="R96" s="31">
        <v>247666.1</v>
      </c>
      <c r="S96" s="31">
        <v>261064.43000000101</v>
      </c>
      <c r="T96" s="31">
        <v>336176.28000000102</v>
      </c>
      <c r="U96" s="31">
        <v>289074</v>
      </c>
      <c r="V96" s="31">
        <v>237110</v>
      </c>
      <c r="W96" s="31">
        <v>291921.21000000002</v>
      </c>
      <c r="X96" s="31">
        <v>252944.22999999989</v>
      </c>
      <c r="Y96" s="31">
        <v>241575.97</v>
      </c>
      <c r="Z96" s="31">
        <v>270976.72945752623</v>
      </c>
      <c r="AA96" s="2"/>
      <c r="AB96" s="30">
        <v>302215.56516901293</v>
      </c>
      <c r="AC96" s="30">
        <v>291158.89815063443</v>
      </c>
      <c r="AD96" s="30">
        <v>291158.89815063443</v>
      </c>
      <c r="AF96" s="32">
        <f t="shared" si="12"/>
        <v>314283.7342737955</v>
      </c>
      <c r="AG96" s="30">
        <v>329322.80922856677</v>
      </c>
      <c r="AH96" s="30">
        <v>296390.52830571006</v>
      </c>
      <c r="AI96" s="30">
        <v>317137.8652871098</v>
      </c>
      <c r="AK96" s="30">
        <v>725.03046854230888</v>
      </c>
      <c r="AL96" s="33">
        <v>725</v>
      </c>
      <c r="AM96" s="33">
        <v>727</v>
      </c>
      <c r="AO96" s="30">
        <v>294369.62053286284</v>
      </c>
      <c r="AP96" s="33">
        <f t="shared" si="10"/>
        <v>294357.25</v>
      </c>
      <c r="AQ96" s="33">
        <f t="shared" si="11"/>
        <v>295169.27</v>
      </c>
    </row>
    <row r="97" spans="1:43" ht="24" x14ac:dyDescent="0.25">
      <c r="A97" s="28" t="s">
        <v>177</v>
      </c>
      <c r="B97" s="28">
        <v>329832</v>
      </c>
      <c r="C97" s="28">
        <v>666</v>
      </c>
      <c r="D97" s="28" t="s">
        <v>178</v>
      </c>
      <c r="E97" s="29">
        <v>113</v>
      </c>
      <c r="F97" s="28" t="s">
        <v>157</v>
      </c>
      <c r="G97" s="28" t="s">
        <v>158</v>
      </c>
      <c r="H97" s="28" t="s">
        <v>36</v>
      </c>
      <c r="I97" s="3">
        <v>252341.55555555556</v>
      </c>
      <c r="J97" s="30">
        <v>260432.24000000002</v>
      </c>
      <c r="K97" s="30">
        <v>262724.95999999996</v>
      </c>
      <c r="L97" s="30">
        <v>262725</v>
      </c>
      <c r="M97" s="34"/>
      <c r="N97" s="31">
        <v>211875</v>
      </c>
      <c r="O97" s="31">
        <v>213344</v>
      </c>
      <c r="P97" s="31">
        <v>220124</v>
      </c>
      <c r="Q97" s="31">
        <v>224305</v>
      </c>
      <c r="R97" s="31">
        <v>207242</v>
      </c>
      <c r="S97" s="31">
        <v>221028</v>
      </c>
      <c r="T97" s="31">
        <v>242498</v>
      </c>
      <c r="U97" s="31">
        <v>261257</v>
      </c>
      <c r="V97" s="31">
        <v>260013</v>
      </c>
      <c r="W97" s="31">
        <v>280466</v>
      </c>
      <c r="X97" s="31">
        <v>274025</v>
      </c>
      <c r="Y97" s="31">
        <v>257640</v>
      </c>
      <c r="Z97" s="31">
        <v>290010.45697894745</v>
      </c>
      <c r="AA97" s="2"/>
      <c r="AB97" s="30">
        <v>264803.72989717399</v>
      </c>
      <c r="AC97" s="30">
        <v>253770.24115145841</v>
      </c>
      <c r="AD97" s="30">
        <v>253770.24115145841</v>
      </c>
      <c r="AF97" s="32">
        <f t="shared" si="12"/>
        <v>267900.08117547195</v>
      </c>
      <c r="AG97" s="30">
        <v>280719.61003367649</v>
      </c>
      <c r="AH97" s="30">
        <v>252647.64903030885</v>
      </c>
      <c r="AI97" s="30">
        <v>270332.98446243047</v>
      </c>
      <c r="AK97" s="30">
        <v>2450</v>
      </c>
      <c r="AL97" s="33">
        <v>2500</v>
      </c>
      <c r="AM97" s="33">
        <v>2305</v>
      </c>
      <c r="AO97" s="30">
        <v>276850</v>
      </c>
      <c r="AP97" s="33">
        <f t="shared" si="10"/>
        <v>282500</v>
      </c>
      <c r="AQ97" s="33">
        <f t="shared" si="11"/>
        <v>260465</v>
      </c>
    </row>
    <row r="98" spans="1:43" ht="24" x14ac:dyDescent="0.25">
      <c r="A98" s="28" t="s">
        <v>177</v>
      </c>
      <c r="B98" s="28">
        <v>329833</v>
      </c>
      <c r="C98" s="28">
        <v>667</v>
      </c>
      <c r="D98" s="28" t="s">
        <v>179</v>
      </c>
      <c r="E98" s="29">
        <v>188</v>
      </c>
      <c r="F98" s="28" t="s">
        <v>157</v>
      </c>
      <c r="G98" s="28" t="s">
        <v>158</v>
      </c>
      <c r="H98" s="28" t="s">
        <v>36</v>
      </c>
      <c r="I98" s="3">
        <v>643586.66666666663</v>
      </c>
      <c r="J98" s="30">
        <v>761345.46999999962</v>
      </c>
      <c r="K98" s="30">
        <v>780200.03999999992</v>
      </c>
      <c r="L98" s="30">
        <v>780200</v>
      </c>
      <c r="M98" s="34"/>
      <c r="N98" s="31">
        <v>556104</v>
      </c>
      <c r="O98" s="31">
        <v>556856</v>
      </c>
      <c r="P98" s="31">
        <v>606676</v>
      </c>
      <c r="Q98" s="31">
        <v>612128</v>
      </c>
      <c r="R98" s="31">
        <v>580544</v>
      </c>
      <c r="S98" s="31">
        <v>607992</v>
      </c>
      <c r="T98" s="31">
        <v>544072</v>
      </c>
      <c r="U98" s="31">
        <v>719476</v>
      </c>
      <c r="V98" s="31">
        <v>696728</v>
      </c>
      <c r="W98" s="31">
        <v>731320</v>
      </c>
      <c r="X98" s="31">
        <v>690336</v>
      </c>
      <c r="Y98" s="31">
        <v>652736</v>
      </c>
      <c r="Z98" s="31">
        <v>689010.76029473683</v>
      </c>
      <c r="AA98" s="2"/>
      <c r="AB98" s="30">
        <v>581353.54559682088</v>
      </c>
      <c r="AC98" s="30">
        <v>575846.56537329557</v>
      </c>
      <c r="AD98" s="30">
        <v>577682.22544780397</v>
      </c>
      <c r="AF98" s="32">
        <f t="shared" si="12"/>
        <v>763764.69445249031</v>
      </c>
      <c r="AG98" s="30">
        <v>800312.28898270032</v>
      </c>
      <c r="AH98" s="30">
        <v>720281.06008443027</v>
      </c>
      <c r="AI98" s="30">
        <v>770700.73429034045</v>
      </c>
      <c r="AK98" s="30">
        <v>4000</v>
      </c>
      <c r="AL98" s="33">
        <v>3600</v>
      </c>
      <c r="AM98" s="33">
        <v>3908</v>
      </c>
      <c r="AO98" s="30">
        <v>752000</v>
      </c>
      <c r="AP98" s="33">
        <f t="shared" si="10"/>
        <v>676800</v>
      </c>
      <c r="AQ98" s="33">
        <f t="shared" si="11"/>
        <v>734704</v>
      </c>
    </row>
    <row r="99" spans="1:43" ht="24" x14ac:dyDescent="0.25">
      <c r="A99" s="28" t="s">
        <v>177</v>
      </c>
      <c r="B99" s="28">
        <v>329834</v>
      </c>
      <c r="C99" s="28">
        <v>668</v>
      </c>
      <c r="D99" s="28" t="s">
        <v>180</v>
      </c>
      <c r="E99" s="29">
        <v>180.6</v>
      </c>
      <c r="F99" s="28" t="s">
        <v>157</v>
      </c>
      <c r="G99" s="28" t="s">
        <v>158</v>
      </c>
      <c r="H99" s="28" t="s">
        <v>36</v>
      </c>
      <c r="I99" s="3">
        <v>727817.99999999278</v>
      </c>
      <c r="J99" s="30">
        <v>785557.65999999992</v>
      </c>
      <c r="K99" s="30">
        <v>803669.95000000007</v>
      </c>
      <c r="L99" s="30">
        <v>803670</v>
      </c>
      <c r="M99" s="34"/>
      <c r="N99" s="31">
        <v>657564.59999998903</v>
      </c>
      <c r="O99" s="31">
        <v>594715.79999999097</v>
      </c>
      <c r="P99" s="31">
        <v>657022.80000000005</v>
      </c>
      <c r="Q99" s="31">
        <v>682848.60000000102</v>
      </c>
      <c r="R99" s="31">
        <v>641491.19999999995</v>
      </c>
      <c r="S99" s="31">
        <v>679417.19999998796</v>
      </c>
      <c r="T99" s="31">
        <v>739737.59999998705</v>
      </c>
      <c r="U99" s="31">
        <v>746419</v>
      </c>
      <c r="V99" s="31">
        <v>742807</v>
      </c>
      <c r="W99" s="31">
        <v>783262.2</v>
      </c>
      <c r="X99" s="31">
        <v>744433.2</v>
      </c>
      <c r="Y99" s="31">
        <v>750573.59999999986</v>
      </c>
      <c r="Z99" s="31">
        <v>800760.80394947389</v>
      </c>
      <c r="AA99" s="2"/>
      <c r="AB99" s="30">
        <v>668330.63502079016</v>
      </c>
      <c r="AC99" s="30">
        <v>663040.41891244613</v>
      </c>
      <c r="AD99" s="30">
        <v>664803.82428189414</v>
      </c>
      <c r="AF99" s="32">
        <f t="shared" si="12"/>
        <v>804585.70673833985</v>
      </c>
      <c r="AG99" s="30">
        <v>843086.66441320977</v>
      </c>
      <c r="AH99" s="30">
        <v>758777.99797188886</v>
      </c>
      <c r="AI99" s="30">
        <v>811892.45782992116</v>
      </c>
      <c r="AK99" s="30">
        <v>4590</v>
      </c>
      <c r="AL99" s="33">
        <v>4320</v>
      </c>
      <c r="AM99" s="33">
        <v>4409</v>
      </c>
      <c r="AO99" s="30">
        <v>828954</v>
      </c>
      <c r="AP99" s="33">
        <f t="shared" si="10"/>
        <v>780192</v>
      </c>
      <c r="AQ99" s="33">
        <f t="shared" si="11"/>
        <v>796265.4</v>
      </c>
    </row>
    <row r="100" spans="1:43" ht="36" x14ac:dyDescent="0.25">
      <c r="A100" s="28" t="s">
        <v>177</v>
      </c>
      <c r="B100" s="28">
        <v>339923</v>
      </c>
      <c r="C100" s="28">
        <v>665</v>
      </c>
      <c r="D100" s="28" t="s">
        <v>181</v>
      </c>
      <c r="E100" s="29">
        <v>224.89</v>
      </c>
      <c r="F100" s="28" t="s">
        <v>157</v>
      </c>
      <c r="G100" s="28" t="s">
        <v>158</v>
      </c>
      <c r="H100" s="28" t="s">
        <v>36</v>
      </c>
      <c r="I100" s="3">
        <v>278713.67333333479</v>
      </c>
      <c r="J100" s="30">
        <v>296854.83999999991</v>
      </c>
      <c r="K100" s="30">
        <v>303601.38000000006</v>
      </c>
      <c r="L100" s="30">
        <v>303601.5</v>
      </c>
      <c r="M100" s="34"/>
      <c r="N100" s="31">
        <v>239957.63000000099</v>
      </c>
      <c r="O100" s="31">
        <v>168667.50000000099</v>
      </c>
      <c r="P100" s="31">
        <v>292132.11</v>
      </c>
      <c r="Q100" s="31">
        <v>257049.27</v>
      </c>
      <c r="R100" s="31">
        <v>282911.62</v>
      </c>
      <c r="S100" s="31">
        <v>256149.710000002</v>
      </c>
      <c r="T100" s="31">
        <v>303601.50000000303</v>
      </c>
      <c r="U100" s="31">
        <v>290109</v>
      </c>
      <c r="V100" s="31">
        <v>291907</v>
      </c>
      <c r="W100" s="31">
        <v>340258.61</v>
      </c>
      <c r="X100" s="31">
        <v>326090.5299999998</v>
      </c>
      <c r="Y100" s="31">
        <v>268068.92</v>
      </c>
      <c r="Z100" s="31">
        <v>262010.74842068422</v>
      </c>
      <c r="AA100" s="2"/>
      <c r="AB100" s="30">
        <v>239348.69022886158</v>
      </c>
      <c r="AC100" s="30">
        <v>234956.97114209345</v>
      </c>
      <c r="AD100" s="30">
        <v>234956.97114209345</v>
      </c>
      <c r="AF100" s="32">
        <f t="shared" si="12"/>
        <v>311187.04413369787</v>
      </c>
      <c r="AG100" s="30">
        <v>326077.93657041341</v>
      </c>
      <c r="AH100" s="30">
        <v>293470.14291337208</v>
      </c>
      <c r="AI100" s="30">
        <v>314013.05291730817</v>
      </c>
      <c r="AK100" s="30">
        <v>1300</v>
      </c>
      <c r="AL100" s="33">
        <v>1250</v>
      </c>
      <c r="AM100" s="33">
        <v>1303</v>
      </c>
      <c r="AO100" s="30">
        <v>292357</v>
      </c>
      <c r="AP100" s="33">
        <f t="shared" si="10"/>
        <v>281112.5</v>
      </c>
      <c r="AQ100" s="33">
        <f t="shared" si="11"/>
        <v>293031.67</v>
      </c>
    </row>
    <row r="101" spans="1:43" ht="24" x14ac:dyDescent="0.25">
      <c r="A101" s="28" t="s">
        <v>182</v>
      </c>
      <c r="B101" s="28">
        <v>337420</v>
      </c>
      <c r="C101" s="28">
        <v>669</v>
      </c>
      <c r="D101" s="28" t="s">
        <v>183</v>
      </c>
      <c r="E101" s="29">
        <v>294</v>
      </c>
      <c r="F101" s="28" t="s">
        <v>157</v>
      </c>
      <c r="G101" s="28" t="s">
        <v>158</v>
      </c>
      <c r="H101" s="28" t="s">
        <v>36</v>
      </c>
      <c r="I101" s="3">
        <v>6613752.2005808204</v>
      </c>
      <c r="J101" s="30">
        <v>6619151.1499999939</v>
      </c>
      <c r="K101" s="30">
        <v>6780227.639999995</v>
      </c>
      <c r="L101" s="30">
        <v>6162534</v>
      </c>
      <c r="M101" s="34"/>
      <c r="N101" s="31">
        <v>4682389.4124363307</v>
      </c>
      <c r="O101" s="31">
        <v>4161069.0240349304</v>
      </c>
      <c r="P101" s="31">
        <v>5202210.3420482399</v>
      </c>
      <c r="Q101" s="31">
        <v>4850409.0012414902</v>
      </c>
      <c r="R101" s="31">
        <v>4592866.4418353606</v>
      </c>
      <c r="S101" s="31">
        <v>5608928.8440049496</v>
      </c>
      <c r="T101" s="31">
        <v>6070801.5783974295</v>
      </c>
      <c r="U101" s="31">
        <v>6443320</v>
      </c>
      <c r="V101" s="31">
        <v>5713595</v>
      </c>
      <c r="W101" s="31">
        <v>5980107.009999997</v>
      </c>
      <c r="X101" s="31">
        <v>5488097.9700000007</v>
      </c>
      <c r="Y101" s="31">
        <v>5862653.9900000002</v>
      </c>
      <c r="Z101" s="31">
        <v>5184407.553445369</v>
      </c>
      <c r="AA101" s="2"/>
      <c r="AB101" s="30">
        <v>5180555.555555556</v>
      </c>
      <c r="AC101" s="30">
        <v>5208333.333333333</v>
      </c>
      <c r="AD101" s="30">
        <v>5236111.111111111</v>
      </c>
      <c r="AF101" s="32">
        <f t="shared" si="12"/>
        <v>5881111.6140000001</v>
      </c>
      <c r="AG101" s="30">
        <v>6162534</v>
      </c>
      <c r="AH101" s="30">
        <v>5546280.6000000006</v>
      </c>
      <c r="AI101" s="30">
        <v>5934520.2420000006</v>
      </c>
      <c r="AK101" s="30">
        <v>21090</v>
      </c>
      <c r="AL101" s="33">
        <v>19830</v>
      </c>
      <c r="AM101" s="33">
        <v>20253</v>
      </c>
      <c r="AO101" s="30">
        <v>6200460</v>
      </c>
      <c r="AP101" s="33">
        <f t="shared" si="10"/>
        <v>5830020</v>
      </c>
      <c r="AQ101" s="33">
        <f t="shared" si="11"/>
        <v>5954382</v>
      </c>
    </row>
    <row r="102" spans="1:43" ht="24" x14ac:dyDescent="0.25">
      <c r="A102" s="28" t="s">
        <v>184</v>
      </c>
      <c r="B102" s="28">
        <v>4011000134</v>
      </c>
      <c r="C102" s="28">
        <v>769</v>
      </c>
      <c r="D102" s="28" t="s">
        <v>185</v>
      </c>
      <c r="E102" s="29">
        <v>337.5</v>
      </c>
      <c r="F102" s="28" t="s">
        <v>157</v>
      </c>
      <c r="G102" s="28" t="s">
        <v>158</v>
      </c>
      <c r="H102" s="28" t="s">
        <v>37</v>
      </c>
      <c r="I102" s="3">
        <v>372937.5</v>
      </c>
      <c r="J102" s="30">
        <v>622687.54999999993</v>
      </c>
      <c r="K102" s="30">
        <v>742500.13</v>
      </c>
      <c r="L102" s="30">
        <v>776250</v>
      </c>
      <c r="M102" s="34"/>
      <c r="N102" s="31">
        <v>342225</v>
      </c>
      <c r="O102" s="31">
        <v>336825</v>
      </c>
      <c r="P102" s="31">
        <v>340200</v>
      </c>
      <c r="Q102" s="31">
        <v>331762.5</v>
      </c>
      <c r="R102" s="31">
        <v>311175</v>
      </c>
      <c r="S102" s="31">
        <v>308475</v>
      </c>
      <c r="T102" s="31">
        <v>386100</v>
      </c>
      <c r="U102" s="31">
        <v>378686</v>
      </c>
      <c r="V102" s="31">
        <v>370913</v>
      </c>
      <c r="W102" s="31">
        <v>396900.01</v>
      </c>
      <c r="X102" s="31">
        <v>370237.5</v>
      </c>
      <c r="Y102" s="31">
        <v>413100.01</v>
      </c>
      <c r="Z102" s="31">
        <v>406689.70973684214</v>
      </c>
      <c r="AA102" s="2"/>
      <c r="AB102" s="30">
        <v>587244.32330487482</v>
      </c>
      <c r="AC102" s="30">
        <v>570369.48642829794</v>
      </c>
      <c r="AD102" s="30">
        <v>604119.16018145159</v>
      </c>
      <c r="AF102" s="32">
        <f t="shared" si="12"/>
        <v>728413.7977578165</v>
      </c>
      <c r="AG102" s="30">
        <v>728413.79775781662</v>
      </c>
      <c r="AH102" s="30">
        <v>706561.38382508198</v>
      </c>
      <c r="AI102" s="30">
        <v>750266.21169055114</v>
      </c>
      <c r="AJ102" s="35"/>
      <c r="AK102" s="30">
        <v>2150</v>
      </c>
      <c r="AL102" s="33">
        <v>1849</v>
      </c>
      <c r="AM102" s="33">
        <v>1853</v>
      </c>
      <c r="AO102" s="30">
        <v>725625</v>
      </c>
      <c r="AP102" s="33">
        <f t="shared" si="10"/>
        <v>624037.5</v>
      </c>
      <c r="AQ102" s="33">
        <f t="shared" si="11"/>
        <v>625387.5</v>
      </c>
    </row>
    <row r="103" spans="1:43" ht="24" x14ac:dyDescent="0.25">
      <c r="A103" s="28" t="s">
        <v>184</v>
      </c>
      <c r="B103" s="28">
        <v>4011000135</v>
      </c>
      <c r="C103" s="28">
        <v>770</v>
      </c>
      <c r="D103" s="28" t="s">
        <v>186</v>
      </c>
      <c r="E103" s="29">
        <v>562.5</v>
      </c>
      <c r="F103" s="28" t="s">
        <v>157</v>
      </c>
      <c r="G103" s="28" t="s">
        <v>158</v>
      </c>
      <c r="H103" s="28" t="s">
        <v>37</v>
      </c>
      <c r="I103" s="3">
        <v>848250</v>
      </c>
      <c r="J103" s="30">
        <v>1375312.5000000002</v>
      </c>
      <c r="K103" s="30">
        <v>1563749.9</v>
      </c>
      <c r="L103" s="30">
        <v>1631250</v>
      </c>
      <c r="M103" s="34"/>
      <c r="N103" s="31">
        <v>879750</v>
      </c>
      <c r="O103" s="31">
        <v>825750</v>
      </c>
      <c r="P103" s="31">
        <v>867937.5</v>
      </c>
      <c r="Q103" s="31">
        <v>772312.5</v>
      </c>
      <c r="R103" s="31">
        <v>780187.5</v>
      </c>
      <c r="S103" s="31">
        <v>741937.5</v>
      </c>
      <c r="T103" s="31">
        <v>884250</v>
      </c>
      <c r="U103" s="31">
        <v>866260</v>
      </c>
      <c r="V103" s="31">
        <v>828000</v>
      </c>
      <c r="W103" s="31">
        <v>950062.5</v>
      </c>
      <c r="X103" s="31">
        <v>857812.5</v>
      </c>
      <c r="Y103" s="31">
        <v>972000</v>
      </c>
      <c r="Z103" s="31">
        <v>1004553.5584200525</v>
      </c>
      <c r="AA103" s="2"/>
      <c r="AB103" s="30">
        <v>1442236.0583847691</v>
      </c>
      <c r="AC103" s="30">
        <v>1357861.8740018848</v>
      </c>
      <c r="AD103" s="30">
        <v>1442236.0583847691</v>
      </c>
      <c r="AF103" s="32">
        <f t="shared" si="12"/>
        <v>1575613.4834011507</v>
      </c>
      <c r="AG103" s="30">
        <v>1575613.4834011507</v>
      </c>
      <c r="AH103" s="30">
        <v>1528345.078899116</v>
      </c>
      <c r="AI103" s="30">
        <v>1622881.8879031853</v>
      </c>
      <c r="AK103" s="30">
        <v>2795</v>
      </c>
      <c r="AL103" s="33">
        <v>2365</v>
      </c>
      <c r="AM103" s="33">
        <v>2536</v>
      </c>
      <c r="AO103" s="30">
        <v>1572187.5</v>
      </c>
      <c r="AP103" s="33">
        <f t="shared" si="10"/>
        <v>1330312.5</v>
      </c>
      <c r="AQ103" s="33">
        <f t="shared" si="11"/>
        <v>1426500</v>
      </c>
    </row>
    <row r="104" spans="1:43" ht="24" x14ac:dyDescent="0.25">
      <c r="A104" s="28" t="s">
        <v>184</v>
      </c>
      <c r="B104" s="28">
        <v>4011000136</v>
      </c>
      <c r="C104" s="28">
        <v>771</v>
      </c>
      <c r="D104" s="28" t="s">
        <v>187</v>
      </c>
      <c r="E104" s="29">
        <v>674.8</v>
      </c>
      <c r="F104" s="28" t="s">
        <v>157</v>
      </c>
      <c r="G104" s="28" t="s">
        <v>158</v>
      </c>
      <c r="H104" s="28" t="s">
        <v>37</v>
      </c>
      <c r="I104" s="3">
        <v>84799.866666666669</v>
      </c>
      <c r="J104" s="30">
        <v>202440.20999999996</v>
      </c>
      <c r="K104" s="30">
        <v>202439.86000000002</v>
      </c>
      <c r="L104" s="30">
        <v>202440</v>
      </c>
      <c r="M104" s="34"/>
      <c r="N104" s="31">
        <v>105943.6</v>
      </c>
      <c r="O104" s="31">
        <v>95146.800000000105</v>
      </c>
      <c r="P104" s="31">
        <v>120114.4</v>
      </c>
      <c r="Q104" s="31">
        <v>113366.39999999999</v>
      </c>
      <c r="R104" s="31">
        <v>118764.8</v>
      </c>
      <c r="S104" s="31">
        <v>122138.8</v>
      </c>
      <c r="T104" s="31">
        <v>113366.39999999999</v>
      </c>
      <c r="U104" s="31">
        <v>102572</v>
      </c>
      <c r="V104" s="31">
        <v>150481</v>
      </c>
      <c r="W104" s="31">
        <v>130911.20000000003</v>
      </c>
      <c r="X104" s="31">
        <v>109992.40000000001</v>
      </c>
      <c r="Y104" s="31">
        <v>132260.80000000002</v>
      </c>
      <c r="Z104" s="31">
        <v>157236.71069473686</v>
      </c>
      <c r="AA104" s="2"/>
      <c r="AB104" s="30">
        <v>155202.49970916947</v>
      </c>
      <c r="AC104" s="30">
        <v>141706.63016924169</v>
      </c>
      <c r="AD104" s="30">
        <v>148454.56493920559</v>
      </c>
      <c r="AF104" s="32">
        <f t="shared" si="12"/>
        <v>204210.91884103278</v>
      </c>
      <c r="AG104" s="30">
        <v>204210.91884103281</v>
      </c>
      <c r="AH104" s="30">
        <v>198084.59127580179</v>
      </c>
      <c r="AI104" s="30">
        <v>210337.24640626379</v>
      </c>
      <c r="AK104" s="30">
        <v>300</v>
      </c>
      <c r="AL104" s="33">
        <v>290</v>
      </c>
      <c r="AM104" s="33">
        <v>301</v>
      </c>
      <c r="AO104" s="30">
        <v>202440</v>
      </c>
      <c r="AP104" s="33">
        <f t="shared" si="10"/>
        <v>195692</v>
      </c>
      <c r="AQ104" s="33">
        <f t="shared" si="11"/>
        <v>203114.8</v>
      </c>
    </row>
    <row r="105" spans="1:43" ht="24" x14ac:dyDescent="0.25">
      <c r="A105" s="28" t="s">
        <v>169</v>
      </c>
      <c r="B105" s="28">
        <v>4011000154</v>
      </c>
      <c r="C105" s="28">
        <v>788</v>
      </c>
      <c r="D105" s="28" t="s">
        <v>188</v>
      </c>
      <c r="E105" s="29">
        <v>449.8</v>
      </c>
      <c r="F105" s="28" t="s">
        <v>157</v>
      </c>
      <c r="G105" s="28" t="s">
        <v>158</v>
      </c>
      <c r="H105" s="28" t="s">
        <v>37</v>
      </c>
      <c r="I105" s="3">
        <v>13643.933333333332</v>
      </c>
      <c r="J105" s="30">
        <v>118297.40000000002</v>
      </c>
      <c r="K105" s="30">
        <v>118297.48</v>
      </c>
      <c r="L105" s="30">
        <v>118297.40000000001</v>
      </c>
      <c r="M105" s="34"/>
      <c r="N105" s="31">
        <v>16642.599999999999</v>
      </c>
      <c r="O105" s="31">
        <v>20241</v>
      </c>
      <c r="P105" s="31">
        <v>21140.6</v>
      </c>
      <c r="Q105" s="31">
        <v>24289.200000000001</v>
      </c>
      <c r="R105" s="31">
        <v>23389.599999999999</v>
      </c>
      <c r="S105" s="31">
        <v>13494</v>
      </c>
      <c r="T105" s="31">
        <v>20690.8</v>
      </c>
      <c r="U105" s="31">
        <v>17097</v>
      </c>
      <c r="V105" s="31">
        <v>18442</v>
      </c>
      <c r="W105" s="31">
        <v>15293.199999999999</v>
      </c>
      <c r="X105" s="31">
        <v>14393.599999999997</v>
      </c>
      <c r="Y105" s="31">
        <v>20241</v>
      </c>
      <c r="Z105" s="31">
        <v>19464.517362105267</v>
      </c>
      <c r="AA105" s="2"/>
      <c r="AB105" s="30">
        <v>134492.66880849187</v>
      </c>
      <c r="AC105" s="30">
        <v>116032.89073673809</v>
      </c>
      <c r="AD105" s="30">
        <v>116032.89073673809</v>
      </c>
      <c r="AF105" s="32">
        <f t="shared" si="12"/>
        <v>85686.223519245177</v>
      </c>
      <c r="AG105" s="30">
        <v>89786.472426732624</v>
      </c>
      <c r="AH105" s="30">
        <v>80807.825184059373</v>
      </c>
      <c r="AI105" s="30">
        <v>86464.372946943535</v>
      </c>
      <c r="AJ105" s="4"/>
      <c r="AK105" s="30">
        <v>200</v>
      </c>
      <c r="AL105" s="33">
        <v>180</v>
      </c>
      <c r="AM105" s="33">
        <v>192</v>
      </c>
      <c r="AO105" s="30">
        <v>89960</v>
      </c>
      <c r="AP105" s="33">
        <f t="shared" si="10"/>
        <v>80964</v>
      </c>
      <c r="AQ105" s="33">
        <f t="shared" si="11"/>
        <v>86361.600000000006</v>
      </c>
    </row>
    <row r="106" spans="1:43" ht="24" x14ac:dyDescent="0.25">
      <c r="A106" s="28" t="s">
        <v>169</v>
      </c>
      <c r="B106" s="28">
        <v>4011000155</v>
      </c>
      <c r="C106" s="28">
        <v>789</v>
      </c>
      <c r="D106" s="28" t="s">
        <v>189</v>
      </c>
      <c r="E106" s="29">
        <v>341.88</v>
      </c>
      <c r="F106" s="28" t="s">
        <v>157</v>
      </c>
      <c r="G106" s="28" t="s">
        <v>158</v>
      </c>
      <c r="H106" s="28" t="s">
        <v>37</v>
      </c>
      <c r="I106" s="3">
        <v>39012.306666666671</v>
      </c>
      <c r="J106" s="30">
        <v>134358.76</v>
      </c>
      <c r="K106" s="30">
        <v>134358.86000000002</v>
      </c>
      <c r="L106" s="30">
        <v>134358.84</v>
      </c>
      <c r="M106" s="34"/>
      <c r="N106" s="31">
        <v>28034.16</v>
      </c>
      <c r="O106" s="31">
        <v>24273.48</v>
      </c>
      <c r="P106" s="31">
        <v>37606.800000000003</v>
      </c>
      <c r="Q106" s="31">
        <v>33504.239999999998</v>
      </c>
      <c r="R106" s="31">
        <v>34529.879999999997</v>
      </c>
      <c r="S106" s="31">
        <v>31111.08</v>
      </c>
      <c r="T106" s="31">
        <v>36923.040000000001</v>
      </c>
      <c r="U106" s="31">
        <v>41025</v>
      </c>
      <c r="V106" s="31">
        <v>45469</v>
      </c>
      <c r="W106" s="31">
        <v>55726.439999999995</v>
      </c>
      <c r="X106" s="31">
        <v>46495.679999999986</v>
      </c>
      <c r="Y106" s="31">
        <v>33162.36</v>
      </c>
      <c r="Z106" s="31">
        <v>77955.202296631585</v>
      </c>
      <c r="AA106" s="2"/>
      <c r="AB106" s="30">
        <v>66144.938892412203</v>
      </c>
      <c r="AC106" s="30">
        <v>59129.566585641216</v>
      </c>
      <c r="AD106" s="30">
        <v>60799.893325348596</v>
      </c>
      <c r="AF106" s="32">
        <f t="shared" si="12"/>
        <v>106956.14312549727</v>
      </c>
      <c r="AG106" s="30">
        <v>112074.19817551233</v>
      </c>
      <c r="AH106" s="30">
        <v>100866.7783579611</v>
      </c>
      <c r="AI106" s="30">
        <v>107927.45284301839</v>
      </c>
      <c r="AK106" s="30">
        <v>328</v>
      </c>
      <c r="AL106" s="33">
        <v>295</v>
      </c>
      <c r="AM106" s="33">
        <v>317</v>
      </c>
      <c r="AO106" s="30">
        <v>112136.64</v>
      </c>
      <c r="AP106" s="33">
        <f t="shared" si="10"/>
        <v>100854.6</v>
      </c>
      <c r="AQ106" s="33">
        <f t="shared" si="11"/>
        <v>108375.95999999999</v>
      </c>
    </row>
    <row r="107" spans="1:43" ht="24" x14ac:dyDescent="0.25">
      <c r="A107" s="28" t="s">
        <v>190</v>
      </c>
      <c r="B107" s="28">
        <v>813</v>
      </c>
      <c r="C107" s="28">
        <v>813</v>
      </c>
      <c r="D107" s="28" t="s">
        <v>191</v>
      </c>
      <c r="E107" s="29">
        <v>299.8500749625187</v>
      </c>
      <c r="F107" s="28" t="s">
        <v>157</v>
      </c>
      <c r="G107" s="28" t="s">
        <v>158</v>
      </c>
      <c r="H107" s="28" t="s">
        <v>37</v>
      </c>
      <c r="J107">
        <v>0</v>
      </c>
      <c r="K107">
        <v>0</v>
      </c>
      <c r="L107" s="30">
        <v>0</v>
      </c>
      <c r="N107" s="31"/>
      <c r="O107" s="31"/>
      <c r="P107" s="31"/>
      <c r="Q107" s="31"/>
      <c r="R107" s="31"/>
      <c r="S107" s="31"/>
      <c r="T107" s="31"/>
      <c r="U107" s="31"/>
      <c r="V107" s="31">
        <v>0</v>
      </c>
      <c r="W107" s="31">
        <v>0</v>
      </c>
      <c r="X107" s="31">
        <v>0</v>
      </c>
      <c r="Y107" s="31">
        <v>205200</v>
      </c>
      <c r="Z107" s="31">
        <v>134814.26842105263</v>
      </c>
      <c r="AB107" s="30">
        <v>264260.1776035059</v>
      </c>
      <c r="AC107" s="30">
        <v>277545.84246338368</v>
      </c>
      <c r="AD107" s="30">
        <v>291454.27286356816</v>
      </c>
      <c r="AF107" s="32">
        <f t="shared" si="12"/>
        <v>150100.22403018514</v>
      </c>
      <c r="AG107" s="30">
        <v>150100.22403018514</v>
      </c>
      <c r="AH107" s="30">
        <v>145597.2173092796</v>
      </c>
      <c r="AI107" s="30">
        <v>154603.23075109068</v>
      </c>
      <c r="AK107" s="30">
        <v>900</v>
      </c>
      <c r="AL107" s="33">
        <v>900</v>
      </c>
      <c r="AM107" s="33">
        <v>902</v>
      </c>
      <c r="AO107" s="30">
        <v>269865.06746626686</v>
      </c>
      <c r="AP107" s="33">
        <f t="shared" si="10"/>
        <v>269865.06746626686</v>
      </c>
      <c r="AQ107" s="33">
        <f t="shared" si="11"/>
        <v>270464.76761619188</v>
      </c>
    </row>
    <row r="108" spans="1:43" ht="24" x14ac:dyDescent="0.25">
      <c r="A108" s="28" t="s">
        <v>190</v>
      </c>
      <c r="B108" s="28">
        <v>814</v>
      </c>
      <c r="C108" s="28">
        <v>814</v>
      </c>
      <c r="D108" s="28" t="s">
        <v>192</v>
      </c>
      <c r="E108" s="29">
        <v>449.7</v>
      </c>
      <c r="F108" s="28" t="s">
        <v>157</v>
      </c>
      <c r="G108" s="28" t="s">
        <v>158</v>
      </c>
      <c r="H108" s="28" t="s">
        <v>37</v>
      </c>
      <c r="J108">
        <v>0</v>
      </c>
      <c r="K108">
        <v>0</v>
      </c>
      <c r="L108" s="30">
        <v>0</v>
      </c>
      <c r="N108" s="31"/>
      <c r="O108" s="31"/>
      <c r="P108" s="31"/>
      <c r="Q108" s="31"/>
      <c r="R108" s="31"/>
      <c r="S108" s="31"/>
      <c r="T108" s="31"/>
      <c r="U108" s="31"/>
      <c r="V108" s="31">
        <v>0</v>
      </c>
      <c r="W108" s="31">
        <v>0</v>
      </c>
      <c r="X108" s="31">
        <v>0</v>
      </c>
      <c r="Y108" s="31">
        <v>183927.30000000002</v>
      </c>
      <c r="Z108" s="31">
        <v>139215.20531684213</v>
      </c>
      <c r="AB108" s="30">
        <v>216411.02525660244</v>
      </c>
      <c r="AC108" s="30">
        <v>226998.03944181753</v>
      </c>
      <c r="AD108" s="30">
        <v>238519.20193749276</v>
      </c>
      <c r="AF108" s="32">
        <f t="shared" si="12"/>
        <v>122921.82525645562</v>
      </c>
      <c r="AG108" s="30">
        <v>122921.82525645562</v>
      </c>
      <c r="AH108" s="30">
        <v>119234.17049876195</v>
      </c>
      <c r="AI108" s="30">
        <v>126609.48001414929</v>
      </c>
      <c r="AK108" s="30">
        <v>650</v>
      </c>
      <c r="AL108" s="33">
        <v>650</v>
      </c>
      <c r="AM108" s="33">
        <v>651</v>
      </c>
      <c r="AO108" s="30">
        <v>292305</v>
      </c>
      <c r="AP108" s="33">
        <f t="shared" si="10"/>
        <v>292305</v>
      </c>
      <c r="AQ108" s="33">
        <f t="shared" si="11"/>
        <v>292754.7</v>
      </c>
    </row>
    <row r="109" spans="1:43" ht="24" x14ac:dyDescent="0.25">
      <c r="A109" s="28" t="s">
        <v>190</v>
      </c>
      <c r="B109" s="28">
        <v>815</v>
      </c>
      <c r="C109" s="28">
        <v>815</v>
      </c>
      <c r="D109" s="28" t="s">
        <v>193</v>
      </c>
      <c r="E109" s="29">
        <v>329.8</v>
      </c>
      <c r="F109" s="28" t="s">
        <v>157</v>
      </c>
      <c r="G109" s="28" t="s">
        <v>158</v>
      </c>
      <c r="H109" s="28" t="s">
        <v>37</v>
      </c>
      <c r="J109">
        <v>0</v>
      </c>
      <c r="K109">
        <v>0</v>
      </c>
      <c r="L109" s="30">
        <v>0</v>
      </c>
      <c r="N109" s="31"/>
      <c r="O109" s="31"/>
      <c r="P109" s="31"/>
      <c r="Q109" s="31"/>
      <c r="R109" s="31"/>
      <c r="S109" s="31"/>
      <c r="T109" s="31"/>
      <c r="U109" s="31"/>
      <c r="V109" s="31">
        <v>0</v>
      </c>
      <c r="W109" s="31">
        <v>0</v>
      </c>
      <c r="X109" s="31">
        <v>0</v>
      </c>
      <c r="Y109" s="31">
        <v>68268.599999999991</v>
      </c>
      <c r="Z109" s="31">
        <v>46108.477048421046</v>
      </c>
      <c r="AB109" s="30">
        <v>47496.251874062968</v>
      </c>
      <c r="AC109" s="30">
        <v>50008.072886633607</v>
      </c>
      <c r="AD109" s="30">
        <v>52519.893899204246</v>
      </c>
      <c r="AF109" s="32">
        <f t="shared" si="12"/>
        <v>26977.950713359282</v>
      </c>
      <c r="AG109" s="30">
        <v>26977.950713359282</v>
      </c>
      <c r="AH109" s="30">
        <v>26168.612191958498</v>
      </c>
      <c r="AI109" s="30">
        <v>27787.289234760057</v>
      </c>
      <c r="AK109" s="30">
        <v>150</v>
      </c>
      <c r="AL109" s="33">
        <v>150</v>
      </c>
      <c r="AM109" s="33">
        <v>150</v>
      </c>
      <c r="AO109" s="30">
        <v>49470</v>
      </c>
      <c r="AP109" s="33">
        <f t="shared" si="10"/>
        <v>49470</v>
      </c>
      <c r="AQ109" s="33">
        <f t="shared" si="11"/>
        <v>49470</v>
      </c>
    </row>
    <row r="110" spans="1:43" x14ac:dyDescent="0.25">
      <c r="A110" s="28" t="s">
        <v>190</v>
      </c>
      <c r="B110" s="28"/>
      <c r="C110" s="28"/>
      <c r="D110" s="28" t="s">
        <v>194</v>
      </c>
      <c r="E110" s="29">
        <v>323.8380809595202</v>
      </c>
      <c r="F110" s="28" t="s">
        <v>157</v>
      </c>
      <c r="G110" s="28" t="s">
        <v>158</v>
      </c>
      <c r="H110" s="28" t="s">
        <v>37</v>
      </c>
      <c r="J110">
        <v>0</v>
      </c>
      <c r="K110">
        <v>0</v>
      </c>
      <c r="L110" s="30">
        <v>0</v>
      </c>
      <c r="N110" s="31"/>
      <c r="O110" s="31"/>
      <c r="P110" s="31"/>
      <c r="Q110" s="31"/>
      <c r="R110" s="31"/>
      <c r="S110" s="31"/>
      <c r="T110" s="31"/>
      <c r="U110" s="31"/>
      <c r="V110" s="31">
        <v>0</v>
      </c>
      <c r="W110" s="31">
        <v>0</v>
      </c>
      <c r="X110" s="31">
        <v>0</v>
      </c>
      <c r="Y110" s="31">
        <v>0</v>
      </c>
      <c r="Z110" s="31">
        <v>0</v>
      </c>
      <c r="AB110" s="30">
        <v>39010.033444816043</v>
      </c>
      <c r="AC110" s="30">
        <v>40803.598200899542</v>
      </c>
      <c r="AD110" s="30">
        <v>42821.358551493475</v>
      </c>
      <c r="AF110" s="32">
        <f t="shared" si="12"/>
        <v>0</v>
      </c>
      <c r="AG110" s="30">
        <v>0</v>
      </c>
      <c r="AH110" s="30">
        <v>0</v>
      </c>
      <c r="AI110" s="30">
        <v>0</v>
      </c>
      <c r="AK110" s="30">
        <v>0</v>
      </c>
      <c r="AL110" s="33">
        <v>0</v>
      </c>
      <c r="AM110" s="33">
        <v>0</v>
      </c>
      <c r="AO110" s="30">
        <v>0</v>
      </c>
      <c r="AP110" s="33">
        <f t="shared" si="10"/>
        <v>0</v>
      </c>
      <c r="AQ110" s="33">
        <f t="shared" si="11"/>
        <v>0</v>
      </c>
    </row>
    <row r="111" spans="1:43" ht="24" x14ac:dyDescent="0.25">
      <c r="A111" s="28" t="s">
        <v>197</v>
      </c>
      <c r="B111" s="28">
        <v>320750</v>
      </c>
      <c r="C111" s="28">
        <v>520</v>
      </c>
      <c r="D111" s="28" t="s">
        <v>198</v>
      </c>
      <c r="E111" s="29">
        <v>68</v>
      </c>
      <c r="F111" s="28" t="s">
        <v>199</v>
      </c>
      <c r="G111" s="28" t="s">
        <v>200</v>
      </c>
      <c r="H111" s="28" t="s">
        <v>36</v>
      </c>
      <c r="I111" s="45"/>
      <c r="J111" s="46">
        <v>63308</v>
      </c>
      <c r="K111" s="46">
        <v>63784.060000000005</v>
      </c>
      <c r="L111" s="30">
        <v>64872</v>
      </c>
      <c r="M111" s="47"/>
      <c r="N111" s="31">
        <v>59363.32</v>
      </c>
      <c r="O111" s="31">
        <v>56641.280000000101</v>
      </c>
      <c r="P111" s="31">
        <v>60246.612800000003</v>
      </c>
      <c r="Q111" s="31">
        <v>56508</v>
      </c>
      <c r="R111" s="31">
        <v>56100</v>
      </c>
      <c r="S111" s="31">
        <v>55284.000075253003</v>
      </c>
      <c r="T111" s="31">
        <v>59636.000018212297</v>
      </c>
      <c r="U111" s="31">
        <v>59907</v>
      </c>
      <c r="V111" s="31">
        <v>57596</v>
      </c>
      <c r="W111" s="31">
        <v>56235.980000000018</v>
      </c>
      <c r="X111" s="31">
        <v>53380.01</v>
      </c>
      <c r="Y111" s="31">
        <v>53243.969999999987</v>
      </c>
      <c r="Z111" s="31">
        <v>49911.238042105251</v>
      </c>
      <c r="AA111" s="2"/>
      <c r="AB111" s="46">
        <v>68000</v>
      </c>
      <c r="AC111" s="46">
        <v>69360</v>
      </c>
      <c r="AD111" s="46">
        <v>71400</v>
      </c>
      <c r="AE111" s="45"/>
      <c r="AF111" s="32">
        <f t="shared" si="12"/>
        <v>65097.746159424954</v>
      </c>
      <c r="AG111" s="30">
        <v>68212.797233068413</v>
      </c>
      <c r="AH111" s="30">
        <v>61391.517509761572</v>
      </c>
      <c r="AI111" s="30">
        <v>65688.923735444885</v>
      </c>
      <c r="AJ111" s="45"/>
      <c r="AK111" s="30">
        <v>1003</v>
      </c>
      <c r="AL111" s="33">
        <v>927</v>
      </c>
      <c r="AM111" s="33">
        <v>1017</v>
      </c>
      <c r="AN111" s="45"/>
      <c r="AO111" s="30">
        <v>68204</v>
      </c>
      <c r="AP111" s="33">
        <f t="shared" si="10"/>
        <v>63036</v>
      </c>
      <c r="AQ111" s="33">
        <f t="shared" si="11"/>
        <v>69156</v>
      </c>
    </row>
    <row r="112" spans="1:43" ht="24" x14ac:dyDescent="0.25">
      <c r="A112" s="28" t="s">
        <v>197</v>
      </c>
      <c r="B112" s="28">
        <v>337348</v>
      </c>
      <c r="C112" s="28">
        <v>521</v>
      </c>
      <c r="D112" s="28" t="s">
        <v>201</v>
      </c>
      <c r="E112" s="29">
        <v>116</v>
      </c>
      <c r="F112" s="28" t="s">
        <v>199</v>
      </c>
      <c r="G112" s="28" t="s">
        <v>200</v>
      </c>
      <c r="H112" s="28" t="s">
        <v>36</v>
      </c>
      <c r="I112" s="45"/>
      <c r="J112" s="46">
        <v>486156</v>
      </c>
      <c r="K112" s="46">
        <v>491608.07000000018</v>
      </c>
      <c r="L112" s="30">
        <v>500424</v>
      </c>
      <c r="M112" s="47"/>
      <c r="N112" s="31">
        <v>519791.2672</v>
      </c>
      <c r="O112" s="31">
        <v>413770.6544</v>
      </c>
      <c r="P112" s="31">
        <v>470495.95360000001</v>
      </c>
      <c r="Q112" s="31">
        <v>449151.95360000001</v>
      </c>
      <c r="R112" s="31">
        <v>375491.95360000001</v>
      </c>
      <c r="S112" s="31">
        <v>408552.00034967199</v>
      </c>
      <c r="T112" s="31">
        <v>415396.00024803501</v>
      </c>
      <c r="U112" s="31">
        <v>414928</v>
      </c>
      <c r="V112" s="31">
        <v>404260</v>
      </c>
      <c r="W112" s="31">
        <v>422819.97000000003</v>
      </c>
      <c r="X112" s="31">
        <v>400316.00000000006</v>
      </c>
      <c r="Y112" s="31">
        <v>396255.98</v>
      </c>
      <c r="Z112" s="31">
        <v>379184.25358784205</v>
      </c>
      <c r="AA112" s="2"/>
      <c r="AB112" s="46">
        <v>533600</v>
      </c>
      <c r="AC112" s="46">
        <v>539400</v>
      </c>
      <c r="AD112" s="46">
        <v>545200</v>
      </c>
      <c r="AE112" s="45"/>
      <c r="AF112" s="32">
        <f t="shared" si="12"/>
        <v>491917.45760476246</v>
      </c>
      <c r="AG112" s="30">
        <v>515456.64436405426</v>
      </c>
      <c r="AH112" s="30">
        <v>463910.97992764879</v>
      </c>
      <c r="AI112" s="30">
        <v>496384.74852258421</v>
      </c>
      <c r="AJ112" s="45"/>
      <c r="AK112" s="30">
        <v>4444</v>
      </c>
      <c r="AL112" s="33">
        <v>3998</v>
      </c>
      <c r="AM112" s="33">
        <v>4501</v>
      </c>
      <c r="AN112" s="45"/>
      <c r="AO112" s="30">
        <v>515504</v>
      </c>
      <c r="AP112" s="33">
        <f t="shared" si="10"/>
        <v>463768</v>
      </c>
      <c r="AQ112" s="33">
        <f t="shared" si="11"/>
        <v>522116</v>
      </c>
    </row>
    <row r="113" spans="1:43" ht="36" x14ac:dyDescent="0.25">
      <c r="A113" s="28" t="s">
        <v>197</v>
      </c>
      <c r="B113" s="28">
        <v>373380</v>
      </c>
      <c r="C113" s="28" t="s">
        <v>84</v>
      </c>
      <c r="D113" s="28" t="s">
        <v>202</v>
      </c>
      <c r="E113" s="29">
        <v>0</v>
      </c>
      <c r="F113" s="28" t="s">
        <v>199</v>
      </c>
      <c r="G113" s="28" t="s">
        <v>200</v>
      </c>
      <c r="H113" s="28" t="s">
        <v>36</v>
      </c>
      <c r="I113" s="45"/>
      <c r="J113" s="46">
        <v>0</v>
      </c>
      <c r="K113" s="46">
        <v>0</v>
      </c>
      <c r="L113" s="30">
        <v>0</v>
      </c>
      <c r="M113" s="47"/>
      <c r="N113" s="31">
        <v>0</v>
      </c>
      <c r="O113" s="31">
        <v>0</v>
      </c>
      <c r="P113" s="31">
        <v>0</v>
      </c>
      <c r="Q113" s="31">
        <v>0</v>
      </c>
      <c r="R113" s="31">
        <v>0</v>
      </c>
      <c r="S113" s="31">
        <v>0</v>
      </c>
      <c r="T113" s="31">
        <v>0</v>
      </c>
      <c r="U113" s="31">
        <v>0</v>
      </c>
      <c r="V113" s="31">
        <v>0</v>
      </c>
      <c r="W113" s="31">
        <v>0</v>
      </c>
      <c r="X113" s="31">
        <v>0</v>
      </c>
      <c r="Y113" s="31">
        <v>0</v>
      </c>
      <c r="Z113" s="31">
        <v>0</v>
      </c>
      <c r="AA113" s="2"/>
      <c r="AB113" s="46">
        <v>0</v>
      </c>
      <c r="AC113" s="46">
        <v>0</v>
      </c>
      <c r="AD113" s="46">
        <v>0</v>
      </c>
      <c r="AE113" s="45"/>
      <c r="AF113" s="32">
        <f t="shared" si="12"/>
        <v>0</v>
      </c>
      <c r="AG113" s="30">
        <v>0</v>
      </c>
      <c r="AH113" s="30">
        <v>0</v>
      </c>
      <c r="AI113" s="30">
        <v>0</v>
      </c>
      <c r="AJ113" s="45"/>
      <c r="AK113" s="30">
        <v>0</v>
      </c>
      <c r="AL113" s="33">
        <v>0</v>
      </c>
      <c r="AM113" s="33">
        <v>0</v>
      </c>
      <c r="AN113" s="45"/>
      <c r="AO113" s="30">
        <v>0</v>
      </c>
      <c r="AP113" s="33">
        <f t="shared" si="10"/>
        <v>0</v>
      </c>
      <c r="AQ113" s="33">
        <f t="shared" si="11"/>
        <v>0</v>
      </c>
    </row>
    <row r="114" spans="1:43" ht="24" x14ac:dyDescent="0.25">
      <c r="A114" s="28" t="s">
        <v>203</v>
      </c>
      <c r="B114" s="28">
        <v>372906</v>
      </c>
      <c r="C114" s="28">
        <v>594</v>
      </c>
      <c r="D114" s="28" t="s">
        <v>204</v>
      </c>
      <c r="E114" s="29">
        <v>168.75</v>
      </c>
      <c r="F114" s="28" t="s">
        <v>199</v>
      </c>
      <c r="G114" s="28" t="s">
        <v>200</v>
      </c>
      <c r="H114" s="28" t="s">
        <v>36</v>
      </c>
      <c r="I114" s="45"/>
      <c r="J114" s="46">
        <v>1940625</v>
      </c>
      <c r="K114" s="46">
        <v>2026856.2499999993</v>
      </c>
      <c r="L114" s="30">
        <v>2065500</v>
      </c>
      <c r="M114" s="47"/>
      <c r="N114" s="31">
        <v>2354904.5625</v>
      </c>
      <c r="O114" s="31">
        <v>2191947.6825000001</v>
      </c>
      <c r="P114" s="31">
        <v>1824879.375</v>
      </c>
      <c r="Q114" s="31">
        <v>1483643.1825000001</v>
      </c>
      <c r="R114" s="31">
        <v>1550805.75</v>
      </c>
      <c r="S114" s="31">
        <v>1572750.0018603799</v>
      </c>
      <c r="T114" s="31">
        <v>1855912.5017895701</v>
      </c>
      <c r="U114" s="31">
        <v>2076481</v>
      </c>
      <c r="V114" s="31">
        <v>2032087.5</v>
      </c>
      <c r="W114" s="31">
        <v>2042718.8399999994</v>
      </c>
      <c r="X114" s="31">
        <v>2005256.28</v>
      </c>
      <c r="Y114" s="31">
        <v>2486193.8199999994</v>
      </c>
      <c r="Z114" s="31">
        <v>2699374.9286473156</v>
      </c>
      <c r="AA114" s="2"/>
      <c r="AB114" s="46">
        <v>2193750</v>
      </c>
      <c r="AC114" s="46">
        <v>2227500</v>
      </c>
      <c r="AD114" s="46">
        <v>2244375</v>
      </c>
      <c r="AE114" s="45"/>
      <c r="AF114" s="32">
        <f t="shared" si="12"/>
        <v>2036667.6241865989</v>
      </c>
      <c r="AG114" s="30">
        <v>2134126.0469995798</v>
      </c>
      <c r="AH114" s="30">
        <v>1920713.4422996221</v>
      </c>
      <c r="AI114" s="30">
        <v>2055163.3832605956</v>
      </c>
      <c r="AJ114" s="45"/>
      <c r="AK114" s="30">
        <v>12647</v>
      </c>
      <c r="AL114" s="33">
        <v>12158</v>
      </c>
      <c r="AM114" s="33">
        <v>12965</v>
      </c>
      <c r="AN114" s="45"/>
      <c r="AO114" s="30">
        <v>2134181.25</v>
      </c>
      <c r="AP114" s="33">
        <f t="shared" si="10"/>
        <v>2051662.5</v>
      </c>
      <c r="AQ114" s="33">
        <f t="shared" si="11"/>
        <v>2187843.75</v>
      </c>
    </row>
    <row r="115" spans="1:43" ht="24" x14ac:dyDescent="0.25">
      <c r="A115" s="28" t="s">
        <v>205</v>
      </c>
      <c r="B115" s="28">
        <v>372970</v>
      </c>
      <c r="C115" s="28">
        <v>595</v>
      </c>
      <c r="D115" s="28" t="s">
        <v>206</v>
      </c>
      <c r="E115" s="29">
        <v>75</v>
      </c>
      <c r="F115" s="28" t="s">
        <v>199</v>
      </c>
      <c r="G115" s="28" t="s">
        <v>200</v>
      </c>
      <c r="H115" s="28" t="s">
        <v>36</v>
      </c>
      <c r="I115" s="45"/>
      <c r="J115" s="46">
        <v>2700000</v>
      </c>
      <c r="K115" s="46">
        <v>2716275.1400000006</v>
      </c>
      <c r="L115" s="30">
        <v>2769300</v>
      </c>
      <c r="M115" s="47"/>
      <c r="N115" s="31">
        <v>2310652.92</v>
      </c>
      <c r="O115" s="31">
        <v>2042513.73</v>
      </c>
      <c r="P115" s="31">
        <v>2291069.88</v>
      </c>
      <c r="Q115" s="31">
        <v>2452574.8800000101</v>
      </c>
      <c r="R115" s="31">
        <v>2338419.6</v>
      </c>
      <c r="S115" s="31">
        <v>2579850.0017969599</v>
      </c>
      <c r="T115" s="31">
        <v>2504775.0016828198</v>
      </c>
      <c r="U115" s="31">
        <v>2484164</v>
      </c>
      <c r="V115" s="31">
        <v>2522925</v>
      </c>
      <c r="W115" s="31">
        <v>2543475.0300000007</v>
      </c>
      <c r="X115" s="31">
        <v>2370525.0099999998</v>
      </c>
      <c r="Y115" s="31">
        <v>2305950.0299999993</v>
      </c>
      <c r="Z115" s="31">
        <v>2396698.1385506308</v>
      </c>
      <c r="AA115" s="2"/>
      <c r="AB115" s="46">
        <v>2310000</v>
      </c>
      <c r="AC115" s="46">
        <v>2317500</v>
      </c>
      <c r="AD115" s="46">
        <v>3000000</v>
      </c>
      <c r="AE115" s="45"/>
      <c r="AF115" s="32">
        <f t="shared" si="12"/>
        <v>2702463.7552110353</v>
      </c>
      <c r="AG115" s="30">
        <v>2831781.7903014692</v>
      </c>
      <c r="AH115" s="30">
        <v>2548603.6112713222</v>
      </c>
      <c r="AI115" s="30">
        <v>2727005.8640603148</v>
      </c>
      <c r="AJ115" s="45"/>
      <c r="AK115" s="30">
        <v>37757</v>
      </c>
      <c r="AL115" s="33">
        <v>36061</v>
      </c>
      <c r="AM115" s="33">
        <v>37737</v>
      </c>
      <c r="AN115" s="45"/>
      <c r="AO115" s="30">
        <v>2831775</v>
      </c>
      <c r="AP115" s="33">
        <f t="shared" si="10"/>
        <v>2704575</v>
      </c>
      <c r="AQ115" s="33">
        <f t="shared" si="11"/>
        <v>2830275</v>
      </c>
    </row>
    <row r="116" spans="1:43" ht="24" x14ac:dyDescent="0.25">
      <c r="A116" s="28" t="s">
        <v>207</v>
      </c>
      <c r="B116" s="28">
        <v>320752</v>
      </c>
      <c r="C116" s="28">
        <v>617</v>
      </c>
      <c r="D116" s="28" t="s">
        <v>208</v>
      </c>
      <c r="E116" s="29">
        <v>450</v>
      </c>
      <c r="F116" s="28" t="s">
        <v>199</v>
      </c>
      <c r="G116" s="28" t="s">
        <v>200</v>
      </c>
      <c r="H116" s="28" t="s">
        <v>36</v>
      </c>
      <c r="I116" s="45"/>
      <c r="J116" s="46">
        <v>319770</v>
      </c>
      <c r="K116" s="46">
        <v>349200.27000000031</v>
      </c>
      <c r="L116" s="30">
        <v>355950</v>
      </c>
      <c r="M116" s="47"/>
      <c r="N116" s="31">
        <v>159745.5</v>
      </c>
      <c r="O116" s="31">
        <v>151155</v>
      </c>
      <c r="P116" s="31">
        <v>153000</v>
      </c>
      <c r="Q116" s="31">
        <v>221400</v>
      </c>
      <c r="R116" s="31">
        <v>281250</v>
      </c>
      <c r="S116" s="31">
        <v>140850.00003433201</v>
      </c>
      <c r="T116" s="31">
        <v>191700.00187110901</v>
      </c>
      <c r="U116" s="31">
        <v>161552</v>
      </c>
      <c r="V116" s="31">
        <v>155700</v>
      </c>
      <c r="W116" s="31">
        <v>162000.02000000002</v>
      </c>
      <c r="X116" s="31">
        <v>401400.01000000007</v>
      </c>
      <c r="Y116" s="31">
        <v>158400.01</v>
      </c>
      <c r="Z116" s="31">
        <v>141555.0317733158</v>
      </c>
      <c r="AA116" s="2"/>
      <c r="AB116" s="46">
        <v>337500</v>
      </c>
      <c r="AC116" s="46">
        <v>360000</v>
      </c>
      <c r="AD116" s="46">
        <v>382500</v>
      </c>
      <c r="AE116" s="45"/>
      <c r="AF116" s="32">
        <f t="shared" si="12"/>
        <v>302897.52714337729</v>
      </c>
      <c r="AG116" s="30">
        <v>317391.75041220116</v>
      </c>
      <c r="AH116" s="30">
        <v>285652.57537098107</v>
      </c>
      <c r="AI116" s="30">
        <v>305648.25564694975</v>
      </c>
      <c r="AJ116" s="45"/>
      <c r="AK116" s="30">
        <v>705</v>
      </c>
      <c r="AL116" s="33">
        <v>567</v>
      </c>
      <c r="AM116" s="33">
        <v>601</v>
      </c>
      <c r="AN116" s="45"/>
      <c r="AO116" s="30">
        <v>317250</v>
      </c>
      <c r="AP116" s="33">
        <f t="shared" si="10"/>
        <v>255150</v>
      </c>
      <c r="AQ116" s="33">
        <f t="shared" si="11"/>
        <v>270450</v>
      </c>
    </row>
    <row r="117" spans="1:43" ht="24" x14ac:dyDescent="0.25">
      <c r="A117" s="28" t="s">
        <v>207</v>
      </c>
      <c r="B117" s="28">
        <v>339102</v>
      </c>
      <c r="C117" s="28">
        <v>615</v>
      </c>
      <c r="D117" s="28" t="s">
        <v>209</v>
      </c>
      <c r="E117" s="29">
        <v>270.68</v>
      </c>
      <c r="F117" s="28" t="s">
        <v>199</v>
      </c>
      <c r="G117" s="28" t="s">
        <v>200</v>
      </c>
      <c r="H117" s="28" t="s">
        <v>36</v>
      </c>
      <c r="I117" s="45"/>
      <c r="J117" s="46">
        <v>920312</v>
      </c>
      <c r="K117" s="46">
        <v>992042.22999999975</v>
      </c>
      <c r="L117" s="30">
        <v>1010719.12</v>
      </c>
      <c r="M117" s="47"/>
      <c r="N117" s="31">
        <v>615244.81279999996</v>
      </c>
      <c r="O117" s="31">
        <v>578413.27692799503</v>
      </c>
      <c r="P117" s="31">
        <v>664248.71999999904</v>
      </c>
      <c r="Q117" s="31">
        <v>617691.65172799898</v>
      </c>
      <c r="R117" s="31">
        <v>536755.73320000002</v>
      </c>
      <c r="S117" s="31">
        <v>519976.28037182201</v>
      </c>
      <c r="T117" s="31">
        <v>585480.842746665</v>
      </c>
      <c r="U117" s="31">
        <v>532158</v>
      </c>
      <c r="V117" s="31">
        <v>595225.32000000007</v>
      </c>
      <c r="W117" s="31">
        <v>567886.66999999958</v>
      </c>
      <c r="X117" s="31">
        <v>539194.52999999991</v>
      </c>
      <c r="Y117" s="31">
        <v>541901.38</v>
      </c>
      <c r="Z117" s="31">
        <v>523495.68790705234</v>
      </c>
      <c r="AA117" s="2"/>
      <c r="AB117" s="46">
        <v>866176</v>
      </c>
      <c r="AC117" s="46">
        <v>893244</v>
      </c>
      <c r="AD117" s="46">
        <v>920312</v>
      </c>
      <c r="AE117" s="45"/>
      <c r="AF117" s="32">
        <f t="shared" si="12"/>
        <v>852089.04125319549</v>
      </c>
      <c r="AG117" s="30">
        <v>892863.12391183595</v>
      </c>
      <c r="AH117" s="30">
        <v>803576.81152065238</v>
      </c>
      <c r="AI117" s="30">
        <v>859827.18832709815</v>
      </c>
      <c r="AJ117" s="45"/>
      <c r="AK117" s="30">
        <v>3299</v>
      </c>
      <c r="AL117" s="33">
        <v>2679</v>
      </c>
      <c r="AM117" s="33">
        <v>2825</v>
      </c>
      <c r="AN117" s="45"/>
      <c r="AO117" s="30">
        <v>892973.32000000007</v>
      </c>
      <c r="AP117" s="33">
        <f t="shared" si="10"/>
        <v>725151.72</v>
      </c>
      <c r="AQ117" s="33">
        <f t="shared" si="11"/>
        <v>764671</v>
      </c>
    </row>
    <row r="118" spans="1:43" ht="24" x14ac:dyDescent="0.25">
      <c r="A118" s="28" t="s">
        <v>210</v>
      </c>
      <c r="B118" s="28">
        <v>352336</v>
      </c>
      <c r="C118" s="28">
        <v>751</v>
      </c>
      <c r="D118" s="28" t="s">
        <v>211</v>
      </c>
      <c r="E118" s="29">
        <v>203.01</v>
      </c>
      <c r="F118" s="28" t="s">
        <v>199</v>
      </c>
      <c r="G118" s="28" t="s">
        <v>200</v>
      </c>
      <c r="H118" s="28" t="s">
        <v>36</v>
      </c>
      <c r="I118" s="45"/>
      <c r="J118" s="46">
        <v>255792.59999999998</v>
      </c>
      <c r="K118" s="46">
        <v>271627.32000000018</v>
      </c>
      <c r="L118" s="30">
        <v>276905.64</v>
      </c>
      <c r="M118" s="47"/>
      <c r="N118" s="31">
        <v>119978.91</v>
      </c>
      <c r="O118" s="31">
        <v>165453.15</v>
      </c>
      <c r="P118" s="31">
        <v>175603.65</v>
      </c>
      <c r="Q118" s="31">
        <v>149821.38</v>
      </c>
      <c r="R118" s="31">
        <v>138046.79999999999</v>
      </c>
      <c r="S118" s="31">
        <v>86076.24</v>
      </c>
      <c r="T118" s="31">
        <v>183521.04</v>
      </c>
      <c r="U118" s="31">
        <v>136625</v>
      </c>
      <c r="V118" s="31">
        <v>194077.56</v>
      </c>
      <c r="W118" s="31">
        <v>157941.77999999997</v>
      </c>
      <c r="X118" s="31">
        <v>139467.88999999996</v>
      </c>
      <c r="Y118" s="31">
        <v>91557.51</v>
      </c>
      <c r="Z118" s="31">
        <v>118259.57557105261</v>
      </c>
      <c r="AA118" s="2"/>
      <c r="AB118" s="46">
        <v>233461.5</v>
      </c>
      <c r="AC118" s="46">
        <v>243612</v>
      </c>
      <c r="AD118" s="46">
        <v>253762.5</v>
      </c>
      <c r="AE118" s="45"/>
      <c r="AF118" s="32">
        <f t="shared" si="12"/>
        <v>199277.66224200025</v>
      </c>
      <c r="AG118" s="30">
        <v>208813.4777247645</v>
      </c>
      <c r="AH118" s="30">
        <v>187932.12995228806</v>
      </c>
      <c r="AI118" s="30">
        <v>201087.37904894823</v>
      </c>
      <c r="AJ118" s="48"/>
      <c r="AK118" s="30">
        <v>1029</v>
      </c>
      <c r="AL118" s="33">
        <v>876</v>
      </c>
      <c r="AM118" s="33">
        <v>949</v>
      </c>
      <c r="AN118" s="45"/>
      <c r="AO118" s="30">
        <v>208897.28999999998</v>
      </c>
      <c r="AP118" s="33">
        <f t="shared" si="10"/>
        <v>177836.75999999998</v>
      </c>
      <c r="AQ118" s="33">
        <f t="shared" si="11"/>
        <v>192656.49</v>
      </c>
    </row>
    <row r="119" spans="1:43" ht="24" x14ac:dyDescent="0.25">
      <c r="A119" s="28" t="s">
        <v>210</v>
      </c>
      <c r="B119" s="28">
        <v>352337</v>
      </c>
      <c r="C119" s="28">
        <v>752</v>
      </c>
      <c r="D119" s="28" t="s">
        <v>212</v>
      </c>
      <c r="E119" s="29">
        <v>345.86</v>
      </c>
      <c r="F119" s="28" t="s">
        <v>199</v>
      </c>
      <c r="G119" s="28" t="s">
        <v>200</v>
      </c>
      <c r="H119" s="28" t="s">
        <v>36</v>
      </c>
      <c r="I119" s="45"/>
      <c r="J119" s="46">
        <v>1089459</v>
      </c>
      <c r="K119" s="46">
        <v>1184224.5299999986</v>
      </c>
      <c r="L119" s="30">
        <v>1207743.1200000001</v>
      </c>
      <c r="M119" s="47"/>
      <c r="N119" s="31">
        <v>874956.62799999898</v>
      </c>
      <c r="O119" s="31">
        <v>783352.14839999902</v>
      </c>
      <c r="P119" s="31">
        <v>905807.34</v>
      </c>
      <c r="Q119" s="31">
        <v>687569.68</v>
      </c>
      <c r="R119" s="31">
        <v>765042.32</v>
      </c>
      <c r="S119" s="31">
        <v>688261.40036941797</v>
      </c>
      <c r="T119" s="31">
        <v>869146.18017151498</v>
      </c>
      <c r="U119" s="31">
        <v>905118</v>
      </c>
      <c r="V119" s="31">
        <v>662321.9</v>
      </c>
      <c r="W119" s="31">
        <v>775072.26999999955</v>
      </c>
      <c r="X119" s="31">
        <v>1428055.9399999995</v>
      </c>
      <c r="Y119" s="31">
        <v>1588535.0099999998</v>
      </c>
      <c r="Z119" s="31">
        <v>846191.23180268402</v>
      </c>
      <c r="AA119" s="2"/>
      <c r="AB119" s="46">
        <v>1037580</v>
      </c>
      <c r="AC119" s="46">
        <v>1054873</v>
      </c>
      <c r="AD119" s="46">
        <v>1072166</v>
      </c>
      <c r="AE119" s="45"/>
      <c r="AF119" s="32">
        <f t="shared" si="12"/>
        <v>927580.55586094316</v>
      </c>
      <c r="AG119" s="30">
        <v>971967.05119903211</v>
      </c>
      <c r="AH119" s="30">
        <v>874770.34607912903</v>
      </c>
      <c r="AI119" s="30">
        <v>936004.270304668</v>
      </c>
      <c r="AJ119" s="45"/>
      <c r="AK119" s="30">
        <v>2810</v>
      </c>
      <c r="AL119" s="33">
        <v>2442</v>
      </c>
      <c r="AM119" s="33">
        <v>2583</v>
      </c>
      <c r="AN119" s="45"/>
      <c r="AO119" s="30">
        <v>971866.60000000009</v>
      </c>
      <c r="AP119" s="33">
        <f t="shared" si="10"/>
        <v>844590.12</v>
      </c>
      <c r="AQ119" s="33">
        <f t="shared" si="11"/>
        <v>893356.38</v>
      </c>
    </row>
    <row r="120" spans="1:43" ht="24" x14ac:dyDescent="0.25">
      <c r="A120" s="28" t="s">
        <v>210</v>
      </c>
      <c r="B120" s="28">
        <v>352338</v>
      </c>
      <c r="C120" s="28">
        <v>753</v>
      </c>
      <c r="D120" s="28" t="s">
        <v>213</v>
      </c>
      <c r="E120" s="29">
        <v>488.72</v>
      </c>
      <c r="F120" s="28" t="s">
        <v>199</v>
      </c>
      <c r="G120" s="28" t="s">
        <v>200</v>
      </c>
      <c r="H120" s="28" t="s">
        <v>36</v>
      </c>
      <c r="I120" s="45"/>
      <c r="J120" s="46">
        <v>1385521.2000000002</v>
      </c>
      <c r="K120" s="46">
        <v>1464205.1399999994</v>
      </c>
      <c r="L120" s="30">
        <v>1493528.32</v>
      </c>
      <c r="M120" s="47"/>
      <c r="N120" s="31">
        <v>13047743.9288</v>
      </c>
      <c r="O120" s="31">
        <v>1109394.3999999999</v>
      </c>
      <c r="P120" s="31">
        <v>1206151.1856</v>
      </c>
      <c r="Q120" s="31">
        <v>1229619.52</v>
      </c>
      <c r="R120" s="31">
        <v>1096198.96</v>
      </c>
      <c r="S120" s="31">
        <v>612854.88061522495</v>
      </c>
      <c r="T120" s="31">
        <v>837666.08009321499</v>
      </c>
      <c r="U120" s="31">
        <v>1039993</v>
      </c>
      <c r="V120" s="31">
        <v>1110860.56</v>
      </c>
      <c r="W120" s="31">
        <v>813230.07999999984</v>
      </c>
      <c r="X120" s="31">
        <v>8239819.2000000011</v>
      </c>
      <c r="Y120" s="31">
        <v>1962699.52</v>
      </c>
      <c r="Z120" s="31">
        <v>897194.23240668385</v>
      </c>
      <c r="AA120" s="2"/>
      <c r="AB120" s="46">
        <v>1771610</v>
      </c>
      <c r="AC120" s="46">
        <v>1832700</v>
      </c>
      <c r="AD120" s="46">
        <v>1863245</v>
      </c>
      <c r="AE120" s="45"/>
      <c r="AF120" s="32">
        <f t="shared" si="12"/>
        <v>1397923.3904332088</v>
      </c>
      <c r="AG120" s="30">
        <v>1464816.6857490835</v>
      </c>
      <c r="AH120" s="30">
        <v>1318335.0171741752</v>
      </c>
      <c r="AI120" s="30">
        <v>1410618.4683763674</v>
      </c>
      <c r="AJ120" s="45"/>
      <c r="AK120" s="30">
        <v>2997</v>
      </c>
      <c r="AL120" s="33">
        <v>2782</v>
      </c>
      <c r="AM120" s="33">
        <v>2951</v>
      </c>
      <c r="AN120" s="45"/>
      <c r="AO120" s="30">
        <v>1464693.84</v>
      </c>
      <c r="AP120" s="33">
        <f t="shared" si="10"/>
        <v>1359619.04</v>
      </c>
      <c r="AQ120" s="33">
        <f t="shared" si="11"/>
        <v>1442212.72</v>
      </c>
    </row>
    <row r="121" spans="1:43" ht="24" x14ac:dyDescent="0.25">
      <c r="A121" s="28" t="s">
        <v>210</v>
      </c>
      <c r="B121" s="28">
        <v>352339</v>
      </c>
      <c r="C121" s="28">
        <v>754</v>
      </c>
      <c r="D121" s="28" t="s">
        <v>214</v>
      </c>
      <c r="E121" s="29">
        <v>601.51</v>
      </c>
      <c r="F121" s="28" t="s">
        <v>199</v>
      </c>
      <c r="G121" s="28" t="s">
        <v>200</v>
      </c>
      <c r="H121" s="28" t="s">
        <v>36</v>
      </c>
      <c r="I121" s="45"/>
      <c r="J121" s="46">
        <v>252634.19999999998</v>
      </c>
      <c r="K121" s="46">
        <v>257446.2</v>
      </c>
      <c r="L121" s="30">
        <v>262859.87</v>
      </c>
      <c r="M121" s="47"/>
      <c r="N121" s="31">
        <v>1539264.38</v>
      </c>
      <c r="O121" s="31">
        <v>126317.1</v>
      </c>
      <c r="P121" s="31">
        <v>81805.36</v>
      </c>
      <c r="Q121" s="31">
        <v>247822.17</v>
      </c>
      <c r="R121" s="31">
        <v>64963.08</v>
      </c>
      <c r="S121" s="31">
        <v>87820.460091783098</v>
      </c>
      <c r="T121" s="31">
        <v>137144.28</v>
      </c>
      <c r="U121" s="31">
        <v>134739</v>
      </c>
      <c r="V121" s="31">
        <v>176242.43</v>
      </c>
      <c r="W121" s="31">
        <v>158197.13</v>
      </c>
      <c r="X121" s="31">
        <v>93835.56</v>
      </c>
      <c r="Y121" s="31">
        <v>107670.29000000001</v>
      </c>
      <c r="Z121" s="31">
        <v>200227.48295789474</v>
      </c>
      <c r="AA121" s="2"/>
      <c r="AB121" s="46">
        <v>308273.875</v>
      </c>
      <c r="AC121" s="46">
        <v>323311.625</v>
      </c>
      <c r="AD121" s="46">
        <v>345868.25</v>
      </c>
      <c r="AE121" s="45"/>
      <c r="AF121" s="32">
        <f t="shared" si="12"/>
        <v>186514.65408051488</v>
      </c>
      <c r="AG121" s="30">
        <v>195439.73532712</v>
      </c>
      <c r="AH121" s="30">
        <v>175895.76179440803</v>
      </c>
      <c r="AI121" s="30">
        <v>188208.46512001657</v>
      </c>
      <c r="AJ121" s="45"/>
      <c r="AK121" s="30">
        <v>325</v>
      </c>
      <c r="AL121" s="33">
        <v>361</v>
      </c>
      <c r="AM121" s="33">
        <v>422</v>
      </c>
      <c r="AN121" s="45"/>
      <c r="AO121" s="30">
        <v>195490.75</v>
      </c>
      <c r="AP121" s="33">
        <f t="shared" si="10"/>
        <v>217145.11</v>
      </c>
      <c r="AQ121" s="33">
        <f t="shared" si="11"/>
        <v>253837.22</v>
      </c>
    </row>
    <row r="122" spans="1:43" x14ac:dyDescent="0.25">
      <c r="A122" s="28" t="s">
        <v>215</v>
      </c>
      <c r="B122" s="28">
        <v>4011000147</v>
      </c>
      <c r="C122" s="28">
        <v>784</v>
      </c>
      <c r="D122" s="28" t="s">
        <v>216</v>
      </c>
      <c r="E122" s="29">
        <v>337.2</v>
      </c>
      <c r="F122" s="28" t="s">
        <v>199</v>
      </c>
      <c r="G122" s="28" t="s">
        <v>200</v>
      </c>
      <c r="H122" s="28" t="s">
        <v>37</v>
      </c>
      <c r="I122" s="45"/>
      <c r="J122" s="46">
        <v>247842</v>
      </c>
      <c r="K122" s="46">
        <v>255597.48000000004</v>
      </c>
      <c r="L122" s="30">
        <v>260655.59999999998</v>
      </c>
      <c r="M122" s="47"/>
      <c r="N122" s="31">
        <v>38778</v>
      </c>
      <c r="O122" s="31">
        <v>40801.199999999997</v>
      </c>
      <c r="P122" s="31">
        <v>54626.400000000001</v>
      </c>
      <c r="Q122" s="31">
        <v>48556.800000000003</v>
      </c>
      <c r="R122" s="31">
        <v>51928.800000000003</v>
      </c>
      <c r="S122" s="31">
        <v>55300.800115768398</v>
      </c>
      <c r="T122" s="31">
        <v>49905.600090042099</v>
      </c>
      <c r="U122" s="31">
        <v>50916</v>
      </c>
      <c r="V122" s="31">
        <v>55300.799999999996</v>
      </c>
      <c r="W122" s="31">
        <v>48894</v>
      </c>
      <c r="X122" s="31">
        <v>41138.409999999982</v>
      </c>
      <c r="Y122" s="31">
        <v>56986.8</v>
      </c>
      <c r="Z122" s="31">
        <v>66785.989951578929</v>
      </c>
      <c r="AA122" s="2"/>
      <c r="AB122" s="46">
        <v>111276</v>
      </c>
      <c r="AC122" s="46">
        <v>111276</v>
      </c>
      <c r="AD122" s="46">
        <v>118020</v>
      </c>
      <c r="AE122" s="45"/>
      <c r="AF122" s="32">
        <f t="shared" si="12"/>
        <v>179685.53470374484</v>
      </c>
      <c r="AG122" s="30">
        <v>179685.53470374484</v>
      </c>
      <c r="AH122" s="30">
        <v>174294.96866263251</v>
      </c>
      <c r="AI122" s="30">
        <v>185076.10074485719</v>
      </c>
      <c r="AJ122" s="45"/>
      <c r="AK122" s="30">
        <v>533</v>
      </c>
      <c r="AL122" s="33">
        <v>227</v>
      </c>
      <c r="AM122" s="33">
        <v>253</v>
      </c>
      <c r="AN122" s="45"/>
      <c r="AO122" s="30">
        <v>179727.6</v>
      </c>
      <c r="AP122" s="33">
        <f t="shared" si="10"/>
        <v>76544.399999999994</v>
      </c>
      <c r="AQ122" s="33">
        <f t="shared" si="11"/>
        <v>85311.599999999991</v>
      </c>
    </row>
    <row r="123" spans="1:43" x14ac:dyDescent="0.25">
      <c r="A123" s="28" t="s">
        <v>215</v>
      </c>
      <c r="B123" s="28">
        <v>4011000148</v>
      </c>
      <c r="C123" s="28">
        <v>785</v>
      </c>
      <c r="D123" s="28" t="s">
        <v>217</v>
      </c>
      <c r="E123" s="29">
        <v>562.20000000000005</v>
      </c>
      <c r="F123" s="28" t="s">
        <v>199</v>
      </c>
      <c r="G123" s="28" t="s">
        <v>200</v>
      </c>
      <c r="H123" s="28" t="s">
        <v>37</v>
      </c>
      <c r="I123" s="45"/>
      <c r="J123" s="46">
        <v>199018.80000000002</v>
      </c>
      <c r="K123" s="46">
        <v>204640.69999999995</v>
      </c>
      <c r="L123" s="30">
        <v>208576.2</v>
      </c>
      <c r="M123" s="47"/>
      <c r="N123" s="31">
        <v>29233.950239999998</v>
      </c>
      <c r="O123" s="31">
        <v>30921</v>
      </c>
      <c r="P123" s="31">
        <v>45538.2</v>
      </c>
      <c r="Q123" s="31">
        <v>33169.800000000003</v>
      </c>
      <c r="R123" s="31">
        <v>32045.4</v>
      </c>
      <c r="S123" s="31">
        <v>24736.800128677402</v>
      </c>
      <c r="T123" s="31">
        <v>29796.600107231199</v>
      </c>
      <c r="U123" s="31">
        <v>25294</v>
      </c>
      <c r="V123" s="31">
        <v>14055.000000000002</v>
      </c>
      <c r="W123" s="31">
        <v>26423.390000000007</v>
      </c>
      <c r="X123" s="31">
        <v>22488.000000000004</v>
      </c>
      <c r="Y123" s="31">
        <v>25299</v>
      </c>
      <c r="Z123" s="31">
        <v>37428.41876678948</v>
      </c>
      <c r="AA123" s="2"/>
      <c r="AB123" s="46">
        <v>89951.999999999985</v>
      </c>
      <c r="AC123" s="46">
        <v>106817.99999999999</v>
      </c>
      <c r="AD123" s="46">
        <v>112439.99999999999</v>
      </c>
      <c r="AE123" s="45"/>
      <c r="AF123" s="32">
        <f t="shared" si="12"/>
        <v>123623.21929625515</v>
      </c>
      <c r="AG123" s="30">
        <v>123623.21929625516</v>
      </c>
      <c r="AH123" s="30">
        <v>119914.52271736751</v>
      </c>
      <c r="AI123" s="30">
        <v>127331.91587514282</v>
      </c>
      <c r="AJ123" s="45"/>
      <c r="AK123" s="30">
        <v>220</v>
      </c>
      <c r="AL123" s="33">
        <v>165</v>
      </c>
      <c r="AM123" s="33">
        <v>190</v>
      </c>
      <c r="AN123" s="45"/>
      <c r="AO123" s="30">
        <v>123684.00000000001</v>
      </c>
      <c r="AP123" s="33">
        <f t="shared" si="10"/>
        <v>92763.000000000015</v>
      </c>
      <c r="AQ123" s="33">
        <f t="shared" si="11"/>
        <v>106818.00000000001</v>
      </c>
    </row>
    <row r="124" spans="1:43" ht="24" x14ac:dyDescent="0.25">
      <c r="A124" s="28" t="s">
        <v>218</v>
      </c>
      <c r="B124" s="28">
        <v>4011000159</v>
      </c>
      <c r="C124" s="28">
        <v>797</v>
      </c>
      <c r="D124" s="28" t="s">
        <v>219</v>
      </c>
      <c r="E124" s="29">
        <v>449.8</v>
      </c>
      <c r="F124" s="28" t="s">
        <v>199</v>
      </c>
      <c r="G124" s="28" t="s">
        <v>200</v>
      </c>
      <c r="H124" s="28" t="s">
        <v>36</v>
      </c>
      <c r="I124" s="45"/>
      <c r="J124" s="46">
        <v>170924</v>
      </c>
      <c r="K124" s="46">
        <v>205558.77000000002</v>
      </c>
      <c r="L124" s="30">
        <v>209606.80000000002</v>
      </c>
      <c r="M124" s="47"/>
      <c r="N124" s="31">
        <v>65221.000000000102</v>
      </c>
      <c r="O124" s="31">
        <v>66570.400000000096</v>
      </c>
      <c r="P124" s="31">
        <v>53976</v>
      </c>
      <c r="Q124" s="31">
        <v>63871.6</v>
      </c>
      <c r="R124" s="31">
        <v>71068.399999999994</v>
      </c>
      <c r="S124" s="31">
        <v>72867.600000000093</v>
      </c>
      <c r="T124" s="31">
        <v>64321.4</v>
      </c>
      <c r="U124" s="31">
        <v>68822</v>
      </c>
      <c r="V124" s="31">
        <v>66570.400000000009</v>
      </c>
      <c r="W124" s="31">
        <v>112450</v>
      </c>
      <c r="X124" s="31">
        <v>77815.400000000023</v>
      </c>
      <c r="Y124" s="31">
        <v>78714.990000000005</v>
      </c>
      <c r="Z124" s="31">
        <v>75612.18024268419</v>
      </c>
      <c r="AA124" s="2"/>
      <c r="AB124" s="46">
        <v>193413.99999999997</v>
      </c>
      <c r="AC124" s="46">
        <v>206907.99999999997</v>
      </c>
      <c r="AD124" s="46">
        <v>220401.99999999997</v>
      </c>
      <c r="AE124" s="45"/>
      <c r="AF124" s="32">
        <f t="shared" si="12"/>
        <v>180599.69244155075</v>
      </c>
      <c r="AG124" s="30">
        <v>189241.73151402452</v>
      </c>
      <c r="AH124" s="30">
        <v>170317.55836262208</v>
      </c>
      <c r="AI124" s="30">
        <v>182239.78744800563</v>
      </c>
      <c r="AJ124" s="48"/>
      <c r="AK124" s="30">
        <v>421</v>
      </c>
      <c r="AL124" s="33">
        <v>330</v>
      </c>
      <c r="AM124" s="33">
        <v>306</v>
      </c>
      <c r="AN124" s="45"/>
      <c r="AO124" s="30">
        <v>189365.80000000002</v>
      </c>
      <c r="AP124" s="33">
        <f t="shared" si="10"/>
        <v>148434</v>
      </c>
      <c r="AQ124" s="33">
        <f t="shared" si="11"/>
        <v>137638.80000000002</v>
      </c>
    </row>
    <row r="125" spans="1:43" ht="24" x14ac:dyDescent="0.25">
      <c r="A125" s="28" t="s">
        <v>218</v>
      </c>
      <c r="B125" s="28">
        <v>348290</v>
      </c>
      <c r="C125" s="28">
        <v>613</v>
      </c>
      <c r="D125" s="28" t="s">
        <v>220</v>
      </c>
      <c r="E125" s="29">
        <v>292.5</v>
      </c>
      <c r="F125" s="28" t="s">
        <v>199</v>
      </c>
      <c r="G125" s="28" t="s">
        <v>200</v>
      </c>
      <c r="H125" s="28" t="s">
        <v>36</v>
      </c>
      <c r="I125" s="45"/>
      <c r="J125" s="46">
        <v>971100</v>
      </c>
      <c r="K125" s="46">
        <v>1061774.9700000002</v>
      </c>
      <c r="L125" s="30">
        <v>1080202.5</v>
      </c>
      <c r="M125" s="47"/>
      <c r="N125" s="31">
        <v>867555</v>
      </c>
      <c r="O125" s="31">
        <v>733297.5</v>
      </c>
      <c r="P125" s="31">
        <v>906750</v>
      </c>
      <c r="Q125" s="31">
        <v>688545</v>
      </c>
      <c r="R125" s="31">
        <v>749970</v>
      </c>
      <c r="S125" s="31">
        <v>689422.50072538597</v>
      </c>
      <c r="T125" s="31">
        <v>718965.00091536494</v>
      </c>
      <c r="U125" s="31">
        <v>758769</v>
      </c>
      <c r="V125" s="31">
        <v>797062.5</v>
      </c>
      <c r="W125" s="31">
        <v>939510.02000000025</v>
      </c>
      <c r="X125" s="31">
        <v>761085.0199999999</v>
      </c>
      <c r="Y125" s="31">
        <v>773077.49999999988</v>
      </c>
      <c r="Z125" s="31">
        <v>724402.01895952655</v>
      </c>
      <c r="AA125" s="2"/>
      <c r="AB125" s="46">
        <v>1000350</v>
      </c>
      <c r="AC125" s="46">
        <v>1055925</v>
      </c>
      <c r="AD125" s="46">
        <v>1028137.5</v>
      </c>
      <c r="AE125" s="45"/>
      <c r="AF125" s="32">
        <f t="shared" si="12"/>
        <v>1101116.4316189641</v>
      </c>
      <c r="AG125" s="30">
        <v>1153806.9489545554</v>
      </c>
      <c r="AH125" s="30">
        <v>1038426.2540590998</v>
      </c>
      <c r="AI125" s="30">
        <v>1111116.0918432369</v>
      </c>
      <c r="AJ125" s="45"/>
      <c r="AK125" s="30">
        <v>3945</v>
      </c>
      <c r="AL125" s="33">
        <v>3627</v>
      </c>
      <c r="AM125" s="33">
        <v>3605</v>
      </c>
      <c r="AN125" s="45"/>
      <c r="AO125" s="30">
        <v>1153912.5</v>
      </c>
      <c r="AP125" s="33">
        <f t="shared" si="10"/>
        <v>1060897.5</v>
      </c>
      <c r="AQ125" s="33">
        <f t="shared" si="11"/>
        <v>1054462.5</v>
      </c>
    </row>
    <row r="126" spans="1:43" ht="24" x14ac:dyDescent="0.25">
      <c r="A126" s="28" t="s">
        <v>218</v>
      </c>
      <c r="B126" s="28">
        <v>348292</v>
      </c>
      <c r="C126" s="28">
        <v>614</v>
      </c>
      <c r="D126" s="28" t="s">
        <v>221</v>
      </c>
      <c r="E126" s="29">
        <v>562.20000000000005</v>
      </c>
      <c r="F126" s="28" t="s">
        <v>199</v>
      </c>
      <c r="G126" s="28" t="s">
        <v>200</v>
      </c>
      <c r="H126" s="28" t="s">
        <v>36</v>
      </c>
      <c r="I126" s="45"/>
      <c r="J126" s="46">
        <v>1866504.0000000002</v>
      </c>
      <c r="K126" s="46">
        <v>2038537.34</v>
      </c>
      <c r="L126" s="30">
        <v>2076204.6</v>
      </c>
      <c r="M126" s="47"/>
      <c r="N126" s="31">
        <v>1488705.5999999701</v>
      </c>
      <c r="O126" s="31">
        <v>1402688.99999997</v>
      </c>
      <c r="P126" s="31">
        <v>1674231.6</v>
      </c>
      <c r="Q126" s="31">
        <v>1392007.2</v>
      </c>
      <c r="R126" s="31">
        <v>1409435.4</v>
      </c>
      <c r="S126" s="31">
        <v>1298119.8008578301</v>
      </c>
      <c r="T126" s="31">
        <v>1278442.80120107</v>
      </c>
      <c r="U126" s="31">
        <v>1468463</v>
      </c>
      <c r="V126" s="31">
        <v>1337473.8</v>
      </c>
      <c r="W126" s="31">
        <v>1618011.6200000003</v>
      </c>
      <c r="X126" s="31">
        <v>1313861.42</v>
      </c>
      <c r="Y126" s="31">
        <v>1249770.5800000008</v>
      </c>
      <c r="Z126" s="31">
        <v>1216424.150842106</v>
      </c>
      <c r="AA126" s="2"/>
      <c r="AB126" s="46">
        <v>1548860.9999999998</v>
      </c>
      <c r="AC126" s="46">
        <v>1762496.9999999998</v>
      </c>
      <c r="AD126" s="46">
        <v>1602269.9999999998</v>
      </c>
      <c r="AE126" s="45"/>
      <c r="AF126" s="32">
        <f t="shared" si="12"/>
        <v>2067690.7484722452</v>
      </c>
      <c r="AG126" s="30">
        <v>2166633.6868378399</v>
      </c>
      <c r="AH126" s="30">
        <v>1949970.3181540559</v>
      </c>
      <c r="AI126" s="30">
        <v>2086468.24042484</v>
      </c>
      <c r="AJ126" s="45"/>
      <c r="AK126" s="30">
        <v>3854</v>
      </c>
      <c r="AL126" s="33">
        <v>3678</v>
      </c>
      <c r="AM126" s="33">
        <v>3679</v>
      </c>
      <c r="AN126" s="45"/>
      <c r="AO126" s="30">
        <v>2166718.8000000003</v>
      </c>
      <c r="AP126" s="33">
        <f t="shared" si="10"/>
        <v>2067771.6</v>
      </c>
      <c r="AQ126" s="33">
        <f t="shared" si="11"/>
        <v>2068333.8000000003</v>
      </c>
    </row>
    <row r="127" spans="1:43" ht="24" x14ac:dyDescent="0.25">
      <c r="A127" s="28" t="s">
        <v>222</v>
      </c>
      <c r="B127" s="28">
        <v>4011000130</v>
      </c>
      <c r="C127" s="28">
        <v>767</v>
      </c>
      <c r="D127" s="28" t="s">
        <v>223</v>
      </c>
      <c r="E127" s="29">
        <v>599.79999999999995</v>
      </c>
      <c r="F127" s="28" t="s">
        <v>199</v>
      </c>
      <c r="G127" s="28" t="s">
        <v>200</v>
      </c>
      <c r="H127" s="28" t="s">
        <v>37</v>
      </c>
      <c r="I127" s="45"/>
      <c r="J127" s="46">
        <v>959679.99999999988</v>
      </c>
      <c r="K127" s="46">
        <v>1049649.939999999</v>
      </c>
      <c r="L127" s="30">
        <v>1070643</v>
      </c>
      <c r="M127" s="47"/>
      <c r="N127" s="31">
        <v>510429.79999999801</v>
      </c>
      <c r="O127" s="31">
        <v>597400.79999999795</v>
      </c>
      <c r="P127" s="31">
        <v>638187.200000001</v>
      </c>
      <c r="Q127" s="31">
        <v>502032.6</v>
      </c>
      <c r="R127" s="31">
        <v>550616.4</v>
      </c>
      <c r="S127" s="31">
        <v>554815.00134994998</v>
      </c>
      <c r="T127" s="31">
        <v>524825.00100722106</v>
      </c>
      <c r="U127" s="31">
        <v>577014</v>
      </c>
      <c r="V127" s="31">
        <v>614795</v>
      </c>
      <c r="W127" s="31">
        <v>603998.60999999964</v>
      </c>
      <c r="X127" s="31">
        <v>578806.99000000011</v>
      </c>
      <c r="Y127" s="31">
        <v>668177.20000000019</v>
      </c>
      <c r="Z127" s="31">
        <v>694810.81964068417</v>
      </c>
      <c r="AA127" s="2"/>
      <c r="AB127" s="46">
        <v>885178.27578879986</v>
      </c>
      <c r="AC127" s="46">
        <v>912840.09690720006</v>
      </c>
      <c r="AD127" s="46">
        <v>912840.09690720006</v>
      </c>
      <c r="AE127" s="45"/>
      <c r="AF127" s="32">
        <f t="shared" si="12"/>
        <v>970643</v>
      </c>
      <c r="AG127" s="30">
        <v>970643</v>
      </c>
      <c r="AH127" s="30">
        <v>941523.71</v>
      </c>
      <c r="AI127" s="30">
        <v>999762.29</v>
      </c>
      <c r="AJ127" s="45"/>
      <c r="AK127" s="30">
        <v>1800</v>
      </c>
      <c r="AL127" s="33">
        <v>1556</v>
      </c>
      <c r="AM127" s="33">
        <v>1634</v>
      </c>
      <c r="AN127" s="45"/>
      <c r="AO127" s="30">
        <v>1079640</v>
      </c>
      <c r="AP127" s="33">
        <f t="shared" si="10"/>
        <v>933288.79999999993</v>
      </c>
      <c r="AQ127" s="33">
        <f t="shared" si="11"/>
        <v>980073.2</v>
      </c>
    </row>
    <row r="128" spans="1:43" ht="24" x14ac:dyDescent="0.25">
      <c r="A128" s="28" t="s">
        <v>222</v>
      </c>
      <c r="B128" s="28">
        <v>4011000131</v>
      </c>
      <c r="C128" s="28">
        <v>768</v>
      </c>
      <c r="D128" s="28" t="s">
        <v>224</v>
      </c>
      <c r="E128" s="29">
        <v>1124.4000000000001</v>
      </c>
      <c r="F128" s="28" t="s">
        <v>199</v>
      </c>
      <c r="G128" s="28" t="s">
        <v>200</v>
      </c>
      <c r="H128" s="28" t="s">
        <v>37</v>
      </c>
      <c r="I128" s="45"/>
      <c r="J128" s="46">
        <v>0</v>
      </c>
      <c r="K128" s="46">
        <v>0</v>
      </c>
      <c r="L128" s="30">
        <v>0</v>
      </c>
      <c r="M128" s="47"/>
      <c r="N128" s="31">
        <v>32607.599999999999</v>
      </c>
      <c r="O128" s="31">
        <v>20239.2</v>
      </c>
      <c r="P128" s="31">
        <v>29234.400000000001</v>
      </c>
      <c r="Q128" s="31">
        <v>20239.2</v>
      </c>
      <c r="R128" s="31">
        <v>11244</v>
      </c>
      <c r="S128" s="31">
        <v>7870.8</v>
      </c>
      <c r="T128" s="31">
        <v>0</v>
      </c>
      <c r="U128" s="31">
        <v>0</v>
      </c>
      <c r="V128" s="31">
        <v>2248.8000000000002</v>
      </c>
      <c r="W128" s="31">
        <v>0</v>
      </c>
      <c r="X128" s="31">
        <v>0</v>
      </c>
      <c r="Y128" s="31">
        <v>0</v>
      </c>
      <c r="Z128" s="31">
        <v>0</v>
      </c>
      <c r="AA128" s="2"/>
      <c r="AB128" s="46">
        <v>0</v>
      </c>
      <c r="AC128" s="46">
        <v>0</v>
      </c>
      <c r="AD128" s="46">
        <v>0</v>
      </c>
      <c r="AE128" s="45"/>
      <c r="AF128" s="32">
        <f t="shared" si="12"/>
        <v>0</v>
      </c>
      <c r="AG128" s="30">
        <v>0</v>
      </c>
      <c r="AH128" s="30">
        <v>0</v>
      </c>
      <c r="AI128" s="30">
        <v>0</v>
      </c>
      <c r="AJ128" s="45"/>
      <c r="AK128" s="30">
        <v>0</v>
      </c>
      <c r="AL128" s="33">
        <v>0</v>
      </c>
      <c r="AM128" s="33">
        <v>0</v>
      </c>
      <c r="AN128" s="45"/>
      <c r="AO128" s="30">
        <v>0</v>
      </c>
      <c r="AP128" s="33">
        <f t="shared" si="10"/>
        <v>0</v>
      </c>
      <c r="AQ128" s="33">
        <f t="shared" si="11"/>
        <v>0</v>
      </c>
    </row>
    <row r="129" spans="1:44" ht="24" x14ac:dyDescent="0.25">
      <c r="A129" s="28" t="s">
        <v>225</v>
      </c>
      <c r="B129" s="28">
        <v>4011000173</v>
      </c>
      <c r="C129" s="28">
        <v>807</v>
      </c>
      <c r="D129" s="28" t="s">
        <v>226</v>
      </c>
      <c r="E129" s="29">
        <v>200</v>
      </c>
      <c r="F129" s="28" t="s">
        <v>199</v>
      </c>
      <c r="G129" s="28" t="s">
        <v>200</v>
      </c>
      <c r="H129" s="28" t="s">
        <v>36</v>
      </c>
      <c r="I129" s="45"/>
      <c r="J129" s="46">
        <v>253600</v>
      </c>
      <c r="K129" s="46">
        <v>246400.02</v>
      </c>
      <c r="L129" s="30">
        <v>251400</v>
      </c>
      <c r="M129" s="47"/>
      <c r="N129" s="31">
        <v>315394</v>
      </c>
      <c r="O129" s="31">
        <v>300992</v>
      </c>
      <c r="P129" s="31">
        <v>217000</v>
      </c>
      <c r="Q129" s="31">
        <v>62800</v>
      </c>
      <c r="R129" s="31">
        <v>20199.919999999998</v>
      </c>
      <c r="S129" s="31">
        <v>1000</v>
      </c>
      <c r="T129" s="31">
        <v>600</v>
      </c>
      <c r="U129" s="31">
        <v>201565</v>
      </c>
      <c r="V129" s="31">
        <v>249543</v>
      </c>
      <c r="W129" s="31">
        <v>137944.79</v>
      </c>
      <c r="X129" s="31">
        <v>50765.380000000012</v>
      </c>
      <c r="Y129" s="31">
        <v>43696.789999999979</v>
      </c>
      <c r="Z129" s="31">
        <v>218896.41305521043</v>
      </c>
      <c r="AA129" s="2"/>
      <c r="AB129" s="46">
        <v>260000</v>
      </c>
      <c r="AC129" s="46">
        <v>270000</v>
      </c>
      <c r="AD129" s="46">
        <v>280000</v>
      </c>
      <c r="AE129" s="45"/>
      <c r="AF129" s="32">
        <f t="shared" si="12"/>
        <v>193247.30109943447</v>
      </c>
      <c r="AG129" s="30">
        <v>202494.55232214578</v>
      </c>
      <c r="AH129" s="30">
        <v>182245.09708993119</v>
      </c>
      <c r="AI129" s="30">
        <v>195002.25388622639</v>
      </c>
      <c r="AJ129" s="48"/>
      <c r="AK129" s="30">
        <v>1012</v>
      </c>
      <c r="AL129" s="33">
        <v>773</v>
      </c>
      <c r="AM129" s="33">
        <v>822</v>
      </c>
      <c r="AN129" s="45"/>
      <c r="AO129" s="30">
        <v>202400</v>
      </c>
      <c r="AP129" s="33">
        <f t="shared" si="10"/>
        <v>154600</v>
      </c>
      <c r="AQ129" s="33">
        <f t="shared" si="11"/>
        <v>164400</v>
      </c>
    </row>
    <row r="130" spans="1:44" ht="24" x14ac:dyDescent="0.25">
      <c r="A130" s="28" t="s">
        <v>225</v>
      </c>
      <c r="B130" s="28">
        <v>4011000174</v>
      </c>
      <c r="C130" s="28">
        <v>808</v>
      </c>
      <c r="D130" s="28" t="s">
        <v>227</v>
      </c>
      <c r="E130" s="29">
        <v>294.74</v>
      </c>
      <c r="F130" s="28" t="s">
        <v>199</v>
      </c>
      <c r="G130" s="28" t="s">
        <v>200</v>
      </c>
      <c r="H130" s="28" t="s">
        <v>36</v>
      </c>
      <c r="I130" s="45"/>
      <c r="J130" s="46">
        <v>428257.22000000003</v>
      </c>
      <c r="K130" s="46">
        <v>434741.43000000011</v>
      </c>
      <c r="L130" s="30">
        <v>443583.7</v>
      </c>
      <c r="M130" s="47"/>
      <c r="N130" s="31">
        <v>12379.08</v>
      </c>
      <c r="O130" s="31">
        <v>589.48</v>
      </c>
      <c r="P130" s="31">
        <v>589.48</v>
      </c>
      <c r="Q130" s="31">
        <v>0</v>
      </c>
      <c r="R130" s="31">
        <v>0</v>
      </c>
      <c r="S130" s="31">
        <v>0</v>
      </c>
      <c r="T130" s="31">
        <v>0</v>
      </c>
      <c r="U130" s="31">
        <v>104469</v>
      </c>
      <c r="V130" s="31">
        <v>234490.80000000002</v>
      </c>
      <c r="W130" s="31">
        <v>160956.00999999995</v>
      </c>
      <c r="X130" s="31">
        <v>130973.99000000002</v>
      </c>
      <c r="Y130" s="31">
        <v>100045.20999999999</v>
      </c>
      <c r="Z130" s="31">
        <v>127642.1493410526</v>
      </c>
      <c r="AA130" s="2"/>
      <c r="AB130" s="46">
        <v>338951</v>
      </c>
      <c r="AC130" s="46">
        <v>353688</v>
      </c>
      <c r="AD130" s="46">
        <v>368425</v>
      </c>
      <c r="AE130" s="45"/>
      <c r="AF130" s="32">
        <f t="shared" si="12"/>
        <v>284548.51607529883</v>
      </c>
      <c r="AG130" s="30">
        <v>298164.70423538121</v>
      </c>
      <c r="AH130" s="30">
        <v>268348.23381184309</v>
      </c>
      <c r="AI130" s="30">
        <v>287132.61017867207</v>
      </c>
      <c r="AJ130" s="48"/>
      <c r="AK130" s="30">
        <v>1012</v>
      </c>
      <c r="AL130" s="33">
        <v>793</v>
      </c>
      <c r="AM130" s="33">
        <v>822</v>
      </c>
      <c r="AN130" s="45"/>
      <c r="AO130" s="30">
        <v>298276.88</v>
      </c>
      <c r="AP130" s="33">
        <f t="shared" si="10"/>
        <v>233728.82</v>
      </c>
      <c r="AQ130" s="33">
        <f t="shared" si="11"/>
        <v>242276.28</v>
      </c>
    </row>
    <row r="131" spans="1:44" ht="24" x14ac:dyDescent="0.25">
      <c r="A131" s="28" t="s">
        <v>228</v>
      </c>
      <c r="B131" s="28">
        <v>344733</v>
      </c>
      <c r="C131" s="28">
        <v>502</v>
      </c>
      <c r="D131" s="28" t="s">
        <v>229</v>
      </c>
      <c r="E131" s="29">
        <v>311.24</v>
      </c>
      <c r="F131" s="28" t="s">
        <v>230</v>
      </c>
      <c r="G131" s="28" t="s">
        <v>200</v>
      </c>
      <c r="H131" s="28" t="s">
        <v>36</v>
      </c>
      <c r="I131" s="45"/>
      <c r="J131" s="46">
        <v>4917592</v>
      </c>
      <c r="K131" s="46">
        <v>5066053.709999999</v>
      </c>
      <c r="L131" s="30">
        <v>5165027.8</v>
      </c>
      <c r="M131" s="47"/>
      <c r="N131" s="31">
        <v>4264541.7582085403</v>
      </c>
      <c r="O131" s="31">
        <v>3622808.5763043799</v>
      </c>
      <c r="P131" s="31">
        <v>4003458.3331999602</v>
      </c>
      <c r="Q131" s="31">
        <v>3730522.6399999699</v>
      </c>
      <c r="R131" s="31">
        <v>3431106.3986079702</v>
      </c>
      <c r="S131" s="31">
        <v>3846926.4041803102</v>
      </c>
      <c r="T131" s="31">
        <v>4131711.0048825298</v>
      </c>
      <c r="U131" s="31">
        <v>4506135</v>
      </c>
      <c r="V131" s="31">
        <v>4527297.04</v>
      </c>
      <c r="W131" s="31">
        <v>4528541.95</v>
      </c>
      <c r="X131" s="31">
        <v>4261809.3499999978</v>
      </c>
      <c r="Y131" s="31">
        <v>4222593.08</v>
      </c>
      <c r="Z131" s="31">
        <v>4337896.7286078408</v>
      </c>
      <c r="AA131" s="2"/>
      <c r="AB131" s="46">
        <v>4824220</v>
      </c>
      <c r="AC131" s="46">
        <v>4917592</v>
      </c>
      <c r="AD131" s="46">
        <v>4979840</v>
      </c>
      <c r="AE131" s="45"/>
      <c r="AF131" s="32">
        <v>5000656.6606736938</v>
      </c>
      <c r="AG131" s="30">
        <v>5239947.6011250718</v>
      </c>
      <c r="AH131" s="30">
        <v>4715952.8410125645</v>
      </c>
      <c r="AI131" s="30">
        <v>5046069.539883445</v>
      </c>
      <c r="AJ131" s="48"/>
      <c r="AK131" s="30">
        <v>16096.096096096095</v>
      </c>
      <c r="AL131" s="33">
        <v>15612</v>
      </c>
      <c r="AM131" s="33">
        <v>16248</v>
      </c>
      <c r="AN131" s="45"/>
      <c r="AO131" s="30">
        <v>5009748.9489489486</v>
      </c>
      <c r="AP131" s="33">
        <f t="shared" si="10"/>
        <v>4859078.88</v>
      </c>
      <c r="AQ131" s="33">
        <f t="shared" si="11"/>
        <v>5057027.5200000005</v>
      </c>
      <c r="AR131" s="49"/>
    </row>
    <row r="132" spans="1:44" ht="24" x14ac:dyDescent="0.25">
      <c r="A132" s="28" t="s">
        <v>228</v>
      </c>
      <c r="B132" s="28">
        <v>344734</v>
      </c>
      <c r="C132" s="28">
        <v>504</v>
      </c>
      <c r="D132" s="28" t="s">
        <v>231</v>
      </c>
      <c r="E132" s="29">
        <v>436.51</v>
      </c>
      <c r="F132" s="28" t="s">
        <v>230</v>
      </c>
      <c r="G132" s="28" t="s">
        <v>200</v>
      </c>
      <c r="H132" s="28" t="s">
        <v>36</v>
      </c>
      <c r="I132" s="45"/>
      <c r="J132" s="46">
        <v>9821475</v>
      </c>
      <c r="K132" s="46">
        <v>10091674.75</v>
      </c>
      <c r="L132" s="30">
        <v>10288977.209999999</v>
      </c>
      <c r="M132" s="47"/>
      <c r="N132" s="31">
        <v>8401857.0033947807</v>
      </c>
      <c r="O132" s="31">
        <v>6934310.3833949696</v>
      </c>
      <c r="P132" s="31">
        <v>7801241.24350008</v>
      </c>
      <c r="Q132" s="31">
        <v>7456891.0759880804</v>
      </c>
      <c r="R132" s="31">
        <v>6866720.8257880798</v>
      </c>
      <c r="S132" s="31">
        <v>7806108.3395750001</v>
      </c>
      <c r="T132" s="31">
        <v>8446468.5106436294</v>
      </c>
      <c r="U132" s="31">
        <v>8983373</v>
      </c>
      <c r="V132" s="31">
        <v>9002582.2400000002</v>
      </c>
      <c r="W132" s="31">
        <v>9019169.7000000011</v>
      </c>
      <c r="X132" s="31">
        <v>8543373.7799999956</v>
      </c>
      <c r="Y132" s="31">
        <v>8599247.1400000006</v>
      </c>
      <c r="Z132" s="31">
        <v>8791567.2906893697</v>
      </c>
      <c r="AA132" s="2"/>
      <c r="AB132" s="46">
        <v>9254012</v>
      </c>
      <c r="AC132" s="46">
        <v>9384965</v>
      </c>
      <c r="AD132" s="46">
        <v>9384965</v>
      </c>
      <c r="AE132" s="45"/>
      <c r="AF132" s="32">
        <v>9984444.729898097</v>
      </c>
      <c r="AG132" s="30">
        <v>10462219.416588996</v>
      </c>
      <c r="AH132" s="30">
        <v>9415997.4749300964</v>
      </c>
      <c r="AI132" s="30">
        <v>10075117.298175203</v>
      </c>
      <c r="AJ132" s="48"/>
      <c r="AK132" s="30">
        <v>22635.260969429721</v>
      </c>
      <c r="AL132" s="33">
        <v>22233</v>
      </c>
      <c r="AM132" s="33">
        <v>23130</v>
      </c>
      <c r="AN132" s="45"/>
      <c r="AO132" s="30">
        <v>9880517.7657657675</v>
      </c>
      <c r="AP132" s="33">
        <f t="shared" si="10"/>
        <v>9704926.8300000001</v>
      </c>
      <c r="AQ132" s="33">
        <f t="shared" si="11"/>
        <v>10096476.299999999</v>
      </c>
    </row>
    <row r="133" spans="1:44" ht="24" x14ac:dyDescent="0.25">
      <c r="A133" s="28" t="s">
        <v>228</v>
      </c>
      <c r="B133" s="28">
        <v>373068</v>
      </c>
      <c r="C133" s="28">
        <v>505</v>
      </c>
      <c r="D133" s="28" t="s">
        <v>232</v>
      </c>
      <c r="E133" s="29">
        <v>372.18</v>
      </c>
      <c r="F133" s="28" t="s">
        <v>230</v>
      </c>
      <c r="G133" s="28" t="s">
        <v>200</v>
      </c>
      <c r="H133" s="28" t="s">
        <v>36</v>
      </c>
      <c r="I133" s="45"/>
      <c r="J133" s="46">
        <v>4763904</v>
      </c>
      <c r="K133" s="46">
        <v>4900493.84</v>
      </c>
      <c r="L133" s="30">
        <v>4996144.32</v>
      </c>
      <c r="M133" s="47"/>
      <c r="N133" s="31">
        <v>4122976.5438001901</v>
      </c>
      <c r="O133" s="31">
        <v>3539770.4838001598</v>
      </c>
      <c r="P133" s="31">
        <v>3823386.5309999702</v>
      </c>
      <c r="Q133" s="31">
        <v>3686814.9311279701</v>
      </c>
      <c r="R133" s="31">
        <v>3447503.0422559702</v>
      </c>
      <c r="S133" s="31">
        <v>3819311.1635782002</v>
      </c>
      <c r="T133" s="31">
        <v>4087652.9443028299</v>
      </c>
      <c r="U133" s="31">
        <v>4389491</v>
      </c>
      <c r="V133" s="31">
        <v>4540223.82</v>
      </c>
      <c r="W133" s="31">
        <v>4404005.97</v>
      </c>
      <c r="X133" s="31">
        <v>4211588.8699999992</v>
      </c>
      <c r="Y133" s="31">
        <v>4144968.61</v>
      </c>
      <c r="Z133" s="31">
        <v>4284092.7035994753</v>
      </c>
      <c r="AA133" s="2"/>
      <c r="AB133" s="46">
        <v>4540596</v>
      </c>
      <c r="AC133" s="46">
        <v>4652250</v>
      </c>
      <c r="AD133" s="46">
        <v>4689468</v>
      </c>
      <c r="AE133" s="45"/>
      <c r="AF133" s="32">
        <v>4865303.5390565982</v>
      </c>
      <c r="AG133" s="30">
        <v>5098117.5749807172</v>
      </c>
      <c r="AH133" s="30">
        <v>4588305.8174826456</v>
      </c>
      <c r="AI133" s="30">
        <v>4909487.2247064309</v>
      </c>
      <c r="AJ133" s="48"/>
      <c r="AK133" s="30">
        <v>13078.078078078077</v>
      </c>
      <c r="AL133" s="33">
        <v>12648</v>
      </c>
      <c r="AM133" s="33">
        <v>13219</v>
      </c>
      <c r="AN133" s="45"/>
      <c r="AO133" s="30">
        <v>4867399.0990990987</v>
      </c>
      <c r="AP133" s="33">
        <f t="shared" si="10"/>
        <v>4707332.6399999997</v>
      </c>
      <c r="AQ133" s="33">
        <f t="shared" si="11"/>
        <v>4919847.42</v>
      </c>
    </row>
    <row r="134" spans="1:44" ht="24" x14ac:dyDescent="0.25">
      <c r="A134" s="28" t="s">
        <v>228</v>
      </c>
      <c r="B134" s="28">
        <v>373346</v>
      </c>
      <c r="C134" s="28">
        <v>506</v>
      </c>
      <c r="D134" s="28" t="s">
        <v>233</v>
      </c>
      <c r="E134" s="29">
        <v>473.69</v>
      </c>
      <c r="F134" s="28" t="s">
        <v>230</v>
      </c>
      <c r="G134" s="28" t="s">
        <v>200</v>
      </c>
      <c r="H134" s="28" t="s">
        <v>36</v>
      </c>
      <c r="I134" s="45"/>
      <c r="J134" s="46">
        <v>5305328</v>
      </c>
      <c r="K134" s="46">
        <v>5450277.080000001</v>
      </c>
      <c r="L134" s="30">
        <v>5557804.7699999996</v>
      </c>
      <c r="M134" s="47"/>
      <c r="N134" s="31">
        <v>4751555.9685999099</v>
      </c>
      <c r="O134" s="31">
        <v>4263655.2685997803</v>
      </c>
      <c r="P134" s="31">
        <v>4464030.8755000001</v>
      </c>
      <c r="Q134" s="31">
        <v>4382106.1900000097</v>
      </c>
      <c r="R134" s="31">
        <v>4168471.8105240101</v>
      </c>
      <c r="S134" s="31">
        <v>4512370.9438850703</v>
      </c>
      <c r="T134" s="31">
        <v>4852954.0545908296</v>
      </c>
      <c r="U134" s="31">
        <v>5174116</v>
      </c>
      <c r="V134" s="31">
        <v>5379223.6399999997</v>
      </c>
      <c r="W134" s="31">
        <v>5407171.4699999997</v>
      </c>
      <c r="X134" s="31">
        <v>5095009.6500000004</v>
      </c>
      <c r="Y134" s="31">
        <v>4998376.9199999981</v>
      </c>
      <c r="Z134" s="31">
        <v>5174250.713037475</v>
      </c>
      <c r="AA134" s="2"/>
      <c r="AB134" s="46">
        <v>5210590</v>
      </c>
      <c r="AC134" s="46">
        <v>5210590</v>
      </c>
      <c r="AD134" s="46">
        <v>5305328</v>
      </c>
      <c r="AE134" s="45"/>
      <c r="AF134" s="32">
        <v>5532474.4823591458</v>
      </c>
      <c r="AG134" s="30">
        <v>5797213.9179453151</v>
      </c>
      <c r="AH134" s="30">
        <v>5217492.5261507835</v>
      </c>
      <c r="AI134" s="30">
        <v>5582717.0029813386</v>
      </c>
      <c r="AJ134" s="48"/>
      <c r="AK134" s="30">
        <v>11367.867867867868</v>
      </c>
      <c r="AL134" s="33">
        <v>11067</v>
      </c>
      <c r="AM134" s="33">
        <v>11811</v>
      </c>
      <c r="AN134" s="45"/>
      <c r="AO134" s="30">
        <v>5384845.3303303299</v>
      </c>
      <c r="AP134" s="33">
        <f t="shared" si="10"/>
        <v>5242327.2299999995</v>
      </c>
      <c r="AQ134" s="33">
        <f t="shared" si="11"/>
        <v>5594752.5899999999</v>
      </c>
    </row>
    <row r="135" spans="1:44" ht="36" x14ac:dyDescent="0.25">
      <c r="A135" s="28" t="s">
        <v>234</v>
      </c>
      <c r="B135" s="28">
        <v>318674</v>
      </c>
      <c r="C135" s="28">
        <v>507</v>
      </c>
      <c r="D135" s="28" t="s">
        <v>235</v>
      </c>
      <c r="E135" s="29">
        <v>270</v>
      </c>
      <c r="F135" s="28" t="s">
        <v>230</v>
      </c>
      <c r="G135" s="28" t="s">
        <v>200</v>
      </c>
      <c r="H135" s="28" t="s">
        <v>36</v>
      </c>
      <c r="I135" s="45"/>
      <c r="J135" s="46">
        <v>3510000</v>
      </c>
      <c r="K135" s="46">
        <v>3639330.04</v>
      </c>
      <c r="L135" s="30">
        <v>3710070</v>
      </c>
      <c r="M135" s="47"/>
      <c r="N135" s="31">
        <v>3056364.9000000102</v>
      </c>
      <c r="O135" s="31">
        <v>2585490.1919999998</v>
      </c>
      <c r="P135" s="31">
        <v>2801503.8</v>
      </c>
      <c r="Q135" s="31">
        <v>2738877.3</v>
      </c>
      <c r="R135" s="31">
        <v>2434854.4920000001</v>
      </c>
      <c r="S135" s="31">
        <v>2838510.0023282198</v>
      </c>
      <c r="T135" s="31">
        <v>3066660.0025352901</v>
      </c>
      <c r="U135" s="31">
        <v>3281307</v>
      </c>
      <c r="V135" s="31">
        <v>3335850</v>
      </c>
      <c r="W135" s="31">
        <v>3353129.9900000007</v>
      </c>
      <c r="X135" s="31">
        <v>2666789.9900000002</v>
      </c>
      <c r="Y135" s="31">
        <v>3493530.0000000005</v>
      </c>
      <c r="Z135" s="31">
        <v>3181167.3538421053</v>
      </c>
      <c r="AA135" s="2"/>
      <c r="AB135" s="46">
        <v>3294000</v>
      </c>
      <c r="AC135" s="46">
        <v>3375000</v>
      </c>
      <c r="AD135" s="46">
        <v>3429000</v>
      </c>
      <c r="AE135" s="45"/>
      <c r="AF135" s="32">
        <v>3503406.8460525502</v>
      </c>
      <c r="AG135" s="30">
        <v>3671051.5327131157</v>
      </c>
      <c r="AH135" s="30">
        <v>3303946.3794418043</v>
      </c>
      <c r="AI135" s="30">
        <v>3535222.6260027303</v>
      </c>
      <c r="AJ135" s="48"/>
      <c r="AK135" s="30">
        <v>13279.279279279279</v>
      </c>
      <c r="AL135" s="33">
        <v>12845</v>
      </c>
      <c r="AM135" s="33">
        <v>13121</v>
      </c>
      <c r="AN135" s="45"/>
      <c r="AO135" s="30">
        <v>3585405.4054054054</v>
      </c>
      <c r="AP135" s="33">
        <f t="shared" ref="AP135:AP156" si="13">AL135*$E135</f>
        <v>3468150</v>
      </c>
      <c r="AQ135" s="33">
        <f t="shared" ref="AQ135:AQ156" si="14">AM135*$E135</f>
        <v>3542670</v>
      </c>
    </row>
    <row r="136" spans="1:44" ht="36" x14ac:dyDescent="0.25">
      <c r="A136" s="28" t="s">
        <v>234</v>
      </c>
      <c r="B136" s="28">
        <v>318675</v>
      </c>
      <c r="C136" s="28">
        <v>508</v>
      </c>
      <c r="D136" s="28" t="s">
        <v>236</v>
      </c>
      <c r="E136" s="29">
        <v>404.7</v>
      </c>
      <c r="F136" s="28" t="s">
        <v>230</v>
      </c>
      <c r="G136" s="28" t="s">
        <v>200</v>
      </c>
      <c r="H136" s="28" t="s">
        <v>36</v>
      </c>
      <c r="I136" s="45"/>
      <c r="J136" s="46">
        <v>4694520</v>
      </c>
      <c r="K136" s="46">
        <v>4866922.1799999978</v>
      </c>
      <c r="L136" s="30">
        <v>4962026.7</v>
      </c>
      <c r="M136" s="47"/>
      <c r="N136" s="31">
        <v>4261041.7830001405</v>
      </c>
      <c r="O136" s="31">
        <v>3582776.7240001098</v>
      </c>
      <c r="P136" s="31">
        <v>3770970.3180000298</v>
      </c>
      <c r="Q136" s="31">
        <v>3641490.6000000299</v>
      </c>
      <c r="R136" s="31">
        <v>3488109.1381200198</v>
      </c>
      <c r="S136" s="31">
        <v>3955537.80646889</v>
      </c>
      <c r="T136" s="31">
        <v>4353762.6066099899</v>
      </c>
      <c r="U136" s="31">
        <v>4585654</v>
      </c>
      <c r="V136" s="31">
        <v>4594154.3999999994</v>
      </c>
      <c r="W136" s="31">
        <v>4647979.4799999995</v>
      </c>
      <c r="X136" s="31">
        <v>4236804.3</v>
      </c>
      <c r="Y136" s="31">
        <v>4500264</v>
      </c>
      <c r="Z136" s="31">
        <v>4550652.6013925262</v>
      </c>
      <c r="AA136" s="2"/>
      <c r="AB136" s="46">
        <v>4451700</v>
      </c>
      <c r="AC136" s="46">
        <v>4532640</v>
      </c>
      <c r="AD136" s="46">
        <v>4573110</v>
      </c>
      <c r="AE136" s="45"/>
      <c r="AF136" s="32">
        <v>4772664.1046474492</v>
      </c>
      <c r="AG136" s="30">
        <v>5001045.167286884</v>
      </c>
      <c r="AH136" s="30">
        <v>4500940.6505581951</v>
      </c>
      <c r="AI136" s="30">
        <v>4816006.4960972685</v>
      </c>
      <c r="AJ136" s="48"/>
      <c r="AK136" s="30">
        <v>11870.870870870871</v>
      </c>
      <c r="AL136" s="33">
        <v>11463</v>
      </c>
      <c r="AM136" s="33">
        <v>11925</v>
      </c>
      <c r="AN136" s="45"/>
      <c r="AO136" s="30">
        <v>4804141.441441441</v>
      </c>
      <c r="AP136" s="33">
        <f t="shared" si="13"/>
        <v>4639076.0999999996</v>
      </c>
      <c r="AQ136" s="33">
        <f t="shared" si="14"/>
        <v>4826047.5</v>
      </c>
    </row>
    <row r="137" spans="1:44" ht="24" x14ac:dyDescent="0.25">
      <c r="A137" s="28" t="s">
        <v>237</v>
      </c>
      <c r="B137" s="28">
        <v>352734</v>
      </c>
      <c r="C137" s="28">
        <v>757</v>
      </c>
      <c r="D137" s="28" t="s">
        <v>238</v>
      </c>
      <c r="E137" s="29">
        <v>494.76</v>
      </c>
      <c r="F137" s="28" t="s">
        <v>230</v>
      </c>
      <c r="G137" s="28" t="s">
        <v>200</v>
      </c>
      <c r="H137" s="28" t="s">
        <v>37</v>
      </c>
      <c r="I137" s="45"/>
      <c r="J137" s="46">
        <v>2176944</v>
      </c>
      <c r="K137" s="46">
        <v>2291728.0900000008</v>
      </c>
      <c r="L137" s="30">
        <v>2336751.48</v>
      </c>
      <c r="M137" s="47"/>
      <c r="N137" s="31">
        <v>1737072.4764960201</v>
      </c>
      <c r="O137" s="31">
        <v>1687131.4020960201</v>
      </c>
      <c r="P137" s="31">
        <v>1720770.1344959999</v>
      </c>
      <c r="Q137" s="31">
        <v>1716816.8041920001</v>
      </c>
      <c r="R137" s="31">
        <v>1667835.5641920001</v>
      </c>
      <c r="S137" s="31">
        <v>1718796.2415477501</v>
      </c>
      <c r="T137" s="31">
        <v>1823685.3615484501</v>
      </c>
      <c r="U137" s="31">
        <v>1972611</v>
      </c>
      <c r="V137" s="31">
        <v>2047316.88</v>
      </c>
      <c r="W137" s="31">
        <v>1934016.8600000003</v>
      </c>
      <c r="X137" s="31">
        <v>1782620.29</v>
      </c>
      <c r="Y137" s="31">
        <v>1818243.01</v>
      </c>
      <c r="Z137" s="31">
        <v>1707044.0312520002</v>
      </c>
      <c r="AA137" s="2"/>
      <c r="AB137" s="46">
        <v>2127962.7599999998</v>
      </c>
      <c r="AC137" s="46">
        <v>2127962.7599999998</v>
      </c>
      <c r="AD137" s="46">
        <v>2220482.88</v>
      </c>
      <c r="AE137" s="45"/>
      <c r="AF137" s="32">
        <v>2414220.827135934</v>
      </c>
      <c r="AG137" s="30">
        <v>2414220.827135934</v>
      </c>
      <c r="AH137" s="30">
        <v>2341794.2023218563</v>
      </c>
      <c r="AI137" s="30">
        <v>2486647.4519500122</v>
      </c>
      <c r="AJ137" s="48"/>
      <c r="AK137" s="30">
        <v>4725.11574074074</v>
      </c>
      <c r="AL137" s="33">
        <v>4545</v>
      </c>
      <c r="AM137" s="33">
        <v>4810</v>
      </c>
      <c r="AN137" s="45"/>
      <c r="AO137" s="30">
        <v>2337798.2638888885</v>
      </c>
      <c r="AP137" s="33">
        <f t="shared" si="13"/>
        <v>2248684.2000000002</v>
      </c>
      <c r="AQ137" s="33">
        <f t="shared" si="14"/>
        <v>2379795.6</v>
      </c>
    </row>
    <row r="138" spans="1:44" ht="24" x14ac:dyDescent="0.25">
      <c r="A138" s="28" t="s">
        <v>237</v>
      </c>
      <c r="B138" s="28">
        <v>352748</v>
      </c>
      <c r="C138" s="28">
        <v>758</v>
      </c>
      <c r="D138" s="28" t="s">
        <v>239</v>
      </c>
      <c r="E138" s="29">
        <v>674.67</v>
      </c>
      <c r="F138" s="28" t="s">
        <v>230</v>
      </c>
      <c r="G138" s="28" t="s">
        <v>200</v>
      </c>
      <c r="H138" s="28" t="s">
        <v>37</v>
      </c>
      <c r="I138" s="45"/>
      <c r="J138" s="46">
        <v>1146939</v>
      </c>
      <c r="K138" s="46">
        <v>1198888.4300000009</v>
      </c>
      <c r="L138" s="30">
        <v>1222502.04</v>
      </c>
      <c r="M138" s="47"/>
      <c r="N138" s="31">
        <v>813645.27330000501</v>
      </c>
      <c r="O138" s="31">
        <v>777874.26990000403</v>
      </c>
      <c r="P138" s="31">
        <v>858166.74659999902</v>
      </c>
      <c r="Q138" s="31">
        <v>853457.549999999</v>
      </c>
      <c r="R138" s="31">
        <v>830518.76999999897</v>
      </c>
      <c r="S138" s="31">
        <v>802857.30079783895</v>
      </c>
      <c r="T138" s="31">
        <v>918900.54128683801</v>
      </c>
      <c r="U138" s="31">
        <v>963428</v>
      </c>
      <c r="V138" s="31">
        <v>1139517.6299999999</v>
      </c>
      <c r="W138" s="31">
        <v>954658.09999999974</v>
      </c>
      <c r="X138" s="31">
        <v>947911.36</v>
      </c>
      <c r="Y138" s="31">
        <v>1020775.7400000001</v>
      </c>
      <c r="Z138" s="31">
        <v>955590.44749089505</v>
      </c>
      <c r="AA138" s="2"/>
      <c r="AB138" s="46">
        <v>1103928.7874999999</v>
      </c>
      <c r="AC138" s="46">
        <v>1103928.7874999999</v>
      </c>
      <c r="AD138" s="46">
        <v>1135469.6099999999</v>
      </c>
      <c r="AE138" s="45"/>
      <c r="AF138" s="32">
        <v>1251810.2984640654</v>
      </c>
      <c r="AG138" s="30">
        <v>1251810.2984640654</v>
      </c>
      <c r="AH138" s="30">
        <v>1214255.9895101434</v>
      </c>
      <c r="AI138" s="30">
        <v>1289364.6074179874</v>
      </c>
      <c r="AJ138" s="48"/>
      <c r="AK138" s="30">
        <v>1797.5983796296293</v>
      </c>
      <c r="AL138" s="33">
        <v>1729</v>
      </c>
      <c r="AM138" s="33">
        <v>1804</v>
      </c>
      <c r="AN138" s="45"/>
      <c r="AO138" s="30">
        <v>1212785.698784722</v>
      </c>
      <c r="AP138" s="33">
        <f t="shared" si="13"/>
        <v>1166504.43</v>
      </c>
      <c r="AQ138" s="33">
        <f t="shared" si="14"/>
        <v>1217104.68</v>
      </c>
    </row>
    <row r="139" spans="1:44" ht="24" x14ac:dyDescent="0.25">
      <c r="A139" s="28" t="s">
        <v>240</v>
      </c>
      <c r="B139" s="28">
        <v>334747</v>
      </c>
      <c r="C139" s="28">
        <v>580</v>
      </c>
      <c r="D139" s="28" t="s">
        <v>241</v>
      </c>
      <c r="E139" s="29">
        <v>270.68</v>
      </c>
      <c r="F139" s="28" t="s">
        <v>230</v>
      </c>
      <c r="G139" s="28" t="s">
        <v>200</v>
      </c>
      <c r="H139" s="28" t="s">
        <v>36</v>
      </c>
      <c r="I139" s="45"/>
      <c r="J139" s="46">
        <v>270680</v>
      </c>
      <c r="K139" s="46">
        <v>216544.01</v>
      </c>
      <c r="L139" s="30">
        <v>220874.88</v>
      </c>
      <c r="M139" s="47"/>
      <c r="N139" s="31">
        <v>25443.919999999998</v>
      </c>
      <c r="O139" s="31">
        <v>21113.040000000001</v>
      </c>
      <c r="P139" s="31">
        <v>19759.64</v>
      </c>
      <c r="Q139" s="31">
        <v>14887.4</v>
      </c>
      <c r="R139" s="31">
        <v>17864.88</v>
      </c>
      <c r="S139" s="31">
        <v>14887.4</v>
      </c>
      <c r="T139" s="31">
        <v>17323.520010325599</v>
      </c>
      <c r="U139" s="31">
        <v>17866</v>
      </c>
      <c r="V139" s="31">
        <v>53865.32</v>
      </c>
      <c r="W139" s="31">
        <v>25714.600000000006</v>
      </c>
      <c r="X139" s="31">
        <v>30045.48000000001</v>
      </c>
      <c r="Y139" s="31">
        <v>20030.330000000005</v>
      </c>
      <c r="Z139" s="31">
        <v>20273.070097894743</v>
      </c>
      <c r="AA139" s="2"/>
      <c r="AB139" s="46">
        <v>27068</v>
      </c>
      <c r="AC139" s="46">
        <v>27068</v>
      </c>
      <c r="AD139" s="46">
        <v>32481.600000000002</v>
      </c>
      <c r="AE139" s="45"/>
      <c r="AF139" s="32">
        <v>126783.29744365432</v>
      </c>
      <c r="AG139" s="30">
        <v>132850.11957071707</v>
      </c>
      <c r="AH139" s="30">
        <v>119565.10761364536</v>
      </c>
      <c r="AI139" s="30">
        <v>127934.66514660054</v>
      </c>
      <c r="AJ139" s="48"/>
      <c r="AK139" s="30">
        <v>600</v>
      </c>
      <c r="AL139" s="33">
        <v>600</v>
      </c>
      <c r="AM139" s="33">
        <v>701</v>
      </c>
      <c r="AN139" s="45"/>
      <c r="AO139" s="30">
        <v>162408</v>
      </c>
      <c r="AP139" s="33">
        <f t="shared" si="13"/>
        <v>162408</v>
      </c>
      <c r="AQ139" s="33">
        <f t="shared" si="14"/>
        <v>189746.68</v>
      </c>
    </row>
    <row r="140" spans="1:44" ht="24" x14ac:dyDescent="0.25">
      <c r="A140" s="28" t="s">
        <v>242</v>
      </c>
      <c r="B140" s="28">
        <v>336152</v>
      </c>
      <c r="C140" s="28">
        <v>582</v>
      </c>
      <c r="D140" s="28" t="s">
        <v>243</v>
      </c>
      <c r="E140" s="29">
        <v>300.75</v>
      </c>
      <c r="F140" s="28" t="s">
        <v>230</v>
      </c>
      <c r="G140" s="28" t="s">
        <v>200</v>
      </c>
      <c r="H140" s="28" t="s">
        <v>36</v>
      </c>
      <c r="I140" s="45"/>
      <c r="J140" s="46">
        <v>451125</v>
      </c>
      <c r="K140" s="46">
        <v>421350.7099999999</v>
      </c>
      <c r="L140" s="30">
        <v>429471</v>
      </c>
      <c r="M140" s="47"/>
      <c r="N140" s="31">
        <v>166615.5</v>
      </c>
      <c r="O140" s="31">
        <v>169322.25</v>
      </c>
      <c r="P140" s="31">
        <v>167517.75</v>
      </c>
      <c r="Q140" s="31">
        <v>151878.75</v>
      </c>
      <c r="R140" s="31">
        <v>122104.5</v>
      </c>
      <c r="S140" s="31">
        <v>136841.25</v>
      </c>
      <c r="T140" s="31">
        <v>173532.75003441799</v>
      </c>
      <c r="U140" s="31">
        <v>240305</v>
      </c>
      <c r="V140" s="31">
        <v>295035.75</v>
      </c>
      <c r="W140" s="31">
        <v>240299.27</v>
      </c>
      <c r="X140" s="31">
        <v>90525.76999999999</v>
      </c>
      <c r="Y140" s="31">
        <v>333231.01</v>
      </c>
      <c r="Z140" s="31">
        <v>207732.55999342108</v>
      </c>
      <c r="AA140" s="2"/>
      <c r="AB140" s="46">
        <v>210525</v>
      </c>
      <c r="AC140" s="46">
        <v>210525</v>
      </c>
      <c r="AD140" s="46">
        <v>225562.5</v>
      </c>
      <c r="AE140" s="45"/>
      <c r="AF140" s="32">
        <v>317171.89400227333</v>
      </c>
      <c r="AG140" s="30">
        <v>332349.17289794621</v>
      </c>
      <c r="AH140" s="30">
        <v>299114.25560815161</v>
      </c>
      <c r="AI140" s="30">
        <v>320052.25350072223</v>
      </c>
      <c r="AJ140" s="48"/>
      <c r="AK140" s="30">
        <v>1500</v>
      </c>
      <c r="AL140" s="33">
        <v>1440</v>
      </c>
      <c r="AM140" s="33">
        <v>1603</v>
      </c>
      <c r="AN140" s="45"/>
      <c r="AO140" s="30">
        <v>451125</v>
      </c>
      <c r="AP140" s="33">
        <f t="shared" si="13"/>
        <v>433080</v>
      </c>
      <c r="AQ140" s="33">
        <f t="shared" si="14"/>
        <v>482102.25</v>
      </c>
    </row>
    <row r="141" spans="1:44" ht="24" x14ac:dyDescent="0.25">
      <c r="A141" s="28" t="s">
        <v>242</v>
      </c>
      <c r="B141" s="28">
        <v>337303</v>
      </c>
      <c r="C141" s="28">
        <v>581</v>
      </c>
      <c r="D141" s="28" t="s">
        <v>244</v>
      </c>
      <c r="E141" s="29">
        <v>297.74</v>
      </c>
      <c r="F141" s="28" t="s">
        <v>230</v>
      </c>
      <c r="G141" s="28" t="s">
        <v>200</v>
      </c>
      <c r="H141" s="28" t="s">
        <v>36</v>
      </c>
      <c r="I141" s="45"/>
      <c r="J141" s="46">
        <v>0</v>
      </c>
      <c r="K141" s="46">
        <v>0</v>
      </c>
      <c r="L141" s="30">
        <v>0</v>
      </c>
      <c r="M141" s="47"/>
      <c r="N141" s="31">
        <v>5657.06</v>
      </c>
      <c r="O141" s="31">
        <v>0</v>
      </c>
      <c r="P141" s="31">
        <v>0</v>
      </c>
      <c r="Q141" s="31">
        <v>1190.96</v>
      </c>
      <c r="R141" s="31">
        <v>0</v>
      </c>
      <c r="S141" s="31">
        <v>0</v>
      </c>
      <c r="T141" s="31">
        <v>0</v>
      </c>
      <c r="U141" s="31">
        <v>0</v>
      </c>
      <c r="V141" s="31">
        <v>595.48</v>
      </c>
      <c r="W141" s="31">
        <v>0</v>
      </c>
      <c r="X141" s="31">
        <v>0</v>
      </c>
      <c r="Y141" s="31">
        <v>0</v>
      </c>
      <c r="Z141" s="31">
        <v>0</v>
      </c>
      <c r="AA141" s="2"/>
      <c r="AB141" s="46">
        <v>0</v>
      </c>
      <c r="AC141" s="46">
        <v>0</v>
      </c>
      <c r="AD141" s="46">
        <v>0</v>
      </c>
      <c r="AE141" s="45"/>
      <c r="AF141" s="32">
        <v>0</v>
      </c>
      <c r="AG141" s="30">
        <v>0</v>
      </c>
      <c r="AH141" s="30">
        <v>0</v>
      </c>
      <c r="AI141" s="30">
        <v>0</v>
      </c>
      <c r="AJ141" s="48"/>
      <c r="AK141" s="30">
        <v>0</v>
      </c>
      <c r="AL141" s="33">
        <v>0</v>
      </c>
      <c r="AM141" s="33">
        <v>0</v>
      </c>
      <c r="AN141" s="45"/>
      <c r="AO141" s="30">
        <v>0</v>
      </c>
      <c r="AP141" s="33">
        <f t="shared" si="13"/>
        <v>0</v>
      </c>
      <c r="AQ141" s="33">
        <f t="shared" si="14"/>
        <v>0</v>
      </c>
    </row>
    <row r="142" spans="1:44" ht="24" x14ac:dyDescent="0.25">
      <c r="A142" s="28" t="s">
        <v>245</v>
      </c>
      <c r="B142" s="28">
        <v>321864</v>
      </c>
      <c r="C142" s="28">
        <v>603</v>
      </c>
      <c r="D142" s="28" t="s">
        <v>246</v>
      </c>
      <c r="E142" s="29">
        <v>225.56</v>
      </c>
      <c r="F142" s="28" t="s">
        <v>230</v>
      </c>
      <c r="G142" s="28" t="s">
        <v>200</v>
      </c>
      <c r="H142" s="28" t="s">
        <v>36</v>
      </c>
      <c r="I142" s="45"/>
      <c r="J142" s="46">
        <v>338340</v>
      </c>
      <c r="K142" s="46">
        <v>338565.56999999995</v>
      </c>
      <c r="L142" s="30">
        <v>345106.8</v>
      </c>
      <c r="M142" s="47"/>
      <c r="N142" s="31">
        <v>223525.448799998</v>
      </c>
      <c r="O142" s="31">
        <v>173230.079999999</v>
      </c>
      <c r="P142" s="31">
        <v>146835.04879999999</v>
      </c>
      <c r="Q142" s="31">
        <v>551945.36</v>
      </c>
      <c r="R142" s="31">
        <v>175936.8</v>
      </c>
      <c r="S142" s="31">
        <v>181124.68017213201</v>
      </c>
      <c r="T142" s="31">
        <v>189921.52024952701</v>
      </c>
      <c r="U142" s="31">
        <v>207519</v>
      </c>
      <c r="V142" s="31">
        <v>240898.08000000002</v>
      </c>
      <c r="W142" s="31">
        <v>195109.35999999996</v>
      </c>
      <c r="X142" s="31">
        <v>546982.99999999953</v>
      </c>
      <c r="Y142" s="31">
        <v>173004.54999999996</v>
      </c>
      <c r="Z142" s="31">
        <v>202349.24317426316</v>
      </c>
      <c r="AA142" s="2"/>
      <c r="AB142" s="46">
        <v>281950</v>
      </c>
      <c r="AC142" s="46">
        <v>281950</v>
      </c>
      <c r="AD142" s="46">
        <v>293228</v>
      </c>
      <c r="AE142" s="45"/>
      <c r="AF142" s="32">
        <v>306216.85518925491</v>
      </c>
      <c r="AG142" s="30">
        <v>320869.91462373897</v>
      </c>
      <c r="AH142" s="30">
        <v>288782.92316136503</v>
      </c>
      <c r="AI142" s="30">
        <v>308997.72778266063</v>
      </c>
      <c r="AJ142" s="48"/>
      <c r="AK142" s="30">
        <v>1800</v>
      </c>
      <c r="AL142" s="33">
        <v>1740</v>
      </c>
      <c r="AM142" s="33">
        <v>1904</v>
      </c>
      <c r="AN142" s="45"/>
      <c r="AO142" s="30">
        <v>406008</v>
      </c>
      <c r="AP142" s="33">
        <f t="shared" si="13"/>
        <v>392474.4</v>
      </c>
      <c r="AQ142" s="33">
        <f t="shared" si="14"/>
        <v>429466.24</v>
      </c>
    </row>
    <row r="143" spans="1:44" ht="24" x14ac:dyDescent="0.25">
      <c r="A143" s="28" t="s">
        <v>245</v>
      </c>
      <c r="B143" s="28">
        <v>321865</v>
      </c>
      <c r="C143" s="28">
        <v>604</v>
      </c>
      <c r="D143" s="28" t="s">
        <v>247</v>
      </c>
      <c r="E143" s="29">
        <v>187.97</v>
      </c>
      <c r="F143" s="28" t="s">
        <v>230</v>
      </c>
      <c r="G143" s="28" t="s">
        <v>200</v>
      </c>
      <c r="H143" s="28" t="s">
        <v>36</v>
      </c>
      <c r="I143" s="45"/>
      <c r="J143" s="46">
        <v>0</v>
      </c>
      <c r="K143" s="46">
        <v>0</v>
      </c>
      <c r="L143" s="30">
        <v>0</v>
      </c>
      <c r="M143" s="47"/>
      <c r="N143" s="31">
        <v>0</v>
      </c>
      <c r="O143" s="31">
        <v>0</v>
      </c>
      <c r="P143" s="31">
        <v>0</v>
      </c>
      <c r="Q143" s="31">
        <v>0</v>
      </c>
      <c r="R143" s="31">
        <v>0</v>
      </c>
      <c r="S143" s="31">
        <v>0</v>
      </c>
      <c r="T143" s="31">
        <v>0</v>
      </c>
      <c r="U143" s="31">
        <v>0</v>
      </c>
      <c r="V143" s="31">
        <v>0</v>
      </c>
      <c r="W143" s="31">
        <v>0</v>
      </c>
      <c r="X143" s="31">
        <v>0</v>
      </c>
      <c r="Y143" s="31">
        <v>0</v>
      </c>
      <c r="Z143" s="31">
        <v>0</v>
      </c>
      <c r="AA143" s="2"/>
      <c r="AB143" s="46">
        <v>0</v>
      </c>
      <c r="AC143" s="46">
        <v>0</v>
      </c>
      <c r="AD143" s="46">
        <v>0</v>
      </c>
      <c r="AE143" s="45"/>
      <c r="AF143" s="32">
        <v>0</v>
      </c>
      <c r="AG143" s="30">
        <v>0</v>
      </c>
      <c r="AH143" s="30">
        <v>0</v>
      </c>
      <c r="AI143" s="30">
        <v>0</v>
      </c>
      <c r="AJ143" s="48"/>
      <c r="AK143" s="30">
        <v>0</v>
      </c>
      <c r="AL143" s="33">
        <v>0</v>
      </c>
      <c r="AM143" s="33">
        <v>0</v>
      </c>
      <c r="AN143" s="45"/>
      <c r="AO143" s="30">
        <v>0</v>
      </c>
      <c r="AP143" s="33">
        <f t="shared" si="13"/>
        <v>0</v>
      </c>
      <c r="AQ143" s="33">
        <f t="shared" si="14"/>
        <v>0</v>
      </c>
    </row>
    <row r="144" spans="1:44" ht="36" x14ac:dyDescent="0.25">
      <c r="A144" s="28" t="s">
        <v>245</v>
      </c>
      <c r="B144" s="28">
        <v>324841</v>
      </c>
      <c r="C144" s="28" t="s">
        <v>84</v>
      </c>
      <c r="D144" s="28" t="s">
        <v>248</v>
      </c>
      <c r="E144" s="29">
        <v>0</v>
      </c>
      <c r="F144" s="28" t="s">
        <v>230</v>
      </c>
      <c r="G144" s="28" t="s">
        <v>200</v>
      </c>
      <c r="H144" s="28" t="s">
        <v>36</v>
      </c>
      <c r="I144" s="45"/>
      <c r="J144" s="46">
        <v>0</v>
      </c>
      <c r="K144" s="46">
        <v>0</v>
      </c>
      <c r="L144" s="30">
        <v>0</v>
      </c>
      <c r="M144" s="47"/>
      <c r="N144" s="31">
        <v>0</v>
      </c>
      <c r="O144" s="31">
        <v>0</v>
      </c>
      <c r="P144" s="31">
        <v>0</v>
      </c>
      <c r="Q144" s="31">
        <v>0</v>
      </c>
      <c r="R144" s="31">
        <v>0</v>
      </c>
      <c r="S144" s="31">
        <v>0</v>
      </c>
      <c r="T144" s="31">
        <v>0</v>
      </c>
      <c r="U144" s="31">
        <v>0</v>
      </c>
      <c r="V144" s="31">
        <v>0</v>
      </c>
      <c r="W144" s="31">
        <v>0</v>
      </c>
      <c r="X144" s="31">
        <v>0</v>
      </c>
      <c r="Y144" s="31">
        <v>0</v>
      </c>
      <c r="Z144" s="31">
        <v>0</v>
      </c>
      <c r="AA144" s="2"/>
      <c r="AB144" s="46">
        <v>0</v>
      </c>
      <c r="AC144" s="46">
        <v>0</v>
      </c>
      <c r="AD144" s="46">
        <v>0</v>
      </c>
      <c r="AE144" s="45"/>
      <c r="AF144" s="32">
        <v>0</v>
      </c>
      <c r="AG144" s="30">
        <v>0</v>
      </c>
      <c r="AH144" s="30">
        <v>0</v>
      </c>
      <c r="AI144" s="30">
        <v>0</v>
      </c>
      <c r="AJ144" s="48"/>
      <c r="AK144" s="30">
        <v>0</v>
      </c>
      <c r="AL144" s="33">
        <v>0</v>
      </c>
      <c r="AM144" s="33">
        <v>0</v>
      </c>
      <c r="AN144" s="45"/>
      <c r="AO144" s="30">
        <v>0</v>
      </c>
      <c r="AP144" s="33">
        <f t="shared" si="13"/>
        <v>0</v>
      </c>
      <c r="AQ144" s="33">
        <f t="shared" si="14"/>
        <v>0</v>
      </c>
    </row>
    <row r="145" spans="1:43" ht="24" x14ac:dyDescent="0.25">
      <c r="A145" s="28" t="s">
        <v>245</v>
      </c>
      <c r="B145" s="28">
        <v>4011000061</v>
      </c>
      <c r="C145" s="28">
        <v>606</v>
      </c>
      <c r="D145" s="28" t="s">
        <v>249</v>
      </c>
      <c r="E145" s="29">
        <v>262.37</v>
      </c>
      <c r="F145" s="28" t="s">
        <v>230</v>
      </c>
      <c r="G145" s="28" t="s">
        <v>200</v>
      </c>
      <c r="H145" s="28" t="s">
        <v>36</v>
      </c>
      <c r="I145" s="45"/>
      <c r="J145" s="46">
        <v>393555</v>
      </c>
      <c r="K145" s="46">
        <v>406673.53</v>
      </c>
      <c r="L145" s="30">
        <v>414806.97000000003</v>
      </c>
      <c r="M145" s="47"/>
      <c r="N145" s="31">
        <v>259218.93629999799</v>
      </c>
      <c r="O145" s="31">
        <v>162404.40629999901</v>
      </c>
      <c r="P145" s="31">
        <v>241118.03</v>
      </c>
      <c r="Q145" s="31">
        <v>226685.0563</v>
      </c>
      <c r="R145" s="31">
        <v>213831.55</v>
      </c>
      <c r="S145" s="31">
        <v>207797.041070974</v>
      </c>
      <c r="T145" s="31">
        <v>226162.941151095</v>
      </c>
      <c r="U145" s="31">
        <v>235082</v>
      </c>
      <c r="V145" s="31">
        <v>251875.20000000001</v>
      </c>
      <c r="W145" s="31">
        <v>246365.44999999995</v>
      </c>
      <c r="X145" s="31">
        <v>237182.51</v>
      </c>
      <c r="Y145" s="31">
        <v>226687.67</v>
      </c>
      <c r="Z145" s="31">
        <v>194760.04869273689</v>
      </c>
      <c r="AA145" s="2"/>
      <c r="AB145" s="46">
        <v>275488.5</v>
      </c>
      <c r="AC145" s="46">
        <v>275488.5</v>
      </c>
      <c r="AD145" s="46">
        <v>275488.5</v>
      </c>
      <c r="AE145" s="45"/>
      <c r="AF145" s="32">
        <v>337269.05312113295</v>
      </c>
      <c r="AG145" s="30">
        <v>353408.01933754765</v>
      </c>
      <c r="AH145" s="30">
        <v>318067.21740379289</v>
      </c>
      <c r="AI145" s="30">
        <v>340331.92262205842</v>
      </c>
      <c r="AJ145" s="48"/>
      <c r="AK145" s="30">
        <v>1800</v>
      </c>
      <c r="AL145" s="33">
        <v>1740</v>
      </c>
      <c r="AM145" s="33">
        <v>2004</v>
      </c>
      <c r="AN145" s="45"/>
      <c r="AO145" s="30">
        <v>472266</v>
      </c>
      <c r="AP145" s="33">
        <f t="shared" si="13"/>
        <v>456523.8</v>
      </c>
      <c r="AQ145" s="33">
        <f t="shared" si="14"/>
        <v>525789.48</v>
      </c>
    </row>
    <row r="146" spans="1:43" ht="24" x14ac:dyDescent="0.25">
      <c r="A146" s="28" t="s">
        <v>245</v>
      </c>
      <c r="B146" s="28">
        <v>4011000137</v>
      </c>
      <c r="C146" s="28">
        <v>772</v>
      </c>
      <c r="D146" s="28" t="s">
        <v>250</v>
      </c>
      <c r="E146" s="29">
        <v>202.4</v>
      </c>
      <c r="F146" s="28" t="s">
        <v>230</v>
      </c>
      <c r="G146" s="28" t="s">
        <v>200</v>
      </c>
      <c r="H146" s="28" t="s">
        <v>36</v>
      </c>
      <c r="I146" s="45"/>
      <c r="J146" s="46">
        <v>40480</v>
      </c>
      <c r="K146" s="46">
        <v>40480.049999999974</v>
      </c>
      <c r="L146" s="30">
        <v>41289.599999999999</v>
      </c>
      <c r="M146" s="47"/>
      <c r="N146" s="31">
        <v>27526.400000000001</v>
      </c>
      <c r="O146" s="31">
        <v>19835.2</v>
      </c>
      <c r="P146" s="31">
        <v>26716.799999999999</v>
      </c>
      <c r="Q146" s="31">
        <v>25097.599999999999</v>
      </c>
      <c r="R146" s="31">
        <v>25300</v>
      </c>
      <c r="S146" s="31">
        <v>22264</v>
      </c>
      <c r="T146" s="31">
        <v>23883.200000000001</v>
      </c>
      <c r="U146" s="31">
        <v>21248</v>
      </c>
      <c r="V146" s="31">
        <v>29550.400000000001</v>
      </c>
      <c r="W146" s="31">
        <v>30562.400000000016</v>
      </c>
      <c r="X146" s="31">
        <v>27526.410000000014</v>
      </c>
      <c r="Y146" s="31">
        <v>25300.000000000004</v>
      </c>
      <c r="Z146" s="31">
        <v>28970.754096842102</v>
      </c>
      <c r="AA146" s="2"/>
      <c r="AB146" s="46">
        <v>36432</v>
      </c>
      <c r="AC146" s="46">
        <v>36432</v>
      </c>
      <c r="AD146" s="46">
        <v>36432</v>
      </c>
      <c r="AE146" s="45"/>
      <c r="AF146" s="32">
        <v>34564.466578037885</v>
      </c>
      <c r="AG146" s="30">
        <v>36218.442100633481</v>
      </c>
      <c r="AH146" s="30">
        <v>32596.59789057013</v>
      </c>
      <c r="AI146" s="30">
        <v>34878.359742910048</v>
      </c>
      <c r="AJ146" s="48"/>
      <c r="AK146" s="30">
        <v>200</v>
      </c>
      <c r="AL146" s="33">
        <v>190</v>
      </c>
      <c r="AM146" s="33">
        <v>200</v>
      </c>
      <c r="AN146" s="45"/>
      <c r="AO146" s="30">
        <v>40480</v>
      </c>
      <c r="AP146" s="33">
        <f t="shared" si="13"/>
        <v>38456</v>
      </c>
      <c r="AQ146" s="33">
        <f t="shared" si="14"/>
        <v>40480</v>
      </c>
    </row>
    <row r="147" spans="1:43" ht="24" x14ac:dyDescent="0.25">
      <c r="A147" s="28" t="s">
        <v>251</v>
      </c>
      <c r="B147" s="28">
        <v>332348</v>
      </c>
      <c r="C147" s="28">
        <v>682</v>
      </c>
      <c r="D147" s="28" t="s">
        <v>252</v>
      </c>
      <c r="E147" s="29">
        <v>1095.4100000000001</v>
      </c>
      <c r="F147" s="28" t="s">
        <v>253</v>
      </c>
      <c r="G147" s="28" t="s">
        <v>254</v>
      </c>
      <c r="H147" s="28" t="s">
        <v>36</v>
      </c>
      <c r="I147" s="45"/>
      <c r="J147" s="46">
        <v>569613.20000000007</v>
      </c>
      <c r="K147" s="46">
        <v>569613.21999999974</v>
      </c>
      <c r="L147" s="30">
        <v>569613.20000000007</v>
      </c>
      <c r="M147" s="47"/>
      <c r="N147" s="31">
        <v>338459.78179999901</v>
      </c>
      <c r="O147" s="31">
        <v>311085.48590000003</v>
      </c>
      <c r="P147" s="31">
        <v>361474.34590000001</v>
      </c>
      <c r="Q147" s="31">
        <v>569613.200000001</v>
      </c>
      <c r="R147" s="31">
        <v>542227.94999999995</v>
      </c>
      <c r="S147" s="31">
        <v>541132.54054322396</v>
      </c>
      <c r="T147" s="31">
        <v>671486.33012535796</v>
      </c>
      <c r="U147" s="31">
        <v>624384</v>
      </c>
      <c r="V147" s="31">
        <v>637528.62</v>
      </c>
      <c r="W147" s="31">
        <v>171979.38000000003</v>
      </c>
      <c r="X147" s="31">
        <v>25194.43</v>
      </c>
      <c r="Y147" s="31">
        <v>5477.05</v>
      </c>
      <c r="Z147" s="31">
        <v>94804.922025894717</v>
      </c>
      <c r="AA147" s="2"/>
      <c r="AB147" s="46">
        <v>372329.85900000005</v>
      </c>
      <c r="AC147" s="46">
        <v>342206.08400000009</v>
      </c>
      <c r="AD147" s="46">
        <v>397633.83000000007</v>
      </c>
      <c r="AE147" s="45"/>
      <c r="AF147" s="32">
        <f t="shared" ref="AF147:AF150" si="15">IFERROR(SUM(AG147:AI147)/3,0)</f>
        <v>510399.18926440255</v>
      </c>
      <c r="AG147" s="30">
        <v>534822.76206538861</v>
      </c>
      <c r="AH147" s="30">
        <v>481340.48585884977</v>
      </c>
      <c r="AI147" s="30">
        <v>515034.31986896932</v>
      </c>
      <c r="AJ147" s="48"/>
      <c r="AK147" s="30">
        <v>488</v>
      </c>
      <c r="AL147" s="33">
        <v>439</v>
      </c>
      <c r="AM147" s="33">
        <v>456</v>
      </c>
      <c r="AN147" s="45"/>
      <c r="AO147" s="30">
        <v>534560.08000000007</v>
      </c>
      <c r="AP147" s="33">
        <f t="shared" si="13"/>
        <v>480884.99000000005</v>
      </c>
      <c r="AQ147" s="33">
        <f t="shared" si="14"/>
        <v>499506.96</v>
      </c>
    </row>
    <row r="148" spans="1:43" ht="36" x14ac:dyDescent="0.25">
      <c r="A148" s="28" t="s">
        <v>251</v>
      </c>
      <c r="B148" s="28">
        <v>337694</v>
      </c>
      <c r="C148" s="28">
        <v>683</v>
      </c>
      <c r="D148" s="28" t="s">
        <v>255</v>
      </c>
      <c r="E148" s="29">
        <v>1095.4100000000001</v>
      </c>
      <c r="F148" s="28" t="s">
        <v>253</v>
      </c>
      <c r="G148" s="28" t="s">
        <v>254</v>
      </c>
      <c r="H148" s="28" t="s">
        <v>36</v>
      </c>
      <c r="I148" s="45"/>
      <c r="J148" s="46">
        <v>569613.20000000007</v>
      </c>
      <c r="K148" s="46">
        <v>569612.95999999985</v>
      </c>
      <c r="L148" s="30">
        <v>569613.20000000007</v>
      </c>
      <c r="M148" s="47"/>
      <c r="N148" s="31">
        <v>346127.65179999999</v>
      </c>
      <c r="O148" s="31">
        <v>349435.79</v>
      </c>
      <c r="P148" s="31">
        <v>391061.37</v>
      </c>
      <c r="Q148" s="31">
        <v>427209.9</v>
      </c>
      <c r="R148" s="31">
        <v>480884.99</v>
      </c>
      <c r="S148" s="31">
        <v>397633.83029250498</v>
      </c>
      <c r="T148" s="31">
        <v>571804.02066858299</v>
      </c>
      <c r="U148" s="31">
        <v>589324</v>
      </c>
      <c r="V148" s="31">
        <v>601380.09000000008</v>
      </c>
      <c r="W148" s="31">
        <v>902617.87999999977</v>
      </c>
      <c r="X148" s="31">
        <v>974914.94000000018</v>
      </c>
      <c r="Y148" s="31">
        <v>402015.51000000018</v>
      </c>
      <c r="Z148" s="31">
        <v>1099372.4611848947</v>
      </c>
      <c r="AA148" s="2"/>
      <c r="AB148" s="46">
        <v>380764.51600000006</v>
      </c>
      <c r="AC148" s="46">
        <v>384379.36900000006</v>
      </c>
      <c r="AD148" s="46">
        <v>430167.5070000001</v>
      </c>
      <c r="AE148" s="45"/>
      <c r="AF148" s="32">
        <f t="shared" si="15"/>
        <v>576802.53846893099</v>
      </c>
      <c r="AG148" s="30">
        <v>604403.63793461153</v>
      </c>
      <c r="AH148" s="30">
        <v>543963.27414115041</v>
      </c>
      <c r="AI148" s="30">
        <v>582040.70333103091</v>
      </c>
      <c r="AJ148" s="48"/>
      <c r="AK148" s="30">
        <v>552</v>
      </c>
      <c r="AL148" s="33">
        <v>497</v>
      </c>
      <c r="AM148" s="33">
        <v>515</v>
      </c>
      <c r="AN148" s="45"/>
      <c r="AO148" s="30">
        <v>604666.32000000007</v>
      </c>
      <c r="AP148" s="33">
        <f t="shared" si="13"/>
        <v>544418.77</v>
      </c>
      <c r="AQ148" s="33">
        <f t="shared" si="14"/>
        <v>564136.15</v>
      </c>
    </row>
    <row r="149" spans="1:43" ht="24" x14ac:dyDescent="0.25">
      <c r="A149" s="28" t="s">
        <v>256</v>
      </c>
      <c r="B149" s="28">
        <v>340524</v>
      </c>
      <c r="C149" s="28">
        <v>684</v>
      </c>
      <c r="D149" s="28" t="s">
        <v>257</v>
      </c>
      <c r="E149" s="29">
        <v>4202.87</v>
      </c>
      <c r="F149" s="28" t="s">
        <v>253</v>
      </c>
      <c r="G149" s="28" t="s">
        <v>254</v>
      </c>
      <c r="H149" s="28" t="s">
        <v>36</v>
      </c>
      <c r="I149" s="45"/>
      <c r="J149" s="46">
        <v>5673874.5</v>
      </c>
      <c r="K149" s="46">
        <v>5778947.1099999994</v>
      </c>
      <c r="L149" s="30">
        <v>5816772.0800000001</v>
      </c>
      <c r="M149" s="47"/>
      <c r="N149" s="31">
        <v>4043076.88260005</v>
      </c>
      <c r="O149" s="31">
        <v>3765771.5200000298</v>
      </c>
      <c r="P149" s="31">
        <v>4291130.2699999996</v>
      </c>
      <c r="Q149" s="31">
        <v>3954900.67</v>
      </c>
      <c r="R149" s="31">
        <v>4316347.49</v>
      </c>
      <c r="S149" s="31">
        <v>4341564.7151305098</v>
      </c>
      <c r="T149" s="31">
        <v>4707214.4040082199</v>
      </c>
      <c r="U149" s="31">
        <v>4942582</v>
      </c>
      <c r="V149" s="31">
        <v>5093878.4399999995</v>
      </c>
      <c r="W149" s="31">
        <v>5018226.8100000015</v>
      </c>
      <c r="X149" s="31">
        <v>4770257.4800000014</v>
      </c>
      <c r="Y149" s="31">
        <v>4639968.4700000007</v>
      </c>
      <c r="Z149" s="31">
        <v>4812660.6868153168</v>
      </c>
      <c r="AA149" s="2"/>
      <c r="AB149" s="46">
        <v>4473276.8424844863</v>
      </c>
      <c r="AC149" s="46">
        <v>4269946.0769170085</v>
      </c>
      <c r="AD149" s="46">
        <v>4269946.0769170085</v>
      </c>
      <c r="AE149" s="45"/>
      <c r="AF149" s="32">
        <f t="shared" si="15"/>
        <v>5551139.488346667</v>
      </c>
      <c r="AG149" s="30">
        <v>5816772.0800000001</v>
      </c>
      <c r="AH149" s="30">
        <v>5235094.8720000004</v>
      </c>
      <c r="AI149" s="30">
        <v>5601551.5130400006</v>
      </c>
      <c r="AJ149" s="48"/>
      <c r="AK149" s="30">
        <v>1384</v>
      </c>
      <c r="AL149" s="33">
        <v>1246</v>
      </c>
      <c r="AM149" s="33">
        <v>1283</v>
      </c>
      <c r="AN149" s="45"/>
      <c r="AO149" s="30">
        <v>5816772.0800000001</v>
      </c>
      <c r="AP149" s="33">
        <f t="shared" si="13"/>
        <v>5236776.0199999996</v>
      </c>
      <c r="AQ149" s="33">
        <f t="shared" si="14"/>
        <v>5392282.21</v>
      </c>
    </row>
    <row r="150" spans="1:43" ht="36" x14ac:dyDescent="0.25">
      <c r="A150" s="28" t="s">
        <v>258</v>
      </c>
      <c r="B150" s="28">
        <v>346769</v>
      </c>
      <c r="C150" s="28">
        <v>686</v>
      </c>
      <c r="D150" s="28" t="s">
        <v>259</v>
      </c>
      <c r="E150" s="29">
        <v>6222.78</v>
      </c>
      <c r="F150" s="28" t="s">
        <v>253</v>
      </c>
      <c r="G150" s="28" t="s">
        <v>254</v>
      </c>
      <c r="H150" s="28" t="s">
        <v>36</v>
      </c>
      <c r="I150" s="45"/>
      <c r="J150" s="46">
        <v>2738023.1999999997</v>
      </c>
      <c r="K150" s="46">
        <v>2781580.7900000014</v>
      </c>
      <c r="L150" s="30">
        <v>2806473.78</v>
      </c>
      <c r="M150" s="47"/>
      <c r="N150" s="31">
        <v>2240138.5721999998</v>
      </c>
      <c r="O150" s="31">
        <v>1711264.5</v>
      </c>
      <c r="P150" s="31">
        <v>2594837.0321999998</v>
      </c>
      <c r="Q150" s="31">
        <v>1835720.1</v>
      </c>
      <c r="R150" s="31">
        <v>2196641.34</v>
      </c>
      <c r="S150" s="31">
        <v>1449907.7404747601</v>
      </c>
      <c r="T150" s="31">
        <v>1680150.6004747599</v>
      </c>
      <c r="U150" s="31">
        <v>2364661</v>
      </c>
      <c r="V150" s="31">
        <v>2955820.5</v>
      </c>
      <c r="W150" s="31">
        <v>2582453.7000000002</v>
      </c>
      <c r="X150" s="31">
        <v>1935284.6100000013</v>
      </c>
      <c r="Y150" s="31">
        <v>2613567.6</v>
      </c>
      <c r="Z150" s="31">
        <v>1936764.8317123712</v>
      </c>
      <c r="AA150" s="2"/>
      <c r="AB150" s="46">
        <v>2686845.1962616821</v>
      </c>
      <c r="AC150" s="46">
        <v>2558900.1869158875</v>
      </c>
      <c r="AD150" s="46">
        <v>2558900.1869158875</v>
      </c>
      <c r="AE150" s="45"/>
      <c r="AF150" s="32">
        <f t="shared" si="15"/>
        <v>2487444.8107133335</v>
      </c>
      <c r="AG150" s="30">
        <v>2606473.7799999998</v>
      </c>
      <c r="AH150" s="30">
        <v>2345826.4019999998</v>
      </c>
      <c r="AI150" s="30">
        <v>2510034.2501399997</v>
      </c>
      <c r="AJ150" s="48"/>
      <c r="AK150" s="30">
        <v>419</v>
      </c>
      <c r="AL150" s="33">
        <v>377</v>
      </c>
      <c r="AM150" s="33">
        <v>381</v>
      </c>
      <c r="AN150" s="45"/>
      <c r="AO150" s="30">
        <v>2607344.8199999998</v>
      </c>
      <c r="AP150" s="33">
        <f t="shared" si="13"/>
        <v>2345988.06</v>
      </c>
      <c r="AQ150" s="33">
        <f t="shared" si="14"/>
        <v>2370879.1799999997</v>
      </c>
    </row>
    <row r="151" spans="1:43" ht="24" x14ac:dyDescent="0.25">
      <c r="A151" s="28" t="s">
        <v>260</v>
      </c>
      <c r="B151" s="28">
        <v>345576</v>
      </c>
      <c r="C151" s="28">
        <v>708</v>
      </c>
      <c r="D151" s="28" t="s">
        <v>261</v>
      </c>
      <c r="E151" s="29">
        <v>4364.83</v>
      </c>
      <c r="F151" s="28" t="s">
        <v>253</v>
      </c>
      <c r="G151" s="28" t="s">
        <v>254</v>
      </c>
      <c r="H151" s="28" t="s">
        <v>36</v>
      </c>
      <c r="I151" s="45"/>
      <c r="J151" s="46">
        <v>27934912</v>
      </c>
      <c r="K151" s="46">
        <v>28353937.870000012</v>
      </c>
      <c r="L151" s="30">
        <v>28637649.629999999</v>
      </c>
      <c r="M151" s="47"/>
      <c r="N151" s="31">
        <v>22570099.476999499</v>
      </c>
      <c r="O151" s="31">
        <v>20837654.7516996</v>
      </c>
      <c r="P151" s="31">
        <v>24412406.9234001</v>
      </c>
      <c r="Q151" s="31">
        <v>22871709.250000101</v>
      </c>
      <c r="R151" s="31">
        <v>23735858.243400101</v>
      </c>
      <c r="S151" s="31">
        <v>24966827.620478999</v>
      </c>
      <c r="T151" s="31">
        <v>26415951.175983299</v>
      </c>
      <c r="U151" s="31">
        <v>27480970</v>
      </c>
      <c r="V151" s="31">
        <v>26559990.550000001</v>
      </c>
      <c r="W151" s="31">
        <v>27603184.940000005</v>
      </c>
      <c r="X151" s="31">
        <v>27275822.699999996</v>
      </c>
      <c r="Y151" s="31">
        <v>27817061.619999997</v>
      </c>
      <c r="Z151" s="31">
        <v>26893949.712170836</v>
      </c>
      <c r="AA151" s="2"/>
      <c r="AB151" s="46">
        <v>25813115.106355142</v>
      </c>
      <c r="AC151" s="46">
        <v>25373368.682056077</v>
      </c>
      <c r="AD151" s="46">
        <v>25373368.682056077</v>
      </c>
      <c r="AE151" s="45"/>
      <c r="AF151" s="32">
        <f t="shared" ref="AF151:AF156" si="16">IFERROR(SUM(AG151:AI151)/3,0)</f>
        <v>27329863.630229998</v>
      </c>
      <c r="AG151" s="30">
        <v>28637649.629999999</v>
      </c>
      <c r="AH151" s="30">
        <v>25773884.666999999</v>
      </c>
      <c r="AI151" s="30">
        <v>27578056.59369</v>
      </c>
      <c r="AJ151" s="48"/>
      <c r="AK151" s="30">
        <v>6561</v>
      </c>
      <c r="AL151" s="33">
        <v>5905</v>
      </c>
      <c r="AM151" s="33">
        <v>6126</v>
      </c>
      <c r="AN151" s="45"/>
      <c r="AO151" s="30">
        <v>28637649.629999999</v>
      </c>
      <c r="AP151" s="33">
        <f t="shared" si="13"/>
        <v>25774321.149999999</v>
      </c>
      <c r="AQ151" s="33">
        <f t="shared" si="14"/>
        <v>26738948.579999998</v>
      </c>
    </row>
    <row r="152" spans="1:43" ht="36" x14ac:dyDescent="0.25">
      <c r="A152" s="28" t="s">
        <v>262</v>
      </c>
      <c r="B152" s="28">
        <v>330100</v>
      </c>
      <c r="C152" s="28">
        <v>710</v>
      </c>
      <c r="D152" s="28" t="s">
        <v>263</v>
      </c>
      <c r="E152" s="29">
        <v>6889.5</v>
      </c>
      <c r="F152" s="28" t="s">
        <v>253</v>
      </c>
      <c r="G152" s="28" t="s">
        <v>254</v>
      </c>
      <c r="H152" s="28" t="s">
        <v>36</v>
      </c>
      <c r="I152" s="45"/>
      <c r="J152" s="46">
        <v>16534800</v>
      </c>
      <c r="K152" s="46">
        <v>16782820.640000008</v>
      </c>
      <c r="L152" s="30">
        <v>16948170</v>
      </c>
      <c r="M152" s="47"/>
      <c r="N152" s="31">
        <v>13000208.1642</v>
      </c>
      <c r="O152" s="31">
        <v>11649868.92</v>
      </c>
      <c r="P152" s="31">
        <v>12958942.814999999</v>
      </c>
      <c r="Q152" s="31">
        <v>12745575</v>
      </c>
      <c r="R152" s="31">
        <v>13772041.605</v>
      </c>
      <c r="S152" s="31">
        <v>12559558.505256301</v>
      </c>
      <c r="T152" s="31">
        <v>14488618.503942201</v>
      </c>
      <c r="U152" s="31">
        <v>16128334</v>
      </c>
      <c r="V152" s="31">
        <v>17423545.5</v>
      </c>
      <c r="W152" s="31">
        <v>16238551.509999998</v>
      </c>
      <c r="X152" s="31">
        <v>14702193.010000002</v>
      </c>
      <c r="Y152" s="31">
        <v>15005331.01</v>
      </c>
      <c r="Z152" s="31">
        <v>14138444.22918647</v>
      </c>
      <c r="AA152" s="2"/>
      <c r="AB152" s="46">
        <v>15341049.25233645</v>
      </c>
      <c r="AC152" s="46">
        <v>15004622.733644858</v>
      </c>
      <c r="AD152" s="46">
        <v>15341049.25233645</v>
      </c>
      <c r="AE152" s="45"/>
      <c r="AF152" s="32">
        <f t="shared" si="16"/>
        <v>16174203.57</v>
      </c>
      <c r="AG152" s="30">
        <v>16948170</v>
      </c>
      <c r="AH152" s="30">
        <v>15253353</v>
      </c>
      <c r="AI152" s="30">
        <v>16321087.710000001</v>
      </c>
      <c r="AJ152" s="48"/>
      <c r="AK152" s="30">
        <v>2460</v>
      </c>
      <c r="AL152" s="33">
        <v>2214</v>
      </c>
      <c r="AM152" s="33">
        <v>2297</v>
      </c>
      <c r="AN152" s="45"/>
      <c r="AO152" s="30">
        <v>16948170</v>
      </c>
      <c r="AP152" s="33">
        <f t="shared" si="13"/>
        <v>15253353</v>
      </c>
      <c r="AQ152" s="33">
        <f t="shared" si="14"/>
        <v>15825181.5</v>
      </c>
    </row>
    <row r="153" spans="1:43" ht="60" x14ac:dyDescent="0.25">
      <c r="A153" s="28" t="s">
        <v>264</v>
      </c>
      <c r="B153" s="28">
        <v>351647</v>
      </c>
      <c r="C153" s="28">
        <v>750</v>
      </c>
      <c r="D153" s="28" t="s">
        <v>265</v>
      </c>
      <c r="E153" s="29">
        <v>6147.21</v>
      </c>
      <c r="F153" s="28" t="s">
        <v>253</v>
      </c>
      <c r="G153" s="28" t="s">
        <v>254</v>
      </c>
      <c r="H153" s="28" t="s">
        <v>36</v>
      </c>
      <c r="I153" s="45"/>
      <c r="J153" s="46">
        <v>3626853.9</v>
      </c>
      <c r="K153" s="46">
        <v>3682180</v>
      </c>
      <c r="L153" s="30">
        <v>3719062.05</v>
      </c>
      <c r="M153" s="47"/>
      <c r="N153" s="31">
        <v>2698625.1899999902</v>
      </c>
      <c r="O153" s="31">
        <v>2563386.5899999901</v>
      </c>
      <c r="P153" s="31">
        <v>3239579.69</v>
      </c>
      <c r="Q153" s="31">
        <v>2741655.66</v>
      </c>
      <c r="R153" s="31">
        <v>2895335.91</v>
      </c>
      <c r="S153" s="31">
        <v>2698625.1928139599</v>
      </c>
      <c r="T153" s="31">
        <v>2993691.25164147</v>
      </c>
      <c r="U153" s="31">
        <v>3405552</v>
      </c>
      <c r="V153" s="31">
        <v>3024427.32</v>
      </c>
      <c r="W153" s="31">
        <v>3553087.4199999981</v>
      </c>
      <c r="X153" s="31">
        <v>3294904.569999998</v>
      </c>
      <c r="Y153" s="31">
        <v>3571529.0499999993</v>
      </c>
      <c r="Z153" s="31">
        <v>3274001.4909885256</v>
      </c>
      <c r="AA153" s="2"/>
      <c r="AB153" s="46">
        <v>3575705.6311943368</v>
      </c>
      <c r="AC153" s="46">
        <v>3452405.437015221</v>
      </c>
      <c r="AD153" s="46">
        <v>3329105.2428361056</v>
      </c>
      <c r="AE153" s="45"/>
      <c r="AF153" s="32">
        <f t="shared" si="16"/>
        <v>3549224.8830499998</v>
      </c>
      <c r="AG153" s="30">
        <v>3719062.05</v>
      </c>
      <c r="AH153" s="30">
        <v>3347155.8449999997</v>
      </c>
      <c r="AI153" s="30">
        <v>3581456.7541499999</v>
      </c>
      <c r="AJ153" s="48"/>
      <c r="AK153" s="30">
        <v>605</v>
      </c>
      <c r="AL153" s="33">
        <v>545</v>
      </c>
      <c r="AM153" s="33">
        <v>565</v>
      </c>
      <c r="AN153" s="45"/>
      <c r="AO153" s="30">
        <v>3719062.05</v>
      </c>
      <c r="AP153" s="33">
        <f t="shared" si="13"/>
        <v>3350229.45</v>
      </c>
      <c r="AQ153" s="33">
        <f t="shared" si="14"/>
        <v>3473173.65</v>
      </c>
    </row>
    <row r="154" spans="1:43" ht="24" x14ac:dyDescent="0.25">
      <c r="A154" s="28" t="s">
        <v>266</v>
      </c>
      <c r="B154" s="28" t="s">
        <v>267</v>
      </c>
      <c r="C154" s="28">
        <v>809</v>
      </c>
      <c r="D154" s="28" t="s">
        <v>267</v>
      </c>
      <c r="E154" s="29">
        <v>1499</v>
      </c>
      <c r="F154" s="28" t="s">
        <v>253</v>
      </c>
      <c r="G154" s="28" t="s">
        <v>254</v>
      </c>
      <c r="H154" s="28" t="s">
        <v>37</v>
      </c>
      <c r="I154" s="45"/>
      <c r="J154" s="46">
        <v>0</v>
      </c>
      <c r="K154" s="46">
        <v>4041978.5699999989</v>
      </c>
      <c r="L154" s="30">
        <v>2697150.75</v>
      </c>
      <c r="M154" s="47"/>
      <c r="N154" s="31">
        <v>0</v>
      </c>
      <c r="O154" s="31">
        <v>0</v>
      </c>
      <c r="P154" s="31">
        <v>0</v>
      </c>
      <c r="Q154" s="31">
        <v>0</v>
      </c>
      <c r="R154" s="31">
        <v>0</v>
      </c>
      <c r="S154" s="31">
        <v>0</v>
      </c>
      <c r="T154" s="31">
        <v>0</v>
      </c>
      <c r="U154" s="31">
        <v>0</v>
      </c>
      <c r="V154" s="31">
        <v>0</v>
      </c>
      <c r="W154" s="31">
        <v>314842.52</v>
      </c>
      <c r="X154" s="31">
        <v>725637.00999999989</v>
      </c>
      <c r="Y154" s="31">
        <v>524737.52</v>
      </c>
      <c r="Z154" s="31">
        <v>923265.54768321046</v>
      </c>
      <c r="AA154" s="2"/>
      <c r="AB154" s="46">
        <v>899400</v>
      </c>
      <c r="AC154" s="46">
        <v>899400</v>
      </c>
      <c r="AD154" s="46">
        <v>1079280</v>
      </c>
      <c r="AE154" s="45"/>
      <c r="AF154" s="32">
        <f t="shared" si="16"/>
        <v>2528722.0088389828</v>
      </c>
      <c r="AG154" s="30">
        <v>2528722.0088389828</v>
      </c>
      <c r="AH154" s="30">
        <v>2452860.3485738132</v>
      </c>
      <c r="AI154" s="30">
        <v>2604583.6691041524</v>
      </c>
      <c r="AJ154" s="48"/>
      <c r="AK154" s="30">
        <v>1687</v>
      </c>
      <c r="AL154" s="33">
        <v>1636</v>
      </c>
      <c r="AM154" s="33">
        <v>1742</v>
      </c>
      <c r="AN154" s="45"/>
      <c r="AO154" s="30">
        <v>2528813</v>
      </c>
      <c r="AP154" s="33">
        <f t="shared" si="13"/>
        <v>2452364</v>
      </c>
      <c r="AQ154" s="33">
        <f t="shared" si="14"/>
        <v>2611258</v>
      </c>
    </row>
    <row r="155" spans="1:43" x14ac:dyDescent="0.25">
      <c r="A155" s="28" t="s">
        <v>266</v>
      </c>
      <c r="B155" s="28" t="s">
        <v>268</v>
      </c>
      <c r="C155" s="28">
        <v>810</v>
      </c>
      <c r="D155" s="28" t="s">
        <v>268</v>
      </c>
      <c r="E155" s="29">
        <v>1874</v>
      </c>
      <c r="F155" s="28" t="s">
        <v>253</v>
      </c>
      <c r="G155" s="28" t="s">
        <v>254</v>
      </c>
      <c r="H155" s="28" t="s">
        <v>37</v>
      </c>
      <c r="I155" s="45"/>
      <c r="J155" s="46">
        <v>0</v>
      </c>
      <c r="K155" s="46">
        <v>758994.29999999993</v>
      </c>
      <c r="L155" s="30">
        <v>504122.14</v>
      </c>
      <c r="M155" s="47"/>
      <c r="N155" s="31">
        <v>0</v>
      </c>
      <c r="O155" s="31">
        <v>0</v>
      </c>
      <c r="P155" s="31">
        <v>0</v>
      </c>
      <c r="Q155" s="31">
        <v>0</v>
      </c>
      <c r="R155" s="31">
        <v>0</v>
      </c>
      <c r="S155" s="31">
        <v>0</v>
      </c>
      <c r="T155" s="31">
        <v>0</v>
      </c>
      <c r="U155" s="31">
        <v>0</v>
      </c>
      <c r="V155" s="31">
        <v>0</v>
      </c>
      <c r="W155" s="31">
        <v>232383.43999999986</v>
      </c>
      <c r="X155" s="31">
        <v>286731.16999999987</v>
      </c>
      <c r="Y155" s="31">
        <v>481633.4099999998</v>
      </c>
      <c r="Z155" s="31">
        <v>558325.37024705252</v>
      </c>
      <c r="AA155" s="2"/>
      <c r="AB155" s="46">
        <v>562200</v>
      </c>
      <c r="AC155" s="46">
        <v>562200</v>
      </c>
      <c r="AD155" s="46">
        <v>674640</v>
      </c>
      <c r="AE155" s="45"/>
      <c r="AF155" s="32">
        <f t="shared" si="16"/>
        <v>672550.88116101688</v>
      </c>
      <c r="AG155" s="30">
        <v>672550.88116101688</v>
      </c>
      <c r="AH155" s="30">
        <v>652374.35472618637</v>
      </c>
      <c r="AI155" s="30">
        <v>692727.40759584738</v>
      </c>
      <c r="AJ155" s="48"/>
      <c r="AK155" s="30">
        <v>359</v>
      </c>
      <c r="AL155" s="33">
        <v>348</v>
      </c>
      <c r="AM155" s="33">
        <v>371</v>
      </c>
      <c r="AN155" s="45"/>
      <c r="AO155" s="30">
        <v>672766</v>
      </c>
      <c r="AP155" s="33">
        <f t="shared" si="13"/>
        <v>652152</v>
      </c>
      <c r="AQ155" s="33">
        <f t="shared" si="14"/>
        <v>695254</v>
      </c>
    </row>
    <row r="156" spans="1:43" ht="24" x14ac:dyDescent="0.25">
      <c r="A156" s="28" t="s">
        <v>266</v>
      </c>
      <c r="B156" s="28" t="s">
        <v>269</v>
      </c>
      <c r="C156" s="28">
        <v>811</v>
      </c>
      <c r="D156" s="28" t="s">
        <v>269</v>
      </c>
      <c r="E156" s="29">
        <v>2324</v>
      </c>
      <c r="F156" s="28" t="s">
        <v>253</v>
      </c>
      <c r="G156" s="28" t="s">
        <v>254</v>
      </c>
      <c r="H156" s="28" t="s">
        <v>37</v>
      </c>
      <c r="I156" s="45"/>
      <c r="J156" s="46">
        <v>0</v>
      </c>
      <c r="K156" s="46">
        <v>0</v>
      </c>
      <c r="L156" s="30">
        <v>0</v>
      </c>
      <c r="M156" s="47"/>
      <c r="N156" s="31">
        <v>0</v>
      </c>
      <c r="O156" s="31">
        <v>0</v>
      </c>
      <c r="P156" s="31">
        <v>0</v>
      </c>
      <c r="Q156" s="31">
        <v>0</v>
      </c>
      <c r="R156" s="31">
        <v>0</v>
      </c>
      <c r="S156" s="31">
        <v>0</v>
      </c>
      <c r="T156" s="31">
        <v>0</v>
      </c>
      <c r="U156" s="31">
        <v>0</v>
      </c>
      <c r="V156" s="31">
        <v>0</v>
      </c>
      <c r="W156" s="31">
        <v>0</v>
      </c>
      <c r="X156" s="31">
        <v>0</v>
      </c>
      <c r="Y156" s="31">
        <v>0</v>
      </c>
      <c r="Z156" s="31">
        <v>0</v>
      </c>
      <c r="AA156" s="2"/>
      <c r="AB156" s="46">
        <v>418320</v>
      </c>
      <c r="AC156" s="46">
        <v>418320</v>
      </c>
      <c r="AD156" s="46">
        <v>418320</v>
      </c>
      <c r="AE156" s="45"/>
      <c r="AF156" s="32">
        <f t="shared" si="16"/>
        <v>0</v>
      </c>
      <c r="AG156" s="30">
        <v>0</v>
      </c>
      <c r="AH156" s="30">
        <v>0</v>
      </c>
      <c r="AI156" s="30">
        <v>0</v>
      </c>
      <c r="AJ156" s="48"/>
      <c r="AK156" s="30">
        <v>0</v>
      </c>
      <c r="AL156" s="33">
        <v>0</v>
      </c>
      <c r="AM156" s="33">
        <v>0</v>
      </c>
      <c r="AN156" s="45"/>
      <c r="AO156" s="30">
        <v>0</v>
      </c>
      <c r="AP156" s="33">
        <f t="shared" si="13"/>
        <v>0</v>
      </c>
      <c r="AQ156" s="33">
        <f t="shared" si="14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2BDA-C1A7-4392-9984-A9F430F3F745}">
  <dimension ref="B1:G9"/>
  <sheetViews>
    <sheetView showGridLines="0" workbookViewId="0">
      <selection activeCell="E9" sqref="E9"/>
    </sheetView>
  </sheetViews>
  <sheetFormatPr defaultRowHeight="15" x14ac:dyDescent="0.25"/>
  <cols>
    <col min="1" max="1" width="4.7109375" customWidth="1"/>
    <col min="2" max="2" width="9.85546875" bestFit="1" customWidth="1"/>
    <col min="3" max="3" width="13.28515625" customWidth="1"/>
    <col min="4" max="4" width="12.5703125" bestFit="1" customWidth="1"/>
    <col min="5" max="5" width="13.85546875" bestFit="1" customWidth="1"/>
    <col min="6" max="6" width="12.5703125" bestFit="1" customWidth="1"/>
    <col min="7" max="7" width="10.85546875" bestFit="1" customWidth="1"/>
  </cols>
  <sheetData>
    <row r="1" spans="2:7" x14ac:dyDescent="0.25">
      <c r="B1" s="54"/>
      <c r="C1" s="55" t="s">
        <v>273</v>
      </c>
      <c r="D1" s="54"/>
      <c r="E1" s="56" t="s">
        <v>270</v>
      </c>
      <c r="F1" s="57"/>
    </row>
    <row r="2" spans="2:7" x14ac:dyDescent="0.25">
      <c r="B2" s="56" t="s">
        <v>14</v>
      </c>
      <c r="C2" s="61" t="s">
        <v>33</v>
      </c>
      <c r="D2" s="61" t="s">
        <v>34</v>
      </c>
      <c r="E2" s="58" t="s">
        <v>33</v>
      </c>
      <c r="F2" s="58" t="s">
        <v>34</v>
      </c>
    </row>
    <row r="3" spans="2:7" x14ac:dyDescent="0.25">
      <c r="B3" s="54" t="s">
        <v>254</v>
      </c>
      <c r="C3" s="59">
        <v>56090487.439999998</v>
      </c>
      <c r="D3" s="59">
        <v>59987398.330000006</v>
      </c>
      <c r="E3" s="59">
        <f>SUMIFS('Q3_Feb Mar-26 TGT'!AP:AP,'Q3_Feb Mar-26 TGT'!$G:$G,'Adjustment Summary'!$B3)</f>
        <v>56090487.439999998</v>
      </c>
      <c r="F3" s="59">
        <f>SUMIFS('Q3_Feb Mar-26 TGT'!AQ:AQ,'Q3_Feb Mar-26 TGT'!$G:$G,'Adjustment Summary'!$B3)</f>
        <v>58170620.229999997</v>
      </c>
      <c r="G3" s="2"/>
    </row>
    <row r="4" spans="2:7" x14ac:dyDescent="0.25">
      <c r="B4" s="54" t="s">
        <v>41</v>
      </c>
      <c r="C4" s="59">
        <v>270418733.59000003</v>
      </c>
      <c r="D4" s="59">
        <v>286960026.65000004</v>
      </c>
      <c r="E4" s="59">
        <f>SUMIFS('Q3_Feb Mar-26 TGT'!AP:AP,'Q3_Feb Mar-26 TGT'!$G:$G,'Adjustment Summary'!$B4)</f>
        <v>261556994.56999999</v>
      </c>
      <c r="F4" s="59">
        <f>SUMIFS('Q3_Feb Mar-26 TGT'!AQ:AQ,'Q3_Feb Mar-26 TGT'!$G:$G,'Adjustment Summary'!$B4)</f>
        <v>281667748.45000011</v>
      </c>
      <c r="G4" s="2"/>
    </row>
    <row r="5" spans="2:7" x14ac:dyDescent="0.25">
      <c r="B5" s="54" t="s">
        <v>158</v>
      </c>
      <c r="C5" s="59">
        <v>28471421.147466268</v>
      </c>
      <c r="D5" s="59">
        <v>29680282.557466265</v>
      </c>
      <c r="E5" s="59">
        <f>SUMIFS('Q3_Feb Mar-26 TGT'!AP:AP,'Q3_Feb Mar-26 TGT'!$G:$G,'Adjustment Summary'!$B5)</f>
        <v>27606119.33746627</v>
      </c>
      <c r="F5" s="59">
        <f>SUMIFS('Q3_Feb Mar-26 TGT'!AQ:AQ,'Q3_Feb Mar-26 TGT'!$G:$G,'Adjustment Summary'!$B5)</f>
        <v>28562218.757616196</v>
      </c>
      <c r="G5" s="2"/>
    </row>
    <row r="6" spans="2:7" x14ac:dyDescent="0.25">
      <c r="B6" s="54" t="s">
        <v>200</v>
      </c>
      <c r="C6" s="59">
        <v>51479057.114347823</v>
      </c>
      <c r="D6" s="59">
        <v>53396233.859480813</v>
      </c>
      <c r="E6" s="59">
        <f>SUMIFS('Q3_Feb Mar-26 TGT'!AP:AP,'Q3_Feb Mar-26 TGT'!$G:$G,'Adjustment Summary'!$B6)</f>
        <v>51149584.879999995</v>
      </c>
      <c r="F6" s="59">
        <f>SUMIFS('Q3_Feb Mar-26 TGT'!AQ:AQ,'Q3_Feb Mar-26 TGT'!$G:$G,'Adjustment Summary'!$B6)</f>
        <v>53567195.000000007</v>
      </c>
      <c r="G6" s="2"/>
    </row>
    <row r="7" spans="2:7" x14ac:dyDescent="0.25">
      <c r="B7" s="54" t="s">
        <v>271</v>
      </c>
      <c r="C7" s="60">
        <f>SUM(C3:C6)</f>
        <v>406459699.29181409</v>
      </c>
      <c r="D7" s="60">
        <f t="shared" ref="D7" si="0">SUM(D3:D6)</f>
        <v>430023941.39694709</v>
      </c>
      <c r="E7" s="60">
        <f>SUM(E3:E6)</f>
        <v>396403186.22746623</v>
      </c>
      <c r="F7" s="60">
        <f t="shared" ref="F7" si="1">SUM(F3:F6)</f>
        <v>421967782.43761635</v>
      </c>
    </row>
    <row r="9" spans="2:7" ht="17.25" x14ac:dyDescent="0.4">
      <c r="D9" s="5" t="s">
        <v>272</v>
      </c>
      <c r="E9" s="42">
        <f>E7-C7</f>
        <v>-10056513.064347863</v>
      </c>
      <c r="F9" s="42">
        <f>F7-D7</f>
        <v>-8056158.9593307376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Q3_Feb Mar-26 TGT</vt:lpstr>
      <vt:lpstr>Adjustment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BOS-AFSAR Jamil</dc:creator>
  <cp:lastModifiedBy>BOS-Rafian Ahmed Rizwan</cp:lastModifiedBy>
  <dcterms:created xsi:type="dcterms:W3CDTF">2026-01-20T06:59:23Z</dcterms:created>
  <dcterms:modified xsi:type="dcterms:W3CDTF">2026-01-27T10:23:09Z</dcterms:modified>
</cp:coreProperties>
</file>