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0601344\Downloads\"/>
    </mc:Choice>
  </mc:AlternateContent>
  <xr:revisionPtr revIDLastSave="0" documentId="13_ncr:1_{E2E8A2C0-F814-44B7-AD73-6A169E9371F9}" xr6:coauthVersionLast="47" xr6:coauthVersionMax="47" xr10:uidLastSave="{00000000-0000-0000-0000-000000000000}"/>
  <bookViews>
    <workbookView xWindow="-110" yWindow="-110" windowWidth="19420" windowHeight="10420" firstSheet="1" activeTab="6" xr2:uid="{00000000-000D-0000-FFFF-FFFF00000000}"/>
  </bookViews>
  <sheets>
    <sheet name="Ter. Ratio Dev" sheetId="5" r:id="rId1"/>
    <sheet name="Product Tgt" sheetId="1" r:id="rId2"/>
    <sheet name="Terr Target" sheetId="2" r:id="rId3"/>
    <sheet name="SYD_SORT" sheetId="21" r:id="rId4"/>
    <sheet name="Output Data" sheetId="14" r:id="rId5"/>
    <sheet name="Input" sheetId="8" r:id="rId6"/>
    <sheet name="Price" sheetId="18" r:id="rId7"/>
    <sheet name="Month" sheetId="19" r:id="rId8"/>
  </sheets>
  <definedNames>
    <definedName name="_xlnm._FilterDatabase" localSheetId="1" hidden="1">'Product Tgt'!$A$1:$H$1</definedName>
    <definedName name="_xlnm._FilterDatabase" localSheetId="3" hidden="1">SYD_SORT!$A$1:$AF$115</definedName>
    <definedName name="_xlnm._FilterDatabase" localSheetId="0" hidden="1">'Ter. Ratio Dev'!$A$7:$EI$7</definedName>
    <definedName name="_xlnm._FilterDatabase" localSheetId="2" hidden="1">'Terr Target'!$A$1:$F$115</definedName>
    <definedName name="ExternalData_1" localSheetId="4" hidden="1">'Output Data'!$A$1:$F$3504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63" i="5" l="1"/>
  <c r="AR64" i="5"/>
  <c r="AR71" i="5"/>
  <c r="AS73" i="5"/>
  <c r="AT73" i="5"/>
  <c r="BM78" i="5"/>
  <c r="BN81" i="5"/>
  <c r="BO81" i="5"/>
  <c r="BP85" i="5"/>
  <c r="BQ85" i="5"/>
  <c r="AO88" i="5"/>
  <c r="BM89" i="5"/>
  <c r="BE91" i="5"/>
  <c r="BF91" i="5"/>
  <c r="BM91" i="5"/>
  <c r="BF92" i="5"/>
  <c r="BG92" i="5"/>
  <c r="BN92" i="5"/>
  <c r="BH93" i="5"/>
  <c r="AQ94" i="5"/>
  <c r="AR94" i="5"/>
  <c r="BH95" i="5"/>
  <c r="BE99" i="5"/>
  <c r="BM99" i="5"/>
  <c r="BN99" i="5"/>
  <c r="BM100" i="5"/>
  <c r="BN100" i="5"/>
  <c r="BO100" i="5"/>
  <c r="BP101" i="5"/>
  <c r="AY102" i="5"/>
  <c r="AZ102" i="5"/>
  <c r="AZ103" i="5"/>
  <c r="BA103" i="5"/>
  <c r="BB103" i="5"/>
  <c r="BQ104" i="5"/>
  <c r="AO106" i="5"/>
  <c r="AW107" i="5"/>
  <c r="BF107" i="5"/>
  <c r="BM107" i="5"/>
  <c r="AO108" i="5"/>
  <c r="BE108" i="5"/>
  <c r="BG108" i="5"/>
  <c r="BN108" i="5"/>
  <c r="AP109" i="5"/>
  <c r="AQ110" i="5"/>
  <c r="AR110" i="5"/>
  <c r="AS110" i="5"/>
  <c r="AR111" i="5"/>
  <c r="BA111" i="5"/>
  <c r="BG111" i="5"/>
  <c r="AR112" i="5"/>
  <c r="AX113" i="5"/>
  <c r="BI113" i="5"/>
  <c r="BJ113" i="5"/>
  <c r="AW114" i="5"/>
  <c r="BE114" i="5"/>
  <c r="BO114" i="5"/>
  <c r="BE115" i="5"/>
  <c r="BM115" i="5"/>
  <c r="AO116" i="5"/>
  <c r="AP116" i="5"/>
  <c r="BF116" i="5"/>
  <c r="BM116" i="5"/>
  <c r="BN116" i="5"/>
  <c r="BQ116" i="5"/>
  <c r="AX117" i="5"/>
  <c r="AZ117" i="5"/>
  <c r="BM117" i="5"/>
  <c r="BE118" i="5"/>
  <c r="BF118" i="5"/>
  <c r="BN118" i="5"/>
  <c r="AR119" i="5"/>
  <c r="AS119" i="5"/>
  <c r="BN119" i="5"/>
  <c r="BQ119" i="5"/>
  <c r="BE120" i="5"/>
  <c r="BF120" i="5"/>
  <c r="BG120" i="5"/>
  <c r="AO8" i="5"/>
  <c r="AP8" i="5"/>
  <c r="AR8" i="5"/>
  <c r="AX8" i="5"/>
  <c r="BB8" i="5"/>
  <c r="BE8" i="5"/>
  <c r="BN8" i="5"/>
  <c r="BP8" i="5"/>
  <c r="BQ8" i="5"/>
  <c r="I121" i="5"/>
  <c r="AN70" i="5" s="1"/>
  <c r="J121" i="5"/>
  <c r="AO87" i="5" s="1"/>
  <c r="K121" i="5"/>
  <c r="AP70" i="5" s="1"/>
  <c r="L121" i="5"/>
  <c r="AQ70" i="5" s="1"/>
  <c r="M121" i="5"/>
  <c r="AR89" i="5" s="1"/>
  <c r="N121" i="5"/>
  <c r="AS64" i="5" s="1"/>
  <c r="O121" i="5"/>
  <c r="AT98" i="5" s="1"/>
  <c r="P121" i="5"/>
  <c r="AU99" i="5" s="1"/>
  <c r="Q121" i="5"/>
  <c r="AV78" i="5" s="1"/>
  <c r="R121" i="5"/>
  <c r="AW80" i="5" s="1"/>
  <c r="S121" i="5"/>
  <c r="AX79" i="5" s="1"/>
  <c r="T121" i="5"/>
  <c r="AY82" i="5" s="1"/>
  <c r="U121" i="5"/>
  <c r="AZ48" i="5" s="1"/>
  <c r="V121" i="5"/>
  <c r="BA48" i="5" s="1"/>
  <c r="W121" i="5"/>
  <c r="BB65" i="5" s="1"/>
  <c r="X121" i="5"/>
  <c r="BC98" i="5" s="1"/>
  <c r="Y121" i="5"/>
  <c r="BD57" i="5" s="1"/>
  <c r="Z121" i="5"/>
  <c r="BE100" i="5" s="1"/>
  <c r="AA121" i="5"/>
  <c r="BF99" i="5" s="1"/>
  <c r="AB121" i="5"/>
  <c r="BG100" i="5" s="1"/>
  <c r="AC121" i="5"/>
  <c r="BH59" i="5" s="1"/>
  <c r="AD121" i="5"/>
  <c r="BI86" i="5" s="1"/>
  <c r="AE121" i="5"/>
  <c r="BJ87" i="5" s="1"/>
  <c r="AF121" i="5"/>
  <c r="BK104" i="5" s="1"/>
  <c r="AG121" i="5"/>
  <c r="BL80" i="5" s="1"/>
  <c r="AH121" i="5"/>
  <c r="BM92" i="5" s="1"/>
  <c r="AI121" i="5"/>
  <c r="BN91" i="5" s="1"/>
  <c r="AJ121" i="5"/>
  <c r="BO73" i="5" s="1"/>
  <c r="AK121" i="5"/>
  <c r="BP63" i="5" s="1"/>
  <c r="AL121" i="5"/>
  <c r="BQ118" i="5" s="1"/>
  <c r="G34" i="1"/>
  <c r="E115" i="2"/>
  <c r="G33" i="1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H6" i="5"/>
  <c r="BI119" i="5" l="1"/>
  <c r="BI96" i="5"/>
  <c r="AS89" i="5"/>
  <c r="BB87" i="5"/>
  <c r="BQ84" i="5"/>
  <c r="BO80" i="5"/>
  <c r="BJ76" i="5"/>
  <c r="AS60" i="5"/>
  <c r="BM8" i="5"/>
  <c r="AZ8" i="5"/>
  <c r="BP120" i="5"/>
  <c r="AZ120" i="5"/>
  <c r="BH119" i="5"/>
  <c r="BP118" i="5"/>
  <c r="AX118" i="5"/>
  <c r="AY117" i="5"/>
  <c r="BG116" i="5"/>
  <c r="BF115" i="5"/>
  <c r="AT114" i="5"/>
  <c r="AP113" i="5"/>
  <c r="AW112" i="5"/>
  <c r="AS111" i="5"/>
  <c r="BH109" i="5"/>
  <c r="BF108" i="5"/>
  <c r="BE107" i="5"/>
  <c r="BB104" i="5"/>
  <c r="AS103" i="5"/>
  <c r="BO101" i="5"/>
  <c r="BF100" i="5"/>
  <c r="AX99" i="5"/>
  <c r="AU96" i="5"/>
  <c r="AR95" i="5"/>
  <c r="BG93" i="5"/>
  <c r="BE92" i="5"/>
  <c r="BQ90" i="5"/>
  <c r="BH88" i="5"/>
  <c r="AZ87" i="5"/>
  <c r="BQ83" i="5"/>
  <c r="BN80" i="5"/>
  <c r="BI76" i="5"/>
  <c r="AQ71" i="5"/>
  <c r="AR60" i="5"/>
  <c r="BJ8" i="5"/>
  <c r="BA104" i="5"/>
  <c r="BQ102" i="5"/>
  <c r="BN101" i="5"/>
  <c r="AY100" i="5"/>
  <c r="AW99" i="5"/>
  <c r="AT96" i="5"/>
  <c r="BI94" i="5"/>
  <c r="BF93" i="5"/>
  <c r="AX92" i="5"/>
  <c r="BA90" i="5"/>
  <c r="BG88" i="5"/>
  <c r="AP87" i="5"/>
  <c r="BP83" i="5"/>
  <c r="BM80" i="5"/>
  <c r="BJ75" i="5"/>
  <c r="AO71" i="5"/>
  <c r="BQ54" i="5"/>
  <c r="BB117" i="5"/>
  <c r="BB112" i="5"/>
  <c r="AT95" i="5"/>
  <c r="BK76" i="5"/>
  <c r="BA118" i="5"/>
  <c r="AT111" i="5"/>
  <c r="BQ112" i="5"/>
  <c r="BG109" i="5"/>
  <c r="BI8" i="5"/>
  <c r="AW8" i="5"/>
  <c r="BN120" i="5"/>
  <c r="AW120" i="5"/>
  <c r="BF119" i="5"/>
  <c r="BM118" i="5"/>
  <c r="AP118" i="5"/>
  <c r="AW117" i="5"/>
  <c r="BE116" i="5"/>
  <c r="AZ115" i="5"/>
  <c r="AO114" i="5"/>
  <c r="BP112" i="5"/>
  <c r="AO112" i="5"/>
  <c r="BI110" i="5"/>
  <c r="BF109" i="5"/>
  <c r="AX108" i="5"/>
  <c r="AP107" i="5"/>
  <c r="BQ103" i="5"/>
  <c r="BP102" i="5"/>
  <c r="AZ101" i="5"/>
  <c r="AX100" i="5"/>
  <c r="AO99" i="5"/>
  <c r="AS96" i="5"/>
  <c r="BH94" i="5"/>
  <c r="AR93" i="5"/>
  <c r="AQ92" i="5"/>
  <c r="AZ90" i="5"/>
  <c r="BF88" i="5"/>
  <c r="BK86" i="5"/>
  <c r="BQ82" i="5"/>
  <c r="AX80" i="5"/>
  <c r="BI75" i="5"/>
  <c r="AP69" i="5"/>
  <c r="AP49" i="5"/>
  <c r="BC112" i="5"/>
  <c r="BK96" i="5"/>
  <c r="BJ96" i="5"/>
  <c r="BC87" i="5"/>
  <c r="BC104" i="5"/>
  <c r="AS95" i="5"/>
  <c r="BO120" i="5"/>
  <c r="BG119" i="5"/>
  <c r="BH8" i="5"/>
  <c r="AT8" i="5"/>
  <c r="BM120" i="5"/>
  <c r="AS120" i="5"/>
  <c r="AY119" i="5"/>
  <c r="BH118" i="5"/>
  <c r="BO117" i="5"/>
  <c r="AP117" i="5"/>
  <c r="AS116" i="5"/>
  <c r="AX115" i="5"/>
  <c r="BQ113" i="5"/>
  <c r="BM112" i="5"/>
  <c r="BI111" i="5"/>
  <c r="BH110" i="5"/>
  <c r="AR109" i="5"/>
  <c r="AQ108" i="5"/>
  <c r="AO107" i="5"/>
  <c r="BP103" i="5"/>
  <c r="BO102" i="5"/>
  <c r="AY101" i="5"/>
  <c r="AW100" i="5"/>
  <c r="BM98" i="5"/>
  <c r="BJ95" i="5"/>
  <c r="BG94" i="5"/>
  <c r="AQ93" i="5"/>
  <c r="AP92" i="5"/>
  <c r="AY90" i="5"/>
  <c r="AX88" i="5"/>
  <c r="BJ86" i="5"/>
  <c r="BP82" i="5"/>
  <c r="BN79" i="5"/>
  <c r="BH74" i="5"/>
  <c r="AO69" i="5"/>
  <c r="AO49" i="5"/>
  <c r="AT89" i="5"/>
  <c r="BA8" i="5"/>
  <c r="BA112" i="5"/>
  <c r="AY120" i="5"/>
  <c r="AS118" i="5"/>
  <c r="AQ114" i="5"/>
  <c r="BF8" i="5"/>
  <c r="AS8" i="5"/>
  <c r="BH120" i="5"/>
  <c r="AO120" i="5"/>
  <c r="AX119" i="5"/>
  <c r="BG118" i="5"/>
  <c r="BN117" i="5"/>
  <c r="AO117" i="5"/>
  <c r="AQ116" i="5"/>
  <c r="AW115" i="5"/>
  <c r="BK113" i="5"/>
  <c r="BI112" i="5"/>
  <c r="BH111" i="5"/>
  <c r="BG110" i="5"/>
  <c r="AQ109" i="5"/>
  <c r="AP108" i="5"/>
  <c r="BE106" i="5"/>
  <c r="BI103" i="5"/>
  <c r="BA102" i="5"/>
  <c r="AX101" i="5"/>
  <c r="AP100" i="5"/>
  <c r="AW98" i="5"/>
  <c r="BI95" i="5"/>
  <c r="AS94" i="5"/>
  <c r="AP93" i="5"/>
  <c r="AO92" i="5"/>
  <c r="BN89" i="5"/>
  <c r="AP88" i="5"/>
  <c r="BP81" i="5"/>
  <c r="BM79" i="5"/>
  <c r="BG74" i="5"/>
  <c r="BD106" i="5"/>
  <c r="AU97" i="5"/>
  <c r="BK77" i="5"/>
  <c r="BL66" i="5"/>
  <c r="BL99" i="5"/>
  <c r="BJ97" i="5"/>
  <c r="BL89" i="5"/>
  <c r="BL85" i="5"/>
  <c r="BO82" i="5"/>
  <c r="BL79" i="5"/>
  <c r="BK78" i="5"/>
  <c r="BJ77" i="5"/>
  <c r="BH75" i="5"/>
  <c r="BD74" i="5"/>
  <c r="AQ73" i="5"/>
  <c r="BK66" i="5"/>
  <c r="AQ60" i="5"/>
  <c r="BB54" i="5"/>
  <c r="BQ15" i="5"/>
  <c r="BQ14" i="5"/>
  <c r="BQ22" i="5"/>
  <c r="BQ13" i="5"/>
  <c r="BQ21" i="5"/>
  <c r="BQ29" i="5"/>
  <c r="BQ12" i="5"/>
  <c r="BQ11" i="5"/>
  <c r="BQ19" i="5"/>
  <c r="BQ10" i="5"/>
  <c r="BQ18" i="5"/>
  <c r="BQ26" i="5"/>
  <c r="BQ9" i="5"/>
  <c r="BQ17" i="5"/>
  <c r="BQ25" i="5"/>
  <c r="BQ24" i="5"/>
  <c r="BQ33" i="5"/>
  <c r="BQ41" i="5"/>
  <c r="BQ23" i="5"/>
  <c r="BQ32" i="5"/>
  <c r="BQ31" i="5"/>
  <c r="BQ39" i="5"/>
  <c r="BQ47" i="5"/>
  <c r="BQ20" i="5"/>
  <c r="BQ30" i="5"/>
  <c r="BQ38" i="5"/>
  <c r="BQ37" i="5"/>
  <c r="BQ36" i="5"/>
  <c r="BQ16" i="5"/>
  <c r="BQ28" i="5"/>
  <c r="BQ35" i="5"/>
  <c r="BQ27" i="5"/>
  <c r="BQ34" i="5"/>
  <c r="BQ51" i="5"/>
  <c r="BQ59" i="5"/>
  <c r="BQ50" i="5"/>
  <c r="BQ58" i="5"/>
  <c r="BQ40" i="5"/>
  <c r="BQ44" i="5"/>
  <c r="BQ45" i="5"/>
  <c r="BQ49" i="5"/>
  <c r="BQ57" i="5"/>
  <c r="BQ43" i="5"/>
  <c r="BQ48" i="5"/>
  <c r="BQ55" i="5"/>
  <c r="BQ70" i="5"/>
  <c r="BQ69" i="5"/>
  <c r="BQ68" i="5"/>
  <c r="BQ42" i="5"/>
  <c r="BQ60" i="5"/>
  <c r="BQ56" i="5"/>
  <c r="BQ66" i="5"/>
  <c r="BQ64" i="5"/>
  <c r="BQ81" i="5"/>
  <c r="BQ80" i="5"/>
  <c r="BQ53" i="5"/>
  <c r="BQ61" i="5"/>
  <c r="BQ62" i="5"/>
  <c r="BQ79" i="5"/>
  <c r="BQ87" i="5"/>
  <c r="BQ65" i="5"/>
  <c r="BQ72" i="5"/>
  <c r="BQ78" i="5"/>
  <c r="BQ77" i="5"/>
  <c r="BQ93" i="5"/>
  <c r="BQ101" i="5"/>
  <c r="BQ109" i="5"/>
  <c r="BQ117" i="5"/>
  <c r="BQ52" i="5"/>
  <c r="BQ76" i="5"/>
  <c r="BQ92" i="5"/>
  <c r="BQ100" i="5"/>
  <c r="BQ108" i="5"/>
  <c r="BQ75" i="5"/>
  <c r="BQ86" i="5"/>
  <c r="BQ89" i="5"/>
  <c r="BQ91" i="5"/>
  <c r="BQ99" i="5"/>
  <c r="BQ107" i="5"/>
  <c r="BQ115" i="5"/>
  <c r="BQ46" i="5"/>
  <c r="BQ74" i="5"/>
  <c r="BQ98" i="5"/>
  <c r="BQ106" i="5"/>
  <c r="BQ114" i="5"/>
  <c r="BI15" i="5"/>
  <c r="BI14" i="5"/>
  <c r="BI22" i="5"/>
  <c r="BI13" i="5"/>
  <c r="BI21" i="5"/>
  <c r="BI29" i="5"/>
  <c r="BI12" i="5"/>
  <c r="BI11" i="5"/>
  <c r="BI19" i="5"/>
  <c r="BI10" i="5"/>
  <c r="BI18" i="5"/>
  <c r="BI26" i="5"/>
  <c r="BI9" i="5"/>
  <c r="BI17" i="5"/>
  <c r="BI25" i="5"/>
  <c r="BI20" i="5"/>
  <c r="BI33" i="5"/>
  <c r="BI41" i="5"/>
  <c r="BI32" i="5"/>
  <c r="BI28" i="5"/>
  <c r="BI31" i="5"/>
  <c r="BI39" i="5"/>
  <c r="BI47" i="5"/>
  <c r="BI27" i="5"/>
  <c r="BI38" i="5"/>
  <c r="BI24" i="5"/>
  <c r="BI30" i="5"/>
  <c r="BI37" i="5"/>
  <c r="BI16" i="5"/>
  <c r="BI23" i="5"/>
  <c r="BI36" i="5"/>
  <c r="BI35" i="5"/>
  <c r="BI34" i="5"/>
  <c r="BI42" i="5"/>
  <c r="BI51" i="5"/>
  <c r="BI59" i="5"/>
  <c r="BI50" i="5"/>
  <c r="BI58" i="5"/>
  <c r="BI49" i="5"/>
  <c r="BI57" i="5"/>
  <c r="BI45" i="5"/>
  <c r="BI44" i="5"/>
  <c r="BI55" i="5"/>
  <c r="BI56" i="5"/>
  <c r="BI61" i="5"/>
  <c r="BI70" i="5"/>
  <c r="BI43" i="5"/>
  <c r="BI48" i="5"/>
  <c r="BI54" i="5"/>
  <c r="BI69" i="5"/>
  <c r="BI53" i="5"/>
  <c r="BI68" i="5"/>
  <c r="BI52" i="5"/>
  <c r="BI66" i="5"/>
  <c r="BI65" i="5"/>
  <c r="BI71" i="5"/>
  <c r="BI74" i="5"/>
  <c r="BI81" i="5"/>
  <c r="BI62" i="5"/>
  <c r="BI67" i="5"/>
  <c r="BI73" i="5"/>
  <c r="BI80" i="5"/>
  <c r="BI60" i="5"/>
  <c r="BI63" i="5"/>
  <c r="BI79" i="5"/>
  <c r="BI87" i="5"/>
  <c r="BI40" i="5"/>
  <c r="BI78" i="5"/>
  <c r="BI88" i="5"/>
  <c r="BI93" i="5"/>
  <c r="BI101" i="5"/>
  <c r="BI109" i="5"/>
  <c r="BI117" i="5"/>
  <c r="BI46" i="5"/>
  <c r="BI64" i="5"/>
  <c r="BI84" i="5"/>
  <c r="BI92" i="5"/>
  <c r="BI100" i="5"/>
  <c r="BI108" i="5"/>
  <c r="BI83" i="5"/>
  <c r="BI85" i="5"/>
  <c r="BI91" i="5"/>
  <c r="BI99" i="5"/>
  <c r="BI107" i="5"/>
  <c r="BI115" i="5"/>
  <c r="BI72" i="5"/>
  <c r="BI82" i="5"/>
  <c r="BI89" i="5"/>
  <c r="BI98" i="5"/>
  <c r="BI106" i="5"/>
  <c r="BI114" i="5"/>
  <c r="BA15" i="5"/>
  <c r="BA14" i="5"/>
  <c r="BA22" i="5"/>
  <c r="BA13" i="5"/>
  <c r="BA21" i="5"/>
  <c r="BA29" i="5"/>
  <c r="BA12" i="5"/>
  <c r="BA11" i="5"/>
  <c r="BA19" i="5"/>
  <c r="BA10" i="5"/>
  <c r="BA18" i="5"/>
  <c r="BA26" i="5"/>
  <c r="BA9" i="5"/>
  <c r="BA17" i="5"/>
  <c r="BA25" i="5"/>
  <c r="BA24" i="5"/>
  <c r="BA33" i="5"/>
  <c r="BA41" i="5"/>
  <c r="BA23" i="5"/>
  <c r="BA32" i="5"/>
  <c r="BA31" i="5"/>
  <c r="BA39" i="5"/>
  <c r="BA47" i="5"/>
  <c r="BA38" i="5"/>
  <c r="BA16" i="5"/>
  <c r="BA37" i="5"/>
  <c r="BA30" i="5"/>
  <c r="BA36" i="5"/>
  <c r="BA20" i="5"/>
  <c r="BA28" i="5"/>
  <c r="BA35" i="5"/>
  <c r="BA27" i="5"/>
  <c r="BA34" i="5"/>
  <c r="BA51" i="5"/>
  <c r="BA59" i="5"/>
  <c r="BA50" i="5"/>
  <c r="BA58" i="5"/>
  <c r="BA40" i="5"/>
  <c r="BA49" i="5"/>
  <c r="BA57" i="5"/>
  <c r="BA42" i="5"/>
  <c r="BA55" i="5"/>
  <c r="BA63" i="5"/>
  <c r="BA43" i="5"/>
  <c r="BA44" i="5"/>
  <c r="BA45" i="5"/>
  <c r="BA70" i="5"/>
  <c r="BA62" i="5"/>
  <c r="BA69" i="5"/>
  <c r="BA68" i="5"/>
  <c r="BA46" i="5"/>
  <c r="BA60" i="5"/>
  <c r="BA61" i="5"/>
  <c r="BA56" i="5"/>
  <c r="BA66" i="5"/>
  <c r="BA81" i="5"/>
  <c r="BA80" i="5"/>
  <c r="BA52" i="5"/>
  <c r="BA64" i="5"/>
  <c r="BA74" i="5"/>
  <c r="BA79" i="5"/>
  <c r="BA87" i="5"/>
  <c r="BA72" i="5"/>
  <c r="BA73" i="5"/>
  <c r="BA78" i="5"/>
  <c r="BA71" i="5"/>
  <c r="BA77" i="5"/>
  <c r="BA86" i="5"/>
  <c r="BA93" i="5"/>
  <c r="BA101" i="5"/>
  <c r="BA109" i="5"/>
  <c r="BA117" i="5"/>
  <c r="BA67" i="5"/>
  <c r="BA76" i="5"/>
  <c r="BA88" i="5"/>
  <c r="BA92" i="5"/>
  <c r="BA100" i="5"/>
  <c r="BA108" i="5"/>
  <c r="BA75" i="5"/>
  <c r="BA91" i="5"/>
  <c r="BA99" i="5"/>
  <c r="BA107" i="5"/>
  <c r="BA115" i="5"/>
  <c r="BA53" i="5"/>
  <c r="BA98" i="5"/>
  <c r="BA106" i="5"/>
  <c r="BA114" i="5"/>
  <c r="AS15" i="5"/>
  <c r="AS14" i="5"/>
  <c r="AS22" i="5"/>
  <c r="AS13" i="5"/>
  <c r="AS21" i="5"/>
  <c r="AS29" i="5"/>
  <c r="AS12" i="5"/>
  <c r="AS11" i="5"/>
  <c r="AS19" i="5"/>
  <c r="AS10" i="5"/>
  <c r="AS18" i="5"/>
  <c r="AS26" i="5"/>
  <c r="AS9" i="5"/>
  <c r="AS17" i="5"/>
  <c r="AS25" i="5"/>
  <c r="AS33" i="5"/>
  <c r="AS41" i="5"/>
  <c r="AS32" i="5"/>
  <c r="AS28" i="5"/>
  <c r="AS31" i="5"/>
  <c r="AS39" i="5"/>
  <c r="AS47" i="5"/>
  <c r="AS16" i="5"/>
  <c r="AS27" i="5"/>
  <c r="AS38" i="5"/>
  <c r="AS20" i="5"/>
  <c r="AS24" i="5"/>
  <c r="AS37" i="5"/>
  <c r="AS23" i="5"/>
  <c r="AS36" i="5"/>
  <c r="AS35" i="5"/>
  <c r="AS30" i="5"/>
  <c r="AS34" i="5"/>
  <c r="AS44" i="5"/>
  <c r="AS46" i="5"/>
  <c r="AS51" i="5"/>
  <c r="AS59" i="5"/>
  <c r="AS43" i="5"/>
  <c r="AS50" i="5"/>
  <c r="AS58" i="5"/>
  <c r="AS49" i="5"/>
  <c r="AS57" i="5"/>
  <c r="AS55" i="5"/>
  <c r="AS63" i="5"/>
  <c r="AS56" i="5"/>
  <c r="AS70" i="5"/>
  <c r="AS54" i="5"/>
  <c r="AS69" i="5"/>
  <c r="AS40" i="5"/>
  <c r="AS53" i="5"/>
  <c r="AS68" i="5"/>
  <c r="AS52" i="5"/>
  <c r="AS62" i="5"/>
  <c r="AS67" i="5"/>
  <c r="AS66" i="5"/>
  <c r="AS71" i="5"/>
  <c r="AS81" i="5"/>
  <c r="AS45" i="5"/>
  <c r="AS80" i="5"/>
  <c r="AS65" i="5"/>
  <c r="AS79" i="5"/>
  <c r="AS87" i="5"/>
  <c r="AS48" i="5"/>
  <c r="AS78" i="5"/>
  <c r="AS61" i="5"/>
  <c r="AS74" i="5"/>
  <c r="AS85" i="5"/>
  <c r="AS90" i="5"/>
  <c r="AS93" i="5"/>
  <c r="AS101" i="5"/>
  <c r="AS109" i="5"/>
  <c r="AS117" i="5"/>
  <c r="AS84" i="5"/>
  <c r="AS92" i="5"/>
  <c r="AS100" i="5"/>
  <c r="AS108" i="5"/>
  <c r="AS83" i="5"/>
  <c r="AS88" i="5"/>
  <c r="AS99" i="5"/>
  <c r="AS107" i="5"/>
  <c r="AS115" i="5"/>
  <c r="AS42" i="5"/>
  <c r="AS82" i="5"/>
  <c r="AS86" i="5"/>
  <c r="AS91" i="5"/>
  <c r="AS98" i="5"/>
  <c r="AS106" i="5"/>
  <c r="AS114" i="5"/>
  <c r="BO8" i="5"/>
  <c r="BG8" i="5"/>
  <c r="AY8" i="5"/>
  <c r="AQ8" i="5"/>
  <c r="AU120" i="5"/>
  <c r="BP119" i="5"/>
  <c r="AT119" i="5"/>
  <c r="BO118" i="5"/>
  <c r="AR118" i="5"/>
  <c r="BJ117" i="5"/>
  <c r="BO116" i="5"/>
  <c r="BD116" i="5"/>
  <c r="BH115" i="5"/>
  <c r="AV115" i="5"/>
  <c r="BM114" i="5"/>
  <c r="BB114" i="5"/>
  <c r="AN114" i="5"/>
  <c r="BF113" i="5"/>
  <c r="AT113" i="5"/>
  <c r="BK112" i="5"/>
  <c r="AZ112" i="5"/>
  <c r="BQ111" i="5"/>
  <c r="BD111" i="5"/>
  <c r="AQ111" i="5"/>
  <c r="BF110" i="5"/>
  <c r="AP110" i="5"/>
  <c r="BE109" i="5"/>
  <c r="AO109" i="5"/>
  <c r="BD108" i="5"/>
  <c r="AN108" i="5"/>
  <c r="BC107" i="5"/>
  <c r="BB106" i="5"/>
  <c r="BQ105" i="5"/>
  <c r="BA105" i="5"/>
  <c r="BP104" i="5"/>
  <c r="AZ104" i="5"/>
  <c r="BO103" i="5"/>
  <c r="AY103" i="5"/>
  <c r="BN102" i="5"/>
  <c r="AX102" i="5"/>
  <c r="BM101" i="5"/>
  <c r="AW101" i="5"/>
  <c r="BL100" i="5"/>
  <c r="AV100" i="5"/>
  <c r="BK99" i="5"/>
  <c r="BJ98" i="5"/>
  <c r="BI97" i="5"/>
  <c r="AS97" i="5"/>
  <c r="BH96" i="5"/>
  <c r="AR96" i="5"/>
  <c r="BG95" i="5"/>
  <c r="AQ95" i="5"/>
  <c r="BF94" i="5"/>
  <c r="AP94" i="5"/>
  <c r="BE93" i="5"/>
  <c r="AO93" i="5"/>
  <c r="BD92" i="5"/>
  <c r="AN92" i="5"/>
  <c r="BC91" i="5"/>
  <c r="BP90" i="5"/>
  <c r="AX90" i="5"/>
  <c r="BJ89" i="5"/>
  <c r="BE88" i="5"/>
  <c r="AY87" i="5"/>
  <c r="BE86" i="5"/>
  <c r="BK85" i="5"/>
  <c r="BP84" i="5"/>
  <c r="BO83" i="5"/>
  <c r="BN82" i="5"/>
  <c r="BM81" i="5"/>
  <c r="BK79" i="5"/>
  <c r="BJ78" i="5"/>
  <c r="BI77" i="5"/>
  <c r="BH76" i="5"/>
  <c r="BG75" i="5"/>
  <c r="BC74" i="5"/>
  <c r="BP70" i="5"/>
  <c r="BN68" i="5"/>
  <c r="BJ66" i="5"/>
  <c r="BA54" i="5"/>
  <c r="BL10" i="5"/>
  <c r="BL18" i="5"/>
  <c r="BL9" i="5"/>
  <c r="BL17" i="5"/>
  <c r="BL25" i="5"/>
  <c r="BL16" i="5"/>
  <c r="BL24" i="5"/>
  <c r="BL15" i="5"/>
  <c r="BL14" i="5"/>
  <c r="BL13" i="5"/>
  <c r="BL21" i="5"/>
  <c r="BL29" i="5"/>
  <c r="BL12" i="5"/>
  <c r="BL20" i="5"/>
  <c r="BL28" i="5"/>
  <c r="BL36" i="5"/>
  <c r="BL19" i="5"/>
  <c r="BL35" i="5"/>
  <c r="BL11" i="5"/>
  <c r="BL34" i="5"/>
  <c r="BL42" i="5"/>
  <c r="BL33" i="5"/>
  <c r="BL41" i="5"/>
  <c r="BL27" i="5"/>
  <c r="BL32" i="5"/>
  <c r="BL26" i="5"/>
  <c r="BL31" i="5"/>
  <c r="BL39" i="5"/>
  <c r="BL23" i="5"/>
  <c r="BL30" i="5"/>
  <c r="BL22" i="5"/>
  <c r="BL37" i="5"/>
  <c r="BL43" i="5"/>
  <c r="BL54" i="5"/>
  <c r="BL46" i="5"/>
  <c r="BL53" i="5"/>
  <c r="BL52" i="5"/>
  <c r="BL60" i="5"/>
  <c r="BL47" i="5"/>
  <c r="BL50" i="5"/>
  <c r="BL58" i="5"/>
  <c r="BL59" i="5"/>
  <c r="BL65" i="5"/>
  <c r="BL73" i="5"/>
  <c r="BL57" i="5"/>
  <c r="BL64" i="5"/>
  <c r="BL72" i="5"/>
  <c r="BL56" i="5"/>
  <c r="BL62" i="5"/>
  <c r="BL63" i="5"/>
  <c r="BL71" i="5"/>
  <c r="BL38" i="5"/>
  <c r="BL48" i="5"/>
  <c r="BL55" i="5"/>
  <c r="BL61" i="5"/>
  <c r="BL44" i="5"/>
  <c r="BL45" i="5"/>
  <c r="BL51" i="5"/>
  <c r="BL69" i="5"/>
  <c r="BL76" i="5"/>
  <c r="BL84" i="5"/>
  <c r="BL49" i="5"/>
  <c r="BL70" i="5"/>
  <c r="BL75" i="5"/>
  <c r="BL83" i="5"/>
  <c r="BL68" i="5"/>
  <c r="BL82" i="5"/>
  <c r="BL90" i="5"/>
  <c r="BL67" i="5"/>
  <c r="BL74" i="5"/>
  <c r="BL81" i="5"/>
  <c r="BL40" i="5"/>
  <c r="BL86" i="5"/>
  <c r="BL96" i="5"/>
  <c r="BL104" i="5"/>
  <c r="BL112" i="5"/>
  <c r="BL95" i="5"/>
  <c r="BL103" i="5"/>
  <c r="BL88" i="5"/>
  <c r="BL94" i="5"/>
  <c r="BL102" i="5"/>
  <c r="BL110" i="5"/>
  <c r="BL118" i="5"/>
  <c r="BL93" i="5"/>
  <c r="BL101" i="5"/>
  <c r="BL109" i="5"/>
  <c r="BL117" i="5"/>
  <c r="AN105" i="5"/>
  <c r="AV97" i="5"/>
  <c r="AV89" i="5"/>
  <c r="AU9" i="5"/>
  <c r="AU17" i="5"/>
  <c r="AU16" i="5"/>
  <c r="AU24" i="5"/>
  <c r="AU15" i="5"/>
  <c r="AU23" i="5"/>
  <c r="AU14" i="5"/>
  <c r="AU13" i="5"/>
  <c r="AU12" i="5"/>
  <c r="AU20" i="5"/>
  <c r="AU28" i="5"/>
  <c r="AU11" i="5"/>
  <c r="AU19" i="5"/>
  <c r="AU27" i="5"/>
  <c r="AU30" i="5"/>
  <c r="AU35" i="5"/>
  <c r="AU34" i="5"/>
  <c r="AU33" i="5"/>
  <c r="AU41" i="5"/>
  <c r="AU18" i="5"/>
  <c r="AU32" i="5"/>
  <c r="AU40" i="5"/>
  <c r="AU10" i="5"/>
  <c r="AU26" i="5"/>
  <c r="AU29" i="5"/>
  <c r="AU31" i="5"/>
  <c r="AU39" i="5"/>
  <c r="AU25" i="5"/>
  <c r="AU38" i="5"/>
  <c r="AU22" i="5"/>
  <c r="AU37" i="5"/>
  <c r="AU21" i="5"/>
  <c r="AU36" i="5"/>
  <c r="AU48" i="5"/>
  <c r="AU53" i="5"/>
  <c r="AU45" i="5"/>
  <c r="AU52" i="5"/>
  <c r="AU60" i="5"/>
  <c r="AU44" i="5"/>
  <c r="AU46" i="5"/>
  <c r="AU51" i="5"/>
  <c r="AU59" i="5"/>
  <c r="AU43" i="5"/>
  <c r="AU49" i="5"/>
  <c r="AU57" i="5"/>
  <c r="AU58" i="5"/>
  <c r="AU61" i="5"/>
  <c r="AU64" i="5"/>
  <c r="AU72" i="5"/>
  <c r="AU56" i="5"/>
  <c r="AU71" i="5"/>
  <c r="AU47" i="5"/>
  <c r="AU55" i="5"/>
  <c r="AU70" i="5"/>
  <c r="AU54" i="5"/>
  <c r="AU50" i="5"/>
  <c r="AU63" i="5"/>
  <c r="AU68" i="5"/>
  <c r="AU42" i="5"/>
  <c r="AU73" i="5"/>
  <c r="AU75" i="5"/>
  <c r="AU83" i="5"/>
  <c r="AU69" i="5"/>
  <c r="AU82" i="5"/>
  <c r="AU67" i="5"/>
  <c r="AU81" i="5"/>
  <c r="AU89" i="5"/>
  <c r="AU80" i="5"/>
  <c r="AU87" i="5"/>
  <c r="AU95" i="5"/>
  <c r="AU103" i="5"/>
  <c r="AU111" i="5"/>
  <c r="AU119" i="5"/>
  <c r="AU94" i="5"/>
  <c r="AU102" i="5"/>
  <c r="AU110" i="5"/>
  <c r="AU74" i="5"/>
  <c r="AU85" i="5"/>
  <c r="AU90" i="5"/>
  <c r="AU93" i="5"/>
  <c r="AU101" i="5"/>
  <c r="AU109" i="5"/>
  <c r="AU117" i="5"/>
  <c r="AU66" i="5"/>
  <c r="AU84" i="5"/>
  <c r="AU88" i="5"/>
  <c r="AU92" i="5"/>
  <c r="AU100" i="5"/>
  <c r="AU108" i="5"/>
  <c r="AU116" i="5"/>
  <c r="AN106" i="5"/>
  <c r="BL98" i="5"/>
  <c r="AT16" i="5"/>
  <c r="AT15" i="5"/>
  <c r="AT23" i="5"/>
  <c r="AT14" i="5"/>
  <c r="AT22" i="5"/>
  <c r="AT30" i="5"/>
  <c r="AT13" i="5"/>
  <c r="AT12" i="5"/>
  <c r="AT20" i="5"/>
  <c r="AT11" i="5"/>
  <c r="AT19" i="5"/>
  <c r="AT27" i="5"/>
  <c r="AT10" i="5"/>
  <c r="AT18" i="5"/>
  <c r="AT26" i="5"/>
  <c r="AT9" i="5"/>
  <c r="AT34" i="5"/>
  <c r="AT42" i="5"/>
  <c r="AT33" i="5"/>
  <c r="AT32" i="5"/>
  <c r="AT40" i="5"/>
  <c r="AT48" i="5"/>
  <c r="AT28" i="5"/>
  <c r="AT29" i="5"/>
  <c r="AT31" i="5"/>
  <c r="AT39" i="5"/>
  <c r="AT25" i="5"/>
  <c r="AT38" i="5"/>
  <c r="AT24" i="5"/>
  <c r="AT37" i="5"/>
  <c r="AT21" i="5"/>
  <c r="AT36" i="5"/>
  <c r="AT17" i="5"/>
  <c r="AT35" i="5"/>
  <c r="AT45" i="5"/>
  <c r="AT52" i="5"/>
  <c r="AT60" i="5"/>
  <c r="AT44" i="5"/>
  <c r="AT46" i="5"/>
  <c r="AT51" i="5"/>
  <c r="AT59" i="5"/>
  <c r="AT43" i="5"/>
  <c r="AT50" i="5"/>
  <c r="AT58" i="5"/>
  <c r="AT49" i="5"/>
  <c r="AT47" i="5"/>
  <c r="AT56" i="5"/>
  <c r="AT41" i="5"/>
  <c r="AT57" i="5"/>
  <c r="AT71" i="5"/>
  <c r="AT55" i="5"/>
  <c r="AT70" i="5"/>
  <c r="AT54" i="5"/>
  <c r="AT69" i="5"/>
  <c r="AT53" i="5"/>
  <c r="AT63" i="5"/>
  <c r="AT62" i="5"/>
  <c r="AT67" i="5"/>
  <c r="AT64" i="5"/>
  <c r="AT72" i="5"/>
  <c r="AT82" i="5"/>
  <c r="AT68" i="5"/>
  <c r="AT81" i="5"/>
  <c r="AT80" i="5"/>
  <c r="AT88" i="5"/>
  <c r="AT65" i="5"/>
  <c r="AT79" i="5"/>
  <c r="AT94" i="5"/>
  <c r="AT102" i="5"/>
  <c r="AT110" i="5"/>
  <c r="AT118" i="5"/>
  <c r="AT61" i="5"/>
  <c r="AT74" i="5"/>
  <c r="AT85" i="5"/>
  <c r="AT90" i="5"/>
  <c r="AT93" i="5"/>
  <c r="AT101" i="5"/>
  <c r="AT109" i="5"/>
  <c r="AT66" i="5"/>
  <c r="AT84" i="5"/>
  <c r="AT92" i="5"/>
  <c r="AT100" i="5"/>
  <c r="AT108" i="5"/>
  <c r="AT116" i="5"/>
  <c r="AT83" i="5"/>
  <c r="AT99" i="5"/>
  <c r="AT107" i="5"/>
  <c r="AT115" i="5"/>
  <c r="AU113" i="5"/>
  <c r="BD107" i="5"/>
  <c r="BK98" i="5"/>
  <c r="BP14" i="5"/>
  <c r="BP13" i="5"/>
  <c r="BP21" i="5"/>
  <c r="BP12" i="5"/>
  <c r="BP20" i="5"/>
  <c r="BP28" i="5"/>
  <c r="BP11" i="5"/>
  <c r="BP10" i="5"/>
  <c r="BP18" i="5"/>
  <c r="BP9" i="5"/>
  <c r="BP17" i="5"/>
  <c r="BP25" i="5"/>
  <c r="BP16" i="5"/>
  <c r="BP24" i="5"/>
  <c r="BP23" i="5"/>
  <c r="BP32" i="5"/>
  <c r="BP40" i="5"/>
  <c r="BP22" i="5"/>
  <c r="BP29" i="5"/>
  <c r="BP31" i="5"/>
  <c r="BP15" i="5"/>
  <c r="BP19" i="5"/>
  <c r="BP30" i="5"/>
  <c r="BP38" i="5"/>
  <c r="BP46" i="5"/>
  <c r="BP37" i="5"/>
  <c r="BP36" i="5"/>
  <c r="BP35" i="5"/>
  <c r="BP27" i="5"/>
  <c r="BP34" i="5"/>
  <c r="BP26" i="5"/>
  <c r="BP33" i="5"/>
  <c r="BP47" i="5"/>
  <c r="BP50" i="5"/>
  <c r="BP58" i="5"/>
  <c r="BP41" i="5"/>
  <c r="BP44" i="5"/>
  <c r="BP45" i="5"/>
  <c r="BP49" i="5"/>
  <c r="BP57" i="5"/>
  <c r="BP39" i="5"/>
  <c r="BP43" i="5"/>
  <c r="BP56" i="5"/>
  <c r="BP48" i="5"/>
  <c r="BP42" i="5"/>
  <c r="BP54" i="5"/>
  <c r="BP62" i="5"/>
  <c r="BP69" i="5"/>
  <c r="BP68" i="5"/>
  <c r="BP60" i="5"/>
  <c r="BP67" i="5"/>
  <c r="BP59" i="5"/>
  <c r="BP66" i="5"/>
  <c r="BP55" i="5"/>
  <c r="BP65" i="5"/>
  <c r="BP80" i="5"/>
  <c r="BP53" i="5"/>
  <c r="BP61" i="5"/>
  <c r="BP79" i="5"/>
  <c r="BP72" i="5"/>
  <c r="BP78" i="5"/>
  <c r="BP86" i="5"/>
  <c r="BP71" i="5"/>
  <c r="BP77" i="5"/>
  <c r="BP52" i="5"/>
  <c r="BP76" i="5"/>
  <c r="BP92" i="5"/>
  <c r="BP100" i="5"/>
  <c r="BP108" i="5"/>
  <c r="BP116" i="5"/>
  <c r="BP75" i="5"/>
  <c r="BP89" i="5"/>
  <c r="BP91" i="5"/>
  <c r="BP99" i="5"/>
  <c r="BP107" i="5"/>
  <c r="BP74" i="5"/>
  <c r="BP98" i="5"/>
  <c r="BP106" i="5"/>
  <c r="BP114" i="5"/>
  <c r="BP64" i="5"/>
  <c r="BP87" i="5"/>
  <c r="BP97" i="5"/>
  <c r="BP105" i="5"/>
  <c r="BP113" i="5"/>
  <c r="BH14" i="5"/>
  <c r="BH13" i="5"/>
  <c r="BH21" i="5"/>
  <c r="BH12" i="5"/>
  <c r="BH20" i="5"/>
  <c r="BH28" i="5"/>
  <c r="BH11" i="5"/>
  <c r="BH19" i="5"/>
  <c r="BH10" i="5"/>
  <c r="BH18" i="5"/>
  <c r="BH9" i="5"/>
  <c r="BH17" i="5"/>
  <c r="BH25" i="5"/>
  <c r="BH16" i="5"/>
  <c r="BH24" i="5"/>
  <c r="BH32" i="5"/>
  <c r="BH40" i="5"/>
  <c r="BH15" i="5"/>
  <c r="BH31" i="5"/>
  <c r="BH27" i="5"/>
  <c r="BH38" i="5"/>
  <c r="BH46" i="5"/>
  <c r="BH26" i="5"/>
  <c r="BH30" i="5"/>
  <c r="BH37" i="5"/>
  <c r="BH45" i="5"/>
  <c r="BH23" i="5"/>
  <c r="BH29" i="5"/>
  <c r="BH36" i="5"/>
  <c r="BH22" i="5"/>
  <c r="BH35" i="5"/>
  <c r="BH34" i="5"/>
  <c r="BH33" i="5"/>
  <c r="BH50" i="5"/>
  <c r="BH58" i="5"/>
  <c r="BH47" i="5"/>
  <c r="BH49" i="5"/>
  <c r="BH57" i="5"/>
  <c r="BH56" i="5"/>
  <c r="BH44" i="5"/>
  <c r="BH43" i="5"/>
  <c r="BH48" i="5"/>
  <c r="BH54" i="5"/>
  <c r="BH62" i="5"/>
  <c r="BH55" i="5"/>
  <c r="BH69" i="5"/>
  <c r="BH53" i="5"/>
  <c r="BH68" i="5"/>
  <c r="BH41" i="5"/>
  <c r="BH42" i="5"/>
  <c r="BH52" i="5"/>
  <c r="BH67" i="5"/>
  <c r="BH51" i="5"/>
  <c r="BH66" i="5"/>
  <c r="BH65" i="5"/>
  <c r="BH61" i="5"/>
  <c r="BH70" i="5"/>
  <c r="BH73" i="5"/>
  <c r="BH80" i="5"/>
  <c r="BH60" i="5"/>
  <c r="BH63" i="5"/>
  <c r="BH79" i="5"/>
  <c r="BH39" i="5"/>
  <c r="BH78" i="5"/>
  <c r="BH86" i="5"/>
  <c r="BH77" i="5"/>
  <c r="BH64" i="5"/>
  <c r="BH84" i="5"/>
  <c r="BH92" i="5"/>
  <c r="BH100" i="5"/>
  <c r="BH108" i="5"/>
  <c r="BH116" i="5"/>
  <c r="BH83" i="5"/>
  <c r="BH85" i="5"/>
  <c r="BH91" i="5"/>
  <c r="BH99" i="5"/>
  <c r="BH107" i="5"/>
  <c r="BH72" i="5"/>
  <c r="BH82" i="5"/>
  <c r="BH89" i="5"/>
  <c r="BH98" i="5"/>
  <c r="BH106" i="5"/>
  <c r="BH114" i="5"/>
  <c r="BH71" i="5"/>
  <c r="BH81" i="5"/>
  <c r="BH97" i="5"/>
  <c r="BH105" i="5"/>
  <c r="BH113" i="5"/>
  <c r="AZ14" i="5"/>
  <c r="AZ13" i="5"/>
  <c r="AZ21" i="5"/>
  <c r="AZ12" i="5"/>
  <c r="AZ20" i="5"/>
  <c r="AZ28" i="5"/>
  <c r="AZ11" i="5"/>
  <c r="AZ19" i="5"/>
  <c r="AZ10" i="5"/>
  <c r="AZ18" i="5"/>
  <c r="AZ9" i="5"/>
  <c r="AZ17" i="5"/>
  <c r="AZ25" i="5"/>
  <c r="AZ16" i="5"/>
  <c r="AZ24" i="5"/>
  <c r="AZ15" i="5"/>
  <c r="AZ23" i="5"/>
  <c r="AZ32" i="5"/>
  <c r="AZ40" i="5"/>
  <c r="AZ22" i="5"/>
  <c r="AZ31" i="5"/>
  <c r="AZ38" i="5"/>
  <c r="AZ46" i="5"/>
  <c r="AZ37" i="5"/>
  <c r="AZ45" i="5"/>
  <c r="AZ30" i="5"/>
  <c r="AZ36" i="5"/>
  <c r="AZ35" i="5"/>
  <c r="AZ27" i="5"/>
  <c r="AZ34" i="5"/>
  <c r="AZ26" i="5"/>
  <c r="AZ29" i="5"/>
  <c r="AZ33" i="5"/>
  <c r="AZ50" i="5"/>
  <c r="AZ58" i="5"/>
  <c r="AZ41" i="5"/>
  <c r="AZ49" i="5"/>
  <c r="AZ57" i="5"/>
  <c r="AZ39" i="5"/>
  <c r="AZ42" i="5"/>
  <c r="AZ47" i="5"/>
  <c r="AZ56" i="5"/>
  <c r="AZ54" i="5"/>
  <c r="AZ62" i="5"/>
  <c r="AZ63" i="5"/>
  <c r="AZ69" i="5"/>
  <c r="AZ68" i="5"/>
  <c r="AZ60" i="5"/>
  <c r="AZ61" i="5"/>
  <c r="AZ67" i="5"/>
  <c r="AZ59" i="5"/>
  <c r="AZ66" i="5"/>
  <c r="AZ55" i="5"/>
  <c r="AZ65" i="5"/>
  <c r="AZ80" i="5"/>
  <c r="AZ52" i="5"/>
  <c r="AZ64" i="5"/>
  <c r="AZ74" i="5"/>
  <c r="AZ79" i="5"/>
  <c r="AZ72" i="5"/>
  <c r="AZ73" i="5"/>
  <c r="AZ78" i="5"/>
  <c r="AZ86" i="5"/>
  <c r="AZ43" i="5"/>
  <c r="AZ71" i="5"/>
  <c r="AZ77" i="5"/>
  <c r="AZ70" i="5"/>
  <c r="AZ76" i="5"/>
  <c r="AZ88" i="5"/>
  <c r="AZ92" i="5"/>
  <c r="AZ100" i="5"/>
  <c r="AZ108" i="5"/>
  <c r="AZ116" i="5"/>
  <c r="AZ75" i="5"/>
  <c r="AZ91" i="5"/>
  <c r="AZ99" i="5"/>
  <c r="AZ107" i="5"/>
  <c r="AZ53" i="5"/>
  <c r="AZ98" i="5"/>
  <c r="AZ106" i="5"/>
  <c r="AZ114" i="5"/>
  <c r="AZ89" i="5"/>
  <c r="AZ97" i="5"/>
  <c r="AZ105" i="5"/>
  <c r="AZ113" i="5"/>
  <c r="AR14" i="5"/>
  <c r="AR13" i="5"/>
  <c r="AR21" i="5"/>
  <c r="AR12" i="5"/>
  <c r="AR20" i="5"/>
  <c r="AR28" i="5"/>
  <c r="AR11" i="5"/>
  <c r="AR19" i="5"/>
  <c r="AR10" i="5"/>
  <c r="AR18" i="5"/>
  <c r="AR9" i="5"/>
  <c r="AR17" i="5"/>
  <c r="AR25" i="5"/>
  <c r="AR16" i="5"/>
  <c r="AR24" i="5"/>
  <c r="AR32" i="5"/>
  <c r="AR40" i="5"/>
  <c r="AR31" i="5"/>
  <c r="AR27" i="5"/>
  <c r="AR29" i="5"/>
  <c r="AR38" i="5"/>
  <c r="AR46" i="5"/>
  <c r="AR26" i="5"/>
  <c r="AR37" i="5"/>
  <c r="AR45" i="5"/>
  <c r="AR23" i="5"/>
  <c r="AR36" i="5"/>
  <c r="AR22" i="5"/>
  <c r="AR35" i="5"/>
  <c r="AR30" i="5"/>
  <c r="AR34" i="5"/>
  <c r="AR15" i="5"/>
  <c r="AR33" i="5"/>
  <c r="AR39" i="5"/>
  <c r="AR43" i="5"/>
  <c r="AR50" i="5"/>
  <c r="AR58" i="5"/>
  <c r="AR49" i="5"/>
  <c r="AR57" i="5"/>
  <c r="AR56" i="5"/>
  <c r="AR47" i="5"/>
  <c r="AR54" i="5"/>
  <c r="AR62" i="5"/>
  <c r="AR55" i="5"/>
  <c r="AR69" i="5"/>
  <c r="AR53" i="5"/>
  <c r="AR68" i="5"/>
  <c r="AR52" i="5"/>
  <c r="AR63" i="5"/>
  <c r="AR67" i="5"/>
  <c r="AR51" i="5"/>
  <c r="AR66" i="5"/>
  <c r="AR48" i="5"/>
  <c r="AR65" i="5"/>
  <c r="AR73" i="5"/>
  <c r="AR70" i="5"/>
  <c r="AR80" i="5"/>
  <c r="AR59" i="5"/>
  <c r="AR79" i="5"/>
  <c r="AR87" i="5"/>
  <c r="AR78" i="5"/>
  <c r="AR86" i="5"/>
  <c r="AR61" i="5"/>
  <c r="AR74" i="5"/>
  <c r="AR77" i="5"/>
  <c r="AR85" i="5"/>
  <c r="AR84" i="5"/>
  <c r="AR92" i="5"/>
  <c r="AR100" i="5"/>
  <c r="AR108" i="5"/>
  <c r="AR116" i="5"/>
  <c r="AR41" i="5"/>
  <c r="AR83" i="5"/>
  <c r="AR88" i="5"/>
  <c r="AR99" i="5"/>
  <c r="AR107" i="5"/>
  <c r="AR42" i="5"/>
  <c r="AR82" i="5"/>
  <c r="AR91" i="5"/>
  <c r="AR98" i="5"/>
  <c r="AR106" i="5"/>
  <c r="AR114" i="5"/>
  <c r="AR81" i="5"/>
  <c r="AR97" i="5"/>
  <c r="AR105" i="5"/>
  <c r="AR113" i="5"/>
  <c r="BL120" i="5"/>
  <c r="BD120" i="5"/>
  <c r="AT120" i="5"/>
  <c r="BO119" i="5"/>
  <c r="BD119" i="5"/>
  <c r="BC118" i="5"/>
  <c r="AQ118" i="5"/>
  <c r="BH117" i="5"/>
  <c r="BA116" i="5"/>
  <c r="AU115" i="5"/>
  <c r="BL114" i="5"/>
  <c r="AY114" i="5"/>
  <c r="BD113" i="5"/>
  <c r="AS113" i="5"/>
  <c r="BJ112" i="5"/>
  <c r="BP111" i="5"/>
  <c r="BB111" i="5"/>
  <c r="BQ110" i="5"/>
  <c r="BA110" i="5"/>
  <c r="BP109" i="5"/>
  <c r="AZ109" i="5"/>
  <c r="BO108" i="5"/>
  <c r="AY108" i="5"/>
  <c r="BN107" i="5"/>
  <c r="AX107" i="5"/>
  <c r="BM106" i="5"/>
  <c r="AW106" i="5"/>
  <c r="BL105" i="5"/>
  <c r="AV105" i="5"/>
  <c r="AU104" i="5"/>
  <c r="BJ103" i="5"/>
  <c r="AT103" i="5"/>
  <c r="BI102" i="5"/>
  <c r="AS102" i="5"/>
  <c r="BH101" i="5"/>
  <c r="AR101" i="5"/>
  <c r="AQ100" i="5"/>
  <c r="AP99" i="5"/>
  <c r="BE98" i="5"/>
  <c r="AO98" i="5"/>
  <c r="BD97" i="5"/>
  <c r="AN97" i="5"/>
  <c r="BC96" i="5"/>
  <c r="BB95" i="5"/>
  <c r="BQ94" i="5"/>
  <c r="BA94" i="5"/>
  <c r="BP93" i="5"/>
  <c r="AZ93" i="5"/>
  <c r="BO92" i="5"/>
  <c r="AY92" i="5"/>
  <c r="AX91" i="5"/>
  <c r="BJ90" i="5"/>
  <c r="AR90" i="5"/>
  <c r="BE89" i="5"/>
  <c r="BQ88" i="5"/>
  <c r="AY88" i="5"/>
  <c r="BL87" i="5"/>
  <c r="AT87" i="5"/>
  <c r="AW86" i="5"/>
  <c r="BC85" i="5"/>
  <c r="BC84" i="5"/>
  <c r="BB83" i="5"/>
  <c r="BA82" i="5"/>
  <c r="AZ81" i="5"/>
  <c r="AY80" i="5"/>
  <c r="AW78" i="5"/>
  <c r="AV77" i="5"/>
  <c r="AU76" i="5"/>
  <c r="AT75" i="5"/>
  <c r="BQ73" i="5"/>
  <c r="AS72" i="5"/>
  <c r="AO68" i="5"/>
  <c r="BC65" i="5"/>
  <c r="BE62" i="5"/>
  <c r="BE57" i="5"/>
  <c r="BP51" i="5"/>
  <c r="AO45" i="5"/>
  <c r="AW79" i="5"/>
  <c r="AU77" i="5"/>
  <c r="AT76" i="5"/>
  <c r="AS75" i="5"/>
  <c r="BP73" i="5"/>
  <c r="AR72" i="5"/>
  <c r="AN68" i="5"/>
  <c r="AW62" i="5"/>
  <c r="BO51" i="5"/>
  <c r="AZ44" i="5"/>
  <c r="BD10" i="5"/>
  <c r="BD18" i="5"/>
  <c r="BD9" i="5"/>
  <c r="BD17" i="5"/>
  <c r="BD25" i="5"/>
  <c r="BD16" i="5"/>
  <c r="BD24" i="5"/>
  <c r="BD15" i="5"/>
  <c r="BD14" i="5"/>
  <c r="BD13" i="5"/>
  <c r="BD21" i="5"/>
  <c r="BD29" i="5"/>
  <c r="BD12" i="5"/>
  <c r="BD20" i="5"/>
  <c r="BD28" i="5"/>
  <c r="BD19" i="5"/>
  <c r="BD27" i="5"/>
  <c r="BD36" i="5"/>
  <c r="BD11" i="5"/>
  <c r="BD26" i="5"/>
  <c r="BD35" i="5"/>
  <c r="BD23" i="5"/>
  <c r="BD34" i="5"/>
  <c r="BD42" i="5"/>
  <c r="BD22" i="5"/>
  <c r="BD33" i="5"/>
  <c r="BD41" i="5"/>
  <c r="BD32" i="5"/>
  <c r="BD31" i="5"/>
  <c r="BD39" i="5"/>
  <c r="BD30" i="5"/>
  <c r="BD37" i="5"/>
  <c r="BD45" i="5"/>
  <c r="BD48" i="5"/>
  <c r="BD54" i="5"/>
  <c r="BD44" i="5"/>
  <c r="BD53" i="5"/>
  <c r="BD61" i="5"/>
  <c r="BD43" i="5"/>
  <c r="BD46" i="5"/>
  <c r="BD52" i="5"/>
  <c r="BD60" i="5"/>
  <c r="BD38" i="5"/>
  <c r="BD40" i="5"/>
  <c r="BD50" i="5"/>
  <c r="BD58" i="5"/>
  <c r="BD51" i="5"/>
  <c r="BD65" i="5"/>
  <c r="BD73" i="5"/>
  <c r="BD64" i="5"/>
  <c r="BD72" i="5"/>
  <c r="BD49" i="5"/>
  <c r="BD71" i="5"/>
  <c r="BD63" i="5"/>
  <c r="BD59" i="5"/>
  <c r="BD62" i="5"/>
  <c r="BD69" i="5"/>
  <c r="BD47" i="5"/>
  <c r="BD76" i="5"/>
  <c r="BD84" i="5"/>
  <c r="BD56" i="5"/>
  <c r="BD75" i="5"/>
  <c r="BD83" i="5"/>
  <c r="BD82" i="5"/>
  <c r="BD90" i="5"/>
  <c r="BD66" i="5"/>
  <c r="BD81" i="5"/>
  <c r="BD55" i="5"/>
  <c r="BD80" i="5"/>
  <c r="BD85" i="5"/>
  <c r="BD87" i="5"/>
  <c r="BD96" i="5"/>
  <c r="BD104" i="5"/>
  <c r="BD112" i="5"/>
  <c r="BD70" i="5"/>
  <c r="BD79" i="5"/>
  <c r="BD95" i="5"/>
  <c r="BD103" i="5"/>
  <c r="BD68" i="5"/>
  <c r="BD78" i="5"/>
  <c r="BD94" i="5"/>
  <c r="BD102" i="5"/>
  <c r="BD110" i="5"/>
  <c r="BD118" i="5"/>
  <c r="BD67" i="5"/>
  <c r="BD77" i="5"/>
  <c r="BD86" i="5"/>
  <c r="BD88" i="5"/>
  <c r="BD93" i="5"/>
  <c r="BD101" i="5"/>
  <c r="BD109" i="5"/>
  <c r="BD117" i="5"/>
  <c r="AV10" i="5"/>
  <c r="AV18" i="5"/>
  <c r="AV9" i="5"/>
  <c r="AV17" i="5"/>
  <c r="AV25" i="5"/>
  <c r="AV16" i="5"/>
  <c r="AV24" i="5"/>
  <c r="AV15" i="5"/>
  <c r="AV14" i="5"/>
  <c r="AV13" i="5"/>
  <c r="AV21" i="5"/>
  <c r="AV29" i="5"/>
  <c r="AV12" i="5"/>
  <c r="AV20" i="5"/>
  <c r="AV28" i="5"/>
  <c r="AV11" i="5"/>
  <c r="AV36" i="5"/>
  <c r="AV30" i="5"/>
  <c r="AV35" i="5"/>
  <c r="AV34" i="5"/>
  <c r="AV42" i="5"/>
  <c r="AV33" i="5"/>
  <c r="AV41" i="5"/>
  <c r="AV27" i="5"/>
  <c r="AV32" i="5"/>
  <c r="AV26" i="5"/>
  <c r="AV31" i="5"/>
  <c r="AV39" i="5"/>
  <c r="AV23" i="5"/>
  <c r="AV19" i="5"/>
  <c r="AV22" i="5"/>
  <c r="AV37" i="5"/>
  <c r="AV54" i="5"/>
  <c r="AV38" i="5"/>
  <c r="AV48" i="5"/>
  <c r="AV53" i="5"/>
  <c r="AV61" i="5"/>
  <c r="AV45" i="5"/>
  <c r="AV52" i="5"/>
  <c r="AV60" i="5"/>
  <c r="AV44" i="5"/>
  <c r="AV46" i="5"/>
  <c r="AV43" i="5"/>
  <c r="AV50" i="5"/>
  <c r="AV58" i="5"/>
  <c r="AV59" i="5"/>
  <c r="AV65" i="5"/>
  <c r="AV73" i="5"/>
  <c r="AV57" i="5"/>
  <c r="AV64" i="5"/>
  <c r="AV72" i="5"/>
  <c r="AV56" i="5"/>
  <c r="AV71" i="5"/>
  <c r="AV40" i="5"/>
  <c r="AV47" i="5"/>
  <c r="AV55" i="5"/>
  <c r="AV51" i="5"/>
  <c r="AV69" i="5"/>
  <c r="AV49" i="5"/>
  <c r="AV66" i="5"/>
  <c r="AV76" i="5"/>
  <c r="AV84" i="5"/>
  <c r="AV70" i="5"/>
  <c r="AV75" i="5"/>
  <c r="AV83" i="5"/>
  <c r="AV68" i="5"/>
  <c r="AV82" i="5"/>
  <c r="AV90" i="5"/>
  <c r="AV67" i="5"/>
  <c r="AV81" i="5"/>
  <c r="AV96" i="5"/>
  <c r="AV104" i="5"/>
  <c r="AV112" i="5"/>
  <c r="AV120" i="5"/>
  <c r="AV63" i="5"/>
  <c r="AV87" i="5"/>
  <c r="AV95" i="5"/>
  <c r="AV103" i="5"/>
  <c r="AV111" i="5"/>
  <c r="AV94" i="5"/>
  <c r="AV102" i="5"/>
  <c r="AV110" i="5"/>
  <c r="AV118" i="5"/>
  <c r="AV74" i="5"/>
  <c r="AV85" i="5"/>
  <c r="AV93" i="5"/>
  <c r="AV101" i="5"/>
  <c r="AV109" i="5"/>
  <c r="AV117" i="5"/>
  <c r="AN119" i="5"/>
  <c r="AV116" i="5"/>
  <c r="AN115" i="5"/>
  <c r="BD105" i="5"/>
  <c r="BL97" i="5"/>
  <c r="BL77" i="5"/>
  <c r="BK9" i="5"/>
  <c r="BK17" i="5"/>
  <c r="BK16" i="5"/>
  <c r="BK24" i="5"/>
  <c r="BK15" i="5"/>
  <c r="BK23" i="5"/>
  <c r="BK14" i="5"/>
  <c r="BK13" i="5"/>
  <c r="BK12" i="5"/>
  <c r="BK20" i="5"/>
  <c r="BK28" i="5"/>
  <c r="BK11" i="5"/>
  <c r="BK19" i="5"/>
  <c r="BK27" i="5"/>
  <c r="BK35" i="5"/>
  <c r="BK34" i="5"/>
  <c r="BK33" i="5"/>
  <c r="BK41" i="5"/>
  <c r="BK32" i="5"/>
  <c r="BK40" i="5"/>
  <c r="BK26" i="5"/>
  <c r="BK31" i="5"/>
  <c r="BK18" i="5"/>
  <c r="BK25" i="5"/>
  <c r="BK30" i="5"/>
  <c r="BK38" i="5"/>
  <c r="BK10" i="5"/>
  <c r="BK22" i="5"/>
  <c r="BK29" i="5"/>
  <c r="BK37" i="5"/>
  <c r="BK21" i="5"/>
  <c r="BK36" i="5"/>
  <c r="BK46" i="5"/>
  <c r="BK53" i="5"/>
  <c r="BK42" i="5"/>
  <c r="BK52" i="5"/>
  <c r="BK60" i="5"/>
  <c r="BK51" i="5"/>
  <c r="BK59" i="5"/>
  <c r="BK47" i="5"/>
  <c r="BK49" i="5"/>
  <c r="BK57" i="5"/>
  <c r="BK39" i="5"/>
  <c r="BK58" i="5"/>
  <c r="BK64" i="5"/>
  <c r="BK72" i="5"/>
  <c r="BK56" i="5"/>
  <c r="BK62" i="5"/>
  <c r="BK63" i="5"/>
  <c r="BK71" i="5"/>
  <c r="BK48" i="5"/>
  <c r="BK55" i="5"/>
  <c r="BK61" i="5"/>
  <c r="BK70" i="5"/>
  <c r="BK43" i="5"/>
  <c r="BK44" i="5"/>
  <c r="BK45" i="5"/>
  <c r="BK54" i="5"/>
  <c r="BK50" i="5"/>
  <c r="BK68" i="5"/>
  <c r="BK75" i="5"/>
  <c r="BK83" i="5"/>
  <c r="BK69" i="5"/>
  <c r="BK82" i="5"/>
  <c r="BK65" i="5"/>
  <c r="BK67" i="5"/>
  <c r="BK74" i="5"/>
  <c r="BK81" i="5"/>
  <c r="BK89" i="5"/>
  <c r="BK73" i="5"/>
  <c r="BK80" i="5"/>
  <c r="BK90" i="5"/>
  <c r="BK95" i="5"/>
  <c r="BK103" i="5"/>
  <c r="BK111" i="5"/>
  <c r="BK119" i="5"/>
  <c r="BK88" i="5"/>
  <c r="BK94" i="5"/>
  <c r="BK102" i="5"/>
  <c r="BK110" i="5"/>
  <c r="BK93" i="5"/>
  <c r="BK101" i="5"/>
  <c r="BK109" i="5"/>
  <c r="BK117" i="5"/>
  <c r="BK84" i="5"/>
  <c r="BK92" i="5"/>
  <c r="BK100" i="5"/>
  <c r="BK108" i="5"/>
  <c r="BK116" i="5"/>
  <c r="AU118" i="5"/>
  <c r="BC105" i="5"/>
  <c r="AV98" i="5"/>
  <c r="BB16" i="5"/>
  <c r="BB15" i="5"/>
  <c r="BB23" i="5"/>
  <c r="BB14" i="5"/>
  <c r="BB22" i="5"/>
  <c r="BB30" i="5"/>
  <c r="BB13" i="5"/>
  <c r="BB12" i="5"/>
  <c r="BB20" i="5"/>
  <c r="BB11" i="5"/>
  <c r="BB19" i="5"/>
  <c r="BB27" i="5"/>
  <c r="BB10" i="5"/>
  <c r="BB18" i="5"/>
  <c r="BB26" i="5"/>
  <c r="BB17" i="5"/>
  <c r="BB25" i="5"/>
  <c r="BB29" i="5"/>
  <c r="BB34" i="5"/>
  <c r="BB42" i="5"/>
  <c r="BB9" i="5"/>
  <c r="BB24" i="5"/>
  <c r="BB33" i="5"/>
  <c r="BB21" i="5"/>
  <c r="BB32" i="5"/>
  <c r="BB40" i="5"/>
  <c r="BB48" i="5"/>
  <c r="BB31" i="5"/>
  <c r="BB39" i="5"/>
  <c r="BB38" i="5"/>
  <c r="BB37" i="5"/>
  <c r="BB36" i="5"/>
  <c r="BB28" i="5"/>
  <c r="BB35" i="5"/>
  <c r="BB43" i="5"/>
  <c r="BB46" i="5"/>
  <c r="BB52" i="5"/>
  <c r="BB60" i="5"/>
  <c r="BB51" i="5"/>
  <c r="BB59" i="5"/>
  <c r="BB41" i="5"/>
  <c r="BB50" i="5"/>
  <c r="BB58" i="5"/>
  <c r="BB47" i="5"/>
  <c r="BB49" i="5"/>
  <c r="BB56" i="5"/>
  <c r="BB71" i="5"/>
  <c r="BB44" i="5"/>
  <c r="BB45" i="5"/>
  <c r="BB63" i="5"/>
  <c r="BB70" i="5"/>
  <c r="BB62" i="5"/>
  <c r="BB69" i="5"/>
  <c r="BB57" i="5"/>
  <c r="BB61" i="5"/>
  <c r="BB67" i="5"/>
  <c r="BB53" i="5"/>
  <c r="BB82" i="5"/>
  <c r="BB66" i="5"/>
  <c r="BB81" i="5"/>
  <c r="BB55" i="5"/>
  <c r="BB80" i="5"/>
  <c r="BB88" i="5"/>
  <c r="BB64" i="5"/>
  <c r="BB74" i="5"/>
  <c r="BB79" i="5"/>
  <c r="BB72" i="5"/>
  <c r="BB73" i="5"/>
  <c r="BB78" i="5"/>
  <c r="BB90" i="5"/>
  <c r="BB94" i="5"/>
  <c r="BB102" i="5"/>
  <c r="BB110" i="5"/>
  <c r="BB118" i="5"/>
  <c r="BB68" i="5"/>
  <c r="BB77" i="5"/>
  <c r="BB86" i="5"/>
  <c r="BB93" i="5"/>
  <c r="BB101" i="5"/>
  <c r="BB109" i="5"/>
  <c r="BB76" i="5"/>
  <c r="BB92" i="5"/>
  <c r="BB100" i="5"/>
  <c r="BB108" i="5"/>
  <c r="BB116" i="5"/>
  <c r="BB75" i="5"/>
  <c r="BB91" i="5"/>
  <c r="BB99" i="5"/>
  <c r="BB107" i="5"/>
  <c r="BB115" i="5"/>
  <c r="AV119" i="5"/>
  <c r="BK115" i="5"/>
  <c r="BC114" i="5"/>
  <c r="AN107" i="5"/>
  <c r="BB105" i="5"/>
  <c r="AU98" i="5"/>
  <c r="BD91" i="5"/>
  <c r="BG13" i="5"/>
  <c r="BG12" i="5"/>
  <c r="BG20" i="5"/>
  <c r="BG28" i="5"/>
  <c r="BG11" i="5"/>
  <c r="BG19" i="5"/>
  <c r="BG27" i="5"/>
  <c r="BG10" i="5"/>
  <c r="BG18" i="5"/>
  <c r="BG9" i="5"/>
  <c r="BG17" i="5"/>
  <c r="BG16" i="5"/>
  <c r="BG24" i="5"/>
  <c r="BG15" i="5"/>
  <c r="BG23" i="5"/>
  <c r="BG31" i="5"/>
  <c r="BG39" i="5"/>
  <c r="BG26" i="5"/>
  <c r="BG30" i="5"/>
  <c r="BG37" i="5"/>
  <c r="BG45" i="5"/>
  <c r="BG25" i="5"/>
  <c r="BG29" i="5"/>
  <c r="BG36" i="5"/>
  <c r="BG44" i="5"/>
  <c r="BG22" i="5"/>
  <c r="BG35" i="5"/>
  <c r="BG14" i="5"/>
  <c r="BG21" i="5"/>
  <c r="BG34" i="5"/>
  <c r="BG33" i="5"/>
  <c r="BG32" i="5"/>
  <c r="BG47" i="5"/>
  <c r="BG49" i="5"/>
  <c r="BG57" i="5"/>
  <c r="BG56" i="5"/>
  <c r="BG55" i="5"/>
  <c r="BG63" i="5"/>
  <c r="BG43" i="5"/>
  <c r="BG48" i="5"/>
  <c r="BG38" i="5"/>
  <c r="BG41" i="5"/>
  <c r="BG53" i="5"/>
  <c r="BG61" i="5"/>
  <c r="BG54" i="5"/>
  <c r="BG68" i="5"/>
  <c r="BG42" i="5"/>
  <c r="BG52" i="5"/>
  <c r="BG67" i="5"/>
  <c r="BG51" i="5"/>
  <c r="BG66" i="5"/>
  <c r="BG50" i="5"/>
  <c r="BG65" i="5"/>
  <c r="BG40" i="5"/>
  <c r="BG46" i="5"/>
  <c r="BG64" i="5"/>
  <c r="BG72" i="5"/>
  <c r="BG60" i="5"/>
  <c r="BG62" i="5"/>
  <c r="BG69" i="5"/>
  <c r="BG79" i="5"/>
  <c r="BG78" i="5"/>
  <c r="BG86" i="5"/>
  <c r="BG77" i="5"/>
  <c r="BG85" i="5"/>
  <c r="BG59" i="5"/>
  <c r="BG76" i="5"/>
  <c r="BG84" i="5"/>
  <c r="BG83" i="5"/>
  <c r="BG91" i="5"/>
  <c r="BG99" i="5"/>
  <c r="BG107" i="5"/>
  <c r="BG115" i="5"/>
  <c r="BG82" i="5"/>
  <c r="BG89" i="5"/>
  <c r="BG98" i="5"/>
  <c r="BG106" i="5"/>
  <c r="BG58" i="5"/>
  <c r="BG71" i="5"/>
  <c r="BG81" i="5"/>
  <c r="BG97" i="5"/>
  <c r="BG105" i="5"/>
  <c r="BG113" i="5"/>
  <c r="BG70" i="5"/>
  <c r="BG73" i="5"/>
  <c r="BG80" i="5"/>
  <c r="BG87" i="5"/>
  <c r="BG96" i="5"/>
  <c r="BG104" i="5"/>
  <c r="BG112" i="5"/>
  <c r="AQ13" i="5"/>
  <c r="AQ21" i="5"/>
  <c r="AQ12" i="5"/>
  <c r="AQ20" i="5"/>
  <c r="AQ28" i="5"/>
  <c r="AQ11" i="5"/>
  <c r="AQ19" i="5"/>
  <c r="AQ27" i="5"/>
  <c r="AQ10" i="5"/>
  <c r="AQ18" i="5"/>
  <c r="AQ9" i="5"/>
  <c r="AQ17" i="5"/>
  <c r="AQ16" i="5"/>
  <c r="AQ24" i="5"/>
  <c r="AQ15" i="5"/>
  <c r="AQ23" i="5"/>
  <c r="AQ31" i="5"/>
  <c r="AQ39" i="5"/>
  <c r="AQ29" i="5"/>
  <c r="AQ26" i="5"/>
  <c r="AQ37" i="5"/>
  <c r="AQ45" i="5"/>
  <c r="AQ14" i="5"/>
  <c r="AQ25" i="5"/>
  <c r="AQ36" i="5"/>
  <c r="AQ44" i="5"/>
  <c r="AQ22" i="5"/>
  <c r="AQ35" i="5"/>
  <c r="AQ30" i="5"/>
  <c r="AQ34" i="5"/>
  <c r="AQ33" i="5"/>
  <c r="AQ32" i="5"/>
  <c r="AQ38" i="5"/>
  <c r="AQ49" i="5"/>
  <c r="AQ57" i="5"/>
  <c r="AQ56" i="5"/>
  <c r="AQ47" i="5"/>
  <c r="AQ55" i="5"/>
  <c r="AQ63" i="5"/>
  <c r="AQ41" i="5"/>
  <c r="AQ42" i="5"/>
  <c r="AQ53" i="5"/>
  <c r="AQ61" i="5"/>
  <c r="AQ46" i="5"/>
  <c r="AQ54" i="5"/>
  <c r="AQ68" i="5"/>
  <c r="AQ40" i="5"/>
  <c r="AQ52" i="5"/>
  <c r="AQ67" i="5"/>
  <c r="AQ51" i="5"/>
  <c r="AQ62" i="5"/>
  <c r="AQ66" i="5"/>
  <c r="AQ48" i="5"/>
  <c r="AQ50" i="5"/>
  <c r="AQ65" i="5"/>
  <c r="AQ64" i="5"/>
  <c r="AQ72" i="5"/>
  <c r="AQ59" i="5"/>
  <c r="AQ69" i="5"/>
  <c r="AQ79" i="5"/>
  <c r="AQ87" i="5"/>
  <c r="AQ43" i="5"/>
  <c r="AQ78" i="5"/>
  <c r="AQ86" i="5"/>
  <c r="AQ74" i="5"/>
  <c r="AQ77" i="5"/>
  <c r="AQ85" i="5"/>
  <c r="AQ58" i="5"/>
  <c r="AQ76" i="5"/>
  <c r="AQ84" i="5"/>
  <c r="AQ83" i="5"/>
  <c r="AQ88" i="5"/>
  <c r="AQ99" i="5"/>
  <c r="AQ107" i="5"/>
  <c r="AQ115" i="5"/>
  <c r="AQ82" i="5"/>
  <c r="AQ91" i="5"/>
  <c r="AQ98" i="5"/>
  <c r="AQ106" i="5"/>
  <c r="AQ81" i="5"/>
  <c r="AQ97" i="5"/>
  <c r="AQ105" i="5"/>
  <c r="AQ113" i="5"/>
  <c r="AQ80" i="5"/>
  <c r="AQ89" i="5"/>
  <c r="AQ96" i="5"/>
  <c r="AQ104" i="5"/>
  <c r="AQ112" i="5"/>
  <c r="BC120" i="5"/>
  <c r="BG117" i="5"/>
  <c r="AN116" i="5"/>
  <c r="AR115" i="5"/>
  <c r="BC113" i="5"/>
  <c r="BO111" i="5"/>
  <c r="AZ110" i="5"/>
  <c r="AY109" i="5"/>
  <c r="BK105" i="5"/>
  <c r="BJ104" i="5"/>
  <c r="AR102" i="5"/>
  <c r="AQ101" i="5"/>
  <c r="AN98" i="5"/>
  <c r="BQ95" i="5"/>
  <c r="BP94" i="5"/>
  <c r="BO93" i="5"/>
  <c r="BI90" i="5"/>
  <c r="AQ90" i="5"/>
  <c r="BP88" i="5"/>
  <c r="BB85" i="5"/>
  <c r="BB84" i="5"/>
  <c r="AY81" i="5"/>
  <c r="BN12" i="5"/>
  <c r="BN20" i="5"/>
  <c r="BN11" i="5"/>
  <c r="BN19" i="5"/>
  <c r="BN27" i="5"/>
  <c r="BN10" i="5"/>
  <c r="BN18" i="5"/>
  <c r="BN26" i="5"/>
  <c r="BN9" i="5"/>
  <c r="BN17" i="5"/>
  <c r="BN16" i="5"/>
  <c r="BN15" i="5"/>
  <c r="BN23" i="5"/>
  <c r="BN14" i="5"/>
  <c r="BN22" i="5"/>
  <c r="BN21" i="5"/>
  <c r="BN30" i="5"/>
  <c r="BN38" i="5"/>
  <c r="BN13" i="5"/>
  <c r="BN36" i="5"/>
  <c r="BN44" i="5"/>
  <c r="BN35" i="5"/>
  <c r="BN43" i="5"/>
  <c r="BN34" i="5"/>
  <c r="BN28" i="5"/>
  <c r="BN33" i="5"/>
  <c r="BN41" i="5"/>
  <c r="BN25" i="5"/>
  <c r="BN32" i="5"/>
  <c r="BN24" i="5"/>
  <c r="BN29" i="5"/>
  <c r="BN31" i="5"/>
  <c r="BN40" i="5"/>
  <c r="BN45" i="5"/>
  <c r="BN56" i="5"/>
  <c r="BN39" i="5"/>
  <c r="BN48" i="5"/>
  <c r="BN55" i="5"/>
  <c r="BN42" i="5"/>
  <c r="BN54" i="5"/>
  <c r="BN62" i="5"/>
  <c r="BN46" i="5"/>
  <c r="BN52" i="5"/>
  <c r="BN60" i="5"/>
  <c r="BN67" i="5"/>
  <c r="BN47" i="5"/>
  <c r="BN59" i="5"/>
  <c r="BN66" i="5"/>
  <c r="BN37" i="5"/>
  <c r="BN58" i="5"/>
  <c r="BN65" i="5"/>
  <c r="BN57" i="5"/>
  <c r="BN64" i="5"/>
  <c r="BN53" i="5"/>
  <c r="BN61" i="5"/>
  <c r="BN63" i="5"/>
  <c r="BN71" i="5"/>
  <c r="BN50" i="5"/>
  <c r="BN78" i="5"/>
  <c r="BN86" i="5"/>
  <c r="BN72" i="5"/>
  <c r="BN77" i="5"/>
  <c r="BN85" i="5"/>
  <c r="BN70" i="5"/>
  <c r="BN76" i="5"/>
  <c r="BN84" i="5"/>
  <c r="BN49" i="5"/>
  <c r="BN69" i="5"/>
  <c r="BN75" i="5"/>
  <c r="BN83" i="5"/>
  <c r="BN74" i="5"/>
  <c r="BN98" i="5"/>
  <c r="BN106" i="5"/>
  <c r="BN114" i="5"/>
  <c r="BN87" i="5"/>
  <c r="BN97" i="5"/>
  <c r="BN105" i="5"/>
  <c r="BN90" i="5"/>
  <c r="BN96" i="5"/>
  <c r="BN104" i="5"/>
  <c r="BN112" i="5"/>
  <c r="BN95" i="5"/>
  <c r="BN103" i="5"/>
  <c r="BN111" i="5"/>
  <c r="BF12" i="5"/>
  <c r="BF20" i="5"/>
  <c r="BF11" i="5"/>
  <c r="BF19" i="5"/>
  <c r="BF27" i="5"/>
  <c r="BF10" i="5"/>
  <c r="BF18" i="5"/>
  <c r="BF26" i="5"/>
  <c r="BF9" i="5"/>
  <c r="BF17" i="5"/>
  <c r="BF16" i="5"/>
  <c r="BF15" i="5"/>
  <c r="BF23" i="5"/>
  <c r="BF14" i="5"/>
  <c r="BF22" i="5"/>
  <c r="BF38" i="5"/>
  <c r="BF13" i="5"/>
  <c r="BF28" i="5"/>
  <c r="BF30" i="5"/>
  <c r="BF25" i="5"/>
  <c r="BF29" i="5"/>
  <c r="BF36" i="5"/>
  <c r="BF44" i="5"/>
  <c r="BF24" i="5"/>
  <c r="BF35" i="5"/>
  <c r="BF43" i="5"/>
  <c r="BF21" i="5"/>
  <c r="BF34" i="5"/>
  <c r="BF33" i="5"/>
  <c r="BF41" i="5"/>
  <c r="BF32" i="5"/>
  <c r="BF31" i="5"/>
  <c r="BF56" i="5"/>
  <c r="BF55" i="5"/>
  <c r="BF45" i="5"/>
  <c r="BF48" i="5"/>
  <c r="BF54" i="5"/>
  <c r="BF62" i="5"/>
  <c r="BF40" i="5"/>
  <c r="BF46" i="5"/>
  <c r="BF52" i="5"/>
  <c r="BF60" i="5"/>
  <c r="BF42" i="5"/>
  <c r="BF53" i="5"/>
  <c r="BF67" i="5"/>
  <c r="BF37" i="5"/>
  <c r="BF51" i="5"/>
  <c r="BF66" i="5"/>
  <c r="BF74" i="5"/>
  <c r="BF50" i="5"/>
  <c r="BF65" i="5"/>
  <c r="BF64" i="5"/>
  <c r="BF49" i="5"/>
  <c r="BF71" i="5"/>
  <c r="BF57" i="5"/>
  <c r="BF63" i="5"/>
  <c r="BF68" i="5"/>
  <c r="BF78" i="5"/>
  <c r="BF86" i="5"/>
  <c r="BF39" i="5"/>
  <c r="BF77" i="5"/>
  <c r="BF85" i="5"/>
  <c r="BF47" i="5"/>
  <c r="BF59" i="5"/>
  <c r="BF76" i="5"/>
  <c r="BF84" i="5"/>
  <c r="BF75" i="5"/>
  <c r="BF83" i="5"/>
  <c r="BF82" i="5"/>
  <c r="BF89" i="5"/>
  <c r="BF98" i="5"/>
  <c r="BF106" i="5"/>
  <c r="BF114" i="5"/>
  <c r="BF58" i="5"/>
  <c r="BF72" i="5"/>
  <c r="BF81" i="5"/>
  <c r="BF97" i="5"/>
  <c r="BF105" i="5"/>
  <c r="BF70" i="5"/>
  <c r="BF73" i="5"/>
  <c r="BF80" i="5"/>
  <c r="BF87" i="5"/>
  <c r="BF96" i="5"/>
  <c r="BF104" i="5"/>
  <c r="BF112" i="5"/>
  <c r="BF61" i="5"/>
  <c r="BF69" i="5"/>
  <c r="BF79" i="5"/>
  <c r="BF90" i="5"/>
  <c r="BF95" i="5"/>
  <c r="BF103" i="5"/>
  <c r="BF111" i="5"/>
  <c r="AX12" i="5"/>
  <c r="AX20" i="5"/>
  <c r="AX11" i="5"/>
  <c r="AX19" i="5"/>
  <c r="AX27" i="5"/>
  <c r="AX10" i="5"/>
  <c r="AX18" i="5"/>
  <c r="AX26" i="5"/>
  <c r="AX9" i="5"/>
  <c r="AX17" i="5"/>
  <c r="AX16" i="5"/>
  <c r="AX15" i="5"/>
  <c r="AX23" i="5"/>
  <c r="AX14" i="5"/>
  <c r="AX22" i="5"/>
  <c r="AX13" i="5"/>
  <c r="AX21" i="5"/>
  <c r="AX38" i="5"/>
  <c r="AX30" i="5"/>
  <c r="AX36" i="5"/>
  <c r="AX44" i="5"/>
  <c r="AX35" i="5"/>
  <c r="AX43" i="5"/>
  <c r="AX34" i="5"/>
  <c r="AX28" i="5"/>
  <c r="AX29" i="5"/>
  <c r="AX33" i="5"/>
  <c r="AX41" i="5"/>
  <c r="AX25" i="5"/>
  <c r="AX32" i="5"/>
  <c r="AX24" i="5"/>
  <c r="AX31" i="5"/>
  <c r="AX39" i="5"/>
  <c r="AX40" i="5"/>
  <c r="AX42" i="5"/>
  <c r="AX47" i="5"/>
  <c r="AX56" i="5"/>
  <c r="AX55" i="5"/>
  <c r="AX54" i="5"/>
  <c r="AX62" i="5"/>
  <c r="AX48" i="5"/>
  <c r="AX45" i="5"/>
  <c r="AX52" i="5"/>
  <c r="AX60" i="5"/>
  <c r="AX37" i="5"/>
  <c r="AX67" i="5"/>
  <c r="AX46" i="5"/>
  <c r="AX49" i="5"/>
  <c r="AX59" i="5"/>
  <c r="AX61" i="5"/>
  <c r="AX66" i="5"/>
  <c r="AX74" i="5"/>
  <c r="AX58" i="5"/>
  <c r="AX65" i="5"/>
  <c r="AX73" i="5"/>
  <c r="AX57" i="5"/>
  <c r="AX64" i="5"/>
  <c r="AX53" i="5"/>
  <c r="AX71" i="5"/>
  <c r="AX78" i="5"/>
  <c r="AX86" i="5"/>
  <c r="AX72" i="5"/>
  <c r="AX77" i="5"/>
  <c r="AX85" i="5"/>
  <c r="AX51" i="5"/>
  <c r="AX70" i="5"/>
  <c r="AX76" i="5"/>
  <c r="AX84" i="5"/>
  <c r="AX69" i="5"/>
  <c r="AX75" i="5"/>
  <c r="AX83" i="5"/>
  <c r="AX68" i="5"/>
  <c r="AX98" i="5"/>
  <c r="AX106" i="5"/>
  <c r="AX114" i="5"/>
  <c r="AX50" i="5"/>
  <c r="AX89" i="5"/>
  <c r="AX97" i="5"/>
  <c r="AX105" i="5"/>
  <c r="AX96" i="5"/>
  <c r="AX104" i="5"/>
  <c r="AX112" i="5"/>
  <c r="AX120" i="5"/>
  <c r="AX63" i="5"/>
  <c r="AX87" i="5"/>
  <c r="AX95" i="5"/>
  <c r="AX103" i="5"/>
  <c r="AX111" i="5"/>
  <c r="AP12" i="5"/>
  <c r="AP20" i="5"/>
  <c r="AP11" i="5"/>
  <c r="AP19" i="5"/>
  <c r="AP27" i="5"/>
  <c r="AP10" i="5"/>
  <c r="AP18" i="5"/>
  <c r="AP26" i="5"/>
  <c r="AP9" i="5"/>
  <c r="AP17" i="5"/>
  <c r="AP16" i="5"/>
  <c r="AP15" i="5"/>
  <c r="AP23" i="5"/>
  <c r="AP14" i="5"/>
  <c r="AP22" i="5"/>
  <c r="AP29" i="5"/>
  <c r="AP38" i="5"/>
  <c r="AP28" i="5"/>
  <c r="AP25" i="5"/>
  <c r="AP36" i="5"/>
  <c r="AP44" i="5"/>
  <c r="AP24" i="5"/>
  <c r="AP35" i="5"/>
  <c r="AP43" i="5"/>
  <c r="AP30" i="5"/>
  <c r="AP34" i="5"/>
  <c r="AP21" i="5"/>
  <c r="AP33" i="5"/>
  <c r="AP41" i="5"/>
  <c r="AP32" i="5"/>
  <c r="AP13" i="5"/>
  <c r="AP31" i="5"/>
  <c r="AP39" i="5"/>
  <c r="AP56" i="5"/>
  <c r="AP47" i="5"/>
  <c r="AP55" i="5"/>
  <c r="AP54" i="5"/>
  <c r="AP62" i="5"/>
  <c r="AP42" i="5"/>
  <c r="AP37" i="5"/>
  <c r="AP40" i="5"/>
  <c r="AP48" i="5"/>
  <c r="AP52" i="5"/>
  <c r="AP60" i="5"/>
  <c r="AP53" i="5"/>
  <c r="AP67" i="5"/>
  <c r="AP51" i="5"/>
  <c r="AP63" i="5"/>
  <c r="AP66" i="5"/>
  <c r="AP74" i="5"/>
  <c r="AP50" i="5"/>
  <c r="AP65" i="5"/>
  <c r="AP73" i="5"/>
  <c r="AP64" i="5"/>
  <c r="AP61" i="5"/>
  <c r="AP71" i="5"/>
  <c r="AP45" i="5"/>
  <c r="AP68" i="5"/>
  <c r="AP78" i="5"/>
  <c r="AP86" i="5"/>
  <c r="AP77" i="5"/>
  <c r="AP85" i="5"/>
  <c r="AP58" i="5"/>
  <c r="AP76" i="5"/>
  <c r="AP84" i="5"/>
  <c r="AP75" i="5"/>
  <c r="AP83" i="5"/>
  <c r="AP46" i="5"/>
  <c r="AP82" i="5"/>
  <c r="AP91" i="5"/>
  <c r="AP98" i="5"/>
  <c r="AP106" i="5"/>
  <c r="AP114" i="5"/>
  <c r="AP81" i="5"/>
  <c r="AP97" i="5"/>
  <c r="AP105" i="5"/>
  <c r="AP80" i="5"/>
  <c r="AP89" i="5"/>
  <c r="AP96" i="5"/>
  <c r="AP104" i="5"/>
  <c r="AP112" i="5"/>
  <c r="AP120" i="5"/>
  <c r="AP59" i="5"/>
  <c r="AP79" i="5"/>
  <c r="AP95" i="5"/>
  <c r="AP103" i="5"/>
  <c r="AP111" i="5"/>
  <c r="BL8" i="5"/>
  <c r="BD8" i="5"/>
  <c r="AV8" i="5"/>
  <c r="AN8" i="5"/>
  <c r="BJ120" i="5"/>
  <c r="BB120" i="5"/>
  <c r="AR120" i="5"/>
  <c r="BL119" i="5"/>
  <c r="BA119" i="5"/>
  <c r="AQ119" i="5"/>
  <c r="BK118" i="5"/>
  <c r="AZ118" i="5"/>
  <c r="BF117" i="5"/>
  <c r="AR117" i="5"/>
  <c r="BL116" i="5"/>
  <c r="AX116" i="5"/>
  <c r="BP115" i="5"/>
  <c r="BD115" i="5"/>
  <c r="AP115" i="5"/>
  <c r="BJ114" i="5"/>
  <c r="AV114" i="5"/>
  <c r="BN113" i="5"/>
  <c r="BB113" i="5"/>
  <c r="AN113" i="5"/>
  <c r="BH112" i="5"/>
  <c r="AT112" i="5"/>
  <c r="BL111" i="5"/>
  <c r="AZ111" i="5"/>
  <c r="BO110" i="5"/>
  <c r="AY110" i="5"/>
  <c r="BN109" i="5"/>
  <c r="AX109" i="5"/>
  <c r="BM108" i="5"/>
  <c r="AW108" i="5"/>
  <c r="BL107" i="5"/>
  <c r="AV107" i="5"/>
  <c r="BK106" i="5"/>
  <c r="AU106" i="5"/>
  <c r="BJ105" i="5"/>
  <c r="AT105" i="5"/>
  <c r="BI104" i="5"/>
  <c r="AS104" i="5"/>
  <c r="BH103" i="5"/>
  <c r="AR103" i="5"/>
  <c r="BG102" i="5"/>
  <c r="AQ102" i="5"/>
  <c r="BF101" i="5"/>
  <c r="AP101" i="5"/>
  <c r="AO100" i="5"/>
  <c r="BD99" i="5"/>
  <c r="AN99" i="5"/>
  <c r="BB97" i="5"/>
  <c r="BQ96" i="5"/>
  <c r="BA96" i="5"/>
  <c r="BP95" i="5"/>
  <c r="AZ95" i="5"/>
  <c r="BO94" i="5"/>
  <c r="AY94" i="5"/>
  <c r="BN93" i="5"/>
  <c r="AX93" i="5"/>
  <c r="AW92" i="5"/>
  <c r="BL91" i="5"/>
  <c r="AU91" i="5"/>
  <c r="BH90" i="5"/>
  <c r="AP90" i="5"/>
  <c r="BB89" i="5"/>
  <c r="BO88" i="5"/>
  <c r="AW88" i="5"/>
  <c r="AU86" i="5"/>
  <c r="BA85" i="5"/>
  <c r="BA84" i="5"/>
  <c r="AZ83" i="5"/>
  <c r="AX81" i="5"/>
  <c r="AV79" i="5"/>
  <c r="AU78" i="5"/>
  <c r="AT77" i="5"/>
  <c r="AS76" i="5"/>
  <c r="AR75" i="5"/>
  <c r="AP72" i="5"/>
  <c r="BQ67" i="5"/>
  <c r="BA65" i="5"/>
  <c r="AV62" i="5"/>
  <c r="AP57" i="5"/>
  <c r="BN51" i="5"/>
  <c r="AR44" i="5"/>
  <c r="AN10" i="5"/>
  <c r="AN18" i="5"/>
  <c r="AN9" i="5"/>
  <c r="AN17" i="5"/>
  <c r="AN25" i="5"/>
  <c r="AN16" i="5"/>
  <c r="AN24" i="5"/>
  <c r="AN15" i="5"/>
  <c r="AN14" i="5"/>
  <c r="AN13" i="5"/>
  <c r="AN21" i="5"/>
  <c r="AN29" i="5"/>
  <c r="AN12" i="5"/>
  <c r="AN20" i="5"/>
  <c r="AN28" i="5"/>
  <c r="AN27" i="5"/>
  <c r="AN36" i="5"/>
  <c r="AN26" i="5"/>
  <c r="AN35" i="5"/>
  <c r="AN23" i="5"/>
  <c r="AN34" i="5"/>
  <c r="AN42" i="5"/>
  <c r="AN22" i="5"/>
  <c r="AN30" i="5"/>
  <c r="AN33" i="5"/>
  <c r="AN41" i="5"/>
  <c r="AN32" i="5"/>
  <c r="AN31" i="5"/>
  <c r="AN39" i="5"/>
  <c r="AN19" i="5"/>
  <c r="AN38" i="5"/>
  <c r="AN11" i="5"/>
  <c r="AN37" i="5"/>
  <c r="AN54" i="5"/>
  <c r="AN53" i="5"/>
  <c r="AN61" i="5"/>
  <c r="AN48" i="5"/>
  <c r="AN52" i="5"/>
  <c r="AN60" i="5"/>
  <c r="AN40" i="5"/>
  <c r="AN45" i="5"/>
  <c r="AN46" i="5"/>
  <c r="AN50" i="5"/>
  <c r="AN58" i="5"/>
  <c r="AN51" i="5"/>
  <c r="AN62" i="5"/>
  <c r="AN65" i="5"/>
  <c r="AN73" i="5"/>
  <c r="AN47" i="5"/>
  <c r="AN64" i="5"/>
  <c r="AN72" i="5"/>
  <c r="AN71" i="5"/>
  <c r="AN43" i="5"/>
  <c r="AN44" i="5"/>
  <c r="AN49" i="5"/>
  <c r="AN59" i="5"/>
  <c r="AN69" i="5"/>
  <c r="AN67" i="5"/>
  <c r="AN76" i="5"/>
  <c r="AN84" i="5"/>
  <c r="AN55" i="5"/>
  <c r="AN74" i="5"/>
  <c r="AN75" i="5"/>
  <c r="AN83" i="5"/>
  <c r="AN82" i="5"/>
  <c r="AN90" i="5"/>
  <c r="AN57" i="5"/>
  <c r="AN81" i="5"/>
  <c r="AN63" i="5"/>
  <c r="AN80" i="5"/>
  <c r="AN89" i="5"/>
  <c r="AN96" i="5"/>
  <c r="AN104" i="5"/>
  <c r="AN112" i="5"/>
  <c r="AN120" i="5"/>
  <c r="AN66" i="5"/>
  <c r="AN79" i="5"/>
  <c r="AN86" i="5"/>
  <c r="AN95" i="5"/>
  <c r="AN103" i="5"/>
  <c r="AN111" i="5"/>
  <c r="AN56" i="5"/>
  <c r="AN78" i="5"/>
  <c r="AN94" i="5"/>
  <c r="AN102" i="5"/>
  <c r="AN110" i="5"/>
  <c r="AN118" i="5"/>
  <c r="AN77" i="5"/>
  <c r="AN93" i="5"/>
  <c r="AN101" i="5"/>
  <c r="AN109" i="5"/>
  <c r="AN117" i="5"/>
  <c r="AN91" i="5"/>
  <c r="AN85" i="5"/>
  <c r="BC9" i="5"/>
  <c r="BC17" i="5"/>
  <c r="BC16" i="5"/>
  <c r="BC24" i="5"/>
  <c r="BC15" i="5"/>
  <c r="BC23" i="5"/>
  <c r="BC14" i="5"/>
  <c r="BC13" i="5"/>
  <c r="BC12" i="5"/>
  <c r="BC20" i="5"/>
  <c r="BC28" i="5"/>
  <c r="BC11" i="5"/>
  <c r="BC19" i="5"/>
  <c r="BC27" i="5"/>
  <c r="BC26" i="5"/>
  <c r="BC35" i="5"/>
  <c r="BC25" i="5"/>
  <c r="BC29" i="5"/>
  <c r="BC34" i="5"/>
  <c r="BC22" i="5"/>
  <c r="BC33" i="5"/>
  <c r="BC41" i="5"/>
  <c r="BC21" i="5"/>
  <c r="BC32" i="5"/>
  <c r="BC40" i="5"/>
  <c r="BC18" i="5"/>
  <c r="BC31" i="5"/>
  <c r="BC10" i="5"/>
  <c r="BC38" i="5"/>
  <c r="BC30" i="5"/>
  <c r="BC37" i="5"/>
  <c r="BC36" i="5"/>
  <c r="BC44" i="5"/>
  <c r="BC53" i="5"/>
  <c r="BC43" i="5"/>
  <c r="BC46" i="5"/>
  <c r="BC52" i="5"/>
  <c r="BC60" i="5"/>
  <c r="BC51" i="5"/>
  <c r="BC59" i="5"/>
  <c r="BC39" i="5"/>
  <c r="BC42" i="5"/>
  <c r="BC47" i="5"/>
  <c r="BC49" i="5"/>
  <c r="BC57" i="5"/>
  <c r="BC48" i="5"/>
  <c r="BC50" i="5"/>
  <c r="BC64" i="5"/>
  <c r="BC72" i="5"/>
  <c r="BC71" i="5"/>
  <c r="BC45" i="5"/>
  <c r="BC63" i="5"/>
  <c r="BC70" i="5"/>
  <c r="BC62" i="5"/>
  <c r="BC58" i="5"/>
  <c r="BC68" i="5"/>
  <c r="BC56" i="5"/>
  <c r="BC75" i="5"/>
  <c r="BC83" i="5"/>
  <c r="BC82" i="5"/>
  <c r="BC66" i="5"/>
  <c r="BC81" i="5"/>
  <c r="BC89" i="5"/>
  <c r="BC55" i="5"/>
  <c r="BC80" i="5"/>
  <c r="BC79" i="5"/>
  <c r="BC95" i="5"/>
  <c r="BC103" i="5"/>
  <c r="BC111" i="5"/>
  <c r="BC119" i="5"/>
  <c r="BC69" i="5"/>
  <c r="BC73" i="5"/>
  <c r="BC78" i="5"/>
  <c r="BC90" i="5"/>
  <c r="BC94" i="5"/>
  <c r="BC102" i="5"/>
  <c r="BC110" i="5"/>
  <c r="BC61" i="5"/>
  <c r="BC67" i="5"/>
  <c r="BC77" i="5"/>
  <c r="BC86" i="5"/>
  <c r="BC88" i="5"/>
  <c r="BC93" i="5"/>
  <c r="BC101" i="5"/>
  <c r="BC109" i="5"/>
  <c r="BC117" i="5"/>
  <c r="BC76" i="5"/>
  <c r="BC92" i="5"/>
  <c r="BC100" i="5"/>
  <c r="BC108" i="5"/>
  <c r="BC116" i="5"/>
  <c r="BL115" i="5"/>
  <c r="BD114" i="5"/>
  <c r="AV113" i="5"/>
  <c r="BK97" i="5"/>
  <c r="BL78" i="5"/>
  <c r="BC54" i="5"/>
  <c r="BJ16" i="5"/>
  <c r="BJ15" i="5"/>
  <c r="BJ23" i="5"/>
  <c r="BJ14" i="5"/>
  <c r="BJ22" i="5"/>
  <c r="BJ30" i="5"/>
  <c r="BJ13" i="5"/>
  <c r="BJ12" i="5"/>
  <c r="BJ11" i="5"/>
  <c r="BJ19" i="5"/>
  <c r="BJ27" i="5"/>
  <c r="BJ10" i="5"/>
  <c r="BJ18" i="5"/>
  <c r="BJ26" i="5"/>
  <c r="BJ34" i="5"/>
  <c r="BJ42" i="5"/>
  <c r="BJ17" i="5"/>
  <c r="BJ20" i="5"/>
  <c r="BJ33" i="5"/>
  <c r="BJ9" i="5"/>
  <c r="BJ32" i="5"/>
  <c r="BJ40" i="5"/>
  <c r="BJ48" i="5"/>
  <c r="BJ28" i="5"/>
  <c r="BJ31" i="5"/>
  <c r="BJ39" i="5"/>
  <c r="BJ25" i="5"/>
  <c r="BJ38" i="5"/>
  <c r="BJ24" i="5"/>
  <c r="BJ29" i="5"/>
  <c r="BJ37" i="5"/>
  <c r="BJ21" i="5"/>
  <c r="BJ36" i="5"/>
  <c r="BJ35" i="5"/>
  <c r="BJ52" i="5"/>
  <c r="BJ60" i="5"/>
  <c r="BJ51" i="5"/>
  <c r="BJ59" i="5"/>
  <c r="BJ47" i="5"/>
  <c r="BJ50" i="5"/>
  <c r="BJ58" i="5"/>
  <c r="BJ49" i="5"/>
  <c r="BJ45" i="5"/>
  <c r="BJ56" i="5"/>
  <c r="BJ57" i="5"/>
  <c r="BJ62" i="5"/>
  <c r="BJ63" i="5"/>
  <c r="BJ71" i="5"/>
  <c r="BJ55" i="5"/>
  <c r="BJ61" i="5"/>
  <c r="BJ70" i="5"/>
  <c r="BJ43" i="5"/>
  <c r="BJ44" i="5"/>
  <c r="BJ54" i="5"/>
  <c r="BJ69" i="5"/>
  <c r="BJ41" i="5"/>
  <c r="BJ53" i="5"/>
  <c r="BJ67" i="5"/>
  <c r="BJ72" i="5"/>
  <c r="BJ82" i="5"/>
  <c r="BJ65" i="5"/>
  <c r="BJ68" i="5"/>
  <c r="BJ74" i="5"/>
  <c r="BJ81" i="5"/>
  <c r="BJ73" i="5"/>
  <c r="BJ80" i="5"/>
  <c r="BJ88" i="5"/>
  <c r="BJ79" i="5"/>
  <c r="BJ94" i="5"/>
  <c r="BJ102" i="5"/>
  <c r="BJ110" i="5"/>
  <c r="BJ118" i="5"/>
  <c r="BJ93" i="5"/>
  <c r="BJ101" i="5"/>
  <c r="BJ109" i="5"/>
  <c r="BJ46" i="5"/>
  <c r="BJ64" i="5"/>
  <c r="BJ84" i="5"/>
  <c r="BJ92" i="5"/>
  <c r="BJ100" i="5"/>
  <c r="BJ108" i="5"/>
  <c r="BJ116" i="5"/>
  <c r="BJ83" i="5"/>
  <c r="BJ85" i="5"/>
  <c r="BJ91" i="5"/>
  <c r="BJ99" i="5"/>
  <c r="BJ107" i="5"/>
  <c r="BJ115" i="5"/>
  <c r="BC106" i="5"/>
  <c r="AV99" i="5"/>
  <c r="AT97" i="5"/>
  <c r="AN88" i="5"/>
  <c r="BO13" i="5"/>
  <c r="BO12" i="5"/>
  <c r="BO20" i="5"/>
  <c r="BO28" i="5"/>
  <c r="BO11" i="5"/>
  <c r="BO19" i="5"/>
  <c r="BO27" i="5"/>
  <c r="BO10" i="5"/>
  <c r="BO18" i="5"/>
  <c r="BO9" i="5"/>
  <c r="BO17" i="5"/>
  <c r="BO16" i="5"/>
  <c r="BO24" i="5"/>
  <c r="BO15" i="5"/>
  <c r="BO23" i="5"/>
  <c r="BO22" i="5"/>
  <c r="BO29" i="5"/>
  <c r="BO31" i="5"/>
  <c r="BO39" i="5"/>
  <c r="BO21" i="5"/>
  <c r="BO30" i="5"/>
  <c r="BO37" i="5"/>
  <c r="BO45" i="5"/>
  <c r="BO36" i="5"/>
  <c r="BO44" i="5"/>
  <c r="BO35" i="5"/>
  <c r="BO34" i="5"/>
  <c r="BO14" i="5"/>
  <c r="BO26" i="5"/>
  <c r="BO33" i="5"/>
  <c r="BO25" i="5"/>
  <c r="BO32" i="5"/>
  <c r="BO41" i="5"/>
  <c r="BO49" i="5"/>
  <c r="BO57" i="5"/>
  <c r="BO40" i="5"/>
  <c r="BO43" i="5"/>
  <c r="BO56" i="5"/>
  <c r="BO48" i="5"/>
  <c r="BO55" i="5"/>
  <c r="BO42" i="5"/>
  <c r="BO46" i="5"/>
  <c r="BO53" i="5"/>
  <c r="BO61" i="5"/>
  <c r="BO68" i="5"/>
  <c r="BO60" i="5"/>
  <c r="BO67" i="5"/>
  <c r="BO47" i="5"/>
  <c r="BO59" i="5"/>
  <c r="BO66" i="5"/>
  <c r="BO58" i="5"/>
  <c r="BO65" i="5"/>
  <c r="BO38" i="5"/>
  <c r="BO54" i="5"/>
  <c r="BO62" i="5"/>
  <c r="BO64" i="5"/>
  <c r="BO72" i="5"/>
  <c r="BO79" i="5"/>
  <c r="BO50" i="5"/>
  <c r="BO78" i="5"/>
  <c r="BO86" i="5"/>
  <c r="BO71" i="5"/>
  <c r="BO77" i="5"/>
  <c r="BO85" i="5"/>
  <c r="BO52" i="5"/>
  <c r="BO63" i="5"/>
  <c r="BO70" i="5"/>
  <c r="BO76" i="5"/>
  <c r="BO84" i="5"/>
  <c r="BO75" i="5"/>
  <c r="BO89" i="5"/>
  <c r="BO91" i="5"/>
  <c r="BO99" i="5"/>
  <c r="BO107" i="5"/>
  <c r="BO115" i="5"/>
  <c r="BO74" i="5"/>
  <c r="BO98" i="5"/>
  <c r="BO106" i="5"/>
  <c r="BO87" i="5"/>
  <c r="BO97" i="5"/>
  <c r="BO105" i="5"/>
  <c r="BO113" i="5"/>
  <c r="BO90" i="5"/>
  <c r="BO96" i="5"/>
  <c r="BO104" i="5"/>
  <c r="BO112" i="5"/>
  <c r="AY13" i="5"/>
  <c r="AY12" i="5"/>
  <c r="AY20" i="5"/>
  <c r="AY28" i="5"/>
  <c r="AY11" i="5"/>
  <c r="AY19" i="5"/>
  <c r="AY27" i="5"/>
  <c r="AY10" i="5"/>
  <c r="AY18" i="5"/>
  <c r="AY9" i="5"/>
  <c r="AY17" i="5"/>
  <c r="AY16" i="5"/>
  <c r="AY24" i="5"/>
  <c r="AY15" i="5"/>
  <c r="AY23" i="5"/>
  <c r="AY22" i="5"/>
  <c r="AY31" i="5"/>
  <c r="AY39" i="5"/>
  <c r="AY21" i="5"/>
  <c r="AY37" i="5"/>
  <c r="AY45" i="5"/>
  <c r="AY30" i="5"/>
  <c r="AY36" i="5"/>
  <c r="AY44" i="5"/>
  <c r="AY14" i="5"/>
  <c r="AY35" i="5"/>
  <c r="AY34" i="5"/>
  <c r="AY26" i="5"/>
  <c r="AY29" i="5"/>
  <c r="AY33" i="5"/>
  <c r="AY25" i="5"/>
  <c r="AY32" i="5"/>
  <c r="AY41" i="5"/>
  <c r="AY49" i="5"/>
  <c r="AY57" i="5"/>
  <c r="AY40" i="5"/>
  <c r="AY42" i="5"/>
  <c r="AY47" i="5"/>
  <c r="AY56" i="5"/>
  <c r="AY38" i="5"/>
  <c r="AY55" i="5"/>
  <c r="AY63" i="5"/>
  <c r="AY48" i="5"/>
  <c r="AY53" i="5"/>
  <c r="AY61" i="5"/>
  <c r="AY62" i="5"/>
  <c r="AY68" i="5"/>
  <c r="AY60" i="5"/>
  <c r="AY67" i="5"/>
  <c r="AY46" i="5"/>
  <c r="AY59" i="5"/>
  <c r="AY66" i="5"/>
  <c r="AY58" i="5"/>
  <c r="AY65" i="5"/>
  <c r="AY54" i="5"/>
  <c r="AY64" i="5"/>
  <c r="AY72" i="5"/>
  <c r="AY52" i="5"/>
  <c r="AY74" i="5"/>
  <c r="AY79" i="5"/>
  <c r="AY73" i="5"/>
  <c r="AY78" i="5"/>
  <c r="AY86" i="5"/>
  <c r="AY43" i="5"/>
  <c r="AY71" i="5"/>
  <c r="AY77" i="5"/>
  <c r="AY85" i="5"/>
  <c r="AY51" i="5"/>
  <c r="AY70" i="5"/>
  <c r="AY76" i="5"/>
  <c r="AY84" i="5"/>
  <c r="AY69" i="5"/>
  <c r="AY75" i="5"/>
  <c r="AY91" i="5"/>
  <c r="AY99" i="5"/>
  <c r="AY107" i="5"/>
  <c r="AY115" i="5"/>
  <c r="AY98" i="5"/>
  <c r="AY106" i="5"/>
  <c r="AY50" i="5"/>
  <c r="AY89" i="5"/>
  <c r="AY97" i="5"/>
  <c r="AY105" i="5"/>
  <c r="AY113" i="5"/>
  <c r="AY96" i="5"/>
  <c r="AY104" i="5"/>
  <c r="AY112" i="5"/>
  <c r="BK120" i="5"/>
  <c r="BB119" i="5"/>
  <c r="AT117" i="5"/>
  <c r="AY116" i="5"/>
  <c r="BK114" i="5"/>
  <c r="AU112" i="5"/>
  <c r="BP110" i="5"/>
  <c r="BO109" i="5"/>
  <c r="BL106" i="5"/>
  <c r="AV106" i="5"/>
  <c r="AU105" i="5"/>
  <c r="AT104" i="5"/>
  <c r="BH102" i="5"/>
  <c r="BG101" i="5"/>
  <c r="BD98" i="5"/>
  <c r="BC97" i="5"/>
  <c r="BB96" i="5"/>
  <c r="BA95" i="5"/>
  <c r="AZ94" i="5"/>
  <c r="AY93" i="5"/>
  <c r="AV91" i="5"/>
  <c r="BD89" i="5"/>
  <c r="BK87" i="5"/>
  <c r="AV86" i="5"/>
  <c r="BA83" i="5"/>
  <c r="AZ82" i="5"/>
  <c r="BM11" i="5"/>
  <c r="BM19" i="5"/>
  <c r="BM10" i="5"/>
  <c r="BM18" i="5"/>
  <c r="BM26" i="5"/>
  <c r="BM9" i="5"/>
  <c r="BM17" i="5"/>
  <c r="BM25" i="5"/>
  <c r="BM16" i="5"/>
  <c r="BM15" i="5"/>
  <c r="BM14" i="5"/>
  <c r="BM22" i="5"/>
  <c r="BM13" i="5"/>
  <c r="BM21" i="5"/>
  <c r="BM29" i="5"/>
  <c r="BM37" i="5"/>
  <c r="BM20" i="5"/>
  <c r="BM35" i="5"/>
  <c r="BM43" i="5"/>
  <c r="BM34" i="5"/>
  <c r="BM42" i="5"/>
  <c r="BM28" i="5"/>
  <c r="BM33" i="5"/>
  <c r="BM27" i="5"/>
  <c r="BM32" i="5"/>
  <c r="BM40" i="5"/>
  <c r="BM12" i="5"/>
  <c r="BM24" i="5"/>
  <c r="BM31" i="5"/>
  <c r="BM23" i="5"/>
  <c r="BM30" i="5"/>
  <c r="BM38" i="5"/>
  <c r="BM39" i="5"/>
  <c r="BM44" i="5"/>
  <c r="BM48" i="5"/>
  <c r="BM55" i="5"/>
  <c r="BM54" i="5"/>
  <c r="BM46" i="5"/>
  <c r="BM53" i="5"/>
  <c r="BM61" i="5"/>
  <c r="BM36" i="5"/>
  <c r="BM51" i="5"/>
  <c r="BM59" i="5"/>
  <c r="BM47" i="5"/>
  <c r="BM60" i="5"/>
  <c r="BM66" i="5"/>
  <c r="BM74" i="5"/>
  <c r="BM58" i="5"/>
  <c r="BM65" i="5"/>
  <c r="BM73" i="5"/>
  <c r="BM57" i="5"/>
  <c r="BM64" i="5"/>
  <c r="BM72" i="5"/>
  <c r="BM56" i="5"/>
  <c r="BM62" i="5"/>
  <c r="BM63" i="5"/>
  <c r="BM41" i="5"/>
  <c r="BM52" i="5"/>
  <c r="BM70" i="5"/>
  <c r="BM77" i="5"/>
  <c r="BM85" i="5"/>
  <c r="BM71" i="5"/>
  <c r="BM76" i="5"/>
  <c r="BM84" i="5"/>
  <c r="BM45" i="5"/>
  <c r="BM49" i="5"/>
  <c r="BM69" i="5"/>
  <c r="BM75" i="5"/>
  <c r="BM83" i="5"/>
  <c r="BM68" i="5"/>
  <c r="BM82" i="5"/>
  <c r="BM87" i="5"/>
  <c r="BM97" i="5"/>
  <c r="BM105" i="5"/>
  <c r="BM113" i="5"/>
  <c r="BM86" i="5"/>
  <c r="BM90" i="5"/>
  <c r="BM96" i="5"/>
  <c r="BM104" i="5"/>
  <c r="BM95" i="5"/>
  <c r="BM103" i="5"/>
  <c r="BM111" i="5"/>
  <c r="BM119" i="5"/>
  <c r="BM50" i="5"/>
  <c r="BM88" i="5"/>
  <c r="BM94" i="5"/>
  <c r="BM102" i="5"/>
  <c r="BM110" i="5"/>
  <c r="BE11" i="5"/>
  <c r="BE19" i="5"/>
  <c r="BE10" i="5"/>
  <c r="BE18" i="5"/>
  <c r="BE26" i="5"/>
  <c r="BE9" i="5"/>
  <c r="BE17" i="5"/>
  <c r="BE25" i="5"/>
  <c r="BE16" i="5"/>
  <c r="BE15" i="5"/>
  <c r="BE14" i="5"/>
  <c r="BE22" i="5"/>
  <c r="BE13" i="5"/>
  <c r="BE21" i="5"/>
  <c r="BE29" i="5"/>
  <c r="BE28" i="5"/>
  <c r="BE30" i="5"/>
  <c r="BE37" i="5"/>
  <c r="BE27" i="5"/>
  <c r="BE24" i="5"/>
  <c r="BE35" i="5"/>
  <c r="BE43" i="5"/>
  <c r="BE23" i="5"/>
  <c r="BE34" i="5"/>
  <c r="BE42" i="5"/>
  <c r="BE33" i="5"/>
  <c r="BE12" i="5"/>
  <c r="BE32" i="5"/>
  <c r="BE40" i="5"/>
  <c r="BE31" i="5"/>
  <c r="BE20" i="5"/>
  <c r="BE38" i="5"/>
  <c r="BE55" i="5"/>
  <c r="BE45" i="5"/>
  <c r="BE48" i="5"/>
  <c r="BE54" i="5"/>
  <c r="BE36" i="5"/>
  <c r="BE44" i="5"/>
  <c r="BE53" i="5"/>
  <c r="BE61" i="5"/>
  <c r="BE41" i="5"/>
  <c r="BE46" i="5"/>
  <c r="BE39" i="5"/>
  <c r="BE51" i="5"/>
  <c r="BE59" i="5"/>
  <c r="BE52" i="5"/>
  <c r="BE66" i="5"/>
  <c r="BE74" i="5"/>
  <c r="BE50" i="5"/>
  <c r="BE65" i="5"/>
  <c r="BE73" i="5"/>
  <c r="BE64" i="5"/>
  <c r="BE72" i="5"/>
  <c r="BE49" i="5"/>
  <c r="BE60" i="5"/>
  <c r="BE63" i="5"/>
  <c r="BE70" i="5"/>
  <c r="BE67" i="5"/>
  <c r="BE77" i="5"/>
  <c r="BE85" i="5"/>
  <c r="BE47" i="5"/>
  <c r="BE76" i="5"/>
  <c r="BE84" i="5"/>
  <c r="BE56" i="5"/>
  <c r="BE75" i="5"/>
  <c r="BE83" i="5"/>
  <c r="BE82" i="5"/>
  <c r="BE58" i="5"/>
  <c r="BE81" i="5"/>
  <c r="BE97" i="5"/>
  <c r="BE105" i="5"/>
  <c r="BE113" i="5"/>
  <c r="BE71" i="5"/>
  <c r="BE80" i="5"/>
  <c r="BE87" i="5"/>
  <c r="BE96" i="5"/>
  <c r="BE104" i="5"/>
  <c r="BE69" i="5"/>
  <c r="BE79" i="5"/>
  <c r="BE90" i="5"/>
  <c r="BE95" i="5"/>
  <c r="BE103" i="5"/>
  <c r="BE111" i="5"/>
  <c r="BE119" i="5"/>
  <c r="BE68" i="5"/>
  <c r="BE78" i="5"/>
  <c r="BE94" i="5"/>
  <c r="BE102" i="5"/>
  <c r="BE110" i="5"/>
  <c r="AW11" i="5"/>
  <c r="AW19" i="5"/>
  <c r="AW10" i="5"/>
  <c r="AW18" i="5"/>
  <c r="AW26" i="5"/>
  <c r="AW9" i="5"/>
  <c r="AW17" i="5"/>
  <c r="AW25" i="5"/>
  <c r="AW16" i="5"/>
  <c r="AW15" i="5"/>
  <c r="AW14" i="5"/>
  <c r="AW22" i="5"/>
  <c r="AW30" i="5"/>
  <c r="AW13" i="5"/>
  <c r="AW21" i="5"/>
  <c r="AW29" i="5"/>
  <c r="AW37" i="5"/>
  <c r="AW35" i="5"/>
  <c r="AW43" i="5"/>
  <c r="AW34" i="5"/>
  <c r="AW42" i="5"/>
  <c r="AW12" i="5"/>
  <c r="AW28" i="5"/>
  <c r="AW33" i="5"/>
  <c r="AW20" i="5"/>
  <c r="AW27" i="5"/>
  <c r="AW32" i="5"/>
  <c r="AW40" i="5"/>
  <c r="AW24" i="5"/>
  <c r="AW31" i="5"/>
  <c r="AW23" i="5"/>
  <c r="AW38" i="5"/>
  <c r="AW55" i="5"/>
  <c r="AW36" i="5"/>
  <c r="AW39" i="5"/>
  <c r="AW54" i="5"/>
  <c r="AW48" i="5"/>
  <c r="AW53" i="5"/>
  <c r="AW61" i="5"/>
  <c r="AW45" i="5"/>
  <c r="AW44" i="5"/>
  <c r="AW46" i="5"/>
  <c r="AW51" i="5"/>
  <c r="AW59" i="5"/>
  <c r="AW49" i="5"/>
  <c r="AW60" i="5"/>
  <c r="AW66" i="5"/>
  <c r="AW74" i="5"/>
  <c r="AW41" i="5"/>
  <c r="AW58" i="5"/>
  <c r="AW65" i="5"/>
  <c r="AW73" i="5"/>
  <c r="AW57" i="5"/>
  <c r="AW64" i="5"/>
  <c r="AW72" i="5"/>
  <c r="AW56" i="5"/>
  <c r="AW47" i="5"/>
  <c r="AW52" i="5"/>
  <c r="AW70" i="5"/>
  <c r="AW77" i="5"/>
  <c r="AW85" i="5"/>
  <c r="AW71" i="5"/>
  <c r="AW76" i="5"/>
  <c r="AW84" i="5"/>
  <c r="AW69" i="5"/>
  <c r="AW75" i="5"/>
  <c r="AW83" i="5"/>
  <c r="AW91" i="5"/>
  <c r="AW68" i="5"/>
  <c r="AW82" i="5"/>
  <c r="AW50" i="5"/>
  <c r="AW67" i="5"/>
  <c r="AW89" i="5"/>
  <c r="AW97" i="5"/>
  <c r="AW105" i="5"/>
  <c r="AW113" i="5"/>
  <c r="AW96" i="5"/>
  <c r="AW104" i="5"/>
  <c r="AW63" i="5"/>
  <c r="AW87" i="5"/>
  <c r="AW95" i="5"/>
  <c r="AW103" i="5"/>
  <c r="AW111" i="5"/>
  <c r="AW119" i="5"/>
  <c r="AW90" i="5"/>
  <c r="AW94" i="5"/>
  <c r="AW102" i="5"/>
  <c r="AW110" i="5"/>
  <c r="AW118" i="5"/>
  <c r="AO11" i="5"/>
  <c r="AO19" i="5"/>
  <c r="AO10" i="5"/>
  <c r="AO18" i="5"/>
  <c r="AO26" i="5"/>
  <c r="AO9" i="5"/>
  <c r="AO17" i="5"/>
  <c r="AO25" i="5"/>
  <c r="AO16" i="5"/>
  <c r="AO15" i="5"/>
  <c r="AO14" i="5"/>
  <c r="AO22" i="5"/>
  <c r="AO30" i="5"/>
  <c r="AO13" i="5"/>
  <c r="AO21" i="5"/>
  <c r="AO29" i="5"/>
  <c r="AO28" i="5"/>
  <c r="AO37" i="5"/>
  <c r="AO27" i="5"/>
  <c r="AO24" i="5"/>
  <c r="AO35" i="5"/>
  <c r="AO43" i="5"/>
  <c r="AO12" i="5"/>
  <c r="AO20" i="5"/>
  <c r="AO23" i="5"/>
  <c r="AO34" i="5"/>
  <c r="AO42" i="5"/>
  <c r="AO33" i="5"/>
  <c r="AO32" i="5"/>
  <c r="AO40" i="5"/>
  <c r="AO31" i="5"/>
  <c r="AO38" i="5"/>
  <c r="AO36" i="5"/>
  <c r="AO47" i="5"/>
  <c r="AO55" i="5"/>
  <c r="AO54" i="5"/>
  <c r="AO53" i="5"/>
  <c r="AO61" i="5"/>
  <c r="AO41" i="5"/>
  <c r="AO48" i="5"/>
  <c r="AO51" i="5"/>
  <c r="AO59" i="5"/>
  <c r="AO52" i="5"/>
  <c r="AO63" i="5"/>
  <c r="AO66" i="5"/>
  <c r="AO74" i="5"/>
  <c r="AO50" i="5"/>
  <c r="AO62" i="5"/>
  <c r="AO65" i="5"/>
  <c r="AO73" i="5"/>
  <c r="AO64" i="5"/>
  <c r="AO72" i="5"/>
  <c r="AO60" i="5"/>
  <c r="AO70" i="5"/>
  <c r="AO39" i="5"/>
  <c r="AO77" i="5"/>
  <c r="AO85" i="5"/>
  <c r="AO58" i="5"/>
  <c r="AO67" i="5"/>
  <c r="AO76" i="5"/>
  <c r="AO84" i="5"/>
  <c r="AO75" i="5"/>
  <c r="AO83" i="5"/>
  <c r="AO91" i="5"/>
  <c r="AO46" i="5"/>
  <c r="AO82" i="5"/>
  <c r="AO81" i="5"/>
  <c r="AO97" i="5"/>
  <c r="AO105" i="5"/>
  <c r="AO113" i="5"/>
  <c r="AO80" i="5"/>
  <c r="AO89" i="5"/>
  <c r="AO96" i="5"/>
  <c r="AO104" i="5"/>
  <c r="AO79" i="5"/>
  <c r="AO86" i="5"/>
  <c r="AO95" i="5"/>
  <c r="AO103" i="5"/>
  <c r="AO111" i="5"/>
  <c r="AO119" i="5"/>
  <c r="AO56" i="5"/>
  <c r="AO78" i="5"/>
  <c r="AO94" i="5"/>
  <c r="AO102" i="5"/>
  <c r="AO110" i="5"/>
  <c r="AO118" i="5"/>
  <c r="BK8" i="5"/>
  <c r="BC8" i="5"/>
  <c r="AU8" i="5"/>
  <c r="BQ120" i="5"/>
  <c r="BI120" i="5"/>
  <c r="BA120" i="5"/>
  <c r="AQ120" i="5"/>
  <c r="BJ119" i="5"/>
  <c r="AZ119" i="5"/>
  <c r="AP119" i="5"/>
  <c r="BI118" i="5"/>
  <c r="AY118" i="5"/>
  <c r="BP117" i="5"/>
  <c r="BE117" i="5"/>
  <c r="AQ117" i="5"/>
  <c r="BI116" i="5"/>
  <c r="AW116" i="5"/>
  <c r="BN115" i="5"/>
  <c r="BC115" i="5"/>
  <c r="AO115" i="5"/>
  <c r="BG114" i="5"/>
  <c r="AU114" i="5"/>
  <c r="BL113" i="5"/>
  <c r="BA113" i="5"/>
  <c r="BE112" i="5"/>
  <c r="AS112" i="5"/>
  <c r="BJ111" i="5"/>
  <c r="AY111" i="5"/>
  <c r="BN110" i="5"/>
  <c r="AX110" i="5"/>
  <c r="BM109" i="5"/>
  <c r="AW109" i="5"/>
  <c r="BL108" i="5"/>
  <c r="AV108" i="5"/>
  <c r="BK107" i="5"/>
  <c r="AU107" i="5"/>
  <c r="BJ106" i="5"/>
  <c r="AT106" i="5"/>
  <c r="BI105" i="5"/>
  <c r="AS105" i="5"/>
  <c r="BH104" i="5"/>
  <c r="AR104" i="5"/>
  <c r="BG103" i="5"/>
  <c r="AQ103" i="5"/>
  <c r="BF102" i="5"/>
  <c r="AP102" i="5"/>
  <c r="BE101" i="5"/>
  <c r="AO101" i="5"/>
  <c r="BD100" i="5"/>
  <c r="AN100" i="5"/>
  <c r="BC99" i="5"/>
  <c r="BB98" i="5"/>
  <c r="BQ97" i="5"/>
  <c r="BA97" i="5"/>
  <c r="BP96" i="5"/>
  <c r="AZ96" i="5"/>
  <c r="BO95" i="5"/>
  <c r="AY95" i="5"/>
  <c r="BN94" i="5"/>
  <c r="AX94" i="5"/>
  <c r="BM93" i="5"/>
  <c r="AW93" i="5"/>
  <c r="BL92" i="5"/>
  <c r="AV92" i="5"/>
  <c r="BK91" i="5"/>
  <c r="AT91" i="5"/>
  <c r="BG90" i="5"/>
  <c r="AO90" i="5"/>
  <c r="BA89" i="5"/>
  <c r="BN88" i="5"/>
  <c r="AV88" i="5"/>
  <c r="BH87" i="5"/>
  <c r="AN87" i="5"/>
  <c r="AT86" i="5"/>
  <c r="AZ85" i="5"/>
  <c r="AZ84" i="5"/>
  <c r="AY83" i="5"/>
  <c r="AX82" i="5"/>
  <c r="AW81" i="5"/>
  <c r="AV80" i="5"/>
  <c r="AU79" i="5"/>
  <c r="AT78" i="5"/>
  <c r="AS77" i="5"/>
  <c r="AR76" i="5"/>
  <c r="AQ75" i="5"/>
  <c r="BN73" i="5"/>
  <c r="BQ71" i="5"/>
  <c r="BO69" i="5"/>
  <c r="BM67" i="5"/>
  <c r="AU65" i="5"/>
  <c r="AU62" i="5"/>
  <c r="AO57" i="5"/>
  <c r="AZ51" i="5"/>
  <c r="AO44" i="5"/>
  <c r="G35" i="1"/>
  <c r="AM2" i="5"/>
  <c r="H121" i="5"/>
  <c r="AM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AM9" i="5" l="1"/>
  <c r="AM17" i="5"/>
  <c r="AM16" i="5"/>
  <c r="AM24" i="5"/>
  <c r="AM15" i="5"/>
  <c r="BR15" i="5" s="1"/>
  <c r="DA15" i="5" s="1"/>
  <c r="AM23" i="5"/>
  <c r="AM14" i="5"/>
  <c r="AM13" i="5"/>
  <c r="AM12" i="5"/>
  <c r="AM20" i="5"/>
  <c r="AM28" i="5"/>
  <c r="AM11" i="5"/>
  <c r="AM19" i="5"/>
  <c r="AM27" i="5"/>
  <c r="AM26" i="5"/>
  <c r="AM35" i="5"/>
  <c r="BR35" i="5" s="1"/>
  <c r="DA35" i="5" s="1"/>
  <c r="AM43" i="5"/>
  <c r="AM25" i="5"/>
  <c r="AM34" i="5"/>
  <c r="AM18" i="5"/>
  <c r="AM22" i="5"/>
  <c r="BR22" i="5" s="1"/>
  <c r="DA22" i="5" s="1"/>
  <c r="AM30" i="5"/>
  <c r="AM33" i="5"/>
  <c r="AM41" i="5"/>
  <c r="AM49" i="5"/>
  <c r="AM10" i="5"/>
  <c r="AM32" i="5"/>
  <c r="AM40" i="5"/>
  <c r="AM21" i="5"/>
  <c r="AM31" i="5"/>
  <c r="BR31" i="5" s="1"/>
  <c r="DA31" i="5" s="1"/>
  <c r="AM39" i="5"/>
  <c r="BR39" i="5" s="1"/>
  <c r="DA39" i="5" s="1"/>
  <c r="AM38" i="5"/>
  <c r="AM37" i="5"/>
  <c r="AM29" i="5"/>
  <c r="AM36" i="5"/>
  <c r="AM53" i="5"/>
  <c r="AM61" i="5"/>
  <c r="BR61" i="5" s="1"/>
  <c r="DA61" i="5" s="1"/>
  <c r="AM48" i="5"/>
  <c r="AM52" i="5"/>
  <c r="BR52" i="5" s="1"/>
  <c r="DA52" i="5" s="1"/>
  <c r="AM60" i="5"/>
  <c r="AM42" i="5"/>
  <c r="AM51" i="5"/>
  <c r="AM59" i="5"/>
  <c r="AM45" i="5"/>
  <c r="AM46" i="5"/>
  <c r="AM44" i="5"/>
  <c r="BR44" i="5" s="1"/>
  <c r="DA44" i="5" s="1"/>
  <c r="AM57" i="5"/>
  <c r="AM47" i="5"/>
  <c r="BR47" i="5" s="1"/>
  <c r="DA47" i="5" s="1"/>
  <c r="AM50" i="5"/>
  <c r="AM64" i="5"/>
  <c r="AM72" i="5"/>
  <c r="AM71" i="5"/>
  <c r="AM70" i="5"/>
  <c r="AM58" i="5"/>
  <c r="AM68" i="5"/>
  <c r="BR68" i="5" s="1"/>
  <c r="DA68" i="5" s="1"/>
  <c r="AM55" i="5"/>
  <c r="BR55" i="5" s="1"/>
  <c r="DA55" i="5" s="1"/>
  <c r="AM74" i="5"/>
  <c r="AM75" i="5"/>
  <c r="AM83" i="5"/>
  <c r="AM65" i="5"/>
  <c r="AM82" i="5"/>
  <c r="AM81" i="5"/>
  <c r="BR81" i="5" s="1"/>
  <c r="DA81" i="5" s="1"/>
  <c r="AM89" i="5"/>
  <c r="AM54" i="5"/>
  <c r="AM62" i="5"/>
  <c r="AM63" i="5"/>
  <c r="AM80" i="5"/>
  <c r="AM66" i="5"/>
  <c r="AM79" i="5"/>
  <c r="AM86" i="5"/>
  <c r="AM95" i="5"/>
  <c r="AM103" i="5"/>
  <c r="BR103" i="5" s="1"/>
  <c r="DA103" i="5" s="1"/>
  <c r="AM111" i="5"/>
  <c r="AM119" i="5"/>
  <c r="AM56" i="5"/>
  <c r="AM78" i="5"/>
  <c r="AM94" i="5"/>
  <c r="BR94" i="5" s="1"/>
  <c r="DA94" i="5" s="1"/>
  <c r="AM102" i="5"/>
  <c r="BR102" i="5" s="1"/>
  <c r="DA102" i="5" s="1"/>
  <c r="AM110" i="5"/>
  <c r="AM77" i="5"/>
  <c r="BR77" i="5" s="1"/>
  <c r="DA77" i="5" s="1"/>
  <c r="AM93" i="5"/>
  <c r="AM101" i="5"/>
  <c r="AM109" i="5"/>
  <c r="AM117" i="5"/>
  <c r="AM76" i="5"/>
  <c r="AM87" i="5"/>
  <c r="AM90" i="5"/>
  <c r="AM92" i="5"/>
  <c r="BR92" i="5" s="1"/>
  <c r="DA92" i="5" s="1"/>
  <c r="AM100" i="5"/>
  <c r="AM108" i="5"/>
  <c r="AM116" i="5"/>
  <c r="AM99" i="5"/>
  <c r="AM113" i="5"/>
  <c r="AM91" i="5"/>
  <c r="BR91" i="5" s="1"/>
  <c r="DA91" i="5" s="1"/>
  <c r="AM105" i="5"/>
  <c r="AM104" i="5"/>
  <c r="AM98" i="5"/>
  <c r="AM118" i="5"/>
  <c r="AM97" i="5"/>
  <c r="AM67" i="5"/>
  <c r="AM84" i="5"/>
  <c r="BR84" i="5" s="1"/>
  <c r="DA84" i="5" s="1"/>
  <c r="AM96" i="5"/>
  <c r="AM114" i="5"/>
  <c r="AM115" i="5"/>
  <c r="BR115" i="5" s="1"/>
  <c r="DA115" i="5" s="1"/>
  <c r="AM120" i="5"/>
  <c r="AM73" i="5"/>
  <c r="AM88" i="5"/>
  <c r="AM107" i="5"/>
  <c r="AM69" i="5"/>
  <c r="AM106" i="5"/>
  <c r="BR106" i="5" s="1"/>
  <c r="DA106" i="5" s="1"/>
  <c r="AM112" i="5"/>
  <c r="AM85" i="5"/>
  <c r="BR28" i="5"/>
  <c r="DA28" i="5" s="1"/>
  <c r="BR40" i="5"/>
  <c r="DA40" i="5" s="1"/>
  <c r="BR18" i="5"/>
  <c r="DA18" i="5" s="1"/>
  <c r="BR37" i="5"/>
  <c r="DA37" i="5" s="1"/>
  <c r="BR36" i="5"/>
  <c r="DA36" i="5" s="1"/>
  <c r="BR34" i="5"/>
  <c r="DA34" i="5" s="1"/>
  <c r="BR42" i="5"/>
  <c r="DA42" i="5" s="1"/>
  <c r="BR46" i="5"/>
  <c r="DA46" i="5" s="1"/>
  <c r="BR62" i="5"/>
  <c r="DA62" i="5" s="1"/>
  <c r="BR51" i="5"/>
  <c r="DA51" i="5" s="1"/>
  <c r="BR59" i="5"/>
  <c r="DA59" i="5" s="1"/>
  <c r="BR74" i="5"/>
  <c r="DA74" i="5" s="1"/>
  <c r="BR73" i="5"/>
  <c r="DA73" i="5" s="1"/>
  <c r="BR64" i="5"/>
  <c r="DA64" i="5" s="1"/>
  <c r="BR70" i="5"/>
  <c r="DA70" i="5" s="1"/>
  <c r="BR78" i="5"/>
  <c r="DA78" i="5" s="1"/>
  <c r="BR89" i="5"/>
  <c r="DA89" i="5" s="1"/>
  <c r="BR56" i="5"/>
  <c r="DA56" i="5" s="1"/>
  <c r="BR101" i="5"/>
  <c r="DA101" i="5" s="1"/>
  <c r="BR107" i="5"/>
  <c r="DA107" i="5" s="1"/>
  <c r="BR83" i="5"/>
  <c r="DA83" i="5" s="1"/>
  <c r="BR105" i="5"/>
  <c r="DA105" i="5" s="1"/>
  <c r="BR104" i="5"/>
  <c r="DA104" i="5" s="1"/>
  <c r="BR114" i="5"/>
  <c r="DA114" i="5" s="1"/>
  <c r="BR120" i="5"/>
  <c r="DA120" i="5" s="1"/>
  <c r="BR119" i="5"/>
  <c r="DA119" i="5" s="1"/>
  <c r="BR111" i="5"/>
  <c r="DA111" i="5" s="1"/>
  <c r="BR117" i="5"/>
  <c r="DA117" i="5" s="1"/>
  <c r="BR82" i="5"/>
  <c r="DA82" i="5" s="1"/>
  <c r="AO3" i="5"/>
  <c r="AO1" i="5" s="1"/>
  <c r="AZ3" i="5"/>
  <c r="AZ1" i="5" s="1"/>
  <c r="BB3" i="5"/>
  <c r="BB1" i="5" s="1"/>
  <c r="AP3" i="5"/>
  <c r="AP1" i="5" s="1"/>
  <c r="BO3" i="5"/>
  <c r="BO1" i="5" s="1"/>
  <c r="AU3" i="5"/>
  <c r="AU1" i="5" s="1"/>
  <c r="BD3" i="5"/>
  <c r="BD1" i="5" s="1"/>
  <c r="AN3" i="5"/>
  <c r="AN1" i="5" s="1"/>
  <c r="BL3" i="5"/>
  <c r="BL1" i="5" s="1"/>
  <c r="BG3" i="5"/>
  <c r="BG1" i="5" s="1"/>
  <c r="AX3" i="5"/>
  <c r="AX1" i="5" s="1"/>
  <c r="BC3" i="5"/>
  <c r="BC1" i="5" s="1"/>
  <c r="BF3" i="5"/>
  <c r="BF1" i="5" s="1"/>
  <c r="AS3" i="5"/>
  <c r="AS1" i="5" s="1"/>
  <c r="BK3" i="5"/>
  <c r="BK1" i="5" s="1"/>
  <c r="BN3" i="5"/>
  <c r="BN1" i="5" s="1"/>
  <c r="AR3" i="5"/>
  <c r="AR1" i="5" s="1"/>
  <c r="BA3" i="5"/>
  <c r="BA1" i="5" s="1"/>
  <c r="AT3" i="5"/>
  <c r="AT1" i="5" s="1"/>
  <c r="AV3" i="5"/>
  <c r="AV1" i="5" s="1"/>
  <c r="BI3" i="5"/>
  <c r="BI1" i="5" s="1"/>
  <c r="AW3" i="5"/>
  <c r="AW1" i="5" s="1"/>
  <c r="AQ3" i="5"/>
  <c r="AQ1" i="5" s="1"/>
  <c r="BH3" i="5"/>
  <c r="BH1" i="5" s="1"/>
  <c r="BQ3" i="5"/>
  <c r="BQ1" i="5" s="1"/>
  <c r="BJ3" i="5"/>
  <c r="BJ1" i="5" s="1"/>
  <c r="AY3" i="5"/>
  <c r="AY1" i="5" s="1"/>
  <c r="BP3" i="5"/>
  <c r="BP1" i="5" s="1"/>
  <c r="BM3" i="5"/>
  <c r="BM1" i="5" s="1"/>
  <c r="BE3" i="5"/>
  <c r="BE1" i="5" s="1"/>
  <c r="BR29" i="5"/>
  <c r="DA29" i="5" s="1"/>
  <c r="BR17" i="5"/>
  <c r="DA17" i="5" s="1"/>
  <c r="BR93" i="5"/>
  <c r="DA93" i="5" s="1"/>
  <c r="CN82" i="5"/>
  <c r="DW82" i="5" s="1"/>
  <c r="BV27" i="5"/>
  <c r="DE27" i="5" s="1"/>
  <c r="BV106" i="5"/>
  <c r="DE106" i="5" s="1"/>
  <c r="CL37" i="5"/>
  <c r="DU37" i="5" s="1"/>
  <c r="CL55" i="5"/>
  <c r="DU55" i="5" s="1"/>
  <c r="CD54" i="5"/>
  <c r="DM54" i="5" s="1"/>
  <c r="BU22" i="5"/>
  <c r="DD22" i="5" s="1"/>
  <c r="BU75" i="5"/>
  <c r="DD75" i="5" s="1"/>
  <c r="CE69" i="5"/>
  <c r="DN69" i="5" s="1"/>
  <c r="CE93" i="5"/>
  <c r="DN93" i="5" s="1"/>
  <c r="CV23" i="5"/>
  <c r="EE23" i="5" s="1"/>
  <c r="CV88" i="5"/>
  <c r="EE88" i="5" s="1"/>
  <c r="CK33" i="5"/>
  <c r="DT33" i="5" s="1"/>
  <c r="CK42" i="5"/>
  <c r="DT42" i="5" s="1"/>
  <c r="CK46" i="5"/>
  <c r="DT46" i="5" s="1"/>
  <c r="CK97" i="5"/>
  <c r="DT97" i="5" s="1"/>
  <c r="CK112" i="5"/>
  <c r="DT112" i="5" s="1"/>
  <c r="CK110" i="5"/>
  <c r="DT110" i="5" s="1"/>
  <c r="CC23" i="5"/>
  <c r="DL23" i="5" s="1"/>
  <c r="CC37" i="5"/>
  <c r="DL37" i="5" s="1"/>
  <c r="CC44" i="5"/>
  <c r="DL44" i="5" s="1"/>
  <c r="CC77" i="5"/>
  <c r="DL77" i="5" s="1"/>
  <c r="CC76" i="5"/>
  <c r="DL76" i="5" s="1"/>
  <c r="BT52" i="5"/>
  <c r="DC52" i="5" s="1"/>
  <c r="CY12" i="5"/>
  <c r="EH12" i="5" s="1"/>
  <c r="CY46" i="5"/>
  <c r="EH46" i="5" s="1"/>
  <c r="CY55" i="5"/>
  <c r="EH55" i="5" s="1"/>
  <c r="CY52" i="5"/>
  <c r="EH52" i="5" s="1"/>
  <c r="CY67" i="5"/>
  <c r="EH67" i="5" s="1"/>
  <c r="CY101" i="5"/>
  <c r="EH101" i="5" s="1"/>
  <c r="CY111" i="5"/>
  <c r="EH111" i="5" s="1"/>
  <c r="CY115" i="5"/>
  <c r="EH115" i="5" s="1"/>
  <c r="CY80" i="5"/>
  <c r="EH80" i="5" s="1"/>
  <c r="CX13" i="5"/>
  <c r="EG13" i="5" s="1"/>
  <c r="CX22" i="5"/>
  <c r="EG22" i="5" s="1"/>
  <c r="CX26" i="5"/>
  <c r="EG26" i="5" s="1"/>
  <c r="CX16" i="5"/>
  <c r="EG16" i="5" s="1"/>
  <c r="CX52" i="5"/>
  <c r="EG52" i="5" s="1"/>
  <c r="CX63" i="5"/>
  <c r="EG63" i="5" s="1"/>
  <c r="CX75" i="5"/>
  <c r="EG75" i="5" s="1"/>
  <c r="CX83" i="5"/>
  <c r="EG83" i="5" s="1"/>
  <c r="CX40" i="5"/>
  <c r="EG40" i="5" s="1"/>
  <c r="CX105" i="5"/>
  <c r="EG105" i="5" s="1"/>
  <c r="CX102" i="5"/>
  <c r="EG102" i="5" s="1"/>
  <c r="CX106" i="5"/>
  <c r="EG106" i="5" s="1"/>
  <c r="CR12" i="5"/>
  <c r="EA12" i="5" s="1"/>
  <c r="CR21" i="5"/>
  <c r="EA21" i="5" s="1"/>
  <c r="CR36" i="5"/>
  <c r="EA36" i="5" s="1"/>
  <c r="CR73" i="5"/>
  <c r="EA73" i="5" s="1"/>
  <c r="CR56" i="5"/>
  <c r="EA56" i="5" s="1"/>
  <c r="CR72" i="5"/>
  <c r="EA72" i="5" s="1"/>
  <c r="CR87" i="5"/>
  <c r="EA87" i="5" s="1"/>
  <c r="CR97" i="5"/>
  <c r="EA97" i="5" s="1"/>
  <c r="CR68" i="5"/>
  <c r="EA68" i="5" s="1"/>
  <c r="CR119" i="5"/>
  <c r="EA119" i="5" s="1"/>
  <c r="CJ17" i="5"/>
  <c r="DS17" i="5" s="1"/>
  <c r="CJ26" i="5"/>
  <c r="DS26" i="5" s="1"/>
  <c r="CJ44" i="5"/>
  <c r="DS44" i="5" s="1"/>
  <c r="CJ42" i="5"/>
  <c r="DS42" i="5" s="1"/>
  <c r="CJ45" i="5"/>
  <c r="DS45" i="5" s="1"/>
  <c r="CJ35" i="5"/>
  <c r="DS35" i="5" s="1"/>
  <c r="CJ48" i="5"/>
  <c r="DS48" i="5" s="1"/>
  <c r="CJ61" i="5"/>
  <c r="DS61" i="5" s="1"/>
  <c r="CJ71" i="5"/>
  <c r="DS71" i="5" s="1"/>
  <c r="CJ85" i="5"/>
  <c r="DS85" i="5" s="1"/>
  <c r="CJ89" i="5"/>
  <c r="DS89" i="5" s="1"/>
  <c r="CJ93" i="5"/>
  <c r="DS93" i="5" s="1"/>
  <c r="CJ77" i="5"/>
  <c r="DS77" i="5" s="1"/>
  <c r="CJ88" i="5"/>
  <c r="DS88" i="5" s="1"/>
  <c r="CJ99" i="5"/>
  <c r="DS99" i="5" s="1"/>
  <c r="CJ103" i="5"/>
  <c r="DS103" i="5" s="1"/>
  <c r="CJ120" i="5"/>
  <c r="DS120" i="5" s="1"/>
  <c r="CJ111" i="5"/>
  <c r="DS111" i="5" s="1"/>
  <c r="CJ105" i="5"/>
  <c r="DS105" i="5" s="1"/>
  <c r="CJ118" i="5"/>
  <c r="DS118" i="5" s="1"/>
  <c r="CB13" i="5"/>
  <c r="DK13" i="5" s="1"/>
  <c r="CB18" i="5"/>
  <c r="DK18" i="5" s="1"/>
  <c r="CB22" i="5"/>
  <c r="DK22" i="5" s="1"/>
  <c r="CB37" i="5"/>
  <c r="DK37" i="5" s="1"/>
  <c r="CB46" i="5"/>
  <c r="DK46" i="5" s="1"/>
  <c r="CB54" i="5"/>
  <c r="DK54" i="5" s="1"/>
  <c r="CB55" i="5"/>
  <c r="DK55" i="5" s="1"/>
  <c r="CB67" i="5"/>
  <c r="DK67" i="5" s="1"/>
  <c r="CB56" i="5"/>
  <c r="DK56" i="5" s="1"/>
  <c r="CB97" i="5"/>
  <c r="DK97" i="5" s="1"/>
  <c r="CB64" i="5"/>
  <c r="DK64" i="5" s="1"/>
  <c r="CB95" i="5"/>
  <c r="DK95" i="5" s="1"/>
  <c r="CB120" i="5"/>
  <c r="DK120" i="5" s="1"/>
  <c r="CB101" i="5"/>
  <c r="DK101" i="5" s="1"/>
  <c r="CB114" i="5"/>
  <c r="DK114" i="5" s="1"/>
  <c r="BS57" i="5"/>
  <c r="DB57" i="5" s="1"/>
  <c r="BS99" i="5"/>
  <c r="DB99" i="5" s="1"/>
  <c r="BS105" i="5"/>
  <c r="DB105" i="5" s="1"/>
  <c r="BS110" i="5"/>
  <c r="DB110" i="5" s="1"/>
  <c r="CM21" i="5"/>
  <c r="DV21" i="5" s="1"/>
  <c r="CM10" i="5"/>
  <c r="DV10" i="5" s="1"/>
  <c r="CM40" i="5"/>
  <c r="DV40" i="5" s="1"/>
  <c r="CM72" i="5"/>
  <c r="DV72" i="5" s="1"/>
  <c r="CM84" i="5"/>
  <c r="DV84" i="5" s="1"/>
  <c r="CM75" i="5"/>
  <c r="DV75" i="5" s="1"/>
  <c r="CM96" i="5"/>
  <c r="DV96" i="5" s="1"/>
  <c r="CM114" i="5"/>
  <c r="DV114" i="5" s="1"/>
  <c r="CM119" i="5"/>
  <c r="DV119" i="5" s="1"/>
  <c r="CM116" i="5"/>
  <c r="DV116" i="5" s="1"/>
  <c r="CQ21" i="5"/>
  <c r="DZ21" i="5" s="1"/>
  <c r="CQ15" i="5"/>
  <c r="DZ15" i="5" s="1"/>
  <c r="CQ19" i="5"/>
  <c r="DZ19" i="5" s="1"/>
  <c r="CQ37" i="5"/>
  <c r="DZ37" i="5" s="1"/>
  <c r="CQ20" i="5"/>
  <c r="DZ20" i="5" s="1"/>
  <c r="CQ61" i="5"/>
  <c r="DZ61" i="5" s="1"/>
  <c r="CQ70" i="5"/>
  <c r="DZ70" i="5" s="1"/>
  <c r="CQ75" i="5"/>
  <c r="DZ75" i="5" s="1"/>
  <c r="CQ64" i="5"/>
  <c r="DZ64" i="5" s="1"/>
  <c r="CQ93" i="5"/>
  <c r="DZ93" i="5" s="1"/>
  <c r="CQ97" i="5"/>
  <c r="DZ97" i="5" s="1"/>
  <c r="CQ91" i="5"/>
  <c r="DZ91" i="5" s="1"/>
  <c r="CQ95" i="5"/>
  <c r="DZ95" i="5" s="1"/>
  <c r="CQ116" i="5"/>
  <c r="DZ116" i="5" s="1"/>
  <c r="CQ105" i="5"/>
  <c r="DZ105" i="5" s="1"/>
  <c r="CI17" i="5"/>
  <c r="DR17" i="5" s="1"/>
  <c r="CI11" i="5"/>
  <c r="DR11" i="5" s="1"/>
  <c r="CI28" i="5"/>
  <c r="DR28" i="5" s="1"/>
  <c r="CI42" i="5"/>
  <c r="DR42" i="5" s="1"/>
  <c r="CI31" i="5"/>
  <c r="DR31" i="5" s="1"/>
  <c r="CI41" i="5"/>
  <c r="DR41" i="5" s="1"/>
  <c r="CI43" i="5"/>
  <c r="DR43" i="5" s="1"/>
  <c r="CI47" i="5"/>
  <c r="DR47" i="5" s="1"/>
  <c r="CI40" i="5"/>
  <c r="DR40" i="5" s="1"/>
  <c r="CI67" i="5"/>
  <c r="DR67" i="5" s="1"/>
  <c r="CI60" i="5"/>
  <c r="DR60" i="5" s="1"/>
  <c r="CI72" i="5"/>
  <c r="DR72" i="5" s="1"/>
  <c r="CI77" i="5"/>
  <c r="DR77" i="5" s="1"/>
  <c r="CI80" i="5"/>
  <c r="DR80" i="5" s="1"/>
  <c r="CI104" i="5"/>
  <c r="DR104" i="5" s="1"/>
  <c r="CI119" i="5"/>
  <c r="DR119" i="5" s="1"/>
  <c r="CI107" i="5"/>
  <c r="DR107" i="5" s="1"/>
  <c r="BW13" i="5"/>
  <c r="DF13" i="5" s="1"/>
  <c r="BW22" i="5"/>
  <c r="DF22" i="5" s="1"/>
  <c r="BW12" i="5"/>
  <c r="DF12" i="5" s="1"/>
  <c r="BW38" i="5"/>
  <c r="DF38" i="5" s="1"/>
  <c r="BW42" i="5"/>
  <c r="DF42" i="5" s="1"/>
  <c r="BW43" i="5"/>
  <c r="DF43" i="5" s="1"/>
  <c r="BW46" i="5"/>
  <c r="DF46" i="5" s="1"/>
  <c r="BW55" i="5"/>
  <c r="DF55" i="5" s="1"/>
  <c r="BW59" i="5"/>
  <c r="DF59" i="5" s="1"/>
  <c r="BW31" i="5"/>
  <c r="DF31" i="5" s="1"/>
  <c r="BW39" i="5"/>
  <c r="DF39" i="5" s="1"/>
  <c r="BW78" i="5"/>
  <c r="DF78" i="5" s="1"/>
  <c r="BW77" i="5"/>
  <c r="DF77" i="5" s="1"/>
  <c r="BW56" i="5"/>
  <c r="DF56" i="5" s="1"/>
  <c r="BW72" i="5"/>
  <c r="DF72" i="5" s="1"/>
  <c r="BW103" i="5"/>
  <c r="DF103" i="5" s="1"/>
  <c r="BW119" i="5"/>
  <c r="DF119" i="5" s="1"/>
  <c r="CP14" i="5"/>
  <c r="DY14" i="5" s="1"/>
  <c r="CP18" i="5"/>
  <c r="DY18" i="5" s="1"/>
  <c r="CP27" i="5"/>
  <c r="DY27" i="5" s="1"/>
  <c r="CP33" i="5"/>
  <c r="DY33" i="5" s="1"/>
  <c r="CP38" i="5"/>
  <c r="DY38" i="5" s="1"/>
  <c r="CP42" i="5"/>
  <c r="DY42" i="5" s="1"/>
  <c r="CP43" i="5"/>
  <c r="DY43" i="5" s="1"/>
  <c r="CP16" i="5"/>
  <c r="DY16" i="5" s="1"/>
  <c r="CP55" i="5"/>
  <c r="DY55" i="5" s="1"/>
  <c r="CP62" i="5"/>
  <c r="DY62" i="5" s="1"/>
  <c r="CP66" i="5"/>
  <c r="DY66" i="5" s="1"/>
  <c r="CP67" i="5"/>
  <c r="DY67" i="5" s="1"/>
  <c r="CP77" i="5"/>
  <c r="DY77" i="5" s="1"/>
  <c r="CP65" i="5"/>
  <c r="DY65" i="5" s="1"/>
  <c r="CP84" i="5"/>
  <c r="DY84" i="5" s="1"/>
  <c r="CP101" i="5"/>
  <c r="DY101" i="5" s="1"/>
  <c r="CP104" i="5"/>
  <c r="DY104" i="5" s="1"/>
  <c r="CP117" i="5"/>
  <c r="DY117" i="5" s="1"/>
  <c r="CP114" i="5"/>
  <c r="DY114" i="5" s="1"/>
  <c r="CP118" i="5"/>
  <c r="DY118" i="5" s="1"/>
  <c r="CP115" i="5"/>
  <c r="DY115" i="5" s="1"/>
  <c r="CH9" i="5"/>
  <c r="DQ9" i="5" s="1"/>
  <c r="CH14" i="5"/>
  <c r="DQ14" i="5" s="1"/>
  <c r="CH27" i="5"/>
  <c r="DQ27" i="5" s="1"/>
  <c r="CH30" i="5"/>
  <c r="DQ30" i="5" s="1"/>
  <c r="CH39" i="5"/>
  <c r="DQ39" i="5" s="1"/>
  <c r="CH51" i="5"/>
  <c r="DQ51" i="5" s="1"/>
  <c r="CH55" i="5"/>
  <c r="DQ55" i="5" s="1"/>
  <c r="CH62" i="5"/>
  <c r="DQ62" i="5" s="1"/>
  <c r="CH68" i="5"/>
  <c r="DQ68" i="5" s="1"/>
  <c r="CH86" i="5"/>
  <c r="DQ86" i="5" s="1"/>
  <c r="CH90" i="5"/>
  <c r="DQ90" i="5" s="1"/>
  <c r="CH77" i="5"/>
  <c r="DQ77" i="5" s="1"/>
  <c r="CH78" i="5"/>
  <c r="DQ78" i="5" s="1"/>
  <c r="CH96" i="5"/>
  <c r="DQ96" i="5" s="1"/>
  <c r="CH117" i="5"/>
  <c r="DQ117" i="5" s="1"/>
  <c r="CH114" i="5"/>
  <c r="DQ114" i="5" s="1"/>
  <c r="CH118" i="5"/>
  <c r="DQ118" i="5" s="1"/>
  <c r="CH111" i="5"/>
  <c r="DQ111" i="5" s="1"/>
  <c r="CH115" i="5"/>
  <c r="DQ115" i="5" s="1"/>
  <c r="CF20" i="5"/>
  <c r="DO20" i="5" s="1"/>
  <c r="CF9" i="5"/>
  <c r="DO9" i="5" s="1"/>
  <c r="CF32" i="5"/>
  <c r="DO32" i="5" s="1"/>
  <c r="CF37" i="5"/>
  <c r="DO37" i="5" s="1"/>
  <c r="CF52" i="5"/>
  <c r="DO52" i="5" s="1"/>
  <c r="CF57" i="5"/>
  <c r="DO57" i="5" s="1"/>
  <c r="CF61" i="5"/>
  <c r="DO61" i="5" s="1"/>
  <c r="CF65" i="5"/>
  <c r="DO65" i="5" s="1"/>
  <c r="CF75" i="5"/>
  <c r="DO75" i="5" s="1"/>
  <c r="CF83" i="5"/>
  <c r="DO83" i="5" s="1"/>
  <c r="CF81" i="5"/>
  <c r="DO81" i="5" s="1"/>
  <c r="CF97" i="5"/>
  <c r="DO97" i="5" s="1"/>
  <c r="CF106" i="5"/>
  <c r="DO106" i="5" s="1"/>
  <c r="CF110" i="5"/>
  <c r="DO110" i="5" s="1"/>
  <c r="CF98" i="5"/>
  <c r="DO98" i="5" s="1"/>
  <c r="CF94" i="5"/>
  <c r="DO94" i="5" s="1"/>
  <c r="CZ20" i="5"/>
  <c r="EI20" i="5" s="1"/>
  <c r="CZ24" i="5"/>
  <c r="EI24" i="5" s="1"/>
  <c r="CZ10" i="5"/>
  <c r="EI10" i="5" s="1"/>
  <c r="CZ14" i="5"/>
  <c r="EI14" i="5" s="1"/>
  <c r="CZ30" i="5"/>
  <c r="EI30" i="5" s="1"/>
  <c r="CZ38" i="5"/>
  <c r="EI38" i="5" s="1"/>
  <c r="CZ42" i="5"/>
  <c r="EI42" i="5" s="1"/>
  <c r="CZ50" i="5"/>
  <c r="EI50" i="5" s="1"/>
  <c r="CZ54" i="5"/>
  <c r="EI54" i="5" s="1"/>
  <c r="CZ47" i="5"/>
  <c r="EI47" i="5" s="1"/>
  <c r="CZ48" i="5"/>
  <c r="EI48" i="5" s="1"/>
  <c r="CZ69" i="5"/>
  <c r="EI69" i="5" s="1"/>
  <c r="CZ44" i="5"/>
  <c r="EI44" i="5" s="1"/>
  <c r="CZ63" i="5"/>
  <c r="EI63" i="5" s="1"/>
  <c r="CZ72" i="5"/>
  <c r="EI72" i="5" s="1"/>
  <c r="CZ81" i="5"/>
  <c r="EI81" i="5" s="1"/>
  <c r="CZ85" i="5"/>
  <c r="EI85" i="5" s="1"/>
  <c r="CZ89" i="5"/>
  <c r="EI89" i="5" s="1"/>
  <c r="CZ43" i="5"/>
  <c r="EI43" i="5" s="1"/>
  <c r="CZ68" i="5"/>
  <c r="EI68" i="5" s="1"/>
  <c r="CZ79" i="5"/>
  <c r="EI79" i="5" s="1"/>
  <c r="CZ83" i="5"/>
  <c r="EI83" i="5" s="1"/>
  <c r="CZ77" i="5"/>
  <c r="EI77" i="5" s="1"/>
  <c r="CZ90" i="5"/>
  <c r="EI90" i="5" s="1"/>
  <c r="CZ66" i="5"/>
  <c r="EI66" i="5" s="1"/>
  <c r="CZ91" i="5"/>
  <c r="EI91" i="5" s="1"/>
  <c r="CZ101" i="5"/>
  <c r="EI101" i="5" s="1"/>
  <c r="CZ112" i="5"/>
  <c r="EI112" i="5" s="1"/>
  <c r="CZ116" i="5"/>
  <c r="EI116" i="5" s="1"/>
  <c r="CZ120" i="5"/>
  <c r="EI120" i="5" s="1"/>
  <c r="CZ105" i="5"/>
  <c r="EI105" i="5" s="1"/>
  <c r="CZ109" i="5"/>
  <c r="EI109" i="5" s="1"/>
  <c r="CZ113" i="5"/>
  <c r="EI113" i="5" s="1"/>
  <c r="CZ117" i="5"/>
  <c r="EI117" i="5" s="1"/>
  <c r="CZ80" i="5"/>
  <c r="EI80" i="5" s="1"/>
  <c r="CZ92" i="5"/>
  <c r="EI92" i="5" s="1"/>
  <c r="CZ106" i="5"/>
  <c r="EI106" i="5" s="1"/>
  <c r="CZ76" i="5"/>
  <c r="EI76" i="5" s="1"/>
  <c r="CO14" i="5"/>
  <c r="DX14" i="5" s="1"/>
  <c r="CO18" i="5"/>
  <c r="DX18" i="5" s="1"/>
  <c r="CO22" i="5"/>
  <c r="DX22" i="5" s="1"/>
  <c r="CO19" i="5"/>
  <c r="DX19" i="5" s="1"/>
  <c r="CO12" i="5"/>
  <c r="DX12" i="5" s="1"/>
  <c r="CO16" i="5"/>
  <c r="DX16" i="5" s="1"/>
  <c r="CO20" i="5"/>
  <c r="DX20" i="5" s="1"/>
  <c r="CO24" i="5"/>
  <c r="DX24" i="5" s="1"/>
  <c r="CO27" i="5"/>
  <c r="DX27" i="5" s="1"/>
  <c r="CO35" i="5"/>
  <c r="DX35" i="5" s="1"/>
  <c r="CO39" i="5"/>
  <c r="DX39" i="5" s="1"/>
  <c r="CO43" i="5"/>
  <c r="DX43" i="5" s="1"/>
  <c r="CO36" i="5"/>
  <c r="DX36" i="5" s="1"/>
  <c r="CO21" i="5"/>
  <c r="DX21" i="5" s="1"/>
  <c r="CO47" i="5"/>
  <c r="DX47" i="5" s="1"/>
  <c r="CO51" i="5"/>
  <c r="DX51" i="5" s="1"/>
  <c r="CO44" i="5"/>
  <c r="DX44" i="5" s="1"/>
  <c r="CO52" i="5"/>
  <c r="DX52" i="5" s="1"/>
  <c r="CO56" i="5"/>
  <c r="DX56" i="5" s="1"/>
  <c r="CO63" i="5"/>
  <c r="DX63" i="5" s="1"/>
  <c r="CO67" i="5"/>
  <c r="DX67" i="5" s="1"/>
  <c r="CO75" i="5"/>
  <c r="DX75" i="5" s="1"/>
  <c r="CO64" i="5"/>
  <c r="DX64" i="5" s="1"/>
  <c r="CO72" i="5"/>
  <c r="DX72" i="5" s="1"/>
  <c r="CO76" i="5"/>
  <c r="DX76" i="5" s="1"/>
  <c r="CO32" i="5"/>
  <c r="DX32" i="5" s="1"/>
  <c r="CO49" i="5"/>
  <c r="DX49" i="5" s="1"/>
  <c r="CO86" i="5"/>
  <c r="DX86" i="5" s="1"/>
  <c r="CO77" i="5"/>
  <c r="DX77" i="5" s="1"/>
  <c r="CO65" i="5"/>
  <c r="DX65" i="5" s="1"/>
  <c r="CO78" i="5"/>
  <c r="DX78" i="5" s="1"/>
  <c r="CO80" i="5"/>
  <c r="DX80" i="5" s="1"/>
  <c r="CO69" i="5"/>
  <c r="DX69" i="5" s="1"/>
  <c r="CO94" i="5"/>
  <c r="DX94" i="5" s="1"/>
  <c r="CO90" i="5"/>
  <c r="DX90" i="5" s="1"/>
  <c r="CO95" i="5"/>
  <c r="DX95" i="5" s="1"/>
  <c r="CO99" i="5"/>
  <c r="DX99" i="5" s="1"/>
  <c r="CO103" i="5"/>
  <c r="DX103" i="5" s="1"/>
  <c r="CO92" i="5"/>
  <c r="DX92" i="5" s="1"/>
  <c r="CO104" i="5"/>
  <c r="DX104" i="5" s="1"/>
  <c r="CO74" i="5"/>
  <c r="DX74" i="5" s="1"/>
  <c r="CO109" i="5"/>
  <c r="DX109" i="5" s="1"/>
  <c r="CO106" i="5"/>
  <c r="DX106" i="5" s="1"/>
  <c r="CO110" i="5"/>
  <c r="DX110" i="5" s="1"/>
  <c r="CO114" i="5"/>
  <c r="DX114" i="5" s="1"/>
  <c r="CO116" i="5"/>
  <c r="DX116" i="5" s="1"/>
  <c r="CO102" i="5"/>
  <c r="DX102" i="5" s="1"/>
  <c r="CO107" i="5"/>
  <c r="DX107" i="5" s="1"/>
  <c r="CG10" i="5"/>
  <c r="DP10" i="5" s="1"/>
  <c r="CG14" i="5"/>
  <c r="DP14" i="5" s="1"/>
  <c r="CG18" i="5"/>
  <c r="DP18" i="5" s="1"/>
  <c r="CG12" i="5"/>
  <c r="DP12" i="5" s="1"/>
  <c r="CG30" i="5"/>
  <c r="DP30" i="5" s="1"/>
  <c r="CG38" i="5"/>
  <c r="DP38" i="5" s="1"/>
  <c r="CG21" i="5"/>
  <c r="DP21" i="5" s="1"/>
  <c r="CG39" i="5"/>
  <c r="DP39" i="5" s="1"/>
  <c r="CG43" i="5"/>
  <c r="DP43" i="5" s="1"/>
  <c r="CG27" i="5"/>
  <c r="DP27" i="5" s="1"/>
  <c r="CG50" i="5"/>
  <c r="DP50" i="5" s="1"/>
  <c r="CG51" i="5"/>
  <c r="DP51" i="5" s="1"/>
  <c r="CG40" i="5"/>
  <c r="DP40" i="5" s="1"/>
  <c r="CG56" i="5"/>
  <c r="DP56" i="5" s="1"/>
  <c r="CG45" i="5"/>
  <c r="DP45" i="5" s="1"/>
  <c r="CG67" i="5"/>
  <c r="DP67" i="5" s="1"/>
  <c r="CG71" i="5"/>
  <c r="DP71" i="5" s="1"/>
  <c r="CG64" i="5"/>
  <c r="DP64" i="5" s="1"/>
  <c r="CG76" i="5"/>
  <c r="DP76" i="5" s="1"/>
  <c r="CG69" i="5"/>
  <c r="DP69" i="5" s="1"/>
  <c r="CG87" i="5"/>
  <c r="DP87" i="5" s="1"/>
  <c r="CG49" i="5"/>
  <c r="DP49" i="5" s="1"/>
  <c r="CG53" i="5"/>
  <c r="DP53" i="5" s="1"/>
  <c r="CG65" i="5"/>
  <c r="DP65" i="5" s="1"/>
  <c r="CG94" i="5"/>
  <c r="DP94" i="5" s="1"/>
  <c r="CG57" i="5"/>
  <c r="DP57" i="5" s="1"/>
  <c r="CG99" i="5"/>
  <c r="DP99" i="5" s="1"/>
  <c r="CG103" i="5"/>
  <c r="DP103" i="5" s="1"/>
  <c r="CG59" i="5"/>
  <c r="DP59" i="5" s="1"/>
  <c r="CG81" i="5"/>
  <c r="DP81" i="5" s="1"/>
  <c r="CG96" i="5"/>
  <c r="DP96" i="5" s="1"/>
  <c r="CG100" i="5"/>
  <c r="DP100" i="5" s="1"/>
  <c r="CG104" i="5"/>
  <c r="DP104" i="5" s="1"/>
  <c r="CG113" i="5"/>
  <c r="DP113" i="5" s="1"/>
  <c r="CG93" i="5"/>
  <c r="DP93" i="5" s="1"/>
  <c r="CG85" i="5"/>
  <c r="DP85" i="5" s="1"/>
  <c r="AM8" i="5"/>
  <c r="BR14" i="5"/>
  <c r="DA14" i="5" s="1"/>
  <c r="BT21" i="5"/>
  <c r="DC21" i="5" s="1"/>
  <c r="BT98" i="5"/>
  <c r="DC98" i="5" s="1"/>
  <c r="BT111" i="5"/>
  <c r="DC111" i="5" s="1"/>
  <c r="CW44" i="5"/>
  <c r="EF44" i="5" s="1"/>
  <c r="CW101" i="5"/>
  <c r="EF101" i="5" s="1"/>
  <c r="CW115" i="5"/>
  <c r="EF115" i="5" s="1"/>
  <c r="CN16" i="5"/>
  <c r="DW16" i="5" s="1"/>
  <c r="CF86" i="5"/>
  <c r="DO86" i="5" s="1"/>
  <c r="CU27" i="5"/>
  <c r="ED27" i="5" s="1"/>
  <c r="CU68" i="5"/>
  <c r="ED68" i="5" s="1"/>
  <c r="CU83" i="5"/>
  <c r="ED83" i="5" s="1"/>
  <c r="CU107" i="5"/>
  <c r="ED107" i="5" s="1"/>
  <c r="CM34" i="5"/>
  <c r="DV34" i="5" s="1"/>
  <c r="CM29" i="5"/>
  <c r="DV29" i="5" s="1"/>
  <c r="CM45" i="5"/>
  <c r="DV45" i="5" s="1"/>
  <c r="CM79" i="5"/>
  <c r="DV79" i="5" s="1"/>
  <c r="CM99" i="5"/>
  <c r="DV99" i="5" s="1"/>
  <c r="CE56" i="5"/>
  <c r="DN56" i="5" s="1"/>
  <c r="CE103" i="5"/>
  <c r="DN103" i="5" s="1"/>
  <c r="CE106" i="5"/>
  <c r="DN106" i="5" s="1"/>
  <c r="CE100" i="5"/>
  <c r="DN100" i="5" s="1"/>
  <c r="CV20" i="5"/>
  <c r="EE20" i="5" s="1"/>
  <c r="CV46" i="5"/>
  <c r="EE46" i="5" s="1"/>
  <c r="CT18" i="5"/>
  <c r="EC18" i="5" s="1"/>
  <c r="CT9" i="5"/>
  <c r="EC9" i="5" s="1"/>
  <c r="CT21" i="5"/>
  <c r="EC21" i="5" s="1"/>
  <c r="CT41" i="5"/>
  <c r="EC41" i="5" s="1"/>
  <c r="CT51" i="5"/>
  <c r="EC51" i="5" s="1"/>
  <c r="CT73" i="5"/>
  <c r="EC73" i="5" s="1"/>
  <c r="CT103" i="5"/>
  <c r="EC103" i="5" s="1"/>
  <c r="CT116" i="5"/>
  <c r="EC116" i="5" s="1"/>
  <c r="CT118" i="5"/>
  <c r="EC118" i="5" s="1"/>
  <c r="CT113" i="5"/>
  <c r="EC113" i="5" s="1"/>
  <c r="CL16" i="5"/>
  <c r="DU16" i="5" s="1"/>
  <c r="CL32" i="5"/>
  <c r="DU32" i="5" s="1"/>
  <c r="CL40" i="5"/>
  <c r="DU40" i="5" s="1"/>
  <c r="CL52" i="5"/>
  <c r="DU52" i="5" s="1"/>
  <c r="CL95" i="5"/>
  <c r="DU95" i="5" s="1"/>
  <c r="CL116" i="5"/>
  <c r="DU116" i="5" s="1"/>
  <c r="CD112" i="5"/>
  <c r="DM112" i="5" s="1"/>
  <c r="CS9" i="5"/>
  <c r="EB9" i="5" s="1"/>
  <c r="CS21" i="5"/>
  <c r="EB21" i="5" s="1"/>
  <c r="CS64" i="5"/>
  <c r="EB64" i="5" s="1"/>
  <c r="CS61" i="5"/>
  <c r="EB61" i="5" s="1"/>
  <c r="CS81" i="5"/>
  <c r="EB81" i="5" s="1"/>
  <c r="CS72" i="5"/>
  <c r="EB72" i="5" s="1"/>
  <c r="CS87" i="5"/>
  <c r="EB87" i="5" s="1"/>
  <c r="CS96" i="5"/>
  <c r="EB96" i="5" s="1"/>
  <c r="CS108" i="5"/>
  <c r="EB108" i="5" s="1"/>
  <c r="CS107" i="5"/>
  <c r="EB107" i="5" s="1"/>
  <c r="CC10" i="5"/>
  <c r="DL10" i="5" s="1"/>
  <c r="CC19" i="5"/>
  <c r="DL19" i="5" s="1"/>
  <c r="CC49" i="5"/>
  <c r="DL49" i="5" s="1"/>
  <c r="CC62" i="5"/>
  <c r="DL62" i="5" s="1"/>
  <c r="CC81" i="5"/>
  <c r="DL81" i="5" s="1"/>
  <c r="CC72" i="5"/>
  <c r="DL72" i="5" s="1"/>
  <c r="CC101" i="5"/>
  <c r="DL101" i="5" s="1"/>
  <c r="CC94" i="5"/>
  <c r="DL94" i="5" s="1"/>
  <c r="CZ45" i="5"/>
  <c r="EI45" i="5" s="1"/>
  <c r="CZ49" i="5"/>
  <c r="EI49" i="5" s="1"/>
  <c r="CZ61" i="5"/>
  <c r="EI61" i="5" s="1"/>
  <c r="CZ51" i="5"/>
  <c r="EI51" i="5" s="1"/>
  <c r="CZ114" i="5"/>
  <c r="EI114" i="5" s="1"/>
  <c r="CZ118" i="5"/>
  <c r="EI118" i="5" s="1"/>
  <c r="CZ93" i="5"/>
  <c r="EI93" i="5" s="1"/>
  <c r="CR17" i="5"/>
  <c r="EA17" i="5" s="1"/>
  <c r="CR25" i="5"/>
  <c r="EA25" i="5" s="1"/>
  <c r="CR47" i="5"/>
  <c r="EA47" i="5" s="1"/>
  <c r="CR40" i="5"/>
  <c r="EA40" i="5" s="1"/>
  <c r="CR42" i="5"/>
  <c r="EA42" i="5" s="1"/>
  <c r="CR44" i="5"/>
  <c r="EA44" i="5" s="1"/>
  <c r="CR52" i="5"/>
  <c r="EA52" i="5" s="1"/>
  <c r="CR22" i="5"/>
  <c r="EA22" i="5" s="1"/>
  <c r="CR77" i="5"/>
  <c r="EA77" i="5" s="1"/>
  <c r="CR85" i="5"/>
  <c r="EA85" i="5" s="1"/>
  <c r="CR51" i="5"/>
  <c r="EA51" i="5" s="1"/>
  <c r="CR57" i="5"/>
  <c r="EA57" i="5" s="1"/>
  <c r="CR74" i="5"/>
  <c r="EA74" i="5" s="1"/>
  <c r="CR94" i="5"/>
  <c r="EA94" i="5" s="1"/>
  <c r="CR100" i="5"/>
  <c r="EA100" i="5" s="1"/>
  <c r="CR86" i="5"/>
  <c r="EA86" i="5" s="1"/>
  <c r="CR91" i="5"/>
  <c r="EA91" i="5" s="1"/>
  <c r="CR108" i="5"/>
  <c r="EA108" i="5" s="1"/>
  <c r="CR112" i="5"/>
  <c r="EA112" i="5" s="1"/>
  <c r="CR120" i="5"/>
  <c r="EA120" i="5" s="1"/>
  <c r="CR117" i="5"/>
  <c r="EA117" i="5" s="1"/>
  <c r="CR103" i="5"/>
  <c r="EA103" i="5" s="1"/>
  <c r="CR105" i="5"/>
  <c r="EA105" i="5" s="1"/>
  <c r="CR95" i="5"/>
  <c r="EA95" i="5" s="1"/>
  <c r="CJ19" i="5"/>
  <c r="DS19" i="5" s="1"/>
  <c r="CJ21" i="5"/>
  <c r="DS21" i="5" s="1"/>
  <c r="CJ31" i="5"/>
  <c r="DS31" i="5" s="1"/>
  <c r="CJ18" i="5"/>
  <c r="DS18" i="5" s="1"/>
  <c r="CJ41" i="5"/>
  <c r="DS41" i="5" s="1"/>
  <c r="CJ36" i="5"/>
  <c r="DS36" i="5" s="1"/>
  <c r="CJ40" i="5"/>
  <c r="DS40" i="5" s="1"/>
  <c r="CJ14" i="5"/>
  <c r="DS14" i="5" s="1"/>
  <c r="CJ52" i="5"/>
  <c r="DS52" i="5" s="1"/>
  <c r="CJ54" i="5"/>
  <c r="DS54" i="5" s="1"/>
  <c r="CJ64" i="5"/>
  <c r="DS64" i="5" s="1"/>
  <c r="CJ68" i="5"/>
  <c r="DS68" i="5" s="1"/>
  <c r="CJ69" i="5"/>
  <c r="DS69" i="5" s="1"/>
  <c r="CJ81" i="5"/>
  <c r="DS81" i="5" s="1"/>
  <c r="CJ72" i="5"/>
  <c r="DS72" i="5" s="1"/>
  <c r="CJ92" i="5"/>
  <c r="DS92" i="5" s="1"/>
  <c r="CJ84" i="5"/>
  <c r="DS84" i="5" s="1"/>
  <c r="CJ112" i="5"/>
  <c r="DS112" i="5" s="1"/>
  <c r="CJ104" i="5"/>
  <c r="DS104" i="5" s="1"/>
  <c r="CJ101" i="5"/>
  <c r="DS101" i="5" s="1"/>
  <c r="CB17" i="5"/>
  <c r="DK17" i="5" s="1"/>
  <c r="CB33" i="5"/>
  <c r="DK33" i="5" s="1"/>
  <c r="CB39" i="5"/>
  <c r="DK39" i="5" s="1"/>
  <c r="CB43" i="5"/>
  <c r="DK43" i="5" s="1"/>
  <c r="CB30" i="5"/>
  <c r="DK30" i="5" s="1"/>
  <c r="CB36" i="5"/>
  <c r="DK36" i="5" s="1"/>
  <c r="CB28" i="5"/>
  <c r="DK28" i="5" s="1"/>
  <c r="CB62" i="5"/>
  <c r="DK62" i="5" s="1"/>
  <c r="CB66" i="5"/>
  <c r="DK66" i="5" s="1"/>
  <c r="CB57" i="5"/>
  <c r="DK57" i="5" s="1"/>
  <c r="CB71" i="5"/>
  <c r="DK71" i="5" s="1"/>
  <c r="CB79" i="5"/>
  <c r="DK79" i="5" s="1"/>
  <c r="CB83" i="5"/>
  <c r="DK83" i="5" s="1"/>
  <c r="CB51" i="5"/>
  <c r="DK51" i="5" s="1"/>
  <c r="CB70" i="5"/>
  <c r="DK70" i="5" s="1"/>
  <c r="CB92" i="5"/>
  <c r="DK92" i="5" s="1"/>
  <c r="CB74" i="5"/>
  <c r="DK74" i="5" s="1"/>
  <c r="CB80" i="5"/>
  <c r="DK80" i="5" s="1"/>
  <c r="CB82" i="5"/>
  <c r="DK82" i="5" s="1"/>
  <c r="CB108" i="5"/>
  <c r="DK108" i="5" s="1"/>
  <c r="CB104" i="5"/>
  <c r="DK104" i="5" s="1"/>
  <c r="CB113" i="5"/>
  <c r="DK113" i="5" s="1"/>
  <c r="CB103" i="5"/>
  <c r="DK103" i="5" s="1"/>
  <c r="CB111" i="5"/>
  <c r="DK111" i="5" s="1"/>
  <c r="CO11" i="5"/>
  <c r="DX11" i="5" s="1"/>
  <c r="CO15" i="5"/>
  <c r="DX15" i="5" s="1"/>
  <c r="CO31" i="5"/>
  <c r="DX31" i="5" s="1"/>
  <c r="CO10" i="5"/>
  <c r="DX10" i="5" s="1"/>
  <c r="CO26" i="5"/>
  <c r="DX26" i="5" s="1"/>
  <c r="CO40" i="5"/>
  <c r="DX40" i="5" s="1"/>
  <c r="CO42" i="5"/>
  <c r="DX42" i="5" s="1"/>
  <c r="CO55" i="5"/>
  <c r="DX55" i="5" s="1"/>
  <c r="CO68" i="5"/>
  <c r="DX68" i="5" s="1"/>
  <c r="CO84" i="5"/>
  <c r="DX84" i="5" s="1"/>
  <c r="CO66" i="5"/>
  <c r="DX66" i="5" s="1"/>
  <c r="CO79" i="5"/>
  <c r="DX79" i="5" s="1"/>
  <c r="CO96" i="5"/>
  <c r="DX96" i="5" s="1"/>
  <c r="CO87" i="5"/>
  <c r="DX87" i="5" s="1"/>
  <c r="CO113" i="5"/>
  <c r="DX113" i="5" s="1"/>
  <c r="CO117" i="5"/>
  <c r="DX117" i="5" s="1"/>
  <c r="BU13" i="5"/>
  <c r="DD13" i="5" s="1"/>
  <c r="BU15" i="5"/>
  <c r="DD15" i="5" s="1"/>
  <c r="BU17" i="5"/>
  <c r="DD17" i="5" s="1"/>
  <c r="BU29" i="5"/>
  <c r="DD29" i="5" s="1"/>
  <c r="BU18" i="5"/>
  <c r="DD18" i="5" s="1"/>
  <c r="BU26" i="5"/>
  <c r="DD26" i="5" s="1"/>
  <c r="BU33" i="5"/>
  <c r="DD33" i="5" s="1"/>
  <c r="BU36" i="5"/>
  <c r="DD36" i="5" s="1"/>
  <c r="BU40" i="5"/>
  <c r="DD40" i="5" s="1"/>
  <c r="BU48" i="5"/>
  <c r="DD48" i="5" s="1"/>
  <c r="BU35" i="5"/>
  <c r="DD35" i="5" s="1"/>
  <c r="BU53" i="5"/>
  <c r="DD53" i="5" s="1"/>
  <c r="BU61" i="5"/>
  <c r="DD61" i="5" s="1"/>
  <c r="BU65" i="5"/>
  <c r="DD65" i="5" s="1"/>
  <c r="BU67" i="5"/>
  <c r="DD67" i="5" s="1"/>
  <c r="BU64" i="5"/>
  <c r="DD64" i="5" s="1"/>
  <c r="BU80" i="5"/>
  <c r="DD80" i="5" s="1"/>
  <c r="BU84" i="5"/>
  <c r="DD84" i="5" s="1"/>
  <c r="BU47" i="5"/>
  <c r="DD47" i="5" s="1"/>
  <c r="BU71" i="5"/>
  <c r="DD71" i="5" s="1"/>
  <c r="BU79" i="5"/>
  <c r="DD79" i="5" s="1"/>
  <c r="BU87" i="5"/>
  <c r="DD87" i="5" s="1"/>
  <c r="BU90" i="5"/>
  <c r="DD90" i="5" s="1"/>
  <c r="BU92" i="5"/>
  <c r="DD92" i="5" s="1"/>
  <c r="BU102" i="5"/>
  <c r="DD102" i="5" s="1"/>
  <c r="BU60" i="5"/>
  <c r="DD60" i="5" s="1"/>
  <c r="BU39" i="5"/>
  <c r="DD39" i="5" s="1"/>
  <c r="BU97" i="5"/>
  <c r="DD97" i="5" s="1"/>
  <c r="BU101" i="5"/>
  <c r="DD101" i="5" s="1"/>
  <c r="BU105" i="5"/>
  <c r="DD105" i="5" s="1"/>
  <c r="BU109" i="5"/>
  <c r="DD109" i="5" s="1"/>
  <c r="BU108" i="5"/>
  <c r="DD108" i="5" s="1"/>
  <c r="BU110" i="5"/>
  <c r="DD110" i="5" s="1"/>
  <c r="BU120" i="5"/>
  <c r="DD120" i="5" s="1"/>
  <c r="CK12" i="5"/>
  <c r="DT12" i="5" s="1"/>
  <c r="CK14" i="5"/>
  <c r="DT14" i="5" s="1"/>
  <c r="CK20" i="5"/>
  <c r="DT20" i="5" s="1"/>
  <c r="CK24" i="5"/>
  <c r="DT24" i="5" s="1"/>
  <c r="CK28" i="5"/>
  <c r="DT28" i="5" s="1"/>
  <c r="CK9" i="5"/>
  <c r="DT9" i="5" s="1"/>
  <c r="CK17" i="5"/>
  <c r="DT17" i="5" s="1"/>
  <c r="CK19" i="5"/>
  <c r="DT19" i="5" s="1"/>
  <c r="CK21" i="5"/>
  <c r="DT21" i="5" s="1"/>
  <c r="CK37" i="5"/>
  <c r="DT37" i="5" s="1"/>
  <c r="CK39" i="5"/>
  <c r="DT39" i="5" s="1"/>
  <c r="CK41" i="5"/>
  <c r="DT41" i="5" s="1"/>
  <c r="CK47" i="5"/>
  <c r="DT47" i="5" s="1"/>
  <c r="CK49" i="5"/>
  <c r="DT49" i="5" s="1"/>
  <c r="CK38" i="5"/>
  <c r="DT38" i="5" s="1"/>
  <c r="CK52" i="5"/>
  <c r="DT52" i="5" s="1"/>
  <c r="CK60" i="5"/>
  <c r="DT60" i="5" s="1"/>
  <c r="CK64" i="5"/>
  <c r="DT64" i="5" s="1"/>
  <c r="CK66" i="5"/>
  <c r="DT66" i="5" s="1"/>
  <c r="CK36" i="5"/>
  <c r="DT36" i="5" s="1"/>
  <c r="CK48" i="5"/>
  <c r="DT48" i="5" s="1"/>
  <c r="CK59" i="5"/>
  <c r="DT59" i="5" s="1"/>
  <c r="CK71" i="5"/>
  <c r="DT71" i="5" s="1"/>
  <c r="CK79" i="5"/>
  <c r="DT79" i="5" s="1"/>
  <c r="CK83" i="5"/>
  <c r="DT83" i="5" s="1"/>
  <c r="CK85" i="5"/>
  <c r="DT85" i="5" s="1"/>
  <c r="CK68" i="5"/>
  <c r="DT68" i="5" s="1"/>
  <c r="CK72" i="5"/>
  <c r="DT72" i="5" s="1"/>
  <c r="CK76" i="5"/>
  <c r="DT76" i="5" s="1"/>
  <c r="CK84" i="5"/>
  <c r="DT84" i="5" s="1"/>
  <c r="CK86" i="5"/>
  <c r="DT86" i="5" s="1"/>
  <c r="CK63" i="5"/>
  <c r="DT63" i="5" s="1"/>
  <c r="CK95" i="5"/>
  <c r="DT95" i="5" s="1"/>
  <c r="CK101" i="5"/>
  <c r="DT101" i="5" s="1"/>
  <c r="CK34" i="5"/>
  <c r="DT34" i="5" s="1"/>
  <c r="CK90" i="5"/>
  <c r="DT90" i="5" s="1"/>
  <c r="CK92" i="5"/>
  <c r="DT92" i="5" s="1"/>
  <c r="CK96" i="5"/>
  <c r="DT96" i="5" s="1"/>
  <c r="CK100" i="5"/>
  <c r="DT100" i="5" s="1"/>
  <c r="CK106" i="5"/>
  <c r="DT106" i="5" s="1"/>
  <c r="CK120" i="5"/>
  <c r="DT120" i="5" s="1"/>
  <c r="CK104" i="5"/>
  <c r="DT104" i="5" s="1"/>
  <c r="CK107" i="5"/>
  <c r="DT107" i="5" s="1"/>
  <c r="CK109" i="5"/>
  <c r="DT109" i="5" s="1"/>
  <c r="CK111" i="5"/>
  <c r="DT111" i="5" s="1"/>
  <c r="CK117" i="5"/>
  <c r="DT117" i="5" s="1"/>
  <c r="CK119" i="5"/>
  <c r="DT119" i="5" s="1"/>
  <c r="CY9" i="5"/>
  <c r="EH9" i="5" s="1"/>
  <c r="CY21" i="5"/>
  <c r="EH21" i="5" s="1"/>
  <c r="CY25" i="5"/>
  <c r="EH25" i="5" s="1"/>
  <c r="CY27" i="5"/>
  <c r="EH27" i="5" s="1"/>
  <c r="CY29" i="5"/>
  <c r="EH29" i="5" s="1"/>
  <c r="CY30" i="5"/>
  <c r="EH30" i="5" s="1"/>
  <c r="CY35" i="5"/>
  <c r="EH35" i="5" s="1"/>
  <c r="CY16" i="5"/>
  <c r="EH16" i="5" s="1"/>
  <c r="CY34" i="5"/>
  <c r="EH34" i="5" s="1"/>
  <c r="CY32" i="5"/>
  <c r="EH32" i="5" s="1"/>
  <c r="CY51" i="5"/>
  <c r="EH51" i="5" s="1"/>
  <c r="CY65" i="5"/>
  <c r="EH65" i="5" s="1"/>
  <c r="CY36" i="5"/>
  <c r="EH36" i="5" s="1"/>
  <c r="CY56" i="5"/>
  <c r="EH56" i="5" s="1"/>
  <c r="CY64" i="5"/>
  <c r="EH64" i="5" s="1"/>
  <c r="CY69" i="5"/>
  <c r="EH69" i="5" s="1"/>
  <c r="CY68" i="5"/>
  <c r="EH68" i="5" s="1"/>
  <c r="CY78" i="5"/>
  <c r="EH78" i="5" s="1"/>
  <c r="CY84" i="5"/>
  <c r="EH84" i="5" s="1"/>
  <c r="CY92" i="5"/>
  <c r="EH92" i="5" s="1"/>
  <c r="CY96" i="5"/>
  <c r="EH96" i="5" s="1"/>
  <c r="CY81" i="5"/>
  <c r="EH81" i="5" s="1"/>
  <c r="CY104" i="5"/>
  <c r="EH104" i="5" s="1"/>
  <c r="CY114" i="5"/>
  <c r="EH114" i="5" s="1"/>
  <c r="CY116" i="5"/>
  <c r="EH116" i="5" s="1"/>
  <c r="CY120" i="5"/>
  <c r="EH120" i="5" s="1"/>
  <c r="CY97" i="5"/>
  <c r="EH97" i="5" s="1"/>
  <c r="CY103" i="5"/>
  <c r="EH103" i="5" s="1"/>
  <c r="CQ11" i="5"/>
  <c r="DZ11" i="5" s="1"/>
  <c r="CQ23" i="5"/>
  <c r="DZ23" i="5" s="1"/>
  <c r="CQ33" i="5"/>
  <c r="DZ33" i="5" s="1"/>
  <c r="CQ47" i="5"/>
  <c r="DZ47" i="5" s="1"/>
  <c r="CQ49" i="5"/>
  <c r="DZ49" i="5" s="1"/>
  <c r="CQ24" i="5"/>
  <c r="DZ24" i="5" s="1"/>
  <c r="CQ22" i="5"/>
  <c r="DZ22" i="5" s="1"/>
  <c r="CQ30" i="5"/>
  <c r="DZ30" i="5" s="1"/>
  <c r="CQ50" i="5"/>
  <c r="DZ50" i="5" s="1"/>
  <c r="CQ53" i="5"/>
  <c r="DZ53" i="5" s="1"/>
  <c r="CQ67" i="5"/>
  <c r="DZ67" i="5" s="1"/>
  <c r="CQ34" i="5"/>
  <c r="DZ34" i="5" s="1"/>
  <c r="CQ42" i="5"/>
  <c r="DZ42" i="5" s="1"/>
  <c r="CQ79" i="5"/>
  <c r="DZ79" i="5" s="1"/>
  <c r="CQ78" i="5"/>
  <c r="DZ78" i="5" s="1"/>
  <c r="CQ82" i="5"/>
  <c r="DZ82" i="5" s="1"/>
  <c r="CQ44" i="5"/>
  <c r="DZ44" i="5" s="1"/>
  <c r="CQ88" i="5"/>
  <c r="DZ88" i="5" s="1"/>
  <c r="CQ96" i="5"/>
  <c r="DZ96" i="5" s="1"/>
  <c r="CQ85" i="5"/>
  <c r="DZ85" i="5" s="1"/>
  <c r="CQ102" i="5"/>
  <c r="DZ102" i="5" s="1"/>
  <c r="CQ114" i="5"/>
  <c r="DZ114" i="5" s="1"/>
  <c r="CQ118" i="5"/>
  <c r="DZ118" i="5" s="1"/>
  <c r="CQ103" i="5"/>
  <c r="DZ103" i="5" s="1"/>
  <c r="CQ109" i="5"/>
  <c r="DZ109" i="5" s="1"/>
  <c r="CI21" i="5"/>
  <c r="DR21" i="5" s="1"/>
  <c r="CI23" i="5"/>
  <c r="DR23" i="5" s="1"/>
  <c r="CI10" i="5"/>
  <c r="DR10" i="5" s="1"/>
  <c r="CI26" i="5"/>
  <c r="DR26" i="5" s="1"/>
  <c r="CI22" i="5"/>
  <c r="DR22" i="5" s="1"/>
  <c r="CI30" i="5"/>
  <c r="DR30" i="5" s="1"/>
  <c r="CI20" i="5"/>
  <c r="DR20" i="5" s="1"/>
  <c r="CI44" i="5"/>
  <c r="DR44" i="5" s="1"/>
  <c r="CI53" i="5"/>
  <c r="DR53" i="5" s="1"/>
  <c r="CI55" i="5"/>
  <c r="DR55" i="5" s="1"/>
  <c r="CI65" i="5"/>
  <c r="DR65" i="5" s="1"/>
  <c r="CI64" i="5"/>
  <c r="DR64" i="5" s="1"/>
  <c r="CI66" i="5"/>
  <c r="DR66" i="5" s="1"/>
  <c r="CI75" i="5"/>
  <c r="DR75" i="5" s="1"/>
  <c r="CI79" i="5"/>
  <c r="DR79" i="5" s="1"/>
  <c r="CI70" i="5"/>
  <c r="DR70" i="5" s="1"/>
  <c r="CI76" i="5"/>
  <c r="DR76" i="5" s="1"/>
  <c r="CI88" i="5"/>
  <c r="DR88" i="5" s="1"/>
  <c r="CI92" i="5"/>
  <c r="DR92" i="5" s="1"/>
  <c r="CI96" i="5"/>
  <c r="DR96" i="5" s="1"/>
  <c r="CI91" i="5"/>
  <c r="DR91" i="5" s="1"/>
  <c r="CI93" i="5"/>
  <c r="DR93" i="5" s="1"/>
  <c r="CI100" i="5"/>
  <c r="DR100" i="5" s="1"/>
  <c r="CI106" i="5"/>
  <c r="DR106" i="5" s="1"/>
  <c r="CI114" i="5"/>
  <c r="DR114" i="5" s="1"/>
  <c r="CI116" i="5"/>
  <c r="DR116" i="5" s="1"/>
  <c r="CI120" i="5"/>
  <c r="DR120" i="5" s="1"/>
  <c r="CI99" i="5"/>
  <c r="DR99" i="5" s="1"/>
  <c r="CI98" i="5"/>
  <c r="DR98" i="5" s="1"/>
  <c r="CI95" i="5"/>
  <c r="DR95" i="5" s="1"/>
  <c r="CI115" i="5"/>
  <c r="DR115" i="5" s="1"/>
  <c r="CI8" i="5"/>
  <c r="DR8" i="5" s="1"/>
  <c r="BW15" i="5"/>
  <c r="DF15" i="5" s="1"/>
  <c r="BW19" i="5"/>
  <c r="DF19" i="5" s="1"/>
  <c r="BW24" i="5"/>
  <c r="DF24" i="5" s="1"/>
  <c r="BW47" i="5"/>
  <c r="DF47" i="5" s="1"/>
  <c r="BW49" i="5"/>
  <c r="DF49" i="5" s="1"/>
  <c r="BW51" i="5"/>
  <c r="DF51" i="5" s="1"/>
  <c r="BW33" i="5"/>
  <c r="DF33" i="5" s="1"/>
  <c r="BW20" i="5"/>
  <c r="DF20" i="5" s="1"/>
  <c r="BW44" i="5"/>
  <c r="DF44" i="5" s="1"/>
  <c r="BW34" i="5"/>
  <c r="DF34" i="5" s="1"/>
  <c r="BW61" i="5"/>
  <c r="DF61" i="5" s="1"/>
  <c r="BW65" i="5"/>
  <c r="DF65" i="5" s="1"/>
  <c r="BW67" i="5"/>
  <c r="DF67" i="5" s="1"/>
  <c r="BW60" i="5"/>
  <c r="DF60" i="5" s="1"/>
  <c r="BW62" i="5"/>
  <c r="DF62" i="5" s="1"/>
  <c r="BW64" i="5"/>
  <c r="DF64" i="5" s="1"/>
  <c r="BW71" i="5"/>
  <c r="DF71" i="5" s="1"/>
  <c r="BW75" i="5"/>
  <c r="DF75" i="5" s="1"/>
  <c r="BW76" i="5"/>
  <c r="DF76" i="5" s="1"/>
  <c r="BW83" i="5"/>
  <c r="DF83" i="5" s="1"/>
  <c r="BW88" i="5"/>
  <c r="DF88" i="5" s="1"/>
  <c r="BW85" i="5"/>
  <c r="DF85" i="5" s="1"/>
  <c r="BW87" i="5"/>
  <c r="DF87" i="5" s="1"/>
  <c r="BW91" i="5"/>
  <c r="DF91" i="5" s="1"/>
  <c r="BW93" i="5"/>
  <c r="DF93" i="5" s="1"/>
  <c r="BW97" i="5"/>
  <c r="DF97" i="5" s="1"/>
  <c r="BW108" i="5"/>
  <c r="DF108" i="5" s="1"/>
  <c r="BW110" i="5"/>
  <c r="DF110" i="5" s="1"/>
  <c r="BW112" i="5"/>
  <c r="DF112" i="5" s="1"/>
  <c r="BW114" i="5"/>
  <c r="DF114" i="5" s="1"/>
  <c r="BW116" i="5"/>
  <c r="DF116" i="5" s="1"/>
  <c r="BW99" i="5"/>
  <c r="DF99" i="5" s="1"/>
  <c r="BW104" i="5"/>
  <c r="DF104" i="5" s="1"/>
  <c r="BW107" i="5"/>
  <c r="DF107" i="5" s="1"/>
  <c r="BW115" i="5"/>
  <c r="DF115" i="5" s="1"/>
  <c r="CX11" i="5"/>
  <c r="EG11" i="5" s="1"/>
  <c r="CX17" i="5"/>
  <c r="EG17" i="5" s="1"/>
  <c r="CX19" i="5"/>
  <c r="EG19" i="5" s="1"/>
  <c r="CX29" i="5"/>
  <c r="EG29" i="5" s="1"/>
  <c r="CX31" i="5"/>
  <c r="EG31" i="5" s="1"/>
  <c r="CX10" i="5"/>
  <c r="EG10" i="5" s="1"/>
  <c r="CX14" i="5"/>
  <c r="EG14" i="5" s="1"/>
  <c r="CX24" i="5"/>
  <c r="EG24" i="5" s="1"/>
  <c r="CX37" i="5"/>
  <c r="EG37" i="5" s="1"/>
  <c r="CX41" i="5"/>
  <c r="EG41" i="5" s="1"/>
  <c r="CX34" i="5"/>
  <c r="EG34" i="5" s="1"/>
  <c r="CX38" i="5"/>
  <c r="EG38" i="5" s="1"/>
  <c r="CX42" i="5"/>
  <c r="EG42" i="5" s="1"/>
  <c r="CX44" i="5"/>
  <c r="EG44" i="5" s="1"/>
  <c r="CX53" i="5"/>
  <c r="EG53" i="5" s="1"/>
  <c r="CX57" i="5"/>
  <c r="EG57" i="5" s="1"/>
  <c r="CX65" i="5"/>
  <c r="EG65" i="5" s="1"/>
  <c r="CX67" i="5"/>
  <c r="EG67" i="5" s="1"/>
  <c r="CX56" i="5"/>
  <c r="EG56" i="5" s="1"/>
  <c r="CX49" i="5"/>
  <c r="EG49" i="5" s="1"/>
  <c r="CX68" i="5"/>
  <c r="EG68" i="5" s="1"/>
  <c r="CX72" i="5"/>
  <c r="EG72" i="5" s="1"/>
  <c r="CX76" i="5"/>
  <c r="EG76" i="5" s="1"/>
  <c r="CX84" i="5"/>
  <c r="EG84" i="5" s="1"/>
  <c r="CX88" i="5"/>
  <c r="EG88" i="5" s="1"/>
  <c r="CX96" i="5"/>
  <c r="EG96" i="5" s="1"/>
  <c r="CX100" i="5"/>
  <c r="EG100" i="5" s="1"/>
  <c r="CX87" i="5"/>
  <c r="EG87" i="5" s="1"/>
  <c r="CX91" i="5"/>
  <c r="EG91" i="5" s="1"/>
  <c r="CX93" i="5"/>
  <c r="EG93" i="5" s="1"/>
  <c r="CX99" i="5"/>
  <c r="EG99" i="5" s="1"/>
  <c r="CX107" i="5"/>
  <c r="EG107" i="5" s="1"/>
  <c r="CX117" i="5"/>
  <c r="EG117" i="5" s="1"/>
  <c r="CX66" i="5"/>
  <c r="EG66" i="5" s="1"/>
  <c r="CX110" i="5"/>
  <c r="EG110" i="5" s="1"/>
  <c r="CX114" i="5"/>
  <c r="EG114" i="5" s="1"/>
  <c r="CP11" i="5"/>
  <c r="DY11" i="5" s="1"/>
  <c r="CP15" i="5"/>
  <c r="DY15" i="5" s="1"/>
  <c r="CP25" i="5"/>
  <c r="DY25" i="5" s="1"/>
  <c r="CP31" i="5"/>
  <c r="DY31" i="5" s="1"/>
  <c r="CP20" i="5"/>
  <c r="DY20" i="5" s="1"/>
  <c r="CP24" i="5"/>
  <c r="DY24" i="5" s="1"/>
  <c r="CP28" i="5"/>
  <c r="DY28" i="5" s="1"/>
  <c r="CP35" i="5"/>
  <c r="DY35" i="5" s="1"/>
  <c r="CP39" i="5"/>
  <c r="DY39" i="5" s="1"/>
  <c r="CP41" i="5"/>
  <c r="DY41" i="5" s="1"/>
  <c r="CP36" i="5"/>
  <c r="DY36" i="5" s="1"/>
  <c r="CP40" i="5"/>
  <c r="DY40" i="5" s="1"/>
  <c r="CP51" i="5"/>
  <c r="DY51" i="5" s="1"/>
  <c r="CP59" i="5"/>
  <c r="DY59" i="5" s="1"/>
  <c r="CP52" i="5"/>
  <c r="DY52" i="5" s="1"/>
  <c r="CP56" i="5"/>
  <c r="DY56" i="5" s="1"/>
  <c r="CP60" i="5"/>
  <c r="DY60" i="5" s="1"/>
  <c r="CP64" i="5"/>
  <c r="DY64" i="5" s="1"/>
  <c r="CP70" i="5"/>
  <c r="DY70" i="5" s="1"/>
  <c r="CP74" i="5"/>
  <c r="DY74" i="5" s="1"/>
  <c r="CP82" i="5"/>
  <c r="DY82" i="5" s="1"/>
  <c r="CP86" i="5"/>
  <c r="DY86" i="5" s="1"/>
  <c r="CP73" i="5"/>
  <c r="DY73" i="5" s="1"/>
  <c r="CP96" i="5"/>
  <c r="DY96" i="5" s="1"/>
  <c r="CP79" i="5"/>
  <c r="DY79" i="5" s="1"/>
  <c r="CP85" i="5"/>
  <c r="DY85" i="5" s="1"/>
  <c r="CP97" i="5"/>
  <c r="DY97" i="5" s="1"/>
  <c r="CP103" i="5"/>
  <c r="DY103" i="5" s="1"/>
  <c r="CP109" i="5"/>
  <c r="DY109" i="5" s="1"/>
  <c r="CP113" i="5"/>
  <c r="DY113" i="5" s="1"/>
  <c r="CP106" i="5"/>
  <c r="DY106" i="5" s="1"/>
  <c r="CP110" i="5"/>
  <c r="DY110" i="5" s="1"/>
  <c r="CP112" i="5"/>
  <c r="DY112" i="5" s="1"/>
  <c r="CH13" i="5"/>
  <c r="DQ13" i="5" s="1"/>
  <c r="CH25" i="5"/>
  <c r="DQ25" i="5" s="1"/>
  <c r="CH29" i="5"/>
  <c r="DQ29" i="5" s="1"/>
  <c r="CH18" i="5"/>
  <c r="DQ18" i="5" s="1"/>
  <c r="CH20" i="5"/>
  <c r="DQ20" i="5" s="1"/>
  <c r="CH22" i="5"/>
  <c r="DQ22" i="5" s="1"/>
  <c r="CH24" i="5"/>
  <c r="DQ24" i="5" s="1"/>
  <c r="CH33" i="5"/>
  <c r="DQ33" i="5" s="1"/>
  <c r="CH37" i="5"/>
  <c r="DQ37" i="5" s="1"/>
  <c r="CH41" i="5"/>
  <c r="DQ41" i="5" s="1"/>
  <c r="CH34" i="5"/>
  <c r="DQ34" i="5" s="1"/>
  <c r="CH38" i="5"/>
  <c r="DQ38" i="5" s="1"/>
  <c r="CH42" i="5"/>
  <c r="DQ42" i="5" s="1"/>
  <c r="CH46" i="5"/>
  <c r="DQ46" i="5" s="1"/>
  <c r="CH48" i="5"/>
  <c r="DQ48" i="5" s="1"/>
  <c r="CH50" i="5"/>
  <c r="DQ50" i="5" s="1"/>
  <c r="CH53" i="5"/>
  <c r="DQ53" i="5" s="1"/>
  <c r="CH57" i="5"/>
  <c r="DQ57" i="5" s="1"/>
  <c r="CH65" i="5"/>
  <c r="DQ65" i="5" s="1"/>
  <c r="CH52" i="5"/>
  <c r="DQ52" i="5" s="1"/>
  <c r="CH64" i="5"/>
  <c r="DQ64" i="5" s="1"/>
  <c r="CH49" i="5"/>
  <c r="DQ49" i="5" s="1"/>
  <c r="CH80" i="5"/>
  <c r="DQ80" i="5" s="1"/>
  <c r="CH84" i="5"/>
  <c r="DQ84" i="5" s="1"/>
  <c r="CH94" i="5"/>
  <c r="DQ94" i="5" s="1"/>
  <c r="CH95" i="5"/>
  <c r="DQ95" i="5" s="1"/>
  <c r="CH99" i="5"/>
  <c r="DQ99" i="5" s="1"/>
  <c r="CH101" i="5"/>
  <c r="DQ101" i="5" s="1"/>
  <c r="CH81" i="5"/>
  <c r="DQ81" i="5" s="1"/>
  <c r="CH105" i="5"/>
  <c r="DQ105" i="5" s="1"/>
  <c r="CH107" i="5"/>
  <c r="DQ107" i="5" s="1"/>
  <c r="CH109" i="5"/>
  <c r="DQ109" i="5" s="1"/>
  <c r="CH106" i="5"/>
  <c r="DQ106" i="5" s="1"/>
  <c r="CH108" i="5"/>
  <c r="DQ108" i="5" s="1"/>
  <c r="CH112" i="5"/>
  <c r="DQ112" i="5" s="1"/>
  <c r="CH116" i="5"/>
  <c r="DQ116" i="5" s="1"/>
  <c r="CH120" i="5"/>
  <c r="DQ120" i="5" s="1"/>
  <c r="BV11" i="5"/>
  <c r="DE11" i="5" s="1"/>
  <c r="BV23" i="5"/>
  <c r="DE23" i="5" s="1"/>
  <c r="BV29" i="5"/>
  <c r="DE29" i="5" s="1"/>
  <c r="BV31" i="5"/>
  <c r="DE31" i="5" s="1"/>
  <c r="BV12" i="5"/>
  <c r="DE12" i="5" s="1"/>
  <c r="BV14" i="5"/>
  <c r="DE14" i="5" s="1"/>
  <c r="BV18" i="5"/>
  <c r="DE18" i="5" s="1"/>
  <c r="BV20" i="5"/>
  <c r="DE20" i="5" s="1"/>
  <c r="BV30" i="5"/>
  <c r="DE30" i="5" s="1"/>
  <c r="BV35" i="5"/>
  <c r="DE35" i="5" s="1"/>
  <c r="BV47" i="5"/>
  <c r="DE47" i="5" s="1"/>
  <c r="BV36" i="5"/>
  <c r="DE36" i="5" s="1"/>
  <c r="BV38" i="5"/>
  <c r="DE38" i="5" s="1"/>
  <c r="BV46" i="5"/>
  <c r="DE46" i="5" s="1"/>
  <c r="BV48" i="5"/>
  <c r="DE48" i="5" s="1"/>
  <c r="BV53" i="5"/>
  <c r="DE53" i="5" s="1"/>
  <c r="BV65" i="5"/>
  <c r="DE65" i="5" s="1"/>
  <c r="BV51" i="5"/>
  <c r="DE51" i="5" s="1"/>
  <c r="BV52" i="5"/>
  <c r="DE52" i="5" s="1"/>
  <c r="BV62" i="5"/>
  <c r="DE62" i="5" s="1"/>
  <c r="BV64" i="5"/>
  <c r="DE64" i="5" s="1"/>
  <c r="BV66" i="5"/>
  <c r="DE66" i="5" s="1"/>
  <c r="BV78" i="5"/>
  <c r="DE78" i="5" s="1"/>
  <c r="BV80" i="5"/>
  <c r="DE80" i="5" s="1"/>
  <c r="BV82" i="5"/>
  <c r="DE82" i="5" s="1"/>
  <c r="BV86" i="5"/>
  <c r="DE86" i="5" s="1"/>
  <c r="BV83" i="5"/>
  <c r="DE83" i="5" s="1"/>
  <c r="BV69" i="5"/>
  <c r="DE69" i="5" s="1"/>
  <c r="BV77" i="5"/>
  <c r="DE77" i="5" s="1"/>
  <c r="BV88" i="5"/>
  <c r="DE88" i="5" s="1"/>
  <c r="BV90" i="5"/>
  <c r="DE90" i="5" s="1"/>
  <c r="BV94" i="5"/>
  <c r="DE94" i="5" s="1"/>
  <c r="BV102" i="5"/>
  <c r="DE102" i="5" s="1"/>
  <c r="BV73" i="5"/>
  <c r="DE73" i="5" s="1"/>
  <c r="BV91" i="5"/>
  <c r="DE91" i="5" s="1"/>
  <c r="BV93" i="5"/>
  <c r="DE93" i="5" s="1"/>
  <c r="BV95" i="5"/>
  <c r="DE95" i="5" s="1"/>
  <c r="BV97" i="5"/>
  <c r="DE97" i="5" s="1"/>
  <c r="BV107" i="5"/>
  <c r="DE107" i="5" s="1"/>
  <c r="BV111" i="5"/>
  <c r="DE111" i="5" s="1"/>
  <c r="BV79" i="5"/>
  <c r="DE79" i="5" s="1"/>
  <c r="BV108" i="5"/>
  <c r="DE108" i="5" s="1"/>
  <c r="BV110" i="5"/>
  <c r="DE110" i="5" s="1"/>
  <c r="BV116" i="5"/>
  <c r="DE116" i="5" s="1"/>
  <c r="BV118" i="5"/>
  <c r="DE118" i="5" s="1"/>
  <c r="CM69" i="5"/>
  <c r="DV69" i="5" s="1"/>
  <c r="CM90" i="5"/>
  <c r="DV90" i="5" s="1"/>
  <c r="CM115" i="5"/>
  <c r="DV115" i="5" s="1"/>
  <c r="BS85" i="5"/>
  <c r="DB85" i="5" s="1"/>
  <c r="CT16" i="5"/>
  <c r="EC16" i="5" s="1"/>
  <c r="CT15" i="5"/>
  <c r="EC15" i="5" s="1"/>
  <c r="CT31" i="5"/>
  <c r="EC31" i="5" s="1"/>
  <c r="CT33" i="5"/>
  <c r="EC33" i="5" s="1"/>
  <c r="CT72" i="5"/>
  <c r="EC72" i="5" s="1"/>
  <c r="CT77" i="5"/>
  <c r="EC77" i="5" s="1"/>
  <c r="CT86" i="5"/>
  <c r="EC86" i="5" s="1"/>
  <c r="CT104" i="5"/>
  <c r="EC104" i="5" s="1"/>
  <c r="CT112" i="5"/>
  <c r="EC112" i="5" s="1"/>
  <c r="CT63" i="5"/>
  <c r="EC63" i="5" s="1"/>
  <c r="CT105" i="5"/>
  <c r="EC105" i="5" s="1"/>
  <c r="CL69" i="5"/>
  <c r="DU69" i="5" s="1"/>
  <c r="CL119" i="5"/>
  <c r="DU119" i="5" s="1"/>
  <c r="CD32" i="5"/>
  <c r="DM32" i="5" s="1"/>
  <c r="CD47" i="5"/>
  <c r="DM47" i="5" s="1"/>
  <c r="CD75" i="5"/>
  <c r="DM75" i="5" s="1"/>
  <c r="CD69" i="5"/>
  <c r="DM69" i="5" s="1"/>
  <c r="CD102" i="5"/>
  <c r="DM102" i="5" s="1"/>
  <c r="BR9" i="5"/>
  <c r="DA9" i="5" s="1"/>
  <c r="BR25" i="5"/>
  <c r="DA25" i="5" s="1"/>
  <c r="BR32" i="5"/>
  <c r="DA32" i="5" s="1"/>
  <c r="CZ28" i="5"/>
  <c r="EI28" i="5" s="1"/>
  <c r="CZ25" i="5"/>
  <c r="EI25" i="5" s="1"/>
  <c r="CZ36" i="5"/>
  <c r="EI36" i="5" s="1"/>
  <c r="CZ35" i="5"/>
  <c r="EI35" i="5" s="1"/>
  <c r="CZ59" i="5"/>
  <c r="EI59" i="5" s="1"/>
  <c r="CZ56" i="5"/>
  <c r="EI56" i="5" s="1"/>
  <c r="CZ33" i="5"/>
  <c r="EI33" i="5" s="1"/>
  <c r="CZ64" i="5"/>
  <c r="EI64" i="5" s="1"/>
  <c r="CZ70" i="5"/>
  <c r="EI70" i="5" s="1"/>
  <c r="CZ94" i="5"/>
  <c r="EI94" i="5" s="1"/>
  <c r="CZ74" i="5"/>
  <c r="EI74" i="5" s="1"/>
  <c r="CZ97" i="5"/>
  <c r="EI97" i="5" s="1"/>
  <c r="CR15" i="5"/>
  <c r="EA15" i="5" s="1"/>
  <c r="CR29" i="5"/>
  <c r="EA29" i="5" s="1"/>
  <c r="CR16" i="5"/>
  <c r="EA16" i="5" s="1"/>
  <c r="CR49" i="5"/>
  <c r="EA49" i="5" s="1"/>
  <c r="CR55" i="5"/>
  <c r="EA55" i="5" s="1"/>
  <c r="CR41" i="5"/>
  <c r="EA41" i="5" s="1"/>
  <c r="CR66" i="5"/>
  <c r="EA66" i="5" s="1"/>
  <c r="CR84" i="5"/>
  <c r="EA84" i="5" s="1"/>
  <c r="CR92" i="5"/>
  <c r="EA92" i="5" s="1"/>
  <c r="CR82" i="5"/>
  <c r="EA82" i="5" s="1"/>
  <c r="CR115" i="5"/>
  <c r="EA115" i="5" s="1"/>
  <c r="CR111" i="5"/>
  <c r="EA111" i="5" s="1"/>
  <c r="CJ29" i="5"/>
  <c r="DS29" i="5" s="1"/>
  <c r="CJ9" i="5"/>
  <c r="DS9" i="5" s="1"/>
  <c r="CJ24" i="5"/>
  <c r="DS24" i="5" s="1"/>
  <c r="CJ50" i="5"/>
  <c r="DS50" i="5" s="1"/>
  <c r="CJ58" i="5"/>
  <c r="DS58" i="5" s="1"/>
  <c r="CJ63" i="5"/>
  <c r="DS63" i="5" s="1"/>
  <c r="CJ66" i="5"/>
  <c r="DS66" i="5" s="1"/>
  <c r="CJ106" i="5"/>
  <c r="DS106" i="5" s="1"/>
  <c r="CJ119" i="5"/>
  <c r="DS119" i="5" s="1"/>
  <c r="CB27" i="5"/>
  <c r="DK27" i="5" s="1"/>
  <c r="CB9" i="5"/>
  <c r="DK9" i="5" s="1"/>
  <c r="CB44" i="5"/>
  <c r="DK44" i="5" s="1"/>
  <c r="CB35" i="5"/>
  <c r="DK35" i="5" s="1"/>
  <c r="CB31" i="5"/>
  <c r="DK31" i="5" s="1"/>
  <c r="CB42" i="5"/>
  <c r="DK42" i="5" s="1"/>
  <c r="CB49" i="5"/>
  <c r="DK49" i="5" s="1"/>
  <c r="CB41" i="5"/>
  <c r="DK41" i="5" s="1"/>
  <c r="CB52" i="5"/>
  <c r="DK52" i="5" s="1"/>
  <c r="CB63" i="5"/>
  <c r="DK63" i="5" s="1"/>
  <c r="CB109" i="5"/>
  <c r="DK109" i="5" s="1"/>
  <c r="CB98" i="5"/>
  <c r="DK98" i="5" s="1"/>
  <c r="CE17" i="5"/>
  <c r="DN17" i="5" s="1"/>
  <c r="CE25" i="5"/>
  <c r="DN25" i="5" s="1"/>
  <c r="CE30" i="5"/>
  <c r="DN30" i="5" s="1"/>
  <c r="CE12" i="5"/>
  <c r="DN12" i="5" s="1"/>
  <c r="CE11" i="5"/>
  <c r="DN11" i="5" s="1"/>
  <c r="CE32" i="5"/>
  <c r="DN32" i="5" s="1"/>
  <c r="CE40" i="5"/>
  <c r="DN40" i="5" s="1"/>
  <c r="CE31" i="5"/>
  <c r="DN31" i="5" s="1"/>
  <c r="CE46" i="5"/>
  <c r="DN46" i="5" s="1"/>
  <c r="CE35" i="5"/>
  <c r="DN35" i="5" s="1"/>
  <c r="CE43" i="5"/>
  <c r="DN43" i="5" s="1"/>
  <c r="CE62" i="5"/>
  <c r="DN62" i="5" s="1"/>
  <c r="CE52" i="5"/>
  <c r="DN52" i="5" s="1"/>
  <c r="CE60" i="5"/>
  <c r="DN60" i="5" s="1"/>
  <c r="CE59" i="5"/>
  <c r="DN59" i="5" s="1"/>
  <c r="CE48" i="5"/>
  <c r="DN48" i="5" s="1"/>
  <c r="CE55" i="5"/>
  <c r="DN55" i="5" s="1"/>
  <c r="CE42" i="5"/>
  <c r="DN42" i="5" s="1"/>
  <c r="CE50" i="5"/>
  <c r="DN50" i="5" s="1"/>
  <c r="CE49" i="5"/>
  <c r="DN49" i="5" s="1"/>
  <c r="CE64" i="5"/>
  <c r="DN64" i="5" s="1"/>
  <c r="CE77" i="5"/>
  <c r="DN77" i="5" s="1"/>
  <c r="CE80" i="5"/>
  <c r="DN80" i="5" s="1"/>
  <c r="CE72" i="5"/>
  <c r="DN72" i="5" s="1"/>
  <c r="CE83" i="5"/>
  <c r="DN83" i="5" s="1"/>
  <c r="CE91" i="5"/>
  <c r="DN91" i="5" s="1"/>
  <c r="CE113" i="5"/>
  <c r="DN113" i="5" s="1"/>
  <c r="CE109" i="5"/>
  <c r="DN109" i="5" s="1"/>
  <c r="CE104" i="5"/>
  <c r="DN104" i="5" s="1"/>
  <c r="CE111" i="5"/>
  <c r="DN111" i="5" s="1"/>
  <c r="CE102" i="5"/>
  <c r="DN102" i="5" s="1"/>
  <c r="CE118" i="5"/>
  <c r="DN118" i="5" s="1"/>
  <c r="CE99" i="5"/>
  <c r="DN99" i="5" s="1"/>
  <c r="CE107" i="5"/>
  <c r="DN107" i="5" s="1"/>
  <c r="CE101" i="5"/>
  <c r="DN101" i="5" s="1"/>
  <c r="CE114" i="5"/>
  <c r="DN114" i="5" s="1"/>
  <c r="CE8" i="5"/>
  <c r="DN8" i="5" s="1"/>
  <c r="CY10" i="5"/>
  <c r="EH10" i="5" s="1"/>
  <c r="CY24" i="5"/>
  <c r="EH24" i="5" s="1"/>
  <c r="CY33" i="5"/>
  <c r="EH33" i="5" s="1"/>
  <c r="CY70" i="5"/>
  <c r="EH70" i="5" s="1"/>
  <c r="CY15" i="5"/>
  <c r="EH15" i="5" s="1"/>
  <c r="CY44" i="5"/>
  <c r="EH44" i="5" s="1"/>
  <c r="CY74" i="5"/>
  <c r="EH74" i="5" s="1"/>
  <c r="CY83" i="5"/>
  <c r="EH83" i="5" s="1"/>
  <c r="CY86" i="5"/>
  <c r="EH86" i="5" s="1"/>
  <c r="CY88" i="5"/>
  <c r="EH88" i="5" s="1"/>
  <c r="CY100" i="5"/>
  <c r="EH100" i="5" s="1"/>
  <c r="CY108" i="5"/>
  <c r="EH108" i="5" s="1"/>
  <c r="CY99" i="5"/>
  <c r="EH99" i="5" s="1"/>
  <c r="CY94" i="5"/>
  <c r="EH94" i="5" s="1"/>
  <c r="CQ13" i="5"/>
  <c r="DZ13" i="5" s="1"/>
  <c r="CQ31" i="5"/>
  <c r="DZ31" i="5" s="1"/>
  <c r="CQ55" i="5"/>
  <c r="DZ55" i="5" s="1"/>
  <c r="CQ59" i="5"/>
  <c r="DZ59" i="5" s="1"/>
  <c r="CQ62" i="5"/>
  <c r="DZ62" i="5" s="1"/>
  <c r="CQ74" i="5"/>
  <c r="DZ74" i="5" s="1"/>
  <c r="CQ81" i="5"/>
  <c r="DZ81" i="5" s="1"/>
  <c r="CQ101" i="5"/>
  <c r="DZ101" i="5" s="1"/>
  <c r="CQ108" i="5"/>
  <c r="DZ108" i="5" s="1"/>
  <c r="CQ99" i="5"/>
  <c r="DZ99" i="5" s="1"/>
  <c r="CI19" i="5"/>
  <c r="DR19" i="5" s="1"/>
  <c r="CI18" i="5"/>
  <c r="DR18" i="5" s="1"/>
  <c r="CI34" i="5"/>
  <c r="DR34" i="5" s="1"/>
  <c r="CI50" i="5"/>
  <c r="DR50" i="5" s="1"/>
  <c r="CI56" i="5"/>
  <c r="DR56" i="5" s="1"/>
  <c r="CI54" i="5"/>
  <c r="DR54" i="5" s="1"/>
  <c r="CI82" i="5"/>
  <c r="DR82" i="5" s="1"/>
  <c r="CI90" i="5"/>
  <c r="DR90" i="5" s="1"/>
  <c r="CI101" i="5"/>
  <c r="DR101" i="5" s="1"/>
  <c r="CI109" i="5"/>
  <c r="DR109" i="5" s="1"/>
  <c r="BW14" i="5"/>
  <c r="DF14" i="5" s="1"/>
  <c r="BW28" i="5"/>
  <c r="DF28" i="5" s="1"/>
  <c r="BW11" i="5"/>
  <c r="DF11" i="5" s="1"/>
  <c r="BW9" i="5"/>
  <c r="DF9" i="5" s="1"/>
  <c r="BW50" i="5"/>
  <c r="DF50" i="5" s="1"/>
  <c r="BW58" i="5"/>
  <c r="DF58" i="5" s="1"/>
  <c r="BW25" i="5"/>
  <c r="DF25" i="5" s="1"/>
  <c r="BW69" i="5"/>
  <c r="DF69" i="5" s="1"/>
  <c r="BW82" i="5"/>
  <c r="DF82" i="5" s="1"/>
  <c r="BW86" i="5"/>
  <c r="DF86" i="5" s="1"/>
  <c r="BW120" i="5"/>
  <c r="DF120" i="5" s="1"/>
  <c r="CS16" i="5"/>
  <c r="EB16" i="5" s="1"/>
  <c r="CS14" i="5"/>
  <c r="EB14" i="5" s="1"/>
  <c r="CS22" i="5"/>
  <c r="EB22" i="5" s="1"/>
  <c r="CS29" i="5"/>
  <c r="EB29" i="5" s="1"/>
  <c r="CS20" i="5"/>
  <c r="EB20" i="5" s="1"/>
  <c r="CS10" i="5"/>
  <c r="EB10" i="5" s="1"/>
  <c r="CS18" i="5"/>
  <c r="EB18" i="5" s="1"/>
  <c r="CS26" i="5"/>
  <c r="EB26" i="5" s="1"/>
  <c r="CS27" i="5"/>
  <c r="EB27" i="5" s="1"/>
  <c r="CS31" i="5"/>
  <c r="EB31" i="5" s="1"/>
  <c r="CS39" i="5"/>
  <c r="EB39" i="5" s="1"/>
  <c r="CS45" i="5"/>
  <c r="EB45" i="5" s="1"/>
  <c r="CS17" i="5"/>
  <c r="EB17" i="5" s="1"/>
  <c r="CS30" i="5"/>
  <c r="EB30" i="5" s="1"/>
  <c r="CS33" i="5"/>
  <c r="EB33" i="5" s="1"/>
  <c r="CS32" i="5"/>
  <c r="EB32" i="5" s="1"/>
  <c r="CS46" i="5"/>
  <c r="EB46" i="5" s="1"/>
  <c r="CS52" i="5"/>
  <c r="EB52" i="5" s="1"/>
  <c r="CS60" i="5"/>
  <c r="EB60" i="5" s="1"/>
  <c r="CS35" i="5"/>
  <c r="EB35" i="5" s="1"/>
  <c r="CS50" i="5"/>
  <c r="EB50" i="5" s="1"/>
  <c r="CS58" i="5"/>
  <c r="EB58" i="5" s="1"/>
  <c r="CS34" i="5"/>
  <c r="EB34" i="5" s="1"/>
  <c r="CS49" i="5"/>
  <c r="EB49" i="5" s="1"/>
  <c r="CS54" i="5"/>
  <c r="EB54" i="5" s="1"/>
  <c r="CS11" i="5"/>
  <c r="EB11" i="5" s="1"/>
  <c r="CS56" i="5"/>
  <c r="EB56" i="5" s="1"/>
  <c r="CS66" i="5"/>
  <c r="EB66" i="5" s="1"/>
  <c r="CS47" i="5"/>
  <c r="EB47" i="5" s="1"/>
  <c r="CS43" i="5"/>
  <c r="EB43" i="5" s="1"/>
  <c r="CS67" i="5"/>
  <c r="EB67" i="5" s="1"/>
  <c r="CS79" i="5"/>
  <c r="EB79" i="5" s="1"/>
  <c r="CS86" i="5"/>
  <c r="EB86" i="5" s="1"/>
  <c r="CS78" i="5"/>
  <c r="EB78" i="5" s="1"/>
  <c r="CS93" i="5"/>
  <c r="EB93" i="5" s="1"/>
  <c r="CS69" i="5"/>
  <c r="EB69" i="5" s="1"/>
  <c r="CS77" i="5"/>
  <c r="EB77" i="5" s="1"/>
  <c r="CS80" i="5"/>
  <c r="EB80" i="5" s="1"/>
  <c r="CS88" i="5"/>
  <c r="EB88" i="5" s="1"/>
  <c r="CS95" i="5"/>
  <c r="EB95" i="5" s="1"/>
  <c r="CS102" i="5"/>
  <c r="EB102" i="5" s="1"/>
  <c r="CS110" i="5"/>
  <c r="EB110" i="5" s="1"/>
  <c r="CS118" i="5"/>
  <c r="EB118" i="5" s="1"/>
  <c r="CS100" i="5"/>
  <c r="EB100" i="5" s="1"/>
  <c r="CS91" i="5"/>
  <c r="EB91" i="5" s="1"/>
  <c r="CS97" i="5"/>
  <c r="EB97" i="5" s="1"/>
  <c r="CS105" i="5"/>
  <c r="EB105" i="5" s="1"/>
  <c r="CS113" i="5"/>
  <c r="EB113" i="5" s="1"/>
  <c r="CS98" i="5"/>
  <c r="EB98" i="5" s="1"/>
  <c r="CS106" i="5"/>
  <c r="EB106" i="5" s="1"/>
  <c r="CS114" i="5"/>
  <c r="EB114" i="5" s="1"/>
  <c r="CS90" i="5"/>
  <c r="EB90" i="5" s="1"/>
  <c r="CS104" i="5"/>
  <c r="EB104" i="5" s="1"/>
  <c r="CS94" i="5"/>
  <c r="EB94" i="5" s="1"/>
  <c r="CS115" i="5"/>
  <c r="EB115" i="5" s="1"/>
  <c r="CS8" i="5"/>
  <c r="EB8" i="5" s="1"/>
  <c r="CX25" i="5"/>
  <c r="EG25" i="5" s="1"/>
  <c r="CX15" i="5"/>
  <c r="EG15" i="5" s="1"/>
  <c r="CX39" i="5"/>
  <c r="EG39" i="5" s="1"/>
  <c r="CX50" i="5"/>
  <c r="EG50" i="5" s="1"/>
  <c r="CX71" i="5"/>
  <c r="EG71" i="5" s="1"/>
  <c r="CX90" i="5"/>
  <c r="EG90" i="5" s="1"/>
  <c r="CX81" i="5"/>
  <c r="EG81" i="5" s="1"/>
  <c r="CX116" i="5"/>
  <c r="EG116" i="5" s="1"/>
  <c r="CX103" i="5"/>
  <c r="EG103" i="5" s="1"/>
  <c r="CX112" i="5"/>
  <c r="EG112" i="5" s="1"/>
  <c r="CP9" i="5"/>
  <c r="DY9" i="5" s="1"/>
  <c r="CP17" i="5"/>
  <c r="DY17" i="5" s="1"/>
  <c r="CP22" i="5"/>
  <c r="DY22" i="5" s="1"/>
  <c r="CP45" i="5"/>
  <c r="DY45" i="5" s="1"/>
  <c r="CP48" i="5"/>
  <c r="DY48" i="5" s="1"/>
  <c r="CP78" i="5"/>
  <c r="DY78" i="5" s="1"/>
  <c r="CP8" i="5"/>
  <c r="DY8" i="5" s="1"/>
  <c r="CP88" i="5"/>
  <c r="DY88" i="5" s="1"/>
  <c r="CP102" i="5"/>
  <c r="DY102" i="5" s="1"/>
  <c r="CP75" i="5"/>
  <c r="DY75" i="5" s="1"/>
  <c r="CH12" i="5"/>
  <c r="DQ12" i="5" s="1"/>
  <c r="CH28" i="5"/>
  <c r="DQ28" i="5" s="1"/>
  <c r="CH17" i="5"/>
  <c r="DQ17" i="5" s="1"/>
  <c r="CH31" i="5"/>
  <c r="DQ31" i="5" s="1"/>
  <c r="CH59" i="5"/>
  <c r="DQ59" i="5" s="1"/>
  <c r="CH63" i="5"/>
  <c r="DQ63" i="5" s="1"/>
  <c r="CH70" i="5"/>
  <c r="DQ70" i="5" s="1"/>
  <c r="CH73" i="5"/>
  <c r="DQ73" i="5" s="1"/>
  <c r="CH66" i="5"/>
  <c r="DQ66" i="5" s="1"/>
  <c r="CH83" i="5"/>
  <c r="DQ83" i="5" s="1"/>
  <c r="CH91" i="5"/>
  <c r="DQ91" i="5" s="1"/>
  <c r="CH102" i="5"/>
  <c r="DQ102" i="5" s="1"/>
  <c r="CH110" i="5"/>
  <c r="DQ110" i="5" s="1"/>
  <c r="BV26" i="5"/>
  <c r="DE26" i="5" s="1"/>
  <c r="BV9" i="5"/>
  <c r="DE9" i="5" s="1"/>
  <c r="BV44" i="5"/>
  <c r="DE44" i="5" s="1"/>
  <c r="BV43" i="5"/>
  <c r="DE43" i="5" s="1"/>
  <c r="BV49" i="5"/>
  <c r="DE49" i="5" s="1"/>
  <c r="BV56" i="5"/>
  <c r="DE56" i="5" s="1"/>
  <c r="BV50" i="5"/>
  <c r="DE50" i="5" s="1"/>
  <c r="BV98" i="5"/>
  <c r="DE98" i="5" s="1"/>
  <c r="BV74" i="5"/>
  <c r="DE74" i="5" s="1"/>
  <c r="BV87" i="5"/>
  <c r="DE87" i="5" s="1"/>
  <c r="BV117" i="5"/>
  <c r="DE117" i="5" s="1"/>
  <c r="CU18" i="5"/>
  <c r="ED18" i="5" s="1"/>
  <c r="CU26" i="5"/>
  <c r="ED26" i="5" s="1"/>
  <c r="CU9" i="5"/>
  <c r="ED9" i="5" s="1"/>
  <c r="CU23" i="5"/>
  <c r="ED23" i="5" s="1"/>
  <c r="CU14" i="5"/>
  <c r="ED14" i="5" s="1"/>
  <c r="CU22" i="5"/>
  <c r="ED22" i="5" s="1"/>
  <c r="CU32" i="5"/>
  <c r="ED32" i="5" s="1"/>
  <c r="CU40" i="5"/>
  <c r="ED40" i="5" s="1"/>
  <c r="CU46" i="5"/>
  <c r="ED46" i="5" s="1"/>
  <c r="CU35" i="5"/>
  <c r="ED35" i="5" s="1"/>
  <c r="CU43" i="5"/>
  <c r="ED43" i="5" s="1"/>
  <c r="CU42" i="5"/>
  <c r="ED42" i="5" s="1"/>
  <c r="CU52" i="5"/>
  <c r="ED52" i="5" s="1"/>
  <c r="CU44" i="5"/>
  <c r="ED44" i="5" s="1"/>
  <c r="CU48" i="5"/>
  <c r="ED48" i="5" s="1"/>
  <c r="CU56" i="5"/>
  <c r="ED56" i="5" s="1"/>
  <c r="CU67" i="5"/>
  <c r="ED67" i="5" s="1"/>
  <c r="CU75" i="5"/>
  <c r="ED75" i="5" s="1"/>
  <c r="CU50" i="5"/>
  <c r="ED50" i="5" s="1"/>
  <c r="CU65" i="5"/>
  <c r="ED65" i="5" s="1"/>
  <c r="CU73" i="5"/>
  <c r="ED73" i="5" s="1"/>
  <c r="CU45" i="5"/>
  <c r="ED45" i="5" s="1"/>
  <c r="CU80" i="5"/>
  <c r="ED80" i="5" s="1"/>
  <c r="CU88" i="5"/>
  <c r="ED88" i="5" s="1"/>
  <c r="CU72" i="5"/>
  <c r="ED72" i="5" s="1"/>
  <c r="CU71" i="5"/>
  <c r="ED71" i="5" s="1"/>
  <c r="CU91" i="5"/>
  <c r="ED91" i="5" s="1"/>
  <c r="CU77" i="5"/>
  <c r="ED77" i="5" s="1"/>
  <c r="CU105" i="5"/>
  <c r="ED105" i="5" s="1"/>
  <c r="CU113" i="5"/>
  <c r="ED113" i="5" s="1"/>
  <c r="CU117" i="5"/>
  <c r="ED117" i="5" s="1"/>
  <c r="CU96" i="5"/>
  <c r="ED96" i="5" s="1"/>
  <c r="CU120" i="5"/>
  <c r="ED120" i="5" s="1"/>
  <c r="CU78" i="5"/>
  <c r="ED78" i="5" s="1"/>
  <c r="CU95" i="5"/>
  <c r="ED95" i="5" s="1"/>
  <c r="CU118" i="5"/>
  <c r="ED118" i="5" s="1"/>
  <c r="CU101" i="5"/>
  <c r="ED101" i="5" s="1"/>
  <c r="CU109" i="5"/>
  <c r="ED109" i="5" s="1"/>
  <c r="CU63" i="5"/>
  <c r="ED63" i="5" s="1"/>
  <c r="CU92" i="5"/>
  <c r="ED92" i="5" s="1"/>
  <c r="CU93" i="5"/>
  <c r="ED93" i="5" s="1"/>
  <c r="CK15" i="5"/>
  <c r="DT15" i="5" s="1"/>
  <c r="CK23" i="5"/>
  <c r="DT23" i="5" s="1"/>
  <c r="CK22" i="5"/>
  <c r="DT22" i="5" s="1"/>
  <c r="CK13" i="5"/>
  <c r="DT13" i="5" s="1"/>
  <c r="CK29" i="5"/>
  <c r="DT29" i="5" s="1"/>
  <c r="CK18" i="5"/>
  <c r="DT18" i="5" s="1"/>
  <c r="CK26" i="5"/>
  <c r="DT26" i="5" s="1"/>
  <c r="CK31" i="5"/>
  <c r="DT31" i="5" s="1"/>
  <c r="CK44" i="5"/>
  <c r="DT44" i="5" s="1"/>
  <c r="CK27" i="5"/>
  <c r="DT27" i="5" s="1"/>
  <c r="CK40" i="5"/>
  <c r="DT40" i="5" s="1"/>
  <c r="CK35" i="5"/>
  <c r="DT35" i="5" s="1"/>
  <c r="CK43" i="5"/>
  <c r="DT43" i="5" s="1"/>
  <c r="CK50" i="5"/>
  <c r="DT50" i="5" s="1"/>
  <c r="CK58" i="5"/>
  <c r="DT58" i="5" s="1"/>
  <c r="CK53" i="5"/>
  <c r="DT53" i="5" s="1"/>
  <c r="CK74" i="5"/>
  <c r="DT74" i="5" s="1"/>
  <c r="CK56" i="5"/>
  <c r="DT56" i="5" s="1"/>
  <c r="CK61" i="5"/>
  <c r="DT61" i="5" s="1"/>
  <c r="CK67" i="5"/>
  <c r="DT67" i="5" s="1"/>
  <c r="CK70" i="5"/>
  <c r="DT70" i="5" s="1"/>
  <c r="CK87" i="5"/>
  <c r="DT87" i="5" s="1"/>
  <c r="CK62" i="5"/>
  <c r="DT62" i="5" s="1"/>
  <c r="CK93" i="5"/>
  <c r="DT93" i="5" s="1"/>
  <c r="CK77" i="5"/>
  <c r="DT77" i="5" s="1"/>
  <c r="CK78" i="5"/>
  <c r="DT78" i="5" s="1"/>
  <c r="CK81" i="5"/>
  <c r="DT81" i="5" s="1"/>
  <c r="CK94" i="5"/>
  <c r="DT94" i="5" s="1"/>
  <c r="CK103" i="5"/>
  <c r="DT103" i="5" s="1"/>
  <c r="CK102" i="5"/>
  <c r="DT102" i="5" s="1"/>
  <c r="CK99" i="5"/>
  <c r="DT99" i="5" s="1"/>
  <c r="CK114" i="5"/>
  <c r="DT114" i="5" s="1"/>
  <c r="CK91" i="5"/>
  <c r="DT91" i="5" s="1"/>
  <c r="CK75" i="5"/>
  <c r="DT75" i="5" s="1"/>
  <c r="CK105" i="5"/>
  <c r="DT105" i="5" s="1"/>
  <c r="CK113" i="5"/>
  <c r="DT113" i="5" s="1"/>
  <c r="CK82" i="5"/>
  <c r="DT82" i="5" s="1"/>
  <c r="CK8" i="5"/>
  <c r="DT8" i="5" s="1"/>
  <c r="CW12" i="5"/>
  <c r="EF12" i="5" s="1"/>
  <c r="CW20" i="5"/>
  <c r="EF20" i="5" s="1"/>
  <c r="CW28" i="5"/>
  <c r="EF28" i="5" s="1"/>
  <c r="CW18" i="5"/>
  <c r="EF18" i="5" s="1"/>
  <c r="CW26" i="5"/>
  <c r="EF26" i="5" s="1"/>
  <c r="CW9" i="5"/>
  <c r="EF9" i="5" s="1"/>
  <c r="CW17" i="5"/>
  <c r="EF17" i="5" s="1"/>
  <c r="CW16" i="5"/>
  <c r="EF16" i="5" s="1"/>
  <c r="CW35" i="5"/>
  <c r="EF35" i="5" s="1"/>
  <c r="CW43" i="5"/>
  <c r="EF43" i="5" s="1"/>
  <c r="CW29" i="5"/>
  <c r="EF29" i="5" s="1"/>
  <c r="CW41" i="5"/>
  <c r="EF41" i="5" s="1"/>
  <c r="CW21" i="5"/>
  <c r="EF21" i="5" s="1"/>
  <c r="CW32" i="5"/>
  <c r="EF32" i="5" s="1"/>
  <c r="CW40" i="5"/>
  <c r="EF40" i="5" s="1"/>
  <c r="CW45" i="5"/>
  <c r="EF45" i="5" s="1"/>
  <c r="CW56" i="5"/>
  <c r="EF56" i="5" s="1"/>
  <c r="CW13" i="5"/>
  <c r="EF13" i="5" s="1"/>
  <c r="CW47" i="5"/>
  <c r="EF47" i="5" s="1"/>
  <c r="CW55" i="5"/>
  <c r="EF55" i="5" s="1"/>
  <c r="CW54" i="5"/>
  <c r="EF54" i="5" s="1"/>
  <c r="CW53" i="5"/>
  <c r="EF53" i="5" s="1"/>
  <c r="CW61" i="5"/>
  <c r="EF61" i="5" s="1"/>
  <c r="CW50" i="5"/>
  <c r="EF50" i="5" s="1"/>
  <c r="CW58" i="5"/>
  <c r="EF58" i="5" s="1"/>
  <c r="CW69" i="5"/>
  <c r="EF69" i="5" s="1"/>
  <c r="CW77" i="5"/>
  <c r="EF77" i="5" s="1"/>
  <c r="CW15" i="5"/>
  <c r="EF15" i="5" s="1"/>
  <c r="CW59" i="5"/>
  <c r="EF59" i="5" s="1"/>
  <c r="CW30" i="5"/>
  <c r="EF30" i="5" s="1"/>
  <c r="CW51" i="5"/>
  <c r="EF51" i="5" s="1"/>
  <c r="CW57" i="5"/>
  <c r="EF57" i="5" s="1"/>
  <c r="CW67" i="5"/>
  <c r="EF67" i="5" s="1"/>
  <c r="CW71" i="5"/>
  <c r="EF71" i="5" s="1"/>
  <c r="CW83" i="5"/>
  <c r="EF83" i="5" s="1"/>
  <c r="CW91" i="5"/>
  <c r="EF91" i="5" s="1"/>
  <c r="CW82" i="5"/>
  <c r="EF82" i="5" s="1"/>
  <c r="CW60" i="5"/>
  <c r="EF60" i="5" s="1"/>
  <c r="CW73" i="5"/>
  <c r="EF73" i="5" s="1"/>
  <c r="CW80" i="5"/>
  <c r="EF80" i="5" s="1"/>
  <c r="CW88" i="5"/>
  <c r="EF88" i="5" s="1"/>
  <c r="CW87" i="5"/>
  <c r="EF87" i="5" s="1"/>
  <c r="CW99" i="5"/>
  <c r="EF99" i="5" s="1"/>
  <c r="CW107" i="5"/>
  <c r="EF107" i="5" s="1"/>
  <c r="CW86" i="5"/>
  <c r="EF86" i="5" s="1"/>
  <c r="CW114" i="5"/>
  <c r="EF114" i="5" s="1"/>
  <c r="CW8" i="5"/>
  <c r="EF8" i="5" s="1"/>
  <c r="CW66" i="5"/>
  <c r="EF66" i="5" s="1"/>
  <c r="CW102" i="5"/>
  <c r="EF102" i="5" s="1"/>
  <c r="CW110" i="5"/>
  <c r="EF110" i="5" s="1"/>
  <c r="CW65" i="5"/>
  <c r="EF65" i="5" s="1"/>
  <c r="CW96" i="5"/>
  <c r="EF96" i="5" s="1"/>
  <c r="CW104" i="5"/>
  <c r="EF104" i="5" s="1"/>
  <c r="CW120" i="5"/>
  <c r="EF120" i="5" s="1"/>
  <c r="CW94" i="5"/>
  <c r="EF94" i="5" s="1"/>
  <c r="CW109" i="5"/>
  <c r="EF109" i="5" s="1"/>
  <c r="CW117" i="5"/>
  <c r="EF117" i="5" s="1"/>
  <c r="CW103" i="5"/>
  <c r="EF103" i="5" s="1"/>
  <c r="CW118" i="5"/>
  <c r="EF118" i="5" s="1"/>
  <c r="CO9" i="5"/>
  <c r="DX9" i="5" s="1"/>
  <c r="CO23" i="5"/>
  <c r="DX23" i="5" s="1"/>
  <c r="CO33" i="5"/>
  <c r="DX33" i="5" s="1"/>
  <c r="CO41" i="5"/>
  <c r="DX41" i="5" s="1"/>
  <c r="CO37" i="5"/>
  <c r="DX37" i="5" s="1"/>
  <c r="CO45" i="5"/>
  <c r="DX45" i="5" s="1"/>
  <c r="CO54" i="5"/>
  <c r="DX54" i="5" s="1"/>
  <c r="CO57" i="5"/>
  <c r="DX57" i="5" s="1"/>
  <c r="CO62" i="5"/>
  <c r="DX62" i="5" s="1"/>
  <c r="CO60" i="5"/>
  <c r="DX60" i="5" s="1"/>
  <c r="CO59" i="5"/>
  <c r="DX59" i="5" s="1"/>
  <c r="CO71" i="5"/>
  <c r="DX71" i="5" s="1"/>
  <c r="CO82" i="5"/>
  <c r="DX82" i="5" s="1"/>
  <c r="CO81" i="5"/>
  <c r="DX81" i="5" s="1"/>
  <c r="CO93" i="5"/>
  <c r="DX93" i="5" s="1"/>
  <c r="CO98" i="5"/>
  <c r="DX98" i="5" s="1"/>
  <c r="CO8" i="5"/>
  <c r="DX8" i="5" s="1"/>
  <c r="CO112" i="5"/>
  <c r="DX112" i="5" s="1"/>
  <c r="CO101" i="5"/>
  <c r="DX101" i="5" s="1"/>
  <c r="CO111" i="5"/>
  <c r="DX111" i="5" s="1"/>
  <c r="CO118" i="5"/>
  <c r="DX118" i="5" s="1"/>
  <c r="CG28" i="5"/>
  <c r="DP28" i="5" s="1"/>
  <c r="CG26" i="5"/>
  <c r="DP26" i="5" s="1"/>
  <c r="CG24" i="5"/>
  <c r="DP24" i="5" s="1"/>
  <c r="CG22" i="5"/>
  <c r="DP22" i="5" s="1"/>
  <c r="CG15" i="5"/>
  <c r="DP15" i="5" s="1"/>
  <c r="CG42" i="5"/>
  <c r="DP42" i="5" s="1"/>
  <c r="CG33" i="5"/>
  <c r="DP33" i="5" s="1"/>
  <c r="CG41" i="5"/>
  <c r="DP41" i="5" s="1"/>
  <c r="CG29" i="5"/>
  <c r="DP29" i="5" s="1"/>
  <c r="CG37" i="5"/>
  <c r="DP37" i="5" s="1"/>
  <c r="CG36" i="5"/>
  <c r="DP36" i="5" s="1"/>
  <c r="CG55" i="5"/>
  <c r="DP55" i="5" s="1"/>
  <c r="CG54" i="5"/>
  <c r="DP54" i="5" s="1"/>
  <c r="CG61" i="5"/>
  <c r="DP61" i="5" s="1"/>
  <c r="CG46" i="5"/>
  <c r="DP46" i="5" s="1"/>
  <c r="CG44" i="5"/>
  <c r="DP44" i="5" s="1"/>
  <c r="CG70" i="5"/>
  <c r="DP70" i="5" s="1"/>
  <c r="CG77" i="5"/>
  <c r="DP77" i="5" s="1"/>
  <c r="CG68" i="5"/>
  <c r="DP68" i="5" s="1"/>
  <c r="CG52" i="5"/>
  <c r="DP52" i="5" s="1"/>
  <c r="CG60" i="5"/>
  <c r="DP60" i="5" s="1"/>
  <c r="CG63" i="5"/>
  <c r="DP63" i="5" s="1"/>
  <c r="CG82" i="5"/>
  <c r="DP82" i="5" s="1"/>
  <c r="CG90" i="5"/>
  <c r="DP90" i="5" s="1"/>
  <c r="CG89" i="5"/>
  <c r="DP89" i="5" s="1"/>
  <c r="CG73" i="5"/>
  <c r="DP73" i="5" s="1"/>
  <c r="CG84" i="5"/>
  <c r="DP84" i="5" s="1"/>
  <c r="CG102" i="5"/>
  <c r="DP102" i="5" s="1"/>
  <c r="CG98" i="5"/>
  <c r="DP98" i="5" s="1"/>
  <c r="CG106" i="5"/>
  <c r="DP106" i="5" s="1"/>
  <c r="CG105" i="5"/>
  <c r="DP105" i="5" s="1"/>
  <c r="CG119" i="5"/>
  <c r="DP119" i="5" s="1"/>
  <c r="CG86" i="5"/>
  <c r="DP86" i="5" s="1"/>
  <c r="CG79" i="5"/>
  <c r="DP79" i="5" s="1"/>
  <c r="CG95" i="5"/>
  <c r="DP95" i="5" s="1"/>
  <c r="CG108" i="5"/>
  <c r="DP108" i="5" s="1"/>
  <c r="CG116" i="5"/>
  <c r="DP116" i="5" s="1"/>
  <c r="CG118" i="5"/>
  <c r="DP118" i="5" s="1"/>
  <c r="BU12" i="5"/>
  <c r="DD12" i="5" s="1"/>
  <c r="BU20" i="5"/>
  <c r="DD20" i="5" s="1"/>
  <c r="BU28" i="5"/>
  <c r="DD28" i="5" s="1"/>
  <c r="BU11" i="5"/>
  <c r="DD11" i="5" s="1"/>
  <c r="BU19" i="5"/>
  <c r="DD19" i="5" s="1"/>
  <c r="BU27" i="5"/>
  <c r="DD27" i="5" s="1"/>
  <c r="BU10" i="5"/>
  <c r="DD10" i="5" s="1"/>
  <c r="BU16" i="5"/>
  <c r="DD16" i="5" s="1"/>
  <c r="BU24" i="5"/>
  <c r="DD24" i="5" s="1"/>
  <c r="BU14" i="5"/>
  <c r="DD14" i="5" s="1"/>
  <c r="BU42" i="5"/>
  <c r="DD42" i="5" s="1"/>
  <c r="BU41" i="5"/>
  <c r="DD41" i="5" s="1"/>
  <c r="BU30" i="5"/>
  <c r="DD30" i="5" s="1"/>
  <c r="BU32" i="5"/>
  <c r="DD32" i="5" s="1"/>
  <c r="BU45" i="5"/>
  <c r="DD45" i="5" s="1"/>
  <c r="BU23" i="5"/>
  <c r="DD23" i="5" s="1"/>
  <c r="BU46" i="5"/>
  <c r="DD46" i="5" s="1"/>
  <c r="BU54" i="5"/>
  <c r="DD54" i="5" s="1"/>
  <c r="BU31" i="5"/>
  <c r="DD31" i="5" s="1"/>
  <c r="BU50" i="5"/>
  <c r="DD50" i="5" s="1"/>
  <c r="BU21" i="5"/>
  <c r="DD21" i="5" s="1"/>
  <c r="BU49" i="5"/>
  <c r="DD49" i="5" s="1"/>
  <c r="BU57" i="5"/>
  <c r="DD57" i="5" s="1"/>
  <c r="BU70" i="5"/>
  <c r="DD70" i="5" s="1"/>
  <c r="BU38" i="5"/>
  <c r="DD38" i="5" s="1"/>
  <c r="BU59" i="5"/>
  <c r="DD59" i="5" s="1"/>
  <c r="BU69" i="5"/>
  <c r="DD69" i="5" s="1"/>
  <c r="BU77" i="5"/>
  <c r="DD77" i="5" s="1"/>
  <c r="BU68" i="5"/>
  <c r="DD68" i="5" s="1"/>
  <c r="BU76" i="5"/>
  <c r="DD76" i="5" s="1"/>
  <c r="BU72" i="5"/>
  <c r="DD72" i="5" s="1"/>
  <c r="BU63" i="5"/>
  <c r="DD63" i="5" s="1"/>
  <c r="BU82" i="5"/>
  <c r="DD82" i="5" s="1"/>
  <c r="BU81" i="5"/>
  <c r="DD81" i="5" s="1"/>
  <c r="BU89" i="5"/>
  <c r="DD89" i="5" s="1"/>
  <c r="BU88" i="5"/>
  <c r="DD88" i="5" s="1"/>
  <c r="BU52" i="5"/>
  <c r="DD52" i="5" s="1"/>
  <c r="BU85" i="5"/>
  <c r="DD85" i="5" s="1"/>
  <c r="BU99" i="5"/>
  <c r="DD99" i="5" s="1"/>
  <c r="BU115" i="5"/>
  <c r="DD115" i="5" s="1"/>
  <c r="BU95" i="5"/>
  <c r="DD95" i="5" s="1"/>
  <c r="BU98" i="5"/>
  <c r="DD98" i="5" s="1"/>
  <c r="BU106" i="5"/>
  <c r="DD106" i="5" s="1"/>
  <c r="BU114" i="5"/>
  <c r="DD114" i="5" s="1"/>
  <c r="BU113" i="5"/>
  <c r="DD113" i="5" s="1"/>
  <c r="BU96" i="5"/>
  <c r="DD96" i="5" s="1"/>
  <c r="BU104" i="5"/>
  <c r="DD104" i="5" s="1"/>
  <c r="BU112" i="5"/>
  <c r="DD112" i="5" s="1"/>
  <c r="BU51" i="5"/>
  <c r="DD51" i="5" s="1"/>
  <c r="BU117" i="5"/>
  <c r="DD117" i="5" s="1"/>
  <c r="BU103" i="5"/>
  <c r="DD103" i="5" s="1"/>
  <c r="BU100" i="5"/>
  <c r="DD100" i="5" s="1"/>
  <c r="BU116" i="5"/>
  <c r="DD116" i="5" s="1"/>
  <c r="BU119" i="5"/>
  <c r="DD119" i="5" s="1"/>
  <c r="BU118" i="5"/>
  <c r="DD118" i="5" s="1"/>
  <c r="CC16" i="5"/>
  <c r="DL16" i="5" s="1"/>
  <c r="CC15" i="5"/>
  <c r="DL15" i="5" s="1"/>
  <c r="CC14" i="5"/>
  <c r="DL14" i="5" s="1"/>
  <c r="CC22" i="5"/>
  <c r="DL22" i="5" s="1"/>
  <c r="CC30" i="5"/>
  <c r="DL30" i="5" s="1"/>
  <c r="CC13" i="5"/>
  <c r="DL13" i="5" s="1"/>
  <c r="CC29" i="5"/>
  <c r="DL29" i="5" s="1"/>
  <c r="CC20" i="5"/>
  <c r="DL20" i="5" s="1"/>
  <c r="CC28" i="5"/>
  <c r="DL28" i="5" s="1"/>
  <c r="CC18" i="5"/>
  <c r="DL18" i="5" s="1"/>
  <c r="CC11" i="5"/>
  <c r="DL11" i="5" s="1"/>
  <c r="CC31" i="5"/>
  <c r="DL31" i="5" s="1"/>
  <c r="CC9" i="5"/>
  <c r="DL9" i="5" s="1"/>
  <c r="CC38" i="5"/>
  <c r="DL38" i="5" s="1"/>
  <c r="CC45" i="5"/>
  <c r="DL45" i="5" s="1"/>
  <c r="CC36" i="5"/>
  <c r="DL36" i="5" s="1"/>
  <c r="CC41" i="5"/>
  <c r="DL41" i="5" s="1"/>
  <c r="CC17" i="5"/>
  <c r="DL17" i="5" s="1"/>
  <c r="CC32" i="5"/>
  <c r="DL32" i="5" s="1"/>
  <c r="CC40" i="5"/>
  <c r="DL40" i="5" s="1"/>
  <c r="CC27" i="5"/>
  <c r="DL27" i="5" s="1"/>
  <c r="CC50" i="5"/>
  <c r="DL50" i="5" s="1"/>
  <c r="CC58" i="5"/>
  <c r="DL58" i="5" s="1"/>
  <c r="CC42" i="5"/>
  <c r="DL42" i="5" s="1"/>
  <c r="CC57" i="5"/>
  <c r="DL57" i="5" s="1"/>
  <c r="CC35" i="5"/>
  <c r="DL35" i="5" s="1"/>
  <c r="CC43" i="5"/>
  <c r="DL43" i="5" s="1"/>
  <c r="CC54" i="5"/>
  <c r="DL54" i="5" s="1"/>
  <c r="CC25" i="5"/>
  <c r="DL25" i="5" s="1"/>
  <c r="CC34" i="5"/>
  <c r="DL34" i="5" s="1"/>
  <c r="CC53" i="5"/>
  <c r="DL53" i="5" s="1"/>
  <c r="CC74" i="5"/>
  <c r="DL74" i="5" s="1"/>
  <c r="CC73" i="5"/>
  <c r="DL73" i="5" s="1"/>
  <c r="CC61" i="5"/>
  <c r="DL61" i="5" s="1"/>
  <c r="CC64" i="5"/>
  <c r="DL64" i="5" s="1"/>
  <c r="CC63" i="5"/>
  <c r="DL63" i="5" s="1"/>
  <c r="CC47" i="5"/>
  <c r="DL47" i="5" s="1"/>
  <c r="CC67" i="5"/>
  <c r="DL67" i="5" s="1"/>
  <c r="CC79" i="5"/>
  <c r="DL79" i="5" s="1"/>
  <c r="CC75" i="5"/>
  <c r="DL75" i="5" s="1"/>
  <c r="CC86" i="5"/>
  <c r="DL86" i="5" s="1"/>
  <c r="CC85" i="5"/>
  <c r="DL85" i="5" s="1"/>
  <c r="CC93" i="5"/>
  <c r="DL93" i="5" s="1"/>
  <c r="CC89" i="5"/>
  <c r="DL89" i="5" s="1"/>
  <c r="CC69" i="5"/>
  <c r="DL69" i="5" s="1"/>
  <c r="CC80" i="5"/>
  <c r="DL80" i="5" s="1"/>
  <c r="CC103" i="5"/>
  <c r="DL103" i="5" s="1"/>
  <c r="CC115" i="5"/>
  <c r="DL115" i="5" s="1"/>
  <c r="CC98" i="5"/>
  <c r="DL98" i="5" s="1"/>
  <c r="CC102" i="5"/>
  <c r="DL102" i="5" s="1"/>
  <c r="CC110" i="5"/>
  <c r="DL110" i="5" s="1"/>
  <c r="CC109" i="5"/>
  <c r="DL109" i="5" s="1"/>
  <c r="CC117" i="5"/>
  <c r="DL117" i="5" s="1"/>
  <c r="CC90" i="5"/>
  <c r="DL90" i="5" s="1"/>
  <c r="CC100" i="5"/>
  <c r="DL100" i="5" s="1"/>
  <c r="CC116" i="5"/>
  <c r="DL116" i="5" s="1"/>
  <c r="CC99" i="5"/>
  <c r="DL99" i="5" s="1"/>
  <c r="CC106" i="5"/>
  <c r="DL106" i="5" s="1"/>
  <c r="CC97" i="5"/>
  <c r="DL97" i="5" s="1"/>
  <c r="CC113" i="5"/>
  <c r="DL113" i="5" s="1"/>
  <c r="CC55" i="5"/>
  <c r="DL55" i="5" s="1"/>
  <c r="CC78" i="5"/>
  <c r="DL78" i="5" s="1"/>
  <c r="CC104" i="5"/>
  <c r="DL104" i="5" s="1"/>
  <c r="CC112" i="5"/>
  <c r="DL112" i="5" s="1"/>
  <c r="CC120" i="5"/>
  <c r="DL120" i="5" s="1"/>
  <c r="CV27" i="5"/>
  <c r="EE27" i="5" s="1"/>
  <c r="CV10" i="5"/>
  <c r="EE10" i="5" s="1"/>
  <c r="CV18" i="5"/>
  <c r="EE18" i="5" s="1"/>
  <c r="CV26" i="5"/>
  <c r="EE26" i="5" s="1"/>
  <c r="CV17" i="5"/>
  <c r="EE17" i="5" s="1"/>
  <c r="CV24" i="5"/>
  <c r="EE24" i="5" s="1"/>
  <c r="CV15" i="5"/>
  <c r="EE15" i="5" s="1"/>
  <c r="CV13" i="5"/>
  <c r="EE13" i="5" s="1"/>
  <c r="CV29" i="5"/>
  <c r="EE29" i="5" s="1"/>
  <c r="CV33" i="5"/>
  <c r="EE33" i="5" s="1"/>
  <c r="CV41" i="5"/>
  <c r="EE41" i="5" s="1"/>
  <c r="CV22" i="5"/>
  <c r="EE22" i="5" s="1"/>
  <c r="CV32" i="5"/>
  <c r="EE32" i="5" s="1"/>
  <c r="CV36" i="5"/>
  <c r="EE36" i="5" s="1"/>
  <c r="CV44" i="5"/>
  <c r="EE44" i="5" s="1"/>
  <c r="CV35" i="5"/>
  <c r="EE35" i="5" s="1"/>
  <c r="CV47" i="5"/>
  <c r="EE47" i="5" s="1"/>
  <c r="CV54" i="5"/>
  <c r="EE54" i="5" s="1"/>
  <c r="CV53" i="5"/>
  <c r="EE53" i="5" s="1"/>
  <c r="CV61" i="5"/>
  <c r="EE61" i="5" s="1"/>
  <c r="CV37" i="5"/>
  <c r="EE37" i="5" s="1"/>
  <c r="CV57" i="5"/>
  <c r="EE57" i="5" s="1"/>
  <c r="CV12" i="5"/>
  <c r="EE12" i="5" s="1"/>
  <c r="CV28" i="5"/>
  <c r="EE28" i="5" s="1"/>
  <c r="CV48" i="5"/>
  <c r="EE48" i="5" s="1"/>
  <c r="CV69" i="5"/>
  <c r="EE69" i="5" s="1"/>
  <c r="CV68" i="5"/>
  <c r="EE68" i="5" s="1"/>
  <c r="CV76" i="5"/>
  <c r="EE76" i="5" s="1"/>
  <c r="CV30" i="5"/>
  <c r="EE30" i="5" s="1"/>
  <c r="CV51" i="5"/>
  <c r="EE51" i="5" s="1"/>
  <c r="CV74" i="5"/>
  <c r="EE74" i="5" s="1"/>
  <c r="CV58" i="5"/>
  <c r="EE58" i="5" s="1"/>
  <c r="CV63" i="5"/>
  <c r="EE63" i="5" s="1"/>
  <c r="CV71" i="5"/>
  <c r="EE71" i="5" s="1"/>
  <c r="CV90" i="5"/>
  <c r="EE90" i="5" s="1"/>
  <c r="CV81" i="5"/>
  <c r="EE81" i="5" s="1"/>
  <c r="CV89" i="5"/>
  <c r="EE89" i="5" s="1"/>
  <c r="CV73" i="5"/>
  <c r="EE73" i="5" s="1"/>
  <c r="CV87" i="5"/>
  <c r="EE87" i="5" s="1"/>
  <c r="CV84" i="5"/>
  <c r="EE84" i="5" s="1"/>
  <c r="CV92" i="5"/>
  <c r="EE92" i="5" s="1"/>
  <c r="CV83" i="5"/>
  <c r="EE83" i="5" s="1"/>
  <c r="CV106" i="5"/>
  <c r="EE106" i="5" s="1"/>
  <c r="CV114" i="5"/>
  <c r="EE114" i="5" s="1"/>
  <c r="CV8" i="5"/>
  <c r="EE8" i="5" s="1"/>
  <c r="CV109" i="5"/>
  <c r="EE109" i="5" s="1"/>
  <c r="CV113" i="5"/>
  <c r="EE113" i="5" s="1"/>
  <c r="CV94" i="5"/>
  <c r="EE94" i="5" s="1"/>
  <c r="CV65" i="5"/>
  <c r="EE65" i="5" s="1"/>
  <c r="CV96" i="5"/>
  <c r="EE96" i="5" s="1"/>
  <c r="CV110" i="5"/>
  <c r="EE110" i="5" s="1"/>
  <c r="CV78" i="5"/>
  <c r="EE78" i="5" s="1"/>
  <c r="CV95" i="5"/>
  <c r="EE95" i="5" s="1"/>
  <c r="CV103" i="5"/>
  <c r="EE103" i="5" s="1"/>
  <c r="CV119" i="5"/>
  <c r="EE119" i="5" s="1"/>
  <c r="CV108" i="5"/>
  <c r="EE108" i="5" s="1"/>
  <c r="CV116" i="5"/>
  <c r="EE116" i="5" s="1"/>
  <c r="CV99" i="5"/>
  <c r="EE99" i="5" s="1"/>
  <c r="CN19" i="5"/>
  <c r="DW19" i="5" s="1"/>
  <c r="CN27" i="5"/>
  <c r="DW27" i="5" s="1"/>
  <c r="CN10" i="5"/>
  <c r="DW10" i="5" s="1"/>
  <c r="CN18" i="5"/>
  <c r="DW18" i="5" s="1"/>
  <c r="CN9" i="5"/>
  <c r="DW9" i="5" s="1"/>
  <c r="CN24" i="5"/>
  <c r="DW24" i="5" s="1"/>
  <c r="CN15" i="5"/>
  <c r="DW15" i="5" s="1"/>
  <c r="CN23" i="5"/>
  <c r="DW23" i="5" s="1"/>
  <c r="CN34" i="5"/>
  <c r="DW34" i="5" s="1"/>
  <c r="CN42" i="5"/>
  <c r="DW42" i="5" s="1"/>
  <c r="CN20" i="5"/>
  <c r="DW20" i="5" s="1"/>
  <c r="CN33" i="5"/>
  <c r="DW33" i="5" s="1"/>
  <c r="CN14" i="5"/>
  <c r="DW14" i="5" s="1"/>
  <c r="CN40" i="5"/>
  <c r="DW40" i="5" s="1"/>
  <c r="CN12" i="5"/>
  <c r="DW12" i="5" s="1"/>
  <c r="CN31" i="5"/>
  <c r="DW31" i="5" s="1"/>
  <c r="CN39" i="5"/>
  <c r="DW39" i="5" s="1"/>
  <c r="CN44" i="5"/>
  <c r="DW44" i="5" s="1"/>
  <c r="CN47" i="5"/>
  <c r="DW47" i="5" s="1"/>
  <c r="CN55" i="5"/>
  <c r="DW55" i="5" s="1"/>
  <c r="CN29" i="5"/>
  <c r="DW29" i="5" s="1"/>
  <c r="CN43" i="5"/>
  <c r="DW43" i="5" s="1"/>
  <c r="CN52" i="5"/>
  <c r="DW52" i="5" s="1"/>
  <c r="CN60" i="5"/>
  <c r="DW60" i="5" s="1"/>
  <c r="CN49" i="5"/>
  <c r="DW49" i="5" s="1"/>
  <c r="CN69" i="5"/>
  <c r="DW69" i="5" s="1"/>
  <c r="CN77" i="5"/>
  <c r="DW77" i="5" s="1"/>
  <c r="CN50" i="5"/>
  <c r="DW50" i="5" s="1"/>
  <c r="CN68" i="5"/>
  <c r="DW68" i="5" s="1"/>
  <c r="CN46" i="5"/>
  <c r="DW46" i="5" s="1"/>
  <c r="CN58" i="5"/>
  <c r="DW58" i="5" s="1"/>
  <c r="CN66" i="5"/>
  <c r="DW66" i="5" s="1"/>
  <c r="CN74" i="5"/>
  <c r="DW74" i="5" s="1"/>
  <c r="CN59" i="5"/>
  <c r="DW59" i="5" s="1"/>
  <c r="CN71" i="5"/>
  <c r="DW71" i="5" s="1"/>
  <c r="CN73" i="5"/>
  <c r="DW73" i="5" s="1"/>
  <c r="CN90" i="5"/>
  <c r="DW90" i="5" s="1"/>
  <c r="CN72" i="5"/>
  <c r="DW72" i="5" s="1"/>
  <c r="CN88" i="5"/>
  <c r="DW88" i="5" s="1"/>
  <c r="CN64" i="5"/>
  <c r="DW64" i="5" s="1"/>
  <c r="CN79" i="5"/>
  <c r="DW79" i="5" s="1"/>
  <c r="CN87" i="5"/>
  <c r="DW87" i="5" s="1"/>
  <c r="CN84" i="5"/>
  <c r="DW84" i="5" s="1"/>
  <c r="CN91" i="5"/>
  <c r="DW91" i="5" s="1"/>
  <c r="CN98" i="5"/>
  <c r="DW98" i="5" s="1"/>
  <c r="CN106" i="5"/>
  <c r="DW106" i="5" s="1"/>
  <c r="CN114" i="5"/>
  <c r="DW114" i="5" s="1"/>
  <c r="CN113" i="5"/>
  <c r="DW113" i="5" s="1"/>
  <c r="CN102" i="5"/>
  <c r="DW102" i="5" s="1"/>
  <c r="CN96" i="5"/>
  <c r="DW96" i="5" s="1"/>
  <c r="CN104" i="5"/>
  <c r="DW104" i="5" s="1"/>
  <c r="CN120" i="5"/>
  <c r="DW120" i="5" s="1"/>
  <c r="CN111" i="5"/>
  <c r="DW111" i="5" s="1"/>
  <c r="CN119" i="5"/>
  <c r="DW119" i="5" s="1"/>
  <c r="CN86" i="5"/>
  <c r="DW86" i="5" s="1"/>
  <c r="CN100" i="5"/>
  <c r="DW100" i="5" s="1"/>
  <c r="CN85" i="5"/>
  <c r="DW85" i="5" s="1"/>
  <c r="CN99" i="5"/>
  <c r="DW99" i="5" s="1"/>
  <c r="CN107" i="5"/>
  <c r="DW107" i="5" s="1"/>
  <c r="CN115" i="5"/>
  <c r="DW115" i="5" s="1"/>
  <c r="CN101" i="5"/>
  <c r="DW101" i="5" s="1"/>
  <c r="CF11" i="5"/>
  <c r="DO11" i="5" s="1"/>
  <c r="CF19" i="5"/>
  <c r="DO19" i="5" s="1"/>
  <c r="CF27" i="5"/>
  <c r="DO27" i="5" s="1"/>
  <c r="CF10" i="5"/>
  <c r="DO10" i="5" s="1"/>
  <c r="CF25" i="5"/>
  <c r="DO25" i="5" s="1"/>
  <c r="CF16" i="5"/>
  <c r="DO16" i="5" s="1"/>
  <c r="CF24" i="5"/>
  <c r="DO24" i="5" s="1"/>
  <c r="CF15" i="5"/>
  <c r="DO15" i="5" s="1"/>
  <c r="CF13" i="5"/>
  <c r="DO13" i="5" s="1"/>
  <c r="CF34" i="5"/>
  <c r="DO34" i="5" s="1"/>
  <c r="CF42" i="5"/>
  <c r="DO42" i="5" s="1"/>
  <c r="CF12" i="5"/>
  <c r="DO12" i="5" s="1"/>
  <c r="CF33" i="5"/>
  <c r="DO33" i="5" s="1"/>
  <c r="CF29" i="5"/>
  <c r="DO29" i="5" s="1"/>
  <c r="CF31" i="5"/>
  <c r="DO31" i="5" s="1"/>
  <c r="CF39" i="5"/>
  <c r="DO39" i="5" s="1"/>
  <c r="CF22" i="5"/>
  <c r="DO22" i="5" s="1"/>
  <c r="CF36" i="5"/>
  <c r="DO36" i="5" s="1"/>
  <c r="CF43" i="5"/>
  <c r="DO43" i="5" s="1"/>
  <c r="CF47" i="5"/>
  <c r="DO47" i="5" s="1"/>
  <c r="CF55" i="5"/>
  <c r="DO55" i="5" s="1"/>
  <c r="CF54" i="5"/>
  <c r="DO54" i="5" s="1"/>
  <c r="CF60" i="5"/>
  <c r="DO60" i="5" s="1"/>
  <c r="CF38" i="5"/>
  <c r="DO38" i="5" s="1"/>
  <c r="CF46" i="5"/>
  <c r="DO46" i="5" s="1"/>
  <c r="CF56" i="5"/>
  <c r="DO56" i="5" s="1"/>
  <c r="CF58" i="5"/>
  <c r="DO58" i="5" s="1"/>
  <c r="CF69" i="5"/>
  <c r="DO69" i="5" s="1"/>
  <c r="CF77" i="5"/>
  <c r="DO77" i="5" s="1"/>
  <c r="CF59" i="5"/>
  <c r="DO59" i="5" s="1"/>
  <c r="CF66" i="5"/>
  <c r="DO66" i="5" s="1"/>
  <c r="CF74" i="5"/>
  <c r="DO74" i="5" s="1"/>
  <c r="CF51" i="5"/>
  <c r="DO51" i="5" s="1"/>
  <c r="CF71" i="5"/>
  <c r="DO71" i="5" s="1"/>
  <c r="CF70" i="5"/>
  <c r="DO70" i="5" s="1"/>
  <c r="CF78" i="5"/>
  <c r="DO78" i="5" s="1"/>
  <c r="CF82" i="5"/>
  <c r="DO82" i="5" s="1"/>
  <c r="CF88" i="5"/>
  <c r="DO88" i="5" s="1"/>
  <c r="CF79" i="5"/>
  <c r="DO79" i="5" s="1"/>
  <c r="CF87" i="5"/>
  <c r="DO87" i="5" s="1"/>
  <c r="CF73" i="5"/>
  <c r="DO73" i="5" s="1"/>
  <c r="CF72" i="5"/>
  <c r="DO72" i="5" s="1"/>
  <c r="CF91" i="5"/>
  <c r="DO91" i="5" s="1"/>
  <c r="CF114" i="5"/>
  <c r="DO114" i="5" s="1"/>
  <c r="CF113" i="5"/>
  <c r="DO113" i="5" s="1"/>
  <c r="CF118" i="5"/>
  <c r="DO118" i="5" s="1"/>
  <c r="CF96" i="5"/>
  <c r="DO96" i="5" s="1"/>
  <c r="CF120" i="5"/>
  <c r="DO120" i="5" s="1"/>
  <c r="CF85" i="5"/>
  <c r="DO85" i="5" s="1"/>
  <c r="CF109" i="5"/>
  <c r="DO109" i="5" s="1"/>
  <c r="CF93" i="5"/>
  <c r="DO93" i="5" s="1"/>
  <c r="CF111" i="5"/>
  <c r="DO111" i="5" s="1"/>
  <c r="CF108" i="5"/>
  <c r="DO108" i="5" s="1"/>
  <c r="CF116" i="5"/>
  <c r="DO116" i="5" s="1"/>
  <c r="CF8" i="5"/>
  <c r="DO8" i="5" s="1"/>
  <c r="CF107" i="5"/>
  <c r="DO107" i="5" s="1"/>
  <c r="CF117" i="5"/>
  <c r="DO117" i="5" s="1"/>
  <c r="BT11" i="5"/>
  <c r="DC11" i="5" s="1"/>
  <c r="BT19" i="5"/>
  <c r="DC19" i="5" s="1"/>
  <c r="BT27" i="5"/>
  <c r="DC27" i="5" s="1"/>
  <c r="BT18" i="5"/>
  <c r="DC18" i="5" s="1"/>
  <c r="BT17" i="5"/>
  <c r="DC17" i="5" s="1"/>
  <c r="BT25" i="5"/>
  <c r="DC25" i="5" s="1"/>
  <c r="BT16" i="5"/>
  <c r="DC16" i="5" s="1"/>
  <c r="BT24" i="5"/>
  <c r="DC24" i="5" s="1"/>
  <c r="BT23" i="5"/>
  <c r="DC23" i="5" s="1"/>
  <c r="BT34" i="5"/>
  <c r="DC34" i="5" s="1"/>
  <c r="BT42" i="5"/>
  <c r="DC42" i="5" s="1"/>
  <c r="BT33" i="5"/>
  <c r="DC33" i="5" s="1"/>
  <c r="BT41" i="5"/>
  <c r="DC41" i="5" s="1"/>
  <c r="BT39" i="5"/>
  <c r="DC39" i="5" s="1"/>
  <c r="BT14" i="5"/>
  <c r="DC14" i="5" s="1"/>
  <c r="BT36" i="5"/>
  <c r="DC36" i="5" s="1"/>
  <c r="BT44" i="5"/>
  <c r="DC44" i="5" s="1"/>
  <c r="BT29" i="5"/>
  <c r="DC29" i="5" s="1"/>
  <c r="BT47" i="5"/>
  <c r="DC47" i="5" s="1"/>
  <c r="BT55" i="5"/>
  <c r="DC55" i="5" s="1"/>
  <c r="BT46" i="5"/>
  <c r="DC46" i="5" s="1"/>
  <c r="BT54" i="5"/>
  <c r="DC54" i="5" s="1"/>
  <c r="BT49" i="5"/>
  <c r="DC49" i="5" s="1"/>
  <c r="BT57" i="5"/>
  <c r="DC57" i="5" s="1"/>
  <c r="BT45" i="5"/>
  <c r="DC45" i="5" s="1"/>
  <c r="BT48" i="5"/>
  <c r="DC48" i="5" s="1"/>
  <c r="BT69" i="5"/>
  <c r="DC69" i="5" s="1"/>
  <c r="BT77" i="5"/>
  <c r="DC77" i="5" s="1"/>
  <c r="BT68" i="5"/>
  <c r="DC68" i="5" s="1"/>
  <c r="BT67" i="5"/>
  <c r="DC67" i="5" s="1"/>
  <c r="BT74" i="5"/>
  <c r="DC74" i="5" s="1"/>
  <c r="BT63" i="5"/>
  <c r="DC63" i="5" s="1"/>
  <c r="BT37" i="5"/>
  <c r="DC37" i="5" s="1"/>
  <c r="BT82" i="5"/>
  <c r="DC82" i="5" s="1"/>
  <c r="BT43" i="5"/>
  <c r="DC43" i="5" s="1"/>
  <c r="BT81" i="5"/>
  <c r="DC81" i="5" s="1"/>
  <c r="BT89" i="5"/>
  <c r="DC89" i="5" s="1"/>
  <c r="BT80" i="5"/>
  <c r="DC80" i="5" s="1"/>
  <c r="BT87" i="5"/>
  <c r="DC87" i="5" s="1"/>
  <c r="BT95" i="5"/>
  <c r="DC95" i="5" s="1"/>
  <c r="BT65" i="5"/>
  <c r="DC65" i="5" s="1"/>
  <c r="BT92" i="5"/>
  <c r="DC92" i="5" s="1"/>
  <c r="BT73" i="5"/>
  <c r="DC73" i="5" s="1"/>
  <c r="BT106" i="5"/>
  <c r="DC106" i="5" s="1"/>
  <c r="BT109" i="5"/>
  <c r="DC109" i="5" s="1"/>
  <c r="BT105" i="5"/>
  <c r="DC105" i="5" s="1"/>
  <c r="BT113" i="5"/>
  <c r="DC113" i="5" s="1"/>
  <c r="BT86" i="5"/>
  <c r="DC86" i="5" s="1"/>
  <c r="BT94" i="5"/>
  <c r="DC94" i="5" s="1"/>
  <c r="BT104" i="5"/>
  <c r="DC104" i="5" s="1"/>
  <c r="BT110" i="5"/>
  <c r="DC110" i="5" s="1"/>
  <c r="BT85" i="5"/>
  <c r="DC85" i="5" s="1"/>
  <c r="BT103" i="5"/>
  <c r="DC103" i="5" s="1"/>
  <c r="BT100" i="5"/>
  <c r="DC100" i="5" s="1"/>
  <c r="BT108" i="5"/>
  <c r="DC108" i="5" s="1"/>
  <c r="BT116" i="5"/>
  <c r="DC116" i="5" s="1"/>
  <c r="BT8" i="5"/>
  <c r="DC8" i="5" s="1"/>
  <c r="BT99" i="5"/>
  <c r="DC99" i="5" s="1"/>
  <c r="BT101" i="5"/>
  <c r="DC101" i="5" s="1"/>
  <c r="BT117" i="5"/>
  <c r="DC117" i="5" s="1"/>
  <c r="CE68" i="5"/>
  <c r="DN68" i="5" s="1"/>
  <c r="CE90" i="5"/>
  <c r="DN90" i="5" s="1"/>
  <c r="CE85" i="5"/>
  <c r="DN85" i="5" s="1"/>
  <c r="CE81" i="5"/>
  <c r="DN81" i="5" s="1"/>
  <c r="CE108" i="5"/>
  <c r="DN108" i="5" s="1"/>
  <c r="CE98" i="5"/>
  <c r="DN98" i="5" s="1"/>
  <c r="BR54" i="5"/>
  <c r="DA54" i="5" s="1"/>
  <c r="CS23" i="5"/>
  <c r="EB23" i="5" s="1"/>
  <c r="CS62" i="5"/>
  <c r="EB62" i="5" s="1"/>
  <c r="CS65" i="5"/>
  <c r="EB65" i="5" s="1"/>
  <c r="CS73" i="5"/>
  <c r="EB73" i="5" s="1"/>
  <c r="CS71" i="5"/>
  <c r="EB71" i="5" s="1"/>
  <c r="CK98" i="5"/>
  <c r="DT98" i="5" s="1"/>
  <c r="CC39" i="5"/>
  <c r="DL39" i="5" s="1"/>
  <c r="CC82" i="5"/>
  <c r="DL82" i="5" s="1"/>
  <c r="CC95" i="5"/>
  <c r="DL95" i="5" s="1"/>
  <c r="BU83" i="5"/>
  <c r="DD83" i="5" s="1"/>
  <c r="CT13" i="5"/>
  <c r="EC13" i="5" s="1"/>
  <c r="CT14" i="5"/>
  <c r="EC14" i="5" s="1"/>
  <c r="CT17" i="5"/>
  <c r="EC17" i="5" s="1"/>
  <c r="CT25" i="5"/>
  <c r="EC25" i="5" s="1"/>
  <c r="CT30" i="5"/>
  <c r="EC30" i="5" s="1"/>
  <c r="CT27" i="5"/>
  <c r="EC27" i="5" s="1"/>
  <c r="CT29" i="5"/>
  <c r="EC29" i="5" s="1"/>
  <c r="CT40" i="5"/>
  <c r="EC40" i="5" s="1"/>
  <c r="CT44" i="5"/>
  <c r="EC44" i="5" s="1"/>
  <c r="CT52" i="5"/>
  <c r="EC52" i="5" s="1"/>
  <c r="CT10" i="5"/>
  <c r="EC10" i="5" s="1"/>
  <c r="CT48" i="5"/>
  <c r="EC48" i="5" s="1"/>
  <c r="CT68" i="5"/>
  <c r="EC68" i="5" s="1"/>
  <c r="CT35" i="5"/>
  <c r="EC35" i="5" s="1"/>
  <c r="CT43" i="5"/>
  <c r="EC43" i="5" s="1"/>
  <c r="CT66" i="5"/>
  <c r="EC66" i="5" s="1"/>
  <c r="CT53" i="5"/>
  <c r="EC53" i="5" s="1"/>
  <c r="CT56" i="5"/>
  <c r="EC56" i="5" s="1"/>
  <c r="CT64" i="5"/>
  <c r="EC64" i="5" s="1"/>
  <c r="CT80" i="5"/>
  <c r="EC80" i="5" s="1"/>
  <c r="CT75" i="5"/>
  <c r="EC75" i="5" s="1"/>
  <c r="CT78" i="5"/>
  <c r="EC78" i="5" s="1"/>
  <c r="CT65" i="5"/>
  <c r="EC65" i="5" s="1"/>
  <c r="CT88" i="5"/>
  <c r="EC88" i="5" s="1"/>
  <c r="CT79" i="5"/>
  <c r="EC79" i="5" s="1"/>
  <c r="CT94" i="5"/>
  <c r="EC94" i="5" s="1"/>
  <c r="CT92" i="5"/>
  <c r="EC92" i="5" s="1"/>
  <c r="CT97" i="5"/>
  <c r="EC97" i="5" s="1"/>
  <c r="CT100" i="5"/>
  <c r="EC100" i="5" s="1"/>
  <c r="CT106" i="5"/>
  <c r="EC106" i="5" s="1"/>
  <c r="CT115" i="5"/>
  <c r="EC115" i="5" s="1"/>
  <c r="CT101" i="5"/>
  <c r="EC101" i="5" s="1"/>
  <c r="CT119" i="5"/>
  <c r="EC119" i="5" s="1"/>
  <c r="CT109" i="5"/>
  <c r="EC109" i="5" s="1"/>
  <c r="CZ11" i="5"/>
  <c r="EI11" i="5" s="1"/>
  <c r="CZ19" i="5"/>
  <c r="EI19" i="5" s="1"/>
  <c r="CZ27" i="5"/>
  <c r="EI27" i="5" s="1"/>
  <c r="CZ9" i="5"/>
  <c r="EI9" i="5" s="1"/>
  <c r="CZ12" i="5"/>
  <c r="EI12" i="5" s="1"/>
  <c r="CZ15" i="5"/>
  <c r="EI15" i="5" s="1"/>
  <c r="CZ21" i="5"/>
  <c r="EI21" i="5" s="1"/>
  <c r="CZ34" i="5"/>
  <c r="EI34" i="5" s="1"/>
  <c r="CZ29" i="5"/>
  <c r="EI29" i="5" s="1"/>
  <c r="CZ32" i="5"/>
  <c r="EI32" i="5" s="1"/>
  <c r="CZ16" i="5"/>
  <c r="EI16" i="5" s="1"/>
  <c r="CZ52" i="5"/>
  <c r="EI52" i="5" s="1"/>
  <c r="CZ37" i="5"/>
  <c r="EI37" i="5" s="1"/>
  <c r="CZ58" i="5"/>
  <c r="EI58" i="5" s="1"/>
  <c r="CZ67" i="5"/>
  <c r="EI67" i="5" s="1"/>
  <c r="CZ65" i="5"/>
  <c r="EI65" i="5" s="1"/>
  <c r="CZ75" i="5"/>
  <c r="EI75" i="5" s="1"/>
  <c r="CZ60" i="5"/>
  <c r="EI60" i="5" s="1"/>
  <c r="CZ71" i="5"/>
  <c r="EI71" i="5" s="1"/>
  <c r="CZ95" i="5"/>
  <c r="EI95" i="5" s="1"/>
  <c r="CZ103" i="5"/>
  <c r="EI103" i="5" s="1"/>
  <c r="CZ111" i="5"/>
  <c r="EI111" i="5" s="1"/>
  <c r="CZ55" i="5"/>
  <c r="EI55" i="5" s="1"/>
  <c r="CZ104" i="5"/>
  <c r="EI104" i="5" s="1"/>
  <c r="CZ107" i="5"/>
  <c r="EI107" i="5" s="1"/>
  <c r="CZ99" i="5"/>
  <c r="EI99" i="5" s="1"/>
  <c r="CZ102" i="5"/>
  <c r="EI102" i="5" s="1"/>
  <c r="CR11" i="5"/>
  <c r="EA11" i="5" s="1"/>
  <c r="CR20" i="5"/>
  <c r="EA20" i="5" s="1"/>
  <c r="CR18" i="5"/>
  <c r="EA18" i="5" s="1"/>
  <c r="CR28" i="5"/>
  <c r="EA28" i="5" s="1"/>
  <c r="CR24" i="5"/>
  <c r="EA24" i="5" s="1"/>
  <c r="CR31" i="5"/>
  <c r="EA31" i="5" s="1"/>
  <c r="CR32" i="5"/>
  <c r="EA32" i="5" s="1"/>
  <c r="CR50" i="5"/>
  <c r="EA50" i="5" s="1"/>
  <c r="CR38" i="5"/>
  <c r="EA38" i="5" s="1"/>
  <c r="CR46" i="5"/>
  <c r="EA46" i="5" s="1"/>
  <c r="CR58" i="5"/>
  <c r="EA58" i="5" s="1"/>
  <c r="CR53" i="5"/>
  <c r="EA53" i="5" s="1"/>
  <c r="CR64" i="5"/>
  <c r="EA64" i="5" s="1"/>
  <c r="CR59" i="5"/>
  <c r="EA59" i="5" s="1"/>
  <c r="CR67" i="5"/>
  <c r="EA67" i="5" s="1"/>
  <c r="CR65" i="5"/>
  <c r="EA65" i="5" s="1"/>
  <c r="CR60" i="5"/>
  <c r="EA60" i="5" s="1"/>
  <c r="CR75" i="5"/>
  <c r="EA75" i="5" s="1"/>
  <c r="CR76" i="5"/>
  <c r="EA76" i="5" s="1"/>
  <c r="CR88" i="5"/>
  <c r="EA88" i="5" s="1"/>
  <c r="CR83" i="5"/>
  <c r="EA83" i="5" s="1"/>
  <c r="CR98" i="5"/>
  <c r="EA98" i="5" s="1"/>
  <c r="CR80" i="5"/>
  <c r="EA80" i="5" s="1"/>
  <c r="CR101" i="5"/>
  <c r="EA101" i="5" s="1"/>
  <c r="CR109" i="5"/>
  <c r="EA109" i="5" s="1"/>
  <c r="CR113" i="5"/>
  <c r="EA113" i="5" s="1"/>
  <c r="CR116" i="5"/>
  <c r="EA116" i="5" s="1"/>
  <c r="CR99" i="5"/>
  <c r="EA99" i="5" s="1"/>
  <c r="CR102" i="5"/>
  <c r="EA102" i="5" s="1"/>
  <c r="CR8" i="5"/>
  <c r="EA8" i="5" s="1"/>
  <c r="CJ25" i="5"/>
  <c r="DS25" i="5" s="1"/>
  <c r="CJ23" i="5"/>
  <c r="DS23" i="5" s="1"/>
  <c r="CJ28" i="5"/>
  <c r="DS28" i="5" s="1"/>
  <c r="CJ16" i="5"/>
  <c r="DS16" i="5" s="1"/>
  <c r="CJ37" i="5"/>
  <c r="DS37" i="5" s="1"/>
  <c r="CJ32" i="5"/>
  <c r="DS32" i="5" s="1"/>
  <c r="CJ33" i="5"/>
  <c r="DS33" i="5" s="1"/>
  <c r="CJ47" i="5"/>
  <c r="DS47" i="5" s="1"/>
  <c r="CJ43" i="5"/>
  <c r="DS43" i="5" s="1"/>
  <c r="CJ51" i="5"/>
  <c r="DS51" i="5" s="1"/>
  <c r="CJ38" i="5"/>
  <c r="DS38" i="5" s="1"/>
  <c r="CJ46" i="5"/>
  <c r="DS46" i="5" s="1"/>
  <c r="CJ56" i="5"/>
  <c r="DS56" i="5" s="1"/>
  <c r="CJ49" i="5"/>
  <c r="DS49" i="5" s="1"/>
  <c r="CJ57" i="5"/>
  <c r="DS57" i="5" s="1"/>
  <c r="CJ65" i="5"/>
  <c r="DS65" i="5" s="1"/>
  <c r="CJ55" i="5"/>
  <c r="DS55" i="5" s="1"/>
  <c r="CJ73" i="5"/>
  <c r="DS73" i="5" s="1"/>
  <c r="CJ74" i="5"/>
  <c r="DS74" i="5" s="1"/>
  <c r="CJ80" i="5"/>
  <c r="DS80" i="5" s="1"/>
  <c r="CJ100" i="5"/>
  <c r="DS100" i="5" s="1"/>
  <c r="CJ108" i="5"/>
  <c r="DS108" i="5" s="1"/>
  <c r="CJ97" i="5"/>
  <c r="DS97" i="5" s="1"/>
  <c r="CJ96" i="5"/>
  <c r="DS96" i="5" s="1"/>
  <c r="CJ109" i="5"/>
  <c r="DS109" i="5" s="1"/>
  <c r="CJ102" i="5"/>
  <c r="DS102" i="5" s="1"/>
  <c r="CJ114" i="5"/>
  <c r="DS114" i="5" s="1"/>
  <c r="CJ90" i="5"/>
  <c r="DS90" i="5" s="1"/>
  <c r="CJ107" i="5"/>
  <c r="DS107" i="5" s="1"/>
  <c r="CJ110" i="5"/>
  <c r="DS110" i="5" s="1"/>
  <c r="CJ115" i="5"/>
  <c r="DS115" i="5" s="1"/>
  <c r="CB25" i="5"/>
  <c r="DK25" i="5" s="1"/>
  <c r="CB15" i="5"/>
  <c r="DK15" i="5" s="1"/>
  <c r="CB10" i="5"/>
  <c r="DK10" i="5" s="1"/>
  <c r="CB21" i="5"/>
  <c r="DK21" i="5" s="1"/>
  <c r="CB26" i="5"/>
  <c r="DK26" i="5" s="1"/>
  <c r="CB29" i="5"/>
  <c r="DK29" i="5" s="1"/>
  <c r="CB47" i="5"/>
  <c r="DK47" i="5" s="1"/>
  <c r="CB38" i="5"/>
  <c r="DK38" i="5" s="1"/>
  <c r="CB45" i="5"/>
  <c r="DK45" i="5" s="1"/>
  <c r="CB53" i="5"/>
  <c r="DK53" i="5" s="1"/>
  <c r="CB48" i="5"/>
  <c r="DK48" i="5" s="1"/>
  <c r="CB16" i="5"/>
  <c r="DK16" i="5" s="1"/>
  <c r="CB40" i="5"/>
  <c r="DK40" i="5" s="1"/>
  <c r="CB65" i="5"/>
  <c r="DK65" i="5" s="1"/>
  <c r="CB72" i="5"/>
  <c r="DK72" i="5" s="1"/>
  <c r="CB78" i="5"/>
  <c r="DK78" i="5" s="1"/>
  <c r="CB73" i="5"/>
  <c r="DK73" i="5" s="1"/>
  <c r="CB60" i="5"/>
  <c r="DK60" i="5" s="1"/>
  <c r="CB69" i="5"/>
  <c r="DK69" i="5" s="1"/>
  <c r="CB76" i="5"/>
  <c r="DK76" i="5" s="1"/>
  <c r="CB91" i="5"/>
  <c r="DK91" i="5" s="1"/>
  <c r="CB77" i="5"/>
  <c r="DK77" i="5" s="1"/>
  <c r="CB94" i="5"/>
  <c r="DK94" i="5" s="1"/>
  <c r="CB68" i="5"/>
  <c r="DK68" i="5" s="1"/>
  <c r="CB84" i="5"/>
  <c r="DK84" i="5" s="1"/>
  <c r="CB105" i="5"/>
  <c r="DK105" i="5" s="1"/>
  <c r="CB100" i="5"/>
  <c r="DK100" i="5" s="1"/>
  <c r="CB106" i="5"/>
  <c r="DK106" i="5" s="1"/>
  <c r="CB96" i="5"/>
  <c r="DK96" i="5" s="1"/>
  <c r="CB110" i="5"/>
  <c r="DK110" i="5" s="1"/>
  <c r="CB116" i="5"/>
  <c r="DK116" i="5" s="1"/>
  <c r="CB117" i="5"/>
  <c r="DK117" i="5" s="1"/>
  <c r="CB107" i="5"/>
  <c r="DK107" i="5" s="1"/>
  <c r="CB112" i="5"/>
  <c r="DK112" i="5" s="1"/>
  <c r="CB99" i="5"/>
  <c r="DK99" i="5" s="1"/>
  <c r="BT22" i="5"/>
  <c r="DC22" i="5" s="1"/>
  <c r="BT9" i="5"/>
  <c r="DC9" i="5" s="1"/>
  <c r="BT20" i="5"/>
  <c r="DC20" i="5" s="1"/>
  <c r="BT10" i="5"/>
  <c r="DC10" i="5" s="1"/>
  <c r="BT31" i="5"/>
  <c r="DC31" i="5" s="1"/>
  <c r="BT13" i="5"/>
  <c r="DC13" i="5" s="1"/>
  <c r="BT53" i="5"/>
  <c r="DC53" i="5" s="1"/>
  <c r="BT51" i="5"/>
  <c r="DC51" i="5" s="1"/>
  <c r="BT30" i="5"/>
  <c r="DC30" i="5" s="1"/>
  <c r="BT58" i="5"/>
  <c r="DC58" i="5" s="1"/>
  <c r="BT61" i="5"/>
  <c r="DC61" i="5" s="1"/>
  <c r="BT56" i="5"/>
  <c r="DC56" i="5" s="1"/>
  <c r="BT64" i="5"/>
  <c r="DC64" i="5" s="1"/>
  <c r="BT40" i="5"/>
  <c r="DC40" i="5" s="1"/>
  <c r="BT72" i="5"/>
  <c r="DC72" i="5" s="1"/>
  <c r="BT70" i="5"/>
  <c r="DC70" i="5" s="1"/>
  <c r="BT76" i="5"/>
  <c r="DC76" i="5" s="1"/>
  <c r="BT35" i="5"/>
  <c r="DC35" i="5" s="1"/>
  <c r="BT96" i="5"/>
  <c r="DC96" i="5" s="1"/>
  <c r="BT83" i="5"/>
  <c r="DC83" i="5" s="1"/>
  <c r="BT84" i="5"/>
  <c r="DC84" i="5" s="1"/>
  <c r="BT97" i="5"/>
  <c r="DC97" i="5" s="1"/>
  <c r="BT118" i="5"/>
  <c r="DC118" i="5" s="1"/>
  <c r="BT114" i="5"/>
  <c r="DC114" i="5" s="1"/>
  <c r="BT112" i="5"/>
  <c r="DC112" i="5" s="1"/>
  <c r="CM26" i="5"/>
  <c r="DV26" i="5" s="1"/>
  <c r="CM13" i="5"/>
  <c r="DV13" i="5" s="1"/>
  <c r="CM16" i="5"/>
  <c r="DV16" i="5" s="1"/>
  <c r="CM19" i="5"/>
  <c r="DV19" i="5" s="1"/>
  <c r="CM22" i="5"/>
  <c r="DV22" i="5" s="1"/>
  <c r="CM9" i="5"/>
  <c r="DV9" i="5" s="1"/>
  <c r="CM17" i="5"/>
  <c r="DV17" i="5" s="1"/>
  <c r="CM30" i="5"/>
  <c r="DV30" i="5" s="1"/>
  <c r="CM33" i="5"/>
  <c r="DV33" i="5" s="1"/>
  <c r="CM27" i="5"/>
  <c r="DV27" i="5" s="1"/>
  <c r="CM28" i="5"/>
  <c r="DV28" i="5" s="1"/>
  <c r="CM36" i="5"/>
  <c r="DV36" i="5" s="1"/>
  <c r="CM20" i="5"/>
  <c r="DV20" i="5" s="1"/>
  <c r="CM51" i="5"/>
  <c r="DV51" i="5" s="1"/>
  <c r="CM46" i="5"/>
  <c r="DV46" i="5" s="1"/>
  <c r="CM41" i="5"/>
  <c r="DV41" i="5" s="1"/>
  <c r="CM49" i="5"/>
  <c r="DV49" i="5" s="1"/>
  <c r="CM44" i="5"/>
  <c r="DV44" i="5" s="1"/>
  <c r="CM32" i="5"/>
  <c r="DV32" i="5" s="1"/>
  <c r="CM42" i="5"/>
  <c r="DV42" i="5" s="1"/>
  <c r="CM50" i="5"/>
  <c r="DV50" i="5" s="1"/>
  <c r="CM12" i="5"/>
  <c r="DV12" i="5" s="1"/>
  <c r="CM53" i="5"/>
  <c r="DV53" i="5" s="1"/>
  <c r="CM65" i="5"/>
  <c r="DV65" i="5" s="1"/>
  <c r="CM60" i="5"/>
  <c r="DV60" i="5" s="1"/>
  <c r="CM47" i="5"/>
  <c r="DV47" i="5" s="1"/>
  <c r="CM55" i="5"/>
  <c r="DV55" i="5" s="1"/>
  <c r="CM58" i="5"/>
  <c r="DV58" i="5" s="1"/>
  <c r="CM61" i="5"/>
  <c r="DV61" i="5" s="1"/>
  <c r="CM56" i="5"/>
  <c r="DV56" i="5" s="1"/>
  <c r="CM64" i="5"/>
  <c r="DV64" i="5" s="1"/>
  <c r="CM71" i="5"/>
  <c r="DV71" i="5" s="1"/>
  <c r="CM74" i="5"/>
  <c r="DV74" i="5" s="1"/>
  <c r="CM54" i="5"/>
  <c r="DV54" i="5" s="1"/>
  <c r="CM67" i="5"/>
  <c r="DV67" i="5" s="1"/>
  <c r="CM87" i="5"/>
  <c r="DV87" i="5" s="1"/>
  <c r="CM95" i="5"/>
  <c r="DV95" i="5" s="1"/>
  <c r="CM93" i="5"/>
  <c r="DV93" i="5" s="1"/>
  <c r="CM80" i="5"/>
  <c r="DV80" i="5" s="1"/>
  <c r="CM81" i="5"/>
  <c r="DV81" i="5" s="1"/>
  <c r="CM88" i="5"/>
  <c r="DV88" i="5" s="1"/>
  <c r="CM83" i="5"/>
  <c r="DV83" i="5" s="1"/>
  <c r="CM94" i="5"/>
  <c r="DV94" i="5" s="1"/>
  <c r="CM92" i="5"/>
  <c r="DV92" i="5" s="1"/>
  <c r="CM107" i="5"/>
  <c r="DV107" i="5" s="1"/>
  <c r="CM102" i="5"/>
  <c r="DV102" i="5" s="1"/>
  <c r="CM59" i="5"/>
  <c r="DV59" i="5" s="1"/>
  <c r="CM100" i="5"/>
  <c r="DV100" i="5" s="1"/>
  <c r="CM108" i="5"/>
  <c r="DV108" i="5" s="1"/>
  <c r="CM103" i="5"/>
  <c r="DV103" i="5" s="1"/>
  <c r="CM112" i="5"/>
  <c r="DV112" i="5" s="1"/>
  <c r="CM120" i="5"/>
  <c r="DV120" i="5" s="1"/>
  <c r="CM109" i="5"/>
  <c r="DV109" i="5" s="1"/>
  <c r="CM101" i="5"/>
  <c r="DV101" i="5" s="1"/>
  <c r="CM89" i="5"/>
  <c r="DV89" i="5" s="1"/>
  <c r="CM117" i="5"/>
  <c r="DV117" i="5" s="1"/>
  <c r="CY22" i="5"/>
  <c r="EH22" i="5" s="1"/>
  <c r="CY17" i="5"/>
  <c r="EH17" i="5" s="1"/>
  <c r="CY23" i="5"/>
  <c r="EH23" i="5" s="1"/>
  <c r="CY18" i="5"/>
  <c r="EH18" i="5" s="1"/>
  <c r="CY13" i="5"/>
  <c r="EH13" i="5" s="1"/>
  <c r="CY31" i="5"/>
  <c r="EH31" i="5" s="1"/>
  <c r="CY11" i="5"/>
  <c r="EH11" i="5" s="1"/>
  <c r="CY37" i="5"/>
  <c r="EH37" i="5" s="1"/>
  <c r="CY42" i="5"/>
  <c r="EH42" i="5" s="1"/>
  <c r="CY50" i="5"/>
  <c r="EH50" i="5" s="1"/>
  <c r="CY45" i="5"/>
  <c r="EH45" i="5" s="1"/>
  <c r="CY48" i="5"/>
  <c r="EH48" i="5" s="1"/>
  <c r="CY41" i="5"/>
  <c r="EH41" i="5" s="1"/>
  <c r="CY49" i="5"/>
  <c r="EH49" i="5" s="1"/>
  <c r="CY40" i="5"/>
  <c r="EH40" i="5" s="1"/>
  <c r="CY61" i="5"/>
  <c r="EH61" i="5" s="1"/>
  <c r="CY43" i="5"/>
  <c r="EH43" i="5" s="1"/>
  <c r="CY62" i="5"/>
  <c r="EH62" i="5" s="1"/>
  <c r="CY57" i="5"/>
  <c r="EH57" i="5" s="1"/>
  <c r="CY19" i="5"/>
  <c r="EH19" i="5" s="1"/>
  <c r="CY60" i="5"/>
  <c r="EH60" i="5" s="1"/>
  <c r="CY58" i="5"/>
  <c r="EH58" i="5" s="1"/>
  <c r="CY73" i="5"/>
  <c r="EH73" i="5" s="1"/>
  <c r="CY71" i="5"/>
  <c r="EH71" i="5" s="1"/>
  <c r="CY91" i="5"/>
  <c r="EH91" i="5" s="1"/>
  <c r="CY72" i="5"/>
  <c r="EH72" i="5" s="1"/>
  <c r="CY77" i="5"/>
  <c r="EH77" i="5" s="1"/>
  <c r="CY82" i="5"/>
  <c r="EH82" i="5" s="1"/>
  <c r="CY66" i="5"/>
  <c r="EH66" i="5" s="1"/>
  <c r="CY98" i="5"/>
  <c r="EH98" i="5" s="1"/>
  <c r="CY109" i="5"/>
  <c r="EH109" i="5" s="1"/>
  <c r="CY107" i="5"/>
  <c r="EH107" i="5" s="1"/>
  <c r="CY105" i="5"/>
  <c r="EH105" i="5" s="1"/>
  <c r="CY119" i="5"/>
  <c r="EH119" i="5" s="1"/>
  <c r="CY112" i="5"/>
  <c r="EH112" i="5" s="1"/>
  <c r="CY110" i="5"/>
  <c r="EH110" i="5" s="1"/>
  <c r="CY117" i="5"/>
  <c r="EH117" i="5" s="1"/>
  <c r="CY102" i="5"/>
  <c r="EH102" i="5" s="1"/>
  <c r="CQ14" i="5"/>
  <c r="DZ14" i="5" s="1"/>
  <c r="CQ9" i="5"/>
  <c r="DZ9" i="5" s="1"/>
  <c r="CQ17" i="5"/>
  <c r="DZ17" i="5" s="1"/>
  <c r="CQ10" i="5"/>
  <c r="DZ10" i="5" s="1"/>
  <c r="CQ18" i="5"/>
  <c r="DZ18" i="5" s="1"/>
  <c r="CQ16" i="5"/>
  <c r="DZ16" i="5" s="1"/>
  <c r="CQ29" i="5"/>
  <c r="DZ29" i="5" s="1"/>
  <c r="CQ27" i="5"/>
  <c r="DZ27" i="5" s="1"/>
  <c r="CQ36" i="5"/>
  <c r="DZ36" i="5" s="1"/>
  <c r="CQ48" i="5"/>
  <c r="DZ48" i="5" s="1"/>
  <c r="CQ41" i="5"/>
  <c r="DZ41" i="5" s="1"/>
  <c r="CQ43" i="5"/>
  <c r="DZ43" i="5" s="1"/>
  <c r="CQ69" i="5"/>
  <c r="DZ69" i="5" s="1"/>
  <c r="CQ54" i="5"/>
  <c r="DZ54" i="5" s="1"/>
  <c r="CQ57" i="5"/>
  <c r="DZ57" i="5" s="1"/>
  <c r="CQ63" i="5"/>
  <c r="DZ63" i="5" s="1"/>
  <c r="CQ73" i="5"/>
  <c r="DZ73" i="5" s="1"/>
  <c r="CQ68" i="5"/>
  <c r="DZ68" i="5" s="1"/>
  <c r="CQ76" i="5"/>
  <c r="DZ76" i="5" s="1"/>
  <c r="CQ66" i="5"/>
  <c r="DZ66" i="5" s="1"/>
  <c r="CQ94" i="5"/>
  <c r="DZ94" i="5" s="1"/>
  <c r="CQ89" i="5"/>
  <c r="DZ89" i="5" s="1"/>
  <c r="CQ84" i="5"/>
  <c r="DZ84" i="5" s="1"/>
  <c r="CQ87" i="5"/>
  <c r="DZ87" i="5" s="1"/>
  <c r="CQ80" i="5"/>
  <c r="DZ80" i="5" s="1"/>
  <c r="CQ90" i="5"/>
  <c r="DZ90" i="5" s="1"/>
  <c r="CQ100" i="5"/>
  <c r="DZ100" i="5" s="1"/>
  <c r="CQ106" i="5"/>
  <c r="DZ106" i="5" s="1"/>
  <c r="CQ112" i="5"/>
  <c r="DZ112" i="5" s="1"/>
  <c r="CQ119" i="5"/>
  <c r="DZ119" i="5" s="1"/>
  <c r="CQ120" i="5"/>
  <c r="DZ120" i="5" s="1"/>
  <c r="CQ111" i="5"/>
  <c r="DZ111" i="5" s="1"/>
  <c r="CQ117" i="5"/>
  <c r="DZ117" i="5" s="1"/>
  <c r="CQ115" i="5"/>
  <c r="DZ115" i="5" s="1"/>
  <c r="CQ113" i="5"/>
  <c r="DZ113" i="5" s="1"/>
  <c r="CI14" i="5"/>
  <c r="DR14" i="5" s="1"/>
  <c r="CI9" i="5"/>
  <c r="DR9" i="5" s="1"/>
  <c r="CI12" i="5"/>
  <c r="DR12" i="5" s="1"/>
  <c r="CI13" i="5"/>
  <c r="DR13" i="5" s="1"/>
  <c r="CI25" i="5"/>
  <c r="DR25" i="5" s="1"/>
  <c r="CI39" i="5"/>
  <c r="DR39" i="5" s="1"/>
  <c r="CI35" i="5"/>
  <c r="DR35" i="5" s="1"/>
  <c r="CI24" i="5"/>
  <c r="DR24" i="5" s="1"/>
  <c r="CI45" i="5"/>
  <c r="DR45" i="5" s="1"/>
  <c r="CI38" i="5"/>
  <c r="DR38" i="5" s="1"/>
  <c r="CI49" i="5"/>
  <c r="DR49" i="5" s="1"/>
  <c r="CI61" i="5"/>
  <c r="DR61" i="5" s="1"/>
  <c r="CI69" i="5"/>
  <c r="DR69" i="5" s="1"/>
  <c r="CI59" i="5"/>
  <c r="DR59" i="5" s="1"/>
  <c r="CI62" i="5"/>
  <c r="DR62" i="5" s="1"/>
  <c r="CI51" i="5"/>
  <c r="DR51" i="5" s="1"/>
  <c r="CI57" i="5"/>
  <c r="DR57" i="5" s="1"/>
  <c r="CI71" i="5"/>
  <c r="DR71" i="5" s="1"/>
  <c r="CI83" i="5"/>
  <c r="DR83" i="5" s="1"/>
  <c r="CI86" i="5"/>
  <c r="DR86" i="5" s="1"/>
  <c r="CI94" i="5"/>
  <c r="DR94" i="5" s="1"/>
  <c r="CI84" i="5"/>
  <c r="DR84" i="5" s="1"/>
  <c r="CI87" i="5"/>
  <c r="DR87" i="5" s="1"/>
  <c r="CI103" i="5"/>
  <c r="DR103" i="5" s="1"/>
  <c r="CI85" i="5"/>
  <c r="DR85" i="5" s="1"/>
  <c r="CI102" i="5"/>
  <c r="DR102" i="5" s="1"/>
  <c r="CI117" i="5"/>
  <c r="DR117" i="5" s="1"/>
  <c r="CI112" i="5"/>
  <c r="DR112" i="5" s="1"/>
  <c r="CI105" i="5"/>
  <c r="DR105" i="5" s="1"/>
  <c r="CI113" i="5"/>
  <c r="DR113" i="5" s="1"/>
  <c r="CA14" i="5"/>
  <c r="DJ14" i="5" s="1"/>
  <c r="CA22" i="5"/>
  <c r="DJ22" i="5" s="1"/>
  <c r="CA25" i="5"/>
  <c r="DJ25" i="5" s="1"/>
  <c r="CA20" i="5"/>
  <c r="DJ20" i="5" s="1"/>
  <c r="CA15" i="5"/>
  <c r="DJ15" i="5" s="1"/>
  <c r="CA23" i="5"/>
  <c r="DJ23" i="5" s="1"/>
  <c r="CA10" i="5"/>
  <c r="DJ10" i="5" s="1"/>
  <c r="CA21" i="5"/>
  <c r="DJ21" i="5" s="1"/>
  <c r="CA39" i="5"/>
  <c r="DJ39" i="5" s="1"/>
  <c r="CA19" i="5"/>
  <c r="DJ19" i="5" s="1"/>
  <c r="CA27" i="5"/>
  <c r="DJ27" i="5" s="1"/>
  <c r="CA37" i="5"/>
  <c r="DJ37" i="5" s="1"/>
  <c r="CA11" i="5"/>
  <c r="DJ11" i="5" s="1"/>
  <c r="CA32" i="5"/>
  <c r="DJ32" i="5" s="1"/>
  <c r="CA24" i="5"/>
  <c r="DJ24" i="5" s="1"/>
  <c r="CA35" i="5"/>
  <c r="DJ35" i="5" s="1"/>
  <c r="CA42" i="5"/>
  <c r="DJ42" i="5" s="1"/>
  <c r="CA45" i="5"/>
  <c r="DJ45" i="5" s="1"/>
  <c r="CA53" i="5"/>
  <c r="DJ53" i="5" s="1"/>
  <c r="CA40" i="5"/>
  <c r="DJ40" i="5" s="1"/>
  <c r="CA48" i="5"/>
  <c r="DJ48" i="5" s="1"/>
  <c r="CA46" i="5"/>
  <c r="DJ46" i="5" s="1"/>
  <c r="CA41" i="5"/>
  <c r="DJ41" i="5" s="1"/>
  <c r="CA49" i="5"/>
  <c r="DJ49" i="5" s="1"/>
  <c r="CA61" i="5"/>
  <c r="DJ61" i="5" s="1"/>
  <c r="CA69" i="5"/>
  <c r="DJ69" i="5" s="1"/>
  <c r="CA51" i="5"/>
  <c r="DJ51" i="5" s="1"/>
  <c r="CA67" i="5"/>
  <c r="DJ67" i="5" s="1"/>
  <c r="CA52" i="5"/>
  <c r="DJ52" i="5" s="1"/>
  <c r="CA54" i="5"/>
  <c r="DJ54" i="5" s="1"/>
  <c r="CA43" i="5"/>
  <c r="DJ43" i="5" s="1"/>
  <c r="CA65" i="5"/>
  <c r="DJ65" i="5" s="1"/>
  <c r="CA44" i="5"/>
  <c r="DJ44" i="5" s="1"/>
  <c r="CA60" i="5"/>
  <c r="DJ60" i="5" s="1"/>
  <c r="CA55" i="5"/>
  <c r="DJ55" i="5" s="1"/>
  <c r="CA75" i="5"/>
  <c r="DJ75" i="5" s="1"/>
  <c r="CA73" i="5"/>
  <c r="DJ73" i="5" s="1"/>
  <c r="CA58" i="5"/>
  <c r="DJ58" i="5" s="1"/>
  <c r="CA76" i="5"/>
  <c r="DJ76" i="5" s="1"/>
  <c r="CA71" i="5"/>
  <c r="DJ71" i="5" s="1"/>
  <c r="CA68" i="5"/>
  <c r="DJ68" i="5" s="1"/>
  <c r="CA82" i="5"/>
  <c r="DJ82" i="5" s="1"/>
  <c r="CA91" i="5"/>
  <c r="DJ91" i="5" s="1"/>
  <c r="CA77" i="5"/>
  <c r="DJ77" i="5" s="1"/>
  <c r="CA86" i="5"/>
  <c r="DJ86" i="5" s="1"/>
  <c r="CA94" i="5"/>
  <c r="DJ94" i="5" s="1"/>
  <c r="CA97" i="5"/>
  <c r="DJ97" i="5" s="1"/>
  <c r="CA92" i="5"/>
  <c r="DJ92" i="5" s="1"/>
  <c r="CA80" i="5"/>
  <c r="DJ80" i="5" s="1"/>
  <c r="CA87" i="5"/>
  <c r="DJ87" i="5" s="1"/>
  <c r="CA90" i="5"/>
  <c r="DJ90" i="5" s="1"/>
  <c r="CA85" i="5"/>
  <c r="DJ85" i="5" s="1"/>
  <c r="CA108" i="5"/>
  <c r="DJ108" i="5" s="1"/>
  <c r="CA103" i="5"/>
  <c r="DJ103" i="5" s="1"/>
  <c r="CA98" i="5"/>
  <c r="DJ98" i="5" s="1"/>
  <c r="CA88" i="5"/>
  <c r="DJ88" i="5" s="1"/>
  <c r="CA101" i="5"/>
  <c r="DJ101" i="5" s="1"/>
  <c r="CA109" i="5"/>
  <c r="DJ109" i="5" s="1"/>
  <c r="CA104" i="5"/>
  <c r="DJ104" i="5" s="1"/>
  <c r="CA99" i="5"/>
  <c r="DJ99" i="5" s="1"/>
  <c r="CA107" i="5"/>
  <c r="DJ107" i="5" s="1"/>
  <c r="CA102" i="5"/>
  <c r="DJ102" i="5" s="1"/>
  <c r="CA116" i="5"/>
  <c r="DJ116" i="5" s="1"/>
  <c r="CA112" i="5"/>
  <c r="DJ112" i="5" s="1"/>
  <c r="CA114" i="5"/>
  <c r="DJ114" i="5" s="1"/>
  <c r="CA105" i="5"/>
  <c r="DJ105" i="5" s="1"/>
  <c r="CA117" i="5"/>
  <c r="DJ117" i="5" s="1"/>
  <c r="CA120" i="5"/>
  <c r="DJ120" i="5" s="1"/>
  <c r="CA111" i="5"/>
  <c r="DJ111" i="5" s="1"/>
  <c r="CA113" i="5"/>
  <c r="DJ113" i="5" s="1"/>
  <c r="CA118" i="5"/>
  <c r="DJ118" i="5" s="1"/>
  <c r="CA8" i="5"/>
  <c r="DJ8" i="5" s="1"/>
  <c r="BS14" i="5"/>
  <c r="DB14" i="5" s="1"/>
  <c r="BS22" i="5"/>
  <c r="DB22" i="5" s="1"/>
  <c r="BS17" i="5"/>
  <c r="DB17" i="5" s="1"/>
  <c r="BS12" i="5"/>
  <c r="DB12" i="5" s="1"/>
  <c r="BS20" i="5"/>
  <c r="DB20" i="5" s="1"/>
  <c r="BS15" i="5"/>
  <c r="DB15" i="5" s="1"/>
  <c r="BS10" i="5"/>
  <c r="DB10" i="5" s="1"/>
  <c r="BS13" i="5"/>
  <c r="DB13" i="5" s="1"/>
  <c r="BS28" i="5"/>
  <c r="DB28" i="5" s="1"/>
  <c r="BS31" i="5"/>
  <c r="DB31" i="5" s="1"/>
  <c r="BS39" i="5"/>
  <c r="DB39" i="5" s="1"/>
  <c r="BS11" i="5"/>
  <c r="DB11" i="5" s="1"/>
  <c r="BS37" i="5"/>
  <c r="DB37" i="5" s="1"/>
  <c r="BS26" i="5"/>
  <c r="DB26" i="5" s="1"/>
  <c r="BS32" i="5"/>
  <c r="DB32" i="5" s="1"/>
  <c r="BS16" i="5"/>
  <c r="DB16" i="5" s="1"/>
  <c r="BS35" i="5"/>
  <c r="DB35" i="5" s="1"/>
  <c r="BS47" i="5"/>
  <c r="DB47" i="5" s="1"/>
  <c r="BS42" i="5"/>
  <c r="DB42" i="5" s="1"/>
  <c r="BS50" i="5"/>
  <c r="DB50" i="5" s="1"/>
  <c r="BS33" i="5"/>
  <c r="DB33" i="5" s="1"/>
  <c r="BS36" i="5"/>
  <c r="DB36" i="5" s="1"/>
  <c r="BS45" i="5"/>
  <c r="DB45" i="5" s="1"/>
  <c r="BS53" i="5"/>
  <c r="DB53" i="5" s="1"/>
  <c r="BS46" i="5"/>
  <c r="DB46" i="5" s="1"/>
  <c r="BS40" i="5"/>
  <c r="DB40" i="5" s="1"/>
  <c r="BS49" i="5"/>
  <c r="DB49" i="5" s="1"/>
  <c r="BS51" i="5"/>
  <c r="DB51" i="5" s="1"/>
  <c r="BS61" i="5"/>
  <c r="DB61" i="5" s="1"/>
  <c r="BS41" i="5"/>
  <c r="DB41" i="5" s="1"/>
  <c r="BS56" i="5"/>
  <c r="DB56" i="5" s="1"/>
  <c r="BS64" i="5"/>
  <c r="DB64" i="5" s="1"/>
  <c r="BS43" i="5"/>
  <c r="DB43" i="5" s="1"/>
  <c r="BS59" i="5"/>
  <c r="DB59" i="5" s="1"/>
  <c r="BS67" i="5"/>
  <c r="DB67" i="5" s="1"/>
  <c r="BS54" i="5"/>
  <c r="DB54" i="5" s="1"/>
  <c r="BS65" i="5"/>
  <c r="DB65" i="5" s="1"/>
  <c r="BS60" i="5"/>
  <c r="DB60" i="5" s="1"/>
  <c r="BS75" i="5"/>
  <c r="DB75" i="5" s="1"/>
  <c r="BS58" i="5"/>
  <c r="DB58" i="5" s="1"/>
  <c r="BS81" i="5"/>
  <c r="DB81" i="5" s="1"/>
  <c r="BS76" i="5"/>
  <c r="DB76" i="5" s="1"/>
  <c r="BS63" i="5"/>
  <c r="DB63" i="5" s="1"/>
  <c r="BS71" i="5"/>
  <c r="DB71" i="5" s="1"/>
  <c r="BS79" i="5"/>
  <c r="DB79" i="5" s="1"/>
  <c r="BS74" i="5"/>
  <c r="DB74" i="5" s="1"/>
  <c r="BS80" i="5"/>
  <c r="DB80" i="5" s="1"/>
  <c r="BS91" i="5"/>
  <c r="DB91" i="5" s="1"/>
  <c r="BS86" i="5"/>
  <c r="DB86" i="5" s="1"/>
  <c r="BS94" i="5"/>
  <c r="DB94" i="5" s="1"/>
  <c r="BS68" i="5"/>
  <c r="DB68" i="5" s="1"/>
  <c r="BS89" i="5"/>
  <c r="DB89" i="5" s="1"/>
  <c r="BS72" i="5"/>
  <c r="DB72" i="5" s="1"/>
  <c r="BS92" i="5"/>
  <c r="DB92" i="5" s="1"/>
  <c r="BS55" i="5"/>
  <c r="DB55" i="5" s="1"/>
  <c r="BS87" i="5"/>
  <c r="DB87" i="5" s="1"/>
  <c r="BS95" i="5"/>
  <c r="DB95" i="5" s="1"/>
  <c r="BS66" i="5"/>
  <c r="DB66" i="5" s="1"/>
  <c r="BS78" i="5"/>
  <c r="DB78" i="5" s="1"/>
  <c r="BS108" i="5"/>
  <c r="DB108" i="5" s="1"/>
  <c r="BS88" i="5"/>
  <c r="DB88" i="5" s="1"/>
  <c r="BS103" i="5"/>
  <c r="DB103" i="5" s="1"/>
  <c r="BS98" i="5"/>
  <c r="DB98" i="5" s="1"/>
  <c r="BS106" i="5"/>
  <c r="DB106" i="5" s="1"/>
  <c r="BS109" i="5"/>
  <c r="DB109" i="5" s="1"/>
  <c r="BS93" i="5"/>
  <c r="DB93" i="5" s="1"/>
  <c r="BS104" i="5"/>
  <c r="DB104" i="5" s="1"/>
  <c r="BS107" i="5"/>
  <c r="DB107" i="5" s="1"/>
  <c r="BS116" i="5"/>
  <c r="DB116" i="5" s="1"/>
  <c r="BS119" i="5"/>
  <c r="DB119" i="5" s="1"/>
  <c r="BS114" i="5"/>
  <c r="DB114" i="5" s="1"/>
  <c r="BS120" i="5"/>
  <c r="DB120" i="5" s="1"/>
  <c r="BS117" i="5"/>
  <c r="DB117" i="5" s="1"/>
  <c r="BS115" i="5"/>
  <c r="DB115" i="5" s="1"/>
  <c r="BS111" i="5"/>
  <c r="DB111" i="5" s="1"/>
  <c r="BS118" i="5"/>
  <c r="DB118" i="5" s="1"/>
  <c r="BS8" i="5"/>
  <c r="DB8" i="5" s="1"/>
  <c r="BS113" i="5"/>
  <c r="DB113" i="5" s="1"/>
  <c r="CD13" i="5"/>
  <c r="DM13" i="5" s="1"/>
  <c r="CD21" i="5"/>
  <c r="DM21" i="5" s="1"/>
  <c r="CD16" i="5"/>
  <c r="DM16" i="5" s="1"/>
  <c r="CD11" i="5"/>
  <c r="DM11" i="5" s="1"/>
  <c r="CD19" i="5"/>
  <c r="DM19" i="5" s="1"/>
  <c r="CD14" i="5"/>
  <c r="DM14" i="5" s="1"/>
  <c r="CD22" i="5"/>
  <c r="DM22" i="5" s="1"/>
  <c r="CD9" i="5"/>
  <c r="DM9" i="5" s="1"/>
  <c r="CD25" i="5"/>
  <c r="DM25" i="5" s="1"/>
  <c r="CD20" i="5"/>
  <c r="DM20" i="5" s="1"/>
  <c r="CD30" i="5"/>
  <c r="DM30" i="5" s="1"/>
  <c r="CD38" i="5"/>
  <c r="DM38" i="5" s="1"/>
  <c r="CD18" i="5"/>
  <c r="DM18" i="5" s="1"/>
  <c r="CD33" i="5"/>
  <c r="DM33" i="5" s="1"/>
  <c r="CD36" i="5"/>
  <c r="DM36" i="5" s="1"/>
  <c r="CD27" i="5"/>
  <c r="DM27" i="5" s="1"/>
  <c r="CD31" i="5"/>
  <c r="DM31" i="5" s="1"/>
  <c r="CD23" i="5"/>
  <c r="DM23" i="5" s="1"/>
  <c r="CD26" i="5"/>
  <c r="DM26" i="5" s="1"/>
  <c r="CD46" i="5"/>
  <c r="DM46" i="5" s="1"/>
  <c r="CD41" i="5"/>
  <c r="DM41" i="5" s="1"/>
  <c r="CD49" i="5"/>
  <c r="DM49" i="5" s="1"/>
  <c r="CD37" i="5"/>
  <c r="DM37" i="5" s="1"/>
  <c r="CD44" i="5"/>
  <c r="DM44" i="5" s="1"/>
  <c r="CD40" i="5"/>
  <c r="DM40" i="5" s="1"/>
  <c r="CD48" i="5"/>
  <c r="DM48" i="5" s="1"/>
  <c r="CD53" i="5"/>
  <c r="DM53" i="5" s="1"/>
  <c r="CD60" i="5"/>
  <c r="DM60" i="5" s="1"/>
  <c r="CD63" i="5"/>
  <c r="DM63" i="5" s="1"/>
  <c r="CD15" i="5"/>
  <c r="DM15" i="5" s="1"/>
  <c r="CD50" i="5"/>
  <c r="DM50" i="5" s="1"/>
  <c r="CD58" i="5"/>
  <c r="DM58" i="5" s="1"/>
  <c r="CD66" i="5"/>
  <c r="DM66" i="5" s="1"/>
  <c r="CD51" i="5"/>
  <c r="DM51" i="5" s="1"/>
  <c r="CD61" i="5"/>
  <c r="DM61" i="5" s="1"/>
  <c r="CD42" i="5"/>
  <c r="DM42" i="5" s="1"/>
  <c r="CD43" i="5"/>
  <c r="DM43" i="5" s="1"/>
  <c r="CD59" i="5"/>
  <c r="DM59" i="5" s="1"/>
  <c r="CD67" i="5"/>
  <c r="DM67" i="5" s="1"/>
  <c r="CD74" i="5"/>
  <c r="DM74" i="5" s="1"/>
  <c r="CD72" i="5"/>
  <c r="DM72" i="5" s="1"/>
  <c r="CD39" i="5"/>
  <c r="DM39" i="5" s="1"/>
  <c r="CD57" i="5"/>
  <c r="DM57" i="5" s="1"/>
  <c r="CD78" i="5"/>
  <c r="DM78" i="5" s="1"/>
  <c r="CD70" i="5"/>
  <c r="DM70" i="5" s="1"/>
  <c r="CD73" i="5"/>
  <c r="DM73" i="5" s="1"/>
  <c r="CD90" i="5"/>
  <c r="DM90" i="5" s="1"/>
  <c r="CD85" i="5"/>
  <c r="DM85" i="5" s="1"/>
  <c r="CD93" i="5"/>
  <c r="DM93" i="5" s="1"/>
  <c r="CD82" i="5"/>
  <c r="DM82" i="5" s="1"/>
  <c r="CD88" i="5"/>
  <c r="DM88" i="5" s="1"/>
  <c r="CD77" i="5"/>
  <c r="DM77" i="5" s="1"/>
  <c r="CD91" i="5"/>
  <c r="DM91" i="5" s="1"/>
  <c r="CD62" i="5"/>
  <c r="DM62" i="5" s="1"/>
  <c r="CD79" i="5"/>
  <c r="DM79" i="5" s="1"/>
  <c r="CD86" i="5"/>
  <c r="DM86" i="5" s="1"/>
  <c r="CD84" i="5"/>
  <c r="DM84" i="5" s="1"/>
  <c r="CD99" i="5"/>
  <c r="DM99" i="5" s="1"/>
  <c r="CD107" i="5"/>
  <c r="DM107" i="5" s="1"/>
  <c r="CD95" i="5"/>
  <c r="DM95" i="5" s="1"/>
  <c r="CD105" i="5"/>
  <c r="DM105" i="5" s="1"/>
  <c r="CD100" i="5"/>
  <c r="DM100" i="5" s="1"/>
  <c r="CD108" i="5"/>
  <c r="DM108" i="5" s="1"/>
  <c r="CD103" i="5"/>
  <c r="DM103" i="5" s="1"/>
  <c r="CD97" i="5"/>
  <c r="DM97" i="5" s="1"/>
  <c r="CD98" i="5"/>
  <c r="DM98" i="5" s="1"/>
  <c r="CD101" i="5"/>
  <c r="DM101" i="5" s="1"/>
  <c r="CD120" i="5"/>
  <c r="DM120" i="5" s="1"/>
  <c r="CD118" i="5"/>
  <c r="DM118" i="5" s="1"/>
  <c r="CD8" i="5"/>
  <c r="DM8" i="5" s="1"/>
  <c r="CD92" i="5"/>
  <c r="DM92" i="5" s="1"/>
  <c r="CD113" i="5"/>
  <c r="DM113" i="5" s="1"/>
  <c r="CD104" i="5"/>
  <c r="DM104" i="5" s="1"/>
  <c r="CD114" i="5"/>
  <c r="DM114" i="5" s="1"/>
  <c r="CD109" i="5"/>
  <c r="DM109" i="5" s="1"/>
  <c r="CD117" i="5"/>
  <c r="DM117" i="5" s="1"/>
  <c r="CD111" i="5"/>
  <c r="DM111" i="5" s="1"/>
  <c r="CX12" i="5"/>
  <c r="EG12" i="5" s="1"/>
  <c r="CX20" i="5"/>
  <c r="EG20" i="5" s="1"/>
  <c r="CX23" i="5"/>
  <c r="EG23" i="5" s="1"/>
  <c r="CX32" i="5"/>
  <c r="EG32" i="5" s="1"/>
  <c r="CX35" i="5"/>
  <c r="EG35" i="5" s="1"/>
  <c r="CX30" i="5"/>
  <c r="EG30" i="5" s="1"/>
  <c r="CX48" i="5"/>
  <c r="EG48" i="5" s="1"/>
  <c r="CX43" i="5"/>
  <c r="EG43" i="5" s="1"/>
  <c r="CX51" i="5"/>
  <c r="EG51" i="5" s="1"/>
  <c r="CX33" i="5"/>
  <c r="EG33" i="5" s="1"/>
  <c r="CX59" i="5"/>
  <c r="EG59" i="5" s="1"/>
  <c r="CX54" i="5"/>
  <c r="EG54" i="5" s="1"/>
  <c r="CX62" i="5"/>
  <c r="EG62" i="5" s="1"/>
  <c r="CX46" i="5"/>
  <c r="EG46" i="5" s="1"/>
  <c r="CX55" i="5"/>
  <c r="EG55" i="5" s="1"/>
  <c r="CX58" i="5"/>
  <c r="EG58" i="5" s="1"/>
  <c r="CX69" i="5"/>
  <c r="EG69" i="5" s="1"/>
  <c r="CX70" i="5"/>
  <c r="EG70" i="5" s="1"/>
  <c r="CX73" i="5"/>
  <c r="EG73" i="5" s="1"/>
  <c r="CX61" i="5"/>
  <c r="EG61" i="5" s="1"/>
  <c r="CX79" i="5"/>
  <c r="EG79" i="5" s="1"/>
  <c r="CX86" i="5"/>
  <c r="EG86" i="5" s="1"/>
  <c r="CX94" i="5"/>
  <c r="EG94" i="5" s="1"/>
  <c r="CX80" i="5"/>
  <c r="EG80" i="5" s="1"/>
  <c r="CX89" i="5"/>
  <c r="EG89" i="5" s="1"/>
  <c r="CX82" i="5"/>
  <c r="EG82" i="5" s="1"/>
  <c r="CX78" i="5"/>
  <c r="EG78" i="5" s="1"/>
  <c r="CX98" i="5"/>
  <c r="EG98" i="5" s="1"/>
  <c r="CX109" i="5"/>
  <c r="EG109" i="5" s="1"/>
  <c r="CX95" i="5"/>
  <c r="EG95" i="5" s="1"/>
  <c r="CX104" i="5"/>
  <c r="EG104" i="5" s="1"/>
  <c r="CX111" i="5"/>
  <c r="EG111" i="5" s="1"/>
  <c r="CX115" i="5"/>
  <c r="EG115" i="5" s="1"/>
  <c r="CX97" i="5"/>
  <c r="EG97" i="5" s="1"/>
  <c r="CX120" i="5"/>
  <c r="EG120" i="5" s="1"/>
  <c r="CX118" i="5"/>
  <c r="EG118" i="5" s="1"/>
  <c r="CX8" i="5"/>
  <c r="EG8" i="5" s="1"/>
  <c r="CP12" i="5"/>
  <c r="DY12" i="5" s="1"/>
  <c r="CP23" i="5"/>
  <c r="DY23" i="5" s="1"/>
  <c r="CP21" i="5"/>
  <c r="DY21" i="5" s="1"/>
  <c r="CP34" i="5"/>
  <c r="DY34" i="5" s="1"/>
  <c r="CP19" i="5"/>
  <c r="DY19" i="5" s="1"/>
  <c r="CP30" i="5"/>
  <c r="DY30" i="5" s="1"/>
  <c r="CP50" i="5"/>
  <c r="DY50" i="5" s="1"/>
  <c r="CP26" i="5"/>
  <c r="DY26" i="5" s="1"/>
  <c r="CP49" i="5"/>
  <c r="DY49" i="5" s="1"/>
  <c r="CP53" i="5"/>
  <c r="DY53" i="5" s="1"/>
  <c r="CP46" i="5"/>
  <c r="DY46" i="5" s="1"/>
  <c r="CP47" i="5"/>
  <c r="DY47" i="5" s="1"/>
  <c r="CP57" i="5"/>
  <c r="DY57" i="5" s="1"/>
  <c r="CP63" i="5"/>
  <c r="DY63" i="5" s="1"/>
  <c r="CP69" i="5"/>
  <c r="DY69" i="5" s="1"/>
  <c r="CP68" i="5"/>
  <c r="DY68" i="5" s="1"/>
  <c r="CP76" i="5"/>
  <c r="DY76" i="5" s="1"/>
  <c r="CP71" i="5"/>
  <c r="DY71" i="5" s="1"/>
  <c r="CP72" i="5"/>
  <c r="DY72" i="5" s="1"/>
  <c r="CP94" i="5"/>
  <c r="DY94" i="5" s="1"/>
  <c r="CP87" i="5"/>
  <c r="DY87" i="5" s="1"/>
  <c r="CP95" i="5"/>
  <c r="DY95" i="5" s="1"/>
  <c r="CP58" i="5"/>
  <c r="DY58" i="5" s="1"/>
  <c r="CP80" i="5"/>
  <c r="DY80" i="5" s="1"/>
  <c r="CP93" i="5"/>
  <c r="DY93" i="5" s="1"/>
  <c r="CP91" i="5"/>
  <c r="DY91" i="5" s="1"/>
  <c r="CP83" i="5"/>
  <c r="DY83" i="5" s="1"/>
  <c r="CP108" i="5"/>
  <c r="DY108" i="5" s="1"/>
  <c r="CP111" i="5"/>
  <c r="DY111" i="5" s="1"/>
  <c r="CP100" i="5"/>
  <c r="DY100" i="5" s="1"/>
  <c r="CP120" i="5"/>
  <c r="DY120" i="5" s="1"/>
  <c r="CH15" i="5"/>
  <c r="DQ15" i="5" s="1"/>
  <c r="CH21" i="5"/>
  <c r="DQ21" i="5" s="1"/>
  <c r="CH16" i="5"/>
  <c r="DQ16" i="5" s="1"/>
  <c r="CH19" i="5"/>
  <c r="DQ19" i="5" s="1"/>
  <c r="CH32" i="5"/>
  <c r="DQ32" i="5" s="1"/>
  <c r="CH40" i="5"/>
  <c r="DQ40" i="5" s="1"/>
  <c r="CH35" i="5"/>
  <c r="DQ35" i="5" s="1"/>
  <c r="CH11" i="5"/>
  <c r="DQ11" i="5" s="1"/>
  <c r="CH45" i="5"/>
  <c r="DQ45" i="5" s="1"/>
  <c r="CH43" i="5"/>
  <c r="DQ43" i="5" s="1"/>
  <c r="CH56" i="5"/>
  <c r="DQ56" i="5" s="1"/>
  <c r="CH47" i="5"/>
  <c r="DQ47" i="5" s="1"/>
  <c r="CH54" i="5"/>
  <c r="DQ54" i="5" s="1"/>
  <c r="CH36" i="5"/>
  <c r="DQ36" i="5" s="1"/>
  <c r="CH60" i="5"/>
  <c r="DQ60" i="5" s="1"/>
  <c r="CH69" i="5"/>
  <c r="DQ69" i="5" s="1"/>
  <c r="CH76" i="5"/>
  <c r="DQ76" i="5" s="1"/>
  <c r="CH71" i="5"/>
  <c r="DQ71" i="5" s="1"/>
  <c r="CH58" i="5"/>
  <c r="DQ58" i="5" s="1"/>
  <c r="CH67" i="5"/>
  <c r="DQ67" i="5" s="1"/>
  <c r="CH75" i="5"/>
  <c r="DQ75" i="5" s="1"/>
  <c r="CH61" i="5"/>
  <c r="DQ61" i="5" s="1"/>
  <c r="CH87" i="5"/>
  <c r="DQ87" i="5" s="1"/>
  <c r="CH85" i="5"/>
  <c r="DQ85" i="5" s="1"/>
  <c r="CH93" i="5"/>
  <c r="DQ93" i="5" s="1"/>
  <c r="CH103" i="5"/>
  <c r="DQ103" i="5" s="1"/>
  <c r="CH97" i="5"/>
  <c r="DQ97" i="5" s="1"/>
  <c r="CH98" i="5"/>
  <c r="DQ98" i="5" s="1"/>
  <c r="CH72" i="5"/>
  <c r="DQ72" i="5" s="1"/>
  <c r="CH104" i="5"/>
  <c r="DQ104" i="5" s="1"/>
  <c r="CH88" i="5"/>
  <c r="DQ88" i="5" s="1"/>
  <c r="CH119" i="5"/>
  <c r="DQ119" i="5" s="1"/>
  <c r="CH100" i="5"/>
  <c r="DQ100" i="5" s="1"/>
  <c r="CH113" i="5"/>
  <c r="DQ113" i="5" s="1"/>
  <c r="BZ9" i="5"/>
  <c r="DI9" i="5" s="1"/>
  <c r="BZ17" i="5"/>
  <c r="DI17" i="5" s="1"/>
  <c r="BZ25" i="5"/>
  <c r="DI25" i="5" s="1"/>
  <c r="BZ20" i="5"/>
  <c r="DI20" i="5" s="1"/>
  <c r="BZ23" i="5"/>
  <c r="DI23" i="5" s="1"/>
  <c r="BZ18" i="5"/>
  <c r="DI18" i="5" s="1"/>
  <c r="BZ13" i="5"/>
  <c r="DI13" i="5" s="1"/>
  <c r="BZ21" i="5"/>
  <c r="DI21" i="5" s="1"/>
  <c r="BZ16" i="5"/>
  <c r="DI16" i="5" s="1"/>
  <c r="BZ26" i="5"/>
  <c r="DI26" i="5" s="1"/>
  <c r="BZ29" i="5"/>
  <c r="DI29" i="5" s="1"/>
  <c r="BZ37" i="5"/>
  <c r="DI37" i="5" s="1"/>
  <c r="BZ11" i="5"/>
  <c r="DI11" i="5" s="1"/>
  <c r="BZ32" i="5"/>
  <c r="DI32" i="5" s="1"/>
  <c r="BZ22" i="5"/>
  <c r="DI22" i="5" s="1"/>
  <c r="BZ35" i="5"/>
  <c r="DI35" i="5" s="1"/>
  <c r="BZ30" i="5"/>
  <c r="DI30" i="5" s="1"/>
  <c r="BZ38" i="5"/>
  <c r="DI38" i="5" s="1"/>
  <c r="BZ14" i="5"/>
  <c r="DI14" i="5" s="1"/>
  <c r="BZ42" i="5"/>
  <c r="DI42" i="5" s="1"/>
  <c r="BZ43" i="5"/>
  <c r="DI43" i="5" s="1"/>
  <c r="BZ51" i="5"/>
  <c r="DI51" i="5" s="1"/>
  <c r="BZ41" i="5"/>
  <c r="DI41" i="5" s="1"/>
  <c r="BZ49" i="5"/>
  <c r="DI49" i="5" s="1"/>
  <c r="BZ44" i="5"/>
  <c r="DI44" i="5" s="1"/>
  <c r="BZ33" i="5"/>
  <c r="DI33" i="5" s="1"/>
  <c r="BZ56" i="5"/>
  <c r="DI56" i="5" s="1"/>
  <c r="BZ64" i="5"/>
  <c r="DI64" i="5" s="1"/>
  <c r="BZ59" i="5"/>
  <c r="DI59" i="5" s="1"/>
  <c r="BZ36" i="5"/>
  <c r="DI36" i="5" s="1"/>
  <c r="BZ54" i="5"/>
  <c r="DI54" i="5" s="1"/>
  <c r="BZ62" i="5"/>
  <c r="DI62" i="5" s="1"/>
  <c r="BZ65" i="5"/>
  <c r="DI65" i="5" s="1"/>
  <c r="BZ60" i="5"/>
  <c r="DI60" i="5" s="1"/>
  <c r="BZ55" i="5"/>
  <c r="DI55" i="5" s="1"/>
  <c r="BZ46" i="5"/>
  <c r="DI46" i="5" s="1"/>
  <c r="BZ53" i="5"/>
  <c r="DI53" i="5" s="1"/>
  <c r="BZ73" i="5"/>
  <c r="DI73" i="5" s="1"/>
  <c r="BZ58" i="5"/>
  <c r="DI58" i="5" s="1"/>
  <c r="BZ67" i="5"/>
  <c r="DI67" i="5" s="1"/>
  <c r="BZ76" i="5"/>
  <c r="DI76" i="5" s="1"/>
  <c r="BZ71" i="5"/>
  <c r="DI71" i="5" s="1"/>
  <c r="BZ68" i="5"/>
  <c r="DI68" i="5" s="1"/>
  <c r="BZ74" i="5"/>
  <c r="DI74" i="5" s="1"/>
  <c r="BZ61" i="5"/>
  <c r="DI61" i="5" s="1"/>
  <c r="BZ77" i="5"/>
  <c r="DI77" i="5" s="1"/>
  <c r="BZ78" i="5"/>
  <c r="DI78" i="5" s="1"/>
  <c r="BZ89" i="5"/>
  <c r="DI89" i="5" s="1"/>
  <c r="BZ84" i="5"/>
  <c r="DI84" i="5" s="1"/>
  <c r="BZ92" i="5"/>
  <c r="DI92" i="5" s="1"/>
  <c r="BZ80" i="5"/>
  <c r="DI80" i="5" s="1"/>
  <c r="BZ87" i="5"/>
  <c r="DI87" i="5" s="1"/>
  <c r="BZ95" i="5"/>
  <c r="DI95" i="5" s="1"/>
  <c r="BZ72" i="5"/>
  <c r="DI72" i="5" s="1"/>
  <c r="BZ85" i="5"/>
  <c r="DI85" i="5" s="1"/>
  <c r="BZ93" i="5"/>
  <c r="DI93" i="5" s="1"/>
  <c r="BZ103" i="5"/>
  <c r="DI103" i="5" s="1"/>
  <c r="BZ75" i="5"/>
  <c r="DI75" i="5" s="1"/>
  <c r="BZ88" i="5"/>
  <c r="DI88" i="5" s="1"/>
  <c r="BZ101" i="5"/>
  <c r="DI101" i="5" s="1"/>
  <c r="BZ109" i="5"/>
  <c r="DI109" i="5" s="1"/>
  <c r="BZ96" i="5"/>
  <c r="DI96" i="5" s="1"/>
  <c r="BZ91" i="5"/>
  <c r="DI91" i="5" s="1"/>
  <c r="BZ110" i="5"/>
  <c r="DI110" i="5" s="1"/>
  <c r="BZ119" i="5"/>
  <c r="DI119" i="5" s="1"/>
  <c r="BZ114" i="5"/>
  <c r="DI114" i="5" s="1"/>
  <c r="BZ116" i="5"/>
  <c r="DI116" i="5" s="1"/>
  <c r="BZ115" i="5"/>
  <c r="DI115" i="5" s="1"/>
  <c r="BZ120" i="5"/>
  <c r="DI120" i="5" s="1"/>
  <c r="BZ111" i="5"/>
  <c r="DI111" i="5" s="1"/>
  <c r="BZ82" i="5"/>
  <c r="DI82" i="5" s="1"/>
  <c r="BZ113" i="5"/>
  <c r="DI113" i="5" s="1"/>
  <c r="BZ100" i="5"/>
  <c r="DI100" i="5" s="1"/>
  <c r="CU10" i="5"/>
  <c r="ED10" i="5" s="1"/>
  <c r="CU13" i="5"/>
  <c r="ED13" i="5" s="1"/>
  <c r="CU16" i="5"/>
  <c r="ED16" i="5" s="1"/>
  <c r="CU11" i="5"/>
  <c r="ED11" i="5" s="1"/>
  <c r="CU19" i="5"/>
  <c r="ED19" i="5" s="1"/>
  <c r="CU12" i="5"/>
  <c r="ED12" i="5" s="1"/>
  <c r="CU30" i="5"/>
  <c r="ED30" i="5" s="1"/>
  <c r="CU38" i="5"/>
  <c r="ED38" i="5" s="1"/>
  <c r="CU33" i="5"/>
  <c r="ED33" i="5" s="1"/>
  <c r="CU28" i="5"/>
  <c r="ED28" i="5" s="1"/>
  <c r="CU36" i="5"/>
  <c r="ED36" i="5" s="1"/>
  <c r="CU31" i="5"/>
  <c r="ED31" i="5" s="1"/>
  <c r="CU25" i="5"/>
  <c r="ED25" i="5" s="1"/>
  <c r="CU20" i="5"/>
  <c r="ED20" i="5" s="1"/>
  <c r="CU34" i="5"/>
  <c r="ED34" i="5" s="1"/>
  <c r="CU37" i="5"/>
  <c r="ED37" i="5" s="1"/>
  <c r="CU39" i="5"/>
  <c r="ED39" i="5" s="1"/>
  <c r="CU41" i="5"/>
  <c r="ED41" i="5" s="1"/>
  <c r="CU49" i="5"/>
  <c r="ED49" i="5" s="1"/>
  <c r="CU53" i="5"/>
  <c r="ED53" i="5" s="1"/>
  <c r="CU29" i="5"/>
  <c r="ED29" i="5" s="1"/>
  <c r="CU57" i="5"/>
  <c r="ED57" i="5" s="1"/>
  <c r="CU60" i="5"/>
  <c r="ED60" i="5" s="1"/>
  <c r="CU55" i="5"/>
  <c r="ED55" i="5" s="1"/>
  <c r="CU58" i="5"/>
  <c r="ED58" i="5" s="1"/>
  <c r="CU66" i="5"/>
  <c r="ED66" i="5" s="1"/>
  <c r="CU47" i="5"/>
  <c r="ED47" i="5" s="1"/>
  <c r="CU61" i="5"/>
  <c r="ED61" i="5" s="1"/>
  <c r="CU59" i="5"/>
  <c r="ED59" i="5" s="1"/>
  <c r="CU74" i="5"/>
  <c r="ED74" i="5" s="1"/>
  <c r="CU54" i="5"/>
  <c r="ED54" i="5" s="1"/>
  <c r="CU69" i="5"/>
  <c r="ED69" i="5" s="1"/>
  <c r="CU70" i="5"/>
  <c r="ED70" i="5" s="1"/>
  <c r="CU87" i="5"/>
  <c r="ED87" i="5" s="1"/>
  <c r="CU82" i="5"/>
  <c r="ED82" i="5" s="1"/>
  <c r="CU90" i="5"/>
  <c r="ED90" i="5" s="1"/>
  <c r="CU81" i="5"/>
  <c r="ED81" i="5" s="1"/>
  <c r="CU85" i="5"/>
  <c r="ED85" i="5" s="1"/>
  <c r="CU76" i="5"/>
  <c r="ED76" i="5" s="1"/>
  <c r="CU79" i="5"/>
  <c r="ED79" i="5" s="1"/>
  <c r="CU86" i="5"/>
  <c r="ED86" i="5" s="1"/>
  <c r="CU94" i="5"/>
  <c r="ED94" i="5" s="1"/>
  <c r="CU104" i="5"/>
  <c r="ED104" i="5" s="1"/>
  <c r="CU102" i="5"/>
  <c r="ED102" i="5" s="1"/>
  <c r="CU110" i="5"/>
  <c r="ED110" i="5" s="1"/>
  <c r="CU100" i="5"/>
  <c r="ED100" i="5" s="1"/>
  <c r="CU84" i="5"/>
  <c r="ED84" i="5" s="1"/>
  <c r="CU103" i="5"/>
  <c r="ED103" i="5" s="1"/>
  <c r="CU106" i="5"/>
  <c r="ED106" i="5" s="1"/>
  <c r="CU112" i="5"/>
  <c r="ED112" i="5" s="1"/>
  <c r="CU115" i="5"/>
  <c r="ED115" i="5" s="1"/>
  <c r="CU8" i="5"/>
  <c r="ED8" i="5" s="1"/>
  <c r="CU116" i="5"/>
  <c r="ED116" i="5" s="1"/>
  <c r="CU119" i="5"/>
  <c r="ED119" i="5" s="1"/>
  <c r="CU111" i="5"/>
  <c r="ED111" i="5" s="1"/>
  <c r="CU114" i="5"/>
  <c r="ED114" i="5" s="1"/>
  <c r="CL13" i="5"/>
  <c r="DU13" i="5" s="1"/>
  <c r="CL21" i="5"/>
  <c r="DU21" i="5" s="1"/>
  <c r="CL11" i="5"/>
  <c r="DU11" i="5" s="1"/>
  <c r="CL14" i="5"/>
  <c r="DU14" i="5" s="1"/>
  <c r="CL22" i="5"/>
  <c r="DU22" i="5" s="1"/>
  <c r="CL9" i="5"/>
  <c r="DU9" i="5" s="1"/>
  <c r="CL17" i="5"/>
  <c r="DU17" i="5" s="1"/>
  <c r="CL25" i="5"/>
  <c r="DU25" i="5" s="1"/>
  <c r="CL12" i="5"/>
  <c r="DU12" i="5" s="1"/>
  <c r="CL20" i="5"/>
  <c r="DU20" i="5" s="1"/>
  <c r="CL30" i="5"/>
  <c r="DU30" i="5" s="1"/>
  <c r="CL38" i="5"/>
  <c r="DU38" i="5" s="1"/>
  <c r="CL33" i="5"/>
  <c r="DU33" i="5" s="1"/>
  <c r="CL27" i="5"/>
  <c r="DU27" i="5" s="1"/>
  <c r="CL28" i="5"/>
  <c r="DU28" i="5" s="1"/>
  <c r="CL18" i="5"/>
  <c r="DU18" i="5" s="1"/>
  <c r="CL26" i="5"/>
  <c r="DU26" i="5" s="1"/>
  <c r="CL34" i="5"/>
  <c r="DU34" i="5" s="1"/>
  <c r="CL10" i="5"/>
  <c r="DU10" i="5" s="1"/>
  <c r="CL29" i="5"/>
  <c r="DU29" i="5" s="1"/>
  <c r="CL46" i="5"/>
  <c r="DU46" i="5" s="1"/>
  <c r="CL49" i="5"/>
  <c r="DU49" i="5" s="1"/>
  <c r="CL47" i="5"/>
  <c r="DU47" i="5" s="1"/>
  <c r="CL45" i="5"/>
  <c r="DU45" i="5" s="1"/>
  <c r="CL48" i="5"/>
  <c r="DU48" i="5" s="1"/>
  <c r="CL35" i="5"/>
  <c r="DU35" i="5" s="1"/>
  <c r="CL39" i="5"/>
  <c r="DU39" i="5" s="1"/>
  <c r="CL60" i="5"/>
  <c r="DU60" i="5" s="1"/>
  <c r="CL68" i="5"/>
  <c r="DU68" i="5" s="1"/>
  <c r="CL63" i="5"/>
  <c r="DU63" i="5" s="1"/>
  <c r="CL58" i="5"/>
  <c r="DU58" i="5" s="1"/>
  <c r="CL66" i="5"/>
  <c r="DU66" i="5" s="1"/>
  <c r="CL61" i="5"/>
  <c r="DU61" i="5" s="1"/>
  <c r="CL50" i="5"/>
  <c r="DU50" i="5" s="1"/>
  <c r="CL56" i="5"/>
  <c r="DU56" i="5" s="1"/>
  <c r="CL64" i="5"/>
  <c r="DU64" i="5" s="1"/>
  <c r="CL51" i="5"/>
  <c r="DU51" i="5" s="1"/>
  <c r="CL53" i="5"/>
  <c r="DU53" i="5" s="1"/>
  <c r="CL67" i="5"/>
  <c r="DU67" i="5" s="1"/>
  <c r="CL42" i="5"/>
  <c r="DU42" i="5" s="1"/>
  <c r="CL62" i="5"/>
  <c r="DU62" i="5" s="1"/>
  <c r="CL74" i="5"/>
  <c r="DU74" i="5" s="1"/>
  <c r="CL54" i="5"/>
  <c r="DU54" i="5" s="1"/>
  <c r="CL72" i="5"/>
  <c r="DU72" i="5" s="1"/>
  <c r="CL80" i="5"/>
  <c r="DU80" i="5" s="1"/>
  <c r="CL65" i="5"/>
  <c r="DU65" i="5" s="1"/>
  <c r="CL75" i="5"/>
  <c r="DU75" i="5" s="1"/>
  <c r="CL70" i="5"/>
  <c r="DU70" i="5" s="1"/>
  <c r="CL78" i="5"/>
  <c r="DU78" i="5" s="1"/>
  <c r="CL57" i="5"/>
  <c r="DU57" i="5" s="1"/>
  <c r="CL81" i="5"/>
  <c r="DU81" i="5" s="1"/>
  <c r="CL90" i="5"/>
  <c r="DU90" i="5" s="1"/>
  <c r="CL82" i="5"/>
  <c r="DU82" i="5" s="1"/>
  <c r="CL85" i="5"/>
  <c r="DU85" i="5" s="1"/>
  <c r="CL93" i="5"/>
  <c r="DU93" i="5" s="1"/>
  <c r="CL76" i="5"/>
  <c r="DU76" i="5" s="1"/>
  <c r="CL96" i="5"/>
  <c r="DU96" i="5" s="1"/>
  <c r="CL91" i="5"/>
  <c r="DU91" i="5" s="1"/>
  <c r="CL86" i="5"/>
  <c r="DU86" i="5" s="1"/>
  <c r="CL94" i="5"/>
  <c r="DU94" i="5" s="1"/>
  <c r="CL89" i="5"/>
  <c r="DU89" i="5" s="1"/>
  <c r="CL92" i="5"/>
  <c r="DU92" i="5" s="1"/>
  <c r="CL99" i="5"/>
  <c r="DU99" i="5" s="1"/>
  <c r="CL107" i="5"/>
  <c r="DU107" i="5" s="1"/>
  <c r="CL102" i="5"/>
  <c r="DU102" i="5" s="1"/>
  <c r="CL84" i="5"/>
  <c r="DU84" i="5" s="1"/>
  <c r="CL105" i="5"/>
  <c r="DU105" i="5" s="1"/>
  <c r="CL100" i="5"/>
  <c r="DU100" i="5" s="1"/>
  <c r="CL108" i="5"/>
  <c r="DU108" i="5" s="1"/>
  <c r="CL103" i="5"/>
  <c r="DU103" i="5" s="1"/>
  <c r="CL98" i="5"/>
  <c r="DU98" i="5" s="1"/>
  <c r="CL106" i="5"/>
  <c r="DU106" i="5" s="1"/>
  <c r="CL109" i="5"/>
  <c r="DU109" i="5" s="1"/>
  <c r="CL110" i="5"/>
  <c r="DU110" i="5" s="1"/>
  <c r="CL8" i="5"/>
  <c r="DU8" i="5" s="1"/>
  <c r="CL101" i="5"/>
  <c r="DU101" i="5" s="1"/>
  <c r="CL113" i="5"/>
  <c r="DU113" i="5" s="1"/>
  <c r="CL104" i="5"/>
  <c r="DU104" i="5" s="1"/>
  <c r="CL114" i="5"/>
  <c r="DU114" i="5" s="1"/>
  <c r="CL120" i="5"/>
  <c r="DU120" i="5" s="1"/>
  <c r="CL111" i="5"/>
  <c r="DU111" i="5" s="1"/>
  <c r="CL117" i="5"/>
  <c r="DU117" i="5" s="1"/>
  <c r="CL112" i="5"/>
  <c r="DU112" i="5" s="1"/>
  <c r="CW23" i="5"/>
  <c r="EF23" i="5" s="1"/>
  <c r="CW24" i="5"/>
  <c r="EF24" i="5" s="1"/>
  <c r="CW11" i="5"/>
  <c r="EF11" i="5" s="1"/>
  <c r="CW19" i="5"/>
  <c r="EF19" i="5" s="1"/>
  <c r="CW37" i="5"/>
  <c r="EF37" i="5" s="1"/>
  <c r="CW14" i="5"/>
  <c r="EF14" i="5" s="1"/>
  <c r="CW33" i="5"/>
  <c r="EF33" i="5" s="1"/>
  <c r="CW34" i="5"/>
  <c r="EF34" i="5" s="1"/>
  <c r="CW46" i="5"/>
  <c r="EF46" i="5" s="1"/>
  <c r="CW25" i="5"/>
  <c r="EF25" i="5" s="1"/>
  <c r="CW38" i="5"/>
  <c r="EF38" i="5" s="1"/>
  <c r="CW31" i="5"/>
  <c r="EF31" i="5" s="1"/>
  <c r="CW42" i="5"/>
  <c r="EF42" i="5" s="1"/>
  <c r="CW52" i="5"/>
  <c r="EF52" i="5" s="1"/>
  <c r="CW62" i="5"/>
  <c r="EF62" i="5" s="1"/>
  <c r="CW36" i="5"/>
  <c r="EF36" i="5" s="1"/>
  <c r="CW63" i="5"/>
  <c r="EF63" i="5" s="1"/>
  <c r="CW49" i="5"/>
  <c r="EF49" i="5" s="1"/>
  <c r="CW68" i="5"/>
  <c r="EF68" i="5" s="1"/>
  <c r="CW76" i="5"/>
  <c r="EF76" i="5" s="1"/>
  <c r="CW79" i="5"/>
  <c r="EF79" i="5" s="1"/>
  <c r="CW74" i="5"/>
  <c r="EF74" i="5" s="1"/>
  <c r="CW64" i="5"/>
  <c r="EF64" i="5" s="1"/>
  <c r="CW72" i="5"/>
  <c r="EF72" i="5" s="1"/>
  <c r="CW89" i="5"/>
  <c r="EF89" i="5" s="1"/>
  <c r="CW70" i="5"/>
  <c r="EF70" i="5" s="1"/>
  <c r="CW84" i="5"/>
  <c r="EF84" i="5" s="1"/>
  <c r="CW92" i="5"/>
  <c r="EF92" i="5" s="1"/>
  <c r="CW95" i="5"/>
  <c r="EF95" i="5" s="1"/>
  <c r="CW75" i="5"/>
  <c r="EF75" i="5" s="1"/>
  <c r="CW78" i="5"/>
  <c r="EF78" i="5" s="1"/>
  <c r="CW81" i="5"/>
  <c r="EF81" i="5" s="1"/>
  <c r="CW85" i="5"/>
  <c r="EF85" i="5" s="1"/>
  <c r="CW93" i="5"/>
  <c r="EF93" i="5" s="1"/>
  <c r="CW98" i="5"/>
  <c r="EF98" i="5" s="1"/>
  <c r="CW106" i="5"/>
  <c r="EF106" i="5" s="1"/>
  <c r="CW105" i="5"/>
  <c r="EF105" i="5" s="1"/>
  <c r="CW111" i="5"/>
  <c r="EF111" i="5" s="1"/>
  <c r="CW97" i="5"/>
  <c r="EF97" i="5" s="1"/>
  <c r="CW108" i="5"/>
  <c r="EF108" i="5" s="1"/>
  <c r="CW112" i="5"/>
  <c r="EF112" i="5" s="1"/>
  <c r="CW100" i="5"/>
  <c r="EF100" i="5" s="1"/>
  <c r="CW116" i="5"/>
  <c r="EF116" i="5" s="1"/>
  <c r="CW119" i="5"/>
  <c r="EF119" i="5" s="1"/>
  <c r="CO13" i="5"/>
  <c r="DX13" i="5" s="1"/>
  <c r="CO29" i="5"/>
  <c r="DX29" i="5" s="1"/>
  <c r="CO25" i="5"/>
  <c r="DX25" i="5" s="1"/>
  <c r="CO30" i="5"/>
  <c r="DX30" i="5" s="1"/>
  <c r="CO28" i="5"/>
  <c r="DX28" i="5" s="1"/>
  <c r="CO38" i="5"/>
  <c r="DX38" i="5" s="1"/>
  <c r="CO48" i="5"/>
  <c r="DX48" i="5" s="1"/>
  <c r="CO58" i="5"/>
  <c r="DX58" i="5" s="1"/>
  <c r="CO61" i="5"/>
  <c r="DX61" i="5" s="1"/>
  <c r="CO73" i="5"/>
  <c r="DX73" i="5" s="1"/>
  <c r="CO53" i="5"/>
  <c r="DX53" i="5" s="1"/>
  <c r="CO89" i="5"/>
  <c r="DX89" i="5" s="1"/>
  <c r="CO85" i="5"/>
  <c r="DX85" i="5" s="1"/>
  <c r="CO91" i="5"/>
  <c r="DX91" i="5" s="1"/>
  <c r="CO83" i="5"/>
  <c r="DX83" i="5" s="1"/>
  <c r="CO105" i="5"/>
  <c r="DX105" i="5" s="1"/>
  <c r="CO108" i="5"/>
  <c r="DX108" i="5" s="1"/>
  <c r="CO100" i="5"/>
  <c r="DX100" i="5" s="1"/>
  <c r="CO70" i="5"/>
  <c r="DX70" i="5" s="1"/>
  <c r="CO115" i="5"/>
  <c r="DX115" i="5" s="1"/>
  <c r="CG20" i="5"/>
  <c r="DP20" i="5" s="1"/>
  <c r="CG23" i="5"/>
  <c r="DP23" i="5" s="1"/>
  <c r="CG13" i="5"/>
  <c r="DP13" i="5" s="1"/>
  <c r="CG19" i="5"/>
  <c r="DP19" i="5" s="1"/>
  <c r="CG17" i="5"/>
  <c r="DP17" i="5" s="1"/>
  <c r="CG32" i="5"/>
  <c r="DP32" i="5" s="1"/>
  <c r="CG35" i="5"/>
  <c r="DP35" i="5" s="1"/>
  <c r="CG48" i="5"/>
  <c r="DP48" i="5" s="1"/>
  <c r="CG31" i="5"/>
  <c r="DP31" i="5" s="1"/>
  <c r="CG25" i="5"/>
  <c r="DP25" i="5" s="1"/>
  <c r="CG34" i="5"/>
  <c r="DP34" i="5" s="1"/>
  <c r="CG62" i="5"/>
  <c r="DP62" i="5" s="1"/>
  <c r="CG58" i="5"/>
  <c r="DP58" i="5" s="1"/>
  <c r="CG66" i="5"/>
  <c r="DP66" i="5" s="1"/>
  <c r="CG80" i="5"/>
  <c r="DP80" i="5" s="1"/>
  <c r="CG75" i="5"/>
  <c r="DP75" i="5" s="1"/>
  <c r="CG92" i="5"/>
  <c r="DP92" i="5" s="1"/>
  <c r="CG78" i="5"/>
  <c r="DP78" i="5" s="1"/>
  <c r="CG88" i="5"/>
  <c r="DP88" i="5" s="1"/>
  <c r="CG83" i="5"/>
  <c r="DP83" i="5" s="1"/>
  <c r="CG97" i="5"/>
  <c r="DP97" i="5" s="1"/>
  <c r="CG101" i="5"/>
  <c r="DP101" i="5" s="1"/>
  <c r="CG107" i="5"/>
  <c r="DP107" i="5" s="1"/>
  <c r="CG91" i="5"/>
  <c r="DP91" i="5" s="1"/>
  <c r="CG114" i="5"/>
  <c r="DP114" i="5" s="1"/>
  <c r="CG8" i="5"/>
  <c r="DP8" i="5" s="1"/>
  <c r="CG117" i="5"/>
  <c r="DP117" i="5" s="1"/>
  <c r="CG111" i="5"/>
  <c r="DP111" i="5" s="1"/>
  <c r="CG120" i="5"/>
  <c r="DP120" i="5" s="1"/>
  <c r="CG110" i="5"/>
  <c r="DP110" i="5" s="1"/>
  <c r="CG115" i="5"/>
  <c r="DP115" i="5" s="1"/>
  <c r="BY12" i="5"/>
  <c r="DH12" i="5" s="1"/>
  <c r="BY28" i="5"/>
  <c r="DH28" i="5" s="1"/>
  <c r="BY15" i="5"/>
  <c r="DH15" i="5" s="1"/>
  <c r="BY23" i="5"/>
  <c r="DH23" i="5" s="1"/>
  <c r="BY13" i="5"/>
  <c r="DH13" i="5" s="1"/>
  <c r="BY21" i="5"/>
  <c r="DH21" i="5" s="1"/>
  <c r="BY24" i="5"/>
  <c r="DH24" i="5" s="1"/>
  <c r="BY11" i="5"/>
  <c r="DH11" i="5" s="1"/>
  <c r="BY19" i="5"/>
  <c r="DH19" i="5" s="1"/>
  <c r="BY26" i="5"/>
  <c r="DH26" i="5" s="1"/>
  <c r="BY29" i="5"/>
  <c r="DH29" i="5" s="1"/>
  <c r="BY9" i="5"/>
  <c r="DH9" i="5" s="1"/>
  <c r="BY40" i="5"/>
  <c r="DH40" i="5" s="1"/>
  <c r="BY22" i="5"/>
  <c r="DH22" i="5" s="1"/>
  <c r="BY35" i="5"/>
  <c r="DH35" i="5" s="1"/>
  <c r="BY30" i="5"/>
  <c r="DH30" i="5" s="1"/>
  <c r="BY14" i="5"/>
  <c r="DH14" i="5" s="1"/>
  <c r="BY33" i="5"/>
  <c r="DH33" i="5" s="1"/>
  <c r="BY25" i="5"/>
  <c r="DH25" i="5" s="1"/>
  <c r="BY38" i="5"/>
  <c r="DH38" i="5" s="1"/>
  <c r="BY45" i="5"/>
  <c r="DH45" i="5" s="1"/>
  <c r="BY53" i="5"/>
  <c r="DH53" i="5" s="1"/>
  <c r="BY48" i="5"/>
  <c r="DH48" i="5" s="1"/>
  <c r="BY36" i="5"/>
  <c r="DH36" i="5" s="1"/>
  <c r="BY46" i="5"/>
  <c r="DH46" i="5" s="1"/>
  <c r="BY39" i="5"/>
  <c r="DH39" i="5" s="1"/>
  <c r="BY44" i="5"/>
  <c r="DH44" i="5" s="1"/>
  <c r="BY49" i="5"/>
  <c r="DH49" i="5" s="1"/>
  <c r="BY67" i="5"/>
  <c r="DH67" i="5" s="1"/>
  <c r="BY50" i="5"/>
  <c r="DH50" i="5" s="1"/>
  <c r="BY54" i="5"/>
  <c r="DH54" i="5" s="1"/>
  <c r="BY62" i="5"/>
  <c r="DH62" i="5" s="1"/>
  <c r="BY41" i="5"/>
  <c r="DH41" i="5" s="1"/>
  <c r="BY65" i="5"/>
  <c r="DH65" i="5" s="1"/>
  <c r="BY42" i="5"/>
  <c r="DH42" i="5" s="1"/>
  <c r="BY60" i="5"/>
  <c r="DH60" i="5" s="1"/>
  <c r="BY55" i="5"/>
  <c r="DH55" i="5" s="1"/>
  <c r="BY63" i="5"/>
  <c r="DH63" i="5" s="1"/>
  <c r="BY58" i="5"/>
  <c r="DH58" i="5" s="1"/>
  <c r="BY66" i="5"/>
  <c r="DH66" i="5" s="1"/>
  <c r="BY70" i="5"/>
  <c r="DH70" i="5" s="1"/>
  <c r="BY56" i="5"/>
  <c r="DH56" i="5" s="1"/>
  <c r="BY76" i="5"/>
  <c r="DH76" i="5" s="1"/>
  <c r="BY69" i="5"/>
  <c r="DH69" i="5" s="1"/>
  <c r="BY71" i="5"/>
  <c r="DH71" i="5" s="1"/>
  <c r="BY68" i="5"/>
  <c r="DH68" i="5" s="1"/>
  <c r="BY74" i="5"/>
  <c r="DH74" i="5" s="1"/>
  <c r="BY77" i="5"/>
  <c r="DH77" i="5" s="1"/>
  <c r="BY72" i="5"/>
  <c r="DH72" i="5" s="1"/>
  <c r="BY80" i="5"/>
  <c r="DH80" i="5" s="1"/>
  <c r="BY78" i="5"/>
  <c r="DH78" i="5" s="1"/>
  <c r="BY81" i="5"/>
  <c r="DH81" i="5" s="1"/>
  <c r="BY64" i="5"/>
  <c r="DH64" i="5" s="1"/>
  <c r="BY92" i="5"/>
  <c r="DH92" i="5" s="1"/>
  <c r="BY87" i="5"/>
  <c r="DH87" i="5" s="1"/>
  <c r="BY95" i="5"/>
  <c r="DH95" i="5" s="1"/>
  <c r="BY90" i="5"/>
  <c r="DH90" i="5" s="1"/>
  <c r="BY85" i="5"/>
  <c r="DH85" i="5" s="1"/>
  <c r="BY88" i="5"/>
  <c r="DH88" i="5" s="1"/>
  <c r="BY98" i="5"/>
  <c r="DH98" i="5" s="1"/>
  <c r="BY106" i="5"/>
  <c r="DH106" i="5" s="1"/>
  <c r="BY86" i="5"/>
  <c r="DH86" i="5" s="1"/>
  <c r="BY101" i="5"/>
  <c r="DH101" i="5" s="1"/>
  <c r="BY96" i="5"/>
  <c r="DH96" i="5" s="1"/>
  <c r="BY99" i="5"/>
  <c r="DH99" i="5" s="1"/>
  <c r="BY107" i="5"/>
  <c r="DH107" i="5" s="1"/>
  <c r="BY91" i="5"/>
  <c r="DH91" i="5" s="1"/>
  <c r="BY105" i="5"/>
  <c r="DH105" i="5" s="1"/>
  <c r="BY114" i="5"/>
  <c r="DH114" i="5" s="1"/>
  <c r="BY82" i="5"/>
  <c r="DH82" i="5" s="1"/>
  <c r="BY117" i="5"/>
  <c r="DH117" i="5" s="1"/>
  <c r="BY108" i="5"/>
  <c r="DH108" i="5" s="1"/>
  <c r="BY118" i="5"/>
  <c r="DH118" i="5" s="1"/>
  <c r="BY120" i="5"/>
  <c r="DH120" i="5" s="1"/>
  <c r="BY111" i="5"/>
  <c r="DH111" i="5" s="1"/>
  <c r="BY8" i="5"/>
  <c r="DH8" i="5" s="1"/>
  <c r="BY113" i="5"/>
  <c r="DH113" i="5" s="1"/>
  <c r="BY110" i="5"/>
  <c r="DH110" i="5" s="1"/>
  <c r="BY100" i="5"/>
  <c r="DH100" i="5" s="1"/>
  <c r="BY116" i="5"/>
  <c r="DH116" i="5" s="1"/>
  <c r="BY94" i="5"/>
  <c r="DH94" i="5" s="1"/>
  <c r="BW10" i="5"/>
  <c r="DF10" i="5" s="1"/>
  <c r="BW18" i="5"/>
  <c r="DF18" i="5" s="1"/>
  <c r="BW26" i="5"/>
  <c r="DF26" i="5" s="1"/>
  <c r="BW21" i="5"/>
  <c r="DF21" i="5" s="1"/>
  <c r="BW16" i="5"/>
  <c r="DF16" i="5" s="1"/>
  <c r="BW17" i="5"/>
  <c r="DF17" i="5" s="1"/>
  <c r="BW35" i="5"/>
  <c r="DF35" i="5" s="1"/>
  <c r="BW41" i="5"/>
  <c r="DF41" i="5" s="1"/>
  <c r="BW23" i="5"/>
  <c r="DF23" i="5" s="1"/>
  <c r="BW27" i="5"/>
  <c r="DF27" i="5" s="1"/>
  <c r="BW37" i="5"/>
  <c r="DF37" i="5" s="1"/>
  <c r="BW32" i="5"/>
  <c r="DF32" i="5" s="1"/>
  <c r="BW40" i="5"/>
  <c r="DF40" i="5" s="1"/>
  <c r="BW52" i="5"/>
  <c r="DF52" i="5" s="1"/>
  <c r="BW45" i="5"/>
  <c r="DF45" i="5" s="1"/>
  <c r="BW53" i="5"/>
  <c r="DF53" i="5" s="1"/>
  <c r="BW57" i="5"/>
  <c r="DF57" i="5" s="1"/>
  <c r="BW63" i="5"/>
  <c r="DF63" i="5" s="1"/>
  <c r="BW66" i="5"/>
  <c r="DF66" i="5" s="1"/>
  <c r="BW74" i="5"/>
  <c r="DF74" i="5" s="1"/>
  <c r="BW48" i="5"/>
  <c r="DF48" i="5" s="1"/>
  <c r="BW95" i="5"/>
  <c r="DF95" i="5" s="1"/>
  <c r="BW79" i="5"/>
  <c r="DF79" i="5" s="1"/>
  <c r="BW90" i="5"/>
  <c r="DF90" i="5" s="1"/>
  <c r="BW54" i="5"/>
  <c r="DF54" i="5" s="1"/>
  <c r="BW70" i="5"/>
  <c r="DF70" i="5" s="1"/>
  <c r="BW73" i="5"/>
  <c r="DF73" i="5" s="1"/>
  <c r="BW94" i="5"/>
  <c r="DF94" i="5" s="1"/>
  <c r="BW96" i="5"/>
  <c r="DF96" i="5" s="1"/>
  <c r="BW89" i="5"/>
  <c r="DF89" i="5" s="1"/>
  <c r="BW102" i="5"/>
  <c r="DF102" i="5" s="1"/>
  <c r="BW105" i="5"/>
  <c r="DF105" i="5" s="1"/>
  <c r="BW100" i="5"/>
  <c r="DF100" i="5" s="1"/>
  <c r="BW92" i="5"/>
  <c r="DF92" i="5" s="1"/>
  <c r="BW84" i="5"/>
  <c r="DF84" i="5" s="1"/>
  <c r="BW111" i="5"/>
  <c r="DF111" i="5" s="1"/>
  <c r="BW98" i="5"/>
  <c r="DF98" i="5" s="1"/>
  <c r="BW81" i="5"/>
  <c r="DF81" i="5" s="1"/>
  <c r="BW106" i="5"/>
  <c r="DF106" i="5" s="1"/>
  <c r="BW118" i="5"/>
  <c r="DF118" i="5" s="1"/>
  <c r="BW8" i="5"/>
  <c r="DF8" i="5" s="1"/>
  <c r="BW113" i="5"/>
  <c r="DF113" i="5" s="1"/>
  <c r="BW109" i="5"/>
  <c r="DF109" i="5" s="1"/>
  <c r="BW101" i="5"/>
  <c r="DF101" i="5" s="1"/>
  <c r="BW117" i="5"/>
  <c r="DF117" i="5" s="1"/>
  <c r="BV13" i="5"/>
  <c r="DE13" i="5" s="1"/>
  <c r="BV21" i="5"/>
  <c r="DE21" i="5" s="1"/>
  <c r="BV16" i="5"/>
  <c r="DE16" i="5" s="1"/>
  <c r="BV24" i="5"/>
  <c r="DE24" i="5" s="1"/>
  <c r="BV17" i="5"/>
  <c r="DE17" i="5" s="1"/>
  <c r="BV25" i="5"/>
  <c r="DE25" i="5" s="1"/>
  <c r="BV10" i="5"/>
  <c r="DE10" i="5" s="1"/>
  <c r="BV33" i="5"/>
  <c r="DE33" i="5" s="1"/>
  <c r="BV28" i="5"/>
  <c r="DE28" i="5" s="1"/>
  <c r="BV15" i="5"/>
  <c r="DE15" i="5" s="1"/>
  <c r="BV34" i="5"/>
  <c r="DE34" i="5" s="1"/>
  <c r="BV32" i="5"/>
  <c r="DE32" i="5" s="1"/>
  <c r="BV40" i="5"/>
  <c r="DE40" i="5" s="1"/>
  <c r="BV41" i="5"/>
  <c r="DE41" i="5" s="1"/>
  <c r="BV45" i="5"/>
  <c r="DE45" i="5" s="1"/>
  <c r="BV60" i="5"/>
  <c r="DE60" i="5" s="1"/>
  <c r="BV68" i="5"/>
  <c r="DE68" i="5" s="1"/>
  <c r="BV55" i="5"/>
  <c r="DE55" i="5" s="1"/>
  <c r="BV63" i="5"/>
  <c r="DE63" i="5" s="1"/>
  <c r="BV58" i="5"/>
  <c r="DE58" i="5" s="1"/>
  <c r="BV61" i="5"/>
  <c r="DE61" i="5" s="1"/>
  <c r="BV59" i="5"/>
  <c r="DE59" i="5" s="1"/>
  <c r="BV67" i="5"/>
  <c r="DE67" i="5" s="1"/>
  <c r="BV57" i="5"/>
  <c r="DE57" i="5" s="1"/>
  <c r="BV72" i="5"/>
  <c r="DE72" i="5" s="1"/>
  <c r="BV75" i="5"/>
  <c r="DE75" i="5" s="1"/>
  <c r="BV81" i="5"/>
  <c r="DE81" i="5" s="1"/>
  <c r="BV85" i="5"/>
  <c r="DE85" i="5" s="1"/>
  <c r="BV54" i="5"/>
  <c r="DE54" i="5" s="1"/>
  <c r="BV70" i="5"/>
  <c r="DE70" i="5" s="1"/>
  <c r="BV96" i="5"/>
  <c r="DE96" i="5" s="1"/>
  <c r="BV71" i="5"/>
  <c r="DE71" i="5" s="1"/>
  <c r="BV89" i="5"/>
  <c r="DE89" i="5" s="1"/>
  <c r="BV99" i="5"/>
  <c r="DE99" i="5" s="1"/>
  <c r="BV76" i="5"/>
  <c r="DE76" i="5" s="1"/>
  <c r="BV105" i="5"/>
  <c r="DE105" i="5" s="1"/>
  <c r="BV100" i="5"/>
  <c r="DE100" i="5" s="1"/>
  <c r="BV92" i="5"/>
  <c r="DE92" i="5" s="1"/>
  <c r="BV84" i="5"/>
  <c r="DE84" i="5" s="1"/>
  <c r="BV115" i="5"/>
  <c r="DE115" i="5" s="1"/>
  <c r="BV109" i="5"/>
  <c r="DE109" i="5" s="1"/>
  <c r="BV119" i="5"/>
  <c r="DE119" i="5" s="1"/>
  <c r="BV113" i="5"/>
  <c r="DE113" i="5" s="1"/>
  <c r="BV120" i="5"/>
  <c r="DE120" i="5" s="1"/>
  <c r="BV114" i="5"/>
  <c r="DE114" i="5" s="1"/>
  <c r="BV112" i="5"/>
  <c r="DE112" i="5" s="1"/>
  <c r="BV101" i="5"/>
  <c r="DE101" i="5" s="1"/>
  <c r="CV21" i="5"/>
  <c r="EE21" i="5" s="1"/>
  <c r="CV11" i="5"/>
  <c r="EE11" i="5" s="1"/>
  <c r="CV19" i="5"/>
  <c r="EE19" i="5" s="1"/>
  <c r="CV14" i="5"/>
  <c r="EE14" i="5" s="1"/>
  <c r="CV38" i="5"/>
  <c r="EE38" i="5" s="1"/>
  <c r="CV31" i="5"/>
  <c r="EE31" i="5" s="1"/>
  <c r="CV9" i="5"/>
  <c r="EE9" i="5" s="1"/>
  <c r="CV43" i="5"/>
  <c r="EE43" i="5" s="1"/>
  <c r="CV34" i="5"/>
  <c r="EE34" i="5" s="1"/>
  <c r="CV39" i="5"/>
  <c r="EE39" i="5" s="1"/>
  <c r="CV49" i="5"/>
  <c r="EE49" i="5" s="1"/>
  <c r="CV42" i="5"/>
  <c r="EE42" i="5" s="1"/>
  <c r="CV50" i="5"/>
  <c r="EE50" i="5" s="1"/>
  <c r="CV25" i="5"/>
  <c r="EE25" i="5" s="1"/>
  <c r="CV52" i="5"/>
  <c r="EE52" i="5" s="1"/>
  <c r="CV62" i="5"/>
  <c r="EE62" i="5" s="1"/>
  <c r="CV60" i="5"/>
  <c r="EE60" i="5" s="1"/>
  <c r="CV45" i="5"/>
  <c r="EE45" i="5" s="1"/>
  <c r="CV55" i="5"/>
  <c r="EE55" i="5" s="1"/>
  <c r="CV66" i="5"/>
  <c r="EE66" i="5" s="1"/>
  <c r="CV59" i="5"/>
  <c r="EE59" i="5" s="1"/>
  <c r="CV67" i="5"/>
  <c r="EE67" i="5" s="1"/>
  <c r="CV77" i="5"/>
  <c r="EE77" i="5" s="1"/>
  <c r="CV64" i="5"/>
  <c r="EE64" i="5" s="1"/>
  <c r="CV72" i="5"/>
  <c r="EE72" i="5" s="1"/>
  <c r="CV80" i="5"/>
  <c r="EE80" i="5" s="1"/>
  <c r="CV75" i="5"/>
  <c r="EE75" i="5" s="1"/>
  <c r="CV56" i="5"/>
  <c r="EE56" i="5" s="1"/>
  <c r="CV70" i="5"/>
  <c r="EE70" i="5" s="1"/>
  <c r="CV82" i="5"/>
  <c r="EE82" i="5" s="1"/>
  <c r="CV85" i="5"/>
  <c r="EE85" i="5" s="1"/>
  <c r="CV93" i="5"/>
  <c r="EE93" i="5" s="1"/>
  <c r="CV91" i="5"/>
  <c r="EE91" i="5" s="1"/>
  <c r="CV79" i="5"/>
  <c r="EE79" i="5" s="1"/>
  <c r="CV101" i="5"/>
  <c r="EE101" i="5" s="1"/>
  <c r="CV104" i="5"/>
  <c r="EE104" i="5" s="1"/>
  <c r="CV107" i="5"/>
  <c r="EE107" i="5" s="1"/>
  <c r="CV102" i="5"/>
  <c r="EE102" i="5" s="1"/>
  <c r="CV105" i="5"/>
  <c r="EE105" i="5" s="1"/>
  <c r="CV97" i="5"/>
  <c r="EE97" i="5" s="1"/>
  <c r="CV100" i="5"/>
  <c r="EE100" i="5" s="1"/>
  <c r="CV117" i="5"/>
  <c r="EE117" i="5" s="1"/>
  <c r="CV112" i="5"/>
  <c r="EE112" i="5" s="1"/>
  <c r="CV98" i="5"/>
  <c r="EE98" i="5" s="1"/>
  <c r="CV118" i="5"/>
  <c r="EE118" i="5" s="1"/>
  <c r="CV86" i="5"/>
  <c r="EE86" i="5" s="1"/>
  <c r="CV111" i="5"/>
  <c r="EE111" i="5" s="1"/>
  <c r="CN13" i="5"/>
  <c r="DW13" i="5" s="1"/>
  <c r="CN11" i="5"/>
  <c r="DW11" i="5" s="1"/>
  <c r="CN22" i="5"/>
  <c r="DW22" i="5" s="1"/>
  <c r="CN32" i="5"/>
  <c r="DW32" i="5" s="1"/>
  <c r="CN25" i="5"/>
  <c r="DW25" i="5" s="1"/>
  <c r="CN35" i="5"/>
  <c r="DW35" i="5" s="1"/>
  <c r="CN17" i="5"/>
  <c r="DW17" i="5" s="1"/>
  <c r="CN30" i="5"/>
  <c r="DW30" i="5" s="1"/>
  <c r="CN38" i="5"/>
  <c r="DW38" i="5" s="1"/>
  <c r="CN28" i="5"/>
  <c r="DW28" i="5" s="1"/>
  <c r="CN36" i="5"/>
  <c r="DW36" i="5" s="1"/>
  <c r="CN26" i="5"/>
  <c r="DW26" i="5" s="1"/>
  <c r="CN48" i="5"/>
  <c r="DW48" i="5" s="1"/>
  <c r="CN51" i="5"/>
  <c r="DW51" i="5" s="1"/>
  <c r="CN41" i="5"/>
  <c r="DW41" i="5" s="1"/>
  <c r="CN54" i="5"/>
  <c r="DW54" i="5" s="1"/>
  <c r="CN62" i="5"/>
  <c r="DW62" i="5" s="1"/>
  <c r="CN45" i="5"/>
  <c r="DW45" i="5" s="1"/>
  <c r="CN57" i="5"/>
  <c r="DW57" i="5" s="1"/>
  <c r="CN65" i="5"/>
  <c r="DW65" i="5" s="1"/>
  <c r="CN63" i="5"/>
  <c r="DW63" i="5" s="1"/>
  <c r="CN37" i="5"/>
  <c r="DW37" i="5" s="1"/>
  <c r="CN53" i="5"/>
  <c r="DW53" i="5" s="1"/>
  <c r="CN56" i="5"/>
  <c r="DW56" i="5" s="1"/>
  <c r="CN80" i="5"/>
  <c r="DW80" i="5" s="1"/>
  <c r="CN75" i="5"/>
  <c r="DW75" i="5" s="1"/>
  <c r="CN92" i="5"/>
  <c r="DW92" i="5" s="1"/>
  <c r="CN93" i="5"/>
  <c r="DW93" i="5" s="1"/>
  <c r="CN109" i="5"/>
  <c r="DW109" i="5" s="1"/>
  <c r="CN94" i="5"/>
  <c r="DW94" i="5" s="1"/>
  <c r="CN105" i="5"/>
  <c r="DW105" i="5" s="1"/>
  <c r="CN108" i="5"/>
  <c r="DW108" i="5" s="1"/>
  <c r="CN117" i="5"/>
  <c r="DW117" i="5" s="1"/>
  <c r="CN112" i="5"/>
  <c r="DW112" i="5" s="1"/>
  <c r="CN70" i="5"/>
  <c r="DW70" i="5" s="1"/>
  <c r="CN95" i="5"/>
  <c r="DW95" i="5" s="1"/>
  <c r="CN103" i="5"/>
  <c r="DW103" i="5" s="1"/>
  <c r="CN118" i="5"/>
  <c r="DW118" i="5" s="1"/>
  <c r="CN8" i="5"/>
  <c r="DW8" i="5" s="1"/>
  <c r="CN89" i="5"/>
  <c r="DW89" i="5" s="1"/>
  <c r="CF23" i="5"/>
  <c r="DO23" i="5" s="1"/>
  <c r="CF18" i="5"/>
  <c r="DO18" i="5" s="1"/>
  <c r="CF21" i="5"/>
  <c r="DO21" i="5" s="1"/>
  <c r="CF40" i="5"/>
  <c r="DO40" i="5" s="1"/>
  <c r="CF35" i="5"/>
  <c r="DO35" i="5" s="1"/>
  <c r="CF28" i="5"/>
  <c r="DO28" i="5" s="1"/>
  <c r="CF26" i="5"/>
  <c r="DO26" i="5" s="1"/>
  <c r="CF48" i="5"/>
  <c r="DO48" i="5" s="1"/>
  <c r="CF41" i="5"/>
  <c r="DO41" i="5" s="1"/>
  <c r="CF49" i="5"/>
  <c r="DO49" i="5" s="1"/>
  <c r="CF50" i="5"/>
  <c r="DO50" i="5" s="1"/>
  <c r="CF62" i="5"/>
  <c r="DO62" i="5" s="1"/>
  <c r="CF63" i="5"/>
  <c r="DO63" i="5" s="1"/>
  <c r="CF64" i="5"/>
  <c r="DO64" i="5" s="1"/>
  <c r="CF76" i="5"/>
  <c r="DO76" i="5" s="1"/>
  <c r="CF68" i="5"/>
  <c r="DO68" i="5" s="1"/>
  <c r="CF44" i="5"/>
  <c r="DO44" i="5" s="1"/>
  <c r="CF67" i="5"/>
  <c r="DO67" i="5" s="1"/>
  <c r="CF80" i="5"/>
  <c r="DO80" i="5" s="1"/>
  <c r="CF92" i="5"/>
  <c r="DO92" i="5" s="1"/>
  <c r="CF90" i="5"/>
  <c r="DO90" i="5" s="1"/>
  <c r="CF45" i="5"/>
  <c r="DO45" i="5" s="1"/>
  <c r="CF101" i="5"/>
  <c r="DO101" i="5" s="1"/>
  <c r="CF104" i="5"/>
  <c r="DO104" i="5" s="1"/>
  <c r="CF95" i="5"/>
  <c r="DO95" i="5" s="1"/>
  <c r="CF99" i="5"/>
  <c r="DO99" i="5" s="1"/>
  <c r="CF102" i="5"/>
  <c r="DO102" i="5" s="1"/>
  <c r="CF105" i="5"/>
  <c r="DO105" i="5" s="1"/>
  <c r="CF89" i="5"/>
  <c r="DO89" i="5" s="1"/>
  <c r="CF100" i="5"/>
  <c r="DO100" i="5" s="1"/>
  <c r="CF112" i="5"/>
  <c r="DO112" i="5" s="1"/>
  <c r="CF103" i="5"/>
  <c r="DO103" i="5" s="1"/>
  <c r="CF115" i="5"/>
  <c r="DO115" i="5" s="1"/>
  <c r="CF119" i="5"/>
  <c r="DO119" i="5" s="1"/>
  <c r="BX10" i="5"/>
  <c r="DG10" i="5" s="1"/>
  <c r="BX13" i="5"/>
  <c r="DG13" i="5" s="1"/>
  <c r="BX21" i="5"/>
  <c r="DG21" i="5" s="1"/>
  <c r="BX16" i="5"/>
  <c r="DG16" i="5" s="1"/>
  <c r="BX24" i="5"/>
  <c r="DG24" i="5" s="1"/>
  <c r="BX11" i="5"/>
  <c r="DG11" i="5" s="1"/>
  <c r="BX19" i="5"/>
  <c r="DG19" i="5" s="1"/>
  <c r="BX14" i="5"/>
  <c r="DG14" i="5" s="1"/>
  <c r="BX9" i="5"/>
  <c r="DG9" i="5" s="1"/>
  <c r="BX32" i="5"/>
  <c r="DG32" i="5" s="1"/>
  <c r="BX40" i="5"/>
  <c r="DG40" i="5" s="1"/>
  <c r="BX20" i="5"/>
  <c r="DG20" i="5" s="1"/>
  <c r="BX35" i="5"/>
  <c r="DG35" i="5" s="1"/>
  <c r="BX30" i="5"/>
  <c r="DG30" i="5" s="1"/>
  <c r="BX38" i="5"/>
  <c r="DG38" i="5" s="1"/>
  <c r="BX33" i="5"/>
  <c r="DG33" i="5" s="1"/>
  <c r="BX25" i="5"/>
  <c r="DG25" i="5" s="1"/>
  <c r="BX36" i="5"/>
  <c r="DG36" i="5" s="1"/>
  <c r="BX28" i="5"/>
  <c r="DG28" i="5" s="1"/>
  <c r="BX31" i="5"/>
  <c r="DG31" i="5" s="1"/>
  <c r="BX48" i="5"/>
  <c r="DG48" i="5" s="1"/>
  <c r="BX34" i="5"/>
  <c r="DG34" i="5" s="1"/>
  <c r="BX37" i="5"/>
  <c r="DG37" i="5" s="1"/>
  <c r="BX43" i="5"/>
  <c r="DG43" i="5" s="1"/>
  <c r="BX51" i="5"/>
  <c r="DG51" i="5" s="1"/>
  <c r="BX41" i="5"/>
  <c r="DG41" i="5" s="1"/>
  <c r="BX47" i="5"/>
  <c r="DG47" i="5" s="1"/>
  <c r="BX42" i="5"/>
  <c r="DG42" i="5" s="1"/>
  <c r="BX50" i="5"/>
  <c r="DG50" i="5" s="1"/>
  <c r="BX54" i="5"/>
  <c r="DG54" i="5" s="1"/>
  <c r="BX62" i="5"/>
  <c r="DG62" i="5" s="1"/>
  <c r="BX26" i="5"/>
  <c r="DG26" i="5" s="1"/>
  <c r="BX57" i="5"/>
  <c r="DG57" i="5" s="1"/>
  <c r="BX65" i="5"/>
  <c r="DG65" i="5" s="1"/>
  <c r="BX52" i="5"/>
  <c r="DG52" i="5" s="1"/>
  <c r="BX60" i="5"/>
  <c r="DG60" i="5" s="1"/>
  <c r="BX55" i="5"/>
  <c r="DG55" i="5" s="1"/>
  <c r="BX63" i="5"/>
  <c r="DG63" i="5" s="1"/>
  <c r="BX44" i="5"/>
  <c r="DG44" i="5" s="1"/>
  <c r="BX58" i="5"/>
  <c r="DG58" i="5" s="1"/>
  <c r="BX66" i="5"/>
  <c r="DG66" i="5" s="1"/>
  <c r="BX53" i="5"/>
  <c r="DG53" i="5" s="1"/>
  <c r="BX61" i="5"/>
  <c r="DG61" i="5" s="1"/>
  <c r="BX56" i="5"/>
  <c r="DG56" i="5" s="1"/>
  <c r="BX76" i="5"/>
  <c r="DG76" i="5" s="1"/>
  <c r="BX67" i="5"/>
  <c r="DG67" i="5" s="1"/>
  <c r="BX69" i="5"/>
  <c r="DG69" i="5" s="1"/>
  <c r="BX71" i="5"/>
  <c r="DG71" i="5" s="1"/>
  <c r="BX68" i="5"/>
  <c r="DG68" i="5" s="1"/>
  <c r="BX74" i="5"/>
  <c r="DG74" i="5" s="1"/>
  <c r="BX29" i="5"/>
  <c r="DG29" i="5" s="1"/>
  <c r="BX59" i="5"/>
  <c r="DG59" i="5" s="1"/>
  <c r="BX77" i="5"/>
  <c r="DG77" i="5" s="1"/>
  <c r="BX72" i="5"/>
  <c r="DG72" i="5" s="1"/>
  <c r="BX80" i="5"/>
  <c r="DG80" i="5" s="1"/>
  <c r="BX64" i="5"/>
  <c r="DG64" i="5" s="1"/>
  <c r="BX84" i="5"/>
  <c r="DG84" i="5" s="1"/>
  <c r="BX92" i="5"/>
  <c r="DG92" i="5" s="1"/>
  <c r="BX87" i="5"/>
  <c r="DG87" i="5" s="1"/>
  <c r="BX95" i="5"/>
  <c r="DG95" i="5" s="1"/>
  <c r="BX79" i="5"/>
  <c r="DG79" i="5" s="1"/>
  <c r="BX90" i="5"/>
  <c r="DG90" i="5" s="1"/>
  <c r="BX93" i="5"/>
  <c r="DG93" i="5" s="1"/>
  <c r="BX88" i="5"/>
  <c r="DG88" i="5" s="1"/>
  <c r="BX73" i="5"/>
  <c r="DG73" i="5" s="1"/>
  <c r="BX82" i="5"/>
  <c r="DG82" i="5" s="1"/>
  <c r="BX83" i="5"/>
  <c r="DG83" i="5" s="1"/>
  <c r="BX91" i="5"/>
  <c r="DG91" i="5" s="1"/>
  <c r="BX86" i="5"/>
  <c r="DG86" i="5" s="1"/>
  <c r="BX97" i="5"/>
  <c r="DG97" i="5" s="1"/>
  <c r="BX101" i="5"/>
  <c r="DG101" i="5" s="1"/>
  <c r="BX109" i="5"/>
  <c r="DG109" i="5" s="1"/>
  <c r="BX78" i="5"/>
  <c r="DG78" i="5" s="1"/>
  <c r="BX96" i="5"/>
  <c r="DG96" i="5" s="1"/>
  <c r="BX104" i="5"/>
  <c r="DG104" i="5" s="1"/>
  <c r="BX99" i="5"/>
  <c r="DG99" i="5" s="1"/>
  <c r="BX107" i="5"/>
  <c r="DG107" i="5" s="1"/>
  <c r="BX102" i="5"/>
  <c r="DG102" i="5" s="1"/>
  <c r="BX105" i="5"/>
  <c r="DG105" i="5" s="1"/>
  <c r="BX100" i="5"/>
  <c r="DG100" i="5" s="1"/>
  <c r="BX108" i="5"/>
  <c r="DG108" i="5" s="1"/>
  <c r="BX103" i="5"/>
  <c r="DG103" i="5" s="1"/>
  <c r="BX117" i="5"/>
  <c r="DG117" i="5" s="1"/>
  <c r="BX112" i="5"/>
  <c r="DG112" i="5" s="1"/>
  <c r="BX113" i="5"/>
  <c r="DG113" i="5" s="1"/>
  <c r="BX111" i="5"/>
  <c r="DG111" i="5" s="1"/>
  <c r="BX115" i="5"/>
  <c r="DG115" i="5" s="1"/>
  <c r="BX81" i="5"/>
  <c r="DG81" i="5" s="1"/>
  <c r="BX8" i="5"/>
  <c r="DG8" i="5" s="1"/>
  <c r="BX98" i="5"/>
  <c r="DG98" i="5" s="1"/>
  <c r="BX116" i="5"/>
  <c r="DG116" i="5" s="1"/>
  <c r="BX114" i="5"/>
  <c r="DG114" i="5" s="1"/>
  <c r="BX94" i="5"/>
  <c r="DG94" i="5" s="1"/>
  <c r="BX110" i="5"/>
  <c r="DG110" i="5" s="1"/>
  <c r="CE19" i="5"/>
  <c r="DN19" i="5" s="1"/>
  <c r="CE20" i="5"/>
  <c r="DN20" i="5" s="1"/>
  <c r="CE23" i="5"/>
  <c r="DN23" i="5" s="1"/>
  <c r="CE34" i="5"/>
  <c r="DN34" i="5" s="1"/>
  <c r="CE44" i="5"/>
  <c r="DN44" i="5" s="1"/>
  <c r="CE63" i="5"/>
  <c r="DN63" i="5" s="1"/>
  <c r="CE67" i="5"/>
  <c r="DN67" i="5" s="1"/>
  <c r="CE78" i="5"/>
  <c r="DN78" i="5" s="1"/>
  <c r="CE70" i="5"/>
  <c r="DN70" i="5" s="1"/>
  <c r="CE89" i="5"/>
  <c r="DN89" i="5" s="1"/>
  <c r="CE95" i="5"/>
  <c r="DN95" i="5" s="1"/>
  <c r="CE105" i="5"/>
  <c r="DN105" i="5" s="1"/>
  <c r="CE119" i="5"/>
  <c r="DN119" i="5" s="1"/>
  <c r="CE84" i="5"/>
  <c r="DN84" i="5" s="1"/>
  <c r="CE120" i="5"/>
  <c r="DN120" i="5" s="1"/>
  <c r="CE96" i="5"/>
  <c r="DN96" i="5" s="1"/>
  <c r="CE115" i="5"/>
  <c r="DN115" i="5" s="1"/>
  <c r="CU24" i="5"/>
  <c r="ED24" i="5" s="1"/>
  <c r="CU108" i="5"/>
  <c r="ED108" i="5" s="1"/>
  <c r="CU98" i="5"/>
  <c r="ED98" i="5" s="1"/>
  <c r="CJ22" i="5"/>
  <c r="DS22" i="5" s="1"/>
  <c r="CJ53" i="5"/>
  <c r="DS53" i="5" s="1"/>
  <c r="CJ60" i="5"/>
  <c r="DS60" i="5" s="1"/>
  <c r="CJ78" i="5"/>
  <c r="DS78" i="5" s="1"/>
  <c r="CJ75" i="5"/>
  <c r="DS75" i="5" s="1"/>
  <c r="CJ83" i="5"/>
  <c r="DS83" i="5" s="1"/>
  <c r="CJ95" i="5"/>
  <c r="DS95" i="5" s="1"/>
  <c r="CJ86" i="5"/>
  <c r="DS86" i="5" s="1"/>
  <c r="CB14" i="5"/>
  <c r="DK14" i="5" s="1"/>
  <c r="CB23" i="5"/>
  <c r="DK23" i="5" s="1"/>
  <c r="CB50" i="5"/>
  <c r="DK50" i="5" s="1"/>
  <c r="CB90" i="5"/>
  <c r="DK90" i="5" s="1"/>
  <c r="CB75" i="5"/>
  <c r="DK75" i="5" s="1"/>
  <c r="CB102" i="5"/>
  <c r="DK102" i="5" s="1"/>
  <c r="BT28" i="5"/>
  <c r="DC28" i="5" s="1"/>
  <c r="BT15" i="5"/>
  <c r="DC15" i="5" s="1"/>
  <c r="BT88" i="5"/>
  <c r="DC88" i="5" s="1"/>
  <c r="BT120" i="5"/>
  <c r="DC120" i="5" s="1"/>
  <c r="BT93" i="5"/>
  <c r="DC93" i="5" s="1"/>
  <c r="CT24" i="5"/>
  <c r="EC24" i="5" s="1"/>
  <c r="CT26" i="5"/>
  <c r="EC26" i="5" s="1"/>
  <c r="CT58" i="5"/>
  <c r="EC58" i="5" s="1"/>
  <c r="CT67" i="5"/>
  <c r="EC67" i="5" s="1"/>
  <c r="CT55" i="5"/>
  <c r="EC55" i="5" s="1"/>
  <c r="CT61" i="5"/>
  <c r="EC61" i="5" s="1"/>
  <c r="CT69" i="5"/>
  <c r="EC69" i="5" s="1"/>
  <c r="CT84" i="5"/>
  <c r="EC84" i="5" s="1"/>
  <c r="CT108" i="5"/>
  <c r="EC108" i="5" s="1"/>
  <c r="CT98" i="5"/>
  <c r="EC98" i="5" s="1"/>
  <c r="CT95" i="5"/>
  <c r="EC95" i="5" s="1"/>
  <c r="CT99" i="5"/>
  <c r="EC99" i="5" s="1"/>
  <c r="CT102" i="5"/>
  <c r="EC102" i="5" s="1"/>
  <c r="BV22" i="5"/>
  <c r="DE22" i="5" s="1"/>
  <c r="CK45" i="5"/>
  <c r="DT45" i="5" s="1"/>
  <c r="CK51" i="5"/>
  <c r="DT51" i="5" s="1"/>
  <c r="CK65" i="5"/>
  <c r="DT65" i="5" s="1"/>
  <c r="CK116" i="5"/>
  <c r="DT116" i="5" s="1"/>
  <c r="CK80" i="5"/>
  <c r="DT80" i="5" s="1"/>
  <c r="CR23" i="5"/>
  <c r="EA23" i="5" s="1"/>
  <c r="CR30" i="5"/>
  <c r="EA30" i="5" s="1"/>
  <c r="CR27" i="5"/>
  <c r="EA27" i="5" s="1"/>
  <c r="CR70" i="5"/>
  <c r="EA70" i="5" s="1"/>
  <c r="CR63" i="5"/>
  <c r="EA63" i="5" s="1"/>
  <c r="CR96" i="5"/>
  <c r="EA96" i="5" s="1"/>
  <c r="CR107" i="5"/>
  <c r="EA107" i="5" s="1"/>
  <c r="CY20" i="5"/>
  <c r="EH20" i="5" s="1"/>
  <c r="CY28" i="5"/>
  <c r="EH28" i="5" s="1"/>
  <c r="CY63" i="5"/>
  <c r="EH63" i="5" s="1"/>
  <c r="CY87" i="5"/>
  <c r="EH87" i="5" s="1"/>
  <c r="CY93" i="5"/>
  <c r="EH93" i="5" s="1"/>
  <c r="CQ25" i="5"/>
  <c r="DZ25" i="5" s="1"/>
  <c r="CQ38" i="5"/>
  <c r="DZ38" i="5" s="1"/>
  <c r="CQ26" i="5"/>
  <c r="DZ26" i="5" s="1"/>
  <c r="CQ58" i="5"/>
  <c r="DZ58" i="5" s="1"/>
  <c r="CQ86" i="5"/>
  <c r="DZ86" i="5" s="1"/>
  <c r="CQ92" i="5"/>
  <c r="DZ92" i="5" s="1"/>
  <c r="CQ110" i="5"/>
  <c r="DZ110" i="5" s="1"/>
  <c r="CI16" i="5"/>
  <c r="DR16" i="5" s="1"/>
  <c r="CI36" i="5"/>
  <c r="DR36" i="5" s="1"/>
  <c r="CI46" i="5"/>
  <c r="DR46" i="5" s="1"/>
  <c r="CI68" i="5"/>
  <c r="DR68" i="5" s="1"/>
  <c r="CI63" i="5"/>
  <c r="DR63" i="5" s="1"/>
  <c r="CI89" i="5"/>
  <c r="DR89" i="5" s="1"/>
  <c r="CI108" i="5"/>
  <c r="DR108" i="5" s="1"/>
  <c r="CA9" i="5"/>
  <c r="DJ9" i="5" s="1"/>
  <c r="CA18" i="5"/>
  <c r="DJ18" i="5" s="1"/>
  <c r="CA30" i="5"/>
  <c r="DJ30" i="5" s="1"/>
  <c r="CA26" i="5"/>
  <c r="DJ26" i="5" s="1"/>
  <c r="CA36" i="5"/>
  <c r="DJ36" i="5" s="1"/>
  <c r="CA34" i="5"/>
  <c r="DJ34" i="5" s="1"/>
  <c r="CA59" i="5"/>
  <c r="DJ59" i="5" s="1"/>
  <c r="CA56" i="5"/>
  <c r="DJ56" i="5" s="1"/>
  <c r="CA81" i="5"/>
  <c r="DJ81" i="5" s="1"/>
  <c r="CA62" i="5"/>
  <c r="DJ62" i="5" s="1"/>
  <c r="CA64" i="5"/>
  <c r="DJ64" i="5" s="1"/>
  <c r="CA72" i="5"/>
  <c r="DJ72" i="5" s="1"/>
  <c r="CA66" i="5"/>
  <c r="DJ66" i="5" s="1"/>
  <c r="CA115" i="5"/>
  <c r="DJ115" i="5" s="1"/>
  <c r="CA106" i="5"/>
  <c r="DJ106" i="5" s="1"/>
  <c r="BS25" i="5"/>
  <c r="DB25" i="5" s="1"/>
  <c r="BS23" i="5"/>
  <c r="DB23" i="5" s="1"/>
  <c r="BS29" i="5"/>
  <c r="DB29" i="5" s="1"/>
  <c r="BS34" i="5"/>
  <c r="DB34" i="5" s="1"/>
  <c r="BS82" i="5"/>
  <c r="DB82" i="5" s="1"/>
  <c r="BS97" i="5"/>
  <c r="DB97" i="5" s="1"/>
  <c r="CM37" i="5"/>
  <c r="DV37" i="5" s="1"/>
  <c r="CM43" i="5"/>
  <c r="DV43" i="5" s="1"/>
  <c r="CM68" i="5"/>
  <c r="DV68" i="5" s="1"/>
  <c r="CM70" i="5"/>
  <c r="DV70" i="5" s="1"/>
  <c r="CM73" i="5"/>
  <c r="DV73" i="5" s="1"/>
  <c r="CM76" i="5"/>
  <c r="DV76" i="5" s="1"/>
  <c r="CM66" i="5"/>
  <c r="DV66" i="5" s="1"/>
  <c r="CM82" i="5"/>
  <c r="DV82" i="5" s="1"/>
  <c r="CM105" i="5"/>
  <c r="DV105" i="5" s="1"/>
  <c r="CM85" i="5"/>
  <c r="DV85" i="5" s="1"/>
  <c r="CM110" i="5"/>
  <c r="DV110" i="5" s="1"/>
  <c r="CM98" i="5"/>
  <c r="DV98" i="5" s="1"/>
  <c r="CD28" i="5"/>
  <c r="DM28" i="5" s="1"/>
  <c r="CD10" i="5"/>
  <c r="DM10" i="5" s="1"/>
  <c r="CD35" i="5"/>
  <c r="DM35" i="5" s="1"/>
  <c r="CD80" i="5"/>
  <c r="DM80" i="5" s="1"/>
  <c r="CD56" i="5"/>
  <c r="DM56" i="5" s="1"/>
  <c r="CD71" i="5"/>
  <c r="DM71" i="5" s="1"/>
  <c r="CD83" i="5"/>
  <c r="DM83" i="5" s="1"/>
  <c r="CD110" i="5"/>
  <c r="DM110" i="5" s="1"/>
  <c r="CS12" i="5"/>
  <c r="EB12" i="5" s="1"/>
  <c r="CS13" i="5"/>
  <c r="EB13" i="5" s="1"/>
  <c r="CS28" i="5"/>
  <c r="EB28" i="5" s="1"/>
  <c r="CS36" i="5"/>
  <c r="EB36" i="5" s="1"/>
  <c r="CS53" i="5"/>
  <c r="EB53" i="5" s="1"/>
  <c r="CS42" i="5"/>
  <c r="EB42" i="5" s="1"/>
  <c r="CS37" i="5"/>
  <c r="EB37" i="5" s="1"/>
  <c r="CS57" i="5"/>
  <c r="EB57" i="5" s="1"/>
  <c r="CS75" i="5"/>
  <c r="EB75" i="5" s="1"/>
  <c r="CS68" i="5"/>
  <c r="EB68" i="5" s="1"/>
  <c r="CS63" i="5"/>
  <c r="EB63" i="5" s="1"/>
  <c r="CS89" i="5"/>
  <c r="EB89" i="5" s="1"/>
  <c r="CS84" i="5"/>
  <c r="EB84" i="5" s="1"/>
  <c r="CS85" i="5"/>
  <c r="EB85" i="5" s="1"/>
  <c r="CS117" i="5"/>
  <c r="EB117" i="5" s="1"/>
  <c r="CS99" i="5"/>
  <c r="EB99" i="5" s="1"/>
  <c r="CS119" i="5"/>
  <c r="EB119" i="5" s="1"/>
  <c r="CS120" i="5"/>
  <c r="EB120" i="5" s="1"/>
  <c r="CS116" i="5"/>
  <c r="EB116" i="5" s="1"/>
  <c r="CZ22" i="5"/>
  <c r="EI22" i="5" s="1"/>
  <c r="CZ17" i="5"/>
  <c r="EI17" i="5" s="1"/>
  <c r="CZ26" i="5"/>
  <c r="EI26" i="5" s="1"/>
  <c r="CZ13" i="5"/>
  <c r="EI13" i="5" s="1"/>
  <c r="CZ23" i="5"/>
  <c r="EI23" i="5" s="1"/>
  <c r="CZ53" i="5"/>
  <c r="EI53" i="5" s="1"/>
  <c r="CZ39" i="5"/>
  <c r="EI39" i="5" s="1"/>
  <c r="CZ87" i="5"/>
  <c r="EI87" i="5" s="1"/>
  <c r="CZ82" i="5"/>
  <c r="EI82" i="5" s="1"/>
  <c r="CZ88" i="5"/>
  <c r="EI88" i="5" s="1"/>
  <c r="CZ86" i="5"/>
  <c r="EI86" i="5" s="1"/>
  <c r="CZ100" i="5"/>
  <c r="EI100" i="5" s="1"/>
  <c r="CZ108" i="5"/>
  <c r="EI108" i="5" s="1"/>
  <c r="CX21" i="5"/>
  <c r="EG21" i="5" s="1"/>
  <c r="CX27" i="5"/>
  <c r="EG27" i="5" s="1"/>
  <c r="CX47" i="5"/>
  <c r="EG47" i="5" s="1"/>
  <c r="CX74" i="5"/>
  <c r="EG74" i="5" s="1"/>
  <c r="CX108" i="5"/>
  <c r="EG108" i="5" s="1"/>
  <c r="CX101" i="5"/>
  <c r="EG101" i="5" s="1"/>
  <c r="CP13" i="5"/>
  <c r="DY13" i="5" s="1"/>
  <c r="CP81" i="5"/>
  <c r="DY81" i="5" s="1"/>
  <c r="CP107" i="5"/>
  <c r="DY107" i="5" s="1"/>
  <c r="CP119" i="5"/>
  <c r="DY119" i="5" s="1"/>
  <c r="CP98" i="5"/>
  <c r="DY98" i="5" s="1"/>
  <c r="CH26" i="5"/>
  <c r="DQ26" i="5" s="1"/>
  <c r="CH82" i="5"/>
  <c r="DQ82" i="5" s="1"/>
  <c r="BZ15" i="5"/>
  <c r="DI15" i="5" s="1"/>
  <c r="BZ28" i="5"/>
  <c r="DI28" i="5" s="1"/>
  <c r="BZ31" i="5"/>
  <c r="DI31" i="5" s="1"/>
  <c r="BZ47" i="5"/>
  <c r="DI47" i="5" s="1"/>
  <c r="BZ34" i="5"/>
  <c r="DI34" i="5" s="1"/>
  <c r="BZ48" i="5"/>
  <c r="DI48" i="5" s="1"/>
  <c r="BZ52" i="5"/>
  <c r="DI52" i="5" s="1"/>
  <c r="BZ63" i="5"/>
  <c r="DI63" i="5" s="1"/>
  <c r="BZ66" i="5"/>
  <c r="DI66" i="5" s="1"/>
  <c r="BZ79" i="5"/>
  <c r="DI79" i="5" s="1"/>
  <c r="BZ69" i="5"/>
  <c r="DI69" i="5" s="1"/>
  <c r="BZ112" i="5"/>
  <c r="DI112" i="5" s="1"/>
  <c r="BZ102" i="5"/>
  <c r="DI102" i="5" s="1"/>
  <c r="BZ8" i="5"/>
  <c r="DI8" i="5" s="1"/>
  <c r="BZ117" i="5"/>
  <c r="DI117" i="5" s="1"/>
  <c r="BU9" i="5"/>
  <c r="DD9" i="5" s="1"/>
  <c r="BU25" i="5"/>
  <c r="DD25" i="5" s="1"/>
  <c r="BU44" i="5"/>
  <c r="DD44" i="5" s="1"/>
  <c r="BU55" i="5"/>
  <c r="DD55" i="5" s="1"/>
  <c r="BU78" i="5"/>
  <c r="DD78" i="5" s="1"/>
  <c r="BU73" i="5"/>
  <c r="DD73" i="5" s="1"/>
  <c r="BU91" i="5"/>
  <c r="DD91" i="5" s="1"/>
  <c r="CO34" i="5"/>
  <c r="DX34" i="5" s="1"/>
  <c r="CO46" i="5"/>
  <c r="DX46" i="5" s="1"/>
  <c r="CO50" i="5"/>
  <c r="DX50" i="5" s="1"/>
  <c r="CO88" i="5"/>
  <c r="DX88" i="5" s="1"/>
  <c r="CO120" i="5"/>
  <c r="DX120" i="5" s="1"/>
  <c r="CG9" i="5"/>
  <c r="DP9" i="5" s="1"/>
  <c r="CG72" i="5"/>
  <c r="DP72" i="5" s="1"/>
  <c r="CG112" i="5"/>
  <c r="DP112" i="5" s="1"/>
  <c r="BY10" i="5"/>
  <c r="DH10" i="5" s="1"/>
  <c r="BY18" i="5"/>
  <c r="DH18" i="5" s="1"/>
  <c r="BY16" i="5"/>
  <c r="DH16" i="5" s="1"/>
  <c r="BY27" i="5"/>
  <c r="DH27" i="5" s="1"/>
  <c r="BY32" i="5"/>
  <c r="DH32" i="5" s="1"/>
  <c r="BY51" i="5"/>
  <c r="DH51" i="5" s="1"/>
  <c r="BY37" i="5"/>
  <c r="DH37" i="5" s="1"/>
  <c r="BY52" i="5"/>
  <c r="DH52" i="5" s="1"/>
  <c r="BY57" i="5"/>
  <c r="DH57" i="5" s="1"/>
  <c r="BY73" i="5"/>
  <c r="DH73" i="5" s="1"/>
  <c r="BY89" i="5"/>
  <c r="DH89" i="5" s="1"/>
  <c r="BY102" i="5"/>
  <c r="DH102" i="5" s="1"/>
  <c r="BY109" i="5"/>
  <c r="DH109" i="5" s="1"/>
  <c r="BW36" i="5"/>
  <c r="DF36" i="5" s="1"/>
  <c r="BW30" i="5"/>
  <c r="DF30" i="5" s="1"/>
  <c r="CL24" i="5"/>
  <c r="DU24" i="5" s="1"/>
  <c r="CL31" i="5"/>
  <c r="DU31" i="5" s="1"/>
  <c r="CL44" i="5"/>
  <c r="DU44" i="5" s="1"/>
  <c r="CL73" i="5"/>
  <c r="DU73" i="5" s="1"/>
  <c r="CL88" i="5"/>
  <c r="DU88" i="5" s="1"/>
  <c r="CL118" i="5"/>
  <c r="DU118" i="5" s="1"/>
  <c r="CL77" i="5"/>
  <c r="DU77" i="5" s="1"/>
  <c r="CC12" i="5"/>
  <c r="DL12" i="5" s="1"/>
  <c r="CC46" i="5"/>
  <c r="DL46" i="5" s="1"/>
  <c r="CC52" i="5"/>
  <c r="DL52" i="5" s="1"/>
  <c r="CC48" i="5"/>
  <c r="DL48" i="5" s="1"/>
  <c r="CC65" i="5"/>
  <c r="DL65" i="5" s="1"/>
  <c r="CC68" i="5"/>
  <c r="DL68" i="5" s="1"/>
  <c r="CC71" i="5"/>
  <c r="DL71" i="5" s="1"/>
  <c r="CC87" i="5"/>
  <c r="DL87" i="5" s="1"/>
  <c r="CC111" i="5"/>
  <c r="DL111" i="5" s="1"/>
  <c r="CC83" i="5"/>
  <c r="DL83" i="5" s="1"/>
  <c r="CC107" i="5"/>
  <c r="DL107" i="5" s="1"/>
  <c r="CC96" i="5"/>
  <c r="DL96" i="5" s="1"/>
  <c r="CC108" i="5"/>
  <c r="DL108" i="5" s="1"/>
  <c r="CW10" i="5"/>
  <c r="EF10" i="5" s="1"/>
  <c r="CW27" i="5"/>
  <c r="EF27" i="5" s="1"/>
  <c r="CW90" i="5"/>
  <c r="EF90" i="5" s="1"/>
  <c r="CV16" i="5"/>
  <c r="EE16" i="5" s="1"/>
  <c r="CN21" i="5"/>
  <c r="DW21" i="5" s="1"/>
  <c r="CN61" i="5"/>
  <c r="DW61" i="5" s="1"/>
  <c r="CN78" i="5"/>
  <c r="DW78" i="5" s="1"/>
  <c r="CN67" i="5"/>
  <c r="DW67" i="5" s="1"/>
  <c r="CN83" i="5"/>
  <c r="DW83" i="5" s="1"/>
  <c r="CN110" i="5"/>
  <c r="DW110" i="5" s="1"/>
  <c r="CN116" i="5"/>
  <c r="DW116" i="5" s="1"/>
  <c r="CF14" i="5"/>
  <c r="DO14" i="5" s="1"/>
  <c r="CF17" i="5"/>
  <c r="DO17" i="5" s="1"/>
  <c r="CF30" i="5"/>
  <c r="DO30" i="5" s="1"/>
  <c r="CF84" i="5"/>
  <c r="DO84" i="5" s="1"/>
  <c r="BX18" i="5"/>
  <c r="DG18" i="5" s="1"/>
  <c r="BX22" i="5"/>
  <c r="DG22" i="5" s="1"/>
  <c r="BX17" i="5"/>
  <c r="DG17" i="5" s="1"/>
  <c r="BX23" i="5"/>
  <c r="DG23" i="5" s="1"/>
  <c r="BX46" i="5"/>
  <c r="DG46" i="5" s="1"/>
  <c r="BX49" i="5"/>
  <c r="DG49" i="5" s="1"/>
  <c r="BX75" i="5"/>
  <c r="DG75" i="5" s="1"/>
  <c r="BX106" i="5"/>
  <c r="DG106" i="5" s="1"/>
  <c r="BX85" i="5"/>
  <c r="DG85" i="5" s="1"/>
  <c r="BX70" i="5"/>
  <c r="DG70" i="5" s="1"/>
  <c r="BX120" i="5"/>
  <c r="DG120" i="5" s="1"/>
  <c r="BX119" i="5"/>
  <c r="DG119" i="5" s="1"/>
  <c r="CN81" i="5"/>
  <c r="DW81" i="5" s="1"/>
  <c r="BX27" i="5"/>
  <c r="DG27" i="5" s="1"/>
  <c r="CW39" i="5"/>
  <c r="EF39" i="5" s="1"/>
  <c r="CU99" i="5"/>
  <c r="ED99" i="5" s="1"/>
  <c r="CM14" i="5"/>
  <c r="DV14" i="5" s="1"/>
  <c r="CM24" i="5"/>
  <c r="DV24" i="5" s="1"/>
  <c r="CM48" i="5"/>
  <c r="DV48" i="5" s="1"/>
  <c r="CM62" i="5"/>
  <c r="DV62" i="5" s="1"/>
  <c r="CM78" i="5"/>
  <c r="DV78" i="5" s="1"/>
  <c r="CM91" i="5"/>
  <c r="DV91" i="5" s="1"/>
  <c r="CM118" i="5"/>
  <c r="DV118" i="5" s="1"/>
  <c r="CM111" i="5"/>
  <c r="DV111" i="5" s="1"/>
  <c r="CE27" i="5"/>
  <c r="DN27" i="5" s="1"/>
  <c r="CE26" i="5"/>
  <c r="DN26" i="5" s="1"/>
  <c r="CE28" i="5"/>
  <c r="DN28" i="5" s="1"/>
  <c r="CE29" i="5"/>
  <c r="DN29" i="5" s="1"/>
  <c r="CE37" i="5"/>
  <c r="DN37" i="5" s="1"/>
  <c r="CE41" i="5"/>
  <c r="DN41" i="5" s="1"/>
  <c r="CE47" i="5"/>
  <c r="DN47" i="5" s="1"/>
  <c r="CE58" i="5"/>
  <c r="DN58" i="5" s="1"/>
  <c r="CE66" i="5"/>
  <c r="DN66" i="5" s="1"/>
  <c r="CE54" i="5"/>
  <c r="DN54" i="5" s="1"/>
  <c r="CE57" i="5"/>
  <c r="DN57" i="5" s="1"/>
  <c r="CE79" i="5"/>
  <c r="DN79" i="5" s="1"/>
  <c r="CE38" i="5"/>
  <c r="DN38" i="5" s="1"/>
  <c r="CE88" i="5"/>
  <c r="DN88" i="5" s="1"/>
  <c r="CE74" i="5"/>
  <c r="DN74" i="5" s="1"/>
  <c r="CE116" i="5"/>
  <c r="DN116" i="5" s="1"/>
  <c r="CE112" i="5"/>
  <c r="DN112" i="5" s="1"/>
  <c r="CE97" i="5"/>
  <c r="DN97" i="5" s="1"/>
  <c r="CE110" i="5"/>
  <c r="DN110" i="5" s="1"/>
  <c r="BW29" i="5"/>
  <c r="DF29" i="5" s="1"/>
  <c r="BZ27" i="5"/>
  <c r="DI27" i="5" s="1"/>
  <c r="BZ83" i="5"/>
  <c r="DI83" i="5" s="1"/>
  <c r="BZ105" i="5"/>
  <c r="DI105" i="5" s="1"/>
  <c r="BY119" i="5"/>
  <c r="DH119" i="5" s="1"/>
  <c r="BY79" i="5"/>
  <c r="DH79" i="5" s="1"/>
  <c r="CT12" i="5"/>
  <c r="EC12" i="5" s="1"/>
  <c r="CT34" i="5"/>
  <c r="EC34" i="5" s="1"/>
  <c r="CT42" i="5"/>
  <c r="EC42" i="5" s="1"/>
  <c r="CT23" i="5"/>
  <c r="EC23" i="5" s="1"/>
  <c r="CT28" i="5"/>
  <c r="EC28" i="5" s="1"/>
  <c r="CT60" i="5"/>
  <c r="EC60" i="5" s="1"/>
  <c r="CT70" i="5"/>
  <c r="EC70" i="5" s="1"/>
  <c r="CT74" i="5"/>
  <c r="EC74" i="5" s="1"/>
  <c r="CT82" i="5"/>
  <c r="EC82" i="5" s="1"/>
  <c r="CT91" i="5"/>
  <c r="EC91" i="5" s="1"/>
  <c r="CT120" i="5"/>
  <c r="EC120" i="5" s="1"/>
  <c r="CT111" i="5"/>
  <c r="EC111" i="5" s="1"/>
  <c r="CT87" i="5"/>
  <c r="EC87" i="5" s="1"/>
  <c r="CL23" i="5"/>
  <c r="DU23" i="5" s="1"/>
  <c r="CL36" i="5"/>
  <c r="DU36" i="5" s="1"/>
  <c r="CL83" i="5"/>
  <c r="DU83" i="5" s="1"/>
  <c r="CL71" i="5"/>
  <c r="DU71" i="5" s="1"/>
  <c r="CL87" i="5"/>
  <c r="DU87" i="5" s="1"/>
  <c r="CD17" i="5"/>
  <c r="DM17" i="5" s="1"/>
  <c r="CD65" i="5"/>
  <c r="DM65" i="5" s="1"/>
  <c r="CD81" i="5"/>
  <c r="DM81" i="5" s="1"/>
  <c r="CD68" i="5"/>
  <c r="DM68" i="5" s="1"/>
  <c r="CD94" i="5"/>
  <c r="DM94" i="5" s="1"/>
  <c r="CD115" i="5"/>
  <c r="DM115" i="5" s="1"/>
  <c r="CD106" i="5"/>
  <c r="DM106" i="5" s="1"/>
  <c r="BV37" i="5"/>
  <c r="DE37" i="5" s="1"/>
  <c r="CP10" i="5"/>
  <c r="DY10" i="5" s="1"/>
  <c r="CP44" i="5"/>
  <c r="DY44" i="5" s="1"/>
  <c r="CS15" i="5"/>
  <c r="EB15" i="5" s="1"/>
  <c r="CS40" i="5"/>
  <c r="EB40" i="5" s="1"/>
  <c r="CS24" i="5"/>
  <c r="EB24" i="5" s="1"/>
  <c r="CS76" i="5"/>
  <c r="EB76" i="5" s="1"/>
  <c r="CS111" i="5"/>
  <c r="EB111" i="5" s="1"/>
  <c r="CK11" i="5"/>
  <c r="DT11" i="5" s="1"/>
  <c r="CK32" i="5"/>
  <c r="DT32" i="5" s="1"/>
  <c r="CK10" i="5"/>
  <c r="DT10" i="5" s="1"/>
  <c r="CK55" i="5"/>
  <c r="DT55" i="5" s="1"/>
  <c r="CK73" i="5"/>
  <c r="DT73" i="5" s="1"/>
  <c r="CK115" i="5"/>
  <c r="DT115" i="5" s="1"/>
  <c r="CC24" i="5"/>
  <c r="DL24" i="5" s="1"/>
  <c r="CC33" i="5"/>
  <c r="DL33" i="5" s="1"/>
  <c r="CC51" i="5"/>
  <c r="DL51" i="5" s="1"/>
  <c r="CC66" i="5"/>
  <c r="DL66" i="5" s="1"/>
  <c r="CC59" i="5"/>
  <c r="DL59" i="5" s="1"/>
  <c r="CC60" i="5"/>
  <c r="DL60" i="5" s="1"/>
  <c r="CC91" i="5"/>
  <c r="DL91" i="5" s="1"/>
  <c r="CC114" i="5"/>
  <c r="DL114" i="5" s="1"/>
  <c r="CC105" i="5"/>
  <c r="DL105" i="5" s="1"/>
  <c r="BU37" i="5"/>
  <c r="DD37" i="5" s="1"/>
  <c r="BU56" i="5"/>
  <c r="DD56" i="5" s="1"/>
  <c r="BU107" i="5"/>
  <c r="DD107" i="5" s="1"/>
  <c r="CH92" i="5"/>
  <c r="DQ92" i="5" s="1"/>
  <c r="CZ41" i="5"/>
  <c r="EI41" i="5" s="1"/>
  <c r="CZ31" i="5"/>
  <c r="EI31" i="5" s="1"/>
  <c r="CZ73" i="5"/>
  <c r="EI73" i="5" s="1"/>
  <c r="CZ84" i="5"/>
  <c r="EI84" i="5" s="1"/>
  <c r="CZ78" i="5"/>
  <c r="EI78" i="5" s="1"/>
  <c r="CZ98" i="5"/>
  <c r="EI98" i="5" s="1"/>
  <c r="CZ119" i="5"/>
  <c r="EI119" i="5" s="1"/>
  <c r="CR13" i="5"/>
  <c r="EA13" i="5" s="1"/>
  <c r="CR45" i="5"/>
  <c r="EA45" i="5" s="1"/>
  <c r="CR48" i="5"/>
  <c r="EA48" i="5" s="1"/>
  <c r="CR43" i="5"/>
  <c r="EA43" i="5" s="1"/>
  <c r="CR71" i="5"/>
  <c r="EA71" i="5" s="1"/>
  <c r="CR79" i="5"/>
  <c r="EA79" i="5" s="1"/>
  <c r="CR89" i="5"/>
  <c r="EA89" i="5" s="1"/>
  <c r="CR104" i="5"/>
  <c r="EA104" i="5" s="1"/>
  <c r="CJ12" i="5"/>
  <c r="DS12" i="5" s="1"/>
  <c r="CJ13" i="5"/>
  <c r="DS13" i="5" s="1"/>
  <c r="CJ39" i="5"/>
  <c r="DS39" i="5" s="1"/>
  <c r="CJ76" i="5"/>
  <c r="DS76" i="5" s="1"/>
  <c r="CJ79" i="5"/>
  <c r="DS79" i="5" s="1"/>
  <c r="CJ94" i="5"/>
  <c r="DS94" i="5" s="1"/>
  <c r="CJ70" i="5"/>
  <c r="DS70" i="5" s="1"/>
  <c r="CB24" i="5"/>
  <c r="DK24" i="5" s="1"/>
  <c r="CB34" i="5"/>
  <c r="DK34" i="5" s="1"/>
  <c r="CB61" i="5"/>
  <c r="DK61" i="5" s="1"/>
  <c r="CB86" i="5"/>
  <c r="DK86" i="5" s="1"/>
  <c r="CB115" i="5"/>
  <c r="DK115" i="5" s="1"/>
  <c r="BT32" i="5"/>
  <c r="DC32" i="5" s="1"/>
  <c r="BT50" i="5"/>
  <c r="DC50" i="5" s="1"/>
  <c r="BT75" i="5"/>
  <c r="DC75" i="5" s="1"/>
  <c r="BT78" i="5"/>
  <c r="DC78" i="5" s="1"/>
  <c r="BT102" i="5"/>
  <c r="DC102" i="5" s="1"/>
  <c r="BT119" i="5"/>
  <c r="DC119" i="5" s="1"/>
  <c r="CX60" i="5"/>
  <c r="EG60" i="5" s="1"/>
  <c r="CX92" i="5"/>
  <c r="EG92" i="5" s="1"/>
  <c r="CX85" i="5"/>
  <c r="EG85" i="5" s="1"/>
  <c r="CY14" i="5"/>
  <c r="EH14" i="5" s="1"/>
  <c r="CY39" i="5"/>
  <c r="EH39" i="5" s="1"/>
  <c r="CY47" i="5"/>
  <c r="EH47" i="5" s="1"/>
  <c r="CY95" i="5"/>
  <c r="EH95" i="5" s="1"/>
  <c r="CY90" i="5"/>
  <c r="EH90" i="5" s="1"/>
  <c r="CY85" i="5"/>
  <c r="EH85" i="5" s="1"/>
  <c r="CQ32" i="5"/>
  <c r="DZ32" i="5" s="1"/>
  <c r="CQ35" i="5"/>
  <c r="DZ35" i="5" s="1"/>
  <c r="CQ51" i="5"/>
  <c r="DZ51" i="5" s="1"/>
  <c r="CQ46" i="5"/>
  <c r="DZ46" i="5" s="1"/>
  <c r="CQ52" i="5"/>
  <c r="DZ52" i="5" s="1"/>
  <c r="CQ65" i="5"/>
  <c r="DZ65" i="5" s="1"/>
  <c r="CQ77" i="5"/>
  <c r="DZ77" i="5" s="1"/>
  <c r="CQ72" i="5"/>
  <c r="DZ72" i="5" s="1"/>
  <c r="CQ83" i="5"/>
  <c r="DZ83" i="5" s="1"/>
  <c r="CQ107" i="5"/>
  <c r="DZ107" i="5" s="1"/>
  <c r="CI15" i="5"/>
  <c r="DR15" i="5" s="1"/>
  <c r="CI27" i="5"/>
  <c r="DR27" i="5" s="1"/>
  <c r="CI48" i="5"/>
  <c r="DR48" i="5" s="1"/>
  <c r="CI29" i="5"/>
  <c r="DR29" i="5" s="1"/>
  <c r="CI52" i="5"/>
  <c r="DR52" i="5" s="1"/>
  <c r="CI37" i="5"/>
  <c r="DR37" i="5" s="1"/>
  <c r="CI74" i="5"/>
  <c r="DR74" i="5" s="1"/>
  <c r="CI78" i="5"/>
  <c r="DR78" i="5" s="1"/>
  <c r="CI81" i="5"/>
  <c r="DR81" i="5" s="1"/>
  <c r="CI110" i="5"/>
  <c r="DR110" i="5" s="1"/>
  <c r="CI118" i="5"/>
  <c r="DR118" i="5" s="1"/>
  <c r="CA12" i="5"/>
  <c r="DJ12" i="5" s="1"/>
  <c r="CA13" i="5"/>
  <c r="DJ13" i="5" s="1"/>
  <c r="CA38" i="5"/>
  <c r="DJ38" i="5" s="1"/>
  <c r="CA33" i="5"/>
  <c r="DJ33" i="5" s="1"/>
  <c r="CA28" i="5"/>
  <c r="DJ28" i="5" s="1"/>
  <c r="CA79" i="5"/>
  <c r="DJ79" i="5" s="1"/>
  <c r="CA50" i="5"/>
  <c r="DJ50" i="5" s="1"/>
  <c r="CA89" i="5"/>
  <c r="DJ89" i="5" s="1"/>
  <c r="CA110" i="5"/>
  <c r="DJ110" i="5" s="1"/>
  <c r="CA100" i="5"/>
  <c r="DJ100" i="5" s="1"/>
  <c r="CA119" i="5"/>
  <c r="DJ119" i="5" s="1"/>
  <c r="CA78" i="5"/>
  <c r="DJ78" i="5" s="1"/>
  <c r="BS9" i="5"/>
  <c r="DB9" i="5" s="1"/>
  <c r="BS24" i="5"/>
  <c r="DB24" i="5" s="1"/>
  <c r="BS30" i="5"/>
  <c r="DB30" i="5" s="1"/>
  <c r="BS52" i="5"/>
  <c r="DB52" i="5" s="1"/>
  <c r="BS84" i="5"/>
  <c r="DB84" i="5" s="1"/>
  <c r="BS69" i="5"/>
  <c r="DB69" i="5" s="1"/>
  <c r="BS77" i="5"/>
  <c r="DB77" i="5" s="1"/>
  <c r="BS83" i="5"/>
  <c r="DB83" i="5" s="1"/>
  <c r="BS90" i="5"/>
  <c r="DB90" i="5" s="1"/>
  <c r="BS102" i="5"/>
  <c r="DB102" i="5" s="1"/>
  <c r="BS70" i="5"/>
  <c r="DB70" i="5" s="1"/>
  <c r="BS96" i="5"/>
  <c r="DB96" i="5" s="1"/>
  <c r="BS101" i="5"/>
  <c r="DB101" i="5" s="1"/>
  <c r="BR30" i="5"/>
  <c r="DA30" i="5" s="1"/>
  <c r="BR10" i="5"/>
  <c r="DA10" i="5" s="1"/>
  <c r="CO17" i="5"/>
  <c r="DX17" i="5" s="1"/>
  <c r="CO119" i="5"/>
  <c r="DX119" i="5" s="1"/>
  <c r="BS19" i="5"/>
  <c r="DB19" i="5" s="1"/>
  <c r="BY20" i="5"/>
  <c r="DH20" i="5" s="1"/>
  <c r="BY34" i="5"/>
  <c r="DH34" i="5" s="1"/>
  <c r="BY47" i="5"/>
  <c r="DH47" i="5" s="1"/>
  <c r="BY84" i="5"/>
  <c r="DH84" i="5" s="1"/>
  <c r="BY104" i="5"/>
  <c r="DH104" i="5" s="1"/>
  <c r="BY93" i="5"/>
  <c r="DH93" i="5" s="1"/>
  <c r="BY97" i="5"/>
  <c r="DH97" i="5" s="1"/>
  <c r="BY75" i="5"/>
  <c r="DH75" i="5" s="1"/>
  <c r="CV115" i="5"/>
  <c r="EE115" i="5" s="1"/>
  <c r="CV120" i="5"/>
  <c r="EE120" i="5" s="1"/>
  <c r="BX45" i="5"/>
  <c r="DG45" i="5" s="1"/>
  <c r="BX89" i="5"/>
  <c r="DG89" i="5" s="1"/>
  <c r="BX118" i="5"/>
  <c r="DG118" i="5" s="1"/>
  <c r="CA17" i="5"/>
  <c r="DJ17" i="5" s="1"/>
  <c r="CA47" i="5"/>
  <c r="DJ47" i="5" s="1"/>
  <c r="CA70" i="5"/>
  <c r="DJ70" i="5" s="1"/>
  <c r="CA74" i="5"/>
  <c r="DJ74" i="5" s="1"/>
  <c r="CA83" i="5"/>
  <c r="DJ83" i="5" s="1"/>
  <c r="CA84" i="5"/>
  <c r="DJ84" i="5" s="1"/>
  <c r="CA93" i="5"/>
  <c r="DJ93" i="5" s="1"/>
  <c r="CA96" i="5"/>
  <c r="DJ96" i="5" s="1"/>
  <c r="CH10" i="5"/>
  <c r="DQ10" i="5" s="1"/>
  <c r="CH44" i="5"/>
  <c r="DQ44" i="5" s="1"/>
  <c r="CH79" i="5"/>
  <c r="DQ79" i="5" s="1"/>
  <c r="CH74" i="5"/>
  <c r="DQ74" i="5" s="1"/>
  <c r="CH89" i="5"/>
  <c r="DQ89" i="5" s="1"/>
  <c r="CG11" i="5"/>
  <c r="DP11" i="5" s="1"/>
  <c r="CG16" i="5"/>
  <c r="DP16" i="5" s="1"/>
  <c r="CG74" i="5"/>
  <c r="DP74" i="5" s="1"/>
  <c r="CG109" i="5"/>
  <c r="DP109" i="5" s="1"/>
  <c r="CU15" i="5"/>
  <c r="ED15" i="5" s="1"/>
  <c r="CU17" i="5"/>
  <c r="ED17" i="5" s="1"/>
  <c r="CU21" i="5"/>
  <c r="ED21" i="5" s="1"/>
  <c r="CU62" i="5"/>
  <c r="ED62" i="5" s="1"/>
  <c r="CU89" i="5"/>
  <c r="ED89" i="5" s="1"/>
  <c r="CU64" i="5"/>
  <c r="ED64" i="5" s="1"/>
  <c r="CM11" i="5"/>
  <c r="DV11" i="5" s="1"/>
  <c r="CM15" i="5"/>
  <c r="DV15" i="5" s="1"/>
  <c r="CM23" i="5"/>
  <c r="DV23" i="5" s="1"/>
  <c r="CM25" i="5"/>
  <c r="DV25" i="5" s="1"/>
  <c r="CM18" i="5"/>
  <c r="DV18" i="5" s="1"/>
  <c r="CM31" i="5"/>
  <c r="DV31" i="5" s="1"/>
  <c r="CM39" i="5"/>
  <c r="DV39" i="5" s="1"/>
  <c r="CM52" i="5"/>
  <c r="DV52" i="5" s="1"/>
  <c r="CM57" i="5"/>
  <c r="DV57" i="5" s="1"/>
  <c r="CM38" i="5"/>
  <c r="DV38" i="5" s="1"/>
  <c r="CM63" i="5"/>
  <c r="DV63" i="5" s="1"/>
  <c r="CM77" i="5"/>
  <c r="DV77" i="5" s="1"/>
  <c r="CM104" i="5"/>
  <c r="DV104" i="5" s="1"/>
  <c r="CM106" i="5"/>
  <c r="DV106" i="5" s="1"/>
  <c r="CM113" i="5"/>
  <c r="DV113" i="5" s="1"/>
  <c r="CE14" i="5"/>
  <c r="DN14" i="5" s="1"/>
  <c r="CE15" i="5"/>
  <c r="DN15" i="5" s="1"/>
  <c r="CE13" i="5"/>
  <c r="DN13" i="5" s="1"/>
  <c r="CE33" i="5"/>
  <c r="DN33" i="5" s="1"/>
  <c r="CE24" i="5"/>
  <c r="DN24" i="5" s="1"/>
  <c r="CE36" i="5"/>
  <c r="DN36" i="5" s="1"/>
  <c r="CE39" i="5"/>
  <c r="DN39" i="5" s="1"/>
  <c r="CE51" i="5"/>
  <c r="DN51" i="5" s="1"/>
  <c r="CE61" i="5"/>
  <c r="DN61" i="5" s="1"/>
  <c r="CE82" i="5"/>
  <c r="DN82" i="5" s="1"/>
  <c r="CE65" i="5"/>
  <c r="DN65" i="5" s="1"/>
  <c r="CE75" i="5"/>
  <c r="DN75" i="5" s="1"/>
  <c r="CE76" i="5"/>
  <c r="DN76" i="5" s="1"/>
  <c r="CE86" i="5"/>
  <c r="DN86" i="5" s="1"/>
  <c r="CE94" i="5"/>
  <c r="DN94" i="5" s="1"/>
  <c r="CE87" i="5"/>
  <c r="DN87" i="5" s="1"/>
  <c r="CE73" i="5"/>
  <c r="DN73" i="5" s="1"/>
  <c r="CE92" i="5"/>
  <c r="DN92" i="5" s="1"/>
  <c r="CE71" i="5"/>
  <c r="DN71" i="5" s="1"/>
  <c r="CE117" i="5"/>
  <c r="DN117" i="5" s="1"/>
  <c r="BW68" i="5"/>
  <c r="DF68" i="5" s="1"/>
  <c r="BW80" i="5"/>
  <c r="DF80" i="5" s="1"/>
  <c r="CY26" i="5"/>
  <c r="EH26" i="5" s="1"/>
  <c r="CY38" i="5"/>
  <c r="EH38" i="5" s="1"/>
  <c r="CY76" i="5"/>
  <c r="EH76" i="5" s="1"/>
  <c r="CY59" i="5"/>
  <c r="EH59" i="5" s="1"/>
  <c r="CY75" i="5"/>
  <c r="EH75" i="5" s="1"/>
  <c r="CY54" i="5"/>
  <c r="EH54" i="5" s="1"/>
  <c r="CY89" i="5"/>
  <c r="EH89" i="5" s="1"/>
  <c r="CY79" i="5"/>
  <c r="EH79" i="5" s="1"/>
  <c r="CY106" i="5"/>
  <c r="EH106" i="5" s="1"/>
  <c r="CY118" i="5"/>
  <c r="EH118" i="5" s="1"/>
  <c r="CY113" i="5"/>
  <c r="EH113" i="5" s="1"/>
  <c r="CP37" i="5"/>
  <c r="DY37" i="5" s="1"/>
  <c r="CP32" i="5"/>
  <c r="DY32" i="5" s="1"/>
  <c r="CP61" i="5"/>
  <c r="DY61" i="5" s="1"/>
  <c r="CP92" i="5"/>
  <c r="DY92" i="5" s="1"/>
  <c r="CP89" i="5"/>
  <c r="DY89" i="5" s="1"/>
  <c r="CP99" i="5"/>
  <c r="DY99" i="5" s="1"/>
  <c r="CP116" i="5"/>
  <c r="DY116" i="5" s="1"/>
  <c r="CP105" i="5"/>
  <c r="DY105" i="5" s="1"/>
  <c r="CP90" i="5"/>
  <c r="DY90" i="5" s="1"/>
  <c r="CD12" i="5"/>
  <c r="DM12" i="5" s="1"/>
  <c r="CD24" i="5"/>
  <c r="DM24" i="5" s="1"/>
  <c r="CD29" i="5"/>
  <c r="DM29" i="5" s="1"/>
  <c r="CD55" i="5"/>
  <c r="DM55" i="5" s="1"/>
  <c r="CD52" i="5"/>
  <c r="DM52" i="5" s="1"/>
  <c r="CD64" i="5"/>
  <c r="DM64" i="5" s="1"/>
  <c r="CD45" i="5"/>
  <c r="DM45" i="5" s="1"/>
  <c r="CD76" i="5"/>
  <c r="DM76" i="5" s="1"/>
  <c r="CD87" i="5"/>
  <c r="DM87" i="5" s="1"/>
  <c r="CD96" i="5"/>
  <c r="DM96" i="5" s="1"/>
  <c r="CD89" i="5"/>
  <c r="DM89" i="5" s="1"/>
  <c r="CD119" i="5"/>
  <c r="DM119" i="5" s="1"/>
  <c r="CD116" i="5"/>
  <c r="DM116" i="5" s="1"/>
  <c r="CX9" i="5"/>
  <c r="EG9" i="5" s="1"/>
  <c r="CX28" i="5"/>
  <c r="EG28" i="5" s="1"/>
  <c r="CX36" i="5"/>
  <c r="EG36" i="5" s="1"/>
  <c r="CX45" i="5"/>
  <c r="EG45" i="5" s="1"/>
  <c r="CX18" i="5"/>
  <c r="EG18" i="5" s="1"/>
  <c r="CX64" i="5"/>
  <c r="EG64" i="5" s="1"/>
  <c r="CX77" i="5"/>
  <c r="EG77" i="5" s="1"/>
  <c r="CX113" i="5"/>
  <c r="EG113" i="5" s="1"/>
  <c r="CX119" i="5"/>
  <c r="EG119" i="5" s="1"/>
  <c r="BV19" i="5"/>
  <c r="DE19" i="5" s="1"/>
  <c r="BV39" i="5"/>
  <c r="DE39" i="5" s="1"/>
  <c r="BV104" i="5"/>
  <c r="DE104" i="5" s="1"/>
  <c r="BV103" i="5"/>
  <c r="DE103" i="5" s="1"/>
  <c r="CC26" i="5"/>
  <c r="DL26" i="5" s="1"/>
  <c r="CC56" i="5"/>
  <c r="DL56" i="5" s="1"/>
  <c r="CC70" i="5"/>
  <c r="DL70" i="5" s="1"/>
  <c r="CC84" i="5"/>
  <c r="DL84" i="5" s="1"/>
  <c r="CC88" i="5"/>
  <c r="DL88" i="5" s="1"/>
  <c r="CC92" i="5"/>
  <c r="DL92" i="5" s="1"/>
  <c r="CC118" i="5"/>
  <c r="DL118" i="5" s="1"/>
  <c r="CC119" i="5"/>
  <c r="DL119" i="5" s="1"/>
  <c r="CI32" i="5"/>
  <c r="DR32" i="5" s="1"/>
  <c r="CI33" i="5"/>
  <c r="DR33" i="5" s="1"/>
  <c r="CI58" i="5"/>
  <c r="DR58" i="5" s="1"/>
  <c r="CI73" i="5"/>
  <c r="DR73" i="5" s="1"/>
  <c r="CI97" i="5"/>
  <c r="DR97" i="5" s="1"/>
  <c r="CI111" i="5"/>
  <c r="DR111" i="5" s="1"/>
  <c r="BZ12" i="5"/>
  <c r="DI12" i="5" s="1"/>
  <c r="BZ24" i="5"/>
  <c r="DI24" i="5" s="1"/>
  <c r="BZ19" i="5"/>
  <c r="DI19" i="5" s="1"/>
  <c r="BZ40" i="5"/>
  <c r="DI40" i="5" s="1"/>
  <c r="BZ45" i="5"/>
  <c r="DI45" i="5" s="1"/>
  <c r="BZ39" i="5"/>
  <c r="DI39" i="5" s="1"/>
  <c r="BZ50" i="5"/>
  <c r="DI50" i="5" s="1"/>
  <c r="BZ70" i="5"/>
  <c r="DI70" i="5" s="1"/>
  <c r="BZ57" i="5"/>
  <c r="DI57" i="5" s="1"/>
  <c r="BZ94" i="5"/>
  <c r="DI94" i="5" s="1"/>
  <c r="BZ98" i="5"/>
  <c r="DI98" i="5" s="1"/>
  <c r="BZ107" i="5"/>
  <c r="DI107" i="5" s="1"/>
  <c r="BZ90" i="5"/>
  <c r="DI90" i="5" s="1"/>
  <c r="BZ86" i="5"/>
  <c r="DI86" i="5" s="1"/>
  <c r="BZ97" i="5"/>
  <c r="DI97" i="5" s="1"/>
  <c r="BZ99" i="5"/>
  <c r="DI99" i="5" s="1"/>
  <c r="BZ106" i="5"/>
  <c r="DI106" i="5" s="1"/>
  <c r="BZ104" i="5"/>
  <c r="DI104" i="5" s="1"/>
  <c r="BZ108" i="5"/>
  <c r="DI108" i="5" s="1"/>
  <c r="BZ118" i="5"/>
  <c r="DI118" i="5" s="1"/>
  <c r="CT11" i="5"/>
  <c r="EC11" i="5" s="1"/>
  <c r="CT8" i="5"/>
  <c r="EC8" i="5" s="1"/>
  <c r="CT22" i="5"/>
  <c r="EC22" i="5" s="1"/>
  <c r="CT20" i="5"/>
  <c r="EC20" i="5" s="1"/>
  <c r="CT19" i="5"/>
  <c r="EC19" i="5" s="1"/>
  <c r="CT39" i="5"/>
  <c r="EC39" i="5" s="1"/>
  <c r="CT36" i="5"/>
  <c r="EC36" i="5" s="1"/>
  <c r="CT38" i="5"/>
  <c r="EC38" i="5" s="1"/>
  <c r="CT46" i="5"/>
  <c r="EC46" i="5" s="1"/>
  <c r="CT50" i="5"/>
  <c r="EC50" i="5" s="1"/>
  <c r="CT47" i="5"/>
  <c r="EC47" i="5" s="1"/>
  <c r="CT57" i="5"/>
  <c r="EC57" i="5" s="1"/>
  <c r="CT45" i="5"/>
  <c r="EC45" i="5" s="1"/>
  <c r="CT59" i="5"/>
  <c r="EC59" i="5" s="1"/>
  <c r="CT54" i="5"/>
  <c r="EC54" i="5" s="1"/>
  <c r="CT49" i="5"/>
  <c r="EC49" i="5" s="1"/>
  <c r="CT71" i="5"/>
  <c r="EC71" i="5" s="1"/>
  <c r="CT37" i="5"/>
  <c r="EC37" i="5" s="1"/>
  <c r="CT90" i="5"/>
  <c r="EC90" i="5" s="1"/>
  <c r="CT81" i="5"/>
  <c r="EC81" i="5" s="1"/>
  <c r="CT83" i="5"/>
  <c r="EC83" i="5" s="1"/>
  <c r="CT62" i="5"/>
  <c r="EC62" i="5" s="1"/>
  <c r="CT76" i="5"/>
  <c r="EC76" i="5" s="1"/>
  <c r="CT93" i="5"/>
  <c r="EC93" i="5" s="1"/>
  <c r="CT96" i="5"/>
  <c r="EC96" i="5" s="1"/>
  <c r="CT89" i="5"/>
  <c r="EC89" i="5" s="1"/>
  <c r="CT85" i="5"/>
  <c r="EC85" i="5" s="1"/>
  <c r="CT107" i="5"/>
  <c r="EC107" i="5" s="1"/>
  <c r="CT114" i="5"/>
  <c r="EC114" i="5" s="1"/>
  <c r="CT110" i="5"/>
  <c r="EC110" i="5" s="1"/>
  <c r="CT117" i="5"/>
  <c r="EC117" i="5" s="1"/>
  <c r="CL15" i="5"/>
  <c r="DU15" i="5" s="1"/>
  <c r="CL19" i="5"/>
  <c r="DU19" i="5" s="1"/>
  <c r="CL41" i="5"/>
  <c r="DU41" i="5" s="1"/>
  <c r="CL59" i="5"/>
  <c r="DU59" i="5" s="1"/>
  <c r="CL43" i="5"/>
  <c r="DU43" i="5" s="1"/>
  <c r="CL97" i="5"/>
  <c r="DU97" i="5" s="1"/>
  <c r="CL115" i="5"/>
  <c r="DU115" i="5" s="1"/>
  <c r="CS19" i="5"/>
  <c r="EB19" i="5" s="1"/>
  <c r="CS25" i="5"/>
  <c r="EB25" i="5" s="1"/>
  <c r="CS41" i="5"/>
  <c r="EB41" i="5" s="1"/>
  <c r="CS51" i="5"/>
  <c r="EB51" i="5" s="1"/>
  <c r="CS55" i="5"/>
  <c r="EB55" i="5" s="1"/>
  <c r="CS59" i="5"/>
  <c r="EB59" i="5" s="1"/>
  <c r="CS38" i="5"/>
  <c r="EB38" i="5" s="1"/>
  <c r="CS44" i="5"/>
  <c r="EB44" i="5" s="1"/>
  <c r="CS48" i="5"/>
  <c r="EB48" i="5" s="1"/>
  <c r="CS70" i="5"/>
  <c r="EB70" i="5" s="1"/>
  <c r="CS82" i="5"/>
  <c r="EB82" i="5" s="1"/>
  <c r="CS74" i="5"/>
  <c r="EB74" i="5" s="1"/>
  <c r="CS83" i="5"/>
  <c r="EB83" i="5" s="1"/>
  <c r="CS92" i="5"/>
  <c r="EB92" i="5" s="1"/>
  <c r="CS103" i="5"/>
  <c r="EB103" i="5" s="1"/>
  <c r="CS101" i="5"/>
  <c r="EB101" i="5" s="1"/>
  <c r="CS109" i="5"/>
  <c r="EB109" i="5" s="1"/>
  <c r="CS112" i="5"/>
  <c r="EB112" i="5" s="1"/>
  <c r="CK16" i="5"/>
  <c r="DT16" i="5" s="1"/>
  <c r="CK30" i="5"/>
  <c r="DT30" i="5" s="1"/>
  <c r="CK25" i="5"/>
  <c r="DT25" i="5" s="1"/>
  <c r="CK57" i="5"/>
  <c r="DT57" i="5" s="1"/>
  <c r="CK54" i="5"/>
  <c r="DT54" i="5" s="1"/>
  <c r="CK69" i="5"/>
  <c r="DT69" i="5" s="1"/>
  <c r="CK88" i="5"/>
  <c r="DT88" i="5" s="1"/>
  <c r="CK89" i="5"/>
  <c r="DT89" i="5" s="1"/>
  <c r="CK118" i="5"/>
  <c r="DT118" i="5" s="1"/>
  <c r="BU34" i="5"/>
  <c r="DD34" i="5" s="1"/>
  <c r="BU58" i="5"/>
  <c r="DD58" i="5" s="1"/>
  <c r="BU43" i="5"/>
  <c r="DD43" i="5" s="1"/>
  <c r="BU62" i="5"/>
  <c r="DD62" i="5" s="1"/>
  <c r="BU94" i="5"/>
  <c r="DD94" i="5" s="1"/>
  <c r="BU74" i="5"/>
  <c r="DD74" i="5" s="1"/>
  <c r="BU111" i="5"/>
  <c r="DD111" i="5" s="1"/>
  <c r="CZ18" i="5"/>
  <c r="EI18" i="5" s="1"/>
  <c r="CZ46" i="5"/>
  <c r="EI46" i="5" s="1"/>
  <c r="CZ57" i="5"/>
  <c r="EI57" i="5" s="1"/>
  <c r="CZ96" i="5"/>
  <c r="EI96" i="5" s="1"/>
  <c r="CZ62" i="5"/>
  <c r="EI62" i="5" s="1"/>
  <c r="CZ115" i="5"/>
  <c r="EI115" i="5" s="1"/>
  <c r="CZ110" i="5"/>
  <c r="EI110" i="5" s="1"/>
  <c r="CR9" i="5"/>
  <c r="EA9" i="5" s="1"/>
  <c r="CR14" i="5"/>
  <c r="EA14" i="5" s="1"/>
  <c r="CR33" i="5"/>
  <c r="EA33" i="5" s="1"/>
  <c r="CR10" i="5"/>
  <c r="EA10" i="5" s="1"/>
  <c r="CR37" i="5"/>
  <c r="EA37" i="5" s="1"/>
  <c r="CR26" i="5"/>
  <c r="EA26" i="5" s="1"/>
  <c r="CR35" i="5"/>
  <c r="EA35" i="5" s="1"/>
  <c r="CR39" i="5"/>
  <c r="EA39" i="5" s="1"/>
  <c r="CR34" i="5"/>
  <c r="EA34" i="5" s="1"/>
  <c r="CR54" i="5"/>
  <c r="EA54" i="5" s="1"/>
  <c r="CR61" i="5"/>
  <c r="EA61" i="5" s="1"/>
  <c r="CR62" i="5"/>
  <c r="EA62" i="5" s="1"/>
  <c r="CR69" i="5"/>
  <c r="EA69" i="5" s="1"/>
  <c r="CR81" i="5"/>
  <c r="EA81" i="5" s="1"/>
  <c r="CR106" i="5"/>
  <c r="EA106" i="5" s="1"/>
  <c r="CR90" i="5"/>
  <c r="EA90" i="5" s="1"/>
  <c r="CR93" i="5"/>
  <c r="EA93" i="5" s="1"/>
  <c r="CR110" i="5"/>
  <c r="EA110" i="5" s="1"/>
  <c r="CR114" i="5"/>
  <c r="EA114" i="5" s="1"/>
  <c r="CJ15" i="5"/>
  <c r="DS15" i="5" s="1"/>
  <c r="CJ20" i="5"/>
  <c r="DS20" i="5" s="1"/>
  <c r="CJ10" i="5"/>
  <c r="DS10" i="5" s="1"/>
  <c r="CJ30" i="5"/>
  <c r="DS30" i="5" s="1"/>
  <c r="CJ34" i="5"/>
  <c r="DS34" i="5" s="1"/>
  <c r="CJ27" i="5"/>
  <c r="DS27" i="5" s="1"/>
  <c r="CJ59" i="5"/>
  <c r="DS59" i="5" s="1"/>
  <c r="CJ67" i="5"/>
  <c r="DS67" i="5" s="1"/>
  <c r="CJ87" i="5"/>
  <c r="DS87" i="5" s="1"/>
  <c r="CJ91" i="5"/>
  <c r="DS91" i="5" s="1"/>
  <c r="CJ62" i="5"/>
  <c r="DS62" i="5" s="1"/>
  <c r="CJ98" i="5"/>
  <c r="DS98" i="5" s="1"/>
  <c r="CJ116" i="5"/>
  <c r="DS116" i="5" s="1"/>
  <c r="CJ113" i="5"/>
  <c r="DS113" i="5" s="1"/>
  <c r="CJ117" i="5"/>
  <c r="DS117" i="5" s="1"/>
  <c r="CJ82" i="5"/>
  <c r="DS82" i="5" s="1"/>
  <c r="CB11" i="5"/>
  <c r="DK11" i="5" s="1"/>
  <c r="CB8" i="5"/>
  <c r="DK8" i="5" s="1"/>
  <c r="CB12" i="5"/>
  <c r="DK12" i="5" s="1"/>
  <c r="CB20" i="5"/>
  <c r="DK20" i="5" s="1"/>
  <c r="CB32" i="5"/>
  <c r="DK32" i="5" s="1"/>
  <c r="CB59" i="5"/>
  <c r="DK59" i="5" s="1"/>
  <c r="CB88" i="5"/>
  <c r="DK88" i="5" s="1"/>
  <c r="CB81" i="5"/>
  <c r="DK81" i="5" s="1"/>
  <c r="CB93" i="5"/>
  <c r="DK93" i="5" s="1"/>
  <c r="CB85" i="5"/>
  <c r="DK85" i="5" s="1"/>
  <c r="CB118" i="5"/>
  <c r="DK118" i="5" s="1"/>
  <c r="BT12" i="5"/>
  <c r="DC12" i="5" s="1"/>
  <c r="BT26" i="5"/>
  <c r="DC26" i="5" s="1"/>
  <c r="BT38" i="5"/>
  <c r="DC38" i="5" s="1"/>
  <c r="BT60" i="5"/>
  <c r="DC60" i="5" s="1"/>
  <c r="BT59" i="5"/>
  <c r="DC59" i="5" s="1"/>
  <c r="BT71" i="5"/>
  <c r="DC71" i="5" s="1"/>
  <c r="BT66" i="5"/>
  <c r="DC66" i="5" s="1"/>
  <c r="BT62" i="5"/>
  <c r="DC62" i="5" s="1"/>
  <c r="BT79" i="5"/>
  <c r="DC79" i="5" s="1"/>
  <c r="BT91" i="5"/>
  <c r="DC91" i="5" s="1"/>
  <c r="BT90" i="5"/>
  <c r="DC90" i="5" s="1"/>
  <c r="BT107" i="5"/>
  <c r="DC107" i="5" s="1"/>
  <c r="BT115" i="5"/>
  <c r="DC115" i="5" s="1"/>
  <c r="BY103" i="5"/>
  <c r="DH103" i="5" s="1"/>
  <c r="CQ39" i="5"/>
  <c r="DZ39" i="5" s="1"/>
  <c r="CN97" i="5"/>
  <c r="DW97" i="5" s="1"/>
  <c r="BX39" i="5"/>
  <c r="DG39" i="5" s="1"/>
  <c r="CY53" i="5"/>
  <c r="EH53" i="5" s="1"/>
  <c r="CE9" i="5"/>
  <c r="DN9" i="5" s="1"/>
  <c r="CM97" i="5"/>
  <c r="DV97" i="5" s="1"/>
  <c r="CE16" i="5"/>
  <c r="DN16" i="5" s="1"/>
  <c r="CQ45" i="5"/>
  <c r="DZ45" i="5" s="1"/>
  <c r="CQ60" i="5"/>
  <c r="DZ60" i="5" s="1"/>
  <c r="CQ98" i="5"/>
  <c r="DZ98" i="5" s="1"/>
  <c r="CQ104" i="5"/>
  <c r="DZ104" i="5" s="1"/>
  <c r="CA29" i="5"/>
  <c r="DJ29" i="5" s="1"/>
  <c r="CA57" i="5"/>
  <c r="DJ57" i="5" s="1"/>
  <c r="CA63" i="5"/>
  <c r="DJ63" i="5" s="1"/>
  <c r="CA95" i="5"/>
  <c r="DJ95" i="5" s="1"/>
  <c r="BS27" i="5"/>
  <c r="DB27" i="5" s="1"/>
  <c r="BS44" i="5"/>
  <c r="DB44" i="5" s="1"/>
  <c r="BS38" i="5"/>
  <c r="DB38" i="5" s="1"/>
  <c r="BS48" i="5"/>
  <c r="DB48" i="5" s="1"/>
  <c r="BS73" i="5"/>
  <c r="DB73" i="5" s="1"/>
  <c r="CM8" i="5"/>
  <c r="DV8" i="5" s="1"/>
  <c r="CP54" i="5"/>
  <c r="DY54" i="5" s="1"/>
  <c r="CH23" i="5"/>
  <c r="DQ23" i="5" s="1"/>
  <c r="BZ81" i="5"/>
  <c r="DI81" i="5" s="1"/>
  <c r="CW22" i="5"/>
  <c r="EF22" i="5" s="1"/>
  <c r="CW113" i="5"/>
  <c r="EF113" i="5" s="1"/>
  <c r="CO97" i="5"/>
  <c r="DX97" i="5" s="1"/>
  <c r="BY17" i="5"/>
  <c r="DH17" i="5" s="1"/>
  <c r="BY59" i="5"/>
  <c r="DH59" i="5" s="1"/>
  <c r="BY61" i="5"/>
  <c r="DH61" i="5" s="1"/>
  <c r="BY83" i="5"/>
  <c r="DH83" i="5" s="1"/>
  <c r="BY112" i="5"/>
  <c r="DH112" i="5" s="1"/>
  <c r="CQ40" i="5"/>
  <c r="DZ40" i="5" s="1"/>
  <c r="BY115" i="5"/>
  <c r="DH115" i="5" s="1"/>
  <c r="CA31" i="5"/>
  <c r="DJ31" i="5" s="1"/>
  <c r="CN76" i="5"/>
  <c r="DW76" i="5" s="1"/>
  <c r="BS18" i="5"/>
  <c r="DB18" i="5" s="1"/>
  <c r="CU97" i="5"/>
  <c r="ED97" i="5" s="1"/>
  <c r="CE18" i="5"/>
  <c r="DN18" i="5" s="1"/>
  <c r="CE53" i="5"/>
  <c r="DN53" i="5" s="1"/>
  <c r="BU66" i="5"/>
  <c r="DD66" i="5" s="1"/>
  <c r="BU86" i="5"/>
  <c r="DD86" i="5" s="1"/>
  <c r="CZ40" i="5"/>
  <c r="EI40" i="5" s="1"/>
  <c r="CR19" i="5"/>
  <c r="EA19" i="5" s="1"/>
  <c r="CR78" i="5"/>
  <c r="EA78" i="5" s="1"/>
  <c r="CR118" i="5"/>
  <c r="EA118" i="5" s="1"/>
  <c r="CJ11" i="5"/>
  <c r="DS11" i="5" s="1"/>
  <c r="CB19" i="5"/>
  <c r="DK19" i="5" s="1"/>
  <c r="CB58" i="5"/>
  <c r="DK58" i="5" s="1"/>
  <c r="CB89" i="5"/>
  <c r="DK89" i="5" s="1"/>
  <c r="CB119" i="5"/>
  <c r="DK119" i="5" s="1"/>
  <c r="CB87" i="5"/>
  <c r="DK87" i="5" s="1"/>
  <c r="BU93" i="5"/>
  <c r="DD93" i="5" s="1"/>
  <c r="CT32" i="5"/>
  <c r="EC32" i="5" s="1"/>
  <c r="CK108" i="5"/>
  <c r="DT108" i="5" s="1"/>
  <c r="CC21" i="5"/>
  <c r="DL21" i="5" s="1"/>
  <c r="CQ28" i="5"/>
  <c r="DZ28" i="5" s="1"/>
  <c r="CQ12" i="5"/>
  <c r="DZ12" i="5" s="1"/>
  <c r="CQ56" i="5"/>
  <c r="DZ56" i="5" s="1"/>
  <c r="CQ71" i="5"/>
  <c r="DZ71" i="5" s="1"/>
  <c r="CA16" i="5"/>
  <c r="DJ16" i="5" s="1"/>
  <c r="BS21" i="5"/>
  <c r="DB21" i="5" s="1"/>
  <c r="BS62" i="5"/>
  <c r="DB62" i="5" s="1"/>
  <c r="BS100" i="5"/>
  <c r="DB100" i="5" s="1"/>
  <c r="BS112" i="5"/>
  <c r="DB112" i="5" s="1"/>
  <c r="CP29" i="5"/>
  <c r="DY29" i="5" s="1"/>
  <c r="BZ10" i="5"/>
  <c r="DI10" i="5" s="1"/>
  <c r="CW48" i="5"/>
  <c r="EF48" i="5" s="1"/>
  <c r="CG47" i="5"/>
  <c r="DP47" i="5" s="1"/>
  <c r="BY31" i="5"/>
  <c r="DH31" i="5" s="1"/>
  <c r="BY43" i="5"/>
  <c r="DH43" i="5" s="1"/>
  <c r="CV40" i="5"/>
  <c r="EE40" i="5" s="1"/>
  <c r="CF53" i="5"/>
  <c r="DO53" i="5" s="1"/>
  <c r="BX15" i="5"/>
  <c r="DG15" i="5" s="1"/>
  <c r="BX12" i="5"/>
  <c r="DG12" i="5" s="1"/>
  <c r="CU51" i="5"/>
  <c r="ED51" i="5" s="1"/>
  <c r="CM35" i="5"/>
  <c r="DV35" i="5" s="1"/>
  <c r="CM86" i="5"/>
  <c r="DV86" i="5" s="1"/>
  <c r="CE21" i="5"/>
  <c r="DN21" i="5" s="1"/>
  <c r="CE22" i="5"/>
  <c r="DN22" i="5" s="1"/>
  <c r="CE10" i="5"/>
  <c r="DN10" i="5" s="1"/>
  <c r="CE45" i="5"/>
  <c r="DN45" i="5" s="1"/>
  <c r="CL79" i="5"/>
  <c r="DU79" i="5" s="1"/>
  <c r="CD34" i="5"/>
  <c r="DM34" i="5" s="1"/>
  <c r="BV42" i="5"/>
  <c r="DE42" i="5" s="1"/>
  <c r="C2" i="5"/>
  <c r="C3" i="5"/>
  <c r="B3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8" i="5"/>
  <c r="D8" i="5" l="1"/>
  <c r="CZ8" i="5"/>
  <c r="EI8" i="5" s="1"/>
  <c r="CC8" i="5"/>
  <c r="DL8" i="5" s="1"/>
  <c r="CH8" i="5"/>
  <c r="DQ8" i="5" s="1"/>
  <c r="CQ8" i="5"/>
  <c r="DZ8" i="5" s="1"/>
  <c r="BU8" i="5"/>
  <c r="DD8" i="5" s="1"/>
  <c r="BV8" i="5"/>
  <c r="DE8" i="5" s="1"/>
  <c r="CY8" i="5"/>
  <c r="EH8" i="5" s="1"/>
  <c r="CJ8" i="5"/>
  <c r="DS8" i="5" s="1"/>
  <c r="D43" i="5"/>
  <c r="D101" i="5"/>
  <c r="D109" i="5"/>
  <c r="D105" i="5"/>
  <c r="D96" i="5"/>
  <c r="D112" i="5"/>
  <c r="D98" i="5"/>
  <c r="D63" i="5"/>
  <c r="D66" i="5"/>
  <c r="D45" i="5"/>
  <c r="D11" i="5"/>
  <c r="D111" i="5"/>
  <c r="D110" i="5"/>
  <c r="D77" i="5"/>
  <c r="D107" i="5"/>
  <c r="D74" i="5"/>
  <c r="D70" i="5"/>
  <c r="D75" i="5"/>
  <c r="D62" i="5"/>
  <c r="D31" i="5"/>
  <c r="D52" i="5"/>
  <c r="D27" i="5"/>
  <c r="D26" i="5"/>
  <c r="D14" i="5"/>
  <c r="D113" i="5"/>
  <c r="D90" i="5"/>
  <c r="D85" i="5"/>
  <c r="D79" i="5"/>
  <c r="D33" i="5"/>
  <c r="D24" i="5"/>
  <c r="D119" i="5"/>
  <c r="D115" i="5"/>
  <c r="D104" i="5"/>
  <c r="D87" i="5"/>
  <c r="D92" i="5"/>
  <c r="D73" i="5"/>
  <c r="D71" i="5"/>
  <c r="D59" i="5"/>
  <c r="D30" i="5"/>
  <c r="D48" i="5"/>
  <c r="D41" i="5"/>
  <c r="D21" i="5"/>
  <c r="D10" i="5"/>
  <c r="D97" i="5"/>
  <c r="D91" i="5"/>
  <c r="D94" i="5"/>
  <c r="D80" i="5"/>
  <c r="D88" i="5"/>
  <c r="D69" i="5"/>
  <c r="D58" i="5"/>
  <c r="D54" i="5"/>
  <c r="D50" i="5"/>
  <c r="D38" i="5"/>
  <c r="D37" i="5"/>
  <c r="D20" i="5"/>
  <c r="D17" i="5"/>
  <c r="BR98" i="5"/>
  <c r="DA98" i="5" s="1"/>
  <c r="D118" i="5"/>
  <c r="D100" i="5"/>
  <c r="D60" i="5"/>
  <c r="D84" i="5"/>
  <c r="D55" i="5"/>
  <c r="D53" i="5"/>
  <c r="D61" i="5"/>
  <c r="D46" i="5"/>
  <c r="D44" i="5"/>
  <c r="D28" i="5"/>
  <c r="D15" i="5"/>
  <c r="D13" i="5"/>
  <c r="D117" i="5"/>
  <c r="BR85" i="5"/>
  <c r="DA85" i="5" s="1"/>
  <c r="BR45" i="5"/>
  <c r="DA45" i="5" s="1"/>
  <c r="D102" i="5"/>
  <c r="D114" i="5"/>
  <c r="D108" i="5"/>
  <c r="D106" i="5"/>
  <c r="D82" i="5"/>
  <c r="D81" i="5"/>
  <c r="D76" i="5"/>
  <c r="D72" i="5"/>
  <c r="D51" i="5"/>
  <c r="D57" i="5"/>
  <c r="D42" i="5"/>
  <c r="D40" i="5"/>
  <c r="D29" i="5"/>
  <c r="D23" i="5"/>
  <c r="D9" i="5"/>
  <c r="BR90" i="5"/>
  <c r="DA90" i="5" s="1"/>
  <c r="D103" i="5"/>
  <c r="D86" i="5"/>
  <c r="D120" i="5"/>
  <c r="D99" i="5"/>
  <c r="D78" i="5"/>
  <c r="D93" i="5"/>
  <c r="D65" i="5"/>
  <c r="D68" i="5"/>
  <c r="D56" i="5"/>
  <c r="D47" i="5"/>
  <c r="D32" i="5"/>
  <c r="D36" i="5"/>
  <c r="D19" i="5"/>
  <c r="D22" i="5"/>
  <c r="D16" i="5"/>
  <c r="BR66" i="5"/>
  <c r="DA66" i="5" s="1"/>
  <c r="BR112" i="5"/>
  <c r="DA112" i="5" s="1"/>
  <c r="D83" i="5"/>
  <c r="D116" i="5"/>
  <c r="D95" i="5"/>
  <c r="D89" i="5"/>
  <c r="D64" i="5"/>
  <c r="D67" i="5"/>
  <c r="D35" i="5"/>
  <c r="D39" i="5"/>
  <c r="D49" i="5"/>
  <c r="D34" i="5"/>
  <c r="D18" i="5"/>
  <c r="D25" i="5"/>
  <c r="D12" i="5"/>
  <c r="BR58" i="5"/>
  <c r="DA58" i="5" s="1"/>
  <c r="BR53" i="5"/>
  <c r="DA53" i="5" s="1"/>
  <c r="BR20" i="5"/>
  <c r="DA20" i="5" s="1"/>
  <c r="BR13" i="5"/>
  <c r="DA13" i="5" s="1"/>
  <c r="BR48" i="5"/>
  <c r="DA48" i="5" s="1"/>
  <c r="BR99" i="5"/>
  <c r="DA99" i="5" s="1"/>
  <c r="BR95" i="5"/>
  <c r="DA95" i="5" s="1"/>
  <c r="BR8" i="5"/>
  <c r="DA8" i="5" s="1"/>
  <c r="C121" i="5"/>
  <c r="BR116" i="5"/>
  <c r="DA116" i="5" s="1"/>
  <c r="BR100" i="5"/>
  <c r="DA100" i="5" s="1"/>
  <c r="BR88" i="5"/>
  <c r="DA88" i="5" s="1"/>
  <c r="BR63" i="5"/>
  <c r="DA63" i="5" s="1"/>
  <c r="BR60" i="5"/>
  <c r="DA60" i="5" s="1"/>
  <c r="BR49" i="5"/>
  <c r="DA49" i="5" s="1"/>
  <c r="BR41" i="5"/>
  <c r="DA41" i="5" s="1"/>
  <c r="BR21" i="5"/>
  <c r="DA21" i="5" s="1"/>
  <c r="BR72" i="5"/>
  <c r="DA72" i="5" s="1"/>
  <c r="BR19" i="5"/>
  <c r="DA19" i="5" s="1"/>
  <c r="BR113" i="5"/>
  <c r="DA113" i="5" s="1"/>
  <c r="BR109" i="5"/>
  <c r="DA109" i="5" s="1"/>
  <c r="BR110" i="5"/>
  <c r="DA110" i="5" s="1"/>
  <c r="BR67" i="5"/>
  <c r="DA67" i="5" s="1"/>
  <c r="BR79" i="5"/>
  <c r="DA79" i="5" s="1"/>
  <c r="BR76" i="5"/>
  <c r="DA76" i="5" s="1"/>
  <c r="BR57" i="5"/>
  <c r="DA57" i="5" s="1"/>
  <c r="BR33" i="5"/>
  <c r="DA33" i="5" s="1"/>
  <c r="BR26" i="5"/>
  <c r="DA26" i="5" s="1"/>
  <c r="BR11" i="5"/>
  <c r="DA11" i="5" s="1"/>
  <c r="BR87" i="5"/>
  <c r="DA87" i="5" s="1"/>
  <c r="BR97" i="5"/>
  <c r="DA97" i="5" s="1"/>
  <c r="BR71" i="5"/>
  <c r="DA71" i="5" s="1"/>
  <c r="BR65" i="5"/>
  <c r="DA65" i="5" s="1"/>
  <c r="BR23" i="5"/>
  <c r="DA23" i="5" s="1"/>
  <c r="BR86" i="5"/>
  <c r="DA86" i="5" s="1"/>
  <c r="BR118" i="5"/>
  <c r="DA118" i="5" s="1"/>
  <c r="BR108" i="5"/>
  <c r="DA108" i="5" s="1"/>
  <c r="BR75" i="5"/>
  <c r="DA75" i="5" s="1"/>
  <c r="BR96" i="5"/>
  <c r="DA96" i="5" s="1"/>
  <c r="BR80" i="5"/>
  <c r="DA80" i="5" s="1"/>
  <c r="BR69" i="5"/>
  <c r="DA69" i="5" s="1"/>
  <c r="BR38" i="5"/>
  <c r="DA38" i="5" s="1"/>
  <c r="BR50" i="5"/>
  <c r="DA50" i="5" s="1"/>
  <c r="BR43" i="5"/>
  <c r="DA43" i="5" s="1"/>
  <c r="BR24" i="5"/>
  <c r="DA24" i="5" s="1"/>
  <c r="BR27" i="5"/>
  <c r="DA27" i="5" s="1"/>
  <c r="BR12" i="5"/>
  <c r="DA12" i="5" s="1"/>
  <c r="BR16" i="5"/>
  <c r="DA16" i="5" s="1"/>
  <c r="H5" i="5"/>
  <c r="D121" i="5" l="1"/>
  <c r="AM3" i="5" l="1"/>
  <c r="AM1" i="5" l="1"/>
  <c r="E37" i="5" l="1"/>
  <c r="E71" i="5"/>
  <c r="E117" i="5"/>
  <c r="E76" i="5"/>
  <c r="E28" i="5"/>
  <c r="E43" i="5"/>
  <c r="E110" i="5"/>
  <c r="E41" i="5"/>
  <c r="E72" i="5"/>
  <c r="E35" i="5"/>
  <c r="E16" i="5"/>
  <c r="E12" i="5"/>
  <c r="E73" i="5"/>
  <c r="E89" i="5"/>
  <c r="E20" i="5"/>
  <c r="E10" i="5"/>
  <c r="E45" i="5"/>
  <c r="E53" i="5"/>
  <c r="E74" i="5"/>
  <c r="E17" i="5"/>
  <c r="E75" i="5"/>
  <c r="E29" i="5"/>
  <c r="E25" i="5"/>
  <c r="E46" i="5"/>
  <c r="E54" i="5"/>
  <c r="E48" i="5"/>
  <c r="E69" i="5"/>
  <c r="E86" i="5"/>
  <c r="E80" i="5"/>
  <c r="E38" i="5"/>
  <c r="E11" i="5"/>
  <c r="E42" i="5"/>
  <c r="E56" i="5"/>
  <c r="E58" i="5"/>
  <c r="E61" i="5"/>
  <c r="E87" i="5"/>
  <c r="E70" i="5"/>
  <c r="E104" i="5"/>
  <c r="E9" i="5"/>
  <c r="E27" i="5"/>
  <c r="E51" i="5"/>
  <c r="E77" i="5"/>
  <c r="E78" i="5"/>
  <c r="E14" i="5"/>
  <c r="E26" i="5"/>
  <c r="E63" i="5"/>
  <c r="E18" i="5"/>
  <c r="E30" i="5"/>
  <c r="E57" i="5"/>
  <c r="E62" i="5"/>
  <c r="E109" i="5"/>
  <c r="E106" i="5"/>
  <c r="E115" i="5"/>
  <c r="E15" i="5"/>
  <c r="E24" i="5"/>
  <c r="E52" i="5"/>
  <c r="E59" i="5"/>
  <c r="E114" i="5"/>
  <c r="E31" i="5"/>
  <c r="E21" i="5"/>
  <c r="E19" i="5"/>
  <c r="E44" i="5"/>
  <c r="E34" i="5"/>
  <c r="E112" i="5"/>
  <c r="E32" i="5"/>
  <c r="E22" i="5"/>
  <c r="E23" i="5"/>
  <c r="E40" i="5"/>
  <c r="E47" i="5"/>
  <c r="E55" i="5"/>
  <c r="E88" i="5"/>
  <c r="E60" i="5"/>
  <c r="E105" i="5"/>
  <c r="E107" i="5"/>
  <c r="E64" i="5"/>
  <c r="E65" i="5"/>
  <c r="E79" i="5"/>
  <c r="E111" i="5"/>
  <c r="E39" i="5"/>
  <c r="E13" i="5"/>
  <c r="E49" i="5"/>
  <c r="E50" i="5"/>
  <c r="E36" i="5"/>
  <c r="E33" i="5"/>
  <c r="E116" i="5"/>
  <c r="E103" i="5"/>
  <c r="E67" i="5"/>
  <c r="E113" i="5"/>
  <c r="E66" i="5"/>
  <c r="E68" i="5"/>
  <c r="E108" i="5"/>
  <c r="E100" i="5" l="1"/>
  <c r="E93" i="5"/>
  <c r="F24" i="5"/>
  <c r="G24" i="5"/>
  <c r="G106" i="5"/>
  <c r="F106" i="5"/>
  <c r="G30" i="5"/>
  <c r="F30" i="5"/>
  <c r="G26" i="5"/>
  <c r="F26" i="5"/>
  <c r="F77" i="5"/>
  <c r="G77" i="5"/>
  <c r="F9" i="5"/>
  <c r="G9" i="5"/>
  <c r="G70" i="5"/>
  <c r="F70" i="5"/>
  <c r="F56" i="5"/>
  <c r="G56" i="5"/>
  <c r="G69" i="5"/>
  <c r="F69" i="5"/>
  <c r="G25" i="5"/>
  <c r="F25" i="5"/>
  <c r="F20" i="5"/>
  <c r="G20" i="5"/>
  <c r="F73" i="5"/>
  <c r="G73" i="5"/>
  <c r="G35" i="5"/>
  <c r="F35" i="5"/>
  <c r="F43" i="5"/>
  <c r="G43" i="5"/>
  <c r="G71" i="5"/>
  <c r="F71" i="5"/>
  <c r="E102" i="5"/>
  <c r="E94" i="5"/>
  <c r="E118" i="5"/>
  <c r="F50" i="5"/>
  <c r="G50" i="5"/>
  <c r="G39" i="5"/>
  <c r="F39" i="5"/>
  <c r="G79" i="5"/>
  <c r="F79" i="5"/>
  <c r="G55" i="5"/>
  <c r="F55" i="5"/>
  <c r="G34" i="5"/>
  <c r="F34" i="5"/>
  <c r="G74" i="5"/>
  <c r="F74" i="5"/>
  <c r="E81" i="5"/>
  <c r="F105" i="5"/>
  <c r="G105" i="5"/>
  <c r="F22" i="5"/>
  <c r="G22" i="5"/>
  <c r="G15" i="5"/>
  <c r="F15" i="5"/>
  <c r="F109" i="5"/>
  <c r="G109" i="5"/>
  <c r="F14" i="5"/>
  <c r="G14" i="5"/>
  <c r="G87" i="5"/>
  <c r="F87" i="5"/>
  <c r="F108" i="5"/>
  <c r="G108" i="5"/>
  <c r="G48" i="5"/>
  <c r="F48" i="5"/>
  <c r="G29" i="5"/>
  <c r="F29" i="5"/>
  <c r="F53" i="5"/>
  <c r="G53" i="5"/>
  <c r="G12" i="5"/>
  <c r="F12" i="5"/>
  <c r="F68" i="5"/>
  <c r="G68" i="5"/>
  <c r="G72" i="5"/>
  <c r="F72" i="5"/>
  <c r="G28" i="5"/>
  <c r="F28" i="5"/>
  <c r="G37" i="5"/>
  <c r="F37" i="5"/>
  <c r="E101" i="5"/>
  <c r="E84" i="5"/>
  <c r="E92" i="5"/>
  <c r="F49" i="5"/>
  <c r="G49" i="5"/>
  <c r="G65" i="5"/>
  <c r="F65" i="5"/>
  <c r="F32" i="5"/>
  <c r="G32" i="5"/>
  <c r="G44" i="5"/>
  <c r="F44" i="5"/>
  <c r="G31" i="5"/>
  <c r="F31" i="5"/>
  <c r="F18" i="5"/>
  <c r="G18" i="5"/>
  <c r="F67" i="5"/>
  <c r="G67" i="5"/>
  <c r="G42" i="5"/>
  <c r="F42" i="5"/>
  <c r="E99" i="5"/>
  <c r="E91" i="5"/>
  <c r="E83" i="5"/>
  <c r="E97" i="5"/>
  <c r="G116" i="5"/>
  <c r="F116" i="5"/>
  <c r="F111" i="5"/>
  <c r="G111" i="5"/>
  <c r="F47" i="5"/>
  <c r="G47" i="5"/>
  <c r="F59" i="5"/>
  <c r="G59" i="5"/>
  <c r="G61" i="5"/>
  <c r="F61" i="5"/>
  <c r="G11" i="5"/>
  <c r="F11" i="5"/>
  <c r="F80" i="5"/>
  <c r="G80" i="5"/>
  <c r="F75" i="5"/>
  <c r="G75" i="5"/>
  <c r="F16" i="5"/>
  <c r="G16" i="5"/>
  <c r="F41" i="5"/>
  <c r="G41" i="5"/>
  <c r="F113" i="5"/>
  <c r="G113" i="5"/>
  <c r="E120" i="5"/>
  <c r="E98" i="5"/>
  <c r="E82" i="5"/>
  <c r="E90" i="5"/>
  <c r="F33" i="5"/>
  <c r="G33" i="5"/>
  <c r="G60" i="5"/>
  <c r="F60" i="5"/>
  <c r="G112" i="5"/>
  <c r="F112" i="5"/>
  <c r="F66" i="5"/>
  <c r="G66" i="5"/>
  <c r="G62" i="5"/>
  <c r="F62" i="5"/>
  <c r="G51" i="5"/>
  <c r="F51" i="5"/>
  <c r="G54" i="5"/>
  <c r="F54" i="5"/>
  <c r="G45" i="5"/>
  <c r="F45" i="5"/>
  <c r="E85" i="5"/>
  <c r="F13" i="5"/>
  <c r="G13" i="5"/>
  <c r="F64" i="5"/>
  <c r="G64" i="5"/>
  <c r="G40" i="5"/>
  <c r="F40" i="5"/>
  <c r="F19" i="5"/>
  <c r="G19" i="5"/>
  <c r="F115" i="5"/>
  <c r="G115" i="5"/>
  <c r="G57" i="5"/>
  <c r="F57" i="5"/>
  <c r="F63" i="5"/>
  <c r="G63" i="5"/>
  <c r="F78" i="5"/>
  <c r="G78" i="5"/>
  <c r="G27" i="5"/>
  <c r="F27" i="5"/>
  <c r="G104" i="5"/>
  <c r="F104" i="5"/>
  <c r="F58" i="5"/>
  <c r="G58" i="5"/>
  <c r="G38" i="5"/>
  <c r="F38" i="5"/>
  <c r="G86" i="5"/>
  <c r="F86" i="5"/>
  <c r="F17" i="5"/>
  <c r="G17" i="5"/>
  <c r="F10" i="5"/>
  <c r="G10" i="5"/>
  <c r="F89" i="5"/>
  <c r="G89" i="5"/>
  <c r="F110" i="5"/>
  <c r="G110" i="5"/>
  <c r="F76" i="5"/>
  <c r="G76" i="5"/>
  <c r="G117" i="5"/>
  <c r="F117" i="5"/>
  <c r="E96" i="5"/>
  <c r="E95" i="5"/>
  <c r="E119" i="5"/>
  <c r="G103" i="5"/>
  <c r="F103" i="5"/>
  <c r="F36" i="5"/>
  <c r="G36" i="5"/>
  <c r="E8" i="5"/>
  <c r="G107" i="5"/>
  <c r="F107" i="5"/>
  <c r="F88" i="5"/>
  <c r="G88" i="5"/>
  <c r="G23" i="5"/>
  <c r="F23" i="5"/>
  <c r="F21" i="5"/>
  <c r="G21" i="5"/>
  <c r="G114" i="5"/>
  <c r="F114" i="5"/>
  <c r="F52" i="5"/>
  <c r="G52" i="5"/>
  <c r="F46" i="5"/>
  <c r="G46" i="5"/>
  <c r="F5" i="5" l="1"/>
  <c r="F4" i="5"/>
  <c r="F8" i="5"/>
  <c r="G8" i="5"/>
  <c r="E121" i="5"/>
  <c r="F121" i="5" s="1"/>
  <c r="G120" i="5"/>
  <c r="F120" i="5"/>
  <c r="F91" i="5"/>
  <c r="G91" i="5"/>
  <c r="G101" i="5"/>
  <c r="F101" i="5"/>
  <c r="G118" i="5"/>
  <c r="F118" i="5"/>
  <c r="F96" i="5"/>
  <c r="G96" i="5"/>
  <c r="F99" i="5"/>
  <c r="G99" i="5"/>
  <c r="G92" i="5"/>
  <c r="F92" i="5"/>
  <c r="F94" i="5"/>
  <c r="G94" i="5"/>
  <c r="F119" i="5"/>
  <c r="G119" i="5"/>
  <c r="F90" i="5"/>
  <c r="G90" i="5"/>
  <c r="F82" i="5"/>
  <c r="G82" i="5"/>
  <c r="F97" i="5"/>
  <c r="G97" i="5"/>
  <c r="F84" i="5"/>
  <c r="G84" i="5"/>
  <c r="G102" i="5"/>
  <c r="F102" i="5"/>
  <c r="F93" i="5"/>
  <c r="G93" i="5"/>
  <c r="G85" i="5"/>
  <c r="F85" i="5"/>
  <c r="G98" i="5"/>
  <c r="F98" i="5"/>
  <c r="G83" i="5"/>
  <c r="F83" i="5"/>
  <c r="F81" i="5"/>
  <c r="G81" i="5"/>
  <c r="G100" i="5"/>
  <c r="F100" i="5"/>
  <c r="G95" i="5"/>
  <c r="F9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tc={1B59BC39-5247-408B-B829-5BD8454A8A11}</author>
    <author>tc={1C3B7E50-56A7-40AB-96AD-AEE7CA7D2608}</author>
  </authors>
  <commentList>
    <comment ref="AP8" authorId="0" shapeId="0" xr:uid="{1B59BC39-5247-408B-B829-5BD8454A8A11}">
      <text>
        <t>[Threaded comment]
Your version of Excel allows you to read this threaded comment; however, any edits to it will get removed if the file is opened in a newer version of Excel. Learn more: https://go.microsoft.com/fwlink/?linkid=870924
Comment:
    1 Sku added to all territory</t>
      </text>
    </comment>
    <comment ref="AX8" authorId="1" shapeId="0" xr:uid="{1C3B7E50-56A7-40AB-96AD-AEE7CA7D2608}">
      <text>
        <t>[Threaded comment]
Your version of Excel allows you to read this threaded comment; however, any edits to it will get removed if the file is opened in a newer version of Excel. Learn more: https://go.microsoft.com/fwlink/?linkid=870924
Comment:
    1 Sku added to all territory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E38E94-083B-4D98-B197-59B1230699A0}" keepAlive="1" name="Query - Month" description="Connection to the 'Month' query in the workbook." type="5" refreshedVersion="0" background="1">
    <dbPr connection="Provider=Microsoft.Mashup.OleDb.1;Data Source=$Workbook$;Location=Month;Extended Properties=&quot;&quot;" command="SELECT * FROM [Month]"/>
  </connection>
  <connection id="2" xr16:uid="{B6AB4C36-439D-4B4A-9445-E7ACB00A8BE8}" keepAlive="1" name="Query - Output Data" description="Connection to the 'Output Data' query in the workbook." type="5" refreshedVersion="8" background="1" saveData="1">
    <dbPr connection="Provider=Microsoft.Mashup.OleDb.1;Data Source=$Workbook$;Location=&quot;Output Data&quot;;Extended Properties=&quot;&quot;" command="SELECT * FROM [Output Data]"/>
  </connection>
  <connection id="3" xr16:uid="{0F3BC742-603F-41FB-8732-47CE7E7BC401}" keepAlive="1" name="Query - Price" description="Connection to the 'Price' query in the workbook." type="5" refreshedVersion="0" background="1">
    <dbPr connection="Provider=Microsoft.Mashup.OleDb.1;Data Source=$Workbook$;Location=Price;Extended Properties=&quot;&quot;" command="SELECT * FROM [Price]"/>
  </connection>
</connections>
</file>

<file path=xl/sharedStrings.xml><?xml version="1.0" encoding="utf-8"?>
<sst xmlns="http://schemas.openxmlformats.org/spreadsheetml/2006/main" count="4594" uniqueCount="295">
  <si>
    <t>Group</t>
  </si>
  <si>
    <t>TP</t>
  </si>
  <si>
    <t>Region</t>
  </si>
  <si>
    <t>Territory</t>
  </si>
  <si>
    <t>Total</t>
  </si>
  <si>
    <t>Month</t>
  </si>
  <si>
    <t>New Terr</t>
  </si>
  <si>
    <t>Diff</t>
  </si>
  <si>
    <t>Diff%</t>
  </si>
  <si>
    <t>Multiplier</t>
  </si>
  <si>
    <t>Value</t>
  </si>
  <si>
    <t>OAD</t>
  </si>
  <si>
    <t>AMARYL M 2mg Tab 3x10's</t>
  </si>
  <si>
    <t>CVD</t>
  </si>
  <si>
    <t>Betanol 100mg Tab 10x10's</t>
  </si>
  <si>
    <t>Betanol 25mg Tab 20x10's</t>
  </si>
  <si>
    <t>BETANOL 50mg Tab. 5x4x10?s</t>
  </si>
  <si>
    <t>Lasix 2ml Inj 5x5's Amp</t>
  </si>
  <si>
    <t>Lasix 40mg Tab 10x10's</t>
  </si>
  <si>
    <t>Orva 10mg Tab 2X15's</t>
  </si>
  <si>
    <t>Orva 20mg Tab 3x10's</t>
  </si>
  <si>
    <t>Ovenox 20mg Inj 1 PFS</t>
  </si>
  <si>
    <t>Ovenox 40mg Inj 1 PFS</t>
  </si>
  <si>
    <t>Ovenox 60mg Inj 1 PFS</t>
  </si>
  <si>
    <t>Ovenox 80mg Inj 1 PFS</t>
  </si>
  <si>
    <t>Rozenon 10mg Tab 3 x 10s</t>
  </si>
  <si>
    <t>Rozenon 5mg Tab 3 x 10s</t>
  </si>
  <si>
    <t>Sacutril 100 mg Tablet</t>
  </si>
  <si>
    <t>Sacutril 50 mg Tablet</t>
  </si>
  <si>
    <t>Tritace 2.5mg Tab 2x14's</t>
  </si>
  <si>
    <t>Tritace 5mg Tab 2x14's</t>
  </si>
  <si>
    <t>Amaryl 1mg Tab 4x15s</t>
  </si>
  <si>
    <t>Amaryl 2mg Tab 3x15s</t>
  </si>
  <si>
    <t>Amaryl 3mg Tab 2x15's</t>
  </si>
  <si>
    <t>Amaryl 4mg Tab 2x15's</t>
  </si>
  <si>
    <t>AMARYL M1 1mg Tab 3x10's</t>
  </si>
  <si>
    <t>ERTU 15mg Tablet 2 x10s</t>
  </si>
  <si>
    <t>ERTU 5mg Tablet 3 x 10s</t>
  </si>
  <si>
    <t>Incrit 50mg Tab 2x10's</t>
  </si>
  <si>
    <t>Incrit-M 1000mg Tab</t>
  </si>
  <si>
    <t>Incrit-M 500mg Tab</t>
  </si>
  <si>
    <t>Metsa 500mg Tab 10x10's</t>
  </si>
  <si>
    <t>Metsa 850mg Tab 5x10's</t>
  </si>
  <si>
    <t>Territory Target</t>
  </si>
  <si>
    <t>METSA XR 750mg Tab</t>
  </si>
  <si>
    <t>Max</t>
  </si>
  <si>
    <t>Min</t>
  </si>
  <si>
    <t>-ve</t>
  </si>
  <si>
    <t>ve</t>
  </si>
  <si>
    <t>Metsa</t>
  </si>
  <si>
    <t>METSA XR 500mg Tab</t>
  </si>
  <si>
    <t>Brand</t>
  </si>
  <si>
    <t>Price</t>
  </si>
  <si>
    <t>ProductId</t>
  </si>
  <si>
    <t>Family</t>
  </si>
  <si>
    <t>Product Id</t>
  </si>
  <si>
    <t>Product Name</t>
  </si>
  <si>
    <t>Sales Line</t>
  </si>
  <si>
    <t>Betanol</t>
  </si>
  <si>
    <t>Lasix</t>
  </si>
  <si>
    <t>Orva</t>
  </si>
  <si>
    <t>Ovenox</t>
  </si>
  <si>
    <t>Copixa</t>
  </si>
  <si>
    <t>Copixa 2.5mg</t>
  </si>
  <si>
    <t>Copixa 5mg</t>
  </si>
  <si>
    <t>Rozenon</t>
  </si>
  <si>
    <t>Rozenon 20mg Tab 2X1</t>
  </si>
  <si>
    <t>Sacutril</t>
  </si>
  <si>
    <t>Tritace</t>
  </si>
  <si>
    <t>Amaryl</t>
  </si>
  <si>
    <t>Amaryl-M</t>
  </si>
  <si>
    <t>ERTU</t>
  </si>
  <si>
    <t>Incrit</t>
  </si>
  <si>
    <t>Incrit-M</t>
  </si>
  <si>
    <t>Team</t>
  </si>
  <si>
    <t>Qty</t>
  </si>
  <si>
    <t>Sales line</t>
  </si>
  <si>
    <t>Current Month</t>
  </si>
  <si>
    <t>Current Mnth Target</t>
  </si>
  <si>
    <t>Copixa 2.5mg Tab 3x10's</t>
  </si>
  <si>
    <t>Copixa 5mg Tab 3x10's</t>
  </si>
  <si>
    <t>Rozenon 20mg Tablet 2x10?s</t>
  </si>
  <si>
    <t>TGT QTY</t>
  </si>
  <si>
    <t>TGT Value</t>
  </si>
  <si>
    <t>Attribute</t>
  </si>
  <si>
    <t>Price.1</t>
  </si>
  <si>
    <t>Row Labels</t>
  </si>
  <si>
    <t>SYNTARA</t>
  </si>
  <si>
    <t>SYT-BBRA-BBR1</t>
  </si>
  <si>
    <t>SYT-BBRA-BBR2</t>
  </si>
  <si>
    <t>SYT-BBRA-HAB1</t>
  </si>
  <si>
    <t>SYT-BBRA-MOU1</t>
  </si>
  <si>
    <t>SYT-CTGA-CMC1</t>
  </si>
  <si>
    <t>SYT-CTGA-CMC2</t>
  </si>
  <si>
    <t>SYT-CTGA-HAT1</t>
  </si>
  <si>
    <t>SYT-CTGA-KDB1</t>
  </si>
  <si>
    <t>SYT-CTGB-CGH1</t>
  </si>
  <si>
    <t>SYT-CTGB-CMC3</t>
  </si>
  <si>
    <t>SYT-CTGB-COX1</t>
  </si>
  <si>
    <t>SYT-CTGB-MOS1</t>
  </si>
  <si>
    <t>SYT-CTGB-SAT1</t>
  </si>
  <si>
    <t>SYT-CUMA-CHD1</t>
  </si>
  <si>
    <t>SYT-CUMA-CUM1</t>
  </si>
  <si>
    <t>SYT-CUMA-CUM2</t>
  </si>
  <si>
    <t>SYT-CUMA-CUM3</t>
  </si>
  <si>
    <t>SYT-CUMA-HAZ1</t>
  </si>
  <si>
    <t>SYT-NKLA-CHW1</t>
  </si>
  <si>
    <t>SYT-NKLA-FEN1</t>
  </si>
  <si>
    <t>SYT-NKLA-FEN2</t>
  </si>
  <si>
    <t>SYT-NKLA-LAX1</t>
  </si>
  <si>
    <t>SYT-NKLA-NKL1</t>
  </si>
  <si>
    <t>SYT-SYLA-SYL1</t>
  </si>
  <si>
    <t>SYT-SYLA-SYL2</t>
  </si>
  <si>
    <t>SYT-SYLA-SYL3</t>
  </si>
  <si>
    <t>SYT-SYLA-SYL4</t>
  </si>
  <si>
    <t>SYT-SYLA-SYL5</t>
  </si>
  <si>
    <t>SYT-MIRA-NHF1</t>
  </si>
  <si>
    <t>SYT-MIRA-NHF2</t>
  </si>
  <si>
    <t>SYT-MIRA-NHN1</t>
  </si>
  <si>
    <t>SYT-MOHA-MAN1</t>
  </si>
  <si>
    <t>SYT-MOHA-NCV1</t>
  </si>
  <si>
    <t>SYT-MOHA-NCV2</t>
  </si>
  <si>
    <t>SYT-MOHA-SAV1</t>
  </si>
  <si>
    <t>SYT-MOHA-SHS1</t>
  </si>
  <si>
    <t>SYT-MYMA-KIS1</t>
  </si>
  <si>
    <t>SYT-MYMA-MYM1</t>
  </si>
  <si>
    <t>SYT-MYMA-MYM2</t>
  </si>
  <si>
    <t>SYT-MYMA-MYM3</t>
  </si>
  <si>
    <t>SYT-TANA-TAN1</t>
  </si>
  <si>
    <t>SYT-TANA-TAN2</t>
  </si>
  <si>
    <t>SYT-UTTA-UTT1</t>
  </si>
  <si>
    <t>SYT-UTTA-UTT2</t>
  </si>
  <si>
    <t>SYT-UTTA-UTT3</t>
  </si>
  <si>
    <t>SYT-BIRA-BIR1</t>
  </si>
  <si>
    <t>SYT-BIRA-BIR2</t>
  </si>
  <si>
    <t>SYT-BIRA-BIR3</t>
  </si>
  <si>
    <t>SYT-BIRA-ICH1</t>
  </si>
  <si>
    <t>SYT-BSLA-BSL1</t>
  </si>
  <si>
    <t>SYT-BSLA-BSL2</t>
  </si>
  <si>
    <t>SYT-BSLA-PAT1</t>
  </si>
  <si>
    <t>SYT-BSLA-SHA1</t>
  </si>
  <si>
    <t>SYT-BSMA-BSM1</t>
  </si>
  <si>
    <t>SYT-BSMA-BSM2</t>
  </si>
  <si>
    <t>SYT-BSMA-BSM3</t>
  </si>
  <si>
    <t>SYT-BSMA-BSM4</t>
  </si>
  <si>
    <t>SYT-BSMA-BSM5</t>
  </si>
  <si>
    <t>SYT-DHAA-BMC1</t>
  </si>
  <si>
    <t>SYT-DHAA-BMC2</t>
  </si>
  <si>
    <t>SYT-DHAA-DHA1</t>
  </si>
  <si>
    <t>SYT-DHAA-DHA2</t>
  </si>
  <si>
    <t>SYT-DMCA-DMC1</t>
  </si>
  <si>
    <t>SYT-DMCA-DMC2</t>
  </si>
  <si>
    <t>SYT-DMCA-DMC3</t>
  </si>
  <si>
    <t>SYT-DMCA-MUG1</t>
  </si>
  <si>
    <t>SYT-DMCA-RMP1</t>
  </si>
  <si>
    <t>SYT-NRGA-MUN1</t>
  </si>
  <si>
    <t>SYT-NRGA-NAR1</t>
  </si>
  <si>
    <t>SYT-NRGA-NRG1</t>
  </si>
  <si>
    <t>SYT-NRGA-NRG2</t>
  </si>
  <si>
    <t>SYT-SSMA-KER1</t>
  </si>
  <si>
    <t>SYT-SSMA-SSM1</t>
  </si>
  <si>
    <t>SYT-SSMA-SSM2</t>
  </si>
  <si>
    <t>SYT-SSMA-WAR1</t>
  </si>
  <si>
    <t>SYT-BOGA-BOG1</t>
  </si>
  <si>
    <t>SYT-BOGA-BOG2</t>
  </si>
  <si>
    <t>SYT-BOGA-BOG3</t>
  </si>
  <si>
    <t>SYT-BOGA-NAO1</t>
  </si>
  <si>
    <t>SYT-DINA-DIN1</t>
  </si>
  <si>
    <t>SYT-DINA-DIN2</t>
  </si>
  <si>
    <t>SYT-DINA-TKG1</t>
  </si>
  <si>
    <t>SYT-FRDA-FRD1</t>
  </si>
  <si>
    <t>SYT-FRDA-FRD2</t>
  </si>
  <si>
    <t>SYT-FRDA-FRD3</t>
  </si>
  <si>
    <t>SYT-JASA-JAS1</t>
  </si>
  <si>
    <t>SYT-JASA-JAS2</t>
  </si>
  <si>
    <t>SYT-JASA-MAG1</t>
  </si>
  <si>
    <t>SYT-JASA-SAT1</t>
  </si>
  <si>
    <t>SYT-KHLA-GOP1</t>
  </si>
  <si>
    <t>SYT-KHLA-KHL1</t>
  </si>
  <si>
    <t>SYT-KHLA-KHL2</t>
  </si>
  <si>
    <t>SYT-KHLA-KHL3</t>
  </si>
  <si>
    <t>SYT-PABA-KUS1</t>
  </si>
  <si>
    <t>SYT-PABA-KUS2</t>
  </si>
  <si>
    <t>SYT-PABA-PAB1</t>
  </si>
  <si>
    <t>SYT-PABA-PAB2</t>
  </si>
  <si>
    <t>SYT-PABA-SIR1</t>
  </si>
  <si>
    <t>SYT-RAJA-RAJ1</t>
  </si>
  <si>
    <t>SYT-RAJA-RAJ2</t>
  </si>
  <si>
    <t>SYT-RAJA-RAJ3</t>
  </si>
  <si>
    <t>SYT-RANA-KUR1</t>
  </si>
  <si>
    <t>SYT-RANA-RAN1</t>
  </si>
  <si>
    <t>SYT-RANA-RAN2</t>
  </si>
  <si>
    <t>SYT-RANA-RAN3</t>
  </si>
  <si>
    <t>SYT-GAZA-GAZ1</t>
  </si>
  <si>
    <t>SYT-GAZA-GAZ2</t>
  </si>
  <si>
    <t>SYT-GAZA-TON1</t>
  </si>
  <si>
    <t>SYT-GULA-BDD1</t>
  </si>
  <si>
    <t>SYT-GULA-GUL1</t>
  </si>
  <si>
    <t>SYT-GULA-MOH1</t>
  </si>
  <si>
    <t>SYT-MIRA-BIH1</t>
  </si>
  <si>
    <t>SYT-MIRA-CAN1</t>
  </si>
  <si>
    <t>SYT-BBRA</t>
  </si>
  <si>
    <t>SYT-CTGA</t>
  </si>
  <si>
    <t>SYT-CTGB</t>
  </si>
  <si>
    <t>SYT-CUMA</t>
  </si>
  <si>
    <t>SYT-NKLA</t>
  </si>
  <si>
    <t>SYT-SYLA</t>
  </si>
  <si>
    <t>SYT-MIRA</t>
  </si>
  <si>
    <t>SYT-MOHA</t>
  </si>
  <si>
    <t>SYT-MYMA</t>
  </si>
  <si>
    <t>SYT-TANA</t>
  </si>
  <si>
    <t>SYT-UTTA</t>
  </si>
  <si>
    <t>SYT-BIRA</t>
  </si>
  <si>
    <t>SYT-BSLA</t>
  </si>
  <si>
    <t>SYT-BSMA</t>
  </si>
  <si>
    <t>SYT-DHAA</t>
  </si>
  <si>
    <t>SYT-DMCA</t>
  </si>
  <si>
    <t>SYT-NRGA</t>
  </si>
  <si>
    <t>SYT-SSMA</t>
  </si>
  <si>
    <t>SYT-BOGA</t>
  </si>
  <si>
    <t>SYT-DINA</t>
  </si>
  <si>
    <t>SYT-FRDA</t>
  </si>
  <si>
    <t>SYT-JASA</t>
  </si>
  <si>
    <t>SYT-KHLA</t>
  </si>
  <si>
    <t>SYT-PABA</t>
  </si>
  <si>
    <t>SYT-RAJA</t>
  </si>
  <si>
    <t>SYT-RANA</t>
  </si>
  <si>
    <t>SYT-GAZA</t>
  </si>
  <si>
    <t>SYT-GULA</t>
  </si>
  <si>
    <t>SYT Dhaka North</t>
  </si>
  <si>
    <t>SYT Dhaka South</t>
  </si>
  <si>
    <t>SYT Rajshahi</t>
  </si>
  <si>
    <t>Month.1</t>
  </si>
  <si>
    <t>QTY</t>
  </si>
  <si>
    <t>SYT Chattogram</t>
  </si>
  <si>
    <t>Syntara</t>
  </si>
  <si>
    <t>TRITACE 2.5mg Tablet 2x15's</t>
  </si>
  <si>
    <t>TRITACE 5mg Tablet 2x15's</t>
  </si>
  <si>
    <t>Jan'26</t>
  </si>
  <si>
    <t>AMARYL 1mg Tab 4x15's</t>
  </si>
  <si>
    <t>AMARYL 2mg Tab 3x15's</t>
  </si>
  <si>
    <t>Amaryl 3mg Tablet 2x15's</t>
  </si>
  <si>
    <t>Amaryl 4mg tablet 2x15's</t>
  </si>
  <si>
    <t>BETANOL 25mg Tablet 20x10's</t>
  </si>
  <si>
    <t>BETANOL 5x40x50mg Tab</t>
  </si>
  <si>
    <t>ERTU 15 mg Tablet 2X10's</t>
  </si>
  <si>
    <t>ERTU 5 mg Tablet 3X10's</t>
  </si>
  <si>
    <t>INCRIT 50mg Tablet 2x10's</t>
  </si>
  <si>
    <t>Incrit-M 50/500 Tablet 2x10's</t>
  </si>
  <si>
    <t>LASIX 2ml Injection 5x5's Ampoule</t>
  </si>
  <si>
    <t>LASIX 40mg Tablet 10x10's</t>
  </si>
  <si>
    <t>METSA 500mg Tablet 10x10's</t>
  </si>
  <si>
    <t>METSA XR 500mg Tablet 5x10's</t>
  </si>
  <si>
    <t>METSA XR 750MG TABLET</t>
  </si>
  <si>
    <t>Orva 10mg Tab 2 X 15's</t>
  </si>
  <si>
    <t>ORVA 20mg Tab 3x10's</t>
  </si>
  <si>
    <t>Ovenox 20mg/0.2 ml Inj. 1PFS</t>
  </si>
  <si>
    <t>Ovenox 40mg/0.4 ml Inj. 1PFS</t>
  </si>
  <si>
    <t>Ovenox 60mg/0.6 ml Inj. 1PFS</t>
  </si>
  <si>
    <t>Ovenox 80mg/0.8 ml Inj. 1PFS</t>
  </si>
  <si>
    <t>Rozenon 10mg Tab 3X10's</t>
  </si>
  <si>
    <t>Rozenon 20mg Tab 2x10's</t>
  </si>
  <si>
    <t>Rozenon 5mg Tab 3X10's</t>
  </si>
  <si>
    <t>Sacutril 50 mg Tablet 2x10's</t>
  </si>
  <si>
    <t>502</t>
  </si>
  <si>
    <t>504</t>
  </si>
  <si>
    <t>505</t>
  </si>
  <si>
    <t>506</t>
  </si>
  <si>
    <t>508</t>
  </si>
  <si>
    <t>507</t>
  </si>
  <si>
    <t>520</t>
  </si>
  <si>
    <t>521</t>
  </si>
  <si>
    <t>784</t>
  </si>
  <si>
    <t>785</t>
  </si>
  <si>
    <t>758</t>
  </si>
  <si>
    <t>757</t>
  </si>
  <si>
    <t>580</t>
  </si>
  <si>
    <t>582</t>
  </si>
  <si>
    <t>594</t>
  </si>
  <si>
    <t>595</t>
  </si>
  <si>
    <t>603</t>
  </si>
  <si>
    <t>606</t>
  </si>
  <si>
    <t>772</t>
  </si>
  <si>
    <t>615</t>
  </si>
  <si>
    <t>617</t>
  </si>
  <si>
    <t>751</t>
  </si>
  <si>
    <t>752</t>
  </si>
  <si>
    <t>753</t>
  </si>
  <si>
    <t>754</t>
  </si>
  <si>
    <t>614</t>
  </si>
  <si>
    <t>797</t>
  </si>
  <si>
    <t>613</t>
  </si>
  <si>
    <t>767</t>
  </si>
  <si>
    <t>807</t>
  </si>
  <si>
    <t>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</si>
</sst>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1" xfId="0" applyFont="1" applyBorder="1" applyAlignment="1">
      <alignment vertical="center"/>
    </xf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  <xf numFmtId="9" fontId="2" fillId="0" borderId="0" xfId="2" applyFont="1"/>
    <xf numFmtId="0" fontId="0" fillId="0" borderId="0" xfId="0" applyAlignment="1">
      <alignment horizontal="left"/>
    </xf>
    <xf numFmtId="0" fontId="0" fillId="0" borderId="0" xfId="0" quotePrefix="1"/>
    <xf numFmtId="43" fontId="0" fillId="0" borderId="0" xfId="1" applyFont="1"/>
    <xf numFmtId="0" fontId="0" fillId="0" borderId="4" xfId="0" applyBorder="1"/>
    <xf numFmtId="0" fontId="0" fillId="0" borderId="5" xfId="0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2" fillId="0" borderId="4" xfId="1" applyNumberFormat="1" applyFont="1" applyBorder="1"/>
    <xf numFmtId="164" fontId="2" fillId="0" borderId="5" xfId="1" applyNumberFormat="1" applyFont="1" applyBorder="1"/>
    <xf numFmtId="0" fontId="3" fillId="3" borderId="5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4" borderId="5" xfId="0" applyFill="1" applyBorder="1"/>
    <xf numFmtId="0" fontId="5" fillId="5" borderId="1" xfId="0" applyFont="1" applyFill="1" applyBorder="1"/>
    <xf numFmtId="0" fontId="0" fillId="0" borderId="1" xfId="0" applyBorder="1"/>
    <xf numFmtId="164" fontId="0" fillId="6" borderId="1" xfId="1" applyNumberFormat="1" applyFont="1" applyFill="1" applyBorder="1"/>
    <xf numFmtId="0" fontId="3" fillId="2" borderId="7" xfId="0" applyFont="1" applyFill="1" applyBorder="1" applyAlignment="1">
      <alignment vertical="center"/>
    </xf>
    <xf numFmtId="0" fontId="0" fillId="0" borderId="8" xfId="0" applyBorder="1"/>
    <xf numFmtId="0" fontId="0" fillId="8" borderId="1" xfId="0" applyFill="1" applyBorder="1"/>
    <xf numFmtId="0" fontId="0" fillId="8" borderId="13" xfId="0" applyFill="1" applyBorder="1"/>
    <xf numFmtId="0" fontId="0" fillId="8" borderId="14" xfId="0" applyFill="1" applyBorder="1"/>
    <xf numFmtId="0" fontId="0" fillId="8" borderId="15" xfId="0" applyFill="1" applyBorder="1"/>
    <xf numFmtId="0" fontId="0" fillId="8" borderId="16" xfId="0" applyFill="1" applyBorder="1"/>
    <xf numFmtId="0" fontId="0" fillId="8" borderId="17" xfId="0" applyFill="1" applyBorder="1"/>
    <xf numFmtId="0" fontId="3" fillId="3" borderId="8" xfId="0" applyFont="1" applyFill="1" applyBorder="1" applyAlignment="1">
      <alignment vertical="center"/>
    </xf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0" fillId="0" borderId="21" xfId="0" applyBorder="1"/>
    <xf numFmtId="164" fontId="0" fillId="7" borderId="1" xfId="1" applyNumberFormat="1" applyFont="1" applyFill="1" applyBorder="1"/>
    <xf numFmtId="0" fontId="6" fillId="5" borderId="1" xfId="0" applyFont="1" applyFill="1" applyBorder="1"/>
    <xf numFmtId="164" fontId="0" fillId="0" borderId="8" xfId="1" applyNumberFormat="1" applyFont="1" applyBorder="1"/>
    <xf numFmtId="0" fontId="3" fillId="3" borderId="9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164" fontId="2" fillId="0" borderId="0" xfId="1" applyNumberFormat="1" applyFont="1"/>
    <xf numFmtId="164" fontId="2" fillId="7" borderId="1" xfId="1" applyNumberFormat="1" applyFont="1" applyFill="1" applyBorder="1"/>
    <xf numFmtId="0" fontId="0" fillId="0" borderId="22" xfId="0" applyBorder="1"/>
    <xf numFmtId="0" fontId="3" fillId="2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164" fontId="0" fillId="0" borderId="23" xfId="1" applyNumberFormat="1" applyFont="1" applyBorder="1"/>
    <xf numFmtId="164" fontId="0" fillId="0" borderId="26" xfId="1" applyNumberFormat="1" applyFont="1" applyBorder="1"/>
    <xf numFmtId="164" fontId="2" fillId="0" borderId="26" xfId="1" applyNumberFormat="1" applyFont="1" applyBorder="1"/>
    <xf numFmtId="0" fontId="0" fillId="0" borderId="26" xfId="0" applyBorder="1"/>
    <xf numFmtId="0" fontId="3" fillId="3" borderId="26" xfId="0" applyFont="1" applyFill="1" applyBorder="1" applyAlignment="1">
      <alignment vertical="center"/>
    </xf>
    <xf numFmtId="0" fontId="3" fillId="3" borderId="27" xfId="0" applyFont="1" applyFill="1" applyBorder="1" applyAlignment="1">
      <alignment vertical="center"/>
    </xf>
  </cellXfs>
  <cellStyles count="4">
    <cellStyle name="Comma" xfId="1" builtinId="3"/>
    <cellStyle name="Comma 2" xfId="3" xr:uid="{0EB8F2DE-105B-4430-AC05-98E43DC5670C}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S-Rafian Ahmed Rizwan" id="{FA9282C6-1E34-49D4-97F4-556A65132555}" userId="S::rafianahmed.rizwan@synoviapharma.com::a8d2a116-5857-4085-9a94-6a529ba25f65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396A35-C5DD-470D-985F-4A3345D4440F}" autoFormatId="16" applyNumberFormats="0" applyBorderFormats="0" applyFontFormats="0" applyPatternFormats="0" applyAlignmentFormats="0" applyWidthHeightFormats="0">
  <queryTableRefresh nextId="59">
    <queryTableFields count="6">
      <queryTableField id="52" name="Attribute" tableColumnId="2"/>
      <queryTableField id="1" name="Territory" tableColumnId="1"/>
      <queryTableField id="55" name="Month.1" tableColumnId="4"/>
      <queryTableField id="48" name="Value" tableColumnId="5"/>
      <queryTableField id="56" name="QTY" tableColumnId="6"/>
      <queryTableField id="53" name="Price.1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FBD6F1-E9FD-476E-A68E-132DE3BDFDB7}" name="Output_Data" displayName="Output_Data" ref="A1:F3504" tableType="queryTable">
  <tableColumns count="6">
    <tableColumn id="2" xr3:uid="{65919DDE-E212-40D3-A163-581B9C9ABB6A}" uniqueName="2" name="Attribute" queryTableFieldId="52"/>
    <tableColumn id="1" xr3:uid="{78B969D5-3B20-4C3C-A2DF-0D23B60C0AB9}" uniqueName="1" name="Territory" queryTableFieldId="1" dataDxfId="4" totalsRowDxfId="3"/>
    <tableColumn id="4" xr3:uid="{B79EB552-C087-4760-86DF-162ECB2B1316}" uniqueName="4" name="Month.1" queryTableFieldId="55"/>
    <tableColumn id="5" xr3:uid="{F32314F5-F814-42A6-A870-DA968A7A282B}" uniqueName="5" name="Value" totalsRowFunction="sum" queryTableFieldId="48"/>
    <tableColumn id="6" xr3:uid="{A0FDC566-1D65-4F78-8746-09501B201E4E}" uniqueName="6" name="QTY" queryTableFieldId="56"/>
    <tableColumn id="3" xr3:uid="{22B9E205-83D5-4A17-998C-4BD9E1685B85}" uniqueName="3" name="Price.1" queryTableFieldId="5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35CF3-5466-4FF0-AC0D-3DAAC2886B4E}" name="Table1" displayName="Table1" ref="A1:AF114" totalsRowShown="0" headerRowDxfId="2">
  <tableColumns count="32">
    <tableColumn id="1" xr3:uid="{24CC7AB5-7E14-4DD2-ABBE-1B309CE4BDAA}" name="Territory"/>
    <tableColumn id="2" xr3:uid="{D4DBDB26-6C8D-4C30-B62F-87FDEB2BA528}" name="502"/>
    <tableColumn id="3" xr3:uid="{A0D309A5-4D17-433D-AA8B-730394F9C9A5}" name="504"/>
    <tableColumn id="4" xr3:uid="{2BBB947B-2E72-4A2C-85CC-ED9C6D3DCCFF}" name="505"/>
    <tableColumn id="5" xr3:uid="{D78DEC29-1282-4EC9-8F26-319BA0EFD739}" name="506"/>
    <tableColumn id="6" xr3:uid="{A9596D2A-1C5F-4F5C-B388-E3C73194646C}" name="508"/>
    <tableColumn id="7" xr3:uid="{D2913B99-1D5C-4C28-84F5-C12C3571E24C}" name="507"/>
    <tableColumn id="8" xr3:uid="{C5C19899-45AA-4E4A-BAAB-FC78D257E229}" name="520"/>
    <tableColumn id="9" xr3:uid="{C74FDED7-0050-432B-96CB-58BAD12F2F3A}" name="521"/>
    <tableColumn id="10" xr3:uid="{6C0EEBC3-42A6-4E3C-B8B1-86757F3CE469}" name="784"/>
    <tableColumn id="11" xr3:uid="{79740EEF-37C2-4EAD-9E53-164D13B6D1FE}" name="785"/>
    <tableColumn id="12" xr3:uid="{AC95C99C-9031-4A44-9422-4BE192B409FE}" name="758"/>
    <tableColumn id="13" xr3:uid="{C4319984-D0D7-4BF9-A20C-3679CCF64038}" name="757"/>
    <tableColumn id="14" xr3:uid="{893F332D-0F67-4DC1-9D08-83CA7737DFAD}" name="580"/>
    <tableColumn id="15" xr3:uid="{D4359F00-76A6-4F31-B632-A6D6F7BC68D8}" name="582"/>
    <tableColumn id="16" xr3:uid="{861EC333-A55C-49E7-B3D3-794C2DABDE15}" name="594"/>
    <tableColumn id="17" xr3:uid="{1246E9AA-0E4E-4975-9D26-CDAA819AAE7C}" name="595"/>
    <tableColumn id="18" xr3:uid="{9FD2B641-9480-4011-BD32-8E6BAB91450D}" name="603"/>
    <tableColumn id="19" xr3:uid="{3FF2AA04-180C-4C08-BFFE-33B788B762A3}" name="606"/>
    <tableColumn id="20" xr3:uid="{2DDA22EA-925D-439B-905F-8D6CA22825F1}" name="772"/>
    <tableColumn id="21" xr3:uid="{8C065E2F-7CFC-4A48-9DB3-5F36F8C4BD6C}" name="615"/>
    <tableColumn id="22" xr3:uid="{85A0CABA-53C2-4B39-B91E-67877FBAD5D7}" name="617"/>
    <tableColumn id="23" xr3:uid="{F54E5A4E-258F-4C0B-8181-F4B2C8A49605}" name="751"/>
    <tableColumn id="24" xr3:uid="{4931F2FA-5AF1-4E9B-AC50-BCDAA7A08E93}" name="752"/>
    <tableColumn id="25" xr3:uid="{7E9005DF-2631-42E5-9C38-0BA31FE2B793}" name="753"/>
    <tableColumn id="26" xr3:uid="{284F318D-3316-4BB0-A5EF-02A9C1BBFD99}" name="754"/>
    <tableColumn id="27" xr3:uid="{0495E848-01B6-4836-A8D4-89A2D69CA217}" name="614"/>
    <tableColumn id="28" xr3:uid="{7811D3D4-5A65-49F4-8ECB-FE3DD4E0D847}" name="797"/>
    <tableColumn id="29" xr3:uid="{AE7A1B68-468F-4B33-8C9A-F6273732CB72}" name="613"/>
    <tableColumn id="30" xr3:uid="{34802655-FB4E-4896-B376-449F452C8667}" name="767"/>
    <tableColumn id="31" xr3:uid="{841DD742-9BBF-4868-9869-05E49A6C717D}" name="807"/>
    <tableColumn id="32" xr3:uid="{9A0764C6-1EF8-46AF-95EF-B1A8A5E16C43}" name="80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781355-A00E-41ED-81EA-56DE397F4972}" name="Table3" displayName="Table3" ref="A1:B32" totalsRowShown="0">
  <tableColumns count="2">
    <tableColumn id="1" xr3:uid="{8303A273-E397-47E7-A81D-00804C4E8EE4}" name="ProductId"/>
    <tableColumn id="2" xr3:uid="{9A0962C7-4B9B-4676-A412-AC12A95A13AE}" name="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A8CBD0-3609-4BF5-9071-74768B20DADF}" name="Table4" displayName="Table4" ref="A1:A2" totalsRowShown="0">
  <autoFilter ref="A1:A2" xr:uid="{92A8CBD0-3609-4BF5-9071-74768B20DADF}"/>
  <tableColumns count="1">
    <tableColumn id="1" xr3:uid="{776BA055-9437-48F9-AD7D-06C6C39067B5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8" dT="2024-10-01T14:22:02.30" personId="{FA9282C6-1E34-49D4-97F4-556A65132555}" id="{1B59BC39-5247-408B-B829-5BD8454A8A11}">
    <text>1 Sku added to all territory</text>
  </threadedComment>
  <threadedComment ref="AX8" dT="2024-10-01T14:23:39.41" personId="{FA9282C6-1E34-49D4-97F4-556A65132555}" id="{1C3B7E50-56A7-40AB-96AD-AEE7CA7D2608}">
    <text>1 Sku added to all territory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CA2D-6BA8-470C-900D-1ECCB7665EA1}">
  <dimension ref="A1:EI247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M111" sqref="DM111"/>
    </sheetView>
  </sheetViews>
  <sheetFormatPr defaultRowHeight="14.5" x14ac:dyDescent="0.35"/>
  <cols>
    <col min="1" max="2" width="16.453125" bestFit="1" customWidth="1"/>
    <col min="3" max="4" width="12.81640625" bestFit="1" customWidth="1"/>
    <col min="5" max="5" width="11.453125" bestFit="1" customWidth="1"/>
    <col min="6" max="6" width="9.81640625" bestFit="1" customWidth="1"/>
    <col min="39" max="69" width="13.54296875" customWidth="1"/>
  </cols>
  <sheetData>
    <row r="1" spans="1:139" ht="15" thickTop="1" x14ac:dyDescent="0.35">
      <c r="B1" t="s">
        <v>58</v>
      </c>
      <c r="C1" t="s">
        <v>69</v>
      </c>
      <c r="E1" s="8" t="s">
        <v>48</v>
      </c>
      <c r="F1" s="8" t="s">
        <v>47</v>
      </c>
      <c r="AM1" s="12">
        <f>AM3-AM2</f>
        <v>-0.7730781277641654</v>
      </c>
      <c r="AN1" s="13">
        <f t="shared" ref="AN1:BQ1" si="0">AN3-AN2</f>
        <v>-3.3625234123319387</v>
      </c>
      <c r="AO1" s="13">
        <f t="shared" si="0"/>
        <v>0.15813783742487431</v>
      </c>
      <c r="AP1" s="13">
        <f t="shared" si="0"/>
        <v>-1.5265519171953201</v>
      </c>
      <c r="AQ1" s="13">
        <f t="shared" si="0"/>
        <v>1.8709779586642981</v>
      </c>
      <c r="AR1" s="13">
        <f t="shared" si="0"/>
        <v>-1.2512102415785193</v>
      </c>
      <c r="AS1" s="13">
        <f t="shared" si="0"/>
        <v>2.1459792845562333</v>
      </c>
      <c r="AT1" s="13">
        <f t="shared" si="0"/>
        <v>3.012679795618169</v>
      </c>
      <c r="AU1" s="13">
        <f t="shared" si="0"/>
        <v>-4.1110828664241126</v>
      </c>
      <c r="AV1" s="13">
        <f t="shared" si="0"/>
        <v>-4.5850562541454565</v>
      </c>
      <c r="AW1" s="13">
        <f t="shared" si="0"/>
        <v>2.9944430189207196</v>
      </c>
      <c r="AX1" s="13">
        <f t="shared" si="0"/>
        <v>0.48708393517881632</v>
      </c>
      <c r="AY1" s="13">
        <f t="shared" si="0"/>
        <v>-0.18598364637000486</v>
      </c>
      <c r="AZ1" s="13">
        <f t="shared" si="0"/>
        <v>-1.8375701216282323</v>
      </c>
      <c r="BA1" s="13">
        <f t="shared" si="0"/>
        <v>1.8257656474597752</v>
      </c>
      <c r="BB1" s="13">
        <f t="shared" si="0"/>
        <v>1.5118756126612425</v>
      </c>
      <c r="BC1" s="13">
        <f t="shared" si="0"/>
        <v>-5.7007806173060089</v>
      </c>
      <c r="BD1" s="13">
        <f t="shared" si="0"/>
        <v>-1.8456421671435237</v>
      </c>
      <c r="BE1" s="13">
        <f t="shared" si="0"/>
        <v>-2.2054259059004835</v>
      </c>
      <c r="BF1" s="13">
        <f t="shared" si="0"/>
        <v>-2.9521158945281059</v>
      </c>
      <c r="BG1" s="13">
        <f t="shared" si="0"/>
        <v>3.4287321005540434</v>
      </c>
      <c r="BH1" s="13">
        <f t="shared" si="0"/>
        <v>5.7072415871371049</v>
      </c>
      <c r="BI1" s="13">
        <f t="shared" si="0"/>
        <v>3.1054147463291883</v>
      </c>
      <c r="BJ1" s="13">
        <f t="shared" si="0"/>
        <v>-2.2314627880696207</v>
      </c>
      <c r="BK1" s="13">
        <f t="shared" si="0"/>
        <v>-1.4707307294884231</v>
      </c>
      <c r="BL1" s="13">
        <f t="shared" si="0"/>
        <v>-6.8180506587959826</v>
      </c>
      <c r="BM1" s="13">
        <f t="shared" si="0"/>
        <v>-0.561217727168696</v>
      </c>
      <c r="BN1" s="13">
        <f t="shared" si="0"/>
        <v>5.2650258891517296</v>
      </c>
      <c r="BO1" s="13">
        <f t="shared" si="0"/>
        <v>-0.42274020193144679</v>
      </c>
      <c r="BP1" s="13">
        <f t="shared" si="0"/>
        <v>-0.29890901426551864</v>
      </c>
      <c r="BQ1" s="52">
        <f t="shared" si="0"/>
        <v>6.2502669392561074</v>
      </c>
    </row>
    <row r="2" spans="1:139" x14ac:dyDescent="0.35">
      <c r="C2">
        <f>171*AP5</f>
        <v>81000.990000000005</v>
      </c>
      <c r="E2">
        <v>1</v>
      </c>
      <c r="F2">
        <v>-1</v>
      </c>
      <c r="AM2" s="14">
        <f>IFERROR(_xlfn.XLOOKUP(AM$7,'Product Tgt'!$B:$B,'Product Tgt'!$G:$G),0)</f>
        <v>4840263.7730781278</v>
      </c>
      <c r="AN2" s="15">
        <f>IFERROR(_xlfn.XLOOKUP(AN$7,'Product Tgt'!$B:$B,'Product Tgt'!$G:$G),0)</f>
        <v>9670920.3625234123</v>
      </c>
      <c r="AO2" s="15">
        <f>IFERROR(_xlfn.XLOOKUP(AO$7,'Product Tgt'!$B:$B,'Product Tgt'!$G:$G),0)</f>
        <v>4688699.8418621626</v>
      </c>
      <c r="AP2" s="15">
        <f>IFERROR(_xlfn.XLOOKUP(AP$7,'Product Tgt'!$B:$B,'Product Tgt'!$G:$G),0)</f>
        <v>5233797.5265519172</v>
      </c>
      <c r="AQ2" s="15">
        <f>IFERROR(_xlfn.XLOOKUP(AQ$7,'Product Tgt'!$B:$B,'Product Tgt'!$G:$G),0)</f>
        <v>4620335.1290220413</v>
      </c>
      <c r="AR2" s="15">
        <f>IFERROR(_xlfn.XLOOKUP(AR$7,'Product Tgt'!$B:$B,'Product Tgt'!$G:$G),0)</f>
        <v>3450135.2512102416</v>
      </c>
      <c r="AS2" s="15">
        <f>IFERROR(_xlfn.XLOOKUP(AS$7,'Product Tgt'!$B:$B,'Product Tgt'!$G:$G),0)</f>
        <v>60975.854020715444</v>
      </c>
      <c r="AT2" s="15">
        <f>IFERROR(_xlfn.XLOOKUP(AT$7,'Product Tgt'!$B:$B,'Product Tgt'!$G:$G),0)</f>
        <v>452098.98732020438</v>
      </c>
      <c r="AU2" s="15">
        <f>IFERROR(_xlfn.XLOOKUP(AU$7,'Product Tgt'!$B:$B,'Product Tgt'!$G:$G),0)</f>
        <v>76690.111082866424</v>
      </c>
      <c r="AV2" s="15">
        <f>IFERROR(_xlfn.XLOOKUP(AV$7,'Product Tgt'!$B:$B,'Product Tgt'!$G:$G),0)</f>
        <v>92939.585056254145</v>
      </c>
      <c r="AW2" s="15">
        <f>IFERROR(_xlfn.XLOOKUP(AW$7,'Product Tgt'!$B:$B,'Product Tgt'!$G:$G),0)</f>
        <v>1168725.0055569811</v>
      </c>
      <c r="AX2" s="15">
        <f>IFERROR(_xlfn.XLOOKUP(AX$7,'Product Tgt'!$B:$B,'Product Tgt'!$G:$G),0)</f>
        <v>2248503.5129160648</v>
      </c>
      <c r="AY2" s="15">
        <f>IFERROR(_xlfn.XLOOKUP(AY$7,'Product Tgt'!$B:$B,'Product Tgt'!$G:$G),0)</f>
        <v>161361.18598364637</v>
      </c>
      <c r="AZ2" s="15">
        <f>IFERROR(_xlfn.XLOOKUP(AZ$7,'Product Tgt'!$B:$B,'Product Tgt'!$G:$G),0)</f>
        <v>431493.83757012163</v>
      </c>
      <c r="BA2" s="15">
        <f>IFERROR(_xlfn.XLOOKUP(BA$7,'Product Tgt'!$B:$B,'Product Tgt'!$G:$G),0)</f>
        <v>2032067.1742343525</v>
      </c>
      <c r="BB2" s="15">
        <f>IFERROR(_xlfn.XLOOKUP(BB$7,'Product Tgt'!$B:$B,'Product Tgt'!$G:$G),0)</f>
        <v>2693943.4881243873</v>
      </c>
      <c r="BC2" s="15">
        <f>IFERROR(_xlfn.XLOOKUP(BC$7,'Product Tgt'!$B:$B,'Product Tgt'!$G:$G),0)</f>
        <v>389379.70078061731</v>
      </c>
      <c r="BD2" s="15">
        <f>IFERROR(_xlfn.XLOOKUP(BD$7,'Product Tgt'!$B:$B,'Product Tgt'!$G:$G),0)</f>
        <v>457392.84564216714</v>
      </c>
      <c r="BE2" s="15">
        <f>IFERROR(_xlfn.XLOOKUP(BE$7,'Product Tgt'!$B:$B,'Product Tgt'!$G:$G),0)</f>
        <v>38529.2054259059</v>
      </c>
      <c r="BF2" s="15">
        <f>IFERROR(_xlfn.XLOOKUP(BF$7,'Product Tgt'!$B:$B,'Product Tgt'!$G:$G),0)</f>
        <v>713785.95211589453</v>
      </c>
      <c r="BG2" s="15">
        <f>IFERROR(_xlfn.XLOOKUP(BG$7,'Product Tgt'!$B:$B,'Product Tgt'!$G:$G),0)</f>
        <v>249774.57126789945</v>
      </c>
      <c r="BH2" s="15">
        <f>IFERROR(_xlfn.XLOOKUP(BH$7,'Product Tgt'!$B:$B,'Product Tgt'!$G:$G),0)</f>
        <v>178175.29275841286</v>
      </c>
      <c r="BI2" s="15">
        <f>IFERROR(_xlfn.XLOOKUP(BI$7,'Product Tgt'!$B:$B,'Product Tgt'!$G:$G),0)</f>
        <v>846197.89458525367</v>
      </c>
      <c r="BJ2" s="15">
        <f>IFERROR(_xlfn.XLOOKUP(BJ$7,'Product Tgt'!$B:$B,'Product Tgt'!$G:$G),0)</f>
        <v>1362207.2314627881</v>
      </c>
      <c r="BK2" s="15">
        <f>IFERROR(_xlfn.XLOOKUP(BK$7,'Product Tgt'!$B:$B,'Product Tgt'!$G:$G),0)</f>
        <v>217558.47073072949</v>
      </c>
      <c r="BL2" s="15">
        <f>IFERROR(_xlfn.XLOOKUP(BL$7,'Product Tgt'!$B:$B,'Product Tgt'!$G:$G),0)</f>
        <v>2036221.8180506588</v>
      </c>
      <c r="BM2" s="15">
        <f>IFERROR(_xlfn.XLOOKUP(BM$7,'Product Tgt'!$B:$B,'Product Tgt'!$G:$G),0)</f>
        <v>148716.56121772717</v>
      </c>
      <c r="BN2" s="15">
        <f>IFERROR(_xlfn.XLOOKUP(BN$7,'Product Tgt'!$B:$B,'Product Tgt'!$G:$G),0)</f>
        <v>1030387.7349741108</v>
      </c>
      <c r="BO2" s="15">
        <f>IFERROR(_xlfn.XLOOKUP(BO$7,'Product Tgt'!$B:$B,'Product Tgt'!$G:$G),0)</f>
        <v>935065.42274020193</v>
      </c>
      <c r="BP2" s="15">
        <f>IFERROR(_xlfn.XLOOKUP(BP$7,'Product Tgt'!$B:$B,'Product Tgt'!$G:$G),0)</f>
        <v>154894.29890901427</v>
      </c>
      <c r="BQ2" s="53">
        <f>IFERROR(_xlfn.XLOOKUP(BQ$7,'Product Tgt'!$B:$B,'Product Tgt'!$G:$G),0)</f>
        <v>234173.74973306074</v>
      </c>
    </row>
    <row r="3" spans="1:139" x14ac:dyDescent="0.35">
      <c r="B3">
        <f>171*AX5*2</f>
        <v>169207.91999999998</v>
      </c>
      <c r="C3" t="e">
        <f>171*#REF!</f>
        <v>#REF!</v>
      </c>
      <c r="E3">
        <v>2</v>
      </c>
      <c r="F3">
        <v>-2</v>
      </c>
      <c r="AM3" s="16">
        <f t="shared" ref="AM3" si="1">SUM(AM8:AM247)</f>
        <v>4840263</v>
      </c>
      <c r="AN3" s="17">
        <f t="shared" ref="AN3:BQ3" si="2">SUM(AN8:AN247)</f>
        <v>9670917</v>
      </c>
      <c r="AO3" s="17">
        <f t="shared" si="2"/>
        <v>4688700</v>
      </c>
      <c r="AP3" s="17">
        <f t="shared" si="2"/>
        <v>5233796</v>
      </c>
      <c r="AQ3" s="17">
        <f t="shared" si="2"/>
        <v>4620337</v>
      </c>
      <c r="AR3" s="17">
        <f t="shared" si="2"/>
        <v>3450134</v>
      </c>
      <c r="AS3" s="17">
        <f t="shared" si="2"/>
        <v>60978</v>
      </c>
      <c r="AT3" s="17">
        <f t="shared" si="2"/>
        <v>452102</v>
      </c>
      <c r="AU3" s="17">
        <f t="shared" si="2"/>
        <v>76686</v>
      </c>
      <c r="AV3" s="17">
        <f t="shared" si="2"/>
        <v>92935</v>
      </c>
      <c r="AW3" s="17">
        <f t="shared" si="2"/>
        <v>1168728</v>
      </c>
      <c r="AX3" s="17">
        <f t="shared" si="2"/>
        <v>2248504</v>
      </c>
      <c r="AY3" s="17">
        <f t="shared" si="2"/>
        <v>161361</v>
      </c>
      <c r="AZ3" s="17">
        <f t="shared" si="2"/>
        <v>431492</v>
      </c>
      <c r="BA3" s="17">
        <f t="shared" si="2"/>
        <v>2032069</v>
      </c>
      <c r="BB3" s="17">
        <f t="shared" si="2"/>
        <v>2693945</v>
      </c>
      <c r="BC3" s="17">
        <f t="shared" si="2"/>
        <v>389374</v>
      </c>
      <c r="BD3" s="17">
        <f t="shared" si="2"/>
        <v>457391</v>
      </c>
      <c r="BE3" s="17">
        <f t="shared" si="2"/>
        <v>38527</v>
      </c>
      <c r="BF3" s="17">
        <f t="shared" si="2"/>
        <v>713783</v>
      </c>
      <c r="BG3" s="17">
        <f t="shared" si="2"/>
        <v>249778</v>
      </c>
      <c r="BH3" s="17">
        <f t="shared" si="2"/>
        <v>178181</v>
      </c>
      <c r="BI3" s="17">
        <f t="shared" si="2"/>
        <v>846201</v>
      </c>
      <c r="BJ3" s="17">
        <f t="shared" si="2"/>
        <v>1362205</v>
      </c>
      <c r="BK3" s="17">
        <f t="shared" si="2"/>
        <v>217557</v>
      </c>
      <c r="BL3" s="17">
        <f t="shared" si="2"/>
        <v>2036215</v>
      </c>
      <c r="BM3" s="17">
        <f t="shared" si="2"/>
        <v>148716</v>
      </c>
      <c r="BN3" s="17">
        <f t="shared" si="2"/>
        <v>1030393</v>
      </c>
      <c r="BO3" s="17">
        <f t="shared" si="2"/>
        <v>935065</v>
      </c>
      <c r="BP3" s="17">
        <f t="shared" si="2"/>
        <v>154894</v>
      </c>
      <c r="BQ3" s="54">
        <f t="shared" si="2"/>
        <v>234180</v>
      </c>
    </row>
    <row r="4" spans="1:139" ht="15" thickBot="1" x14ac:dyDescent="0.4">
      <c r="E4" t="s">
        <v>45</v>
      </c>
      <c r="F4" s="4">
        <f>MAX(E8:E120)</f>
        <v>8.0141641142545268</v>
      </c>
      <c r="AM4" s="14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53"/>
      <c r="BR4" s="2" t="s">
        <v>82</v>
      </c>
      <c r="DA4" s="2" t="s">
        <v>83</v>
      </c>
      <c r="DB4" s="2"/>
    </row>
    <row r="5" spans="1:139" ht="15" thickBot="1" x14ac:dyDescent="0.4">
      <c r="C5" s="2" t="s">
        <v>43</v>
      </c>
      <c r="E5" t="s">
        <v>46</v>
      </c>
      <c r="F5" s="4">
        <f>MIN(E8:E120)</f>
        <v>-11.76871311024297</v>
      </c>
      <c r="G5" t="s">
        <v>52</v>
      </c>
      <c r="H5" s="33">
        <f>_xlfn.XLOOKUP(H$7,'Product Tgt'!$B:$B,'Product Tgt'!$D:$D,0)</f>
        <v>311.24</v>
      </c>
      <c r="I5" s="34">
        <f>_xlfn.XLOOKUP(I$7,'Product Tgt'!$B:$B,'Product Tgt'!$D:$D,0)</f>
        <v>436.51</v>
      </c>
      <c r="J5" s="34">
        <f>_xlfn.XLOOKUP(J$7,'Product Tgt'!$B:$B,'Product Tgt'!$D:$D,0)</f>
        <v>372.18</v>
      </c>
      <c r="K5" s="34">
        <f>_xlfn.XLOOKUP(K$7,'Product Tgt'!$B:$B,'Product Tgt'!$D:$D,0)</f>
        <v>473.69</v>
      </c>
      <c r="L5" s="34">
        <f>_xlfn.XLOOKUP(L$7,'Product Tgt'!$B:$B,'Product Tgt'!$D:$D,0)</f>
        <v>404.7</v>
      </c>
      <c r="M5" s="34">
        <f>_xlfn.XLOOKUP(M$7,'Product Tgt'!$B:$B,'Product Tgt'!$D:$D,0)</f>
        <v>270</v>
      </c>
      <c r="N5" s="34">
        <f>_xlfn.XLOOKUP(N$7,'Product Tgt'!$B:$B,'Product Tgt'!$D:$D,0)</f>
        <v>68</v>
      </c>
      <c r="O5" s="34">
        <f>_xlfn.XLOOKUP(O$7,'Product Tgt'!$B:$B,'Product Tgt'!$D:$D,0)</f>
        <v>116</v>
      </c>
      <c r="P5" s="34">
        <f>_xlfn.XLOOKUP(P$7,'Product Tgt'!$B:$B,'Product Tgt'!$D:$D,0)</f>
        <v>337.2</v>
      </c>
      <c r="Q5" s="34">
        <f>_xlfn.XLOOKUP(Q$7,'Product Tgt'!$B:$B,'Product Tgt'!$D:$D,0)</f>
        <v>562.20000000000005</v>
      </c>
      <c r="R5" s="34">
        <f>_xlfn.XLOOKUP(R$7,'Product Tgt'!$B:$B,'Product Tgt'!$D:$D,0)</f>
        <v>674.67</v>
      </c>
      <c r="S5" s="34">
        <f>_xlfn.XLOOKUP(S$7,'Product Tgt'!$B:$B,'Product Tgt'!$D:$D,0)</f>
        <v>494.76</v>
      </c>
      <c r="T5" s="34">
        <f>_xlfn.XLOOKUP(T$7,'Product Tgt'!$B:$B,'Product Tgt'!$D:$D,0)</f>
        <v>270.68</v>
      </c>
      <c r="U5" s="34">
        <f>_xlfn.XLOOKUP(U$7,'Product Tgt'!$B:$B,'Product Tgt'!$D:$D,0)</f>
        <v>300.75</v>
      </c>
      <c r="V5" s="34">
        <f>_xlfn.XLOOKUP(V$7,'Product Tgt'!$B:$B,'Product Tgt'!$D:$D,0)</f>
        <v>168.75</v>
      </c>
      <c r="W5" s="34">
        <f>_xlfn.XLOOKUP(W$7,'Product Tgt'!$B:$B,'Product Tgt'!$D:$D,0)</f>
        <v>75</v>
      </c>
      <c r="X5" s="34">
        <f>_xlfn.XLOOKUP(X$7,'Product Tgt'!$B:$B,'Product Tgt'!$D:$D,0)</f>
        <v>225.56</v>
      </c>
      <c r="Y5" s="34">
        <f>_xlfn.XLOOKUP(Y$7,'Product Tgt'!$B:$B,'Product Tgt'!$D:$D,0)</f>
        <v>262.37</v>
      </c>
      <c r="Z5" s="34">
        <f>_xlfn.XLOOKUP(Z$7,'Product Tgt'!$B:$B,'Product Tgt'!$D:$D,0)</f>
        <v>202.4</v>
      </c>
      <c r="AA5" s="34">
        <f>_xlfn.XLOOKUP(AA$7,'Product Tgt'!$B:$B,'Product Tgt'!$D:$D,0)</f>
        <v>270.68</v>
      </c>
      <c r="AB5" s="34">
        <f>_xlfn.XLOOKUP(AB$7,'Product Tgt'!$B:$B,'Product Tgt'!$D:$D,0)</f>
        <v>450</v>
      </c>
      <c r="AC5" s="34">
        <f>_xlfn.XLOOKUP(AC$7,'Product Tgt'!$B:$B,'Product Tgt'!$D:$D,0)</f>
        <v>203.01</v>
      </c>
      <c r="AD5" s="34">
        <f>_xlfn.XLOOKUP(AD$7,'Product Tgt'!$B:$B,'Product Tgt'!$D:$D,0)</f>
        <v>345.86</v>
      </c>
      <c r="AE5" s="34">
        <f>_xlfn.XLOOKUP(AE$7,'Product Tgt'!$B:$B,'Product Tgt'!$D:$D,0)</f>
        <v>488.72</v>
      </c>
      <c r="AF5" s="34">
        <f>_xlfn.XLOOKUP(AF$7,'Product Tgt'!$B:$B,'Product Tgt'!$D:$D,0)</f>
        <v>601.51</v>
      </c>
      <c r="AG5" s="34">
        <f>_xlfn.XLOOKUP(AG$7,'Product Tgt'!$B:$B,'Product Tgt'!$D:$D,0)</f>
        <v>562.20000000000005</v>
      </c>
      <c r="AH5" s="34">
        <f>_xlfn.XLOOKUP(AH$7,'Product Tgt'!$B:$B,'Product Tgt'!$D:$D,0)</f>
        <v>449.8</v>
      </c>
      <c r="AI5" s="34">
        <f>_xlfn.XLOOKUP(AI$7,'Product Tgt'!$B:$B,'Product Tgt'!$D:$D,0)</f>
        <v>292.5</v>
      </c>
      <c r="AJ5" s="34">
        <f>_xlfn.XLOOKUP(AJ$7,'Product Tgt'!$B:$B,'Product Tgt'!$D:$D,0)</f>
        <v>599.79999999999995</v>
      </c>
      <c r="AK5" s="34">
        <f>_xlfn.XLOOKUP(AK$7,'Product Tgt'!$B:$B,'Product Tgt'!$D:$D,0)</f>
        <v>200</v>
      </c>
      <c r="AL5" s="35">
        <f>_xlfn.XLOOKUP(AL$7,'Product Tgt'!$B:$B,'Product Tgt'!$D:$D,0)</f>
        <v>294.74</v>
      </c>
      <c r="AM5" s="25">
        <f>_xlfn.XLOOKUP(AM$7,'Product Tgt'!$B:$B,'Product Tgt'!$D:$D,0)</f>
        <v>311.24</v>
      </c>
      <c r="AN5" s="11">
        <f>_xlfn.XLOOKUP(AN$7,'Product Tgt'!$B:$B,'Product Tgt'!$D:$D,0)</f>
        <v>436.51</v>
      </c>
      <c r="AO5" s="11">
        <f>_xlfn.XLOOKUP(AO$7,'Product Tgt'!$B:$B,'Product Tgt'!$D:$D,0)</f>
        <v>372.18</v>
      </c>
      <c r="AP5" s="11">
        <f>_xlfn.XLOOKUP(AP$7,'Product Tgt'!$B:$B,'Product Tgt'!$D:$D,0)</f>
        <v>473.69</v>
      </c>
      <c r="AQ5" s="11">
        <f>_xlfn.XLOOKUP(AQ$7,'Product Tgt'!$B:$B,'Product Tgt'!$D:$D,0)</f>
        <v>404.7</v>
      </c>
      <c r="AR5" s="11">
        <f>_xlfn.XLOOKUP(AR$7,'Product Tgt'!$B:$B,'Product Tgt'!$D:$D,0)</f>
        <v>270</v>
      </c>
      <c r="AS5" s="11">
        <f>_xlfn.XLOOKUP(AS$7,'Product Tgt'!$B:$B,'Product Tgt'!$D:$D,0)</f>
        <v>68</v>
      </c>
      <c r="AT5" s="11">
        <f>_xlfn.XLOOKUP(AT$7,'Product Tgt'!$B:$B,'Product Tgt'!$D:$D,0)</f>
        <v>116</v>
      </c>
      <c r="AU5" s="11">
        <f>_xlfn.XLOOKUP(AU$7,'Product Tgt'!$B:$B,'Product Tgt'!$D:$D,0)</f>
        <v>337.2</v>
      </c>
      <c r="AV5" s="11">
        <f>_xlfn.XLOOKUP(AV$7,'Product Tgt'!$B:$B,'Product Tgt'!$D:$D,0)</f>
        <v>562.20000000000005</v>
      </c>
      <c r="AW5" s="11">
        <f>_xlfn.XLOOKUP(AW$7,'Product Tgt'!$B:$B,'Product Tgt'!$D:$D,0)</f>
        <v>674.67</v>
      </c>
      <c r="AX5" s="11">
        <f>_xlfn.XLOOKUP(AX$7,'Product Tgt'!$B:$B,'Product Tgt'!$D:$D,0)</f>
        <v>494.76</v>
      </c>
      <c r="AY5" s="11">
        <f>_xlfn.XLOOKUP(AY$7,'Product Tgt'!$B:$B,'Product Tgt'!$D:$D,0)</f>
        <v>270.68</v>
      </c>
      <c r="AZ5" s="11">
        <f>_xlfn.XLOOKUP(AZ$7,'Product Tgt'!$B:$B,'Product Tgt'!$D:$D,0)</f>
        <v>300.75</v>
      </c>
      <c r="BA5" s="11">
        <f>_xlfn.XLOOKUP(BA$7,'Product Tgt'!$B:$B,'Product Tgt'!$D:$D,0)</f>
        <v>168.75</v>
      </c>
      <c r="BB5" s="11">
        <f>_xlfn.XLOOKUP(BB$7,'Product Tgt'!$B:$B,'Product Tgt'!$D:$D,0)</f>
        <v>75</v>
      </c>
      <c r="BC5" s="11">
        <f>_xlfn.XLOOKUP(BC$7,'Product Tgt'!$B:$B,'Product Tgt'!$D:$D,0)</f>
        <v>225.56</v>
      </c>
      <c r="BD5" s="11">
        <f>_xlfn.XLOOKUP(BD$7,'Product Tgt'!$B:$B,'Product Tgt'!$D:$D,0)</f>
        <v>262.37</v>
      </c>
      <c r="BE5" s="11">
        <f>_xlfn.XLOOKUP(BE$7,'Product Tgt'!$B:$B,'Product Tgt'!$D:$D,0)</f>
        <v>202.4</v>
      </c>
      <c r="BF5" s="11">
        <f>_xlfn.XLOOKUP(BF$7,'Product Tgt'!$B:$B,'Product Tgt'!$D:$D,0)</f>
        <v>270.68</v>
      </c>
      <c r="BG5" s="11">
        <f>_xlfn.XLOOKUP(BG$7,'Product Tgt'!$B:$B,'Product Tgt'!$D:$D,0)</f>
        <v>450</v>
      </c>
      <c r="BH5" s="11">
        <f>_xlfn.XLOOKUP(BH$7,'Product Tgt'!$B:$B,'Product Tgt'!$D:$D,0)</f>
        <v>203.01</v>
      </c>
      <c r="BI5" s="11">
        <f>_xlfn.XLOOKUP(BI$7,'Product Tgt'!$B:$B,'Product Tgt'!$D:$D,0)</f>
        <v>345.86</v>
      </c>
      <c r="BJ5" s="11">
        <f>_xlfn.XLOOKUP(BJ$7,'Product Tgt'!$B:$B,'Product Tgt'!$D:$D,0)</f>
        <v>488.72</v>
      </c>
      <c r="BK5" s="11">
        <f>_xlfn.XLOOKUP(BK$7,'Product Tgt'!$B:$B,'Product Tgt'!$D:$D,0)</f>
        <v>601.51</v>
      </c>
      <c r="BL5" s="11">
        <f>_xlfn.XLOOKUP(BL$7,'Product Tgt'!$B:$B,'Product Tgt'!$D:$D,0)</f>
        <v>562.20000000000005</v>
      </c>
      <c r="BM5" s="11">
        <f>_xlfn.XLOOKUP(BM$7,'Product Tgt'!$B:$B,'Product Tgt'!$D:$D,0)</f>
        <v>449.8</v>
      </c>
      <c r="BN5" s="11">
        <f>_xlfn.XLOOKUP(BN$7,'Product Tgt'!$B:$B,'Product Tgt'!$D:$D,0)</f>
        <v>292.5</v>
      </c>
      <c r="BO5" s="11">
        <f>_xlfn.XLOOKUP(BO$7,'Product Tgt'!$B:$B,'Product Tgt'!$D:$D,0)</f>
        <v>599.79999999999995</v>
      </c>
      <c r="BP5" s="11">
        <f>_xlfn.XLOOKUP(BP$7,'Product Tgt'!$B:$B,'Product Tgt'!$D:$D,0)</f>
        <v>200</v>
      </c>
      <c r="BQ5" s="55">
        <f>_xlfn.XLOOKUP(BQ$7,'Product Tgt'!$B:$B,'Product Tgt'!$D:$D,0)</f>
        <v>294.74</v>
      </c>
      <c r="BR5">
        <f>_xlfn.XLOOKUP(BR$7,'Product Tgt'!$B:$B,'Product Tgt'!$D:$D,0)</f>
        <v>0</v>
      </c>
      <c r="BS5">
        <f>_xlfn.XLOOKUP(BS$7,'Product Tgt'!$B:$B,'Product Tgt'!$D:$D,0)</f>
        <v>0</v>
      </c>
      <c r="BT5">
        <f>_xlfn.XLOOKUP(BT$7,'Product Tgt'!$B:$B,'Product Tgt'!$D:$D,0)</f>
        <v>0</v>
      </c>
      <c r="BU5">
        <f>_xlfn.XLOOKUP(BU$7,'Product Tgt'!$B:$B,'Product Tgt'!$D:$D,0)</f>
        <v>0</v>
      </c>
      <c r="BV5">
        <f>_xlfn.XLOOKUP(BV$7,'Product Tgt'!$B:$B,'Product Tgt'!$D:$D,0)</f>
        <v>0</v>
      </c>
      <c r="BW5">
        <f>_xlfn.XLOOKUP(BW$7,'Product Tgt'!$B:$B,'Product Tgt'!$D:$D,0)</f>
        <v>0</v>
      </c>
      <c r="BX5">
        <f>_xlfn.XLOOKUP(BX$7,'Product Tgt'!$B:$B,'Product Tgt'!$D:$D,0)</f>
        <v>0</v>
      </c>
      <c r="BY5">
        <f>_xlfn.XLOOKUP(BY$7,'Product Tgt'!$B:$B,'Product Tgt'!$D:$D,0)</f>
        <v>0</v>
      </c>
      <c r="BZ5">
        <f>_xlfn.XLOOKUP(BZ$7,'Product Tgt'!$B:$B,'Product Tgt'!$D:$D,0)</f>
        <v>0</v>
      </c>
      <c r="CA5">
        <f>_xlfn.XLOOKUP(CA$7,'Product Tgt'!$B:$B,'Product Tgt'!$D:$D,0)</f>
        <v>0</v>
      </c>
      <c r="CB5">
        <f>_xlfn.XLOOKUP(CB$7,'Product Tgt'!$B:$B,'Product Tgt'!$D:$D,0)</f>
        <v>0</v>
      </c>
      <c r="CC5">
        <f>_xlfn.XLOOKUP(CC$7,'Product Tgt'!$B:$B,'Product Tgt'!$D:$D,0)</f>
        <v>0</v>
      </c>
      <c r="CD5">
        <f>_xlfn.XLOOKUP(CD$7,'Product Tgt'!$B:$B,'Product Tgt'!$D:$D,0)</f>
        <v>0</v>
      </c>
      <c r="CE5">
        <f>_xlfn.XLOOKUP(CE$7,'Product Tgt'!$B:$B,'Product Tgt'!$D:$D,0)</f>
        <v>0</v>
      </c>
      <c r="CF5">
        <f>_xlfn.XLOOKUP(CF$7,'Product Tgt'!$B:$B,'Product Tgt'!$D:$D,0)</f>
        <v>0</v>
      </c>
      <c r="CG5">
        <f>_xlfn.XLOOKUP(CG$7,'Product Tgt'!$B:$B,'Product Tgt'!$D:$D,0)</f>
        <v>0</v>
      </c>
      <c r="CH5">
        <f>_xlfn.XLOOKUP(CH$7,'Product Tgt'!$B:$B,'Product Tgt'!$D:$D,0)</f>
        <v>0</v>
      </c>
      <c r="CI5">
        <f>_xlfn.XLOOKUP(CI$7,'Product Tgt'!$B:$B,'Product Tgt'!$D:$D,0)</f>
        <v>0</v>
      </c>
      <c r="CJ5">
        <f>_xlfn.XLOOKUP(CJ$7,'Product Tgt'!$B:$B,'Product Tgt'!$D:$D,0)</f>
        <v>0</v>
      </c>
      <c r="CK5">
        <f>_xlfn.XLOOKUP(CK$7,'Product Tgt'!$B:$B,'Product Tgt'!$D:$D,0)</f>
        <v>0</v>
      </c>
      <c r="CL5">
        <f>_xlfn.XLOOKUP(CL$7,'Product Tgt'!$B:$B,'Product Tgt'!$D:$D,0)</f>
        <v>0</v>
      </c>
      <c r="CM5">
        <f>_xlfn.XLOOKUP(CM$7,'Product Tgt'!$B:$B,'Product Tgt'!$D:$D,0)</f>
        <v>0</v>
      </c>
      <c r="CN5">
        <f>_xlfn.XLOOKUP(CN$7,'Product Tgt'!$B:$B,'Product Tgt'!$D:$D,0)</f>
        <v>0</v>
      </c>
      <c r="CO5">
        <f>_xlfn.XLOOKUP(CO$7,'Product Tgt'!$B:$B,'Product Tgt'!$D:$D,0)</f>
        <v>0</v>
      </c>
      <c r="CP5">
        <f>_xlfn.XLOOKUP(CP$7,'Product Tgt'!$B:$B,'Product Tgt'!$D:$D,0)</f>
        <v>0</v>
      </c>
      <c r="CQ5">
        <f>_xlfn.XLOOKUP(CQ$7,'Product Tgt'!$B:$B,'Product Tgt'!$D:$D,0)</f>
        <v>0</v>
      </c>
      <c r="CR5">
        <f>_xlfn.XLOOKUP(CR$7,'Product Tgt'!$B:$B,'Product Tgt'!$D:$D,0)</f>
        <v>0</v>
      </c>
      <c r="CS5">
        <f>_xlfn.XLOOKUP(CS$7,'Product Tgt'!$B:$B,'Product Tgt'!$D:$D,0)</f>
        <v>0</v>
      </c>
      <c r="CT5">
        <f>_xlfn.XLOOKUP(CT$7,'Product Tgt'!$B:$B,'Product Tgt'!$D:$D,0)</f>
        <v>0</v>
      </c>
      <c r="CU5">
        <f>_xlfn.XLOOKUP(CU$7,'Product Tgt'!$B:$B,'Product Tgt'!$D:$D,0)</f>
        <v>0</v>
      </c>
      <c r="CV5">
        <f>_xlfn.XLOOKUP(CV$7,'Product Tgt'!$B:$B,'Product Tgt'!$D:$D,0)</f>
        <v>0</v>
      </c>
      <c r="CW5">
        <f>_xlfn.XLOOKUP(CW$7,'Product Tgt'!$B:$B,'Product Tgt'!$D:$D,0)</f>
        <v>0</v>
      </c>
      <c r="CX5">
        <f>_xlfn.XLOOKUP(CX$7,'Product Tgt'!$B:$B,'Product Tgt'!$D:$D,0)</f>
        <v>0</v>
      </c>
      <c r="CY5">
        <f>_xlfn.XLOOKUP(CY$7,'Product Tgt'!$B:$B,'Product Tgt'!$D:$D,0)</f>
        <v>0</v>
      </c>
      <c r="CZ5">
        <f>_xlfn.XLOOKUP(CZ$7,'Product Tgt'!$B:$B,'Product Tgt'!$D:$D,0)</f>
        <v>0</v>
      </c>
      <c r="DA5" s="27">
        <f>_xlfn.XLOOKUP(DA$7,'Product Tgt'!$B:$B,'Product Tgt'!$D:$D,0)</f>
        <v>0</v>
      </c>
      <c r="DB5" s="28">
        <f>_xlfn.XLOOKUP(DB$7,'Product Tgt'!$B:$B,'Product Tgt'!$D:$D,0)</f>
        <v>0</v>
      </c>
      <c r="DC5" s="28">
        <f>_xlfn.XLOOKUP(DC$7,'Product Tgt'!$B:$B,'Product Tgt'!$D:$D,0)</f>
        <v>0</v>
      </c>
      <c r="DD5" s="28">
        <f>_xlfn.XLOOKUP(DD$7,'Product Tgt'!$B:$B,'Product Tgt'!$D:$D,0)</f>
        <v>0</v>
      </c>
      <c r="DE5" s="28">
        <f>_xlfn.XLOOKUP(DE$7,'Product Tgt'!$B:$B,'Product Tgt'!$D:$D,0)</f>
        <v>0</v>
      </c>
      <c r="DF5" s="28">
        <f>_xlfn.XLOOKUP(DF$7,'Product Tgt'!$B:$B,'Product Tgt'!$D:$D,0)</f>
        <v>0</v>
      </c>
      <c r="DG5" s="28">
        <f>_xlfn.XLOOKUP(DG$7,'Product Tgt'!$B:$B,'Product Tgt'!$D:$D,0)</f>
        <v>0</v>
      </c>
      <c r="DH5" s="28">
        <f>_xlfn.XLOOKUP(DH$7,'Product Tgt'!$B:$B,'Product Tgt'!$D:$D,0)</f>
        <v>0</v>
      </c>
      <c r="DI5" s="28">
        <f>_xlfn.XLOOKUP(DI$7,'Product Tgt'!$B:$B,'Product Tgt'!$D:$D,0)</f>
        <v>0</v>
      </c>
      <c r="DJ5" s="28">
        <f>_xlfn.XLOOKUP(DJ$7,'Product Tgt'!$B:$B,'Product Tgt'!$D:$D,0)</f>
        <v>0</v>
      </c>
      <c r="DK5" s="28">
        <f>_xlfn.XLOOKUP(DK$7,'Product Tgt'!$B:$B,'Product Tgt'!$D:$D,0)</f>
        <v>0</v>
      </c>
      <c r="DL5" s="28">
        <f>_xlfn.XLOOKUP(DL$7,'Product Tgt'!$B:$B,'Product Tgt'!$D:$D,0)</f>
        <v>0</v>
      </c>
      <c r="DM5" s="28">
        <f>_xlfn.XLOOKUP(DM$7,'Product Tgt'!$B:$B,'Product Tgt'!$D:$D,0)</f>
        <v>0</v>
      </c>
      <c r="DN5" s="28">
        <f>_xlfn.XLOOKUP(DN$7,'Product Tgt'!$B:$B,'Product Tgt'!$D:$D,0)</f>
        <v>0</v>
      </c>
      <c r="DO5" s="28">
        <f>_xlfn.XLOOKUP(DO$7,'Product Tgt'!$B:$B,'Product Tgt'!$D:$D,0)</f>
        <v>0</v>
      </c>
      <c r="DP5" s="28">
        <f>_xlfn.XLOOKUP(DP$7,'Product Tgt'!$B:$B,'Product Tgt'!$D:$D,0)</f>
        <v>0</v>
      </c>
      <c r="DQ5" s="28">
        <f>_xlfn.XLOOKUP(DQ$7,'Product Tgt'!$B:$B,'Product Tgt'!$D:$D,0)</f>
        <v>0</v>
      </c>
      <c r="DR5" s="28">
        <f>_xlfn.XLOOKUP(DR$7,'Product Tgt'!$B:$B,'Product Tgt'!$D:$D,0)</f>
        <v>0</v>
      </c>
      <c r="DS5" s="28">
        <f>_xlfn.XLOOKUP(DS$7,'Product Tgt'!$B:$B,'Product Tgt'!$D:$D,0)</f>
        <v>0</v>
      </c>
      <c r="DT5" s="28">
        <f>_xlfn.XLOOKUP(DT$7,'Product Tgt'!$B:$B,'Product Tgt'!$D:$D,0)</f>
        <v>0</v>
      </c>
      <c r="DU5" s="28">
        <f>_xlfn.XLOOKUP(DU$7,'Product Tgt'!$B:$B,'Product Tgt'!$D:$D,0)</f>
        <v>0</v>
      </c>
      <c r="DV5" s="28">
        <f>_xlfn.XLOOKUP(DV$7,'Product Tgt'!$B:$B,'Product Tgt'!$D:$D,0)</f>
        <v>0</v>
      </c>
      <c r="DW5" s="28">
        <f>_xlfn.XLOOKUP(DW$7,'Product Tgt'!$B:$B,'Product Tgt'!$D:$D,0)</f>
        <v>0</v>
      </c>
      <c r="DX5" s="28">
        <f>_xlfn.XLOOKUP(DX$7,'Product Tgt'!$B:$B,'Product Tgt'!$D:$D,0)</f>
        <v>0</v>
      </c>
      <c r="DY5" s="28">
        <f>_xlfn.XLOOKUP(DY$7,'Product Tgt'!$B:$B,'Product Tgt'!$D:$D,0)</f>
        <v>0</v>
      </c>
      <c r="DZ5" s="28">
        <f>_xlfn.XLOOKUP(DZ$7,'Product Tgt'!$B:$B,'Product Tgt'!$D:$D,0)</f>
        <v>0</v>
      </c>
      <c r="EA5" s="28">
        <f>_xlfn.XLOOKUP(EA$7,'Product Tgt'!$B:$B,'Product Tgt'!$D:$D,0)</f>
        <v>0</v>
      </c>
      <c r="EB5" s="28">
        <f>_xlfn.XLOOKUP(EB$7,'Product Tgt'!$B:$B,'Product Tgt'!$D:$D,0)</f>
        <v>0</v>
      </c>
      <c r="EC5" s="28">
        <f>_xlfn.XLOOKUP(EC$7,'Product Tgt'!$B:$B,'Product Tgt'!$D:$D,0)</f>
        <v>0</v>
      </c>
      <c r="ED5" s="28">
        <f>_xlfn.XLOOKUP(ED$7,'Product Tgt'!$B:$B,'Product Tgt'!$D:$D,0)</f>
        <v>0</v>
      </c>
      <c r="EE5" s="28">
        <f>_xlfn.XLOOKUP(EE$7,'Product Tgt'!$B:$B,'Product Tgt'!$D:$D,0)</f>
        <v>0</v>
      </c>
      <c r="EF5" s="28">
        <f>_xlfn.XLOOKUP(EF$7,'Product Tgt'!$B:$B,'Product Tgt'!$D:$D,0)</f>
        <v>0</v>
      </c>
      <c r="EG5" s="28">
        <f>_xlfn.XLOOKUP(EG$7,'Product Tgt'!$B:$B,'Product Tgt'!$D:$D,0)</f>
        <v>0</v>
      </c>
      <c r="EH5" s="28">
        <f>_xlfn.XLOOKUP(EH$7,'Product Tgt'!$B:$B,'Product Tgt'!$D:$D,0)</f>
        <v>0</v>
      </c>
      <c r="EI5" s="28">
        <f>_xlfn.XLOOKUP(EI$7,'Product Tgt'!$B:$B,'Product Tgt'!$D:$D,0)</f>
        <v>0</v>
      </c>
    </row>
    <row r="6" spans="1:139" ht="15.5" thickTop="1" thickBot="1" x14ac:dyDescent="0.4">
      <c r="B6" t="s">
        <v>5</v>
      </c>
      <c r="C6" s="2" t="s">
        <v>77</v>
      </c>
      <c r="G6" t="s">
        <v>51</v>
      </c>
      <c r="H6" s="33" t="str">
        <f>_xlfn.XLOOKUP(H$7,'Product Tgt'!$B:$B,'Product Tgt'!$C:$C,0)</f>
        <v>Amaryl 1mg Tab 4x15s</v>
      </c>
      <c r="I6" s="20" t="str">
        <f>_xlfn.XLOOKUP(I$7,'Product Tgt'!$B:$B,'Product Tgt'!$C:$C,0)</f>
        <v>Amaryl 2mg Tab 3x15s</v>
      </c>
      <c r="J6" s="20" t="str">
        <f>_xlfn.XLOOKUP(J$7,'Product Tgt'!$B:$B,'Product Tgt'!$C:$C,0)</f>
        <v>Amaryl 3mg Tab 2x15's</v>
      </c>
      <c r="K6" s="20" t="str">
        <f>_xlfn.XLOOKUP(K$7,'Product Tgt'!$B:$B,'Product Tgt'!$C:$C,0)</f>
        <v>Amaryl 4mg Tab 2x15's</v>
      </c>
      <c r="L6" s="20" t="str">
        <f>_xlfn.XLOOKUP(L$7,'Product Tgt'!$B:$B,'Product Tgt'!$C:$C,0)</f>
        <v>AMARYL M 2mg Tab 3x10's</v>
      </c>
      <c r="M6" s="20" t="str">
        <f>_xlfn.XLOOKUP(M$7,'Product Tgt'!$B:$B,'Product Tgt'!$C:$C,0)</f>
        <v>AMARYL M1 1mg Tab 3x10's</v>
      </c>
      <c r="N6" s="20" t="str">
        <f>_xlfn.XLOOKUP(N$7,'Product Tgt'!$B:$B,'Product Tgt'!$C:$C,0)</f>
        <v>Betanol 25mg Tab 20x10's</v>
      </c>
      <c r="O6" s="20" t="str">
        <f>_xlfn.XLOOKUP(O$7,'Product Tgt'!$B:$B,'Product Tgt'!$C:$C,0)</f>
        <v>BETANOL 50mg Tab. 5x4x10?s</v>
      </c>
      <c r="P6" s="20" t="str">
        <f>_xlfn.XLOOKUP(P$7,'Product Tgt'!$B:$B,'Product Tgt'!$C:$C,0)</f>
        <v>Copixa 2.5mg</v>
      </c>
      <c r="Q6" s="20" t="str">
        <f>_xlfn.XLOOKUP(Q$7,'Product Tgt'!$B:$B,'Product Tgt'!$C:$C,0)</f>
        <v>Copixa 5mg</v>
      </c>
      <c r="R6" s="20" t="str">
        <f>_xlfn.XLOOKUP(R$7,'Product Tgt'!$B:$B,'Product Tgt'!$C:$C,0)</f>
        <v>ERTU 15mg Tablet 2 x10s</v>
      </c>
      <c r="S6" s="20" t="str">
        <f>_xlfn.XLOOKUP(S$7,'Product Tgt'!$B:$B,'Product Tgt'!$C:$C,0)</f>
        <v>ERTU 5mg Tablet 3 x 10s</v>
      </c>
      <c r="T6" s="20" t="str">
        <f>_xlfn.XLOOKUP(T$7,'Product Tgt'!$B:$B,'Product Tgt'!$C:$C,0)</f>
        <v>Incrit 50mg Tab 2x10's</v>
      </c>
      <c r="U6" s="20" t="str">
        <f>_xlfn.XLOOKUP(U$7,'Product Tgt'!$B:$B,'Product Tgt'!$C:$C,0)</f>
        <v>Incrit-M 500mg Tab</v>
      </c>
      <c r="V6" s="20" t="str">
        <f>_xlfn.XLOOKUP(V$7,'Product Tgt'!$B:$B,'Product Tgt'!$C:$C,0)</f>
        <v>Lasix 2ml Inj 5x5's Amp</v>
      </c>
      <c r="W6" s="20" t="str">
        <f>_xlfn.XLOOKUP(W$7,'Product Tgt'!$B:$B,'Product Tgt'!$C:$C,0)</f>
        <v>Lasix 40mg Tab 10x10's</v>
      </c>
      <c r="X6" s="20" t="str">
        <f>_xlfn.XLOOKUP(X$7,'Product Tgt'!$B:$B,'Product Tgt'!$C:$C,0)</f>
        <v>Metsa 500mg Tab 10x10's</v>
      </c>
      <c r="Y6" s="20" t="str">
        <f>_xlfn.XLOOKUP(Y$7,'Product Tgt'!$B:$B,'Product Tgt'!$C:$C,0)</f>
        <v>METSA XR 500mg Tab</v>
      </c>
      <c r="Z6" s="20" t="str">
        <f>_xlfn.XLOOKUP(Z$7,'Product Tgt'!$B:$B,'Product Tgt'!$C:$C,0)</f>
        <v>METSA XR 750mg Tab</v>
      </c>
      <c r="AA6" s="20" t="str">
        <f>_xlfn.XLOOKUP(AA$7,'Product Tgt'!$B:$B,'Product Tgt'!$C:$C,0)</f>
        <v>Orva 10mg Tab 2X15's</v>
      </c>
      <c r="AB6" s="20" t="str">
        <f>_xlfn.XLOOKUP(AB$7,'Product Tgt'!$B:$B,'Product Tgt'!$C:$C,0)</f>
        <v>Orva 20mg Tab 3x10's</v>
      </c>
      <c r="AC6" s="20" t="str">
        <f>_xlfn.XLOOKUP(AC$7,'Product Tgt'!$B:$B,'Product Tgt'!$C:$C,0)</f>
        <v>Ovenox 20mg Inj 1 PFS</v>
      </c>
      <c r="AD6" s="20" t="str">
        <f>_xlfn.XLOOKUP(AD$7,'Product Tgt'!$B:$B,'Product Tgt'!$C:$C,0)</f>
        <v>Ovenox 40mg Inj 1 PFS</v>
      </c>
      <c r="AE6" s="20" t="str">
        <f>_xlfn.XLOOKUP(AE$7,'Product Tgt'!$B:$B,'Product Tgt'!$C:$C,0)</f>
        <v>Ovenox 60mg Inj 1 PFS</v>
      </c>
      <c r="AF6" s="20" t="str">
        <f>_xlfn.XLOOKUP(AF$7,'Product Tgt'!$B:$B,'Product Tgt'!$C:$C,0)</f>
        <v>Ovenox 80mg Inj 1 PFS</v>
      </c>
      <c r="AG6" s="20" t="str">
        <f>_xlfn.XLOOKUP(AG$7,'Product Tgt'!$B:$B,'Product Tgt'!$C:$C,0)</f>
        <v>Rozenon 10mg Tab 3 x 10s</v>
      </c>
      <c r="AH6" s="20" t="str">
        <f>_xlfn.XLOOKUP(AH$7,'Product Tgt'!$B:$B,'Product Tgt'!$C:$C,0)</f>
        <v>Rozenon 20mg Tab 2X1</v>
      </c>
      <c r="AI6" s="20" t="str">
        <f>_xlfn.XLOOKUP(AI$7,'Product Tgt'!$B:$B,'Product Tgt'!$C:$C,0)</f>
        <v>Rozenon 5mg Tab 3 x 10s</v>
      </c>
      <c r="AJ6" s="20" t="str">
        <f>_xlfn.XLOOKUP(AJ$7,'Product Tgt'!$B:$B,'Product Tgt'!$C:$C,0)</f>
        <v>Sacutril 50 mg Tablet</v>
      </c>
      <c r="AK6" s="20" t="str">
        <f>_xlfn.XLOOKUP(AK$7,'Product Tgt'!$B:$B,'Product Tgt'!$C:$C,0)</f>
        <v>Tritace 2.5mg Tab 2x14's</v>
      </c>
      <c r="AL6" s="37" t="str">
        <f>_xlfn.XLOOKUP(AL$7,'Product Tgt'!$B:$B,'Product Tgt'!$C:$C,0)</f>
        <v>Tritace 5mg Tab 2x14's</v>
      </c>
      <c r="AM6" s="32" t="str">
        <f>_xlfn.XLOOKUP(AM$7,'Product Tgt'!$B:$B,'Product Tgt'!$C:$C,0)</f>
        <v>Amaryl 1mg Tab 4x15s</v>
      </c>
      <c r="AN6" s="18" t="str">
        <f>_xlfn.XLOOKUP(AN$7,'Product Tgt'!$B:$B,'Product Tgt'!$C:$C,0)</f>
        <v>Amaryl 2mg Tab 3x15s</v>
      </c>
      <c r="AO6" s="18" t="str">
        <f>_xlfn.XLOOKUP(AO$7,'Product Tgt'!$B:$B,'Product Tgt'!$C:$C,0)</f>
        <v>Amaryl 3mg Tab 2x15's</v>
      </c>
      <c r="AP6" s="18" t="str">
        <f>_xlfn.XLOOKUP(AP$7,'Product Tgt'!$B:$B,'Product Tgt'!$C:$C,0)</f>
        <v>Amaryl 4mg Tab 2x15's</v>
      </c>
      <c r="AQ6" s="18" t="str">
        <f>_xlfn.XLOOKUP(AQ$7,'Product Tgt'!$B:$B,'Product Tgt'!$C:$C,0)</f>
        <v>AMARYL M 2mg Tab 3x10's</v>
      </c>
      <c r="AR6" s="18" t="str">
        <f>_xlfn.XLOOKUP(AR$7,'Product Tgt'!$B:$B,'Product Tgt'!$C:$C,0)</f>
        <v>AMARYL M1 1mg Tab 3x10's</v>
      </c>
      <c r="AS6" s="18" t="str">
        <f>_xlfn.XLOOKUP(AS$7,'Product Tgt'!$B:$B,'Product Tgt'!$C:$C,0)</f>
        <v>Betanol 25mg Tab 20x10's</v>
      </c>
      <c r="AT6" s="18" t="str">
        <f>_xlfn.XLOOKUP(AT$7,'Product Tgt'!$B:$B,'Product Tgt'!$C:$C,0)</f>
        <v>BETANOL 50mg Tab. 5x4x10?s</v>
      </c>
      <c r="AU6" s="18" t="str">
        <f>_xlfn.XLOOKUP(AU$7,'Product Tgt'!$B:$B,'Product Tgt'!$C:$C,0)</f>
        <v>Copixa 2.5mg</v>
      </c>
      <c r="AV6" s="18" t="str">
        <f>_xlfn.XLOOKUP(AV$7,'Product Tgt'!$B:$B,'Product Tgt'!$C:$C,0)</f>
        <v>Copixa 5mg</v>
      </c>
      <c r="AW6" s="18" t="str">
        <f>_xlfn.XLOOKUP(AW$7,'Product Tgt'!$B:$B,'Product Tgt'!$C:$C,0)</f>
        <v>ERTU 15mg Tablet 2 x10s</v>
      </c>
      <c r="AX6" s="18" t="str">
        <f>_xlfn.XLOOKUP(AX$7,'Product Tgt'!$B:$B,'Product Tgt'!$C:$C,0)</f>
        <v>ERTU 5mg Tablet 3 x 10s</v>
      </c>
      <c r="AY6" s="18" t="str">
        <f>_xlfn.XLOOKUP(AY$7,'Product Tgt'!$B:$B,'Product Tgt'!$C:$C,0)</f>
        <v>Incrit 50mg Tab 2x10's</v>
      </c>
      <c r="AZ6" s="18" t="str">
        <f>_xlfn.XLOOKUP(AZ$7,'Product Tgt'!$B:$B,'Product Tgt'!$C:$C,0)</f>
        <v>Incrit-M 500mg Tab</v>
      </c>
      <c r="BA6" s="18" t="str">
        <f>_xlfn.XLOOKUP(BA$7,'Product Tgt'!$B:$B,'Product Tgt'!$C:$C,0)</f>
        <v>Lasix 2ml Inj 5x5's Amp</v>
      </c>
      <c r="BB6" s="18" t="str">
        <f>_xlfn.XLOOKUP(BB$7,'Product Tgt'!$B:$B,'Product Tgt'!$C:$C,0)</f>
        <v>Lasix 40mg Tab 10x10's</v>
      </c>
      <c r="BC6" s="18" t="str">
        <f>_xlfn.XLOOKUP(BC$7,'Product Tgt'!$B:$B,'Product Tgt'!$C:$C,0)</f>
        <v>Metsa 500mg Tab 10x10's</v>
      </c>
      <c r="BD6" s="18" t="str">
        <f>_xlfn.XLOOKUP(BD$7,'Product Tgt'!$B:$B,'Product Tgt'!$C:$C,0)</f>
        <v>METSA XR 500mg Tab</v>
      </c>
      <c r="BE6" s="18" t="str">
        <f>_xlfn.XLOOKUP(BE$7,'Product Tgt'!$B:$B,'Product Tgt'!$C:$C,0)</f>
        <v>METSA XR 750mg Tab</v>
      </c>
      <c r="BF6" s="18" t="str">
        <f>_xlfn.XLOOKUP(BF$7,'Product Tgt'!$B:$B,'Product Tgt'!$C:$C,0)</f>
        <v>Orva 10mg Tab 2X15's</v>
      </c>
      <c r="BG6" s="18" t="str">
        <f>_xlfn.XLOOKUP(BG$7,'Product Tgt'!$B:$B,'Product Tgt'!$C:$C,0)</f>
        <v>Orva 20mg Tab 3x10's</v>
      </c>
      <c r="BH6" s="18" t="str">
        <f>_xlfn.XLOOKUP(BH$7,'Product Tgt'!$B:$B,'Product Tgt'!$C:$C,0)</f>
        <v>Ovenox 20mg Inj 1 PFS</v>
      </c>
      <c r="BI6" s="18" t="str">
        <f>_xlfn.XLOOKUP(BI$7,'Product Tgt'!$B:$B,'Product Tgt'!$C:$C,0)</f>
        <v>Ovenox 40mg Inj 1 PFS</v>
      </c>
      <c r="BJ6" s="18" t="str">
        <f>_xlfn.XLOOKUP(BJ$7,'Product Tgt'!$B:$B,'Product Tgt'!$C:$C,0)</f>
        <v>Ovenox 60mg Inj 1 PFS</v>
      </c>
      <c r="BK6" s="18" t="str">
        <f>_xlfn.XLOOKUP(BK$7,'Product Tgt'!$B:$B,'Product Tgt'!$C:$C,0)</f>
        <v>Ovenox 80mg Inj 1 PFS</v>
      </c>
      <c r="BL6" s="18" t="str">
        <f>_xlfn.XLOOKUP(BL$7,'Product Tgt'!$B:$B,'Product Tgt'!$C:$C,0)</f>
        <v>Rozenon 10mg Tab 3 x 10s</v>
      </c>
      <c r="BM6" s="18" t="str">
        <f>_xlfn.XLOOKUP(BM$7,'Product Tgt'!$B:$B,'Product Tgt'!$C:$C,0)</f>
        <v>Rozenon 20mg Tab 2X1</v>
      </c>
      <c r="BN6" s="18" t="str">
        <f>_xlfn.XLOOKUP(BN$7,'Product Tgt'!$B:$B,'Product Tgt'!$C:$C,0)</f>
        <v>Rozenon 5mg Tab 3 x 10s</v>
      </c>
      <c r="BO6" s="18" t="str">
        <f>_xlfn.XLOOKUP(BO$7,'Product Tgt'!$B:$B,'Product Tgt'!$C:$C,0)</f>
        <v>Sacutril 50 mg Tablet</v>
      </c>
      <c r="BP6" s="18" t="str">
        <f>_xlfn.XLOOKUP(BP$7,'Product Tgt'!$B:$B,'Product Tgt'!$C:$C,0)</f>
        <v>Tritace 2.5mg Tab 2x14's</v>
      </c>
      <c r="BQ6" s="56" t="str">
        <f>_xlfn.XLOOKUP(BQ$7,'Product Tgt'!$B:$B,'Product Tgt'!$C:$C,0)</f>
        <v>Tritace 5mg Tab 2x14's</v>
      </c>
      <c r="BR6" s="50" t="s">
        <v>31</v>
      </c>
      <c r="BS6" s="24" t="s">
        <v>32</v>
      </c>
      <c r="BT6" s="24" t="s">
        <v>33</v>
      </c>
      <c r="BU6" s="24" t="s">
        <v>34</v>
      </c>
      <c r="BV6" s="24" t="s">
        <v>12</v>
      </c>
      <c r="BW6" s="24" t="s">
        <v>35</v>
      </c>
      <c r="BX6" s="24" t="s">
        <v>14</v>
      </c>
      <c r="BY6" s="24" t="s">
        <v>15</v>
      </c>
      <c r="BZ6" s="24" t="s">
        <v>16</v>
      </c>
      <c r="CA6" s="24" t="s">
        <v>79</v>
      </c>
      <c r="CB6" s="24" t="s">
        <v>80</v>
      </c>
      <c r="CC6" s="24" t="s">
        <v>36</v>
      </c>
      <c r="CD6" s="24" t="s">
        <v>37</v>
      </c>
      <c r="CE6" s="24" t="s">
        <v>38</v>
      </c>
      <c r="CF6" s="24" t="s">
        <v>39</v>
      </c>
      <c r="CG6" s="24" t="s">
        <v>40</v>
      </c>
      <c r="CH6" s="24" t="s">
        <v>17</v>
      </c>
      <c r="CI6" s="24" t="s">
        <v>18</v>
      </c>
      <c r="CJ6" s="24" t="s">
        <v>41</v>
      </c>
      <c r="CK6" s="24" t="s">
        <v>42</v>
      </c>
      <c r="CL6" s="24" t="s">
        <v>50</v>
      </c>
      <c r="CM6" s="24" t="s">
        <v>44</v>
      </c>
      <c r="CN6" s="24" t="s">
        <v>19</v>
      </c>
      <c r="CO6" s="24" t="s">
        <v>20</v>
      </c>
      <c r="CP6" s="24" t="s">
        <v>21</v>
      </c>
      <c r="CQ6" s="24" t="s">
        <v>22</v>
      </c>
      <c r="CR6" s="24" t="s">
        <v>23</v>
      </c>
      <c r="CS6" s="24" t="s">
        <v>24</v>
      </c>
      <c r="CT6" s="24" t="s">
        <v>25</v>
      </c>
      <c r="CU6" s="24" t="s">
        <v>81</v>
      </c>
      <c r="CV6" s="24" t="s">
        <v>26</v>
      </c>
      <c r="CW6" s="24" t="s">
        <v>27</v>
      </c>
      <c r="CX6" s="24" t="s">
        <v>28</v>
      </c>
      <c r="CY6" s="24" t="s">
        <v>29</v>
      </c>
      <c r="CZ6" s="24" t="s">
        <v>30</v>
      </c>
      <c r="DA6" s="29" t="s">
        <v>31</v>
      </c>
      <c r="DB6" s="26" t="s">
        <v>32</v>
      </c>
      <c r="DC6" s="26" t="s">
        <v>33</v>
      </c>
      <c r="DD6" s="26" t="s">
        <v>34</v>
      </c>
      <c r="DE6" s="26" t="s">
        <v>12</v>
      </c>
      <c r="DF6" s="26" t="s">
        <v>35</v>
      </c>
      <c r="DG6" s="26" t="s">
        <v>14</v>
      </c>
      <c r="DH6" s="26" t="s">
        <v>15</v>
      </c>
      <c r="DI6" s="26" t="s">
        <v>16</v>
      </c>
      <c r="DJ6" s="26" t="s">
        <v>79</v>
      </c>
      <c r="DK6" s="26" t="s">
        <v>80</v>
      </c>
      <c r="DL6" s="26" t="s">
        <v>36</v>
      </c>
      <c r="DM6" s="26" t="s">
        <v>37</v>
      </c>
      <c r="DN6" s="26" t="s">
        <v>38</v>
      </c>
      <c r="DO6" s="26" t="s">
        <v>39</v>
      </c>
      <c r="DP6" s="26" t="s">
        <v>40</v>
      </c>
      <c r="DQ6" s="26" t="s">
        <v>17</v>
      </c>
      <c r="DR6" s="26" t="s">
        <v>18</v>
      </c>
      <c r="DS6" s="26" t="s">
        <v>41</v>
      </c>
      <c r="DT6" s="26" t="s">
        <v>42</v>
      </c>
      <c r="DU6" s="26" t="s">
        <v>50</v>
      </c>
      <c r="DV6" s="26" t="s">
        <v>44</v>
      </c>
      <c r="DW6" s="26" t="s">
        <v>19</v>
      </c>
      <c r="DX6" s="26" t="s">
        <v>20</v>
      </c>
      <c r="DY6" s="26" t="s">
        <v>21</v>
      </c>
      <c r="DZ6" s="26" t="s">
        <v>22</v>
      </c>
      <c r="EA6" s="26" t="s">
        <v>23</v>
      </c>
      <c r="EB6" s="26" t="s">
        <v>24</v>
      </c>
      <c r="EC6" s="26" t="s">
        <v>25</v>
      </c>
      <c r="ED6" s="26" t="s">
        <v>81</v>
      </c>
      <c r="EE6" s="26" t="s">
        <v>26</v>
      </c>
      <c r="EF6" s="26" t="s">
        <v>27</v>
      </c>
      <c r="EG6" s="26" t="s">
        <v>28</v>
      </c>
      <c r="EH6" s="26" t="s">
        <v>29</v>
      </c>
      <c r="EI6" s="26" t="s">
        <v>30</v>
      </c>
    </row>
    <row r="7" spans="1:139" ht="15.5" thickTop="1" thickBot="1" x14ac:dyDescent="0.4">
      <c r="A7" s="2" t="s">
        <v>2</v>
      </c>
      <c r="B7" s="2" t="s">
        <v>3</v>
      </c>
      <c r="C7" s="2" t="s">
        <v>4</v>
      </c>
      <c r="D7" s="2" t="s">
        <v>6</v>
      </c>
      <c r="E7" s="2" t="s">
        <v>7</v>
      </c>
      <c r="F7" s="6" t="s">
        <v>8</v>
      </c>
      <c r="G7" s="6" t="s">
        <v>9</v>
      </c>
      <c r="H7" s="36">
        <v>502</v>
      </c>
      <c r="I7" s="20">
        <v>504</v>
      </c>
      <c r="J7" s="20">
        <v>505</v>
      </c>
      <c r="K7" s="20">
        <v>506</v>
      </c>
      <c r="L7" s="20">
        <v>508</v>
      </c>
      <c r="M7" s="20">
        <v>507</v>
      </c>
      <c r="N7" s="20">
        <v>520</v>
      </c>
      <c r="O7" s="20">
        <v>521</v>
      </c>
      <c r="P7" s="20">
        <v>784</v>
      </c>
      <c r="Q7" s="20">
        <v>785</v>
      </c>
      <c r="R7" s="20">
        <v>758</v>
      </c>
      <c r="S7" s="20">
        <v>757</v>
      </c>
      <c r="T7" s="20">
        <v>580</v>
      </c>
      <c r="U7" s="20">
        <v>582</v>
      </c>
      <c r="V7" s="20">
        <v>594</v>
      </c>
      <c r="W7" s="20">
        <v>595</v>
      </c>
      <c r="X7" s="20">
        <v>603</v>
      </c>
      <c r="Y7" s="20">
        <v>606</v>
      </c>
      <c r="Z7" s="20">
        <v>772</v>
      </c>
      <c r="AA7" s="20">
        <v>615</v>
      </c>
      <c r="AB7" s="20">
        <v>617</v>
      </c>
      <c r="AC7" s="20">
        <v>751</v>
      </c>
      <c r="AD7" s="20">
        <v>752</v>
      </c>
      <c r="AE7" s="20">
        <v>753</v>
      </c>
      <c r="AF7" s="20">
        <v>754</v>
      </c>
      <c r="AG7" s="20">
        <v>614</v>
      </c>
      <c r="AH7" s="20">
        <v>797</v>
      </c>
      <c r="AI7" s="20">
        <v>613</v>
      </c>
      <c r="AJ7" s="20">
        <v>767</v>
      </c>
      <c r="AK7" s="20">
        <v>807</v>
      </c>
      <c r="AL7" s="37">
        <v>808</v>
      </c>
      <c r="AM7" s="42">
        <v>502</v>
      </c>
      <c r="AN7" s="43">
        <v>504</v>
      </c>
      <c r="AO7" s="43">
        <v>505</v>
      </c>
      <c r="AP7" s="43">
        <v>506</v>
      </c>
      <c r="AQ7" s="43">
        <v>508</v>
      </c>
      <c r="AR7" s="43">
        <v>507</v>
      </c>
      <c r="AS7" s="43">
        <v>520</v>
      </c>
      <c r="AT7" s="43">
        <v>521</v>
      </c>
      <c r="AU7" s="43">
        <v>784</v>
      </c>
      <c r="AV7" s="43">
        <v>785</v>
      </c>
      <c r="AW7" s="43">
        <v>758</v>
      </c>
      <c r="AX7" s="43">
        <v>757</v>
      </c>
      <c r="AY7" s="43">
        <v>580</v>
      </c>
      <c r="AZ7" s="43">
        <v>582</v>
      </c>
      <c r="BA7" s="43">
        <v>594</v>
      </c>
      <c r="BB7" s="43">
        <v>595</v>
      </c>
      <c r="BC7" s="43">
        <v>603</v>
      </c>
      <c r="BD7" s="43">
        <v>606</v>
      </c>
      <c r="BE7" s="43">
        <v>772</v>
      </c>
      <c r="BF7" s="43">
        <v>615</v>
      </c>
      <c r="BG7" s="43">
        <v>617</v>
      </c>
      <c r="BH7" s="43">
        <v>751</v>
      </c>
      <c r="BI7" s="43">
        <v>752</v>
      </c>
      <c r="BJ7" s="43">
        <v>753</v>
      </c>
      <c r="BK7" s="43">
        <v>754</v>
      </c>
      <c r="BL7" s="43">
        <v>614</v>
      </c>
      <c r="BM7" s="43">
        <v>797</v>
      </c>
      <c r="BN7" s="43">
        <v>613</v>
      </c>
      <c r="BO7" s="43">
        <v>767</v>
      </c>
      <c r="BP7" s="43">
        <v>807</v>
      </c>
      <c r="BQ7" s="57">
        <v>808</v>
      </c>
      <c r="BR7" s="51">
        <v>344733</v>
      </c>
      <c r="BS7" s="19">
        <v>344734</v>
      </c>
      <c r="BT7" s="19">
        <v>373068</v>
      </c>
      <c r="BU7" s="19">
        <v>373346</v>
      </c>
      <c r="BV7" s="19">
        <v>318675</v>
      </c>
      <c r="BW7" s="19">
        <v>318674</v>
      </c>
      <c r="BX7" s="19">
        <v>373380</v>
      </c>
      <c r="BY7" s="19">
        <v>320750</v>
      </c>
      <c r="BZ7" s="19">
        <v>337348</v>
      </c>
      <c r="CA7" s="19">
        <v>4011000147</v>
      </c>
      <c r="CB7" s="19">
        <v>4011000148</v>
      </c>
      <c r="CC7" s="19">
        <v>352748</v>
      </c>
      <c r="CD7" s="19">
        <v>352734</v>
      </c>
      <c r="CE7" s="19">
        <v>334747</v>
      </c>
      <c r="CF7" s="19">
        <v>337303</v>
      </c>
      <c r="CG7" s="19">
        <v>336152</v>
      </c>
      <c r="CH7" s="19">
        <v>372906</v>
      </c>
      <c r="CI7" s="19">
        <v>372970</v>
      </c>
      <c r="CJ7" s="19">
        <v>321864</v>
      </c>
      <c r="CK7" s="19">
        <v>321865</v>
      </c>
      <c r="CL7" s="19">
        <v>4011000061</v>
      </c>
      <c r="CM7" s="19">
        <v>4011000137</v>
      </c>
      <c r="CN7" s="19">
        <v>339102</v>
      </c>
      <c r="CO7" s="19">
        <v>320752</v>
      </c>
      <c r="CP7" s="19">
        <v>352336</v>
      </c>
      <c r="CQ7" s="19">
        <v>352337</v>
      </c>
      <c r="CR7" s="19">
        <v>352338</v>
      </c>
      <c r="CS7" s="19">
        <v>352339</v>
      </c>
      <c r="CT7" s="19">
        <v>348292</v>
      </c>
      <c r="CU7" s="19">
        <v>4011000159</v>
      </c>
      <c r="CV7" s="19">
        <v>348290</v>
      </c>
      <c r="CW7" s="19">
        <v>4011000131</v>
      </c>
      <c r="CX7" s="19">
        <v>4011000130</v>
      </c>
      <c r="CY7" s="19">
        <v>4011000173</v>
      </c>
      <c r="CZ7" s="19">
        <v>4011000174</v>
      </c>
      <c r="DA7" s="30">
        <v>344733</v>
      </c>
      <c r="DB7" s="31">
        <v>344734</v>
      </c>
      <c r="DC7" s="31">
        <v>373068</v>
      </c>
      <c r="DD7" s="31">
        <v>373346</v>
      </c>
      <c r="DE7" s="31">
        <v>318675</v>
      </c>
      <c r="DF7" s="31">
        <v>318674</v>
      </c>
      <c r="DG7" s="31">
        <v>373380</v>
      </c>
      <c r="DH7" s="31">
        <v>320750</v>
      </c>
      <c r="DI7" s="31">
        <v>337348</v>
      </c>
      <c r="DJ7" s="31">
        <v>4011000147</v>
      </c>
      <c r="DK7" s="31">
        <v>4011000148</v>
      </c>
      <c r="DL7" s="31">
        <v>352748</v>
      </c>
      <c r="DM7" s="31">
        <v>352734</v>
      </c>
      <c r="DN7" s="31">
        <v>334747</v>
      </c>
      <c r="DO7" s="31">
        <v>337303</v>
      </c>
      <c r="DP7" s="31">
        <v>336152</v>
      </c>
      <c r="DQ7" s="31">
        <v>372906</v>
      </c>
      <c r="DR7" s="31">
        <v>372970</v>
      </c>
      <c r="DS7" s="31">
        <v>321864</v>
      </c>
      <c r="DT7" s="31">
        <v>321865</v>
      </c>
      <c r="DU7" s="31">
        <v>4011000061</v>
      </c>
      <c r="DV7" s="31">
        <v>4011000137</v>
      </c>
      <c r="DW7" s="31">
        <v>339102</v>
      </c>
      <c r="DX7" s="31">
        <v>320752</v>
      </c>
      <c r="DY7" s="31">
        <v>352336</v>
      </c>
      <c r="DZ7" s="31">
        <v>352337</v>
      </c>
      <c r="EA7" s="31">
        <v>352338</v>
      </c>
      <c r="EB7" s="31">
        <v>352339</v>
      </c>
      <c r="EC7" s="31">
        <v>348292</v>
      </c>
      <c r="ED7" s="31">
        <v>4011000159</v>
      </c>
      <c r="EE7" s="31">
        <v>348290</v>
      </c>
      <c r="EF7" s="31">
        <v>4011000131</v>
      </c>
      <c r="EG7" s="31">
        <v>4011000130</v>
      </c>
      <c r="EH7" s="31">
        <v>373085</v>
      </c>
      <c r="EI7" s="31">
        <v>373211</v>
      </c>
    </row>
    <row r="8" spans="1:139" x14ac:dyDescent="0.35">
      <c r="B8" s="7" t="s">
        <v>88</v>
      </c>
      <c r="C8" s="3">
        <f>_xlfn.XLOOKUP($B8,'Terr Target'!$A:$A,'Terr Target'!$E:$E)</f>
        <v>684081.29038404615</v>
      </c>
      <c r="D8" s="3">
        <f t="shared" ref="D8:D39" si="3">SUM(AM8:BQ8)</f>
        <v>684085</v>
      </c>
      <c r="E8" s="4">
        <f t="shared" ref="E8:E39" si="4">D8-C8</f>
        <v>3.7096159538486972</v>
      </c>
      <c r="F8" s="9">
        <f>ABS(E8)/D8</f>
        <v>5.4227412585405283E-6</v>
      </c>
      <c r="G8" s="5">
        <f>1-E8/D8</f>
        <v>0.99999457725874141</v>
      </c>
      <c r="H8" s="38">
        <v>46306.769361308136</v>
      </c>
      <c r="I8" s="11">
        <v>95978.106751833446</v>
      </c>
      <c r="J8" s="11">
        <v>87390.401532732343</v>
      </c>
      <c r="K8" s="11">
        <v>131836.64295343528</v>
      </c>
      <c r="L8" s="11">
        <v>58537.744685095</v>
      </c>
      <c r="M8" s="11">
        <v>45716.338565120117</v>
      </c>
      <c r="N8" s="11">
        <v>1144.9573580404206</v>
      </c>
      <c r="O8" s="11">
        <v>8638.8152399691862</v>
      </c>
      <c r="P8" s="11">
        <v>1931.5185681681553</v>
      </c>
      <c r="Q8" s="11">
        <v>1279.2953326848394</v>
      </c>
      <c r="R8" s="11">
        <v>20152.654976601254</v>
      </c>
      <c r="S8" s="11">
        <v>35402.574638507715</v>
      </c>
      <c r="T8" s="11">
        <v>0</v>
      </c>
      <c r="U8" s="11">
        <v>2482.7939591948834</v>
      </c>
      <c r="V8" s="11">
        <v>24178.826172037891</v>
      </c>
      <c r="W8" s="11">
        <v>42781.116924163347</v>
      </c>
      <c r="X8" s="11">
        <v>3136.0773590778731</v>
      </c>
      <c r="Y8" s="11">
        <v>4025.5653872082535</v>
      </c>
      <c r="Z8" s="11">
        <v>518.00642248457405</v>
      </c>
      <c r="AA8" s="11">
        <v>9415.2998398981144</v>
      </c>
      <c r="AB8" s="11">
        <v>3356.2381660768624</v>
      </c>
      <c r="AC8" s="11">
        <v>0</v>
      </c>
      <c r="AD8" s="11">
        <v>7645.2796486136467</v>
      </c>
      <c r="AE8" s="11">
        <v>10449.172162460301</v>
      </c>
      <c r="AF8" s="11">
        <v>0</v>
      </c>
      <c r="AG8" s="11">
        <v>33266.959278196591</v>
      </c>
      <c r="AH8" s="11">
        <v>2816.977971579774</v>
      </c>
      <c r="AI8" s="11">
        <v>17513.007170273639</v>
      </c>
      <c r="AJ8" s="11">
        <v>15307.784444521048</v>
      </c>
      <c r="AK8" s="11">
        <v>1218.8053810805766</v>
      </c>
      <c r="AL8" s="49">
        <v>1696.071200206246</v>
      </c>
      <c r="AM8" s="41">
        <f>IFERROR(ROUND(_xlfn.XLOOKUP(AM$7,'Product Tgt'!$B:$B,'Product Tgt'!$G:$G)*H8/H$121,0),0)</f>
        <v>45018</v>
      </c>
      <c r="AN8" s="41">
        <f>IFERROR(ROUND(_xlfn.XLOOKUP(AN$7,'Product Tgt'!$B:$B,'Product Tgt'!$G:$G)*I8/I$121,0),0)</f>
        <v>94481</v>
      </c>
      <c r="AO8" s="41">
        <f>IFERROR(ROUND(_xlfn.XLOOKUP(AO$7,'Product Tgt'!$B:$B,'Product Tgt'!$G:$G)*J8/J$121,0),0)</f>
        <v>84672</v>
      </c>
      <c r="AP8" s="41">
        <f>IFERROR(ROUND(_xlfn.XLOOKUP(AP$7,'Product Tgt'!$B:$B,'Product Tgt'!$G:$G)*K8/K$121,0),0)</f>
        <v>128610</v>
      </c>
      <c r="AQ8" s="41">
        <f>IFERROR(ROUND(_xlfn.XLOOKUP(AQ$7,'Product Tgt'!$B:$B,'Product Tgt'!$G:$G)*L8/L$121,0),0)</f>
        <v>56602</v>
      </c>
      <c r="AR8" s="41">
        <f>IFERROR(ROUND(_xlfn.XLOOKUP(AR$7,'Product Tgt'!$B:$B,'Product Tgt'!$G:$G)*M8/M$121,0),0)</f>
        <v>44290</v>
      </c>
      <c r="AS8" s="41">
        <f>IFERROR(ROUND(_xlfn.XLOOKUP(AS$7,'Product Tgt'!$B:$B,'Product Tgt'!$G:$G)*N8/N$121,0),0)</f>
        <v>1058</v>
      </c>
      <c r="AT8" s="41">
        <f>IFERROR(ROUND(_xlfn.XLOOKUP(AT$7,'Product Tgt'!$B:$B,'Product Tgt'!$G:$G)*O8/O$121,0),0)</f>
        <v>7776</v>
      </c>
      <c r="AU8" s="41">
        <f>IFERROR(ROUND(_xlfn.XLOOKUP(AU$7,'Product Tgt'!$B:$B,'Product Tgt'!$G:$G)*P8/P$121,0),0)</f>
        <v>824</v>
      </c>
      <c r="AV8" s="41">
        <f>IFERROR(ROUND(_xlfn.XLOOKUP(AV$7,'Product Tgt'!$B:$B,'Product Tgt'!$G:$G)*Q8/Q$121,0),0)</f>
        <v>960</v>
      </c>
      <c r="AW8" s="41">
        <f>IFERROR(ROUND(_xlfn.XLOOKUP(AW$7,'Product Tgt'!$B:$B,'Product Tgt'!$G:$G)*R8/R$121,0),0)</f>
        <v>19408</v>
      </c>
      <c r="AX8" s="41">
        <f>IFERROR(ROUND(_xlfn.XLOOKUP(AX$7,'Product Tgt'!$B:$B,'Product Tgt'!$G:$G)*S8/S$121,0),0)</f>
        <v>34097</v>
      </c>
      <c r="AY8" s="41">
        <f>IFERROR(ROUND(_xlfn.XLOOKUP(AY$7,'Product Tgt'!$B:$B,'Product Tgt'!$G:$G)*T8/T$121,0),0)</f>
        <v>0</v>
      </c>
      <c r="AZ8" s="41">
        <f>IFERROR(ROUND(_xlfn.XLOOKUP(AZ$7,'Product Tgt'!$B:$B,'Product Tgt'!$G:$G)*U8/U$121,0),0)</f>
        <v>2376</v>
      </c>
      <c r="BA8" s="41">
        <f>IFERROR(ROUND(_xlfn.XLOOKUP(BA$7,'Product Tgt'!$B:$B,'Product Tgt'!$G:$G)*V8/V$121,0),0)</f>
        <v>23279</v>
      </c>
      <c r="BB8" s="41">
        <f>IFERROR(ROUND(_xlfn.XLOOKUP(BB$7,'Product Tgt'!$B:$B,'Product Tgt'!$G:$G)*W8/W$121,0),0)</f>
        <v>40952</v>
      </c>
      <c r="BC8" s="41">
        <f>IFERROR(ROUND(_xlfn.XLOOKUP(BC$7,'Product Tgt'!$B:$B,'Product Tgt'!$G:$G)*X8/X$121,0),0)</f>
        <v>3035</v>
      </c>
      <c r="BD8" s="41">
        <f>IFERROR(ROUND(_xlfn.XLOOKUP(BD$7,'Product Tgt'!$B:$B,'Product Tgt'!$G:$G)*Y8/Y$121,0),0)</f>
        <v>3893</v>
      </c>
      <c r="BE8" s="41">
        <f>IFERROR(ROUND(_xlfn.XLOOKUP(BE$7,'Product Tgt'!$B:$B,'Product Tgt'!$G:$G)*Z8/Z$121,0),0)</f>
        <v>492</v>
      </c>
      <c r="BF8" s="41">
        <f>IFERROR(ROUND(_xlfn.XLOOKUP(BF$7,'Product Tgt'!$B:$B,'Product Tgt'!$G:$G)*AA8/AA$121,0),0)</f>
        <v>7630</v>
      </c>
      <c r="BG8" s="41">
        <f>IFERROR(ROUND(_xlfn.XLOOKUP(BG$7,'Product Tgt'!$B:$B,'Product Tgt'!$G:$G)*AB8/AB$121,0),0)</f>
        <v>2690</v>
      </c>
      <c r="BH8" s="41">
        <f>IFERROR(ROUND(_xlfn.XLOOKUP(BH$7,'Product Tgt'!$B:$B,'Product Tgt'!$G:$G)*AC8/AC$121,0),0)</f>
        <v>0</v>
      </c>
      <c r="BI8" s="41">
        <f>IFERROR(ROUND(_xlfn.XLOOKUP(BI$7,'Product Tgt'!$B:$B,'Product Tgt'!$G:$G)*AD8/AD$121,0),0)</f>
        <v>6655</v>
      </c>
      <c r="BJ8" s="41">
        <f>IFERROR(ROUND(_xlfn.XLOOKUP(BJ$7,'Product Tgt'!$B:$B,'Product Tgt'!$G:$G)*AE8/AE$121,0),0)</f>
        <v>9725</v>
      </c>
      <c r="BK8" s="41">
        <f>IFERROR(ROUND(_xlfn.XLOOKUP(BK$7,'Product Tgt'!$B:$B,'Product Tgt'!$G:$G)*AF8/AF$121,0),0)</f>
        <v>0</v>
      </c>
      <c r="BL8" s="41">
        <f>IFERROR(ROUND(_xlfn.XLOOKUP(BL$7,'Product Tgt'!$B:$B,'Product Tgt'!$G:$G)*AG8/AG$121,0),0)</f>
        <v>31776</v>
      </c>
      <c r="BM8" s="41">
        <f>IFERROR(ROUND(_xlfn.XLOOKUP(BM$7,'Product Tgt'!$B:$B,'Product Tgt'!$G:$G)*AH8/AH$121,0),0)</f>
        <v>2209</v>
      </c>
      <c r="BN8" s="41">
        <f>IFERROR(ROUND(_xlfn.XLOOKUP(BN$7,'Product Tgt'!$B:$B,'Product Tgt'!$G:$G)*AI8/AI$121,0),0)</f>
        <v>16083</v>
      </c>
      <c r="BO8" s="41">
        <f>IFERROR(ROUND(_xlfn.XLOOKUP(BO$7,'Product Tgt'!$B:$B,'Product Tgt'!$G:$G)*AJ8/AJ$121,0),0)</f>
        <v>13240</v>
      </c>
      <c r="BP8" s="41">
        <f>IFERROR(ROUND(_xlfn.XLOOKUP(BP$7,'Product Tgt'!$B:$B,'Product Tgt'!$G:$G)*AK8/AK$121,0),0)</f>
        <v>928</v>
      </c>
      <c r="BQ8" s="41">
        <f>IFERROR(ROUND(_xlfn.XLOOKUP(BQ$7,'Product Tgt'!$B:$B,'Product Tgt'!$G:$G)*AL8/AL$121,0),0)</f>
        <v>1326</v>
      </c>
      <c r="BR8" s="25">
        <f>ROUND(IFERROR(AM8/_xlfn.XLOOKUP(BR$7,'Product Tgt'!$B:$B,'Product Tgt'!$D:$D),0),0)</f>
        <v>0</v>
      </c>
      <c r="BS8" s="11">
        <f>ROUND(IFERROR(AN8/_xlfn.XLOOKUP(BS$7,'Product Tgt'!$B:$B,'Product Tgt'!$D:$D),0),0)</f>
        <v>0</v>
      </c>
      <c r="BT8" s="11">
        <f>ROUND(IFERROR(AO8/_xlfn.XLOOKUP(BT$7,'Product Tgt'!$B:$B,'Product Tgt'!$D:$D),0),0)</f>
        <v>0</v>
      </c>
      <c r="BU8" s="11">
        <f>ROUND(IFERROR(AP8/_xlfn.XLOOKUP(BU$7,'Product Tgt'!$B:$B,'Product Tgt'!$D:$D),0),0)</f>
        <v>0</v>
      </c>
      <c r="BV8" s="11">
        <f>ROUND(IFERROR(AQ8/_xlfn.XLOOKUP(BV$7,'Product Tgt'!$B:$B,'Product Tgt'!$D:$D),0),0)</f>
        <v>0</v>
      </c>
      <c r="BW8" s="11">
        <f>ROUND(IFERROR(AU8/_xlfn.XLOOKUP(BW$7,'Product Tgt'!$B:$B,'Product Tgt'!$D:$D),0),0)</f>
        <v>0</v>
      </c>
      <c r="BX8" s="11">
        <f>ROUND(IFERROR(#REF!/_xlfn.XLOOKUP(BX$7,'Product Tgt'!$B:$B,'Product Tgt'!$D:$D),0),0)</f>
        <v>0</v>
      </c>
      <c r="BY8" s="11">
        <f>ROUND(IFERROR(#REF!/_xlfn.XLOOKUP(BY$7,'Product Tgt'!$B:$B,'Product Tgt'!$D:$D),0),0)</f>
        <v>0</v>
      </c>
      <c r="BZ8" s="11">
        <f>ROUND(IFERROR(#REF!/_xlfn.XLOOKUP(BZ$7,'Product Tgt'!$B:$B,'Product Tgt'!$D:$D),0),0)</f>
        <v>0</v>
      </c>
      <c r="CA8" s="11">
        <f>ROUND(IFERROR(#REF!/_xlfn.XLOOKUP(CA$7,'Product Tgt'!$B:$B,'Product Tgt'!$D:$D),0),0)</f>
        <v>0</v>
      </c>
      <c r="CB8" s="11">
        <f>ROUND(IFERROR(AV8/_xlfn.XLOOKUP(CB$7,'Product Tgt'!$B:$B,'Product Tgt'!$D:$D),0),0)</f>
        <v>0</v>
      </c>
      <c r="CC8" s="11">
        <f>ROUND(IFERROR(AW8/_xlfn.XLOOKUP(CC$7,'Product Tgt'!$B:$B,'Product Tgt'!$D:$D),0),0)</f>
        <v>0</v>
      </c>
      <c r="CD8" s="11">
        <f>ROUND(IFERROR(AX8/_xlfn.XLOOKUP(CD$7,'Product Tgt'!$B:$B,'Product Tgt'!$D:$D),0),0)</f>
        <v>0</v>
      </c>
      <c r="CE8" s="11">
        <f>ROUND(IFERROR(AY8/_xlfn.XLOOKUP(CE$7,'Product Tgt'!$B:$B,'Product Tgt'!$D:$D),0),0)</f>
        <v>0</v>
      </c>
      <c r="CF8" s="11">
        <f>ROUND(IFERROR(AZ8/_xlfn.XLOOKUP(CF$7,'Product Tgt'!$B:$B,'Product Tgt'!$D:$D),0),0)</f>
        <v>0</v>
      </c>
      <c r="CG8" s="11">
        <f>ROUND(IFERROR(BA8/_xlfn.XLOOKUP(CG$7,'Product Tgt'!$B:$B,'Product Tgt'!$D:$D),0),0)</f>
        <v>0</v>
      </c>
      <c r="CH8" s="11">
        <f>ROUND(IFERROR(BB8/_xlfn.XLOOKUP(CH$7,'Product Tgt'!$B:$B,'Product Tgt'!$D:$D),0),0)</f>
        <v>0</v>
      </c>
      <c r="CI8" s="11">
        <f>ROUND(IFERROR(BC8/_xlfn.XLOOKUP(CI$7,'Product Tgt'!$B:$B,'Product Tgt'!$D:$D),0),0)</f>
        <v>0</v>
      </c>
      <c r="CJ8" s="11">
        <f>ROUND(IFERROR(BD8/_xlfn.XLOOKUP(CJ$7,'Product Tgt'!$B:$B,'Product Tgt'!$D:$D),0),0)</f>
        <v>0</v>
      </c>
      <c r="CK8" s="11">
        <f>ROUND(IFERROR(BE8/_xlfn.XLOOKUP(CK$7,'Product Tgt'!$B:$B,'Product Tgt'!$D:$D),0),0)</f>
        <v>0</v>
      </c>
      <c r="CL8" s="11">
        <f>ROUND(IFERROR(BF8/_xlfn.XLOOKUP(CL$7,'Product Tgt'!$B:$B,'Product Tgt'!$D:$D),0),0)</f>
        <v>0</v>
      </c>
      <c r="CM8" s="11">
        <f>ROUND(IFERROR(BG8/_xlfn.XLOOKUP(CM$7,'Product Tgt'!$B:$B,'Product Tgt'!$D:$D),0),0)</f>
        <v>0</v>
      </c>
      <c r="CN8" s="11">
        <f>ROUND(IFERROR(BH8/_xlfn.XLOOKUP(CN$7,'Product Tgt'!$B:$B,'Product Tgt'!$D:$D),0),0)</f>
        <v>0</v>
      </c>
      <c r="CO8" s="11">
        <f>ROUND(IFERROR(BI8/_xlfn.XLOOKUP(CO$7,'Product Tgt'!$B:$B,'Product Tgt'!$D:$D),0),0)</f>
        <v>0</v>
      </c>
      <c r="CP8" s="11">
        <f>ROUND(IFERROR(BJ8/_xlfn.XLOOKUP(CP$7,'Product Tgt'!$B:$B,'Product Tgt'!$D:$D),0),0)</f>
        <v>0</v>
      </c>
      <c r="CQ8" s="11">
        <f>ROUND(IFERROR(BK8/_xlfn.XLOOKUP(CQ$7,'Product Tgt'!$B:$B,'Product Tgt'!$D:$D),0),0)</f>
        <v>0</v>
      </c>
      <c r="CR8" s="11">
        <f>ROUND(IFERROR(BL8/_xlfn.XLOOKUP(CR$7,'Product Tgt'!$B:$B,'Product Tgt'!$D:$D),0),0)</f>
        <v>0</v>
      </c>
      <c r="CS8" s="11">
        <f>ROUND(IFERROR(BM8/_xlfn.XLOOKUP(CS$7,'Product Tgt'!$B:$B,'Product Tgt'!$D:$D),0),0)</f>
        <v>0</v>
      </c>
      <c r="CT8" s="11">
        <f>ROUND(IFERROR(BN8/_xlfn.XLOOKUP(CT$7,'Product Tgt'!$B:$B,'Product Tgt'!$D:$D),0),0)</f>
        <v>0</v>
      </c>
      <c r="CU8" s="11">
        <f>ROUND(IFERROR(BO8/_xlfn.XLOOKUP(CU$7,'Product Tgt'!$B:$B,'Product Tgt'!$D:$D),0),0)</f>
        <v>0</v>
      </c>
      <c r="CV8" s="11">
        <f>ROUND(IFERROR(BP8/_xlfn.XLOOKUP(CV$7,'Product Tgt'!$B:$B,'Product Tgt'!$D:$D),0),0)</f>
        <v>0</v>
      </c>
      <c r="CW8" s="11">
        <f>ROUND(IFERROR(BQ8/_xlfn.XLOOKUP(CW$7,'Product Tgt'!$B:$B,'Product Tgt'!$D:$D),0),0)</f>
        <v>0</v>
      </c>
      <c r="CX8" s="11">
        <f>ROUND(IFERROR(#REF!/_xlfn.XLOOKUP(CX$7,'Product Tgt'!$B:$B,'Product Tgt'!$D:$D),0),0)</f>
        <v>0</v>
      </c>
      <c r="CY8" s="11">
        <f>ROUND(IFERROR(#REF!/_xlfn.XLOOKUP(CY$7,'Product Tgt'!$B:$B,'Product Tgt'!$D:$D),0),0)</f>
        <v>0</v>
      </c>
      <c r="CZ8" s="11">
        <f>ROUND(IFERROR(#REF!/_xlfn.XLOOKUP(CZ$7,'Product Tgt'!$B:$B,'Product Tgt'!$D:$D),0),0)</f>
        <v>0</v>
      </c>
      <c r="DA8" s="10">
        <f>IFERROR(BR8*_xlfn.XLOOKUP(DA$7,'Product Tgt'!$B:$B,'Product Tgt'!$D:$D),0)</f>
        <v>0</v>
      </c>
      <c r="DB8">
        <f>IFERROR(BS8*_xlfn.XLOOKUP(DB$7,'Product Tgt'!$B:$B,'Product Tgt'!$D:$D),0)</f>
        <v>0</v>
      </c>
      <c r="DC8">
        <f>IFERROR(BT8*_xlfn.XLOOKUP(DC$7,'Product Tgt'!$B:$B,'Product Tgt'!$D:$D),0)</f>
        <v>0</v>
      </c>
      <c r="DD8">
        <f>IFERROR(BU8*_xlfn.XLOOKUP(DD$7,'Product Tgt'!$B:$B,'Product Tgt'!$D:$D),0)</f>
        <v>0</v>
      </c>
      <c r="DE8">
        <f>IFERROR(BV8*_xlfn.XLOOKUP(DE$7,'Product Tgt'!$B:$B,'Product Tgt'!$D:$D),0)</f>
        <v>0</v>
      </c>
      <c r="DF8">
        <f>IFERROR(BW8*_xlfn.XLOOKUP(DF$7,'Product Tgt'!$B:$B,'Product Tgt'!$D:$D),0)</f>
        <v>0</v>
      </c>
      <c r="DG8">
        <f>IFERROR(BX8*_xlfn.XLOOKUP(DG$7,'Product Tgt'!$B:$B,'Product Tgt'!$D:$D),0)</f>
        <v>0</v>
      </c>
      <c r="DH8">
        <f>IFERROR(BY8*_xlfn.XLOOKUP(DH$7,'Product Tgt'!$B:$B,'Product Tgt'!$D:$D),0)</f>
        <v>0</v>
      </c>
      <c r="DI8">
        <f>IFERROR(BZ8*_xlfn.XLOOKUP(DI$7,'Product Tgt'!$B:$B,'Product Tgt'!$D:$D),0)</f>
        <v>0</v>
      </c>
      <c r="DJ8">
        <f>IFERROR(CA8*_xlfn.XLOOKUP(DJ$7,'Product Tgt'!$B:$B,'Product Tgt'!$D:$D),0)</f>
        <v>0</v>
      </c>
      <c r="DK8">
        <f>IFERROR(CB8*_xlfn.XLOOKUP(DK$7,'Product Tgt'!$B:$B,'Product Tgt'!$D:$D),0)</f>
        <v>0</v>
      </c>
      <c r="DL8">
        <f>IFERROR(CC8*_xlfn.XLOOKUP(DL$7,'Product Tgt'!$B:$B,'Product Tgt'!$D:$D),0)</f>
        <v>0</v>
      </c>
      <c r="DM8">
        <f>IFERROR(CD8*_xlfn.XLOOKUP(DM$7,'Product Tgt'!$B:$B,'Product Tgt'!$D:$D),0)</f>
        <v>0</v>
      </c>
      <c r="DN8">
        <f>IFERROR(CE8*_xlfn.XLOOKUP(DN$7,'Product Tgt'!$B:$B,'Product Tgt'!$D:$D),0)</f>
        <v>0</v>
      </c>
      <c r="DO8">
        <f>IFERROR(CF8*_xlfn.XLOOKUP(DO$7,'Product Tgt'!$B:$B,'Product Tgt'!$D:$D),0)</f>
        <v>0</v>
      </c>
      <c r="DP8">
        <f>IFERROR(CG8*_xlfn.XLOOKUP(DP$7,'Product Tgt'!$B:$B,'Product Tgt'!$D:$D),0)</f>
        <v>0</v>
      </c>
      <c r="DQ8">
        <f>IFERROR(CH8*_xlfn.XLOOKUP(DQ$7,'Product Tgt'!$B:$B,'Product Tgt'!$D:$D),0)</f>
        <v>0</v>
      </c>
      <c r="DR8">
        <f>IFERROR(CI8*_xlfn.XLOOKUP(DR$7,'Product Tgt'!$B:$B,'Product Tgt'!$D:$D),0)</f>
        <v>0</v>
      </c>
      <c r="DS8">
        <f>IFERROR(CJ8*_xlfn.XLOOKUP(DS$7,'Product Tgt'!$B:$B,'Product Tgt'!$D:$D),0)</f>
        <v>0</v>
      </c>
      <c r="DT8">
        <f>IFERROR(CK8*_xlfn.XLOOKUP(DT$7,'Product Tgt'!$B:$B,'Product Tgt'!$D:$D),0)</f>
        <v>0</v>
      </c>
      <c r="DU8">
        <f>IFERROR(CL8*_xlfn.XLOOKUP(DU$7,'Product Tgt'!$B:$B,'Product Tgt'!$D:$D),0)</f>
        <v>0</v>
      </c>
      <c r="DV8">
        <f>IFERROR(CM8*_xlfn.XLOOKUP(DV$7,'Product Tgt'!$B:$B,'Product Tgt'!$D:$D),0)</f>
        <v>0</v>
      </c>
      <c r="DW8">
        <f>IFERROR(CN8*_xlfn.XLOOKUP(DW$7,'Product Tgt'!$B:$B,'Product Tgt'!$D:$D),0)</f>
        <v>0</v>
      </c>
      <c r="DX8">
        <f>IFERROR(CO8*_xlfn.XLOOKUP(DX$7,'Product Tgt'!$B:$B,'Product Tgt'!$D:$D),0)</f>
        <v>0</v>
      </c>
      <c r="DY8">
        <f>IFERROR(CP8*_xlfn.XLOOKUP(DY$7,'Product Tgt'!$B:$B,'Product Tgt'!$D:$D),0)</f>
        <v>0</v>
      </c>
      <c r="DZ8">
        <f>IFERROR(CQ8*_xlfn.XLOOKUP(DZ$7,'Product Tgt'!$B:$B,'Product Tgt'!$D:$D),0)</f>
        <v>0</v>
      </c>
      <c r="EA8">
        <f>IFERROR(CR8*_xlfn.XLOOKUP(EA$7,'Product Tgt'!$B:$B,'Product Tgt'!$D:$D),0)</f>
        <v>0</v>
      </c>
      <c r="EB8">
        <f>IFERROR(CS8*_xlfn.XLOOKUP(EB$7,'Product Tgt'!$B:$B,'Product Tgt'!$D:$D),0)</f>
        <v>0</v>
      </c>
      <c r="EC8">
        <f>IFERROR(CT8*_xlfn.XLOOKUP(EC$7,'Product Tgt'!$B:$B,'Product Tgt'!$D:$D),0)</f>
        <v>0</v>
      </c>
      <c r="ED8">
        <f>IFERROR(CU8*_xlfn.XLOOKUP(ED$7,'Product Tgt'!$B:$B,'Product Tgt'!$D:$D),0)</f>
        <v>0</v>
      </c>
      <c r="EE8">
        <f>IFERROR(CV8*_xlfn.XLOOKUP(EE$7,'Product Tgt'!$B:$B,'Product Tgt'!$D:$D),0)</f>
        <v>0</v>
      </c>
      <c r="EF8">
        <f>IFERROR(CW8*_xlfn.XLOOKUP(EF$7,'Product Tgt'!$B:$B,'Product Tgt'!$D:$D),0)</f>
        <v>0</v>
      </c>
      <c r="EG8">
        <f>IFERROR(CX8*_xlfn.XLOOKUP(EG$7,'Product Tgt'!$B:$B,'Product Tgt'!$D:$D),0)</f>
        <v>0</v>
      </c>
      <c r="EH8">
        <f>IFERROR(CY8*_xlfn.XLOOKUP(EH$7,'Product Tgt'!$B:$B,'Product Tgt'!$D:$D),0)</f>
        <v>0</v>
      </c>
      <c r="EI8">
        <f>IFERROR(CZ8*_xlfn.XLOOKUP(EI$7,'Product Tgt'!$B:$B,'Product Tgt'!$D:$D),0)</f>
        <v>0</v>
      </c>
    </row>
    <row r="9" spans="1:139" x14ac:dyDescent="0.35">
      <c r="B9" s="7" t="s">
        <v>89</v>
      </c>
      <c r="C9" s="3">
        <f>_xlfn.XLOOKUP($B9,'Terr Target'!$A:$A,'Terr Target'!$E:$E)</f>
        <v>535351</v>
      </c>
      <c r="D9" s="3">
        <f t="shared" si="3"/>
        <v>535348</v>
      </c>
      <c r="E9" s="4">
        <f t="shared" si="4"/>
        <v>-3</v>
      </c>
      <c r="F9" s="9">
        <f t="shared" ref="F9:F33" si="5">ABS(E9)/D9</f>
        <v>5.6038315264089897E-6</v>
      </c>
      <c r="G9" s="5">
        <f t="shared" ref="G9:G72" si="6">1-E9/D9</f>
        <v>1.0000056038315264</v>
      </c>
      <c r="H9" s="38">
        <v>35058.567763153558</v>
      </c>
      <c r="I9" s="11">
        <v>70661.747441184503</v>
      </c>
      <c r="J9" s="11">
        <v>64035.526929984488</v>
      </c>
      <c r="K9" s="11">
        <v>82867.723926692939</v>
      </c>
      <c r="L9" s="11">
        <v>51451.474185617408</v>
      </c>
      <c r="M9" s="11">
        <v>37910.925967929026</v>
      </c>
      <c r="N9" s="11">
        <v>908.44868613894062</v>
      </c>
      <c r="O9" s="11">
        <v>6875.763703519382</v>
      </c>
      <c r="P9" s="11">
        <v>2926.5056154601275</v>
      </c>
      <c r="Q9" s="11">
        <v>2187.5221430032775</v>
      </c>
      <c r="R9" s="11">
        <v>15206.46619136538</v>
      </c>
      <c r="S9" s="11">
        <v>25626.392423963935</v>
      </c>
      <c r="T9" s="11">
        <v>0</v>
      </c>
      <c r="U9" s="11">
        <v>2385.5071619514661</v>
      </c>
      <c r="V9" s="11">
        <v>21021.372757626239</v>
      </c>
      <c r="W9" s="11">
        <v>37674.887321911403</v>
      </c>
      <c r="X9" s="11">
        <v>3719.6297633398067</v>
      </c>
      <c r="Y9" s="11">
        <v>3992.1500786563006</v>
      </c>
      <c r="Z9" s="11">
        <v>542.06003537969718</v>
      </c>
      <c r="AA9" s="11">
        <v>6135.75947926346</v>
      </c>
      <c r="AB9" s="11">
        <v>2062.9802159983869</v>
      </c>
      <c r="AC9" s="11">
        <v>0</v>
      </c>
      <c r="AD9" s="11">
        <v>13565.77099464347</v>
      </c>
      <c r="AE9" s="11">
        <v>15106.085459444546</v>
      </c>
      <c r="AF9" s="11">
        <v>0</v>
      </c>
      <c r="AG9" s="11">
        <v>26770.24689000507</v>
      </c>
      <c r="AH9" s="11">
        <v>2699.8885085479424</v>
      </c>
      <c r="AI9" s="11">
        <v>13628.128722048838</v>
      </c>
      <c r="AJ9" s="11">
        <v>12411.351747481924</v>
      </c>
      <c r="AK9" s="11">
        <v>1656.8434901832431</v>
      </c>
      <c r="AL9" s="49">
        <v>2362.8056419400832</v>
      </c>
      <c r="AM9" s="41">
        <f>IFERROR(ROUND(_xlfn.XLOOKUP(AM$7,'Product Tgt'!$B:$B,'Product Tgt'!$G:$G)*H9/H$121,0),0)</f>
        <v>34083</v>
      </c>
      <c r="AN9" s="41">
        <f>IFERROR(ROUND(_xlfn.XLOOKUP(AN$7,'Product Tgt'!$B:$B,'Product Tgt'!$G:$G)*I9/I$121,0),0)</f>
        <v>69559</v>
      </c>
      <c r="AO9" s="41">
        <f>IFERROR(ROUND(_xlfn.XLOOKUP(AO$7,'Product Tgt'!$B:$B,'Product Tgt'!$G:$G)*J9/J$121,0),0)</f>
        <v>62044</v>
      </c>
      <c r="AP9" s="41">
        <f>IFERROR(ROUND(_xlfn.XLOOKUP(AP$7,'Product Tgt'!$B:$B,'Product Tgt'!$G:$G)*K9/K$121,0),0)</f>
        <v>80839</v>
      </c>
      <c r="AQ9" s="41">
        <f>IFERROR(ROUND(_xlfn.XLOOKUP(AQ$7,'Product Tgt'!$B:$B,'Product Tgt'!$G:$G)*L9/L$121,0),0)</f>
        <v>49750</v>
      </c>
      <c r="AR9" s="41">
        <f>IFERROR(ROUND(_xlfn.XLOOKUP(AR$7,'Product Tgt'!$B:$B,'Product Tgt'!$G:$G)*M9/M$121,0),0)</f>
        <v>36728</v>
      </c>
      <c r="AS9" s="41">
        <f>IFERROR(ROUND(_xlfn.XLOOKUP(AS$7,'Product Tgt'!$B:$B,'Product Tgt'!$G:$G)*N9/N$121,0),0)</f>
        <v>839</v>
      </c>
      <c r="AT9" s="41">
        <f>IFERROR(ROUND(_xlfn.XLOOKUP(AT$7,'Product Tgt'!$B:$B,'Product Tgt'!$G:$G)*O9/O$121,0),0)</f>
        <v>6189</v>
      </c>
      <c r="AU9" s="41">
        <f>IFERROR(ROUND(_xlfn.XLOOKUP(AU$7,'Product Tgt'!$B:$B,'Product Tgt'!$G:$G)*P9/P$121,0),0)</f>
        <v>1248</v>
      </c>
      <c r="AV9" s="41">
        <f>IFERROR(ROUND(_xlfn.XLOOKUP(AV$7,'Product Tgt'!$B:$B,'Product Tgt'!$G:$G)*Q9/Q$121,0),0)</f>
        <v>1642</v>
      </c>
      <c r="AW9" s="41">
        <f>IFERROR(ROUND(_xlfn.XLOOKUP(AW$7,'Product Tgt'!$B:$B,'Product Tgt'!$G:$G)*R9/R$121,0),0)</f>
        <v>14645</v>
      </c>
      <c r="AX9" s="41">
        <f>IFERROR(ROUND(_xlfn.XLOOKUP(AX$7,'Product Tgt'!$B:$B,'Product Tgt'!$G:$G)*S9/S$121,0),0)</f>
        <v>24682</v>
      </c>
      <c r="AY9" s="41">
        <f>IFERROR(ROUND(_xlfn.XLOOKUP(AY$7,'Product Tgt'!$B:$B,'Product Tgt'!$G:$G)*T9/T$121,0),0)</f>
        <v>0</v>
      </c>
      <c r="AZ9" s="41">
        <f>IFERROR(ROUND(_xlfn.XLOOKUP(AZ$7,'Product Tgt'!$B:$B,'Product Tgt'!$G:$G)*U9/U$121,0),0)</f>
        <v>2283</v>
      </c>
      <c r="BA9" s="41">
        <f>IFERROR(ROUND(_xlfn.XLOOKUP(BA$7,'Product Tgt'!$B:$B,'Product Tgt'!$G:$G)*V9/V$121,0),0)</f>
        <v>20239</v>
      </c>
      <c r="BB9" s="41">
        <f>IFERROR(ROUND(_xlfn.XLOOKUP(BB$7,'Product Tgt'!$B:$B,'Product Tgt'!$G:$G)*W9/W$121,0),0)</f>
        <v>36064</v>
      </c>
      <c r="BC9" s="41">
        <f>IFERROR(ROUND(_xlfn.XLOOKUP(BC$7,'Product Tgt'!$B:$B,'Product Tgt'!$G:$G)*X9/X$121,0),0)</f>
        <v>3599</v>
      </c>
      <c r="BD9" s="41">
        <f>IFERROR(ROUND(_xlfn.XLOOKUP(BD$7,'Product Tgt'!$B:$B,'Product Tgt'!$G:$G)*Y9/Y$121,0),0)</f>
        <v>3860</v>
      </c>
      <c r="BE9" s="41">
        <f>IFERROR(ROUND(_xlfn.XLOOKUP(BE$7,'Product Tgt'!$B:$B,'Product Tgt'!$G:$G)*Z9/Z$121,0),0)</f>
        <v>515</v>
      </c>
      <c r="BF9" s="41">
        <f>IFERROR(ROUND(_xlfn.XLOOKUP(BF$7,'Product Tgt'!$B:$B,'Product Tgt'!$G:$G)*AA9/AA$121,0),0)</f>
        <v>4972</v>
      </c>
      <c r="BG9" s="41">
        <f>IFERROR(ROUND(_xlfn.XLOOKUP(BG$7,'Product Tgt'!$B:$B,'Product Tgt'!$G:$G)*AB9/AB$121,0),0)</f>
        <v>1653</v>
      </c>
      <c r="BH9" s="41">
        <f>IFERROR(ROUND(_xlfn.XLOOKUP(BH$7,'Product Tgt'!$B:$B,'Product Tgt'!$G:$G)*AC9/AC$121,0),0)</f>
        <v>0</v>
      </c>
      <c r="BI9" s="41">
        <f>IFERROR(ROUND(_xlfn.XLOOKUP(BI$7,'Product Tgt'!$B:$B,'Product Tgt'!$G:$G)*AD9/AD$121,0),0)</f>
        <v>11809</v>
      </c>
      <c r="BJ9" s="41">
        <f>IFERROR(ROUND(_xlfn.XLOOKUP(BJ$7,'Product Tgt'!$B:$B,'Product Tgt'!$G:$G)*AE9/AE$121,0),0)</f>
        <v>14060</v>
      </c>
      <c r="BK9" s="41">
        <f>IFERROR(ROUND(_xlfn.XLOOKUP(BK$7,'Product Tgt'!$B:$B,'Product Tgt'!$G:$G)*AF9/AF$121,0),0)</f>
        <v>0</v>
      </c>
      <c r="BL9" s="41">
        <f>IFERROR(ROUND(_xlfn.XLOOKUP(BL$7,'Product Tgt'!$B:$B,'Product Tgt'!$G:$G)*AG9/AG$121,0),0)</f>
        <v>25570</v>
      </c>
      <c r="BM9" s="41">
        <f>IFERROR(ROUND(_xlfn.XLOOKUP(BM$7,'Product Tgt'!$B:$B,'Product Tgt'!$G:$G)*AH9/AH$121,0),0)</f>
        <v>2117</v>
      </c>
      <c r="BN9" s="41">
        <f>IFERROR(ROUND(_xlfn.XLOOKUP(BN$7,'Product Tgt'!$B:$B,'Product Tgt'!$G:$G)*AI9/AI$121,0),0)</f>
        <v>12516</v>
      </c>
      <c r="BO9" s="41">
        <f>IFERROR(ROUND(_xlfn.XLOOKUP(BO$7,'Product Tgt'!$B:$B,'Product Tgt'!$G:$G)*AJ9/AJ$121,0),0)</f>
        <v>10735</v>
      </c>
      <c r="BP9" s="41">
        <f>IFERROR(ROUND(_xlfn.XLOOKUP(BP$7,'Product Tgt'!$B:$B,'Product Tgt'!$G:$G)*AK9/AK$121,0),0)</f>
        <v>1261</v>
      </c>
      <c r="BQ9" s="41">
        <f>IFERROR(ROUND(_xlfn.XLOOKUP(BQ$7,'Product Tgt'!$B:$B,'Product Tgt'!$G:$G)*AL9/AL$121,0),0)</f>
        <v>1847</v>
      </c>
      <c r="BR9" s="25">
        <f>ROUND(IFERROR(AM9/_xlfn.XLOOKUP(BR$7,'Product Tgt'!$B:$B,'Product Tgt'!$D:$D),0),0)</f>
        <v>0</v>
      </c>
      <c r="BS9" s="11">
        <f>ROUND(IFERROR(AN9/_xlfn.XLOOKUP(BS$7,'Product Tgt'!$B:$B,'Product Tgt'!$D:$D),0),0)</f>
        <v>0</v>
      </c>
      <c r="BT9" s="11">
        <f>ROUND(IFERROR(AO9/_xlfn.XLOOKUP(BT$7,'Product Tgt'!$B:$B,'Product Tgt'!$D:$D),0),0)</f>
        <v>0</v>
      </c>
      <c r="BU9" s="11">
        <f>ROUND(IFERROR(AP9/_xlfn.XLOOKUP(BU$7,'Product Tgt'!$B:$B,'Product Tgt'!$D:$D),0),0)</f>
        <v>0</v>
      </c>
      <c r="BV9" s="11">
        <f>ROUND(IFERROR(AQ9/_xlfn.XLOOKUP(BV$7,'Product Tgt'!$B:$B,'Product Tgt'!$D:$D),0),0)</f>
        <v>0</v>
      </c>
      <c r="BW9" s="11">
        <f>ROUND(IFERROR(AU9/_xlfn.XLOOKUP(BW$7,'Product Tgt'!$B:$B,'Product Tgt'!$D:$D),0),0)</f>
        <v>0</v>
      </c>
      <c r="BX9" s="11">
        <f>ROUND(IFERROR(#REF!/_xlfn.XLOOKUP(BX$7,'Product Tgt'!$B:$B,'Product Tgt'!$D:$D),0),0)</f>
        <v>0</v>
      </c>
      <c r="BY9" s="11">
        <f>ROUND(IFERROR(#REF!/_xlfn.XLOOKUP(BY$7,'Product Tgt'!$B:$B,'Product Tgt'!$D:$D),0),0)</f>
        <v>0</v>
      </c>
      <c r="BZ9" s="11">
        <f>ROUND(IFERROR(#REF!/_xlfn.XLOOKUP(BZ$7,'Product Tgt'!$B:$B,'Product Tgt'!$D:$D),0),0)</f>
        <v>0</v>
      </c>
      <c r="CA9" s="11">
        <f>ROUND(IFERROR(#REF!/_xlfn.XLOOKUP(CA$7,'Product Tgt'!$B:$B,'Product Tgt'!$D:$D),0),0)</f>
        <v>0</v>
      </c>
      <c r="CB9" s="11">
        <f>ROUND(IFERROR(AV9/_xlfn.XLOOKUP(CB$7,'Product Tgt'!$B:$B,'Product Tgt'!$D:$D),0),0)</f>
        <v>0</v>
      </c>
      <c r="CC9" s="11">
        <f>ROUND(IFERROR(AW9/_xlfn.XLOOKUP(CC$7,'Product Tgt'!$B:$B,'Product Tgt'!$D:$D),0),0)</f>
        <v>0</v>
      </c>
      <c r="CD9" s="11">
        <f>ROUND(IFERROR(AX9/_xlfn.XLOOKUP(CD$7,'Product Tgt'!$B:$B,'Product Tgt'!$D:$D),0),0)</f>
        <v>0</v>
      </c>
      <c r="CE9" s="11">
        <f>ROUND(IFERROR(AY9/_xlfn.XLOOKUP(CE$7,'Product Tgt'!$B:$B,'Product Tgt'!$D:$D),0),0)</f>
        <v>0</v>
      </c>
      <c r="CF9" s="11">
        <f>ROUND(IFERROR(AZ9/_xlfn.XLOOKUP(CF$7,'Product Tgt'!$B:$B,'Product Tgt'!$D:$D),0),0)</f>
        <v>0</v>
      </c>
      <c r="CG9" s="11">
        <f>ROUND(IFERROR(BA9/_xlfn.XLOOKUP(CG$7,'Product Tgt'!$B:$B,'Product Tgt'!$D:$D),0),0)</f>
        <v>0</v>
      </c>
      <c r="CH9" s="11">
        <f>ROUND(IFERROR(BB9/_xlfn.XLOOKUP(CH$7,'Product Tgt'!$B:$B,'Product Tgt'!$D:$D),0),0)</f>
        <v>0</v>
      </c>
      <c r="CI9" s="11">
        <f>ROUND(IFERROR(BC9/_xlfn.XLOOKUP(CI$7,'Product Tgt'!$B:$B,'Product Tgt'!$D:$D),0),0)</f>
        <v>0</v>
      </c>
      <c r="CJ9" s="11">
        <f>ROUND(IFERROR(BD9/_xlfn.XLOOKUP(CJ$7,'Product Tgt'!$B:$B,'Product Tgt'!$D:$D),0),0)</f>
        <v>0</v>
      </c>
      <c r="CK9" s="11">
        <f>ROUND(IFERROR(BE9/_xlfn.XLOOKUP(CK$7,'Product Tgt'!$B:$B,'Product Tgt'!$D:$D),0),0)</f>
        <v>0</v>
      </c>
      <c r="CL9" s="11">
        <f>ROUND(IFERROR(BF9/_xlfn.XLOOKUP(CL$7,'Product Tgt'!$B:$B,'Product Tgt'!$D:$D),0),0)</f>
        <v>0</v>
      </c>
      <c r="CM9" s="11">
        <f>ROUND(IFERROR(BG9/_xlfn.XLOOKUP(CM$7,'Product Tgt'!$B:$B,'Product Tgt'!$D:$D),0),0)</f>
        <v>0</v>
      </c>
      <c r="CN9" s="11">
        <f>ROUND(IFERROR(BH9/_xlfn.XLOOKUP(CN$7,'Product Tgt'!$B:$B,'Product Tgt'!$D:$D),0),0)</f>
        <v>0</v>
      </c>
      <c r="CO9" s="11">
        <f>ROUND(IFERROR(BI9/_xlfn.XLOOKUP(CO$7,'Product Tgt'!$B:$B,'Product Tgt'!$D:$D),0),0)</f>
        <v>0</v>
      </c>
      <c r="CP9" s="11">
        <f>ROUND(IFERROR(BJ9/_xlfn.XLOOKUP(CP$7,'Product Tgt'!$B:$B,'Product Tgt'!$D:$D),0),0)</f>
        <v>0</v>
      </c>
      <c r="CQ9" s="11">
        <f>ROUND(IFERROR(BK9/_xlfn.XLOOKUP(CQ$7,'Product Tgt'!$B:$B,'Product Tgt'!$D:$D),0),0)</f>
        <v>0</v>
      </c>
      <c r="CR9" s="11">
        <f>ROUND(IFERROR(BL9/_xlfn.XLOOKUP(CR$7,'Product Tgt'!$B:$B,'Product Tgt'!$D:$D),0),0)</f>
        <v>0</v>
      </c>
      <c r="CS9" s="11">
        <f>ROUND(IFERROR(BM9/_xlfn.XLOOKUP(CS$7,'Product Tgt'!$B:$B,'Product Tgt'!$D:$D),0),0)</f>
        <v>0</v>
      </c>
      <c r="CT9" s="11">
        <f>ROUND(IFERROR(BN9/_xlfn.XLOOKUP(CT$7,'Product Tgt'!$B:$B,'Product Tgt'!$D:$D),0),0)</f>
        <v>0</v>
      </c>
      <c r="CU9" s="11">
        <f>ROUND(IFERROR(BO9/_xlfn.XLOOKUP(CU$7,'Product Tgt'!$B:$B,'Product Tgt'!$D:$D),0),0)</f>
        <v>0</v>
      </c>
      <c r="CV9" s="11">
        <f>ROUND(IFERROR(BP9/_xlfn.XLOOKUP(CV$7,'Product Tgt'!$B:$B,'Product Tgt'!$D:$D),0),0)</f>
        <v>0</v>
      </c>
      <c r="CW9" s="11">
        <f>ROUND(IFERROR(BQ9/_xlfn.XLOOKUP(CW$7,'Product Tgt'!$B:$B,'Product Tgt'!$D:$D),0),0)</f>
        <v>0</v>
      </c>
      <c r="CX9" s="11">
        <f>ROUND(IFERROR(#REF!/_xlfn.XLOOKUP(CX$7,'Product Tgt'!$B:$B,'Product Tgt'!$D:$D),0),0)</f>
        <v>0</v>
      </c>
      <c r="CY9" s="11">
        <f>ROUND(IFERROR(#REF!/_xlfn.XLOOKUP(CY$7,'Product Tgt'!$B:$B,'Product Tgt'!$D:$D),0),0)</f>
        <v>0</v>
      </c>
      <c r="CZ9" s="11">
        <f>ROUND(IFERROR(#REF!/_xlfn.XLOOKUP(CZ$7,'Product Tgt'!$B:$B,'Product Tgt'!$D:$D),0),0)</f>
        <v>0</v>
      </c>
      <c r="DA9" s="10">
        <f>IFERROR(BR9*_xlfn.XLOOKUP(DA$7,'Product Tgt'!$B:$B,'Product Tgt'!$D:$D),0)</f>
        <v>0</v>
      </c>
      <c r="DB9">
        <f>IFERROR(BS9*_xlfn.XLOOKUP(DB$7,'Product Tgt'!$B:$B,'Product Tgt'!$D:$D),0)</f>
        <v>0</v>
      </c>
      <c r="DC9">
        <f>IFERROR(BT9*_xlfn.XLOOKUP(DC$7,'Product Tgt'!$B:$B,'Product Tgt'!$D:$D),0)</f>
        <v>0</v>
      </c>
      <c r="DD9">
        <f>IFERROR(BU9*_xlfn.XLOOKUP(DD$7,'Product Tgt'!$B:$B,'Product Tgt'!$D:$D),0)</f>
        <v>0</v>
      </c>
      <c r="DE9">
        <f>IFERROR(BV9*_xlfn.XLOOKUP(DE$7,'Product Tgt'!$B:$B,'Product Tgt'!$D:$D),0)</f>
        <v>0</v>
      </c>
      <c r="DF9">
        <f>IFERROR(BW9*_xlfn.XLOOKUP(DF$7,'Product Tgt'!$B:$B,'Product Tgt'!$D:$D),0)</f>
        <v>0</v>
      </c>
      <c r="DG9">
        <f>IFERROR(BX9*_xlfn.XLOOKUP(DG$7,'Product Tgt'!$B:$B,'Product Tgt'!$D:$D),0)</f>
        <v>0</v>
      </c>
      <c r="DH9">
        <f>IFERROR(BY9*_xlfn.XLOOKUP(DH$7,'Product Tgt'!$B:$B,'Product Tgt'!$D:$D),0)</f>
        <v>0</v>
      </c>
      <c r="DI9">
        <f>IFERROR(BZ9*_xlfn.XLOOKUP(DI$7,'Product Tgt'!$B:$B,'Product Tgt'!$D:$D),0)</f>
        <v>0</v>
      </c>
      <c r="DJ9">
        <f>IFERROR(CA9*_xlfn.XLOOKUP(DJ$7,'Product Tgt'!$B:$B,'Product Tgt'!$D:$D),0)</f>
        <v>0</v>
      </c>
      <c r="DK9">
        <f>IFERROR(CB9*_xlfn.XLOOKUP(DK$7,'Product Tgt'!$B:$B,'Product Tgt'!$D:$D),0)</f>
        <v>0</v>
      </c>
      <c r="DL9">
        <f>IFERROR(CC9*_xlfn.XLOOKUP(DL$7,'Product Tgt'!$B:$B,'Product Tgt'!$D:$D),0)</f>
        <v>0</v>
      </c>
      <c r="DM9">
        <f>IFERROR(CD9*_xlfn.XLOOKUP(DM$7,'Product Tgt'!$B:$B,'Product Tgt'!$D:$D),0)</f>
        <v>0</v>
      </c>
      <c r="DN9">
        <f>IFERROR(CE9*_xlfn.XLOOKUP(DN$7,'Product Tgt'!$B:$B,'Product Tgt'!$D:$D),0)</f>
        <v>0</v>
      </c>
      <c r="DO9">
        <f>IFERROR(CF9*_xlfn.XLOOKUP(DO$7,'Product Tgt'!$B:$B,'Product Tgt'!$D:$D),0)</f>
        <v>0</v>
      </c>
      <c r="DP9">
        <f>IFERROR(CG9*_xlfn.XLOOKUP(DP$7,'Product Tgt'!$B:$B,'Product Tgt'!$D:$D),0)</f>
        <v>0</v>
      </c>
      <c r="DQ9">
        <f>IFERROR(CH9*_xlfn.XLOOKUP(DQ$7,'Product Tgt'!$B:$B,'Product Tgt'!$D:$D),0)</f>
        <v>0</v>
      </c>
      <c r="DR9">
        <f>IFERROR(CI9*_xlfn.XLOOKUP(DR$7,'Product Tgt'!$B:$B,'Product Tgt'!$D:$D),0)</f>
        <v>0</v>
      </c>
      <c r="DS9">
        <f>IFERROR(CJ9*_xlfn.XLOOKUP(DS$7,'Product Tgt'!$B:$B,'Product Tgt'!$D:$D),0)</f>
        <v>0</v>
      </c>
      <c r="DT9">
        <f>IFERROR(CK9*_xlfn.XLOOKUP(DT$7,'Product Tgt'!$B:$B,'Product Tgt'!$D:$D),0)</f>
        <v>0</v>
      </c>
      <c r="DU9">
        <f>IFERROR(CL9*_xlfn.XLOOKUP(DU$7,'Product Tgt'!$B:$B,'Product Tgt'!$D:$D),0)</f>
        <v>0</v>
      </c>
      <c r="DV9">
        <f>IFERROR(CM9*_xlfn.XLOOKUP(DV$7,'Product Tgt'!$B:$B,'Product Tgt'!$D:$D),0)</f>
        <v>0</v>
      </c>
      <c r="DW9">
        <f>IFERROR(CN9*_xlfn.XLOOKUP(DW$7,'Product Tgt'!$B:$B,'Product Tgt'!$D:$D),0)</f>
        <v>0</v>
      </c>
      <c r="DX9">
        <f>IFERROR(CO9*_xlfn.XLOOKUP(DX$7,'Product Tgt'!$B:$B,'Product Tgt'!$D:$D),0)</f>
        <v>0</v>
      </c>
      <c r="DY9">
        <f>IFERROR(CP9*_xlfn.XLOOKUP(DY$7,'Product Tgt'!$B:$B,'Product Tgt'!$D:$D),0)</f>
        <v>0</v>
      </c>
      <c r="DZ9">
        <f>IFERROR(CQ9*_xlfn.XLOOKUP(DZ$7,'Product Tgt'!$B:$B,'Product Tgt'!$D:$D),0)</f>
        <v>0</v>
      </c>
      <c r="EA9">
        <f>IFERROR(CR9*_xlfn.XLOOKUP(EA$7,'Product Tgt'!$B:$B,'Product Tgt'!$D:$D),0)</f>
        <v>0</v>
      </c>
      <c r="EB9">
        <f>IFERROR(CS9*_xlfn.XLOOKUP(EB$7,'Product Tgt'!$B:$B,'Product Tgt'!$D:$D),0)</f>
        <v>0</v>
      </c>
      <c r="EC9">
        <f>IFERROR(CT9*_xlfn.XLOOKUP(EC$7,'Product Tgt'!$B:$B,'Product Tgt'!$D:$D),0)</f>
        <v>0</v>
      </c>
      <c r="ED9">
        <f>IFERROR(CU9*_xlfn.XLOOKUP(ED$7,'Product Tgt'!$B:$B,'Product Tgt'!$D:$D),0)</f>
        <v>0</v>
      </c>
      <c r="EE9">
        <f>IFERROR(CV9*_xlfn.XLOOKUP(EE$7,'Product Tgt'!$B:$B,'Product Tgt'!$D:$D),0)</f>
        <v>0</v>
      </c>
      <c r="EF9">
        <f>IFERROR(CW9*_xlfn.XLOOKUP(EF$7,'Product Tgt'!$B:$B,'Product Tgt'!$D:$D),0)</f>
        <v>0</v>
      </c>
      <c r="EG9">
        <f>IFERROR(CX9*_xlfn.XLOOKUP(EG$7,'Product Tgt'!$B:$B,'Product Tgt'!$D:$D),0)</f>
        <v>0</v>
      </c>
      <c r="EH9">
        <f>IFERROR(CY9*_xlfn.XLOOKUP(EH$7,'Product Tgt'!$B:$B,'Product Tgt'!$D:$D),0)</f>
        <v>0</v>
      </c>
      <c r="EI9">
        <f>IFERROR(CZ9*_xlfn.XLOOKUP(EI$7,'Product Tgt'!$B:$B,'Product Tgt'!$D:$D),0)</f>
        <v>0</v>
      </c>
    </row>
    <row r="10" spans="1:139" x14ac:dyDescent="0.35">
      <c r="B10" s="7" t="s">
        <v>90</v>
      </c>
      <c r="C10" s="3">
        <f>_xlfn.XLOOKUP($B10,'Terr Target'!$A:$A,'Terr Target'!$E:$E)</f>
        <v>365084.90897602984</v>
      </c>
      <c r="D10" s="3">
        <f t="shared" si="3"/>
        <v>365088</v>
      </c>
      <c r="E10" s="4">
        <f t="shared" si="4"/>
        <v>3.091023970162496</v>
      </c>
      <c r="F10" s="9">
        <f t="shared" si="5"/>
        <v>8.4665175797684288E-6</v>
      </c>
      <c r="G10" s="5">
        <f t="shared" si="6"/>
        <v>0.9999915334824202</v>
      </c>
      <c r="H10" s="38">
        <v>26359.505871285553</v>
      </c>
      <c r="I10" s="11">
        <v>52210.658957781241</v>
      </c>
      <c r="J10" s="11">
        <v>43604.141112781908</v>
      </c>
      <c r="K10" s="11">
        <v>44134.913579362212</v>
      </c>
      <c r="L10" s="11">
        <v>34744.82685580114</v>
      </c>
      <c r="M10" s="11">
        <v>25328.100510344557</v>
      </c>
      <c r="N10" s="11">
        <v>773.97901467367467</v>
      </c>
      <c r="O10" s="11">
        <v>6727.8945088881464</v>
      </c>
      <c r="P10" s="11">
        <v>1697.9759000967708</v>
      </c>
      <c r="Q10" s="11">
        <v>1000.9857926954462</v>
      </c>
      <c r="R10" s="11">
        <v>8477.7796722205039</v>
      </c>
      <c r="S10" s="11">
        <v>20065.25520755463</v>
      </c>
      <c r="T10" s="11">
        <v>0</v>
      </c>
      <c r="U10" s="11">
        <v>1966.9720821497929</v>
      </c>
      <c r="V10" s="11">
        <v>11644.834721217252</v>
      </c>
      <c r="W10" s="11">
        <v>30137.532248575077</v>
      </c>
      <c r="X10" s="11">
        <v>4100.9417940499752</v>
      </c>
      <c r="Y10" s="11">
        <v>5543.901313674025</v>
      </c>
      <c r="Z10" s="11">
        <v>903.05718262684979</v>
      </c>
      <c r="AA10" s="11">
        <v>6197.9420306694865</v>
      </c>
      <c r="AB10" s="11">
        <v>2090.9903219201115</v>
      </c>
      <c r="AC10" s="11">
        <v>0</v>
      </c>
      <c r="AD10" s="11">
        <v>3848.9553705721273</v>
      </c>
      <c r="AE10" s="11">
        <v>8009.8563136031398</v>
      </c>
      <c r="AF10" s="11">
        <v>0</v>
      </c>
      <c r="AG10" s="11">
        <v>19018.730061213475</v>
      </c>
      <c r="AH10" s="11">
        <v>1872.9834161603374</v>
      </c>
      <c r="AI10" s="11">
        <v>10725.907763835081</v>
      </c>
      <c r="AJ10" s="11">
        <v>9166.8498920312686</v>
      </c>
      <c r="AK10" s="11">
        <v>892.0873383252823</v>
      </c>
      <c r="AL10" s="49">
        <v>1491.8188261486257</v>
      </c>
      <c r="AM10" s="41">
        <f>IFERROR(ROUND(_xlfn.XLOOKUP(AM$7,'Product Tgt'!$B:$B,'Product Tgt'!$G:$G)*H10/H$121,0),0)</f>
        <v>25626</v>
      </c>
      <c r="AN10" s="41">
        <f>IFERROR(ROUND(_xlfn.XLOOKUP(AN$7,'Product Tgt'!$B:$B,'Product Tgt'!$G:$G)*I10/I$121,0),0)</f>
        <v>51396</v>
      </c>
      <c r="AO10" s="41">
        <f>IFERROR(ROUND(_xlfn.XLOOKUP(AO$7,'Product Tgt'!$B:$B,'Product Tgt'!$G:$G)*J10/J$121,0),0)</f>
        <v>42248</v>
      </c>
      <c r="AP10" s="41">
        <f>IFERROR(ROUND(_xlfn.XLOOKUP(AP$7,'Product Tgt'!$B:$B,'Product Tgt'!$G:$G)*K10/K$121,0),0)</f>
        <v>43055</v>
      </c>
      <c r="AQ10" s="41">
        <f>IFERROR(ROUND(_xlfn.XLOOKUP(AQ$7,'Product Tgt'!$B:$B,'Product Tgt'!$G:$G)*L10/L$121,0),0)</f>
        <v>33596</v>
      </c>
      <c r="AR10" s="41">
        <f>IFERROR(ROUND(_xlfn.XLOOKUP(AR$7,'Product Tgt'!$B:$B,'Product Tgt'!$G:$G)*M10/M$121,0),0)</f>
        <v>24538</v>
      </c>
      <c r="AS10" s="41">
        <f>IFERROR(ROUND(_xlfn.XLOOKUP(AS$7,'Product Tgt'!$B:$B,'Product Tgt'!$G:$G)*N10/N$121,0),0)</f>
        <v>715</v>
      </c>
      <c r="AT10" s="41">
        <f>IFERROR(ROUND(_xlfn.XLOOKUP(AT$7,'Product Tgt'!$B:$B,'Product Tgt'!$G:$G)*O10/O$121,0),0)</f>
        <v>6056</v>
      </c>
      <c r="AU10" s="41">
        <f>IFERROR(ROUND(_xlfn.XLOOKUP(AU$7,'Product Tgt'!$B:$B,'Product Tgt'!$G:$G)*P10/P$121,0),0)</f>
        <v>724</v>
      </c>
      <c r="AV10" s="41">
        <f>IFERROR(ROUND(_xlfn.XLOOKUP(AV$7,'Product Tgt'!$B:$B,'Product Tgt'!$G:$G)*Q10/Q$121,0),0)</f>
        <v>751</v>
      </c>
      <c r="AW10" s="41">
        <f>IFERROR(ROUND(_xlfn.XLOOKUP(AW$7,'Product Tgt'!$B:$B,'Product Tgt'!$G:$G)*R10/R$121,0),0)</f>
        <v>8165</v>
      </c>
      <c r="AX10" s="41">
        <f>IFERROR(ROUND(_xlfn.XLOOKUP(AX$7,'Product Tgt'!$B:$B,'Product Tgt'!$G:$G)*S10/S$121,0),0)</f>
        <v>19325</v>
      </c>
      <c r="AY10" s="41">
        <f>IFERROR(ROUND(_xlfn.XLOOKUP(AY$7,'Product Tgt'!$B:$B,'Product Tgt'!$G:$G)*T10/T$121,0),0)</f>
        <v>0</v>
      </c>
      <c r="AZ10" s="41">
        <f>IFERROR(ROUND(_xlfn.XLOOKUP(AZ$7,'Product Tgt'!$B:$B,'Product Tgt'!$G:$G)*U10/U$121,0),0)</f>
        <v>1882</v>
      </c>
      <c r="BA10" s="41">
        <f>IFERROR(ROUND(_xlfn.XLOOKUP(BA$7,'Product Tgt'!$B:$B,'Product Tgt'!$G:$G)*V10/V$121,0),0)</f>
        <v>11212</v>
      </c>
      <c r="BB10" s="41">
        <f>IFERROR(ROUND(_xlfn.XLOOKUP(BB$7,'Product Tgt'!$B:$B,'Product Tgt'!$G:$G)*W10/W$121,0),0)</f>
        <v>28849</v>
      </c>
      <c r="BC10" s="41">
        <f>IFERROR(ROUND(_xlfn.XLOOKUP(BC$7,'Product Tgt'!$B:$B,'Product Tgt'!$G:$G)*X10/X$121,0),0)</f>
        <v>3968</v>
      </c>
      <c r="BD10" s="41">
        <f>IFERROR(ROUND(_xlfn.XLOOKUP(BD$7,'Product Tgt'!$B:$B,'Product Tgt'!$G:$G)*Y10/Y$121,0),0)</f>
        <v>5361</v>
      </c>
      <c r="BE10" s="41">
        <f>IFERROR(ROUND(_xlfn.XLOOKUP(BE$7,'Product Tgt'!$B:$B,'Product Tgt'!$G:$G)*Z10/Z$121,0),0)</f>
        <v>858</v>
      </c>
      <c r="BF10" s="41">
        <f>IFERROR(ROUND(_xlfn.XLOOKUP(BF$7,'Product Tgt'!$B:$B,'Product Tgt'!$G:$G)*AA10/AA$121,0),0)</f>
        <v>5023</v>
      </c>
      <c r="BG10" s="41">
        <f>IFERROR(ROUND(_xlfn.XLOOKUP(BG$7,'Product Tgt'!$B:$B,'Product Tgt'!$G:$G)*AB10/AB$121,0),0)</f>
        <v>1676</v>
      </c>
      <c r="BH10" s="41">
        <f>IFERROR(ROUND(_xlfn.XLOOKUP(BH$7,'Product Tgt'!$B:$B,'Product Tgt'!$G:$G)*AC10/AC$121,0),0)</f>
        <v>0</v>
      </c>
      <c r="BI10" s="41">
        <f>IFERROR(ROUND(_xlfn.XLOOKUP(BI$7,'Product Tgt'!$B:$B,'Product Tgt'!$G:$G)*AD10/AD$121,0),0)</f>
        <v>3351</v>
      </c>
      <c r="BJ10" s="41">
        <f>IFERROR(ROUND(_xlfn.XLOOKUP(BJ$7,'Product Tgt'!$B:$B,'Product Tgt'!$G:$G)*AE10/AE$121,0),0)</f>
        <v>7455</v>
      </c>
      <c r="BK10" s="41">
        <f>IFERROR(ROUND(_xlfn.XLOOKUP(BK$7,'Product Tgt'!$B:$B,'Product Tgt'!$G:$G)*AF10/AF$121,0),0)</f>
        <v>0</v>
      </c>
      <c r="BL10" s="41">
        <f>IFERROR(ROUND(_xlfn.XLOOKUP(BL$7,'Product Tgt'!$B:$B,'Product Tgt'!$G:$G)*AG10/AG$121,0),0)</f>
        <v>18166</v>
      </c>
      <c r="BM10" s="41">
        <f>IFERROR(ROUND(_xlfn.XLOOKUP(BM$7,'Product Tgt'!$B:$B,'Product Tgt'!$G:$G)*AH10/AH$121,0),0)</f>
        <v>1468</v>
      </c>
      <c r="BN10" s="41">
        <f>IFERROR(ROUND(_xlfn.XLOOKUP(BN$7,'Product Tgt'!$B:$B,'Product Tgt'!$G:$G)*AI10/AI$121,0),0)</f>
        <v>9850</v>
      </c>
      <c r="BO10" s="41">
        <f>IFERROR(ROUND(_xlfn.XLOOKUP(BO$7,'Product Tgt'!$B:$B,'Product Tgt'!$G:$G)*AJ10/AJ$121,0),0)</f>
        <v>7929</v>
      </c>
      <c r="BP10" s="41">
        <f>IFERROR(ROUND(_xlfn.XLOOKUP(BP$7,'Product Tgt'!$B:$B,'Product Tgt'!$G:$G)*AK10/AK$121,0),0)</f>
        <v>679</v>
      </c>
      <c r="BQ10" s="41">
        <f>IFERROR(ROUND(_xlfn.XLOOKUP(BQ$7,'Product Tgt'!$B:$B,'Product Tgt'!$G:$G)*AL10/AL$121,0),0)</f>
        <v>1166</v>
      </c>
      <c r="BR10" s="25">
        <f>ROUND(IFERROR(AM10/_xlfn.XLOOKUP(BR$7,'Product Tgt'!$B:$B,'Product Tgt'!$D:$D),0),0)</f>
        <v>0</v>
      </c>
      <c r="BS10" s="11">
        <f>ROUND(IFERROR(AN10/_xlfn.XLOOKUP(BS$7,'Product Tgt'!$B:$B,'Product Tgt'!$D:$D),0),0)</f>
        <v>0</v>
      </c>
      <c r="BT10" s="11">
        <f>ROUND(IFERROR(AO10/_xlfn.XLOOKUP(BT$7,'Product Tgt'!$B:$B,'Product Tgt'!$D:$D),0),0)</f>
        <v>0</v>
      </c>
      <c r="BU10" s="11">
        <f>ROUND(IFERROR(AP10/_xlfn.XLOOKUP(BU$7,'Product Tgt'!$B:$B,'Product Tgt'!$D:$D),0),0)</f>
        <v>0</v>
      </c>
      <c r="BV10" s="11">
        <f>ROUND(IFERROR(AQ10/_xlfn.XLOOKUP(BV$7,'Product Tgt'!$B:$B,'Product Tgt'!$D:$D),0),0)</f>
        <v>0</v>
      </c>
      <c r="BW10" s="11">
        <f>ROUND(IFERROR(AU10/_xlfn.XLOOKUP(BW$7,'Product Tgt'!$B:$B,'Product Tgt'!$D:$D),0),0)</f>
        <v>0</v>
      </c>
      <c r="BX10" s="11">
        <f>ROUND(IFERROR(#REF!/_xlfn.XLOOKUP(BX$7,'Product Tgt'!$B:$B,'Product Tgt'!$D:$D),0),0)</f>
        <v>0</v>
      </c>
      <c r="BY10" s="11">
        <f>ROUND(IFERROR(#REF!/_xlfn.XLOOKUP(BY$7,'Product Tgt'!$B:$B,'Product Tgt'!$D:$D),0),0)</f>
        <v>0</v>
      </c>
      <c r="BZ10" s="11">
        <f>ROUND(IFERROR(#REF!/_xlfn.XLOOKUP(BZ$7,'Product Tgt'!$B:$B,'Product Tgt'!$D:$D),0),0)</f>
        <v>0</v>
      </c>
      <c r="CA10" s="11">
        <f>ROUND(IFERROR(#REF!/_xlfn.XLOOKUP(CA$7,'Product Tgt'!$B:$B,'Product Tgt'!$D:$D),0),0)</f>
        <v>0</v>
      </c>
      <c r="CB10" s="11">
        <f>ROUND(IFERROR(AV10/_xlfn.XLOOKUP(CB$7,'Product Tgt'!$B:$B,'Product Tgt'!$D:$D),0),0)</f>
        <v>0</v>
      </c>
      <c r="CC10" s="11">
        <f>ROUND(IFERROR(AW10/_xlfn.XLOOKUP(CC$7,'Product Tgt'!$B:$B,'Product Tgt'!$D:$D),0),0)</f>
        <v>0</v>
      </c>
      <c r="CD10" s="11">
        <f>ROUND(IFERROR(AX10/_xlfn.XLOOKUP(CD$7,'Product Tgt'!$B:$B,'Product Tgt'!$D:$D),0),0)</f>
        <v>0</v>
      </c>
      <c r="CE10" s="11">
        <f>ROUND(IFERROR(AY10/_xlfn.XLOOKUP(CE$7,'Product Tgt'!$B:$B,'Product Tgt'!$D:$D),0),0)</f>
        <v>0</v>
      </c>
      <c r="CF10" s="11">
        <f>ROUND(IFERROR(AZ10/_xlfn.XLOOKUP(CF$7,'Product Tgt'!$B:$B,'Product Tgt'!$D:$D),0),0)</f>
        <v>0</v>
      </c>
      <c r="CG10" s="11">
        <f>ROUND(IFERROR(BA10/_xlfn.XLOOKUP(CG$7,'Product Tgt'!$B:$B,'Product Tgt'!$D:$D),0),0)</f>
        <v>0</v>
      </c>
      <c r="CH10" s="11">
        <f>ROUND(IFERROR(BB10/_xlfn.XLOOKUP(CH$7,'Product Tgt'!$B:$B,'Product Tgt'!$D:$D),0),0)</f>
        <v>0</v>
      </c>
      <c r="CI10" s="11">
        <f>ROUND(IFERROR(BC10/_xlfn.XLOOKUP(CI$7,'Product Tgt'!$B:$B,'Product Tgt'!$D:$D),0),0)</f>
        <v>0</v>
      </c>
      <c r="CJ10" s="11">
        <f>ROUND(IFERROR(BD10/_xlfn.XLOOKUP(CJ$7,'Product Tgt'!$B:$B,'Product Tgt'!$D:$D),0),0)</f>
        <v>0</v>
      </c>
      <c r="CK10" s="11">
        <f>ROUND(IFERROR(BE10/_xlfn.XLOOKUP(CK$7,'Product Tgt'!$B:$B,'Product Tgt'!$D:$D),0),0)</f>
        <v>0</v>
      </c>
      <c r="CL10" s="11">
        <f>ROUND(IFERROR(BF10/_xlfn.XLOOKUP(CL$7,'Product Tgt'!$B:$B,'Product Tgt'!$D:$D),0),0)</f>
        <v>0</v>
      </c>
      <c r="CM10" s="11">
        <f>ROUND(IFERROR(BG10/_xlfn.XLOOKUP(CM$7,'Product Tgt'!$B:$B,'Product Tgt'!$D:$D),0),0)</f>
        <v>0</v>
      </c>
      <c r="CN10" s="11">
        <f>ROUND(IFERROR(BH10/_xlfn.XLOOKUP(CN$7,'Product Tgt'!$B:$B,'Product Tgt'!$D:$D),0),0)</f>
        <v>0</v>
      </c>
      <c r="CO10" s="11">
        <f>ROUND(IFERROR(BI10/_xlfn.XLOOKUP(CO$7,'Product Tgt'!$B:$B,'Product Tgt'!$D:$D),0),0)</f>
        <v>0</v>
      </c>
      <c r="CP10" s="11">
        <f>ROUND(IFERROR(BJ10/_xlfn.XLOOKUP(CP$7,'Product Tgt'!$B:$B,'Product Tgt'!$D:$D),0),0)</f>
        <v>0</v>
      </c>
      <c r="CQ10" s="11">
        <f>ROUND(IFERROR(BK10/_xlfn.XLOOKUP(CQ$7,'Product Tgt'!$B:$B,'Product Tgt'!$D:$D),0),0)</f>
        <v>0</v>
      </c>
      <c r="CR10" s="11">
        <f>ROUND(IFERROR(BL10/_xlfn.XLOOKUP(CR$7,'Product Tgt'!$B:$B,'Product Tgt'!$D:$D),0),0)</f>
        <v>0</v>
      </c>
      <c r="CS10" s="11">
        <f>ROUND(IFERROR(BM10/_xlfn.XLOOKUP(CS$7,'Product Tgt'!$B:$B,'Product Tgt'!$D:$D),0),0)</f>
        <v>0</v>
      </c>
      <c r="CT10" s="11">
        <f>ROUND(IFERROR(BN10/_xlfn.XLOOKUP(CT$7,'Product Tgt'!$B:$B,'Product Tgt'!$D:$D),0),0)</f>
        <v>0</v>
      </c>
      <c r="CU10" s="11">
        <f>ROUND(IFERROR(BO10/_xlfn.XLOOKUP(CU$7,'Product Tgt'!$B:$B,'Product Tgt'!$D:$D),0),0)</f>
        <v>0</v>
      </c>
      <c r="CV10" s="11">
        <f>ROUND(IFERROR(BP10/_xlfn.XLOOKUP(CV$7,'Product Tgt'!$B:$B,'Product Tgt'!$D:$D),0),0)</f>
        <v>0</v>
      </c>
      <c r="CW10" s="11">
        <f>ROUND(IFERROR(BQ10/_xlfn.XLOOKUP(CW$7,'Product Tgt'!$B:$B,'Product Tgt'!$D:$D),0),0)</f>
        <v>0</v>
      </c>
      <c r="CX10" s="11">
        <f>ROUND(IFERROR(#REF!/_xlfn.XLOOKUP(CX$7,'Product Tgt'!$B:$B,'Product Tgt'!$D:$D),0),0)</f>
        <v>0</v>
      </c>
      <c r="CY10" s="11">
        <f>ROUND(IFERROR(#REF!/_xlfn.XLOOKUP(CY$7,'Product Tgt'!$B:$B,'Product Tgt'!$D:$D),0),0)</f>
        <v>0</v>
      </c>
      <c r="CZ10" s="11">
        <f>ROUND(IFERROR(#REF!/_xlfn.XLOOKUP(CZ$7,'Product Tgt'!$B:$B,'Product Tgt'!$D:$D),0),0)</f>
        <v>0</v>
      </c>
      <c r="DA10" s="10">
        <f>IFERROR(BR10*_xlfn.XLOOKUP(DA$7,'Product Tgt'!$B:$B,'Product Tgt'!$D:$D),0)</f>
        <v>0</v>
      </c>
      <c r="DB10">
        <f>IFERROR(BS10*_xlfn.XLOOKUP(DB$7,'Product Tgt'!$B:$B,'Product Tgt'!$D:$D),0)</f>
        <v>0</v>
      </c>
      <c r="DC10">
        <f>IFERROR(BT10*_xlfn.XLOOKUP(DC$7,'Product Tgt'!$B:$B,'Product Tgt'!$D:$D),0)</f>
        <v>0</v>
      </c>
      <c r="DD10">
        <f>IFERROR(BU10*_xlfn.XLOOKUP(DD$7,'Product Tgt'!$B:$B,'Product Tgt'!$D:$D),0)</f>
        <v>0</v>
      </c>
      <c r="DE10">
        <f>IFERROR(BV10*_xlfn.XLOOKUP(DE$7,'Product Tgt'!$B:$B,'Product Tgt'!$D:$D),0)</f>
        <v>0</v>
      </c>
      <c r="DF10">
        <f>IFERROR(BW10*_xlfn.XLOOKUP(DF$7,'Product Tgt'!$B:$B,'Product Tgt'!$D:$D),0)</f>
        <v>0</v>
      </c>
      <c r="DG10">
        <f>IFERROR(BX10*_xlfn.XLOOKUP(DG$7,'Product Tgt'!$B:$B,'Product Tgt'!$D:$D),0)</f>
        <v>0</v>
      </c>
      <c r="DH10">
        <f>IFERROR(BY10*_xlfn.XLOOKUP(DH$7,'Product Tgt'!$B:$B,'Product Tgt'!$D:$D),0)</f>
        <v>0</v>
      </c>
      <c r="DI10">
        <f>IFERROR(BZ10*_xlfn.XLOOKUP(DI$7,'Product Tgt'!$B:$B,'Product Tgt'!$D:$D),0)</f>
        <v>0</v>
      </c>
      <c r="DJ10">
        <f>IFERROR(CA10*_xlfn.XLOOKUP(DJ$7,'Product Tgt'!$B:$B,'Product Tgt'!$D:$D),0)</f>
        <v>0</v>
      </c>
      <c r="DK10">
        <f>IFERROR(CB10*_xlfn.XLOOKUP(DK$7,'Product Tgt'!$B:$B,'Product Tgt'!$D:$D),0)</f>
        <v>0</v>
      </c>
      <c r="DL10">
        <f>IFERROR(CC10*_xlfn.XLOOKUP(DL$7,'Product Tgt'!$B:$B,'Product Tgt'!$D:$D),0)</f>
        <v>0</v>
      </c>
      <c r="DM10">
        <f>IFERROR(CD10*_xlfn.XLOOKUP(DM$7,'Product Tgt'!$B:$B,'Product Tgt'!$D:$D),0)</f>
        <v>0</v>
      </c>
      <c r="DN10">
        <f>IFERROR(CE10*_xlfn.XLOOKUP(DN$7,'Product Tgt'!$B:$B,'Product Tgt'!$D:$D),0)</f>
        <v>0</v>
      </c>
      <c r="DO10">
        <f>IFERROR(CF10*_xlfn.XLOOKUP(DO$7,'Product Tgt'!$B:$B,'Product Tgt'!$D:$D),0)</f>
        <v>0</v>
      </c>
      <c r="DP10">
        <f>IFERROR(CG10*_xlfn.XLOOKUP(DP$7,'Product Tgt'!$B:$B,'Product Tgt'!$D:$D),0)</f>
        <v>0</v>
      </c>
      <c r="DQ10">
        <f>IFERROR(CH10*_xlfn.XLOOKUP(DQ$7,'Product Tgt'!$B:$B,'Product Tgt'!$D:$D),0)</f>
        <v>0</v>
      </c>
      <c r="DR10">
        <f>IFERROR(CI10*_xlfn.XLOOKUP(DR$7,'Product Tgt'!$B:$B,'Product Tgt'!$D:$D),0)</f>
        <v>0</v>
      </c>
      <c r="DS10">
        <f>IFERROR(CJ10*_xlfn.XLOOKUP(DS$7,'Product Tgt'!$B:$B,'Product Tgt'!$D:$D),0)</f>
        <v>0</v>
      </c>
      <c r="DT10">
        <f>IFERROR(CK10*_xlfn.XLOOKUP(DT$7,'Product Tgt'!$B:$B,'Product Tgt'!$D:$D),0)</f>
        <v>0</v>
      </c>
      <c r="DU10">
        <f>IFERROR(CL10*_xlfn.XLOOKUP(DU$7,'Product Tgt'!$B:$B,'Product Tgt'!$D:$D),0)</f>
        <v>0</v>
      </c>
      <c r="DV10">
        <f>IFERROR(CM10*_xlfn.XLOOKUP(DV$7,'Product Tgt'!$B:$B,'Product Tgt'!$D:$D),0)</f>
        <v>0</v>
      </c>
      <c r="DW10">
        <f>IFERROR(CN10*_xlfn.XLOOKUP(DW$7,'Product Tgt'!$B:$B,'Product Tgt'!$D:$D),0)</f>
        <v>0</v>
      </c>
      <c r="DX10">
        <f>IFERROR(CO10*_xlfn.XLOOKUP(DX$7,'Product Tgt'!$B:$B,'Product Tgt'!$D:$D),0)</f>
        <v>0</v>
      </c>
      <c r="DY10">
        <f>IFERROR(CP10*_xlfn.XLOOKUP(DY$7,'Product Tgt'!$B:$B,'Product Tgt'!$D:$D),0)</f>
        <v>0</v>
      </c>
      <c r="DZ10">
        <f>IFERROR(CQ10*_xlfn.XLOOKUP(DZ$7,'Product Tgt'!$B:$B,'Product Tgt'!$D:$D),0)</f>
        <v>0</v>
      </c>
      <c r="EA10">
        <f>IFERROR(CR10*_xlfn.XLOOKUP(EA$7,'Product Tgt'!$B:$B,'Product Tgt'!$D:$D),0)</f>
        <v>0</v>
      </c>
      <c r="EB10">
        <f>IFERROR(CS10*_xlfn.XLOOKUP(EB$7,'Product Tgt'!$B:$B,'Product Tgt'!$D:$D),0)</f>
        <v>0</v>
      </c>
      <c r="EC10">
        <f>IFERROR(CT10*_xlfn.XLOOKUP(EC$7,'Product Tgt'!$B:$B,'Product Tgt'!$D:$D),0)</f>
        <v>0</v>
      </c>
      <c r="ED10">
        <f>IFERROR(CU10*_xlfn.XLOOKUP(ED$7,'Product Tgt'!$B:$B,'Product Tgt'!$D:$D),0)</f>
        <v>0</v>
      </c>
      <c r="EE10">
        <f>IFERROR(CV10*_xlfn.XLOOKUP(EE$7,'Product Tgt'!$B:$B,'Product Tgt'!$D:$D),0)</f>
        <v>0</v>
      </c>
      <c r="EF10">
        <f>IFERROR(CW10*_xlfn.XLOOKUP(EF$7,'Product Tgt'!$B:$B,'Product Tgt'!$D:$D),0)</f>
        <v>0</v>
      </c>
      <c r="EG10">
        <f>IFERROR(CX10*_xlfn.XLOOKUP(EG$7,'Product Tgt'!$B:$B,'Product Tgt'!$D:$D),0)</f>
        <v>0</v>
      </c>
      <c r="EH10">
        <f>IFERROR(CY10*_xlfn.XLOOKUP(EH$7,'Product Tgt'!$B:$B,'Product Tgt'!$D:$D),0)</f>
        <v>0</v>
      </c>
      <c r="EI10">
        <f>IFERROR(CZ10*_xlfn.XLOOKUP(EI$7,'Product Tgt'!$B:$B,'Product Tgt'!$D:$D),0)</f>
        <v>0</v>
      </c>
    </row>
    <row r="11" spans="1:139" x14ac:dyDescent="0.35">
      <c r="B11" s="7" t="s">
        <v>91</v>
      </c>
      <c r="C11" s="3">
        <f>_xlfn.XLOOKUP($B11,'Terr Target'!$A:$A,'Terr Target'!$E:$E)</f>
        <v>340830.85160202609</v>
      </c>
      <c r="D11" s="3">
        <f t="shared" si="3"/>
        <v>340835</v>
      </c>
      <c r="E11" s="4">
        <f t="shared" si="4"/>
        <v>4.1483979739132337</v>
      </c>
      <c r="F11" s="9">
        <f t="shared" si="5"/>
        <v>1.2171279281509334E-5</v>
      </c>
      <c r="G11" s="5">
        <f t="shared" si="6"/>
        <v>0.99998782872071845</v>
      </c>
      <c r="H11" s="38">
        <v>25139.509408371974</v>
      </c>
      <c r="I11" s="11">
        <v>53072.295427474535</v>
      </c>
      <c r="J11" s="11">
        <v>44497.648577056047</v>
      </c>
      <c r="K11" s="11">
        <v>47586.794573909967</v>
      </c>
      <c r="L11" s="11">
        <v>32596.885438091478</v>
      </c>
      <c r="M11" s="11">
        <v>33937.94494111363</v>
      </c>
      <c r="N11" s="11">
        <v>1131.9657266118263</v>
      </c>
      <c r="O11" s="11">
        <v>7539.5818821059538</v>
      </c>
      <c r="P11" s="11">
        <v>1234.5513028489481</v>
      </c>
      <c r="Q11" s="11">
        <v>826.36942783480276</v>
      </c>
      <c r="R11" s="11">
        <v>4936.214031732804</v>
      </c>
      <c r="S11" s="11">
        <v>12152.886307892057</v>
      </c>
      <c r="T11" s="11">
        <v>0</v>
      </c>
      <c r="U11" s="11">
        <v>2650.2601314365083</v>
      </c>
      <c r="V11" s="11">
        <v>9085.7528022124625</v>
      </c>
      <c r="W11" s="11">
        <v>23871.237477930332</v>
      </c>
      <c r="X11" s="11">
        <v>3051.4828335285115</v>
      </c>
      <c r="Y11" s="11">
        <v>2912.0803453227495</v>
      </c>
      <c r="Z11" s="11">
        <v>342.50281383049878</v>
      </c>
      <c r="AA11" s="11">
        <v>6204.5456975643365</v>
      </c>
      <c r="AB11" s="11">
        <v>2657.2690838502249</v>
      </c>
      <c r="AC11" s="11">
        <v>0</v>
      </c>
      <c r="AD11" s="11">
        <v>3690.6515053475346</v>
      </c>
      <c r="AE11" s="11">
        <v>5726.6227548540501</v>
      </c>
      <c r="AF11" s="11">
        <v>0</v>
      </c>
      <c r="AG11" s="11">
        <v>13817.821138997464</v>
      </c>
      <c r="AH11" s="11">
        <v>1229.5733536914788</v>
      </c>
      <c r="AI11" s="11">
        <v>6941.2821728697527</v>
      </c>
      <c r="AJ11" s="11">
        <v>6699.3040643251834</v>
      </c>
      <c r="AK11" s="11">
        <v>1396.9519161622175</v>
      </c>
      <c r="AL11" s="49">
        <v>1859.5825990607584</v>
      </c>
      <c r="AM11" s="41">
        <f>IFERROR(ROUND(_xlfn.XLOOKUP(AM$7,'Product Tgt'!$B:$B,'Product Tgt'!$G:$G)*H11/H$121,0),0)</f>
        <v>24440</v>
      </c>
      <c r="AN11" s="41">
        <f>IFERROR(ROUND(_xlfn.XLOOKUP(AN$7,'Product Tgt'!$B:$B,'Product Tgt'!$G:$G)*I11/I$121,0),0)</f>
        <v>52244</v>
      </c>
      <c r="AO11" s="41">
        <f>IFERROR(ROUND(_xlfn.XLOOKUP(AO$7,'Product Tgt'!$B:$B,'Product Tgt'!$G:$G)*J11/J$121,0),0)</f>
        <v>43114</v>
      </c>
      <c r="AP11" s="41">
        <f>IFERROR(ROUND(_xlfn.XLOOKUP(AP$7,'Product Tgt'!$B:$B,'Product Tgt'!$G:$G)*K11/K$121,0),0)</f>
        <v>46422</v>
      </c>
      <c r="AQ11" s="41">
        <f>IFERROR(ROUND(_xlfn.XLOOKUP(AQ$7,'Product Tgt'!$B:$B,'Product Tgt'!$G:$G)*L11/L$121,0),0)</f>
        <v>31519</v>
      </c>
      <c r="AR11" s="41">
        <f>IFERROR(ROUND(_xlfn.XLOOKUP(AR$7,'Product Tgt'!$B:$B,'Product Tgt'!$G:$G)*M11/M$121,0),0)</f>
        <v>32879</v>
      </c>
      <c r="AS11" s="41">
        <f>IFERROR(ROUND(_xlfn.XLOOKUP(AS$7,'Product Tgt'!$B:$B,'Product Tgt'!$G:$G)*N11/N$121,0),0)</f>
        <v>1046</v>
      </c>
      <c r="AT11" s="41">
        <f>IFERROR(ROUND(_xlfn.XLOOKUP(AT$7,'Product Tgt'!$B:$B,'Product Tgt'!$G:$G)*O11/O$121,0),0)</f>
        <v>6786</v>
      </c>
      <c r="AU11" s="41">
        <f>IFERROR(ROUND(_xlfn.XLOOKUP(AU$7,'Product Tgt'!$B:$B,'Product Tgt'!$G:$G)*P11/P$121,0),0)</f>
        <v>526</v>
      </c>
      <c r="AV11" s="41">
        <f>IFERROR(ROUND(_xlfn.XLOOKUP(AV$7,'Product Tgt'!$B:$B,'Product Tgt'!$G:$G)*Q11/Q$121,0),0)</f>
        <v>620</v>
      </c>
      <c r="AW11" s="41">
        <f>IFERROR(ROUND(_xlfn.XLOOKUP(AW$7,'Product Tgt'!$B:$B,'Product Tgt'!$G:$G)*R11/R$121,0),0)</f>
        <v>4754</v>
      </c>
      <c r="AX11" s="41">
        <f>IFERROR(ROUND(_xlfn.XLOOKUP(AX$7,'Product Tgt'!$B:$B,'Product Tgt'!$G:$G)*S11/S$121,0),0)</f>
        <v>11705</v>
      </c>
      <c r="AY11" s="41">
        <f>IFERROR(ROUND(_xlfn.XLOOKUP(AY$7,'Product Tgt'!$B:$B,'Product Tgt'!$G:$G)*T11/T$121,0),0)</f>
        <v>0</v>
      </c>
      <c r="AZ11" s="41">
        <f>IFERROR(ROUND(_xlfn.XLOOKUP(AZ$7,'Product Tgt'!$B:$B,'Product Tgt'!$G:$G)*U11/U$121,0),0)</f>
        <v>2536</v>
      </c>
      <c r="BA11" s="41">
        <f>IFERROR(ROUND(_xlfn.XLOOKUP(BA$7,'Product Tgt'!$B:$B,'Product Tgt'!$G:$G)*V11/V$121,0),0)</f>
        <v>8748</v>
      </c>
      <c r="BB11" s="41">
        <f>IFERROR(ROUND(_xlfn.XLOOKUP(BB$7,'Product Tgt'!$B:$B,'Product Tgt'!$G:$G)*W11/W$121,0),0)</f>
        <v>22850</v>
      </c>
      <c r="BC11" s="41">
        <f>IFERROR(ROUND(_xlfn.XLOOKUP(BC$7,'Product Tgt'!$B:$B,'Product Tgt'!$G:$G)*X11/X$121,0),0)</f>
        <v>2953</v>
      </c>
      <c r="BD11" s="41">
        <f>IFERROR(ROUND(_xlfn.XLOOKUP(BD$7,'Product Tgt'!$B:$B,'Product Tgt'!$G:$G)*Y11/Y$121,0),0)</f>
        <v>2816</v>
      </c>
      <c r="BE11" s="41">
        <f>IFERROR(ROUND(_xlfn.XLOOKUP(BE$7,'Product Tgt'!$B:$B,'Product Tgt'!$G:$G)*Z11/Z$121,0),0)</f>
        <v>325</v>
      </c>
      <c r="BF11" s="41">
        <f>IFERROR(ROUND(_xlfn.XLOOKUP(BF$7,'Product Tgt'!$B:$B,'Product Tgt'!$G:$G)*AA11/AA$121,0),0)</f>
        <v>5028</v>
      </c>
      <c r="BG11" s="41">
        <f>IFERROR(ROUND(_xlfn.XLOOKUP(BG$7,'Product Tgt'!$B:$B,'Product Tgt'!$G:$G)*AB11/AB$121,0),0)</f>
        <v>2130</v>
      </c>
      <c r="BH11" s="41">
        <f>IFERROR(ROUND(_xlfn.XLOOKUP(BH$7,'Product Tgt'!$B:$B,'Product Tgt'!$G:$G)*AC11/AC$121,0),0)</f>
        <v>0</v>
      </c>
      <c r="BI11" s="41">
        <f>IFERROR(ROUND(_xlfn.XLOOKUP(BI$7,'Product Tgt'!$B:$B,'Product Tgt'!$G:$G)*AD11/AD$121,0),0)</f>
        <v>3213</v>
      </c>
      <c r="BJ11" s="41">
        <f>IFERROR(ROUND(_xlfn.XLOOKUP(BJ$7,'Product Tgt'!$B:$B,'Product Tgt'!$G:$G)*AE11/AE$121,0),0)</f>
        <v>5330</v>
      </c>
      <c r="BK11" s="41">
        <f>IFERROR(ROUND(_xlfn.XLOOKUP(BK$7,'Product Tgt'!$B:$B,'Product Tgt'!$G:$G)*AF11/AF$121,0),0)</f>
        <v>0</v>
      </c>
      <c r="BL11" s="41">
        <f>IFERROR(ROUND(_xlfn.XLOOKUP(BL$7,'Product Tgt'!$B:$B,'Product Tgt'!$G:$G)*AG11/AG$121,0),0)</f>
        <v>13199</v>
      </c>
      <c r="BM11" s="41">
        <f>IFERROR(ROUND(_xlfn.XLOOKUP(BM$7,'Product Tgt'!$B:$B,'Product Tgt'!$G:$G)*AH11/AH$121,0),0)</f>
        <v>964</v>
      </c>
      <c r="BN11" s="41">
        <f>IFERROR(ROUND(_xlfn.XLOOKUP(BN$7,'Product Tgt'!$B:$B,'Product Tgt'!$G:$G)*AI11/AI$121,0),0)</f>
        <v>6375</v>
      </c>
      <c r="BO11" s="41">
        <f>IFERROR(ROUND(_xlfn.XLOOKUP(BO$7,'Product Tgt'!$B:$B,'Product Tgt'!$G:$G)*AJ11/AJ$121,0),0)</f>
        <v>5795</v>
      </c>
      <c r="BP11" s="41">
        <f>IFERROR(ROUND(_xlfn.XLOOKUP(BP$7,'Product Tgt'!$B:$B,'Product Tgt'!$G:$G)*AK11/AK$121,0),0)</f>
        <v>1064</v>
      </c>
      <c r="BQ11" s="41">
        <f>IFERROR(ROUND(_xlfn.XLOOKUP(BQ$7,'Product Tgt'!$B:$B,'Product Tgt'!$G:$G)*AL11/AL$121,0),0)</f>
        <v>1454</v>
      </c>
      <c r="BR11" s="25">
        <f>ROUND(IFERROR(AM11/_xlfn.XLOOKUP(BR$7,'Product Tgt'!$B:$B,'Product Tgt'!$D:$D),0),0)</f>
        <v>0</v>
      </c>
      <c r="BS11" s="11">
        <f>ROUND(IFERROR(AN11/_xlfn.XLOOKUP(BS$7,'Product Tgt'!$B:$B,'Product Tgt'!$D:$D),0),0)</f>
        <v>0</v>
      </c>
      <c r="BT11" s="11">
        <f>ROUND(IFERROR(AO11/_xlfn.XLOOKUP(BT$7,'Product Tgt'!$B:$B,'Product Tgt'!$D:$D),0),0)</f>
        <v>0</v>
      </c>
      <c r="BU11" s="11">
        <f>ROUND(IFERROR(AP11/_xlfn.XLOOKUP(BU$7,'Product Tgt'!$B:$B,'Product Tgt'!$D:$D),0),0)</f>
        <v>0</v>
      </c>
      <c r="BV11" s="11">
        <f>ROUND(IFERROR(AQ11/_xlfn.XLOOKUP(BV$7,'Product Tgt'!$B:$B,'Product Tgt'!$D:$D),0),0)</f>
        <v>0</v>
      </c>
      <c r="BW11" s="11">
        <f>ROUND(IFERROR(AU11/_xlfn.XLOOKUP(BW$7,'Product Tgt'!$B:$B,'Product Tgt'!$D:$D),0),0)</f>
        <v>0</v>
      </c>
      <c r="BX11" s="11">
        <f>ROUND(IFERROR(#REF!/_xlfn.XLOOKUP(BX$7,'Product Tgt'!$B:$B,'Product Tgt'!$D:$D),0),0)</f>
        <v>0</v>
      </c>
      <c r="BY11" s="11">
        <f>ROUND(IFERROR(#REF!/_xlfn.XLOOKUP(BY$7,'Product Tgt'!$B:$B,'Product Tgt'!$D:$D),0),0)</f>
        <v>0</v>
      </c>
      <c r="BZ11" s="11">
        <f>ROUND(IFERROR(#REF!/_xlfn.XLOOKUP(BZ$7,'Product Tgt'!$B:$B,'Product Tgt'!$D:$D),0),0)</f>
        <v>0</v>
      </c>
      <c r="CA11" s="11">
        <f>ROUND(IFERROR(#REF!/_xlfn.XLOOKUP(CA$7,'Product Tgt'!$B:$B,'Product Tgt'!$D:$D),0),0)</f>
        <v>0</v>
      </c>
      <c r="CB11" s="11">
        <f>ROUND(IFERROR(AV11/_xlfn.XLOOKUP(CB$7,'Product Tgt'!$B:$B,'Product Tgt'!$D:$D),0),0)</f>
        <v>0</v>
      </c>
      <c r="CC11" s="11">
        <f>ROUND(IFERROR(AW11/_xlfn.XLOOKUP(CC$7,'Product Tgt'!$B:$B,'Product Tgt'!$D:$D),0),0)</f>
        <v>0</v>
      </c>
      <c r="CD11" s="11">
        <f>ROUND(IFERROR(AX11/_xlfn.XLOOKUP(CD$7,'Product Tgt'!$B:$B,'Product Tgt'!$D:$D),0),0)</f>
        <v>0</v>
      </c>
      <c r="CE11" s="11">
        <f>ROUND(IFERROR(AY11/_xlfn.XLOOKUP(CE$7,'Product Tgt'!$B:$B,'Product Tgt'!$D:$D),0),0)</f>
        <v>0</v>
      </c>
      <c r="CF11" s="11">
        <f>ROUND(IFERROR(AZ11/_xlfn.XLOOKUP(CF$7,'Product Tgt'!$B:$B,'Product Tgt'!$D:$D),0),0)</f>
        <v>0</v>
      </c>
      <c r="CG11" s="11">
        <f>ROUND(IFERROR(BA11/_xlfn.XLOOKUP(CG$7,'Product Tgt'!$B:$B,'Product Tgt'!$D:$D),0),0)</f>
        <v>0</v>
      </c>
      <c r="CH11" s="11">
        <f>ROUND(IFERROR(BB11/_xlfn.XLOOKUP(CH$7,'Product Tgt'!$B:$B,'Product Tgt'!$D:$D),0),0)</f>
        <v>0</v>
      </c>
      <c r="CI11" s="11">
        <f>ROUND(IFERROR(BC11/_xlfn.XLOOKUP(CI$7,'Product Tgt'!$B:$B,'Product Tgt'!$D:$D),0),0)</f>
        <v>0</v>
      </c>
      <c r="CJ11" s="11">
        <f>ROUND(IFERROR(BD11/_xlfn.XLOOKUP(CJ$7,'Product Tgt'!$B:$B,'Product Tgt'!$D:$D),0),0)</f>
        <v>0</v>
      </c>
      <c r="CK11" s="11">
        <f>ROUND(IFERROR(BE11/_xlfn.XLOOKUP(CK$7,'Product Tgt'!$B:$B,'Product Tgt'!$D:$D),0),0)</f>
        <v>0</v>
      </c>
      <c r="CL11" s="11">
        <f>ROUND(IFERROR(BF11/_xlfn.XLOOKUP(CL$7,'Product Tgt'!$B:$B,'Product Tgt'!$D:$D),0),0)</f>
        <v>0</v>
      </c>
      <c r="CM11" s="11">
        <f>ROUND(IFERROR(BG11/_xlfn.XLOOKUP(CM$7,'Product Tgt'!$B:$B,'Product Tgt'!$D:$D),0),0)</f>
        <v>0</v>
      </c>
      <c r="CN11" s="11">
        <f>ROUND(IFERROR(BH11/_xlfn.XLOOKUP(CN$7,'Product Tgt'!$B:$B,'Product Tgt'!$D:$D),0),0)</f>
        <v>0</v>
      </c>
      <c r="CO11" s="11">
        <f>ROUND(IFERROR(BI11/_xlfn.XLOOKUP(CO$7,'Product Tgt'!$B:$B,'Product Tgt'!$D:$D),0),0)</f>
        <v>0</v>
      </c>
      <c r="CP11" s="11">
        <f>ROUND(IFERROR(BJ11/_xlfn.XLOOKUP(CP$7,'Product Tgt'!$B:$B,'Product Tgt'!$D:$D),0),0)</f>
        <v>0</v>
      </c>
      <c r="CQ11" s="11">
        <f>ROUND(IFERROR(BK11/_xlfn.XLOOKUP(CQ$7,'Product Tgt'!$B:$B,'Product Tgt'!$D:$D),0),0)</f>
        <v>0</v>
      </c>
      <c r="CR11" s="11">
        <f>ROUND(IFERROR(BL11/_xlfn.XLOOKUP(CR$7,'Product Tgt'!$B:$B,'Product Tgt'!$D:$D),0),0)</f>
        <v>0</v>
      </c>
      <c r="CS11" s="11">
        <f>ROUND(IFERROR(BM11/_xlfn.XLOOKUP(CS$7,'Product Tgt'!$B:$B,'Product Tgt'!$D:$D),0),0)</f>
        <v>0</v>
      </c>
      <c r="CT11" s="11">
        <f>ROUND(IFERROR(BN11/_xlfn.XLOOKUP(CT$7,'Product Tgt'!$B:$B,'Product Tgt'!$D:$D),0),0)</f>
        <v>0</v>
      </c>
      <c r="CU11" s="11">
        <f>ROUND(IFERROR(BO11/_xlfn.XLOOKUP(CU$7,'Product Tgt'!$B:$B,'Product Tgt'!$D:$D),0),0)</f>
        <v>0</v>
      </c>
      <c r="CV11" s="11">
        <f>ROUND(IFERROR(BP11/_xlfn.XLOOKUP(CV$7,'Product Tgt'!$B:$B,'Product Tgt'!$D:$D),0),0)</f>
        <v>0</v>
      </c>
      <c r="CW11" s="11">
        <f>ROUND(IFERROR(BQ11/_xlfn.XLOOKUP(CW$7,'Product Tgt'!$B:$B,'Product Tgt'!$D:$D),0),0)</f>
        <v>0</v>
      </c>
      <c r="CX11" s="11">
        <f>ROUND(IFERROR(#REF!/_xlfn.XLOOKUP(CX$7,'Product Tgt'!$B:$B,'Product Tgt'!$D:$D),0),0)</f>
        <v>0</v>
      </c>
      <c r="CY11" s="11">
        <f>ROUND(IFERROR(#REF!/_xlfn.XLOOKUP(CY$7,'Product Tgt'!$B:$B,'Product Tgt'!$D:$D),0),0)</f>
        <v>0</v>
      </c>
      <c r="CZ11" s="11">
        <f>ROUND(IFERROR(#REF!/_xlfn.XLOOKUP(CZ$7,'Product Tgt'!$B:$B,'Product Tgt'!$D:$D),0),0)</f>
        <v>0</v>
      </c>
      <c r="DA11" s="10">
        <f>IFERROR(BR11*_xlfn.XLOOKUP(DA$7,'Product Tgt'!$B:$B,'Product Tgt'!$D:$D),0)</f>
        <v>0</v>
      </c>
      <c r="DB11">
        <f>IFERROR(BS11*_xlfn.XLOOKUP(DB$7,'Product Tgt'!$B:$B,'Product Tgt'!$D:$D),0)</f>
        <v>0</v>
      </c>
      <c r="DC11">
        <f>IFERROR(BT11*_xlfn.XLOOKUP(DC$7,'Product Tgt'!$B:$B,'Product Tgt'!$D:$D),0)</f>
        <v>0</v>
      </c>
      <c r="DD11">
        <f>IFERROR(BU11*_xlfn.XLOOKUP(DD$7,'Product Tgt'!$B:$B,'Product Tgt'!$D:$D),0)</f>
        <v>0</v>
      </c>
      <c r="DE11">
        <f>IFERROR(BV11*_xlfn.XLOOKUP(DE$7,'Product Tgt'!$B:$B,'Product Tgt'!$D:$D),0)</f>
        <v>0</v>
      </c>
      <c r="DF11">
        <f>IFERROR(BW11*_xlfn.XLOOKUP(DF$7,'Product Tgt'!$B:$B,'Product Tgt'!$D:$D),0)</f>
        <v>0</v>
      </c>
      <c r="DG11">
        <f>IFERROR(BX11*_xlfn.XLOOKUP(DG$7,'Product Tgt'!$B:$B,'Product Tgt'!$D:$D),0)</f>
        <v>0</v>
      </c>
      <c r="DH11">
        <f>IFERROR(BY11*_xlfn.XLOOKUP(DH$7,'Product Tgt'!$B:$B,'Product Tgt'!$D:$D),0)</f>
        <v>0</v>
      </c>
      <c r="DI11">
        <f>IFERROR(BZ11*_xlfn.XLOOKUP(DI$7,'Product Tgt'!$B:$B,'Product Tgt'!$D:$D),0)</f>
        <v>0</v>
      </c>
      <c r="DJ11">
        <f>IFERROR(CA11*_xlfn.XLOOKUP(DJ$7,'Product Tgt'!$B:$B,'Product Tgt'!$D:$D),0)</f>
        <v>0</v>
      </c>
      <c r="DK11">
        <f>IFERROR(CB11*_xlfn.XLOOKUP(DK$7,'Product Tgt'!$B:$B,'Product Tgt'!$D:$D),0)</f>
        <v>0</v>
      </c>
      <c r="DL11">
        <f>IFERROR(CC11*_xlfn.XLOOKUP(DL$7,'Product Tgt'!$B:$B,'Product Tgt'!$D:$D),0)</f>
        <v>0</v>
      </c>
      <c r="DM11">
        <f>IFERROR(CD11*_xlfn.XLOOKUP(DM$7,'Product Tgt'!$B:$B,'Product Tgt'!$D:$D),0)</f>
        <v>0</v>
      </c>
      <c r="DN11">
        <f>IFERROR(CE11*_xlfn.XLOOKUP(DN$7,'Product Tgt'!$B:$B,'Product Tgt'!$D:$D),0)</f>
        <v>0</v>
      </c>
      <c r="DO11">
        <f>IFERROR(CF11*_xlfn.XLOOKUP(DO$7,'Product Tgt'!$B:$B,'Product Tgt'!$D:$D),0)</f>
        <v>0</v>
      </c>
      <c r="DP11">
        <f>IFERROR(CG11*_xlfn.XLOOKUP(DP$7,'Product Tgt'!$B:$B,'Product Tgt'!$D:$D),0)</f>
        <v>0</v>
      </c>
      <c r="DQ11">
        <f>IFERROR(CH11*_xlfn.XLOOKUP(DQ$7,'Product Tgt'!$B:$B,'Product Tgt'!$D:$D),0)</f>
        <v>0</v>
      </c>
      <c r="DR11">
        <f>IFERROR(CI11*_xlfn.XLOOKUP(DR$7,'Product Tgt'!$B:$B,'Product Tgt'!$D:$D),0)</f>
        <v>0</v>
      </c>
      <c r="DS11">
        <f>IFERROR(CJ11*_xlfn.XLOOKUP(DS$7,'Product Tgt'!$B:$B,'Product Tgt'!$D:$D),0)</f>
        <v>0</v>
      </c>
      <c r="DT11">
        <f>IFERROR(CK11*_xlfn.XLOOKUP(DT$7,'Product Tgt'!$B:$B,'Product Tgt'!$D:$D),0)</f>
        <v>0</v>
      </c>
      <c r="DU11">
        <f>IFERROR(CL11*_xlfn.XLOOKUP(DU$7,'Product Tgt'!$B:$B,'Product Tgt'!$D:$D),0)</f>
        <v>0</v>
      </c>
      <c r="DV11">
        <f>IFERROR(CM11*_xlfn.XLOOKUP(DV$7,'Product Tgt'!$B:$B,'Product Tgt'!$D:$D),0)</f>
        <v>0</v>
      </c>
      <c r="DW11">
        <f>IFERROR(CN11*_xlfn.XLOOKUP(DW$7,'Product Tgt'!$B:$B,'Product Tgt'!$D:$D),0)</f>
        <v>0</v>
      </c>
      <c r="DX11">
        <f>IFERROR(CO11*_xlfn.XLOOKUP(DX$7,'Product Tgt'!$B:$B,'Product Tgt'!$D:$D),0)</f>
        <v>0</v>
      </c>
      <c r="DY11">
        <f>IFERROR(CP11*_xlfn.XLOOKUP(DY$7,'Product Tgt'!$B:$B,'Product Tgt'!$D:$D),0)</f>
        <v>0</v>
      </c>
      <c r="DZ11">
        <f>IFERROR(CQ11*_xlfn.XLOOKUP(DZ$7,'Product Tgt'!$B:$B,'Product Tgt'!$D:$D),0)</f>
        <v>0</v>
      </c>
      <c r="EA11">
        <f>IFERROR(CR11*_xlfn.XLOOKUP(EA$7,'Product Tgt'!$B:$B,'Product Tgt'!$D:$D),0)</f>
        <v>0</v>
      </c>
      <c r="EB11">
        <f>IFERROR(CS11*_xlfn.XLOOKUP(EB$7,'Product Tgt'!$B:$B,'Product Tgt'!$D:$D),0)</f>
        <v>0</v>
      </c>
      <c r="EC11">
        <f>IFERROR(CT11*_xlfn.XLOOKUP(EC$7,'Product Tgt'!$B:$B,'Product Tgt'!$D:$D),0)</f>
        <v>0</v>
      </c>
      <c r="ED11">
        <f>IFERROR(CU11*_xlfn.XLOOKUP(ED$7,'Product Tgt'!$B:$B,'Product Tgt'!$D:$D),0)</f>
        <v>0</v>
      </c>
      <c r="EE11">
        <f>IFERROR(CV11*_xlfn.XLOOKUP(EE$7,'Product Tgt'!$B:$B,'Product Tgt'!$D:$D),0)</f>
        <v>0</v>
      </c>
      <c r="EF11">
        <f>IFERROR(CW11*_xlfn.XLOOKUP(EF$7,'Product Tgt'!$B:$B,'Product Tgt'!$D:$D),0)</f>
        <v>0</v>
      </c>
      <c r="EG11">
        <f>IFERROR(CX11*_xlfn.XLOOKUP(EG$7,'Product Tgt'!$B:$B,'Product Tgt'!$D:$D),0)</f>
        <v>0</v>
      </c>
      <c r="EH11">
        <f>IFERROR(CY11*_xlfn.XLOOKUP(EH$7,'Product Tgt'!$B:$B,'Product Tgt'!$D:$D),0)</f>
        <v>0</v>
      </c>
      <c r="EI11">
        <f>IFERROR(CZ11*_xlfn.XLOOKUP(EI$7,'Product Tgt'!$B:$B,'Product Tgt'!$D:$D),0)</f>
        <v>0</v>
      </c>
    </row>
    <row r="12" spans="1:139" x14ac:dyDescent="0.35">
      <c r="B12" s="7" t="s">
        <v>133</v>
      </c>
      <c r="C12" s="3">
        <f>_xlfn.XLOOKUP($B12,'Terr Target'!$A:$A,'Terr Target'!$E:$E)</f>
        <v>163481.17253930782</v>
      </c>
      <c r="D12" s="3">
        <f t="shared" si="3"/>
        <v>163481</v>
      </c>
      <c r="E12" s="4">
        <f t="shared" si="4"/>
        <v>-0.17253930782317184</v>
      </c>
      <c r="F12" s="9">
        <f t="shared" si="5"/>
        <v>1.0554089332899349E-6</v>
      </c>
      <c r="G12" s="5">
        <f t="shared" si="6"/>
        <v>1.0000010554089334</v>
      </c>
      <c r="H12" s="38">
        <v>12567.979284955383</v>
      </c>
      <c r="I12" s="11">
        <v>24122.735558580611</v>
      </c>
      <c r="J12" s="11">
        <v>12933.638110803964</v>
      </c>
      <c r="K12" s="11">
        <v>12617.714218342446</v>
      </c>
      <c r="L12" s="11">
        <v>12672.256996630449</v>
      </c>
      <c r="M12" s="11">
        <v>9411.4674992546061</v>
      </c>
      <c r="N12" s="11">
        <v>176.75900371112482</v>
      </c>
      <c r="O12" s="11">
        <v>1054.4937135680818</v>
      </c>
      <c r="P12" s="11">
        <v>1046.4234024843568</v>
      </c>
      <c r="Q12" s="11">
        <v>883.80511907012192</v>
      </c>
      <c r="R12" s="11">
        <v>8084.1992911595162</v>
      </c>
      <c r="S12" s="11">
        <v>14280.774030916184</v>
      </c>
      <c r="T12" s="11">
        <v>0</v>
      </c>
      <c r="U12" s="11">
        <v>0</v>
      </c>
      <c r="V12" s="11">
        <v>10388.38926147975</v>
      </c>
      <c r="W12" s="11">
        <v>7246.1091007063396</v>
      </c>
      <c r="X12" s="11">
        <v>1772.6301938456397</v>
      </c>
      <c r="Y12" s="11">
        <v>1912.0273944294815</v>
      </c>
      <c r="Z12" s="11">
        <v>382.8398010093008</v>
      </c>
      <c r="AA12" s="11">
        <v>3273.5868492445297</v>
      </c>
      <c r="AB12" s="11">
        <v>942.40830418623307</v>
      </c>
      <c r="AC12" s="11">
        <v>1857.5149176849707</v>
      </c>
      <c r="AD12" s="11">
        <v>6863.2692996970391</v>
      </c>
      <c r="AE12" s="11">
        <v>9885.3836394903774</v>
      </c>
      <c r="AF12" s="11">
        <v>0</v>
      </c>
      <c r="AG12" s="11">
        <v>5990.6050481179664</v>
      </c>
      <c r="AH12" s="11">
        <v>941.35785067846416</v>
      </c>
      <c r="AI12" s="11">
        <v>3392.7729203183167</v>
      </c>
      <c r="AJ12" s="11">
        <v>4668.4578008732506</v>
      </c>
      <c r="AK12" s="11">
        <v>1699.088347787314</v>
      </c>
      <c r="AL12" s="49">
        <v>2043.1118715816519</v>
      </c>
      <c r="AM12" s="41">
        <f>IFERROR(ROUND(_xlfn.XLOOKUP(AM$7,'Product Tgt'!$B:$B,'Product Tgt'!$G:$G)*H12/H$121,0),0)</f>
        <v>12218</v>
      </c>
      <c r="AN12" s="41">
        <f>IFERROR(ROUND(_xlfn.XLOOKUP(AN$7,'Product Tgt'!$B:$B,'Product Tgt'!$G:$G)*I12/I$121,0),0)</f>
        <v>23746</v>
      </c>
      <c r="AO12" s="41">
        <f>IFERROR(ROUND(_xlfn.XLOOKUP(AO$7,'Product Tgt'!$B:$B,'Product Tgt'!$G:$G)*J12/J$121,0),0)</f>
        <v>12531</v>
      </c>
      <c r="AP12" s="41">
        <f>IFERROR(ROUND(_xlfn.XLOOKUP(AP$7,'Product Tgt'!$B:$B,'Product Tgt'!$G:$G)*K12/K$121,0),0)</f>
        <v>12309</v>
      </c>
      <c r="AQ12" s="41">
        <f>IFERROR(ROUND(_xlfn.XLOOKUP(AQ$7,'Product Tgt'!$B:$B,'Product Tgt'!$G:$G)*L12/L$121,0),0)</f>
        <v>12253</v>
      </c>
      <c r="AR12" s="41">
        <f>IFERROR(ROUND(_xlfn.XLOOKUP(AR$7,'Product Tgt'!$B:$B,'Product Tgt'!$G:$G)*M12/M$121,0),0)</f>
        <v>9118</v>
      </c>
      <c r="AS12" s="41">
        <f>IFERROR(ROUND(_xlfn.XLOOKUP(AS$7,'Product Tgt'!$B:$B,'Product Tgt'!$G:$G)*N12/N$121,0),0)</f>
        <v>163</v>
      </c>
      <c r="AT12" s="41">
        <f>IFERROR(ROUND(_xlfn.XLOOKUP(AT$7,'Product Tgt'!$B:$B,'Product Tgt'!$G:$G)*O12/O$121,0),0)</f>
        <v>949</v>
      </c>
      <c r="AU12" s="41">
        <f>IFERROR(ROUND(_xlfn.XLOOKUP(AU$7,'Product Tgt'!$B:$B,'Product Tgt'!$G:$G)*P12/P$121,0),0)</f>
        <v>446</v>
      </c>
      <c r="AV12" s="41">
        <f>IFERROR(ROUND(_xlfn.XLOOKUP(AV$7,'Product Tgt'!$B:$B,'Product Tgt'!$G:$G)*Q12/Q$121,0),0)</f>
        <v>663</v>
      </c>
      <c r="AW12" s="41">
        <f>IFERROR(ROUND(_xlfn.XLOOKUP(AW$7,'Product Tgt'!$B:$B,'Product Tgt'!$G:$G)*R12/R$121,0),0)</f>
        <v>7786</v>
      </c>
      <c r="AX12" s="41">
        <f>IFERROR(ROUND(_xlfn.XLOOKUP(AX$7,'Product Tgt'!$B:$B,'Product Tgt'!$G:$G)*S12/S$121,0),0)</f>
        <v>13754</v>
      </c>
      <c r="AY12" s="41">
        <f>IFERROR(ROUND(_xlfn.XLOOKUP(AY$7,'Product Tgt'!$B:$B,'Product Tgt'!$G:$G)*T12/T$121,0),0)</f>
        <v>0</v>
      </c>
      <c r="AZ12" s="41">
        <f>IFERROR(ROUND(_xlfn.XLOOKUP(AZ$7,'Product Tgt'!$B:$B,'Product Tgt'!$G:$G)*U12/U$121,0),0)</f>
        <v>0</v>
      </c>
      <c r="BA12" s="41">
        <f>IFERROR(ROUND(_xlfn.XLOOKUP(BA$7,'Product Tgt'!$B:$B,'Product Tgt'!$G:$G)*V12/V$121,0),0)</f>
        <v>10002</v>
      </c>
      <c r="BB12" s="41">
        <f>IFERROR(ROUND(_xlfn.XLOOKUP(BB$7,'Product Tgt'!$B:$B,'Product Tgt'!$G:$G)*W12/W$121,0),0)</f>
        <v>6936</v>
      </c>
      <c r="BC12" s="41">
        <f>IFERROR(ROUND(_xlfn.XLOOKUP(BC$7,'Product Tgt'!$B:$B,'Product Tgt'!$G:$G)*X12/X$121,0),0)</f>
        <v>1715</v>
      </c>
      <c r="BD12" s="41">
        <f>IFERROR(ROUND(_xlfn.XLOOKUP(BD$7,'Product Tgt'!$B:$B,'Product Tgt'!$G:$G)*Y12/Y$121,0),0)</f>
        <v>1849</v>
      </c>
      <c r="BE12" s="41">
        <f>IFERROR(ROUND(_xlfn.XLOOKUP(BE$7,'Product Tgt'!$B:$B,'Product Tgt'!$G:$G)*Z12/Z$121,0),0)</f>
        <v>364</v>
      </c>
      <c r="BF12" s="41">
        <f>IFERROR(ROUND(_xlfn.XLOOKUP(BF$7,'Product Tgt'!$B:$B,'Product Tgt'!$G:$G)*AA12/AA$121,0),0)</f>
        <v>2653</v>
      </c>
      <c r="BG12" s="41">
        <f>IFERROR(ROUND(_xlfn.XLOOKUP(BG$7,'Product Tgt'!$B:$B,'Product Tgt'!$G:$G)*AB12/AB$121,0),0)</f>
        <v>755</v>
      </c>
      <c r="BH12" s="41">
        <f>IFERROR(ROUND(_xlfn.XLOOKUP(BH$7,'Product Tgt'!$B:$B,'Product Tgt'!$G:$G)*AC12/AC$121,0),0)</f>
        <v>1590</v>
      </c>
      <c r="BI12" s="41">
        <f>IFERROR(ROUND(_xlfn.XLOOKUP(BI$7,'Product Tgt'!$B:$B,'Product Tgt'!$G:$G)*AD12/AD$121,0),0)</f>
        <v>5975</v>
      </c>
      <c r="BJ12" s="41">
        <f>IFERROR(ROUND(_xlfn.XLOOKUP(BJ$7,'Product Tgt'!$B:$B,'Product Tgt'!$G:$G)*AE12/AE$121,0),0)</f>
        <v>9201</v>
      </c>
      <c r="BK12" s="41">
        <f>IFERROR(ROUND(_xlfn.XLOOKUP(BK$7,'Product Tgt'!$B:$B,'Product Tgt'!$G:$G)*AF12/AF$121,0),0)</f>
        <v>0</v>
      </c>
      <c r="BL12" s="41">
        <f>IFERROR(ROUND(_xlfn.XLOOKUP(BL$7,'Product Tgt'!$B:$B,'Product Tgt'!$G:$G)*AG12/AG$121,0),0)</f>
        <v>5722</v>
      </c>
      <c r="BM12" s="41">
        <f>IFERROR(ROUND(_xlfn.XLOOKUP(BM$7,'Product Tgt'!$B:$B,'Product Tgt'!$G:$G)*AH12/AH$121,0),0)</f>
        <v>738</v>
      </c>
      <c r="BN12" s="41">
        <f>IFERROR(ROUND(_xlfn.XLOOKUP(BN$7,'Product Tgt'!$B:$B,'Product Tgt'!$G:$G)*AI12/AI$121,0),0)</f>
        <v>3116</v>
      </c>
      <c r="BO12" s="41">
        <f>IFERROR(ROUND(_xlfn.XLOOKUP(BO$7,'Product Tgt'!$B:$B,'Product Tgt'!$G:$G)*AJ12/AJ$121,0),0)</f>
        <v>4038</v>
      </c>
      <c r="BP12" s="41">
        <f>IFERROR(ROUND(_xlfn.XLOOKUP(BP$7,'Product Tgt'!$B:$B,'Product Tgt'!$G:$G)*AK12/AK$121,0),0)</f>
        <v>1294</v>
      </c>
      <c r="BQ12" s="41">
        <f>IFERROR(ROUND(_xlfn.XLOOKUP(BQ$7,'Product Tgt'!$B:$B,'Product Tgt'!$G:$G)*AL12/AL$121,0),0)</f>
        <v>1597</v>
      </c>
      <c r="BR12" s="25">
        <f>ROUND(IFERROR(AM12/_xlfn.XLOOKUP(BR$7,'Product Tgt'!$B:$B,'Product Tgt'!$D:$D),0),0)</f>
        <v>0</v>
      </c>
      <c r="BS12" s="11">
        <f>ROUND(IFERROR(AN12/_xlfn.XLOOKUP(BS$7,'Product Tgt'!$B:$B,'Product Tgt'!$D:$D),0),0)</f>
        <v>0</v>
      </c>
      <c r="BT12" s="11">
        <f>ROUND(IFERROR(AO12/_xlfn.XLOOKUP(BT$7,'Product Tgt'!$B:$B,'Product Tgt'!$D:$D),0),0)</f>
        <v>0</v>
      </c>
      <c r="BU12" s="11">
        <f>ROUND(IFERROR(AP12/_xlfn.XLOOKUP(BU$7,'Product Tgt'!$B:$B,'Product Tgt'!$D:$D),0),0)</f>
        <v>0</v>
      </c>
      <c r="BV12" s="11">
        <f>ROUND(IFERROR(AQ12/_xlfn.XLOOKUP(BV$7,'Product Tgt'!$B:$B,'Product Tgt'!$D:$D),0),0)</f>
        <v>0</v>
      </c>
      <c r="BW12" s="11">
        <f>ROUND(IFERROR(AU12/_xlfn.XLOOKUP(BW$7,'Product Tgt'!$B:$B,'Product Tgt'!$D:$D),0),0)</f>
        <v>0</v>
      </c>
      <c r="BX12" s="11">
        <f>ROUND(IFERROR(#REF!/_xlfn.XLOOKUP(BX$7,'Product Tgt'!$B:$B,'Product Tgt'!$D:$D),0),0)</f>
        <v>0</v>
      </c>
      <c r="BY12" s="11">
        <f>ROUND(IFERROR(#REF!/_xlfn.XLOOKUP(BY$7,'Product Tgt'!$B:$B,'Product Tgt'!$D:$D),0),0)</f>
        <v>0</v>
      </c>
      <c r="BZ12" s="11">
        <f>ROUND(IFERROR(#REF!/_xlfn.XLOOKUP(BZ$7,'Product Tgt'!$B:$B,'Product Tgt'!$D:$D),0),0)</f>
        <v>0</v>
      </c>
      <c r="CA12" s="11">
        <f>ROUND(IFERROR(#REF!/_xlfn.XLOOKUP(CA$7,'Product Tgt'!$B:$B,'Product Tgt'!$D:$D),0),0)</f>
        <v>0</v>
      </c>
      <c r="CB12" s="11">
        <f>ROUND(IFERROR(AV12/_xlfn.XLOOKUP(CB$7,'Product Tgt'!$B:$B,'Product Tgt'!$D:$D),0),0)</f>
        <v>0</v>
      </c>
      <c r="CC12" s="11">
        <f>ROUND(IFERROR(AW12/_xlfn.XLOOKUP(CC$7,'Product Tgt'!$B:$B,'Product Tgt'!$D:$D),0),0)</f>
        <v>0</v>
      </c>
      <c r="CD12" s="11">
        <f>ROUND(IFERROR(AX12/_xlfn.XLOOKUP(CD$7,'Product Tgt'!$B:$B,'Product Tgt'!$D:$D),0),0)</f>
        <v>0</v>
      </c>
      <c r="CE12" s="11">
        <f>ROUND(IFERROR(AY12/_xlfn.XLOOKUP(CE$7,'Product Tgt'!$B:$B,'Product Tgt'!$D:$D),0),0)</f>
        <v>0</v>
      </c>
      <c r="CF12" s="11">
        <f>ROUND(IFERROR(AZ12/_xlfn.XLOOKUP(CF$7,'Product Tgt'!$B:$B,'Product Tgt'!$D:$D),0),0)</f>
        <v>0</v>
      </c>
      <c r="CG12" s="11">
        <f>ROUND(IFERROR(BA12/_xlfn.XLOOKUP(CG$7,'Product Tgt'!$B:$B,'Product Tgt'!$D:$D),0),0)</f>
        <v>0</v>
      </c>
      <c r="CH12" s="11">
        <f>ROUND(IFERROR(BB12/_xlfn.XLOOKUP(CH$7,'Product Tgt'!$B:$B,'Product Tgt'!$D:$D),0),0)</f>
        <v>0</v>
      </c>
      <c r="CI12" s="11">
        <f>ROUND(IFERROR(BC12/_xlfn.XLOOKUP(CI$7,'Product Tgt'!$B:$B,'Product Tgt'!$D:$D),0),0)</f>
        <v>0</v>
      </c>
      <c r="CJ12" s="11">
        <f>ROUND(IFERROR(BD12/_xlfn.XLOOKUP(CJ$7,'Product Tgt'!$B:$B,'Product Tgt'!$D:$D),0),0)</f>
        <v>0</v>
      </c>
      <c r="CK12" s="11">
        <f>ROUND(IFERROR(BE12/_xlfn.XLOOKUP(CK$7,'Product Tgt'!$B:$B,'Product Tgt'!$D:$D),0),0)</f>
        <v>0</v>
      </c>
      <c r="CL12" s="11">
        <f>ROUND(IFERROR(BF12/_xlfn.XLOOKUP(CL$7,'Product Tgt'!$B:$B,'Product Tgt'!$D:$D),0),0)</f>
        <v>0</v>
      </c>
      <c r="CM12" s="11">
        <f>ROUND(IFERROR(BG12/_xlfn.XLOOKUP(CM$7,'Product Tgt'!$B:$B,'Product Tgt'!$D:$D),0),0)</f>
        <v>0</v>
      </c>
      <c r="CN12" s="11">
        <f>ROUND(IFERROR(BH12/_xlfn.XLOOKUP(CN$7,'Product Tgt'!$B:$B,'Product Tgt'!$D:$D),0),0)</f>
        <v>0</v>
      </c>
      <c r="CO12" s="11">
        <f>ROUND(IFERROR(BI12/_xlfn.XLOOKUP(CO$7,'Product Tgt'!$B:$B,'Product Tgt'!$D:$D),0),0)</f>
        <v>0</v>
      </c>
      <c r="CP12" s="11">
        <f>ROUND(IFERROR(BJ12/_xlfn.XLOOKUP(CP$7,'Product Tgt'!$B:$B,'Product Tgt'!$D:$D),0),0)</f>
        <v>0</v>
      </c>
      <c r="CQ12" s="11">
        <f>ROUND(IFERROR(BK12/_xlfn.XLOOKUP(CQ$7,'Product Tgt'!$B:$B,'Product Tgt'!$D:$D),0),0)</f>
        <v>0</v>
      </c>
      <c r="CR12" s="11">
        <f>ROUND(IFERROR(BL12/_xlfn.XLOOKUP(CR$7,'Product Tgt'!$B:$B,'Product Tgt'!$D:$D),0),0)</f>
        <v>0</v>
      </c>
      <c r="CS12" s="11">
        <f>ROUND(IFERROR(BM12/_xlfn.XLOOKUP(CS$7,'Product Tgt'!$B:$B,'Product Tgt'!$D:$D),0),0)</f>
        <v>0</v>
      </c>
      <c r="CT12" s="11">
        <f>ROUND(IFERROR(BN12/_xlfn.XLOOKUP(CT$7,'Product Tgt'!$B:$B,'Product Tgt'!$D:$D),0),0)</f>
        <v>0</v>
      </c>
      <c r="CU12" s="11">
        <f>ROUND(IFERROR(BO12/_xlfn.XLOOKUP(CU$7,'Product Tgt'!$B:$B,'Product Tgt'!$D:$D),0),0)</f>
        <v>0</v>
      </c>
      <c r="CV12" s="11">
        <f>ROUND(IFERROR(BP12/_xlfn.XLOOKUP(CV$7,'Product Tgt'!$B:$B,'Product Tgt'!$D:$D),0),0)</f>
        <v>0</v>
      </c>
      <c r="CW12" s="11">
        <f>ROUND(IFERROR(BQ12/_xlfn.XLOOKUP(CW$7,'Product Tgt'!$B:$B,'Product Tgt'!$D:$D),0),0)</f>
        <v>0</v>
      </c>
      <c r="CX12" s="11">
        <f>ROUND(IFERROR(#REF!/_xlfn.XLOOKUP(CX$7,'Product Tgt'!$B:$B,'Product Tgt'!$D:$D),0),0)</f>
        <v>0</v>
      </c>
      <c r="CY12" s="11">
        <f>ROUND(IFERROR(#REF!/_xlfn.XLOOKUP(CY$7,'Product Tgt'!$B:$B,'Product Tgt'!$D:$D),0),0)</f>
        <v>0</v>
      </c>
      <c r="CZ12" s="11">
        <f>ROUND(IFERROR(#REF!/_xlfn.XLOOKUP(CZ$7,'Product Tgt'!$B:$B,'Product Tgt'!$D:$D),0),0)</f>
        <v>0</v>
      </c>
      <c r="DA12" s="10">
        <f>IFERROR(BR12*_xlfn.XLOOKUP(DA$7,'Product Tgt'!$B:$B,'Product Tgt'!$D:$D),0)</f>
        <v>0</v>
      </c>
      <c r="DB12">
        <f>IFERROR(BS12*_xlfn.XLOOKUP(DB$7,'Product Tgt'!$B:$B,'Product Tgt'!$D:$D),0)</f>
        <v>0</v>
      </c>
      <c r="DC12">
        <f>IFERROR(BT12*_xlfn.XLOOKUP(DC$7,'Product Tgt'!$B:$B,'Product Tgt'!$D:$D),0)</f>
        <v>0</v>
      </c>
      <c r="DD12">
        <f>IFERROR(BU12*_xlfn.XLOOKUP(DD$7,'Product Tgt'!$B:$B,'Product Tgt'!$D:$D),0)</f>
        <v>0</v>
      </c>
      <c r="DE12">
        <f>IFERROR(BV12*_xlfn.XLOOKUP(DE$7,'Product Tgt'!$B:$B,'Product Tgt'!$D:$D),0)</f>
        <v>0</v>
      </c>
      <c r="DF12">
        <f>IFERROR(BW12*_xlfn.XLOOKUP(DF$7,'Product Tgt'!$B:$B,'Product Tgt'!$D:$D),0)</f>
        <v>0</v>
      </c>
      <c r="DG12">
        <f>IFERROR(BX12*_xlfn.XLOOKUP(DG$7,'Product Tgt'!$B:$B,'Product Tgt'!$D:$D),0)</f>
        <v>0</v>
      </c>
      <c r="DH12">
        <f>IFERROR(BY12*_xlfn.XLOOKUP(DH$7,'Product Tgt'!$B:$B,'Product Tgt'!$D:$D),0)</f>
        <v>0</v>
      </c>
      <c r="DI12">
        <f>IFERROR(BZ12*_xlfn.XLOOKUP(DI$7,'Product Tgt'!$B:$B,'Product Tgt'!$D:$D),0)</f>
        <v>0</v>
      </c>
      <c r="DJ12">
        <f>IFERROR(CA12*_xlfn.XLOOKUP(DJ$7,'Product Tgt'!$B:$B,'Product Tgt'!$D:$D),0)</f>
        <v>0</v>
      </c>
      <c r="DK12">
        <f>IFERROR(CB12*_xlfn.XLOOKUP(DK$7,'Product Tgt'!$B:$B,'Product Tgt'!$D:$D),0)</f>
        <v>0</v>
      </c>
      <c r="DL12">
        <f>IFERROR(CC12*_xlfn.XLOOKUP(DL$7,'Product Tgt'!$B:$B,'Product Tgt'!$D:$D),0)</f>
        <v>0</v>
      </c>
      <c r="DM12">
        <f>IFERROR(CD12*_xlfn.XLOOKUP(DM$7,'Product Tgt'!$B:$B,'Product Tgt'!$D:$D),0)</f>
        <v>0</v>
      </c>
      <c r="DN12">
        <f>IFERROR(CE12*_xlfn.XLOOKUP(DN$7,'Product Tgt'!$B:$B,'Product Tgt'!$D:$D),0)</f>
        <v>0</v>
      </c>
      <c r="DO12">
        <f>IFERROR(CF12*_xlfn.XLOOKUP(DO$7,'Product Tgt'!$B:$B,'Product Tgt'!$D:$D),0)</f>
        <v>0</v>
      </c>
      <c r="DP12">
        <f>IFERROR(CG12*_xlfn.XLOOKUP(DP$7,'Product Tgt'!$B:$B,'Product Tgt'!$D:$D),0)</f>
        <v>0</v>
      </c>
      <c r="DQ12">
        <f>IFERROR(CH12*_xlfn.XLOOKUP(DQ$7,'Product Tgt'!$B:$B,'Product Tgt'!$D:$D),0)</f>
        <v>0</v>
      </c>
      <c r="DR12">
        <f>IFERROR(CI12*_xlfn.XLOOKUP(DR$7,'Product Tgt'!$B:$B,'Product Tgt'!$D:$D),0)</f>
        <v>0</v>
      </c>
      <c r="DS12">
        <f>IFERROR(CJ12*_xlfn.XLOOKUP(DS$7,'Product Tgt'!$B:$B,'Product Tgt'!$D:$D),0)</f>
        <v>0</v>
      </c>
      <c r="DT12">
        <f>IFERROR(CK12*_xlfn.XLOOKUP(DT$7,'Product Tgt'!$B:$B,'Product Tgt'!$D:$D),0)</f>
        <v>0</v>
      </c>
      <c r="DU12">
        <f>IFERROR(CL12*_xlfn.XLOOKUP(DU$7,'Product Tgt'!$B:$B,'Product Tgt'!$D:$D),0)</f>
        <v>0</v>
      </c>
      <c r="DV12">
        <f>IFERROR(CM12*_xlfn.XLOOKUP(DV$7,'Product Tgt'!$B:$B,'Product Tgt'!$D:$D),0)</f>
        <v>0</v>
      </c>
      <c r="DW12">
        <f>IFERROR(CN12*_xlfn.XLOOKUP(DW$7,'Product Tgt'!$B:$B,'Product Tgt'!$D:$D),0)</f>
        <v>0</v>
      </c>
      <c r="DX12">
        <f>IFERROR(CO12*_xlfn.XLOOKUP(DX$7,'Product Tgt'!$B:$B,'Product Tgt'!$D:$D),0)</f>
        <v>0</v>
      </c>
      <c r="DY12">
        <f>IFERROR(CP12*_xlfn.XLOOKUP(DY$7,'Product Tgt'!$B:$B,'Product Tgt'!$D:$D),0)</f>
        <v>0</v>
      </c>
      <c r="DZ12">
        <f>IFERROR(CQ12*_xlfn.XLOOKUP(DZ$7,'Product Tgt'!$B:$B,'Product Tgt'!$D:$D),0)</f>
        <v>0</v>
      </c>
      <c r="EA12">
        <f>IFERROR(CR12*_xlfn.XLOOKUP(EA$7,'Product Tgt'!$B:$B,'Product Tgt'!$D:$D),0)</f>
        <v>0</v>
      </c>
      <c r="EB12">
        <f>IFERROR(CS12*_xlfn.XLOOKUP(EB$7,'Product Tgt'!$B:$B,'Product Tgt'!$D:$D),0)</f>
        <v>0</v>
      </c>
      <c r="EC12">
        <f>IFERROR(CT12*_xlfn.XLOOKUP(EC$7,'Product Tgt'!$B:$B,'Product Tgt'!$D:$D),0)</f>
        <v>0</v>
      </c>
      <c r="ED12">
        <f>IFERROR(CU12*_xlfn.XLOOKUP(ED$7,'Product Tgt'!$B:$B,'Product Tgt'!$D:$D),0)</f>
        <v>0</v>
      </c>
      <c r="EE12">
        <f>IFERROR(CV12*_xlfn.XLOOKUP(EE$7,'Product Tgt'!$B:$B,'Product Tgt'!$D:$D),0)</f>
        <v>0</v>
      </c>
      <c r="EF12">
        <f>IFERROR(CW12*_xlfn.XLOOKUP(EF$7,'Product Tgt'!$B:$B,'Product Tgt'!$D:$D),0)</f>
        <v>0</v>
      </c>
      <c r="EG12">
        <f>IFERROR(CX12*_xlfn.XLOOKUP(EG$7,'Product Tgt'!$B:$B,'Product Tgt'!$D:$D),0)</f>
        <v>0</v>
      </c>
      <c r="EH12">
        <f>IFERROR(CY12*_xlfn.XLOOKUP(EH$7,'Product Tgt'!$B:$B,'Product Tgt'!$D:$D),0)</f>
        <v>0</v>
      </c>
      <c r="EI12">
        <f>IFERROR(CZ12*_xlfn.XLOOKUP(EI$7,'Product Tgt'!$B:$B,'Product Tgt'!$D:$D),0)</f>
        <v>0</v>
      </c>
    </row>
    <row r="13" spans="1:139" x14ac:dyDescent="0.35">
      <c r="B13" s="7" t="s">
        <v>134</v>
      </c>
      <c r="C13" s="3">
        <f>_xlfn.XLOOKUP($B13,'Terr Target'!$A:$A,'Terr Target'!$E:$E)</f>
        <v>134305.4516152307</v>
      </c>
      <c r="D13" s="3">
        <f t="shared" si="3"/>
        <v>134303</v>
      </c>
      <c r="E13" s="4">
        <f t="shared" si="4"/>
        <v>-2.4516152307041921</v>
      </c>
      <c r="F13" s="9">
        <f t="shared" si="5"/>
        <v>1.8254359401533787E-5</v>
      </c>
      <c r="G13" s="5">
        <f t="shared" si="6"/>
        <v>1.0000182543594016</v>
      </c>
      <c r="H13" s="38">
        <v>10287.436309600977</v>
      </c>
      <c r="I13" s="11">
        <v>19004.848106024288</v>
      </c>
      <c r="J13" s="11">
        <v>10204.882410523744</v>
      </c>
      <c r="K13" s="11">
        <v>12019.698669574604</v>
      </c>
      <c r="L13" s="11">
        <v>11808.188289455284</v>
      </c>
      <c r="M13" s="11">
        <v>6918.9492251135352</v>
      </c>
      <c r="N13" s="11">
        <v>255.76805106887602</v>
      </c>
      <c r="O13" s="11">
        <v>953.62945140448676</v>
      </c>
      <c r="P13" s="11">
        <v>338.34209015564255</v>
      </c>
      <c r="Q13" s="11">
        <v>0</v>
      </c>
      <c r="R13" s="11">
        <v>7033.4149692963738</v>
      </c>
      <c r="S13" s="11">
        <v>7636.9204249682034</v>
      </c>
      <c r="T13" s="11">
        <v>0</v>
      </c>
      <c r="U13" s="11">
        <v>0</v>
      </c>
      <c r="V13" s="11">
        <v>8863.638335640253</v>
      </c>
      <c r="W13" s="11">
        <v>6587.7971183613017</v>
      </c>
      <c r="X13" s="11">
        <v>2332.2131039628212</v>
      </c>
      <c r="Y13" s="11">
        <v>2555.7772797878579</v>
      </c>
      <c r="Z13" s="11">
        <v>0</v>
      </c>
      <c r="AA13" s="11">
        <v>2654.4733965060773</v>
      </c>
      <c r="AB13" s="11">
        <v>889.2217009168088</v>
      </c>
      <c r="AC13" s="11">
        <v>1011.0385485793229</v>
      </c>
      <c r="AD13" s="11">
        <v>4727.8470979461845</v>
      </c>
      <c r="AE13" s="11">
        <v>8868.6834080283606</v>
      </c>
      <c r="AF13" s="11">
        <v>0</v>
      </c>
      <c r="AG13" s="11">
        <v>5363.2845387331536</v>
      </c>
      <c r="AH13" s="11">
        <v>680.73232222749004</v>
      </c>
      <c r="AI13" s="11">
        <v>2789.3913203700404</v>
      </c>
      <c r="AJ13" s="11">
        <v>4599.9983174284307</v>
      </c>
      <c r="AK13" s="11">
        <v>1459.2947407632651</v>
      </c>
      <c r="AL13" s="49">
        <v>1942.2924493922492</v>
      </c>
      <c r="AM13" s="41">
        <f>IFERROR(ROUND(_xlfn.XLOOKUP(AM$7,'Product Tgt'!$B:$B,'Product Tgt'!$G:$G)*H13/H$121,0),0)</f>
        <v>10001</v>
      </c>
      <c r="AN13" s="41">
        <f>IFERROR(ROUND(_xlfn.XLOOKUP(AN$7,'Product Tgt'!$B:$B,'Product Tgt'!$G:$G)*I13/I$121,0),0)</f>
        <v>18708</v>
      </c>
      <c r="AO13" s="41">
        <f>IFERROR(ROUND(_xlfn.XLOOKUP(AO$7,'Product Tgt'!$B:$B,'Product Tgt'!$G:$G)*J13/J$121,0),0)</f>
        <v>9887</v>
      </c>
      <c r="AP13" s="41">
        <f>IFERROR(ROUND(_xlfn.XLOOKUP(AP$7,'Product Tgt'!$B:$B,'Product Tgt'!$G:$G)*K13/K$121,0),0)</f>
        <v>11725</v>
      </c>
      <c r="AQ13" s="41">
        <f>IFERROR(ROUND(_xlfn.XLOOKUP(AQ$7,'Product Tgt'!$B:$B,'Product Tgt'!$G:$G)*L13/L$121,0),0)</f>
        <v>11418</v>
      </c>
      <c r="AR13" s="41">
        <f>IFERROR(ROUND(_xlfn.XLOOKUP(AR$7,'Product Tgt'!$B:$B,'Product Tgt'!$G:$G)*M13/M$121,0),0)</f>
        <v>6703</v>
      </c>
      <c r="AS13" s="41">
        <f>IFERROR(ROUND(_xlfn.XLOOKUP(AS$7,'Product Tgt'!$B:$B,'Product Tgt'!$G:$G)*N13/N$121,0),0)</f>
        <v>236</v>
      </c>
      <c r="AT13" s="41">
        <f>IFERROR(ROUND(_xlfn.XLOOKUP(AT$7,'Product Tgt'!$B:$B,'Product Tgt'!$G:$G)*O13/O$121,0),0)</f>
        <v>858</v>
      </c>
      <c r="AU13" s="41">
        <f>IFERROR(ROUND(_xlfn.XLOOKUP(AU$7,'Product Tgt'!$B:$B,'Product Tgt'!$G:$G)*P13/P$121,0),0)</f>
        <v>144</v>
      </c>
      <c r="AV13" s="41">
        <f>IFERROR(ROUND(_xlfn.XLOOKUP(AV$7,'Product Tgt'!$B:$B,'Product Tgt'!$G:$G)*Q13/Q$121,0),0)</f>
        <v>0</v>
      </c>
      <c r="AW13" s="41">
        <f>IFERROR(ROUND(_xlfn.XLOOKUP(AW$7,'Product Tgt'!$B:$B,'Product Tgt'!$G:$G)*R13/R$121,0),0)</f>
        <v>6774</v>
      </c>
      <c r="AX13" s="41">
        <f>IFERROR(ROUND(_xlfn.XLOOKUP(AX$7,'Product Tgt'!$B:$B,'Product Tgt'!$G:$G)*S13/S$121,0),0)</f>
        <v>7355</v>
      </c>
      <c r="AY13" s="41">
        <f>IFERROR(ROUND(_xlfn.XLOOKUP(AY$7,'Product Tgt'!$B:$B,'Product Tgt'!$G:$G)*T13/T$121,0),0)</f>
        <v>0</v>
      </c>
      <c r="AZ13" s="41">
        <f>IFERROR(ROUND(_xlfn.XLOOKUP(AZ$7,'Product Tgt'!$B:$B,'Product Tgt'!$G:$G)*U13/U$121,0),0)</f>
        <v>0</v>
      </c>
      <c r="BA13" s="41">
        <f>IFERROR(ROUND(_xlfn.XLOOKUP(BA$7,'Product Tgt'!$B:$B,'Product Tgt'!$G:$G)*V13/V$121,0),0)</f>
        <v>8534</v>
      </c>
      <c r="BB13" s="41">
        <f>IFERROR(ROUND(_xlfn.XLOOKUP(BB$7,'Product Tgt'!$B:$B,'Product Tgt'!$G:$G)*W13/W$121,0),0)</f>
        <v>6306</v>
      </c>
      <c r="BC13" s="41">
        <f>IFERROR(ROUND(_xlfn.XLOOKUP(BC$7,'Product Tgt'!$B:$B,'Product Tgt'!$G:$G)*X13/X$121,0),0)</f>
        <v>2257</v>
      </c>
      <c r="BD13" s="41">
        <f>IFERROR(ROUND(_xlfn.XLOOKUP(BD$7,'Product Tgt'!$B:$B,'Product Tgt'!$G:$G)*Y13/Y$121,0),0)</f>
        <v>2471</v>
      </c>
      <c r="BE13" s="41">
        <f>IFERROR(ROUND(_xlfn.XLOOKUP(BE$7,'Product Tgt'!$B:$B,'Product Tgt'!$G:$G)*Z13/Z$121,0),0)</f>
        <v>0</v>
      </c>
      <c r="BF13" s="41">
        <f>IFERROR(ROUND(_xlfn.XLOOKUP(BF$7,'Product Tgt'!$B:$B,'Product Tgt'!$G:$G)*AA13/AA$121,0),0)</f>
        <v>2151</v>
      </c>
      <c r="BG13" s="41">
        <f>IFERROR(ROUND(_xlfn.XLOOKUP(BG$7,'Product Tgt'!$B:$B,'Product Tgt'!$G:$G)*AB13/AB$121,0),0)</f>
        <v>713</v>
      </c>
      <c r="BH13" s="41">
        <f>IFERROR(ROUND(_xlfn.XLOOKUP(BH$7,'Product Tgt'!$B:$B,'Product Tgt'!$G:$G)*AC13/AC$121,0),0)</f>
        <v>865</v>
      </c>
      <c r="BI13" s="41">
        <f>IFERROR(ROUND(_xlfn.XLOOKUP(BI$7,'Product Tgt'!$B:$B,'Product Tgt'!$G:$G)*AD13/AD$121,0),0)</f>
        <v>4116</v>
      </c>
      <c r="BJ13" s="41">
        <f>IFERROR(ROUND(_xlfn.XLOOKUP(BJ$7,'Product Tgt'!$B:$B,'Product Tgt'!$G:$G)*AE13/AE$121,0),0)</f>
        <v>8254</v>
      </c>
      <c r="BK13" s="41">
        <f>IFERROR(ROUND(_xlfn.XLOOKUP(BK$7,'Product Tgt'!$B:$B,'Product Tgt'!$G:$G)*AF13/AF$121,0),0)</f>
        <v>0</v>
      </c>
      <c r="BL13" s="41">
        <f>IFERROR(ROUND(_xlfn.XLOOKUP(BL$7,'Product Tgt'!$B:$B,'Product Tgt'!$G:$G)*AG13/AG$121,0),0)</f>
        <v>5123</v>
      </c>
      <c r="BM13" s="41">
        <f>IFERROR(ROUND(_xlfn.XLOOKUP(BM$7,'Product Tgt'!$B:$B,'Product Tgt'!$G:$G)*AH13/AH$121,0),0)</f>
        <v>534</v>
      </c>
      <c r="BN13" s="41">
        <f>IFERROR(ROUND(_xlfn.XLOOKUP(BN$7,'Product Tgt'!$B:$B,'Product Tgt'!$G:$G)*AI13/AI$121,0),0)</f>
        <v>2562</v>
      </c>
      <c r="BO13" s="41">
        <f>IFERROR(ROUND(_xlfn.XLOOKUP(BO$7,'Product Tgt'!$B:$B,'Product Tgt'!$G:$G)*AJ13/AJ$121,0),0)</f>
        <v>3979</v>
      </c>
      <c r="BP13" s="41">
        <f>IFERROR(ROUND(_xlfn.XLOOKUP(BP$7,'Product Tgt'!$B:$B,'Product Tgt'!$G:$G)*AK13/AK$121,0),0)</f>
        <v>1111</v>
      </c>
      <c r="BQ13" s="41">
        <f>IFERROR(ROUND(_xlfn.XLOOKUP(BQ$7,'Product Tgt'!$B:$B,'Product Tgt'!$G:$G)*AL13/AL$121,0),0)</f>
        <v>1518</v>
      </c>
      <c r="BR13" s="25">
        <f>ROUND(IFERROR(AM13/_xlfn.XLOOKUP(BR$7,'Product Tgt'!$B:$B,'Product Tgt'!$D:$D),0),0)</f>
        <v>0</v>
      </c>
      <c r="BS13" s="11">
        <f>ROUND(IFERROR(AN13/_xlfn.XLOOKUP(BS$7,'Product Tgt'!$B:$B,'Product Tgt'!$D:$D),0),0)</f>
        <v>0</v>
      </c>
      <c r="BT13" s="11">
        <f>ROUND(IFERROR(AO13/_xlfn.XLOOKUP(BT$7,'Product Tgt'!$B:$B,'Product Tgt'!$D:$D),0),0)</f>
        <v>0</v>
      </c>
      <c r="BU13" s="11">
        <f>ROUND(IFERROR(AP13/_xlfn.XLOOKUP(BU$7,'Product Tgt'!$B:$B,'Product Tgt'!$D:$D),0),0)</f>
        <v>0</v>
      </c>
      <c r="BV13" s="11">
        <f>ROUND(IFERROR(AQ13/_xlfn.XLOOKUP(BV$7,'Product Tgt'!$B:$B,'Product Tgt'!$D:$D),0),0)</f>
        <v>0</v>
      </c>
      <c r="BW13" s="11">
        <f>ROUND(IFERROR(AU13/_xlfn.XLOOKUP(BW$7,'Product Tgt'!$B:$B,'Product Tgt'!$D:$D),0),0)</f>
        <v>0</v>
      </c>
      <c r="BX13" s="11">
        <f>ROUND(IFERROR(#REF!/_xlfn.XLOOKUP(BX$7,'Product Tgt'!$B:$B,'Product Tgt'!$D:$D),0),0)</f>
        <v>0</v>
      </c>
      <c r="BY13" s="11">
        <f>ROUND(IFERROR(#REF!/_xlfn.XLOOKUP(BY$7,'Product Tgt'!$B:$B,'Product Tgt'!$D:$D),0),0)</f>
        <v>0</v>
      </c>
      <c r="BZ13" s="11">
        <f>ROUND(IFERROR(#REF!/_xlfn.XLOOKUP(BZ$7,'Product Tgt'!$B:$B,'Product Tgt'!$D:$D),0),0)</f>
        <v>0</v>
      </c>
      <c r="CA13" s="11">
        <f>ROUND(IFERROR(#REF!/_xlfn.XLOOKUP(CA$7,'Product Tgt'!$B:$B,'Product Tgt'!$D:$D),0),0)</f>
        <v>0</v>
      </c>
      <c r="CB13" s="11">
        <f>ROUND(IFERROR(AV13/_xlfn.XLOOKUP(CB$7,'Product Tgt'!$B:$B,'Product Tgt'!$D:$D),0),0)</f>
        <v>0</v>
      </c>
      <c r="CC13" s="11">
        <f>ROUND(IFERROR(AW13/_xlfn.XLOOKUP(CC$7,'Product Tgt'!$B:$B,'Product Tgt'!$D:$D),0),0)</f>
        <v>0</v>
      </c>
      <c r="CD13" s="11">
        <f>ROUND(IFERROR(AX13/_xlfn.XLOOKUP(CD$7,'Product Tgt'!$B:$B,'Product Tgt'!$D:$D),0),0)</f>
        <v>0</v>
      </c>
      <c r="CE13" s="11">
        <f>ROUND(IFERROR(AY13/_xlfn.XLOOKUP(CE$7,'Product Tgt'!$B:$B,'Product Tgt'!$D:$D),0),0)</f>
        <v>0</v>
      </c>
      <c r="CF13" s="11">
        <f>ROUND(IFERROR(AZ13/_xlfn.XLOOKUP(CF$7,'Product Tgt'!$B:$B,'Product Tgt'!$D:$D),0),0)</f>
        <v>0</v>
      </c>
      <c r="CG13" s="11">
        <f>ROUND(IFERROR(BA13/_xlfn.XLOOKUP(CG$7,'Product Tgt'!$B:$B,'Product Tgt'!$D:$D),0),0)</f>
        <v>0</v>
      </c>
      <c r="CH13" s="11">
        <f>ROUND(IFERROR(BB13/_xlfn.XLOOKUP(CH$7,'Product Tgt'!$B:$B,'Product Tgt'!$D:$D),0),0)</f>
        <v>0</v>
      </c>
      <c r="CI13" s="11">
        <f>ROUND(IFERROR(BC13/_xlfn.XLOOKUP(CI$7,'Product Tgt'!$B:$B,'Product Tgt'!$D:$D),0),0)</f>
        <v>0</v>
      </c>
      <c r="CJ13" s="11">
        <f>ROUND(IFERROR(BD13/_xlfn.XLOOKUP(CJ$7,'Product Tgt'!$B:$B,'Product Tgt'!$D:$D),0),0)</f>
        <v>0</v>
      </c>
      <c r="CK13" s="11">
        <f>ROUND(IFERROR(BE13/_xlfn.XLOOKUP(CK$7,'Product Tgt'!$B:$B,'Product Tgt'!$D:$D),0),0)</f>
        <v>0</v>
      </c>
      <c r="CL13" s="11">
        <f>ROUND(IFERROR(BF13/_xlfn.XLOOKUP(CL$7,'Product Tgt'!$B:$B,'Product Tgt'!$D:$D),0),0)</f>
        <v>0</v>
      </c>
      <c r="CM13" s="11">
        <f>ROUND(IFERROR(BG13/_xlfn.XLOOKUP(CM$7,'Product Tgt'!$B:$B,'Product Tgt'!$D:$D),0),0)</f>
        <v>0</v>
      </c>
      <c r="CN13" s="11">
        <f>ROUND(IFERROR(BH13/_xlfn.XLOOKUP(CN$7,'Product Tgt'!$B:$B,'Product Tgt'!$D:$D),0),0)</f>
        <v>0</v>
      </c>
      <c r="CO13" s="11">
        <f>ROUND(IFERROR(BI13/_xlfn.XLOOKUP(CO$7,'Product Tgt'!$B:$B,'Product Tgt'!$D:$D),0),0)</f>
        <v>0</v>
      </c>
      <c r="CP13" s="11">
        <f>ROUND(IFERROR(BJ13/_xlfn.XLOOKUP(CP$7,'Product Tgt'!$B:$B,'Product Tgt'!$D:$D),0),0)</f>
        <v>0</v>
      </c>
      <c r="CQ13" s="11">
        <f>ROUND(IFERROR(BK13/_xlfn.XLOOKUP(CQ$7,'Product Tgt'!$B:$B,'Product Tgt'!$D:$D),0),0)</f>
        <v>0</v>
      </c>
      <c r="CR13" s="11">
        <f>ROUND(IFERROR(BL13/_xlfn.XLOOKUP(CR$7,'Product Tgt'!$B:$B,'Product Tgt'!$D:$D),0),0)</f>
        <v>0</v>
      </c>
      <c r="CS13" s="11">
        <f>ROUND(IFERROR(BM13/_xlfn.XLOOKUP(CS$7,'Product Tgt'!$B:$B,'Product Tgt'!$D:$D),0),0)</f>
        <v>0</v>
      </c>
      <c r="CT13" s="11">
        <f>ROUND(IFERROR(BN13/_xlfn.XLOOKUP(CT$7,'Product Tgt'!$B:$B,'Product Tgt'!$D:$D),0),0)</f>
        <v>0</v>
      </c>
      <c r="CU13" s="11">
        <f>ROUND(IFERROR(BO13/_xlfn.XLOOKUP(CU$7,'Product Tgt'!$B:$B,'Product Tgt'!$D:$D),0),0)</f>
        <v>0</v>
      </c>
      <c r="CV13" s="11">
        <f>ROUND(IFERROR(BP13/_xlfn.XLOOKUP(CV$7,'Product Tgt'!$B:$B,'Product Tgt'!$D:$D),0),0)</f>
        <v>0</v>
      </c>
      <c r="CW13" s="11">
        <f>ROUND(IFERROR(BQ13/_xlfn.XLOOKUP(CW$7,'Product Tgt'!$B:$B,'Product Tgt'!$D:$D),0),0)</f>
        <v>0</v>
      </c>
      <c r="CX13" s="11">
        <f>ROUND(IFERROR(#REF!/_xlfn.XLOOKUP(CX$7,'Product Tgt'!$B:$B,'Product Tgt'!$D:$D),0),0)</f>
        <v>0</v>
      </c>
      <c r="CY13" s="11">
        <f>ROUND(IFERROR(#REF!/_xlfn.XLOOKUP(CY$7,'Product Tgt'!$B:$B,'Product Tgt'!$D:$D),0),0)</f>
        <v>0</v>
      </c>
      <c r="CZ13" s="11">
        <f>ROUND(IFERROR(#REF!/_xlfn.XLOOKUP(CZ$7,'Product Tgt'!$B:$B,'Product Tgt'!$D:$D),0),0)</f>
        <v>0</v>
      </c>
      <c r="DA13" s="10">
        <f>IFERROR(BR13*_xlfn.XLOOKUP(DA$7,'Product Tgt'!$B:$B,'Product Tgt'!$D:$D),0)</f>
        <v>0</v>
      </c>
      <c r="DB13">
        <f>IFERROR(BS13*_xlfn.XLOOKUP(DB$7,'Product Tgt'!$B:$B,'Product Tgt'!$D:$D),0)</f>
        <v>0</v>
      </c>
      <c r="DC13">
        <f>IFERROR(BT13*_xlfn.XLOOKUP(DC$7,'Product Tgt'!$B:$B,'Product Tgt'!$D:$D),0)</f>
        <v>0</v>
      </c>
      <c r="DD13">
        <f>IFERROR(BU13*_xlfn.XLOOKUP(DD$7,'Product Tgt'!$B:$B,'Product Tgt'!$D:$D),0)</f>
        <v>0</v>
      </c>
      <c r="DE13">
        <f>IFERROR(BV13*_xlfn.XLOOKUP(DE$7,'Product Tgt'!$B:$B,'Product Tgt'!$D:$D),0)</f>
        <v>0</v>
      </c>
      <c r="DF13">
        <f>IFERROR(BW13*_xlfn.XLOOKUP(DF$7,'Product Tgt'!$B:$B,'Product Tgt'!$D:$D),0)</f>
        <v>0</v>
      </c>
      <c r="DG13">
        <f>IFERROR(BX13*_xlfn.XLOOKUP(DG$7,'Product Tgt'!$B:$B,'Product Tgt'!$D:$D),0)</f>
        <v>0</v>
      </c>
      <c r="DH13">
        <f>IFERROR(BY13*_xlfn.XLOOKUP(DH$7,'Product Tgt'!$B:$B,'Product Tgt'!$D:$D),0)</f>
        <v>0</v>
      </c>
      <c r="DI13">
        <f>IFERROR(BZ13*_xlfn.XLOOKUP(DI$7,'Product Tgt'!$B:$B,'Product Tgt'!$D:$D),0)</f>
        <v>0</v>
      </c>
      <c r="DJ13">
        <f>IFERROR(CA13*_xlfn.XLOOKUP(DJ$7,'Product Tgt'!$B:$B,'Product Tgt'!$D:$D),0)</f>
        <v>0</v>
      </c>
      <c r="DK13">
        <f>IFERROR(CB13*_xlfn.XLOOKUP(DK$7,'Product Tgt'!$B:$B,'Product Tgt'!$D:$D),0)</f>
        <v>0</v>
      </c>
      <c r="DL13">
        <f>IFERROR(CC13*_xlfn.XLOOKUP(DL$7,'Product Tgt'!$B:$B,'Product Tgt'!$D:$D),0)</f>
        <v>0</v>
      </c>
      <c r="DM13">
        <f>IFERROR(CD13*_xlfn.XLOOKUP(DM$7,'Product Tgt'!$B:$B,'Product Tgt'!$D:$D),0)</f>
        <v>0</v>
      </c>
      <c r="DN13">
        <f>IFERROR(CE13*_xlfn.XLOOKUP(DN$7,'Product Tgt'!$B:$B,'Product Tgt'!$D:$D),0)</f>
        <v>0</v>
      </c>
      <c r="DO13">
        <f>IFERROR(CF13*_xlfn.XLOOKUP(DO$7,'Product Tgt'!$B:$B,'Product Tgt'!$D:$D),0)</f>
        <v>0</v>
      </c>
      <c r="DP13">
        <f>IFERROR(CG13*_xlfn.XLOOKUP(DP$7,'Product Tgt'!$B:$B,'Product Tgt'!$D:$D),0)</f>
        <v>0</v>
      </c>
      <c r="DQ13">
        <f>IFERROR(CH13*_xlfn.XLOOKUP(DQ$7,'Product Tgt'!$B:$B,'Product Tgt'!$D:$D),0)</f>
        <v>0</v>
      </c>
      <c r="DR13">
        <f>IFERROR(CI13*_xlfn.XLOOKUP(DR$7,'Product Tgt'!$B:$B,'Product Tgt'!$D:$D),0)</f>
        <v>0</v>
      </c>
      <c r="DS13">
        <f>IFERROR(CJ13*_xlfn.XLOOKUP(DS$7,'Product Tgt'!$B:$B,'Product Tgt'!$D:$D),0)</f>
        <v>0</v>
      </c>
      <c r="DT13">
        <f>IFERROR(CK13*_xlfn.XLOOKUP(DT$7,'Product Tgt'!$B:$B,'Product Tgt'!$D:$D),0)</f>
        <v>0</v>
      </c>
      <c r="DU13">
        <f>IFERROR(CL13*_xlfn.XLOOKUP(DU$7,'Product Tgt'!$B:$B,'Product Tgt'!$D:$D),0)</f>
        <v>0</v>
      </c>
      <c r="DV13">
        <f>IFERROR(CM13*_xlfn.XLOOKUP(DV$7,'Product Tgt'!$B:$B,'Product Tgt'!$D:$D),0)</f>
        <v>0</v>
      </c>
      <c r="DW13">
        <f>IFERROR(CN13*_xlfn.XLOOKUP(DW$7,'Product Tgt'!$B:$B,'Product Tgt'!$D:$D),0)</f>
        <v>0</v>
      </c>
      <c r="DX13">
        <f>IFERROR(CO13*_xlfn.XLOOKUP(DX$7,'Product Tgt'!$B:$B,'Product Tgt'!$D:$D),0)</f>
        <v>0</v>
      </c>
      <c r="DY13">
        <f>IFERROR(CP13*_xlfn.XLOOKUP(DY$7,'Product Tgt'!$B:$B,'Product Tgt'!$D:$D),0)</f>
        <v>0</v>
      </c>
      <c r="DZ13">
        <f>IFERROR(CQ13*_xlfn.XLOOKUP(DZ$7,'Product Tgt'!$B:$B,'Product Tgt'!$D:$D),0)</f>
        <v>0</v>
      </c>
      <c r="EA13">
        <f>IFERROR(CR13*_xlfn.XLOOKUP(EA$7,'Product Tgt'!$B:$B,'Product Tgt'!$D:$D),0)</f>
        <v>0</v>
      </c>
      <c r="EB13">
        <f>IFERROR(CS13*_xlfn.XLOOKUP(EB$7,'Product Tgt'!$B:$B,'Product Tgt'!$D:$D),0)</f>
        <v>0</v>
      </c>
      <c r="EC13">
        <f>IFERROR(CT13*_xlfn.XLOOKUP(EC$7,'Product Tgt'!$B:$B,'Product Tgt'!$D:$D),0)</f>
        <v>0</v>
      </c>
      <c r="ED13">
        <f>IFERROR(CU13*_xlfn.XLOOKUP(ED$7,'Product Tgt'!$B:$B,'Product Tgt'!$D:$D),0)</f>
        <v>0</v>
      </c>
      <c r="EE13">
        <f>IFERROR(CV13*_xlfn.XLOOKUP(EE$7,'Product Tgt'!$B:$B,'Product Tgt'!$D:$D),0)</f>
        <v>0</v>
      </c>
      <c r="EF13">
        <f>IFERROR(CW13*_xlfn.XLOOKUP(EF$7,'Product Tgt'!$B:$B,'Product Tgt'!$D:$D),0)</f>
        <v>0</v>
      </c>
      <c r="EG13">
        <f>IFERROR(CX13*_xlfn.XLOOKUP(EG$7,'Product Tgt'!$B:$B,'Product Tgt'!$D:$D),0)</f>
        <v>0</v>
      </c>
      <c r="EH13">
        <f>IFERROR(CY13*_xlfn.XLOOKUP(EH$7,'Product Tgt'!$B:$B,'Product Tgt'!$D:$D),0)</f>
        <v>0</v>
      </c>
      <c r="EI13">
        <f>IFERROR(CZ13*_xlfn.XLOOKUP(EI$7,'Product Tgt'!$B:$B,'Product Tgt'!$D:$D),0)</f>
        <v>0</v>
      </c>
    </row>
    <row r="14" spans="1:139" x14ac:dyDescent="0.35">
      <c r="B14" s="7" t="s">
        <v>135</v>
      </c>
      <c r="C14" s="3">
        <f>_xlfn.XLOOKUP($B14,'Terr Target'!$A:$A,'Terr Target'!$E:$E)</f>
        <v>127483.42000000001</v>
      </c>
      <c r="D14" s="3">
        <f t="shared" si="3"/>
        <v>127484</v>
      </c>
      <c r="E14" s="4">
        <f t="shared" si="4"/>
        <v>0.57999999998719431</v>
      </c>
      <c r="F14" s="9">
        <f t="shared" si="5"/>
        <v>4.5495905367512344E-6</v>
      </c>
      <c r="G14" s="5">
        <f t="shared" si="6"/>
        <v>0.99999545040946325</v>
      </c>
      <c r="H14" s="38">
        <v>9850.1174175651922</v>
      </c>
      <c r="I14" s="11">
        <v>17880.150758269487</v>
      </c>
      <c r="J14" s="11">
        <v>10012.322647385894</v>
      </c>
      <c r="K14" s="11">
        <v>10389.815756896091</v>
      </c>
      <c r="L14" s="11">
        <v>9190.9937156001797</v>
      </c>
      <c r="M14" s="11">
        <v>6461.3604803445551</v>
      </c>
      <c r="N14" s="11">
        <v>253.32973879074663</v>
      </c>
      <c r="O14" s="11">
        <v>1126.7343612324839</v>
      </c>
      <c r="P14" s="11">
        <v>262.87995195603793</v>
      </c>
      <c r="Q14" s="11">
        <v>0</v>
      </c>
      <c r="R14" s="11">
        <v>3911.0719806679858</v>
      </c>
      <c r="S14" s="11">
        <v>6392.4738706206617</v>
      </c>
      <c r="T14" s="11">
        <v>0</v>
      </c>
      <c r="U14" s="11">
        <v>1734.0791605199731</v>
      </c>
      <c r="V14" s="11">
        <v>8136.2516382951753</v>
      </c>
      <c r="W14" s="11">
        <v>5500.1172158375912</v>
      </c>
      <c r="X14" s="11">
        <v>1189.2718281306181</v>
      </c>
      <c r="Y14" s="11">
        <v>1159.5930302806562</v>
      </c>
      <c r="Z14" s="11">
        <v>217.30179811502495</v>
      </c>
      <c r="AA14" s="11">
        <v>2271.4879925881592</v>
      </c>
      <c r="AB14" s="11">
        <v>697.44114990344519</v>
      </c>
      <c r="AC14" s="11">
        <v>2298.0081183812322</v>
      </c>
      <c r="AD14" s="11">
        <v>10552.89015151097</v>
      </c>
      <c r="AE14" s="11">
        <v>11306.562023769433</v>
      </c>
      <c r="AF14" s="11">
        <v>431.38132674919694</v>
      </c>
      <c r="AG14" s="11">
        <v>4031.0167222644745</v>
      </c>
      <c r="AH14" s="11">
        <v>480.14995135908083</v>
      </c>
      <c r="AI14" s="11">
        <v>2139.0145584707216</v>
      </c>
      <c r="AJ14" s="11">
        <v>4854.6139621715802</v>
      </c>
      <c r="AK14" s="11">
        <v>1028.2537502239138</v>
      </c>
      <c r="AL14" s="49">
        <v>1368.2667778778705</v>
      </c>
      <c r="AM14" s="41">
        <f>IFERROR(ROUND(_xlfn.XLOOKUP(AM$7,'Product Tgt'!$B:$B,'Product Tgt'!$G:$G)*H14/H$121,0),0)</f>
        <v>9576</v>
      </c>
      <c r="AN14" s="41">
        <f>IFERROR(ROUND(_xlfn.XLOOKUP(AN$7,'Product Tgt'!$B:$B,'Product Tgt'!$G:$G)*I14/I$121,0),0)</f>
        <v>17601</v>
      </c>
      <c r="AO14" s="41">
        <f>IFERROR(ROUND(_xlfn.XLOOKUP(AO$7,'Product Tgt'!$B:$B,'Product Tgt'!$G:$G)*J14/J$121,0),0)</f>
        <v>9701</v>
      </c>
      <c r="AP14" s="41">
        <f>IFERROR(ROUND(_xlfn.XLOOKUP(AP$7,'Product Tgt'!$B:$B,'Product Tgt'!$G:$G)*K14/K$121,0),0)</f>
        <v>10136</v>
      </c>
      <c r="AQ14" s="41">
        <f>IFERROR(ROUND(_xlfn.XLOOKUP(AQ$7,'Product Tgt'!$B:$B,'Product Tgt'!$G:$G)*L14/L$121,0),0)</f>
        <v>8887</v>
      </c>
      <c r="AR14" s="41">
        <f>IFERROR(ROUND(_xlfn.XLOOKUP(AR$7,'Product Tgt'!$B:$B,'Product Tgt'!$G:$G)*M14/M$121,0),0)</f>
        <v>6260</v>
      </c>
      <c r="AS14" s="41">
        <f>IFERROR(ROUND(_xlfn.XLOOKUP(AS$7,'Product Tgt'!$B:$B,'Product Tgt'!$G:$G)*N14/N$121,0),0)</f>
        <v>234</v>
      </c>
      <c r="AT14" s="41">
        <f>IFERROR(ROUND(_xlfn.XLOOKUP(AT$7,'Product Tgt'!$B:$B,'Product Tgt'!$G:$G)*O14/O$121,0),0)</f>
        <v>1014</v>
      </c>
      <c r="AU14" s="41">
        <f>IFERROR(ROUND(_xlfn.XLOOKUP(AU$7,'Product Tgt'!$B:$B,'Product Tgt'!$G:$G)*P14/P$121,0),0)</f>
        <v>112</v>
      </c>
      <c r="AV14" s="41">
        <f>IFERROR(ROUND(_xlfn.XLOOKUP(AV$7,'Product Tgt'!$B:$B,'Product Tgt'!$G:$G)*Q14/Q$121,0),0)</f>
        <v>0</v>
      </c>
      <c r="AW14" s="41">
        <f>IFERROR(ROUND(_xlfn.XLOOKUP(AW$7,'Product Tgt'!$B:$B,'Product Tgt'!$G:$G)*R14/R$121,0),0)</f>
        <v>3767</v>
      </c>
      <c r="AX14" s="41">
        <f>IFERROR(ROUND(_xlfn.XLOOKUP(AX$7,'Product Tgt'!$B:$B,'Product Tgt'!$G:$G)*S14/S$121,0),0)</f>
        <v>6157</v>
      </c>
      <c r="AY14" s="41">
        <f>IFERROR(ROUND(_xlfn.XLOOKUP(AY$7,'Product Tgt'!$B:$B,'Product Tgt'!$G:$G)*T14/T$121,0),0)</f>
        <v>0</v>
      </c>
      <c r="AZ14" s="41">
        <f>IFERROR(ROUND(_xlfn.XLOOKUP(AZ$7,'Product Tgt'!$B:$B,'Product Tgt'!$G:$G)*U14/U$121,0),0)</f>
        <v>1660</v>
      </c>
      <c r="BA14" s="41">
        <f>IFERROR(ROUND(_xlfn.XLOOKUP(BA$7,'Product Tgt'!$B:$B,'Product Tgt'!$G:$G)*V14/V$121,0),0)</f>
        <v>7834</v>
      </c>
      <c r="BB14" s="41">
        <f>IFERROR(ROUND(_xlfn.XLOOKUP(BB$7,'Product Tgt'!$B:$B,'Product Tgt'!$G:$G)*W14/W$121,0),0)</f>
        <v>5265</v>
      </c>
      <c r="BC14" s="41">
        <f>IFERROR(ROUND(_xlfn.XLOOKUP(BC$7,'Product Tgt'!$B:$B,'Product Tgt'!$G:$G)*X14/X$121,0),0)</f>
        <v>1151</v>
      </c>
      <c r="BD14" s="41">
        <f>IFERROR(ROUND(_xlfn.XLOOKUP(BD$7,'Product Tgt'!$B:$B,'Product Tgt'!$G:$G)*Y14/Y$121,0),0)</f>
        <v>1121</v>
      </c>
      <c r="BE14" s="41">
        <f>IFERROR(ROUND(_xlfn.XLOOKUP(BE$7,'Product Tgt'!$B:$B,'Product Tgt'!$G:$G)*Z14/Z$121,0),0)</f>
        <v>207</v>
      </c>
      <c r="BF14" s="41">
        <f>IFERROR(ROUND(_xlfn.XLOOKUP(BF$7,'Product Tgt'!$B:$B,'Product Tgt'!$G:$G)*AA14/AA$121,0),0)</f>
        <v>1841</v>
      </c>
      <c r="BG14" s="41">
        <f>IFERROR(ROUND(_xlfn.XLOOKUP(BG$7,'Product Tgt'!$B:$B,'Product Tgt'!$G:$G)*AB14/AB$121,0),0)</f>
        <v>559</v>
      </c>
      <c r="BH14" s="41">
        <f>IFERROR(ROUND(_xlfn.XLOOKUP(BH$7,'Product Tgt'!$B:$B,'Product Tgt'!$G:$G)*AC14/AC$121,0),0)</f>
        <v>1967</v>
      </c>
      <c r="BI14" s="41">
        <f>IFERROR(ROUND(_xlfn.XLOOKUP(BI$7,'Product Tgt'!$B:$B,'Product Tgt'!$G:$G)*AD14/AD$121,0),0)</f>
        <v>9187</v>
      </c>
      <c r="BJ14" s="41">
        <f>IFERROR(ROUND(_xlfn.XLOOKUP(BJ$7,'Product Tgt'!$B:$B,'Product Tgt'!$G:$G)*AE14/AE$121,0),0)</f>
        <v>10523</v>
      </c>
      <c r="BK14" s="41">
        <f>IFERROR(ROUND(_xlfn.XLOOKUP(BK$7,'Product Tgt'!$B:$B,'Product Tgt'!$G:$G)*AF14/AF$121,0),0)</f>
        <v>482</v>
      </c>
      <c r="BL14" s="41">
        <f>IFERROR(ROUND(_xlfn.XLOOKUP(BL$7,'Product Tgt'!$B:$B,'Product Tgt'!$G:$G)*AG14/AG$121,0),0)</f>
        <v>3850</v>
      </c>
      <c r="BM14" s="41">
        <f>IFERROR(ROUND(_xlfn.XLOOKUP(BM$7,'Product Tgt'!$B:$B,'Product Tgt'!$G:$G)*AH14/AH$121,0),0)</f>
        <v>376</v>
      </c>
      <c r="BN14" s="41">
        <f>IFERROR(ROUND(_xlfn.XLOOKUP(BN$7,'Product Tgt'!$B:$B,'Product Tgt'!$G:$G)*AI14/AI$121,0),0)</f>
        <v>1964</v>
      </c>
      <c r="BO14" s="41">
        <f>IFERROR(ROUND(_xlfn.XLOOKUP(BO$7,'Product Tgt'!$B:$B,'Product Tgt'!$G:$G)*AJ14/AJ$121,0),0)</f>
        <v>4199</v>
      </c>
      <c r="BP14" s="41">
        <f>IFERROR(ROUND(_xlfn.XLOOKUP(BP$7,'Product Tgt'!$B:$B,'Product Tgt'!$G:$G)*AK14/AK$121,0),0)</f>
        <v>783</v>
      </c>
      <c r="BQ14" s="41">
        <f>IFERROR(ROUND(_xlfn.XLOOKUP(BQ$7,'Product Tgt'!$B:$B,'Product Tgt'!$G:$G)*AL14/AL$121,0),0)</f>
        <v>1070</v>
      </c>
      <c r="BR14" s="25">
        <f>ROUND(IFERROR(AM14/_xlfn.XLOOKUP(BR$7,'Product Tgt'!$B:$B,'Product Tgt'!$D:$D),0),0)</f>
        <v>0</v>
      </c>
      <c r="BS14" s="11">
        <f>ROUND(IFERROR(AN14/_xlfn.XLOOKUP(BS$7,'Product Tgt'!$B:$B,'Product Tgt'!$D:$D),0),0)</f>
        <v>0</v>
      </c>
      <c r="BT14" s="11">
        <f>ROUND(IFERROR(AO14/_xlfn.XLOOKUP(BT$7,'Product Tgt'!$B:$B,'Product Tgt'!$D:$D),0),0)</f>
        <v>0</v>
      </c>
      <c r="BU14" s="11">
        <f>ROUND(IFERROR(AP14/_xlfn.XLOOKUP(BU$7,'Product Tgt'!$B:$B,'Product Tgt'!$D:$D),0),0)</f>
        <v>0</v>
      </c>
      <c r="BV14" s="11">
        <f>ROUND(IFERROR(AQ14/_xlfn.XLOOKUP(BV$7,'Product Tgt'!$B:$B,'Product Tgt'!$D:$D),0),0)</f>
        <v>0</v>
      </c>
      <c r="BW14" s="11">
        <f>ROUND(IFERROR(AU14/_xlfn.XLOOKUP(BW$7,'Product Tgt'!$B:$B,'Product Tgt'!$D:$D),0),0)</f>
        <v>0</v>
      </c>
      <c r="BX14" s="11">
        <f>ROUND(IFERROR(#REF!/_xlfn.XLOOKUP(BX$7,'Product Tgt'!$B:$B,'Product Tgt'!$D:$D),0),0)</f>
        <v>0</v>
      </c>
      <c r="BY14" s="11">
        <f>ROUND(IFERROR(#REF!/_xlfn.XLOOKUP(BY$7,'Product Tgt'!$B:$B,'Product Tgt'!$D:$D),0),0)</f>
        <v>0</v>
      </c>
      <c r="BZ14" s="11">
        <f>ROUND(IFERROR(#REF!/_xlfn.XLOOKUP(BZ$7,'Product Tgt'!$B:$B,'Product Tgt'!$D:$D),0),0)</f>
        <v>0</v>
      </c>
      <c r="CA14" s="11">
        <f>ROUND(IFERROR(#REF!/_xlfn.XLOOKUP(CA$7,'Product Tgt'!$B:$B,'Product Tgt'!$D:$D),0),0)</f>
        <v>0</v>
      </c>
      <c r="CB14" s="11">
        <f>ROUND(IFERROR(AV14/_xlfn.XLOOKUP(CB$7,'Product Tgt'!$B:$B,'Product Tgt'!$D:$D),0),0)</f>
        <v>0</v>
      </c>
      <c r="CC14" s="11">
        <f>ROUND(IFERROR(AW14/_xlfn.XLOOKUP(CC$7,'Product Tgt'!$B:$B,'Product Tgt'!$D:$D),0),0)</f>
        <v>0</v>
      </c>
      <c r="CD14" s="11">
        <f>ROUND(IFERROR(AX14/_xlfn.XLOOKUP(CD$7,'Product Tgt'!$B:$B,'Product Tgt'!$D:$D),0),0)</f>
        <v>0</v>
      </c>
      <c r="CE14" s="11">
        <f>ROUND(IFERROR(AY14/_xlfn.XLOOKUP(CE$7,'Product Tgt'!$B:$B,'Product Tgt'!$D:$D),0),0)</f>
        <v>0</v>
      </c>
      <c r="CF14" s="11">
        <f>ROUND(IFERROR(AZ14/_xlfn.XLOOKUP(CF$7,'Product Tgt'!$B:$B,'Product Tgt'!$D:$D),0),0)</f>
        <v>0</v>
      </c>
      <c r="CG14" s="11">
        <f>ROUND(IFERROR(BA14/_xlfn.XLOOKUP(CG$7,'Product Tgt'!$B:$B,'Product Tgt'!$D:$D),0),0)</f>
        <v>0</v>
      </c>
      <c r="CH14" s="11">
        <f>ROUND(IFERROR(BB14/_xlfn.XLOOKUP(CH$7,'Product Tgt'!$B:$B,'Product Tgt'!$D:$D),0),0)</f>
        <v>0</v>
      </c>
      <c r="CI14" s="11">
        <f>ROUND(IFERROR(BC14/_xlfn.XLOOKUP(CI$7,'Product Tgt'!$B:$B,'Product Tgt'!$D:$D),0),0)</f>
        <v>0</v>
      </c>
      <c r="CJ14" s="11">
        <f>ROUND(IFERROR(BD14/_xlfn.XLOOKUP(CJ$7,'Product Tgt'!$B:$B,'Product Tgt'!$D:$D),0),0)</f>
        <v>0</v>
      </c>
      <c r="CK14" s="11">
        <f>ROUND(IFERROR(BE14/_xlfn.XLOOKUP(CK$7,'Product Tgt'!$B:$B,'Product Tgt'!$D:$D),0),0)</f>
        <v>0</v>
      </c>
      <c r="CL14" s="11">
        <f>ROUND(IFERROR(BF14/_xlfn.XLOOKUP(CL$7,'Product Tgt'!$B:$B,'Product Tgt'!$D:$D),0),0)</f>
        <v>0</v>
      </c>
      <c r="CM14" s="11">
        <f>ROUND(IFERROR(BG14/_xlfn.XLOOKUP(CM$7,'Product Tgt'!$B:$B,'Product Tgt'!$D:$D),0),0)</f>
        <v>0</v>
      </c>
      <c r="CN14" s="11">
        <f>ROUND(IFERROR(BH14/_xlfn.XLOOKUP(CN$7,'Product Tgt'!$B:$B,'Product Tgt'!$D:$D),0),0)</f>
        <v>0</v>
      </c>
      <c r="CO14" s="11">
        <f>ROUND(IFERROR(BI14/_xlfn.XLOOKUP(CO$7,'Product Tgt'!$B:$B,'Product Tgt'!$D:$D),0),0)</f>
        <v>0</v>
      </c>
      <c r="CP14" s="11">
        <f>ROUND(IFERROR(BJ14/_xlfn.XLOOKUP(CP$7,'Product Tgt'!$B:$B,'Product Tgt'!$D:$D),0),0)</f>
        <v>0</v>
      </c>
      <c r="CQ14" s="11">
        <f>ROUND(IFERROR(BK14/_xlfn.XLOOKUP(CQ$7,'Product Tgt'!$B:$B,'Product Tgt'!$D:$D),0),0)</f>
        <v>0</v>
      </c>
      <c r="CR14" s="11">
        <f>ROUND(IFERROR(BL14/_xlfn.XLOOKUP(CR$7,'Product Tgt'!$B:$B,'Product Tgt'!$D:$D),0),0)</f>
        <v>0</v>
      </c>
      <c r="CS14" s="11">
        <f>ROUND(IFERROR(BM14/_xlfn.XLOOKUP(CS$7,'Product Tgt'!$B:$B,'Product Tgt'!$D:$D),0),0)</f>
        <v>0</v>
      </c>
      <c r="CT14" s="11">
        <f>ROUND(IFERROR(BN14/_xlfn.XLOOKUP(CT$7,'Product Tgt'!$B:$B,'Product Tgt'!$D:$D),0),0)</f>
        <v>0</v>
      </c>
      <c r="CU14" s="11">
        <f>ROUND(IFERROR(BO14/_xlfn.XLOOKUP(CU$7,'Product Tgt'!$B:$B,'Product Tgt'!$D:$D),0),0)</f>
        <v>0</v>
      </c>
      <c r="CV14" s="11">
        <f>ROUND(IFERROR(BP14/_xlfn.XLOOKUP(CV$7,'Product Tgt'!$B:$B,'Product Tgt'!$D:$D),0),0)</f>
        <v>0</v>
      </c>
      <c r="CW14" s="11">
        <f>ROUND(IFERROR(BQ14/_xlfn.XLOOKUP(CW$7,'Product Tgt'!$B:$B,'Product Tgt'!$D:$D),0),0)</f>
        <v>0</v>
      </c>
      <c r="CX14" s="11">
        <f>ROUND(IFERROR(#REF!/_xlfn.XLOOKUP(CX$7,'Product Tgt'!$B:$B,'Product Tgt'!$D:$D),0),0)</f>
        <v>0</v>
      </c>
      <c r="CY14" s="11">
        <f>ROUND(IFERROR(#REF!/_xlfn.XLOOKUP(CY$7,'Product Tgt'!$B:$B,'Product Tgt'!$D:$D),0),0)</f>
        <v>0</v>
      </c>
      <c r="CZ14" s="11">
        <f>ROUND(IFERROR(#REF!/_xlfn.XLOOKUP(CZ$7,'Product Tgt'!$B:$B,'Product Tgt'!$D:$D),0),0)</f>
        <v>0</v>
      </c>
      <c r="DA14" s="10">
        <f>IFERROR(BR14*_xlfn.XLOOKUP(DA$7,'Product Tgt'!$B:$B,'Product Tgt'!$D:$D),0)</f>
        <v>0</v>
      </c>
      <c r="DB14">
        <f>IFERROR(BS14*_xlfn.XLOOKUP(DB$7,'Product Tgt'!$B:$B,'Product Tgt'!$D:$D),0)</f>
        <v>0</v>
      </c>
      <c r="DC14">
        <f>IFERROR(BT14*_xlfn.XLOOKUP(DC$7,'Product Tgt'!$B:$B,'Product Tgt'!$D:$D),0)</f>
        <v>0</v>
      </c>
      <c r="DD14">
        <f>IFERROR(BU14*_xlfn.XLOOKUP(DD$7,'Product Tgt'!$B:$B,'Product Tgt'!$D:$D),0)</f>
        <v>0</v>
      </c>
      <c r="DE14">
        <f>IFERROR(BV14*_xlfn.XLOOKUP(DE$7,'Product Tgt'!$B:$B,'Product Tgt'!$D:$D),0)</f>
        <v>0</v>
      </c>
      <c r="DF14">
        <f>IFERROR(BW14*_xlfn.XLOOKUP(DF$7,'Product Tgt'!$B:$B,'Product Tgt'!$D:$D),0)</f>
        <v>0</v>
      </c>
      <c r="DG14">
        <f>IFERROR(BX14*_xlfn.XLOOKUP(DG$7,'Product Tgt'!$B:$B,'Product Tgt'!$D:$D),0)</f>
        <v>0</v>
      </c>
      <c r="DH14">
        <f>IFERROR(BY14*_xlfn.XLOOKUP(DH$7,'Product Tgt'!$B:$B,'Product Tgt'!$D:$D),0)</f>
        <v>0</v>
      </c>
      <c r="DI14">
        <f>IFERROR(BZ14*_xlfn.XLOOKUP(DI$7,'Product Tgt'!$B:$B,'Product Tgt'!$D:$D),0)</f>
        <v>0</v>
      </c>
      <c r="DJ14">
        <f>IFERROR(CA14*_xlfn.XLOOKUP(DJ$7,'Product Tgt'!$B:$B,'Product Tgt'!$D:$D),0)</f>
        <v>0</v>
      </c>
      <c r="DK14">
        <f>IFERROR(CB14*_xlfn.XLOOKUP(DK$7,'Product Tgt'!$B:$B,'Product Tgt'!$D:$D),0)</f>
        <v>0</v>
      </c>
      <c r="DL14">
        <f>IFERROR(CC14*_xlfn.XLOOKUP(DL$7,'Product Tgt'!$B:$B,'Product Tgt'!$D:$D),0)</f>
        <v>0</v>
      </c>
      <c r="DM14">
        <f>IFERROR(CD14*_xlfn.XLOOKUP(DM$7,'Product Tgt'!$B:$B,'Product Tgt'!$D:$D),0)</f>
        <v>0</v>
      </c>
      <c r="DN14">
        <f>IFERROR(CE14*_xlfn.XLOOKUP(DN$7,'Product Tgt'!$B:$B,'Product Tgt'!$D:$D),0)</f>
        <v>0</v>
      </c>
      <c r="DO14">
        <f>IFERROR(CF14*_xlfn.XLOOKUP(DO$7,'Product Tgt'!$B:$B,'Product Tgt'!$D:$D),0)</f>
        <v>0</v>
      </c>
      <c r="DP14">
        <f>IFERROR(CG14*_xlfn.XLOOKUP(DP$7,'Product Tgt'!$B:$B,'Product Tgt'!$D:$D),0)</f>
        <v>0</v>
      </c>
      <c r="DQ14">
        <f>IFERROR(CH14*_xlfn.XLOOKUP(DQ$7,'Product Tgt'!$B:$B,'Product Tgt'!$D:$D),0)</f>
        <v>0</v>
      </c>
      <c r="DR14">
        <f>IFERROR(CI14*_xlfn.XLOOKUP(DR$7,'Product Tgt'!$B:$B,'Product Tgt'!$D:$D),0)</f>
        <v>0</v>
      </c>
      <c r="DS14">
        <f>IFERROR(CJ14*_xlfn.XLOOKUP(DS$7,'Product Tgt'!$B:$B,'Product Tgt'!$D:$D),0)</f>
        <v>0</v>
      </c>
      <c r="DT14">
        <f>IFERROR(CK14*_xlfn.XLOOKUP(DT$7,'Product Tgt'!$B:$B,'Product Tgt'!$D:$D),0)</f>
        <v>0</v>
      </c>
      <c r="DU14">
        <f>IFERROR(CL14*_xlfn.XLOOKUP(DU$7,'Product Tgt'!$B:$B,'Product Tgt'!$D:$D),0)</f>
        <v>0</v>
      </c>
      <c r="DV14">
        <f>IFERROR(CM14*_xlfn.XLOOKUP(DV$7,'Product Tgt'!$B:$B,'Product Tgt'!$D:$D),0)</f>
        <v>0</v>
      </c>
      <c r="DW14">
        <f>IFERROR(CN14*_xlfn.XLOOKUP(DW$7,'Product Tgt'!$B:$B,'Product Tgt'!$D:$D),0)</f>
        <v>0</v>
      </c>
      <c r="DX14">
        <f>IFERROR(CO14*_xlfn.XLOOKUP(DX$7,'Product Tgt'!$B:$B,'Product Tgt'!$D:$D),0)</f>
        <v>0</v>
      </c>
      <c r="DY14">
        <f>IFERROR(CP14*_xlfn.XLOOKUP(DY$7,'Product Tgt'!$B:$B,'Product Tgt'!$D:$D),0)</f>
        <v>0</v>
      </c>
      <c r="DZ14">
        <f>IFERROR(CQ14*_xlfn.XLOOKUP(DZ$7,'Product Tgt'!$B:$B,'Product Tgt'!$D:$D),0)</f>
        <v>0</v>
      </c>
      <c r="EA14">
        <f>IFERROR(CR14*_xlfn.XLOOKUP(EA$7,'Product Tgt'!$B:$B,'Product Tgt'!$D:$D),0)</f>
        <v>0</v>
      </c>
      <c r="EB14">
        <f>IFERROR(CS14*_xlfn.XLOOKUP(EB$7,'Product Tgt'!$B:$B,'Product Tgt'!$D:$D),0)</f>
        <v>0</v>
      </c>
      <c r="EC14">
        <f>IFERROR(CT14*_xlfn.XLOOKUP(EC$7,'Product Tgt'!$B:$B,'Product Tgt'!$D:$D),0)</f>
        <v>0</v>
      </c>
      <c r="ED14">
        <f>IFERROR(CU14*_xlfn.XLOOKUP(ED$7,'Product Tgt'!$B:$B,'Product Tgt'!$D:$D),0)</f>
        <v>0</v>
      </c>
      <c r="EE14">
        <f>IFERROR(CV14*_xlfn.XLOOKUP(EE$7,'Product Tgt'!$B:$B,'Product Tgt'!$D:$D),0)</f>
        <v>0</v>
      </c>
      <c r="EF14">
        <f>IFERROR(CW14*_xlfn.XLOOKUP(EF$7,'Product Tgt'!$B:$B,'Product Tgt'!$D:$D),0)</f>
        <v>0</v>
      </c>
      <c r="EG14">
        <f>IFERROR(CX14*_xlfn.XLOOKUP(EG$7,'Product Tgt'!$B:$B,'Product Tgt'!$D:$D),0)</f>
        <v>0</v>
      </c>
      <c r="EH14">
        <f>IFERROR(CY14*_xlfn.XLOOKUP(EH$7,'Product Tgt'!$B:$B,'Product Tgt'!$D:$D),0)</f>
        <v>0</v>
      </c>
      <c r="EI14">
        <f>IFERROR(CZ14*_xlfn.XLOOKUP(EI$7,'Product Tgt'!$B:$B,'Product Tgt'!$D:$D),0)</f>
        <v>0</v>
      </c>
    </row>
    <row r="15" spans="1:139" x14ac:dyDescent="0.35">
      <c r="B15" s="7" t="s">
        <v>136</v>
      </c>
      <c r="C15" s="3">
        <f>_xlfn.XLOOKUP($B15,'Terr Target'!$A:$A,'Terr Target'!$E:$E)</f>
        <v>200671.51966181296</v>
      </c>
      <c r="D15" s="3">
        <f t="shared" si="3"/>
        <v>200663</v>
      </c>
      <c r="E15" s="4">
        <f t="shared" si="4"/>
        <v>-8.5196618129557464</v>
      </c>
      <c r="F15" s="9">
        <f t="shared" si="5"/>
        <v>4.2457562245933463E-5</v>
      </c>
      <c r="G15" s="5">
        <f t="shared" si="6"/>
        <v>1.000042457562246</v>
      </c>
      <c r="H15" s="38">
        <v>15820.847400050199</v>
      </c>
      <c r="I15" s="11">
        <v>27715.626688170723</v>
      </c>
      <c r="J15" s="11">
        <v>14916.236686540527</v>
      </c>
      <c r="K15" s="11">
        <v>16489.316256595652</v>
      </c>
      <c r="L15" s="11">
        <v>11570.66796873187</v>
      </c>
      <c r="M15" s="11">
        <v>9040.3456053274695</v>
      </c>
      <c r="N15" s="11">
        <v>212.26688623613776</v>
      </c>
      <c r="O15" s="11">
        <v>1171.5110530842078</v>
      </c>
      <c r="P15" s="11">
        <v>2283.3852190830248</v>
      </c>
      <c r="Q15" s="11">
        <v>1719.4123182475339</v>
      </c>
      <c r="R15" s="11">
        <v>5553.5486525430351</v>
      </c>
      <c r="S15" s="11">
        <v>8018.4624911458122</v>
      </c>
      <c r="T15" s="11">
        <v>0</v>
      </c>
      <c r="U15" s="11">
        <v>1235.2012269020129</v>
      </c>
      <c r="V15" s="11">
        <v>13842.853582579197</v>
      </c>
      <c r="W15" s="11">
        <v>9042.559245712504</v>
      </c>
      <c r="X15" s="11">
        <v>2930.3039327020274</v>
      </c>
      <c r="Y15" s="11">
        <v>2871.6576244190715</v>
      </c>
      <c r="Z15" s="11">
        <v>0</v>
      </c>
      <c r="AA15" s="11">
        <v>3074.8475742818737</v>
      </c>
      <c r="AB15" s="11">
        <v>1182.6297947441963</v>
      </c>
      <c r="AC15" s="11">
        <v>2954.5933292556197</v>
      </c>
      <c r="AD15" s="11">
        <v>12011.222837141493</v>
      </c>
      <c r="AE15" s="11">
        <v>18365.128838211367</v>
      </c>
      <c r="AF15" s="11">
        <v>6235.3802149744015</v>
      </c>
      <c r="AG15" s="11">
        <v>7133.1377404427367</v>
      </c>
      <c r="AH15" s="11">
        <v>544.81834133942016</v>
      </c>
      <c r="AI15" s="11">
        <v>3942.1195317079146</v>
      </c>
      <c r="AJ15" s="11">
        <v>10204.932714741595</v>
      </c>
      <c r="AK15" s="11">
        <v>1182.7409821607957</v>
      </c>
      <c r="AL15" s="49">
        <v>1383.6263201158911</v>
      </c>
      <c r="AM15" s="41">
        <f>IFERROR(ROUND(_xlfn.XLOOKUP(AM$7,'Product Tgt'!$B:$B,'Product Tgt'!$G:$G)*H15/H$121,0),0)</f>
        <v>15380</v>
      </c>
      <c r="AN15" s="41">
        <f>IFERROR(ROUND(_xlfn.XLOOKUP(AN$7,'Product Tgt'!$B:$B,'Product Tgt'!$G:$G)*I15/I$121,0),0)</f>
        <v>27283</v>
      </c>
      <c r="AO15" s="41">
        <f>IFERROR(ROUND(_xlfn.XLOOKUP(AO$7,'Product Tgt'!$B:$B,'Product Tgt'!$G:$G)*J15/J$121,0),0)</f>
        <v>14452</v>
      </c>
      <c r="AP15" s="41">
        <f>IFERROR(ROUND(_xlfn.XLOOKUP(AP$7,'Product Tgt'!$B:$B,'Product Tgt'!$G:$G)*K15/K$121,0),0)</f>
        <v>16086</v>
      </c>
      <c r="AQ15" s="41">
        <f>IFERROR(ROUND(_xlfn.XLOOKUP(AQ$7,'Product Tgt'!$B:$B,'Product Tgt'!$G:$G)*L15/L$121,0),0)</f>
        <v>11188</v>
      </c>
      <c r="AR15" s="41">
        <f>IFERROR(ROUND(_xlfn.XLOOKUP(AR$7,'Product Tgt'!$B:$B,'Product Tgt'!$G:$G)*M15/M$121,0),0)</f>
        <v>8758</v>
      </c>
      <c r="AS15" s="41">
        <f>IFERROR(ROUND(_xlfn.XLOOKUP(AS$7,'Product Tgt'!$B:$B,'Product Tgt'!$G:$G)*N15/N$121,0),0)</f>
        <v>196</v>
      </c>
      <c r="AT15" s="41">
        <f>IFERROR(ROUND(_xlfn.XLOOKUP(AT$7,'Product Tgt'!$B:$B,'Product Tgt'!$G:$G)*O15/O$121,0),0)</f>
        <v>1054</v>
      </c>
      <c r="AU15" s="41">
        <f>IFERROR(ROUND(_xlfn.XLOOKUP(AU$7,'Product Tgt'!$B:$B,'Product Tgt'!$G:$G)*P15/P$121,0),0)</f>
        <v>974</v>
      </c>
      <c r="AV15" s="41">
        <f>IFERROR(ROUND(_xlfn.XLOOKUP(AV$7,'Product Tgt'!$B:$B,'Product Tgt'!$G:$G)*Q15/Q$121,0),0)</f>
        <v>1290</v>
      </c>
      <c r="AW15" s="41">
        <f>IFERROR(ROUND(_xlfn.XLOOKUP(AW$7,'Product Tgt'!$B:$B,'Product Tgt'!$G:$G)*R15/R$121,0),0)</f>
        <v>5348</v>
      </c>
      <c r="AX15" s="41">
        <f>IFERROR(ROUND(_xlfn.XLOOKUP(AX$7,'Product Tgt'!$B:$B,'Product Tgt'!$G:$G)*S15/S$121,0),0)</f>
        <v>7723</v>
      </c>
      <c r="AY15" s="41">
        <f>IFERROR(ROUND(_xlfn.XLOOKUP(AY$7,'Product Tgt'!$B:$B,'Product Tgt'!$G:$G)*T15/T$121,0),0)</f>
        <v>0</v>
      </c>
      <c r="AZ15" s="41">
        <f>IFERROR(ROUND(_xlfn.XLOOKUP(AZ$7,'Product Tgt'!$B:$B,'Product Tgt'!$G:$G)*U15/U$121,0),0)</f>
        <v>1182</v>
      </c>
      <c r="BA15" s="41">
        <f>IFERROR(ROUND(_xlfn.XLOOKUP(BA$7,'Product Tgt'!$B:$B,'Product Tgt'!$G:$G)*V15/V$121,0),0)</f>
        <v>13328</v>
      </c>
      <c r="BB15" s="41">
        <f>IFERROR(ROUND(_xlfn.XLOOKUP(BB$7,'Product Tgt'!$B:$B,'Product Tgt'!$G:$G)*W15/W$121,0),0)</f>
        <v>8656</v>
      </c>
      <c r="BC15" s="41">
        <f>IFERROR(ROUND(_xlfn.XLOOKUP(BC$7,'Product Tgt'!$B:$B,'Product Tgt'!$G:$G)*X15/X$121,0),0)</f>
        <v>2835</v>
      </c>
      <c r="BD15" s="41">
        <f>IFERROR(ROUND(_xlfn.XLOOKUP(BD$7,'Product Tgt'!$B:$B,'Product Tgt'!$G:$G)*Y15/Y$121,0),0)</f>
        <v>2777</v>
      </c>
      <c r="BE15" s="41">
        <f>IFERROR(ROUND(_xlfn.XLOOKUP(BE$7,'Product Tgt'!$B:$B,'Product Tgt'!$G:$G)*Z15/Z$121,0),0)</f>
        <v>0</v>
      </c>
      <c r="BF15" s="41">
        <f>IFERROR(ROUND(_xlfn.XLOOKUP(BF$7,'Product Tgt'!$B:$B,'Product Tgt'!$G:$G)*AA15/AA$121,0),0)</f>
        <v>2492</v>
      </c>
      <c r="BG15" s="41">
        <f>IFERROR(ROUND(_xlfn.XLOOKUP(BG$7,'Product Tgt'!$B:$B,'Product Tgt'!$G:$G)*AB15/AB$121,0),0)</f>
        <v>948</v>
      </c>
      <c r="BH15" s="41">
        <f>IFERROR(ROUND(_xlfn.XLOOKUP(BH$7,'Product Tgt'!$B:$B,'Product Tgt'!$G:$G)*AC15/AC$121,0),0)</f>
        <v>2529</v>
      </c>
      <c r="BI15" s="41">
        <f>IFERROR(ROUND(_xlfn.XLOOKUP(BI$7,'Product Tgt'!$B:$B,'Product Tgt'!$G:$G)*AD15/AD$121,0),0)</f>
        <v>10456</v>
      </c>
      <c r="BJ15" s="41">
        <f>IFERROR(ROUND(_xlfn.XLOOKUP(BJ$7,'Product Tgt'!$B:$B,'Product Tgt'!$G:$G)*AE15/AE$121,0),0)</f>
        <v>17093</v>
      </c>
      <c r="BK15" s="41">
        <f>IFERROR(ROUND(_xlfn.XLOOKUP(BK$7,'Product Tgt'!$B:$B,'Product Tgt'!$G:$G)*AF15/AF$121,0),0)</f>
        <v>6966</v>
      </c>
      <c r="BL15" s="41">
        <f>IFERROR(ROUND(_xlfn.XLOOKUP(BL$7,'Product Tgt'!$B:$B,'Product Tgt'!$G:$G)*AG15/AG$121,0),0)</f>
        <v>6813</v>
      </c>
      <c r="BM15" s="41">
        <f>IFERROR(ROUND(_xlfn.XLOOKUP(BM$7,'Product Tgt'!$B:$B,'Product Tgt'!$G:$G)*AH15/AH$121,0),0)</f>
        <v>427</v>
      </c>
      <c r="BN15" s="41">
        <f>IFERROR(ROUND(_xlfn.XLOOKUP(BN$7,'Product Tgt'!$B:$B,'Product Tgt'!$G:$G)*AI15/AI$121,0),0)</f>
        <v>3620</v>
      </c>
      <c r="BO15" s="41">
        <f>IFERROR(ROUND(_xlfn.XLOOKUP(BO$7,'Product Tgt'!$B:$B,'Product Tgt'!$G:$G)*AJ15/AJ$121,0),0)</f>
        <v>8827</v>
      </c>
      <c r="BP15" s="41">
        <f>IFERROR(ROUND(_xlfn.XLOOKUP(BP$7,'Product Tgt'!$B:$B,'Product Tgt'!$G:$G)*AK15/AK$121,0),0)</f>
        <v>900</v>
      </c>
      <c r="BQ15" s="41">
        <f>IFERROR(ROUND(_xlfn.XLOOKUP(BQ$7,'Product Tgt'!$B:$B,'Product Tgt'!$G:$G)*AL15/AL$121,0),0)</f>
        <v>1082</v>
      </c>
      <c r="BR15" s="25">
        <f>ROUND(IFERROR(AM15/_xlfn.XLOOKUP(BR$7,'Product Tgt'!$B:$B,'Product Tgt'!$D:$D),0),0)</f>
        <v>0</v>
      </c>
      <c r="BS15" s="11">
        <f>ROUND(IFERROR(AN15/_xlfn.XLOOKUP(BS$7,'Product Tgt'!$B:$B,'Product Tgt'!$D:$D),0),0)</f>
        <v>0</v>
      </c>
      <c r="BT15" s="11">
        <f>ROUND(IFERROR(AO15/_xlfn.XLOOKUP(BT$7,'Product Tgt'!$B:$B,'Product Tgt'!$D:$D),0),0)</f>
        <v>0</v>
      </c>
      <c r="BU15" s="11">
        <f>ROUND(IFERROR(AP15/_xlfn.XLOOKUP(BU$7,'Product Tgt'!$B:$B,'Product Tgt'!$D:$D),0),0)</f>
        <v>0</v>
      </c>
      <c r="BV15" s="11">
        <f>ROUND(IFERROR(AQ15/_xlfn.XLOOKUP(BV$7,'Product Tgt'!$B:$B,'Product Tgt'!$D:$D),0),0)</f>
        <v>0</v>
      </c>
      <c r="BW15" s="11">
        <f>ROUND(IFERROR(AU15/_xlfn.XLOOKUP(BW$7,'Product Tgt'!$B:$B,'Product Tgt'!$D:$D),0),0)</f>
        <v>0</v>
      </c>
      <c r="BX15" s="11">
        <f>ROUND(IFERROR(#REF!/_xlfn.XLOOKUP(BX$7,'Product Tgt'!$B:$B,'Product Tgt'!$D:$D),0),0)</f>
        <v>0</v>
      </c>
      <c r="BY15" s="11">
        <f>ROUND(IFERROR(#REF!/_xlfn.XLOOKUP(BY$7,'Product Tgt'!$B:$B,'Product Tgt'!$D:$D),0),0)</f>
        <v>0</v>
      </c>
      <c r="BZ15" s="11">
        <f>ROUND(IFERROR(#REF!/_xlfn.XLOOKUP(BZ$7,'Product Tgt'!$B:$B,'Product Tgt'!$D:$D),0),0)</f>
        <v>0</v>
      </c>
      <c r="CA15" s="11">
        <f>ROUND(IFERROR(#REF!/_xlfn.XLOOKUP(CA$7,'Product Tgt'!$B:$B,'Product Tgt'!$D:$D),0),0)</f>
        <v>0</v>
      </c>
      <c r="CB15" s="11">
        <f>ROUND(IFERROR(AV15/_xlfn.XLOOKUP(CB$7,'Product Tgt'!$B:$B,'Product Tgt'!$D:$D),0),0)</f>
        <v>0</v>
      </c>
      <c r="CC15" s="11">
        <f>ROUND(IFERROR(AW15/_xlfn.XLOOKUP(CC$7,'Product Tgt'!$B:$B,'Product Tgt'!$D:$D),0),0)</f>
        <v>0</v>
      </c>
      <c r="CD15" s="11">
        <f>ROUND(IFERROR(AX15/_xlfn.XLOOKUP(CD$7,'Product Tgt'!$B:$B,'Product Tgt'!$D:$D),0),0)</f>
        <v>0</v>
      </c>
      <c r="CE15" s="11">
        <f>ROUND(IFERROR(AY15/_xlfn.XLOOKUP(CE$7,'Product Tgt'!$B:$B,'Product Tgt'!$D:$D),0),0)</f>
        <v>0</v>
      </c>
      <c r="CF15" s="11">
        <f>ROUND(IFERROR(AZ15/_xlfn.XLOOKUP(CF$7,'Product Tgt'!$B:$B,'Product Tgt'!$D:$D),0),0)</f>
        <v>0</v>
      </c>
      <c r="CG15" s="11">
        <f>ROUND(IFERROR(BA15/_xlfn.XLOOKUP(CG$7,'Product Tgt'!$B:$B,'Product Tgt'!$D:$D),0),0)</f>
        <v>0</v>
      </c>
      <c r="CH15" s="11">
        <f>ROUND(IFERROR(BB15/_xlfn.XLOOKUP(CH$7,'Product Tgt'!$B:$B,'Product Tgt'!$D:$D),0),0)</f>
        <v>0</v>
      </c>
      <c r="CI15" s="11">
        <f>ROUND(IFERROR(BC15/_xlfn.XLOOKUP(CI$7,'Product Tgt'!$B:$B,'Product Tgt'!$D:$D),0),0)</f>
        <v>0</v>
      </c>
      <c r="CJ15" s="11">
        <f>ROUND(IFERROR(BD15/_xlfn.XLOOKUP(CJ$7,'Product Tgt'!$B:$B,'Product Tgt'!$D:$D),0),0)</f>
        <v>0</v>
      </c>
      <c r="CK15" s="11">
        <f>ROUND(IFERROR(BE15/_xlfn.XLOOKUP(CK$7,'Product Tgt'!$B:$B,'Product Tgt'!$D:$D),0),0)</f>
        <v>0</v>
      </c>
      <c r="CL15" s="11">
        <f>ROUND(IFERROR(BF15/_xlfn.XLOOKUP(CL$7,'Product Tgt'!$B:$B,'Product Tgt'!$D:$D),0),0)</f>
        <v>0</v>
      </c>
      <c r="CM15" s="11">
        <f>ROUND(IFERROR(BG15/_xlfn.XLOOKUP(CM$7,'Product Tgt'!$B:$B,'Product Tgt'!$D:$D),0),0)</f>
        <v>0</v>
      </c>
      <c r="CN15" s="11">
        <f>ROUND(IFERROR(BH15/_xlfn.XLOOKUP(CN$7,'Product Tgt'!$B:$B,'Product Tgt'!$D:$D),0),0)</f>
        <v>0</v>
      </c>
      <c r="CO15" s="11">
        <f>ROUND(IFERROR(BI15/_xlfn.XLOOKUP(CO$7,'Product Tgt'!$B:$B,'Product Tgt'!$D:$D),0),0)</f>
        <v>0</v>
      </c>
      <c r="CP15" s="11">
        <f>ROUND(IFERROR(BJ15/_xlfn.XLOOKUP(CP$7,'Product Tgt'!$B:$B,'Product Tgt'!$D:$D),0),0)</f>
        <v>0</v>
      </c>
      <c r="CQ15" s="11">
        <f>ROUND(IFERROR(BK15/_xlfn.XLOOKUP(CQ$7,'Product Tgt'!$B:$B,'Product Tgt'!$D:$D),0),0)</f>
        <v>0</v>
      </c>
      <c r="CR15" s="11">
        <f>ROUND(IFERROR(BL15/_xlfn.XLOOKUP(CR$7,'Product Tgt'!$B:$B,'Product Tgt'!$D:$D),0),0)</f>
        <v>0</v>
      </c>
      <c r="CS15" s="11">
        <f>ROUND(IFERROR(BM15/_xlfn.XLOOKUP(CS$7,'Product Tgt'!$B:$B,'Product Tgt'!$D:$D),0),0)</f>
        <v>0</v>
      </c>
      <c r="CT15" s="11">
        <f>ROUND(IFERROR(BN15/_xlfn.XLOOKUP(CT$7,'Product Tgt'!$B:$B,'Product Tgt'!$D:$D),0),0)</f>
        <v>0</v>
      </c>
      <c r="CU15" s="11">
        <f>ROUND(IFERROR(BO15/_xlfn.XLOOKUP(CU$7,'Product Tgt'!$B:$B,'Product Tgt'!$D:$D),0),0)</f>
        <v>0</v>
      </c>
      <c r="CV15" s="11">
        <f>ROUND(IFERROR(BP15/_xlfn.XLOOKUP(CV$7,'Product Tgt'!$B:$B,'Product Tgt'!$D:$D),0),0)</f>
        <v>0</v>
      </c>
      <c r="CW15" s="11">
        <f>ROUND(IFERROR(BQ15/_xlfn.XLOOKUP(CW$7,'Product Tgt'!$B:$B,'Product Tgt'!$D:$D),0),0)</f>
        <v>0</v>
      </c>
      <c r="CX15" s="11">
        <f>ROUND(IFERROR(#REF!/_xlfn.XLOOKUP(CX$7,'Product Tgt'!$B:$B,'Product Tgt'!$D:$D),0),0)</f>
        <v>0</v>
      </c>
      <c r="CY15" s="11">
        <f>ROUND(IFERROR(#REF!/_xlfn.XLOOKUP(CY$7,'Product Tgt'!$B:$B,'Product Tgt'!$D:$D),0),0)</f>
        <v>0</v>
      </c>
      <c r="CZ15" s="11">
        <f>ROUND(IFERROR(#REF!/_xlfn.XLOOKUP(CZ$7,'Product Tgt'!$B:$B,'Product Tgt'!$D:$D),0),0)</f>
        <v>0</v>
      </c>
      <c r="DA15" s="10">
        <f>IFERROR(BR15*_xlfn.XLOOKUP(DA$7,'Product Tgt'!$B:$B,'Product Tgt'!$D:$D),0)</f>
        <v>0</v>
      </c>
      <c r="DB15">
        <f>IFERROR(BS15*_xlfn.XLOOKUP(DB$7,'Product Tgt'!$B:$B,'Product Tgt'!$D:$D),0)</f>
        <v>0</v>
      </c>
      <c r="DC15">
        <f>IFERROR(BT15*_xlfn.XLOOKUP(DC$7,'Product Tgt'!$B:$B,'Product Tgt'!$D:$D),0)</f>
        <v>0</v>
      </c>
      <c r="DD15">
        <f>IFERROR(BU15*_xlfn.XLOOKUP(DD$7,'Product Tgt'!$B:$B,'Product Tgt'!$D:$D),0)</f>
        <v>0</v>
      </c>
      <c r="DE15">
        <f>IFERROR(BV15*_xlfn.XLOOKUP(DE$7,'Product Tgt'!$B:$B,'Product Tgt'!$D:$D),0)</f>
        <v>0</v>
      </c>
      <c r="DF15">
        <f>IFERROR(BW15*_xlfn.XLOOKUP(DF$7,'Product Tgt'!$B:$B,'Product Tgt'!$D:$D),0)</f>
        <v>0</v>
      </c>
      <c r="DG15">
        <f>IFERROR(BX15*_xlfn.XLOOKUP(DG$7,'Product Tgt'!$B:$B,'Product Tgt'!$D:$D),0)</f>
        <v>0</v>
      </c>
      <c r="DH15">
        <f>IFERROR(BY15*_xlfn.XLOOKUP(DH$7,'Product Tgt'!$B:$B,'Product Tgt'!$D:$D),0)</f>
        <v>0</v>
      </c>
      <c r="DI15">
        <f>IFERROR(BZ15*_xlfn.XLOOKUP(DI$7,'Product Tgt'!$B:$B,'Product Tgt'!$D:$D),0)</f>
        <v>0</v>
      </c>
      <c r="DJ15">
        <f>IFERROR(CA15*_xlfn.XLOOKUP(DJ$7,'Product Tgt'!$B:$B,'Product Tgt'!$D:$D),0)</f>
        <v>0</v>
      </c>
      <c r="DK15">
        <f>IFERROR(CB15*_xlfn.XLOOKUP(DK$7,'Product Tgt'!$B:$B,'Product Tgt'!$D:$D),0)</f>
        <v>0</v>
      </c>
      <c r="DL15">
        <f>IFERROR(CC15*_xlfn.XLOOKUP(DL$7,'Product Tgt'!$B:$B,'Product Tgt'!$D:$D),0)</f>
        <v>0</v>
      </c>
      <c r="DM15">
        <f>IFERROR(CD15*_xlfn.XLOOKUP(DM$7,'Product Tgt'!$B:$B,'Product Tgt'!$D:$D),0)</f>
        <v>0</v>
      </c>
      <c r="DN15">
        <f>IFERROR(CE15*_xlfn.XLOOKUP(DN$7,'Product Tgt'!$B:$B,'Product Tgt'!$D:$D),0)</f>
        <v>0</v>
      </c>
      <c r="DO15">
        <f>IFERROR(CF15*_xlfn.XLOOKUP(DO$7,'Product Tgt'!$B:$B,'Product Tgt'!$D:$D),0)</f>
        <v>0</v>
      </c>
      <c r="DP15">
        <f>IFERROR(CG15*_xlfn.XLOOKUP(DP$7,'Product Tgt'!$B:$B,'Product Tgt'!$D:$D),0)</f>
        <v>0</v>
      </c>
      <c r="DQ15">
        <f>IFERROR(CH15*_xlfn.XLOOKUP(DQ$7,'Product Tgt'!$B:$B,'Product Tgt'!$D:$D),0)</f>
        <v>0</v>
      </c>
      <c r="DR15">
        <f>IFERROR(CI15*_xlfn.XLOOKUP(DR$7,'Product Tgt'!$B:$B,'Product Tgt'!$D:$D),0)</f>
        <v>0</v>
      </c>
      <c r="DS15">
        <f>IFERROR(CJ15*_xlfn.XLOOKUP(DS$7,'Product Tgt'!$B:$B,'Product Tgt'!$D:$D),0)</f>
        <v>0</v>
      </c>
      <c r="DT15">
        <f>IFERROR(CK15*_xlfn.XLOOKUP(DT$7,'Product Tgt'!$B:$B,'Product Tgt'!$D:$D),0)</f>
        <v>0</v>
      </c>
      <c r="DU15">
        <f>IFERROR(CL15*_xlfn.XLOOKUP(DU$7,'Product Tgt'!$B:$B,'Product Tgt'!$D:$D),0)</f>
        <v>0</v>
      </c>
      <c r="DV15">
        <f>IFERROR(CM15*_xlfn.XLOOKUP(DV$7,'Product Tgt'!$B:$B,'Product Tgt'!$D:$D),0)</f>
        <v>0</v>
      </c>
      <c r="DW15">
        <f>IFERROR(CN15*_xlfn.XLOOKUP(DW$7,'Product Tgt'!$B:$B,'Product Tgt'!$D:$D),0)</f>
        <v>0</v>
      </c>
      <c r="DX15">
        <f>IFERROR(CO15*_xlfn.XLOOKUP(DX$7,'Product Tgt'!$B:$B,'Product Tgt'!$D:$D),0)</f>
        <v>0</v>
      </c>
      <c r="DY15">
        <f>IFERROR(CP15*_xlfn.XLOOKUP(DY$7,'Product Tgt'!$B:$B,'Product Tgt'!$D:$D),0)</f>
        <v>0</v>
      </c>
      <c r="DZ15">
        <f>IFERROR(CQ15*_xlfn.XLOOKUP(DZ$7,'Product Tgt'!$B:$B,'Product Tgt'!$D:$D),0)</f>
        <v>0</v>
      </c>
      <c r="EA15">
        <f>IFERROR(CR15*_xlfn.XLOOKUP(EA$7,'Product Tgt'!$B:$B,'Product Tgt'!$D:$D),0)</f>
        <v>0</v>
      </c>
      <c r="EB15">
        <f>IFERROR(CS15*_xlfn.XLOOKUP(EB$7,'Product Tgt'!$B:$B,'Product Tgt'!$D:$D),0)</f>
        <v>0</v>
      </c>
      <c r="EC15">
        <f>IFERROR(CT15*_xlfn.XLOOKUP(EC$7,'Product Tgt'!$B:$B,'Product Tgt'!$D:$D),0)</f>
        <v>0</v>
      </c>
      <c r="ED15">
        <f>IFERROR(CU15*_xlfn.XLOOKUP(ED$7,'Product Tgt'!$B:$B,'Product Tgt'!$D:$D),0)</f>
        <v>0</v>
      </c>
      <c r="EE15">
        <f>IFERROR(CV15*_xlfn.XLOOKUP(EE$7,'Product Tgt'!$B:$B,'Product Tgt'!$D:$D),0)</f>
        <v>0</v>
      </c>
      <c r="EF15">
        <f>IFERROR(CW15*_xlfn.XLOOKUP(EF$7,'Product Tgt'!$B:$B,'Product Tgt'!$D:$D),0)</f>
        <v>0</v>
      </c>
      <c r="EG15">
        <f>IFERROR(CX15*_xlfn.XLOOKUP(EG$7,'Product Tgt'!$B:$B,'Product Tgt'!$D:$D),0)</f>
        <v>0</v>
      </c>
      <c r="EH15">
        <f>IFERROR(CY15*_xlfn.XLOOKUP(EH$7,'Product Tgt'!$B:$B,'Product Tgt'!$D:$D),0)</f>
        <v>0</v>
      </c>
      <c r="EI15">
        <f>IFERROR(CZ15*_xlfn.XLOOKUP(EI$7,'Product Tgt'!$B:$B,'Product Tgt'!$D:$D),0)</f>
        <v>0</v>
      </c>
    </row>
    <row r="16" spans="1:139" x14ac:dyDescent="0.35">
      <c r="B16" s="7" t="s">
        <v>163</v>
      </c>
      <c r="C16" s="3">
        <f>_xlfn.XLOOKUP($B16,'Terr Target'!$A:$A,'Terr Target'!$E:$E)</f>
        <v>319622.15502927755</v>
      </c>
      <c r="D16" s="3">
        <f t="shared" si="3"/>
        <v>319621</v>
      </c>
      <c r="E16" s="4">
        <f t="shared" si="4"/>
        <v>-1.1550292775500566</v>
      </c>
      <c r="F16" s="9">
        <f t="shared" si="5"/>
        <v>3.6137465233825579E-6</v>
      </c>
      <c r="G16" s="5">
        <f t="shared" si="6"/>
        <v>1.0000036137465234</v>
      </c>
      <c r="H16" s="38">
        <v>35360.078610849167</v>
      </c>
      <c r="I16" s="11">
        <v>66712.787766739813</v>
      </c>
      <c r="J16" s="11">
        <v>25727.29812839863</v>
      </c>
      <c r="K16" s="11">
        <v>23685.834014429518</v>
      </c>
      <c r="L16" s="11">
        <v>31275.753179342442</v>
      </c>
      <c r="M16" s="11">
        <v>22712.062967384987</v>
      </c>
      <c r="N16" s="11">
        <v>293.41274938618909</v>
      </c>
      <c r="O16" s="11">
        <v>2568.8485809270637</v>
      </c>
      <c r="P16" s="11">
        <v>1307.4032991527056</v>
      </c>
      <c r="Q16" s="11">
        <v>1111.8347196638701</v>
      </c>
      <c r="R16" s="11">
        <v>4890.2723699227545</v>
      </c>
      <c r="S16" s="11">
        <v>12692.306996585818</v>
      </c>
      <c r="T16" s="11">
        <v>0</v>
      </c>
      <c r="U16" s="11">
        <v>1480.0377800670694</v>
      </c>
      <c r="V16" s="11">
        <v>18838.336033754014</v>
      </c>
      <c r="W16" s="11">
        <v>19826.348577171815</v>
      </c>
      <c r="X16" s="11">
        <v>3366.2825576006917</v>
      </c>
      <c r="Y16" s="11">
        <v>8793.3904786197891</v>
      </c>
      <c r="Z16" s="11">
        <v>335.34881649233756</v>
      </c>
      <c r="AA16" s="11">
        <v>6023.9433853572691</v>
      </c>
      <c r="AB16" s="11">
        <v>1676.6742222832627</v>
      </c>
      <c r="AC16" s="11">
        <v>396.21699195173784</v>
      </c>
      <c r="AD16" s="11">
        <v>3335.3045584818237</v>
      </c>
      <c r="AE16" s="11">
        <v>7335.3287146802168</v>
      </c>
      <c r="AF16" s="11">
        <v>911.14638709901033</v>
      </c>
      <c r="AG16" s="11">
        <v>13024.951226170549</v>
      </c>
      <c r="AH16" s="11">
        <v>1416.1456568844035</v>
      </c>
      <c r="AI16" s="11">
        <v>8105.7966624816854</v>
      </c>
      <c r="AJ16" s="11">
        <v>8684.6381408626039</v>
      </c>
      <c r="AK16" s="11">
        <v>884.31009855821242</v>
      </c>
      <c r="AL16" s="49">
        <v>1641.5245725098557</v>
      </c>
      <c r="AM16" s="41">
        <f>IFERROR(ROUND(_xlfn.XLOOKUP(AM$7,'Product Tgt'!$B:$B,'Product Tgt'!$G:$G)*H16/H$121,0),0)</f>
        <v>34376</v>
      </c>
      <c r="AN16" s="41">
        <f>IFERROR(ROUND(_xlfn.XLOOKUP(AN$7,'Product Tgt'!$B:$B,'Product Tgt'!$G:$G)*I16/I$121,0),0)</f>
        <v>65672</v>
      </c>
      <c r="AO16" s="41">
        <f>IFERROR(ROUND(_xlfn.XLOOKUP(AO$7,'Product Tgt'!$B:$B,'Product Tgt'!$G:$G)*J16/J$121,0),0)</f>
        <v>24927</v>
      </c>
      <c r="AP16" s="41">
        <f>IFERROR(ROUND(_xlfn.XLOOKUP(AP$7,'Product Tgt'!$B:$B,'Product Tgt'!$G:$G)*K16/K$121,0),0)</f>
        <v>23106</v>
      </c>
      <c r="AQ16" s="41">
        <f>IFERROR(ROUND(_xlfn.XLOOKUP(AQ$7,'Product Tgt'!$B:$B,'Product Tgt'!$G:$G)*L16/L$121,0),0)</f>
        <v>30242</v>
      </c>
      <c r="AR16" s="41">
        <f>IFERROR(ROUND(_xlfn.XLOOKUP(AR$7,'Product Tgt'!$B:$B,'Product Tgt'!$G:$G)*M16/M$121,0),0)</f>
        <v>22003</v>
      </c>
      <c r="AS16" s="41">
        <f>IFERROR(ROUND(_xlfn.XLOOKUP(AS$7,'Product Tgt'!$B:$B,'Product Tgt'!$G:$G)*N16/N$121,0),0)</f>
        <v>271</v>
      </c>
      <c r="AT16" s="41">
        <f>IFERROR(ROUND(_xlfn.XLOOKUP(AT$7,'Product Tgt'!$B:$B,'Product Tgt'!$G:$G)*O16/O$121,0),0)</f>
        <v>2312</v>
      </c>
      <c r="AU16" s="41">
        <f>IFERROR(ROUND(_xlfn.XLOOKUP(AU$7,'Product Tgt'!$B:$B,'Product Tgt'!$G:$G)*P16/P$121,0),0)</f>
        <v>557</v>
      </c>
      <c r="AV16" s="41">
        <f>IFERROR(ROUND(_xlfn.XLOOKUP(AV$7,'Product Tgt'!$B:$B,'Product Tgt'!$G:$G)*Q16/Q$121,0),0)</f>
        <v>834</v>
      </c>
      <c r="AW16" s="41">
        <f>IFERROR(ROUND(_xlfn.XLOOKUP(AW$7,'Product Tgt'!$B:$B,'Product Tgt'!$G:$G)*R16/R$121,0),0)</f>
        <v>4710</v>
      </c>
      <c r="AX16" s="41">
        <f>IFERROR(ROUND(_xlfn.XLOOKUP(AX$7,'Product Tgt'!$B:$B,'Product Tgt'!$G:$G)*S16/S$121,0),0)</f>
        <v>12224</v>
      </c>
      <c r="AY16" s="41">
        <f>IFERROR(ROUND(_xlfn.XLOOKUP(AY$7,'Product Tgt'!$B:$B,'Product Tgt'!$G:$G)*T16/T$121,0),0)</f>
        <v>0</v>
      </c>
      <c r="AZ16" s="41">
        <f>IFERROR(ROUND(_xlfn.XLOOKUP(AZ$7,'Product Tgt'!$B:$B,'Product Tgt'!$G:$G)*U16/U$121,0),0)</f>
        <v>1416</v>
      </c>
      <c r="BA16" s="41">
        <f>IFERROR(ROUND(_xlfn.XLOOKUP(BA$7,'Product Tgt'!$B:$B,'Product Tgt'!$G:$G)*V16/V$121,0),0)</f>
        <v>18138</v>
      </c>
      <c r="BB16" s="41">
        <f>IFERROR(ROUND(_xlfn.XLOOKUP(BB$7,'Product Tgt'!$B:$B,'Product Tgt'!$G:$G)*W16/W$121,0),0)</f>
        <v>18978</v>
      </c>
      <c r="BC16" s="41">
        <f>IFERROR(ROUND(_xlfn.XLOOKUP(BC$7,'Product Tgt'!$B:$B,'Product Tgt'!$G:$G)*X16/X$121,0),0)</f>
        <v>3257</v>
      </c>
      <c r="BD16" s="41">
        <f>IFERROR(ROUND(_xlfn.XLOOKUP(BD$7,'Product Tgt'!$B:$B,'Product Tgt'!$G:$G)*Y16/Y$121,0),0)</f>
        <v>8503</v>
      </c>
      <c r="BE16" s="41">
        <f>IFERROR(ROUND(_xlfn.XLOOKUP(BE$7,'Product Tgt'!$B:$B,'Product Tgt'!$G:$G)*Z16/Z$121,0),0)</f>
        <v>319</v>
      </c>
      <c r="BF16" s="41">
        <f>IFERROR(ROUND(_xlfn.XLOOKUP(BF$7,'Product Tgt'!$B:$B,'Product Tgt'!$G:$G)*AA16/AA$121,0),0)</f>
        <v>4882</v>
      </c>
      <c r="BG16" s="41">
        <f>IFERROR(ROUND(_xlfn.XLOOKUP(BG$7,'Product Tgt'!$B:$B,'Product Tgt'!$G:$G)*AB16/AB$121,0),0)</f>
        <v>1344</v>
      </c>
      <c r="BH16" s="41">
        <f>IFERROR(ROUND(_xlfn.XLOOKUP(BH$7,'Product Tgt'!$B:$B,'Product Tgt'!$G:$G)*AC16/AC$121,0),0)</f>
        <v>339</v>
      </c>
      <c r="BI16" s="41">
        <f>IFERROR(ROUND(_xlfn.XLOOKUP(BI$7,'Product Tgt'!$B:$B,'Product Tgt'!$G:$G)*AD16/AD$121,0),0)</f>
        <v>2903</v>
      </c>
      <c r="BJ16" s="41">
        <f>IFERROR(ROUND(_xlfn.XLOOKUP(BJ$7,'Product Tgt'!$B:$B,'Product Tgt'!$G:$G)*AE16/AE$121,0),0)</f>
        <v>6827</v>
      </c>
      <c r="BK16" s="41">
        <f>IFERROR(ROUND(_xlfn.XLOOKUP(BK$7,'Product Tgt'!$B:$B,'Product Tgt'!$G:$G)*AF16/AF$121,0),0)</f>
        <v>1018</v>
      </c>
      <c r="BL16" s="41">
        <f>IFERROR(ROUND(_xlfn.XLOOKUP(BL$7,'Product Tgt'!$B:$B,'Product Tgt'!$G:$G)*AG16/AG$121,0),0)</f>
        <v>12441</v>
      </c>
      <c r="BM16" s="41">
        <f>IFERROR(ROUND(_xlfn.XLOOKUP(BM$7,'Product Tgt'!$B:$B,'Product Tgt'!$G:$G)*AH16/AH$121,0),0)</f>
        <v>1110</v>
      </c>
      <c r="BN16" s="41">
        <f>IFERROR(ROUND(_xlfn.XLOOKUP(BN$7,'Product Tgt'!$B:$B,'Product Tgt'!$G:$G)*AI16/AI$121,0),0)</f>
        <v>7444</v>
      </c>
      <c r="BO16" s="41">
        <f>IFERROR(ROUND(_xlfn.XLOOKUP(BO$7,'Product Tgt'!$B:$B,'Product Tgt'!$G:$G)*AJ16/AJ$121,0),0)</f>
        <v>7512</v>
      </c>
      <c r="BP16" s="41">
        <f>IFERROR(ROUND(_xlfn.XLOOKUP(BP$7,'Product Tgt'!$B:$B,'Product Tgt'!$G:$G)*AK16/AK$121,0),0)</f>
        <v>673</v>
      </c>
      <c r="BQ16" s="41">
        <f>IFERROR(ROUND(_xlfn.XLOOKUP(BQ$7,'Product Tgt'!$B:$B,'Product Tgt'!$G:$G)*AL16/AL$121,0),0)</f>
        <v>1283</v>
      </c>
      <c r="BR16" s="25">
        <f>ROUND(IFERROR(AM16/_xlfn.XLOOKUP(BR$7,'Product Tgt'!$B:$B,'Product Tgt'!$D:$D),0),0)</f>
        <v>0</v>
      </c>
      <c r="BS16" s="11">
        <f>ROUND(IFERROR(AN16/_xlfn.XLOOKUP(BS$7,'Product Tgt'!$B:$B,'Product Tgt'!$D:$D),0),0)</f>
        <v>0</v>
      </c>
      <c r="BT16" s="11">
        <f>ROUND(IFERROR(AO16/_xlfn.XLOOKUP(BT$7,'Product Tgt'!$B:$B,'Product Tgt'!$D:$D),0),0)</f>
        <v>0</v>
      </c>
      <c r="BU16" s="11">
        <f>ROUND(IFERROR(AP16/_xlfn.XLOOKUP(BU$7,'Product Tgt'!$B:$B,'Product Tgt'!$D:$D),0),0)</f>
        <v>0</v>
      </c>
      <c r="BV16" s="11">
        <f>ROUND(IFERROR(AQ16/_xlfn.XLOOKUP(BV$7,'Product Tgt'!$B:$B,'Product Tgt'!$D:$D),0),0)</f>
        <v>0</v>
      </c>
      <c r="BW16" s="11">
        <f>ROUND(IFERROR(AU16/_xlfn.XLOOKUP(BW$7,'Product Tgt'!$B:$B,'Product Tgt'!$D:$D),0),0)</f>
        <v>0</v>
      </c>
      <c r="BX16" s="11">
        <f>ROUND(IFERROR(#REF!/_xlfn.XLOOKUP(BX$7,'Product Tgt'!$B:$B,'Product Tgt'!$D:$D),0),0)</f>
        <v>0</v>
      </c>
      <c r="BY16" s="11">
        <f>ROUND(IFERROR(#REF!/_xlfn.XLOOKUP(BY$7,'Product Tgt'!$B:$B,'Product Tgt'!$D:$D),0),0)</f>
        <v>0</v>
      </c>
      <c r="BZ16" s="11">
        <f>ROUND(IFERROR(#REF!/_xlfn.XLOOKUP(BZ$7,'Product Tgt'!$B:$B,'Product Tgt'!$D:$D),0),0)</f>
        <v>0</v>
      </c>
      <c r="CA16" s="11">
        <f>ROUND(IFERROR(#REF!/_xlfn.XLOOKUP(CA$7,'Product Tgt'!$B:$B,'Product Tgt'!$D:$D),0),0)</f>
        <v>0</v>
      </c>
      <c r="CB16" s="11">
        <f>ROUND(IFERROR(AV16/_xlfn.XLOOKUP(CB$7,'Product Tgt'!$B:$B,'Product Tgt'!$D:$D),0),0)</f>
        <v>0</v>
      </c>
      <c r="CC16" s="11">
        <f>ROUND(IFERROR(AW16/_xlfn.XLOOKUP(CC$7,'Product Tgt'!$B:$B,'Product Tgt'!$D:$D),0),0)</f>
        <v>0</v>
      </c>
      <c r="CD16" s="11">
        <f>ROUND(IFERROR(AX16/_xlfn.XLOOKUP(CD$7,'Product Tgt'!$B:$B,'Product Tgt'!$D:$D),0),0)</f>
        <v>0</v>
      </c>
      <c r="CE16" s="11">
        <f>ROUND(IFERROR(AY16/_xlfn.XLOOKUP(CE$7,'Product Tgt'!$B:$B,'Product Tgt'!$D:$D),0),0)</f>
        <v>0</v>
      </c>
      <c r="CF16" s="11">
        <f>ROUND(IFERROR(AZ16/_xlfn.XLOOKUP(CF$7,'Product Tgt'!$B:$B,'Product Tgt'!$D:$D),0),0)</f>
        <v>0</v>
      </c>
      <c r="CG16" s="11">
        <f>ROUND(IFERROR(BA16/_xlfn.XLOOKUP(CG$7,'Product Tgt'!$B:$B,'Product Tgt'!$D:$D),0),0)</f>
        <v>0</v>
      </c>
      <c r="CH16" s="11">
        <f>ROUND(IFERROR(BB16/_xlfn.XLOOKUP(CH$7,'Product Tgt'!$B:$B,'Product Tgt'!$D:$D),0),0)</f>
        <v>0</v>
      </c>
      <c r="CI16" s="11">
        <f>ROUND(IFERROR(BC16/_xlfn.XLOOKUP(CI$7,'Product Tgt'!$B:$B,'Product Tgt'!$D:$D),0),0)</f>
        <v>0</v>
      </c>
      <c r="CJ16" s="11">
        <f>ROUND(IFERROR(BD16/_xlfn.XLOOKUP(CJ$7,'Product Tgt'!$B:$B,'Product Tgt'!$D:$D),0),0)</f>
        <v>0</v>
      </c>
      <c r="CK16" s="11">
        <f>ROUND(IFERROR(BE16/_xlfn.XLOOKUP(CK$7,'Product Tgt'!$B:$B,'Product Tgt'!$D:$D),0),0)</f>
        <v>0</v>
      </c>
      <c r="CL16" s="11">
        <f>ROUND(IFERROR(BF16/_xlfn.XLOOKUP(CL$7,'Product Tgt'!$B:$B,'Product Tgt'!$D:$D),0),0)</f>
        <v>0</v>
      </c>
      <c r="CM16" s="11">
        <f>ROUND(IFERROR(BG16/_xlfn.XLOOKUP(CM$7,'Product Tgt'!$B:$B,'Product Tgt'!$D:$D),0),0)</f>
        <v>0</v>
      </c>
      <c r="CN16" s="11">
        <f>ROUND(IFERROR(BH16/_xlfn.XLOOKUP(CN$7,'Product Tgt'!$B:$B,'Product Tgt'!$D:$D),0),0)</f>
        <v>0</v>
      </c>
      <c r="CO16" s="11">
        <f>ROUND(IFERROR(BI16/_xlfn.XLOOKUP(CO$7,'Product Tgt'!$B:$B,'Product Tgt'!$D:$D),0),0)</f>
        <v>0</v>
      </c>
      <c r="CP16" s="11">
        <f>ROUND(IFERROR(BJ16/_xlfn.XLOOKUP(CP$7,'Product Tgt'!$B:$B,'Product Tgt'!$D:$D),0),0)</f>
        <v>0</v>
      </c>
      <c r="CQ16" s="11">
        <f>ROUND(IFERROR(BK16/_xlfn.XLOOKUP(CQ$7,'Product Tgt'!$B:$B,'Product Tgt'!$D:$D),0),0)</f>
        <v>0</v>
      </c>
      <c r="CR16" s="11">
        <f>ROUND(IFERROR(BL16/_xlfn.XLOOKUP(CR$7,'Product Tgt'!$B:$B,'Product Tgt'!$D:$D),0),0)</f>
        <v>0</v>
      </c>
      <c r="CS16" s="11">
        <f>ROUND(IFERROR(BM16/_xlfn.XLOOKUP(CS$7,'Product Tgt'!$B:$B,'Product Tgt'!$D:$D),0),0)</f>
        <v>0</v>
      </c>
      <c r="CT16" s="11">
        <f>ROUND(IFERROR(BN16/_xlfn.XLOOKUP(CT$7,'Product Tgt'!$B:$B,'Product Tgt'!$D:$D),0),0)</f>
        <v>0</v>
      </c>
      <c r="CU16" s="11">
        <f>ROUND(IFERROR(BO16/_xlfn.XLOOKUP(CU$7,'Product Tgt'!$B:$B,'Product Tgt'!$D:$D),0),0)</f>
        <v>0</v>
      </c>
      <c r="CV16" s="11">
        <f>ROUND(IFERROR(BP16/_xlfn.XLOOKUP(CV$7,'Product Tgt'!$B:$B,'Product Tgt'!$D:$D),0),0)</f>
        <v>0</v>
      </c>
      <c r="CW16" s="11">
        <f>ROUND(IFERROR(BQ16/_xlfn.XLOOKUP(CW$7,'Product Tgt'!$B:$B,'Product Tgt'!$D:$D),0),0)</f>
        <v>0</v>
      </c>
      <c r="CX16" s="11">
        <f>ROUND(IFERROR(#REF!/_xlfn.XLOOKUP(CX$7,'Product Tgt'!$B:$B,'Product Tgt'!$D:$D),0),0)</f>
        <v>0</v>
      </c>
      <c r="CY16" s="11">
        <f>ROUND(IFERROR(#REF!/_xlfn.XLOOKUP(CY$7,'Product Tgt'!$B:$B,'Product Tgt'!$D:$D),0),0)</f>
        <v>0</v>
      </c>
      <c r="CZ16" s="11">
        <f>ROUND(IFERROR(#REF!/_xlfn.XLOOKUP(CZ$7,'Product Tgt'!$B:$B,'Product Tgt'!$D:$D),0),0)</f>
        <v>0</v>
      </c>
      <c r="DA16" s="10">
        <f>IFERROR(BR16*_xlfn.XLOOKUP(DA$7,'Product Tgt'!$B:$B,'Product Tgt'!$D:$D),0)</f>
        <v>0</v>
      </c>
      <c r="DB16">
        <f>IFERROR(BS16*_xlfn.XLOOKUP(DB$7,'Product Tgt'!$B:$B,'Product Tgt'!$D:$D),0)</f>
        <v>0</v>
      </c>
      <c r="DC16">
        <f>IFERROR(BT16*_xlfn.XLOOKUP(DC$7,'Product Tgt'!$B:$B,'Product Tgt'!$D:$D),0)</f>
        <v>0</v>
      </c>
      <c r="DD16">
        <f>IFERROR(BU16*_xlfn.XLOOKUP(DD$7,'Product Tgt'!$B:$B,'Product Tgt'!$D:$D),0)</f>
        <v>0</v>
      </c>
      <c r="DE16">
        <f>IFERROR(BV16*_xlfn.XLOOKUP(DE$7,'Product Tgt'!$B:$B,'Product Tgt'!$D:$D),0)</f>
        <v>0</v>
      </c>
      <c r="DF16">
        <f>IFERROR(BW16*_xlfn.XLOOKUP(DF$7,'Product Tgt'!$B:$B,'Product Tgt'!$D:$D),0)</f>
        <v>0</v>
      </c>
      <c r="DG16">
        <f>IFERROR(BX16*_xlfn.XLOOKUP(DG$7,'Product Tgt'!$B:$B,'Product Tgt'!$D:$D),0)</f>
        <v>0</v>
      </c>
      <c r="DH16">
        <f>IFERROR(BY16*_xlfn.XLOOKUP(DH$7,'Product Tgt'!$B:$B,'Product Tgt'!$D:$D),0)</f>
        <v>0</v>
      </c>
      <c r="DI16">
        <f>IFERROR(BZ16*_xlfn.XLOOKUP(DI$7,'Product Tgt'!$B:$B,'Product Tgt'!$D:$D),0)</f>
        <v>0</v>
      </c>
      <c r="DJ16">
        <f>IFERROR(CA16*_xlfn.XLOOKUP(DJ$7,'Product Tgt'!$B:$B,'Product Tgt'!$D:$D),0)</f>
        <v>0</v>
      </c>
      <c r="DK16">
        <f>IFERROR(CB16*_xlfn.XLOOKUP(DK$7,'Product Tgt'!$B:$B,'Product Tgt'!$D:$D),0)</f>
        <v>0</v>
      </c>
      <c r="DL16">
        <f>IFERROR(CC16*_xlfn.XLOOKUP(DL$7,'Product Tgt'!$B:$B,'Product Tgt'!$D:$D),0)</f>
        <v>0</v>
      </c>
      <c r="DM16">
        <f>IFERROR(CD16*_xlfn.XLOOKUP(DM$7,'Product Tgt'!$B:$B,'Product Tgt'!$D:$D),0)</f>
        <v>0</v>
      </c>
      <c r="DN16">
        <f>IFERROR(CE16*_xlfn.XLOOKUP(DN$7,'Product Tgt'!$B:$B,'Product Tgt'!$D:$D),0)</f>
        <v>0</v>
      </c>
      <c r="DO16">
        <f>IFERROR(CF16*_xlfn.XLOOKUP(DO$7,'Product Tgt'!$B:$B,'Product Tgt'!$D:$D),0)</f>
        <v>0</v>
      </c>
      <c r="DP16">
        <f>IFERROR(CG16*_xlfn.XLOOKUP(DP$7,'Product Tgt'!$B:$B,'Product Tgt'!$D:$D),0)</f>
        <v>0</v>
      </c>
      <c r="DQ16">
        <f>IFERROR(CH16*_xlfn.XLOOKUP(DQ$7,'Product Tgt'!$B:$B,'Product Tgt'!$D:$D),0)</f>
        <v>0</v>
      </c>
      <c r="DR16">
        <f>IFERROR(CI16*_xlfn.XLOOKUP(DR$7,'Product Tgt'!$B:$B,'Product Tgt'!$D:$D),0)</f>
        <v>0</v>
      </c>
      <c r="DS16">
        <f>IFERROR(CJ16*_xlfn.XLOOKUP(DS$7,'Product Tgt'!$B:$B,'Product Tgt'!$D:$D),0)</f>
        <v>0</v>
      </c>
      <c r="DT16">
        <f>IFERROR(CK16*_xlfn.XLOOKUP(DT$7,'Product Tgt'!$B:$B,'Product Tgt'!$D:$D),0)</f>
        <v>0</v>
      </c>
      <c r="DU16">
        <f>IFERROR(CL16*_xlfn.XLOOKUP(DU$7,'Product Tgt'!$B:$B,'Product Tgt'!$D:$D),0)</f>
        <v>0</v>
      </c>
      <c r="DV16">
        <f>IFERROR(CM16*_xlfn.XLOOKUP(DV$7,'Product Tgt'!$B:$B,'Product Tgt'!$D:$D),0)</f>
        <v>0</v>
      </c>
      <c r="DW16">
        <f>IFERROR(CN16*_xlfn.XLOOKUP(DW$7,'Product Tgt'!$B:$B,'Product Tgt'!$D:$D),0)</f>
        <v>0</v>
      </c>
      <c r="DX16">
        <f>IFERROR(CO16*_xlfn.XLOOKUP(DX$7,'Product Tgt'!$B:$B,'Product Tgt'!$D:$D),0)</f>
        <v>0</v>
      </c>
      <c r="DY16">
        <f>IFERROR(CP16*_xlfn.XLOOKUP(DY$7,'Product Tgt'!$B:$B,'Product Tgt'!$D:$D),0)</f>
        <v>0</v>
      </c>
      <c r="DZ16">
        <f>IFERROR(CQ16*_xlfn.XLOOKUP(DZ$7,'Product Tgt'!$B:$B,'Product Tgt'!$D:$D),0)</f>
        <v>0</v>
      </c>
      <c r="EA16">
        <f>IFERROR(CR16*_xlfn.XLOOKUP(EA$7,'Product Tgt'!$B:$B,'Product Tgt'!$D:$D),0)</f>
        <v>0</v>
      </c>
      <c r="EB16">
        <f>IFERROR(CS16*_xlfn.XLOOKUP(EB$7,'Product Tgt'!$B:$B,'Product Tgt'!$D:$D),0)</f>
        <v>0</v>
      </c>
      <c r="EC16">
        <f>IFERROR(CT16*_xlfn.XLOOKUP(EC$7,'Product Tgt'!$B:$B,'Product Tgt'!$D:$D),0)</f>
        <v>0</v>
      </c>
      <c r="ED16">
        <f>IFERROR(CU16*_xlfn.XLOOKUP(ED$7,'Product Tgt'!$B:$B,'Product Tgt'!$D:$D),0)</f>
        <v>0</v>
      </c>
      <c r="EE16">
        <f>IFERROR(CV16*_xlfn.XLOOKUP(EE$7,'Product Tgt'!$B:$B,'Product Tgt'!$D:$D),0)</f>
        <v>0</v>
      </c>
      <c r="EF16">
        <f>IFERROR(CW16*_xlfn.XLOOKUP(EF$7,'Product Tgt'!$B:$B,'Product Tgt'!$D:$D),0)</f>
        <v>0</v>
      </c>
      <c r="EG16">
        <f>IFERROR(CX16*_xlfn.XLOOKUP(EG$7,'Product Tgt'!$B:$B,'Product Tgt'!$D:$D),0)</f>
        <v>0</v>
      </c>
      <c r="EH16">
        <f>IFERROR(CY16*_xlfn.XLOOKUP(EH$7,'Product Tgt'!$B:$B,'Product Tgt'!$D:$D),0)</f>
        <v>0</v>
      </c>
      <c r="EI16">
        <f>IFERROR(CZ16*_xlfn.XLOOKUP(EI$7,'Product Tgt'!$B:$B,'Product Tgt'!$D:$D),0)</f>
        <v>0</v>
      </c>
    </row>
    <row r="17" spans="2:139" x14ac:dyDescent="0.35">
      <c r="B17" s="7" t="s">
        <v>164</v>
      </c>
      <c r="C17" s="3">
        <f>_xlfn.XLOOKUP($B17,'Terr Target'!$A:$A,'Terr Target'!$E:$E)</f>
        <v>355435.28149944701</v>
      </c>
      <c r="D17" s="3">
        <f t="shared" si="3"/>
        <v>355437</v>
      </c>
      <c r="E17" s="4">
        <f t="shared" si="4"/>
        <v>1.7185005529900081</v>
      </c>
      <c r="F17" s="9">
        <f t="shared" si="5"/>
        <v>4.8348949405661432E-6</v>
      </c>
      <c r="G17" s="5">
        <f t="shared" si="6"/>
        <v>0.99999516510505948</v>
      </c>
      <c r="H17" s="38">
        <v>40073.952063597237</v>
      </c>
      <c r="I17" s="11">
        <v>75709.976431761155</v>
      </c>
      <c r="J17" s="11">
        <v>29875.89390388118</v>
      </c>
      <c r="K17" s="11">
        <v>26512.612975550132</v>
      </c>
      <c r="L17" s="11">
        <v>34210.467301886776</v>
      </c>
      <c r="M17" s="11">
        <v>24488.446032228294</v>
      </c>
      <c r="N17" s="11">
        <v>274.83546504918064</v>
      </c>
      <c r="O17" s="11">
        <v>2548.4761768991898</v>
      </c>
      <c r="P17" s="11">
        <v>1183.4774680650564</v>
      </c>
      <c r="Q17" s="11">
        <v>727.1002513721354</v>
      </c>
      <c r="R17" s="11">
        <v>5208.8596859606487</v>
      </c>
      <c r="S17" s="11">
        <v>13540.930767757247</v>
      </c>
      <c r="T17" s="11">
        <v>0</v>
      </c>
      <c r="U17" s="11">
        <v>1483.9617818805343</v>
      </c>
      <c r="V17" s="11">
        <v>19597.145963240211</v>
      </c>
      <c r="W17" s="11">
        <v>23750.608337969985</v>
      </c>
      <c r="X17" s="11">
        <v>3993.4878077943595</v>
      </c>
      <c r="Y17" s="11">
        <v>9909.8085826371553</v>
      </c>
      <c r="Z17" s="11">
        <v>260.49836365962301</v>
      </c>
      <c r="AA17" s="11">
        <v>6762.4456318853236</v>
      </c>
      <c r="AB17" s="11">
        <v>1471.6655125199625</v>
      </c>
      <c r="AC17" s="11">
        <v>428.67728046030635</v>
      </c>
      <c r="AD17" s="11">
        <v>3481.7209740735411</v>
      </c>
      <c r="AE17" s="11">
        <v>6893.7049742922954</v>
      </c>
      <c r="AF17" s="11">
        <v>969.10806152290854</v>
      </c>
      <c r="AG17" s="11">
        <v>14408.88945087872</v>
      </c>
      <c r="AH17" s="11">
        <v>1274.7303494415112</v>
      </c>
      <c r="AI17" s="11">
        <v>10002.158795808091</v>
      </c>
      <c r="AJ17" s="11">
        <v>9855.4752756544112</v>
      </c>
      <c r="AK17" s="11">
        <v>937.44952648030164</v>
      </c>
      <c r="AL17" s="49">
        <v>1558.6521319664769</v>
      </c>
      <c r="AM17" s="41">
        <f>IFERROR(ROUND(_xlfn.XLOOKUP(AM$7,'Product Tgt'!$B:$B,'Product Tgt'!$G:$G)*H17/H$121,0),0)</f>
        <v>38958</v>
      </c>
      <c r="AN17" s="41">
        <f>IFERROR(ROUND(_xlfn.XLOOKUP(AN$7,'Product Tgt'!$B:$B,'Product Tgt'!$G:$G)*I17/I$121,0),0)</f>
        <v>74529</v>
      </c>
      <c r="AO17" s="41">
        <f>IFERROR(ROUND(_xlfn.XLOOKUP(AO$7,'Product Tgt'!$B:$B,'Product Tgt'!$G:$G)*J17/J$121,0),0)</f>
        <v>28947</v>
      </c>
      <c r="AP17" s="41">
        <f>IFERROR(ROUND(_xlfn.XLOOKUP(AP$7,'Product Tgt'!$B:$B,'Product Tgt'!$G:$G)*K17/K$121,0),0)</f>
        <v>25864</v>
      </c>
      <c r="AQ17" s="41">
        <f>IFERROR(ROUND(_xlfn.XLOOKUP(AQ$7,'Product Tgt'!$B:$B,'Product Tgt'!$G:$G)*L17/L$121,0),0)</f>
        <v>33079</v>
      </c>
      <c r="AR17" s="41">
        <f>IFERROR(ROUND(_xlfn.XLOOKUP(AR$7,'Product Tgt'!$B:$B,'Product Tgt'!$G:$G)*M17/M$121,0),0)</f>
        <v>23724</v>
      </c>
      <c r="AS17" s="41">
        <f>IFERROR(ROUND(_xlfn.XLOOKUP(AS$7,'Product Tgt'!$B:$B,'Product Tgt'!$G:$G)*N17/N$121,0),0)</f>
        <v>254</v>
      </c>
      <c r="AT17" s="41">
        <f>IFERROR(ROUND(_xlfn.XLOOKUP(AT$7,'Product Tgt'!$B:$B,'Product Tgt'!$G:$G)*O17/O$121,0),0)</f>
        <v>2294</v>
      </c>
      <c r="AU17" s="41">
        <f>IFERROR(ROUND(_xlfn.XLOOKUP(AU$7,'Product Tgt'!$B:$B,'Product Tgt'!$G:$G)*P17/P$121,0),0)</f>
        <v>505</v>
      </c>
      <c r="AV17" s="41">
        <f>IFERROR(ROUND(_xlfn.XLOOKUP(AV$7,'Product Tgt'!$B:$B,'Product Tgt'!$G:$G)*Q17/Q$121,0),0)</f>
        <v>546</v>
      </c>
      <c r="AW17" s="41">
        <f>IFERROR(ROUND(_xlfn.XLOOKUP(AW$7,'Product Tgt'!$B:$B,'Product Tgt'!$G:$G)*R17/R$121,0),0)</f>
        <v>5016</v>
      </c>
      <c r="AX17" s="41">
        <f>IFERROR(ROUND(_xlfn.XLOOKUP(AX$7,'Product Tgt'!$B:$B,'Product Tgt'!$G:$G)*S17/S$121,0),0)</f>
        <v>13042</v>
      </c>
      <c r="AY17" s="41">
        <f>IFERROR(ROUND(_xlfn.XLOOKUP(AY$7,'Product Tgt'!$B:$B,'Product Tgt'!$G:$G)*T17/T$121,0),0)</f>
        <v>0</v>
      </c>
      <c r="AZ17" s="41">
        <f>IFERROR(ROUND(_xlfn.XLOOKUP(AZ$7,'Product Tgt'!$B:$B,'Product Tgt'!$G:$G)*U17/U$121,0),0)</f>
        <v>1420</v>
      </c>
      <c r="BA17" s="41">
        <f>IFERROR(ROUND(_xlfn.XLOOKUP(BA$7,'Product Tgt'!$B:$B,'Product Tgt'!$G:$G)*V17/V$121,0),0)</f>
        <v>18868</v>
      </c>
      <c r="BB17" s="41">
        <f>IFERROR(ROUND(_xlfn.XLOOKUP(BB$7,'Product Tgt'!$B:$B,'Product Tgt'!$G:$G)*W17/W$121,0),0)</f>
        <v>22735</v>
      </c>
      <c r="BC17" s="41">
        <f>IFERROR(ROUND(_xlfn.XLOOKUP(BC$7,'Product Tgt'!$B:$B,'Product Tgt'!$G:$G)*X17/X$121,0),0)</f>
        <v>3864</v>
      </c>
      <c r="BD17" s="41">
        <f>IFERROR(ROUND(_xlfn.XLOOKUP(BD$7,'Product Tgt'!$B:$B,'Product Tgt'!$G:$G)*Y17/Y$121,0),0)</f>
        <v>9583</v>
      </c>
      <c r="BE17" s="41">
        <f>IFERROR(ROUND(_xlfn.XLOOKUP(BE$7,'Product Tgt'!$B:$B,'Product Tgt'!$G:$G)*Z17/Z$121,0),0)</f>
        <v>248</v>
      </c>
      <c r="BF17" s="41">
        <f>IFERROR(ROUND(_xlfn.XLOOKUP(BF$7,'Product Tgt'!$B:$B,'Product Tgt'!$G:$G)*AA17/AA$121,0),0)</f>
        <v>5480</v>
      </c>
      <c r="BG17" s="41">
        <f>IFERROR(ROUND(_xlfn.XLOOKUP(BG$7,'Product Tgt'!$B:$B,'Product Tgt'!$G:$G)*AB17/AB$121,0),0)</f>
        <v>1179</v>
      </c>
      <c r="BH17" s="41">
        <f>IFERROR(ROUND(_xlfn.XLOOKUP(BH$7,'Product Tgt'!$B:$B,'Product Tgt'!$G:$G)*AC17/AC$121,0),0)</f>
        <v>367</v>
      </c>
      <c r="BI17" s="41">
        <f>IFERROR(ROUND(_xlfn.XLOOKUP(BI$7,'Product Tgt'!$B:$B,'Product Tgt'!$G:$G)*AD17/AD$121,0),0)</f>
        <v>3031</v>
      </c>
      <c r="BJ17" s="41">
        <f>IFERROR(ROUND(_xlfn.XLOOKUP(BJ$7,'Product Tgt'!$B:$B,'Product Tgt'!$G:$G)*AE17/AE$121,0),0)</f>
        <v>6416</v>
      </c>
      <c r="BK17" s="41">
        <f>IFERROR(ROUND(_xlfn.XLOOKUP(BK$7,'Product Tgt'!$B:$B,'Product Tgt'!$G:$G)*AF17/AF$121,0),0)</f>
        <v>1083</v>
      </c>
      <c r="BL17" s="41">
        <f>IFERROR(ROUND(_xlfn.XLOOKUP(BL$7,'Product Tgt'!$B:$B,'Product Tgt'!$G:$G)*AG17/AG$121,0),0)</f>
        <v>13763</v>
      </c>
      <c r="BM17" s="41">
        <f>IFERROR(ROUND(_xlfn.XLOOKUP(BM$7,'Product Tgt'!$B:$B,'Product Tgt'!$G:$G)*AH17/AH$121,0),0)</f>
        <v>999</v>
      </c>
      <c r="BN17" s="41">
        <f>IFERROR(ROUND(_xlfn.XLOOKUP(BN$7,'Product Tgt'!$B:$B,'Product Tgt'!$G:$G)*AI17/AI$121,0),0)</f>
        <v>9186</v>
      </c>
      <c r="BO17" s="41">
        <f>IFERROR(ROUND(_xlfn.XLOOKUP(BO$7,'Product Tgt'!$B:$B,'Product Tgt'!$G:$G)*AJ17/AJ$121,0),0)</f>
        <v>8525</v>
      </c>
      <c r="BP17" s="41">
        <f>IFERROR(ROUND(_xlfn.XLOOKUP(BP$7,'Product Tgt'!$B:$B,'Product Tgt'!$G:$G)*AK17/AK$121,0),0)</f>
        <v>714</v>
      </c>
      <c r="BQ17" s="41">
        <f>IFERROR(ROUND(_xlfn.XLOOKUP(BQ$7,'Product Tgt'!$B:$B,'Product Tgt'!$G:$G)*AL17/AL$121,0),0)</f>
        <v>1218</v>
      </c>
      <c r="BR17" s="25">
        <f>ROUND(IFERROR(AM17/_xlfn.XLOOKUP(BR$7,'Product Tgt'!$B:$B,'Product Tgt'!$D:$D),0),0)</f>
        <v>0</v>
      </c>
      <c r="BS17" s="11">
        <f>ROUND(IFERROR(AN17/_xlfn.XLOOKUP(BS$7,'Product Tgt'!$B:$B,'Product Tgt'!$D:$D),0),0)</f>
        <v>0</v>
      </c>
      <c r="BT17" s="11">
        <f>ROUND(IFERROR(AO17/_xlfn.XLOOKUP(BT$7,'Product Tgt'!$B:$B,'Product Tgt'!$D:$D),0),0)</f>
        <v>0</v>
      </c>
      <c r="BU17" s="11">
        <f>ROUND(IFERROR(AP17/_xlfn.XLOOKUP(BU$7,'Product Tgt'!$B:$B,'Product Tgt'!$D:$D),0),0)</f>
        <v>0</v>
      </c>
      <c r="BV17" s="11">
        <f>ROUND(IFERROR(AQ17/_xlfn.XLOOKUP(BV$7,'Product Tgt'!$B:$B,'Product Tgt'!$D:$D),0),0)</f>
        <v>0</v>
      </c>
      <c r="BW17" s="11">
        <f>ROUND(IFERROR(AU17/_xlfn.XLOOKUP(BW$7,'Product Tgt'!$B:$B,'Product Tgt'!$D:$D),0),0)</f>
        <v>0</v>
      </c>
      <c r="BX17" s="11">
        <f>ROUND(IFERROR(#REF!/_xlfn.XLOOKUP(BX$7,'Product Tgt'!$B:$B,'Product Tgt'!$D:$D),0),0)</f>
        <v>0</v>
      </c>
      <c r="BY17" s="11">
        <f>ROUND(IFERROR(#REF!/_xlfn.XLOOKUP(BY$7,'Product Tgt'!$B:$B,'Product Tgt'!$D:$D),0),0)</f>
        <v>0</v>
      </c>
      <c r="BZ17" s="11">
        <f>ROUND(IFERROR(#REF!/_xlfn.XLOOKUP(BZ$7,'Product Tgt'!$B:$B,'Product Tgt'!$D:$D),0),0)</f>
        <v>0</v>
      </c>
      <c r="CA17" s="11">
        <f>ROUND(IFERROR(#REF!/_xlfn.XLOOKUP(CA$7,'Product Tgt'!$B:$B,'Product Tgt'!$D:$D),0),0)</f>
        <v>0</v>
      </c>
      <c r="CB17" s="11">
        <f>ROUND(IFERROR(AV17/_xlfn.XLOOKUP(CB$7,'Product Tgt'!$B:$B,'Product Tgt'!$D:$D),0),0)</f>
        <v>0</v>
      </c>
      <c r="CC17" s="11">
        <f>ROUND(IFERROR(AW17/_xlfn.XLOOKUP(CC$7,'Product Tgt'!$B:$B,'Product Tgt'!$D:$D),0),0)</f>
        <v>0</v>
      </c>
      <c r="CD17" s="11">
        <f>ROUND(IFERROR(AX17/_xlfn.XLOOKUP(CD$7,'Product Tgt'!$B:$B,'Product Tgt'!$D:$D),0),0)</f>
        <v>0</v>
      </c>
      <c r="CE17" s="11">
        <f>ROUND(IFERROR(AY17/_xlfn.XLOOKUP(CE$7,'Product Tgt'!$B:$B,'Product Tgt'!$D:$D),0),0)</f>
        <v>0</v>
      </c>
      <c r="CF17" s="11">
        <f>ROUND(IFERROR(AZ17/_xlfn.XLOOKUP(CF$7,'Product Tgt'!$B:$B,'Product Tgt'!$D:$D),0),0)</f>
        <v>0</v>
      </c>
      <c r="CG17" s="11">
        <f>ROUND(IFERROR(BA17/_xlfn.XLOOKUP(CG$7,'Product Tgt'!$B:$B,'Product Tgt'!$D:$D),0),0)</f>
        <v>0</v>
      </c>
      <c r="CH17" s="11">
        <f>ROUND(IFERROR(BB17/_xlfn.XLOOKUP(CH$7,'Product Tgt'!$B:$B,'Product Tgt'!$D:$D),0),0)</f>
        <v>0</v>
      </c>
      <c r="CI17" s="11">
        <f>ROUND(IFERROR(BC17/_xlfn.XLOOKUP(CI$7,'Product Tgt'!$B:$B,'Product Tgt'!$D:$D),0),0)</f>
        <v>0</v>
      </c>
      <c r="CJ17" s="11">
        <f>ROUND(IFERROR(BD17/_xlfn.XLOOKUP(CJ$7,'Product Tgt'!$B:$B,'Product Tgt'!$D:$D),0),0)</f>
        <v>0</v>
      </c>
      <c r="CK17" s="11">
        <f>ROUND(IFERROR(BE17/_xlfn.XLOOKUP(CK$7,'Product Tgt'!$B:$B,'Product Tgt'!$D:$D),0),0)</f>
        <v>0</v>
      </c>
      <c r="CL17" s="11">
        <f>ROUND(IFERROR(BF17/_xlfn.XLOOKUP(CL$7,'Product Tgt'!$B:$B,'Product Tgt'!$D:$D),0),0)</f>
        <v>0</v>
      </c>
      <c r="CM17" s="11">
        <f>ROUND(IFERROR(BG17/_xlfn.XLOOKUP(CM$7,'Product Tgt'!$B:$B,'Product Tgt'!$D:$D),0),0)</f>
        <v>0</v>
      </c>
      <c r="CN17" s="11">
        <f>ROUND(IFERROR(BH17/_xlfn.XLOOKUP(CN$7,'Product Tgt'!$B:$B,'Product Tgt'!$D:$D),0),0)</f>
        <v>0</v>
      </c>
      <c r="CO17" s="11">
        <f>ROUND(IFERROR(BI17/_xlfn.XLOOKUP(CO$7,'Product Tgt'!$B:$B,'Product Tgt'!$D:$D),0),0)</f>
        <v>0</v>
      </c>
      <c r="CP17" s="11">
        <f>ROUND(IFERROR(BJ17/_xlfn.XLOOKUP(CP$7,'Product Tgt'!$B:$B,'Product Tgt'!$D:$D),0),0)</f>
        <v>0</v>
      </c>
      <c r="CQ17" s="11">
        <f>ROUND(IFERROR(BK17/_xlfn.XLOOKUP(CQ$7,'Product Tgt'!$B:$B,'Product Tgt'!$D:$D),0),0)</f>
        <v>0</v>
      </c>
      <c r="CR17" s="11">
        <f>ROUND(IFERROR(BL17/_xlfn.XLOOKUP(CR$7,'Product Tgt'!$B:$B,'Product Tgt'!$D:$D),0),0)</f>
        <v>0</v>
      </c>
      <c r="CS17" s="11">
        <f>ROUND(IFERROR(BM17/_xlfn.XLOOKUP(CS$7,'Product Tgt'!$B:$B,'Product Tgt'!$D:$D),0),0)</f>
        <v>0</v>
      </c>
      <c r="CT17" s="11">
        <f>ROUND(IFERROR(BN17/_xlfn.XLOOKUP(CT$7,'Product Tgt'!$B:$B,'Product Tgt'!$D:$D),0),0)</f>
        <v>0</v>
      </c>
      <c r="CU17" s="11">
        <f>ROUND(IFERROR(BO17/_xlfn.XLOOKUP(CU$7,'Product Tgt'!$B:$B,'Product Tgt'!$D:$D),0),0)</f>
        <v>0</v>
      </c>
      <c r="CV17" s="11">
        <f>ROUND(IFERROR(BP17/_xlfn.XLOOKUP(CV$7,'Product Tgt'!$B:$B,'Product Tgt'!$D:$D),0),0)</f>
        <v>0</v>
      </c>
      <c r="CW17" s="11">
        <f>ROUND(IFERROR(BQ17/_xlfn.XLOOKUP(CW$7,'Product Tgt'!$B:$B,'Product Tgt'!$D:$D),0),0)</f>
        <v>0</v>
      </c>
      <c r="CX17" s="11">
        <f>ROUND(IFERROR(#REF!/_xlfn.XLOOKUP(CX$7,'Product Tgt'!$B:$B,'Product Tgt'!$D:$D),0),0)</f>
        <v>0</v>
      </c>
      <c r="CY17" s="11">
        <f>ROUND(IFERROR(#REF!/_xlfn.XLOOKUP(CY$7,'Product Tgt'!$B:$B,'Product Tgt'!$D:$D),0),0)</f>
        <v>0</v>
      </c>
      <c r="CZ17" s="11">
        <f>ROUND(IFERROR(#REF!/_xlfn.XLOOKUP(CZ$7,'Product Tgt'!$B:$B,'Product Tgt'!$D:$D),0),0)</f>
        <v>0</v>
      </c>
      <c r="DA17" s="10">
        <f>IFERROR(BR17*_xlfn.XLOOKUP(DA$7,'Product Tgt'!$B:$B,'Product Tgt'!$D:$D),0)</f>
        <v>0</v>
      </c>
      <c r="DB17">
        <f>IFERROR(BS17*_xlfn.XLOOKUP(DB$7,'Product Tgt'!$B:$B,'Product Tgt'!$D:$D),0)</f>
        <v>0</v>
      </c>
      <c r="DC17">
        <f>IFERROR(BT17*_xlfn.XLOOKUP(DC$7,'Product Tgt'!$B:$B,'Product Tgt'!$D:$D),0)</f>
        <v>0</v>
      </c>
      <c r="DD17">
        <f>IFERROR(BU17*_xlfn.XLOOKUP(DD$7,'Product Tgt'!$B:$B,'Product Tgt'!$D:$D),0)</f>
        <v>0</v>
      </c>
      <c r="DE17">
        <f>IFERROR(BV17*_xlfn.XLOOKUP(DE$7,'Product Tgt'!$B:$B,'Product Tgt'!$D:$D),0)</f>
        <v>0</v>
      </c>
      <c r="DF17">
        <f>IFERROR(BW17*_xlfn.XLOOKUP(DF$7,'Product Tgt'!$B:$B,'Product Tgt'!$D:$D),0)</f>
        <v>0</v>
      </c>
      <c r="DG17">
        <f>IFERROR(BX17*_xlfn.XLOOKUP(DG$7,'Product Tgt'!$B:$B,'Product Tgt'!$D:$D),0)</f>
        <v>0</v>
      </c>
      <c r="DH17">
        <f>IFERROR(BY17*_xlfn.XLOOKUP(DH$7,'Product Tgt'!$B:$B,'Product Tgt'!$D:$D),0)</f>
        <v>0</v>
      </c>
      <c r="DI17">
        <f>IFERROR(BZ17*_xlfn.XLOOKUP(DI$7,'Product Tgt'!$B:$B,'Product Tgt'!$D:$D),0)</f>
        <v>0</v>
      </c>
      <c r="DJ17">
        <f>IFERROR(CA17*_xlfn.XLOOKUP(DJ$7,'Product Tgt'!$B:$B,'Product Tgt'!$D:$D),0)</f>
        <v>0</v>
      </c>
      <c r="DK17">
        <f>IFERROR(CB17*_xlfn.XLOOKUP(DK$7,'Product Tgt'!$B:$B,'Product Tgt'!$D:$D),0)</f>
        <v>0</v>
      </c>
      <c r="DL17">
        <f>IFERROR(CC17*_xlfn.XLOOKUP(DL$7,'Product Tgt'!$B:$B,'Product Tgt'!$D:$D),0)</f>
        <v>0</v>
      </c>
      <c r="DM17">
        <f>IFERROR(CD17*_xlfn.XLOOKUP(DM$7,'Product Tgt'!$B:$B,'Product Tgt'!$D:$D),0)</f>
        <v>0</v>
      </c>
      <c r="DN17">
        <f>IFERROR(CE17*_xlfn.XLOOKUP(DN$7,'Product Tgt'!$B:$B,'Product Tgt'!$D:$D),0)</f>
        <v>0</v>
      </c>
      <c r="DO17">
        <f>IFERROR(CF17*_xlfn.XLOOKUP(DO$7,'Product Tgt'!$B:$B,'Product Tgt'!$D:$D),0)</f>
        <v>0</v>
      </c>
      <c r="DP17">
        <f>IFERROR(CG17*_xlfn.XLOOKUP(DP$7,'Product Tgt'!$B:$B,'Product Tgt'!$D:$D),0)</f>
        <v>0</v>
      </c>
      <c r="DQ17">
        <f>IFERROR(CH17*_xlfn.XLOOKUP(DQ$7,'Product Tgt'!$B:$B,'Product Tgt'!$D:$D),0)</f>
        <v>0</v>
      </c>
      <c r="DR17">
        <f>IFERROR(CI17*_xlfn.XLOOKUP(DR$7,'Product Tgt'!$B:$B,'Product Tgt'!$D:$D),0)</f>
        <v>0</v>
      </c>
      <c r="DS17">
        <f>IFERROR(CJ17*_xlfn.XLOOKUP(DS$7,'Product Tgt'!$B:$B,'Product Tgt'!$D:$D),0)</f>
        <v>0</v>
      </c>
      <c r="DT17">
        <f>IFERROR(CK17*_xlfn.XLOOKUP(DT$7,'Product Tgt'!$B:$B,'Product Tgt'!$D:$D),0)</f>
        <v>0</v>
      </c>
      <c r="DU17">
        <f>IFERROR(CL17*_xlfn.XLOOKUP(DU$7,'Product Tgt'!$B:$B,'Product Tgt'!$D:$D),0)</f>
        <v>0</v>
      </c>
      <c r="DV17">
        <f>IFERROR(CM17*_xlfn.XLOOKUP(DV$7,'Product Tgt'!$B:$B,'Product Tgt'!$D:$D),0)</f>
        <v>0</v>
      </c>
      <c r="DW17">
        <f>IFERROR(CN17*_xlfn.XLOOKUP(DW$7,'Product Tgt'!$B:$B,'Product Tgt'!$D:$D),0)</f>
        <v>0</v>
      </c>
      <c r="DX17">
        <f>IFERROR(CO17*_xlfn.XLOOKUP(DX$7,'Product Tgt'!$B:$B,'Product Tgt'!$D:$D),0)</f>
        <v>0</v>
      </c>
      <c r="DY17">
        <f>IFERROR(CP17*_xlfn.XLOOKUP(DY$7,'Product Tgt'!$B:$B,'Product Tgt'!$D:$D),0)</f>
        <v>0</v>
      </c>
      <c r="DZ17">
        <f>IFERROR(CQ17*_xlfn.XLOOKUP(DZ$7,'Product Tgt'!$B:$B,'Product Tgt'!$D:$D),0)</f>
        <v>0</v>
      </c>
      <c r="EA17">
        <f>IFERROR(CR17*_xlfn.XLOOKUP(EA$7,'Product Tgt'!$B:$B,'Product Tgt'!$D:$D),0)</f>
        <v>0</v>
      </c>
      <c r="EB17">
        <f>IFERROR(CS17*_xlfn.XLOOKUP(EB$7,'Product Tgt'!$B:$B,'Product Tgt'!$D:$D),0)</f>
        <v>0</v>
      </c>
      <c r="EC17">
        <f>IFERROR(CT17*_xlfn.XLOOKUP(EC$7,'Product Tgt'!$B:$B,'Product Tgt'!$D:$D),0)</f>
        <v>0</v>
      </c>
      <c r="ED17">
        <f>IFERROR(CU17*_xlfn.XLOOKUP(ED$7,'Product Tgt'!$B:$B,'Product Tgt'!$D:$D),0)</f>
        <v>0</v>
      </c>
      <c r="EE17">
        <f>IFERROR(CV17*_xlfn.XLOOKUP(EE$7,'Product Tgt'!$B:$B,'Product Tgt'!$D:$D),0)</f>
        <v>0</v>
      </c>
      <c r="EF17">
        <f>IFERROR(CW17*_xlfn.XLOOKUP(EF$7,'Product Tgt'!$B:$B,'Product Tgt'!$D:$D),0)</f>
        <v>0</v>
      </c>
      <c r="EG17">
        <f>IFERROR(CX17*_xlfn.XLOOKUP(EG$7,'Product Tgt'!$B:$B,'Product Tgt'!$D:$D),0)</f>
        <v>0</v>
      </c>
      <c r="EH17">
        <f>IFERROR(CY17*_xlfn.XLOOKUP(EH$7,'Product Tgt'!$B:$B,'Product Tgt'!$D:$D),0)</f>
        <v>0</v>
      </c>
      <c r="EI17">
        <f>IFERROR(CZ17*_xlfn.XLOOKUP(EI$7,'Product Tgt'!$B:$B,'Product Tgt'!$D:$D),0)</f>
        <v>0</v>
      </c>
    </row>
    <row r="18" spans="2:139" x14ac:dyDescent="0.35">
      <c r="B18" s="7" t="s">
        <v>165</v>
      </c>
      <c r="C18" s="3">
        <f>_xlfn.XLOOKUP($B18,'Terr Target'!$A:$A,'Terr Target'!$E:$E)</f>
        <v>472811.12250133458</v>
      </c>
      <c r="D18" s="3">
        <f t="shared" si="3"/>
        <v>472815</v>
      </c>
      <c r="E18" s="4">
        <f t="shared" si="4"/>
        <v>3.8774986654170789</v>
      </c>
      <c r="F18" s="9">
        <f t="shared" si="5"/>
        <v>8.2008791290823652E-6</v>
      </c>
      <c r="G18" s="5">
        <f t="shared" si="6"/>
        <v>0.99999179912087088</v>
      </c>
      <c r="H18" s="38">
        <v>57458.740157264947</v>
      </c>
      <c r="I18" s="11">
        <v>96301.436001211201</v>
      </c>
      <c r="J18" s="11">
        <v>37966.630375256893</v>
      </c>
      <c r="K18" s="11">
        <v>32925.023791590997</v>
      </c>
      <c r="L18" s="11">
        <v>47735.430684627223</v>
      </c>
      <c r="M18" s="11">
        <v>38058.989651414486</v>
      </c>
      <c r="N18" s="11">
        <v>474.16485713460452</v>
      </c>
      <c r="O18" s="11">
        <v>3734.4912290616307</v>
      </c>
      <c r="P18" s="11">
        <v>2382.8932831735115</v>
      </c>
      <c r="Q18" s="11">
        <v>959.35053580811723</v>
      </c>
      <c r="R18" s="11">
        <v>8716.7510880456339</v>
      </c>
      <c r="S18" s="11">
        <v>17483.135803529178</v>
      </c>
      <c r="T18" s="11">
        <v>0</v>
      </c>
      <c r="U18" s="11">
        <v>2266.0566026559554</v>
      </c>
      <c r="V18" s="11">
        <v>21775.156817869818</v>
      </c>
      <c r="W18" s="11">
        <v>32322.80177983582</v>
      </c>
      <c r="X18" s="11">
        <v>5568.3399609308362</v>
      </c>
      <c r="Y18" s="11">
        <v>12162.824222993011</v>
      </c>
      <c r="Z18" s="11">
        <v>347.42540943715949</v>
      </c>
      <c r="AA18" s="11">
        <v>9876.842294438813</v>
      </c>
      <c r="AB18" s="11">
        <v>2168.2468114981443</v>
      </c>
      <c r="AC18" s="11">
        <v>521.09319232881444</v>
      </c>
      <c r="AD18" s="11">
        <v>4460.1983517192521</v>
      </c>
      <c r="AE18" s="11">
        <v>10071.463613933878</v>
      </c>
      <c r="AF18" s="11">
        <v>1119.0226739556151</v>
      </c>
      <c r="AG18" s="11">
        <v>18410.931251579605</v>
      </c>
      <c r="AH18" s="11">
        <v>2012.4978462354211</v>
      </c>
      <c r="AI18" s="11">
        <v>12299.63614254984</v>
      </c>
      <c r="AJ18" s="11">
        <v>10391.925944587894</v>
      </c>
      <c r="AK18" s="11">
        <v>1597.3802349365435</v>
      </c>
      <c r="AL18" s="49">
        <v>3251.9908773754069</v>
      </c>
      <c r="AM18" s="41">
        <f>IFERROR(ROUND(_xlfn.XLOOKUP(AM$7,'Product Tgt'!$B:$B,'Product Tgt'!$G:$G)*H18/H$121,0),0)</f>
        <v>55859</v>
      </c>
      <c r="AN18" s="41">
        <f>IFERROR(ROUND(_xlfn.XLOOKUP(AN$7,'Product Tgt'!$B:$B,'Product Tgt'!$G:$G)*I18/I$121,0),0)</f>
        <v>94799</v>
      </c>
      <c r="AO18" s="41">
        <f>IFERROR(ROUND(_xlfn.XLOOKUP(AO$7,'Product Tgt'!$B:$B,'Product Tgt'!$G:$G)*J18/J$121,0),0)</f>
        <v>36786</v>
      </c>
      <c r="AP18" s="41">
        <f>IFERROR(ROUND(_xlfn.XLOOKUP(AP$7,'Product Tgt'!$B:$B,'Product Tgt'!$G:$G)*K18/K$121,0),0)</f>
        <v>32119</v>
      </c>
      <c r="AQ18" s="41">
        <f>IFERROR(ROUND(_xlfn.XLOOKUP(AQ$7,'Product Tgt'!$B:$B,'Product Tgt'!$G:$G)*L18/L$121,0),0)</f>
        <v>46157</v>
      </c>
      <c r="AR18" s="41">
        <f>IFERROR(ROUND(_xlfn.XLOOKUP(AR$7,'Product Tgt'!$B:$B,'Product Tgt'!$G:$G)*M18/M$121,0),0)</f>
        <v>36871</v>
      </c>
      <c r="AS18" s="41">
        <f>IFERROR(ROUND(_xlfn.XLOOKUP(AS$7,'Product Tgt'!$B:$B,'Product Tgt'!$G:$G)*N18/N$121,0),0)</f>
        <v>438</v>
      </c>
      <c r="AT18" s="41">
        <f>IFERROR(ROUND(_xlfn.XLOOKUP(AT$7,'Product Tgt'!$B:$B,'Product Tgt'!$G:$G)*O18/O$121,0),0)</f>
        <v>3361</v>
      </c>
      <c r="AU18" s="41">
        <f>IFERROR(ROUND(_xlfn.XLOOKUP(AU$7,'Product Tgt'!$B:$B,'Product Tgt'!$G:$G)*P18/P$121,0),0)</f>
        <v>1016</v>
      </c>
      <c r="AV18" s="41">
        <f>IFERROR(ROUND(_xlfn.XLOOKUP(AV$7,'Product Tgt'!$B:$B,'Product Tgt'!$G:$G)*Q18/Q$121,0),0)</f>
        <v>720</v>
      </c>
      <c r="AW18" s="41">
        <f>IFERROR(ROUND(_xlfn.XLOOKUP(AW$7,'Product Tgt'!$B:$B,'Product Tgt'!$G:$G)*R18/R$121,0),0)</f>
        <v>8395</v>
      </c>
      <c r="AX18" s="41">
        <f>IFERROR(ROUND(_xlfn.XLOOKUP(AX$7,'Product Tgt'!$B:$B,'Product Tgt'!$G:$G)*S18/S$121,0),0)</f>
        <v>16839</v>
      </c>
      <c r="AY18" s="41">
        <f>IFERROR(ROUND(_xlfn.XLOOKUP(AY$7,'Product Tgt'!$B:$B,'Product Tgt'!$G:$G)*T18/T$121,0),0)</f>
        <v>0</v>
      </c>
      <c r="AZ18" s="41">
        <f>IFERROR(ROUND(_xlfn.XLOOKUP(AZ$7,'Product Tgt'!$B:$B,'Product Tgt'!$G:$G)*U18/U$121,0),0)</f>
        <v>2169</v>
      </c>
      <c r="BA18" s="41">
        <f>IFERROR(ROUND(_xlfn.XLOOKUP(BA$7,'Product Tgt'!$B:$B,'Product Tgt'!$G:$G)*V18/V$121,0),0)</f>
        <v>20965</v>
      </c>
      <c r="BB18" s="41">
        <f>IFERROR(ROUND(_xlfn.XLOOKUP(BB$7,'Product Tgt'!$B:$B,'Product Tgt'!$G:$G)*W18/W$121,0),0)</f>
        <v>30940</v>
      </c>
      <c r="BC18" s="41">
        <f>IFERROR(ROUND(_xlfn.XLOOKUP(BC$7,'Product Tgt'!$B:$B,'Product Tgt'!$G:$G)*X18/X$121,0),0)</f>
        <v>5388</v>
      </c>
      <c r="BD18" s="41">
        <f>IFERROR(ROUND(_xlfn.XLOOKUP(BD$7,'Product Tgt'!$B:$B,'Product Tgt'!$G:$G)*Y18/Y$121,0),0)</f>
        <v>11761</v>
      </c>
      <c r="BE18" s="41">
        <f>IFERROR(ROUND(_xlfn.XLOOKUP(BE$7,'Product Tgt'!$B:$B,'Product Tgt'!$G:$G)*Z18/Z$121,0),0)</f>
        <v>330</v>
      </c>
      <c r="BF18" s="41">
        <f>IFERROR(ROUND(_xlfn.XLOOKUP(BF$7,'Product Tgt'!$B:$B,'Product Tgt'!$G:$G)*AA18/AA$121,0),0)</f>
        <v>8004</v>
      </c>
      <c r="BG18" s="41">
        <f>IFERROR(ROUND(_xlfn.XLOOKUP(BG$7,'Product Tgt'!$B:$B,'Product Tgt'!$G:$G)*AB18/AB$121,0),0)</f>
        <v>1738</v>
      </c>
      <c r="BH18" s="41">
        <f>IFERROR(ROUND(_xlfn.XLOOKUP(BH$7,'Product Tgt'!$B:$B,'Product Tgt'!$G:$G)*AC18/AC$121,0),0)</f>
        <v>446</v>
      </c>
      <c r="BI18" s="41">
        <f>IFERROR(ROUND(_xlfn.XLOOKUP(BI$7,'Product Tgt'!$B:$B,'Product Tgt'!$G:$G)*AD18/AD$121,0),0)</f>
        <v>3883</v>
      </c>
      <c r="BJ18" s="41">
        <f>IFERROR(ROUND(_xlfn.XLOOKUP(BJ$7,'Product Tgt'!$B:$B,'Product Tgt'!$G:$G)*AE18/AE$121,0),0)</f>
        <v>9374</v>
      </c>
      <c r="BK18" s="41">
        <f>IFERROR(ROUND(_xlfn.XLOOKUP(BK$7,'Product Tgt'!$B:$B,'Product Tgt'!$G:$G)*AF18/AF$121,0),0)</f>
        <v>1250</v>
      </c>
      <c r="BL18" s="41">
        <f>IFERROR(ROUND(_xlfn.XLOOKUP(BL$7,'Product Tgt'!$B:$B,'Product Tgt'!$G:$G)*AG18/AG$121,0),0)</f>
        <v>17586</v>
      </c>
      <c r="BM18" s="41">
        <f>IFERROR(ROUND(_xlfn.XLOOKUP(BM$7,'Product Tgt'!$B:$B,'Product Tgt'!$G:$G)*AH18/AH$121,0),0)</f>
        <v>1578</v>
      </c>
      <c r="BN18" s="41">
        <f>IFERROR(ROUND(_xlfn.XLOOKUP(BN$7,'Product Tgt'!$B:$B,'Product Tgt'!$G:$G)*AI18/AI$121,0),0)</f>
        <v>11296</v>
      </c>
      <c r="BO18" s="41">
        <f>IFERROR(ROUND(_xlfn.XLOOKUP(BO$7,'Product Tgt'!$B:$B,'Product Tgt'!$G:$G)*AJ18/AJ$121,0),0)</f>
        <v>8989</v>
      </c>
      <c r="BP18" s="41">
        <f>IFERROR(ROUND(_xlfn.XLOOKUP(BP$7,'Product Tgt'!$B:$B,'Product Tgt'!$G:$G)*AK18/AK$121,0),0)</f>
        <v>1216</v>
      </c>
      <c r="BQ18" s="41">
        <f>IFERROR(ROUND(_xlfn.XLOOKUP(BQ$7,'Product Tgt'!$B:$B,'Product Tgt'!$G:$G)*AL18/AL$121,0),0)</f>
        <v>2542</v>
      </c>
      <c r="BR18" s="25">
        <f>ROUND(IFERROR(AM18/_xlfn.XLOOKUP(BR$7,'Product Tgt'!$B:$B,'Product Tgt'!$D:$D),0),0)</f>
        <v>0</v>
      </c>
      <c r="BS18" s="11">
        <f>ROUND(IFERROR(AN18/_xlfn.XLOOKUP(BS$7,'Product Tgt'!$B:$B,'Product Tgt'!$D:$D),0),0)</f>
        <v>0</v>
      </c>
      <c r="BT18" s="11">
        <f>ROUND(IFERROR(AO18/_xlfn.XLOOKUP(BT$7,'Product Tgt'!$B:$B,'Product Tgt'!$D:$D),0),0)</f>
        <v>0</v>
      </c>
      <c r="BU18" s="11">
        <f>ROUND(IFERROR(AP18/_xlfn.XLOOKUP(BU$7,'Product Tgt'!$B:$B,'Product Tgt'!$D:$D),0),0)</f>
        <v>0</v>
      </c>
      <c r="BV18" s="11">
        <f>ROUND(IFERROR(AQ18/_xlfn.XLOOKUP(BV$7,'Product Tgt'!$B:$B,'Product Tgt'!$D:$D),0),0)</f>
        <v>0</v>
      </c>
      <c r="BW18" s="11">
        <f>ROUND(IFERROR(AU18/_xlfn.XLOOKUP(BW$7,'Product Tgt'!$B:$B,'Product Tgt'!$D:$D),0),0)</f>
        <v>0</v>
      </c>
      <c r="BX18" s="11">
        <f>ROUND(IFERROR(#REF!/_xlfn.XLOOKUP(BX$7,'Product Tgt'!$B:$B,'Product Tgt'!$D:$D),0),0)</f>
        <v>0</v>
      </c>
      <c r="BY18" s="11">
        <f>ROUND(IFERROR(#REF!/_xlfn.XLOOKUP(BY$7,'Product Tgt'!$B:$B,'Product Tgt'!$D:$D),0),0)</f>
        <v>0</v>
      </c>
      <c r="BZ18" s="11">
        <f>ROUND(IFERROR(#REF!/_xlfn.XLOOKUP(BZ$7,'Product Tgt'!$B:$B,'Product Tgt'!$D:$D),0),0)</f>
        <v>0</v>
      </c>
      <c r="CA18" s="11">
        <f>ROUND(IFERROR(#REF!/_xlfn.XLOOKUP(CA$7,'Product Tgt'!$B:$B,'Product Tgt'!$D:$D),0),0)</f>
        <v>0</v>
      </c>
      <c r="CB18" s="11">
        <f>ROUND(IFERROR(AV18/_xlfn.XLOOKUP(CB$7,'Product Tgt'!$B:$B,'Product Tgt'!$D:$D),0),0)</f>
        <v>0</v>
      </c>
      <c r="CC18" s="11">
        <f>ROUND(IFERROR(AW18/_xlfn.XLOOKUP(CC$7,'Product Tgt'!$B:$B,'Product Tgt'!$D:$D),0),0)</f>
        <v>0</v>
      </c>
      <c r="CD18" s="11">
        <f>ROUND(IFERROR(AX18/_xlfn.XLOOKUP(CD$7,'Product Tgt'!$B:$B,'Product Tgt'!$D:$D),0),0)</f>
        <v>0</v>
      </c>
      <c r="CE18" s="11">
        <f>ROUND(IFERROR(AY18/_xlfn.XLOOKUP(CE$7,'Product Tgt'!$B:$B,'Product Tgt'!$D:$D),0),0)</f>
        <v>0</v>
      </c>
      <c r="CF18" s="11">
        <f>ROUND(IFERROR(AZ18/_xlfn.XLOOKUP(CF$7,'Product Tgt'!$B:$B,'Product Tgt'!$D:$D),0),0)</f>
        <v>0</v>
      </c>
      <c r="CG18" s="11">
        <f>ROUND(IFERROR(BA18/_xlfn.XLOOKUP(CG$7,'Product Tgt'!$B:$B,'Product Tgt'!$D:$D),0),0)</f>
        <v>0</v>
      </c>
      <c r="CH18" s="11">
        <f>ROUND(IFERROR(BB18/_xlfn.XLOOKUP(CH$7,'Product Tgt'!$B:$B,'Product Tgt'!$D:$D),0),0)</f>
        <v>0</v>
      </c>
      <c r="CI18" s="11">
        <f>ROUND(IFERROR(BC18/_xlfn.XLOOKUP(CI$7,'Product Tgt'!$B:$B,'Product Tgt'!$D:$D),0),0)</f>
        <v>0</v>
      </c>
      <c r="CJ18" s="11">
        <f>ROUND(IFERROR(BD18/_xlfn.XLOOKUP(CJ$7,'Product Tgt'!$B:$B,'Product Tgt'!$D:$D),0),0)</f>
        <v>0</v>
      </c>
      <c r="CK18" s="11">
        <f>ROUND(IFERROR(BE18/_xlfn.XLOOKUP(CK$7,'Product Tgt'!$B:$B,'Product Tgt'!$D:$D),0),0)</f>
        <v>0</v>
      </c>
      <c r="CL18" s="11">
        <f>ROUND(IFERROR(BF18/_xlfn.XLOOKUP(CL$7,'Product Tgt'!$B:$B,'Product Tgt'!$D:$D),0),0)</f>
        <v>0</v>
      </c>
      <c r="CM18" s="11">
        <f>ROUND(IFERROR(BG18/_xlfn.XLOOKUP(CM$7,'Product Tgt'!$B:$B,'Product Tgt'!$D:$D),0),0)</f>
        <v>0</v>
      </c>
      <c r="CN18" s="11">
        <f>ROUND(IFERROR(BH18/_xlfn.XLOOKUP(CN$7,'Product Tgt'!$B:$B,'Product Tgt'!$D:$D),0),0)</f>
        <v>0</v>
      </c>
      <c r="CO18" s="11">
        <f>ROUND(IFERROR(BI18/_xlfn.XLOOKUP(CO$7,'Product Tgt'!$B:$B,'Product Tgt'!$D:$D),0),0)</f>
        <v>0</v>
      </c>
      <c r="CP18" s="11">
        <f>ROUND(IFERROR(BJ18/_xlfn.XLOOKUP(CP$7,'Product Tgt'!$B:$B,'Product Tgt'!$D:$D),0),0)</f>
        <v>0</v>
      </c>
      <c r="CQ18" s="11">
        <f>ROUND(IFERROR(BK18/_xlfn.XLOOKUP(CQ$7,'Product Tgt'!$B:$B,'Product Tgt'!$D:$D),0),0)</f>
        <v>0</v>
      </c>
      <c r="CR18" s="11">
        <f>ROUND(IFERROR(BL18/_xlfn.XLOOKUP(CR$7,'Product Tgt'!$B:$B,'Product Tgt'!$D:$D),0),0)</f>
        <v>0</v>
      </c>
      <c r="CS18" s="11">
        <f>ROUND(IFERROR(BM18/_xlfn.XLOOKUP(CS$7,'Product Tgt'!$B:$B,'Product Tgt'!$D:$D),0),0)</f>
        <v>0</v>
      </c>
      <c r="CT18" s="11">
        <f>ROUND(IFERROR(BN18/_xlfn.XLOOKUP(CT$7,'Product Tgt'!$B:$B,'Product Tgt'!$D:$D),0),0)</f>
        <v>0</v>
      </c>
      <c r="CU18" s="11">
        <f>ROUND(IFERROR(BO18/_xlfn.XLOOKUP(CU$7,'Product Tgt'!$B:$B,'Product Tgt'!$D:$D),0),0)</f>
        <v>0</v>
      </c>
      <c r="CV18" s="11">
        <f>ROUND(IFERROR(BP18/_xlfn.XLOOKUP(CV$7,'Product Tgt'!$B:$B,'Product Tgt'!$D:$D),0),0)</f>
        <v>0</v>
      </c>
      <c r="CW18" s="11">
        <f>ROUND(IFERROR(BQ18/_xlfn.XLOOKUP(CW$7,'Product Tgt'!$B:$B,'Product Tgt'!$D:$D),0),0)</f>
        <v>0</v>
      </c>
      <c r="CX18" s="11">
        <f>ROUND(IFERROR(#REF!/_xlfn.XLOOKUP(CX$7,'Product Tgt'!$B:$B,'Product Tgt'!$D:$D),0),0)</f>
        <v>0</v>
      </c>
      <c r="CY18" s="11">
        <f>ROUND(IFERROR(#REF!/_xlfn.XLOOKUP(CY$7,'Product Tgt'!$B:$B,'Product Tgt'!$D:$D),0),0)</f>
        <v>0</v>
      </c>
      <c r="CZ18" s="11">
        <f>ROUND(IFERROR(#REF!/_xlfn.XLOOKUP(CZ$7,'Product Tgt'!$B:$B,'Product Tgt'!$D:$D),0),0)</f>
        <v>0</v>
      </c>
      <c r="DA18" s="10">
        <f>IFERROR(BR18*_xlfn.XLOOKUP(DA$7,'Product Tgt'!$B:$B,'Product Tgt'!$D:$D),0)</f>
        <v>0</v>
      </c>
      <c r="DB18">
        <f>IFERROR(BS18*_xlfn.XLOOKUP(DB$7,'Product Tgt'!$B:$B,'Product Tgt'!$D:$D),0)</f>
        <v>0</v>
      </c>
      <c r="DC18">
        <f>IFERROR(BT18*_xlfn.XLOOKUP(DC$7,'Product Tgt'!$B:$B,'Product Tgt'!$D:$D),0)</f>
        <v>0</v>
      </c>
      <c r="DD18">
        <f>IFERROR(BU18*_xlfn.XLOOKUP(DD$7,'Product Tgt'!$B:$B,'Product Tgt'!$D:$D),0)</f>
        <v>0</v>
      </c>
      <c r="DE18">
        <f>IFERROR(BV18*_xlfn.XLOOKUP(DE$7,'Product Tgt'!$B:$B,'Product Tgt'!$D:$D),0)</f>
        <v>0</v>
      </c>
      <c r="DF18">
        <f>IFERROR(BW18*_xlfn.XLOOKUP(DF$7,'Product Tgt'!$B:$B,'Product Tgt'!$D:$D),0)</f>
        <v>0</v>
      </c>
      <c r="DG18">
        <f>IFERROR(BX18*_xlfn.XLOOKUP(DG$7,'Product Tgt'!$B:$B,'Product Tgt'!$D:$D),0)</f>
        <v>0</v>
      </c>
      <c r="DH18">
        <f>IFERROR(BY18*_xlfn.XLOOKUP(DH$7,'Product Tgt'!$B:$B,'Product Tgt'!$D:$D),0)</f>
        <v>0</v>
      </c>
      <c r="DI18">
        <f>IFERROR(BZ18*_xlfn.XLOOKUP(DI$7,'Product Tgt'!$B:$B,'Product Tgt'!$D:$D),0)</f>
        <v>0</v>
      </c>
      <c r="DJ18">
        <f>IFERROR(CA18*_xlfn.XLOOKUP(DJ$7,'Product Tgt'!$B:$B,'Product Tgt'!$D:$D),0)</f>
        <v>0</v>
      </c>
      <c r="DK18">
        <f>IFERROR(CB18*_xlfn.XLOOKUP(DK$7,'Product Tgt'!$B:$B,'Product Tgt'!$D:$D),0)</f>
        <v>0</v>
      </c>
      <c r="DL18">
        <f>IFERROR(CC18*_xlfn.XLOOKUP(DL$7,'Product Tgt'!$B:$B,'Product Tgt'!$D:$D),0)</f>
        <v>0</v>
      </c>
      <c r="DM18">
        <f>IFERROR(CD18*_xlfn.XLOOKUP(DM$7,'Product Tgt'!$B:$B,'Product Tgt'!$D:$D),0)</f>
        <v>0</v>
      </c>
      <c r="DN18">
        <f>IFERROR(CE18*_xlfn.XLOOKUP(DN$7,'Product Tgt'!$B:$B,'Product Tgt'!$D:$D),0)</f>
        <v>0</v>
      </c>
      <c r="DO18">
        <f>IFERROR(CF18*_xlfn.XLOOKUP(DO$7,'Product Tgt'!$B:$B,'Product Tgt'!$D:$D),0)</f>
        <v>0</v>
      </c>
      <c r="DP18">
        <f>IFERROR(CG18*_xlfn.XLOOKUP(DP$7,'Product Tgt'!$B:$B,'Product Tgt'!$D:$D),0)</f>
        <v>0</v>
      </c>
      <c r="DQ18">
        <f>IFERROR(CH18*_xlfn.XLOOKUP(DQ$7,'Product Tgt'!$B:$B,'Product Tgt'!$D:$D),0)</f>
        <v>0</v>
      </c>
      <c r="DR18">
        <f>IFERROR(CI18*_xlfn.XLOOKUP(DR$7,'Product Tgt'!$B:$B,'Product Tgt'!$D:$D),0)</f>
        <v>0</v>
      </c>
      <c r="DS18">
        <f>IFERROR(CJ18*_xlfn.XLOOKUP(DS$7,'Product Tgt'!$B:$B,'Product Tgt'!$D:$D),0)</f>
        <v>0</v>
      </c>
      <c r="DT18">
        <f>IFERROR(CK18*_xlfn.XLOOKUP(DT$7,'Product Tgt'!$B:$B,'Product Tgt'!$D:$D),0)</f>
        <v>0</v>
      </c>
      <c r="DU18">
        <f>IFERROR(CL18*_xlfn.XLOOKUP(DU$7,'Product Tgt'!$B:$B,'Product Tgt'!$D:$D),0)</f>
        <v>0</v>
      </c>
      <c r="DV18">
        <f>IFERROR(CM18*_xlfn.XLOOKUP(DV$7,'Product Tgt'!$B:$B,'Product Tgt'!$D:$D),0)</f>
        <v>0</v>
      </c>
      <c r="DW18">
        <f>IFERROR(CN18*_xlfn.XLOOKUP(DW$7,'Product Tgt'!$B:$B,'Product Tgt'!$D:$D),0)</f>
        <v>0</v>
      </c>
      <c r="DX18">
        <f>IFERROR(CO18*_xlfn.XLOOKUP(DX$7,'Product Tgt'!$B:$B,'Product Tgt'!$D:$D),0)</f>
        <v>0</v>
      </c>
      <c r="DY18">
        <f>IFERROR(CP18*_xlfn.XLOOKUP(DY$7,'Product Tgt'!$B:$B,'Product Tgt'!$D:$D),0)</f>
        <v>0</v>
      </c>
      <c r="DZ18">
        <f>IFERROR(CQ18*_xlfn.XLOOKUP(DZ$7,'Product Tgt'!$B:$B,'Product Tgt'!$D:$D),0)</f>
        <v>0</v>
      </c>
      <c r="EA18">
        <f>IFERROR(CR18*_xlfn.XLOOKUP(EA$7,'Product Tgt'!$B:$B,'Product Tgt'!$D:$D),0)</f>
        <v>0</v>
      </c>
      <c r="EB18">
        <f>IFERROR(CS18*_xlfn.XLOOKUP(EB$7,'Product Tgt'!$B:$B,'Product Tgt'!$D:$D),0)</f>
        <v>0</v>
      </c>
      <c r="EC18">
        <f>IFERROR(CT18*_xlfn.XLOOKUP(EC$7,'Product Tgt'!$B:$B,'Product Tgt'!$D:$D),0)</f>
        <v>0</v>
      </c>
      <c r="ED18">
        <f>IFERROR(CU18*_xlfn.XLOOKUP(ED$7,'Product Tgt'!$B:$B,'Product Tgt'!$D:$D),0)</f>
        <v>0</v>
      </c>
      <c r="EE18">
        <f>IFERROR(CV18*_xlfn.XLOOKUP(EE$7,'Product Tgt'!$B:$B,'Product Tgt'!$D:$D),0)</f>
        <v>0</v>
      </c>
      <c r="EF18">
        <f>IFERROR(CW18*_xlfn.XLOOKUP(EF$7,'Product Tgt'!$B:$B,'Product Tgt'!$D:$D),0)</f>
        <v>0</v>
      </c>
      <c r="EG18">
        <f>IFERROR(CX18*_xlfn.XLOOKUP(EG$7,'Product Tgt'!$B:$B,'Product Tgt'!$D:$D),0)</f>
        <v>0</v>
      </c>
      <c r="EH18">
        <f>IFERROR(CY18*_xlfn.XLOOKUP(EH$7,'Product Tgt'!$B:$B,'Product Tgt'!$D:$D),0)</f>
        <v>0</v>
      </c>
      <c r="EI18">
        <f>IFERROR(CZ18*_xlfn.XLOOKUP(EI$7,'Product Tgt'!$B:$B,'Product Tgt'!$D:$D),0)</f>
        <v>0</v>
      </c>
    </row>
    <row r="19" spans="2:139" x14ac:dyDescent="0.35">
      <c r="B19" s="7" t="s">
        <v>166</v>
      </c>
      <c r="C19" s="3">
        <f>_xlfn.XLOOKUP($B19,'Terr Target'!$A:$A,'Terr Target'!$E:$E)</f>
        <v>530445.50974207651</v>
      </c>
      <c r="D19" s="3">
        <f t="shared" si="3"/>
        <v>530449</v>
      </c>
      <c r="E19" s="4">
        <f t="shared" si="4"/>
        <v>3.4902579234912992</v>
      </c>
      <c r="F19" s="9">
        <f t="shared" si="5"/>
        <v>6.5798180852283613E-6</v>
      </c>
      <c r="G19" s="5">
        <f t="shared" si="6"/>
        <v>0.99999342018191473</v>
      </c>
      <c r="H19" s="38">
        <v>65392.576662333762</v>
      </c>
      <c r="I19" s="11">
        <v>125325.19509432789</v>
      </c>
      <c r="J19" s="11">
        <v>51977.052759663384</v>
      </c>
      <c r="K19" s="11">
        <v>39548.266378591201</v>
      </c>
      <c r="L19" s="11">
        <v>53629.367833055476</v>
      </c>
      <c r="M19" s="11">
        <v>47777.581507605995</v>
      </c>
      <c r="N19" s="11">
        <v>481.45644660239077</v>
      </c>
      <c r="O19" s="11">
        <v>3938.265785521186</v>
      </c>
      <c r="P19" s="11">
        <v>2034.314887561357</v>
      </c>
      <c r="Q19" s="11">
        <v>1502.1055165066966</v>
      </c>
      <c r="R19" s="11">
        <v>8643.4558092964271</v>
      </c>
      <c r="S19" s="11">
        <v>20336.46405294953</v>
      </c>
      <c r="T19" s="11">
        <v>0</v>
      </c>
      <c r="U19" s="11">
        <v>1023.6035227781443</v>
      </c>
      <c r="V19" s="11">
        <v>19745.125833807004</v>
      </c>
      <c r="W19" s="11">
        <v>33521.660003293786</v>
      </c>
      <c r="X19" s="11">
        <v>5763.6998601368832</v>
      </c>
      <c r="Y19" s="11">
        <v>6785.284009401933</v>
      </c>
      <c r="Z19" s="11">
        <v>402.89983264716273</v>
      </c>
      <c r="AA19" s="11">
        <v>7168.2984841541356</v>
      </c>
      <c r="AB19" s="11">
        <v>1974.6488662237025</v>
      </c>
      <c r="AC19" s="11">
        <v>467.54962802452462</v>
      </c>
      <c r="AD19" s="11">
        <v>3146.4326247213698</v>
      </c>
      <c r="AE19" s="11">
        <v>4960.894438327492</v>
      </c>
      <c r="AF19" s="11">
        <v>852.48399976208361</v>
      </c>
      <c r="AG19" s="11">
        <v>18219.136002990253</v>
      </c>
      <c r="AH19" s="11">
        <v>1894.0330881442842</v>
      </c>
      <c r="AI19" s="11">
        <v>9355.7873291274973</v>
      </c>
      <c r="AJ19" s="11">
        <v>10234.155121407182</v>
      </c>
      <c r="AK19" s="11">
        <v>2258.3559233343899</v>
      </c>
      <c r="AL19" s="49">
        <v>4833.0372572249798</v>
      </c>
      <c r="AM19" s="41">
        <f>IFERROR(ROUND(_xlfn.XLOOKUP(AM$7,'Product Tgt'!$B:$B,'Product Tgt'!$G:$G)*H19/H$121,0),0)</f>
        <v>63572</v>
      </c>
      <c r="AN19" s="41">
        <f>IFERROR(ROUND(_xlfn.XLOOKUP(AN$7,'Product Tgt'!$B:$B,'Product Tgt'!$G:$G)*I19/I$121,0),0)</f>
        <v>123370</v>
      </c>
      <c r="AO19" s="41">
        <f>IFERROR(ROUND(_xlfn.XLOOKUP(AO$7,'Product Tgt'!$B:$B,'Product Tgt'!$G:$G)*J19/J$121,0),0)</f>
        <v>50360</v>
      </c>
      <c r="AP19" s="41">
        <f>IFERROR(ROUND(_xlfn.XLOOKUP(AP$7,'Product Tgt'!$B:$B,'Product Tgt'!$G:$G)*K19/K$121,0),0)</f>
        <v>38580</v>
      </c>
      <c r="AQ19" s="41">
        <f>IFERROR(ROUND(_xlfn.XLOOKUP(AQ$7,'Product Tgt'!$B:$B,'Product Tgt'!$G:$G)*L19/L$121,0),0)</f>
        <v>51856</v>
      </c>
      <c r="AR19" s="41">
        <f>IFERROR(ROUND(_xlfn.XLOOKUP(AR$7,'Product Tgt'!$B:$B,'Product Tgt'!$G:$G)*M19/M$121,0),0)</f>
        <v>46287</v>
      </c>
      <c r="AS19" s="41">
        <f>IFERROR(ROUND(_xlfn.XLOOKUP(AS$7,'Product Tgt'!$B:$B,'Product Tgt'!$G:$G)*N19/N$121,0),0)</f>
        <v>445</v>
      </c>
      <c r="AT19" s="41">
        <f>IFERROR(ROUND(_xlfn.XLOOKUP(AT$7,'Product Tgt'!$B:$B,'Product Tgt'!$G:$G)*O19/O$121,0),0)</f>
        <v>3545</v>
      </c>
      <c r="AU19" s="41">
        <f>IFERROR(ROUND(_xlfn.XLOOKUP(AU$7,'Product Tgt'!$B:$B,'Product Tgt'!$G:$G)*P19/P$121,0),0)</f>
        <v>867</v>
      </c>
      <c r="AV19" s="41">
        <f>IFERROR(ROUND(_xlfn.XLOOKUP(AV$7,'Product Tgt'!$B:$B,'Product Tgt'!$G:$G)*Q19/Q$121,0),0)</f>
        <v>1127</v>
      </c>
      <c r="AW19" s="41">
        <f>IFERROR(ROUND(_xlfn.XLOOKUP(AW$7,'Product Tgt'!$B:$B,'Product Tgt'!$G:$G)*R19/R$121,0),0)</f>
        <v>8324</v>
      </c>
      <c r="AX19" s="41">
        <f>IFERROR(ROUND(_xlfn.XLOOKUP(AX$7,'Product Tgt'!$B:$B,'Product Tgt'!$G:$G)*S19/S$121,0),0)</f>
        <v>19587</v>
      </c>
      <c r="AY19" s="41">
        <f>IFERROR(ROUND(_xlfn.XLOOKUP(AY$7,'Product Tgt'!$B:$B,'Product Tgt'!$G:$G)*T19/T$121,0),0)</f>
        <v>0</v>
      </c>
      <c r="AZ19" s="41">
        <f>IFERROR(ROUND(_xlfn.XLOOKUP(AZ$7,'Product Tgt'!$B:$B,'Product Tgt'!$G:$G)*U19/U$121,0),0)</f>
        <v>980</v>
      </c>
      <c r="BA19" s="41">
        <f>IFERROR(ROUND(_xlfn.XLOOKUP(BA$7,'Product Tgt'!$B:$B,'Product Tgt'!$G:$G)*V19/V$121,0),0)</f>
        <v>19011</v>
      </c>
      <c r="BB19" s="41">
        <f>IFERROR(ROUND(_xlfn.XLOOKUP(BB$7,'Product Tgt'!$B:$B,'Product Tgt'!$G:$G)*W19/W$121,0),0)</f>
        <v>32088</v>
      </c>
      <c r="BC19" s="41">
        <f>IFERROR(ROUND(_xlfn.XLOOKUP(BC$7,'Product Tgt'!$B:$B,'Product Tgt'!$G:$G)*X19/X$121,0),0)</f>
        <v>5577</v>
      </c>
      <c r="BD19" s="41">
        <f>IFERROR(ROUND(_xlfn.XLOOKUP(BD$7,'Product Tgt'!$B:$B,'Product Tgt'!$G:$G)*Y19/Y$121,0),0)</f>
        <v>6561</v>
      </c>
      <c r="BE19" s="41">
        <f>IFERROR(ROUND(_xlfn.XLOOKUP(BE$7,'Product Tgt'!$B:$B,'Product Tgt'!$G:$G)*Z19/Z$121,0),0)</f>
        <v>383</v>
      </c>
      <c r="BF19" s="41">
        <f>IFERROR(ROUND(_xlfn.XLOOKUP(BF$7,'Product Tgt'!$B:$B,'Product Tgt'!$G:$G)*AA19/AA$121,0),0)</f>
        <v>5809</v>
      </c>
      <c r="BG19" s="41">
        <f>IFERROR(ROUND(_xlfn.XLOOKUP(BG$7,'Product Tgt'!$B:$B,'Product Tgt'!$G:$G)*AB19/AB$121,0),0)</f>
        <v>1583</v>
      </c>
      <c r="BH19" s="41">
        <f>IFERROR(ROUND(_xlfn.XLOOKUP(BH$7,'Product Tgt'!$B:$B,'Product Tgt'!$G:$G)*AC19/AC$121,0),0)</f>
        <v>400</v>
      </c>
      <c r="BI19" s="41">
        <f>IFERROR(ROUND(_xlfn.XLOOKUP(BI$7,'Product Tgt'!$B:$B,'Product Tgt'!$G:$G)*AD19/AD$121,0),0)</f>
        <v>2739</v>
      </c>
      <c r="BJ19" s="41">
        <f>IFERROR(ROUND(_xlfn.XLOOKUP(BJ$7,'Product Tgt'!$B:$B,'Product Tgt'!$G:$G)*AE19/AE$121,0),0)</f>
        <v>4617</v>
      </c>
      <c r="BK19" s="41">
        <f>IFERROR(ROUND(_xlfn.XLOOKUP(BK$7,'Product Tgt'!$B:$B,'Product Tgt'!$G:$G)*AF19/AF$121,0),0)</f>
        <v>952</v>
      </c>
      <c r="BL19" s="41">
        <f>IFERROR(ROUND(_xlfn.XLOOKUP(BL$7,'Product Tgt'!$B:$B,'Product Tgt'!$G:$G)*AG19/AG$121,0),0)</f>
        <v>17403</v>
      </c>
      <c r="BM19" s="41">
        <f>IFERROR(ROUND(_xlfn.XLOOKUP(BM$7,'Product Tgt'!$B:$B,'Product Tgt'!$G:$G)*AH19/AH$121,0),0)</f>
        <v>1485</v>
      </c>
      <c r="BN19" s="41">
        <f>IFERROR(ROUND(_xlfn.XLOOKUP(BN$7,'Product Tgt'!$B:$B,'Product Tgt'!$G:$G)*AI19/AI$121,0),0)</f>
        <v>8592</v>
      </c>
      <c r="BO19" s="41">
        <f>IFERROR(ROUND(_xlfn.XLOOKUP(BO$7,'Product Tgt'!$B:$B,'Product Tgt'!$G:$G)*AJ19/AJ$121,0),0)</f>
        <v>8852</v>
      </c>
      <c r="BP19" s="41">
        <f>IFERROR(ROUND(_xlfn.XLOOKUP(BP$7,'Product Tgt'!$B:$B,'Product Tgt'!$G:$G)*AK19/AK$121,0),0)</f>
        <v>1719</v>
      </c>
      <c r="BQ19" s="41">
        <f>IFERROR(ROUND(_xlfn.XLOOKUP(BQ$7,'Product Tgt'!$B:$B,'Product Tgt'!$G:$G)*AL19/AL$121,0),0)</f>
        <v>3778</v>
      </c>
      <c r="BR19" s="25">
        <f>ROUND(IFERROR(AM19/_xlfn.XLOOKUP(BR$7,'Product Tgt'!$B:$B,'Product Tgt'!$D:$D),0),0)</f>
        <v>0</v>
      </c>
      <c r="BS19" s="11">
        <f>ROUND(IFERROR(AN19/_xlfn.XLOOKUP(BS$7,'Product Tgt'!$B:$B,'Product Tgt'!$D:$D),0),0)</f>
        <v>0</v>
      </c>
      <c r="BT19" s="11">
        <f>ROUND(IFERROR(AO19/_xlfn.XLOOKUP(BT$7,'Product Tgt'!$B:$B,'Product Tgt'!$D:$D),0),0)</f>
        <v>0</v>
      </c>
      <c r="BU19" s="11">
        <f>ROUND(IFERROR(AP19/_xlfn.XLOOKUP(BU$7,'Product Tgt'!$B:$B,'Product Tgt'!$D:$D),0),0)</f>
        <v>0</v>
      </c>
      <c r="BV19" s="11">
        <f>ROUND(IFERROR(AQ19/_xlfn.XLOOKUP(BV$7,'Product Tgt'!$B:$B,'Product Tgt'!$D:$D),0),0)</f>
        <v>0</v>
      </c>
      <c r="BW19" s="11">
        <f>ROUND(IFERROR(AU19/_xlfn.XLOOKUP(BW$7,'Product Tgt'!$B:$B,'Product Tgt'!$D:$D),0),0)</f>
        <v>0</v>
      </c>
      <c r="BX19" s="11">
        <f>ROUND(IFERROR(#REF!/_xlfn.XLOOKUP(BX$7,'Product Tgt'!$B:$B,'Product Tgt'!$D:$D),0),0)</f>
        <v>0</v>
      </c>
      <c r="BY19" s="11">
        <f>ROUND(IFERROR(#REF!/_xlfn.XLOOKUP(BY$7,'Product Tgt'!$B:$B,'Product Tgt'!$D:$D),0),0)</f>
        <v>0</v>
      </c>
      <c r="BZ19" s="11">
        <f>ROUND(IFERROR(#REF!/_xlfn.XLOOKUP(BZ$7,'Product Tgt'!$B:$B,'Product Tgt'!$D:$D),0),0)</f>
        <v>0</v>
      </c>
      <c r="CA19" s="11">
        <f>ROUND(IFERROR(#REF!/_xlfn.XLOOKUP(CA$7,'Product Tgt'!$B:$B,'Product Tgt'!$D:$D),0),0)</f>
        <v>0</v>
      </c>
      <c r="CB19" s="11">
        <f>ROUND(IFERROR(AV19/_xlfn.XLOOKUP(CB$7,'Product Tgt'!$B:$B,'Product Tgt'!$D:$D),0),0)</f>
        <v>0</v>
      </c>
      <c r="CC19" s="11">
        <f>ROUND(IFERROR(AW19/_xlfn.XLOOKUP(CC$7,'Product Tgt'!$B:$B,'Product Tgt'!$D:$D),0),0)</f>
        <v>0</v>
      </c>
      <c r="CD19" s="11">
        <f>ROUND(IFERROR(AX19/_xlfn.XLOOKUP(CD$7,'Product Tgt'!$B:$B,'Product Tgt'!$D:$D),0),0)</f>
        <v>0</v>
      </c>
      <c r="CE19" s="11">
        <f>ROUND(IFERROR(AY19/_xlfn.XLOOKUP(CE$7,'Product Tgt'!$B:$B,'Product Tgt'!$D:$D),0),0)</f>
        <v>0</v>
      </c>
      <c r="CF19" s="11">
        <f>ROUND(IFERROR(AZ19/_xlfn.XLOOKUP(CF$7,'Product Tgt'!$B:$B,'Product Tgt'!$D:$D),0),0)</f>
        <v>0</v>
      </c>
      <c r="CG19" s="11">
        <f>ROUND(IFERROR(BA19/_xlfn.XLOOKUP(CG$7,'Product Tgt'!$B:$B,'Product Tgt'!$D:$D),0),0)</f>
        <v>0</v>
      </c>
      <c r="CH19" s="11">
        <f>ROUND(IFERROR(BB19/_xlfn.XLOOKUP(CH$7,'Product Tgt'!$B:$B,'Product Tgt'!$D:$D),0),0)</f>
        <v>0</v>
      </c>
      <c r="CI19" s="11">
        <f>ROUND(IFERROR(BC19/_xlfn.XLOOKUP(CI$7,'Product Tgt'!$B:$B,'Product Tgt'!$D:$D),0),0)</f>
        <v>0</v>
      </c>
      <c r="CJ19" s="11">
        <f>ROUND(IFERROR(BD19/_xlfn.XLOOKUP(CJ$7,'Product Tgt'!$B:$B,'Product Tgt'!$D:$D),0),0)</f>
        <v>0</v>
      </c>
      <c r="CK19" s="11">
        <f>ROUND(IFERROR(BE19/_xlfn.XLOOKUP(CK$7,'Product Tgt'!$B:$B,'Product Tgt'!$D:$D),0),0)</f>
        <v>0</v>
      </c>
      <c r="CL19" s="11">
        <f>ROUND(IFERROR(BF19/_xlfn.XLOOKUP(CL$7,'Product Tgt'!$B:$B,'Product Tgt'!$D:$D),0),0)</f>
        <v>0</v>
      </c>
      <c r="CM19" s="11">
        <f>ROUND(IFERROR(BG19/_xlfn.XLOOKUP(CM$7,'Product Tgt'!$B:$B,'Product Tgt'!$D:$D),0),0)</f>
        <v>0</v>
      </c>
      <c r="CN19" s="11">
        <f>ROUND(IFERROR(BH19/_xlfn.XLOOKUP(CN$7,'Product Tgt'!$B:$B,'Product Tgt'!$D:$D),0),0)</f>
        <v>0</v>
      </c>
      <c r="CO19" s="11">
        <f>ROUND(IFERROR(BI19/_xlfn.XLOOKUP(CO$7,'Product Tgt'!$B:$B,'Product Tgt'!$D:$D),0),0)</f>
        <v>0</v>
      </c>
      <c r="CP19" s="11">
        <f>ROUND(IFERROR(BJ19/_xlfn.XLOOKUP(CP$7,'Product Tgt'!$B:$B,'Product Tgt'!$D:$D),0),0)</f>
        <v>0</v>
      </c>
      <c r="CQ19" s="11">
        <f>ROUND(IFERROR(BK19/_xlfn.XLOOKUP(CQ$7,'Product Tgt'!$B:$B,'Product Tgt'!$D:$D),0),0)</f>
        <v>0</v>
      </c>
      <c r="CR19" s="11">
        <f>ROUND(IFERROR(BL19/_xlfn.XLOOKUP(CR$7,'Product Tgt'!$B:$B,'Product Tgt'!$D:$D),0),0)</f>
        <v>0</v>
      </c>
      <c r="CS19" s="11">
        <f>ROUND(IFERROR(BM19/_xlfn.XLOOKUP(CS$7,'Product Tgt'!$B:$B,'Product Tgt'!$D:$D),0),0)</f>
        <v>0</v>
      </c>
      <c r="CT19" s="11">
        <f>ROUND(IFERROR(BN19/_xlfn.XLOOKUP(CT$7,'Product Tgt'!$B:$B,'Product Tgt'!$D:$D),0),0)</f>
        <v>0</v>
      </c>
      <c r="CU19" s="11">
        <f>ROUND(IFERROR(BO19/_xlfn.XLOOKUP(CU$7,'Product Tgt'!$B:$B,'Product Tgt'!$D:$D),0),0)</f>
        <v>0</v>
      </c>
      <c r="CV19" s="11">
        <f>ROUND(IFERROR(BP19/_xlfn.XLOOKUP(CV$7,'Product Tgt'!$B:$B,'Product Tgt'!$D:$D),0),0)</f>
        <v>0</v>
      </c>
      <c r="CW19" s="11">
        <f>ROUND(IFERROR(BQ19/_xlfn.XLOOKUP(CW$7,'Product Tgt'!$B:$B,'Product Tgt'!$D:$D),0),0)</f>
        <v>0</v>
      </c>
      <c r="CX19" s="11">
        <f>ROUND(IFERROR(#REF!/_xlfn.XLOOKUP(CX$7,'Product Tgt'!$B:$B,'Product Tgt'!$D:$D),0),0)</f>
        <v>0</v>
      </c>
      <c r="CY19" s="11">
        <f>ROUND(IFERROR(#REF!/_xlfn.XLOOKUP(CY$7,'Product Tgt'!$B:$B,'Product Tgt'!$D:$D),0),0)</f>
        <v>0</v>
      </c>
      <c r="CZ19" s="11">
        <f>ROUND(IFERROR(#REF!/_xlfn.XLOOKUP(CZ$7,'Product Tgt'!$B:$B,'Product Tgt'!$D:$D),0),0)</f>
        <v>0</v>
      </c>
      <c r="DA19" s="10">
        <f>IFERROR(BR19*_xlfn.XLOOKUP(DA$7,'Product Tgt'!$B:$B,'Product Tgt'!$D:$D),0)</f>
        <v>0</v>
      </c>
      <c r="DB19">
        <f>IFERROR(BS19*_xlfn.XLOOKUP(DB$7,'Product Tgt'!$B:$B,'Product Tgt'!$D:$D),0)</f>
        <v>0</v>
      </c>
      <c r="DC19">
        <f>IFERROR(BT19*_xlfn.XLOOKUP(DC$7,'Product Tgt'!$B:$B,'Product Tgt'!$D:$D),0)</f>
        <v>0</v>
      </c>
      <c r="DD19">
        <f>IFERROR(BU19*_xlfn.XLOOKUP(DD$7,'Product Tgt'!$B:$B,'Product Tgt'!$D:$D),0)</f>
        <v>0</v>
      </c>
      <c r="DE19">
        <f>IFERROR(BV19*_xlfn.XLOOKUP(DE$7,'Product Tgt'!$B:$B,'Product Tgt'!$D:$D),0)</f>
        <v>0</v>
      </c>
      <c r="DF19">
        <f>IFERROR(BW19*_xlfn.XLOOKUP(DF$7,'Product Tgt'!$B:$B,'Product Tgt'!$D:$D),0)</f>
        <v>0</v>
      </c>
      <c r="DG19">
        <f>IFERROR(BX19*_xlfn.XLOOKUP(DG$7,'Product Tgt'!$B:$B,'Product Tgt'!$D:$D),0)</f>
        <v>0</v>
      </c>
      <c r="DH19">
        <f>IFERROR(BY19*_xlfn.XLOOKUP(DH$7,'Product Tgt'!$B:$B,'Product Tgt'!$D:$D),0)</f>
        <v>0</v>
      </c>
      <c r="DI19">
        <f>IFERROR(BZ19*_xlfn.XLOOKUP(DI$7,'Product Tgt'!$B:$B,'Product Tgt'!$D:$D),0)</f>
        <v>0</v>
      </c>
      <c r="DJ19">
        <f>IFERROR(CA19*_xlfn.XLOOKUP(DJ$7,'Product Tgt'!$B:$B,'Product Tgt'!$D:$D),0)</f>
        <v>0</v>
      </c>
      <c r="DK19">
        <f>IFERROR(CB19*_xlfn.XLOOKUP(DK$7,'Product Tgt'!$B:$B,'Product Tgt'!$D:$D),0)</f>
        <v>0</v>
      </c>
      <c r="DL19">
        <f>IFERROR(CC19*_xlfn.XLOOKUP(DL$7,'Product Tgt'!$B:$B,'Product Tgt'!$D:$D),0)</f>
        <v>0</v>
      </c>
      <c r="DM19">
        <f>IFERROR(CD19*_xlfn.XLOOKUP(DM$7,'Product Tgt'!$B:$B,'Product Tgt'!$D:$D),0)</f>
        <v>0</v>
      </c>
      <c r="DN19">
        <f>IFERROR(CE19*_xlfn.XLOOKUP(DN$7,'Product Tgt'!$B:$B,'Product Tgt'!$D:$D),0)</f>
        <v>0</v>
      </c>
      <c r="DO19">
        <f>IFERROR(CF19*_xlfn.XLOOKUP(DO$7,'Product Tgt'!$B:$B,'Product Tgt'!$D:$D),0)</f>
        <v>0</v>
      </c>
      <c r="DP19">
        <f>IFERROR(CG19*_xlfn.XLOOKUP(DP$7,'Product Tgt'!$B:$B,'Product Tgt'!$D:$D),0)</f>
        <v>0</v>
      </c>
      <c r="DQ19">
        <f>IFERROR(CH19*_xlfn.XLOOKUP(DQ$7,'Product Tgt'!$B:$B,'Product Tgt'!$D:$D),0)</f>
        <v>0</v>
      </c>
      <c r="DR19">
        <f>IFERROR(CI19*_xlfn.XLOOKUP(DR$7,'Product Tgt'!$B:$B,'Product Tgt'!$D:$D),0)</f>
        <v>0</v>
      </c>
      <c r="DS19">
        <f>IFERROR(CJ19*_xlfn.XLOOKUP(DS$7,'Product Tgt'!$B:$B,'Product Tgt'!$D:$D),0)</f>
        <v>0</v>
      </c>
      <c r="DT19">
        <f>IFERROR(CK19*_xlfn.XLOOKUP(DT$7,'Product Tgt'!$B:$B,'Product Tgt'!$D:$D),0)</f>
        <v>0</v>
      </c>
      <c r="DU19">
        <f>IFERROR(CL19*_xlfn.XLOOKUP(DU$7,'Product Tgt'!$B:$B,'Product Tgt'!$D:$D),0)</f>
        <v>0</v>
      </c>
      <c r="DV19">
        <f>IFERROR(CM19*_xlfn.XLOOKUP(DV$7,'Product Tgt'!$B:$B,'Product Tgt'!$D:$D),0)</f>
        <v>0</v>
      </c>
      <c r="DW19">
        <f>IFERROR(CN19*_xlfn.XLOOKUP(DW$7,'Product Tgt'!$B:$B,'Product Tgt'!$D:$D),0)</f>
        <v>0</v>
      </c>
      <c r="DX19">
        <f>IFERROR(CO19*_xlfn.XLOOKUP(DX$7,'Product Tgt'!$B:$B,'Product Tgt'!$D:$D),0)</f>
        <v>0</v>
      </c>
      <c r="DY19">
        <f>IFERROR(CP19*_xlfn.XLOOKUP(DY$7,'Product Tgt'!$B:$B,'Product Tgt'!$D:$D),0)</f>
        <v>0</v>
      </c>
      <c r="DZ19">
        <f>IFERROR(CQ19*_xlfn.XLOOKUP(DZ$7,'Product Tgt'!$B:$B,'Product Tgt'!$D:$D),0)</f>
        <v>0</v>
      </c>
      <c r="EA19">
        <f>IFERROR(CR19*_xlfn.XLOOKUP(EA$7,'Product Tgt'!$B:$B,'Product Tgt'!$D:$D),0)</f>
        <v>0</v>
      </c>
      <c r="EB19">
        <f>IFERROR(CS19*_xlfn.XLOOKUP(EB$7,'Product Tgt'!$B:$B,'Product Tgt'!$D:$D),0)</f>
        <v>0</v>
      </c>
      <c r="EC19">
        <f>IFERROR(CT19*_xlfn.XLOOKUP(EC$7,'Product Tgt'!$B:$B,'Product Tgt'!$D:$D),0)</f>
        <v>0</v>
      </c>
      <c r="ED19">
        <f>IFERROR(CU19*_xlfn.XLOOKUP(ED$7,'Product Tgt'!$B:$B,'Product Tgt'!$D:$D),0)</f>
        <v>0</v>
      </c>
      <c r="EE19">
        <f>IFERROR(CV19*_xlfn.XLOOKUP(EE$7,'Product Tgt'!$B:$B,'Product Tgt'!$D:$D),0)</f>
        <v>0</v>
      </c>
      <c r="EF19">
        <f>IFERROR(CW19*_xlfn.XLOOKUP(EF$7,'Product Tgt'!$B:$B,'Product Tgt'!$D:$D),0)</f>
        <v>0</v>
      </c>
      <c r="EG19">
        <f>IFERROR(CX19*_xlfn.XLOOKUP(EG$7,'Product Tgt'!$B:$B,'Product Tgt'!$D:$D),0)</f>
        <v>0</v>
      </c>
      <c r="EH19">
        <f>IFERROR(CY19*_xlfn.XLOOKUP(EH$7,'Product Tgt'!$B:$B,'Product Tgt'!$D:$D),0)</f>
        <v>0</v>
      </c>
      <c r="EI19">
        <f>IFERROR(CZ19*_xlfn.XLOOKUP(EI$7,'Product Tgt'!$B:$B,'Product Tgt'!$D:$D),0)</f>
        <v>0</v>
      </c>
    </row>
    <row r="20" spans="2:139" x14ac:dyDescent="0.35">
      <c r="B20" s="7" t="s">
        <v>137</v>
      </c>
      <c r="C20" s="3">
        <f>_xlfn.XLOOKUP($B20,'Terr Target'!$A:$A,'Terr Target'!$E:$E)</f>
        <v>581969.98583588575</v>
      </c>
      <c r="D20" s="3">
        <f t="shared" si="3"/>
        <v>581978</v>
      </c>
      <c r="E20" s="4">
        <f t="shared" si="4"/>
        <v>8.0141641142545268</v>
      </c>
      <c r="F20" s="9">
        <f t="shared" si="5"/>
        <v>1.3770561970133797E-5</v>
      </c>
      <c r="G20" s="5">
        <f t="shared" si="6"/>
        <v>0.99998622943802984</v>
      </c>
      <c r="H20" s="38">
        <v>55194.260658725165</v>
      </c>
      <c r="I20" s="11">
        <v>118152.62351752011</v>
      </c>
      <c r="J20" s="11">
        <v>56080.390335217206</v>
      </c>
      <c r="K20" s="11">
        <v>56316.591250795886</v>
      </c>
      <c r="L20" s="11">
        <v>64279.907928294553</v>
      </c>
      <c r="M20" s="11">
        <v>44991.694717299382</v>
      </c>
      <c r="N20" s="11">
        <v>994.66708189529948</v>
      </c>
      <c r="O20" s="11">
        <v>5184.6693988401976</v>
      </c>
      <c r="P20" s="11">
        <v>2740.8734709010414</v>
      </c>
      <c r="Q20" s="11">
        <v>1721.2696958635058</v>
      </c>
      <c r="R20" s="11">
        <v>11436.314316325064</v>
      </c>
      <c r="S20" s="11">
        <v>26104.152969538041</v>
      </c>
      <c r="T20" s="11">
        <v>0</v>
      </c>
      <c r="U20" s="11">
        <v>3801.2908983836041</v>
      </c>
      <c r="V20" s="11">
        <v>31944.322516768225</v>
      </c>
      <c r="W20" s="11">
        <v>41346.851169936439</v>
      </c>
      <c r="X20" s="11">
        <v>3486.3629887479601</v>
      </c>
      <c r="Y20" s="11">
        <v>4625.5572438069557</v>
      </c>
      <c r="Z20" s="11">
        <v>606.02543026126193</v>
      </c>
      <c r="AA20" s="11">
        <v>9269.0545546227149</v>
      </c>
      <c r="AB20" s="11">
        <v>3801.3706320147548</v>
      </c>
      <c r="AC20" s="11">
        <v>1335.568221878133</v>
      </c>
      <c r="AD20" s="11">
        <v>5416.8836328613652</v>
      </c>
      <c r="AE20" s="11">
        <v>7530.8414621397833</v>
      </c>
      <c r="AF20" s="11">
        <v>1191.9978522882398</v>
      </c>
      <c r="AG20" s="11">
        <v>20892.164835324995</v>
      </c>
      <c r="AH20" s="11">
        <v>2000.3274381854378</v>
      </c>
      <c r="AI20" s="11">
        <v>11916.241008922229</v>
      </c>
      <c r="AJ20" s="11">
        <v>10955.390953338523</v>
      </c>
      <c r="AK20" s="11">
        <v>1810.1328277804437</v>
      </c>
      <c r="AL20" s="49">
        <v>2961.795429410558</v>
      </c>
      <c r="AM20" s="41">
        <f>IFERROR(ROUND(_xlfn.XLOOKUP(AM$7,'Product Tgt'!$B:$B,'Product Tgt'!$G:$G)*H20/H$121,0),0)</f>
        <v>53658</v>
      </c>
      <c r="AN20" s="41">
        <f>IFERROR(ROUND(_xlfn.XLOOKUP(AN$7,'Product Tgt'!$B:$B,'Product Tgt'!$G:$G)*I20/I$121,0),0)</f>
        <v>116310</v>
      </c>
      <c r="AO20" s="41">
        <f>IFERROR(ROUND(_xlfn.XLOOKUP(AO$7,'Product Tgt'!$B:$B,'Product Tgt'!$G:$G)*J20/J$121,0),0)</f>
        <v>54336</v>
      </c>
      <c r="AP20" s="41">
        <f>IFERROR(ROUND(_xlfn.XLOOKUP(AP$7,'Product Tgt'!$B:$B,'Product Tgt'!$G:$G)*K20/K$121,0),0)</f>
        <v>54938</v>
      </c>
      <c r="AQ20" s="41">
        <f>IFERROR(ROUND(_xlfn.XLOOKUP(AQ$7,'Product Tgt'!$B:$B,'Product Tgt'!$G:$G)*L20/L$121,0),0)</f>
        <v>62155</v>
      </c>
      <c r="AR20" s="41">
        <f>IFERROR(ROUND(_xlfn.XLOOKUP(AR$7,'Product Tgt'!$B:$B,'Product Tgt'!$G:$G)*M20/M$121,0),0)</f>
        <v>43588</v>
      </c>
      <c r="AS20" s="41">
        <f>IFERROR(ROUND(_xlfn.XLOOKUP(AS$7,'Product Tgt'!$B:$B,'Product Tgt'!$G:$G)*N20/N$121,0),0)</f>
        <v>919</v>
      </c>
      <c r="AT20" s="41">
        <f>IFERROR(ROUND(_xlfn.XLOOKUP(AT$7,'Product Tgt'!$B:$B,'Product Tgt'!$G:$G)*O20/O$121,0),0)</f>
        <v>4667</v>
      </c>
      <c r="AU20" s="41">
        <f>IFERROR(ROUND(_xlfn.XLOOKUP(AU$7,'Product Tgt'!$B:$B,'Product Tgt'!$G:$G)*P20/P$121,0),0)</f>
        <v>1169</v>
      </c>
      <c r="AV20" s="41">
        <f>IFERROR(ROUND(_xlfn.XLOOKUP(AV$7,'Product Tgt'!$B:$B,'Product Tgt'!$G:$G)*Q20/Q$121,0),0)</f>
        <v>1292</v>
      </c>
      <c r="AW20" s="41">
        <f>IFERROR(ROUND(_xlfn.XLOOKUP(AW$7,'Product Tgt'!$B:$B,'Product Tgt'!$G:$G)*R20/R$121,0),0)</f>
        <v>11014</v>
      </c>
      <c r="AX20" s="41">
        <f>IFERROR(ROUND(_xlfn.XLOOKUP(AX$7,'Product Tgt'!$B:$B,'Product Tgt'!$G:$G)*S20/S$121,0),0)</f>
        <v>25142</v>
      </c>
      <c r="AY20" s="41">
        <f>IFERROR(ROUND(_xlfn.XLOOKUP(AY$7,'Product Tgt'!$B:$B,'Product Tgt'!$G:$G)*T20/T$121,0),0)</f>
        <v>0</v>
      </c>
      <c r="AZ20" s="41">
        <f>IFERROR(ROUND(_xlfn.XLOOKUP(AZ$7,'Product Tgt'!$B:$B,'Product Tgt'!$G:$G)*U20/U$121,0),0)</f>
        <v>3638</v>
      </c>
      <c r="BA20" s="41">
        <f>IFERROR(ROUND(_xlfn.XLOOKUP(BA$7,'Product Tgt'!$B:$B,'Product Tgt'!$G:$G)*V20/V$121,0),0)</f>
        <v>30756</v>
      </c>
      <c r="BB20" s="41">
        <f>IFERROR(ROUND(_xlfn.XLOOKUP(BB$7,'Product Tgt'!$B:$B,'Product Tgt'!$G:$G)*W20/W$121,0),0)</f>
        <v>39579</v>
      </c>
      <c r="BC20" s="41">
        <f>IFERROR(ROUND(_xlfn.XLOOKUP(BC$7,'Product Tgt'!$B:$B,'Product Tgt'!$G:$G)*X20/X$121,0),0)</f>
        <v>3373</v>
      </c>
      <c r="BD20" s="41">
        <f>IFERROR(ROUND(_xlfn.XLOOKUP(BD$7,'Product Tgt'!$B:$B,'Product Tgt'!$G:$G)*Y20/Y$121,0),0)</f>
        <v>4473</v>
      </c>
      <c r="BE20" s="41">
        <f>IFERROR(ROUND(_xlfn.XLOOKUP(BE$7,'Product Tgt'!$B:$B,'Product Tgt'!$G:$G)*Z20/Z$121,0),0)</f>
        <v>576</v>
      </c>
      <c r="BF20" s="41">
        <f>IFERROR(ROUND(_xlfn.XLOOKUP(BF$7,'Product Tgt'!$B:$B,'Product Tgt'!$G:$G)*AA20/AA$121,0),0)</f>
        <v>7512</v>
      </c>
      <c r="BG20" s="41">
        <f>IFERROR(ROUND(_xlfn.XLOOKUP(BG$7,'Product Tgt'!$B:$B,'Product Tgt'!$G:$G)*AB20/AB$121,0),0)</f>
        <v>3047</v>
      </c>
      <c r="BH20" s="41">
        <f>IFERROR(ROUND(_xlfn.XLOOKUP(BH$7,'Product Tgt'!$B:$B,'Product Tgt'!$G:$G)*AC20/AC$121,0),0)</f>
        <v>1143</v>
      </c>
      <c r="BI20" s="41">
        <f>IFERROR(ROUND(_xlfn.XLOOKUP(BI$7,'Product Tgt'!$B:$B,'Product Tgt'!$G:$G)*AD20/AD$121,0),0)</f>
        <v>4716</v>
      </c>
      <c r="BJ20" s="41">
        <f>IFERROR(ROUND(_xlfn.XLOOKUP(BJ$7,'Product Tgt'!$B:$B,'Product Tgt'!$G:$G)*AE20/AE$121,0),0)</f>
        <v>7009</v>
      </c>
      <c r="BK20" s="41">
        <f>IFERROR(ROUND(_xlfn.XLOOKUP(BK$7,'Product Tgt'!$B:$B,'Product Tgt'!$G:$G)*AF20/AF$121,0),0)</f>
        <v>1332</v>
      </c>
      <c r="BL20" s="41">
        <f>IFERROR(ROUND(_xlfn.XLOOKUP(BL$7,'Product Tgt'!$B:$B,'Product Tgt'!$G:$G)*AG20/AG$121,0),0)</f>
        <v>19956</v>
      </c>
      <c r="BM20" s="41">
        <f>IFERROR(ROUND(_xlfn.XLOOKUP(BM$7,'Product Tgt'!$B:$B,'Product Tgt'!$G:$G)*AH20/AH$121,0),0)</f>
        <v>1568</v>
      </c>
      <c r="BN20" s="41">
        <f>IFERROR(ROUND(_xlfn.XLOOKUP(BN$7,'Product Tgt'!$B:$B,'Product Tgt'!$G:$G)*AI20/AI$121,0),0)</f>
        <v>10943</v>
      </c>
      <c r="BO20" s="41">
        <f>IFERROR(ROUND(_xlfn.XLOOKUP(BO$7,'Product Tgt'!$B:$B,'Product Tgt'!$G:$G)*AJ20/AJ$121,0),0)</f>
        <v>9476</v>
      </c>
      <c r="BP20" s="41">
        <f>IFERROR(ROUND(_xlfn.XLOOKUP(BP$7,'Product Tgt'!$B:$B,'Product Tgt'!$G:$G)*AK20/AK$121,0),0)</f>
        <v>1378</v>
      </c>
      <c r="BQ20" s="41">
        <f>IFERROR(ROUND(_xlfn.XLOOKUP(BQ$7,'Product Tgt'!$B:$B,'Product Tgt'!$G:$G)*AL20/AL$121,0),0)</f>
        <v>2315</v>
      </c>
      <c r="BR20" s="25">
        <f>ROUND(IFERROR(AM20/_xlfn.XLOOKUP(BR$7,'Product Tgt'!$B:$B,'Product Tgt'!$D:$D),0),0)</f>
        <v>0</v>
      </c>
      <c r="BS20" s="11">
        <f>ROUND(IFERROR(AN20/_xlfn.XLOOKUP(BS$7,'Product Tgt'!$B:$B,'Product Tgt'!$D:$D),0),0)</f>
        <v>0</v>
      </c>
      <c r="BT20" s="11">
        <f>ROUND(IFERROR(AO20/_xlfn.XLOOKUP(BT$7,'Product Tgt'!$B:$B,'Product Tgt'!$D:$D),0),0)</f>
        <v>0</v>
      </c>
      <c r="BU20" s="11">
        <f>ROUND(IFERROR(AP20/_xlfn.XLOOKUP(BU$7,'Product Tgt'!$B:$B,'Product Tgt'!$D:$D),0),0)</f>
        <v>0</v>
      </c>
      <c r="BV20" s="11">
        <f>ROUND(IFERROR(AQ20/_xlfn.XLOOKUP(BV$7,'Product Tgt'!$B:$B,'Product Tgt'!$D:$D),0),0)</f>
        <v>0</v>
      </c>
      <c r="BW20" s="11">
        <f>ROUND(IFERROR(AU20/_xlfn.XLOOKUP(BW$7,'Product Tgt'!$B:$B,'Product Tgt'!$D:$D),0),0)</f>
        <v>0</v>
      </c>
      <c r="BX20" s="11">
        <f>ROUND(IFERROR(#REF!/_xlfn.XLOOKUP(BX$7,'Product Tgt'!$B:$B,'Product Tgt'!$D:$D),0),0)</f>
        <v>0</v>
      </c>
      <c r="BY20" s="11">
        <f>ROUND(IFERROR(#REF!/_xlfn.XLOOKUP(BY$7,'Product Tgt'!$B:$B,'Product Tgt'!$D:$D),0),0)</f>
        <v>0</v>
      </c>
      <c r="BZ20" s="11">
        <f>ROUND(IFERROR(#REF!/_xlfn.XLOOKUP(BZ$7,'Product Tgt'!$B:$B,'Product Tgt'!$D:$D),0),0)</f>
        <v>0</v>
      </c>
      <c r="CA20" s="11">
        <f>ROUND(IFERROR(#REF!/_xlfn.XLOOKUP(CA$7,'Product Tgt'!$B:$B,'Product Tgt'!$D:$D),0),0)</f>
        <v>0</v>
      </c>
      <c r="CB20" s="11">
        <f>ROUND(IFERROR(AV20/_xlfn.XLOOKUP(CB$7,'Product Tgt'!$B:$B,'Product Tgt'!$D:$D),0),0)</f>
        <v>0</v>
      </c>
      <c r="CC20" s="11">
        <f>ROUND(IFERROR(AW20/_xlfn.XLOOKUP(CC$7,'Product Tgt'!$B:$B,'Product Tgt'!$D:$D),0),0)</f>
        <v>0</v>
      </c>
      <c r="CD20" s="11">
        <f>ROUND(IFERROR(AX20/_xlfn.XLOOKUP(CD$7,'Product Tgt'!$B:$B,'Product Tgt'!$D:$D),0),0)</f>
        <v>0</v>
      </c>
      <c r="CE20" s="11">
        <f>ROUND(IFERROR(AY20/_xlfn.XLOOKUP(CE$7,'Product Tgt'!$B:$B,'Product Tgt'!$D:$D),0),0)</f>
        <v>0</v>
      </c>
      <c r="CF20" s="11">
        <f>ROUND(IFERROR(AZ20/_xlfn.XLOOKUP(CF$7,'Product Tgt'!$B:$B,'Product Tgt'!$D:$D),0),0)</f>
        <v>0</v>
      </c>
      <c r="CG20" s="11">
        <f>ROUND(IFERROR(BA20/_xlfn.XLOOKUP(CG$7,'Product Tgt'!$B:$B,'Product Tgt'!$D:$D),0),0)</f>
        <v>0</v>
      </c>
      <c r="CH20" s="11">
        <f>ROUND(IFERROR(BB20/_xlfn.XLOOKUP(CH$7,'Product Tgt'!$B:$B,'Product Tgt'!$D:$D),0),0)</f>
        <v>0</v>
      </c>
      <c r="CI20" s="11">
        <f>ROUND(IFERROR(BC20/_xlfn.XLOOKUP(CI$7,'Product Tgt'!$B:$B,'Product Tgt'!$D:$D),0),0)</f>
        <v>0</v>
      </c>
      <c r="CJ20" s="11">
        <f>ROUND(IFERROR(BD20/_xlfn.XLOOKUP(CJ$7,'Product Tgt'!$B:$B,'Product Tgt'!$D:$D),0),0)</f>
        <v>0</v>
      </c>
      <c r="CK20" s="11">
        <f>ROUND(IFERROR(BE20/_xlfn.XLOOKUP(CK$7,'Product Tgt'!$B:$B,'Product Tgt'!$D:$D),0),0)</f>
        <v>0</v>
      </c>
      <c r="CL20" s="11">
        <f>ROUND(IFERROR(BF20/_xlfn.XLOOKUP(CL$7,'Product Tgt'!$B:$B,'Product Tgt'!$D:$D),0),0)</f>
        <v>0</v>
      </c>
      <c r="CM20" s="11">
        <f>ROUND(IFERROR(BG20/_xlfn.XLOOKUP(CM$7,'Product Tgt'!$B:$B,'Product Tgt'!$D:$D),0),0)</f>
        <v>0</v>
      </c>
      <c r="CN20" s="11">
        <f>ROUND(IFERROR(BH20/_xlfn.XLOOKUP(CN$7,'Product Tgt'!$B:$B,'Product Tgt'!$D:$D),0),0)</f>
        <v>0</v>
      </c>
      <c r="CO20" s="11">
        <f>ROUND(IFERROR(BI20/_xlfn.XLOOKUP(CO$7,'Product Tgt'!$B:$B,'Product Tgt'!$D:$D),0),0)</f>
        <v>0</v>
      </c>
      <c r="CP20" s="11">
        <f>ROUND(IFERROR(BJ20/_xlfn.XLOOKUP(CP$7,'Product Tgt'!$B:$B,'Product Tgt'!$D:$D),0),0)</f>
        <v>0</v>
      </c>
      <c r="CQ20" s="11">
        <f>ROUND(IFERROR(BK20/_xlfn.XLOOKUP(CQ$7,'Product Tgt'!$B:$B,'Product Tgt'!$D:$D),0),0)</f>
        <v>0</v>
      </c>
      <c r="CR20" s="11">
        <f>ROUND(IFERROR(BL20/_xlfn.XLOOKUP(CR$7,'Product Tgt'!$B:$B,'Product Tgt'!$D:$D),0),0)</f>
        <v>0</v>
      </c>
      <c r="CS20" s="11">
        <f>ROUND(IFERROR(BM20/_xlfn.XLOOKUP(CS$7,'Product Tgt'!$B:$B,'Product Tgt'!$D:$D),0),0)</f>
        <v>0</v>
      </c>
      <c r="CT20" s="11">
        <f>ROUND(IFERROR(BN20/_xlfn.XLOOKUP(CT$7,'Product Tgt'!$B:$B,'Product Tgt'!$D:$D),0),0)</f>
        <v>0</v>
      </c>
      <c r="CU20" s="11">
        <f>ROUND(IFERROR(BO20/_xlfn.XLOOKUP(CU$7,'Product Tgt'!$B:$B,'Product Tgt'!$D:$D),0),0)</f>
        <v>0</v>
      </c>
      <c r="CV20" s="11">
        <f>ROUND(IFERROR(BP20/_xlfn.XLOOKUP(CV$7,'Product Tgt'!$B:$B,'Product Tgt'!$D:$D),0),0)</f>
        <v>0</v>
      </c>
      <c r="CW20" s="11">
        <f>ROUND(IFERROR(BQ20/_xlfn.XLOOKUP(CW$7,'Product Tgt'!$B:$B,'Product Tgt'!$D:$D),0),0)</f>
        <v>0</v>
      </c>
      <c r="CX20" s="11">
        <f>ROUND(IFERROR(#REF!/_xlfn.XLOOKUP(CX$7,'Product Tgt'!$B:$B,'Product Tgt'!$D:$D),0),0)</f>
        <v>0</v>
      </c>
      <c r="CY20" s="11">
        <f>ROUND(IFERROR(#REF!/_xlfn.XLOOKUP(CY$7,'Product Tgt'!$B:$B,'Product Tgt'!$D:$D),0),0)</f>
        <v>0</v>
      </c>
      <c r="CZ20" s="11">
        <f>ROUND(IFERROR(#REF!/_xlfn.XLOOKUP(CZ$7,'Product Tgt'!$B:$B,'Product Tgt'!$D:$D),0),0)</f>
        <v>0</v>
      </c>
      <c r="DA20" s="10">
        <f>IFERROR(BR20*_xlfn.XLOOKUP(DA$7,'Product Tgt'!$B:$B,'Product Tgt'!$D:$D),0)</f>
        <v>0</v>
      </c>
      <c r="DB20">
        <f>IFERROR(BS20*_xlfn.XLOOKUP(DB$7,'Product Tgt'!$B:$B,'Product Tgt'!$D:$D),0)</f>
        <v>0</v>
      </c>
      <c r="DC20">
        <f>IFERROR(BT20*_xlfn.XLOOKUP(DC$7,'Product Tgt'!$B:$B,'Product Tgt'!$D:$D),0)</f>
        <v>0</v>
      </c>
      <c r="DD20">
        <f>IFERROR(BU20*_xlfn.XLOOKUP(DD$7,'Product Tgt'!$B:$B,'Product Tgt'!$D:$D),0)</f>
        <v>0</v>
      </c>
      <c r="DE20">
        <f>IFERROR(BV20*_xlfn.XLOOKUP(DE$7,'Product Tgt'!$B:$B,'Product Tgt'!$D:$D),0)</f>
        <v>0</v>
      </c>
      <c r="DF20">
        <f>IFERROR(BW20*_xlfn.XLOOKUP(DF$7,'Product Tgt'!$B:$B,'Product Tgt'!$D:$D),0)</f>
        <v>0</v>
      </c>
      <c r="DG20">
        <f>IFERROR(BX20*_xlfn.XLOOKUP(DG$7,'Product Tgt'!$B:$B,'Product Tgt'!$D:$D),0)</f>
        <v>0</v>
      </c>
      <c r="DH20">
        <f>IFERROR(BY20*_xlfn.XLOOKUP(DH$7,'Product Tgt'!$B:$B,'Product Tgt'!$D:$D),0)</f>
        <v>0</v>
      </c>
      <c r="DI20">
        <f>IFERROR(BZ20*_xlfn.XLOOKUP(DI$7,'Product Tgt'!$B:$B,'Product Tgt'!$D:$D),0)</f>
        <v>0</v>
      </c>
      <c r="DJ20">
        <f>IFERROR(CA20*_xlfn.XLOOKUP(DJ$7,'Product Tgt'!$B:$B,'Product Tgt'!$D:$D),0)</f>
        <v>0</v>
      </c>
      <c r="DK20">
        <f>IFERROR(CB20*_xlfn.XLOOKUP(DK$7,'Product Tgt'!$B:$B,'Product Tgt'!$D:$D),0)</f>
        <v>0</v>
      </c>
      <c r="DL20">
        <f>IFERROR(CC20*_xlfn.XLOOKUP(DL$7,'Product Tgt'!$B:$B,'Product Tgt'!$D:$D),0)</f>
        <v>0</v>
      </c>
      <c r="DM20">
        <f>IFERROR(CD20*_xlfn.XLOOKUP(DM$7,'Product Tgt'!$B:$B,'Product Tgt'!$D:$D),0)</f>
        <v>0</v>
      </c>
      <c r="DN20">
        <f>IFERROR(CE20*_xlfn.XLOOKUP(DN$7,'Product Tgt'!$B:$B,'Product Tgt'!$D:$D),0)</f>
        <v>0</v>
      </c>
      <c r="DO20">
        <f>IFERROR(CF20*_xlfn.XLOOKUP(DO$7,'Product Tgt'!$B:$B,'Product Tgt'!$D:$D),0)</f>
        <v>0</v>
      </c>
      <c r="DP20">
        <f>IFERROR(CG20*_xlfn.XLOOKUP(DP$7,'Product Tgt'!$B:$B,'Product Tgt'!$D:$D),0)</f>
        <v>0</v>
      </c>
      <c r="DQ20">
        <f>IFERROR(CH20*_xlfn.XLOOKUP(DQ$7,'Product Tgt'!$B:$B,'Product Tgt'!$D:$D),0)</f>
        <v>0</v>
      </c>
      <c r="DR20">
        <f>IFERROR(CI20*_xlfn.XLOOKUP(DR$7,'Product Tgt'!$B:$B,'Product Tgt'!$D:$D),0)</f>
        <v>0</v>
      </c>
      <c r="DS20">
        <f>IFERROR(CJ20*_xlfn.XLOOKUP(DS$7,'Product Tgt'!$B:$B,'Product Tgt'!$D:$D),0)</f>
        <v>0</v>
      </c>
      <c r="DT20">
        <f>IFERROR(CK20*_xlfn.XLOOKUP(DT$7,'Product Tgt'!$B:$B,'Product Tgt'!$D:$D),0)</f>
        <v>0</v>
      </c>
      <c r="DU20">
        <f>IFERROR(CL20*_xlfn.XLOOKUP(DU$7,'Product Tgt'!$B:$B,'Product Tgt'!$D:$D),0)</f>
        <v>0</v>
      </c>
      <c r="DV20">
        <f>IFERROR(CM20*_xlfn.XLOOKUP(DV$7,'Product Tgt'!$B:$B,'Product Tgt'!$D:$D),0)</f>
        <v>0</v>
      </c>
      <c r="DW20">
        <f>IFERROR(CN20*_xlfn.XLOOKUP(DW$7,'Product Tgt'!$B:$B,'Product Tgt'!$D:$D),0)</f>
        <v>0</v>
      </c>
      <c r="DX20">
        <f>IFERROR(CO20*_xlfn.XLOOKUP(DX$7,'Product Tgt'!$B:$B,'Product Tgt'!$D:$D),0)</f>
        <v>0</v>
      </c>
      <c r="DY20">
        <f>IFERROR(CP20*_xlfn.XLOOKUP(DY$7,'Product Tgt'!$B:$B,'Product Tgt'!$D:$D),0)</f>
        <v>0</v>
      </c>
      <c r="DZ20">
        <f>IFERROR(CQ20*_xlfn.XLOOKUP(DZ$7,'Product Tgt'!$B:$B,'Product Tgt'!$D:$D),0)</f>
        <v>0</v>
      </c>
      <c r="EA20">
        <f>IFERROR(CR20*_xlfn.XLOOKUP(EA$7,'Product Tgt'!$B:$B,'Product Tgt'!$D:$D),0)</f>
        <v>0</v>
      </c>
      <c r="EB20">
        <f>IFERROR(CS20*_xlfn.XLOOKUP(EB$7,'Product Tgt'!$B:$B,'Product Tgt'!$D:$D),0)</f>
        <v>0</v>
      </c>
      <c r="EC20">
        <f>IFERROR(CT20*_xlfn.XLOOKUP(EC$7,'Product Tgt'!$B:$B,'Product Tgt'!$D:$D),0)</f>
        <v>0</v>
      </c>
      <c r="ED20">
        <f>IFERROR(CU20*_xlfn.XLOOKUP(ED$7,'Product Tgt'!$B:$B,'Product Tgt'!$D:$D),0)</f>
        <v>0</v>
      </c>
      <c r="EE20">
        <f>IFERROR(CV20*_xlfn.XLOOKUP(EE$7,'Product Tgt'!$B:$B,'Product Tgt'!$D:$D),0)</f>
        <v>0</v>
      </c>
      <c r="EF20">
        <f>IFERROR(CW20*_xlfn.XLOOKUP(EF$7,'Product Tgt'!$B:$B,'Product Tgt'!$D:$D),0)</f>
        <v>0</v>
      </c>
      <c r="EG20">
        <f>IFERROR(CX20*_xlfn.XLOOKUP(EG$7,'Product Tgt'!$B:$B,'Product Tgt'!$D:$D),0)</f>
        <v>0</v>
      </c>
      <c r="EH20">
        <f>IFERROR(CY20*_xlfn.XLOOKUP(EH$7,'Product Tgt'!$B:$B,'Product Tgt'!$D:$D),0)</f>
        <v>0</v>
      </c>
      <c r="EI20">
        <f>IFERROR(CZ20*_xlfn.XLOOKUP(EI$7,'Product Tgt'!$B:$B,'Product Tgt'!$D:$D),0)</f>
        <v>0</v>
      </c>
    </row>
    <row r="21" spans="2:139" x14ac:dyDescent="0.35">
      <c r="B21" s="7" t="s">
        <v>138</v>
      </c>
      <c r="C21" s="3">
        <f>_xlfn.XLOOKUP($B21,'Terr Target'!$A:$A,'Terr Target'!$E:$E)</f>
        <v>549031.45947853103</v>
      </c>
      <c r="D21" s="3">
        <f t="shared" si="3"/>
        <v>549033</v>
      </c>
      <c r="E21" s="4">
        <f t="shared" si="4"/>
        <v>1.5405214689671993</v>
      </c>
      <c r="F21" s="9">
        <f t="shared" si="5"/>
        <v>2.8058813750124298E-6</v>
      </c>
      <c r="G21" s="5">
        <f t="shared" si="6"/>
        <v>0.99999719411862498</v>
      </c>
      <c r="H21" s="38">
        <v>50426.603643803421</v>
      </c>
      <c r="I21" s="11">
        <v>112814.83979380887</v>
      </c>
      <c r="J21" s="11">
        <v>51739.474858339643</v>
      </c>
      <c r="K21" s="11">
        <v>50239.326660800041</v>
      </c>
      <c r="L21" s="11">
        <v>72265.030203414106</v>
      </c>
      <c r="M21" s="11">
        <v>49293.34980159461</v>
      </c>
      <c r="N21" s="11">
        <v>520.92324934017495</v>
      </c>
      <c r="O21" s="11">
        <v>3217.2356935481839</v>
      </c>
      <c r="P21" s="11">
        <v>2221.1874912112853</v>
      </c>
      <c r="Q21" s="11">
        <v>1170.4064401559733</v>
      </c>
      <c r="R21" s="11">
        <v>11475.003196468317</v>
      </c>
      <c r="S21" s="11">
        <v>20711.308374328266</v>
      </c>
      <c r="T21" s="11">
        <v>0</v>
      </c>
      <c r="U21" s="11">
        <v>3953.3153150751527</v>
      </c>
      <c r="V21" s="11">
        <v>29958.181623615012</v>
      </c>
      <c r="W21" s="11">
        <v>26781.734103952524</v>
      </c>
      <c r="X21" s="11">
        <v>3106.6743430887882</v>
      </c>
      <c r="Y21" s="11">
        <v>3607.6766283822253</v>
      </c>
      <c r="Z21" s="11">
        <v>409.40569260653564</v>
      </c>
      <c r="AA21" s="11">
        <v>8018.2079497760851</v>
      </c>
      <c r="AB21" s="11">
        <v>2929.4474864469844</v>
      </c>
      <c r="AC21" s="11">
        <v>4185.4543091117903</v>
      </c>
      <c r="AD21" s="11">
        <v>5097.7448181141799</v>
      </c>
      <c r="AE21" s="11">
        <v>7083.8948150200267</v>
      </c>
      <c r="AF21" s="11">
        <v>1121.5203943852782</v>
      </c>
      <c r="AG21" s="11">
        <v>20815.345609062355</v>
      </c>
      <c r="AH21" s="11">
        <v>1733.1338325482279</v>
      </c>
      <c r="AI21" s="11">
        <v>11394.851197626265</v>
      </c>
      <c r="AJ21" s="11">
        <v>13668.709717777127</v>
      </c>
      <c r="AK21" s="11">
        <v>1352.7729055218363</v>
      </c>
      <c r="AL21" s="49">
        <v>2001.8576770566999</v>
      </c>
      <c r="AM21" s="41">
        <f>IFERROR(ROUND(_xlfn.XLOOKUP(AM$7,'Product Tgt'!$B:$B,'Product Tgt'!$G:$G)*H21/H$121,0),0)</f>
        <v>49023</v>
      </c>
      <c r="AN21" s="41">
        <f>IFERROR(ROUND(_xlfn.XLOOKUP(AN$7,'Product Tgt'!$B:$B,'Product Tgt'!$G:$G)*I21/I$121,0),0)</f>
        <v>111055</v>
      </c>
      <c r="AO21" s="41">
        <f>IFERROR(ROUND(_xlfn.XLOOKUP(AO$7,'Product Tgt'!$B:$B,'Product Tgt'!$G:$G)*J21/J$121,0),0)</f>
        <v>50130</v>
      </c>
      <c r="AP21" s="41">
        <f>IFERROR(ROUND(_xlfn.XLOOKUP(AP$7,'Product Tgt'!$B:$B,'Product Tgt'!$G:$G)*K21/K$121,0),0)</f>
        <v>49010</v>
      </c>
      <c r="AQ21" s="41">
        <f>IFERROR(ROUND(_xlfn.XLOOKUP(AQ$7,'Product Tgt'!$B:$B,'Product Tgt'!$G:$G)*L21/L$121,0),0)</f>
        <v>69876</v>
      </c>
      <c r="AR21" s="41">
        <f>IFERROR(ROUND(_xlfn.XLOOKUP(AR$7,'Product Tgt'!$B:$B,'Product Tgt'!$G:$G)*M21/M$121,0),0)</f>
        <v>47755</v>
      </c>
      <c r="AS21" s="41">
        <f>IFERROR(ROUND(_xlfn.XLOOKUP(AS$7,'Product Tgt'!$B:$B,'Product Tgt'!$G:$G)*N21/N$121,0),0)</f>
        <v>481</v>
      </c>
      <c r="AT21" s="41">
        <f>IFERROR(ROUND(_xlfn.XLOOKUP(AT$7,'Product Tgt'!$B:$B,'Product Tgt'!$G:$G)*O21/O$121,0),0)</f>
        <v>2896</v>
      </c>
      <c r="AU21" s="41">
        <f>IFERROR(ROUND(_xlfn.XLOOKUP(AU$7,'Product Tgt'!$B:$B,'Product Tgt'!$G:$G)*P21/P$121,0),0)</f>
        <v>947</v>
      </c>
      <c r="AV21" s="41">
        <f>IFERROR(ROUND(_xlfn.XLOOKUP(AV$7,'Product Tgt'!$B:$B,'Product Tgt'!$G:$G)*Q21/Q$121,0),0)</f>
        <v>878</v>
      </c>
      <c r="AW21" s="41">
        <f>IFERROR(ROUND(_xlfn.XLOOKUP(AW$7,'Product Tgt'!$B:$B,'Product Tgt'!$G:$G)*R21/R$121,0),0)</f>
        <v>11051</v>
      </c>
      <c r="AX21" s="41">
        <f>IFERROR(ROUND(_xlfn.XLOOKUP(AX$7,'Product Tgt'!$B:$B,'Product Tgt'!$G:$G)*S21/S$121,0),0)</f>
        <v>19948</v>
      </c>
      <c r="AY21" s="41">
        <f>IFERROR(ROUND(_xlfn.XLOOKUP(AY$7,'Product Tgt'!$B:$B,'Product Tgt'!$G:$G)*T21/T$121,0),0)</f>
        <v>0</v>
      </c>
      <c r="AZ21" s="41">
        <f>IFERROR(ROUND(_xlfn.XLOOKUP(AZ$7,'Product Tgt'!$B:$B,'Product Tgt'!$G:$G)*U21/U$121,0),0)</f>
        <v>3783</v>
      </c>
      <c r="BA21" s="41">
        <f>IFERROR(ROUND(_xlfn.XLOOKUP(BA$7,'Product Tgt'!$B:$B,'Product Tgt'!$G:$G)*V21/V$121,0),0)</f>
        <v>28844</v>
      </c>
      <c r="BB21" s="41">
        <f>IFERROR(ROUND(_xlfn.XLOOKUP(BB$7,'Product Tgt'!$B:$B,'Product Tgt'!$G:$G)*W21/W$121,0),0)</f>
        <v>25636</v>
      </c>
      <c r="BC21" s="41">
        <f>IFERROR(ROUND(_xlfn.XLOOKUP(BC$7,'Product Tgt'!$B:$B,'Product Tgt'!$G:$G)*X21/X$121,0),0)</f>
        <v>3006</v>
      </c>
      <c r="BD21" s="41">
        <f>IFERROR(ROUND(_xlfn.XLOOKUP(BD$7,'Product Tgt'!$B:$B,'Product Tgt'!$G:$G)*Y21/Y$121,0),0)</f>
        <v>3489</v>
      </c>
      <c r="BE21" s="41">
        <f>IFERROR(ROUND(_xlfn.XLOOKUP(BE$7,'Product Tgt'!$B:$B,'Product Tgt'!$G:$G)*Z21/Z$121,0),0)</f>
        <v>389</v>
      </c>
      <c r="BF21" s="41">
        <f>IFERROR(ROUND(_xlfn.XLOOKUP(BF$7,'Product Tgt'!$B:$B,'Product Tgt'!$G:$G)*AA21/AA$121,0),0)</f>
        <v>6498</v>
      </c>
      <c r="BG21" s="41">
        <f>IFERROR(ROUND(_xlfn.XLOOKUP(BG$7,'Product Tgt'!$B:$B,'Product Tgt'!$G:$G)*AB21/AB$121,0),0)</f>
        <v>2348</v>
      </c>
      <c r="BH21" s="41">
        <f>IFERROR(ROUND(_xlfn.XLOOKUP(BH$7,'Product Tgt'!$B:$B,'Product Tgt'!$G:$G)*AC21/AC$121,0),0)</f>
        <v>3582</v>
      </c>
      <c r="BI21" s="41">
        <f>IFERROR(ROUND(_xlfn.XLOOKUP(BI$7,'Product Tgt'!$B:$B,'Product Tgt'!$G:$G)*AD21/AD$121,0),0)</f>
        <v>4438</v>
      </c>
      <c r="BJ21" s="41">
        <f>IFERROR(ROUND(_xlfn.XLOOKUP(BJ$7,'Product Tgt'!$B:$B,'Product Tgt'!$G:$G)*AE21/AE$121,0),0)</f>
        <v>6593</v>
      </c>
      <c r="BK21" s="41">
        <f>IFERROR(ROUND(_xlfn.XLOOKUP(BK$7,'Product Tgt'!$B:$B,'Product Tgt'!$G:$G)*AF21/AF$121,0),0)</f>
        <v>1253</v>
      </c>
      <c r="BL21" s="41">
        <f>IFERROR(ROUND(_xlfn.XLOOKUP(BL$7,'Product Tgt'!$B:$B,'Product Tgt'!$G:$G)*AG21/AG$121,0),0)</f>
        <v>19882</v>
      </c>
      <c r="BM21" s="41">
        <f>IFERROR(ROUND(_xlfn.XLOOKUP(BM$7,'Product Tgt'!$B:$B,'Product Tgt'!$G:$G)*AH21/AH$121,0),0)</f>
        <v>1359</v>
      </c>
      <c r="BN21" s="41">
        <f>IFERROR(ROUND(_xlfn.XLOOKUP(BN$7,'Product Tgt'!$B:$B,'Product Tgt'!$G:$G)*AI21/AI$121,0),0)</f>
        <v>10465</v>
      </c>
      <c r="BO21" s="41">
        <f>IFERROR(ROUND(_xlfn.XLOOKUP(BO$7,'Product Tgt'!$B:$B,'Product Tgt'!$G:$G)*AJ21/AJ$121,0),0)</f>
        <v>11823</v>
      </c>
      <c r="BP21" s="41">
        <f>IFERROR(ROUND(_xlfn.XLOOKUP(BP$7,'Product Tgt'!$B:$B,'Product Tgt'!$G:$G)*AK21/AK$121,0),0)</f>
        <v>1030</v>
      </c>
      <c r="BQ21" s="41">
        <f>IFERROR(ROUND(_xlfn.XLOOKUP(BQ$7,'Product Tgt'!$B:$B,'Product Tgt'!$G:$G)*AL21/AL$121,0),0)</f>
        <v>1565</v>
      </c>
      <c r="BR21" s="25">
        <f>ROUND(IFERROR(AM21/_xlfn.XLOOKUP(BR$7,'Product Tgt'!$B:$B,'Product Tgt'!$D:$D),0),0)</f>
        <v>0</v>
      </c>
      <c r="BS21" s="11">
        <f>ROUND(IFERROR(AN21/_xlfn.XLOOKUP(BS$7,'Product Tgt'!$B:$B,'Product Tgt'!$D:$D),0),0)</f>
        <v>0</v>
      </c>
      <c r="BT21" s="11">
        <f>ROUND(IFERROR(AO21/_xlfn.XLOOKUP(BT$7,'Product Tgt'!$B:$B,'Product Tgt'!$D:$D),0),0)</f>
        <v>0</v>
      </c>
      <c r="BU21" s="11">
        <f>ROUND(IFERROR(AP21/_xlfn.XLOOKUP(BU$7,'Product Tgt'!$B:$B,'Product Tgt'!$D:$D),0),0)</f>
        <v>0</v>
      </c>
      <c r="BV21" s="11">
        <f>ROUND(IFERROR(AQ21/_xlfn.XLOOKUP(BV$7,'Product Tgt'!$B:$B,'Product Tgt'!$D:$D),0),0)</f>
        <v>0</v>
      </c>
      <c r="BW21" s="11">
        <f>ROUND(IFERROR(AU21/_xlfn.XLOOKUP(BW$7,'Product Tgt'!$B:$B,'Product Tgt'!$D:$D),0),0)</f>
        <v>0</v>
      </c>
      <c r="BX21" s="11">
        <f>ROUND(IFERROR(#REF!/_xlfn.XLOOKUP(BX$7,'Product Tgt'!$B:$B,'Product Tgt'!$D:$D),0),0)</f>
        <v>0</v>
      </c>
      <c r="BY21" s="11">
        <f>ROUND(IFERROR(#REF!/_xlfn.XLOOKUP(BY$7,'Product Tgt'!$B:$B,'Product Tgt'!$D:$D),0),0)</f>
        <v>0</v>
      </c>
      <c r="BZ21" s="11">
        <f>ROUND(IFERROR(#REF!/_xlfn.XLOOKUP(BZ$7,'Product Tgt'!$B:$B,'Product Tgt'!$D:$D),0),0)</f>
        <v>0</v>
      </c>
      <c r="CA21" s="11">
        <f>ROUND(IFERROR(#REF!/_xlfn.XLOOKUP(CA$7,'Product Tgt'!$B:$B,'Product Tgt'!$D:$D),0),0)</f>
        <v>0</v>
      </c>
      <c r="CB21" s="11">
        <f>ROUND(IFERROR(AV21/_xlfn.XLOOKUP(CB$7,'Product Tgt'!$B:$B,'Product Tgt'!$D:$D),0),0)</f>
        <v>0</v>
      </c>
      <c r="CC21" s="11">
        <f>ROUND(IFERROR(AW21/_xlfn.XLOOKUP(CC$7,'Product Tgt'!$B:$B,'Product Tgt'!$D:$D),0),0)</f>
        <v>0</v>
      </c>
      <c r="CD21" s="11">
        <f>ROUND(IFERROR(AX21/_xlfn.XLOOKUP(CD$7,'Product Tgt'!$B:$B,'Product Tgt'!$D:$D),0),0)</f>
        <v>0</v>
      </c>
      <c r="CE21" s="11">
        <f>ROUND(IFERROR(AY21/_xlfn.XLOOKUP(CE$7,'Product Tgt'!$B:$B,'Product Tgt'!$D:$D),0),0)</f>
        <v>0</v>
      </c>
      <c r="CF21" s="11">
        <f>ROUND(IFERROR(AZ21/_xlfn.XLOOKUP(CF$7,'Product Tgt'!$B:$B,'Product Tgt'!$D:$D),0),0)</f>
        <v>0</v>
      </c>
      <c r="CG21" s="11">
        <f>ROUND(IFERROR(BA21/_xlfn.XLOOKUP(CG$7,'Product Tgt'!$B:$B,'Product Tgt'!$D:$D),0),0)</f>
        <v>0</v>
      </c>
      <c r="CH21" s="11">
        <f>ROUND(IFERROR(BB21/_xlfn.XLOOKUP(CH$7,'Product Tgt'!$B:$B,'Product Tgt'!$D:$D),0),0)</f>
        <v>0</v>
      </c>
      <c r="CI21" s="11">
        <f>ROUND(IFERROR(BC21/_xlfn.XLOOKUP(CI$7,'Product Tgt'!$B:$B,'Product Tgt'!$D:$D),0),0)</f>
        <v>0</v>
      </c>
      <c r="CJ21" s="11">
        <f>ROUND(IFERROR(BD21/_xlfn.XLOOKUP(CJ$7,'Product Tgt'!$B:$B,'Product Tgt'!$D:$D),0),0)</f>
        <v>0</v>
      </c>
      <c r="CK21" s="11">
        <f>ROUND(IFERROR(BE21/_xlfn.XLOOKUP(CK$7,'Product Tgt'!$B:$B,'Product Tgt'!$D:$D),0),0)</f>
        <v>0</v>
      </c>
      <c r="CL21" s="11">
        <f>ROUND(IFERROR(BF21/_xlfn.XLOOKUP(CL$7,'Product Tgt'!$B:$B,'Product Tgt'!$D:$D),0),0)</f>
        <v>0</v>
      </c>
      <c r="CM21" s="11">
        <f>ROUND(IFERROR(BG21/_xlfn.XLOOKUP(CM$7,'Product Tgt'!$B:$B,'Product Tgt'!$D:$D),0),0)</f>
        <v>0</v>
      </c>
      <c r="CN21" s="11">
        <f>ROUND(IFERROR(BH21/_xlfn.XLOOKUP(CN$7,'Product Tgt'!$B:$B,'Product Tgt'!$D:$D),0),0)</f>
        <v>0</v>
      </c>
      <c r="CO21" s="11">
        <f>ROUND(IFERROR(BI21/_xlfn.XLOOKUP(CO$7,'Product Tgt'!$B:$B,'Product Tgt'!$D:$D),0),0)</f>
        <v>0</v>
      </c>
      <c r="CP21" s="11">
        <f>ROUND(IFERROR(BJ21/_xlfn.XLOOKUP(CP$7,'Product Tgt'!$B:$B,'Product Tgt'!$D:$D),0),0)</f>
        <v>0</v>
      </c>
      <c r="CQ21" s="11">
        <f>ROUND(IFERROR(BK21/_xlfn.XLOOKUP(CQ$7,'Product Tgt'!$B:$B,'Product Tgt'!$D:$D),0),0)</f>
        <v>0</v>
      </c>
      <c r="CR21" s="11">
        <f>ROUND(IFERROR(BL21/_xlfn.XLOOKUP(CR$7,'Product Tgt'!$B:$B,'Product Tgt'!$D:$D),0),0)</f>
        <v>0</v>
      </c>
      <c r="CS21" s="11">
        <f>ROUND(IFERROR(BM21/_xlfn.XLOOKUP(CS$7,'Product Tgt'!$B:$B,'Product Tgt'!$D:$D),0),0)</f>
        <v>0</v>
      </c>
      <c r="CT21" s="11">
        <f>ROUND(IFERROR(BN21/_xlfn.XLOOKUP(CT$7,'Product Tgt'!$B:$B,'Product Tgt'!$D:$D),0),0)</f>
        <v>0</v>
      </c>
      <c r="CU21" s="11">
        <f>ROUND(IFERROR(BO21/_xlfn.XLOOKUP(CU$7,'Product Tgt'!$B:$B,'Product Tgt'!$D:$D),0),0)</f>
        <v>0</v>
      </c>
      <c r="CV21" s="11">
        <f>ROUND(IFERROR(BP21/_xlfn.XLOOKUP(CV$7,'Product Tgt'!$B:$B,'Product Tgt'!$D:$D),0),0)</f>
        <v>0</v>
      </c>
      <c r="CW21" s="11">
        <f>ROUND(IFERROR(BQ21/_xlfn.XLOOKUP(CW$7,'Product Tgt'!$B:$B,'Product Tgt'!$D:$D),0),0)</f>
        <v>0</v>
      </c>
      <c r="CX21" s="11">
        <f>ROUND(IFERROR(#REF!/_xlfn.XLOOKUP(CX$7,'Product Tgt'!$B:$B,'Product Tgt'!$D:$D),0),0)</f>
        <v>0</v>
      </c>
      <c r="CY21" s="11">
        <f>ROUND(IFERROR(#REF!/_xlfn.XLOOKUP(CY$7,'Product Tgt'!$B:$B,'Product Tgt'!$D:$D),0),0)</f>
        <v>0</v>
      </c>
      <c r="CZ21" s="11">
        <f>ROUND(IFERROR(#REF!/_xlfn.XLOOKUP(CZ$7,'Product Tgt'!$B:$B,'Product Tgt'!$D:$D),0),0)</f>
        <v>0</v>
      </c>
      <c r="DA21" s="10">
        <f>IFERROR(BR21*_xlfn.XLOOKUP(DA$7,'Product Tgt'!$B:$B,'Product Tgt'!$D:$D),0)</f>
        <v>0</v>
      </c>
      <c r="DB21">
        <f>IFERROR(BS21*_xlfn.XLOOKUP(DB$7,'Product Tgt'!$B:$B,'Product Tgt'!$D:$D),0)</f>
        <v>0</v>
      </c>
      <c r="DC21">
        <f>IFERROR(BT21*_xlfn.XLOOKUP(DC$7,'Product Tgt'!$B:$B,'Product Tgt'!$D:$D),0)</f>
        <v>0</v>
      </c>
      <c r="DD21">
        <f>IFERROR(BU21*_xlfn.XLOOKUP(DD$7,'Product Tgt'!$B:$B,'Product Tgt'!$D:$D),0)</f>
        <v>0</v>
      </c>
      <c r="DE21">
        <f>IFERROR(BV21*_xlfn.XLOOKUP(DE$7,'Product Tgt'!$B:$B,'Product Tgt'!$D:$D),0)</f>
        <v>0</v>
      </c>
      <c r="DF21">
        <f>IFERROR(BW21*_xlfn.XLOOKUP(DF$7,'Product Tgt'!$B:$B,'Product Tgt'!$D:$D),0)</f>
        <v>0</v>
      </c>
      <c r="DG21">
        <f>IFERROR(BX21*_xlfn.XLOOKUP(DG$7,'Product Tgt'!$B:$B,'Product Tgt'!$D:$D),0)</f>
        <v>0</v>
      </c>
      <c r="DH21">
        <f>IFERROR(BY21*_xlfn.XLOOKUP(DH$7,'Product Tgt'!$B:$B,'Product Tgt'!$D:$D),0)</f>
        <v>0</v>
      </c>
      <c r="DI21">
        <f>IFERROR(BZ21*_xlfn.XLOOKUP(DI$7,'Product Tgt'!$B:$B,'Product Tgt'!$D:$D),0)</f>
        <v>0</v>
      </c>
      <c r="DJ21">
        <f>IFERROR(CA21*_xlfn.XLOOKUP(DJ$7,'Product Tgt'!$B:$B,'Product Tgt'!$D:$D),0)</f>
        <v>0</v>
      </c>
      <c r="DK21">
        <f>IFERROR(CB21*_xlfn.XLOOKUP(DK$7,'Product Tgt'!$B:$B,'Product Tgt'!$D:$D),0)</f>
        <v>0</v>
      </c>
      <c r="DL21">
        <f>IFERROR(CC21*_xlfn.XLOOKUP(DL$7,'Product Tgt'!$B:$B,'Product Tgt'!$D:$D),0)</f>
        <v>0</v>
      </c>
      <c r="DM21">
        <f>IFERROR(CD21*_xlfn.XLOOKUP(DM$7,'Product Tgt'!$B:$B,'Product Tgt'!$D:$D),0)</f>
        <v>0</v>
      </c>
      <c r="DN21">
        <f>IFERROR(CE21*_xlfn.XLOOKUP(DN$7,'Product Tgt'!$B:$B,'Product Tgt'!$D:$D),0)</f>
        <v>0</v>
      </c>
      <c r="DO21">
        <f>IFERROR(CF21*_xlfn.XLOOKUP(DO$7,'Product Tgt'!$B:$B,'Product Tgt'!$D:$D),0)</f>
        <v>0</v>
      </c>
      <c r="DP21">
        <f>IFERROR(CG21*_xlfn.XLOOKUP(DP$7,'Product Tgt'!$B:$B,'Product Tgt'!$D:$D),0)</f>
        <v>0</v>
      </c>
      <c r="DQ21">
        <f>IFERROR(CH21*_xlfn.XLOOKUP(DQ$7,'Product Tgt'!$B:$B,'Product Tgt'!$D:$D),0)</f>
        <v>0</v>
      </c>
      <c r="DR21">
        <f>IFERROR(CI21*_xlfn.XLOOKUP(DR$7,'Product Tgt'!$B:$B,'Product Tgt'!$D:$D),0)</f>
        <v>0</v>
      </c>
      <c r="DS21">
        <f>IFERROR(CJ21*_xlfn.XLOOKUP(DS$7,'Product Tgt'!$B:$B,'Product Tgt'!$D:$D),0)</f>
        <v>0</v>
      </c>
      <c r="DT21">
        <f>IFERROR(CK21*_xlfn.XLOOKUP(DT$7,'Product Tgt'!$B:$B,'Product Tgt'!$D:$D),0)</f>
        <v>0</v>
      </c>
      <c r="DU21">
        <f>IFERROR(CL21*_xlfn.XLOOKUP(DU$7,'Product Tgt'!$B:$B,'Product Tgt'!$D:$D),0)</f>
        <v>0</v>
      </c>
      <c r="DV21">
        <f>IFERROR(CM21*_xlfn.XLOOKUP(DV$7,'Product Tgt'!$B:$B,'Product Tgt'!$D:$D),0)</f>
        <v>0</v>
      </c>
      <c r="DW21">
        <f>IFERROR(CN21*_xlfn.XLOOKUP(DW$7,'Product Tgt'!$B:$B,'Product Tgt'!$D:$D),0)</f>
        <v>0</v>
      </c>
      <c r="DX21">
        <f>IFERROR(CO21*_xlfn.XLOOKUP(DX$7,'Product Tgt'!$B:$B,'Product Tgt'!$D:$D),0)</f>
        <v>0</v>
      </c>
      <c r="DY21">
        <f>IFERROR(CP21*_xlfn.XLOOKUP(DY$7,'Product Tgt'!$B:$B,'Product Tgt'!$D:$D),0)</f>
        <v>0</v>
      </c>
      <c r="DZ21">
        <f>IFERROR(CQ21*_xlfn.XLOOKUP(DZ$7,'Product Tgt'!$B:$B,'Product Tgt'!$D:$D),0)</f>
        <v>0</v>
      </c>
      <c r="EA21">
        <f>IFERROR(CR21*_xlfn.XLOOKUP(EA$7,'Product Tgt'!$B:$B,'Product Tgt'!$D:$D),0)</f>
        <v>0</v>
      </c>
      <c r="EB21">
        <f>IFERROR(CS21*_xlfn.XLOOKUP(EB$7,'Product Tgt'!$B:$B,'Product Tgt'!$D:$D),0)</f>
        <v>0</v>
      </c>
      <c r="EC21">
        <f>IFERROR(CT21*_xlfn.XLOOKUP(EC$7,'Product Tgt'!$B:$B,'Product Tgt'!$D:$D),0)</f>
        <v>0</v>
      </c>
      <c r="ED21">
        <f>IFERROR(CU21*_xlfn.XLOOKUP(ED$7,'Product Tgt'!$B:$B,'Product Tgt'!$D:$D),0)</f>
        <v>0</v>
      </c>
      <c r="EE21">
        <f>IFERROR(CV21*_xlfn.XLOOKUP(EE$7,'Product Tgt'!$B:$B,'Product Tgt'!$D:$D),0)</f>
        <v>0</v>
      </c>
      <c r="EF21">
        <f>IFERROR(CW21*_xlfn.XLOOKUP(EF$7,'Product Tgt'!$B:$B,'Product Tgt'!$D:$D),0)</f>
        <v>0</v>
      </c>
      <c r="EG21">
        <f>IFERROR(CX21*_xlfn.XLOOKUP(EG$7,'Product Tgt'!$B:$B,'Product Tgt'!$D:$D),0)</f>
        <v>0</v>
      </c>
      <c r="EH21">
        <f>IFERROR(CY21*_xlfn.XLOOKUP(EH$7,'Product Tgt'!$B:$B,'Product Tgt'!$D:$D),0)</f>
        <v>0</v>
      </c>
      <c r="EI21">
        <f>IFERROR(CZ21*_xlfn.XLOOKUP(EI$7,'Product Tgt'!$B:$B,'Product Tgt'!$D:$D),0)</f>
        <v>0</v>
      </c>
    </row>
    <row r="22" spans="2:139" x14ac:dyDescent="0.35">
      <c r="B22" s="7" t="s">
        <v>139</v>
      </c>
      <c r="C22" s="3">
        <f>_xlfn.XLOOKUP($B22,'Terr Target'!$A:$A,'Terr Target'!$E:$E)</f>
        <v>280206.63409838441</v>
      </c>
      <c r="D22" s="3">
        <f t="shared" si="3"/>
        <v>280212</v>
      </c>
      <c r="E22" s="4">
        <f t="shared" si="4"/>
        <v>5.3659016155870631</v>
      </c>
      <c r="F22" s="9">
        <f t="shared" si="5"/>
        <v>1.9149435483088029E-5</v>
      </c>
      <c r="G22" s="5">
        <f t="shared" si="6"/>
        <v>0.99998085056451691</v>
      </c>
      <c r="H22" s="38">
        <v>27389.173688671875</v>
      </c>
      <c r="I22" s="11">
        <v>62385.59528287092</v>
      </c>
      <c r="J22" s="11">
        <v>27194.575516807061</v>
      </c>
      <c r="K22" s="11">
        <v>24279.625819729419</v>
      </c>
      <c r="L22" s="11">
        <v>32540.974292632927</v>
      </c>
      <c r="M22" s="11">
        <v>21470.790780914842</v>
      </c>
      <c r="N22" s="11">
        <v>142.04246121519216</v>
      </c>
      <c r="O22" s="11">
        <v>2965.9955857618993</v>
      </c>
      <c r="P22" s="11">
        <v>400.29154856720481</v>
      </c>
      <c r="Q22" s="11">
        <v>374.48551260657058</v>
      </c>
      <c r="R22" s="11">
        <v>5276.5794429670141</v>
      </c>
      <c r="S22" s="11">
        <v>10809.868352202939</v>
      </c>
      <c r="T22" s="11">
        <v>0</v>
      </c>
      <c r="U22" s="11">
        <v>1111.5070916069933</v>
      </c>
      <c r="V22" s="11">
        <v>15306.843276922713</v>
      </c>
      <c r="W22" s="11">
        <v>19498.546106500773</v>
      </c>
      <c r="X22" s="11">
        <v>845.29170677983484</v>
      </c>
      <c r="Y22" s="11">
        <v>2438.5611348482294</v>
      </c>
      <c r="Z22" s="11">
        <v>363.56910247541703</v>
      </c>
      <c r="AA22" s="11">
        <v>2592.5232431584022</v>
      </c>
      <c r="AB22" s="11">
        <v>1018.1464557355533</v>
      </c>
      <c r="AC22" s="11">
        <v>537.37742319873394</v>
      </c>
      <c r="AD22" s="11">
        <v>2591.5200061945743</v>
      </c>
      <c r="AE22" s="11">
        <v>3602.7034014188098</v>
      </c>
      <c r="AF22" s="11">
        <v>570.116720552949</v>
      </c>
      <c r="AG22" s="11">
        <v>11164.686447102791</v>
      </c>
      <c r="AH22" s="11">
        <v>1001.2503559784175</v>
      </c>
      <c r="AI22" s="11">
        <v>5299.2963037221998</v>
      </c>
      <c r="AJ22" s="11">
        <v>5770.1024978954638</v>
      </c>
      <c r="AK22" s="11">
        <v>1077.853954642163</v>
      </c>
      <c r="AL22" s="49">
        <v>1773.8620145966047</v>
      </c>
      <c r="AM22" s="41">
        <f>IFERROR(ROUND(_xlfn.XLOOKUP(AM$7,'Product Tgt'!$B:$B,'Product Tgt'!$G:$G)*H22/H$121,0),0)</f>
        <v>26627</v>
      </c>
      <c r="AN22" s="41">
        <f>IFERROR(ROUND(_xlfn.XLOOKUP(AN$7,'Product Tgt'!$B:$B,'Product Tgt'!$G:$G)*I22/I$121,0),0)</f>
        <v>61412</v>
      </c>
      <c r="AO22" s="41">
        <f>IFERROR(ROUND(_xlfn.XLOOKUP(AO$7,'Product Tgt'!$B:$B,'Product Tgt'!$G:$G)*J22/J$121,0),0)</f>
        <v>26349</v>
      </c>
      <c r="AP22" s="41">
        <f>IFERROR(ROUND(_xlfn.XLOOKUP(AP$7,'Product Tgt'!$B:$B,'Product Tgt'!$G:$G)*K22/K$121,0),0)</f>
        <v>23685</v>
      </c>
      <c r="AQ22" s="41">
        <f>IFERROR(ROUND(_xlfn.XLOOKUP(AQ$7,'Product Tgt'!$B:$B,'Product Tgt'!$G:$G)*L22/L$121,0),0)</f>
        <v>31465</v>
      </c>
      <c r="AR22" s="41">
        <f>IFERROR(ROUND(_xlfn.XLOOKUP(AR$7,'Product Tgt'!$B:$B,'Product Tgt'!$G:$G)*M22/M$121,0),0)</f>
        <v>20801</v>
      </c>
      <c r="AS22" s="41">
        <f>IFERROR(ROUND(_xlfn.XLOOKUP(AS$7,'Product Tgt'!$B:$B,'Product Tgt'!$G:$G)*N22/N$121,0),0)</f>
        <v>131</v>
      </c>
      <c r="AT22" s="41">
        <f>IFERROR(ROUND(_xlfn.XLOOKUP(AT$7,'Product Tgt'!$B:$B,'Product Tgt'!$G:$G)*O22/O$121,0),0)</f>
        <v>2670</v>
      </c>
      <c r="AU22" s="41">
        <f>IFERROR(ROUND(_xlfn.XLOOKUP(AU$7,'Product Tgt'!$B:$B,'Product Tgt'!$G:$G)*P22/P$121,0),0)</f>
        <v>171</v>
      </c>
      <c r="AV22" s="41">
        <f>IFERROR(ROUND(_xlfn.XLOOKUP(AV$7,'Product Tgt'!$B:$B,'Product Tgt'!$G:$G)*Q22/Q$121,0),0)</f>
        <v>281</v>
      </c>
      <c r="AW22" s="41">
        <f>IFERROR(ROUND(_xlfn.XLOOKUP(AW$7,'Product Tgt'!$B:$B,'Product Tgt'!$G:$G)*R22/R$121,0),0)</f>
        <v>5082</v>
      </c>
      <c r="AX22" s="41">
        <f>IFERROR(ROUND(_xlfn.XLOOKUP(AX$7,'Product Tgt'!$B:$B,'Product Tgt'!$G:$G)*S22/S$121,0),0)</f>
        <v>10411</v>
      </c>
      <c r="AY22" s="41">
        <f>IFERROR(ROUND(_xlfn.XLOOKUP(AY$7,'Product Tgt'!$B:$B,'Product Tgt'!$G:$G)*T22/T$121,0),0)</f>
        <v>0</v>
      </c>
      <c r="AZ22" s="41">
        <f>IFERROR(ROUND(_xlfn.XLOOKUP(AZ$7,'Product Tgt'!$B:$B,'Product Tgt'!$G:$G)*U22/U$121,0),0)</f>
        <v>1064</v>
      </c>
      <c r="BA22" s="41">
        <f>IFERROR(ROUND(_xlfn.XLOOKUP(BA$7,'Product Tgt'!$B:$B,'Product Tgt'!$G:$G)*V22/V$121,0),0)</f>
        <v>14738</v>
      </c>
      <c r="BB22" s="41">
        <f>IFERROR(ROUND(_xlfn.XLOOKUP(BB$7,'Product Tgt'!$B:$B,'Product Tgt'!$G:$G)*W22/W$121,0),0)</f>
        <v>18665</v>
      </c>
      <c r="BC22" s="41">
        <f>IFERROR(ROUND(_xlfn.XLOOKUP(BC$7,'Product Tgt'!$B:$B,'Product Tgt'!$G:$G)*X22/X$121,0),0)</f>
        <v>818</v>
      </c>
      <c r="BD22" s="41">
        <f>IFERROR(ROUND(_xlfn.XLOOKUP(BD$7,'Product Tgt'!$B:$B,'Product Tgt'!$G:$G)*Y22/Y$121,0),0)</f>
        <v>2358</v>
      </c>
      <c r="BE22" s="41">
        <f>IFERROR(ROUND(_xlfn.XLOOKUP(BE$7,'Product Tgt'!$B:$B,'Product Tgt'!$G:$G)*Z22/Z$121,0),0)</f>
        <v>346</v>
      </c>
      <c r="BF22" s="41">
        <f>IFERROR(ROUND(_xlfn.XLOOKUP(BF$7,'Product Tgt'!$B:$B,'Product Tgt'!$G:$G)*AA22/AA$121,0),0)</f>
        <v>2101</v>
      </c>
      <c r="BG22" s="41">
        <f>IFERROR(ROUND(_xlfn.XLOOKUP(BG$7,'Product Tgt'!$B:$B,'Product Tgt'!$G:$G)*AB22/AB$121,0),0)</f>
        <v>816</v>
      </c>
      <c r="BH22" s="41">
        <f>IFERROR(ROUND(_xlfn.XLOOKUP(BH$7,'Product Tgt'!$B:$B,'Product Tgt'!$G:$G)*AC22/AC$121,0),0)</f>
        <v>460</v>
      </c>
      <c r="BI22" s="41">
        <f>IFERROR(ROUND(_xlfn.XLOOKUP(BI$7,'Product Tgt'!$B:$B,'Product Tgt'!$G:$G)*AD22/AD$121,0),0)</f>
        <v>2256</v>
      </c>
      <c r="BJ22" s="41">
        <f>IFERROR(ROUND(_xlfn.XLOOKUP(BJ$7,'Product Tgt'!$B:$B,'Product Tgt'!$G:$G)*AE22/AE$121,0),0)</f>
        <v>3353</v>
      </c>
      <c r="BK22" s="41">
        <f>IFERROR(ROUND(_xlfn.XLOOKUP(BK$7,'Product Tgt'!$B:$B,'Product Tgt'!$G:$G)*AF22/AF$121,0),0)</f>
        <v>637</v>
      </c>
      <c r="BL22" s="41">
        <f>IFERROR(ROUND(_xlfn.XLOOKUP(BL$7,'Product Tgt'!$B:$B,'Product Tgt'!$G:$G)*AG22/AG$121,0),0)</f>
        <v>10664</v>
      </c>
      <c r="BM22" s="41">
        <f>IFERROR(ROUND(_xlfn.XLOOKUP(BM$7,'Product Tgt'!$B:$B,'Product Tgt'!$G:$G)*AH22/AH$121,0),0)</f>
        <v>785</v>
      </c>
      <c r="BN22" s="41">
        <f>IFERROR(ROUND(_xlfn.XLOOKUP(BN$7,'Product Tgt'!$B:$B,'Product Tgt'!$G:$G)*AI22/AI$121,0),0)</f>
        <v>4867</v>
      </c>
      <c r="BO22" s="41">
        <f>IFERROR(ROUND(_xlfn.XLOOKUP(BO$7,'Product Tgt'!$B:$B,'Product Tgt'!$G:$G)*AJ22/AJ$121,0),0)</f>
        <v>4991</v>
      </c>
      <c r="BP22" s="41">
        <f>IFERROR(ROUND(_xlfn.XLOOKUP(BP$7,'Product Tgt'!$B:$B,'Product Tgt'!$G:$G)*AK22/AK$121,0),0)</f>
        <v>821</v>
      </c>
      <c r="BQ22" s="41">
        <f>IFERROR(ROUND(_xlfn.XLOOKUP(BQ$7,'Product Tgt'!$B:$B,'Product Tgt'!$G:$G)*AL22/AL$121,0),0)</f>
        <v>1387</v>
      </c>
      <c r="BR22" s="25">
        <f>ROUND(IFERROR(AM22/_xlfn.XLOOKUP(BR$7,'Product Tgt'!$B:$B,'Product Tgt'!$D:$D),0),0)</f>
        <v>0</v>
      </c>
      <c r="BS22" s="11">
        <f>ROUND(IFERROR(AN22/_xlfn.XLOOKUP(BS$7,'Product Tgt'!$B:$B,'Product Tgt'!$D:$D),0),0)</f>
        <v>0</v>
      </c>
      <c r="BT22" s="11">
        <f>ROUND(IFERROR(AO22/_xlfn.XLOOKUP(BT$7,'Product Tgt'!$B:$B,'Product Tgt'!$D:$D),0),0)</f>
        <v>0</v>
      </c>
      <c r="BU22" s="11">
        <f>ROUND(IFERROR(AP22/_xlfn.XLOOKUP(BU$7,'Product Tgt'!$B:$B,'Product Tgt'!$D:$D),0),0)</f>
        <v>0</v>
      </c>
      <c r="BV22" s="11">
        <f>ROUND(IFERROR(AQ22/_xlfn.XLOOKUP(BV$7,'Product Tgt'!$B:$B,'Product Tgt'!$D:$D),0),0)</f>
        <v>0</v>
      </c>
      <c r="BW22" s="11">
        <f>ROUND(IFERROR(AU22/_xlfn.XLOOKUP(BW$7,'Product Tgt'!$B:$B,'Product Tgt'!$D:$D),0),0)</f>
        <v>0</v>
      </c>
      <c r="BX22" s="11">
        <f>ROUND(IFERROR(#REF!/_xlfn.XLOOKUP(BX$7,'Product Tgt'!$B:$B,'Product Tgt'!$D:$D),0),0)</f>
        <v>0</v>
      </c>
      <c r="BY22" s="11">
        <f>ROUND(IFERROR(#REF!/_xlfn.XLOOKUP(BY$7,'Product Tgt'!$B:$B,'Product Tgt'!$D:$D),0),0)</f>
        <v>0</v>
      </c>
      <c r="BZ22" s="11">
        <f>ROUND(IFERROR(#REF!/_xlfn.XLOOKUP(BZ$7,'Product Tgt'!$B:$B,'Product Tgt'!$D:$D),0),0)</f>
        <v>0</v>
      </c>
      <c r="CA22" s="11">
        <f>ROUND(IFERROR(#REF!/_xlfn.XLOOKUP(CA$7,'Product Tgt'!$B:$B,'Product Tgt'!$D:$D),0),0)</f>
        <v>0</v>
      </c>
      <c r="CB22" s="11">
        <f>ROUND(IFERROR(AV22/_xlfn.XLOOKUP(CB$7,'Product Tgt'!$B:$B,'Product Tgt'!$D:$D),0),0)</f>
        <v>0</v>
      </c>
      <c r="CC22" s="11">
        <f>ROUND(IFERROR(AW22/_xlfn.XLOOKUP(CC$7,'Product Tgt'!$B:$B,'Product Tgt'!$D:$D),0),0)</f>
        <v>0</v>
      </c>
      <c r="CD22" s="11">
        <f>ROUND(IFERROR(AX22/_xlfn.XLOOKUP(CD$7,'Product Tgt'!$B:$B,'Product Tgt'!$D:$D),0),0)</f>
        <v>0</v>
      </c>
      <c r="CE22" s="11">
        <f>ROUND(IFERROR(AY22/_xlfn.XLOOKUP(CE$7,'Product Tgt'!$B:$B,'Product Tgt'!$D:$D),0),0)</f>
        <v>0</v>
      </c>
      <c r="CF22" s="11">
        <f>ROUND(IFERROR(AZ22/_xlfn.XLOOKUP(CF$7,'Product Tgt'!$B:$B,'Product Tgt'!$D:$D),0),0)</f>
        <v>0</v>
      </c>
      <c r="CG22" s="11">
        <f>ROUND(IFERROR(BA22/_xlfn.XLOOKUP(CG$7,'Product Tgt'!$B:$B,'Product Tgt'!$D:$D),0),0)</f>
        <v>0</v>
      </c>
      <c r="CH22" s="11">
        <f>ROUND(IFERROR(BB22/_xlfn.XLOOKUP(CH$7,'Product Tgt'!$B:$B,'Product Tgt'!$D:$D),0),0)</f>
        <v>0</v>
      </c>
      <c r="CI22" s="11">
        <f>ROUND(IFERROR(BC22/_xlfn.XLOOKUP(CI$7,'Product Tgt'!$B:$B,'Product Tgt'!$D:$D),0),0)</f>
        <v>0</v>
      </c>
      <c r="CJ22" s="11">
        <f>ROUND(IFERROR(BD22/_xlfn.XLOOKUP(CJ$7,'Product Tgt'!$B:$B,'Product Tgt'!$D:$D),0),0)</f>
        <v>0</v>
      </c>
      <c r="CK22" s="11">
        <f>ROUND(IFERROR(BE22/_xlfn.XLOOKUP(CK$7,'Product Tgt'!$B:$B,'Product Tgt'!$D:$D),0),0)</f>
        <v>0</v>
      </c>
      <c r="CL22" s="11">
        <f>ROUND(IFERROR(BF22/_xlfn.XLOOKUP(CL$7,'Product Tgt'!$B:$B,'Product Tgt'!$D:$D),0),0)</f>
        <v>0</v>
      </c>
      <c r="CM22" s="11">
        <f>ROUND(IFERROR(BG22/_xlfn.XLOOKUP(CM$7,'Product Tgt'!$B:$B,'Product Tgt'!$D:$D),0),0)</f>
        <v>0</v>
      </c>
      <c r="CN22" s="11">
        <f>ROUND(IFERROR(BH22/_xlfn.XLOOKUP(CN$7,'Product Tgt'!$B:$B,'Product Tgt'!$D:$D),0),0)</f>
        <v>0</v>
      </c>
      <c r="CO22" s="11">
        <f>ROUND(IFERROR(BI22/_xlfn.XLOOKUP(CO$7,'Product Tgt'!$B:$B,'Product Tgt'!$D:$D),0),0)</f>
        <v>0</v>
      </c>
      <c r="CP22" s="11">
        <f>ROUND(IFERROR(BJ22/_xlfn.XLOOKUP(CP$7,'Product Tgt'!$B:$B,'Product Tgt'!$D:$D),0),0)</f>
        <v>0</v>
      </c>
      <c r="CQ22" s="11">
        <f>ROUND(IFERROR(BK22/_xlfn.XLOOKUP(CQ$7,'Product Tgt'!$B:$B,'Product Tgt'!$D:$D),0),0)</f>
        <v>0</v>
      </c>
      <c r="CR22" s="11">
        <f>ROUND(IFERROR(BL22/_xlfn.XLOOKUP(CR$7,'Product Tgt'!$B:$B,'Product Tgt'!$D:$D),0),0)</f>
        <v>0</v>
      </c>
      <c r="CS22" s="11">
        <f>ROUND(IFERROR(BM22/_xlfn.XLOOKUP(CS$7,'Product Tgt'!$B:$B,'Product Tgt'!$D:$D),0),0)</f>
        <v>0</v>
      </c>
      <c r="CT22" s="11">
        <f>ROUND(IFERROR(BN22/_xlfn.XLOOKUP(CT$7,'Product Tgt'!$B:$B,'Product Tgt'!$D:$D),0),0)</f>
        <v>0</v>
      </c>
      <c r="CU22" s="11">
        <f>ROUND(IFERROR(BO22/_xlfn.XLOOKUP(CU$7,'Product Tgt'!$B:$B,'Product Tgt'!$D:$D),0),0)</f>
        <v>0</v>
      </c>
      <c r="CV22" s="11">
        <f>ROUND(IFERROR(BP22/_xlfn.XLOOKUP(CV$7,'Product Tgt'!$B:$B,'Product Tgt'!$D:$D),0),0)</f>
        <v>0</v>
      </c>
      <c r="CW22" s="11">
        <f>ROUND(IFERROR(BQ22/_xlfn.XLOOKUP(CW$7,'Product Tgt'!$B:$B,'Product Tgt'!$D:$D),0),0)</f>
        <v>0</v>
      </c>
      <c r="CX22" s="11">
        <f>ROUND(IFERROR(#REF!/_xlfn.XLOOKUP(CX$7,'Product Tgt'!$B:$B,'Product Tgt'!$D:$D),0),0)</f>
        <v>0</v>
      </c>
      <c r="CY22" s="11">
        <f>ROUND(IFERROR(#REF!/_xlfn.XLOOKUP(CY$7,'Product Tgt'!$B:$B,'Product Tgt'!$D:$D),0),0)</f>
        <v>0</v>
      </c>
      <c r="CZ22" s="11">
        <f>ROUND(IFERROR(#REF!/_xlfn.XLOOKUP(CZ$7,'Product Tgt'!$B:$B,'Product Tgt'!$D:$D),0),0)</f>
        <v>0</v>
      </c>
      <c r="DA22" s="10">
        <f>IFERROR(BR22*_xlfn.XLOOKUP(DA$7,'Product Tgt'!$B:$B,'Product Tgt'!$D:$D),0)</f>
        <v>0</v>
      </c>
      <c r="DB22">
        <f>IFERROR(BS22*_xlfn.XLOOKUP(DB$7,'Product Tgt'!$B:$B,'Product Tgt'!$D:$D),0)</f>
        <v>0</v>
      </c>
      <c r="DC22">
        <f>IFERROR(BT22*_xlfn.XLOOKUP(DC$7,'Product Tgt'!$B:$B,'Product Tgt'!$D:$D),0)</f>
        <v>0</v>
      </c>
      <c r="DD22">
        <f>IFERROR(BU22*_xlfn.XLOOKUP(DD$7,'Product Tgt'!$B:$B,'Product Tgt'!$D:$D),0)</f>
        <v>0</v>
      </c>
      <c r="DE22">
        <f>IFERROR(BV22*_xlfn.XLOOKUP(DE$7,'Product Tgt'!$B:$B,'Product Tgt'!$D:$D),0)</f>
        <v>0</v>
      </c>
      <c r="DF22">
        <f>IFERROR(BW22*_xlfn.XLOOKUP(DF$7,'Product Tgt'!$B:$B,'Product Tgt'!$D:$D),0)</f>
        <v>0</v>
      </c>
      <c r="DG22">
        <f>IFERROR(BX22*_xlfn.XLOOKUP(DG$7,'Product Tgt'!$B:$B,'Product Tgt'!$D:$D),0)</f>
        <v>0</v>
      </c>
      <c r="DH22">
        <f>IFERROR(BY22*_xlfn.XLOOKUP(DH$7,'Product Tgt'!$B:$B,'Product Tgt'!$D:$D),0)</f>
        <v>0</v>
      </c>
      <c r="DI22">
        <f>IFERROR(BZ22*_xlfn.XLOOKUP(DI$7,'Product Tgt'!$B:$B,'Product Tgt'!$D:$D),0)</f>
        <v>0</v>
      </c>
      <c r="DJ22">
        <f>IFERROR(CA22*_xlfn.XLOOKUP(DJ$7,'Product Tgt'!$B:$B,'Product Tgt'!$D:$D),0)</f>
        <v>0</v>
      </c>
      <c r="DK22">
        <f>IFERROR(CB22*_xlfn.XLOOKUP(DK$7,'Product Tgt'!$B:$B,'Product Tgt'!$D:$D),0)</f>
        <v>0</v>
      </c>
      <c r="DL22">
        <f>IFERROR(CC22*_xlfn.XLOOKUP(DL$7,'Product Tgt'!$B:$B,'Product Tgt'!$D:$D),0)</f>
        <v>0</v>
      </c>
      <c r="DM22">
        <f>IFERROR(CD22*_xlfn.XLOOKUP(DM$7,'Product Tgt'!$B:$B,'Product Tgt'!$D:$D),0)</f>
        <v>0</v>
      </c>
      <c r="DN22">
        <f>IFERROR(CE22*_xlfn.XLOOKUP(DN$7,'Product Tgt'!$B:$B,'Product Tgt'!$D:$D),0)</f>
        <v>0</v>
      </c>
      <c r="DO22">
        <f>IFERROR(CF22*_xlfn.XLOOKUP(DO$7,'Product Tgt'!$B:$B,'Product Tgt'!$D:$D),0)</f>
        <v>0</v>
      </c>
      <c r="DP22">
        <f>IFERROR(CG22*_xlfn.XLOOKUP(DP$7,'Product Tgt'!$B:$B,'Product Tgt'!$D:$D),0)</f>
        <v>0</v>
      </c>
      <c r="DQ22">
        <f>IFERROR(CH22*_xlfn.XLOOKUP(DQ$7,'Product Tgt'!$B:$B,'Product Tgt'!$D:$D),0)</f>
        <v>0</v>
      </c>
      <c r="DR22">
        <f>IFERROR(CI22*_xlfn.XLOOKUP(DR$7,'Product Tgt'!$B:$B,'Product Tgt'!$D:$D),0)</f>
        <v>0</v>
      </c>
      <c r="DS22">
        <f>IFERROR(CJ22*_xlfn.XLOOKUP(DS$7,'Product Tgt'!$B:$B,'Product Tgt'!$D:$D),0)</f>
        <v>0</v>
      </c>
      <c r="DT22">
        <f>IFERROR(CK22*_xlfn.XLOOKUP(DT$7,'Product Tgt'!$B:$B,'Product Tgt'!$D:$D),0)</f>
        <v>0</v>
      </c>
      <c r="DU22">
        <f>IFERROR(CL22*_xlfn.XLOOKUP(DU$7,'Product Tgt'!$B:$B,'Product Tgt'!$D:$D),0)</f>
        <v>0</v>
      </c>
      <c r="DV22">
        <f>IFERROR(CM22*_xlfn.XLOOKUP(DV$7,'Product Tgt'!$B:$B,'Product Tgt'!$D:$D),0)</f>
        <v>0</v>
      </c>
      <c r="DW22">
        <f>IFERROR(CN22*_xlfn.XLOOKUP(DW$7,'Product Tgt'!$B:$B,'Product Tgt'!$D:$D),0)</f>
        <v>0</v>
      </c>
      <c r="DX22">
        <f>IFERROR(CO22*_xlfn.XLOOKUP(DX$7,'Product Tgt'!$B:$B,'Product Tgt'!$D:$D),0)</f>
        <v>0</v>
      </c>
      <c r="DY22">
        <f>IFERROR(CP22*_xlfn.XLOOKUP(DY$7,'Product Tgt'!$B:$B,'Product Tgt'!$D:$D),0)</f>
        <v>0</v>
      </c>
      <c r="DZ22">
        <f>IFERROR(CQ22*_xlfn.XLOOKUP(DZ$7,'Product Tgt'!$B:$B,'Product Tgt'!$D:$D),0)</f>
        <v>0</v>
      </c>
      <c r="EA22">
        <f>IFERROR(CR22*_xlfn.XLOOKUP(EA$7,'Product Tgt'!$B:$B,'Product Tgt'!$D:$D),0)</f>
        <v>0</v>
      </c>
      <c r="EB22">
        <f>IFERROR(CS22*_xlfn.XLOOKUP(EB$7,'Product Tgt'!$B:$B,'Product Tgt'!$D:$D),0)</f>
        <v>0</v>
      </c>
      <c r="EC22">
        <f>IFERROR(CT22*_xlfn.XLOOKUP(EC$7,'Product Tgt'!$B:$B,'Product Tgt'!$D:$D),0)</f>
        <v>0</v>
      </c>
      <c r="ED22">
        <f>IFERROR(CU22*_xlfn.XLOOKUP(ED$7,'Product Tgt'!$B:$B,'Product Tgt'!$D:$D),0)</f>
        <v>0</v>
      </c>
      <c r="EE22">
        <f>IFERROR(CV22*_xlfn.XLOOKUP(EE$7,'Product Tgt'!$B:$B,'Product Tgt'!$D:$D),0)</f>
        <v>0</v>
      </c>
      <c r="EF22">
        <f>IFERROR(CW22*_xlfn.XLOOKUP(EF$7,'Product Tgt'!$B:$B,'Product Tgt'!$D:$D),0)</f>
        <v>0</v>
      </c>
      <c r="EG22">
        <f>IFERROR(CX22*_xlfn.XLOOKUP(EG$7,'Product Tgt'!$B:$B,'Product Tgt'!$D:$D),0)</f>
        <v>0</v>
      </c>
      <c r="EH22">
        <f>IFERROR(CY22*_xlfn.XLOOKUP(EH$7,'Product Tgt'!$B:$B,'Product Tgt'!$D:$D),0)</f>
        <v>0</v>
      </c>
      <c r="EI22">
        <f>IFERROR(CZ22*_xlfn.XLOOKUP(EI$7,'Product Tgt'!$B:$B,'Product Tgt'!$D:$D),0)</f>
        <v>0</v>
      </c>
    </row>
    <row r="23" spans="2:139" x14ac:dyDescent="0.35">
      <c r="B23" s="7" t="s">
        <v>140</v>
      </c>
      <c r="C23" s="3">
        <f>_xlfn.XLOOKUP($B23,'Terr Target'!$A:$A,'Terr Target'!$E:$E)</f>
        <v>404914.16661903751</v>
      </c>
      <c r="D23" s="3">
        <f t="shared" si="3"/>
        <v>404916</v>
      </c>
      <c r="E23" s="4">
        <f t="shared" si="4"/>
        <v>1.8333809624891728</v>
      </c>
      <c r="F23" s="9">
        <f t="shared" si="5"/>
        <v>4.5278056744835297E-6</v>
      </c>
      <c r="G23" s="5">
        <f t="shared" si="6"/>
        <v>0.9999954721943255</v>
      </c>
      <c r="H23" s="38">
        <v>43617.260592873936</v>
      </c>
      <c r="I23" s="11">
        <v>89627.479960235389</v>
      </c>
      <c r="J23" s="11">
        <v>44176.709779231605</v>
      </c>
      <c r="K23" s="11">
        <v>44713.894856609135</v>
      </c>
      <c r="L23" s="11">
        <v>37770.737423216066</v>
      </c>
      <c r="M23" s="11">
        <v>27318.459825172493</v>
      </c>
      <c r="N23" s="11">
        <v>228.9112680120646</v>
      </c>
      <c r="O23" s="11">
        <v>4125.3692034666419</v>
      </c>
      <c r="P23" s="11">
        <v>575.25401651431832</v>
      </c>
      <c r="Q23" s="11">
        <v>426.97923082546009</v>
      </c>
      <c r="R23" s="11">
        <v>6713.5594315769631</v>
      </c>
      <c r="S23" s="11">
        <v>13245.701706922453</v>
      </c>
      <c r="T23" s="11">
        <v>0</v>
      </c>
      <c r="U23" s="11">
        <v>1780.5116532531447</v>
      </c>
      <c r="V23" s="11">
        <v>13730.714920520883</v>
      </c>
      <c r="W23" s="11">
        <v>30927.882935867594</v>
      </c>
      <c r="X23" s="11">
        <v>2437.4073711371575</v>
      </c>
      <c r="Y23" s="11">
        <v>2377.701340841315</v>
      </c>
      <c r="Z23" s="11">
        <v>385.19794808134498</v>
      </c>
      <c r="AA23" s="11">
        <v>7217.6718070586621</v>
      </c>
      <c r="AB23" s="11">
        <v>2379.7117789342906</v>
      </c>
      <c r="AC23" s="11">
        <v>1657.1483851222952</v>
      </c>
      <c r="AD23" s="11">
        <v>5639.1594188304234</v>
      </c>
      <c r="AE23" s="11">
        <v>5181.3468354701217</v>
      </c>
      <c r="AF23" s="11">
        <v>820.04973599365485</v>
      </c>
      <c r="AG23" s="11">
        <v>15419.602350586243</v>
      </c>
      <c r="AH23" s="11">
        <v>818.11891921129222</v>
      </c>
      <c r="AI23" s="11">
        <v>7693.4489486259981</v>
      </c>
      <c r="AJ23" s="11">
        <v>5138.5802390071731</v>
      </c>
      <c r="AK23" s="11">
        <v>2627.7719721487556</v>
      </c>
      <c r="AL23" s="49">
        <v>3718.9223181154812</v>
      </c>
      <c r="AM23" s="41">
        <f>IFERROR(ROUND(_xlfn.XLOOKUP(AM$7,'Product Tgt'!$B:$B,'Product Tgt'!$G:$G)*H23/H$121,0),0)</f>
        <v>42403</v>
      </c>
      <c r="AN23" s="41">
        <f>IFERROR(ROUND(_xlfn.XLOOKUP(AN$7,'Product Tgt'!$B:$B,'Product Tgt'!$G:$G)*I23/I$121,0),0)</f>
        <v>88229</v>
      </c>
      <c r="AO23" s="41">
        <f>IFERROR(ROUND(_xlfn.XLOOKUP(AO$7,'Product Tgt'!$B:$B,'Product Tgt'!$G:$G)*J23/J$121,0),0)</f>
        <v>42803</v>
      </c>
      <c r="AP23" s="41">
        <f>IFERROR(ROUND(_xlfn.XLOOKUP(AP$7,'Product Tgt'!$B:$B,'Product Tgt'!$G:$G)*K23/K$121,0),0)</f>
        <v>43619</v>
      </c>
      <c r="AQ23" s="41">
        <f>IFERROR(ROUND(_xlfn.XLOOKUP(AQ$7,'Product Tgt'!$B:$B,'Product Tgt'!$G:$G)*L23/L$121,0),0)</f>
        <v>36522</v>
      </c>
      <c r="AR23" s="41">
        <f>IFERROR(ROUND(_xlfn.XLOOKUP(AR$7,'Product Tgt'!$B:$B,'Product Tgt'!$G:$G)*M23/M$121,0),0)</f>
        <v>26466</v>
      </c>
      <c r="AS23" s="41">
        <f>IFERROR(ROUND(_xlfn.XLOOKUP(AS$7,'Product Tgt'!$B:$B,'Product Tgt'!$G:$G)*N23/N$121,0),0)</f>
        <v>212</v>
      </c>
      <c r="AT23" s="41">
        <f>IFERROR(ROUND(_xlfn.XLOOKUP(AT$7,'Product Tgt'!$B:$B,'Product Tgt'!$G:$G)*O23/O$121,0),0)</f>
        <v>3713</v>
      </c>
      <c r="AU23" s="41">
        <f>IFERROR(ROUND(_xlfn.XLOOKUP(AU$7,'Product Tgt'!$B:$B,'Product Tgt'!$G:$G)*P23/P$121,0),0)</f>
        <v>245</v>
      </c>
      <c r="AV23" s="41">
        <f>IFERROR(ROUND(_xlfn.XLOOKUP(AV$7,'Product Tgt'!$B:$B,'Product Tgt'!$G:$G)*Q23/Q$121,0),0)</f>
        <v>320</v>
      </c>
      <c r="AW23" s="41">
        <f>IFERROR(ROUND(_xlfn.XLOOKUP(AW$7,'Product Tgt'!$B:$B,'Product Tgt'!$G:$G)*R23/R$121,0),0)</f>
        <v>6466</v>
      </c>
      <c r="AX23" s="41">
        <f>IFERROR(ROUND(_xlfn.XLOOKUP(AX$7,'Product Tgt'!$B:$B,'Product Tgt'!$G:$G)*S23/S$121,0),0)</f>
        <v>12757</v>
      </c>
      <c r="AY23" s="41">
        <f>IFERROR(ROUND(_xlfn.XLOOKUP(AY$7,'Product Tgt'!$B:$B,'Product Tgt'!$G:$G)*T23/T$121,0),0)</f>
        <v>0</v>
      </c>
      <c r="AZ23" s="41">
        <f>IFERROR(ROUND(_xlfn.XLOOKUP(AZ$7,'Product Tgt'!$B:$B,'Product Tgt'!$G:$G)*U23/U$121,0),0)</f>
        <v>1704</v>
      </c>
      <c r="BA23" s="41">
        <f>IFERROR(ROUND(_xlfn.XLOOKUP(BA$7,'Product Tgt'!$B:$B,'Product Tgt'!$G:$G)*V23/V$121,0),0)</f>
        <v>13220</v>
      </c>
      <c r="BB23" s="41">
        <f>IFERROR(ROUND(_xlfn.XLOOKUP(BB$7,'Product Tgt'!$B:$B,'Product Tgt'!$G:$G)*W23/W$121,0),0)</f>
        <v>29605</v>
      </c>
      <c r="BC23" s="41">
        <f>IFERROR(ROUND(_xlfn.XLOOKUP(BC$7,'Product Tgt'!$B:$B,'Product Tgt'!$G:$G)*X23/X$121,0),0)</f>
        <v>2358</v>
      </c>
      <c r="BD23" s="41">
        <f>IFERROR(ROUND(_xlfn.XLOOKUP(BD$7,'Product Tgt'!$B:$B,'Product Tgt'!$G:$G)*Y23/Y$121,0),0)</f>
        <v>2299</v>
      </c>
      <c r="BE23" s="41">
        <f>IFERROR(ROUND(_xlfn.XLOOKUP(BE$7,'Product Tgt'!$B:$B,'Product Tgt'!$G:$G)*Z23/Z$121,0),0)</f>
        <v>366</v>
      </c>
      <c r="BF23" s="41">
        <f>IFERROR(ROUND(_xlfn.XLOOKUP(BF$7,'Product Tgt'!$B:$B,'Product Tgt'!$G:$G)*AA23/AA$121,0),0)</f>
        <v>5849</v>
      </c>
      <c r="BG23" s="41">
        <f>IFERROR(ROUND(_xlfn.XLOOKUP(BG$7,'Product Tgt'!$B:$B,'Product Tgt'!$G:$G)*AB23/AB$121,0),0)</f>
        <v>1907</v>
      </c>
      <c r="BH23" s="41">
        <f>IFERROR(ROUND(_xlfn.XLOOKUP(BH$7,'Product Tgt'!$B:$B,'Product Tgt'!$G:$G)*AC23/AC$121,0),0)</f>
        <v>1418</v>
      </c>
      <c r="BI23" s="41">
        <f>IFERROR(ROUND(_xlfn.XLOOKUP(BI$7,'Product Tgt'!$B:$B,'Product Tgt'!$G:$G)*AD23/AD$121,0),0)</f>
        <v>4909</v>
      </c>
      <c r="BJ23" s="41">
        <f>IFERROR(ROUND(_xlfn.XLOOKUP(BJ$7,'Product Tgt'!$B:$B,'Product Tgt'!$G:$G)*AE23/AE$121,0),0)</f>
        <v>4822</v>
      </c>
      <c r="BK23" s="41">
        <f>IFERROR(ROUND(_xlfn.XLOOKUP(BK$7,'Product Tgt'!$B:$B,'Product Tgt'!$G:$G)*AF23/AF$121,0),0)</f>
        <v>916</v>
      </c>
      <c r="BL23" s="41">
        <f>IFERROR(ROUND(_xlfn.XLOOKUP(BL$7,'Product Tgt'!$B:$B,'Product Tgt'!$G:$G)*AG23/AG$121,0),0)</f>
        <v>14729</v>
      </c>
      <c r="BM23" s="41">
        <f>IFERROR(ROUND(_xlfn.XLOOKUP(BM$7,'Product Tgt'!$B:$B,'Product Tgt'!$G:$G)*AH23/AH$121,0),0)</f>
        <v>641</v>
      </c>
      <c r="BN23" s="41">
        <f>IFERROR(ROUND(_xlfn.XLOOKUP(BN$7,'Product Tgt'!$B:$B,'Product Tgt'!$G:$G)*AI23/AI$121,0),0)</f>
        <v>7065</v>
      </c>
      <c r="BO23" s="41">
        <f>IFERROR(ROUND(_xlfn.XLOOKUP(BO$7,'Product Tgt'!$B:$B,'Product Tgt'!$G:$G)*AJ23/AJ$121,0),0)</f>
        <v>4445</v>
      </c>
      <c r="BP23" s="41">
        <f>IFERROR(ROUND(_xlfn.XLOOKUP(BP$7,'Product Tgt'!$B:$B,'Product Tgt'!$G:$G)*AK23/AK$121,0),0)</f>
        <v>2001</v>
      </c>
      <c r="BQ23" s="41">
        <f>IFERROR(ROUND(_xlfn.XLOOKUP(BQ$7,'Product Tgt'!$B:$B,'Product Tgt'!$G:$G)*AL23/AL$121,0),0)</f>
        <v>2907</v>
      </c>
      <c r="BR23" s="25">
        <f>ROUND(IFERROR(AM23/_xlfn.XLOOKUP(BR$7,'Product Tgt'!$B:$B,'Product Tgt'!$D:$D),0),0)</f>
        <v>0</v>
      </c>
      <c r="BS23" s="11">
        <f>ROUND(IFERROR(AN23/_xlfn.XLOOKUP(BS$7,'Product Tgt'!$B:$B,'Product Tgt'!$D:$D),0),0)</f>
        <v>0</v>
      </c>
      <c r="BT23" s="11">
        <f>ROUND(IFERROR(AO23/_xlfn.XLOOKUP(BT$7,'Product Tgt'!$B:$B,'Product Tgt'!$D:$D),0),0)</f>
        <v>0</v>
      </c>
      <c r="BU23" s="11">
        <f>ROUND(IFERROR(AP23/_xlfn.XLOOKUP(BU$7,'Product Tgt'!$B:$B,'Product Tgt'!$D:$D),0),0)</f>
        <v>0</v>
      </c>
      <c r="BV23" s="11">
        <f>ROUND(IFERROR(AQ23/_xlfn.XLOOKUP(BV$7,'Product Tgt'!$B:$B,'Product Tgt'!$D:$D),0),0)</f>
        <v>0</v>
      </c>
      <c r="BW23" s="11">
        <f>ROUND(IFERROR(AU23/_xlfn.XLOOKUP(BW$7,'Product Tgt'!$B:$B,'Product Tgt'!$D:$D),0),0)</f>
        <v>0</v>
      </c>
      <c r="BX23" s="11">
        <f>ROUND(IFERROR(#REF!/_xlfn.XLOOKUP(BX$7,'Product Tgt'!$B:$B,'Product Tgt'!$D:$D),0),0)</f>
        <v>0</v>
      </c>
      <c r="BY23" s="11">
        <f>ROUND(IFERROR(#REF!/_xlfn.XLOOKUP(BY$7,'Product Tgt'!$B:$B,'Product Tgt'!$D:$D),0),0)</f>
        <v>0</v>
      </c>
      <c r="BZ23" s="11">
        <f>ROUND(IFERROR(#REF!/_xlfn.XLOOKUP(BZ$7,'Product Tgt'!$B:$B,'Product Tgt'!$D:$D),0),0)</f>
        <v>0</v>
      </c>
      <c r="CA23" s="11">
        <f>ROUND(IFERROR(#REF!/_xlfn.XLOOKUP(CA$7,'Product Tgt'!$B:$B,'Product Tgt'!$D:$D),0),0)</f>
        <v>0</v>
      </c>
      <c r="CB23" s="11">
        <f>ROUND(IFERROR(AV23/_xlfn.XLOOKUP(CB$7,'Product Tgt'!$B:$B,'Product Tgt'!$D:$D),0),0)</f>
        <v>0</v>
      </c>
      <c r="CC23" s="11">
        <f>ROUND(IFERROR(AW23/_xlfn.XLOOKUP(CC$7,'Product Tgt'!$B:$B,'Product Tgt'!$D:$D),0),0)</f>
        <v>0</v>
      </c>
      <c r="CD23" s="11">
        <f>ROUND(IFERROR(AX23/_xlfn.XLOOKUP(CD$7,'Product Tgt'!$B:$B,'Product Tgt'!$D:$D),0),0)</f>
        <v>0</v>
      </c>
      <c r="CE23" s="11">
        <f>ROUND(IFERROR(AY23/_xlfn.XLOOKUP(CE$7,'Product Tgt'!$B:$B,'Product Tgt'!$D:$D),0),0)</f>
        <v>0</v>
      </c>
      <c r="CF23" s="11">
        <f>ROUND(IFERROR(AZ23/_xlfn.XLOOKUP(CF$7,'Product Tgt'!$B:$B,'Product Tgt'!$D:$D),0),0)</f>
        <v>0</v>
      </c>
      <c r="CG23" s="11">
        <f>ROUND(IFERROR(BA23/_xlfn.XLOOKUP(CG$7,'Product Tgt'!$B:$B,'Product Tgt'!$D:$D),0),0)</f>
        <v>0</v>
      </c>
      <c r="CH23" s="11">
        <f>ROUND(IFERROR(BB23/_xlfn.XLOOKUP(CH$7,'Product Tgt'!$B:$B,'Product Tgt'!$D:$D),0),0)</f>
        <v>0</v>
      </c>
      <c r="CI23" s="11">
        <f>ROUND(IFERROR(BC23/_xlfn.XLOOKUP(CI$7,'Product Tgt'!$B:$B,'Product Tgt'!$D:$D),0),0)</f>
        <v>0</v>
      </c>
      <c r="CJ23" s="11">
        <f>ROUND(IFERROR(BD23/_xlfn.XLOOKUP(CJ$7,'Product Tgt'!$B:$B,'Product Tgt'!$D:$D),0),0)</f>
        <v>0</v>
      </c>
      <c r="CK23" s="11">
        <f>ROUND(IFERROR(BE23/_xlfn.XLOOKUP(CK$7,'Product Tgt'!$B:$B,'Product Tgt'!$D:$D),0),0)</f>
        <v>0</v>
      </c>
      <c r="CL23" s="11">
        <f>ROUND(IFERROR(BF23/_xlfn.XLOOKUP(CL$7,'Product Tgt'!$B:$B,'Product Tgt'!$D:$D),0),0)</f>
        <v>0</v>
      </c>
      <c r="CM23" s="11">
        <f>ROUND(IFERROR(BG23/_xlfn.XLOOKUP(CM$7,'Product Tgt'!$B:$B,'Product Tgt'!$D:$D),0),0)</f>
        <v>0</v>
      </c>
      <c r="CN23" s="11">
        <f>ROUND(IFERROR(BH23/_xlfn.XLOOKUP(CN$7,'Product Tgt'!$B:$B,'Product Tgt'!$D:$D),0),0)</f>
        <v>0</v>
      </c>
      <c r="CO23" s="11">
        <f>ROUND(IFERROR(BI23/_xlfn.XLOOKUP(CO$7,'Product Tgt'!$B:$B,'Product Tgt'!$D:$D),0),0)</f>
        <v>0</v>
      </c>
      <c r="CP23" s="11">
        <f>ROUND(IFERROR(BJ23/_xlfn.XLOOKUP(CP$7,'Product Tgt'!$B:$B,'Product Tgt'!$D:$D),0),0)</f>
        <v>0</v>
      </c>
      <c r="CQ23" s="11">
        <f>ROUND(IFERROR(BK23/_xlfn.XLOOKUP(CQ$7,'Product Tgt'!$B:$B,'Product Tgt'!$D:$D),0),0)</f>
        <v>0</v>
      </c>
      <c r="CR23" s="11">
        <f>ROUND(IFERROR(BL23/_xlfn.XLOOKUP(CR$7,'Product Tgt'!$B:$B,'Product Tgt'!$D:$D),0),0)</f>
        <v>0</v>
      </c>
      <c r="CS23" s="11">
        <f>ROUND(IFERROR(BM23/_xlfn.XLOOKUP(CS$7,'Product Tgt'!$B:$B,'Product Tgt'!$D:$D),0),0)</f>
        <v>0</v>
      </c>
      <c r="CT23" s="11">
        <f>ROUND(IFERROR(BN23/_xlfn.XLOOKUP(CT$7,'Product Tgt'!$B:$B,'Product Tgt'!$D:$D),0),0)</f>
        <v>0</v>
      </c>
      <c r="CU23" s="11">
        <f>ROUND(IFERROR(BO23/_xlfn.XLOOKUP(CU$7,'Product Tgt'!$B:$B,'Product Tgt'!$D:$D),0),0)</f>
        <v>0</v>
      </c>
      <c r="CV23" s="11">
        <f>ROUND(IFERROR(BP23/_xlfn.XLOOKUP(CV$7,'Product Tgt'!$B:$B,'Product Tgt'!$D:$D),0),0)</f>
        <v>0</v>
      </c>
      <c r="CW23" s="11">
        <f>ROUND(IFERROR(BQ23/_xlfn.XLOOKUP(CW$7,'Product Tgt'!$B:$B,'Product Tgt'!$D:$D),0),0)</f>
        <v>0</v>
      </c>
      <c r="CX23" s="11">
        <f>ROUND(IFERROR(#REF!/_xlfn.XLOOKUP(CX$7,'Product Tgt'!$B:$B,'Product Tgt'!$D:$D),0),0)</f>
        <v>0</v>
      </c>
      <c r="CY23" s="11">
        <f>ROUND(IFERROR(#REF!/_xlfn.XLOOKUP(CY$7,'Product Tgt'!$B:$B,'Product Tgt'!$D:$D),0),0)</f>
        <v>0</v>
      </c>
      <c r="CZ23" s="11">
        <f>ROUND(IFERROR(#REF!/_xlfn.XLOOKUP(CZ$7,'Product Tgt'!$B:$B,'Product Tgt'!$D:$D),0),0)</f>
        <v>0</v>
      </c>
      <c r="DA23" s="10">
        <f>IFERROR(BR23*_xlfn.XLOOKUP(DA$7,'Product Tgt'!$B:$B,'Product Tgt'!$D:$D),0)</f>
        <v>0</v>
      </c>
      <c r="DB23">
        <f>IFERROR(BS23*_xlfn.XLOOKUP(DB$7,'Product Tgt'!$B:$B,'Product Tgt'!$D:$D),0)</f>
        <v>0</v>
      </c>
      <c r="DC23">
        <f>IFERROR(BT23*_xlfn.XLOOKUP(DC$7,'Product Tgt'!$B:$B,'Product Tgt'!$D:$D),0)</f>
        <v>0</v>
      </c>
      <c r="DD23">
        <f>IFERROR(BU23*_xlfn.XLOOKUP(DD$7,'Product Tgt'!$B:$B,'Product Tgt'!$D:$D),0)</f>
        <v>0</v>
      </c>
      <c r="DE23">
        <f>IFERROR(BV23*_xlfn.XLOOKUP(DE$7,'Product Tgt'!$B:$B,'Product Tgt'!$D:$D),0)</f>
        <v>0</v>
      </c>
      <c r="DF23">
        <f>IFERROR(BW23*_xlfn.XLOOKUP(DF$7,'Product Tgt'!$B:$B,'Product Tgt'!$D:$D),0)</f>
        <v>0</v>
      </c>
      <c r="DG23">
        <f>IFERROR(BX23*_xlfn.XLOOKUP(DG$7,'Product Tgt'!$B:$B,'Product Tgt'!$D:$D),0)</f>
        <v>0</v>
      </c>
      <c r="DH23">
        <f>IFERROR(BY23*_xlfn.XLOOKUP(DH$7,'Product Tgt'!$B:$B,'Product Tgt'!$D:$D),0)</f>
        <v>0</v>
      </c>
      <c r="DI23">
        <f>IFERROR(BZ23*_xlfn.XLOOKUP(DI$7,'Product Tgt'!$B:$B,'Product Tgt'!$D:$D),0)</f>
        <v>0</v>
      </c>
      <c r="DJ23">
        <f>IFERROR(CA23*_xlfn.XLOOKUP(DJ$7,'Product Tgt'!$B:$B,'Product Tgt'!$D:$D),0)</f>
        <v>0</v>
      </c>
      <c r="DK23">
        <f>IFERROR(CB23*_xlfn.XLOOKUP(DK$7,'Product Tgt'!$B:$B,'Product Tgt'!$D:$D),0)</f>
        <v>0</v>
      </c>
      <c r="DL23">
        <f>IFERROR(CC23*_xlfn.XLOOKUP(DL$7,'Product Tgt'!$B:$B,'Product Tgt'!$D:$D),0)</f>
        <v>0</v>
      </c>
      <c r="DM23">
        <f>IFERROR(CD23*_xlfn.XLOOKUP(DM$7,'Product Tgt'!$B:$B,'Product Tgt'!$D:$D),0)</f>
        <v>0</v>
      </c>
      <c r="DN23">
        <f>IFERROR(CE23*_xlfn.XLOOKUP(DN$7,'Product Tgt'!$B:$B,'Product Tgt'!$D:$D),0)</f>
        <v>0</v>
      </c>
      <c r="DO23">
        <f>IFERROR(CF23*_xlfn.XLOOKUP(DO$7,'Product Tgt'!$B:$B,'Product Tgt'!$D:$D),0)</f>
        <v>0</v>
      </c>
      <c r="DP23">
        <f>IFERROR(CG23*_xlfn.XLOOKUP(DP$7,'Product Tgt'!$B:$B,'Product Tgt'!$D:$D),0)</f>
        <v>0</v>
      </c>
      <c r="DQ23">
        <f>IFERROR(CH23*_xlfn.XLOOKUP(DQ$7,'Product Tgt'!$B:$B,'Product Tgt'!$D:$D),0)</f>
        <v>0</v>
      </c>
      <c r="DR23">
        <f>IFERROR(CI23*_xlfn.XLOOKUP(DR$7,'Product Tgt'!$B:$B,'Product Tgt'!$D:$D),0)</f>
        <v>0</v>
      </c>
      <c r="DS23">
        <f>IFERROR(CJ23*_xlfn.XLOOKUP(DS$7,'Product Tgt'!$B:$B,'Product Tgt'!$D:$D),0)</f>
        <v>0</v>
      </c>
      <c r="DT23">
        <f>IFERROR(CK23*_xlfn.XLOOKUP(DT$7,'Product Tgt'!$B:$B,'Product Tgt'!$D:$D),0)</f>
        <v>0</v>
      </c>
      <c r="DU23">
        <f>IFERROR(CL23*_xlfn.XLOOKUP(DU$7,'Product Tgt'!$B:$B,'Product Tgt'!$D:$D),0)</f>
        <v>0</v>
      </c>
      <c r="DV23">
        <f>IFERROR(CM23*_xlfn.XLOOKUP(DV$7,'Product Tgt'!$B:$B,'Product Tgt'!$D:$D),0)</f>
        <v>0</v>
      </c>
      <c r="DW23">
        <f>IFERROR(CN23*_xlfn.XLOOKUP(DW$7,'Product Tgt'!$B:$B,'Product Tgt'!$D:$D),0)</f>
        <v>0</v>
      </c>
      <c r="DX23">
        <f>IFERROR(CO23*_xlfn.XLOOKUP(DX$7,'Product Tgt'!$B:$B,'Product Tgt'!$D:$D),0)</f>
        <v>0</v>
      </c>
      <c r="DY23">
        <f>IFERROR(CP23*_xlfn.XLOOKUP(DY$7,'Product Tgt'!$B:$B,'Product Tgt'!$D:$D),0)</f>
        <v>0</v>
      </c>
      <c r="DZ23">
        <f>IFERROR(CQ23*_xlfn.XLOOKUP(DZ$7,'Product Tgt'!$B:$B,'Product Tgt'!$D:$D),0)</f>
        <v>0</v>
      </c>
      <c r="EA23">
        <f>IFERROR(CR23*_xlfn.XLOOKUP(EA$7,'Product Tgt'!$B:$B,'Product Tgt'!$D:$D),0)</f>
        <v>0</v>
      </c>
      <c r="EB23">
        <f>IFERROR(CS23*_xlfn.XLOOKUP(EB$7,'Product Tgt'!$B:$B,'Product Tgt'!$D:$D),0)</f>
        <v>0</v>
      </c>
      <c r="EC23">
        <f>IFERROR(CT23*_xlfn.XLOOKUP(EC$7,'Product Tgt'!$B:$B,'Product Tgt'!$D:$D),0)</f>
        <v>0</v>
      </c>
      <c r="ED23">
        <f>IFERROR(CU23*_xlfn.XLOOKUP(ED$7,'Product Tgt'!$B:$B,'Product Tgt'!$D:$D),0)</f>
        <v>0</v>
      </c>
      <c r="EE23">
        <f>IFERROR(CV23*_xlfn.XLOOKUP(EE$7,'Product Tgt'!$B:$B,'Product Tgt'!$D:$D),0)</f>
        <v>0</v>
      </c>
      <c r="EF23">
        <f>IFERROR(CW23*_xlfn.XLOOKUP(EF$7,'Product Tgt'!$B:$B,'Product Tgt'!$D:$D),0)</f>
        <v>0</v>
      </c>
      <c r="EG23">
        <f>IFERROR(CX23*_xlfn.XLOOKUP(EG$7,'Product Tgt'!$B:$B,'Product Tgt'!$D:$D),0)</f>
        <v>0</v>
      </c>
      <c r="EH23">
        <f>IFERROR(CY23*_xlfn.XLOOKUP(EH$7,'Product Tgt'!$B:$B,'Product Tgt'!$D:$D),0)</f>
        <v>0</v>
      </c>
      <c r="EI23">
        <f>IFERROR(CZ23*_xlfn.XLOOKUP(EI$7,'Product Tgt'!$B:$B,'Product Tgt'!$D:$D),0)</f>
        <v>0</v>
      </c>
    </row>
    <row r="24" spans="2:139" x14ac:dyDescent="0.35">
      <c r="B24" s="7" t="s">
        <v>141</v>
      </c>
      <c r="C24" s="3">
        <f>_xlfn.XLOOKUP($B24,'Terr Target'!$A:$A,'Terr Target'!$E:$E)</f>
        <v>182489.81573191567</v>
      </c>
      <c r="D24" s="3">
        <f t="shared" si="3"/>
        <v>182487</v>
      </c>
      <c r="E24" s="4">
        <f t="shared" si="4"/>
        <v>-2.8157319156744052</v>
      </c>
      <c r="F24" s="9">
        <f t="shared" si="5"/>
        <v>1.5429767137792859E-5</v>
      </c>
      <c r="G24" s="5">
        <f t="shared" si="6"/>
        <v>1.0000154297671378</v>
      </c>
      <c r="H24" s="38">
        <v>15936.148793890197</v>
      </c>
      <c r="I24" s="11">
        <v>30988.680990898923</v>
      </c>
      <c r="J24" s="11">
        <v>8670.213706686669</v>
      </c>
      <c r="K24" s="11">
        <v>14263.101428779953</v>
      </c>
      <c r="L24" s="11">
        <v>13009.046972181317</v>
      </c>
      <c r="M24" s="11">
        <v>9421.4157508018798</v>
      </c>
      <c r="N24" s="11">
        <v>366.54898818051475</v>
      </c>
      <c r="O24" s="11">
        <v>1320.9978770716059</v>
      </c>
      <c r="P24" s="11">
        <v>1039.7502199078363</v>
      </c>
      <c r="Q24" s="11">
        <v>745.29258397335082</v>
      </c>
      <c r="R24" s="11">
        <v>4643.27199991615</v>
      </c>
      <c r="S24" s="11">
        <v>8000.9216539191693</v>
      </c>
      <c r="T24" s="11">
        <v>0</v>
      </c>
      <c r="U24" s="11">
        <v>1291.5419597665734</v>
      </c>
      <c r="V24" s="11">
        <v>9632.83633340284</v>
      </c>
      <c r="W24" s="11">
        <v>7966.6021087654262</v>
      </c>
      <c r="X24" s="11">
        <v>1406.299208088351</v>
      </c>
      <c r="Y24" s="11">
        <v>1471.2626548024491</v>
      </c>
      <c r="Z24" s="11">
        <v>338.14905688021281</v>
      </c>
      <c r="AA24" s="11">
        <v>2852.1877376425145</v>
      </c>
      <c r="AB24" s="11">
        <v>1453.0468962208465</v>
      </c>
      <c r="AC24" s="11">
        <v>3626.9667000556497</v>
      </c>
      <c r="AD24" s="11">
        <v>6030.2588485718334</v>
      </c>
      <c r="AE24" s="11">
        <v>11207.656692649973</v>
      </c>
      <c r="AF24" s="11">
        <v>2254.0528956553189</v>
      </c>
      <c r="AG24" s="11">
        <v>11432.013103808884</v>
      </c>
      <c r="AH24" s="11">
        <v>1167.6768321539944</v>
      </c>
      <c r="AI24" s="11">
        <v>7694.513099450377</v>
      </c>
      <c r="AJ24" s="11">
        <v>4976.3035861580538</v>
      </c>
      <c r="AK24" s="11">
        <v>5123.075487104019</v>
      </c>
      <c r="AL24" s="49">
        <v>5928.1531248836536</v>
      </c>
      <c r="AM24" s="41">
        <f>IFERROR(ROUND(_xlfn.XLOOKUP(AM$7,'Product Tgt'!$B:$B,'Product Tgt'!$G:$G)*H24/H$121,0),0)</f>
        <v>15493</v>
      </c>
      <c r="AN24" s="41">
        <f>IFERROR(ROUND(_xlfn.XLOOKUP(AN$7,'Product Tgt'!$B:$B,'Product Tgt'!$G:$G)*I24/I$121,0),0)</f>
        <v>30505</v>
      </c>
      <c r="AO24" s="41">
        <f>IFERROR(ROUND(_xlfn.XLOOKUP(AO$7,'Product Tgt'!$B:$B,'Product Tgt'!$G:$G)*J24/J$121,0),0)</f>
        <v>8401</v>
      </c>
      <c r="AP24" s="41">
        <f>IFERROR(ROUND(_xlfn.XLOOKUP(AP$7,'Product Tgt'!$B:$B,'Product Tgt'!$G:$G)*K24/K$121,0),0)</f>
        <v>13914</v>
      </c>
      <c r="AQ24" s="41">
        <f>IFERROR(ROUND(_xlfn.XLOOKUP(AQ$7,'Product Tgt'!$B:$B,'Product Tgt'!$G:$G)*L24/L$121,0),0)</f>
        <v>12579</v>
      </c>
      <c r="AR24" s="41">
        <f>IFERROR(ROUND(_xlfn.XLOOKUP(AR$7,'Product Tgt'!$B:$B,'Product Tgt'!$G:$G)*M24/M$121,0),0)</f>
        <v>9127</v>
      </c>
      <c r="AS24" s="41">
        <f>IFERROR(ROUND(_xlfn.XLOOKUP(AS$7,'Product Tgt'!$B:$B,'Product Tgt'!$G:$G)*N24/N$121,0),0)</f>
        <v>339</v>
      </c>
      <c r="AT24" s="41">
        <f>IFERROR(ROUND(_xlfn.XLOOKUP(AT$7,'Product Tgt'!$B:$B,'Product Tgt'!$G:$G)*O24/O$121,0),0)</f>
        <v>1189</v>
      </c>
      <c r="AU24" s="41">
        <f>IFERROR(ROUND(_xlfn.XLOOKUP(AU$7,'Product Tgt'!$B:$B,'Product Tgt'!$G:$G)*P24/P$121,0),0)</f>
        <v>443</v>
      </c>
      <c r="AV24" s="41">
        <f>IFERROR(ROUND(_xlfn.XLOOKUP(AV$7,'Product Tgt'!$B:$B,'Product Tgt'!$G:$G)*Q24/Q$121,0),0)</f>
        <v>559</v>
      </c>
      <c r="AW24" s="41">
        <f>IFERROR(ROUND(_xlfn.XLOOKUP(AW$7,'Product Tgt'!$B:$B,'Product Tgt'!$G:$G)*R24/R$121,0),0)</f>
        <v>4472</v>
      </c>
      <c r="AX24" s="41">
        <f>IFERROR(ROUND(_xlfn.XLOOKUP(AX$7,'Product Tgt'!$B:$B,'Product Tgt'!$G:$G)*S24/S$121,0),0)</f>
        <v>7706</v>
      </c>
      <c r="AY24" s="41">
        <f>IFERROR(ROUND(_xlfn.XLOOKUP(AY$7,'Product Tgt'!$B:$B,'Product Tgt'!$G:$G)*T24/T$121,0),0)</f>
        <v>0</v>
      </c>
      <c r="AZ24" s="41">
        <f>IFERROR(ROUND(_xlfn.XLOOKUP(AZ$7,'Product Tgt'!$B:$B,'Product Tgt'!$G:$G)*U24/U$121,0),0)</f>
        <v>1236</v>
      </c>
      <c r="BA24" s="41">
        <f>IFERROR(ROUND(_xlfn.XLOOKUP(BA$7,'Product Tgt'!$B:$B,'Product Tgt'!$G:$G)*V24/V$121,0),0)</f>
        <v>9275</v>
      </c>
      <c r="BB24" s="41">
        <f>IFERROR(ROUND(_xlfn.XLOOKUP(BB$7,'Product Tgt'!$B:$B,'Product Tgt'!$G:$G)*W24/W$121,0),0)</f>
        <v>7626</v>
      </c>
      <c r="BC24" s="41">
        <f>IFERROR(ROUND(_xlfn.XLOOKUP(BC$7,'Product Tgt'!$B:$B,'Product Tgt'!$G:$G)*X24/X$121,0),0)</f>
        <v>1361</v>
      </c>
      <c r="BD24" s="41">
        <f>IFERROR(ROUND(_xlfn.XLOOKUP(BD$7,'Product Tgt'!$B:$B,'Product Tgt'!$G:$G)*Y24/Y$121,0),0)</f>
        <v>1423</v>
      </c>
      <c r="BE24" s="41">
        <f>IFERROR(ROUND(_xlfn.XLOOKUP(BE$7,'Product Tgt'!$B:$B,'Product Tgt'!$G:$G)*Z24/Z$121,0),0)</f>
        <v>321</v>
      </c>
      <c r="BF24" s="41">
        <f>IFERROR(ROUND(_xlfn.XLOOKUP(BF$7,'Product Tgt'!$B:$B,'Product Tgt'!$G:$G)*AA24/AA$121,0),0)</f>
        <v>2311</v>
      </c>
      <c r="BG24" s="41">
        <f>IFERROR(ROUND(_xlfn.XLOOKUP(BG$7,'Product Tgt'!$B:$B,'Product Tgt'!$G:$G)*AB24/AB$121,0),0)</f>
        <v>1165</v>
      </c>
      <c r="BH24" s="41">
        <f>IFERROR(ROUND(_xlfn.XLOOKUP(BH$7,'Product Tgt'!$B:$B,'Product Tgt'!$G:$G)*AC24/AC$121,0),0)</f>
        <v>3104</v>
      </c>
      <c r="BI24" s="41">
        <f>IFERROR(ROUND(_xlfn.XLOOKUP(BI$7,'Product Tgt'!$B:$B,'Product Tgt'!$G:$G)*AD24/AD$121,0),0)</f>
        <v>5250</v>
      </c>
      <c r="BJ24" s="41">
        <f>IFERROR(ROUND(_xlfn.XLOOKUP(BJ$7,'Product Tgt'!$B:$B,'Product Tgt'!$G:$G)*AE24/AE$121,0),0)</f>
        <v>10431</v>
      </c>
      <c r="BK24" s="41">
        <f>IFERROR(ROUND(_xlfn.XLOOKUP(BK$7,'Product Tgt'!$B:$B,'Product Tgt'!$G:$G)*AF24/AF$121,0),0)</f>
        <v>2518</v>
      </c>
      <c r="BL24" s="41">
        <f>IFERROR(ROUND(_xlfn.XLOOKUP(BL$7,'Product Tgt'!$B:$B,'Product Tgt'!$G:$G)*AG24/AG$121,0),0)</f>
        <v>10920</v>
      </c>
      <c r="BM24" s="41">
        <f>IFERROR(ROUND(_xlfn.XLOOKUP(BM$7,'Product Tgt'!$B:$B,'Product Tgt'!$G:$G)*AH24/AH$121,0),0)</f>
        <v>915</v>
      </c>
      <c r="BN24" s="41">
        <f>IFERROR(ROUND(_xlfn.XLOOKUP(BN$7,'Product Tgt'!$B:$B,'Product Tgt'!$G:$G)*AI24/AI$121,0),0)</f>
        <v>7066</v>
      </c>
      <c r="BO24" s="41">
        <f>IFERROR(ROUND(_xlfn.XLOOKUP(BO$7,'Product Tgt'!$B:$B,'Product Tgt'!$G:$G)*AJ24/AJ$121,0),0)</f>
        <v>4304</v>
      </c>
      <c r="BP24" s="41">
        <f>IFERROR(ROUND(_xlfn.XLOOKUP(BP$7,'Product Tgt'!$B:$B,'Product Tgt'!$G:$G)*AK24/AK$121,0),0)</f>
        <v>3900</v>
      </c>
      <c r="BQ24" s="41">
        <f>IFERROR(ROUND(_xlfn.XLOOKUP(BQ$7,'Product Tgt'!$B:$B,'Product Tgt'!$G:$G)*AL24/AL$121,0),0)</f>
        <v>4634</v>
      </c>
      <c r="BR24" s="25">
        <f>ROUND(IFERROR(AM24/_xlfn.XLOOKUP(BR$7,'Product Tgt'!$B:$B,'Product Tgt'!$D:$D),0),0)</f>
        <v>0</v>
      </c>
      <c r="BS24" s="11">
        <f>ROUND(IFERROR(AN24/_xlfn.XLOOKUP(BS$7,'Product Tgt'!$B:$B,'Product Tgt'!$D:$D),0),0)</f>
        <v>0</v>
      </c>
      <c r="BT24" s="11">
        <f>ROUND(IFERROR(AO24/_xlfn.XLOOKUP(BT$7,'Product Tgt'!$B:$B,'Product Tgt'!$D:$D),0),0)</f>
        <v>0</v>
      </c>
      <c r="BU24" s="11">
        <f>ROUND(IFERROR(AP24/_xlfn.XLOOKUP(BU$7,'Product Tgt'!$B:$B,'Product Tgt'!$D:$D),0),0)</f>
        <v>0</v>
      </c>
      <c r="BV24" s="11">
        <f>ROUND(IFERROR(AQ24/_xlfn.XLOOKUP(BV$7,'Product Tgt'!$B:$B,'Product Tgt'!$D:$D),0),0)</f>
        <v>0</v>
      </c>
      <c r="BW24" s="11">
        <f>ROUND(IFERROR(AU24/_xlfn.XLOOKUP(BW$7,'Product Tgt'!$B:$B,'Product Tgt'!$D:$D),0),0)</f>
        <v>0</v>
      </c>
      <c r="BX24" s="11">
        <f>ROUND(IFERROR(#REF!/_xlfn.XLOOKUP(BX$7,'Product Tgt'!$B:$B,'Product Tgt'!$D:$D),0),0)</f>
        <v>0</v>
      </c>
      <c r="BY24" s="11">
        <f>ROUND(IFERROR(#REF!/_xlfn.XLOOKUP(BY$7,'Product Tgt'!$B:$B,'Product Tgt'!$D:$D),0),0)</f>
        <v>0</v>
      </c>
      <c r="BZ24" s="11">
        <f>ROUND(IFERROR(#REF!/_xlfn.XLOOKUP(BZ$7,'Product Tgt'!$B:$B,'Product Tgt'!$D:$D),0),0)</f>
        <v>0</v>
      </c>
      <c r="CA24" s="11">
        <f>ROUND(IFERROR(#REF!/_xlfn.XLOOKUP(CA$7,'Product Tgt'!$B:$B,'Product Tgt'!$D:$D),0),0)</f>
        <v>0</v>
      </c>
      <c r="CB24" s="11">
        <f>ROUND(IFERROR(AV24/_xlfn.XLOOKUP(CB$7,'Product Tgt'!$B:$B,'Product Tgt'!$D:$D),0),0)</f>
        <v>0</v>
      </c>
      <c r="CC24" s="11">
        <f>ROUND(IFERROR(AW24/_xlfn.XLOOKUP(CC$7,'Product Tgt'!$B:$B,'Product Tgt'!$D:$D),0),0)</f>
        <v>0</v>
      </c>
      <c r="CD24" s="11">
        <f>ROUND(IFERROR(AX24/_xlfn.XLOOKUP(CD$7,'Product Tgt'!$B:$B,'Product Tgt'!$D:$D),0),0)</f>
        <v>0</v>
      </c>
      <c r="CE24" s="11">
        <f>ROUND(IFERROR(AY24/_xlfn.XLOOKUP(CE$7,'Product Tgt'!$B:$B,'Product Tgt'!$D:$D),0),0)</f>
        <v>0</v>
      </c>
      <c r="CF24" s="11">
        <f>ROUND(IFERROR(AZ24/_xlfn.XLOOKUP(CF$7,'Product Tgt'!$B:$B,'Product Tgt'!$D:$D),0),0)</f>
        <v>0</v>
      </c>
      <c r="CG24" s="11">
        <f>ROUND(IFERROR(BA24/_xlfn.XLOOKUP(CG$7,'Product Tgt'!$B:$B,'Product Tgt'!$D:$D),0),0)</f>
        <v>0</v>
      </c>
      <c r="CH24" s="11">
        <f>ROUND(IFERROR(BB24/_xlfn.XLOOKUP(CH$7,'Product Tgt'!$B:$B,'Product Tgt'!$D:$D),0),0)</f>
        <v>0</v>
      </c>
      <c r="CI24" s="11">
        <f>ROUND(IFERROR(BC24/_xlfn.XLOOKUP(CI$7,'Product Tgt'!$B:$B,'Product Tgt'!$D:$D),0),0)</f>
        <v>0</v>
      </c>
      <c r="CJ24" s="11">
        <f>ROUND(IFERROR(BD24/_xlfn.XLOOKUP(CJ$7,'Product Tgt'!$B:$B,'Product Tgt'!$D:$D),0),0)</f>
        <v>0</v>
      </c>
      <c r="CK24" s="11">
        <f>ROUND(IFERROR(BE24/_xlfn.XLOOKUP(CK$7,'Product Tgt'!$B:$B,'Product Tgt'!$D:$D),0),0)</f>
        <v>0</v>
      </c>
      <c r="CL24" s="11">
        <f>ROUND(IFERROR(BF24/_xlfn.XLOOKUP(CL$7,'Product Tgt'!$B:$B,'Product Tgt'!$D:$D),0),0)</f>
        <v>0</v>
      </c>
      <c r="CM24" s="11">
        <f>ROUND(IFERROR(BG24/_xlfn.XLOOKUP(CM$7,'Product Tgt'!$B:$B,'Product Tgt'!$D:$D),0),0)</f>
        <v>0</v>
      </c>
      <c r="CN24" s="11">
        <f>ROUND(IFERROR(BH24/_xlfn.XLOOKUP(CN$7,'Product Tgt'!$B:$B,'Product Tgt'!$D:$D),0),0)</f>
        <v>0</v>
      </c>
      <c r="CO24" s="11">
        <f>ROUND(IFERROR(BI24/_xlfn.XLOOKUP(CO$7,'Product Tgt'!$B:$B,'Product Tgt'!$D:$D),0),0)</f>
        <v>0</v>
      </c>
      <c r="CP24" s="11">
        <f>ROUND(IFERROR(BJ24/_xlfn.XLOOKUP(CP$7,'Product Tgt'!$B:$B,'Product Tgt'!$D:$D),0),0)</f>
        <v>0</v>
      </c>
      <c r="CQ24" s="11">
        <f>ROUND(IFERROR(BK24/_xlfn.XLOOKUP(CQ$7,'Product Tgt'!$B:$B,'Product Tgt'!$D:$D),0),0)</f>
        <v>0</v>
      </c>
      <c r="CR24" s="11">
        <f>ROUND(IFERROR(BL24/_xlfn.XLOOKUP(CR$7,'Product Tgt'!$B:$B,'Product Tgt'!$D:$D),0),0)</f>
        <v>0</v>
      </c>
      <c r="CS24" s="11">
        <f>ROUND(IFERROR(BM24/_xlfn.XLOOKUP(CS$7,'Product Tgt'!$B:$B,'Product Tgt'!$D:$D),0),0)</f>
        <v>0</v>
      </c>
      <c r="CT24" s="11">
        <f>ROUND(IFERROR(BN24/_xlfn.XLOOKUP(CT$7,'Product Tgt'!$B:$B,'Product Tgt'!$D:$D),0),0)</f>
        <v>0</v>
      </c>
      <c r="CU24" s="11">
        <f>ROUND(IFERROR(BO24/_xlfn.XLOOKUP(CU$7,'Product Tgt'!$B:$B,'Product Tgt'!$D:$D),0),0)</f>
        <v>0</v>
      </c>
      <c r="CV24" s="11">
        <f>ROUND(IFERROR(BP24/_xlfn.XLOOKUP(CV$7,'Product Tgt'!$B:$B,'Product Tgt'!$D:$D),0),0)</f>
        <v>0</v>
      </c>
      <c r="CW24" s="11">
        <f>ROUND(IFERROR(BQ24/_xlfn.XLOOKUP(CW$7,'Product Tgt'!$B:$B,'Product Tgt'!$D:$D),0),0)</f>
        <v>0</v>
      </c>
      <c r="CX24" s="11">
        <f>ROUND(IFERROR(#REF!/_xlfn.XLOOKUP(CX$7,'Product Tgt'!$B:$B,'Product Tgt'!$D:$D),0),0)</f>
        <v>0</v>
      </c>
      <c r="CY24" s="11">
        <f>ROUND(IFERROR(#REF!/_xlfn.XLOOKUP(CY$7,'Product Tgt'!$B:$B,'Product Tgt'!$D:$D),0),0)</f>
        <v>0</v>
      </c>
      <c r="CZ24" s="11">
        <f>ROUND(IFERROR(#REF!/_xlfn.XLOOKUP(CZ$7,'Product Tgt'!$B:$B,'Product Tgt'!$D:$D),0),0)</f>
        <v>0</v>
      </c>
      <c r="DA24" s="10">
        <f>IFERROR(BR24*_xlfn.XLOOKUP(DA$7,'Product Tgt'!$B:$B,'Product Tgt'!$D:$D),0)</f>
        <v>0</v>
      </c>
      <c r="DB24">
        <f>IFERROR(BS24*_xlfn.XLOOKUP(DB$7,'Product Tgt'!$B:$B,'Product Tgt'!$D:$D),0)</f>
        <v>0</v>
      </c>
      <c r="DC24">
        <f>IFERROR(BT24*_xlfn.XLOOKUP(DC$7,'Product Tgt'!$B:$B,'Product Tgt'!$D:$D),0)</f>
        <v>0</v>
      </c>
      <c r="DD24">
        <f>IFERROR(BU24*_xlfn.XLOOKUP(DD$7,'Product Tgt'!$B:$B,'Product Tgt'!$D:$D),0)</f>
        <v>0</v>
      </c>
      <c r="DE24">
        <f>IFERROR(BV24*_xlfn.XLOOKUP(DE$7,'Product Tgt'!$B:$B,'Product Tgt'!$D:$D),0)</f>
        <v>0</v>
      </c>
      <c r="DF24">
        <f>IFERROR(BW24*_xlfn.XLOOKUP(DF$7,'Product Tgt'!$B:$B,'Product Tgt'!$D:$D),0)</f>
        <v>0</v>
      </c>
      <c r="DG24">
        <f>IFERROR(BX24*_xlfn.XLOOKUP(DG$7,'Product Tgt'!$B:$B,'Product Tgt'!$D:$D),0)</f>
        <v>0</v>
      </c>
      <c r="DH24">
        <f>IFERROR(BY24*_xlfn.XLOOKUP(DH$7,'Product Tgt'!$B:$B,'Product Tgt'!$D:$D),0)</f>
        <v>0</v>
      </c>
      <c r="DI24">
        <f>IFERROR(BZ24*_xlfn.XLOOKUP(DI$7,'Product Tgt'!$B:$B,'Product Tgt'!$D:$D),0)</f>
        <v>0</v>
      </c>
      <c r="DJ24">
        <f>IFERROR(CA24*_xlfn.XLOOKUP(DJ$7,'Product Tgt'!$B:$B,'Product Tgt'!$D:$D),0)</f>
        <v>0</v>
      </c>
      <c r="DK24">
        <f>IFERROR(CB24*_xlfn.XLOOKUP(DK$7,'Product Tgt'!$B:$B,'Product Tgt'!$D:$D),0)</f>
        <v>0</v>
      </c>
      <c r="DL24">
        <f>IFERROR(CC24*_xlfn.XLOOKUP(DL$7,'Product Tgt'!$B:$B,'Product Tgt'!$D:$D),0)</f>
        <v>0</v>
      </c>
      <c r="DM24">
        <f>IFERROR(CD24*_xlfn.XLOOKUP(DM$7,'Product Tgt'!$B:$B,'Product Tgt'!$D:$D),0)</f>
        <v>0</v>
      </c>
      <c r="DN24">
        <f>IFERROR(CE24*_xlfn.XLOOKUP(DN$7,'Product Tgt'!$B:$B,'Product Tgt'!$D:$D),0)</f>
        <v>0</v>
      </c>
      <c r="DO24">
        <f>IFERROR(CF24*_xlfn.XLOOKUP(DO$7,'Product Tgt'!$B:$B,'Product Tgt'!$D:$D),0)</f>
        <v>0</v>
      </c>
      <c r="DP24">
        <f>IFERROR(CG24*_xlfn.XLOOKUP(DP$7,'Product Tgt'!$B:$B,'Product Tgt'!$D:$D),0)</f>
        <v>0</v>
      </c>
      <c r="DQ24">
        <f>IFERROR(CH24*_xlfn.XLOOKUP(DQ$7,'Product Tgt'!$B:$B,'Product Tgt'!$D:$D),0)</f>
        <v>0</v>
      </c>
      <c r="DR24">
        <f>IFERROR(CI24*_xlfn.XLOOKUP(DR$7,'Product Tgt'!$B:$B,'Product Tgt'!$D:$D),0)</f>
        <v>0</v>
      </c>
      <c r="DS24">
        <f>IFERROR(CJ24*_xlfn.XLOOKUP(DS$7,'Product Tgt'!$B:$B,'Product Tgt'!$D:$D),0)</f>
        <v>0</v>
      </c>
      <c r="DT24">
        <f>IFERROR(CK24*_xlfn.XLOOKUP(DT$7,'Product Tgt'!$B:$B,'Product Tgt'!$D:$D),0)</f>
        <v>0</v>
      </c>
      <c r="DU24">
        <f>IFERROR(CL24*_xlfn.XLOOKUP(DU$7,'Product Tgt'!$B:$B,'Product Tgt'!$D:$D),0)</f>
        <v>0</v>
      </c>
      <c r="DV24">
        <f>IFERROR(CM24*_xlfn.XLOOKUP(DV$7,'Product Tgt'!$B:$B,'Product Tgt'!$D:$D),0)</f>
        <v>0</v>
      </c>
      <c r="DW24">
        <f>IFERROR(CN24*_xlfn.XLOOKUP(DW$7,'Product Tgt'!$B:$B,'Product Tgt'!$D:$D),0)</f>
        <v>0</v>
      </c>
      <c r="DX24">
        <f>IFERROR(CO24*_xlfn.XLOOKUP(DX$7,'Product Tgt'!$B:$B,'Product Tgt'!$D:$D),0)</f>
        <v>0</v>
      </c>
      <c r="DY24">
        <f>IFERROR(CP24*_xlfn.XLOOKUP(DY$7,'Product Tgt'!$B:$B,'Product Tgt'!$D:$D),0)</f>
        <v>0</v>
      </c>
      <c r="DZ24">
        <f>IFERROR(CQ24*_xlfn.XLOOKUP(DZ$7,'Product Tgt'!$B:$B,'Product Tgt'!$D:$D),0)</f>
        <v>0</v>
      </c>
      <c r="EA24">
        <f>IFERROR(CR24*_xlfn.XLOOKUP(EA$7,'Product Tgt'!$B:$B,'Product Tgt'!$D:$D),0)</f>
        <v>0</v>
      </c>
      <c r="EB24">
        <f>IFERROR(CS24*_xlfn.XLOOKUP(EB$7,'Product Tgt'!$B:$B,'Product Tgt'!$D:$D),0)</f>
        <v>0</v>
      </c>
      <c r="EC24">
        <f>IFERROR(CT24*_xlfn.XLOOKUP(EC$7,'Product Tgt'!$B:$B,'Product Tgt'!$D:$D),0)</f>
        <v>0</v>
      </c>
      <c r="ED24">
        <f>IFERROR(CU24*_xlfn.XLOOKUP(ED$7,'Product Tgt'!$B:$B,'Product Tgt'!$D:$D),0)</f>
        <v>0</v>
      </c>
      <c r="EE24">
        <f>IFERROR(CV24*_xlfn.XLOOKUP(EE$7,'Product Tgt'!$B:$B,'Product Tgt'!$D:$D),0)</f>
        <v>0</v>
      </c>
      <c r="EF24">
        <f>IFERROR(CW24*_xlfn.XLOOKUP(EF$7,'Product Tgt'!$B:$B,'Product Tgt'!$D:$D),0)</f>
        <v>0</v>
      </c>
      <c r="EG24">
        <f>IFERROR(CX24*_xlfn.XLOOKUP(EG$7,'Product Tgt'!$B:$B,'Product Tgt'!$D:$D),0)</f>
        <v>0</v>
      </c>
      <c r="EH24">
        <f>IFERROR(CY24*_xlfn.XLOOKUP(EH$7,'Product Tgt'!$B:$B,'Product Tgt'!$D:$D),0)</f>
        <v>0</v>
      </c>
      <c r="EI24">
        <f>IFERROR(CZ24*_xlfn.XLOOKUP(EI$7,'Product Tgt'!$B:$B,'Product Tgt'!$D:$D),0)</f>
        <v>0</v>
      </c>
    </row>
    <row r="25" spans="2:139" x14ac:dyDescent="0.35">
      <c r="B25" s="7" t="s">
        <v>142</v>
      </c>
      <c r="C25" s="3">
        <f>_xlfn.XLOOKUP($B25,'Terr Target'!$A:$A,'Terr Target'!$E:$E)</f>
        <v>130652.2</v>
      </c>
      <c r="D25" s="3">
        <f t="shared" si="3"/>
        <v>130648</v>
      </c>
      <c r="E25" s="4">
        <f t="shared" si="4"/>
        <v>-4.1999999999970896</v>
      </c>
      <c r="F25" s="9">
        <f t="shared" si="5"/>
        <v>3.2147449635639962E-5</v>
      </c>
      <c r="G25" s="5">
        <f t="shared" si="6"/>
        <v>1.0000321474496356</v>
      </c>
      <c r="H25" s="38">
        <v>8300.2683487831328</v>
      </c>
      <c r="I25" s="11">
        <v>18221.144965765394</v>
      </c>
      <c r="J25" s="11">
        <v>9726.3489918740215</v>
      </c>
      <c r="K25" s="11">
        <v>8444.5723997396981</v>
      </c>
      <c r="L25" s="11">
        <v>9076.9162354934761</v>
      </c>
      <c r="M25" s="11">
        <v>6076.1813568266052</v>
      </c>
      <c r="N25" s="11">
        <v>135.50685959552348</v>
      </c>
      <c r="O25" s="11">
        <v>652.78816433243503</v>
      </c>
      <c r="P25" s="11">
        <v>1050.7158874986228</v>
      </c>
      <c r="Q25" s="11">
        <v>931.35155141523251</v>
      </c>
      <c r="R25" s="11">
        <v>3214.1474280171533</v>
      </c>
      <c r="S25" s="11">
        <v>6342.8394983877961</v>
      </c>
      <c r="T25" s="11">
        <v>0</v>
      </c>
      <c r="U25" s="11">
        <v>978.6714071470027</v>
      </c>
      <c r="V25" s="11">
        <v>4486.7934388977783</v>
      </c>
      <c r="W25" s="11">
        <v>4023.2631884670905</v>
      </c>
      <c r="X25" s="11">
        <v>1336.7751699098394</v>
      </c>
      <c r="Y25" s="11">
        <v>1398.0758921078141</v>
      </c>
      <c r="Z25" s="11">
        <v>0</v>
      </c>
      <c r="AA25" s="11">
        <v>2412.2587000789772</v>
      </c>
      <c r="AB25" s="11">
        <v>628.07429422525138</v>
      </c>
      <c r="AC25" s="11">
        <v>2867.2068494019481</v>
      </c>
      <c r="AD25" s="11">
        <v>12459.059905871078</v>
      </c>
      <c r="AE25" s="11">
        <v>17253.486179588694</v>
      </c>
      <c r="AF25" s="11">
        <v>2014.2341862987926</v>
      </c>
      <c r="AG25" s="11">
        <v>6135.4279671053137</v>
      </c>
      <c r="AH25" s="11">
        <v>673.22173839842662</v>
      </c>
      <c r="AI25" s="11">
        <v>2871.4548819051406</v>
      </c>
      <c r="AJ25" s="11">
        <v>4753.4838439969672</v>
      </c>
      <c r="AK25" s="11">
        <v>1274.5495596225617</v>
      </c>
      <c r="AL25" s="49">
        <v>1695.8038207619788</v>
      </c>
      <c r="AM25" s="41">
        <f>IFERROR(ROUND(_xlfn.XLOOKUP(AM$7,'Product Tgt'!$B:$B,'Product Tgt'!$G:$G)*H25/H$121,0),0)</f>
        <v>8069</v>
      </c>
      <c r="AN25" s="41">
        <f>IFERROR(ROUND(_xlfn.XLOOKUP(AN$7,'Product Tgt'!$B:$B,'Product Tgt'!$G:$G)*I25/I$121,0),0)</f>
        <v>17937</v>
      </c>
      <c r="AO25" s="41">
        <f>IFERROR(ROUND(_xlfn.XLOOKUP(AO$7,'Product Tgt'!$B:$B,'Product Tgt'!$G:$G)*J25/J$121,0),0)</f>
        <v>9424</v>
      </c>
      <c r="AP25" s="41">
        <f>IFERROR(ROUND(_xlfn.XLOOKUP(AP$7,'Product Tgt'!$B:$B,'Product Tgt'!$G:$G)*K25/K$121,0),0)</f>
        <v>8238</v>
      </c>
      <c r="AQ25" s="41">
        <f>IFERROR(ROUND(_xlfn.XLOOKUP(AQ$7,'Product Tgt'!$B:$B,'Product Tgt'!$G:$G)*L25/L$121,0),0)</f>
        <v>8777</v>
      </c>
      <c r="AR25" s="41">
        <f>IFERROR(ROUND(_xlfn.XLOOKUP(AR$7,'Product Tgt'!$B:$B,'Product Tgt'!$G:$G)*M25/M$121,0),0)</f>
        <v>5887</v>
      </c>
      <c r="AS25" s="41">
        <f>IFERROR(ROUND(_xlfn.XLOOKUP(AS$7,'Product Tgt'!$B:$B,'Product Tgt'!$G:$G)*N25/N$121,0),0)</f>
        <v>125</v>
      </c>
      <c r="AT25" s="41">
        <f>IFERROR(ROUND(_xlfn.XLOOKUP(AT$7,'Product Tgt'!$B:$B,'Product Tgt'!$G:$G)*O25/O$121,0),0)</f>
        <v>588</v>
      </c>
      <c r="AU25" s="41">
        <f>IFERROR(ROUND(_xlfn.XLOOKUP(AU$7,'Product Tgt'!$B:$B,'Product Tgt'!$G:$G)*P25/P$121,0),0)</f>
        <v>448</v>
      </c>
      <c r="AV25" s="41">
        <f>IFERROR(ROUND(_xlfn.XLOOKUP(AV$7,'Product Tgt'!$B:$B,'Product Tgt'!$G:$G)*Q25/Q$121,0),0)</f>
        <v>699</v>
      </c>
      <c r="AW25" s="41">
        <f>IFERROR(ROUND(_xlfn.XLOOKUP(AW$7,'Product Tgt'!$B:$B,'Product Tgt'!$G:$G)*R25/R$121,0),0)</f>
        <v>3095</v>
      </c>
      <c r="AX25" s="41">
        <f>IFERROR(ROUND(_xlfn.XLOOKUP(AX$7,'Product Tgt'!$B:$B,'Product Tgt'!$G:$G)*S25/S$121,0),0)</f>
        <v>6109</v>
      </c>
      <c r="AY25" s="41">
        <f>IFERROR(ROUND(_xlfn.XLOOKUP(AY$7,'Product Tgt'!$B:$B,'Product Tgt'!$G:$G)*T25/T$121,0),0)</f>
        <v>0</v>
      </c>
      <c r="AZ25" s="41">
        <f>IFERROR(ROUND(_xlfn.XLOOKUP(AZ$7,'Product Tgt'!$B:$B,'Product Tgt'!$G:$G)*U25/U$121,0),0)</f>
        <v>937</v>
      </c>
      <c r="BA25" s="41">
        <f>IFERROR(ROUND(_xlfn.XLOOKUP(BA$7,'Product Tgt'!$B:$B,'Product Tgt'!$G:$G)*V25/V$121,0),0)</f>
        <v>4320</v>
      </c>
      <c r="BB25" s="41">
        <f>IFERROR(ROUND(_xlfn.XLOOKUP(BB$7,'Product Tgt'!$B:$B,'Product Tgt'!$G:$G)*W25/W$121,0),0)</f>
        <v>3851</v>
      </c>
      <c r="BC25" s="41">
        <f>IFERROR(ROUND(_xlfn.XLOOKUP(BC$7,'Product Tgt'!$B:$B,'Product Tgt'!$G:$G)*X25/X$121,0),0)</f>
        <v>1293</v>
      </c>
      <c r="BD25" s="41">
        <f>IFERROR(ROUND(_xlfn.XLOOKUP(BD$7,'Product Tgt'!$B:$B,'Product Tgt'!$G:$G)*Y25/Y$121,0),0)</f>
        <v>1352</v>
      </c>
      <c r="BE25" s="41">
        <f>IFERROR(ROUND(_xlfn.XLOOKUP(BE$7,'Product Tgt'!$B:$B,'Product Tgt'!$G:$G)*Z25/Z$121,0),0)</f>
        <v>0</v>
      </c>
      <c r="BF25" s="41">
        <f>IFERROR(ROUND(_xlfn.XLOOKUP(BF$7,'Product Tgt'!$B:$B,'Product Tgt'!$G:$G)*AA25/AA$121,0),0)</f>
        <v>1955</v>
      </c>
      <c r="BG25" s="41">
        <f>IFERROR(ROUND(_xlfn.XLOOKUP(BG$7,'Product Tgt'!$B:$B,'Product Tgt'!$G:$G)*AB25/AB$121,0),0)</f>
        <v>503</v>
      </c>
      <c r="BH25" s="41">
        <f>IFERROR(ROUND(_xlfn.XLOOKUP(BH$7,'Product Tgt'!$B:$B,'Product Tgt'!$G:$G)*AC25/AC$121,0),0)</f>
        <v>2454</v>
      </c>
      <c r="BI25" s="41">
        <f>IFERROR(ROUND(_xlfn.XLOOKUP(BI$7,'Product Tgt'!$B:$B,'Product Tgt'!$G:$G)*AD25/AD$121,0),0)</f>
        <v>10846</v>
      </c>
      <c r="BJ25" s="41">
        <f>IFERROR(ROUND(_xlfn.XLOOKUP(BJ$7,'Product Tgt'!$B:$B,'Product Tgt'!$G:$G)*AE25/AE$121,0),0)</f>
        <v>16058</v>
      </c>
      <c r="BK25" s="41">
        <f>IFERROR(ROUND(_xlfn.XLOOKUP(BK$7,'Product Tgt'!$B:$B,'Product Tgt'!$G:$G)*AF25/AF$121,0),0)</f>
        <v>2250</v>
      </c>
      <c r="BL25" s="41">
        <f>IFERROR(ROUND(_xlfn.XLOOKUP(BL$7,'Product Tgt'!$B:$B,'Product Tgt'!$G:$G)*AG25/AG$121,0),0)</f>
        <v>5860</v>
      </c>
      <c r="BM25" s="41">
        <f>IFERROR(ROUND(_xlfn.XLOOKUP(BM$7,'Product Tgt'!$B:$B,'Product Tgt'!$G:$G)*AH25/AH$121,0),0)</f>
        <v>528</v>
      </c>
      <c r="BN25" s="41">
        <f>IFERROR(ROUND(_xlfn.XLOOKUP(BN$7,'Product Tgt'!$B:$B,'Product Tgt'!$G:$G)*AI25/AI$121,0),0)</f>
        <v>2637</v>
      </c>
      <c r="BO25" s="41">
        <f>IFERROR(ROUND(_xlfn.XLOOKUP(BO$7,'Product Tgt'!$B:$B,'Product Tgt'!$G:$G)*AJ25/AJ$121,0),0)</f>
        <v>4112</v>
      </c>
      <c r="BP25" s="41">
        <f>IFERROR(ROUND(_xlfn.XLOOKUP(BP$7,'Product Tgt'!$B:$B,'Product Tgt'!$G:$G)*AK25/AK$121,0),0)</f>
        <v>970</v>
      </c>
      <c r="BQ25" s="41">
        <f>IFERROR(ROUND(_xlfn.XLOOKUP(BQ$7,'Product Tgt'!$B:$B,'Product Tgt'!$G:$G)*AL25/AL$121,0),0)</f>
        <v>1326</v>
      </c>
      <c r="BR25" s="25">
        <f>ROUND(IFERROR(AM25/_xlfn.XLOOKUP(BR$7,'Product Tgt'!$B:$B,'Product Tgt'!$D:$D),0),0)</f>
        <v>0</v>
      </c>
      <c r="BS25" s="11">
        <f>ROUND(IFERROR(AN25/_xlfn.XLOOKUP(BS$7,'Product Tgt'!$B:$B,'Product Tgt'!$D:$D),0),0)</f>
        <v>0</v>
      </c>
      <c r="BT25" s="11">
        <f>ROUND(IFERROR(AO25/_xlfn.XLOOKUP(BT$7,'Product Tgt'!$B:$B,'Product Tgt'!$D:$D),0),0)</f>
        <v>0</v>
      </c>
      <c r="BU25" s="11">
        <f>ROUND(IFERROR(AP25/_xlfn.XLOOKUP(BU$7,'Product Tgt'!$B:$B,'Product Tgt'!$D:$D),0),0)</f>
        <v>0</v>
      </c>
      <c r="BV25" s="11">
        <f>ROUND(IFERROR(AQ25/_xlfn.XLOOKUP(BV$7,'Product Tgt'!$B:$B,'Product Tgt'!$D:$D),0),0)</f>
        <v>0</v>
      </c>
      <c r="BW25" s="11">
        <f>ROUND(IFERROR(AU25/_xlfn.XLOOKUP(BW$7,'Product Tgt'!$B:$B,'Product Tgt'!$D:$D),0),0)</f>
        <v>0</v>
      </c>
      <c r="BX25" s="11">
        <f>ROUND(IFERROR(#REF!/_xlfn.XLOOKUP(BX$7,'Product Tgt'!$B:$B,'Product Tgt'!$D:$D),0),0)</f>
        <v>0</v>
      </c>
      <c r="BY25" s="11">
        <f>ROUND(IFERROR(#REF!/_xlfn.XLOOKUP(BY$7,'Product Tgt'!$B:$B,'Product Tgt'!$D:$D),0),0)</f>
        <v>0</v>
      </c>
      <c r="BZ25" s="11">
        <f>ROUND(IFERROR(#REF!/_xlfn.XLOOKUP(BZ$7,'Product Tgt'!$B:$B,'Product Tgt'!$D:$D),0),0)</f>
        <v>0</v>
      </c>
      <c r="CA25" s="11">
        <f>ROUND(IFERROR(#REF!/_xlfn.XLOOKUP(CA$7,'Product Tgt'!$B:$B,'Product Tgt'!$D:$D),0),0)</f>
        <v>0</v>
      </c>
      <c r="CB25" s="11">
        <f>ROUND(IFERROR(AV25/_xlfn.XLOOKUP(CB$7,'Product Tgt'!$B:$B,'Product Tgt'!$D:$D),0),0)</f>
        <v>0</v>
      </c>
      <c r="CC25" s="11">
        <f>ROUND(IFERROR(AW25/_xlfn.XLOOKUP(CC$7,'Product Tgt'!$B:$B,'Product Tgt'!$D:$D),0),0)</f>
        <v>0</v>
      </c>
      <c r="CD25" s="11">
        <f>ROUND(IFERROR(AX25/_xlfn.XLOOKUP(CD$7,'Product Tgt'!$B:$B,'Product Tgt'!$D:$D),0),0)</f>
        <v>0</v>
      </c>
      <c r="CE25" s="11">
        <f>ROUND(IFERROR(AY25/_xlfn.XLOOKUP(CE$7,'Product Tgt'!$B:$B,'Product Tgt'!$D:$D),0),0)</f>
        <v>0</v>
      </c>
      <c r="CF25" s="11">
        <f>ROUND(IFERROR(AZ25/_xlfn.XLOOKUP(CF$7,'Product Tgt'!$B:$B,'Product Tgt'!$D:$D),0),0)</f>
        <v>0</v>
      </c>
      <c r="CG25" s="11">
        <f>ROUND(IFERROR(BA25/_xlfn.XLOOKUP(CG$7,'Product Tgt'!$B:$B,'Product Tgt'!$D:$D),0),0)</f>
        <v>0</v>
      </c>
      <c r="CH25" s="11">
        <f>ROUND(IFERROR(BB25/_xlfn.XLOOKUP(CH$7,'Product Tgt'!$B:$B,'Product Tgt'!$D:$D),0),0)</f>
        <v>0</v>
      </c>
      <c r="CI25" s="11">
        <f>ROUND(IFERROR(BC25/_xlfn.XLOOKUP(CI$7,'Product Tgt'!$B:$B,'Product Tgt'!$D:$D),0),0)</f>
        <v>0</v>
      </c>
      <c r="CJ25" s="11">
        <f>ROUND(IFERROR(BD25/_xlfn.XLOOKUP(CJ$7,'Product Tgt'!$B:$B,'Product Tgt'!$D:$D),0),0)</f>
        <v>0</v>
      </c>
      <c r="CK25" s="11">
        <f>ROUND(IFERROR(BE25/_xlfn.XLOOKUP(CK$7,'Product Tgt'!$B:$B,'Product Tgt'!$D:$D),0),0)</f>
        <v>0</v>
      </c>
      <c r="CL25" s="11">
        <f>ROUND(IFERROR(BF25/_xlfn.XLOOKUP(CL$7,'Product Tgt'!$B:$B,'Product Tgt'!$D:$D),0),0)</f>
        <v>0</v>
      </c>
      <c r="CM25" s="11">
        <f>ROUND(IFERROR(BG25/_xlfn.XLOOKUP(CM$7,'Product Tgt'!$B:$B,'Product Tgt'!$D:$D),0),0)</f>
        <v>0</v>
      </c>
      <c r="CN25" s="11">
        <f>ROUND(IFERROR(BH25/_xlfn.XLOOKUP(CN$7,'Product Tgt'!$B:$B,'Product Tgt'!$D:$D),0),0)</f>
        <v>0</v>
      </c>
      <c r="CO25" s="11">
        <f>ROUND(IFERROR(BI25/_xlfn.XLOOKUP(CO$7,'Product Tgt'!$B:$B,'Product Tgt'!$D:$D),0),0)</f>
        <v>0</v>
      </c>
      <c r="CP25" s="11">
        <f>ROUND(IFERROR(BJ25/_xlfn.XLOOKUP(CP$7,'Product Tgt'!$B:$B,'Product Tgt'!$D:$D),0),0)</f>
        <v>0</v>
      </c>
      <c r="CQ25" s="11">
        <f>ROUND(IFERROR(BK25/_xlfn.XLOOKUP(CQ$7,'Product Tgt'!$B:$B,'Product Tgt'!$D:$D),0),0)</f>
        <v>0</v>
      </c>
      <c r="CR25" s="11">
        <f>ROUND(IFERROR(BL25/_xlfn.XLOOKUP(CR$7,'Product Tgt'!$B:$B,'Product Tgt'!$D:$D),0),0)</f>
        <v>0</v>
      </c>
      <c r="CS25" s="11">
        <f>ROUND(IFERROR(BM25/_xlfn.XLOOKUP(CS$7,'Product Tgt'!$B:$B,'Product Tgt'!$D:$D),0),0)</f>
        <v>0</v>
      </c>
      <c r="CT25" s="11">
        <f>ROUND(IFERROR(BN25/_xlfn.XLOOKUP(CT$7,'Product Tgt'!$B:$B,'Product Tgt'!$D:$D),0),0)</f>
        <v>0</v>
      </c>
      <c r="CU25" s="11">
        <f>ROUND(IFERROR(BO25/_xlfn.XLOOKUP(CU$7,'Product Tgt'!$B:$B,'Product Tgt'!$D:$D),0),0)</f>
        <v>0</v>
      </c>
      <c r="CV25" s="11">
        <f>ROUND(IFERROR(BP25/_xlfn.XLOOKUP(CV$7,'Product Tgt'!$B:$B,'Product Tgt'!$D:$D),0),0)</f>
        <v>0</v>
      </c>
      <c r="CW25" s="11">
        <f>ROUND(IFERROR(BQ25/_xlfn.XLOOKUP(CW$7,'Product Tgt'!$B:$B,'Product Tgt'!$D:$D),0),0)</f>
        <v>0</v>
      </c>
      <c r="CX25" s="11">
        <f>ROUND(IFERROR(#REF!/_xlfn.XLOOKUP(CX$7,'Product Tgt'!$B:$B,'Product Tgt'!$D:$D),0),0)</f>
        <v>0</v>
      </c>
      <c r="CY25" s="11">
        <f>ROUND(IFERROR(#REF!/_xlfn.XLOOKUP(CY$7,'Product Tgt'!$B:$B,'Product Tgt'!$D:$D),0),0)</f>
        <v>0</v>
      </c>
      <c r="CZ25" s="11">
        <f>ROUND(IFERROR(#REF!/_xlfn.XLOOKUP(CZ$7,'Product Tgt'!$B:$B,'Product Tgt'!$D:$D),0),0)</f>
        <v>0</v>
      </c>
      <c r="DA25" s="10">
        <f>IFERROR(BR25*_xlfn.XLOOKUP(DA$7,'Product Tgt'!$B:$B,'Product Tgt'!$D:$D),0)</f>
        <v>0</v>
      </c>
      <c r="DB25">
        <f>IFERROR(BS25*_xlfn.XLOOKUP(DB$7,'Product Tgt'!$B:$B,'Product Tgt'!$D:$D),0)</f>
        <v>0</v>
      </c>
      <c r="DC25">
        <f>IFERROR(BT25*_xlfn.XLOOKUP(DC$7,'Product Tgt'!$B:$B,'Product Tgt'!$D:$D),0)</f>
        <v>0</v>
      </c>
      <c r="DD25">
        <f>IFERROR(BU25*_xlfn.XLOOKUP(DD$7,'Product Tgt'!$B:$B,'Product Tgt'!$D:$D),0)</f>
        <v>0</v>
      </c>
      <c r="DE25">
        <f>IFERROR(BV25*_xlfn.XLOOKUP(DE$7,'Product Tgt'!$B:$B,'Product Tgt'!$D:$D),0)</f>
        <v>0</v>
      </c>
      <c r="DF25">
        <f>IFERROR(BW25*_xlfn.XLOOKUP(DF$7,'Product Tgt'!$B:$B,'Product Tgt'!$D:$D),0)</f>
        <v>0</v>
      </c>
      <c r="DG25">
        <f>IFERROR(BX25*_xlfn.XLOOKUP(DG$7,'Product Tgt'!$B:$B,'Product Tgt'!$D:$D),0)</f>
        <v>0</v>
      </c>
      <c r="DH25">
        <f>IFERROR(BY25*_xlfn.XLOOKUP(DH$7,'Product Tgt'!$B:$B,'Product Tgt'!$D:$D),0)</f>
        <v>0</v>
      </c>
      <c r="DI25">
        <f>IFERROR(BZ25*_xlfn.XLOOKUP(DI$7,'Product Tgt'!$B:$B,'Product Tgt'!$D:$D),0)</f>
        <v>0</v>
      </c>
      <c r="DJ25">
        <f>IFERROR(CA25*_xlfn.XLOOKUP(DJ$7,'Product Tgt'!$B:$B,'Product Tgt'!$D:$D),0)</f>
        <v>0</v>
      </c>
      <c r="DK25">
        <f>IFERROR(CB25*_xlfn.XLOOKUP(DK$7,'Product Tgt'!$B:$B,'Product Tgt'!$D:$D),0)</f>
        <v>0</v>
      </c>
      <c r="DL25">
        <f>IFERROR(CC25*_xlfn.XLOOKUP(DL$7,'Product Tgt'!$B:$B,'Product Tgt'!$D:$D),0)</f>
        <v>0</v>
      </c>
      <c r="DM25">
        <f>IFERROR(CD25*_xlfn.XLOOKUP(DM$7,'Product Tgt'!$B:$B,'Product Tgt'!$D:$D),0)</f>
        <v>0</v>
      </c>
      <c r="DN25">
        <f>IFERROR(CE25*_xlfn.XLOOKUP(DN$7,'Product Tgt'!$B:$B,'Product Tgt'!$D:$D),0)</f>
        <v>0</v>
      </c>
      <c r="DO25">
        <f>IFERROR(CF25*_xlfn.XLOOKUP(DO$7,'Product Tgt'!$B:$B,'Product Tgt'!$D:$D),0)</f>
        <v>0</v>
      </c>
      <c r="DP25">
        <f>IFERROR(CG25*_xlfn.XLOOKUP(DP$7,'Product Tgt'!$B:$B,'Product Tgt'!$D:$D),0)</f>
        <v>0</v>
      </c>
      <c r="DQ25">
        <f>IFERROR(CH25*_xlfn.XLOOKUP(DQ$7,'Product Tgt'!$B:$B,'Product Tgt'!$D:$D),0)</f>
        <v>0</v>
      </c>
      <c r="DR25">
        <f>IFERROR(CI25*_xlfn.XLOOKUP(DR$7,'Product Tgt'!$B:$B,'Product Tgt'!$D:$D),0)</f>
        <v>0</v>
      </c>
      <c r="DS25">
        <f>IFERROR(CJ25*_xlfn.XLOOKUP(DS$7,'Product Tgt'!$B:$B,'Product Tgt'!$D:$D),0)</f>
        <v>0</v>
      </c>
      <c r="DT25">
        <f>IFERROR(CK25*_xlfn.XLOOKUP(DT$7,'Product Tgt'!$B:$B,'Product Tgt'!$D:$D),0)</f>
        <v>0</v>
      </c>
      <c r="DU25">
        <f>IFERROR(CL25*_xlfn.XLOOKUP(DU$7,'Product Tgt'!$B:$B,'Product Tgt'!$D:$D),0)</f>
        <v>0</v>
      </c>
      <c r="DV25">
        <f>IFERROR(CM25*_xlfn.XLOOKUP(DV$7,'Product Tgt'!$B:$B,'Product Tgt'!$D:$D),0)</f>
        <v>0</v>
      </c>
      <c r="DW25">
        <f>IFERROR(CN25*_xlfn.XLOOKUP(DW$7,'Product Tgt'!$B:$B,'Product Tgt'!$D:$D),0)</f>
        <v>0</v>
      </c>
      <c r="DX25">
        <f>IFERROR(CO25*_xlfn.XLOOKUP(DX$7,'Product Tgt'!$B:$B,'Product Tgt'!$D:$D),0)</f>
        <v>0</v>
      </c>
      <c r="DY25">
        <f>IFERROR(CP25*_xlfn.XLOOKUP(DY$7,'Product Tgt'!$B:$B,'Product Tgt'!$D:$D),0)</f>
        <v>0</v>
      </c>
      <c r="DZ25">
        <f>IFERROR(CQ25*_xlfn.XLOOKUP(DZ$7,'Product Tgt'!$B:$B,'Product Tgt'!$D:$D),0)</f>
        <v>0</v>
      </c>
      <c r="EA25">
        <f>IFERROR(CR25*_xlfn.XLOOKUP(EA$7,'Product Tgt'!$B:$B,'Product Tgt'!$D:$D),0)</f>
        <v>0</v>
      </c>
      <c r="EB25">
        <f>IFERROR(CS25*_xlfn.XLOOKUP(EB$7,'Product Tgt'!$B:$B,'Product Tgt'!$D:$D),0)</f>
        <v>0</v>
      </c>
      <c r="EC25">
        <f>IFERROR(CT25*_xlfn.XLOOKUP(EC$7,'Product Tgt'!$B:$B,'Product Tgt'!$D:$D),0)</f>
        <v>0</v>
      </c>
      <c r="ED25">
        <f>IFERROR(CU25*_xlfn.XLOOKUP(ED$7,'Product Tgt'!$B:$B,'Product Tgt'!$D:$D),0)</f>
        <v>0</v>
      </c>
      <c r="EE25">
        <f>IFERROR(CV25*_xlfn.XLOOKUP(EE$7,'Product Tgt'!$B:$B,'Product Tgt'!$D:$D),0)</f>
        <v>0</v>
      </c>
      <c r="EF25">
        <f>IFERROR(CW25*_xlfn.XLOOKUP(EF$7,'Product Tgt'!$B:$B,'Product Tgt'!$D:$D),0)</f>
        <v>0</v>
      </c>
      <c r="EG25">
        <f>IFERROR(CX25*_xlfn.XLOOKUP(EG$7,'Product Tgt'!$B:$B,'Product Tgt'!$D:$D),0)</f>
        <v>0</v>
      </c>
      <c r="EH25">
        <f>IFERROR(CY25*_xlfn.XLOOKUP(EH$7,'Product Tgt'!$B:$B,'Product Tgt'!$D:$D),0)</f>
        <v>0</v>
      </c>
      <c r="EI25">
        <f>IFERROR(CZ25*_xlfn.XLOOKUP(EI$7,'Product Tgt'!$B:$B,'Product Tgt'!$D:$D),0)</f>
        <v>0</v>
      </c>
    </row>
    <row r="26" spans="2:139" x14ac:dyDescent="0.35">
      <c r="B26" s="7" t="s">
        <v>143</v>
      </c>
      <c r="C26" s="3">
        <f>_xlfn.XLOOKUP($B26,'Terr Target'!$A:$A,'Terr Target'!$E:$E)</f>
        <v>210640.30900662078</v>
      </c>
      <c r="D26" s="3">
        <f t="shared" si="3"/>
        <v>210638</v>
      </c>
      <c r="E26" s="4">
        <f t="shared" si="4"/>
        <v>-2.3090066207805648</v>
      </c>
      <c r="F26" s="9">
        <f t="shared" si="5"/>
        <v>1.096196612567801E-5</v>
      </c>
      <c r="G26" s="5">
        <f t="shared" si="6"/>
        <v>1.0000109619661257</v>
      </c>
      <c r="H26" s="38">
        <v>15845.266490480586</v>
      </c>
      <c r="I26" s="11">
        <v>31761.229257517021</v>
      </c>
      <c r="J26" s="11">
        <v>15754.125231682026</v>
      </c>
      <c r="K26" s="11">
        <v>14183.022567505921</v>
      </c>
      <c r="L26" s="11">
        <v>17595.217158388463</v>
      </c>
      <c r="M26" s="11">
        <v>11660.883764525919</v>
      </c>
      <c r="N26" s="11">
        <v>271.50895893093258</v>
      </c>
      <c r="O26" s="11">
        <v>1278.5712383702264</v>
      </c>
      <c r="P26" s="11">
        <v>1568.3469480363531</v>
      </c>
      <c r="Q26" s="11">
        <v>1248.187441667593</v>
      </c>
      <c r="R26" s="11">
        <v>5554.2167988355031</v>
      </c>
      <c r="S26" s="11">
        <v>9898.0663337596434</v>
      </c>
      <c r="T26" s="11">
        <v>0</v>
      </c>
      <c r="U26" s="11">
        <v>1470.0529848456406</v>
      </c>
      <c r="V26" s="11">
        <v>6890.3136116230535</v>
      </c>
      <c r="W26" s="11">
        <v>6388.8036681162021</v>
      </c>
      <c r="X26" s="11">
        <v>2559.168738607917</v>
      </c>
      <c r="Y26" s="11">
        <v>2669.610141694081</v>
      </c>
      <c r="Z26" s="11">
        <v>205.67571085700447</v>
      </c>
      <c r="AA26" s="11">
        <v>3255.189690082042</v>
      </c>
      <c r="AB26" s="11">
        <v>947.28755434908499</v>
      </c>
      <c r="AC26" s="11">
        <v>6219.6918526575973</v>
      </c>
      <c r="AD26" s="11">
        <v>19529.030828150087</v>
      </c>
      <c r="AE26" s="11">
        <v>21015.36482710081</v>
      </c>
      <c r="AF26" s="11">
        <v>3188.2419979810084</v>
      </c>
      <c r="AG26" s="11">
        <v>8731.1218616680453</v>
      </c>
      <c r="AH26" s="11">
        <v>1105.3157173926572</v>
      </c>
      <c r="AI26" s="11">
        <v>5170.0172861455221</v>
      </c>
      <c r="AJ26" s="11">
        <v>4990.6627169468838</v>
      </c>
      <c r="AK26" s="11">
        <v>1190.5504228475595</v>
      </c>
      <c r="AL26" s="49">
        <v>1584.3645480986615</v>
      </c>
      <c r="AM26" s="41">
        <f>IFERROR(ROUND(_xlfn.XLOOKUP(AM$7,'Product Tgt'!$B:$B,'Product Tgt'!$G:$G)*H26/H$121,0),0)</f>
        <v>15404</v>
      </c>
      <c r="AN26" s="41">
        <f>IFERROR(ROUND(_xlfn.XLOOKUP(AN$7,'Product Tgt'!$B:$B,'Product Tgt'!$G:$G)*I26/I$121,0),0)</f>
        <v>31266</v>
      </c>
      <c r="AO26" s="41">
        <f>IFERROR(ROUND(_xlfn.XLOOKUP(AO$7,'Product Tgt'!$B:$B,'Product Tgt'!$G:$G)*J26/J$121,0),0)</f>
        <v>15264</v>
      </c>
      <c r="AP26" s="41">
        <f>IFERROR(ROUND(_xlfn.XLOOKUP(AP$7,'Product Tgt'!$B:$B,'Product Tgt'!$G:$G)*K26/K$121,0),0)</f>
        <v>13836</v>
      </c>
      <c r="AQ26" s="41">
        <f>IFERROR(ROUND(_xlfn.XLOOKUP(AQ$7,'Product Tgt'!$B:$B,'Product Tgt'!$G:$G)*L26/L$121,0),0)</f>
        <v>17013</v>
      </c>
      <c r="AR26" s="41">
        <f>IFERROR(ROUND(_xlfn.XLOOKUP(AR$7,'Product Tgt'!$B:$B,'Product Tgt'!$G:$G)*M26/M$121,0),0)</f>
        <v>11297</v>
      </c>
      <c r="AS26" s="41">
        <f>IFERROR(ROUND(_xlfn.XLOOKUP(AS$7,'Product Tgt'!$B:$B,'Product Tgt'!$G:$G)*N26/N$121,0),0)</f>
        <v>251</v>
      </c>
      <c r="AT26" s="41">
        <f>IFERROR(ROUND(_xlfn.XLOOKUP(AT$7,'Product Tgt'!$B:$B,'Product Tgt'!$G:$G)*O26/O$121,0),0)</f>
        <v>1151</v>
      </c>
      <c r="AU26" s="41">
        <f>IFERROR(ROUND(_xlfn.XLOOKUP(AU$7,'Product Tgt'!$B:$B,'Product Tgt'!$G:$G)*P26/P$121,0),0)</f>
        <v>669</v>
      </c>
      <c r="AV26" s="41">
        <f>IFERROR(ROUND(_xlfn.XLOOKUP(AV$7,'Product Tgt'!$B:$B,'Product Tgt'!$G:$G)*Q26/Q$121,0),0)</f>
        <v>937</v>
      </c>
      <c r="AW26" s="41">
        <f>IFERROR(ROUND(_xlfn.XLOOKUP(AW$7,'Product Tgt'!$B:$B,'Product Tgt'!$G:$G)*R26/R$121,0),0)</f>
        <v>5349</v>
      </c>
      <c r="AX26" s="41">
        <f>IFERROR(ROUND(_xlfn.XLOOKUP(AX$7,'Product Tgt'!$B:$B,'Product Tgt'!$G:$G)*S26/S$121,0),0)</f>
        <v>9533</v>
      </c>
      <c r="AY26" s="41">
        <f>IFERROR(ROUND(_xlfn.XLOOKUP(AY$7,'Product Tgt'!$B:$B,'Product Tgt'!$G:$G)*T26/T$121,0),0)</f>
        <v>0</v>
      </c>
      <c r="AZ26" s="41">
        <f>IFERROR(ROUND(_xlfn.XLOOKUP(AZ$7,'Product Tgt'!$B:$B,'Product Tgt'!$G:$G)*U26/U$121,0),0)</f>
        <v>1407</v>
      </c>
      <c r="BA26" s="41">
        <f>IFERROR(ROUND(_xlfn.XLOOKUP(BA$7,'Product Tgt'!$B:$B,'Product Tgt'!$G:$G)*V26/V$121,0),0)</f>
        <v>6634</v>
      </c>
      <c r="BB26" s="41">
        <f>IFERROR(ROUND(_xlfn.XLOOKUP(BB$7,'Product Tgt'!$B:$B,'Product Tgt'!$G:$G)*W26/W$121,0),0)</f>
        <v>6116</v>
      </c>
      <c r="BC26" s="41">
        <f>IFERROR(ROUND(_xlfn.XLOOKUP(BC$7,'Product Tgt'!$B:$B,'Product Tgt'!$G:$G)*X26/X$121,0),0)</f>
        <v>2476</v>
      </c>
      <c r="BD26" s="41">
        <f>IFERROR(ROUND(_xlfn.XLOOKUP(BD$7,'Product Tgt'!$B:$B,'Product Tgt'!$G:$G)*Y26/Y$121,0),0)</f>
        <v>2581</v>
      </c>
      <c r="BE26" s="41">
        <f>IFERROR(ROUND(_xlfn.XLOOKUP(BE$7,'Product Tgt'!$B:$B,'Product Tgt'!$G:$G)*Z26/Z$121,0),0)</f>
        <v>195</v>
      </c>
      <c r="BF26" s="41">
        <f>IFERROR(ROUND(_xlfn.XLOOKUP(BF$7,'Product Tgt'!$B:$B,'Product Tgt'!$G:$G)*AA26/AA$121,0),0)</f>
        <v>2638</v>
      </c>
      <c r="BG26" s="41">
        <f>IFERROR(ROUND(_xlfn.XLOOKUP(BG$7,'Product Tgt'!$B:$B,'Product Tgt'!$G:$G)*AB26/AB$121,0),0)</f>
        <v>759</v>
      </c>
      <c r="BH26" s="41">
        <f>IFERROR(ROUND(_xlfn.XLOOKUP(BH$7,'Product Tgt'!$B:$B,'Product Tgt'!$G:$G)*AC26/AC$121,0),0)</f>
        <v>5323</v>
      </c>
      <c r="BI26" s="41">
        <f>IFERROR(ROUND(_xlfn.XLOOKUP(BI$7,'Product Tgt'!$B:$B,'Product Tgt'!$G:$G)*AD26/AD$121,0),0)</f>
        <v>17001</v>
      </c>
      <c r="BJ26" s="41">
        <f>IFERROR(ROUND(_xlfn.XLOOKUP(BJ$7,'Product Tgt'!$B:$B,'Product Tgt'!$G:$G)*AE26/AE$121,0),0)</f>
        <v>19560</v>
      </c>
      <c r="BK26" s="41">
        <f>IFERROR(ROUND(_xlfn.XLOOKUP(BK$7,'Product Tgt'!$B:$B,'Product Tgt'!$G:$G)*AF26/AF$121,0),0)</f>
        <v>3562</v>
      </c>
      <c r="BL26" s="41">
        <f>IFERROR(ROUND(_xlfn.XLOOKUP(BL$7,'Product Tgt'!$B:$B,'Product Tgt'!$G:$G)*AG26/AG$121,0),0)</f>
        <v>8340</v>
      </c>
      <c r="BM26" s="41">
        <f>IFERROR(ROUND(_xlfn.XLOOKUP(BM$7,'Product Tgt'!$B:$B,'Product Tgt'!$G:$G)*AH26/AH$121,0),0)</f>
        <v>867</v>
      </c>
      <c r="BN26" s="41">
        <f>IFERROR(ROUND(_xlfn.XLOOKUP(BN$7,'Product Tgt'!$B:$B,'Product Tgt'!$G:$G)*AI26/AI$121,0),0)</f>
        <v>4748</v>
      </c>
      <c r="BO26" s="41">
        <f>IFERROR(ROUND(_xlfn.XLOOKUP(BO$7,'Product Tgt'!$B:$B,'Product Tgt'!$G:$G)*AJ26/AJ$121,0),0)</f>
        <v>4317</v>
      </c>
      <c r="BP26" s="41">
        <f>IFERROR(ROUND(_xlfn.XLOOKUP(BP$7,'Product Tgt'!$B:$B,'Product Tgt'!$G:$G)*AK26/AK$121,0),0)</f>
        <v>906</v>
      </c>
      <c r="BQ26" s="41">
        <f>IFERROR(ROUND(_xlfn.XLOOKUP(BQ$7,'Product Tgt'!$B:$B,'Product Tgt'!$G:$G)*AL26/AL$121,0),0)</f>
        <v>1238</v>
      </c>
      <c r="BR26" s="25">
        <f>ROUND(IFERROR(AM26/_xlfn.XLOOKUP(BR$7,'Product Tgt'!$B:$B,'Product Tgt'!$D:$D),0),0)</f>
        <v>0</v>
      </c>
      <c r="BS26" s="11">
        <f>ROUND(IFERROR(AN26/_xlfn.XLOOKUP(BS$7,'Product Tgt'!$B:$B,'Product Tgt'!$D:$D),0),0)</f>
        <v>0</v>
      </c>
      <c r="BT26" s="11">
        <f>ROUND(IFERROR(AO26/_xlfn.XLOOKUP(BT$7,'Product Tgt'!$B:$B,'Product Tgt'!$D:$D),0),0)</f>
        <v>0</v>
      </c>
      <c r="BU26" s="11">
        <f>ROUND(IFERROR(AP26/_xlfn.XLOOKUP(BU$7,'Product Tgt'!$B:$B,'Product Tgt'!$D:$D),0),0)</f>
        <v>0</v>
      </c>
      <c r="BV26" s="11">
        <f>ROUND(IFERROR(AQ26/_xlfn.XLOOKUP(BV$7,'Product Tgt'!$B:$B,'Product Tgt'!$D:$D),0),0)</f>
        <v>0</v>
      </c>
      <c r="BW26" s="11">
        <f>ROUND(IFERROR(AU26/_xlfn.XLOOKUP(BW$7,'Product Tgt'!$B:$B,'Product Tgt'!$D:$D),0),0)</f>
        <v>0</v>
      </c>
      <c r="BX26" s="11">
        <f>ROUND(IFERROR(#REF!/_xlfn.XLOOKUP(BX$7,'Product Tgt'!$B:$B,'Product Tgt'!$D:$D),0),0)</f>
        <v>0</v>
      </c>
      <c r="BY26" s="11">
        <f>ROUND(IFERROR(#REF!/_xlfn.XLOOKUP(BY$7,'Product Tgt'!$B:$B,'Product Tgt'!$D:$D),0),0)</f>
        <v>0</v>
      </c>
      <c r="BZ26" s="11">
        <f>ROUND(IFERROR(#REF!/_xlfn.XLOOKUP(BZ$7,'Product Tgt'!$B:$B,'Product Tgt'!$D:$D),0),0)</f>
        <v>0</v>
      </c>
      <c r="CA26" s="11">
        <f>ROUND(IFERROR(#REF!/_xlfn.XLOOKUP(CA$7,'Product Tgt'!$B:$B,'Product Tgt'!$D:$D),0),0)</f>
        <v>0</v>
      </c>
      <c r="CB26" s="11">
        <f>ROUND(IFERROR(AV26/_xlfn.XLOOKUP(CB$7,'Product Tgt'!$B:$B,'Product Tgt'!$D:$D),0),0)</f>
        <v>0</v>
      </c>
      <c r="CC26" s="11">
        <f>ROUND(IFERROR(AW26/_xlfn.XLOOKUP(CC$7,'Product Tgt'!$B:$B,'Product Tgt'!$D:$D),0),0)</f>
        <v>0</v>
      </c>
      <c r="CD26" s="11">
        <f>ROUND(IFERROR(AX26/_xlfn.XLOOKUP(CD$7,'Product Tgt'!$B:$B,'Product Tgt'!$D:$D),0),0)</f>
        <v>0</v>
      </c>
      <c r="CE26" s="11">
        <f>ROUND(IFERROR(AY26/_xlfn.XLOOKUP(CE$7,'Product Tgt'!$B:$B,'Product Tgt'!$D:$D),0),0)</f>
        <v>0</v>
      </c>
      <c r="CF26" s="11">
        <f>ROUND(IFERROR(AZ26/_xlfn.XLOOKUP(CF$7,'Product Tgt'!$B:$B,'Product Tgt'!$D:$D),0),0)</f>
        <v>0</v>
      </c>
      <c r="CG26" s="11">
        <f>ROUND(IFERROR(BA26/_xlfn.XLOOKUP(CG$7,'Product Tgt'!$B:$B,'Product Tgt'!$D:$D),0),0)</f>
        <v>0</v>
      </c>
      <c r="CH26" s="11">
        <f>ROUND(IFERROR(BB26/_xlfn.XLOOKUP(CH$7,'Product Tgt'!$B:$B,'Product Tgt'!$D:$D),0),0)</f>
        <v>0</v>
      </c>
      <c r="CI26" s="11">
        <f>ROUND(IFERROR(BC26/_xlfn.XLOOKUP(CI$7,'Product Tgt'!$B:$B,'Product Tgt'!$D:$D),0),0)</f>
        <v>0</v>
      </c>
      <c r="CJ26" s="11">
        <f>ROUND(IFERROR(BD26/_xlfn.XLOOKUP(CJ$7,'Product Tgt'!$B:$B,'Product Tgt'!$D:$D),0),0)</f>
        <v>0</v>
      </c>
      <c r="CK26" s="11">
        <f>ROUND(IFERROR(BE26/_xlfn.XLOOKUP(CK$7,'Product Tgt'!$B:$B,'Product Tgt'!$D:$D),0),0)</f>
        <v>0</v>
      </c>
      <c r="CL26" s="11">
        <f>ROUND(IFERROR(BF26/_xlfn.XLOOKUP(CL$7,'Product Tgt'!$B:$B,'Product Tgt'!$D:$D),0),0)</f>
        <v>0</v>
      </c>
      <c r="CM26" s="11">
        <f>ROUND(IFERROR(BG26/_xlfn.XLOOKUP(CM$7,'Product Tgt'!$B:$B,'Product Tgt'!$D:$D),0),0)</f>
        <v>0</v>
      </c>
      <c r="CN26" s="11">
        <f>ROUND(IFERROR(BH26/_xlfn.XLOOKUP(CN$7,'Product Tgt'!$B:$B,'Product Tgt'!$D:$D),0),0)</f>
        <v>0</v>
      </c>
      <c r="CO26" s="11">
        <f>ROUND(IFERROR(BI26/_xlfn.XLOOKUP(CO$7,'Product Tgt'!$B:$B,'Product Tgt'!$D:$D),0),0)</f>
        <v>0</v>
      </c>
      <c r="CP26" s="11">
        <f>ROUND(IFERROR(BJ26/_xlfn.XLOOKUP(CP$7,'Product Tgt'!$B:$B,'Product Tgt'!$D:$D),0),0)</f>
        <v>0</v>
      </c>
      <c r="CQ26" s="11">
        <f>ROUND(IFERROR(BK26/_xlfn.XLOOKUP(CQ$7,'Product Tgt'!$B:$B,'Product Tgt'!$D:$D),0),0)</f>
        <v>0</v>
      </c>
      <c r="CR26" s="11">
        <f>ROUND(IFERROR(BL26/_xlfn.XLOOKUP(CR$7,'Product Tgt'!$B:$B,'Product Tgt'!$D:$D),0),0)</f>
        <v>0</v>
      </c>
      <c r="CS26" s="11">
        <f>ROUND(IFERROR(BM26/_xlfn.XLOOKUP(CS$7,'Product Tgt'!$B:$B,'Product Tgt'!$D:$D),0),0)</f>
        <v>0</v>
      </c>
      <c r="CT26" s="11">
        <f>ROUND(IFERROR(BN26/_xlfn.XLOOKUP(CT$7,'Product Tgt'!$B:$B,'Product Tgt'!$D:$D),0),0)</f>
        <v>0</v>
      </c>
      <c r="CU26" s="11">
        <f>ROUND(IFERROR(BO26/_xlfn.XLOOKUP(CU$7,'Product Tgt'!$B:$B,'Product Tgt'!$D:$D),0),0)</f>
        <v>0</v>
      </c>
      <c r="CV26" s="11">
        <f>ROUND(IFERROR(BP26/_xlfn.XLOOKUP(CV$7,'Product Tgt'!$B:$B,'Product Tgt'!$D:$D),0),0)</f>
        <v>0</v>
      </c>
      <c r="CW26" s="11">
        <f>ROUND(IFERROR(BQ26/_xlfn.XLOOKUP(CW$7,'Product Tgt'!$B:$B,'Product Tgt'!$D:$D),0),0)</f>
        <v>0</v>
      </c>
      <c r="CX26" s="11">
        <f>ROUND(IFERROR(#REF!/_xlfn.XLOOKUP(CX$7,'Product Tgt'!$B:$B,'Product Tgt'!$D:$D),0),0)</f>
        <v>0</v>
      </c>
      <c r="CY26" s="11">
        <f>ROUND(IFERROR(#REF!/_xlfn.XLOOKUP(CY$7,'Product Tgt'!$B:$B,'Product Tgt'!$D:$D),0),0)</f>
        <v>0</v>
      </c>
      <c r="CZ26" s="11">
        <f>ROUND(IFERROR(#REF!/_xlfn.XLOOKUP(CZ$7,'Product Tgt'!$B:$B,'Product Tgt'!$D:$D),0),0)</f>
        <v>0</v>
      </c>
      <c r="DA26" s="10">
        <f>IFERROR(BR26*_xlfn.XLOOKUP(DA$7,'Product Tgt'!$B:$B,'Product Tgt'!$D:$D),0)</f>
        <v>0</v>
      </c>
      <c r="DB26">
        <f>IFERROR(BS26*_xlfn.XLOOKUP(DB$7,'Product Tgt'!$B:$B,'Product Tgt'!$D:$D),0)</f>
        <v>0</v>
      </c>
      <c r="DC26">
        <f>IFERROR(BT26*_xlfn.XLOOKUP(DC$7,'Product Tgt'!$B:$B,'Product Tgt'!$D:$D),0)</f>
        <v>0</v>
      </c>
      <c r="DD26">
        <f>IFERROR(BU26*_xlfn.XLOOKUP(DD$7,'Product Tgt'!$B:$B,'Product Tgt'!$D:$D),0)</f>
        <v>0</v>
      </c>
      <c r="DE26">
        <f>IFERROR(BV26*_xlfn.XLOOKUP(DE$7,'Product Tgt'!$B:$B,'Product Tgt'!$D:$D),0)</f>
        <v>0</v>
      </c>
      <c r="DF26">
        <f>IFERROR(BW26*_xlfn.XLOOKUP(DF$7,'Product Tgt'!$B:$B,'Product Tgt'!$D:$D),0)</f>
        <v>0</v>
      </c>
      <c r="DG26">
        <f>IFERROR(BX26*_xlfn.XLOOKUP(DG$7,'Product Tgt'!$B:$B,'Product Tgt'!$D:$D),0)</f>
        <v>0</v>
      </c>
      <c r="DH26">
        <f>IFERROR(BY26*_xlfn.XLOOKUP(DH$7,'Product Tgt'!$B:$B,'Product Tgt'!$D:$D),0)</f>
        <v>0</v>
      </c>
      <c r="DI26">
        <f>IFERROR(BZ26*_xlfn.XLOOKUP(DI$7,'Product Tgt'!$B:$B,'Product Tgt'!$D:$D),0)</f>
        <v>0</v>
      </c>
      <c r="DJ26">
        <f>IFERROR(CA26*_xlfn.XLOOKUP(DJ$7,'Product Tgt'!$B:$B,'Product Tgt'!$D:$D),0)</f>
        <v>0</v>
      </c>
      <c r="DK26">
        <f>IFERROR(CB26*_xlfn.XLOOKUP(DK$7,'Product Tgt'!$B:$B,'Product Tgt'!$D:$D),0)</f>
        <v>0</v>
      </c>
      <c r="DL26">
        <f>IFERROR(CC26*_xlfn.XLOOKUP(DL$7,'Product Tgt'!$B:$B,'Product Tgt'!$D:$D),0)</f>
        <v>0</v>
      </c>
      <c r="DM26">
        <f>IFERROR(CD26*_xlfn.XLOOKUP(DM$7,'Product Tgt'!$B:$B,'Product Tgt'!$D:$D),0)</f>
        <v>0</v>
      </c>
      <c r="DN26">
        <f>IFERROR(CE26*_xlfn.XLOOKUP(DN$7,'Product Tgt'!$B:$B,'Product Tgt'!$D:$D),0)</f>
        <v>0</v>
      </c>
      <c r="DO26">
        <f>IFERROR(CF26*_xlfn.XLOOKUP(DO$7,'Product Tgt'!$B:$B,'Product Tgt'!$D:$D),0)</f>
        <v>0</v>
      </c>
      <c r="DP26">
        <f>IFERROR(CG26*_xlfn.XLOOKUP(DP$7,'Product Tgt'!$B:$B,'Product Tgt'!$D:$D),0)</f>
        <v>0</v>
      </c>
      <c r="DQ26">
        <f>IFERROR(CH26*_xlfn.XLOOKUP(DQ$7,'Product Tgt'!$B:$B,'Product Tgt'!$D:$D),0)</f>
        <v>0</v>
      </c>
      <c r="DR26">
        <f>IFERROR(CI26*_xlfn.XLOOKUP(DR$7,'Product Tgt'!$B:$B,'Product Tgt'!$D:$D),0)</f>
        <v>0</v>
      </c>
      <c r="DS26">
        <f>IFERROR(CJ26*_xlfn.XLOOKUP(DS$7,'Product Tgt'!$B:$B,'Product Tgt'!$D:$D),0)</f>
        <v>0</v>
      </c>
      <c r="DT26">
        <f>IFERROR(CK26*_xlfn.XLOOKUP(DT$7,'Product Tgt'!$B:$B,'Product Tgt'!$D:$D),0)</f>
        <v>0</v>
      </c>
      <c r="DU26">
        <f>IFERROR(CL26*_xlfn.XLOOKUP(DU$7,'Product Tgt'!$B:$B,'Product Tgt'!$D:$D),0)</f>
        <v>0</v>
      </c>
      <c r="DV26">
        <f>IFERROR(CM26*_xlfn.XLOOKUP(DV$7,'Product Tgt'!$B:$B,'Product Tgt'!$D:$D),0)</f>
        <v>0</v>
      </c>
      <c r="DW26">
        <f>IFERROR(CN26*_xlfn.XLOOKUP(DW$7,'Product Tgt'!$B:$B,'Product Tgt'!$D:$D),0)</f>
        <v>0</v>
      </c>
      <c r="DX26">
        <f>IFERROR(CO26*_xlfn.XLOOKUP(DX$7,'Product Tgt'!$B:$B,'Product Tgt'!$D:$D),0)</f>
        <v>0</v>
      </c>
      <c r="DY26">
        <f>IFERROR(CP26*_xlfn.XLOOKUP(DY$7,'Product Tgt'!$B:$B,'Product Tgt'!$D:$D),0)</f>
        <v>0</v>
      </c>
      <c r="DZ26">
        <f>IFERROR(CQ26*_xlfn.XLOOKUP(DZ$7,'Product Tgt'!$B:$B,'Product Tgt'!$D:$D),0)</f>
        <v>0</v>
      </c>
      <c r="EA26">
        <f>IFERROR(CR26*_xlfn.XLOOKUP(EA$7,'Product Tgt'!$B:$B,'Product Tgt'!$D:$D),0)</f>
        <v>0</v>
      </c>
      <c r="EB26">
        <f>IFERROR(CS26*_xlfn.XLOOKUP(EB$7,'Product Tgt'!$B:$B,'Product Tgt'!$D:$D),0)</f>
        <v>0</v>
      </c>
      <c r="EC26">
        <f>IFERROR(CT26*_xlfn.XLOOKUP(EC$7,'Product Tgt'!$B:$B,'Product Tgt'!$D:$D),0)</f>
        <v>0</v>
      </c>
      <c r="ED26">
        <f>IFERROR(CU26*_xlfn.XLOOKUP(ED$7,'Product Tgt'!$B:$B,'Product Tgt'!$D:$D),0)</f>
        <v>0</v>
      </c>
      <c r="EE26">
        <f>IFERROR(CV26*_xlfn.XLOOKUP(EE$7,'Product Tgt'!$B:$B,'Product Tgt'!$D:$D),0)</f>
        <v>0</v>
      </c>
      <c r="EF26">
        <f>IFERROR(CW26*_xlfn.XLOOKUP(EF$7,'Product Tgt'!$B:$B,'Product Tgt'!$D:$D),0)</f>
        <v>0</v>
      </c>
      <c r="EG26">
        <f>IFERROR(CX26*_xlfn.XLOOKUP(EG$7,'Product Tgt'!$B:$B,'Product Tgt'!$D:$D),0)</f>
        <v>0</v>
      </c>
      <c r="EH26">
        <f>IFERROR(CY26*_xlfn.XLOOKUP(EH$7,'Product Tgt'!$B:$B,'Product Tgt'!$D:$D),0)</f>
        <v>0</v>
      </c>
      <c r="EI26">
        <f>IFERROR(CZ26*_xlfn.XLOOKUP(EI$7,'Product Tgt'!$B:$B,'Product Tgt'!$D:$D),0)</f>
        <v>0</v>
      </c>
    </row>
    <row r="27" spans="2:139" x14ac:dyDescent="0.35">
      <c r="B27" s="7" t="s">
        <v>144</v>
      </c>
      <c r="C27" s="3">
        <f>_xlfn.XLOOKUP($B27,'Terr Target'!$A:$A,'Terr Target'!$E:$E)</f>
        <v>141907.73373693242</v>
      </c>
      <c r="D27" s="3">
        <f t="shared" si="3"/>
        <v>141906</v>
      </c>
      <c r="E27" s="4">
        <f t="shared" si="4"/>
        <v>-1.7337369324231986</v>
      </c>
      <c r="F27" s="9">
        <f t="shared" si="5"/>
        <v>1.2217502659670476E-5</v>
      </c>
      <c r="G27" s="5">
        <f t="shared" si="6"/>
        <v>1.0000122175026596</v>
      </c>
      <c r="H27" s="38">
        <v>10369.444592584694</v>
      </c>
      <c r="I27" s="11">
        <v>20811.559681683004</v>
      </c>
      <c r="J27" s="11">
        <v>16438.806773565968</v>
      </c>
      <c r="K27" s="11">
        <v>10309.974958814713</v>
      </c>
      <c r="L27" s="11">
        <v>9797.0835077108914</v>
      </c>
      <c r="M27" s="11">
        <v>7401.4253300485025</v>
      </c>
      <c r="N27" s="11">
        <v>169.94214106747563</v>
      </c>
      <c r="O27" s="11">
        <v>709.10381481131208</v>
      </c>
      <c r="P27" s="11">
        <v>1289.7596946657904</v>
      </c>
      <c r="Q27" s="11">
        <v>666.62839514807808</v>
      </c>
      <c r="R27" s="11">
        <v>3717.271908174695</v>
      </c>
      <c r="S27" s="11">
        <v>8248.0507762772158</v>
      </c>
      <c r="T27" s="11">
        <v>0</v>
      </c>
      <c r="U27" s="11">
        <v>0</v>
      </c>
      <c r="V27" s="11">
        <v>2671.5410355988915</v>
      </c>
      <c r="W27" s="11">
        <v>4364.8829684890316</v>
      </c>
      <c r="X27" s="11">
        <v>1628.6121852299748</v>
      </c>
      <c r="Y27" s="11">
        <v>1380.7900117768743</v>
      </c>
      <c r="Z27" s="11">
        <v>277.19788640904966</v>
      </c>
      <c r="AA27" s="11">
        <v>2213.3041909348062</v>
      </c>
      <c r="AB27" s="11">
        <v>904.3551961734795</v>
      </c>
      <c r="AC27" s="11">
        <v>695.95353008585255</v>
      </c>
      <c r="AD27" s="11">
        <v>11098.799845873213</v>
      </c>
      <c r="AE27" s="11">
        <v>10404.89978332526</v>
      </c>
      <c r="AF27" s="11">
        <v>3999.557943212134</v>
      </c>
      <c r="AG27" s="11">
        <v>8011.5479632916449</v>
      </c>
      <c r="AH27" s="11">
        <v>1183.4952784804432</v>
      </c>
      <c r="AI27" s="11">
        <v>3063.0250118758186</v>
      </c>
      <c r="AJ27" s="11">
        <v>4340.5751729542017</v>
      </c>
      <c r="AK27" s="11">
        <v>1970.7117845609844</v>
      </c>
      <c r="AL27" s="49">
        <v>2353.6581913699974</v>
      </c>
      <c r="AM27" s="41">
        <f>IFERROR(ROUND(_xlfn.XLOOKUP(AM$7,'Product Tgt'!$B:$B,'Product Tgt'!$G:$G)*H27/H$121,0),0)</f>
        <v>10081</v>
      </c>
      <c r="AN27" s="41">
        <f>IFERROR(ROUND(_xlfn.XLOOKUP(AN$7,'Product Tgt'!$B:$B,'Product Tgt'!$G:$G)*I27/I$121,0),0)</f>
        <v>20487</v>
      </c>
      <c r="AO27" s="41">
        <f>IFERROR(ROUND(_xlfn.XLOOKUP(AO$7,'Product Tgt'!$B:$B,'Product Tgt'!$G:$G)*J27/J$121,0),0)</f>
        <v>15928</v>
      </c>
      <c r="AP27" s="41">
        <f>IFERROR(ROUND(_xlfn.XLOOKUP(AP$7,'Product Tgt'!$B:$B,'Product Tgt'!$G:$G)*K27/K$121,0),0)</f>
        <v>10058</v>
      </c>
      <c r="AQ27" s="41">
        <f>IFERROR(ROUND(_xlfn.XLOOKUP(AQ$7,'Product Tgt'!$B:$B,'Product Tgt'!$G:$G)*L27/L$121,0),0)</f>
        <v>9473</v>
      </c>
      <c r="AR27" s="41">
        <f>IFERROR(ROUND(_xlfn.XLOOKUP(AR$7,'Product Tgt'!$B:$B,'Product Tgt'!$G:$G)*M27/M$121,0),0)</f>
        <v>7170</v>
      </c>
      <c r="AS27" s="41">
        <f>IFERROR(ROUND(_xlfn.XLOOKUP(AS$7,'Product Tgt'!$B:$B,'Product Tgt'!$G:$G)*N27/N$121,0),0)</f>
        <v>157</v>
      </c>
      <c r="AT27" s="41">
        <f>IFERROR(ROUND(_xlfn.XLOOKUP(AT$7,'Product Tgt'!$B:$B,'Product Tgt'!$G:$G)*O27/O$121,0),0)</f>
        <v>638</v>
      </c>
      <c r="AU27" s="41">
        <f>IFERROR(ROUND(_xlfn.XLOOKUP(AU$7,'Product Tgt'!$B:$B,'Product Tgt'!$G:$G)*P27/P$121,0),0)</f>
        <v>550</v>
      </c>
      <c r="AV27" s="41">
        <f>IFERROR(ROUND(_xlfn.XLOOKUP(AV$7,'Product Tgt'!$B:$B,'Product Tgt'!$G:$G)*Q27/Q$121,0),0)</f>
        <v>500</v>
      </c>
      <c r="AW27" s="41">
        <f>IFERROR(ROUND(_xlfn.XLOOKUP(AW$7,'Product Tgt'!$B:$B,'Product Tgt'!$G:$G)*R27/R$121,0),0)</f>
        <v>3580</v>
      </c>
      <c r="AX27" s="41">
        <f>IFERROR(ROUND(_xlfn.XLOOKUP(AX$7,'Product Tgt'!$B:$B,'Product Tgt'!$G:$G)*S27/S$121,0),0)</f>
        <v>7944</v>
      </c>
      <c r="AY27" s="41">
        <f>IFERROR(ROUND(_xlfn.XLOOKUP(AY$7,'Product Tgt'!$B:$B,'Product Tgt'!$G:$G)*T27/T$121,0),0)</f>
        <v>0</v>
      </c>
      <c r="AZ27" s="41">
        <f>IFERROR(ROUND(_xlfn.XLOOKUP(AZ$7,'Product Tgt'!$B:$B,'Product Tgt'!$G:$G)*U27/U$121,0),0)</f>
        <v>0</v>
      </c>
      <c r="BA27" s="41">
        <f>IFERROR(ROUND(_xlfn.XLOOKUP(BA$7,'Product Tgt'!$B:$B,'Product Tgt'!$G:$G)*V27/V$121,0),0)</f>
        <v>2572</v>
      </c>
      <c r="BB27" s="41">
        <f>IFERROR(ROUND(_xlfn.XLOOKUP(BB$7,'Product Tgt'!$B:$B,'Product Tgt'!$G:$G)*W27/W$121,0),0)</f>
        <v>4178</v>
      </c>
      <c r="BC27" s="41">
        <f>IFERROR(ROUND(_xlfn.XLOOKUP(BC$7,'Product Tgt'!$B:$B,'Product Tgt'!$G:$G)*X27/X$121,0),0)</f>
        <v>1576</v>
      </c>
      <c r="BD27" s="41">
        <f>IFERROR(ROUND(_xlfn.XLOOKUP(BD$7,'Product Tgt'!$B:$B,'Product Tgt'!$G:$G)*Y27/Y$121,0),0)</f>
        <v>1335</v>
      </c>
      <c r="BE27" s="41">
        <f>IFERROR(ROUND(_xlfn.XLOOKUP(BE$7,'Product Tgt'!$B:$B,'Product Tgt'!$G:$G)*Z27/Z$121,0),0)</f>
        <v>263</v>
      </c>
      <c r="BF27" s="41">
        <f>IFERROR(ROUND(_xlfn.XLOOKUP(BF$7,'Product Tgt'!$B:$B,'Product Tgt'!$G:$G)*AA27/AA$121,0),0)</f>
        <v>1794</v>
      </c>
      <c r="BG27" s="41">
        <f>IFERROR(ROUND(_xlfn.XLOOKUP(BG$7,'Product Tgt'!$B:$B,'Product Tgt'!$G:$G)*AB27/AB$121,0),0)</f>
        <v>725</v>
      </c>
      <c r="BH27" s="41">
        <f>IFERROR(ROUND(_xlfn.XLOOKUP(BH$7,'Product Tgt'!$B:$B,'Product Tgt'!$G:$G)*AC27/AC$121,0),0)</f>
        <v>596</v>
      </c>
      <c r="BI27" s="41">
        <f>IFERROR(ROUND(_xlfn.XLOOKUP(BI$7,'Product Tgt'!$B:$B,'Product Tgt'!$G:$G)*AD27/AD$121,0),0)</f>
        <v>9662</v>
      </c>
      <c r="BJ27" s="41">
        <f>IFERROR(ROUND(_xlfn.XLOOKUP(BJ$7,'Product Tgt'!$B:$B,'Product Tgt'!$G:$G)*AE27/AE$121,0),0)</f>
        <v>9684</v>
      </c>
      <c r="BK27" s="41">
        <f>IFERROR(ROUND(_xlfn.XLOOKUP(BK$7,'Product Tgt'!$B:$B,'Product Tgt'!$G:$G)*AF27/AF$121,0),0)</f>
        <v>4468</v>
      </c>
      <c r="BL27" s="41">
        <f>IFERROR(ROUND(_xlfn.XLOOKUP(BL$7,'Product Tgt'!$B:$B,'Product Tgt'!$G:$G)*AG27/AG$121,0),0)</f>
        <v>7652</v>
      </c>
      <c r="BM27" s="41">
        <f>IFERROR(ROUND(_xlfn.XLOOKUP(BM$7,'Product Tgt'!$B:$B,'Product Tgt'!$G:$G)*AH27/AH$121,0),0)</f>
        <v>928</v>
      </c>
      <c r="BN27" s="41">
        <f>IFERROR(ROUND(_xlfn.XLOOKUP(BN$7,'Product Tgt'!$B:$B,'Product Tgt'!$G:$G)*AI27/AI$121,0),0)</f>
        <v>2813</v>
      </c>
      <c r="BO27" s="41">
        <f>IFERROR(ROUND(_xlfn.XLOOKUP(BO$7,'Product Tgt'!$B:$B,'Product Tgt'!$G:$G)*AJ27/AJ$121,0),0)</f>
        <v>3754</v>
      </c>
      <c r="BP27" s="41">
        <f>IFERROR(ROUND(_xlfn.XLOOKUP(BP$7,'Product Tgt'!$B:$B,'Product Tgt'!$G:$G)*AK27/AK$121,0),0)</f>
        <v>1500</v>
      </c>
      <c r="BQ27" s="41">
        <f>IFERROR(ROUND(_xlfn.XLOOKUP(BQ$7,'Product Tgt'!$B:$B,'Product Tgt'!$G:$G)*AL27/AL$121,0),0)</f>
        <v>1840</v>
      </c>
      <c r="BR27" s="25">
        <f>ROUND(IFERROR(AM27/_xlfn.XLOOKUP(BR$7,'Product Tgt'!$B:$B,'Product Tgt'!$D:$D),0),0)</f>
        <v>0</v>
      </c>
      <c r="BS27" s="11">
        <f>ROUND(IFERROR(AN27/_xlfn.XLOOKUP(BS$7,'Product Tgt'!$B:$B,'Product Tgt'!$D:$D),0),0)</f>
        <v>0</v>
      </c>
      <c r="BT27" s="11">
        <f>ROUND(IFERROR(AO27/_xlfn.XLOOKUP(BT$7,'Product Tgt'!$B:$B,'Product Tgt'!$D:$D),0),0)</f>
        <v>0</v>
      </c>
      <c r="BU27" s="11">
        <f>ROUND(IFERROR(AP27/_xlfn.XLOOKUP(BU$7,'Product Tgt'!$B:$B,'Product Tgt'!$D:$D),0),0)</f>
        <v>0</v>
      </c>
      <c r="BV27" s="11">
        <f>ROUND(IFERROR(AQ27/_xlfn.XLOOKUP(BV$7,'Product Tgt'!$B:$B,'Product Tgt'!$D:$D),0),0)</f>
        <v>0</v>
      </c>
      <c r="BW27" s="11">
        <f>ROUND(IFERROR(AU27/_xlfn.XLOOKUP(BW$7,'Product Tgt'!$B:$B,'Product Tgt'!$D:$D),0),0)</f>
        <v>0</v>
      </c>
      <c r="BX27" s="11">
        <f>ROUND(IFERROR(#REF!/_xlfn.XLOOKUP(BX$7,'Product Tgt'!$B:$B,'Product Tgt'!$D:$D),0),0)</f>
        <v>0</v>
      </c>
      <c r="BY27" s="11">
        <f>ROUND(IFERROR(#REF!/_xlfn.XLOOKUP(BY$7,'Product Tgt'!$B:$B,'Product Tgt'!$D:$D),0),0)</f>
        <v>0</v>
      </c>
      <c r="BZ27" s="11">
        <f>ROUND(IFERROR(#REF!/_xlfn.XLOOKUP(BZ$7,'Product Tgt'!$B:$B,'Product Tgt'!$D:$D),0),0)</f>
        <v>0</v>
      </c>
      <c r="CA27" s="11">
        <f>ROUND(IFERROR(#REF!/_xlfn.XLOOKUP(CA$7,'Product Tgt'!$B:$B,'Product Tgt'!$D:$D),0),0)</f>
        <v>0</v>
      </c>
      <c r="CB27" s="11">
        <f>ROUND(IFERROR(AV27/_xlfn.XLOOKUP(CB$7,'Product Tgt'!$B:$B,'Product Tgt'!$D:$D),0),0)</f>
        <v>0</v>
      </c>
      <c r="CC27" s="11">
        <f>ROUND(IFERROR(AW27/_xlfn.XLOOKUP(CC$7,'Product Tgt'!$B:$B,'Product Tgt'!$D:$D),0),0)</f>
        <v>0</v>
      </c>
      <c r="CD27" s="11">
        <f>ROUND(IFERROR(AX27/_xlfn.XLOOKUP(CD$7,'Product Tgt'!$B:$B,'Product Tgt'!$D:$D),0),0)</f>
        <v>0</v>
      </c>
      <c r="CE27" s="11">
        <f>ROUND(IFERROR(AY27/_xlfn.XLOOKUP(CE$7,'Product Tgt'!$B:$B,'Product Tgt'!$D:$D),0),0)</f>
        <v>0</v>
      </c>
      <c r="CF27" s="11">
        <f>ROUND(IFERROR(AZ27/_xlfn.XLOOKUP(CF$7,'Product Tgt'!$B:$B,'Product Tgt'!$D:$D),0),0)</f>
        <v>0</v>
      </c>
      <c r="CG27" s="11">
        <f>ROUND(IFERROR(BA27/_xlfn.XLOOKUP(CG$7,'Product Tgt'!$B:$B,'Product Tgt'!$D:$D),0),0)</f>
        <v>0</v>
      </c>
      <c r="CH27" s="11">
        <f>ROUND(IFERROR(BB27/_xlfn.XLOOKUP(CH$7,'Product Tgt'!$B:$B,'Product Tgt'!$D:$D),0),0)</f>
        <v>0</v>
      </c>
      <c r="CI27" s="11">
        <f>ROUND(IFERROR(BC27/_xlfn.XLOOKUP(CI$7,'Product Tgt'!$B:$B,'Product Tgt'!$D:$D),0),0)</f>
        <v>0</v>
      </c>
      <c r="CJ27" s="11">
        <f>ROUND(IFERROR(BD27/_xlfn.XLOOKUP(CJ$7,'Product Tgt'!$B:$B,'Product Tgt'!$D:$D),0),0)</f>
        <v>0</v>
      </c>
      <c r="CK27" s="11">
        <f>ROUND(IFERROR(BE27/_xlfn.XLOOKUP(CK$7,'Product Tgt'!$B:$B,'Product Tgt'!$D:$D),0),0)</f>
        <v>0</v>
      </c>
      <c r="CL27" s="11">
        <f>ROUND(IFERROR(BF27/_xlfn.XLOOKUP(CL$7,'Product Tgt'!$B:$B,'Product Tgt'!$D:$D),0),0)</f>
        <v>0</v>
      </c>
      <c r="CM27" s="11">
        <f>ROUND(IFERROR(BG27/_xlfn.XLOOKUP(CM$7,'Product Tgt'!$B:$B,'Product Tgt'!$D:$D),0),0)</f>
        <v>0</v>
      </c>
      <c r="CN27" s="11">
        <f>ROUND(IFERROR(BH27/_xlfn.XLOOKUP(CN$7,'Product Tgt'!$B:$B,'Product Tgt'!$D:$D),0),0)</f>
        <v>0</v>
      </c>
      <c r="CO27" s="11">
        <f>ROUND(IFERROR(BI27/_xlfn.XLOOKUP(CO$7,'Product Tgt'!$B:$B,'Product Tgt'!$D:$D),0),0)</f>
        <v>0</v>
      </c>
      <c r="CP27" s="11">
        <f>ROUND(IFERROR(BJ27/_xlfn.XLOOKUP(CP$7,'Product Tgt'!$B:$B,'Product Tgt'!$D:$D),0),0)</f>
        <v>0</v>
      </c>
      <c r="CQ27" s="11">
        <f>ROUND(IFERROR(BK27/_xlfn.XLOOKUP(CQ$7,'Product Tgt'!$B:$B,'Product Tgt'!$D:$D),0),0)</f>
        <v>0</v>
      </c>
      <c r="CR27" s="11">
        <f>ROUND(IFERROR(BL27/_xlfn.XLOOKUP(CR$7,'Product Tgt'!$B:$B,'Product Tgt'!$D:$D),0),0)</f>
        <v>0</v>
      </c>
      <c r="CS27" s="11">
        <f>ROUND(IFERROR(BM27/_xlfn.XLOOKUP(CS$7,'Product Tgt'!$B:$B,'Product Tgt'!$D:$D),0),0)</f>
        <v>0</v>
      </c>
      <c r="CT27" s="11">
        <f>ROUND(IFERROR(BN27/_xlfn.XLOOKUP(CT$7,'Product Tgt'!$B:$B,'Product Tgt'!$D:$D),0),0)</f>
        <v>0</v>
      </c>
      <c r="CU27" s="11">
        <f>ROUND(IFERROR(BO27/_xlfn.XLOOKUP(CU$7,'Product Tgt'!$B:$B,'Product Tgt'!$D:$D),0),0)</f>
        <v>0</v>
      </c>
      <c r="CV27" s="11">
        <f>ROUND(IFERROR(BP27/_xlfn.XLOOKUP(CV$7,'Product Tgt'!$B:$B,'Product Tgt'!$D:$D),0),0)</f>
        <v>0</v>
      </c>
      <c r="CW27" s="11">
        <f>ROUND(IFERROR(BQ27/_xlfn.XLOOKUP(CW$7,'Product Tgt'!$B:$B,'Product Tgt'!$D:$D),0),0)</f>
        <v>0</v>
      </c>
      <c r="CX27" s="11">
        <f>ROUND(IFERROR(#REF!/_xlfn.XLOOKUP(CX$7,'Product Tgt'!$B:$B,'Product Tgt'!$D:$D),0),0)</f>
        <v>0</v>
      </c>
      <c r="CY27" s="11">
        <f>ROUND(IFERROR(#REF!/_xlfn.XLOOKUP(CY$7,'Product Tgt'!$B:$B,'Product Tgt'!$D:$D),0),0)</f>
        <v>0</v>
      </c>
      <c r="CZ27" s="11">
        <f>ROUND(IFERROR(#REF!/_xlfn.XLOOKUP(CZ$7,'Product Tgt'!$B:$B,'Product Tgt'!$D:$D),0),0)</f>
        <v>0</v>
      </c>
      <c r="DA27" s="10">
        <f>IFERROR(BR27*_xlfn.XLOOKUP(DA$7,'Product Tgt'!$B:$B,'Product Tgt'!$D:$D),0)</f>
        <v>0</v>
      </c>
      <c r="DB27">
        <f>IFERROR(BS27*_xlfn.XLOOKUP(DB$7,'Product Tgt'!$B:$B,'Product Tgt'!$D:$D),0)</f>
        <v>0</v>
      </c>
      <c r="DC27">
        <f>IFERROR(BT27*_xlfn.XLOOKUP(DC$7,'Product Tgt'!$B:$B,'Product Tgt'!$D:$D),0)</f>
        <v>0</v>
      </c>
      <c r="DD27">
        <f>IFERROR(BU27*_xlfn.XLOOKUP(DD$7,'Product Tgt'!$B:$B,'Product Tgt'!$D:$D),0)</f>
        <v>0</v>
      </c>
      <c r="DE27">
        <f>IFERROR(BV27*_xlfn.XLOOKUP(DE$7,'Product Tgt'!$B:$B,'Product Tgt'!$D:$D),0)</f>
        <v>0</v>
      </c>
      <c r="DF27">
        <f>IFERROR(BW27*_xlfn.XLOOKUP(DF$7,'Product Tgt'!$B:$B,'Product Tgt'!$D:$D),0)</f>
        <v>0</v>
      </c>
      <c r="DG27">
        <f>IFERROR(BX27*_xlfn.XLOOKUP(DG$7,'Product Tgt'!$B:$B,'Product Tgt'!$D:$D),0)</f>
        <v>0</v>
      </c>
      <c r="DH27">
        <f>IFERROR(BY27*_xlfn.XLOOKUP(DH$7,'Product Tgt'!$B:$B,'Product Tgt'!$D:$D),0)</f>
        <v>0</v>
      </c>
      <c r="DI27">
        <f>IFERROR(BZ27*_xlfn.XLOOKUP(DI$7,'Product Tgt'!$B:$B,'Product Tgt'!$D:$D),0)</f>
        <v>0</v>
      </c>
      <c r="DJ27">
        <f>IFERROR(CA27*_xlfn.XLOOKUP(DJ$7,'Product Tgt'!$B:$B,'Product Tgt'!$D:$D),0)</f>
        <v>0</v>
      </c>
      <c r="DK27">
        <f>IFERROR(CB27*_xlfn.XLOOKUP(DK$7,'Product Tgt'!$B:$B,'Product Tgt'!$D:$D),0)</f>
        <v>0</v>
      </c>
      <c r="DL27">
        <f>IFERROR(CC27*_xlfn.XLOOKUP(DL$7,'Product Tgt'!$B:$B,'Product Tgt'!$D:$D),0)</f>
        <v>0</v>
      </c>
      <c r="DM27">
        <f>IFERROR(CD27*_xlfn.XLOOKUP(DM$7,'Product Tgt'!$B:$B,'Product Tgt'!$D:$D),0)</f>
        <v>0</v>
      </c>
      <c r="DN27">
        <f>IFERROR(CE27*_xlfn.XLOOKUP(DN$7,'Product Tgt'!$B:$B,'Product Tgt'!$D:$D),0)</f>
        <v>0</v>
      </c>
      <c r="DO27">
        <f>IFERROR(CF27*_xlfn.XLOOKUP(DO$7,'Product Tgt'!$B:$B,'Product Tgt'!$D:$D),0)</f>
        <v>0</v>
      </c>
      <c r="DP27">
        <f>IFERROR(CG27*_xlfn.XLOOKUP(DP$7,'Product Tgt'!$B:$B,'Product Tgt'!$D:$D),0)</f>
        <v>0</v>
      </c>
      <c r="DQ27">
        <f>IFERROR(CH27*_xlfn.XLOOKUP(DQ$7,'Product Tgt'!$B:$B,'Product Tgt'!$D:$D),0)</f>
        <v>0</v>
      </c>
      <c r="DR27">
        <f>IFERROR(CI27*_xlfn.XLOOKUP(DR$7,'Product Tgt'!$B:$B,'Product Tgt'!$D:$D),0)</f>
        <v>0</v>
      </c>
      <c r="DS27">
        <f>IFERROR(CJ27*_xlfn.XLOOKUP(DS$7,'Product Tgt'!$B:$B,'Product Tgt'!$D:$D),0)</f>
        <v>0</v>
      </c>
      <c r="DT27">
        <f>IFERROR(CK27*_xlfn.XLOOKUP(DT$7,'Product Tgt'!$B:$B,'Product Tgt'!$D:$D),0)</f>
        <v>0</v>
      </c>
      <c r="DU27">
        <f>IFERROR(CL27*_xlfn.XLOOKUP(DU$7,'Product Tgt'!$B:$B,'Product Tgt'!$D:$D),0)</f>
        <v>0</v>
      </c>
      <c r="DV27">
        <f>IFERROR(CM27*_xlfn.XLOOKUP(DV$7,'Product Tgt'!$B:$B,'Product Tgt'!$D:$D),0)</f>
        <v>0</v>
      </c>
      <c r="DW27">
        <f>IFERROR(CN27*_xlfn.XLOOKUP(DW$7,'Product Tgt'!$B:$B,'Product Tgt'!$D:$D),0)</f>
        <v>0</v>
      </c>
      <c r="DX27">
        <f>IFERROR(CO27*_xlfn.XLOOKUP(DX$7,'Product Tgt'!$B:$B,'Product Tgt'!$D:$D),0)</f>
        <v>0</v>
      </c>
      <c r="DY27">
        <f>IFERROR(CP27*_xlfn.XLOOKUP(DY$7,'Product Tgt'!$B:$B,'Product Tgt'!$D:$D),0)</f>
        <v>0</v>
      </c>
      <c r="DZ27">
        <f>IFERROR(CQ27*_xlfn.XLOOKUP(DZ$7,'Product Tgt'!$B:$B,'Product Tgt'!$D:$D),0)</f>
        <v>0</v>
      </c>
      <c r="EA27">
        <f>IFERROR(CR27*_xlfn.XLOOKUP(EA$7,'Product Tgt'!$B:$B,'Product Tgt'!$D:$D),0)</f>
        <v>0</v>
      </c>
      <c r="EB27">
        <f>IFERROR(CS27*_xlfn.XLOOKUP(EB$7,'Product Tgt'!$B:$B,'Product Tgt'!$D:$D),0)</f>
        <v>0</v>
      </c>
      <c r="EC27">
        <f>IFERROR(CT27*_xlfn.XLOOKUP(EC$7,'Product Tgt'!$B:$B,'Product Tgt'!$D:$D),0)</f>
        <v>0</v>
      </c>
      <c r="ED27">
        <f>IFERROR(CU27*_xlfn.XLOOKUP(ED$7,'Product Tgt'!$B:$B,'Product Tgt'!$D:$D),0)</f>
        <v>0</v>
      </c>
      <c r="EE27">
        <f>IFERROR(CV27*_xlfn.XLOOKUP(EE$7,'Product Tgt'!$B:$B,'Product Tgt'!$D:$D),0)</f>
        <v>0</v>
      </c>
      <c r="EF27">
        <f>IFERROR(CW27*_xlfn.XLOOKUP(EF$7,'Product Tgt'!$B:$B,'Product Tgt'!$D:$D),0)</f>
        <v>0</v>
      </c>
      <c r="EG27">
        <f>IFERROR(CX27*_xlfn.XLOOKUP(EG$7,'Product Tgt'!$B:$B,'Product Tgt'!$D:$D),0)</f>
        <v>0</v>
      </c>
      <c r="EH27">
        <f>IFERROR(CY27*_xlfn.XLOOKUP(EH$7,'Product Tgt'!$B:$B,'Product Tgt'!$D:$D),0)</f>
        <v>0</v>
      </c>
      <c r="EI27">
        <f>IFERROR(CZ27*_xlfn.XLOOKUP(EI$7,'Product Tgt'!$B:$B,'Product Tgt'!$D:$D),0)</f>
        <v>0</v>
      </c>
    </row>
    <row r="28" spans="2:139" x14ac:dyDescent="0.35">
      <c r="B28" s="7" t="s">
        <v>145</v>
      </c>
      <c r="C28" s="3">
        <f>_xlfn.XLOOKUP($B28,'Terr Target'!$A:$A,'Terr Target'!$E:$E)</f>
        <v>149496.71905225524</v>
      </c>
      <c r="D28" s="3">
        <f t="shared" si="3"/>
        <v>149497</v>
      </c>
      <c r="E28" s="4">
        <f t="shared" si="4"/>
        <v>0.2809477447590325</v>
      </c>
      <c r="F28" s="9">
        <f t="shared" si="5"/>
        <v>1.8792868402645706E-6</v>
      </c>
      <c r="G28" s="5">
        <f t="shared" si="6"/>
        <v>0.99999812071315974</v>
      </c>
      <c r="H28" s="38">
        <v>12817.169372831917</v>
      </c>
      <c r="I28" s="11">
        <v>28675.028543239274</v>
      </c>
      <c r="J28" s="11">
        <v>14416.441336443289</v>
      </c>
      <c r="K28" s="11">
        <v>13244.774741884834</v>
      </c>
      <c r="L28" s="11">
        <v>11264.602026267552</v>
      </c>
      <c r="M28" s="11">
        <v>8892.1731639740538</v>
      </c>
      <c r="N28" s="11">
        <v>141.4373001639853</v>
      </c>
      <c r="O28" s="11">
        <v>790.02834805883219</v>
      </c>
      <c r="P28" s="11">
        <v>1004.2048311642956</v>
      </c>
      <c r="Q28" s="11">
        <v>540.48243724807492</v>
      </c>
      <c r="R28" s="11">
        <v>4511.8296699025359</v>
      </c>
      <c r="S28" s="11">
        <v>7238.3771211494659</v>
      </c>
      <c r="T28" s="11">
        <v>0</v>
      </c>
      <c r="U28" s="11">
        <v>0</v>
      </c>
      <c r="V28" s="11">
        <v>3010.6040632976992</v>
      </c>
      <c r="W28" s="11">
        <v>5217.0158431915725</v>
      </c>
      <c r="X28" s="11">
        <v>2331.6949198462721</v>
      </c>
      <c r="Y28" s="11">
        <v>2227.6475802470659</v>
      </c>
      <c r="Z28" s="11">
        <v>322.29519641653275</v>
      </c>
      <c r="AA28" s="11">
        <v>2901.485186221184</v>
      </c>
      <c r="AB28" s="11">
        <v>1005.2150975940383</v>
      </c>
      <c r="AC28" s="11">
        <v>588.98532854002451</v>
      </c>
      <c r="AD28" s="11">
        <v>3561.1588568503089</v>
      </c>
      <c r="AE28" s="11">
        <v>4826.0326322168294</v>
      </c>
      <c r="AF28" s="11">
        <v>1941.6714619797851</v>
      </c>
      <c r="AG28" s="11">
        <v>7347.6273328618472</v>
      </c>
      <c r="AH28" s="11">
        <v>828.40836972475927</v>
      </c>
      <c r="AI28" s="11">
        <v>4099.6914798889802</v>
      </c>
      <c r="AJ28" s="11">
        <v>7382.986657902843</v>
      </c>
      <c r="AK28" s="11">
        <v>3092.7488267000822</v>
      </c>
      <c r="AL28" s="49">
        <v>4115.4011228714799</v>
      </c>
      <c r="AM28" s="41">
        <f>IFERROR(ROUND(_xlfn.XLOOKUP(AM$7,'Product Tgt'!$B:$B,'Product Tgt'!$G:$G)*H28/H$121,0),0)</f>
        <v>12460</v>
      </c>
      <c r="AN28" s="41">
        <f>IFERROR(ROUND(_xlfn.XLOOKUP(AN$7,'Product Tgt'!$B:$B,'Product Tgt'!$G:$G)*I28/I$121,0),0)</f>
        <v>28228</v>
      </c>
      <c r="AO28" s="41">
        <f>IFERROR(ROUND(_xlfn.XLOOKUP(AO$7,'Product Tgt'!$B:$B,'Product Tgt'!$G:$G)*J28/J$121,0),0)</f>
        <v>13968</v>
      </c>
      <c r="AP28" s="41">
        <f>IFERROR(ROUND(_xlfn.XLOOKUP(AP$7,'Product Tgt'!$B:$B,'Product Tgt'!$G:$G)*K28/K$121,0),0)</f>
        <v>12921</v>
      </c>
      <c r="AQ28" s="41">
        <f>IFERROR(ROUND(_xlfn.XLOOKUP(AQ$7,'Product Tgt'!$B:$B,'Product Tgt'!$G:$G)*L28/L$121,0),0)</f>
        <v>10892</v>
      </c>
      <c r="AR28" s="41">
        <f>IFERROR(ROUND(_xlfn.XLOOKUP(AR$7,'Product Tgt'!$B:$B,'Product Tgt'!$G:$G)*M28/M$121,0),0)</f>
        <v>8615</v>
      </c>
      <c r="AS28" s="41">
        <f>IFERROR(ROUND(_xlfn.XLOOKUP(AS$7,'Product Tgt'!$B:$B,'Product Tgt'!$G:$G)*N28/N$121,0),0)</f>
        <v>131</v>
      </c>
      <c r="AT28" s="41">
        <f>IFERROR(ROUND(_xlfn.XLOOKUP(AT$7,'Product Tgt'!$B:$B,'Product Tgt'!$G:$G)*O28/O$121,0),0)</f>
        <v>711</v>
      </c>
      <c r="AU28" s="41">
        <f>IFERROR(ROUND(_xlfn.XLOOKUP(AU$7,'Product Tgt'!$B:$B,'Product Tgt'!$G:$G)*P28/P$121,0),0)</f>
        <v>428</v>
      </c>
      <c r="AV28" s="41">
        <f>IFERROR(ROUND(_xlfn.XLOOKUP(AV$7,'Product Tgt'!$B:$B,'Product Tgt'!$G:$G)*Q28/Q$121,0),0)</f>
        <v>406</v>
      </c>
      <c r="AW28" s="41">
        <f>IFERROR(ROUND(_xlfn.XLOOKUP(AW$7,'Product Tgt'!$B:$B,'Product Tgt'!$G:$G)*R28/R$121,0),0)</f>
        <v>4345</v>
      </c>
      <c r="AX28" s="41">
        <f>IFERROR(ROUND(_xlfn.XLOOKUP(AX$7,'Product Tgt'!$B:$B,'Product Tgt'!$G:$G)*S28/S$121,0),0)</f>
        <v>6971</v>
      </c>
      <c r="AY28" s="41">
        <f>IFERROR(ROUND(_xlfn.XLOOKUP(AY$7,'Product Tgt'!$B:$B,'Product Tgt'!$G:$G)*T28/T$121,0),0)</f>
        <v>0</v>
      </c>
      <c r="AZ28" s="41">
        <f>IFERROR(ROUND(_xlfn.XLOOKUP(AZ$7,'Product Tgt'!$B:$B,'Product Tgt'!$G:$G)*U28/U$121,0),0)</f>
        <v>0</v>
      </c>
      <c r="BA28" s="41">
        <f>IFERROR(ROUND(_xlfn.XLOOKUP(BA$7,'Product Tgt'!$B:$B,'Product Tgt'!$G:$G)*V28/V$121,0),0)</f>
        <v>2899</v>
      </c>
      <c r="BB28" s="41">
        <f>IFERROR(ROUND(_xlfn.XLOOKUP(BB$7,'Product Tgt'!$B:$B,'Product Tgt'!$G:$G)*W28/W$121,0),0)</f>
        <v>4994</v>
      </c>
      <c r="BC28" s="41">
        <f>IFERROR(ROUND(_xlfn.XLOOKUP(BC$7,'Product Tgt'!$B:$B,'Product Tgt'!$G:$G)*X28/X$121,0),0)</f>
        <v>2256</v>
      </c>
      <c r="BD28" s="41">
        <f>IFERROR(ROUND(_xlfn.XLOOKUP(BD$7,'Product Tgt'!$B:$B,'Product Tgt'!$G:$G)*Y28/Y$121,0),0)</f>
        <v>2154</v>
      </c>
      <c r="BE28" s="41">
        <f>IFERROR(ROUND(_xlfn.XLOOKUP(BE$7,'Product Tgt'!$B:$B,'Product Tgt'!$G:$G)*Z28/Z$121,0),0)</f>
        <v>306</v>
      </c>
      <c r="BF28" s="41">
        <f>IFERROR(ROUND(_xlfn.XLOOKUP(BF$7,'Product Tgt'!$B:$B,'Product Tgt'!$G:$G)*AA28/AA$121,0),0)</f>
        <v>2351</v>
      </c>
      <c r="BG28" s="41">
        <f>IFERROR(ROUND(_xlfn.XLOOKUP(BG$7,'Product Tgt'!$B:$B,'Product Tgt'!$G:$G)*AB28/AB$121,0),0)</f>
        <v>806</v>
      </c>
      <c r="BH28" s="41">
        <f>IFERROR(ROUND(_xlfn.XLOOKUP(BH$7,'Product Tgt'!$B:$B,'Product Tgt'!$G:$G)*AC28/AC$121,0),0)</f>
        <v>504</v>
      </c>
      <c r="BI28" s="41">
        <f>IFERROR(ROUND(_xlfn.XLOOKUP(BI$7,'Product Tgt'!$B:$B,'Product Tgt'!$G:$G)*AD28/AD$121,0),0)</f>
        <v>3100</v>
      </c>
      <c r="BJ28" s="41">
        <f>IFERROR(ROUND(_xlfn.XLOOKUP(BJ$7,'Product Tgt'!$B:$B,'Product Tgt'!$G:$G)*AE28/AE$121,0),0)</f>
        <v>4492</v>
      </c>
      <c r="BK28" s="41">
        <f>IFERROR(ROUND(_xlfn.XLOOKUP(BK$7,'Product Tgt'!$B:$B,'Product Tgt'!$G:$G)*AF28/AF$121,0),0)</f>
        <v>2169</v>
      </c>
      <c r="BL28" s="41">
        <f>IFERROR(ROUND(_xlfn.XLOOKUP(BL$7,'Product Tgt'!$B:$B,'Product Tgt'!$G:$G)*AG28/AG$121,0),0)</f>
        <v>7018</v>
      </c>
      <c r="BM28" s="41">
        <f>IFERROR(ROUND(_xlfn.XLOOKUP(BM$7,'Product Tgt'!$B:$B,'Product Tgt'!$G:$G)*AH28/AH$121,0),0)</f>
        <v>649</v>
      </c>
      <c r="BN28" s="41">
        <f>IFERROR(ROUND(_xlfn.XLOOKUP(BN$7,'Product Tgt'!$B:$B,'Product Tgt'!$G:$G)*AI28/AI$121,0),0)</f>
        <v>3765</v>
      </c>
      <c r="BO28" s="41">
        <f>IFERROR(ROUND(_xlfn.XLOOKUP(BO$7,'Product Tgt'!$B:$B,'Product Tgt'!$G:$G)*AJ28/AJ$121,0),0)</f>
        <v>6386</v>
      </c>
      <c r="BP28" s="41">
        <f>IFERROR(ROUND(_xlfn.XLOOKUP(BP$7,'Product Tgt'!$B:$B,'Product Tgt'!$G:$G)*AK28/AK$121,0),0)</f>
        <v>2355</v>
      </c>
      <c r="BQ28" s="41">
        <f>IFERROR(ROUND(_xlfn.XLOOKUP(BQ$7,'Product Tgt'!$B:$B,'Product Tgt'!$G:$G)*AL28/AL$121,0),0)</f>
        <v>3217</v>
      </c>
      <c r="BR28" s="25">
        <f>ROUND(IFERROR(AM28/_xlfn.XLOOKUP(BR$7,'Product Tgt'!$B:$B,'Product Tgt'!$D:$D),0),0)</f>
        <v>0</v>
      </c>
      <c r="BS28" s="11">
        <f>ROUND(IFERROR(AN28/_xlfn.XLOOKUP(BS$7,'Product Tgt'!$B:$B,'Product Tgt'!$D:$D),0),0)</f>
        <v>0</v>
      </c>
      <c r="BT28" s="11">
        <f>ROUND(IFERROR(AO28/_xlfn.XLOOKUP(BT$7,'Product Tgt'!$B:$B,'Product Tgt'!$D:$D),0),0)</f>
        <v>0</v>
      </c>
      <c r="BU28" s="11">
        <f>ROUND(IFERROR(AP28/_xlfn.XLOOKUP(BU$7,'Product Tgt'!$B:$B,'Product Tgt'!$D:$D),0),0)</f>
        <v>0</v>
      </c>
      <c r="BV28" s="11">
        <f>ROUND(IFERROR(AQ28/_xlfn.XLOOKUP(BV$7,'Product Tgt'!$B:$B,'Product Tgt'!$D:$D),0),0)</f>
        <v>0</v>
      </c>
      <c r="BW28" s="11">
        <f>ROUND(IFERROR(AU28/_xlfn.XLOOKUP(BW$7,'Product Tgt'!$B:$B,'Product Tgt'!$D:$D),0),0)</f>
        <v>0</v>
      </c>
      <c r="BX28" s="11">
        <f>ROUND(IFERROR(#REF!/_xlfn.XLOOKUP(BX$7,'Product Tgt'!$B:$B,'Product Tgt'!$D:$D),0),0)</f>
        <v>0</v>
      </c>
      <c r="BY28" s="11">
        <f>ROUND(IFERROR(#REF!/_xlfn.XLOOKUP(BY$7,'Product Tgt'!$B:$B,'Product Tgt'!$D:$D),0),0)</f>
        <v>0</v>
      </c>
      <c r="BZ28" s="11">
        <f>ROUND(IFERROR(#REF!/_xlfn.XLOOKUP(BZ$7,'Product Tgt'!$B:$B,'Product Tgt'!$D:$D),0),0)</f>
        <v>0</v>
      </c>
      <c r="CA28" s="11">
        <f>ROUND(IFERROR(#REF!/_xlfn.XLOOKUP(CA$7,'Product Tgt'!$B:$B,'Product Tgt'!$D:$D),0),0)</f>
        <v>0</v>
      </c>
      <c r="CB28" s="11">
        <f>ROUND(IFERROR(AV28/_xlfn.XLOOKUP(CB$7,'Product Tgt'!$B:$B,'Product Tgt'!$D:$D),0),0)</f>
        <v>0</v>
      </c>
      <c r="CC28" s="11">
        <f>ROUND(IFERROR(AW28/_xlfn.XLOOKUP(CC$7,'Product Tgt'!$B:$B,'Product Tgt'!$D:$D),0),0)</f>
        <v>0</v>
      </c>
      <c r="CD28" s="11">
        <f>ROUND(IFERROR(AX28/_xlfn.XLOOKUP(CD$7,'Product Tgt'!$B:$B,'Product Tgt'!$D:$D),0),0)</f>
        <v>0</v>
      </c>
      <c r="CE28" s="11">
        <f>ROUND(IFERROR(AY28/_xlfn.XLOOKUP(CE$7,'Product Tgt'!$B:$B,'Product Tgt'!$D:$D),0),0)</f>
        <v>0</v>
      </c>
      <c r="CF28" s="11">
        <f>ROUND(IFERROR(AZ28/_xlfn.XLOOKUP(CF$7,'Product Tgt'!$B:$B,'Product Tgt'!$D:$D),0),0)</f>
        <v>0</v>
      </c>
      <c r="CG28" s="11">
        <f>ROUND(IFERROR(BA28/_xlfn.XLOOKUP(CG$7,'Product Tgt'!$B:$B,'Product Tgt'!$D:$D),0),0)</f>
        <v>0</v>
      </c>
      <c r="CH28" s="11">
        <f>ROUND(IFERROR(BB28/_xlfn.XLOOKUP(CH$7,'Product Tgt'!$B:$B,'Product Tgt'!$D:$D),0),0)</f>
        <v>0</v>
      </c>
      <c r="CI28" s="11">
        <f>ROUND(IFERROR(BC28/_xlfn.XLOOKUP(CI$7,'Product Tgt'!$B:$B,'Product Tgt'!$D:$D),0),0)</f>
        <v>0</v>
      </c>
      <c r="CJ28" s="11">
        <f>ROUND(IFERROR(BD28/_xlfn.XLOOKUP(CJ$7,'Product Tgt'!$B:$B,'Product Tgt'!$D:$D),0),0)</f>
        <v>0</v>
      </c>
      <c r="CK28" s="11">
        <f>ROUND(IFERROR(BE28/_xlfn.XLOOKUP(CK$7,'Product Tgt'!$B:$B,'Product Tgt'!$D:$D),0),0)</f>
        <v>0</v>
      </c>
      <c r="CL28" s="11">
        <f>ROUND(IFERROR(BF28/_xlfn.XLOOKUP(CL$7,'Product Tgt'!$B:$B,'Product Tgt'!$D:$D),0),0)</f>
        <v>0</v>
      </c>
      <c r="CM28" s="11">
        <f>ROUND(IFERROR(BG28/_xlfn.XLOOKUP(CM$7,'Product Tgt'!$B:$B,'Product Tgt'!$D:$D),0),0)</f>
        <v>0</v>
      </c>
      <c r="CN28" s="11">
        <f>ROUND(IFERROR(BH28/_xlfn.XLOOKUP(CN$7,'Product Tgt'!$B:$B,'Product Tgt'!$D:$D),0),0)</f>
        <v>0</v>
      </c>
      <c r="CO28" s="11">
        <f>ROUND(IFERROR(BI28/_xlfn.XLOOKUP(CO$7,'Product Tgt'!$B:$B,'Product Tgt'!$D:$D),0),0)</f>
        <v>0</v>
      </c>
      <c r="CP28" s="11">
        <f>ROUND(IFERROR(BJ28/_xlfn.XLOOKUP(CP$7,'Product Tgt'!$B:$B,'Product Tgt'!$D:$D),0),0)</f>
        <v>0</v>
      </c>
      <c r="CQ28" s="11">
        <f>ROUND(IFERROR(BK28/_xlfn.XLOOKUP(CQ$7,'Product Tgt'!$B:$B,'Product Tgt'!$D:$D),0),0)</f>
        <v>0</v>
      </c>
      <c r="CR28" s="11">
        <f>ROUND(IFERROR(BL28/_xlfn.XLOOKUP(CR$7,'Product Tgt'!$B:$B,'Product Tgt'!$D:$D),0),0)</f>
        <v>0</v>
      </c>
      <c r="CS28" s="11">
        <f>ROUND(IFERROR(BM28/_xlfn.XLOOKUP(CS$7,'Product Tgt'!$B:$B,'Product Tgt'!$D:$D),0),0)</f>
        <v>0</v>
      </c>
      <c r="CT28" s="11">
        <f>ROUND(IFERROR(BN28/_xlfn.XLOOKUP(CT$7,'Product Tgt'!$B:$B,'Product Tgt'!$D:$D),0),0)</f>
        <v>0</v>
      </c>
      <c r="CU28" s="11">
        <f>ROUND(IFERROR(BO28/_xlfn.XLOOKUP(CU$7,'Product Tgt'!$B:$B,'Product Tgt'!$D:$D),0),0)</f>
        <v>0</v>
      </c>
      <c r="CV28" s="11">
        <f>ROUND(IFERROR(BP28/_xlfn.XLOOKUP(CV$7,'Product Tgt'!$B:$B,'Product Tgt'!$D:$D),0),0)</f>
        <v>0</v>
      </c>
      <c r="CW28" s="11">
        <f>ROUND(IFERROR(BQ28/_xlfn.XLOOKUP(CW$7,'Product Tgt'!$B:$B,'Product Tgt'!$D:$D),0),0)</f>
        <v>0</v>
      </c>
      <c r="CX28" s="11">
        <f>ROUND(IFERROR(#REF!/_xlfn.XLOOKUP(CX$7,'Product Tgt'!$B:$B,'Product Tgt'!$D:$D),0),0)</f>
        <v>0</v>
      </c>
      <c r="CY28" s="11">
        <f>ROUND(IFERROR(#REF!/_xlfn.XLOOKUP(CY$7,'Product Tgt'!$B:$B,'Product Tgt'!$D:$D),0),0)</f>
        <v>0</v>
      </c>
      <c r="CZ28" s="11">
        <f>ROUND(IFERROR(#REF!/_xlfn.XLOOKUP(CZ$7,'Product Tgt'!$B:$B,'Product Tgt'!$D:$D),0),0)</f>
        <v>0</v>
      </c>
      <c r="DA28" s="10">
        <f>IFERROR(BR28*_xlfn.XLOOKUP(DA$7,'Product Tgt'!$B:$B,'Product Tgt'!$D:$D),0)</f>
        <v>0</v>
      </c>
      <c r="DB28">
        <f>IFERROR(BS28*_xlfn.XLOOKUP(DB$7,'Product Tgt'!$B:$B,'Product Tgt'!$D:$D),0)</f>
        <v>0</v>
      </c>
      <c r="DC28">
        <f>IFERROR(BT28*_xlfn.XLOOKUP(DC$7,'Product Tgt'!$B:$B,'Product Tgt'!$D:$D),0)</f>
        <v>0</v>
      </c>
      <c r="DD28">
        <f>IFERROR(BU28*_xlfn.XLOOKUP(DD$7,'Product Tgt'!$B:$B,'Product Tgt'!$D:$D),0)</f>
        <v>0</v>
      </c>
      <c r="DE28">
        <f>IFERROR(BV28*_xlfn.XLOOKUP(DE$7,'Product Tgt'!$B:$B,'Product Tgt'!$D:$D),0)</f>
        <v>0</v>
      </c>
      <c r="DF28">
        <f>IFERROR(BW28*_xlfn.XLOOKUP(DF$7,'Product Tgt'!$B:$B,'Product Tgt'!$D:$D),0)</f>
        <v>0</v>
      </c>
      <c r="DG28">
        <f>IFERROR(BX28*_xlfn.XLOOKUP(DG$7,'Product Tgt'!$B:$B,'Product Tgt'!$D:$D),0)</f>
        <v>0</v>
      </c>
      <c r="DH28">
        <f>IFERROR(BY28*_xlfn.XLOOKUP(DH$7,'Product Tgt'!$B:$B,'Product Tgt'!$D:$D),0)</f>
        <v>0</v>
      </c>
      <c r="DI28">
        <f>IFERROR(BZ28*_xlfn.XLOOKUP(DI$7,'Product Tgt'!$B:$B,'Product Tgt'!$D:$D),0)</f>
        <v>0</v>
      </c>
      <c r="DJ28">
        <f>IFERROR(CA28*_xlfn.XLOOKUP(DJ$7,'Product Tgt'!$B:$B,'Product Tgt'!$D:$D),0)</f>
        <v>0</v>
      </c>
      <c r="DK28">
        <f>IFERROR(CB28*_xlfn.XLOOKUP(DK$7,'Product Tgt'!$B:$B,'Product Tgt'!$D:$D),0)</f>
        <v>0</v>
      </c>
      <c r="DL28">
        <f>IFERROR(CC28*_xlfn.XLOOKUP(DL$7,'Product Tgt'!$B:$B,'Product Tgt'!$D:$D),0)</f>
        <v>0</v>
      </c>
      <c r="DM28">
        <f>IFERROR(CD28*_xlfn.XLOOKUP(DM$7,'Product Tgt'!$B:$B,'Product Tgt'!$D:$D),0)</f>
        <v>0</v>
      </c>
      <c r="DN28">
        <f>IFERROR(CE28*_xlfn.XLOOKUP(DN$7,'Product Tgt'!$B:$B,'Product Tgt'!$D:$D),0)</f>
        <v>0</v>
      </c>
      <c r="DO28">
        <f>IFERROR(CF28*_xlfn.XLOOKUP(DO$7,'Product Tgt'!$B:$B,'Product Tgt'!$D:$D),0)</f>
        <v>0</v>
      </c>
      <c r="DP28">
        <f>IFERROR(CG28*_xlfn.XLOOKUP(DP$7,'Product Tgt'!$B:$B,'Product Tgt'!$D:$D),0)</f>
        <v>0</v>
      </c>
      <c r="DQ28">
        <f>IFERROR(CH28*_xlfn.XLOOKUP(DQ$7,'Product Tgt'!$B:$B,'Product Tgt'!$D:$D),0)</f>
        <v>0</v>
      </c>
      <c r="DR28">
        <f>IFERROR(CI28*_xlfn.XLOOKUP(DR$7,'Product Tgt'!$B:$B,'Product Tgt'!$D:$D),0)</f>
        <v>0</v>
      </c>
      <c r="DS28">
        <f>IFERROR(CJ28*_xlfn.XLOOKUP(DS$7,'Product Tgt'!$B:$B,'Product Tgt'!$D:$D),0)</f>
        <v>0</v>
      </c>
      <c r="DT28">
        <f>IFERROR(CK28*_xlfn.XLOOKUP(DT$7,'Product Tgt'!$B:$B,'Product Tgt'!$D:$D),0)</f>
        <v>0</v>
      </c>
      <c r="DU28">
        <f>IFERROR(CL28*_xlfn.XLOOKUP(DU$7,'Product Tgt'!$B:$B,'Product Tgt'!$D:$D),0)</f>
        <v>0</v>
      </c>
      <c r="DV28">
        <f>IFERROR(CM28*_xlfn.XLOOKUP(DV$7,'Product Tgt'!$B:$B,'Product Tgt'!$D:$D),0)</f>
        <v>0</v>
      </c>
      <c r="DW28">
        <f>IFERROR(CN28*_xlfn.XLOOKUP(DW$7,'Product Tgt'!$B:$B,'Product Tgt'!$D:$D),0)</f>
        <v>0</v>
      </c>
      <c r="DX28">
        <f>IFERROR(CO28*_xlfn.XLOOKUP(DX$7,'Product Tgt'!$B:$B,'Product Tgt'!$D:$D),0)</f>
        <v>0</v>
      </c>
      <c r="DY28">
        <f>IFERROR(CP28*_xlfn.XLOOKUP(DY$7,'Product Tgt'!$B:$B,'Product Tgt'!$D:$D),0)</f>
        <v>0</v>
      </c>
      <c r="DZ28">
        <f>IFERROR(CQ28*_xlfn.XLOOKUP(DZ$7,'Product Tgt'!$B:$B,'Product Tgt'!$D:$D),0)</f>
        <v>0</v>
      </c>
      <c r="EA28">
        <f>IFERROR(CR28*_xlfn.XLOOKUP(EA$7,'Product Tgt'!$B:$B,'Product Tgt'!$D:$D),0)</f>
        <v>0</v>
      </c>
      <c r="EB28">
        <f>IFERROR(CS28*_xlfn.XLOOKUP(EB$7,'Product Tgt'!$B:$B,'Product Tgt'!$D:$D),0)</f>
        <v>0</v>
      </c>
      <c r="EC28">
        <f>IFERROR(CT28*_xlfn.XLOOKUP(EC$7,'Product Tgt'!$B:$B,'Product Tgt'!$D:$D),0)</f>
        <v>0</v>
      </c>
      <c r="ED28">
        <f>IFERROR(CU28*_xlfn.XLOOKUP(ED$7,'Product Tgt'!$B:$B,'Product Tgt'!$D:$D),0)</f>
        <v>0</v>
      </c>
      <c r="EE28">
        <f>IFERROR(CV28*_xlfn.XLOOKUP(EE$7,'Product Tgt'!$B:$B,'Product Tgt'!$D:$D),0)</f>
        <v>0</v>
      </c>
      <c r="EF28">
        <f>IFERROR(CW28*_xlfn.XLOOKUP(EF$7,'Product Tgt'!$B:$B,'Product Tgt'!$D:$D),0)</f>
        <v>0</v>
      </c>
      <c r="EG28">
        <f>IFERROR(CX28*_xlfn.XLOOKUP(EG$7,'Product Tgt'!$B:$B,'Product Tgt'!$D:$D),0)</f>
        <v>0</v>
      </c>
      <c r="EH28">
        <f>IFERROR(CY28*_xlfn.XLOOKUP(EH$7,'Product Tgt'!$B:$B,'Product Tgt'!$D:$D),0)</f>
        <v>0</v>
      </c>
      <c r="EI28">
        <f>IFERROR(CZ28*_xlfn.XLOOKUP(EI$7,'Product Tgt'!$B:$B,'Product Tgt'!$D:$D),0)</f>
        <v>0</v>
      </c>
    </row>
    <row r="29" spans="2:139" x14ac:dyDescent="0.35">
      <c r="B29" s="7" t="s">
        <v>92</v>
      </c>
      <c r="C29" s="3">
        <f>_xlfn.XLOOKUP($B29,'Terr Target'!$A:$A,'Terr Target'!$E:$E)</f>
        <v>554481.25794330472</v>
      </c>
      <c r="D29" s="3">
        <f t="shared" si="3"/>
        <v>554471</v>
      </c>
      <c r="E29" s="4">
        <f t="shared" si="4"/>
        <v>-10.257943304721266</v>
      </c>
      <c r="F29" s="9">
        <f t="shared" si="5"/>
        <v>1.8500414457602409E-5</v>
      </c>
      <c r="G29" s="5">
        <f t="shared" si="6"/>
        <v>1.0000185004144575</v>
      </c>
      <c r="H29" s="38">
        <v>52857.039533101852</v>
      </c>
      <c r="I29" s="11">
        <v>99088.613522550193</v>
      </c>
      <c r="J29" s="11">
        <v>44411.672716834029</v>
      </c>
      <c r="K29" s="11">
        <v>45717.001818927914</v>
      </c>
      <c r="L29" s="11">
        <v>45313.227583642569</v>
      </c>
      <c r="M29" s="11">
        <v>30854.373304509671</v>
      </c>
      <c r="N29" s="11">
        <v>765.11541803496993</v>
      </c>
      <c r="O29" s="11">
        <v>5056.1824389730873</v>
      </c>
      <c r="P29" s="11">
        <v>2414.3386102115005</v>
      </c>
      <c r="Q29" s="11">
        <v>1844.9715179548994</v>
      </c>
      <c r="R29" s="11">
        <v>16008.414583407151</v>
      </c>
      <c r="S29" s="11">
        <v>32477.21514400619</v>
      </c>
      <c r="T29" s="11">
        <v>0</v>
      </c>
      <c r="U29" s="11">
        <v>3715.0975667221942</v>
      </c>
      <c r="V29" s="11">
        <v>28199.128085728527</v>
      </c>
      <c r="W29" s="11">
        <v>27725.209607783141</v>
      </c>
      <c r="X29" s="11">
        <v>4325.7364450138775</v>
      </c>
      <c r="Y29" s="11">
        <v>4390.3084814812901</v>
      </c>
      <c r="Z29" s="11">
        <v>418.65530358799134</v>
      </c>
      <c r="AA29" s="11">
        <v>8343.3533002069671</v>
      </c>
      <c r="AB29" s="11">
        <v>2784.2862761393017</v>
      </c>
      <c r="AC29" s="11">
        <v>10068.527067546764</v>
      </c>
      <c r="AD29" s="11">
        <v>16485.264322761424</v>
      </c>
      <c r="AE29" s="11">
        <v>40629.315343598581</v>
      </c>
      <c r="AF29" s="11">
        <v>5866.1002678072018</v>
      </c>
      <c r="AG29" s="11">
        <v>22285.088114559938</v>
      </c>
      <c r="AH29" s="11">
        <v>1432.8436559068334</v>
      </c>
      <c r="AI29" s="11">
        <v>11262.486966207654</v>
      </c>
      <c r="AJ29" s="11">
        <v>15098.35624899711</v>
      </c>
      <c r="AK29" s="11">
        <v>571.32438821333653</v>
      </c>
      <c r="AL29" s="49">
        <v>1523.5254585339478</v>
      </c>
      <c r="AM29" s="41">
        <f>IFERROR(ROUND(_xlfn.XLOOKUP(AM$7,'Product Tgt'!$B:$B,'Product Tgt'!$G:$G)*H29/H$121,0),0)</f>
        <v>51386</v>
      </c>
      <c r="AN29" s="41">
        <f>IFERROR(ROUND(_xlfn.XLOOKUP(AN$7,'Product Tgt'!$B:$B,'Product Tgt'!$G:$G)*I29/I$121,0),0)</f>
        <v>97543</v>
      </c>
      <c r="AO29" s="41">
        <f>IFERROR(ROUND(_xlfn.XLOOKUP(AO$7,'Product Tgt'!$B:$B,'Product Tgt'!$G:$G)*J29/J$121,0),0)</f>
        <v>43030</v>
      </c>
      <c r="AP29" s="41">
        <f>IFERROR(ROUND(_xlfn.XLOOKUP(AP$7,'Product Tgt'!$B:$B,'Product Tgt'!$G:$G)*K29/K$121,0),0)</f>
        <v>44598</v>
      </c>
      <c r="AQ29" s="41">
        <f>IFERROR(ROUND(_xlfn.XLOOKUP(AQ$7,'Product Tgt'!$B:$B,'Product Tgt'!$G:$G)*L29/L$121,0),0)</f>
        <v>43815</v>
      </c>
      <c r="AR29" s="41">
        <f>IFERROR(ROUND(_xlfn.XLOOKUP(AR$7,'Product Tgt'!$B:$B,'Product Tgt'!$G:$G)*M29/M$121,0),0)</f>
        <v>29892</v>
      </c>
      <c r="AS29" s="41">
        <f>IFERROR(ROUND(_xlfn.XLOOKUP(AS$7,'Product Tgt'!$B:$B,'Product Tgt'!$G:$G)*N29/N$121,0),0)</f>
        <v>707</v>
      </c>
      <c r="AT29" s="41">
        <f>IFERROR(ROUND(_xlfn.XLOOKUP(AT$7,'Product Tgt'!$B:$B,'Product Tgt'!$G:$G)*O29/O$121,0),0)</f>
        <v>4551</v>
      </c>
      <c r="AU29" s="41">
        <f>IFERROR(ROUND(_xlfn.XLOOKUP(AU$7,'Product Tgt'!$B:$B,'Product Tgt'!$G:$G)*P29/P$121,0),0)</f>
        <v>1029</v>
      </c>
      <c r="AV29" s="41">
        <f>IFERROR(ROUND(_xlfn.XLOOKUP(AV$7,'Product Tgt'!$B:$B,'Product Tgt'!$G:$G)*Q29/Q$121,0),0)</f>
        <v>1384</v>
      </c>
      <c r="AW29" s="41">
        <f>IFERROR(ROUND(_xlfn.XLOOKUP(AW$7,'Product Tgt'!$B:$B,'Product Tgt'!$G:$G)*R29/R$121,0),0)</f>
        <v>15417</v>
      </c>
      <c r="AX29" s="41">
        <f>IFERROR(ROUND(_xlfn.XLOOKUP(AX$7,'Product Tgt'!$B:$B,'Product Tgt'!$G:$G)*S29/S$121,0),0)</f>
        <v>31280</v>
      </c>
      <c r="AY29" s="41">
        <f>IFERROR(ROUND(_xlfn.XLOOKUP(AY$7,'Product Tgt'!$B:$B,'Product Tgt'!$G:$G)*T29/T$121,0),0)</f>
        <v>0</v>
      </c>
      <c r="AZ29" s="41">
        <f>IFERROR(ROUND(_xlfn.XLOOKUP(AZ$7,'Product Tgt'!$B:$B,'Product Tgt'!$G:$G)*U29/U$121,0),0)</f>
        <v>3555</v>
      </c>
      <c r="BA29" s="41">
        <f>IFERROR(ROUND(_xlfn.XLOOKUP(BA$7,'Product Tgt'!$B:$B,'Product Tgt'!$G:$G)*V29/V$121,0),0)</f>
        <v>27150</v>
      </c>
      <c r="BB29" s="41">
        <f>IFERROR(ROUND(_xlfn.XLOOKUP(BB$7,'Product Tgt'!$B:$B,'Product Tgt'!$G:$G)*W29/W$121,0),0)</f>
        <v>26540</v>
      </c>
      <c r="BC29" s="41">
        <f>IFERROR(ROUND(_xlfn.XLOOKUP(BC$7,'Product Tgt'!$B:$B,'Product Tgt'!$G:$G)*X29/X$121,0),0)</f>
        <v>4186</v>
      </c>
      <c r="BD29" s="41">
        <f>IFERROR(ROUND(_xlfn.XLOOKUP(BD$7,'Product Tgt'!$B:$B,'Product Tgt'!$G:$G)*Y29/Y$121,0),0)</f>
        <v>4245</v>
      </c>
      <c r="BE29" s="41">
        <f>IFERROR(ROUND(_xlfn.XLOOKUP(BE$7,'Product Tgt'!$B:$B,'Product Tgt'!$G:$G)*Z29/Z$121,0),0)</f>
        <v>398</v>
      </c>
      <c r="BF29" s="41">
        <f>IFERROR(ROUND(_xlfn.XLOOKUP(BF$7,'Product Tgt'!$B:$B,'Product Tgt'!$G:$G)*AA29/AA$121,0),0)</f>
        <v>6761</v>
      </c>
      <c r="BG29" s="41">
        <f>IFERROR(ROUND(_xlfn.XLOOKUP(BG$7,'Product Tgt'!$B:$B,'Product Tgt'!$G:$G)*AB29/AB$121,0),0)</f>
        <v>2231</v>
      </c>
      <c r="BH29" s="41">
        <f>IFERROR(ROUND(_xlfn.XLOOKUP(BH$7,'Product Tgt'!$B:$B,'Product Tgt'!$G:$G)*AC29/AC$121,0),0)</f>
        <v>8617</v>
      </c>
      <c r="BI29" s="41">
        <f>IFERROR(ROUND(_xlfn.XLOOKUP(BI$7,'Product Tgt'!$B:$B,'Product Tgt'!$G:$G)*AD29/AD$121,0),0)</f>
        <v>14351</v>
      </c>
      <c r="BJ29" s="41">
        <f>IFERROR(ROUND(_xlfn.XLOOKUP(BJ$7,'Product Tgt'!$B:$B,'Product Tgt'!$G:$G)*AE29/AE$121,0),0)</f>
        <v>37815</v>
      </c>
      <c r="BK29" s="41">
        <f>IFERROR(ROUND(_xlfn.XLOOKUP(BK$7,'Product Tgt'!$B:$B,'Product Tgt'!$G:$G)*AF29/AF$121,0),0)</f>
        <v>6553</v>
      </c>
      <c r="BL29" s="41">
        <f>IFERROR(ROUND(_xlfn.XLOOKUP(BL$7,'Product Tgt'!$B:$B,'Product Tgt'!$G:$G)*AG29/AG$121,0),0)</f>
        <v>21286</v>
      </c>
      <c r="BM29" s="41">
        <f>IFERROR(ROUND(_xlfn.XLOOKUP(BM$7,'Product Tgt'!$B:$B,'Product Tgt'!$G:$G)*AH29/AH$121,0),0)</f>
        <v>1123</v>
      </c>
      <c r="BN29" s="41">
        <f>IFERROR(ROUND(_xlfn.XLOOKUP(BN$7,'Product Tgt'!$B:$B,'Product Tgt'!$G:$G)*AI29/AI$121,0),0)</f>
        <v>10343</v>
      </c>
      <c r="BO29" s="41">
        <f>IFERROR(ROUND(_xlfn.XLOOKUP(BO$7,'Product Tgt'!$B:$B,'Product Tgt'!$G:$G)*AJ29/AJ$121,0),0)</f>
        <v>13059</v>
      </c>
      <c r="BP29" s="41">
        <f>IFERROR(ROUND(_xlfn.XLOOKUP(BP$7,'Product Tgt'!$B:$B,'Product Tgt'!$G:$G)*AK29/AK$121,0),0)</f>
        <v>435</v>
      </c>
      <c r="BQ29" s="41">
        <f>IFERROR(ROUND(_xlfn.XLOOKUP(BQ$7,'Product Tgt'!$B:$B,'Product Tgt'!$G:$G)*AL29/AL$121,0),0)</f>
        <v>1191</v>
      </c>
      <c r="BR29" s="25">
        <f>ROUND(IFERROR(AM29/_xlfn.XLOOKUP(BR$7,'Product Tgt'!$B:$B,'Product Tgt'!$D:$D),0),0)</f>
        <v>0</v>
      </c>
      <c r="BS29" s="11">
        <f>ROUND(IFERROR(AN29/_xlfn.XLOOKUP(BS$7,'Product Tgt'!$B:$B,'Product Tgt'!$D:$D),0),0)</f>
        <v>0</v>
      </c>
      <c r="BT29" s="11">
        <f>ROUND(IFERROR(AO29/_xlfn.XLOOKUP(BT$7,'Product Tgt'!$B:$B,'Product Tgt'!$D:$D),0),0)</f>
        <v>0</v>
      </c>
      <c r="BU29" s="11">
        <f>ROUND(IFERROR(AP29/_xlfn.XLOOKUP(BU$7,'Product Tgt'!$B:$B,'Product Tgt'!$D:$D),0),0)</f>
        <v>0</v>
      </c>
      <c r="BV29" s="11">
        <f>ROUND(IFERROR(AQ29/_xlfn.XLOOKUP(BV$7,'Product Tgt'!$B:$B,'Product Tgt'!$D:$D),0),0)</f>
        <v>0</v>
      </c>
      <c r="BW29" s="11">
        <f>ROUND(IFERROR(AU29/_xlfn.XLOOKUP(BW$7,'Product Tgt'!$B:$B,'Product Tgt'!$D:$D),0),0)</f>
        <v>0</v>
      </c>
      <c r="BX29" s="11">
        <f>ROUND(IFERROR(#REF!/_xlfn.XLOOKUP(BX$7,'Product Tgt'!$B:$B,'Product Tgt'!$D:$D),0),0)</f>
        <v>0</v>
      </c>
      <c r="BY29" s="11">
        <f>ROUND(IFERROR(#REF!/_xlfn.XLOOKUP(BY$7,'Product Tgt'!$B:$B,'Product Tgt'!$D:$D),0),0)</f>
        <v>0</v>
      </c>
      <c r="BZ29" s="11">
        <f>ROUND(IFERROR(#REF!/_xlfn.XLOOKUP(BZ$7,'Product Tgt'!$B:$B,'Product Tgt'!$D:$D),0),0)</f>
        <v>0</v>
      </c>
      <c r="CA29" s="11">
        <f>ROUND(IFERROR(#REF!/_xlfn.XLOOKUP(CA$7,'Product Tgt'!$B:$B,'Product Tgt'!$D:$D),0),0)</f>
        <v>0</v>
      </c>
      <c r="CB29" s="11">
        <f>ROUND(IFERROR(AV29/_xlfn.XLOOKUP(CB$7,'Product Tgt'!$B:$B,'Product Tgt'!$D:$D),0),0)</f>
        <v>0</v>
      </c>
      <c r="CC29" s="11">
        <f>ROUND(IFERROR(AW29/_xlfn.XLOOKUP(CC$7,'Product Tgt'!$B:$B,'Product Tgt'!$D:$D),0),0)</f>
        <v>0</v>
      </c>
      <c r="CD29" s="11">
        <f>ROUND(IFERROR(AX29/_xlfn.XLOOKUP(CD$7,'Product Tgt'!$B:$B,'Product Tgt'!$D:$D),0),0)</f>
        <v>0</v>
      </c>
      <c r="CE29" s="11">
        <f>ROUND(IFERROR(AY29/_xlfn.XLOOKUP(CE$7,'Product Tgt'!$B:$B,'Product Tgt'!$D:$D),0),0)</f>
        <v>0</v>
      </c>
      <c r="CF29" s="11">
        <f>ROUND(IFERROR(AZ29/_xlfn.XLOOKUP(CF$7,'Product Tgt'!$B:$B,'Product Tgt'!$D:$D),0),0)</f>
        <v>0</v>
      </c>
      <c r="CG29" s="11">
        <f>ROUND(IFERROR(BA29/_xlfn.XLOOKUP(CG$7,'Product Tgt'!$B:$B,'Product Tgt'!$D:$D),0),0)</f>
        <v>0</v>
      </c>
      <c r="CH29" s="11">
        <f>ROUND(IFERROR(BB29/_xlfn.XLOOKUP(CH$7,'Product Tgt'!$B:$B,'Product Tgt'!$D:$D),0),0)</f>
        <v>0</v>
      </c>
      <c r="CI29" s="11">
        <f>ROUND(IFERROR(BC29/_xlfn.XLOOKUP(CI$7,'Product Tgt'!$B:$B,'Product Tgt'!$D:$D),0),0)</f>
        <v>0</v>
      </c>
      <c r="CJ29" s="11">
        <f>ROUND(IFERROR(BD29/_xlfn.XLOOKUP(CJ$7,'Product Tgt'!$B:$B,'Product Tgt'!$D:$D),0),0)</f>
        <v>0</v>
      </c>
      <c r="CK29" s="11">
        <f>ROUND(IFERROR(BE29/_xlfn.XLOOKUP(CK$7,'Product Tgt'!$B:$B,'Product Tgt'!$D:$D),0),0)</f>
        <v>0</v>
      </c>
      <c r="CL29" s="11">
        <f>ROUND(IFERROR(BF29/_xlfn.XLOOKUP(CL$7,'Product Tgt'!$B:$B,'Product Tgt'!$D:$D),0),0)</f>
        <v>0</v>
      </c>
      <c r="CM29" s="11">
        <f>ROUND(IFERROR(BG29/_xlfn.XLOOKUP(CM$7,'Product Tgt'!$B:$B,'Product Tgt'!$D:$D),0),0)</f>
        <v>0</v>
      </c>
      <c r="CN29" s="11">
        <f>ROUND(IFERROR(BH29/_xlfn.XLOOKUP(CN$7,'Product Tgt'!$B:$B,'Product Tgt'!$D:$D),0),0)</f>
        <v>0</v>
      </c>
      <c r="CO29" s="11">
        <f>ROUND(IFERROR(BI29/_xlfn.XLOOKUP(CO$7,'Product Tgt'!$B:$B,'Product Tgt'!$D:$D),0),0)</f>
        <v>0</v>
      </c>
      <c r="CP29" s="11">
        <f>ROUND(IFERROR(BJ29/_xlfn.XLOOKUP(CP$7,'Product Tgt'!$B:$B,'Product Tgt'!$D:$D),0),0)</f>
        <v>0</v>
      </c>
      <c r="CQ29" s="11">
        <f>ROUND(IFERROR(BK29/_xlfn.XLOOKUP(CQ$7,'Product Tgt'!$B:$B,'Product Tgt'!$D:$D),0),0)</f>
        <v>0</v>
      </c>
      <c r="CR29" s="11">
        <f>ROUND(IFERROR(BL29/_xlfn.XLOOKUP(CR$7,'Product Tgt'!$B:$B,'Product Tgt'!$D:$D),0),0)</f>
        <v>0</v>
      </c>
      <c r="CS29" s="11">
        <f>ROUND(IFERROR(BM29/_xlfn.XLOOKUP(CS$7,'Product Tgt'!$B:$B,'Product Tgt'!$D:$D),0),0)</f>
        <v>0</v>
      </c>
      <c r="CT29" s="11">
        <f>ROUND(IFERROR(BN29/_xlfn.XLOOKUP(CT$7,'Product Tgt'!$B:$B,'Product Tgt'!$D:$D),0),0)</f>
        <v>0</v>
      </c>
      <c r="CU29" s="11">
        <f>ROUND(IFERROR(BO29/_xlfn.XLOOKUP(CU$7,'Product Tgt'!$B:$B,'Product Tgt'!$D:$D),0),0)</f>
        <v>0</v>
      </c>
      <c r="CV29" s="11">
        <f>ROUND(IFERROR(BP29/_xlfn.XLOOKUP(CV$7,'Product Tgt'!$B:$B,'Product Tgt'!$D:$D),0),0)</f>
        <v>0</v>
      </c>
      <c r="CW29" s="11">
        <f>ROUND(IFERROR(BQ29/_xlfn.XLOOKUP(CW$7,'Product Tgt'!$B:$B,'Product Tgt'!$D:$D),0),0)</f>
        <v>0</v>
      </c>
      <c r="CX29" s="11">
        <f>ROUND(IFERROR(#REF!/_xlfn.XLOOKUP(CX$7,'Product Tgt'!$B:$B,'Product Tgt'!$D:$D),0),0)</f>
        <v>0</v>
      </c>
      <c r="CY29" s="11">
        <f>ROUND(IFERROR(#REF!/_xlfn.XLOOKUP(CY$7,'Product Tgt'!$B:$B,'Product Tgt'!$D:$D),0),0)</f>
        <v>0</v>
      </c>
      <c r="CZ29" s="11">
        <f>ROUND(IFERROR(#REF!/_xlfn.XLOOKUP(CZ$7,'Product Tgt'!$B:$B,'Product Tgt'!$D:$D),0),0)</f>
        <v>0</v>
      </c>
      <c r="DA29" s="10">
        <f>IFERROR(BR29*_xlfn.XLOOKUP(DA$7,'Product Tgt'!$B:$B,'Product Tgt'!$D:$D),0)</f>
        <v>0</v>
      </c>
      <c r="DB29">
        <f>IFERROR(BS29*_xlfn.XLOOKUP(DB$7,'Product Tgt'!$B:$B,'Product Tgt'!$D:$D),0)</f>
        <v>0</v>
      </c>
      <c r="DC29">
        <f>IFERROR(BT29*_xlfn.XLOOKUP(DC$7,'Product Tgt'!$B:$B,'Product Tgt'!$D:$D),0)</f>
        <v>0</v>
      </c>
      <c r="DD29">
        <f>IFERROR(BU29*_xlfn.XLOOKUP(DD$7,'Product Tgt'!$B:$B,'Product Tgt'!$D:$D),0)</f>
        <v>0</v>
      </c>
      <c r="DE29">
        <f>IFERROR(BV29*_xlfn.XLOOKUP(DE$7,'Product Tgt'!$B:$B,'Product Tgt'!$D:$D),0)</f>
        <v>0</v>
      </c>
      <c r="DF29">
        <f>IFERROR(BW29*_xlfn.XLOOKUP(DF$7,'Product Tgt'!$B:$B,'Product Tgt'!$D:$D),0)</f>
        <v>0</v>
      </c>
      <c r="DG29">
        <f>IFERROR(BX29*_xlfn.XLOOKUP(DG$7,'Product Tgt'!$B:$B,'Product Tgt'!$D:$D),0)</f>
        <v>0</v>
      </c>
      <c r="DH29">
        <f>IFERROR(BY29*_xlfn.XLOOKUP(DH$7,'Product Tgt'!$B:$B,'Product Tgt'!$D:$D),0)</f>
        <v>0</v>
      </c>
      <c r="DI29">
        <f>IFERROR(BZ29*_xlfn.XLOOKUP(DI$7,'Product Tgt'!$B:$B,'Product Tgt'!$D:$D),0)</f>
        <v>0</v>
      </c>
      <c r="DJ29">
        <f>IFERROR(CA29*_xlfn.XLOOKUP(DJ$7,'Product Tgt'!$B:$B,'Product Tgt'!$D:$D),0)</f>
        <v>0</v>
      </c>
      <c r="DK29">
        <f>IFERROR(CB29*_xlfn.XLOOKUP(DK$7,'Product Tgt'!$B:$B,'Product Tgt'!$D:$D),0)</f>
        <v>0</v>
      </c>
      <c r="DL29">
        <f>IFERROR(CC29*_xlfn.XLOOKUP(DL$7,'Product Tgt'!$B:$B,'Product Tgt'!$D:$D),0)</f>
        <v>0</v>
      </c>
      <c r="DM29">
        <f>IFERROR(CD29*_xlfn.XLOOKUP(DM$7,'Product Tgt'!$B:$B,'Product Tgt'!$D:$D),0)</f>
        <v>0</v>
      </c>
      <c r="DN29">
        <f>IFERROR(CE29*_xlfn.XLOOKUP(DN$7,'Product Tgt'!$B:$B,'Product Tgt'!$D:$D),0)</f>
        <v>0</v>
      </c>
      <c r="DO29">
        <f>IFERROR(CF29*_xlfn.XLOOKUP(DO$7,'Product Tgt'!$B:$B,'Product Tgt'!$D:$D),0)</f>
        <v>0</v>
      </c>
      <c r="DP29">
        <f>IFERROR(CG29*_xlfn.XLOOKUP(DP$7,'Product Tgt'!$B:$B,'Product Tgt'!$D:$D),0)</f>
        <v>0</v>
      </c>
      <c r="DQ29">
        <f>IFERROR(CH29*_xlfn.XLOOKUP(DQ$7,'Product Tgt'!$B:$B,'Product Tgt'!$D:$D),0)</f>
        <v>0</v>
      </c>
      <c r="DR29">
        <f>IFERROR(CI29*_xlfn.XLOOKUP(DR$7,'Product Tgt'!$B:$B,'Product Tgt'!$D:$D),0)</f>
        <v>0</v>
      </c>
      <c r="DS29">
        <f>IFERROR(CJ29*_xlfn.XLOOKUP(DS$7,'Product Tgt'!$B:$B,'Product Tgt'!$D:$D),0)</f>
        <v>0</v>
      </c>
      <c r="DT29">
        <f>IFERROR(CK29*_xlfn.XLOOKUP(DT$7,'Product Tgt'!$B:$B,'Product Tgt'!$D:$D),0)</f>
        <v>0</v>
      </c>
      <c r="DU29">
        <f>IFERROR(CL29*_xlfn.XLOOKUP(DU$7,'Product Tgt'!$B:$B,'Product Tgt'!$D:$D),0)</f>
        <v>0</v>
      </c>
      <c r="DV29">
        <f>IFERROR(CM29*_xlfn.XLOOKUP(DV$7,'Product Tgt'!$B:$B,'Product Tgt'!$D:$D),0)</f>
        <v>0</v>
      </c>
      <c r="DW29">
        <f>IFERROR(CN29*_xlfn.XLOOKUP(DW$7,'Product Tgt'!$B:$B,'Product Tgt'!$D:$D),0)</f>
        <v>0</v>
      </c>
      <c r="DX29">
        <f>IFERROR(CO29*_xlfn.XLOOKUP(DX$7,'Product Tgt'!$B:$B,'Product Tgt'!$D:$D),0)</f>
        <v>0</v>
      </c>
      <c r="DY29">
        <f>IFERROR(CP29*_xlfn.XLOOKUP(DY$7,'Product Tgt'!$B:$B,'Product Tgt'!$D:$D),0)</f>
        <v>0</v>
      </c>
      <c r="DZ29">
        <f>IFERROR(CQ29*_xlfn.XLOOKUP(DZ$7,'Product Tgt'!$B:$B,'Product Tgt'!$D:$D),0)</f>
        <v>0</v>
      </c>
      <c r="EA29">
        <f>IFERROR(CR29*_xlfn.XLOOKUP(EA$7,'Product Tgt'!$B:$B,'Product Tgt'!$D:$D),0)</f>
        <v>0</v>
      </c>
      <c r="EB29">
        <f>IFERROR(CS29*_xlfn.XLOOKUP(EB$7,'Product Tgt'!$B:$B,'Product Tgt'!$D:$D),0)</f>
        <v>0</v>
      </c>
      <c r="EC29">
        <f>IFERROR(CT29*_xlfn.XLOOKUP(EC$7,'Product Tgt'!$B:$B,'Product Tgt'!$D:$D),0)</f>
        <v>0</v>
      </c>
      <c r="ED29">
        <f>IFERROR(CU29*_xlfn.XLOOKUP(ED$7,'Product Tgt'!$B:$B,'Product Tgt'!$D:$D),0)</f>
        <v>0</v>
      </c>
      <c r="EE29">
        <f>IFERROR(CV29*_xlfn.XLOOKUP(EE$7,'Product Tgt'!$B:$B,'Product Tgt'!$D:$D),0)</f>
        <v>0</v>
      </c>
      <c r="EF29">
        <f>IFERROR(CW29*_xlfn.XLOOKUP(EF$7,'Product Tgt'!$B:$B,'Product Tgt'!$D:$D),0)</f>
        <v>0</v>
      </c>
      <c r="EG29">
        <f>IFERROR(CX29*_xlfn.XLOOKUP(EG$7,'Product Tgt'!$B:$B,'Product Tgt'!$D:$D),0)</f>
        <v>0</v>
      </c>
      <c r="EH29">
        <f>IFERROR(CY29*_xlfn.XLOOKUP(EH$7,'Product Tgt'!$B:$B,'Product Tgt'!$D:$D),0)</f>
        <v>0</v>
      </c>
      <c r="EI29">
        <f>IFERROR(CZ29*_xlfn.XLOOKUP(EI$7,'Product Tgt'!$B:$B,'Product Tgt'!$D:$D),0)</f>
        <v>0</v>
      </c>
    </row>
    <row r="30" spans="2:139" x14ac:dyDescent="0.35">
      <c r="B30" s="7" t="s">
        <v>93</v>
      </c>
      <c r="C30" s="3">
        <f>_xlfn.XLOOKUP($B30,'Terr Target'!$A:$A,'Terr Target'!$E:$E)</f>
        <v>565945</v>
      </c>
      <c r="D30" s="3">
        <f t="shared" si="3"/>
        <v>565947</v>
      </c>
      <c r="E30" s="4">
        <f t="shared" si="4"/>
        <v>2</v>
      </c>
      <c r="F30" s="9">
        <f t="shared" si="5"/>
        <v>3.5338998174740744E-6</v>
      </c>
      <c r="G30" s="5">
        <f t="shared" si="6"/>
        <v>0.99999646610018256</v>
      </c>
      <c r="H30" s="38">
        <v>59045.476270597283</v>
      </c>
      <c r="I30" s="11">
        <v>123616.42144384142</v>
      </c>
      <c r="J30" s="11">
        <v>51403.89401701271</v>
      </c>
      <c r="K30" s="11">
        <v>55800.221522856416</v>
      </c>
      <c r="L30" s="11">
        <v>46472.028565041444</v>
      </c>
      <c r="M30" s="11">
        <v>32254.00189243237</v>
      </c>
      <c r="N30" s="11">
        <v>1067.2217185212055</v>
      </c>
      <c r="O30" s="11">
        <v>7636.504050922008</v>
      </c>
      <c r="P30" s="11">
        <v>2215.4013173381982</v>
      </c>
      <c r="Q30" s="11">
        <v>1867.443275537101</v>
      </c>
      <c r="R30" s="11">
        <v>13297.334367568366</v>
      </c>
      <c r="S30" s="11">
        <v>30462.407946703821</v>
      </c>
      <c r="T30" s="11">
        <v>0</v>
      </c>
      <c r="U30" s="11">
        <v>4710.9838680329367</v>
      </c>
      <c r="V30" s="11">
        <v>27180.543606461335</v>
      </c>
      <c r="W30" s="11">
        <v>35869.065115741534</v>
      </c>
      <c r="X30" s="11">
        <v>5156.0954125656017</v>
      </c>
      <c r="Y30" s="11">
        <v>4758.5186774181548</v>
      </c>
      <c r="Z30" s="11">
        <v>429.96798001900794</v>
      </c>
      <c r="AA30" s="11">
        <v>7333.0763838631401</v>
      </c>
      <c r="AB30" s="11">
        <v>2756.6648863881001</v>
      </c>
      <c r="AC30" s="11">
        <v>1141.1085556673288</v>
      </c>
      <c r="AD30" s="11">
        <v>4251.7201212593873</v>
      </c>
      <c r="AE30" s="11">
        <v>7704.3213231327991</v>
      </c>
      <c r="AF30" s="11">
        <v>908.40143604665195</v>
      </c>
      <c r="AG30" s="11">
        <v>30721.133268013957</v>
      </c>
      <c r="AH30" s="11">
        <v>1986.7810381073116</v>
      </c>
      <c r="AI30" s="11">
        <v>16419.275787706378</v>
      </c>
      <c r="AJ30" s="11">
        <v>12019.741528388509</v>
      </c>
      <c r="AK30" s="11">
        <v>881.18955325324123</v>
      </c>
      <c r="AL30" s="49">
        <v>1288.6293314206036</v>
      </c>
      <c r="AM30" s="41">
        <f>IFERROR(ROUND(_xlfn.XLOOKUP(AM$7,'Product Tgt'!$B:$B,'Product Tgt'!$G:$G)*H30/H$121,0),0)</f>
        <v>57402</v>
      </c>
      <c r="AN30" s="41">
        <f>IFERROR(ROUND(_xlfn.XLOOKUP(AN$7,'Product Tgt'!$B:$B,'Product Tgt'!$G:$G)*I30/I$121,0),0)</f>
        <v>121688</v>
      </c>
      <c r="AO30" s="41">
        <f>IFERROR(ROUND(_xlfn.XLOOKUP(AO$7,'Product Tgt'!$B:$B,'Product Tgt'!$G:$G)*J30/J$121,0),0)</f>
        <v>49805</v>
      </c>
      <c r="AP30" s="41">
        <f>IFERROR(ROUND(_xlfn.XLOOKUP(AP$7,'Product Tgt'!$B:$B,'Product Tgt'!$G:$G)*K30/K$121,0),0)</f>
        <v>54434</v>
      </c>
      <c r="AQ30" s="41">
        <f>IFERROR(ROUND(_xlfn.XLOOKUP(AQ$7,'Product Tgt'!$B:$B,'Product Tgt'!$G:$G)*L30/L$121,0),0)</f>
        <v>44936</v>
      </c>
      <c r="AR30" s="41">
        <f>IFERROR(ROUND(_xlfn.XLOOKUP(AR$7,'Product Tgt'!$B:$B,'Product Tgt'!$G:$G)*M30/M$121,0),0)</f>
        <v>31248</v>
      </c>
      <c r="AS30" s="41">
        <f>IFERROR(ROUND(_xlfn.XLOOKUP(AS$7,'Product Tgt'!$B:$B,'Product Tgt'!$G:$G)*N30/N$121,0),0)</f>
        <v>986</v>
      </c>
      <c r="AT30" s="41">
        <f>IFERROR(ROUND(_xlfn.XLOOKUP(AT$7,'Product Tgt'!$B:$B,'Product Tgt'!$G:$G)*O30/O$121,0),0)</f>
        <v>6873</v>
      </c>
      <c r="AU30" s="41">
        <f>IFERROR(ROUND(_xlfn.XLOOKUP(AU$7,'Product Tgt'!$B:$B,'Product Tgt'!$G:$G)*P30/P$121,0),0)</f>
        <v>945</v>
      </c>
      <c r="AV30" s="41">
        <f>IFERROR(ROUND(_xlfn.XLOOKUP(AV$7,'Product Tgt'!$B:$B,'Product Tgt'!$G:$G)*Q30/Q$121,0),0)</f>
        <v>1401</v>
      </c>
      <c r="AW30" s="41">
        <f>IFERROR(ROUND(_xlfn.XLOOKUP(AW$7,'Product Tgt'!$B:$B,'Product Tgt'!$G:$G)*R30/R$121,0),0)</f>
        <v>12806</v>
      </c>
      <c r="AX30" s="41">
        <f>IFERROR(ROUND(_xlfn.XLOOKUP(AX$7,'Product Tgt'!$B:$B,'Product Tgt'!$G:$G)*S30/S$121,0),0)</f>
        <v>29339</v>
      </c>
      <c r="AY30" s="41">
        <f>IFERROR(ROUND(_xlfn.XLOOKUP(AY$7,'Product Tgt'!$B:$B,'Product Tgt'!$G:$G)*T30/T$121,0),0)</f>
        <v>0</v>
      </c>
      <c r="AZ30" s="41">
        <f>IFERROR(ROUND(_xlfn.XLOOKUP(AZ$7,'Product Tgt'!$B:$B,'Product Tgt'!$G:$G)*U30/U$121,0),0)</f>
        <v>4509</v>
      </c>
      <c r="BA30" s="41">
        <f>IFERROR(ROUND(_xlfn.XLOOKUP(BA$7,'Product Tgt'!$B:$B,'Product Tgt'!$G:$G)*V30/V$121,0),0)</f>
        <v>26170</v>
      </c>
      <c r="BB30" s="41">
        <f>IFERROR(ROUND(_xlfn.XLOOKUP(BB$7,'Product Tgt'!$B:$B,'Product Tgt'!$G:$G)*W30/W$121,0),0)</f>
        <v>34335</v>
      </c>
      <c r="BC30" s="41">
        <f>IFERROR(ROUND(_xlfn.XLOOKUP(BC$7,'Product Tgt'!$B:$B,'Product Tgt'!$G:$G)*X30/X$121,0),0)</f>
        <v>4989</v>
      </c>
      <c r="BD30" s="41">
        <f>IFERROR(ROUND(_xlfn.XLOOKUP(BD$7,'Product Tgt'!$B:$B,'Product Tgt'!$G:$G)*Y30/Y$121,0),0)</f>
        <v>4601</v>
      </c>
      <c r="BE30" s="41">
        <f>IFERROR(ROUND(_xlfn.XLOOKUP(BE$7,'Product Tgt'!$B:$B,'Product Tgt'!$G:$G)*Z30/Z$121,0),0)</f>
        <v>409</v>
      </c>
      <c r="BF30" s="41">
        <f>IFERROR(ROUND(_xlfn.XLOOKUP(BF$7,'Product Tgt'!$B:$B,'Product Tgt'!$G:$G)*AA30/AA$121,0),0)</f>
        <v>5943</v>
      </c>
      <c r="BG30" s="41">
        <f>IFERROR(ROUND(_xlfn.XLOOKUP(BG$7,'Product Tgt'!$B:$B,'Product Tgt'!$G:$G)*AB30/AB$121,0),0)</f>
        <v>2209</v>
      </c>
      <c r="BH30" s="41">
        <f>IFERROR(ROUND(_xlfn.XLOOKUP(BH$7,'Product Tgt'!$B:$B,'Product Tgt'!$G:$G)*AC30/AC$121,0),0)</f>
        <v>977</v>
      </c>
      <c r="BI30" s="41">
        <f>IFERROR(ROUND(_xlfn.XLOOKUP(BI$7,'Product Tgt'!$B:$B,'Product Tgt'!$G:$G)*AD30/AD$121,0),0)</f>
        <v>3701</v>
      </c>
      <c r="BJ30" s="41">
        <f>IFERROR(ROUND(_xlfn.XLOOKUP(BJ$7,'Product Tgt'!$B:$B,'Product Tgt'!$G:$G)*AE30/AE$121,0),0)</f>
        <v>7171</v>
      </c>
      <c r="BK30" s="41">
        <f>IFERROR(ROUND(_xlfn.XLOOKUP(BK$7,'Product Tgt'!$B:$B,'Product Tgt'!$G:$G)*AF30/AF$121,0),0)</f>
        <v>1015</v>
      </c>
      <c r="BL30" s="41">
        <f>IFERROR(ROUND(_xlfn.XLOOKUP(BL$7,'Product Tgt'!$B:$B,'Product Tgt'!$G:$G)*AG30/AG$121,0),0)</f>
        <v>29344</v>
      </c>
      <c r="BM30" s="41">
        <f>IFERROR(ROUND(_xlfn.XLOOKUP(BM$7,'Product Tgt'!$B:$B,'Product Tgt'!$G:$G)*AH30/AH$121,0),0)</f>
        <v>1558</v>
      </c>
      <c r="BN30" s="41">
        <f>IFERROR(ROUND(_xlfn.XLOOKUP(BN$7,'Product Tgt'!$B:$B,'Product Tgt'!$G:$G)*AI30/AI$121,0),0)</f>
        <v>15079</v>
      </c>
      <c r="BO30" s="41">
        <f>IFERROR(ROUND(_xlfn.XLOOKUP(BO$7,'Product Tgt'!$B:$B,'Product Tgt'!$G:$G)*AJ30/AJ$121,0),0)</f>
        <v>10396</v>
      </c>
      <c r="BP30" s="41">
        <f>IFERROR(ROUND(_xlfn.XLOOKUP(BP$7,'Product Tgt'!$B:$B,'Product Tgt'!$G:$G)*AK30/AK$121,0),0)</f>
        <v>671</v>
      </c>
      <c r="BQ30" s="41">
        <f>IFERROR(ROUND(_xlfn.XLOOKUP(BQ$7,'Product Tgt'!$B:$B,'Product Tgt'!$G:$G)*AL30/AL$121,0),0)</f>
        <v>1007</v>
      </c>
      <c r="BR30" s="25">
        <f>ROUND(IFERROR(AM30/_xlfn.XLOOKUP(BR$7,'Product Tgt'!$B:$B,'Product Tgt'!$D:$D),0),0)</f>
        <v>0</v>
      </c>
      <c r="BS30" s="11">
        <f>ROUND(IFERROR(AN30/_xlfn.XLOOKUP(BS$7,'Product Tgt'!$B:$B,'Product Tgt'!$D:$D),0),0)</f>
        <v>0</v>
      </c>
      <c r="BT30" s="11">
        <f>ROUND(IFERROR(AO30/_xlfn.XLOOKUP(BT$7,'Product Tgt'!$B:$B,'Product Tgt'!$D:$D),0),0)</f>
        <v>0</v>
      </c>
      <c r="BU30" s="11">
        <f>ROUND(IFERROR(AP30/_xlfn.XLOOKUP(BU$7,'Product Tgt'!$B:$B,'Product Tgt'!$D:$D),0),0)</f>
        <v>0</v>
      </c>
      <c r="BV30" s="11">
        <f>ROUND(IFERROR(AQ30/_xlfn.XLOOKUP(BV$7,'Product Tgt'!$B:$B,'Product Tgt'!$D:$D),0),0)</f>
        <v>0</v>
      </c>
      <c r="BW30" s="11">
        <f>ROUND(IFERROR(AU30/_xlfn.XLOOKUP(BW$7,'Product Tgt'!$B:$B,'Product Tgt'!$D:$D),0),0)</f>
        <v>0</v>
      </c>
      <c r="BX30" s="11">
        <f>ROUND(IFERROR(#REF!/_xlfn.XLOOKUP(BX$7,'Product Tgt'!$B:$B,'Product Tgt'!$D:$D),0),0)</f>
        <v>0</v>
      </c>
      <c r="BY30" s="11">
        <f>ROUND(IFERROR(#REF!/_xlfn.XLOOKUP(BY$7,'Product Tgt'!$B:$B,'Product Tgt'!$D:$D),0),0)</f>
        <v>0</v>
      </c>
      <c r="BZ30" s="11">
        <f>ROUND(IFERROR(#REF!/_xlfn.XLOOKUP(BZ$7,'Product Tgt'!$B:$B,'Product Tgt'!$D:$D),0),0)</f>
        <v>0</v>
      </c>
      <c r="CA30" s="11">
        <f>ROUND(IFERROR(#REF!/_xlfn.XLOOKUP(CA$7,'Product Tgt'!$B:$B,'Product Tgt'!$D:$D),0),0)</f>
        <v>0</v>
      </c>
      <c r="CB30" s="11">
        <f>ROUND(IFERROR(AV30/_xlfn.XLOOKUP(CB$7,'Product Tgt'!$B:$B,'Product Tgt'!$D:$D),0),0)</f>
        <v>0</v>
      </c>
      <c r="CC30" s="11">
        <f>ROUND(IFERROR(AW30/_xlfn.XLOOKUP(CC$7,'Product Tgt'!$B:$B,'Product Tgt'!$D:$D),0),0)</f>
        <v>0</v>
      </c>
      <c r="CD30" s="11">
        <f>ROUND(IFERROR(AX30/_xlfn.XLOOKUP(CD$7,'Product Tgt'!$B:$B,'Product Tgt'!$D:$D),0),0)</f>
        <v>0</v>
      </c>
      <c r="CE30" s="11">
        <f>ROUND(IFERROR(AY30/_xlfn.XLOOKUP(CE$7,'Product Tgt'!$B:$B,'Product Tgt'!$D:$D),0),0)</f>
        <v>0</v>
      </c>
      <c r="CF30" s="11">
        <f>ROUND(IFERROR(AZ30/_xlfn.XLOOKUP(CF$7,'Product Tgt'!$B:$B,'Product Tgt'!$D:$D),0),0)</f>
        <v>0</v>
      </c>
      <c r="CG30" s="11">
        <f>ROUND(IFERROR(BA30/_xlfn.XLOOKUP(CG$7,'Product Tgt'!$B:$B,'Product Tgt'!$D:$D),0),0)</f>
        <v>0</v>
      </c>
      <c r="CH30" s="11">
        <f>ROUND(IFERROR(BB30/_xlfn.XLOOKUP(CH$7,'Product Tgt'!$B:$B,'Product Tgt'!$D:$D),0),0)</f>
        <v>0</v>
      </c>
      <c r="CI30" s="11">
        <f>ROUND(IFERROR(BC30/_xlfn.XLOOKUP(CI$7,'Product Tgt'!$B:$B,'Product Tgt'!$D:$D),0),0)</f>
        <v>0</v>
      </c>
      <c r="CJ30" s="11">
        <f>ROUND(IFERROR(BD30/_xlfn.XLOOKUP(CJ$7,'Product Tgt'!$B:$B,'Product Tgt'!$D:$D),0),0)</f>
        <v>0</v>
      </c>
      <c r="CK30" s="11">
        <f>ROUND(IFERROR(BE30/_xlfn.XLOOKUP(CK$7,'Product Tgt'!$B:$B,'Product Tgt'!$D:$D),0),0)</f>
        <v>0</v>
      </c>
      <c r="CL30" s="11">
        <f>ROUND(IFERROR(BF30/_xlfn.XLOOKUP(CL$7,'Product Tgt'!$B:$B,'Product Tgt'!$D:$D),0),0)</f>
        <v>0</v>
      </c>
      <c r="CM30" s="11">
        <f>ROUND(IFERROR(BG30/_xlfn.XLOOKUP(CM$7,'Product Tgt'!$B:$B,'Product Tgt'!$D:$D),0),0)</f>
        <v>0</v>
      </c>
      <c r="CN30" s="11">
        <f>ROUND(IFERROR(BH30/_xlfn.XLOOKUP(CN$7,'Product Tgt'!$B:$B,'Product Tgt'!$D:$D),0),0)</f>
        <v>0</v>
      </c>
      <c r="CO30" s="11">
        <f>ROUND(IFERROR(BI30/_xlfn.XLOOKUP(CO$7,'Product Tgt'!$B:$B,'Product Tgt'!$D:$D),0),0)</f>
        <v>0</v>
      </c>
      <c r="CP30" s="11">
        <f>ROUND(IFERROR(BJ30/_xlfn.XLOOKUP(CP$7,'Product Tgt'!$B:$B,'Product Tgt'!$D:$D),0),0)</f>
        <v>0</v>
      </c>
      <c r="CQ30" s="11">
        <f>ROUND(IFERROR(BK30/_xlfn.XLOOKUP(CQ$7,'Product Tgt'!$B:$B,'Product Tgt'!$D:$D),0),0)</f>
        <v>0</v>
      </c>
      <c r="CR30" s="11">
        <f>ROUND(IFERROR(BL30/_xlfn.XLOOKUP(CR$7,'Product Tgt'!$B:$B,'Product Tgt'!$D:$D),0),0)</f>
        <v>0</v>
      </c>
      <c r="CS30" s="11">
        <f>ROUND(IFERROR(BM30/_xlfn.XLOOKUP(CS$7,'Product Tgt'!$B:$B,'Product Tgt'!$D:$D),0),0)</f>
        <v>0</v>
      </c>
      <c r="CT30" s="11">
        <f>ROUND(IFERROR(BN30/_xlfn.XLOOKUP(CT$7,'Product Tgt'!$B:$B,'Product Tgt'!$D:$D),0),0)</f>
        <v>0</v>
      </c>
      <c r="CU30" s="11">
        <f>ROUND(IFERROR(BO30/_xlfn.XLOOKUP(CU$7,'Product Tgt'!$B:$B,'Product Tgt'!$D:$D),0),0)</f>
        <v>0</v>
      </c>
      <c r="CV30" s="11">
        <f>ROUND(IFERROR(BP30/_xlfn.XLOOKUP(CV$7,'Product Tgt'!$B:$B,'Product Tgt'!$D:$D),0),0)</f>
        <v>0</v>
      </c>
      <c r="CW30" s="11">
        <f>ROUND(IFERROR(BQ30/_xlfn.XLOOKUP(CW$7,'Product Tgt'!$B:$B,'Product Tgt'!$D:$D),0),0)</f>
        <v>0</v>
      </c>
      <c r="CX30" s="11">
        <f>ROUND(IFERROR(#REF!/_xlfn.XLOOKUP(CX$7,'Product Tgt'!$B:$B,'Product Tgt'!$D:$D),0),0)</f>
        <v>0</v>
      </c>
      <c r="CY30" s="11">
        <f>ROUND(IFERROR(#REF!/_xlfn.XLOOKUP(CY$7,'Product Tgt'!$B:$B,'Product Tgt'!$D:$D),0),0)</f>
        <v>0</v>
      </c>
      <c r="CZ30" s="11">
        <f>ROUND(IFERROR(#REF!/_xlfn.XLOOKUP(CZ$7,'Product Tgt'!$B:$B,'Product Tgt'!$D:$D),0),0)</f>
        <v>0</v>
      </c>
      <c r="DA30" s="10">
        <f>IFERROR(BR30*_xlfn.XLOOKUP(DA$7,'Product Tgt'!$B:$B,'Product Tgt'!$D:$D),0)</f>
        <v>0</v>
      </c>
      <c r="DB30">
        <f>IFERROR(BS30*_xlfn.XLOOKUP(DB$7,'Product Tgt'!$B:$B,'Product Tgt'!$D:$D),0)</f>
        <v>0</v>
      </c>
      <c r="DC30">
        <f>IFERROR(BT30*_xlfn.XLOOKUP(DC$7,'Product Tgt'!$B:$B,'Product Tgt'!$D:$D),0)</f>
        <v>0</v>
      </c>
      <c r="DD30">
        <f>IFERROR(BU30*_xlfn.XLOOKUP(DD$7,'Product Tgt'!$B:$B,'Product Tgt'!$D:$D),0)</f>
        <v>0</v>
      </c>
      <c r="DE30">
        <f>IFERROR(BV30*_xlfn.XLOOKUP(DE$7,'Product Tgt'!$B:$B,'Product Tgt'!$D:$D),0)</f>
        <v>0</v>
      </c>
      <c r="DF30">
        <f>IFERROR(BW30*_xlfn.XLOOKUP(DF$7,'Product Tgt'!$B:$B,'Product Tgt'!$D:$D),0)</f>
        <v>0</v>
      </c>
      <c r="DG30">
        <f>IFERROR(BX30*_xlfn.XLOOKUP(DG$7,'Product Tgt'!$B:$B,'Product Tgt'!$D:$D),0)</f>
        <v>0</v>
      </c>
      <c r="DH30">
        <f>IFERROR(BY30*_xlfn.XLOOKUP(DH$7,'Product Tgt'!$B:$B,'Product Tgt'!$D:$D),0)</f>
        <v>0</v>
      </c>
      <c r="DI30">
        <f>IFERROR(BZ30*_xlfn.XLOOKUP(DI$7,'Product Tgt'!$B:$B,'Product Tgt'!$D:$D),0)</f>
        <v>0</v>
      </c>
      <c r="DJ30">
        <f>IFERROR(CA30*_xlfn.XLOOKUP(DJ$7,'Product Tgt'!$B:$B,'Product Tgt'!$D:$D),0)</f>
        <v>0</v>
      </c>
      <c r="DK30">
        <f>IFERROR(CB30*_xlfn.XLOOKUP(DK$7,'Product Tgt'!$B:$B,'Product Tgt'!$D:$D),0)</f>
        <v>0</v>
      </c>
      <c r="DL30">
        <f>IFERROR(CC30*_xlfn.XLOOKUP(DL$7,'Product Tgt'!$B:$B,'Product Tgt'!$D:$D),0)</f>
        <v>0</v>
      </c>
      <c r="DM30">
        <f>IFERROR(CD30*_xlfn.XLOOKUP(DM$7,'Product Tgt'!$B:$B,'Product Tgt'!$D:$D),0)</f>
        <v>0</v>
      </c>
      <c r="DN30">
        <f>IFERROR(CE30*_xlfn.XLOOKUP(DN$7,'Product Tgt'!$B:$B,'Product Tgt'!$D:$D),0)</f>
        <v>0</v>
      </c>
      <c r="DO30">
        <f>IFERROR(CF30*_xlfn.XLOOKUP(DO$7,'Product Tgt'!$B:$B,'Product Tgt'!$D:$D),0)</f>
        <v>0</v>
      </c>
      <c r="DP30">
        <f>IFERROR(CG30*_xlfn.XLOOKUP(DP$7,'Product Tgt'!$B:$B,'Product Tgt'!$D:$D),0)</f>
        <v>0</v>
      </c>
      <c r="DQ30">
        <f>IFERROR(CH30*_xlfn.XLOOKUP(DQ$7,'Product Tgt'!$B:$B,'Product Tgt'!$D:$D),0)</f>
        <v>0</v>
      </c>
      <c r="DR30">
        <f>IFERROR(CI30*_xlfn.XLOOKUP(DR$7,'Product Tgt'!$B:$B,'Product Tgt'!$D:$D),0)</f>
        <v>0</v>
      </c>
      <c r="DS30">
        <f>IFERROR(CJ30*_xlfn.XLOOKUP(DS$7,'Product Tgt'!$B:$B,'Product Tgt'!$D:$D),0)</f>
        <v>0</v>
      </c>
      <c r="DT30">
        <f>IFERROR(CK30*_xlfn.XLOOKUP(DT$7,'Product Tgt'!$B:$B,'Product Tgt'!$D:$D),0)</f>
        <v>0</v>
      </c>
      <c r="DU30">
        <f>IFERROR(CL30*_xlfn.XLOOKUP(DU$7,'Product Tgt'!$B:$B,'Product Tgt'!$D:$D),0)</f>
        <v>0</v>
      </c>
      <c r="DV30">
        <f>IFERROR(CM30*_xlfn.XLOOKUP(DV$7,'Product Tgt'!$B:$B,'Product Tgt'!$D:$D),0)</f>
        <v>0</v>
      </c>
      <c r="DW30">
        <f>IFERROR(CN30*_xlfn.XLOOKUP(DW$7,'Product Tgt'!$B:$B,'Product Tgt'!$D:$D),0)</f>
        <v>0</v>
      </c>
      <c r="DX30">
        <f>IFERROR(CO30*_xlfn.XLOOKUP(DX$7,'Product Tgt'!$B:$B,'Product Tgt'!$D:$D),0)</f>
        <v>0</v>
      </c>
      <c r="DY30">
        <f>IFERROR(CP30*_xlfn.XLOOKUP(DY$7,'Product Tgt'!$B:$B,'Product Tgt'!$D:$D),0)</f>
        <v>0</v>
      </c>
      <c r="DZ30">
        <f>IFERROR(CQ30*_xlfn.XLOOKUP(DZ$7,'Product Tgt'!$B:$B,'Product Tgt'!$D:$D),0)</f>
        <v>0</v>
      </c>
      <c r="EA30">
        <f>IFERROR(CR30*_xlfn.XLOOKUP(EA$7,'Product Tgt'!$B:$B,'Product Tgt'!$D:$D),0)</f>
        <v>0</v>
      </c>
      <c r="EB30">
        <f>IFERROR(CS30*_xlfn.XLOOKUP(EB$7,'Product Tgt'!$B:$B,'Product Tgt'!$D:$D),0)</f>
        <v>0</v>
      </c>
      <c r="EC30">
        <f>IFERROR(CT30*_xlfn.XLOOKUP(EC$7,'Product Tgt'!$B:$B,'Product Tgt'!$D:$D),0)</f>
        <v>0</v>
      </c>
      <c r="ED30">
        <f>IFERROR(CU30*_xlfn.XLOOKUP(ED$7,'Product Tgt'!$B:$B,'Product Tgt'!$D:$D),0)</f>
        <v>0</v>
      </c>
      <c r="EE30">
        <f>IFERROR(CV30*_xlfn.XLOOKUP(EE$7,'Product Tgt'!$B:$B,'Product Tgt'!$D:$D),0)</f>
        <v>0</v>
      </c>
      <c r="EF30">
        <f>IFERROR(CW30*_xlfn.XLOOKUP(EF$7,'Product Tgt'!$B:$B,'Product Tgt'!$D:$D),0)</f>
        <v>0</v>
      </c>
      <c r="EG30">
        <f>IFERROR(CX30*_xlfn.XLOOKUP(EG$7,'Product Tgt'!$B:$B,'Product Tgt'!$D:$D),0)</f>
        <v>0</v>
      </c>
      <c r="EH30">
        <f>IFERROR(CY30*_xlfn.XLOOKUP(EH$7,'Product Tgt'!$B:$B,'Product Tgt'!$D:$D),0)</f>
        <v>0</v>
      </c>
      <c r="EI30">
        <f>IFERROR(CZ30*_xlfn.XLOOKUP(EI$7,'Product Tgt'!$B:$B,'Product Tgt'!$D:$D),0)</f>
        <v>0</v>
      </c>
    </row>
    <row r="31" spans="2:139" x14ac:dyDescent="0.35">
      <c r="B31" s="7" t="s">
        <v>94</v>
      </c>
      <c r="C31" s="3">
        <f>_xlfn.XLOOKUP($B31,'Terr Target'!$A:$A,'Terr Target'!$E:$E)</f>
        <v>817036.18477112753</v>
      </c>
      <c r="D31" s="3">
        <f t="shared" si="3"/>
        <v>817043</v>
      </c>
      <c r="E31" s="4">
        <f t="shared" si="4"/>
        <v>6.8152288724668324</v>
      </c>
      <c r="F31" s="9">
        <f t="shared" si="5"/>
        <v>8.3413343881127823E-6</v>
      </c>
      <c r="G31" s="5">
        <f t="shared" si="6"/>
        <v>0.9999916586656119</v>
      </c>
      <c r="H31" s="38">
        <v>73784.1585163993</v>
      </c>
      <c r="I31" s="11">
        <v>154940.09102917896</v>
      </c>
      <c r="J31" s="11">
        <v>74553.886668327774</v>
      </c>
      <c r="K31" s="11">
        <v>71945.903152017097</v>
      </c>
      <c r="L31" s="11">
        <v>130572.65666488861</v>
      </c>
      <c r="M31" s="11">
        <v>75013.532452455911</v>
      </c>
      <c r="N31" s="11">
        <v>1216.7100128385302</v>
      </c>
      <c r="O31" s="11">
        <v>8965.0445245475985</v>
      </c>
      <c r="P31" s="11">
        <v>2615.254098111182</v>
      </c>
      <c r="Q31" s="11">
        <v>723.07525204192848</v>
      </c>
      <c r="R31" s="11">
        <v>16781.69469421274</v>
      </c>
      <c r="S31" s="11">
        <v>37840.895149409465</v>
      </c>
      <c r="T31" s="11">
        <v>1011.0975622208025</v>
      </c>
      <c r="U31" s="11">
        <v>10579.064021814887</v>
      </c>
      <c r="V31" s="11">
        <v>25895.001479055532</v>
      </c>
      <c r="W31" s="11">
        <v>48391.035763843123</v>
      </c>
      <c r="X31" s="11">
        <v>7258.6727464318665</v>
      </c>
      <c r="Y31" s="11">
        <v>5689.3097188026277</v>
      </c>
      <c r="Z31" s="11">
        <v>452.95128667794972</v>
      </c>
      <c r="AA31" s="11">
        <v>10437.098959417943</v>
      </c>
      <c r="AB31" s="11">
        <v>3171.5132007823195</v>
      </c>
      <c r="AC31" s="11">
        <v>2415.6210057501503</v>
      </c>
      <c r="AD31" s="11">
        <v>7583.4551976539851</v>
      </c>
      <c r="AE31" s="11">
        <v>10742.989816945315</v>
      </c>
      <c r="AF31" s="11">
        <v>1302.079754061629</v>
      </c>
      <c r="AG31" s="11">
        <v>35308.031045881835</v>
      </c>
      <c r="AH31" s="11">
        <v>3197.2582117480288</v>
      </c>
      <c r="AI31" s="11">
        <v>15510.653967646424</v>
      </c>
      <c r="AJ31" s="11">
        <v>11723.296663890769</v>
      </c>
      <c r="AK31" s="11">
        <v>434.09942293839873</v>
      </c>
      <c r="AL31" s="49">
        <v>719.03272910093938</v>
      </c>
      <c r="AM31" s="41">
        <f>IFERROR(ROUND(_xlfn.XLOOKUP(AM$7,'Product Tgt'!$B:$B,'Product Tgt'!$G:$G)*H31/H$121,0),0)</f>
        <v>71730</v>
      </c>
      <c r="AN31" s="41">
        <f>IFERROR(ROUND(_xlfn.XLOOKUP(AN$7,'Product Tgt'!$B:$B,'Product Tgt'!$G:$G)*I31/I$121,0),0)</f>
        <v>152523</v>
      </c>
      <c r="AO31" s="41">
        <f>IFERROR(ROUND(_xlfn.XLOOKUP(AO$7,'Product Tgt'!$B:$B,'Product Tgt'!$G:$G)*J31/J$121,0),0)</f>
        <v>72235</v>
      </c>
      <c r="AP31" s="41">
        <f>IFERROR(ROUND(_xlfn.XLOOKUP(AP$7,'Product Tgt'!$B:$B,'Product Tgt'!$G:$G)*K31/K$121,0),0)</f>
        <v>70185</v>
      </c>
      <c r="AQ31" s="41">
        <f>IFERROR(ROUND(_xlfn.XLOOKUP(AQ$7,'Product Tgt'!$B:$B,'Product Tgt'!$G:$G)*L31/L$121,0),0)</f>
        <v>126256</v>
      </c>
      <c r="AR31" s="41">
        <f>IFERROR(ROUND(_xlfn.XLOOKUP(AR$7,'Product Tgt'!$B:$B,'Product Tgt'!$G:$G)*M31/M$121,0),0)</f>
        <v>72673</v>
      </c>
      <c r="AS31" s="41">
        <f>IFERROR(ROUND(_xlfn.XLOOKUP(AS$7,'Product Tgt'!$B:$B,'Product Tgt'!$G:$G)*N31/N$121,0),0)</f>
        <v>1124</v>
      </c>
      <c r="AT31" s="41">
        <f>IFERROR(ROUND(_xlfn.XLOOKUP(AT$7,'Product Tgt'!$B:$B,'Product Tgt'!$G:$G)*O31/O$121,0),0)</f>
        <v>8069</v>
      </c>
      <c r="AU31" s="41">
        <f>IFERROR(ROUND(_xlfn.XLOOKUP(AU$7,'Product Tgt'!$B:$B,'Product Tgt'!$G:$G)*P31/P$121,0),0)</f>
        <v>1115</v>
      </c>
      <c r="AV31" s="41">
        <f>IFERROR(ROUND(_xlfn.XLOOKUP(AV$7,'Product Tgt'!$B:$B,'Product Tgt'!$G:$G)*Q31/Q$121,0),0)</f>
        <v>543</v>
      </c>
      <c r="AW31" s="41">
        <f>IFERROR(ROUND(_xlfn.XLOOKUP(AW$7,'Product Tgt'!$B:$B,'Product Tgt'!$G:$G)*R31/R$121,0),0)</f>
        <v>16162</v>
      </c>
      <c r="AX31" s="41">
        <f>IFERROR(ROUND(_xlfn.XLOOKUP(AX$7,'Product Tgt'!$B:$B,'Product Tgt'!$G:$G)*S31/S$121,0),0)</f>
        <v>36446</v>
      </c>
      <c r="AY31" s="41">
        <f>IFERROR(ROUND(_xlfn.XLOOKUP(AY$7,'Product Tgt'!$B:$B,'Product Tgt'!$G:$G)*T31/T$121,0),0)</f>
        <v>1015</v>
      </c>
      <c r="AZ31" s="41">
        <f>IFERROR(ROUND(_xlfn.XLOOKUP(AZ$7,'Product Tgt'!$B:$B,'Product Tgt'!$G:$G)*U31/U$121,0),0)</f>
        <v>10125</v>
      </c>
      <c r="BA31" s="41">
        <f>IFERROR(ROUND(_xlfn.XLOOKUP(BA$7,'Product Tgt'!$B:$B,'Product Tgt'!$G:$G)*V31/V$121,0),0)</f>
        <v>24932</v>
      </c>
      <c r="BB31" s="41">
        <f>IFERROR(ROUND(_xlfn.XLOOKUP(BB$7,'Product Tgt'!$B:$B,'Product Tgt'!$G:$G)*W31/W$121,0),0)</f>
        <v>46322</v>
      </c>
      <c r="BC31" s="41">
        <f>IFERROR(ROUND(_xlfn.XLOOKUP(BC$7,'Product Tgt'!$B:$B,'Product Tgt'!$G:$G)*X31/X$121,0),0)</f>
        <v>7024</v>
      </c>
      <c r="BD31" s="41">
        <f>IFERROR(ROUND(_xlfn.XLOOKUP(BD$7,'Product Tgt'!$B:$B,'Product Tgt'!$G:$G)*Y31/Y$121,0),0)</f>
        <v>5501</v>
      </c>
      <c r="BE31" s="41">
        <f>IFERROR(ROUND(_xlfn.XLOOKUP(BE$7,'Product Tgt'!$B:$B,'Product Tgt'!$G:$G)*Z31/Z$121,0),0)</f>
        <v>430</v>
      </c>
      <c r="BF31" s="41">
        <f>IFERROR(ROUND(_xlfn.XLOOKUP(BF$7,'Product Tgt'!$B:$B,'Product Tgt'!$G:$G)*AA31/AA$121,0),0)</f>
        <v>8458</v>
      </c>
      <c r="BG31" s="41">
        <f>IFERROR(ROUND(_xlfn.XLOOKUP(BG$7,'Product Tgt'!$B:$B,'Product Tgt'!$G:$G)*AB31/AB$121,0),0)</f>
        <v>2542</v>
      </c>
      <c r="BH31" s="41">
        <f>IFERROR(ROUND(_xlfn.XLOOKUP(BH$7,'Product Tgt'!$B:$B,'Product Tgt'!$G:$G)*AC31/AC$121,0),0)</f>
        <v>2067</v>
      </c>
      <c r="BI31" s="41">
        <f>IFERROR(ROUND(_xlfn.XLOOKUP(BI$7,'Product Tgt'!$B:$B,'Product Tgt'!$G:$G)*AD31/AD$121,0),0)</f>
        <v>6602</v>
      </c>
      <c r="BJ31" s="41">
        <f>IFERROR(ROUND(_xlfn.XLOOKUP(BJ$7,'Product Tgt'!$B:$B,'Product Tgt'!$G:$G)*AE31/AE$121,0),0)</f>
        <v>9999</v>
      </c>
      <c r="BK31" s="41">
        <f>IFERROR(ROUND(_xlfn.XLOOKUP(BK$7,'Product Tgt'!$B:$B,'Product Tgt'!$G:$G)*AF31/AF$121,0),0)</f>
        <v>1455</v>
      </c>
      <c r="BL31" s="41">
        <f>IFERROR(ROUND(_xlfn.XLOOKUP(BL$7,'Product Tgt'!$B:$B,'Product Tgt'!$G:$G)*AG31/AG$121,0),0)</f>
        <v>33726</v>
      </c>
      <c r="BM31" s="41">
        <f>IFERROR(ROUND(_xlfn.XLOOKUP(BM$7,'Product Tgt'!$B:$B,'Product Tgt'!$G:$G)*AH31/AH$121,0),0)</f>
        <v>2507</v>
      </c>
      <c r="BN31" s="41">
        <f>IFERROR(ROUND(_xlfn.XLOOKUP(BN$7,'Product Tgt'!$B:$B,'Product Tgt'!$G:$G)*AI31/AI$121,0),0)</f>
        <v>14244</v>
      </c>
      <c r="BO31" s="41">
        <f>IFERROR(ROUND(_xlfn.XLOOKUP(BO$7,'Product Tgt'!$B:$B,'Product Tgt'!$G:$G)*AJ31/AJ$121,0),0)</f>
        <v>10140</v>
      </c>
      <c r="BP31" s="41">
        <f>IFERROR(ROUND(_xlfn.XLOOKUP(BP$7,'Product Tgt'!$B:$B,'Product Tgt'!$G:$G)*AK31/AK$121,0),0)</f>
        <v>331</v>
      </c>
      <c r="BQ31" s="41">
        <f>IFERROR(ROUND(_xlfn.XLOOKUP(BQ$7,'Product Tgt'!$B:$B,'Product Tgt'!$G:$G)*AL31/AL$121,0),0)</f>
        <v>562</v>
      </c>
      <c r="BR31" s="25">
        <f>ROUND(IFERROR(AM31/_xlfn.XLOOKUP(BR$7,'Product Tgt'!$B:$B,'Product Tgt'!$D:$D),0),0)</f>
        <v>0</v>
      </c>
      <c r="BS31" s="11">
        <f>ROUND(IFERROR(AN31/_xlfn.XLOOKUP(BS$7,'Product Tgt'!$B:$B,'Product Tgt'!$D:$D),0),0)</f>
        <v>0</v>
      </c>
      <c r="BT31" s="11">
        <f>ROUND(IFERROR(AO31/_xlfn.XLOOKUP(BT$7,'Product Tgt'!$B:$B,'Product Tgt'!$D:$D),0),0)</f>
        <v>0</v>
      </c>
      <c r="BU31" s="11">
        <f>ROUND(IFERROR(AP31/_xlfn.XLOOKUP(BU$7,'Product Tgt'!$B:$B,'Product Tgt'!$D:$D),0),0)</f>
        <v>0</v>
      </c>
      <c r="BV31" s="11">
        <f>ROUND(IFERROR(AQ31/_xlfn.XLOOKUP(BV$7,'Product Tgt'!$B:$B,'Product Tgt'!$D:$D),0),0)</f>
        <v>0</v>
      </c>
      <c r="BW31" s="11">
        <f>ROUND(IFERROR(AU31/_xlfn.XLOOKUP(BW$7,'Product Tgt'!$B:$B,'Product Tgt'!$D:$D),0),0)</f>
        <v>0</v>
      </c>
      <c r="BX31" s="11">
        <f>ROUND(IFERROR(#REF!/_xlfn.XLOOKUP(BX$7,'Product Tgt'!$B:$B,'Product Tgt'!$D:$D),0),0)</f>
        <v>0</v>
      </c>
      <c r="BY31" s="11">
        <f>ROUND(IFERROR(#REF!/_xlfn.XLOOKUP(BY$7,'Product Tgt'!$B:$B,'Product Tgt'!$D:$D),0),0)</f>
        <v>0</v>
      </c>
      <c r="BZ31" s="11">
        <f>ROUND(IFERROR(#REF!/_xlfn.XLOOKUP(BZ$7,'Product Tgt'!$B:$B,'Product Tgt'!$D:$D),0),0)</f>
        <v>0</v>
      </c>
      <c r="CA31" s="11">
        <f>ROUND(IFERROR(#REF!/_xlfn.XLOOKUP(CA$7,'Product Tgt'!$B:$B,'Product Tgt'!$D:$D),0),0)</f>
        <v>0</v>
      </c>
      <c r="CB31" s="11">
        <f>ROUND(IFERROR(AV31/_xlfn.XLOOKUP(CB$7,'Product Tgt'!$B:$B,'Product Tgt'!$D:$D),0),0)</f>
        <v>0</v>
      </c>
      <c r="CC31" s="11">
        <f>ROUND(IFERROR(AW31/_xlfn.XLOOKUP(CC$7,'Product Tgt'!$B:$B,'Product Tgt'!$D:$D),0),0)</f>
        <v>0</v>
      </c>
      <c r="CD31" s="11">
        <f>ROUND(IFERROR(AX31/_xlfn.XLOOKUP(CD$7,'Product Tgt'!$B:$B,'Product Tgt'!$D:$D),0),0)</f>
        <v>0</v>
      </c>
      <c r="CE31" s="11">
        <f>ROUND(IFERROR(AY31/_xlfn.XLOOKUP(CE$7,'Product Tgt'!$B:$B,'Product Tgt'!$D:$D),0),0)</f>
        <v>0</v>
      </c>
      <c r="CF31" s="11">
        <f>ROUND(IFERROR(AZ31/_xlfn.XLOOKUP(CF$7,'Product Tgt'!$B:$B,'Product Tgt'!$D:$D),0),0)</f>
        <v>0</v>
      </c>
      <c r="CG31" s="11">
        <f>ROUND(IFERROR(BA31/_xlfn.XLOOKUP(CG$7,'Product Tgt'!$B:$B,'Product Tgt'!$D:$D),0),0)</f>
        <v>0</v>
      </c>
      <c r="CH31" s="11">
        <f>ROUND(IFERROR(BB31/_xlfn.XLOOKUP(CH$7,'Product Tgt'!$B:$B,'Product Tgt'!$D:$D),0),0)</f>
        <v>0</v>
      </c>
      <c r="CI31" s="11">
        <f>ROUND(IFERROR(BC31/_xlfn.XLOOKUP(CI$7,'Product Tgt'!$B:$B,'Product Tgt'!$D:$D),0),0)</f>
        <v>0</v>
      </c>
      <c r="CJ31" s="11">
        <f>ROUND(IFERROR(BD31/_xlfn.XLOOKUP(CJ$7,'Product Tgt'!$B:$B,'Product Tgt'!$D:$D),0),0)</f>
        <v>0</v>
      </c>
      <c r="CK31" s="11">
        <f>ROUND(IFERROR(BE31/_xlfn.XLOOKUP(CK$7,'Product Tgt'!$B:$B,'Product Tgt'!$D:$D),0),0)</f>
        <v>0</v>
      </c>
      <c r="CL31" s="11">
        <f>ROUND(IFERROR(BF31/_xlfn.XLOOKUP(CL$7,'Product Tgt'!$B:$B,'Product Tgt'!$D:$D),0),0)</f>
        <v>0</v>
      </c>
      <c r="CM31" s="11">
        <f>ROUND(IFERROR(BG31/_xlfn.XLOOKUP(CM$7,'Product Tgt'!$B:$B,'Product Tgt'!$D:$D),0),0)</f>
        <v>0</v>
      </c>
      <c r="CN31" s="11">
        <f>ROUND(IFERROR(BH31/_xlfn.XLOOKUP(CN$7,'Product Tgt'!$B:$B,'Product Tgt'!$D:$D),0),0)</f>
        <v>0</v>
      </c>
      <c r="CO31" s="11">
        <f>ROUND(IFERROR(BI31/_xlfn.XLOOKUP(CO$7,'Product Tgt'!$B:$B,'Product Tgt'!$D:$D),0),0)</f>
        <v>0</v>
      </c>
      <c r="CP31" s="11">
        <f>ROUND(IFERROR(BJ31/_xlfn.XLOOKUP(CP$7,'Product Tgt'!$B:$B,'Product Tgt'!$D:$D),0),0)</f>
        <v>0</v>
      </c>
      <c r="CQ31" s="11">
        <f>ROUND(IFERROR(BK31/_xlfn.XLOOKUP(CQ$7,'Product Tgt'!$B:$B,'Product Tgt'!$D:$D),0),0)</f>
        <v>0</v>
      </c>
      <c r="CR31" s="11">
        <f>ROUND(IFERROR(BL31/_xlfn.XLOOKUP(CR$7,'Product Tgt'!$B:$B,'Product Tgt'!$D:$D),0),0)</f>
        <v>0</v>
      </c>
      <c r="CS31" s="11">
        <f>ROUND(IFERROR(BM31/_xlfn.XLOOKUP(CS$7,'Product Tgt'!$B:$B,'Product Tgt'!$D:$D),0),0)</f>
        <v>0</v>
      </c>
      <c r="CT31" s="11">
        <f>ROUND(IFERROR(BN31/_xlfn.XLOOKUP(CT$7,'Product Tgt'!$B:$B,'Product Tgt'!$D:$D),0),0)</f>
        <v>0</v>
      </c>
      <c r="CU31" s="11">
        <f>ROUND(IFERROR(BO31/_xlfn.XLOOKUP(CU$7,'Product Tgt'!$B:$B,'Product Tgt'!$D:$D),0),0)</f>
        <v>0</v>
      </c>
      <c r="CV31" s="11">
        <f>ROUND(IFERROR(BP31/_xlfn.XLOOKUP(CV$7,'Product Tgt'!$B:$B,'Product Tgt'!$D:$D),0),0)</f>
        <v>0</v>
      </c>
      <c r="CW31" s="11">
        <f>ROUND(IFERROR(BQ31/_xlfn.XLOOKUP(CW$7,'Product Tgt'!$B:$B,'Product Tgt'!$D:$D),0),0)</f>
        <v>0</v>
      </c>
      <c r="CX31" s="11">
        <f>ROUND(IFERROR(#REF!/_xlfn.XLOOKUP(CX$7,'Product Tgt'!$B:$B,'Product Tgt'!$D:$D),0),0)</f>
        <v>0</v>
      </c>
      <c r="CY31" s="11">
        <f>ROUND(IFERROR(#REF!/_xlfn.XLOOKUP(CY$7,'Product Tgt'!$B:$B,'Product Tgt'!$D:$D),0),0)</f>
        <v>0</v>
      </c>
      <c r="CZ31" s="11">
        <f>ROUND(IFERROR(#REF!/_xlfn.XLOOKUP(CZ$7,'Product Tgt'!$B:$B,'Product Tgt'!$D:$D),0),0)</f>
        <v>0</v>
      </c>
      <c r="DA31" s="10">
        <f>IFERROR(BR31*_xlfn.XLOOKUP(DA$7,'Product Tgt'!$B:$B,'Product Tgt'!$D:$D),0)</f>
        <v>0</v>
      </c>
      <c r="DB31">
        <f>IFERROR(BS31*_xlfn.XLOOKUP(DB$7,'Product Tgt'!$B:$B,'Product Tgt'!$D:$D),0)</f>
        <v>0</v>
      </c>
      <c r="DC31">
        <f>IFERROR(BT31*_xlfn.XLOOKUP(DC$7,'Product Tgt'!$B:$B,'Product Tgt'!$D:$D),0)</f>
        <v>0</v>
      </c>
      <c r="DD31">
        <f>IFERROR(BU31*_xlfn.XLOOKUP(DD$7,'Product Tgt'!$B:$B,'Product Tgt'!$D:$D),0)</f>
        <v>0</v>
      </c>
      <c r="DE31">
        <f>IFERROR(BV31*_xlfn.XLOOKUP(DE$7,'Product Tgt'!$B:$B,'Product Tgt'!$D:$D),0)</f>
        <v>0</v>
      </c>
      <c r="DF31">
        <f>IFERROR(BW31*_xlfn.XLOOKUP(DF$7,'Product Tgt'!$B:$B,'Product Tgt'!$D:$D),0)</f>
        <v>0</v>
      </c>
      <c r="DG31">
        <f>IFERROR(BX31*_xlfn.XLOOKUP(DG$7,'Product Tgt'!$B:$B,'Product Tgt'!$D:$D),0)</f>
        <v>0</v>
      </c>
      <c r="DH31">
        <f>IFERROR(BY31*_xlfn.XLOOKUP(DH$7,'Product Tgt'!$B:$B,'Product Tgt'!$D:$D),0)</f>
        <v>0</v>
      </c>
      <c r="DI31">
        <f>IFERROR(BZ31*_xlfn.XLOOKUP(DI$7,'Product Tgt'!$B:$B,'Product Tgt'!$D:$D),0)</f>
        <v>0</v>
      </c>
      <c r="DJ31">
        <f>IFERROR(CA31*_xlfn.XLOOKUP(DJ$7,'Product Tgt'!$B:$B,'Product Tgt'!$D:$D),0)</f>
        <v>0</v>
      </c>
      <c r="DK31">
        <f>IFERROR(CB31*_xlfn.XLOOKUP(DK$7,'Product Tgt'!$B:$B,'Product Tgt'!$D:$D),0)</f>
        <v>0</v>
      </c>
      <c r="DL31">
        <f>IFERROR(CC31*_xlfn.XLOOKUP(DL$7,'Product Tgt'!$B:$B,'Product Tgt'!$D:$D),0)</f>
        <v>0</v>
      </c>
      <c r="DM31">
        <f>IFERROR(CD31*_xlfn.XLOOKUP(DM$7,'Product Tgt'!$B:$B,'Product Tgt'!$D:$D),0)</f>
        <v>0</v>
      </c>
      <c r="DN31">
        <f>IFERROR(CE31*_xlfn.XLOOKUP(DN$7,'Product Tgt'!$B:$B,'Product Tgt'!$D:$D),0)</f>
        <v>0</v>
      </c>
      <c r="DO31">
        <f>IFERROR(CF31*_xlfn.XLOOKUP(DO$7,'Product Tgt'!$B:$B,'Product Tgt'!$D:$D),0)</f>
        <v>0</v>
      </c>
      <c r="DP31">
        <f>IFERROR(CG31*_xlfn.XLOOKUP(DP$7,'Product Tgt'!$B:$B,'Product Tgt'!$D:$D),0)</f>
        <v>0</v>
      </c>
      <c r="DQ31">
        <f>IFERROR(CH31*_xlfn.XLOOKUP(DQ$7,'Product Tgt'!$B:$B,'Product Tgt'!$D:$D),0)</f>
        <v>0</v>
      </c>
      <c r="DR31">
        <f>IFERROR(CI31*_xlfn.XLOOKUP(DR$7,'Product Tgt'!$B:$B,'Product Tgt'!$D:$D),0)</f>
        <v>0</v>
      </c>
      <c r="DS31">
        <f>IFERROR(CJ31*_xlfn.XLOOKUP(DS$7,'Product Tgt'!$B:$B,'Product Tgt'!$D:$D),0)</f>
        <v>0</v>
      </c>
      <c r="DT31">
        <f>IFERROR(CK31*_xlfn.XLOOKUP(DT$7,'Product Tgt'!$B:$B,'Product Tgt'!$D:$D),0)</f>
        <v>0</v>
      </c>
      <c r="DU31">
        <f>IFERROR(CL31*_xlfn.XLOOKUP(DU$7,'Product Tgt'!$B:$B,'Product Tgt'!$D:$D),0)</f>
        <v>0</v>
      </c>
      <c r="DV31">
        <f>IFERROR(CM31*_xlfn.XLOOKUP(DV$7,'Product Tgt'!$B:$B,'Product Tgt'!$D:$D),0)</f>
        <v>0</v>
      </c>
      <c r="DW31">
        <f>IFERROR(CN31*_xlfn.XLOOKUP(DW$7,'Product Tgt'!$B:$B,'Product Tgt'!$D:$D),0)</f>
        <v>0</v>
      </c>
      <c r="DX31">
        <f>IFERROR(CO31*_xlfn.XLOOKUP(DX$7,'Product Tgt'!$B:$B,'Product Tgt'!$D:$D),0)</f>
        <v>0</v>
      </c>
      <c r="DY31">
        <f>IFERROR(CP31*_xlfn.XLOOKUP(DY$7,'Product Tgt'!$B:$B,'Product Tgt'!$D:$D),0)</f>
        <v>0</v>
      </c>
      <c r="DZ31">
        <f>IFERROR(CQ31*_xlfn.XLOOKUP(DZ$7,'Product Tgt'!$B:$B,'Product Tgt'!$D:$D),0)</f>
        <v>0</v>
      </c>
      <c r="EA31">
        <f>IFERROR(CR31*_xlfn.XLOOKUP(EA$7,'Product Tgt'!$B:$B,'Product Tgt'!$D:$D),0)</f>
        <v>0</v>
      </c>
      <c r="EB31">
        <f>IFERROR(CS31*_xlfn.XLOOKUP(EB$7,'Product Tgt'!$B:$B,'Product Tgt'!$D:$D),0)</f>
        <v>0</v>
      </c>
      <c r="EC31">
        <f>IFERROR(CT31*_xlfn.XLOOKUP(EC$7,'Product Tgt'!$B:$B,'Product Tgt'!$D:$D),0)</f>
        <v>0</v>
      </c>
      <c r="ED31">
        <f>IFERROR(CU31*_xlfn.XLOOKUP(ED$7,'Product Tgt'!$B:$B,'Product Tgt'!$D:$D),0)</f>
        <v>0</v>
      </c>
      <c r="EE31">
        <f>IFERROR(CV31*_xlfn.XLOOKUP(EE$7,'Product Tgt'!$B:$B,'Product Tgt'!$D:$D),0)</f>
        <v>0</v>
      </c>
      <c r="EF31">
        <f>IFERROR(CW31*_xlfn.XLOOKUP(EF$7,'Product Tgt'!$B:$B,'Product Tgt'!$D:$D),0)</f>
        <v>0</v>
      </c>
      <c r="EG31">
        <f>IFERROR(CX31*_xlfn.XLOOKUP(EG$7,'Product Tgt'!$B:$B,'Product Tgt'!$D:$D),0)</f>
        <v>0</v>
      </c>
      <c r="EH31">
        <f>IFERROR(CY31*_xlfn.XLOOKUP(EH$7,'Product Tgt'!$B:$B,'Product Tgt'!$D:$D),0)</f>
        <v>0</v>
      </c>
      <c r="EI31">
        <f>IFERROR(CZ31*_xlfn.XLOOKUP(EI$7,'Product Tgt'!$B:$B,'Product Tgt'!$D:$D),0)</f>
        <v>0</v>
      </c>
    </row>
    <row r="32" spans="2:139" x14ac:dyDescent="0.35">
      <c r="B32" s="7" t="s">
        <v>95</v>
      </c>
      <c r="C32" s="3">
        <f>_xlfn.XLOOKUP($B32,'Terr Target'!$A:$A,'Terr Target'!$E:$E)</f>
        <v>374132.84023072914</v>
      </c>
      <c r="D32" s="3">
        <f t="shared" si="3"/>
        <v>374133</v>
      </c>
      <c r="E32" s="4">
        <f t="shared" si="4"/>
        <v>0.15976927086012438</v>
      </c>
      <c r="F32" s="9">
        <f t="shared" si="5"/>
        <v>4.270387024403738E-7</v>
      </c>
      <c r="G32" s="5">
        <f t="shared" si="6"/>
        <v>0.9999995729612976</v>
      </c>
      <c r="H32" s="38">
        <v>38671.937171343117</v>
      </c>
      <c r="I32" s="11">
        <v>70898.970070313881</v>
      </c>
      <c r="J32" s="11">
        <v>32705.369588258709</v>
      </c>
      <c r="K32" s="11">
        <v>34918.556092028521</v>
      </c>
      <c r="L32" s="11">
        <v>36819.911926434674</v>
      </c>
      <c r="M32" s="11">
        <v>24781.447783636166</v>
      </c>
      <c r="N32" s="11">
        <v>1050.1559014086627</v>
      </c>
      <c r="O32" s="11">
        <v>7516.8083070648763</v>
      </c>
      <c r="P32" s="11">
        <v>2593.8066187272339</v>
      </c>
      <c r="Q32" s="11">
        <v>422.28273717568379</v>
      </c>
      <c r="R32" s="11">
        <v>7057.197016133221</v>
      </c>
      <c r="S32" s="11">
        <v>14404.298760409345</v>
      </c>
      <c r="T32" s="11">
        <v>0</v>
      </c>
      <c r="U32" s="11">
        <v>1174.6325702448119</v>
      </c>
      <c r="V32" s="11">
        <v>22233.793437534277</v>
      </c>
      <c r="W32" s="11">
        <v>29239.370586982033</v>
      </c>
      <c r="X32" s="11">
        <v>2604.8862757962129</v>
      </c>
      <c r="Y32" s="11">
        <v>2778.2379012917122</v>
      </c>
      <c r="Z32" s="11">
        <v>306.729804173427</v>
      </c>
      <c r="AA32" s="11">
        <v>5723.2040824288633</v>
      </c>
      <c r="AB32" s="11">
        <v>1952.586746229616</v>
      </c>
      <c r="AC32" s="11">
        <v>1944.80764898961</v>
      </c>
      <c r="AD32" s="11">
        <v>3883.9698959821881</v>
      </c>
      <c r="AE32" s="11">
        <v>14612.48962854401</v>
      </c>
      <c r="AF32" s="11">
        <v>3198.2313612796229</v>
      </c>
      <c r="AG32" s="11">
        <v>11927.600894132367</v>
      </c>
      <c r="AH32" s="11">
        <v>667.86883704266552</v>
      </c>
      <c r="AI32" s="11">
        <v>6432.2243438711585</v>
      </c>
      <c r="AJ32" s="11">
        <v>8640.3877734231337</v>
      </c>
      <c r="AK32" s="11">
        <v>502.36298676351453</v>
      </c>
      <c r="AL32" s="49">
        <v>1833.4554284969561</v>
      </c>
      <c r="AM32" s="41">
        <f>IFERROR(ROUND(_xlfn.XLOOKUP(AM$7,'Product Tgt'!$B:$B,'Product Tgt'!$G:$G)*H32/H$121,0),0)</f>
        <v>37595</v>
      </c>
      <c r="AN32" s="41">
        <f>IFERROR(ROUND(_xlfn.XLOOKUP(AN$7,'Product Tgt'!$B:$B,'Product Tgt'!$G:$G)*I32/I$121,0),0)</f>
        <v>69793</v>
      </c>
      <c r="AO32" s="41">
        <f>IFERROR(ROUND(_xlfn.XLOOKUP(AO$7,'Product Tgt'!$B:$B,'Product Tgt'!$G:$G)*J32/J$121,0),0)</f>
        <v>31688</v>
      </c>
      <c r="AP32" s="41">
        <f>IFERROR(ROUND(_xlfn.XLOOKUP(AP$7,'Product Tgt'!$B:$B,'Product Tgt'!$G:$G)*K32/K$121,0),0)</f>
        <v>34064</v>
      </c>
      <c r="AQ32" s="41">
        <f>IFERROR(ROUND(_xlfn.XLOOKUP(AQ$7,'Product Tgt'!$B:$B,'Product Tgt'!$G:$G)*L32/L$121,0),0)</f>
        <v>35603</v>
      </c>
      <c r="AR32" s="41">
        <f>IFERROR(ROUND(_xlfn.XLOOKUP(AR$7,'Product Tgt'!$B:$B,'Product Tgt'!$G:$G)*M32/M$121,0),0)</f>
        <v>24008</v>
      </c>
      <c r="AS32" s="41">
        <f>IFERROR(ROUND(_xlfn.XLOOKUP(AS$7,'Product Tgt'!$B:$B,'Product Tgt'!$G:$G)*N32/N$121,0),0)</f>
        <v>970</v>
      </c>
      <c r="AT32" s="41">
        <f>IFERROR(ROUND(_xlfn.XLOOKUP(AT$7,'Product Tgt'!$B:$B,'Product Tgt'!$G:$G)*O32/O$121,0),0)</f>
        <v>6766</v>
      </c>
      <c r="AU32" s="41">
        <f>IFERROR(ROUND(_xlfn.XLOOKUP(AU$7,'Product Tgt'!$B:$B,'Product Tgt'!$G:$G)*P32/P$121,0),0)</f>
        <v>1106</v>
      </c>
      <c r="AV32" s="41">
        <f>IFERROR(ROUND(_xlfn.XLOOKUP(AV$7,'Product Tgt'!$B:$B,'Product Tgt'!$G:$G)*Q32/Q$121,0),0)</f>
        <v>317</v>
      </c>
      <c r="AW32" s="41">
        <f>IFERROR(ROUND(_xlfn.XLOOKUP(AW$7,'Product Tgt'!$B:$B,'Product Tgt'!$G:$G)*R32/R$121,0),0)</f>
        <v>6797</v>
      </c>
      <c r="AX32" s="41">
        <f>IFERROR(ROUND(_xlfn.XLOOKUP(AX$7,'Product Tgt'!$B:$B,'Product Tgt'!$G:$G)*S32/S$121,0),0)</f>
        <v>13873</v>
      </c>
      <c r="AY32" s="41">
        <f>IFERROR(ROUND(_xlfn.XLOOKUP(AY$7,'Product Tgt'!$B:$B,'Product Tgt'!$G:$G)*T32/T$121,0),0)</f>
        <v>0</v>
      </c>
      <c r="AZ32" s="41">
        <f>IFERROR(ROUND(_xlfn.XLOOKUP(AZ$7,'Product Tgt'!$B:$B,'Product Tgt'!$G:$G)*U32/U$121,0),0)</f>
        <v>1124</v>
      </c>
      <c r="BA32" s="41">
        <f>IFERROR(ROUND(_xlfn.XLOOKUP(BA$7,'Product Tgt'!$B:$B,'Product Tgt'!$G:$G)*V32/V$121,0),0)</f>
        <v>21407</v>
      </c>
      <c r="BB32" s="41">
        <f>IFERROR(ROUND(_xlfn.XLOOKUP(BB$7,'Product Tgt'!$B:$B,'Product Tgt'!$G:$G)*W32/W$121,0),0)</f>
        <v>27989</v>
      </c>
      <c r="BC32" s="41">
        <f>IFERROR(ROUND(_xlfn.XLOOKUP(BC$7,'Product Tgt'!$B:$B,'Product Tgt'!$G:$G)*X32/X$121,0),0)</f>
        <v>2521</v>
      </c>
      <c r="BD32" s="41">
        <f>IFERROR(ROUND(_xlfn.XLOOKUP(BD$7,'Product Tgt'!$B:$B,'Product Tgt'!$G:$G)*Y32/Y$121,0),0)</f>
        <v>2687</v>
      </c>
      <c r="BE32" s="41">
        <f>IFERROR(ROUND(_xlfn.XLOOKUP(BE$7,'Product Tgt'!$B:$B,'Product Tgt'!$G:$G)*Z32/Z$121,0),0)</f>
        <v>291</v>
      </c>
      <c r="BF32" s="41">
        <f>IFERROR(ROUND(_xlfn.XLOOKUP(BF$7,'Product Tgt'!$B:$B,'Product Tgt'!$G:$G)*AA32/AA$121,0),0)</f>
        <v>4638</v>
      </c>
      <c r="BG32" s="41">
        <f>IFERROR(ROUND(_xlfn.XLOOKUP(BG$7,'Product Tgt'!$B:$B,'Product Tgt'!$G:$G)*AB32/AB$121,0),0)</f>
        <v>1565</v>
      </c>
      <c r="BH32" s="41">
        <f>IFERROR(ROUND(_xlfn.XLOOKUP(BH$7,'Product Tgt'!$B:$B,'Product Tgt'!$G:$G)*AC32/AC$121,0),0)</f>
        <v>1664</v>
      </c>
      <c r="BI32" s="41">
        <f>IFERROR(ROUND(_xlfn.XLOOKUP(BI$7,'Product Tgt'!$B:$B,'Product Tgt'!$G:$G)*AD32/AD$121,0),0)</f>
        <v>3381</v>
      </c>
      <c r="BJ32" s="41">
        <f>IFERROR(ROUND(_xlfn.XLOOKUP(BJ$7,'Product Tgt'!$B:$B,'Product Tgt'!$G:$G)*AE32/AE$121,0),0)</f>
        <v>13600</v>
      </c>
      <c r="BK32" s="41">
        <f>IFERROR(ROUND(_xlfn.XLOOKUP(BK$7,'Product Tgt'!$B:$B,'Product Tgt'!$G:$G)*AF32/AF$121,0),0)</f>
        <v>3573</v>
      </c>
      <c r="BL32" s="41">
        <f>IFERROR(ROUND(_xlfn.XLOOKUP(BL$7,'Product Tgt'!$B:$B,'Product Tgt'!$G:$G)*AG32/AG$121,0),0)</f>
        <v>11393</v>
      </c>
      <c r="BM32" s="41">
        <f>IFERROR(ROUND(_xlfn.XLOOKUP(BM$7,'Product Tgt'!$B:$B,'Product Tgt'!$G:$G)*AH32/AH$121,0),0)</f>
        <v>524</v>
      </c>
      <c r="BN32" s="41">
        <f>IFERROR(ROUND(_xlfn.XLOOKUP(BN$7,'Product Tgt'!$B:$B,'Product Tgt'!$G:$G)*AI32/AI$121,0),0)</f>
        <v>5907</v>
      </c>
      <c r="BO32" s="41">
        <f>IFERROR(ROUND(_xlfn.XLOOKUP(BO$7,'Product Tgt'!$B:$B,'Product Tgt'!$G:$G)*AJ32/AJ$121,0),0)</f>
        <v>7474</v>
      </c>
      <c r="BP32" s="41">
        <f>IFERROR(ROUND(_xlfn.XLOOKUP(BP$7,'Product Tgt'!$B:$B,'Product Tgt'!$G:$G)*AK32/AK$121,0),0)</f>
        <v>382</v>
      </c>
      <c r="BQ32" s="41">
        <f>IFERROR(ROUND(_xlfn.XLOOKUP(BQ$7,'Product Tgt'!$B:$B,'Product Tgt'!$G:$G)*AL32/AL$121,0),0)</f>
        <v>1433</v>
      </c>
      <c r="BR32" s="25">
        <f>ROUND(IFERROR(AM32/_xlfn.XLOOKUP(BR$7,'Product Tgt'!$B:$B,'Product Tgt'!$D:$D),0),0)</f>
        <v>0</v>
      </c>
      <c r="BS32" s="11">
        <f>ROUND(IFERROR(AN32/_xlfn.XLOOKUP(BS$7,'Product Tgt'!$B:$B,'Product Tgt'!$D:$D),0),0)</f>
        <v>0</v>
      </c>
      <c r="BT32" s="11">
        <f>ROUND(IFERROR(AO32/_xlfn.XLOOKUP(BT$7,'Product Tgt'!$B:$B,'Product Tgt'!$D:$D),0),0)</f>
        <v>0</v>
      </c>
      <c r="BU32" s="11">
        <f>ROUND(IFERROR(AP32/_xlfn.XLOOKUP(BU$7,'Product Tgt'!$B:$B,'Product Tgt'!$D:$D),0),0)</f>
        <v>0</v>
      </c>
      <c r="BV32" s="11">
        <f>ROUND(IFERROR(AQ32/_xlfn.XLOOKUP(BV$7,'Product Tgt'!$B:$B,'Product Tgt'!$D:$D),0),0)</f>
        <v>0</v>
      </c>
      <c r="BW32" s="11">
        <f>ROUND(IFERROR(AU32/_xlfn.XLOOKUP(BW$7,'Product Tgt'!$B:$B,'Product Tgt'!$D:$D),0),0)</f>
        <v>0</v>
      </c>
      <c r="BX32" s="11">
        <f>ROUND(IFERROR(#REF!/_xlfn.XLOOKUP(BX$7,'Product Tgt'!$B:$B,'Product Tgt'!$D:$D),0),0)</f>
        <v>0</v>
      </c>
      <c r="BY32" s="11">
        <f>ROUND(IFERROR(#REF!/_xlfn.XLOOKUP(BY$7,'Product Tgt'!$B:$B,'Product Tgt'!$D:$D),0),0)</f>
        <v>0</v>
      </c>
      <c r="BZ32" s="11">
        <f>ROUND(IFERROR(#REF!/_xlfn.XLOOKUP(BZ$7,'Product Tgt'!$B:$B,'Product Tgt'!$D:$D),0),0)</f>
        <v>0</v>
      </c>
      <c r="CA32" s="11">
        <f>ROUND(IFERROR(#REF!/_xlfn.XLOOKUP(CA$7,'Product Tgt'!$B:$B,'Product Tgt'!$D:$D),0),0)</f>
        <v>0</v>
      </c>
      <c r="CB32" s="11">
        <f>ROUND(IFERROR(AV32/_xlfn.XLOOKUP(CB$7,'Product Tgt'!$B:$B,'Product Tgt'!$D:$D),0),0)</f>
        <v>0</v>
      </c>
      <c r="CC32" s="11">
        <f>ROUND(IFERROR(AW32/_xlfn.XLOOKUP(CC$7,'Product Tgt'!$B:$B,'Product Tgt'!$D:$D),0),0)</f>
        <v>0</v>
      </c>
      <c r="CD32" s="11">
        <f>ROUND(IFERROR(AX32/_xlfn.XLOOKUP(CD$7,'Product Tgt'!$B:$B,'Product Tgt'!$D:$D),0),0)</f>
        <v>0</v>
      </c>
      <c r="CE32" s="11">
        <f>ROUND(IFERROR(AY32/_xlfn.XLOOKUP(CE$7,'Product Tgt'!$B:$B,'Product Tgt'!$D:$D),0),0)</f>
        <v>0</v>
      </c>
      <c r="CF32" s="11">
        <f>ROUND(IFERROR(AZ32/_xlfn.XLOOKUP(CF$7,'Product Tgt'!$B:$B,'Product Tgt'!$D:$D),0),0)</f>
        <v>0</v>
      </c>
      <c r="CG32" s="11">
        <f>ROUND(IFERROR(BA32/_xlfn.XLOOKUP(CG$7,'Product Tgt'!$B:$B,'Product Tgt'!$D:$D),0),0)</f>
        <v>0</v>
      </c>
      <c r="CH32" s="11">
        <f>ROUND(IFERROR(BB32/_xlfn.XLOOKUP(CH$7,'Product Tgt'!$B:$B,'Product Tgt'!$D:$D),0),0)</f>
        <v>0</v>
      </c>
      <c r="CI32" s="11">
        <f>ROUND(IFERROR(BC32/_xlfn.XLOOKUP(CI$7,'Product Tgt'!$B:$B,'Product Tgt'!$D:$D),0),0)</f>
        <v>0</v>
      </c>
      <c r="CJ32" s="11">
        <f>ROUND(IFERROR(BD32/_xlfn.XLOOKUP(CJ$7,'Product Tgt'!$B:$B,'Product Tgt'!$D:$D),0),0)</f>
        <v>0</v>
      </c>
      <c r="CK32" s="11">
        <f>ROUND(IFERROR(BE32/_xlfn.XLOOKUP(CK$7,'Product Tgt'!$B:$B,'Product Tgt'!$D:$D),0),0)</f>
        <v>0</v>
      </c>
      <c r="CL32" s="11">
        <f>ROUND(IFERROR(BF32/_xlfn.XLOOKUP(CL$7,'Product Tgt'!$B:$B,'Product Tgt'!$D:$D),0),0)</f>
        <v>0</v>
      </c>
      <c r="CM32" s="11">
        <f>ROUND(IFERROR(BG32/_xlfn.XLOOKUP(CM$7,'Product Tgt'!$B:$B,'Product Tgt'!$D:$D),0),0)</f>
        <v>0</v>
      </c>
      <c r="CN32" s="11">
        <f>ROUND(IFERROR(BH32/_xlfn.XLOOKUP(CN$7,'Product Tgt'!$B:$B,'Product Tgt'!$D:$D),0),0)</f>
        <v>0</v>
      </c>
      <c r="CO32" s="11">
        <f>ROUND(IFERROR(BI32/_xlfn.XLOOKUP(CO$7,'Product Tgt'!$B:$B,'Product Tgt'!$D:$D),0),0)</f>
        <v>0</v>
      </c>
      <c r="CP32" s="11">
        <f>ROUND(IFERROR(BJ32/_xlfn.XLOOKUP(CP$7,'Product Tgt'!$B:$B,'Product Tgt'!$D:$D),0),0)</f>
        <v>0</v>
      </c>
      <c r="CQ32" s="11">
        <f>ROUND(IFERROR(BK32/_xlfn.XLOOKUP(CQ$7,'Product Tgt'!$B:$B,'Product Tgt'!$D:$D),0),0)</f>
        <v>0</v>
      </c>
      <c r="CR32" s="11">
        <f>ROUND(IFERROR(BL32/_xlfn.XLOOKUP(CR$7,'Product Tgt'!$B:$B,'Product Tgt'!$D:$D),0),0)</f>
        <v>0</v>
      </c>
      <c r="CS32" s="11">
        <f>ROUND(IFERROR(BM32/_xlfn.XLOOKUP(CS$7,'Product Tgt'!$B:$B,'Product Tgt'!$D:$D),0),0)</f>
        <v>0</v>
      </c>
      <c r="CT32" s="11">
        <f>ROUND(IFERROR(BN32/_xlfn.XLOOKUP(CT$7,'Product Tgt'!$B:$B,'Product Tgt'!$D:$D),0),0)</f>
        <v>0</v>
      </c>
      <c r="CU32" s="11">
        <f>ROUND(IFERROR(BO32/_xlfn.XLOOKUP(CU$7,'Product Tgt'!$B:$B,'Product Tgt'!$D:$D),0),0)</f>
        <v>0</v>
      </c>
      <c r="CV32" s="11">
        <f>ROUND(IFERROR(BP32/_xlfn.XLOOKUP(CV$7,'Product Tgt'!$B:$B,'Product Tgt'!$D:$D),0),0)</f>
        <v>0</v>
      </c>
      <c r="CW32" s="11">
        <f>ROUND(IFERROR(BQ32/_xlfn.XLOOKUP(CW$7,'Product Tgt'!$B:$B,'Product Tgt'!$D:$D),0),0)</f>
        <v>0</v>
      </c>
      <c r="CX32" s="11">
        <f>ROUND(IFERROR(#REF!/_xlfn.XLOOKUP(CX$7,'Product Tgt'!$B:$B,'Product Tgt'!$D:$D),0),0)</f>
        <v>0</v>
      </c>
      <c r="CY32" s="11">
        <f>ROUND(IFERROR(#REF!/_xlfn.XLOOKUP(CY$7,'Product Tgt'!$B:$B,'Product Tgt'!$D:$D),0),0)</f>
        <v>0</v>
      </c>
      <c r="CZ32" s="11">
        <f>ROUND(IFERROR(#REF!/_xlfn.XLOOKUP(CZ$7,'Product Tgt'!$B:$B,'Product Tgt'!$D:$D),0),0)</f>
        <v>0</v>
      </c>
      <c r="DA32" s="10">
        <f>IFERROR(BR32*_xlfn.XLOOKUP(DA$7,'Product Tgt'!$B:$B,'Product Tgt'!$D:$D),0)</f>
        <v>0</v>
      </c>
      <c r="DB32">
        <f>IFERROR(BS32*_xlfn.XLOOKUP(DB$7,'Product Tgt'!$B:$B,'Product Tgt'!$D:$D),0)</f>
        <v>0</v>
      </c>
      <c r="DC32">
        <f>IFERROR(BT32*_xlfn.XLOOKUP(DC$7,'Product Tgt'!$B:$B,'Product Tgt'!$D:$D),0)</f>
        <v>0</v>
      </c>
      <c r="DD32">
        <f>IFERROR(BU32*_xlfn.XLOOKUP(DD$7,'Product Tgt'!$B:$B,'Product Tgt'!$D:$D),0)</f>
        <v>0</v>
      </c>
      <c r="DE32">
        <f>IFERROR(BV32*_xlfn.XLOOKUP(DE$7,'Product Tgt'!$B:$B,'Product Tgt'!$D:$D),0)</f>
        <v>0</v>
      </c>
      <c r="DF32">
        <f>IFERROR(BW32*_xlfn.XLOOKUP(DF$7,'Product Tgt'!$B:$B,'Product Tgt'!$D:$D),0)</f>
        <v>0</v>
      </c>
      <c r="DG32">
        <f>IFERROR(BX32*_xlfn.XLOOKUP(DG$7,'Product Tgt'!$B:$B,'Product Tgt'!$D:$D),0)</f>
        <v>0</v>
      </c>
      <c r="DH32">
        <f>IFERROR(BY32*_xlfn.XLOOKUP(DH$7,'Product Tgt'!$B:$B,'Product Tgt'!$D:$D),0)</f>
        <v>0</v>
      </c>
      <c r="DI32">
        <f>IFERROR(BZ32*_xlfn.XLOOKUP(DI$7,'Product Tgt'!$B:$B,'Product Tgt'!$D:$D),0)</f>
        <v>0</v>
      </c>
      <c r="DJ32">
        <f>IFERROR(CA32*_xlfn.XLOOKUP(DJ$7,'Product Tgt'!$B:$B,'Product Tgt'!$D:$D),0)</f>
        <v>0</v>
      </c>
      <c r="DK32">
        <f>IFERROR(CB32*_xlfn.XLOOKUP(DK$7,'Product Tgt'!$B:$B,'Product Tgt'!$D:$D),0)</f>
        <v>0</v>
      </c>
      <c r="DL32">
        <f>IFERROR(CC32*_xlfn.XLOOKUP(DL$7,'Product Tgt'!$B:$B,'Product Tgt'!$D:$D),0)</f>
        <v>0</v>
      </c>
      <c r="DM32">
        <f>IFERROR(CD32*_xlfn.XLOOKUP(DM$7,'Product Tgt'!$B:$B,'Product Tgt'!$D:$D),0)</f>
        <v>0</v>
      </c>
      <c r="DN32">
        <f>IFERROR(CE32*_xlfn.XLOOKUP(DN$7,'Product Tgt'!$B:$B,'Product Tgt'!$D:$D),0)</f>
        <v>0</v>
      </c>
      <c r="DO32">
        <f>IFERROR(CF32*_xlfn.XLOOKUP(DO$7,'Product Tgt'!$B:$B,'Product Tgt'!$D:$D),0)</f>
        <v>0</v>
      </c>
      <c r="DP32">
        <f>IFERROR(CG32*_xlfn.XLOOKUP(DP$7,'Product Tgt'!$B:$B,'Product Tgt'!$D:$D),0)</f>
        <v>0</v>
      </c>
      <c r="DQ32">
        <f>IFERROR(CH32*_xlfn.XLOOKUP(DQ$7,'Product Tgt'!$B:$B,'Product Tgt'!$D:$D),0)</f>
        <v>0</v>
      </c>
      <c r="DR32">
        <f>IFERROR(CI32*_xlfn.XLOOKUP(DR$7,'Product Tgt'!$B:$B,'Product Tgt'!$D:$D),0)</f>
        <v>0</v>
      </c>
      <c r="DS32">
        <f>IFERROR(CJ32*_xlfn.XLOOKUP(DS$7,'Product Tgt'!$B:$B,'Product Tgt'!$D:$D),0)</f>
        <v>0</v>
      </c>
      <c r="DT32">
        <f>IFERROR(CK32*_xlfn.XLOOKUP(DT$7,'Product Tgt'!$B:$B,'Product Tgt'!$D:$D),0)</f>
        <v>0</v>
      </c>
      <c r="DU32">
        <f>IFERROR(CL32*_xlfn.XLOOKUP(DU$7,'Product Tgt'!$B:$B,'Product Tgt'!$D:$D),0)</f>
        <v>0</v>
      </c>
      <c r="DV32">
        <f>IFERROR(CM32*_xlfn.XLOOKUP(DV$7,'Product Tgt'!$B:$B,'Product Tgt'!$D:$D),0)</f>
        <v>0</v>
      </c>
      <c r="DW32">
        <f>IFERROR(CN32*_xlfn.XLOOKUP(DW$7,'Product Tgt'!$B:$B,'Product Tgt'!$D:$D),0)</f>
        <v>0</v>
      </c>
      <c r="DX32">
        <f>IFERROR(CO32*_xlfn.XLOOKUP(DX$7,'Product Tgt'!$B:$B,'Product Tgt'!$D:$D),0)</f>
        <v>0</v>
      </c>
      <c r="DY32">
        <f>IFERROR(CP32*_xlfn.XLOOKUP(DY$7,'Product Tgt'!$B:$B,'Product Tgt'!$D:$D),0)</f>
        <v>0</v>
      </c>
      <c r="DZ32">
        <f>IFERROR(CQ32*_xlfn.XLOOKUP(DZ$7,'Product Tgt'!$B:$B,'Product Tgt'!$D:$D),0)</f>
        <v>0</v>
      </c>
      <c r="EA32">
        <f>IFERROR(CR32*_xlfn.XLOOKUP(EA$7,'Product Tgt'!$B:$B,'Product Tgt'!$D:$D),0)</f>
        <v>0</v>
      </c>
      <c r="EB32">
        <f>IFERROR(CS32*_xlfn.XLOOKUP(EB$7,'Product Tgt'!$B:$B,'Product Tgt'!$D:$D),0)</f>
        <v>0</v>
      </c>
      <c r="EC32">
        <f>IFERROR(CT32*_xlfn.XLOOKUP(EC$7,'Product Tgt'!$B:$B,'Product Tgt'!$D:$D),0)</f>
        <v>0</v>
      </c>
      <c r="ED32">
        <f>IFERROR(CU32*_xlfn.XLOOKUP(ED$7,'Product Tgt'!$B:$B,'Product Tgt'!$D:$D),0)</f>
        <v>0</v>
      </c>
      <c r="EE32">
        <f>IFERROR(CV32*_xlfn.XLOOKUP(EE$7,'Product Tgt'!$B:$B,'Product Tgt'!$D:$D),0)</f>
        <v>0</v>
      </c>
      <c r="EF32">
        <f>IFERROR(CW32*_xlfn.XLOOKUP(EF$7,'Product Tgt'!$B:$B,'Product Tgt'!$D:$D),0)</f>
        <v>0</v>
      </c>
      <c r="EG32">
        <f>IFERROR(CX32*_xlfn.XLOOKUP(EG$7,'Product Tgt'!$B:$B,'Product Tgt'!$D:$D),0)</f>
        <v>0</v>
      </c>
      <c r="EH32">
        <f>IFERROR(CY32*_xlfn.XLOOKUP(EH$7,'Product Tgt'!$B:$B,'Product Tgt'!$D:$D),0)</f>
        <v>0</v>
      </c>
      <c r="EI32">
        <f>IFERROR(CZ32*_xlfn.XLOOKUP(EI$7,'Product Tgt'!$B:$B,'Product Tgt'!$D:$D),0)</f>
        <v>0</v>
      </c>
    </row>
    <row r="33" spans="2:139" x14ac:dyDescent="0.35">
      <c r="B33" s="7" t="s">
        <v>96</v>
      </c>
      <c r="C33" s="3">
        <f>_xlfn.XLOOKUP($B33,'Terr Target'!$A:$A,'Terr Target'!$E:$E)</f>
        <v>461545.07649211679</v>
      </c>
      <c r="D33" s="3">
        <f t="shared" si="3"/>
        <v>461544</v>
      </c>
      <c r="E33" s="4">
        <f t="shared" si="4"/>
        <v>-1.0764921167865396</v>
      </c>
      <c r="F33" s="9">
        <f t="shared" si="5"/>
        <v>2.3323715979116608E-6</v>
      </c>
      <c r="G33" s="5">
        <f t="shared" si="6"/>
        <v>1.0000023323715979</v>
      </c>
      <c r="H33" s="38">
        <v>52888.110854594321</v>
      </c>
      <c r="I33" s="11">
        <v>95282.817371542988</v>
      </c>
      <c r="J33" s="11">
        <v>40718.797912843009</v>
      </c>
      <c r="K33" s="11">
        <v>45164.052697721316</v>
      </c>
      <c r="L33" s="11">
        <v>41800.909875117664</v>
      </c>
      <c r="M33" s="11">
        <v>31395.059160526002</v>
      </c>
      <c r="N33" s="11">
        <v>917.54850482917232</v>
      </c>
      <c r="O33" s="11">
        <v>6097.1439651720766</v>
      </c>
      <c r="P33" s="11">
        <v>1880.7578040204867</v>
      </c>
      <c r="Q33" s="11">
        <v>839.40936660563432</v>
      </c>
      <c r="R33" s="11">
        <v>8920.175512728656</v>
      </c>
      <c r="S33" s="11">
        <v>18827.416868100143</v>
      </c>
      <c r="T33" s="11">
        <v>0</v>
      </c>
      <c r="U33" s="11">
        <v>15864.525384423612</v>
      </c>
      <c r="V33" s="11">
        <v>22881.454744707531</v>
      </c>
      <c r="W33" s="11">
        <v>26224.80217417868</v>
      </c>
      <c r="X33" s="11">
        <v>4257.692620546024</v>
      </c>
      <c r="Y33" s="11">
        <v>3076.2562145066763</v>
      </c>
      <c r="Z33" s="11">
        <v>0</v>
      </c>
      <c r="AA33" s="11">
        <v>6977.8163564093757</v>
      </c>
      <c r="AB33" s="11">
        <v>1825.3676227978258</v>
      </c>
      <c r="AC33" s="11">
        <v>1768.9132898872961</v>
      </c>
      <c r="AD33" s="11">
        <v>6517.3752949734826</v>
      </c>
      <c r="AE33" s="11">
        <v>5333.7671507956265</v>
      </c>
      <c r="AF33" s="11">
        <v>730.75730753605148</v>
      </c>
      <c r="AG33" s="11">
        <v>18865.889209223824</v>
      </c>
      <c r="AH33" s="11">
        <v>563.54432956158519</v>
      </c>
      <c r="AI33" s="11">
        <v>9292.9217881315726</v>
      </c>
      <c r="AJ33" s="11">
        <v>9059.3839274070542</v>
      </c>
      <c r="AK33" s="11">
        <v>1576.8447689175998</v>
      </c>
      <c r="AL33" s="49">
        <v>2513.5371454377246</v>
      </c>
      <c r="AM33" s="41">
        <f>IFERROR(ROUND(_xlfn.XLOOKUP(AM$7,'Product Tgt'!$B:$B,'Product Tgt'!$G:$G)*H33/H$121,0),0)</f>
        <v>51416</v>
      </c>
      <c r="AN33" s="41">
        <f>IFERROR(ROUND(_xlfn.XLOOKUP(AN$7,'Product Tgt'!$B:$B,'Product Tgt'!$G:$G)*I33/I$121,0),0)</f>
        <v>93796</v>
      </c>
      <c r="AO33" s="41">
        <f>IFERROR(ROUND(_xlfn.XLOOKUP(AO$7,'Product Tgt'!$B:$B,'Product Tgt'!$G:$G)*J33/J$121,0),0)</f>
        <v>39452</v>
      </c>
      <c r="AP33" s="41">
        <f>IFERROR(ROUND(_xlfn.XLOOKUP(AP$7,'Product Tgt'!$B:$B,'Product Tgt'!$G:$G)*K33/K$121,0),0)</f>
        <v>44059</v>
      </c>
      <c r="AQ33" s="41">
        <f>IFERROR(ROUND(_xlfn.XLOOKUP(AQ$7,'Product Tgt'!$B:$B,'Product Tgt'!$G:$G)*L33/L$121,0),0)</f>
        <v>40419</v>
      </c>
      <c r="AR33" s="41">
        <f>IFERROR(ROUND(_xlfn.XLOOKUP(AR$7,'Product Tgt'!$B:$B,'Product Tgt'!$G:$G)*M33/M$121,0),0)</f>
        <v>30415</v>
      </c>
      <c r="AS33" s="41">
        <f>IFERROR(ROUND(_xlfn.XLOOKUP(AS$7,'Product Tgt'!$B:$B,'Product Tgt'!$G:$G)*N33/N$121,0),0)</f>
        <v>848</v>
      </c>
      <c r="AT33" s="41">
        <f>IFERROR(ROUND(_xlfn.XLOOKUP(AT$7,'Product Tgt'!$B:$B,'Product Tgt'!$G:$G)*O33/O$121,0),0)</f>
        <v>5488</v>
      </c>
      <c r="AU33" s="41">
        <f>IFERROR(ROUND(_xlfn.XLOOKUP(AU$7,'Product Tgt'!$B:$B,'Product Tgt'!$G:$G)*P33/P$121,0),0)</f>
        <v>802</v>
      </c>
      <c r="AV33" s="41">
        <f>IFERROR(ROUND(_xlfn.XLOOKUP(AV$7,'Product Tgt'!$B:$B,'Product Tgt'!$G:$G)*Q33/Q$121,0),0)</f>
        <v>630</v>
      </c>
      <c r="AW33" s="41">
        <f>IFERROR(ROUND(_xlfn.XLOOKUP(AW$7,'Product Tgt'!$B:$B,'Product Tgt'!$G:$G)*R33/R$121,0),0)</f>
        <v>8591</v>
      </c>
      <c r="AX33" s="41">
        <f>IFERROR(ROUND(_xlfn.XLOOKUP(AX$7,'Product Tgt'!$B:$B,'Product Tgt'!$G:$G)*S33/S$121,0),0)</f>
        <v>18133</v>
      </c>
      <c r="AY33" s="41">
        <f>IFERROR(ROUND(_xlfn.XLOOKUP(AY$7,'Product Tgt'!$B:$B,'Product Tgt'!$G:$G)*T33/T$121,0),0)</f>
        <v>0</v>
      </c>
      <c r="AZ33" s="41">
        <f>IFERROR(ROUND(_xlfn.XLOOKUP(AZ$7,'Product Tgt'!$B:$B,'Product Tgt'!$G:$G)*U33/U$121,0),0)</f>
        <v>15183</v>
      </c>
      <c r="BA33" s="41">
        <f>IFERROR(ROUND(_xlfn.XLOOKUP(BA$7,'Product Tgt'!$B:$B,'Product Tgt'!$G:$G)*V33/V$121,0),0)</f>
        <v>22030</v>
      </c>
      <c r="BB33" s="41">
        <f>IFERROR(ROUND(_xlfn.XLOOKUP(BB$7,'Product Tgt'!$B:$B,'Product Tgt'!$G:$G)*W33/W$121,0),0)</f>
        <v>25103</v>
      </c>
      <c r="BC33" s="41">
        <f>IFERROR(ROUND(_xlfn.XLOOKUP(BC$7,'Product Tgt'!$B:$B,'Product Tgt'!$G:$G)*X33/X$121,0),0)</f>
        <v>4120</v>
      </c>
      <c r="BD33" s="41">
        <f>IFERROR(ROUND(_xlfn.XLOOKUP(BD$7,'Product Tgt'!$B:$B,'Product Tgt'!$G:$G)*Y33/Y$121,0),0)</f>
        <v>2975</v>
      </c>
      <c r="BE33" s="41">
        <f>IFERROR(ROUND(_xlfn.XLOOKUP(BE$7,'Product Tgt'!$B:$B,'Product Tgt'!$G:$G)*Z33/Z$121,0),0)</f>
        <v>0</v>
      </c>
      <c r="BF33" s="41">
        <f>IFERROR(ROUND(_xlfn.XLOOKUP(BF$7,'Product Tgt'!$B:$B,'Product Tgt'!$G:$G)*AA33/AA$121,0),0)</f>
        <v>5655</v>
      </c>
      <c r="BG33" s="41">
        <f>IFERROR(ROUND(_xlfn.XLOOKUP(BG$7,'Product Tgt'!$B:$B,'Product Tgt'!$G:$G)*AB33/AB$121,0),0)</f>
        <v>1463</v>
      </c>
      <c r="BH33" s="41">
        <f>IFERROR(ROUND(_xlfn.XLOOKUP(BH$7,'Product Tgt'!$B:$B,'Product Tgt'!$G:$G)*AC33/AC$121,0),0)</f>
        <v>1514</v>
      </c>
      <c r="BI33" s="41">
        <f>IFERROR(ROUND(_xlfn.XLOOKUP(BI$7,'Product Tgt'!$B:$B,'Product Tgt'!$G:$G)*AD33/AD$121,0),0)</f>
        <v>5674</v>
      </c>
      <c r="BJ33" s="41">
        <f>IFERROR(ROUND(_xlfn.XLOOKUP(BJ$7,'Product Tgt'!$B:$B,'Product Tgt'!$G:$G)*AE33/AE$121,0),0)</f>
        <v>4964</v>
      </c>
      <c r="BK33" s="41">
        <f>IFERROR(ROUND(_xlfn.XLOOKUP(BK$7,'Product Tgt'!$B:$B,'Product Tgt'!$G:$G)*AF33/AF$121,0),0)</f>
        <v>816</v>
      </c>
      <c r="BL33" s="41">
        <f>IFERROR(ROUND(_xlfn.XLOOKUP(BL$7,'Product Tgt'!$B:$B,'Product Tgt'!$G:$G)*AG33/AG$121,0),0)</f>
        <v>18020</v>
      </c>
      <c r="BM33" s="41">
        <f>IFERROR(ROUND(_xlfn.XLOOKUP(BM$7,'Product Tgt'!$B:$B,'Product Tgt'!$G:$G)*AH33/AH$121,0),0)</f>
        <v>442</v>
      </c>
      <c r="BN33" s="41">
        <f>IFERROR(ROUND(_xlfn.XLOOKUP(BN$7,'Product Tgt'!$B:$B,'Product Tgt'!$G:$G)*AI33/AI$121,0),0)</f>
        <v>8534</v>
      </c>
      <c r="BO33" s="41">
        <f>IFERROR(ROUND(_xlfn.XLOOKUP(BO$7,'Product Tgt'!$B:$B,'Product Tgt'!$G:$G)*AJ33/AJ$121,0),0)</f>
        <v>7836</v>
      </c>
      <c r="BP33" s="41">
        <f>IFERROR(ROUND(_xlfn.XLOOKUP(BP$7,'Product Tgt'!$B:$B,'Product Tgt'!$G:$G)*AK33/AK$121,0),0)</f>
        <v>1201</v>
      </c>
      <c r="BQ33" s="41">
        <f>IFERROR(ROUND(_xlfn.XLOOKUP(BQ$7,'Product Tgt'!$B:$B,'Product Tgt'!$G:$G)*AL33/AL$121,0),0)</f>
        <v>1965</v>
      </c>
      <c r="BR33" s="25">
        <f>ROUND(IFERROR(AM33/_xlfn.XLOOKUP(BR$7,'Product Tgt'!$B:$B,'Product Tgt'!$D:$D),0),0)</f>
        <v>0</v>
      </c>
      <c r="BS33" s="11">
        <f>ROUND(IFERROR(AN33/_xlfn.XLOOKUP(BS$7,'Product Tgt'!$B:$B,'Product Tgt'!$D:$D),0),0)</f>
        <v>0</v>
      </c>
      <c r="BT33" s="11">
        <f>ROUND(IFERROR(AO33/_xlfn.XLOOKUP(BT$7,'Product Tgt'!$B:$B,'Product Tgt'!$D:$D),0),0)</f>
        <v>0</v>
      </c>
      <c r="BU33" s="11">
        <f>ROUND(IFERROR(AP33/_xlfn.XLOOKUP(BU$7,'Product Tgt'!$B:$B,'Product Tgt'!$D:$D),0),0)</f>
        <v>0</v>
      </c>
      <c r="BV33" s="11">
        <f>ROUND(IFERROR(AQ33/_xlfn.XLOOKUP(BV$7,'Product Tgt'!$B:$B,'Product Tgt'!$D:$D),0),0)</f>
        <v>0</v>
      </c>
      <c r="BW33" s="11">
        <f>ROUND(IFERROR(AU33/_xlfn.XLOOKUP(BW$7,'Product Tgt'!$B:$B,'Product Tgt'!$D:$D),0),0)</f>
        <v>0</v>
      </c>
      <c r="BX33" s="11">
        <f>ROUND(IFERROR(#REF!/_xlfn.XLOOKUP(BX$7,'Product Tgt'!$B:$B,'Product Tgt'!$D:$D),0),0)</f>
        <v>0</v>
      </c>
      <c r="BY33" s="11">
        <f>ROUND(IFERROR(#REF!/_xlfn.XLOOKUP(BY$7,'Product Tgt'!$B:$B,'Product Tgt'!$D:$D),0),0)</f>
        <v>0</v>
      </c>
      <c r="BZ33" s="11">
        <f>ROUND(IFERROR(#REF!/_xlfn.XLOOKUP(BZ$7,'Product Tgt'!$B:$B,'Product Tgt'!$D:$D),0),0)</f>
        <v>0</v>
      </c>
      <c r="CA33" s="11">
        <f>ROUND(IFERROR(#REF!/_xlfn.XLOOKUP(CA$7,'Product Tgt'!$B:$B,'Product Tgt'!$D:$D),0),0)</f>
        <v>0</v>
      </c>
      <c r="CB33" s="11">
        <f>ROUND(IFERROR(AV33/_xlfn.XLOOKUP(CB$7,'Product Tgt'!$B:$B,'Product Tgt'!$D:$D),0),0)</f>
        <v>0</v>
      </c>
      <c r="CC33" s="11">
        <f>ROUND(IFERROR(AW33/_xlfn.XLOOKUP(CC$7,'Product Tgt'!$B:$B,'Product Tgt'!$D:$D),0),0)</f>
        <v>0</v>
      </c>
      <c r="CD33" s="11">
        <f>ROUND(IFERROR(AX33/_xlfn.XLOOKUP(CD$7,'Product Tgt'!$B:$B,'Product Tgt'!$D:$D),0),0)</f>
        <v>0</v>
      </c>
      <c r="CE33" s="11">
        <f>ROUND(IFERROR(AY33/_xlfn.XLOOKUP(CE$7,'Product Tgt'!$B:$B,'Product Tgt'!$D:$D),0),0)</f>
        <v>0</v>
      </c>
      <c r="CF33" s="11">
        <f>ROUND(IFERROR(AZ33/_xlfn.XLOOKUP(CF$7,'Product Tgt'!$B:$B,'Product Tgt'!$D:$D),0),0)</f>
        <v>0</v>
      </c>
      <c r="CG33" s="11">
        <f>ROUND(IFERROR(BA33/_xlfn.XLOOKUP(CG$7,'Product Tgt'!$B:$B,'Product Tgt'!$D:$D),0),0)</f>
        <v>0</v>
      </c>
      <c r="CH33" s="11">
        <f>ROUND(IFERROR(BB33/_xlfn.XLOOKUP(CH$7,'Product Tgt'!$B:$B,'Product Tgt'!$D:$D),0),0)</f>
        <v>0</v>
      </c>
      <c r="CI33" s="11">
        <f>ROUND(IFERROR(BC33/_xlfn.XLOOKUP(CI$7,'Product Tgt'!$B:$B,'Product Tgt'!$D:$D),0),0)</f>
        <v>0</v>
      </c>
      <c r="CJ33" s="11">
        <f>ROUND(IFERROR(BD33/_xlfn.XLOOKUP(CJ$7,'Product Tgt'!$B:$B,'Product Tgt'!$D:$D),0),0)</f>
        <v>0</v>
      </c>
      <c r="CK33" s="11">
        <f>ROUND(IFERROR(BE33/_xlfn.XLOOKUP(CK$7,'Product Tgt'!$B:$B,'Product Tgt'!$D:$D),0),0)</f>
        <v>0</v>
      </c>
      <c r="CL33" s="11">
        <f>ROUND(IFERROR(BF33/_xlfn.XLOOKUP(CL$7,'Product Tgt'!$B:$B,'Product Tgt'!$D:$D),0),0)</f>
        <v>0</v>
      </c>
      <c r="CM33" s="11">
        <f>ROUND(IFERROR(BG33/_xlfn.XLOOKUP(CM$7,'Product Tgt'!$B:$B,'Product Tgt'!$D:$D),0),0)</f>
        <v>0</v>
      </c>
      <c r="CN33" s="11">
        <f>ROUND(IFERROR(BH33/_xlfn.XLOOKUP(CN$7,'Product Tgt'!$B:$B,'Product Tgt'!$D:$D),0),0)</f>
        <v>0</v>
      </c>
      <c r="CO33" s="11">
        <f>ROUND(IFERROR(BI33/_xlfn.XLOOKUP(CO$7,'Product Tgt'!$B:$B,'Product Tgt'!$D:$D),0),0)</f>
        <v>0</v>
      </c>
      <c r="CP33" s="11">
        <f>ROUND(IFERROR(BJ33/_xlfn.XLOOKUP(CP$7,'Product Tgt'!$B:$B,'Product Tgt'!$D:$D),0),0)</f>
        <v>0</v>
      </c>
      <c r="CQ33" s="11">
        <f>ROUND(IFERROR(BK33/_xlfn.XLOOKUP(CQ$7,'Product Tgt'!$B:$B,'Product Tgt'!$D:$D),0),0)</f>
        <v>0</v>
      </c>
      <c r="CR33" s="11">
        <f>ROUND(IFERROR(BL33/_xlfn.XLOOKUP(CR$7,'Product Tgt'!$B:$B,'Product Tgt'!$D:$D),0),0)</f>
        <v>0</v>
      </c>
      <c r="CS33" s="11">
        <f>ROUND(IFERROR(BM33/_xlfn.XLOOKUP(CS$7,'Product Tgt'!$B:$B,'Product Tgt'!$D:$D),0),0)</f>
        <v>0</v>
      </c>
      <c r="CT33" s="11">
        <f>ROUND(IFERROR(BN33/_xlfn.XLOOKUP(CT$7,'Product Tgt'!$B:$B,'Product Tgt'!$D:$D),0),0)</f>
        <v>0</v>
      </c>
      <c r="CU33" s="11">
        <f>ROUND(IFERROR(BO33/_xlfn.XLOOKUP(CU$7,'Product Tgt'!$B:$B,'Product Tgt'!$D:$D),0),0)</f>
        <v>0</v>
      </c>
      <c r="CV33" s="11">
        <f>ROUND(IFERROR(BP33/_xlfn.XLOOKUP(CV$7,'Product Tgt'!$B:$B,'Product Tgt'!$D:$D),0),0)</f>
        <v>0</v>
      </c>
      <c r="CW33" s="11">
        <f>ROUND(IFERROR(BQ33/_xlfn.XLOOKUP(CW$7,'Product Tgt'!$B:$B,'Product Tgt'!$D:$D),0),0)</f>
        <v>0</v>
      </c>
      <c r="CX33" s="11">
        <f>ROUND(IFERROR(#REF!/_xlfn.XLOOKUP(CX$7,'Product Tgt'!$B:$B,'Product Tgt'!$D:$D),0),0)</f>
        <v>0</v>
      </c>
      <c r="CY33" s="11">
        <f>ROUND(IFERROR(#REF!/_xlfn.XLOOKUP(CY$7,'Product Tgt'!$B:$B,'Product Tgt'!$D:$D),0),0)</f>
        <v>0</v>
      </c>
      <c r="CZ33" s="11">
        <f>ROUND(IFERROR(#REF!/_xlfn.XLOOKUP(CZ$7,'Product Tgt'!$B:$B,'Product Tgt'!$D:$D),0),0)</f>
        <v>0</v>
      </c>
      <c r="DA33" s="10">
        <f>IFERROR(BR33*_xlfn.XLOOKUP(DA$7,'Product Tgt'!$B:$B,'Product Tgt'!$D:$D),0)</f>
        <v>0</v>
      </c>
      <c r="DB33">
        <f>IFERROR(BS33*_xlfn.XLOOKUP(DB$7,'Product Tgt'!$B:$B,'Product Tgt'!$D:$D),0)</f>
        <v>0</v>
      </c>
      <c r="DC33">
        <f>IFERROR(BT33*_xlfn.XLOOKUP(DC$7,'Product Tgt'!$B:$B,'Product Tgt'!$D:$D),0)</f>
        <v>0</v>
      </c>
      <c r="DD33">
        <f>IFERROR(BU33*_xlfn.XLOOKUP(DD$7,'Product Tgt'!$B:$B,'Product Tgt'!$D:$D),0)</f>
        <v>0</v>
      </c>
      <c r="DE33">
        <f>IFERROR(BV33*_xlfn.XLOOKUP(DE$7,'Product Tgt'!$B:$B,'Product Tgt'!$D:$D),0)</f>
        <v>0</v>
      </c>
      <c r="DF33">
        <f>IFERROR(BW33*_xlfn.XLOOKUP(DF$7,'Product Tgt'!$B:$B,'Product Tgt'!$D:$D),0)</f>
        <v>0</v>
      </c>
      <c r="DG33">
        <f>IFERROR(BX33*_xlfn.XLOOKUP(DG$7,'Product Tgt'!$B:$B,'Product Tgt'!$D:$D),0)</f>
        <v>0</v>
      </c>
      <c r="DH33">
        <f>IFERROR(BY33*_xlfn.XLOOKUP(DH$7,'Product Tgt'!$B:$B,'Product Tgt'!$D:$D),0)</f>
        <v>0</v>
      </c>
      <c r="DI33">
        <f>IFERROR(BZ33*_xlfn.XLOOKUP(DI$7,'Product Tgt'!$B:$B,'Product Tgt'!$D:$D),0)</f>
        <v>0</v>
      </c>
      <c r="DJ33">
        <f>IFERROR(CA33*_xlfn.XLOOKUP(DJ$7,'Product Tgt'!$B:$B,'Product Tgt'!$D:$D),0)</f>
        <v>0</v>
      </c>
      <c r="DK33">
        <f>IFERROR(CB33*_xlfn.XLOOKUP(DK$7,'Product Tgt'!$B:$B,'Product Tgt'!$D:$D),0)</f>
        <v>0</v>
      </c>
      <c r="DL33">
        <f>IFERROR(CC33*_xlfn.XLOOKUP(DL$7,'Product Tgt'!$B:$B,'Product Tgt'!$D:$D),0)</f>
        <v>0</v>
      </c>
      <c r="DM33">
        <f>IFERROR(CD33*_xlfn.XLOOKUP(DM$7,'Product Tgt'!$B:$B,'Product Tgt'!$D:$D),0)</f>
        <v>0</v>
      </c>
      <c r="DN33">
        <f>IFERROR(CE33*_xlfn.XLOOKUP(DN$7,'Product Tgt'!$B:$B,'Product Tgt'!$D:$D),0)</f>
        <v>0</v>
      </c>
      <c r="DO33">
        <f>IFERROR(CF33*_xlfn.XLOOKUP(DO$7,'Product Tgt'!$B:$B,'Product Tgt'!$D:$D),0)</f>
        <v>0</v>
      </c>
      <c r="DP33">
        <f>IFERROR(CG33*_xlfn.XLOOKUP(DP$7,'Product Tgt'!$B:$B,'Product Tgt'!$D:$D),0)</f>
        <v>0</v>
      </c>
      <c r="DQ33">
        <f>IFERROR(CH33*_xlfn.XLOOKUP(DQ$7,'Product Tgt'!$B:$B,'Product Tgt'!$D:$D),0)</f>
        <v>0</v>
      </c>
      <c r="DR33">
        <f>IFERROR(CI33*_xlfn.XLOOKUP(DR$7,'Product Tgt'!$B:$B,'Product Tgt'!$D:$D),0)</f>
        <v>0</v>
      </c>
      <c r="DS33">
        <f>IFERROR(CJ33*_xlfn.XLOOKUP(DS$7,'Product Tgt'!$B:$B,'Product Tgt'!$D:$D),0)</f>
        <v>0</v>
      </c>
      <c r="DT33">
        <f>IFERROR(CK33*_xlfn.XLOOKUP(DT$7,'Product Tgt'!$B:$B,'Product Tgt'!$D:$D),0)</f>
        <v>0</v>
      </c>
      <c r="DU33">
        <f>IFERROR(CL33*_xlfn.XLOOKUP(DU$7,'Product Tgt'!$B:$B,'Product Tgt'!$D:$D),0)</f>
        <v>0</v>
      </c>
      <c r="DV33">
        <f>IFERROR(CM33*_xlfn.XLOOKUP(DV$7,'Product Tgt'!$B:$B,'Product Tgt'!$D:$D),0)</f>
        <v>0</v>
      </c>
      <c r="DW33">
        <f>IFERROR(CN33*_xlfn.XLOOKUP(DW$7,'Product Tgt'!$B:$B,'Product Tgt'!$D:$D),0)</f>
        <v>0</v>
      </c>
      <c r="DX33">
        <f>IFERROR(CO33*_xlfn.XLOOKUP(DX$7,'Product Tgt'!$B:$B,'Product Tgt'!$D:$D),0)</f>
        <v>0</v>
      </c>
      <c r="DY33">
        <f>IFERROR(CP33*_xlfn.XLOOKUP(DY$7,'Product Tgt'!$B:$B,'Product Tgt'!$D:$D),0)</f>
        <v>0</v>
      </c>
      <c r="DZ33">
        <f>IFERROR(CQ33*_xlfn.XLOOKUP(DZ$7,'Product Tgt'!$B:$B,'Product Tgt'!$D:$D),0)</f>
        <v>0</v>
      </c>
      <c r="EA33">
        <f>IFERROR(CR33*_xlfn.XLOOKUP(EA$7,'Product Tgt'!$B:$B,'Product Tgt'!$D:$D),0)</f>
        <v>0</v>
      </c>
      <c r="EB33">
        <f>IFERROR(CS33*_xlfn.XLOOKUP(EB$7,'Product Tgt'!$B:$B,'Product Tgt'!$D:$D),0)</f>
        <v>0</v>
      </c>
      <c r="EC33">
        <f>IFERROR(CT33*_xlfn.XLOOKUP(EC$7,'Product Tgt'!$B:$B,'Product Tgt'!$D:$D),0)</f>
        <v>0</v>
      </c>
      <c r="ED33">
        <f>IFERROR(CU33*_xlfn.XLOOKUP(ED$7,'Product Tgt'!$B:$B,'Product Tgt'!$D:$D),0)</f>
        <v>0</v>
      </c>
      <c r="EE33">
        <f>IFERROR(CV33*_xlfn.XLOOKUP(EE$7,'Product Tgt'!$B:$B,'Product Tgt'!$D:$D),0)</f>
        <v>0</v>
      </c>
      <c r="EF33">
        <f>IFERROR(CW33*_xlfn.XLOOKUP(EF$7,'Product Tgt'!$B:$B,'Product Tgt'!$D:$D),0)</f>
        <v>0</v>
      </c>
      <c r="EG33">
        <f>IFERROR(CX33*_xlfn.XLOOKUP(EG$7,'Product Tgt'!$B:$B,'Product Tgt'!$D:$D),0)</f>
        <v>0</v>
      </c>
      <c r="EH33">
        <f>IFERROR(CY33*_xlfn.XLOOKUP(EH$7,'Product Tgt'!$B:$B,'Product Tgt'!$D:$D),0)</f>
        <v>0</v>
      </c>
      <c r="EI33">
        <f>IFERROR(CZ33*_xlfn.XLOOKUP(EI$7,'Product Tgt'!$B:$B,'Product Tgt'!$D:$D),0)</f>
        <v>0</v>
      </c>
    </row>
    <row r="34" spans="2:139" x14ac:dyDescent="0.35">
      <c r="B34" s="7" t="s">
        <v>97</v>
      </c>
      <c r="C34" s="3">
        <f>_xlfn.XLOOKUP($B34,'Terr Target'!$A:$A,'Terr Target'!$E:$E)</f>
        <v>362587.10810577706</v>
      </c>
      <c r="D34" s="3">
        <f t="shared" si="3"/>
        <v>362584</v>
      </c>
      <c r="E34" s="4">
        <f t="shared" si="4"/>
        <v>-3.1081057770643383</v>
      </c>
      <c r="F34" s="9">
        <f>ABS(E34)/D34</f>
        <v>8.5720985401019851E-6</v>
      </c>
      <c r="G34" s="5">
        <f t="shared" si="6"/>
        <v>1.0000085720985401</v>
      </c>
      <c r="H34" s="38">
        <v>37479.013434288245</v>
      </c>
      <c r="I34" s="11">
        <v>70830.781528699285</v>
      </c>
      <c r="J34" s="11">
        <v>30565.104515232531</v>
      </c>
      <c r="K34" s="11">
        <v>32442.238237607053</v>
      </c>
      <c r="L34" s="11">
        <v>32399.455932538847</v>
      </c>
      <c r="M34" s="11">
        <v>22143.475332659178</v>
      </c>
      <c r="N34" s="11">
        <v>663.90119751693226</v>
      </c>
      <c r="O34" s="11">
        <v>4373.4544671575732</v>
      </c>
      <c r="P34" s="11">
        <v>2951.3260232135312</v>
      </c>
      <c r="Q34" s="11">
        <v>326.54045566472371</v>
      </c>
      <c r="R34" s="11">
        <v>6631.4840308812982</v>
      </c>
      <c r="S34" s="11">
        <v>16134.824388769302</v>
      </c>
      <c r="T34" s="11">
        <v>0</v>
      </c>
      <c r="U34" s="11">
        <v>1458.4167633372749</v>
      </c>
      <c r="V34" s="11">
        <v>15093.083876680341</v>
      </c>
      <c r="W34" s="11">
        <v>19669.684001865815</v>
      </c>
      <c r="X34" s="11">
        <v>3932.6797243751867</v>
      </c>
      <c r="Y34" s="11">
        <v>3861.0009970158467</v>
      </c>
      <c r="Z34" s="11">
        <v>316.55459221759816</v>
      </c>
      <c r="AA34" s="11">
        <v>4553.9618734470305</v>
      </c>
      <c r="AB34" s="11">
        <v>1375.9268196028454</v>
      </c>
      <c r="AC34" s="11">
        <v>6008.8504797625683</v>
      </c>
      <c r="AD34" s="11">
        <v>12421.969707416805</v>
      </c>
      <c r="AE34" s="11">
        <v>17009.517096163294</v>
      </c>
      <c r="AF34" s="11">
        <v>588.60361501190391</v>
      </c>
      <c r="AG34" s="11">
        <v>16717.487276662341</v>
      </c>
      <c r="AH34" s="11">
        <v>1331.4575294291337</v>
      </c>
      <c r="AI34" s="11">
        <v>8878.5028423572385</v>
      </c>
      <c r="AJ34" s="11">
        <v>10262.483655367032</v>
      </c>
      <c r="AK34" s="11">
        <v>228.58648179646227</v>
      </c>
      <c r="AL34" s="49">
        <v>447.08733220945169</v>
      </c>
      <c r="AM34" s="41">
        <f>IFERROR(ROUND(_xlfn.XLOOKUP(AM$7,'Product Tgt'!$B:$B,'Product Tgt'!$G:$G)*H34/H$121,0),0)</f>
        <v>36436</v>
      </c>
      <c r="AN34" s="41">
        <f>IFERROR(ROUND(_xlfn.XLOOKUP(AN$7,'Product Tgt'!$B:$B,'Product Tgt'!$G:$G)*I34/I$121,0),0)</f>
        <v>69726</v>
      </c>
      <c r="AO34" s="41">
        <f>IFERROR(ROUND(_xlfn.XLOOKUP(AO$7,'Product Tgt'!$B:$B,'Product Tgt'!$G:$G)*J34/J$121,0),0)</f>
        <v>29614</v>
      </c>
      <c r="AP34" s="41">
        <f>IFERROR(ROUND(_xlfn.XLOOKUP(AP$7,'Product Tgt'!$B:$B,'Product Tgt'!$G:$G)*K34/K$121,0),0)</f>
        <v>31648</v>
      </c>
      <c r="AQ34" s="41">
        <f>IFERROR(ROUND(_xlfn.XLOOKUP(AQ$7,'Product Tgt'!$B:$B,'Product Tgt'!$G:$G)*L34/L$121,0),0)</f>
        <v>31328</v>
      </c>
      <c r="AR34" s="41">
        <f>IFERROR(ROUND(_xlfn.XLOOKUP(AR$7,'Product Tgt'!$B:$B,'Product Tgt'!$G:$G)*M34/M$121,0),0)</f>
        <v>21453</v>
      </c>
      <c r="AS34" s="41">
        <f>IFERROR(ROUND(_xlfn.XLOOKUP(AS$7,'Product Tgt'!$B:$B,'Product Tgt'!$G:$G)*N34/N$121,0),0)</f>
        <v>613</v>
      </c>
      <c r="AT34" s="41">
        <f>IFERROR(ROUND(_xlfn.XLOOKUP(AT$7,'Product Tgt'!$B:$B,'Product Tgt'!$G:$G)*O34/O$121,0),0)</f>
        <v>3936</v>
      </c>
      <c r="AU34" s="41">
        <f>IFERROR(ROUND(_xlfn.XLOOKUP(AU$7,'Product Tgt'!$B:$B,'Product Tgt'!$G:$G)*P34/P$121,0),0)</f>
        <v>1258</v>
      </c>
      <c r="AV34" s="41">
        <f>IFERROR(ROUND(_xlfn.XLOOKUP(AV$7,'Product Tgt'!$B:$B,'Product Tgt'!$G:$G)*Q34/Q$121,0),0)</f>
        <v>245</v>
      </c>
      <c r="AW34" s="41">
        <f>IFERROR(ROUND(_xlfn.XLOOKUP(AW$7,'Product Tgt'!$B:$B,'Product Tgt'!$G:$G)*R34/R$121,0),0)</f>
        <v>6387</v>
      </c>
      <c r="AX34" s="41">
        <f>IFERROR(ROUND(_xlfn.XLOOKUP(AX$7,'Product Tgt'!$B:$B,'Product Tgt'!$G:$G)*S34/S$121,0),0)</f>
        <v>15540</v>
      </c>
      <c r="AY34" s="41">
        <f>IFERROR(ROUND(_xlfn.XLOOKUP(AY$7,'Product Tgt'!$B:$B,'Product Tgt'!$G:$G)*T34/T$121,0),0)</f>
        <v>0</v>
      </c>
      <c r="AZ34" s="41">
        <f>IFERROR(ROUND(_xlfn.XLOOKUP(AZ$7,'Product Tgt'!$B:$B,'Product Tgt'!$G:$G)*U34/U$121,0),0)</f>
        <v>1396</v>
      </c>
      <c r="BA34" s="41">
        <f>IFERROR(ROUND(_xlfn.XLOOKUP(BA$7,'Product Tgt'!$B:$B,'Product Tgt'!$G:$G)*V34/V$121,0),0)</f>
        <v>14532</v>
      </c>
      <c r="BB34" s="41">
        <f>IFERROR(ROUND(_xlfn.XLOOKUP(BB$7,'Product Tgt'!$B:$B,'Product Tgt'!$G:$G)*W34/W$121,0),0)</f>
        <v>18828</v>
      </c>
      <c r="BC34" s="41">
        <f>IFERROR(ROUND(_xlfn.XLOOKUP(BC$7,'Product Tgt'!$B:$B,'Product Tgt'!$G:$G)*X34/X$121,0),0)</f>
        <v>3805</v>
      </c>
      <c r="BD34" s="41">
        <f>IFERROR(ROUND(_xlfn.XLOOKUP(BD$7,'Product Tgt'!$B:$B,'Product Tgt'!$G:$G)*Y34/Y$121,0),0)</f>
        <v>3734</v>
      </c>
      <c r="BE34" s="41">
        <f>IFERROR(ROUND(_xlfn.XLOOKUP(BE$7,'Product Tgt'!$B:$B,'Product Tgt'!$G:$G)*Z34/Z$121,0),0)</f>
        <v>301</v>
      </c>
      <c r="BF34" s="41">
        <f>IFERROR(ROUND(_xlfn.XLOOKUP(BF$7,'Product Tgt'!$B:$B,'Product Tgt'!$G:$G)*AA34/AA$121,0),0)</f>
        <v>3690</v>
      </c>
      <c r="BG34" s="41">
        <f>IFERROR(ROUND(_xlfn.XLOOKUP(BG$7,'Product Tgt'!$B:$B,'Product Tgt'!$G:$G)*AB34/AB$121,0),0)</f>
        <v>1103</v>
      </c>
      <c r="BH34" s="41">
        <f>IFERROR(ROUND(_xlfn.XLOOKUP(BH$7,'Product Tgt'!$B:$B,'Product Tgt'!$G:$G)*AC34/AC$121,0),0)</f>
        <v>5142</v>
      </c>
      <c r="BI34" s="41">
        <f>IFERROR(ROUND(_xlfn.XLOOKUP(BI$7,'Product Tgt'!$B:$B,'Product Tgt'!$G:$G)*AD34/AD$121,0),0)</f>
        <v>10814</v>
      </c>
      <c r="BJ34" s="41">
        <f>IFERROR(ROUND(_xlfn.XLOOKUP(BJ$7,'Product Tgt'!$B:$B,'Product Tgt'!$G:$G)*AE34/AE$121,0),0)</f>
        <v>15831</v>
      </c>
      <c r="BK34" s="41">
        <f>IFERROR(ROUND(_xlfn.XLOOKUP(BK$7,'Product Tgt'!$B:$B,'Product Tgt'!$G:$G)*AF34/AF$121,0),0)</f>
        <v>658</v>
      </c>
      <c r="BL34" s="41">
        <f>IFERROR(ROUND(_xlfn.XLOOKUP(BL$7,'Product Tgt'!$B:$B,'Product Tgt'!$G:$G)*AG34/AG$121,0),0)</f>
        <v>15968</v>
      </c>
      <c r="BM34" s="41">
        <f>IFERROR(ROUND(_xlfn.XLOOKUP(BM$7,'Product Tgt'!$B:$B,'Product Tgt'!$G:$G)*AH34/AH$121,0),0)</f>
        <v>1044</v>
      </c>
      <c r="BN34" s="41">
        <f>IFERROR(ROUND(_xlfn.XLOOKUP(BN$7,'Product Tgt'!$B:$B,'Product Tgt'!$G:$G)*AI34/AI$121,0),0)</f>
        <v>8154</v>
      </c>
      <c r="BO34" s="41">
        <f>IFERROR(ROUND(_xlfn.XLOOKUP(BO$7,'Product Tgt'!$B:$B,'Product Tgt'!$G:$G)*AJ34/AJ$121,0),0)</f>
        <v>8877</v>
      </c>
      <c r="BP34" s="41">
        <f>IFERROR(ROUND(_xlfn.XLOOKUP(BP$7,'Product Tgt'!$B:$B,'Product Tgt'!$G:$G)*AK34/AK$121,0),0)</f>
        <v>174</v>
      </c>
      <c r="BQ34" s="41">
        <f>IFERROR(ROUND(_xlfn.XLOOKUP(BQ$7,'Product Tgt'!$B:$B,'Product Tgt'!$G:$G)*AL34/AL$121,0),0)</f>
        <v>349</v>
      </c>
      <c r="BR34" s="25">
        <f>ROUND(IFERROR(AM34/_xlfn.XLOOKUP(BR$7,'Product Tgt'!$B:$B,'Product Tgt'!$D:$D),0),0)</f>
        <v>0</v>
      </c>
      <c r="BS34" s="11">
        <f>ROUND(IFERROR(AN34/_xlfn.XLOOKUP(BS$7,'Product Tgt'!$B:$B,'Product Tgt'!$D:$D),0),0)</f>
        <v>0</v>
      </c>
      <c r="BT34" s="11">
        <f>ROUND(IFERROR(AO34/_xlfn.XLOOKUP(BT$7,'Product Tgt'!$B:$B,'Product Tgt'!$D:$D),0),0)</f>
        <v>0</v>
      </c>
      <c r="BU34" s="11">
        <f>ROUND(IFERROR(AP34/_xlfn.XLOOKUP(BU$7,'Product Tgt'!$B:$B,'Product Tgt'!$D:$D),0),0)</f>
        <v>0</v>
      </c>
      <c r="BV34" s="11">
        <f>ROUND(IFERROR(AQ34/_xlfn.XLOOKUP(BV$7,'Product Tgt'!$B:$B,'Product Tgt'!$D:$D),0),0)</f>
        <v>0</v>
      </c>
      <c r="BW34" s="11">
        <f>ROUND(IFERROR(AU34/_xlfn.XLOOKUP(BW$7,'Product Tgt'!$B:$B,'Product Tgt'!$D:$D),0),0)</f>
        <v>0</v>
      </c>
      <c r="BX34" s="11">
        <f>ROUND(IFERROR(#REF!/_xlfn.XLOOKUP(BX$7,'Product Tgt'!$B:$B,'Product Tgt'!$D:$D),0),0)</f>
        <v>0</v>
      </c>
      <c r="BY34" s="11">
        <f>ROUND(IFERROR(#REF!/_xlfn.XLOOKUP(BY$7,'Product Tgt'!$B:$B,'Product Tgt'!$D:$D),0),0)</f>
        <v>0</v>
      </c>
      <c r="BZ34" s="11">
        <f>ROUND(IFERROR(#REF!/_xlfn.XLOOKUP(BZ$7,'Product Tgt'!$B:$B,'Product Tgt'!$D:$D),0),0)</f>
        <v>0</v>
      </c>
      <c r="CA34" s="11">
        <f>ROUND(IFERROR(#REF!/_xlfn.XLOOKUP(CA$7,'Product Tgt'!$B:$B,'Product Tgt'!$D:$D),0),0)</f>
        <v>0</v>
      </c>
      <c r="CB34" s="11">
        <f>ROUND(IFERROR(AV34/_xlfn.XLOOKUP(CB$7,'Product Tgt'!$B:$B,'Product Tgt'!$D:$D),0),0)</f>
        <v>0</v>
      </c>
      <c r="CC34" s="11">
        <f>ROUND(IFERROR(AW34/_xlfn.XLOOKUP(CC$7,'Product Tgt'!$B:$B,'Product Tgt'!$D:$D),0),0)</f>
        <v>0</v>
      </c>
      <c r="CD34" s="11">
        <f>ROUND(IFERROR(AX34/_xlfn.XLOOKUP(CD$7,'Product Tgt'!$B:$B,'Product Tgt'!$D:$D),0),0)</f>
        <v>0</v>
      </c>
      <c r="CE34" s="11">
        <f>ROUND(IFERROR(AY34/_xlfn.XLOOKUP(CE$7,'Product Tgt'!$B:$B,'Product Tgt'!$D:$D),0),0)</f>
        <v>0</v>
      </c>
      <c r="CF34" s="11">
        <f>ROUND(IFERROR(AZ34/_xlfn.XLOOKUP(CF$7,'Product Tgt'!$B:$B,'Product Tgt'!$D:$D),0),0)</f>
        <v>0</v>
      </c>
      <c r="CG34" s="11">
        <f>ROUND(IFERROR(BA34/_xlfn.XLOOKUP(CG$7,'Product Tgt'!$B:$B,'Product Tgt'!$D:$D),0),0)</f>
        <v>0</v>
      </c>
      <c r="CH34" s="11">
        <f>ROUND(IFERROR(BB34/_xlfn.XLOOKUP(CH$7,'Product Tgt'!$B:$B,'Product Tgt'!$D:$D),0),0)</f>
        <v>0</v>
      </c>
      <c r="CI34" s="11">
        <f>ROUND(IFERROR(BC34/_xlfn.XLOOKUP(CI$7,'Product Tgt'!$B:$B,'Product Tgt'!$D:$D),0),0)</f>
        <v>0</v>
      </c>
      <c r="CJ34" s="11">
        <f>ROUND(IFERROR(BD34/_xlfn.XLOOKUP(CJ$7,'Product Tgt'!$B:$B,'Product Tgt'!$D:$D),0),0)</f>
        <v>0</v>
      </c>
      <c r="CK34" s="11">
        <f>ROUND(IFERROR(BE34/_xlfn.XLOOKUP(CK$7,'Product Tgt'!$B:$B,'Product Tgt'!$D:$D),0),0)</f>
        <v>0</v>
      </c>
      <c r="CL34" s="11">
        <f>ROUND(IFERROR(BF34/_xlfn.XLOOKUP(CL$7,'Product Tgt'!$B:$B,'Product Tgt'!$D:$D),0),0)</f>
        <v>0</v>
      </c>
      <c r="CM34" s="11">
        <f>ROUND(IFERROR(BG34/_xlfn.XLOOKUP(CM$7,'Product Tgt'!$B:$B,'Product Tgt'!$D:$D),0),0)</f>
        <v>0</v>
      </c>
      <c r="CN34" s="11">
        <f>ROUND(IFERROR(BH34/_xlfn.XLOOKUP(CN$7,'Product Tgt'!$B:$B,'Product Tgt'!$D:$D),0),0)</f>
        <v>0</v>
      </c>
      <c r="CO34" s="11">
        <f>ROUND(IFERROR(BI34/_xlfn.XLOOKUP(CO$7,'Product Tgt'!$B:$B,'Product Tgt'!$D:$D),0),0)</f>
        <v>0</v>
      </c>
      <c r="CP34" s="11">
        <f>ROUND(IFERROR(BJ34/_xlfn.XLOOKUP(CP$7,'Product Tgt'!$B:$B,'Product Tgt'!$D:$D),0),0)</f>
        <v>0</v>
      </c>
      <c r="CQ34" s="11">
        <f>ROUND(IFERROR(BK34/_xlfn.XLOOKUP(CQ$7,'Product Tgt'!$B:$B,'Product Tgt'!$D:$D),0),0)</f>
        <v>0</v>
      </c>
      <c r="CR34" s="11">
        <f>ROUND(IFERROR(BL34/_xlfn.XLOOKUP(CR$7,'Product Tgt'!$B:$B,'Product Tgt'!$D:$D),0),0)</f>
        <v>0</v>
      </c>
      <c r="CS34" s="11">
        <f>ROUND(IFERROR(BM34/_xlfn.XLOOKUP(CS$7,'Product Tgt'!$B:$B,'Product Tgt'!$D:$D),0),0)</f>
        <v>0</v>
      </c>
      <c r="CT34" s="11">
        <f>ROUND(IFERROR(BN34/_xlfn.XLOOKUP(CT$7,'Product Tgt'!$B:$B,'Product Tgt'!$D:$D),0),0)</f>
        <v>0</v>
      </c>
      <c r="CU34" s="11">
        <f>ROUND(IFERROR(BO34/_xlfn.XLOOKUP(CU$7,'Product Tgt'!$B:$B,'Product Tgt'!$D:$D),0),0)</f>
        <v>0</v>
      </c>
      <c r="CV34" s="11">
        <f>ROUND(IFERROR(BP34/_xlfn.XLOOKUP(CV$7,'Product Tgt'!$B:$B,'Product Tgt'!$D:$D),0),0)</f>
        <v>0</v>
      </c>
      <c r="CW34" s="11">
        <f>ROUND(IFERROR(BQ34/_xlfn.XLOOKUP(CW$7,'Product Tgt'!$B:$B,'Product Tgt'!$D:$D),0),0)</f>
        <v>0</v>
      </c>
      <c r="CX34" s="11">
        <f>ROUND(IFERROR(#REF!/_xlfn.XLOOKUP(CX$7,'Product Tgt'!$B:$B,'Product Tgt'!$D:$D),0),0)</f>
        <v>0</v>
      </c>
      <c r="CY34" s="11">
        <f>ROUND(IFERROR(#REF!/_xlfn.XLOOKUP(CY$7,'Product Tgt'!$B:$B,'Product Tgt'!$D:$D),0),0)</f>
        <v>0</v>
      </c>
      <c r="CZ34" s="11">
        <f>ROUND(IFERROR(#REF!/_xlfn.XLOOKUP(CZ$7,'Product Tgt'!$B:$B,'Product Tgt'!$D:$D),0),0)</f>
        <v>0</v>
      </c>
      <c r="DA34" s="10">
        <f>IFERROR(BR34*_xlfn.XLOOKUP(DA$7,'Product Tgt'!$B:$B,'Product Tgt'!$D:$D),0)</f>
        <v>0</v>
      </c>
      <c r="DB34">
        <f>IFERROR(BS34*_xlfn.XLOOKUP(DB$7,'Product Tgt'!$B:$B,'Product Tgt'!$D:$D),0)</f>
        <v>0</v>
      </c>
      <c r="DC34">
        <f>IFERROR(BT34*_xlfn.XLOOKUP(DC$7,'Product Tgt'!$B:$B,'Product Tgt'!$D:$D),0)</f>
        <v>0</v>
      </c>
      <c r="DD34">
        <f>IFERROR(BU34*_xlfn.XLOOKUP(DD$7,'Product Tgt'!$B:$B,'Product Tgt'!$D:$D),0)</f>
        <v>0</v>
      </c>
      <c r="DE34">
        <f>IFERROR(BV34*_xlfn.XLOOKUP(DE$7,'Product Tgt'!$B:$B,'Product Tgt'!$D:$D),0)</f>
        <v>0</v>
      </c>
      <c r="DF34">
        <f>IFERROR(BW34*_xlfn.XLOOKUP(DF$7,'Product Tgt'!$B:$B,'Product Tgt'!$D:$D),0)</f>
        <v>0</v>
      </c>
      <c r="DG34">
        <f>IFERROR(BX34*_xlfn.XLOOKUP(DG$7,'Product Tgt'!$B:$B,'Product Tgt'!$D:$D),0)</f>
        <v>0</v>
      </c>
      <c r="DH34">
        <f>IFERROR(BY34*_xlfn.XLOOKUP(DH$7,'Product Tgt'!$B:$B,'Product Tgt'!$D:$D),0)</f>
        <v>0</v>
      </c>
      <c r="DI34">
        <f>IFERROR(BZ34*_xlfn.XLOOKUP(DI$7,'Product Tgt'!$B:$B,'Product Tgt'!$D:$D),0)</f>
        <v>0</v>
      </c>
      <c r="DJ34">
        <f>IFERROR(CA34*_xlfn.XLOOKUP(DJ$7,'Product Tgt'!$B:$B,'Product Tgt'!$D:$D),0)</f>
        <v>0</v>
      </c>
      <c r="DK34">
        <f>IFERROR(CB34*_xlfn.XLOOKUP(DK$7,'Product Tgt'!$B:$B,'Product Tgt'!$D:$D),0)</f>
        <v>0</v>
      </c>
      <c r="DL34">
        <f>IFERROR(CC34*_xlfn.XLOOKUP(DL$7,'Product Tgt'!$B:$B,'Product Tgt'!$D:$D),0)</f>
        <v>0</v>
      </c>
      <c r="DM34">
        <f>IFERROR(CD34*_xlfn.XLOOKUP(DM$7,'Product Tgt'!$B:$B,'Product Tgt'!$D:$D),0)</f>
        <v>0</v>
      </c>
      <c r="DN34">
        <f>IFERROR(CE34*_xlfn.XLOOKUP(DN$7,'Product Tgt'!$B:$B,'Product Tgt'!$D:$D),0)</f>
        <v>0</v>
      </c>
      <c r="DO34">
        <f>IFERROR(CF34*_xlfn.XLOOKUP(DO$7,'Product Tgt'!$B:$B,'Product Tgt'!$D:$D),0)</f>
        <v>0</v>
      </c>
      <c r="DP34">
        <f>IFERROR(CG34*_xlfn.XLOOKUP(DP$7,'Product Tgt'!$B:$B,'Product Tgt'!$D:$D),0)</f>
        <v>0</v>
      </c>
      <c r="DQ34">
        <f>IFERROR(CH34*_xlfn.XLOOKUP(DQ$7,'Product Tgt'!$B:$B,'Product Tgt'!$D:$D),0)</f>
        <v>0</v>
      </c>
      <c r="DR34">
        <f>IFERROR(CI34*_xlfn.XLOOKUP(DR$7,'Product Tgt'!$B:$B,'Product Tgt'!$D:$D),0)</f>
        <v>0</v>
      </c>
      <c r="DS34">
        <f>IFERROR(CJ34*_xlfn.XLOOKUP(DS$7,'Product Tgt'!$B:$B,'Product Tgt'!$D:$D),0)</f>
        <v>0</v>
      </c>
      <c r="DT34">
        <f>IFERROR(CK34*_xlfn.XLOOKUP(DT$7,'Product Tgt'!$B:$B,'Product Tgt'!$D:$D),0)</f>
        <v>0</v>
      </c>
      <c r="DU34">
        <f>IFERROR(CL34*_xlfn.XLOOKUP(DU$7,'Product Tgt'!$B:$B,'Product Tgt'!$D:$D),0)</f>
        <v>0</v>
      </c>
      <c r="DV34">
        <f>IFERROR(CM34*_xlfn.XLOOKUP(DV$7,'Product Tgt'!$B:$B,'Product Tgt'!$D:$D),0)</f>
        <v>0</v>
      </c>
      <c r="DW34">
        <f>IFERROR(CN34*_xlfn.XLOOKUP(DW$7,'Product Tgt'!$B:$B,'Product Tgt'!$D:$D),0)</f>
        <v>0</v>
      </c>
      <c r="DX34">
        <f>IFERROR(CO34*_xlfn.XLOOKUP(DX$7,'Product Tgt'!$B:$B,'Product Tgt'!$D:$D),0)</f>
        <v>0</v>
      </c>
      <c r="DY34">
        <f>IFERROR(CP34*_xlfn.XLOOKUP(DY$7,'Product Tgt'!$B:$B,'Product Tgt'!$D:$D),0)</f>
        <v>0</v>
      </c>
      <c r="DZ34">
        <f>IFERROR(CQ34*_xlfn.XLOOKUP(DZ$7,'Product Tgt'!$B:$B,'Product Tgt'!$D:$D),0)</f>
        <v>0</v>
      </c>
      <c r="EA34">
        <f>IFERROR(CR34*_xlfn.XLOOKUP(EA$7,'Product Tgt'!$B:$B,'Product Tgt'!$D:$D),0)</f>
        <v>0</v>
      </c>
      <c r="EB34">
        <f>IFERROR(CS34*_xlfn.XLOOKUP(EB$7,'Product Tgt'!$B:$B,'Product Tgt'!$D:$D),0)</f>
        <v>0</v>
      </c>
      <c r="EC34">
        <f>IFERROR(CT34*_xlfn.XLOOKUP(EC$7,'Product Tgt'!$B:$B,'Product Tgt'!$D:$D),0)</f>
        <v>0</v>
      </c>
      <c r="ED34">
        <f>IFERROR(CU34*_xlfn.XLOOKUP(ED$7,'Product Tgt'!$B:$B,'Product Tgt'!$D:$D),0)</f>
        <v>0</v>
      </c>
      <c r="EE34">
        <f>IFERROR(CV34*_xlfn.XLOOKUP(EE$7,'Product Tgt'!$B:$B,'Product Tgt'!$D:$D),0)</f>
        <v>0</v>
      </c>
      <c r="EF34">
        <f>IFERROR(CW34*_xlfn.XLOOKUP(EF$7,'Product Tgt'!$B:$B,'Product Tgt'!$D:$D),0)</f>
        <v>0</v>
      </c>
      <c r="EG34">
        <f>IFERROR(CX34*_xlfn.XLOOKUP(EG$7,'Product Tgt'!$B:$B,'Product Tgt'!$D:$D),0)</f>
        <v>0</v>
      </c>
      <c r="EH34">
        <f>IFERROR(CY34*_xlfn.XLOOKUP(EH$7,'Product Tgt'!$B:$B,'Product Tgt'!$D:$D),0)</f>
        <v>0</v>
      </c>
      <c r="EI34">
        <f>IFERROR(CZ34*_xlfn.XLOOKUP(EI$7,'Product Tgt'!$B:$B,'Product Tgt'!$D:$D),0)</f>
        <v>0</v>
      </c>
    </row>
    <row r="35" spans="2:139" x14ac:dyDescent="0.35">
      <c r="B35" s="7" t="s">
        <v>98</v>
      </c>
      <c r="C35" s="3">
        <f>_xlfn.XLOOKUP($B35,'Terr Target'!$A:$A,'Terr Target'!$E:$E)</f>
        <v>345064</v>
      </c>
      <c r="D35" s="3">
        <f t="shared" si="3"/>
        <v>345067</v>
      </c>
      <c r="E35" s="4">
        <f t="shared" si="4"/>
        <v>3</v>
      </c>
      <c r="F35" s="9">
        <f t="shared" ref="F35:F98" si="7">ABS(E35)/D35</f>
        <v>8.6939637809468884E-6</v>
      </c>
      <c r="G35" s="5">
        <f t="shared" si="6"/>
        <v>0.99999130603621911</v>
      </c>
      <c r="H35" s="38">
        <v>33355.21528950728</v>
      </c>
      <c r="I35" s="11">
        <v>69209.812783570538</v>
      </c>
      <c r="J35" s="11">
        <v>24654.296812716126</v>
      </c>
      <c r="K35" s="11">
        <v>25047.748802974071</v>
      </c>
      <c r="L35" s="11">
        <v>36669.092620763287</v>
      </c>
      <c r="M35" s="11">
        <v>40018.043269921138</v>
      </c>
      <c r="N35" s="11">
        <v>422.58448423112884</v>
      </c>
      <c r="O35" s="11">
        <v>3067.3739686217054</v>
      </c>
      <c r="P35" s="11">
        <v>471.59117784193222</v>
      </c>
      <c r="Q35" s="11">
        <v>386.90891785542425</v>
      </c>
      <c r="R35" s="11">
        <v>5002.8168268090012</v>
      </c>
      <c r="S35" s="11">
        <v>11460.829288101681</v>
      </c>
      <c r="T35" s="11">
        <v>0</v>
      </c>
      <c r="U35" s="11">
        <v>1075.8913795609849</v>
      </c>
      <c r="V35" s="11">
        <v>20167.168001157646</v>
      </c>
      <c r="W35" s="11">
        <v>34342.423029390979</v>
      </c>
      <c r="X35" s="11">
        <v>2131.3573490167382</v>
      </c>
      <c r="Y35" s="11">
        <v>2219.1325121825989</v>
      </c>
      <c r="Z35" s="11">
        <v>0</v>
      </c>
      <c r="AA35" s="11">
        <v>5200.7830454900932</v>
      </c>
      <c r="AB35" s="11">
        <v>825.8051488872328</v>
      </c>
      <c r="AC35" s="11">
        <v>553.27240306035515</v>
      </c>
      <c r="AD35" s="11">
        <v>2292.6068259944218</v>
      </c>
      <c r="AE35" s="11">
        <v>4014.6189496038614</v>
      </c>
      <c r="AF35" s="11">
        <v>560.39730873424412</v>
      </c>
      <c r="AG35" s="11">
        <v>17537.679711043806</v>
      </c>
      <c r="AH35" s="11">
        <v>1571.9501776039369</v>
      </c>
      <c r="AI35" s="11">
        <v>9771.7979241374196</v>
      </c>
      <c r="AJ35" s="11">
        <v>6410.4042090533967</v>
      </c>
      <c r="AK35" s="11">
        <v>254.19989397830386</v>
      </c>
      <c r="AL35" s="49">
        <v>676.6823021969127</v>
      </c>
      <c r="AM35" s="41">
        <f>IFERROR(ROUND(_xlfn.XLOOKUP(AM$7,'Product Tgt'!$B:$B,'Product Tgt'!$G:$G)*H35/H$121,0),0)</f>
        <v>32427</v>
      </c>
      <c r="AN35" s="41">
        <f>IFERROR(ROUND(_xlfn.XLOOKUP(AN$7,'Product Tgt'!$B:$B,'Product Tgt'!$G:$G)*I35/I$121,0),0)</f>
        <v>68130</v>
      </c>
      <c r="AO35" s="41">
        <f>IFERROR(ROUND(_xlfn.XLOOKUP(AO$7,'Product Tgt'!$B:$B,'Product Tgt'!$G:$G)*J35/J$121,0),0)</f>
        <v>23887</v>
      </c>
      <c r="AP35" s="41">
        <f>IFERROR(ROUND(_xlfn.XLOOKUP(AP$7,'Product Tgt'!$B:$B,'Product Tgt'!$G:$G)*K35/K$121,0),0)</f>
        <v>24435</v>
      </c>
      <c r="AQ35" s="41">
        <f>IFERROR(ROUND(_xlfn.XLOOKUP(AQ$7,'Product Tgt'!$B:$B,'Product Tgt'!$G:$G)*L35/L$121,0),0)</f>
        <v>35457</v>
      </c>
      <c r="AR35" s="41">
        <f>IFERROR(ROUND(_xlfn.XLOOKUP(AR$7,'Product Tgt'!$B:$B,'Product Tgt'!$G:$G)*M35/M$121,0),0)</f>
        <v>38769</v>
      </c>
      <c r="AS35" s="41">
        <f>IFERROR(ROUND(_xlfn.XLOOKUP(AS$7,'Product Tgt'!$B:$B,'Product Tgt'!$G:$G)*N35/N$121,0),0)</f>
        <v>390</v>
      </c>
      <c r="AT35" s="41">
        <f>IFERROR(ROUND(_xlfn.XLOOKUP(AT$7,'Product Tgt'!$B:$B,'Product Tgt'!$G:$G)*O35/O$121,0),0)</f>
        <v>2761</v>
      </c>
      <c r="AU35" s="41">
        <f>IFERROR(ROUND(_xlfn.XLOOKUP(AU$7,'Product Tgt'!$B:$B,'Product Tgt'!$G:$G)*P35/P$121,0),0)</f>
        <v>201</v>
      </c>
      <c r="AV35" s="41">
        <f>IFERROR(ROUND(_xlfn.XLOOKUP(AV$7,'Product Tgt'!$B:$B,'Product Tgt'!$G:$G)*Q35/Q$121,0),0)</f>
        <v>290</v>
      </c>
      <c r="AW35" s="41">
        <f>IFERROR(ROUND(_xlfn.XLOOKUP(AW$7,'Product Tgt'!$B:$B,'Product Tgt'!$G:$G)*R35/R$121,0),0)</f>
        <v>4818</v>
      </c>
      <c r="AX35" s="41">
        <f>IFERROR(ROUND(_xlfn.XLOOKUP(AX$7,'Product Tgt'!$B:$B,'Product Tgt'!$G:$G)*S35/S$121,0),0)</f>
        <v>11038</v>
      </c>
      <c r="AY35" s="41">
        <f>IFERROR(ROUND(_xlfn.XLOOKUP(AY$7,'Product Tgt'!$B:$B,'Product Tgt'!$G:$G)*T35/T$121,0),0)</f>
        <v>0</v>
      </c>
      <c r="AZ35" s="41">
        <f>IFERROR(ROUND(_xlfn.XLOOKUP(AZ$7,'Product Tgt'!$B:$B,'Product Tgt'!$G:$G)*U35/U$121,0),0)</f>
        <v>1030</v>
      </c>
      <c r="BA35" s="41">
        <f>IFERROR(ROUND(_xlfn.XLOOKUP(BA$7,'Product Tgt'!$B:$B,'Product Tgt'!$G:$G)*V35/V$121,0),0)</f>
        <v>19417</v>
      </c>
      <c r="BB35" s="41">
        <f>IFERROR(ROUND(_xlfn.XLOOKUP(BB$7,'Product Tgt'!$B:$B,'Product Tgt'!$G:$G)*W35/W$121,0),0)</f>
        <v>32874</v>
      </c>
      <c r="BC35" s="41">
        <f>IFERROR(ROUND(_xlfn.XLOOKUP(BC$7,'Product Tgt'!$B:$B,'Product Tgt'!$G:$G)*X35/X$121,0),0)</f>
        <v>2062</v>
      </c>
      <c r="BD35" s="41">
        <f>IFERROR(ROUND(_xlfn.XLOOKUP(BD$7,'Product Tgt'!$B:$B,'Product Tgt'!$G:$G)*Y35/Y$121,0),0)</f>
        <v>2146</v>
      </c>
      <c r="BE35" s="41">
        <f>IFERROR(ROUND(_xlfn.XLOOKUP(BE$7,'Product Tgt'!$B:$B,'Product Tgt'!$G:$G)*Z35/Z$121,0),0)</f>
        <v>0</v>
      </c>
      <c r="BF35" s="41">
        <f>IFERROR(ROUND(_xlfn.XLOOKUP(BF$7,'Product Tgt'!$B:$B,'Product Tgt'!$G:$G)*AA35/AA$121,0),0)</f>
        <v>4215</v>
      </c>
      <c r="BG35" s="41">
        <f>IFERROR(ROUND(_xlfn.XLOOKUP(BG$7,'Product Tgt'!$B:$B,'Product Tgt'!$G:$G)*AB35/AB$121,0),0)</f>
        <v>662</v>
      </c>
      <c r="BH35" s="41">
        <f>IFERROR(ROUND(_xlfn.XLOOKUP(BH$7,'Product Tgt'!$B:$B,'Product Tgt'!$G:$G)*AC35/AC$121,0),0)</f>
        <v>473</v>
      </c>
      <c r="BI35" s="41">
        <f>IFERROR(ROUND(_xlfn.XLOOKUP(BI$7,'Product Tgt'!$B:$B,'Product Tgt'!$G:$G)*AD35/AD$121,0),0)</f>
        <v>1996</v>
      </c>
      <c r="BJ35" s="41">
        <f>IFERROR(ROUND(_xlfn.XLOOKUP(BJ$7,'Product Tgt'!$B:$B,'Product Tgt'!$G:$G)*AE35/AE$121,0),0)</f>
        <v>3737</v>
      </c>
      <c r="BK35" s="41">
        <f>IFERROR(ROUND(_xlfn.XLOOKUP(BK$7,'Product Tgt'!$B:$B,'Product Tgt'!$G:$G)*AF35/AF$121,0),0)</f>
        <v>626</v>
      </c>
      <c r="BL35" s="41">
        <f>IFERROR(ROUND(_xlfn.XLOOKUP(BL$7,'Product Tgt'!$B:$B,'Product Tgt'!$G:$G)*AG35/AG$121,0),0)</f>
        <v>16752</v>
      </c>
      <c r="BM35" s="41">
        <f>IFERROR(ROUND(_xlfn.XLOOKUP(BM$7,'Product Tgt'!$B:$B,'Product Tgt'!$G:$G)*AH35/AH$121,0),0)</f>
        <v>1232</v>
      </c>
      <c r="BN35" s="41">
        <f>IFERROR(ROUND(_xlfn.XLOOKUP(BN$7,'Product Tgt'!$B:$B,'Product Tgt'!$G:$G)*AI35/AI$121,0),0)</f>
        <v>8974</v>
      </c>
      <c r="BO35" s="41">
        <f>IFERROR(ROUND(_xlfn.XLOOKUP(BO$7,'Product Tgt'!$B:$B,'Product Tgt'!$G:$G)*AJ35/AJ$121,0),0)</f>
        <v>5545</v>
      </c>
      <c r="BP35" s="41">
        <f>IFERROR(ROUND(_xlfn.XLOOKUP(BP$7,'Product Tgt'!$B:$B,'Product Tgt'!$G:$G)*AK35/AK$121,0),0)</f>
        <v>194</v>
      </c>
      <c r="BQ35" s="41">
        <f>IFERROR(ROUND(_xlfn.XLOOKUP(BQ$7,'Product Tgt'!$B:$B,'Product Tgt'!$G:$G)*AL35/AL$121,0),0)</f>
        <v>529</v>
      </c>
      <c r="BR35" s="25">
        <f>ROUND(IFERROR(AM35/_xlfn.XLOOKUP(BR$7,'Product Tgt'!$B:$B,'Product Tgt'!$D:$D),0),0)</f>
        <v>0</v>
      </c>
      <c r="BS35" s="11">
        <f>ROUND(IFERROR(AN35/_xlfn.XLOOKUP(BS$7,'Product Tgt'!$B:$B,'Product Tgt'!$D:$D),0),0)</f>
        <v>0</v>
      </c>
      <c r="BT35" s="11">
        <f>ROUND(IFERROR(AO35/_xlfn.XLOOKUP(BT$7,'Product Tgt'!$B:$B,'Product Tgt'!$D:$D),0),0)</f>
        <v>0</v>
      </c>
      <c r="BU35" s="11">
        <f>ROUND(IFERROR(AP35/_xlfn.XLOOKUP(BU$7,'Product Tgt'!$B:$B,'Product Tgt'!$D:$D),0),0)</f>
        <v>0</v>
      </c>
      <c r="BV35" s="11">
        <f>ROUND(IFERROR(AQ35/_xlfn.XLOOKUP(BV$7,'Product Tgt'!$B:$B,'Product Tgt'!$D:$D),0),0)</f>
        <v>0</v>
      </c>
      <c r="BW35" s="11">
        <f>ROUND(IFERROR(AU35/_xlfn.XLOOKUP(BW$7,'Product Tgt'!$B:$B,'Product Tgt'!$D:$D),0),0)</f>
        <v>0</v>
      </c>
      <c r="BX35" s="11">
        <f>ROUND(IFERROR(#REF!/_xlfn.XLOOKUP(BX$7,'Product Tgt'!$B:$B,'Product Tgt'!$D:$D),0),0)</f>
        <v>0</v>
      </c>
      <c r="BY35" s="11">
        <f>ROUND(IFERROR(#REF!/_xlfn.XLOOKUP(BY$7,'Product Tgt'!$B:$B,'Product Tgt'!$D:$D),0),0)</f>
        <v>0</v>
      </c>
      <c r="BZ35" s="11">
        <f>ROUND(IFERROR(#REF!/_xlfn.XLOOKUP(BZ$7,'Product Tgt'!$B:$B,'Product Tgt'!$D:$D),0),0)</f>
        <v>0</v>
      </c>
      <c r="CA35" s="11">
        <f>ROUND(IFERROR(#REF!/_xlfn.XLOOKUP(CA$7,'Product Tgt'!$B:$B,'Product Tgt'!$D:$D),0),0)</f>
        <v>0</v>
      </c>
      <c r="CB35" s="11">
        <f>ROUND(IFERROR(AV35/_xlfn.XLOOKUP(CB$7,'Product Tgt'!$B:$B,'Product Tgt'!$D:$D),0),0)</f>
        <v>0</v>
      </c>
      <c r="CC35" s="11">
        <f>ROUND(IFERROR(AW35/_xlfn.XLOOKUP(CC$7,'Product Tgt'!$B:$B,'Product Tgt'!$D:$D),0),0)</f>
        <v>0</v>
      </c>
      <c r="CD35" s="11">
        <f>ROUND(IFERROR(AX35/_xlfn.XLOOKUP(CD$7,'Product Tgt'!$B:$B,'Product Tgt'!$D:$D),0),0)</f>
        <v>0</v>
      </c>
      <c r="CE35" s="11">
        <f>ROUND(IFERROR(AY35/_xlfn.XLOOKUP(CE$7,'Product Tgt'!$B:$B,'Product Tgt'!$D:$D),0),0)</f>
        <v>0</v>
      </c>
      <c r="CF35" s="11">
        <f>ROUND(IFERROR(AZ35/_xlfn.XLOOKUP(CF$7,'Product Tgt'!$B:$B,'Product Tgt'!$D:$D),0),0)</f>
        <v>0</v>
      </c>
      <c r="CG35" s="11">
        <f>ROUND(IFERROR(BA35/_xlfn.XLOOKUP(CG$7,'Product Tgt'!$B:$B,'Product Tgt'!$D:$D),0),0)</f>
        <v>0</v>
      </c>
      <c r="CH35" s="11">
        <f>ROUND(IFERROR(BB35/_xlfn.XLOOKUP(CH$7,'Product Tgt'!$B:$B,'Product Tgt'!$D:$D),0),0)</f>
        <v>0</v>
      </c>
      <c r="CI35" s="11">
        <f>ROUND(IFERROR(BC35/_xlfn.XLOOKUP(CI$7,'Product Tgt'!$B:$B,'Product Tgt'!$D:$D),0),0)</f>
        <v>0</v>
      </c>
      <c r="CJ35" s="11">
        <f>ROUND(IFERROR(BD35/_xlfn.XLOOKUP(CJ$7,'Product Tgt'!$B:$B,'Product Tgt'!$D:$D),0),0)</f>
        <v>0</v>
      </c>
      <c r="CK35" s="11">
        <f>ROUND(IFERROR(BE35/_xlfn.XLOOKUP(CK$7,'Product Tgt'!$B:$B,'Product Tgt'!$D:$D),0),0)</f>
        <v>0</v>
      </c>
      <c r="CL35" s="11">
        <f>ROUND(IFERROR(BF35/_xlfn.XLOOKUP(CL$7,'Product Tgt'!$B:$B,'Product Tgt'!$D:$D),0),0)</f>
        <v>0</v>
      </c>
      <c r="CM35" s="11">
        <f>ROUND(IFERROR(BG35/_xlfn.XLOOKUP(CM$7,'Product Tgt'!$B:$B,'Product Tgt'!$D:$D),0),0)</f>
        <v>0</v>
      </c>
      <c r="CN35" s="11">
        <f>ROUND(IFERROR(BH35/_xlfn.XLOOKUP(CN$7,'Product Tgt'!$B:$B,'Product Tgt'!$D:$D),0),0)</f>
        <v>0</v>
      </c>
      <c r="CO35" s="11">
        <f>ROUND(IFERROR(BI35/_xlfn.XLOOKUP(CO$7,'Product Tgt'!$B:$B,'Product Tgt'!$D:$D),0),0)</f>
        <v>0</v>
      </c>
      <c r="CP35" s="11">
        <f>ROUND(IFERROR(BJ35/_xlfn.XLOOKUP(CP$7,'Product Tgt'!$B:$B,'Product Tgt'!$D:$D),0),0)</f>
        <v>0</v>
      </c>
      <c r="CQ35" s="11">
        <f>ROUND(IFERROR(BK35/_xlfn.XLOOKUP(CQ$7,'Product Tgt'!$B:$B,'Product Tgt'!$D:$D),0),0)</f>
        <v>0</v>
      </c>
      <c r="CR35" s="11">
        <f>ROUND(IFERROR(BL35/_xlfn.XLOOKUP(CR$7,'Product Tgt'!$B:$B,'Product Tgt'!$D:$D),0),0)</f>
        <v>0</v>
      </c>
      <c r="CS35" s="11">
        <f>ROUND(IFERROR(BM35/_xlfn.XLOOKUP(CS$7,'Product Tgt'!$B:$B,'Product Tgt'!$D:$D),0),0)</f>
        <v>0</v>
      </c>
      <c r="CT35" s="11">
        <f>ROUND(IFERROR(BN35/_xlfn.XLOOKUP(CT$7,'Product Tgt'!$B:$B,'Product Tgt'!$D:$D),0),0)</f>
        <v>0</v>
      </c>
      <c r="CU35" s="11">
        <f>ROUND(IFERROR(BO35/_xlfn.XLOOKUP(CU$7,'Product Tgt'!$B:$B,'Product Tgt'!$D:$D),0),0)</f>
        <v>0</v>
      </c>
      <c r="CV35" s="11">
        <f>ROUND(IFERROR(BP35/_xlfn.XLOOKUP(CV$7,'Product Tgt'!$B:$B,'Product Tgt'!$D:$D),0),0)</f>
        <v>0</v>
      </c>
      <c r="CW35" s="11">
        <f>ROUND(IFERROR(BQ35/_xlfn.XLOOKUP(CW$7,'Product Tgt'!$B:$B,'Product Tgt'!$D:$D),0),0)</f>
        <v>0</v>
      </c>
      <c r="CX35" s="11">
        <f>ROUND(IFERROR(#REF!/_xlfn.XLOOKUP(CX$7,'Product Tgt'!$B:$B,'Product Tgt'!$D:$D),0),0)</f>
        <v>0</v>
      </c>
      <c r="CY35" s="11">
        <f>ROUND(IFERROR(#REF!/_xlfn.XLOOKUP(CY$7,'Product Tgt'!$B:$B,'Product Tgt'!$D:$D),0),0)</f>
        <v>0</v>
      </c>
      <c r="CZ35" s="11">
        <f>ROUND(IFERROR(#REF!/_xlfn.XLOOKUP(CZ$7,'Product Tgt'!$B:$B,'Product Tgt'!$D:$D),0),0)</f>
        <v>0</v>
      </c>
      <c r="DA35" s="10">
        <f>IFERROR(BR35*_xlfn.XLOOKUP(DA$7,'Product Tgt'!$B:$B,'Product Tgt'!$D:$D),0)</f>
        <v>0</v>
      </c>
      <c r="DB35">
        <f>IFERROR(BS35*_xlfn.XLOOKUP(DB$7,'Product Tgt'!$B:$B,'Product Tgt'!$D:$D),0)</f>
        <v>0</v>
      </c>
      <c r="DC35">
        <f>IFERROR(BT35*_xlfn.XLOOKUP(DC$7,'Product Tgt'!$B:$B,'Product Tgt'!$D:$D),0)</f>
        <v>0</v>
      </c>
      <c r="DD35">
        <f>IFERROR(BU35*_xlfn.XLOOKUP(DD$7,'Product Tgt'!$B:$B,'Product Tgt'!$D:$D),0)</f>
        <v>0</v>
      </c>
      <c r="DE35">
        <f>IFERROR(BV35*_xlfn.XLOOKUP(DE$7,'Product Tgt'!$B:$B,'Product Tgt'!$D:$D),0)</f>
        <v>0</v>
      </c>
      <c r="DF35">
        <f>IFERROR(BW35*_xlfn.XLOOKUP(DF$7,'Product Tgt'!$B:$B,'Product Tgt'!$D:$D),0)</f>
        <v>0</v>
      </c>
      <c r="DG35">
        <f>IFERROR(BX35*_xlfn.XLOOKUP(DG$7,'Product Tgt'!$B:$B,'Product Tgt'!$D:$D),0)</f>
        <v>0</v>
      </c>
      <c r="DH35">
        <f>IFERROR(BY35*_xlfn.XLOOKUP(DH$7,'Product Tgt'!$B:$B,'Product Tgt'!$D:$D),0)</f>
        <v>0</v>
      </c>
      <c r="DI35">
        <f>IFERROR(BZ35*_xlfn.XLOOKUP(DI$7,'Product Tgt'!$B:$B,'Product Tgt'!$D:$D),0)</f>
        <v>0</v>
      </c>
      <c r="DJ35">
        <f>IFERROR(CA35*_xlfn.XLOOKUP(DJ$7,'Product Tgt'!$B:$B,'Product Tgt'!$D:$D),0)</f>
        <v>0</v>
      </c>
      <c r="DK35">
        <f>IFERROR(CB35*_xlfn.XLOOKUP(DK$7,'Product Tgt'!$B:$B,'Product Tgt'!$D:$D),0)</f>
        <v>0</v>
      </c>
      <c r="DL35">
        <f>IFERROR(CC35*_xlfn.XLOOKUP(DL$7,'Product Tgt'!$B:$B,'Product Tgt'!$D:$D),0)</f>
        <v>0</v>
      </c>
      <c r="DM35">
        <f>IFERROR(CD35*_xlfn.XLOOKUP(DM$7,'Product Tgt'!$B:$B,'Product Tgt'!$D:$D),0)</f>
        <v>0</v>
      </c>
      <c r="DN35">
        <f>IFERROR(CE35*_xlfn.XLOOKUP(DN$7,'Product Tgt'!$B:$B,'Product Tgt'!$D:$D),0)</f>
        <v>0</v>
      </c>
      <c r="DO35">
        <f>IFERROR(CF35*_xlfn.XLOOKUP(DO$7,'Product Tgt'!$B:$B,'Product Tgt'!$D:$D),0)</f>
        <v>0</v>
      </c>
      <c r="DP35">
        <f>IFERROR(CG35*_xlfn.XLOOKUP(DP$7,'Product Tgt'!$B:$B,'Product Tgt'!$D:$D),0)</f>
        <v>0</v>
      </c>
      <c r="DQ35">
        <f>IFERROR(CH35*_xlfn.XLOOKUP(DQ$7,'Product Tgt'!$B:$B,'Product Tgt'!$D:$D),0)</f>
        <v>0</v>
      </c>
      <c r="DR35">
        <f>IFERROR(CI35*_xlfn.XLOOKUP(DR$7,'Product Tgt'!$B:$B,'Product Tgt'!$D:$D),0)</f>
        <v>0</v>
      </c>
      <c r="DS35">
        <f>IFERROR(CJ35*_xlfn.XLOOKUP(DS$7,'Product Tgt'!$B:$B,'Product Tgt'!$D:$D),0)</f>
        <v>0</v>
      </c>
      <c r="DT35">
        <f>IFERROR(CK35*_xlfn.XLOOKUP(DT$7,'Product Tgt'!$B:$B,'Product Tgt'!$D:$D),0)</f>
        <v>0</v>
      </c>
      <c r="DU35">
        <f>IFERROR(CL35*_xlfn.XLOOKUP(DU$7,'Product Tgt'!$B:$B,'Product Tgt'!$D:$D),0)</f>
        <v>0</v>
      </c>
      <c r="DV35">
        <f>IFERROR(CM35*_xlfn.XLOOKUP(DV$7,'Product Tgt'!$B:$B,'Product Tgt'!$D:$D),0)</f>
        <v>0</v>
      </c>
      <c r="DW35">
        <f>IFERROR(CN35*_xlfn.XLOOKUP(DW$7,'Product Tgt'!$B:$B,'Product Tgt'!$D:$D),0)</f>
        <v>0</v>
      </c>
      <c r="DX35">
        <f>IFERROR(CO35*_xlfn.XLOOKUP(DX$7,'Product Tgt'!$B:$B,'Product Tgt'!$D:$D),0)</f>
        <v>0</v>
      </c>
      <c r="DY35">
        <f>IFERROR(CP35*_xlfn.XLOOKUP(DY$7,'Product Tgt'!$B:$B,'Product Tgt'!$D:$D),0)</f>
        <v>0</v>
      </c>
      <c r="DZ35">
        <f>IFERROR(CQ35*_xlfn.XLOOKUP(DZ$7,'Product Tgt'!$B:$B,'Product Tgt'!$D:$D),0)</f>
        <v>0</v>
      </c>
      <c r="EA35">
        <f>IFERROR(CR35*_xlfn.XLOOKUP(EA$7,'Product Tgt'!$B:$B,'Product Tgt'!$D:$D),0)</f>
        <v>0</v>
      </c>
      <c r="EB35">
        <f>IFERROR(CS35*_xlfn.XLOOKUP(EB$7,'Product Tgt'!$B:$B,'Product Tgt'!$D:$D),0)</f>
        <v>0</v>
      </c>
      <c r="EC35">
        <f>IFERROR(CT35*_xlfn.XLOOKUP(EC$7,'Product Tgt'!$B:$B,'Product Tgt'!$D:$D),0)</f>
        <v>0</v>
      </c>
      <c r="ED35">
        <f>IFERROR(CU35*_xlfn.XLOOKUP(ED$7,'Product Tgt'!$B:$B,'Product Tgt'!$D:$D),0)</f>
        <v>0</v>
      </c>
      <c r="EE35">
        <f>IFERROR(CV35*_xlfn.XLOOKUP(EE$7,'Product Tgt'!$B:$B,'Product Tgt'!$D:$D),0)</f>
        <v>0</v>
      </c>
      <c r="EF35">
        <f>IFERROR(CW35*_xlfn.XLOOKUP(EF$7,'Product Tgt'!$B:$B,'Product Tgt'!$D:$D),0)</f>
        <v>0</v>
      </c>
      <c r="EG35">
        <f>IFERROR(CX35*_xlfn.XLOOKUP(EG$7,'Product Tgt'!$B:$B,'Product Tgt'!$D:$D),0)</f>
        <v>0</v>
      </c>
      <c r="EH35">
        <f>IFERROR(CY35*_xlfn.XLOOKUP(EH$7,'Product Tgt'!$B:$B,'Product Tgt'!$D:$D),0)</f>
        <v>0</v>
      </c>
      <c r="EI35">
        <f>IFERROR(CZ35*_xlfn.XLOOKUP(EI$7,'Product Tgt'!$B:$B,'Product Tgt'!$D:$D),0)</f>
        <v>0</v>
      </c>
    </row>
    <row r="36" spans="2:139" x14ac:dyDescent="0.35">
      <c r="B36" s="7" t="s">
        <v>99</v>
      </c>
      <c r="C36" s="3">
        <f>_xlfn.XLOOKUP($B36,'Terr Target'!$A:$A,'Terr Target'!$E:$E)</f>
        <v>788636.64038622461</v>
      </c>
      <c r="D36" s="3">
        <f t="shared" si="3"/>
        <v>788637</v>
      </c>
      <c r="E36" s="4">
        <f t="shared" si="4"/>
        <v>0.35961377539206296</v>
      </c>
      <c r="F36" s="9">
        <f t="shared" si="7"/>
        <v>4.5599404465180175E-7</v>
      </c>
      <c r="G36" s="5">
        <f t="shared" si="6"/>
        <v>0.99999954400595537</v>
      </c>
      <c r="H36" s="38">
        <v>82523.305282095142</v>
      </c>
      <c r="I36" s="11">
        <v>154203.96135498313</v>
      </c>
      <c r="J36" s="11">
        <v>66407.385819137198</v>
      </c>
      <c r="K36" s="11">
        <v>73187.419218797062</v>
      </c>
      <c r="L36" s="11">
        <v>66815.512992702468</v>
      </c>
      <c r="M36" s="11">
        <v>51144.700894612062</v>
      </c>
      <c r="N36" s="11">
        <v>1607.6157005145142</v>
      </c>
      <c r="O36" s="11">
        <v>11691.940667949593</v>
      </c>
      <c r="P36" s="11">
        <v>2856.9178533659551</v>
      </c>
      <c r="Q36" s="11">
        <v>1687.822363563256</v>
      </c>
      <c r="R36" s="11">
        <v>12830.744461438915</v>
      </c>
      <c r="S36" s="11">
        <v>30081.856299104311</v>
      </c>
      <c r="T36" s="11">
        <v>895.46602745366567</v>
      </c>
      <c r="U36" s="11">
        <v>3881.3539102268496</v>
      </c>
      <c r="V36" s="11">
        <v>37294.375523501163</v>
      </c>
      <c r="W36" s="11">
        <v>51162.324986779793</v>
      </c>
      <c r="X36" s="11">
        <v>8916.1599707369005</v>
      </c>
      <c r="Y36" s="11">
        <v>5078.9906637700733</v>
      </c>
      <c r="Z36" s="11">
        <v>327.99421294065104</v>
      </c>
      <c r="AA36" s="11">
        <v>14547.052811924606</v>
      </c>
      <c r="AB36" s="11">
        <v>9303.2543150188867</v>
      </c>
      <c r="AC36" s="11">
        <v>5658.5865270508502</v>
      </c>
      <c r="AD36" s="11">
        <v>19045.58160893049</v>
      </c>
      <c r="AE36" s="11">
        <v>35062.039650538318</v>
      </c>
      <c r="AF36" s="11">
        <v>4608.9995179589578</v>
      </c>
      <c r="AG36" s="11">
        <v>35818.456842086322</v>
      </c>
      <c r="AH36" s="11">
        <v>3050.3406526662461</v>
      </c>
      <c r="AI36" s="11">
        <v>17790.945243133356</v>
      </c>
      <c r="AJ36" s="11">
        <v>17468.395796774577</v>
      </c>
      <c r="AK36" s="11">
        <v>561.11498043265237</v>
      </c>
      <c r="AL36" s="49">
        <v>791.29686376286327</v>
      </c>
      <c r="AM36" s="41">
        <f>IFERROR(ROUND(_xlfn.XLOOKUP(AM$7,'Product Tgt'!$B:$B,'Product Tgt'!$G:$G)*H36/H$121,0),0)</f>
        <v>80226</v>
      </c>
      <c r="AN36" s="41">
        <f>IFERROR(ROUND(_xlfn.XLOOKUP(AN$7,'Product Tgt'!$B:$B,'Product Tgt'!$G:$G)*I36/I$121,0),0)</f>
        <v>151799</v>
      </c>
      <c r="AO36" s="41">
        <f>IFERROR(ROUND(_xlfn.XLOOKUP(AO$7,'Product Tgt'!$B:$B,'Product Tgt'!$G:$G)*J36/J$121,0),0)</f>
        <v>64342</v>
      </c>
      <c r="AP36" s="41">
        <f>IFERROR(ROUND(_xlfn.XLOOKUP(AP$7,'Product Tgt'!$B:$B,'Product Tgt'!$G:$G)*K36/K$121,0),0)</f>
        <v>71396</v>
      </c>
      <c r="AQ36" s="41">
        <f>IFERROR(ROUND(_xlfn.XLOOKUP(AQ$7,'Product Tgt'!$B:$B,'Product Tgt'!$G:$G)*L36/L$121,0),0)</f>
        <v>64606</v>
      </c>
      <c r="AR36" s="41">
        <f>IFERROR(ROUND(_xlfn.XLOOKUP(AR$7,'Product Tgt'!$B:$B,'Product Tgt'!$G:$G)*M36/M$121,0),0)</f>
        <v>49549</v>
      </c>
      <c r="AS36" s="41">
        <f>IFERROR(ROUND(_xlfn.XLOOKUP(AS$7,'Product Tgt'!$B:$B,'Product Tgt'!$G:$G)*N36/N$121,0),0)</f>
        <v>1485</v>
      </c>
      <c r="AT36" s="41">
        <f>IFERROR(ROUND(_xlfn.XLOOKUP(AT$7,'Product Tgt'!$B:$B,'Product Tgt'!$G:$G)*O36/O$121,0),0)</f>
        <v>10524</v>
      </c>
      <c r="AU36" s="41">
        <f>IFERROR(ROUND(_xlfn.XLOOKUP(AU$7,'Product Tgt'!$B:$B,'Product Tgt'!$G:$G)*P36/P$121,0),0)</f>
        <v>1218</v>
      </c>
      <c r="AV36" s="41">
        <f>IFERROR(ROUND(_xlfn.XLOOKUP(AV$7,'Product Tgt'!$B:$B,'Product Tgt'!$G:$G)*Q36/Q$121,0),0)</f>
        <v>1267</v>
      </c>
      <c r="AW36" s="41">
        <f>IFERROR(ROUND(_xlfn.XLOOKUP(AW$7,'Product Tgt'!$B:$B,'Product Tgt'!$G:$G)*R36/R$121,0),0)</f>
        <v>12357</v>
      </c>
      <c r="AX36" s="41">
        <f>IFERROR(ROUND(_xlfn.XLOOKUP(AX$7,'Product Tgt'!$B:$B,'Product Tgt'!$G:$G)*S36/S$121,0),0)</f>
        <v>28973</v>
      </c>
      <c r="AY36" s="41">
        <f>IFERROR(ROUND(_xlfn.XLOOKUP(AY$7,'Product Tgt'!$B:$B,'Product Tgt'!$G:$G)*T36/T$121,0),0)</f>
        <v>899</v>
      </c>
      <c r="AZ36" s="41">
        <f>IFERROR(ROUND(_xlfn.XLOOKUP(AZ$7,'Product Tgt'!$B:$B,'Product Tgt'!$G:$G)*U36/U$121,0),0)</f>
        <v>3715</v>
      </c>
      <c r="BA36" s="41">
        <f>IFERROR(ROUND(_xlfn.XLOOKUP(BA$7,'Product Tgt'!$B:$B,'Product Tgt'!$G:$G)*V36/V$121,0),0)</f>
        <v>35907</v>
      </c>
      <c r="BB36" s="41">
        <f>IFERROR(ROUND(_xlfn.XLOOKUP(BB$7,'Product Tgt'!$B:$B,'Product Tgt'!$G:$G)*W36/W$121,0),0)</f>
        <v>48974</v>
      </c>
      <c r="BC36" s="41">
        <f>IFERROR(ROUND(_xlfn.XLOOKUP(BC$7,'Product Tgt'!$B:$B,'Product Tgt'!$G:$G)*X36/X$121,0),0)</f>
        <v>8627</v>
      </c>
      <c r="BD36" s="41">
        <f>IFERROR(ROUND(_xlfn.XLOOKUP(BD$7,'Product Tgt'!$B:$B,'Product Tgt'!$G:$G)*Y36/Y$121,0),0)</f>
        <v>4911</v>
      </c>
      <c r="BE36" s="41">
        <f>IFERROR(ROUND(_xlfn.XLOOKUP(BE$7,'Product Tgt'!$B:$B,'Product Tgt'!$G:$G)*Z36/Z$121,0),0)</f>
        <v>312</v>
      </c>
      <c r="BF36" s="41">
        <f>IFERROR(ROUND(_xlfn.XLOOKUP(BF$7,'Product Tgt'!$B:$B,'Product Tgt'!$G:$G)*AA36/AA$121,0),0)</f>
        <v>11789</v>
      </c>
      <c r="BG36" s="41">
        <f>IFERROR(ROUND(_xlfn.XLOOKUP(BG$7,'Product Tgt'!$B:$B,'Product Tgt'!$G:$G)*AB36/AB$121,0),0)</f>
        <v>7456</v>
      </c>
      <c r="BH36" s="41">
        <f>IFERROR(ROUND(_xlfn.XLOOKUP(BH$7,'Product Tgt'!$B:$B,'Product Tgt'!$G:$G)*AC36/AC$121,0),0)</f>
        <v>4843</v>
      </c>
      <c r="BI36" s="41">
        <f>IFERROR(ROUND(_xlfn.XLOOKUP(BI$7,'Product Tgt'!$B:$B,'Product Tgt'!$G:$G)*AD36/AD$121,0),0)</f>
        <v>16580</v>
      </c>
      <c r="BJ36" s="41">
        <f>IFERROR(ROUND(_xlfn.XLOOKUP(BJ$7,'Product Tgt'!$B:$B,'Product Tgt'!$G:$G)*AE36/AE$121,0),0)</f>
        <v>32634</v>
      </c>
      <c r="BK36" s="41">
        <f>IFERROR(ROUND(_xlfn.XLOOKUP(BK$7,'Product Tgt'!$B:$B,'Product Tgt'!$G:$G)*AF36/AF$121,0),0)</f>
        <v>5149</v>
      </c>
      <c r="BL36" s="41">
        <f>IFERROR(ROUND(_xlfn.XLOOKUP(BL$7,'Product Tgt'!$B:$B,'Product Tgt'!$G:$G)*AG36/AG$121,0),0)</f>
        <v>34213</v>
      </c>
      <c r="BM36" s="41">
        <f>IFERROR(ROUND(_xlfn.XLOOKUP(BM$7,'Product Tgt'!$B:$B,'Product Tgt'!$G:$G)*AH36/AH$121,0),0)</f>
        <v>2392</v>
      </c>
      <c r="BN36" s="41">
        <f>IFERROR(ROUND(_xlfn.XLOOKUP(BN$7,'Product Tgt'!$B:$B,'Product Tgt'!$G:$G)*AI36/AI$121,0),0)</f>
        <v>16339</v>
      </c>
      <c r="BO36" s="41">
        <f>IFERROR(ROUND(_xlfn.XLOOKUP(BO$7,'Product Tgt'!$B:$B,'Product Tgt'!$G:$G)*AJ36/AJ$121,0),0)</f>
        <v>15109</v>
      </c>
      <c r="BP36" s="41">
        <f>IFERROR(ROUND(_xlfn.XLOOKUP(BP$7,'Product Tgt'!$B:$B,'Product Tgt'!$G:$G)*AK36/AK$121,0),0)</f>
        <v>427</v>
      </c>
      <c r="BQ36" s="41">
        <f>IFERROR(ROUND(_xlfn.XLOOKUP(BQ$7,'Product Tgt'!$B:$B,'Product Tgt'!$G:$G)*AL36/AL$121,0),0)</f>
        <v>619</v>
      </c>
      <c r="BR36" s="25">
        <f>ROUND(IFERROR(AM36/_xlfn.XLOOKUP(BR$7,'Product Tgt'!$B:$B,'Product Tgt'!$D:$D),0),0)</f>
        <v>0</v>
      </c>
      <c r="BS36" s="11">
        <f>ROUND(IFERROR(AN36/_xlfn.XLOOKUP(BS$7,'Product Tgt'!$B:$B,'Product Tgt'!$D:$D),0),0)</f>
        <v>0</v>
      </c>
      <c r="BT36" s="11">
        <f>ROUND(IFERROR(AO36/_xlfn.XLOOKUP(BT$7,'Product Tgt'!$B:$B,'Product Tgt'!$D:$D),0),0)</f>
        <v>0</v>
      </c>
      <c r="BU36" s="11">
        <f>ROUND(IFERROR(AP36/_xlfn.XLOOKUP(BU$7,'Product Tgt'!$B:$B,'Product Tgt'!$D:$D),0),0)</f>
        <v>0</v>
      </c>
      <c r="BV36" s="11">
        <f>ROUND(IFERROR(AQ36/_xlfn.XLOOKUP(BV$7,'Product Tgt'!$B:$B,'Product Tgt'!$D:$D),0),0)</f>
        <v>0</v>
      </c>
      <c r="BW36" s="11">
        <f>ROUND(IFERROR(AU36/_xlfn.XLOOKUP(BW$7,'Product Tgt'!$B:$B,'Product Tgt'!$D:$D),0),0)</f>
        <v>0</v>
      </c>
      <c r="BX36" s="11">
        <f>ROUND(IFERROR(#REF!/_xlfn.XLOOKUP(BX$7,'Product Tgt'!$B:$B,'Product Tgt'!$D:$D),0),0)</f>
        <v>0</v>
      </c>
      <c r="BY36" s="11">
        <f>ROUND(IFERROR(#REF!/_xlfn.XLOOKUP(BY$7,'Product Tgt'!$B:$B,'Product Tgt'!$D:$D),0),0)</f>
        <v>0</v>
      </c>
      <c r="BZ36" s="11">
        <f>ROUND(IFERROR(#REF!/_xlfn.XLOOKUP(BZ$7,'Product Tgt'!$B:$B,'Product Tgt'!$D:$D),0),0)</f>
        <v>0</v>
      </c>
      <c r="CA36" s="11">
        <f>ROUND(IFERROR(#REF!/_xlfn.XLOOKUP(CA$7,'Product Tgt'!$B:$B,'Product Tgt'!$D:$D),0),0)</f>
        <v>0</v>
      </c>
      <c r="CB36" s="11">
        <f>ROUND(IFERROR(AV36/_xlfn.XLOOKUP(CB$7,'Product Tgt'!$B:$B,'Product Tgt'!$D:$D),0),0)</f>
        <v>0</v>
      </c>
      <c r="CC36" s="11">
        <f>ROUND(IFERROR(AW36/_xlfn.XLOOKUP(CC$7,'Product Tgt'!$B:$B,'Product Tgt'!$D:$D),0),0)</f>
        <v>0</v>
      </c>
      <c r="CD36" s="11">
        <f>ROUND(IFERROR(AX36/_xlfn.XLOOKUP(CD$7,'Product Tgt'!$B:$B,'Product Tgt'!$D:$D),0),0)</f>
        <v>0</v>
      </c>
      <c r="CE36" s="11">
        <f>ROUND(IFERROR(AY36/_xlfn.XLOOKUP(CE$7,'Product Tgt'!$B:$B,'Product Tgt'!$D:$D),0),0)</f>
        <v>0</v>
      </c>
      <c r="CF36" s="11">
        <f>ROUND(IFERROR(AZ36/_xlfn.XLOOKUP(CF$7,'Product Tgt'!$B:$B,'Product Tgt'!$D:$D),0),0)</f>
        <v>0</v>
      </c>
      <c r="CG36" s="11">
        <f>ROUND(IFERROR(BA36/_xlfn.XLOOKUP(CG$7,'Product Tgt'!$B:$B,'Product Tgt'!$D:$D),0),0)</f>
        <v>0</v>
      </c>
      <c r="CH36" s="11">
        <f>ROUND(IFERROR(BB36/_xlfn.XLOOKUP(CH$7,'Product Tgt'!$B:$B,'Product Tgt'!$D:$D),0),0)</f>
        <v>0</v>
      </c>
      <c r="CI36" s="11">
        <f>ROUND(IFERROR(BC36/_xlfn.XLOOKUP(CI$7,'Product Tgt'!$B:$B,'Product Tgt'!$D:$D),0),0)</f>
        <v>0</v>
      </c>
      <c r="CJ36" s="11">
        <f>ROUND(IFERROR(BD36/_xlfn.XLOOKUP(CJ$7,'Product Tgt'!$B:$B,'Product Tgt'!$D:$D),0),0)</f>
        <v>0</v>
      </c>
      <c r="CK36" s="11">
        <f>ROUND(IFERROR(BE36/_xlfn.XLOOKUP(CK$7,'Product Tgt'!$B:$B,'Product Tgt'!$D:$D),0),0)</f>
        <v>0</v>
      </c>
      <c r="CL36" s="11">
        <f>ROUND(IFERROR(BF36/_xlfn.XLOOKUP(CL$7,'Product Tgt'!$B:$B,'Product Tgt'!$D:$D),0),0)</f>
        <v>0</v>
      </c>
      <c r="CM36" s="11">
        <f>ROUND(IFERROR(BG36/_xlfn.XLOOKUP(CM$7,'Product Tgt'!$B:$B,'Product Tgt'!$D:$D),0),0)</f>
        <v>0</v>
      </c>
      <c r="CN36" s="11">
        <f>ROUND(IFERROR(BH36/_xlfn.XLOOKUP(CN$7,'Product Tgt'!$B:$B,'Product Tgt'!$D:$D),0),0)</f>
        <v>0</v>
      </c>
      <c r="CO36" s="11">
        <f>ROUND(IFERROR(BI36/_xlfn.XLOOKUP(CO$7,'Product Tgt'!$B:$B,'Product Tgt'!$D:$D),0),0)</f>
        <v>0</v>
      </c>
      <c r="CP36" s="11">
        <f>ROUND(IFERROR(BJ36/_xlfn.XLOOKUP(CP$7,'Product Tgt'!$B:$B,'Product Tgt'!$D:$D),0),0)</f>
        <v>0</v>
      </c>
      <c r="CQ36" s="11">
        <f>ROUND(IFERROR(BK36/_xlfn.XLOOKUP(CQ$7,'Product Tgt'!$B:$B,'Product Tgt'!$D:$D),0),0)</f>
        <v>0</v>
      </c>
      <c r="CR36" s="11">
        <f>ROUND(IFERROR(BL36/_xlfn.XLOOKUP(CR$7,'Product Tgt'!$B:$B,'Product Tgt'!$D:$D),0),0)</f>
        <v>0</v>
      </c>
      <c r="CS36" s="11">
        <f>ROUND(IFERROR(BM36/_xlfn.XLOOKUP(CS$7,'Product Tgt'!$B:$B,'Product Tgt'!$D:$D),0),0)</f>
        <v>0</v>
      </c>
      <c r="CT36" s="11">
        <f>ROUND(IFERROR(BN36/_xlfn.XLOOKUP(CT$7,'Product Tgt'!$B:$B,'Product Tgt'!$D:$D),0),0)</f>
        <v>0</v>
      </c>
      <c r="CU36" s="11">
        <f>ROUND(IFERROR(BO36/_xlfn.XLOOKUP(CU$7,'Product Tgt'!$B:$B,'Product Tgt'!$D:$D),0),0)</f>
        <v>0</v>
      </c>
      <c r="CV36" s="11">
        <f>ROUND(IFERROR(BP36/_xlfn.XLOOKUP(CV$7,'Product Tgt'!$B:$B,'Product Tgt'!$D:$D),0),0)</f>
        <v>0</v>
      </c>
      <c r="CW36" s="11">
        <f>ROUND(IFERROR(BQ36/_xlfn.XLOOKUP(CW$7,'Product Tgt'!$B:$B,'Product Tgt'!$D:$D),0),0)</f>
        <v>0</v>
      </c>
      <c r="CX36" s="11">
        <f>ROUND(IFERROR(#REF!/_xlfn.XLOOKUP(CX$7,'Product Tgt'!$B:$B,'Product Tgt'!$D:$D),0),0)</f>
        <v>0</v>
      </c>
      <c r="CY36" s="11">
        <f>ROUND(IFERROR(#REF!/_xlfn.XLOOKUP(CY$7,'Product Tgt'!$B:$B,'Product Tgt'!$D:$D),0),0)</f>
        <v>0</v>
      </c>
      <c r="CZ36" s="11">
        <f>ROUND(IFERROR(#REF!/_xlfn.XLOOKUP(CZ$7,'Product Tgt'!$B:$B,'Product Tgt'!$D:$D),0),0)</f>
        <v>0</v>
      </c>
      <c r="DA36" s="10">
        <f>IFERROR(BR36*_xlfn.XLOOKUP(DA$7,'Product Tgt'!$B:$B,'Product Tgt'!$D:$D),0)</f>
        <v>0</v>
      </c>
      <c r="DB36">
        <f>IFERROR(BS36*_xlfn.XLOOKUP(DB$7,'Product Tgt'!$B:$B,'Product Tgt'!$D:$D),0)</f>
        <v>0</v>
      </c>
      <c r="DC36">
        <f>IFERROR(BT36*_xlfn.XLOOKUP(DC$7,'Product Tgt'!$B:$B,'Product Tgt'!$D:$D),0)</f>
        <v>0</v>
      </c>
      <c r="DD36">
        <f>IFERROR(BU36*_xlfn.XLOOKUP(DD$7,'Product Tgt'!$B:$B,'Product Tgt'!$D:$D),0)</f>
        <v>0</v>
      </c>
      <c r="DE36">
        <f>IFERROR(BV36*_xlfn.XLOOKUP(DE$7,'Product Tgt'!$B:$B,'Product Tgt'!$D:$D),0)</f>
        <v>0</v>
      </c>
      <c r="DF36">
        <f>IFERROR(BW36*_xlfn.XLOOKUP(DF$7,'Product Tgt'!$B:$B,'Product Tgt'!$D:$D),0)</f>
        <v>0</v>
      </c>
      <c r="DG36">
        <f>IFERROR(BX36*_xlfn.XLOOKUP(DG$7,'Product Tgt'!$B:$B,'Product Tgt'!$D:$D),0)</f>
        <v>0</v>
      </c>
      <c r="DH36">
        <f>IFERROR(BY36*_xlfn.XLOOKUP(DH$7,'Product Tgt'!$B:$B,'Product Tgt'!$D:$D),0)</f>
        <v>0</v>
      </c>
      <c r="DI36">
        <f>IFERROR(BZ36*_xlfn.XLOOKUP(DI$7,'Product Tgt'!$B:$B,'Product Tgt'!$D:$D),0)</f>
        <v>0</v>
      </c>
      <c r="DJ36">
        <f>IFERROR(CA36*_xlfn.XLOOKUP(DJ$7,'Product Tgt'!$B:$B,'Product Tgt'!$D:$D),0)</f>
        <v>0</v>
      </c>
      <c r="DK36">
        <f>IFERROR(CB36*_xlfn.XLOOKUP(DK$7,'Product Tgt'!$B:$B,'Product Tgt'!$D:$D),0)</f>
        <v>0</v>
      </c>
      <c r="DL36">
        <f>IFERROR(CC36*_xlfn.XLOOKUP(DL$7,'Product Tgt'!$B:$B,'Product Tgt'!$D:$D),0)</f>
        <v>0</v>
      </c>
      <c r="DM36">
        <f>IFERROR(CD36*_xlfn.XLOOKUP(DM$7,'Product Tgt'!$B:$B,'Product Tgt'!$D:$D),0)</f>
        <v>0</v>
      </c>
      <c r="DN36">
        <f>IFERROR(CE36*_xlfn.XLOOKUP(DN$7,'Product Tgt'!$B:$B,'Product Tgt'!$D:$D),0)</f>
        <v>0</v>
      </c>
      <c r="DO36">
        <f>IFERROR(CF36*_xlfn.XLOOKUP(DO$7,'Product Tgt'!$B:$B,'Product Tgt'!$D:$D),0)</f>
        <v>0</v>
      </c>
      <c r="DP36">
        <f>IFERROR(CG36*_xlfn.XLOOKUP(DP$7,'Product Tgt'!$B:$B,'Product Tgt'!$D:$D),0)</f>
        <v>0</v>
      </c>
      <c r="DQ36">
        <f>IFERROR(CH36*_xlfn.XLOOKUP(DQ$7,'Product Tgt'!$B:$B,'Product Tgt'!$D:$D),0)</f>
        <v>0</v>
      </c>
      <c r="DR36">
        <f>IFERROR(CI36*_xlfn.XLOOKUP(DR$7,'Product Tgt'!$B:$B,'Product Tgt'!$D:$D),0)</f>
        <v>0</v>
      </c>
      <c r="DS36">
        <f>IFERROR(CJ36*_xlfn.XLOOKUP(DS$7,'Product Tgt'!$B:$B,'Product Tgt'!$D:$D),0)</f>
        <v>0</v>
      </c>
      <c r="DT36">
        <f>IFERROR(CK36*_xlfn.XLOOKUP(DT$7,'Product Tgt'!$B:$B,'Product Tgt'!$D:$D),0)</f>
        <v>0</v>
      </c>
      <c r="DU36">
        <f>IFERROR(CL36*_xlfn.XLOOKUP(DU$7,'Product Tgt'!$B:$B,'Product Tgt'!$D:$D),0)</f>
        <v>0</v>
      </c>
      <c r="DV36">
        <f>IFERROR(CM36*_xlfn.XLOOKUP(DV$7,'Product Tgt'!$B:$B,'Product Tgt'!$D:$D),0)</f>
        <v>0</v>
      </c>
      <c r="DW36">
        <f>IFERROR(CN36*_xlfn.XLOOKUP(DW$7,'Product Tgt'!$B:$B,'Product Tgt'!$D:$D),0)</f>
        <v>0</v>
      </c>
      <c r="DX36">
        <f>IFERROR(CO36*_xlfn.XLOOKUP(DX$7,'Product Tgt'!$B:$B,'Product Tgt'!$D:$D),0)</f>
        <v>0</v>
      </c>
      <c r="DY36">
        <f>IFERROR(CP36*_xlfn.XLOOKUP(DY$7,'Product Tgt'!$B:$B,'Product Tgt'!$D:$D),0)</f>
        <v>0</v>
      </c>
      <c r="DZ36">
        <f>IFERROR(CQ36*_xlfn.XLOOKUP(DZ$7,'Product Tgt'!$B:$B,'Product Tgt'!$D:$D),0)</f>
        <v>0</v>
      </c>
      <c r="EA36">
        <f>IFERROR(CR36*_xlfn.XLOOKUP(EA$7,'Product Tgt'!$B:$B,'Product Tgt'!$D:$D),0)</f>
        <v>0</v>
      </c>
      <c r="EB36">
        <f>IFERROR(CS36*_xlfn.XLOOKUP(EB$7,'Product Tgt'!$B:$B,'Product Tgt'!$D:$D),0)</f>
        <v>0</v>
      </c>
      <c r="EC36">
        <f>IFERROR(CT36*_xlfn.XLOOKUP(EC$7,'Product Tgt'!$B:$B,'Product Tgt'!$D:$D),0)</f>
        <v>0</v>
      </c>
      <c r="ED36">
        <f>IFERROR(CU36*_xlfn.XLOOKUP(ED$7,'Product Tgt'!$B:$B,'Product Tgt'!$D:$D),0)</f>
        <v>0</v>
      </c>
      <c r="EE36">
        <f>IFERROR(CV36*_xlfn.XLOOKUP(EE$7,'Product Tgt'!$B:$B,'Product Tgt'!$D:$D),0)</f>
        <v>0</v>
      </c>
      <c r="EF36">
        <f>IFERROR(CW36*_xlfn.XLOOKUP(EF$7,'Product Tgt'!$B:$B,'Product Tgt'!$D:$D),0)</f>
        <v>0</v>
      </c>
      <c r="EG36">
        <f>IFERROR(CX36*_xlfn.XLOOKUP(EG$7,'Product Tgt'!$B:$B,'Product Tgt'!$D:$D),0)</f>
        <v>0</v>
      </c>
      <c r="EH36">
        <f>IFERROR(CY36*_xlfn.XLOOKUP(EH$7,'Product Tgt'!$B:$B,'Product Tgt'!$D:$D),0)</f>
        <v>0</v>
      </c>
      <c r="EI36">
        <f>IFERROR(CZ36*_xlfn.XLOOKUP(EI$7,'Product Tgt'!$B:$B,'Product Tgt'!$D:$D),0)</f>
        <v>0</v>
      </c>
    </row>
    <row r="37" spans="2:139" x14ac:dyDescent="0.35">
      <c r="B37" s="7" t="s">
        <v>100</v>
      </c>
      <c r="C37" s="3">
        <f>_xlfn.XLOOKUP($B37,'Terr Target'!$A:$A,'Terr Target'!$E:$E)</f>
        <v>416727.35845670785</v>
      </c>
      <c r="D37" s="3">
        <f t="shared" si="3"/>
        <v>416729</v>
      </c>
      <c r="E37" s="4">
        <f t="shared" si="4"/>
        <v>1.6415432921494357</v>
      </c>
      <c r="F37" s="9">
        <f t="shared" si="7"/>
        <v>3.9391146096130478E-6</v>
      </c>
      <c r="G37" s="5">
        <f t="shared" si="6"/>
        <v>0.99999606088539039</v>
      </c>
      <c r="H37" s="38">
        <v>48166.781609000987</v>
      </c>
      <c r="I37" s="11">
        <v>96581.362890677134</v>
      </c>
      <c r="J37" s="11">
        <v>42659.332407701229</v>
      </c>
      <c r="K37" s="11">
        <v>57094.628601439821</v>
      </c>
      <c r="L37" s="11">
        <v>29049.140813234124</v>
      </c>
      <c r="M37" s="11">
        <v>21385.755258806312</v>
      </c>
      <c r="N37" s="11">
        <v>1005.8310485197832</v>
      </c>
      <c r="O37" s="11">
        <v>6782.5433539912838</v>
      </c>
      <c r="P37" s="11">
        <v>627.66676978045086</v>
      </c>
      <c r="Q37" s="11">
        <v>375.25364734634405</v>
      </c>
      <c r="R37" s="11">
        <v>8412.9820392968468</v>
      </c>
      <c r="S37" s="11">
        <v>21038.212010334031</v>
      </c>
      <c r="T37" s="11">
        <v>0</v>
      </c>
      <c r="U37" s="11">
        <v>1822.6195580970157</v>
      </c>
      <c r="V37" s="11">
        <v>19395.309090593866</v>
      </c>
      <c r="W37" s="11">
        <v>30366.567822512112</v>
      </c>
      <c r="X37" s="11">
        <v>2539.377388780531</v>
      </c>
      <c r="Y37" s="11">
        <v>3452.1474335789226</v>
      </c>
      <c r="Z37" s="11">
        <v>0</v>
      </c>
      <c r="AA37" s="11">
        <v>4245.1657867800841</v>
      </c>
      <c r="AB37" s="11">
        <v>1000.9205955574629</v>
      </c>
      <c r="AC37" s="11">
        <v>668.26710768060286</v>
      </c>
      <c r="AD37" s="11">
        <v>2777.9699621513337</v>
      </c>
      <c r="AE37" s="11">
        <v>4863.9224604595511</v>
      </c>
      <c r="AF37" s="11">
        <v>666.24748589771309</v>
      </c>
      <c r="AG37" s="11">
        <v>13700.757771280221</v>
      </c>
      <c r="AH37" s="11">
        <v>1240.4932794993733</v>
      </c>
      <c r="AI37" s="11">
        <v>6835.0832206667546</v>
      </c>
      <c r="AJ37" s="11">
        <v>5028.2543328820384</v>
      </c>
      <c r="AK37" s="11">
        <v>249.51239114789755</v>
      </c>
      <c r="AL37" s="49">
        <v>489.01577434235605</v>
      </c>
      <c r="AM37" s="41">
        <f>IFERROR(ROUND(_xlfn.XLOOKUP(AM$7,'Product Tgt'!$B:$B,'Product Tgt'!$G:$G)*H37/H$121,0),0)</f>
        <v>46826</v>
      </c>
      <c r="AN37" s="41">
        <f>IFERROR(ROUND(_xlfn.XLOOKUP(AN$7,'Product Tgt'!$B:$B,'Product Tgt'!$G:$G)*I37/I$121,0),0)</f>
        <v>95075</v>
      </c>
      <c r="AO37" s="41">
        <f>IFERROR(ROUND(_xlfn.XLOOKUP(AO$7,'Product Tgt'!$B:$B,'Product Tgt'!$G:$G)*J37/J$121,0),0)</f>
        <v>41333</v>
      </c>
      <c r="AP37" s="41">
        <f>IFERROR(ROUND(_xlfn.XLOOKUP(AP$7,'Product Tgt'!$B:$B,'Product Tgt'!$G:$G)*K37/K$121,0),0)</f>
        <v>55697</v>
      </c>
      <c r="AQ37" s="41">
        <f>IFERROR(ROUND(_xlfn.XLOOKUP(AQ$7,'Product Tgt'!$B:$B,'Product Tgt'!$G:$G)*L37/L$121,0),0)</f>
        <v>28089</v>
      </c>
      <c r="AR37" s="41">
        <f>IFERROR(ROUND(_xlfn.XLOOKUP(AR$7,'Product Tgt'!$B:$B,'Product Tgt'!$G:$G)*M37/M$121,0),0)</f>
        <v>20718</v>
      </c>
      <c r="AS37" s="41">
        <f>IFERROR(ROUND(_xlfn.XLOOKUP(AS$7,'Product Tgt'!$B:$B,'Product Tgt'!$G:$G)*N37/N$121,0),0)</f>
        <v>929</v>
      </c>
      <c r="AT37" s="41">
        <f>IFERROR(ROUND(_xlfn.XLOOKUP(AT$7,'Product Tgt'!$B:$B,'Product Tgt'!$G:$G)*O37/O$121,0),0)</f>
        <v>6105</v>
      </c>
      <c r="AU37" s="41">
        <f>IFERROR(ROUND(_xlfn.XLOOKUP(AU$7,'Product Tgt'!$B:$B,'Product Tgt'!$G:$G)*P37/P$121,0),0)</f>
        <v>268</v>
      </c>
      <c r="AV37" s="41">
        <f>IFERROR(ROUND(_xlfn.XLOOKUP(AV$7,'Product Tgt'!$B:$B,'Product Tgt'!$G:$G)*Q37/Q$121,0),0)</f>
        <v>282</v>
      </c>
      <c r="AW37" s="41">
        <f>IFERROR(ROUND(_xlfn.XLOOKUP(AW$7,'Product Tgt'!$B:$B,'Product Tgt'!$G:$G)*R37/R$121,0),0)</f>
        <v>8102</v>
      </c>
      <c r="AX37" s="41">
        <f>IFERROR(ROUND(_xlfn.XLOOKUP(AX$7,'Product Tgt'!$B:$B,'Product Tgt'!$G:$G)*S37/S$121,0),0)</f>
        <v>20263</v>
      </c>
      <c r="AY37" s="41">
        <f>IFERROR(ROUND(_xlfn.XLOOKUP(AY$7,'Product Tgt'!$B:$B,'Product Tgt'!$G:$G)*T37/T$121,0),0)</f>
        <v>0</v>
      </c>
      <c r="AZ37" s="41">
        <f>IFERROR(ROUND(_xlfn.XLOOKUP(AZ$7,'Product Tgt'!$B:$B,'Product Tgt'!$G:$G)*U37/U$121,0),0)</f>
        <v>1744</v>
      </c>
      <c r="BA37" s="41">
        <f>IFERROR(ROUND(_xlfn.XLOOKUP(BA$7,'Product Tgt'!$B:$B,'Product Tgt'!$G:$G)*V37/V$121,0),0)</f>
        <v>18674</v>
      </c>
      <c r="BB37" s="41">
        <f>IFERROR(ROUND(_xlfn.XLOOKUP(BB$7,'Product Tgt'!$B:$B,'Product Tgt'!$G:$G)*W37/W$121,0),0)</f>
        <v>29068</v>
      </c>
      <c r="BC37" s="41">
        <f>IFERROR(ROUND(_xlfn.XLOOKUP(BC$7,'Product Tgt'!$B:$B,'Product Tgt'!$G:$G)*X37/X$121,0),0)</f>
        <v>2457</v>
      </c>
      <c r="BD37" s="41">
        <f>IFERROR(ROUND(_xlfn.XLOOKUP(BD$7,'Product Tgt'!$B:$B,'Product Tgt'!$G:$G)*Y37/Y$121,0),0)</f>
        <v>3338</v>
      </c>
      <c r="BE37" s="41">
        <f>IFERROR(ROUND(_xlfn.XLOOKUP(BE$7,'Product Tgt'!$B:$B,'Product Tgt'!$G:$G)*Z37/Z$121,0),0)</f>
        <v>0</v>
      </c>
      <c r="BF37" s="41">
        <f>IFERROR(ROUND(_xlfn.XLOOKUP(BF$7,'Product Tgt'!$B:$B,'Product Tgt'!$G:$G)*AA37/AA$121,0),0)</f>
        <v>3440</v>
      </c>
      <c r="BG37" s="41">
        <f>IFERROR(ROUND(_xlfn.XLOOKUP(BG$7,'Product Tgt'!$B:$B,'Product Tgt'!$G:$G)*AB37/AB$121,0),0)</f>
        <v>802</v>
      </c>
      <c r="BH37" s="41">
        <f>IFERROR(ROUND(_xlfn.XLOOKUP(BH$7,'Product Tgt'!$B:$B,'Product Tgt'!$G:$G)*AC37/AC$121,0),0)</f>
        <v>572</v>
      </c>
      <c r="BI37" s="41">
        <f>IFERROR(ROUND(_xlfn.XLOOKUP(BI$7,'Product Tgt'!$B:$B,'Product Tgt'!$G:$G)*AD37/AD$121,0),0)</f>
        <v>2418</v>
      </c>
      <c r="BJ37" s="41">
        <f>IFERROR(ROUND(_xlfn.XLOOKUP(BJ$7,'Product Tgt'!$B:$B,'Product Tgt'!$G:$G)*AE37/AE$121,0),0)</f>
        <v>4527</v>
      </c>
      <c r="BK37" s="41">
        <f>IFERROR(ROUND(_xlfn.XLOOKUP(BK$7,'Product Tgt'!$B:$B,'Product Tgt'!$G:$G)*AF37/AF$121,0),0)</f>
        <v>744</v>
      </c>
      <c r="BL37" s="41">
        <f>IFERROR(ROUND(_xlfn.XLOOKUP(BL$7,'Product Tgt'!$B:$B,'Product Tgt'!$G:$G)*AG37/AG$121,0),0)</f>
        <v>13087</v>
      </c>
      <c r="BM37" s="41">
        <f>IFERROR(ROUND(_xlfn.XLOOKUP(BM$7,'Product Tgt'!$B:$B,'Product Tgt'!$G:$G)*AH37/AH$121,0),0)</f>
        <v>973</v>
      </c>
      <c r="BN37" s="41">
        <f>IFERROR(ROUND(_xlfn.XLOOKUP(BN$7,'Product Tgt'!$B:$B,'Product Tgt'!$G:$G)*AI37/AI$121,0),0)</f>
        <v>6277</v>
      </c>
      <c r="BO37" s="41">
        <f>IFERROR(ROUND(_xlfn.XLOOKUP(BO$7,'Product Tgt'!$B:$B,'Product Tgt'!$G:$G)*AJ37/AJ$121,0),0)</f>
        <v>4349</v>
      </c>
      <c r="BP37" s="41">
        <f>IFERROR(ROUND(_xlfn.XLOOKUP(BP$7,'Product Tgt'!$B:$B,'Product Tgt'!$G:$G)*AK37/AK$121,0),0)</f>
        <v>190</v>
      </c>
      <c r="BQ37" s="41">
        <f>IFERROR(ROUND(_xlfn.XLOOKUP(BQ$7,'Product Tgt'!$B:$B,'Product Tgt'!$G:$G)*AL37/AL$121,0),0)</f>
        <v>382</v>
      </c>
      <c r="BR37" s="25">
        <f>ROUND(IFERROR(AM37/_xlfn.XLOOKUP(BR$7,'Product Tgt'!$B:$B,'Product Tgt'!$D:$D),0),0)</f>
        <v>0</v>
      </c>
      <c r="BS37" s="11">
        <f>ROUND(IFERROR(AN37/_xlfn.XLOOKUP(BS$7,'Product Tgt'!$B:$B,'Product Tgt'!$D:$D),0),0)</f>
        <v>0</v>
      </c>
      <c r="BT37" s="11">
        <f>ROUND(IFERROR(AO37/_xlfn.XLOOKUP(BT$7,'Product Tgt'!$B:$B,'Product Tgt'!$D:$D),0),0)</f>
        <v>0</v>
      </c>
      <c r="BU37" s="11">
        <f>ROUND(IFERROR(AP37/_xlfn.XLOOKUP(BU$7,'Product Tgt'!$B:$B,'Product Tgt'!$D:$D),0),0)</f>
        <v>0</v>
      </c>
      <c r="BV37" s="11">
        <f>ROUND(IFERROR(AQ37/_xlfn.XLOOKUP(BV$7,'Product Tgt'!$B:$B,'Product Tgt'!$D:$D),0),0)</f>
        <v>0</v>
      </c>
      <c r="BW37" s="11">
        <f>ROUND(IFERROR(AU37/_xlfn.XLOOKUP(BW$7,'Product Tgt'!$B:$B,'Product Tgt'!$D:$D),0),0)</f>
        <v>0</v>
      </c>
      <c r="BX37" s="11">
        <f>ROUND(IFERROR(#REF!/_xlfn.XLOOKUP(BX$7,'Product Tgt'!$B:$B,'Product Tgt'!$D:$D),0),0)</f>
        <v>0</v>
      </c>
      <c r="BY37" s="11">
        <f>ROUND(IFERROR(#REF!/_xlfn.XLOOKUP(BY$7,'Product Tgt'!$B:$B,'Product Tgt'!$D:$D),0),0)</f>
        <v>0</v>
      </c>
      <c r="BZ37" s="11">
        <f>ROUND(IFERROR(#REF!/_xlfn.XLOOKUP(BZ$7,'Product Tgt'!$B:$B,'Product Tgt'!$D:$D),0),0)</f>
        <v>0</v>
      </c>
      <c r="CA37" s="11">
        <f>ROUND(IFERROR(#REF!/_xlfn.XLOOKUP(CA$7,'Product Tgt'!$B:$B,'Product Tgt'!$D:$D),0),0)</f>
        <v>0</v>
      </c>
      <c r="CB37" s="11">
        <f>ROUND(IFERROR(AV37/_xlfn.XLOOKUP(CB$7,'Product Tgt'!$B:$B,'Product Tgt'!$D:$D),0),0)</f>
        <v>0</v>
      </c>
      <c r="CC37" s="11">
        <f>ROUND(IFERROR(AW37/_xlfn.XLOOKUP(CC$7,'Product Tgt'!$B:$B,'Product Tgt'!$D:$D),0),0)</f>
        <v>0</v>
      </c>
      <c r="CD37" s="11">
        <f>ROUND(IFERROR(AX37/_xlfn.XLOOKUP(CD$7,'Product Tgt'!$B:$B,'Product Tgt'!$D:$D),0),0)</f>
        <v>0</v>
      </c>
      <c r="CE37" s="11">
        <f>ROUND(IFERROR(AY37/_xlfn.XLOOKUP(CE$7,'Product Tgt'!$B:$B,'Product Tgt'!$D:$D),0),0)</f>
        <v>0</v>
      </c>
      <c r="CF37" s="11">
        <f>ROUND(IFERROR(AZ37/_xlfn.XLOOKUP(CF$7,'Product Tgt'!$B:$B,'Product Tgt'!$D:$D),0),0)</f>
        <v>0</v>
      </c>
      <c r="CG37" s="11">
        <f>ROUND(IFERROR(BA37/_xlfn.XLOOKUP(CG$7,'Product Tgt'!$B:$B,'Product Tgt'!$D:$D),0),0)</f>
        <v>0</v>
      </c>
      <c r="CH37" s="11">
        <f>ROUND(IFERROR(BB37/_xlfn.XLOOKUP(CH$7,'Product Tgt'!$B:$B,'Product Tgt'!$D:$D),0),0)</f>
        <v>0</v>
      </c>
      <c r="CI37" s="11">
        <f>ROUND(IFERROR(BC37/_xlfn.XLOOKUP(CI$7,'Product Tgt'!$B:$B,'Product Tgt'!$D:$D),0),0)</f>
        <v>0</v>
      </c>
      <c r="CJ37" s="11">
        <f>ROUND(IFERROR(BD37/_xlfn.XLOOKUP(CJ$7,'Product Tgt'!$B:$B,'Product Tgt'!$D:$D),0),0)</f>
        <v>0</v>
      </c>
      <c r="CK37" s="11">
        <f>ROUND(IFERROR(BE37/_xlfn.XLOOKUP(CK$7,'Product Tgt'!$B:$B,'Product Tgt'!$D:$D),0),0)</f>
        <v>0</v>
      </c>
      <c r="CL37" s="11">
        <f>ROUND(IFERROR(BF37/_xlfn.XLOOKUP(CL$7,'Product Tgt'!$B:$B,'Product Tgt'!$D:$D),0),0)</f>
        <v>0</v>
      </c>
      <c r="CM37" s="11">
        <f>ROUND(IFERROR(BG37/_xlfn.XLOOKUP(CM$7,'Product Tgt'!$B:$B,'Product Tgt'!$D:$D),0),0)</f>
        <v>0</v>
      </c>
      <c r="CN37" s="11">
        <f>ROUND(IFERROR(BH37/_xlfn.XLOOKUP(CN$7,'Product Tgt'!$B:$B,'Product Tgt'!$D:$D),0),0)</f>
        <v>0</v>
      </c>
      <c r="CO37" s="11">
        <f>ROUND(IFERROR(BI37/_xlfn.XLOOKUP(CO$7,'Product Tgt'!$B:$B,'Product Tgt'!$D:$D),0),0)</f>
        <v>0</v>
      </c>
      <c r="CP37" s="11">
        <f>ROUND(IFERROR(BJ37/_xlfn.XLOOKUP(CP$7,'Product Tgt'!$B:$B,'Product Tgt'!$D:$D),0),0)</f>
        <v>0</v>
      </c>
      <c r="CQ37" s="11">
        <f>ROUND(IFERROR(BK37/_xlfn.XLOOKUP(CQ$7,'Product Tgt'!$B:$B,'Product Tgt'!$D:$D),0),0)</f>
        <v>0</v>
      </c>
      <c r="CR37" s="11">
        <f>ROUND(IFERROR(BL37/_xlfn.XLOOKUP(CR$7,'Product Tgt'!$B:$B,'Product Tgt'!$D:$D),0),0)</f>
        <v>0</v>
      </c>
      <c r="CS37" s="11">
        <f>ROUND(IFERROR(BM37/_xlfn.XLOOKUP(CS$7,'Product Tgt'!$B:$B,'Product Tgt'!$D:$D),0),0)</f>
        <v>0</v>
      </c>
      <c r="CT37" s="11">
        <f>ROUND(IFERROR(BN37/_xlfn.XLOOKUP(CT$7,'Product Tgt'!$B:$B,'Product Tgt'!$D:$D),0),0)</f>
        <v>0</v>
      </c>
      <c r="CU37" s="11">
        <f>ROUND(IFERROR(BO37/_xlfn.XLOOKUP(CU$7,'Product Tgt'!$B:$B,'Product Tgt'!$D:$D),0),0)</f>
        <v>0</v>
      </c>
      <c r="CV37" s="11">
        <f>ROUND(IFERROR(BP37/_xlfn.XLOOKUP(CV$7,'Product Tgt'!$B:$B,'Product Tgt'!$D:$D),0),0)</f>
        <v>0</v>
      </c>
      <c r="CW37" s="11">
        <f>ROUND(IFERROR(BQ37/_xlfn.XLOOKUP(CW$7,'Product Tgt'!$B:$B,'Product Tgt'!$D:$D),0),0)</f>
        <v>0</v>
      </c>
      <c r="CX37" s="11">
        <f>ROUND(IFERROR(#REF!/_xlfn.XLOOKUP(CX$7,'Product Tgt'!$B:$B,'Product Tgt'!$D:$D),0),0)</f>
        <v>0</v>
      </c>
      <c r="CY37" s="11">
        <f>ROUND(IFERROR(#REF!/_xlfn.XLOOKUP(CY$7,'Product Tgt'!$B:$B,'Product Tgt'!$D:$D),0),0)</f>
        <v>0</v>
      </c>
      <c r="CZ37" s="11">
        <f>ROUND(IFERROR(#REF!/_xlfn.XLOOKUP(CZ$7,'Product Tgt'!$B:$B,'Product Tgt'!$D:$D),0),0)</f>
        <v>0</v>
      </c>
      <c r="DA37" s="10">
        <f>IFERROR(BR37*_xlfn.XLOOKUP(DA$7,'Product Tgt'!$B:$B,'Product Tgt'!$D:$D),0)</f>
        <v>0</v>
      </c>
      <c r="DB37">
        <f>IFERROR(BS37*_xlfn.XLOOKUP(DB$7,'Product Tgt'!$B:$B,'Product Tgt'!$D:$D),0)</f>
        <v>0</v>
      </c>
      <c r="DC37">
        <f>IFERROR(BT37*_xlfn.XLOOKUP(DC$7,'Product Tgt'!$B:$B,'Product Tgt'!$D:$D),0)</f>
        <v>0</v>
      </c>
      <c r="DD37">
        <f>IFERROR(BU37*_xlfn.XLOOKUP(DD$7,'Product Tgt'!$B:$B,'Product Tgt'!$D:$D),0)</f>
        <v>0</v>
      </c>
      <c r="DE37">
        <f>IFERROR(BV37*_xlfn.XLOOKUP(DE$7,'Product Tgt'!$B:$B,'Product Tgt'!$D:$D),0)</f>
        <v>0</v>
      </c>
      <c r="DF37">
        <f>IFERROR(BW37*_xlfn.XLOOKUP(DF$7,'Product Tgt'!$B:$B,'Product Tgt'!$D:$D),0)</f>
        <v>0</v>
      </c>
      <c r="DG37">
        <f>IFERROR(BX37*_xlfn.XLOOKUP(DG$7,'Product Tgt'!$B:$B,'Product Tgt'!$D:$D),0)</f>
        <v>0</v>
      </c>
      <c r="DH37">
        <f>IFERROR(BY37*_xlfn.XLOOKUP(DH$7,'Product Tgt'!$B:$B,'Product Tgt'!$D:$D),0)</f>
        <v>0</v>
      </c>
      <c r="DI37">
        <f>IFERROR(BZ37*_xlfn.XLOOKUP(DI$7,'Product Tgt'!$B:$B,'Product Tgt'!$D:$D),0)</f>
        <v>0</v>
      </c>
      <c r="DJ37">
        <f>IFERROR(CA37*_xlfn.XLOOKUP(DJ$7,'Product Tgt'!$B:$B,'Product Tgt'!$D:$D),0)</f>
        <v>0</v>
      </c>
      <c r="DK37">
        <f>IFERROR(CB37*_xlfn.XLOOKUP(DK$7,'Product Tgt'!$B:$B,'Product Tgt'!$D:$D),0)</f>
        <v>0</v>
      </c>
      <c r="DL37">
        <f>IFERROR(CC37*_xlfn.XLOOKUP(DL$7,'Product Tgt'!$B:$B,'Product Tgt'!$D:$D),0)</f>
        <v>0</v>
      </c>
      <c r="DM37">
        <f>IFERROR(CD37*_xlfn.XLOOKUP(DM$7,'Product Tgt'!$B:$B,'Product Tgt'!$D:$D),0)</f>
        <v>0</v>
      </c>
      <c r="DN37">
        <f>IFERROR(CE37*_xlfn.XLOOKUP(DN$7,'Product Tgt'!$B:$B,'Product Tgt'!$D:$D),0)</f>
        <v>0</v>
      </c>
      <c r="DO37">
        <f>IFERROR(CF37*_xlfn.XLOOKUP(DO$7,'Product Tgt'!$B:$B,'Product Tgt'!$D:$D),0)</f>
        <v>0</v>
      </c>
      <c r="DP37">
        <f>IFERROR(CG37*_xlfn.XLOOKUP(DP$7,'Product Tgt'!$B:$B,'Product Tgt'!$D:$D),0)</f>
        <v>0</v>
      </c>
      <c r="DQ37">
        <f>IFERROR(CH37*_xlfn.XLOOKUP(DQ$7,'Product Tgt'!$B:$B,'Product Tgt'!$D:$D),0)</f>
        <v>0</v>
      </c>
      <c r="DR37">
        <f>IFERROR(CI37*_xlfn.XLOOKUP(DR$7,'Product Tgt'!$B:$B,'Product Tgt'!$D:$D),0)</f>
        <v>0</v>
      </c>
      <c r="DS37">
        <f>IFERROR(CJ37*_xlfn.XLOOKUP(DS$7,'Product Tgt'!$B:$B,'Product Tgt'!$D:$D),0)</f>
        <v>0</v>
      </c>
      <c r="DT37">
        <f>IFERROR(CK37*_xlfn.XLOOKUP(DT$7,'Product Tgt'!$B:$B,'Product Tgt'!$D:$D),0)</f>
        <v>0</v>
      </c>
      <c r="DU37">
        <f>IFERROR(CL37*_xlfn.XLOOKUP(DU$7,'Product Tgt'!$B:$B,'Product Tgt'!$D:$D),0)</f>
        <v>0</v>
      </c>
      <c r="DV37">
        <f>IFERROR(CM37*_xlfn.XLOOKUP(DV$7,'Product Tgt'!$B:$B,'Product Tgt'!$D:$D),0)</f>
        <v>0</v>
      </c>
      <c r="DW37">
        <f>IFERROR(CN37*_xlfn.XLOOKUP(DW$7,'Product Tgt'!$B:$B,'Product Tgt'!$D:$D),0)</f>
        <v>0</v>
      </c>
      <c r="DX37">
        <f>IFERROR(CO37*_xlfn.XLOOKUP(DX$7,'Product Tgt'!$B:$B,'Product Tgt'!$D:$D),0)</f>
        <v>0</v>
      </c>
      <c r="DY37">
        <f>IFERROR(CP37*_xlfn.XLOOKUP(DY$7,'Product Tgt'!$B:$B,'Product Tgt'!$D:$D),0)</f>
        <v>0</v>
      </c>
      <c r="DZ37">
        <f>IFERROR(CQ37*_xlfn.XLOOKUP(DZ$7,'Product Tgt'!$B:$B,'Product Tgt'!$D:$D),0)</f>
        <v>0</v>
      </c>
      <c r="EA37">
        <f>IFERROR(CR37*_xlfn.XLOOKUP(EA$7,'Product Tgt'!$B:$B,'Product Tgt'!$D:$D),0)</f>
        <v>0</v>
      </c>
      <c r="EB37">
        <f>IFERROR(CS37*_xlfn.XLOOKUP(EB$7,'Product Tgt'!$B:$B,'Product Tgt'!$D:$D),0)</f>
        <v>0</v>
      </c>
      <c r="EC37">
        <f>IFERROR(CT37*_xlfn.XLOOKUP(EC$7,'Product Tgt'!$B:$B,'Product Tgt'!$D:$D),0)</f>
        <v>0</v>
      </c>
      <c r="ED37">
        <f>IFERROR(CU37*_xlfn.XLOOKUP(ED$7,'Product Tgt'!$B:$B,'Product Tgt'!$D:$D),0)</f>
        <v>0</v>
      </c>
      <c r="EE37">
        <f>IFERROR(CV37*_xlfn.XLOOKUP(EE$7,'Product Tgt'!$B:$B,'Product Tgt'!$D:$D),0)</f>
        <v>0</v>
      </c>
      <c r="EF37">
        <f>IFERROR(CW37*_xlfn.XLOOKUP(EF$7,'Product Tgt'!$B:$B,'Product Tgt'!$D:$D),0)</f>
        <v>0</v>
      </c>
      <c r="EG37">
        <f>IFERROR(CX37*_xlfn.XLOOKUP(EG$7,'Product Tgt'!$B:$B,'Product Tgt'!$D:$D),0)</f>
        <v>0</v>
      </c>
      <c r="EH37">
        <f>IFERROR(CY37*_xlfn.XLOOKUP(EH$7,'Product Tgt'!$B:$B,'Product Tgt'!$D:$D),0)</f>
        <v>0</v>
      </c>
      <c r="EI37">
        <f>IFERROR(CZ37*_xlfn.XLOOKUP(EI$7,'Product Tgt'!$B:$B,'Product Tgt'!$D:$D),0)</f>
        <v>0</v>
      </c>
    </row>
    <row r="38" spans="2:139" x14ac:dyDescent="0.35">
      <c r="B38" s="7" t="s">
        <v>101</v>
      </c>
      <c r="C38" s="3">
        <f>_xlfn.XLOOKUP($B38,'Terr Target'!$A:$A,'Terr Target'!$E:$E)</f>
        <v>471651.69630895992</v>
      </c>
      <c r="D38" s="3">
        <f t="shared" si="3"/>
        <v>471652</v>
      </c>
      <c r="E38" s="4">
        <f t="shared" si="4"/>
        <v>0.30369104008423164</v>
      </c>
      <c r="F38" s="9">
        <f t="shared" si="7"/>
        <v>6.4388795146470632E-7</v>
      </c>
      <c r="G38" s="5">
        <f t="shared" si="6"/>
        <v>0.99999935611204849</v>
      </c>
      <c r="H38" s="38">
        <v>45503.496394003123</v>
      </c>
      <c r="I38" s="11">
        <v>107128.35053323048</v>
      </c>
      <c r="J38" s="11">
        <v>60124.314958837844</v>
      </c>
      <c r="K38" s="11">
        <v>57446.908339379843</v>
      </c>
      <c r="L38" s="11">
        <v>54066.677032293977</v>
      </c>
      <c r="M38" s="11">
        <v>37350.662635452805</v>
      </c>
      <c r="N38" s="11">
        <v>491.48281587624274</v>
      </c>
      <c r="O38" s="11">
        <v>4357.0334615207576</v>
      </c>
      <c r="P38" s="11">
        <v>1619.1514368067515</v>
      </c>
      <c r="Q38" s="11">
        <v>415.2023522254571</v>
      </c>
      <c r="R38" s="11">
        <v>9888.4967167400227</v>
      </c>
      <c r="S38" s="11">
        <v>19464.023549880876</v>
      </c>
      <c r="T38" s="11">
        <v>0</v>
      </c>
      <c r="U38" s="11">
        <v>2803.2921754750914</v>
      </c>
      <c r="V38" s="11">
        <v>12465.692329585863</v>
      </c>
      <c r="W38" s="11">
        <v>20370.173625096482</v>
      </c>
      <c r="X38" s="11">
        <v>2551.6201547161081</v>
      </c>
      <c r="Y38" s="11">
        <v>2663.5536591847072</v>
      </c>
      <c r="Z38" s="11">
        <v>462.79589170515612</v>
      </c>
      <c r="AA38" s="11">
        <v>4230.2065383892423</v>
      </c>
      <c r="AB38" s="11">
        <v>1652.862288630598</v>
      </c>
      <c r="AC38" s="11">
        <v>753.10360066554415</v>
      </c>
      <c r="AD38" s="11">
        <v>3779.3511453459719</v>
      </c>
      <c r="AE38" s="11">
        <v>5739.3864779764017</v>
      </c>
      <c r="AF38" s="11">
        <v>749.11022227488866</v>
      </c>
      <c r="AG38" s="11">
        <v>16385.723358336643</v>
      </c>
      <c r="AH38" s="11">
        <v>579.69386906139391</v>
      </c>
      <c r="AI38" s="11">
        <v>8049.2338303262432</v>
      </c>
      <c r="AJ38" s="11">
        <v>7097.8981336183551</v>
      </c>
      <c r="AK38" s="11">
        <v>732.36379676568777</v>
      </c>
      <c r="AL38" s="49">
        <v>1051.2494294944397</v>
      </c>
      <c r="AM38" s="41">
        <f>IFERROR(ROUND(_xlfn.XLOOKUP(AM$7,'Product Tgt'!$B:$B,'Product Tgt'!$G:$G)*H38/H$121,0),0)</f>
        <v>44237</v>
      </c>
      <c r="AN38" s="41">
        <f>IFERROR(ROUND(_xlfn.XLOOKUP(AN$7,'Product Tgt'!$B:$B,'Product Tgt'!$G:$G)*I38/I$121,0),0)</f>
        <v>105457</v>
      </c>
      <c r="AO38" s="41">
        <f>IFERROR(ROUND(_xlfn.XLOOKUP(AO$7,'Product Tgt'!$B:$B,'Product Tgt'!$G:$G)*J38/J$121,0),0)</f>
        <v>58254</v>
      </c>
      <c r="AP38" s="41">
        <f>IFERROR(ROUND(_xlfn.XLOOKUP(AP$7,'Product Tgt'!$B:$B,'Product Tgt'!$G:$G)*K38/K$121,0),0)</f>
        <v>56041</v>
      </c>
      <c r="AQ38" s="41">
        <f>IFERROR(ROUND(_xlfn.XLOOKUP(AQ$7,'Product Tgt'!$B:$B,'Product Tgt'!$G:$G)*L38/L$121,0),0)</f>
        <v>52279</v>
      </c>
      <c r="AR38" s="41">
        <f>IFERROR(ROUND(_xlfn.XLOOKUP(AR$7,'Product Tgt'!$B:$B,'Product Tgt'!$G:$G)*M38/M$121,0),0)</f>
        <v>36185</v>
      </c>
      <c r="AS38" s="41">
        <f>IFERROR(ROUND(_xlfn.XLOOKUP(AS$7,'Product Tgt'!$B:$B,'Product Tgt'!$G:$G)*N38/N$121,0),0)</f>
        <v>454</v>
      </c>
      <c r="AT38" s="41">
        <f>IFERROR(ROUND(_xlfn.XLOOKUP(AT$7,'Product Tgt'!$B:$B,'Product Tgt'!$G:$G)*O38/O$121,0),0)</f>
        <v>3922</v>
      </c>
      <c r="AU38" s="41">
        <f>IFERROR(ROUND(_xlfn.XLOOKUP(AU$7,'Product Tgt'!$B:$B,'Product Tgt'!$G:$G)*P38/P$121,0),0)</f>
        <v>690</v>
      </c>
      <c r="AV38" s="41">
        <f>IFERROR(ROUND(_xlfn.XLOOKUP(AV$7,'Product Tgt'!$B:$B,'Product Tgt'!$G:$G)*Q38/Q$121,0),0)</f>
        <v>312</v>
      </c>
      <c r="AW38" s="41">
        <f>IFERROR(ROUND(_xlfn.XLOOKUP(AW$7,'Product Tgt'!$B:$B,'Product Tgt'!$G:$G)*R38/R$121,0),0)</f>
        <v>9523</v>
      </c>
      <c r="AX38" s="41">
        <f>IFERROR(ROUND(_xlfn.XLOOKUP(AX$7,'Product Tgt'!$B:$B,'Product Tgt'!$G:$G)*S38/S$121,0),0)</f>
        <v>18746</v>
      </c>
      <c r="AY38" s="41">
        <f>IFERROR(ROUND(_xlfn.XLOOKUP(AY$7,'Product Tgt'!$B:$B,'Product Tgt'!$G:$G)*T38/T$121,0),0)</f>
        <v>0</v>
      </c>
      <c r="AZ38" s="41">
        <f>IFERROR(ROUND(_xlfn.XLOOKUP(AZ$7,'Product Tgt'!$B:$B,'Product Tgt'!$G:$G)*U38/U$121,0),0)</f>
        <v>2683</v>
      </c>
      <c r="BA38" s="41">
        <f>IFERROR(ROUND(_xlfn.XLOOKUP(BA$7,'Product Tgt'!$B:$B,'Product Tgt'!$G:$G)*V38/V$121,0),0)</f>
        <v>12002</v>
      </c>
      <c r="BB38" s="41">
        <f>IFERROR(ROUND(_xlfn.XLOOKUP(BB$7,'Product Tgt'!$B:$B,'Product Tgt'!$G:$G)*W38/W$121,0),0)</f>
        <v>19499</v>
      </c>
      <c r="BC38" s="41">
        <f>IFERROR(ROUND(_xlfn.XLOOKUP(BC$7,'Product Tgt'!$B:$B,'Product Tgt'!$G:$G)*X38/X$121,0),0)</f>
        <v>2469</v>
      </c>
      <c r="BD38" s="41">
        <f>IFERROR(ROUND(_xlfn.XLOOKUP(BD$7,'Product Tgt'!$B:$B,'Product Tgt'!$G:$G)*Y38/Y$121,0),0)</f>
        <v>2576</v>
      </c>
      <c r="BE38" s="41">
        <f>IFERROR(ROUND(_xlfn.XLOOKUP(BE$7,'Product Tgt'!$B:$B,'Product Tgt'!$G:$G)*Z38/Z$121,0),0)</f>
        <v>440</v>
      </c>
      <c r="BF38" s="41">
        <f>IFERROR(ROUND(_xlfn.XLOOKUP(BF$7,'Product Tgt'!$B:$B,'Product Tgt'!$G:$G)*AA38/AA$121,0),0)</f>
        <v>3428</v>
      </c>
      <c r="BG38" s="41">
        <f>IFERROR(ROUND(_xlfn.XLOOKUP(BG$7,'Product Tgt'!$B:$B,'Product Tgt'!$G:$G)*AB38/AB$121,0),0)</f>
        <v>1325</v>
      </c>
      <c r="BH38" s="41">
        <f>IFERROR(ROUND(_xlfn.XLOOKUP(BH$7,'Product Tgt'!$B:$B,'Product Tgt'!$G:$G)*AC38/AC$121,0),0)</f>
        <v>645</v>
      </c>
      <c r="BI38" s="41">
        <f>IFERROR(ROUND(_xlfn.XLOOKUP(BI$7,'Product Tgt'!$B:$B,'Product Tgt'!$G:$G)*AD38/AD$121,0),0)</f>
        <v>3290</v>
      </c>
      <c r="BJ38" s="41">
        <f>IFERROR(ROUND(_xlfn.XLOOKUP(BJ$7,'Product Tgt'!$B:$B,'Product Tgt'!$G:$G)*AE38/AE$121,0),0)</f>
        <v>5342</v>
      </c>
      <c r="BK38" s="41">
        <f>IFERROR(ROUND(_xlfn.XLOOKUP(BK$7,'Product Tgt'!$B:$B,'Product Tgt'!$G:$G)*AF38/AF$121,0),0)</f>
        <v>837</v>
      </c>
      <c r="BL38" s="41">
        <f>IFERROR(ROUND(_xlfn.XLOOKUP(BL$7,'Product Tgt'!$B:$B,'Product Tgt'!$G:$G)*AG38/AG$121,0),0)</f>
        <v>15651</v>
      </c>
      <c r="BM38" s="41">
        <f>IFERROR(ROUND(_xlfn.XLOOKUP(BM$7,'Product Tgt'!$B:$B,'Product Tgt'!$G:$G)*AH38/AH$121,0),0)</f>
        <v>454</v>
      </c>
      <c r="BN38" s="41">
        <f>IFERROR(ROUND(_xlfn.XLOOKUP(BN$7,'Product Tgt'!$B:$B,'Product Tgt'!$G:$G)*AI38/AI$121,0),0)</f>
        <v>7392</v>
      </c>
      <c r="BO38" s="41">
        <f>IFERROR(ROUND(_xlfn.XLOOKUP(BO$7,'Product Tgt'!$B:$B,'Product Tgt'!$G:$G)*AJ38/AJ$121,0),0)</f>
        <v>6139</v>
      </c>
      <c r="BP38" s="41">
        <f>IFERROR(ROUND(_xlfn.XLOOKUP(BP$7,'Product Tgt'!$B:$B,'Product Tgt'!$G:$G)*AK38/AK$121,0),0)</f>
        <v>558</v>
      </c>
      <c r="BQ38" s="41">
        <f>IFERROR(ROUND(_xlfn.XLOOKUP(BQ$7,'Product Tgt'!$B:$B,'Product Tgt'!$G:$G)*AL38/AL$121,0),0)</f>
        <v>822</v>
      </c>
      <c r="BR38" s="25">
        <f>ROUND(IFERROR(AM38/_xlfn.XLOOKUP(BR$7,'Product Tgt'!$B:$B,'Product Tgt'!$D:$D),0),0)</f>
        <v>0</v>
      </c>
      <c r="BS38" s="11">
        <f>ROUND(IFERROR(AN38/_xlfn.XLOOKUP(BS$7,'Product Tgt'!$B:$B,'Product Tgt'!$D:$D),0),0)</f>
        <v>0</v>
      </c>
      <c r="BT38" s="11">
        <f>ROUND(IFERROR(AO38/_xlfn.XLOOKUP(BT$7,'Product Tgt'!$B:$B,'Product Tgt'!$D:$D),0),0)</f>
        <v>0</v>
      </c>
      <c r="BU38" s="11">
        <f>ROUND(IFERROR(AP38/_xlfn.XLOOKUP(BU$7,'Product Tgt'!$B:$B,'Product Tgt'!$D:$D),0),0)</f>
        <v>0</v>
      </c>
      <c r="BV38" s="11">
        <f>ROUND(IFERROR(AQ38/_xlfn.XLOOKUP(BV$7,'Product Tgt'!$B:$B,'Product Tgt'!$D:$D),0),0)</f>
        <v>0</v>
      </c>
      <c r="BW38" s="11">
        <f>ROUND(IFERROR(AU38/_xlfn.XLOOKUP(BW$7,'Product Tgt'!$B:$B,'Product Tgt'!$D:$D),0),0)</f>
        <v>0</v>
      </c>
      <c r="BX38" s="11">
        <f>ROUND(IFERROR(#REF!/_xlfn.XLOOKUP(BX$7,'Product Tgt'!$B:$B,'Product Tgt'!$D:$D),0),0)</f>
        <v>0</v>
      </c>
      <c r="BY38" s="11">
        <f>ROUND(IFERROR(#REF!/_xlfn.XLOOKUP(BY$7,'Product Tgt'!$B:$B,'Product Tgt'!$D:$D),0),0)</f>
        <v>0</v>
      </c>
      <c r="BZ38" s="11">
        <f>ROUND(IFERROR(#REF!/_xlfn.XLOOKUP(BZ$7,'Product Tgt'!$B:$B,'Product Tgt'!$D:$D),0),0)</f>
        <v>0</v>
      </c>
      <c r="CA38" s="11">
        <f>ROUND(IFERROR(#REF!/_xlfn.XLOOKUP(CA$7,'Product Tgt'!$B:$B,'Product Tgt'!$D:$D),0),0)</f>
        <v>0</v>
      </c>
      <c r="CB38" s="11">
        <f>ROUND(IFERROR(AV38/_xlfn.XLOOKUP(CB$7,'Product Tgt'!$B:$B,'Product Tgt'!$D:$D),0),0)</f>
        <v>0</v>
      </c>
      <c r="CC38" s="11">
        <f>ROUND(IFERROR(AW38/_xlfn.XLOOKUP(CC$7,'Product Tgt'!$B:$B,'Product Tgt'!$D:$D),0),0)</f>
        <v>0</v>
      </c>
      <c r="CD38" s="11">
        <f>ROUND(IFERROR(AX38/_xlfn.XLOOKUP(CD$7,'Product Tgt'!$B:$B,'Product Tgt'!$D:$D),0),0)</f>
        <v>0</v>
      </c>
      <c r="CE38" s="11">
        <f>ROUND(IFERROR(AY38/_xlfn.XLOOKUP(CE$7,'Product Tgt'!$B:$B,'Product Tgt'!$D:$D),0),0)</f>
        <v>0</v>
      </c>
      <c r="CF38" s="11">
        <f>ROUND(IFERROR(AZ38/_xlfn.XLOOKUP(CF$7,'Product Tgt'!$B:$B,'Product Tgt'!$D:$D),0),0)</f>
        <v>0</v>
      </c>
      <c r="CG38" s="11">
        <f>ROUND(IFERROR(BA38/_xlfn.XLOOKUP(CG$7,'Product Tgt'!$B:$B,'Product Tgt'!$D:$D),0),0)</f>
        <v>0</v>
      </c>
      <c r="CH38" s="11">
        <f>ROUND(IFERROR(BB38/_xlfn.XLOOKUP(CH$7,'Product Tgt'!$B:$B,'Product Tgt'!$D:$D),0),0)</f>
        <v>0</v>
      </c>
      <c r="CI38" s="11">
        <f>ROUND(IFERROR(BC38/_xlfn.XLOOKUP(CI$7,'Product Tgt'!$B:$B,'Product Tgt'!$D:$D),0),0)</f>
        <v>0</v>
      </c>
      <c r="CJ38" s="11">
        <f>ROUND(IFERROR(BD38/_xlfn.XLOOKUP(CJ$7,'Product Tgt'!$B:$B,'Product Tgt'!$D:$D),0),0)</f>
        <v>0</v>
      </c>
      <c r="CK38" s="11">
        <f>ROUND(IFERROR(BE38/_xlfn.XLOOKUP(CK$7,'Product Tgt'!$B:$B,'Product Tgt'!$D:$D),0),0)</f>
        <v>0</v>
      </c>
      <c r="CL38" s="11">
        <f>ROUND(IFERROR(BF38/_xlfn.XLOOKUP(CL$7,'Product Tgt'!$B:$B,'Product Tgt'!$D:$D),0),0)</f>
        <v>0</v>
      </c>
      <c r="CM38" s="11">
        <f>ROUND(IFERROR(BG38/_xlfn.XLOOKUP(CM$7,'Product Tgt'!$B:$B,'Product Tgt'!$D:$D),0),0)</f>
        <v>0</v>
      </c>
      <c r="CN38" s="11">
        <f>ROUND(IFERROR(BH38/_xlfn.XLOOKUP(CN$7,'Product Tgt'!$B:$B,'Product Tgt'!$D:$D),0),0)</f>
        <v>0</v>
      </c>
      <c r="CO38" s="11">
        <f>ROUND(IFERROR(BI38/_xlfn.XLOOKUP(CO$7,'Product Tgt'!$B:$B,'Product Tgt'!$D:$D),0),0)</f>
        <v>0</v>
      </c>
      <c r="CP38" s="11">
        <f>ROUND(IFERROR(BJ38/_xlfn.XLOOKUP(CP$7,'Product Tgt'!$B:$B,'Product Tgt'!$D:$D),0),0)</f>
        <v>0</v>
      </c>
      <c r="CQ38" s="11">
        <f>ROUND(IFERROR(BK38/_xlfn.XLOOKUP(CQ$7,'Product Tgt'!$B:$B,'Product Tgt'!$D:$D),0),0)</f>
        <v>0</v>
      </c>
      <c r="CR38" s="11">
        <f>ROUND(IFERROR(BL38/_xlfn.XLOOKUP(CR$7,'Product Tgt'!$B:$B,'Product Tgt'!$D:$D),0),0)</f>
        <v>0</v>
      </c>
      <c r="CS38" s="11">
        <f>ROUND(IFERROR(BM38/_xlfn.XLOOKUP(CS$7,'Product Tgt'!$B:$B,'Product Tgt'!$D:$D),0),0)</f>
        <v>0</v>
      </c>
      <c r="CT38" s="11">
        <f>ROUND(IFERROR(BN38/_xlfn.XLOOKUP(CT$7,'Product Tgt'!$B:$B,'Product Tgt'!$D:$D),0),0)</f>
        <v>0</v>
      </c>
      <c r="CU38" s="11">
        <f>ROUND(IFERROR(BO38/_xlfn.XLOOKUP(CU$7,'Product Tgt'!$B:$B,'Product Tgt'!$D:$D),0),0)</f>
        <v>0</v>
      </c>
      <c r="CV38" s="11">
        <f>ROUND(IFERROR(BP38/_xlfn.XLOOKUP(CV$7,'Product Tgt'!$B:$B,'Product Tgt'!$D:$D),0),0)</f>
        <v>0</v>
      </c>
      <c r="CW38" s="11">
        <f>ROUND(IFERROR(BQ38/_xlfn.XLOOKUP(CW$7,'Product Tgt'!$B:$B,'Product Tgt'!$D:$D),0),0)</f>
        <v>0</v>
      </c>
      <c r="CX38" s="11">
        <f>ROUND(IFERROR(#REF!/_xlfn.XLOOKUP(CX$7,'Product Tgt'!$B:$B,'Product Tgt'!$D:$D),0),0)</f>
        <v>0</v>
      </c>
      <c r="CY38" s="11">
        <f>ROUND(IFERROR(#REF!/_xlfn.XLOOKUP(CY$7,'Product Tgt'!$B:$B,'Product Tgt'!$D:$D),0),0)</f>
        <v>0</v>
      </c>
      <c r="CZ38" s="11">
        <f>ROUND(IFERROR(#REF!/_xlfn.XLOOKUP(CZ$7,'Product Tgt'!$B:$B,'Product Tgt'!$D:$D),0),0)</f>
        <v>0</v>
      </c>
      <c r="DA38" s="10">
        <f>IFERROR(BR38*_xlfn.XLOOKUP(DA$7,'Product Tgt'!$B:$B,'Product Tgt'!$D:$D),0)</f>
        <v>0</v>
      </c>
      <c r="DB38">
        <f>IFERROR(BS38*_xlfn.XLOOKUP(DB$7,'Product Tgt'!$B:$B,'Product Tgt'!$D:$D),0)</f>
        <v>0</v>
      </c>
      <c r="DC38">
        <f>IFERROR(BT38*_xlfn.XLOOKUP(DC$7,'Product Tgt'!$B:$B,'Product Tgt'!$D:$D),0)</f>
        <v>0</v>
      </c>
      <c r="DD38">
        <f>IFERROR(BU38*_xlfn.XLOOKUP(DD$7,'Product Tgt'!$B:$B,'Product Tgt'!$D:$D),0)</f>
        <v>0</v>
      </c>
      <c r="DE38">
        <f>IFERROR(BV38*_xlfn.XLOOKUP(DE$7,'Product Tgt'!$B:$B,'Product Tgt'!$D:$D),0)</f>
        <v>0</v>
      </c>
      <c r="DF38">
        <f>IFERROR(BW38*_xlfn.XLOOKUP(DF$7,'Product Tgt'!$B:$B,'Product Tgt'!$D:$D),0)</f>
        <v>0</v>
      </c>
      <c r="DG38">
        <f>IFERROR(BX38*_xlfn.XLOOKUP(DG$7,'Product Tgt'!$B:$B,'Product Tgt'!$D:$D),0)</f>
        <v>0</v>
      </c>
      <c r="DH38">
        <f>IFERROR(BY38*_xlfn.XLOOKUP(DH$7,'Product Tgt'!$B:$B,'Product Tgt'!$D:$D),0)</f>
        <v>0</v>
      </c>
      <c r="DI38">
        <f>IFERROR(BZ38*_xlfn.XLOOKUP(DI$7,'Product Tgt'!$B:$B,'Product Tgt'!$D:$D),0)</f>
        <v>0</v>
      </c>
      <c r="DJ38">
        <f>IFERROR(CA38*_xlfn.XLOOKUP(DJ$7,'Product Tgt'!$B:$B,'Product Tgt'!$D:$D),0)</f>
        <v>0</v>
      </c>
      <c r="DK38">
        <f>IFERROR(CB38*_xlfn.XLOOKUP(DK$7,'Product Tgt'!$B:$B,'Product Tgt'!$D:$D),0)</f>
        <v>0</v>
      </c>
      <c r="DL38">
        <f>IFERROR(CC38*_xlfn.XLOOKUP(DL$7,'Product Tgt'!$B:$B,'Product Tgt'!$D:$D),0)</f>
        <v>0</v>
      </c>
      <c r="DM38">
        <f>IFERROR(CD38*_xlfn.XLOOKUP(DM$7,'Product Tgt'!$B:$B,'Product Tgt'!$D:$D),0)</f>
        <v>0</v>
      </c>
      <c r="DN38">
        <f>IFERROR(CE38*_xlfn.XLOOKUP(DN$7,'Product Tgt'!$B:$B,'Product Tgt'!$D:$D),0)</f>
        <v>0</v>
      </c>
      <c r="DO38">
        <f>IFERROR(CF38*_xlfn.XLOOKUP(DO$7,'Product Tgt'!$B:$B,'Product Tgt'!$D:$D),0)</f>
        <v>0</v>
      </c>
      <c r="DP38">
        <f>IFERROR(CG38*_xlfn.XLOOKUP(DP$7,'Product Tgt'!$B:$B,'Product Tgt'!$D:$D),0)</f>
        <v>0</v>
      </c>
      <c r="DQ38">
        <f>IFERROR(CH38*_xlfn.XLOOKUP(DQ$7,'Product Tgt'!$B:$B,'Product Tgt'!$D:$D),0)</f>
        <v>0</v>
      </c>
      <c r="DR38">
        <f>IFERROR(CI38*_xlfn.XLOOKUP(DR$7,'Product Tgt'!$B:$B,'Product Tgt'!$D:$D),0)</f>
        <v>0</v>
      </c>
      <c r="DS38">
        <f>IFERROR(CJ38*_xlfn.XLOOKUP(DS$7,'Product Tgt'!$B:$B,'Product Tgt'!$D:$D),0)</f>
        <v>0</v>
      </c>
      <c r="DT38">
        <f>IFERROR(CK38*_xlfn.XLOOKUP(DT$7,'Product Tgt'!$B:$B,'Product Tgt'!$D:$D),0)</f>
        <v>0</v>
      </c>
      <c r="DU38">
        <f>IFERROR(CL38*_xlfn.XLOOKUP(DU$7,'Product Tgt'!$B:$B,'Product Tgt'!$D:$D),0)</f>
        <v>0</v>
      </c>
      <c r="DV38">
        <f>IFERROR(CM38*_xlfn.XLOOKUP(DV$7,'Product Tgt'!$B:$B,'Product Tgt'!$D:$D),0)</f>
        <v>0</v>
      </c>
      <c r="DW38">
        <f>IFERROR(CN38*_xlfn.XLOOKUP(DW$7,'Product Tgt'!$B:$B,'Product Tgt'!$D:$D),0)</f>
        <v>0</v>
      </c>
      <c r="DX38">
        <f>IFERROR(CO38*_xlfn.XLOOKUP(DX$7,'Product Tgt'!$B:$B,'Product Tgt'!$D:$D),0)</f>
        <v>0</v>
      </c>
      <c r="DY38">
        <f>IFERROR(CP38*_xlfn.XLOOKUP(DY$7,'Product Tgt'!$B:$B,'Product Tgt'!$D:$D),0)</f>
        <v>0</v>
      </c>
      <c r="DZ38">
        <f>IFERROR(CQ38*_xlfn.XLOOKUP(DZ$7,'Product Tgt'!$B:$B,'Product Tgt'!$D:$D),0)</f>
        <v>0</v>
      </c>
      <c r="EA38">
        <f>IFERROR(CR38*_xlfn.XLOOKUP(EA$7,'Product Tgt'!$B:$B,'Product Tgt'!$D:$D),0)</f>
        <v>0</v>
      </c>
      <c r="EB38">
        <f>IFERROR(CS38*_xlfn.XLOOKUP(EB$7,'Product Tgt'!$B:$B,'Product Tgt'!$D:$D),0)</f>
        <v>0</v>
      </c>
      <c r="EC38">
        <f>IFERROR(CT38*_xlfn.XLOOKUP(EC$7,'Product Tgt'!$B:$B,'Product Tgt'!$D:$D),0)</f>
        <v>0</v>
      </c>
      <c r="ED38">
        <f>IFERROR(CU38*_xlfn.XLOOKUP(ED$7,'Product Tgt'!$B:$B,'Product Tgt'!$D:$D),0)</f>
        <v>0</v>
      </c>
      <c r="EE38">
        <f>IFERROR(CV38*_xlfn.XLOOKUP(EE$7,'Product Tgt'!$B:$B,'Product Tgt'!$D:$D),0)</f>
        <v>0</v>
      </c>
      <c r="EF38">
        <f>IFERROR(CW38*_xlfn.XLOOKUP(EF$7,'Product Tgt'!$B:$B,'Product Tgt'!$D:$D),0)</f>
        <v>0</v>
      </c>
      <c r="EG38">
        <f>IFERROR(CX38*_xlfn.XLOOKUP(EG$7,'Product Tgt'!$B:$B,'Product Tgt'!$D:$D),0)</f>
        <v>0</v>
      </c>
      <c r="EH38">
        <f>IFERROR(CY38*_xlfn.XLOOKUP(EH$7,'Product Tgt'!$B:$B,'Product Tgt'!$D:$D),0)</f>
        <v>0</v>
      </c>
      <c r="EI38">
        <f>IFERROR(CZ38*_xlfn.XLOOKUP(EI$7,'Product Tgt'!$B:$B,'Product Tgt'!$D:$D),0)</f>
        <v>0</v>
      </c>
    </row>
    <row r="39" spans="2:139" x14ac:dyDescent="0.35">
      <c r="B39" s="7" t="s">
        <v>102</v>
      </c>
      <c r="C39" s="3">
        <f>_xlfn.XLOOKUP($B39,'Terr Target'!$A:$A,'Terr Target'!$E:$E)</f>
        <v>771906.98607707722</v>
      </c>
      <c r="D39" s="3">
        <f t="shared" si="3"/>
        <v>771908</v>
      </c>
      <c r="E39" s="4">
        <f t="shared" si="4"/>
        <v>1.0139229227788746</v>
      </c>
      <c r="F39" s="9">
        <f t="shared" si="7"/>
        <v>1.3135281960789041E-6</v>
      </c>
      <c r="G39" s="5">
        <f t="shared" si="6"/>
        <v>0.9999986864718039</v>
      </c>
      <c r="H39" s="38">
        <v>74236.305931841125</v>
      </c>
      <c r="I39" s="11">
        <v>152716.57720219452</v>
      </c>
      <c r="J39" s="11">
        <v>70521.998885691995</v>
      </c>
      <c r="K39" s="11">
        <v>69084.029796477786</v>
      </c>
      <c r="L39" s="11">
        <v>93612.883998138175</v>
      </c>
      <c r="M39" s="11">
        <v>68336.286267653108</v>
      </c>
      <c r="N39" s="11">
        <v>739.46420141729186</v>
      </c>
      <c r="O39" s="11">
        <v>8778.2537905529571</v>
      </c>
      <c r="P39" s="11">
        <v>1593.2685979058151</v>
      </c>
      <c r="Q39" s="11">
        <v>1503.845898405131</v>
      </c>
      <c r="R39" s="11">
        <v>18648.037011123095</v>
      </c>
      <c r="S39" s="11">
        <v>53488.321388151111</v>
      </c>
      <c r="T39" s="11">
        <v>1053.5319886265959</v>
      </c>
      <c r="U39" s="11">
        <v>1750.2975219261889</v>
      </c>
      <c r="V39" s="11">
        <v>32715.787098127137</v>
      </c>
      <c r="W39" s="11">
        <v>41679.853644839393</v>
      </c>
      <c r="X39" s="11">
        <v>3753.0399860128614</v>
      </c>
      <c r="Y39" s="11">
        <v>3866.3166900485721</v>
      </c>
      <c r="Z39" s="11">
        <v>536.75485871234059</v>
      </c>
      <c r="AA39" s="11">
        <v>10987.780656452647</v>
      </c>
      <c r="AB39" s="11">
        <v>4218.2725877943449</v>
      </c>
      <c r="AC39" s="11">
        <v>1948.0969153643468</v>
      </c>
      <c r="AD39" s="11">
        <v>9235.4555441409793</v>
      </c>
      <c r="AE39" s="11">
        <v>22622.501794232347</v>
      </c>
      <c r="AF39" s="11">
        <v>1241.3822743399364</v>
      </c>
      <c r="AG39" s="11">
        <v>27778.018098545028</v>
      </c>
      <c r="AH39" s="11">
        <v>2246.2322153779637</v>
      </c>
      <c r="AI39" s="11">
        <v>12078.137264580191</v>
      </c>
      <c r="AJ39" s="11">
        <v>10225.426549850285</v>
      </c>
      <c r="AK39" s="11">
        <v>1227.6065867209581</v>
      </c>
      <c r="AL39" s="49">
        <v>1899.1763277304283</v>
      </c>
      <c r="AM39" s="41">
        <f>IFERROR(ROUND(_xlfn.XLOOKUP(AM$7,'Product Tgt'!$B:$B,'Product Tgt'!$G:$G)*H39/H$121,0),0)</f>
        <v>72170</v>
      </c>
      <c r="AN39" s="41">
        <f>IFERROR(ROUND(_xlfn.XLOOKUP(AN$7,'Product Tgt'!$B:$B,'Product Tgt'!$G:$G)*I39/I$121,0),0)</f>
        <v>150334</v>
      </c>
      <c r="AO39" s="41">
        <f>IFERROR(ROUND(_xlfn.XLOOKUP(AO$7,'Product Tgt'!$B:$B,'Product Tgt'!$G:$G)*J39/J$121,0),0)</f>
        <v>68329</v>
      </c>
      <c r="AP39" s="41">
        <f>IFERROR(ROUND(_xlfn.XLOOKUP(AP$7,'Product Tgt'!$B:$B,'Product Tgt'!$G:$G)*K39/K$121,0),0)</f>
        <v>67393</v>
      </c>
      <c r="AQ39" s="41">
        <f>IFERROR(ROUND(_xlfn.XLOOKUP(AQ$7,'Product Tgt'!$B:$B,'Product Tgt'!$G:$G)*L39/L$121,0),0)</f>
        <v>90518</v>
      </c>
      <c r="AR39" s="41">
        <f>IFERROR(ROUND(_xlfn.XLOOKUP(AR$7,'Product Tgt'!$B:$B,'Product Tgt'!$G:$G)*M39/M$121,0),0)</f>
        <v>66204</v>
      </c>
      <c r="AS39" s="41">
        <f>IFERROR(ROUND(_xlfn.XLOOKUP(AS$7,'Product Tgt'!$B:$B,'Product Tgt'!$G:$G)*N39/N$121,0),0)</f>
        <v>683</v>
      </c>
      <c r="AT39" s="41">
        <f>IFERROR(ROUND(_xlfn.XLOOKUP(AT$7,'Product Tgt'!$B:$B,'Product Tgt'!$G:$G)*O39/O$121,0),0)</f>
        <v>7901</v>
      </c>
      <c r="AU39" s="41">
        <f>IFERROR(ROUND(_xlfn.XLOOKUP(AU$7,'Product Tgt'!$B:$B,'Product Tgt'!$G:$G)*P39/P$121,0),0)</f>
        <v>679</v>
      </c>
      <c r="AV39" s="41">
        <f>IFERROR(ROUND(_xlfn.XLOOKUP(AV$7,'Product Tgt'!$B:$B,'Product Tgt'!$G:$G)*Q39/Q$121,0),0)</f>
        <v>1129</v>
      </c>
      <c r="AW39" s="41">
        <f>IFERROR(ROUND(_xlfn.XLOOKUP(AW$7,'Product Tgt'!$B:$B,'Product Tgt'!$G:$G)*R39/R$121,0),0)</f>
        <v>17959</v>
      </c>
      <c r="AX39" s="41">
        <f>IFERROR(ROUND(_xlfn.XLOOKUP(AX$7,'Product Tgt'!$B:$B,'Product Tgt'!$G:$G)*S39/S$121,0),0)</f>
        <v>51516</v>
      </c>
      <c r="AY39" s="41">
        <f>IFERROR(ROUND(_xlfn.XLOOKUP(AY$7,'Product Tgt'!$B:$B,'Product Tgt'!$G:$G)*T39/T$121,0),0)</f>
        <v>1057</v>
      </c>
      <c r="AZ39" s="41">
        <f>IFERROR(ROUND(_xlfn.XLOOKUP(AZ$7,'Product Tgt'!$B:$B,'Product Tgt'!$G:$G)*U39/U$121,0),0)</f>
        <v>1675</v>
      </c>
      <c r="BA39" s="41">
        <f>IFERROR(ROUND(_xlfn.XLOOKUP(BA$7,'Product Tgt'!$B:$B,'Product Tgt'!$G:$G)*V39/V$121,0),0)</f>
        <v>31499</v>
      </c>
      <c r="BB39" s="41">
        <f>IFERROR(ROUND(_xlfn.XLOOKUP(BB$7,'Product Tgt'!$B:$B,'Product Tgt'!$G:$G)*W39/W$121,0),0)</f>
        <v>39897</v>
      </c>
      <c r="BC39" s="41">
        <f>IFERROR(ROUND(_xlfn.XLOOKUP(BC$7,'Product Tgt'!$B:$B,'Product Tgt'!$G:$G)*X39/X$121,0),0)</f>
        <v>3632</v>
      </c>
      <c r="BD39" s="41">
        <f>IFERROR(ROUND(_xlfn.XLOOKUP(BD$7,'Product Tgt'!$B:$B,'Product Tgt'!$G:$G)*Y39/Y$121,0),0)</f>
        <v>3739</v>
      </c>
      <c r="BE39" s="41">
        <f>IFERROR(ROUND(_xlfn.XLOOKUP(BE$7,'Product Tgt'!$B:$B,'Product Tgt'!$G:$G)*Z39/Z$121,0),0)</f>
        <v>510</v>
      </c>
      <c r="BF39" s="41">
        <f>IFERROR(ROUND(_xlfn.XLOOKUP(BF$7,'Product Tgt'!$B:$B,'Product Tgt'!$G:$G)*AA39/AA$121,0),0)</f>
        <v>8904</v>
      </c>
      <c r="BG39" s="41">
        <f>IFERROR(ROUND(_xlfn.XLOOKUP(BG$7,'Product Tgt'!$B:$B,'Product Tgt'!$G:$G)*AB39/AB$121,0),0)</f>
        <v>3381</v>
      </c>
      <c r="BH39" s="41">
        <f>IFERROR(ROUND(_xlfn.XLOOKUP(BH$7,'Product Tgt'!$B:$B,'Product Tgt'!$G:$G)*AC39/AC$121,0),0)</f>
        <v>1667</v>
      </c>
      <c r="BI39" s="41">
        <f>IFERROR(ROUND(_xlfn.XLOOKUP(BI$7,'Product Tgt'!$B:$B,'Product Tgt'!$G:$G)*AD39/AD$121,0),0)</f>
        <v>8040</v>
      </c>
      <c r="BJ39" s="41">
        <f>IFERROR(ROUND(_xlfn.XLOOKUP(BJ$7,'Product Tgt'!$B:$B,'Product Tgt'!$G:$G)*AE39/AE$121,0),0)</f>
        <v>21056</v>
      </c>
      <c r="BK39" s="41">
        <f>IFERROR(ROUND(_xlfn.XLOOKUP(BK$7,'Product Tgt'!$B:$B,'Product Tgt'!$G:$G)*AF39/AF$121,0),0)</f>
        <v>1387</v>
      </c>
      <c r="BL39" s="41">
        <f>IFERROR(ROUND(_xlfn.XLOOKUP(BL$7,'Product Tgt'!$B:$B,'Product Tgt'!$G:$G)*AG39/AG$121,0),0)</f>
        <v>26533</v>
      </c>
      <c r="BM39" s="41">
        <f>IFERROR(ROUND(_xlfn.XLOOKUP(BM$7,'Product Tgt'!$B:$B,'Product Tgt'!$G:$G)*AH39/AH$121,0),0)</f>
        <v>1761</v>
      </c>
      <c r="BN39" s="41">
        <f>IFERROR(ROUND(_xlfn.XLOOKUP(BN$7,'Product Tgt'!$B:$B,'Product Tgt'!$G:$G)*AI39/AI$121,0),0)</f>
        <v>11092</v>
      </c>
      <c r="BO39" s="41">
        <f>IFERROR(ROUND(_xlfn.XLOOKUP(BO$7,'Product Tgt'!$B:$B,'Product Tgt'!$G:$G)*AJ39/AJ$121,0),0)</f>
        <v>8844</v>
      </c>
      <c r="BP39" s="41">
        <f>IFERROR(ROUND(_xlfn.XLOOKUP(BP$7,'Product Tgt'!$B:$B,'Product Tgt'!$G:$G)*AK39/AK$121,0),0)</f>
        <v>935</v>
      </c>
      <c r="BQ39" s="41">
        <f>IFERROR(ROUND(_xlfn.XLOOKUP(BQ$7,'Product Tgt'!$B:$B,'Product Tgt'!$G:$G)*AL39/AL$121,0),0)</f>
        <v>1484</v>
      </c>
      <c r="BR39" s="25">
        <f>ROUND(IFERROR(AM39/_xlfn.XLOOKUP(BR$7,'Product Tgt'!$B:$B,'Product Tgt'!$D:$D),0),0)</f>
        <v>0</v>
      </c>
      <c r="BS39" s="11">
        <f>ROUND(IFERROR(AN39/_xlfn.XLOOKUP(BS$7,'Product Tgt'!$B:$B,'Product Tgt'!$D:$D),0),0)</f>
        <v>0</v>
      </c>
      <c r="BT39" s="11">
        <f>ROUND(IFERROR(AO39/_xlfn.XLOOKUP(BT$7,'Product Tgt'!$B:$B,'Product Tgt'!$D:$D),0),0)</f>
        <v>0</v>
      </c>
      <c r="BU39" s="11">
        <f>ROUND(IFERROR(AP39/_xlfn.XLOOKUP(BU$7,'Product Tgt'!$B:$B,'Product Tgt'!$D:$D),0),0)</f>
        <v>0</v>
      </c>
      <c r="BV39" s="11">
        <f>ROUND(IFERROR(AQ39/_xlfn.XLOOKUP(BV$7,'Product Tgt'!$B:$B,'Product Tgt'!$D:$D),0),0)</f>
        <v>0</v>
      </c>
      <c r="BW39" s="11">
        <f>ROUND(IFERROR(AU39/_xlfn.XLOOKUP(BW$7,'Product Tgt'!$B:$B,'Product Tgt'!$D:$D),0),0)</f>
        <v>0</v>
      </c>
      <c r="BX39" s="11">
        <f>ROUND(IFERROR(#REF!/_xlfn.XLOOKUP(BX$7,'Product Tgt'!$B:$B,'Product Tgt'!$D:$D),0),0)</f>
        <v>0</v>
      </c>
      <c r="BY39" s="11">
        <f>ROUND(IFERROR(#REF!/_xlfn.XLOOKUP(BY$7,'Product Tgt'!$B:$B,'Product Tgt'!$D:$D),0),0)</f>
        <v>0</v>
      </c>
      <c r="BZ39" s="11">
        <f>ROUND(IFERROR(#REF!/_xlfn.XLOOKUP(BZ$7,'Product Tgt'!$B:$B,'Product Tgt'!$D:$D),0),0)</f>
        <v>0</v>
      </c>
      <c r="CA39" s="11">
        <f>ROUND(IFERROR(#REF!/_xlfn.XLOOKUP(CA$7,'Product Tgt'!$B:$B,'Product Tgt'!$D:$D),0),0)</f>
        <v>0</v>
      </c>
      <c r="CB39" s="11">
        <f>ROUND(IFERROR(AV39/_xlfn.XLOOKUP(CB$7,'Product Tgt'!$B:$B,'Product Tgt'!$D:$D),0),0)</f>
        <v>0</v>
      </c>
      <c r="CC39" s="11">
        <f>ROUND(IFERROR(AW39/_xlfn.XLOOKUP(CC$7,'Product Tgt'!$B:$B,'Product Tgt'!$D:$D),0),0)</f>
        <v>0</v>
      </c>
      <c r="CD39" s="11">
        <f>ROUND(IFERROR(AX39/_xlfn.XLOOKUP(CD$7,'Product Tgt'!$B:$B,'Product Tgt'!$D:$D),0),0)</f>
        <v>0</v>
      </c>
      <c r="CE39" s="11">
        <f>ROUND(IFERROR(AY39/_xlfn.XLOOKUP(CE$7,'Product Tgt'!$B:$B,'Product Tgt'!$D:$D),0),0)</f>
        <v>0</v>
      </c>
      <c r="CF39" s="11">
        <f>ROUND(IFERROR(AZ39/_xlfn.XLOOKUP(CF$7,'Product Tgt'!$B:$B,'Product Tgt'!$D:$D),0),0)</f>
        <v>0</v>
      </c>
      <c r="CG39" s="11">
        <f>ROUND(IFERROR(BA39/_xlfn.XLOOKUP(CG$7,'Product Tgt'!$B:$B,'Product Tgt'!$D:$D),0),0)</f>
        <v>0</v>
      </c>
      <c r="CH39" s="11">
        <f>ROUND(IFERROR(BB39/_xlfn.XLOOKUP(CH$7,'Product Tgt'!$B:$B,'Product Tgt'!$D:$D),0),0)</f>
        <v>0</v>
      </c>
      <c r="CI39" s="11">
        <f>ROUND(IFERROR(BC39/_xlfn.XLOOKUP(CI$7,'Product Tgt'!$B:$B,'Product Tgt'!$D:$D),0),0)</f>
        <v>0</v>
      </c>
      <c r="CJ39" s="11">
        <f>ROUND(IFERROR(BD39/_xlfn.XLOOKUP(CJ$7,'Product Tgt'!$B:$B,'Product Tgt'!$D:$D),0),0)</f>
        <v>0</v>
      </c>
      <c r="CK39" s="11">
        <f>ROUND(IFERROR(BE39/_xlfn.XLOOKUP(CK$7,'Product Tgt'!$B:$B,'Product Tgt'!$D:$D),0),0)</f>
        <v>0</v>
      </c>
      <c r="CL39" s="11">
        <f>ROUND(IFERROR(BF39/_xlfn.XLOOKUP(CL$7,'Product Tgt'!$B:$B,'Product Tgt'!$D:$D),0),0)</f>
        <v>0</v>
      </c>
      <c r="CM39" s="11">
        <f>ROUND(IFERROR(BG39/_xlfn.XLOOKUP(CM$7,'Product Tgt'!$B:$B,'Product Tgt'!$D:$D),0),0)</f>
        <v>0</v>
      </c>
      <c r="CN39" s="11">
        <f>ROUND(IFERROR(BH39/_xlfn.XLOOKUP(CN$7,'Product Tgt'!$B:$B,'Product Tgt'!$D:$D),0),0)</f>
        <v>0</v>
      </c>
      <c r="CO39" s="11">
        <f>ROUND(IFERROR(BI39/_xlfn.XLOOKUP(CO$7,'Product Tgt'!$B:$B,'Product Tgt'!$D:$D),0),0)</f>
        <v>0</v>
      </c>
      <c r="CP39" s="11">
        <f>ROUND(IFERROR(BJ39/_xlfn.XLOOKUP(CP$7,'Product Tgt'!$B:$B,'Product Tgt'!$D:$D),0),0)</f>
        <v>0</v>
      </c>
      <c r="CQ39" s="11">
        <f>ROUND(IFERROR(BK39/_xlfn.XLOOKUP(CQ$7,'Product Tgt'!$B:$B,'Product Tgt'!$D:$D),0),0)</f>
        <v>0</v>
      </c>
      <c r="CR39" s="11">
        <f>ROUND(IFERROR(BL39/_xlfn.XLOOKUP(CR$7,'Product Tgt'!$B:$B,'Product Tgt'!$D:$D),0),0)</f>
        <v>0</v>
      </c>
      <c r="CS39" s="11">
        <f>ROUND(IFERROR(BM39/_xlfn.XLOOKUP(CS$7,'Product Tgt'!$B:$B,'Product Tgt'!$D:$D),0),0)</f>
        <v>0</v>
      </c>
      <c r="CT39" s="11">
        <f>ROUND(IFERROR(BN39/_xlfn.XLOOKUP(CT$7,'Product Tgt'!$B:$B,'Product Tgt'!$D:$D),0),0)</f>
        <v>0</v>
      </c>
      <c r="CU39" s="11">
        <f>ROUND(IFERROR(BO39/_xlfn.XLOOKUP(CU$7,'Product Tgt'!$B:$B,'Product Tgt'!$D:$D),0),0)</f>
        <v>0</v>
      </c>
      <c r="CV39" s="11">
        <f>ROUND(IFERROR(BP39/_xlfn.XLOOKUP(CV$7,'Product Tgt'!$B:$B,'Product Tgt'!$D:$D),0),0)</f>
        <v>0</v>
      </c>
      <c r="CW39" s="11">
        <f>ROUND(IFERROR(BQ39/_xlfn.XLOOKUP(CW$7,'Product Tgt'!$B:$B,'Product Tgt'!$D:$D),0),0)</f>
        <v>0</v>
      </c>
      <c r="CX39" s="11">
        <f>ROUND(IFERROR(#REF!/_xlfn.XLOOKUP(CX$7,'Product Tgt'!$B:$B,'Product Tgt'!$D:$D),0),0)</f>
        <v>0</v>
      </c>
      <c r="CY39" s="11">
        <f>ROUND(IFERROR(#REF!/_xlfn.XLOOKUP(CY$7,'Product Tgt'!$B:$B,'Product Tgt'!$D:$D),0),0)</f>
        <v>0</v>
      </c>
      <c r="CZ39" s="11">
        <f>ROUND(IFERROR(#REF!/_xlfn.XLOOKUP(CZ$7,'Product Tgt'!$B:$B,'Product Tgt'!$D:$D),0),0)</f>
        <v>0</v>
      </c>
      <c r="DA39" s="10">
        <f>IFERROR(BR39*_xlfn.XLOOKUP(DA$7,'Product Tgt'!$B:$B,'Product Tgt'!$D:$D),0)</f>
        <v>0</v>
      </c>
      <c r="DB39">
        <f>IFERROR(BS39*_xlfn.XLOOKUP(DB$7,'Product Tgt'!$B:$B,'Product Tgt'!$D:$D),0)</f>
        <v>0</v>
      </c>
      <c r="DC39">
        <f>IFERROR(BT39*_xlfn.XLOOKUP(DC$7,'Product Tgt'!$B:$B,'Product Tgt'!$D:$D),0)</f>
        <v>0</v>
      </c>
      <c r="DD39">
        <f>IFERROR(BU39*_xlfn.XLOOKUP(DD$7,'Product Tgt'!$B:$B,'Product Tgt'!$D:$D),0)</f>
        <v>0</v>
      </c>
      <c r="DE39">
        <f>IFERROR(BV39*_xlfn.XLOOKUP(DE$7,'Product Tgt'!$B:$B,'Product Tgt'!$D:$D),0)</f>
        <v>0</v>
      </c>
      <c r="DF39">
        <f>IFERROR(BW39*_xlfn.XLOOKUP(DF$7,'Product Tgt'!$B:$B,'Product Tgt'!$D:$D),0)</f>
        <v>0</v>
      </c>
      <c r="DG39">
        <f>IFERROR(BX39*_xlfn.XLOOKUP(DG$7,'Product Tgt'!$B:$B,'Product Tgt'!$D:$D),0)</f>
        <v>0</v>
      </c>
      <c r="DH39">
        <f>IFERROR(BY39*_xlfn.XLOOKUP(DH$7,'Product Tgt'!$B:$B,'Product Tgt'!$D:$D),0)</f>
        <v>0</v>
      </c>
      <c r="DI39">
        <f>IFERROR(BZ39*_xlfn.XLOOKUP(DI$7,'Product Tgt'!$B:$B,'Product Tgt'!$D:$D),0)</f>
        <v>0</v>
      </c>
      <c r="DJ39">
        <f>IFERROR(CA39*_xlfn.XLOOKUP(DJ$7,'Product Tgt'!$B:$B,'Product Tgt'!$D:$D),0)</f>
        <v>0</v>
      </c>
      <c r="DK39">
        <f>IFERROR(CB39*_xlfn.XLOOKUP(DK$7,'Product Tgt'!$B:$B,'Product Tgt'!$D:$D),0)</f>
        <v>0</v>
      </c>
      <c r="DL39">
        <f>IFERROR(CC39*_xlfn.XLOOKUP(DL$7,'Product Tgt'!$B:$B,'Product Tgt'!$D:$D),0)</f>
        <v>0</v>
      </c>
      <c r="DM39">
        <f>IFERROR(CD39*_xlfn.XLOOKUP(DM$7,'Product Tgt'!$B:$B,'Product Tgt'!$D:$D),0)</f>
        <v>0</v>
      </c>
      <c r="DN39">
        <f>IFERROR(CE39*_xlfn.XLOOKUP(DN$7,'Product Tgt'!$B:$B,'Product Tgt'!$D:$D),0)</f>
        <v>0</v>
      </c>
      <c r="DO39">
        <f>IFERROR(CF39*_xlfn.XLOOKUP(DO$7,'Product Tgt'!$B:$B,'Product Tgt'!$D:$D),0)</f>
        <v>0</v>
      </c>
      <c r="DP39">
        <f>IFERROR(CG39*_xlfn.XLOOKUP(DP$7,'Product Tgt'!$B:$B,'Product Tgt'!$D:$D),0)</f>
        <v>0</v>
      </c>
      <c r="DQ39">
        <f>IFERROR(CH39*_xlfn.XLOOKUP(DQ$7,'Product Tgt'!$B:$B,'Product Tgt'!$D:$D),0)</f>
        <v>0</v>
      </c>
      <c r="DR39">
        <f>IFERROR(CI39*_xlfn.XLOOKUP(DR$7,'Product Tgt'!$B:$B,'Product Tgt'!$D:$D),0)</f>
        <v>0</v>
      </c>
      <c r="DS39">
        <f>IFERROR(CJ39*_xlfn.XLOOKUP(DS$7,'Product Tgt'!$B:$B,'Product Tgt'!$D:$D),0)</f>
        <v>0</v>
      </c>
      <c r="DT39">
        <f>IFERROR(CK39*_xlfn.XLOOKUP(DT$7,'Product Tgt'!$B:$B,'Product Tgt'!$D:$D),0)</f>
        <v>0</v>
      </c>
      <c r="DU39">
        <f>IFERROR(CL39*_xlfn.XLOOKUP(DU$7,'Product Tgt'!$B:$B,'Product Tgt'!$D:$D),0)</f>
        <v>0</v>
      </c>
      <c r="DV39">
        <f>IFERROR(CM39*_xlfn.XLOOKUP(DV$7,'Product Tgt'!$B:$B,'Product Tgt'!$D:$D),0)</f>
        <v>0</v>
      </c>
      <c r="DW39">
        <f>IFERROR(CN39*_xlfn.XLOOKUP(DW$7,'Product Tgt'!$B:$B,'Product Tgt'!$D:$D),0)</f>
        <v>0</v>
      </c>
      <c r="DX39">
        <f>IFERROR(CO39*_xlfn.XLOOKUP(DX$7,'Product Tgt'!$B:$B,'Product Tgt'!$D:$D),0)</f>
        <v>0</v>
      </c>
      <c r="DY39">
        <f>IFERROR(CP39*_xlfn.XLOOKUP(DY$7,'Product Tgt'!$B:$B,'Product Tgt'!$D:$D),0)</f>
        <v>0</v>
      </c>
      <c r="DZ39">
        <f>IFERROR(CQ39*_xlfn.XLOOKUP(DZ$7,'Product Tgt'!$B:$B,'Product Tgt'!$D:$D),0)</f>
        <v>0</v>
      </c>
      <c r="EA39">
        <f>IFERROR(CR39*_xlfn.XLOOKUP(EA$7,'Product Tgt'!$B:$B,'Product Tgt'!$D:$D),0)</f>
        <v>0</v>
      </c>
      <c r="EB39">
        <f>IFERROR(CS39*_xlfn.XLOOKUP(EB$7,'Product Tgt'!$B:$B,'Product Tgt'!$D:$D),0)</f>
        <v>0</v>
      </c>
      <c r="EC39">
        <f>IFERROR(CT39*_xlfn.XLOOKUP(EC$7,'Product Tgt'!$B:$B,'Product Tgt'!$D:$D),0)</f>
        <v>0</v>
      </c>
      <c r="ED39">
        <f>IFERROR(CU39*_xlfn.XLOOKUP(ED$7,'Product Tgt'!$B:$B,'Product Tgt'!$D:$D),0)</f>
        <v>0</v>
      </c>
      <c r="EE39">
        <f>IFERROR(CV39*_xlfn.XLOOKUP(EE$7,'Product Tgt'!$B:$B,'Product Tgt'!$D:$D),0)</f>
        <v>0</v>
      </c>
      <c r="EF39">
        <f>IFERROR(CW39*_xlfn.XLOOKUP(EF$7,'Product Tgt'!$B:$B,'Product Tgt'!$D:$D),0)</f>
        <v>0</v>
      </c>
      <c r="EG39">
        <f>IFERROR(CX39*_xlfn.XLOOKUP(EG$7,'Product Tgt'!$B:$B,'Product Tgt'!$D:$D),0)</f>
        <v>0</v>
      </c>
      <c r="EH39">
        <f>IFERROR(CY39*_xlfn.XLOOKUP(EH$7,'Product Tgt'!$B:$B,'Product Tgt'!$D:$D),0)</f>
        <v>0</v>
      </c>
      <c r="EI39">
        <f>IFERROR(CZ39*_xlfn.XLOOKUP(EI$7,'Product Tgt'!$B:$B,'Product Tgt'!$D:$D),0)</f>
        <v>0</v>
      </c>
    </row>
    <row r="40" spans="2:139" x14ac:dyDescent="0.35">
      <c r="B40" s="7" t="s">
        <v>103</v>
      </c>
      <c r="C40" s="3">
        <f>_xlfn.XLOOKUP($B40,'Terr Target'!$A:$A,'Terr Target'!$E:$E)</f>
        <v>673633.28977039573</v>
      </c>
      <c r="D40" s="3">
        <f t="shared" ref="D40:D71" si="8">SUM(AM40:BQ40)</f>
        <v>673634</v>
      </c>
      <c r="E40" s="4">
        <f t="shared" ref="E40:E71" si="9">D40-C40</f>
        <v>0.71022960427217185</v>
      </c>
      <c r="F40" s="9">
        <f t="shared" si="7"/>
        <v>1.0543256490500359E-6</v>
      </c>
      <c r="G40" s="5">
        <f t="shared" si="6"/>
        <v>0.99999894567435099</v>
      </c>
      <c r="H40" s="38">
        <v>63491.385298831956</v>
      </c>
      <c r="I40" s="11">
        <v>130879.24298209377</v>
      </c>
      <c r="J40" s="11">
        <v>60935.138768031306</v>
      </c>
      <c r="K40" s="11">
        <v>62174.251875023234</v>
      </c>
      <c r="L40" s="11">
        <v>77167.522553780058</v>
      </c>
      <c r="M40" s="11">
        <v>54312.936423829502</v>
      </c>
      <c r="N40" s="11">
        <v>676.29765474711598</v>
      </c>
      <c r="O40" s="11">
        <v>7226.7842489378172</v>
      </c>
      <c r="P40" s="11">
        <v>2384.3142205081604</v>
      </c>
      <c r="Q40" s="11">
        <v>1847.6757464713924</v>
      </c>
      <c r="R40" s="11">
        <v>14945.606069551541</v>
      </c>
      <c r="S40" s="11">
        <v>39860.576735457114</v>
      </c>
      <c r="T40" s="11">
        <v>0</v>
      </c>
      <c r="U40" s="11">
        <v>1530.7905035060917</v>
      </c>
      <c r="V40" s="11">
        <v>31339.449290155258</v>
      </c>
      <c r="W40" s="11">
        <v>39953.196553256952</v>
      </c>
      <c r="X40" s="11">
        <v>3477.4114761261749</v>
      </c>
      <c r="Y40" s="11">
        <v>4488.2158985797641</v>
      </c>
      <c r="Z40" s="11">
        <v>596.10981744177911</v>
      </c>
      <c r="AA40" s="11">
        <v>11342.009470367497</v>
      </c>
      <c r="AB40" s="11">
        <v>4297.5991448449722</v>
      </c>
      <c r="AC40" s="11">
        <v>3357.6247068182024</v>
      </c>
      <c r="AD40" s="11">
        <v>11125.184476109906</v>
      </c>
      <c r="AE40" s="11">
        <v>20945.730033535088</v>
      </c>
      <c r="AF40" s="11">
        <v>1084.7710591258808</v>
      </c>
      <c r="AG40" s="11">
        <v>23481.155862719621</v>
      </c>
      <c r="AH40" s="11">
        <v>2664.5704513710234</v>
      </c>
      <c r="AI40" s="11">
        <v>11743.230017726828</v>
      </c>
      <c r="AJ40" s="11">
        <v>10634.397397023557</v>
      </c>
      <c r="AK40" s="11">
        <v>2768.0382923852781</v>
      </c>
      <c r="AL40" s="49">
        <v>4048.0425070557317</v>
      </c>
      <c r="AM40" s="41">
        <f>IFERROR(ROUND(_xlfn.XLOOKUP(AM$7,'Product Tgt'!$B:$B,'Product Tgt'!$G:$G)*H40/H$121,0),0)</f>
        <v>61724</v>
      </c>
      <c r="AN40" s="41">
        <f>IFERROR(ROUND(_xlfn.XLOOKUP(AN$7,'Product Tgt'!$B:$B,'Product Tgt'!$G:$G)*I40/I$121,0),0)</f>
        <v>128838</v>
      </c>
      <c r="AO40" s="41">
        <f>IFERROR(ROUND(_xlfn.XLOOKUP(AO$7,'Product Tgt'!$B:$B,'Product Tgt'!$G:$G)*J40/J$121,0),0)</f>
        <v>59040</v>
      </c>
      <c r="AP40" s="41">
        <f>IFERROR(ROUND(_xlfn.XLOOKUP(AP$7,'Product Tgt'!$B:$B,'Product Tgt'!$G:$G)*K40/K$121,0),0)</f>
        <v>60652</v>
      </c>
      <c r="AQ40" s="41">
        <f>IFERROR(ROUND(_xlfn.XLOOKUP(AQ$7,'Product Tgt'!$B:$B,'Product Tgt'!$G:$G)*L40/L$121,0),0)</f>
        <v>74616</v>
      </c>
      <c r="AR40" s="41">
        <f>IFERROR(ROUND(_xlfn.XLOOKUP(AR$7,'Product Tgt'!$B:$B,'Product Tgt'!$G:$G)*M40/M$121,0),0)</f>
        <v>52618</v>
      </c>
      <c r="AS40" s="41">
        <f>IFERROR(ROUND(_xlfn.XLOOKUP(AS$7,'Product Tgt'!$B:$B,'Product Tgt'!$G:$G)*N40/N$121,0),0)</f>
        <v>625</v>
      </c>
      <c r="AT40" s="41">
        <f>IFERROR(ROUND(_xlfn.XLOOKUP(AT$7,'Product Tgt'!$B:$B,'Product Tgt'!$G:$G)*O40/O$121,0),0)</f>
        <v>6505</v>
      </c>
      <c r="AU40" s="41">
        <f>IFERROR(ROUND(_xlfn.XLOOKUP(AU$7,'Product Tgt'!$B:$B,'Product Tgt'!$G:$G)*P40/P$121,0),0)</f>
        <v>1017</v>
      </c>
      <c r="AV40" s="41">
        <f>IFERROR(ROUND(_xlfn.XLOOKUP(AV$7,'Product Tgt'!$B:$B,'Product Tgt'!$G:$G)*Q40/Q$121,0),0)</f>
        <v>1387</v>
      </c>
      <c r="AW40" s="41">
        <f>IFERROR(ROUND(_xlfn.XLOOKUP(AW$7,'Product Tgt'!$B:$B,'Product Tgt'!$G:$G)*R40/R$121,0),0)</f>
        <v>14394</v>
      </c>
      <c r="AX40" s="41">
        <f>IFERROR(ROUND(_xlfn.XLOOKUP(AX$7,'Product Tgt'!$B:$B,'Product Tgt'!$G:$G)*S40/S$121,0),0)</f>
        <v>38391</v>
      </c>
      <c r="AY40" s="41">
        <f>IFERROR(ROUND(_xlfn.XLOOKUP(AY$7,'Product Tgt'!$B:$B,'Product Tgt'!$G:$G)*T40/T$121,0),0)</f>
        <v>0</v>
      </c>
      <c r="AZ40" s="41">
        <f>IFERROR(ROUND(_xlfn.XLOOKUP(AZ$7,'Product Tgt'!$B:$B,'Product Tgt'!$G:$G)*U40/U$121,0),0)</f>
        <v>1465</v>
      </c>
      <c r="BA40" s="41">
        <f>IFERROR(ROUND(_xlfn.XLOOKUP(BA$7,'Product Tgt'!$B:$B,'Product Tgt'!$G:$G)*V40/V$121,0),0)</f>
        <v>30174</v>
      </c>
      <c r="BB40" s="41">
        <f>IFERROR(ROUND(_xlfn.XLOOKUP(BB$7,'Product Tgt'!$B:$B,'Product Tgt'!$G:$G)*W40/W$121,0),0)</f>
        <v>38245</v>
      </c>
      <c r="BC40" s="41">
        <f>IFERROR(ROUND(_xlfn.XLOOKUP(BC$7,'Product Tgt'!$B:$B,'Product Tgt'!$G:$G)*X40/X$121,0),0)</f>
        <v>3365</v>
      </c>
      <c r="BD40" s="41">
        <f>IFERROR(ROUND(_xlfn.XLOOKUP(BD$7,'Product Tgt'!$B:$B,'Product Tgt'!$G:$G)*Y40/Y$121,0),0)</f>
        <v>4340</v>
      </c>
      <c r="BE40" s="41">
        <f>IFERROR(ROUND(_xlfn.XLOOKUP(BE$7,'Product Tgt'!$B:$B,'Product Tgt'!$G:$G)*Z40/Z$121,0),0)</f>
        <v>566</v>
      </c>
      <c r="BF40" s="41">
        <f>IFERROR(ROUND(_xlfn.XLOOKUP(BF$7,'Product Tgt'!$B:$B,'Product Tgt'!$G:$G)*AA40/AA$121,0),0)</f>
        <v>9191</v>
      </c>
      <c r="BG40" s="41">
        <f>IFERROR(ROUND(_xlfn.XLOOKUP(BG$7,'Product Tgt'!$B:$B,'Product Tgt'!$G:$G)*AB40/AB$121,0),0)</f>
        <v>3444</v>
      </c>
      <c r="BH40" s="41">
        <f>IFERROR(ROUND(_xlfn.XLOOKUP(BH$7,'Product Tgt'!$B:$B,'Product Tgt'!$G:$G)*AC40/AC$121,0),0)</f>
        <v>2873</v>
      </c>
      <c r="BI40" s="41">
        <f>IFERROR(ROUND(_xlfn.XLOOKUP(BI$7,'Product Tgt'!$B:$B,'Product Tgt'!$G:$G)*AD40/AD$121,0),0)</f>
        <v>9685</v>
      </c>
      <c r="BJ40" s="41">
        <f>IFERROR(ROUND(_xlfn.XLOOKUP(BJ$7,'Product Tgt'!$B:$B,'Product Tgt'!$G:$G)*AE40/AE$121,0),0)</f>
        <v>19495</v>
      </c>
      <c r="BK40" s="41">
        <f>IFERROR(ROUND(_xlfn.XLOOKUP(BK$7,'Product Tgt'!$B:$B,'Product Tgt'!$G:$G)*AF40/AF$121,0),0)</f>
        <v>1212</v>
      </c>
      <c r="BL40" s="41">
        <f>IFERROR(ROUND(_xlfn.XLOOKUP(BL$7,'Product Tgt'!$B:$B,'Product Tgt'!$G:$G)*AG40/AG$121,0),0)</f>
        <v>22429</v>
      </c>
      <c r="BM40" s="41">
        <f>IFERROR(ROUND(_xlfn.XLOOKUP(BM$7,'Product Tgt'!$B:$B,'Product Tgt'!$G:$G)*AH40/AH$121,0),0)</f>
        <v>2089</v>
      </c>
      <c r="BN40" s="41">
        <f>IFERROR(ROUND(_xlfn.XLOOKUP(BN$7,'Product Tgt'!$B:$B,'Product Tgt'!$G:$G)*AI40/AI$121,0),0)</f>
        <v>10785</v>
      </c>
      <c r="BO40" s="41">
        <f>IFERROR(ROUND(_xlfn.XLOOKUP(BO$7,'Product Tgt'!$B:$B,'Product Tgt'!$G:$G)*AJ40/AJ$121,0),0)</f>
        <v>9198</v>
      </c>
      <c r="BP40" s="41">
        <f>IFERROR(ROUND(_xlfn.XLOOKUP(BP$7,'Product Tgt'!$B:$B,'Product Tgt'!$G:$G)*AK40/AK$121,0),0)</f>
        <v>2107</v>
      </c>
      <c r="BQ40" s="41">
        <f>IFERROR(ROUND(_xlfn.XLOOKUP(BQ$7,'Product Tgt'!$B:$B,'Product Tgt'!$G:$G)*AL40/AL$121,0),0)</f>
        <v>3164</v>
      </c>
      <c r="BR40" s="25">
        <f>ROUND(IFERROR(AM40/_xlfn.XLOOKUP(BR$7,'Product Tgt'!$B:$B,'Product Tgt'!$D:$D),0),0)</f>
        <v>0</v>
      </c>
      <c r="BS40" s="11">
        <f>ROUND(IFERROR(AN40/_xlfn.XLOOKUP(BS$7,'Product Tgt'!$B:$B,'Product Tgt'!$D:$D),0),0)</f>
        <v>0</v>
      </c>
      <c r="BT40" s="11">
        <f>ROUND(IFERROR(AO40/_xlfn.XLOOKUP(BT$7,'Product Tgt'!$B:$B,'Product Tgt'!$D:$D),0),0)</f>
        <v>0</v>
      </c>
      <c r="BU40" s="11">
        <f>ROUND(IFERROR(AP40/_xlfn.XLOOKUP(BU$7,'Product Tgt'!$B:$B,'Product Tgt'!$D:$D),0),0)</f>
        <v>0</v>
      </c>
      <c r="BV40" s="11">
        <f>ROUND(IFERROR(AQ40/_xlfn.XLOOKUP(BV$7,'Product Tgt'!$B:$B,'Product Tgt'!$D:$D),0),0)</f>
        <v>0</v>
      </c>
      <c r="BW40" s="11">
        <f>ROUND(IFERROR(AU40/_xlfn.XLOOKUP(BW$7,'Product Tgt'!$B:$B,'Product Tgt'!$D:$D),0),0)</f>
        <v>0</v>
      </c>
      <c r="BX40" s="11">
        <f>ROUND(IFERROR(#REF!/_xlfn.XLOOKUP(BX$7,'Product Tgt'!$B:$B,'Product Tgt'!$D:$D),0),0)</f>
        <v>0</v>
      </c>
      <c r="BY40" s="11">
        <f>ROUND(IFERROR(#REF!/_xlfn.XLOOKUP(BY$7,'Product Tgt'!$B:$B,'Product Tgt'!$D:$D),0),0)</f>
        <v>0</v>
      </c>
      <c r="BZ40" s="11">
        <f>ROUND(IFERROR(#REF!/_xlfn.XLOOKUP(BZ$7,'Product Tgt'!$B:$B,'Product Tgt'!$D:$D),0),0)</f>
        <v>0</v>
      </c>
      <c r="CA40" s="11">
        <f>ROUND(IFERROR(#REF!/_xlfn.XLOOKUP(CA$7,'Product Tgt'!$B:$B,'Product Tgt'!$D:$D),0),0)</f>
        <v>0</v>
      </c>
      <c r="CB40" s="11">
        <f>ROUND(IFERROR(AV40/_xlfn.XLOOKUP(CB$7,'Product Tgt'!$B:$B,'Product Tgt'!$D:$D),0),0)</f>
        <v>0</v>
      </c>
      <c r="CC40" s="11">
        <f>ROUND(IFERROR(AW40/_xlfn.XLOOKUP(CC$7,'Product Tgt'!$B:$B,'Product Tgt'!$D:$D),0),0)</f>
        <v>0</v>
      </c>
      <c r="CD40" s="11">
        <f>ROUND(IFERROR(AX40/_xlfn.XLOOKUP(CD$7,'Product Tgt'!$B:$B,'Product Tgt'!$D:$D),0),0)</f>
        <v>0</v>
      </c>
      <c r="CE40" s="11">
        <f>ROUND(IFERROR(AY40/_xlfn.XLOOKUP(CE$7,'Product Tgt'!$B:$B,'Product Tgt'!$D:$D),0),0)</f>
        <v>0</v>
      </c>
      <c r="CF40" s="11">
        <f>ROUND(IFERROR(AZ40/_xlfn.XLOOKUP(CF$7,'Product Tgt'!$B:$B,'Product Tgt'!$D:$D),0),0)</f>
        <v>0</v>
      </c>
      <c r="CG40" s="11">
        <f>ROUND(IFERROR(BA40/_xlfn.XLOOKUP(CG$7,'Product Tgt'!$B:$B,'Product Tgt'!$D:$D),0),0)</f>
        <v>0</v>
      </c>
      <c r="CH40" s="11">
        <f>ROUND(IFERROR(BB40/_xlfn.XLOOKUP(CH$7,'Product Tgt'!$B:$B,'Product Tgt'!$D:$D),0),0)</f>
        <v>0</v>
      </c>
      <c r="CI40" s="11">
        <f>ROUND(IFERROR(BC40/_xlfn.XLOOKUP(CI$7,'Product Tgt'!$B:$B,'Product Tgt'!$D:$D),0),0)</f>
        <v>0</v>
      </c>
      <c r="CJ40" s="11">
        <f>ROUND(IFERROR(BD40/_xlfn.XLOOKUP(CJ$7,'Product Tgt'!$B:$B,'Product Tgt'!$D:$D),0),0)</f>
        <v>0</v>
      </c>
      <c r="CK40" s="11">
        <f>ROUND(IFERROR(BE40/_xlfn.XLOOKUP(CK$7,'Product Tgt'!$B:$B,'Product Tgt'!$D:$D),0),0)</f>
        <v>0</v>
      </c>
      <c r="CL40" s="11">
        <f>ROUND(IFERROR(BF40/_xlfn.XLOOKUP(CL$7,'Product Tgt'!$B:$B,'Product Tgt'!$D:$D),0),0)</f>
        <v>0</v>
      </c>
      <c r="CM40" s="11">
        <f>ROUND(IFERROR(BG40/_xlfn.XLOOKUP(CM$7,'Product Tgt'!$B:$B,'Product Tgt'!$D:$D),0),0)</f>
        <v>0</v>
      </c>
      <c r="CN40" s="11">
        <f>ROUND(IFERROR(BH40/_xlfn.XLOOKUP(CN$7,'Product Tgt'!$B:$B,'Product Tgt'!$D:$D),0),0)</f>
        <v>0</v>
      </c>
      <c r="CO40" s="11">
        <f>ROUND(IFERROR(BI40/_xlfn.XLOOKUP(CO$7,'Product Tgt'!$B:$B,'Product Tgt'!$D:$D),0),0)</f>
        <v>0</v>
      </c>
      <c r="CP40" s="11">
        <f>ROUND(IFERROR(BJ40/_xlfn.XLOOKUP(CP$7,'Product Tgt'!$B:$B,'Product Tgt'!$D:$D),0),0)</f>
        <v>0</v>
      </c>
      <c r="CQ40" s="11">
        <f>ROUND(IFERROR(BK40/_xlfn.XLOOKUP(CQ$7,'Product Tgt'!$B:$B,'Product Tgt'!$D:$D),0),0)</f>
        <v>0</v>
      </c>
      <c r="CR40" s="11">
        <f>ROUND(IFERROR(BL40/_xlfn.XLOOKUP(CR$7,'Product Tgt'!$B:$B,'Product Tgt'!$D:$D),0),0)</f>
        <v>0</v>
      </c>
      <c r="CS40" s="11">
        <f>ROUND(IFERROR(BM40/_xlfn.XLOOKUP(CS$7,'Product Tgt'!$B:$B,'Product Tgt'!$D:$D),0),0)</f>
        <v>0</v>
      </c>
      <c r="CT40" s="11">
        <f>ROUND(IFERROR(BN40/_xlfn.XLOOKUP(CT$7,'Product Tgt'!$B:$B,'Product Tgt'!$D:$D),0),0)</f>
        <v>0</v>
      </c>
      <c r="CU40" s="11">
        <f>ROUND(IFERROR(BO40/_xlfn.XLOOKUP(CU$7,'Product Tgt'!$B:$B,'Product Tgt'!$D:$D),0),0)</f>
        <v>0</v>
      </c>
      <c r="CV40" s="11">
        <f>ROUND(IFERROR(BP40/_xlfn.XLOOKUP(CV$7,'Product Tgt'!$B:$B,'Product Tgt'!$D:$D),0),0)</f>
        <v>0</v>
      </c>
      <c r="CW40" s="11">
        <f>ROUND(IFERROR(BQ40/_xlfn.XLOOKUP(CW$7,'Product Tgt'!$B:$B,'Product Tgt'!$D:$D),0),0)</f>
        <v>0</v>
      </c>
      <c r="CX40" s="11">
        <f>ROUND(IFERROR(#REF!/_xlfn.XLOOKUP(CX$7,'Product Tgt'!$B:$B,'Product Tgt'!$D:$D),0),0)</f>
        <v>0</v>
      </c>
      <c r="CY40" s="11">
        <f>ROUND(IFERROR(#REF!/_xlfn.XLOOKUP(CY$7,'Product Tgt'!$B:$B,'Product Tgt'!$D:$D),0),0)</f>
        <v>0</v>
      </c>
      <c r="CZ40" s="11">
        <f>ROUND(IFERROR(#REF!/_xlfn.XLOOKUP(CZ$7,'Product Tgt'!$B:$B,'Product Tgt'!$D:$D),0),0)</f>
        <v>0</v>
      </c>
      <c r="DA40" s="10">
        <f>IFERROR(BR40*_xlfn.XLOOKUP(DA$7,'Product Tgt'!$B:$B,'Product Tgt'!$D:$D),0)</f>
        <v>0</v>
      </c>
      <c r="DB40">
        <f>IFERROR(BS40*_xlfn.XLOOKUP(DB$7,'Product Tgt'!$B:$B,'Product Tgt'!$D:$D),0)</f>
        <v>0</v>
      </c>
      <c r="DC40">
        <f>IFERROR(BT40*_xlfn.XLOOKUP(DC$7,'Product Tgt'!$B:$B,'Product Tgt'!$D:$D),0)</f>
        <v>0</v>
      </c>
      <c r="DD40">
        <f>IFERROR(BU40*_xlfn.XLOOKUP(DD$7,'Product Tgt'!$B:$B,'Product Tgt'!$D:$D),0)</f>
        <v>0</v>
      </c>
      <c r="DE40">
        <f>IFERROR(BV40*_xlfn.XLOOKUP(DE$7,'Product Tgt'!$B:$B,'Product Tgt'!$D:$D),0)</f>
        <v>0</v>
      </c>
      <c r="DF40">
        <f>IFERROR(BW40*_xlfn.XLOOKUP(DF$7,'Product Tgt'!$B:$B,'Product Tgt'!$D:$D),0)</f>
        <v>0</v>
      </c>
      <c r="DG40">
        <f>IFERROR(BX40*_xlfn.XLOOKUP(DG$7,'Product Tgt'!$B:$B,'Product Tgt'!$D:$D),0)</f>
        <v>0</v>
      </c>
      <c r="DH40">
        <f>IFERROR(BY40*_xlfn.XLOOKUP(DH$7,'Product Tgt'!$B:$B,'Product Tgt'!$D:$D),0)</f>
        <v>0</v>
      </c>
      <c r="DI40">
        <f>IFERROR(BZ40*_xlfn.XLOOKUP(DI$7,'Product Tgt'!$B:$B,'Product Tgt'!$D:$D),0)</f>
        <v>0</v>
      </c>
      <c r="DJ40">
        <f>IFERROR(CA40*_xlfn.XLOOKUP(DJ$7,'Product Tgt'!$B:$B,'Product Tgt'!$D:$D),0)</f>
        <v>0</v>
      </c>
      <c r="DK40">
        <f>IFERROR(CB40*_xlfn.XLOOKUP(DK$7,'Product Tgt'!$B:$B,'Product Tgt'!$D:$D),0)</f>
        <v>0</v>
      </c>
      <c r="DL40">
        <f>IFERROR(CC40*_xlfn.XLOOKUP(DL$7,'Product Tgt'!$B:$B,'Product Tgt'!$D:$D),0)</f>
        <v>0</v>
      </c>
      <c r="DM40">
        <f>IFERROR(CD40*_xlfn.XLOOKUP(DM$7,'Product Tgt'!$B:$B,'Product Tgt'!$D:$D),0)</f>
        <v>0</v>
      </c>
      <c r="DN40">
        <f>IFERROR(CE40*_xlfn.XLOOKUP(DN$7,'Product Tgt'!$B:$B,'Product Tgt'!$D:$D),0)</f>
        <v>0</v>
      </c>
      <c r="DO40">
        <f>IFERROR(CF40*_xlfn.XLOOKUP(DO$7,'Product Tgt'!$B:$B,'Product Tgt'!$D:$D),0)</f>
        <v>0</v>
      </c>
      <c r="DP40">
        <f>IFERROR(CG40*_xlfn.XLOOKUP(DP$7,'Product Tgt'!$B:$B,'Product Tgt'!$D:$D),0)</f>
        <v>0</v>
      </c>
      <c r="DQ40">
        <f>IFERROR(CH40*_xlfn.XLOOKUP(DQ$7,'Product Tgt'!$B:$B,'Product Tgt'!$D:$D),0)</f>
        <v>0</v>
      </c>
      <c r="DR40">
        <f>IFERROR(CI40*_xlfn.XLOOKUP(DR$7,'Product Tgt'!$B:$B,'Product Tgt'!$D:$D),0)</f>
        <v>0</v>
      </c>
      <c r="DS40">
        <f>IFERROR(CJ40*_xlfn.XLOOKUP(DS$7,'Product Tgt'!$B:$B,'Product Tgt'!$D:$D),0)</f>
        <v>0</v>
      </c>
      <c r="DT40">
        <f>IFERROR(CK40*_xlfn.XLOOKUP(DT$7,'Product Tgt'!$B:$B,'Product Tgt'!$D:$D),0)</f>
        <v>0</v>
      </c>
      <c r="DU40">
        <f>IFERROR(CL40*_xlfn.XLOOKUP(DU$7,'Product Tgt'!$B:$B,'Product Tgt'!$D:$D),0)</f>
        <v>0</v>
      </c>
      <c r="DV40">
        <f>IFERROR(CM40*_xlfn.XLOOKUP(DV$7,'Product Tgt'!$B:$B,'Product Tgt'!$D:$D),0)</f>
        <v>0</v>
      </c>
      <c r="DW40">
        <f>IFERROR(CN40*_xlfn.XLOOKUP(DW$7,'Product Tgt'!$B:$B,'Product Tgt'!$D:$D),0)</f>
        <v>0</v>
      </c>
      <c r="DX40">
        <f>IFERROR(CO40*_xlfn.XLOOKUP(DX$7,'Product Tgt'!$B:$B,'Product Tgt'!$D:$D),0)</f>
        <v>0</v>
      </c>
      <c r="DY40">
        <f>IFERROR(CP40*_xlfn.XLOOKUP(DY$7,'Product Tgt'!$B:$B,'Product Tgt'!$D:$D),0)</f>
        <v>0</v>
      </c>
      <c r="DZ40">
        <f>IFERROR(CQ40*_xlfn.XLOOKUP(DZ$7,'Product Tgt'!$B:$B,'Product Tgt'!$D:$D),0)</f>
        <v>0</v>
      </c>
      <c r="EA40">
        <f>IFERROR(CR40*_xlfn.XLOOKUP(EA$7,'Product Tgt'!$B:$B,'Product Tgt'!$D:$D),0)</f>
        <v>0</v>
      </c>
      <c r="EB40">
        <f>IFERROR(CS40*_xlfn.XLOOKUP(EB$7,'Product Tgt'!$B:$B,'Product Tgt'!$D:$D),0)</f>
        <v>0</v>
      </c>
      <c r="EC40">
        <f>IFERROR(CT40*_xlfn.XLOOKUP(EC$7,'Product Tgt'!$B:$B,'Product Tgt'!$D:$D),0)</f>
        <v>0</v>
      </c>
      <c r="ED40">
        <f>IFERROR(CU40*_xlfn.XLOOKUP(ED$7,'Product Tgt'!$B:$B,'Product Tgt'!$D:$D),0)</f>
        <v>0</v>
      </c>
      <c r="EE40">
        <f>IFERROR(CV40*_xlfn.XLOOKUP(EE$7,'Product Tgt'!$B:$B,'Product Tgt'!$D:$D),0)</f>
        <v>0</v>
      </c>
      <c r="EF40">
        <f>IFERROR(CW40*_xlfn.XLOOKUP(EF$7,'Product Tgt'!$B:$B,'Product Tgt'!$D:$D),0)</f>
        <v>0</v>
      </c>
      <c r="EG40">
        <f>IFERROR(CX40*_xlfn.XLOOKUP(EG$7,'Product Tgt'!$B:$B,'Product Tgt'!$D:$D),0)</f>
        <v>0</v>
      </c>
      <c r="EH40">
        <f>IFERROR(CY40*_xlfn.XLOOKUP(EH$7,'Product Tgt'!$B:$B,'Product Tgt'!$D:$D),0)</f>
        <v>0</v>
      </c>
      <c r="EI40">
        <f>IFERROR(CZ40*_xlfn.XLOOKUP(EI$7,'Product Tgt'!$B:$B,'Product Tgt'!$D:$D),0)</f>
        <v>0</v>
      </c>
    </row>
    <row r="41" spans="2:139" x14ac:dyDescent="0.35">
      <c r="B41" s="7" t="s">
        <v>104</v>
      </c>
      <c r="C41" s="3">
        <f>_xlfn.XLOOKUP($B41,'Terr Target'!$A:$A,'Terr Target'!$E:$E)</f>
        <v>1039282.0861952699</v>
      </c>
      <c r="D41" s="3">
        <f t="shared" si="8"/>
        <v>1039286</v>
      </c>
      <c r="E41" s="4">
        <f t="shared" si="9"/>
        <v>3.9138047300511971</v>
      </c>
      <c r="F41" s="9">
        <f t="shared" si="7"/>
        <v>3.765859186067355E-6</v>
      </c>
      <c r="G41" s="5">
        <f t="shared" si="6"/>
        <v>0.99999623414081396</v>
      </c>
      <c r="H41" s="38">
        <v>95803.921860918519</v>
      </c>
      <c r="I41" s="11">
        <v>207990.59769492442</v>
      </c>
      <c r="J41" s="11">
        <v>92307.712105602492</v>
      </c>
      <c r="K41" s="11">
        <v>89787.296397732513</v>
      </c>
      <c r="L41" s="11">
        <v>138456.75963025098</v>
      </c>
      <c r="M41" s="11">
        <v>98112.627463042765</v>
      </c>
      <c r="N41" s="11">
        <v>903.58831725592484</v>
      </c>
      <c r="O41" s="11">
        <v>9145.000969993147</v>
      </c>
      <c r="P41" s="11">
        <v>2423.477440212388</v>
      </c>
      <c r="Q41" s="11">
        <v>2045.8601452136688</v>
      </c>
      <c r="R41" s="11">
        <v>27199.369468914967</v>
      </c>
      <c r="S41" s="11">
        <v>68355.204011957539</v>
      </c>
      <c r="T41" s="11">
        <v>1050.9149802487764</v>
      </c>
      <c r="U41" s="11">
        <v>2969.14942247406</v>
      </c>
      <c r="V41" s="11">
        <v>39879.16253769787</v>
      </c>
      <c r="W41" s="11">
        <v>55695.869233395191</v>
      </c>
      <c r="X41" s="11">
        <v>4661.2118641425404</v>
      </c>
      <c r="Y41" s="11">
        <v>4199.5309151595202</v>
      </c>
      <c r="Z41" s="11">
        <v>511.50912744613396</v>
      </c>
      <c r="AA41" s="11">
        <v>14907.007864780186</v>
      </c>
      <c r="AB41" s="11">
        <v>6027.6119385123375</v>
      </c>
      <c r="AC41" s="11">
        <v>3744.1679675681362</v>
      </c>
      <c r="AD41" s="11">
        <v>11269.675329611204</v>
      </c>
      <c r="AE41" s="11">
        <v>23142.133639285337</v>
      </c>
      <c r="AF41" s="11">
        <v>1669.1557962288484</v>
      </c>
      <c r="AG41" s="11">
        <v>38436.106121320176</v>
      </c>
      <c r="AH41" s="11">
        <v>3390.3287664768623</v>
      </c>
      <c r="AI41" s="11">
        <v>17395.864688851529</v>
      </c>
      <c r="AJ41" s="11">
        <v>16924.794920066481</v>
      </c>
      <c r="AK41" s="11">
        <v>2092.7316235181338</v>
      </c>
      <c r="AL41" s="49">
        <v>2825.692405653755</v>
      </c>
      <c r="AM41" s="41">
        <f>IFERROR(ROUND(_xlfn.XLOOKUP(AM$7,'Product Tgt'!$B:$B,'Product Tgt'!$G:$G)*H41/H$121,0),0)</f>
        <v>93137</v>
      </c>
      <c r="AN41" s="41">
        <f>IFERROR(ROUND(_xlfn.XLOOKUP(AN$7,'Product Tgt'!$B:$B,'Product Tgt'!$G:$G)*I41/I$121,0),0)</f>
        <v>204746</v>
      </c>
      <c r="AO41" s="41">
        <f>IFERROR(ROUND(_xlfn.XLOOKUP(AO$7,'Product Tgt'!$B:$B,'Product Tgt'!$G:$G)*J41/J$121,0),0)</f>
        <v>89437</v>
      </c>
      <c r="AP41" s="41">
        <f>IFERROR(ROUND(_xlfn.XLOOKUP(AP$7,'Product Tgt'!$B:$B,'Product Tgt'!$G:$G)*K41/K$121,0),0)</f>
        <v>87590</v>
      </c>
      <c r="AQ41" s="41">
        <f>IFERROR(ROUND(_xlfn.XLOOKUP(AQ$7,'Product Tgt'!$B:$B,'Product Tgt'!$G:$G)*L41/L$121,0),0)</f>
        <v>133879</v>
      </c>
      <c r="AR41" s="41">
        <f>IFERROR(ROUND(_xlfn.XLOOKUP(AR$7,'Product Tgt'!$B:$B,'Product Tgt'!$G:$G)*M41/M$121,0),0)</f>
        <v>95051</v>
      </c>
      <c r="AS41" s="41">
        <f>IFERROR(ROUND(_xlfn.XLOOKUP(AS$7,'Product Tgt'!$B:$B,'Product Tgt'!$G:$G)*N41/N$121,0),0)</f>
        <v>835</v>
      </c>
      <c r="AT41" s="41">
        <f>IFERROR(ROUND(_xlfn.XLOOKUP(AT$7,'Product Tgt'!$B:$B,'Product Tgt'!$G:$G)*O41/O$121,0),0)</f>
        <v>8231</v>
      </c>
      <c r="AU41" s="41">
        <f>IFERROR(ROUND(_xlfn.XLOOKUP(AU$7,'Product Tgt'!$B:$B,'Product Tgt'!$G:$G)*P41/P$121,0),0)</f>
        <v>1033</v>
      </c>
      <c r="AV41" s="41">
        <f>IFERROR(ROUND(_xlfn.XLOOKUP(AV$7,'Product Tgt'!$B:$B,'Product Tgt'!$G:$G)*Q41/Q$121,0),0)</f>
        <v>1535</v>
      </c>
      <c r="AW41" s="41">
        <f>IFERROR(ROUND(_xlfn.XLOOKUP(AW$7,'Product Tgt'!$B:$B,'Product Tgt'!$G:$G)*R41/R$121,0),0)</f>
        <v>26195</v>
      </c>
      <c r="AX41" s="41">
        <f>IFERROR(ROUND(_xlfn.XLOOKUP(AX$7,'Product Tgt'!$B:$B,'Product Tgt'!$G:$G)*S41/S$121,0),0)</f>
        <v>65835</v>
      </c>
      <c r="AY41" s="41">
        <f>IFERROR(ROUND(_xlfn.XLOOKUP(AY$7,'Product Tgt'!$B:$B,'Product Tgt'!$G:$G)*T41/T$121,0),0)</f>
        <v>1055</v>
      </c>
      <c r="AZ41" s="41">
        <f>IFERROR(ROUND(_xlfn.XLOOKUP(AZ$7,'Product Tgt'!$B:$B,'Product Tgt'!$G:$G)*U41/U$121,0),0)</f>
        <v>2842</v>
      </c>
      <c r="BA41" s="41">
        <f>IFERROR(ROUND(_xlfn.XLOOKUP(BA$7,'Product Tgt'!$B:$B,'Product Tgt'!$G:$G)*V41/V$121,0),0)</f>
        <v>38396</v>
      </c>
      <c r="BB41" s="41">
        <f>IFERROR(ROUND(_xlfn.XLOOKUP(BB$7,'Product Tgt'!$B:$B,'Product Tgt'!$G:$G)*W41/W$121,0),0)</f>
        <v>53314</v>
      </c>
      <c r="BC41" s="41">
        <f>IFERROR(ROUND(_xlfn.XLOOKUP(BC$7,'Product Tgt'!$B:$B,'Product Tgt'!$G:$G)*X41/X$121,0),0)</f>
        <v>4510</v>
      </c>
      <c r="BD41" s="41">
        <f>IFERROR(ROUND(_xlfn.XLOOKUP(BD$7,'Product Tgt'!$B:$B,'Product Tgt'!$G:$G)*Y41/Y$121,0),0)</f>
        <v>4061</v>
      </c>
      <c r="BE41" s="41">
        <f>IFERROR(ROUND(_xlfn.XLOOKUP(BE$7,'Product Tgt'!$B:$B,'Product Tgt'!$G:$G)*Z41/Z$121,0),0)</f>
        <v>486</v>
      </c>
      <c r="BF41" s="41">
        <f>IFERROR(ROUND(_xlfn.XLOOKUP(BF$7,'Product Tgt'!$B:$B,'Product Tgt'!$G:$G)*AA41/AA$121,0),0)</f>
        <v>12080</v>
      </c>
      <c r="BG41" s="41">
        <f>IFERROR(ROUND(_xlfn.XLOOKUP(BG$7,'Product Tgt'!$B:$B,'Product Tgt'!$G:$G)*AB41/AB$121,0),0)</f>
        <v>4831</v>
      </c>
      <c r="BH41" s="41">
        <f>IFERROR(ROUND(_xlfn.XLOOKUP(BH$7,'Product Tgt'!$B:$B,'Product Tgt'!$G:$G)*AC41/AC$121,0),0)</f>
        <v>3204</v>
      </c>
      <c r="BI41" s="41">
        <f>IFERROR(ROUND(_xlfn.XLOOKUP(BI$7,'Product Tgt'!$B:$B,'Product Tgt'!$G:$G)*AD41/AD$121,0),0)</f>
        <v>9811</v>
      </c>
      <c r="BJ41" s="41">
        <f>IFERROR(ROUND(_xlfn.XLOOKUP(BJ$7,'Product Tgt'!$B:$B,'Product Tgt'!$G:$G)*AE41/AE$121,0),0)</f>
        <v>21539</v>
      </c>
      <c r="BK41" s="41">
        <f>IFERROR(ROUND(_xlfn.XLOOKUP(BK$7,'Product Tgt'!$B:$B,'Product Tgt'!$G:$G)*AF41/AF$121,0),0)</f>
        <v>1865</v>
      </c>
      <c r="BL41" s="41">
        <f>IFERROR(ROUND(_xlfn.XLOOKUP(BL$7,'Product Tgt'!$B:$B,'Product Tgt'!$G:$G)*AG41/AG$121,0),0)</f>
        <v>36713</v>
      </c>
      <c r="BM41" s="41">
        <f>IFERROR(ROUND(_xlfn.XLOOKUP(BM$7,'Product Tgt'!$B:$B,'Product Tgt'!$G:$G)*AH41/AH$121,0),0)</f>
        <v>2658</v>
      </c>
      <c r="BN41" s="41">
        <f>IFERROR(ROUND(_xlfn.XLOOKUP(BN$7,'Product Tgt'!$B:$B,'Product Tgt'!$G:$G)*AI41/AI$121,0),0)</f>
        <v>15976</v>
      </c>
      <c r="BO41" s="41">
        <f>IFERROR(ROUND(_xlfn.XLOOKUP(BO$7,'Product Tgt'!$B:$B,'Product Tgt'!$G:$G)*AJ41/AJ$121,0),0)</f>
        <v>14639</v>
      </c>
      <c r="BP41" s="41">
        <f>IFERROR(ROUND(_xlfn.XLOOKUP(BP$7,'Product Tgt'!$B:$B,'Product Tgt'!$G:$G)*AK41/AK$121,0),0)</f>
        <v>1593</v>
      </c>
      <c r="BQ41" s="41">
        <f>IFERROR(ROUND(_xlfn.XLOOKUP(BQ$7,'Product Tgt'!$B:$B,'Product Tgt'!$G:$G)*AL41/AL$121,0),0)</f>
        <v>2209</v>
      </c>
      <c r="BR41" s="25">
        <f>ROUND(IFERROR(AM41/_xlfn.XLOOKUP(BR$7,'Product Tgt'!$B:$B,'Product Tgt'!$D:$D),0),0)</f>
        <v>0</v>
      </c>
      <c r="BS41" s="11">
        <f>ROUND(IFERROR(AN41/_xlfn.XLOOKUP(BS$7,'Product Tgt'!$B:$B,'Product Tgt'!$D:$D),0),0)</f>
        <v>0</v>
      </c>
      <c r="BT41" s="11">
        <f>ROUND(IFERROR(AO41/_xlfn.XLOOKUP(BT$7,'Product Tgt'!$B:$B,'Product Tgt'!$D:$D),0),0)</f>
        <v>0</v>
      </c>
      <c r="BU41" s="11">
        <f>ROUND(IFERROR(AP41/_xlfn.XLOOKUP(BU$7,'Product Tgt'!$B:$B,'Product Tgt'!$D:$D),0),0)</f>
        <v>0</v>
      </c>
      <c r="BV41" s="11">
        <f>ROUND(IFERROR(AQ41/_xlfn.XLOOKUP(BV$7,'Product Tgt'!$B:$B,'Product Tgt'!$D:$D),0),0)</f>
        <v>0</v>
      </c>
      <c r="BW41" s="11">
        <f>ROUND(IFERROR(AU41/_xlfn.XLOOKUP(BW$7,'Product Tgt'!$B:$B,'Product Tgt'!$D:$D),0),0)</f>
        <v>0</v>
      </c>
      <c r="BX41" s="11">
        <f>ROUND(IFERROR(#REF!/_xlfn.XLOOKUP(BX$7,'Product Tgt'!$B:$B,'Product Tgt'!$D:$D),0),0)</f>
        <v>0</v>
      </c>
      <c r="BY41" s="11">
        <f>ROUND(IFERROR(#REF!/_xlfn.XLOOKUP(BY$7,'Product Tgt'!$B:$B,'Product Tgt'!$D:$D),0),0)</f>
        <v>0</v>
      </c>
      <c r="BZ41" s="11">
        <f>ROUND(IFERROR(#REF!/_xlfn.XLOOKUP(BZ$7,'Product Tgt'!$B:$B,'Product Tgt'!$D:$D),0),0)</f>
        <v>0</v>
      </c>
      <c r="CA41" s="11">
        <f>ROUND(IFERROR(#REF!/_xlfn.XLOOKUP(CA$7,'Product Tgt'!$B:$B,'Product Tgt'!$D:$D),0),0)</f>
        <v>0</v>
      </c>
      <c r="CB41" s="11">
        <f>ROUND(IFERROR(AV41/_xlfn.XLOOKUP(CB$7,'Product Tgt'!$B:$B,'Product Tgt'!$D:$D),0),0)</f>
        <v>0</v>
      </c>
      <c r="CC41" s="11">
        <f>ROUND(IFERROR(AW41/_xlfn.XLOOKUP(CC$7,'Product Tgt'!$B:$B,'Product Tgt'!$D:$D),0),0)</f>
        <v>0</v>
      </c>
      <c r="CD41" s="11">
        <f>ROUND(IFERROR(AX41/_xlfn.XLOOKUP(CD$7,'Product Tgt'!$B:$B,'Product Tgt'!$D:$D),0),0)</f>
        <v>0</v>
      </c>
      <c r="CE41" s="11">
        <f>ROUND(IFERROR(AY41/_xlfn.XLOOKUP(CE$7,'Product Tgt'!$B:$B,'Product Tgt'!$D:$D),0),0)</f>
        <v>0</v>
      </c>
      <c r="CF41" s="11">
        <f>ROUND(IFERROR(AZ41/_xlfn.XLOOKUP(CF$7,'Product Tgt'!$B:$B,'Product Tgt'!$D:$D),0),0)</f>
        <v>0</v>
      </c>
      <c r="CG41" s="11">
        <f>ROUND(IFERROR(BA41/_xlfn.XLOOKUP(CG$7,'Product Tgt'!$B:$B,'Product Tgt'!$D:$D),0),0)</f>
        <v>0</v>
      </c>
      <c r="CH41" s="11">
        <f>ROUND(IFERROR(BB41/_xlfn.XLOOKUP(CH$7,'Product Tgt'!$B:$B,'Product Tgt'!$D:$D),0),0)</f>
        <v>0</v>
      </c>
      <c r="CI41" s="11">
        <f>ROUND(IFERROR(BC41/_xlfn.XLOOKUP(CI$7,'Product Tgt'!$B:$B,'Product Tgt'!$D:$D),0),0)</f>
        <v>0</v>
      </c>
      <c r="CJ41" s="11">
        <f>ROUND(IFERROR(BD41/_xlfn.XLOOKUP(CJ$7,'Product Tgt'!$B:$B,'Product Tgt'!$D:$D),0),0)</f>
        <v>0</v>
      </c>
      <c r="CK41" s="11">
        <f>ROUND(IFERROR(BE41/_xlfn.XLOOKUP(CK$7,'Product Tgt'!$B:$B,'Product Tgt'!$D:$D),0),0)</f>
        <v>0</v>
      </c>
      <c r="CL41" s="11">
        <f>ROUND(IFERROR(BF41/_xlfn.XLOOKUP(CL$7,'Product Tgt'!$B:$B,'Product Tgt'!$D:$D),0),0)</f>
        <v>0</v>
      </c>
      <c r="CM41" s="11">
        <f>ROUND(IFERROR(BG41/_xlfn.XLOOKUP(CM$7,'Product Tgt'!$B:$B,'Product Tgt'!$D:$D),0),0)</f>
        <v>0</v>
      </c>
      <c r="CN41" s="11">
        <f>ROUND(IFERROR(BH41/_xlfn.XLOOKUP(CN$7,'Product Tgt'!$B:$B,'Product Tgt'!$D:$D),0),0)</f>
        <v>0</v>
      </c>
      <c r="CO41" s="11">
        <f>ROUND(IFERROR(BI41/_xlfn.XLOOKUP(CO$7,'Product Tgt'!$B:$B,'Product Tgt'!$D:$D),0),0)</f>
        <v>0</v>
      </c>
      <c r="CP41" s="11">
        <f>ROUND(IFERROR(BJ41/_xlfn.XLOOKUP(CP$7,'Product Tgt'!$B:$B,'Product Tgt'!$D:$D),0),0)</f>
        <v>0</v>
      </c>
      <c r="CQ41" s="11">
        <f>ROUND(IFERROR(BK41/_xlfn.XLOOKUP(CQ$7,'Product Tgt'!$B:$B,'Product Tgt'!$D:$D),0),0)</f>
        <v>0</v>
      </c>
      <c r="CR41" s="11">
        <f>ROUND(IFERROR(BL41/_xlfn.XLOOKUP(CR$7,'Product Tgt'!$B:$B,'Product Tgt'!$D:$D),0),0)</f>
        <v>0</v>
      </c>
      <c r="CS41" s="11">
        <f>ROUND(IFERROR(BM41/_xlfn.XLOOKUP(CS$7,'Product Tgt'!$B:$B,'Product Tgt'!$D:$D),0),0)</f>
        <v>0</v>
      </c>
      <c r="CT41" s="11">
        <f>ROUND(IFERROR(BN41/_xlfn.XLOOKUP(CT$7,'Product Tgt'!$B:$B,'Product Tgt'!$D:$D),0),0)</f>
        <v>0</v>
      </c>
      <c r="CU41" s="11">
        <f>ROUND(IFERROR(BO41/_xlfn.XLOOKUP(CU$7,'Product Tgt'!$B:$B,'Product Tgt'!$D:$D),0),0)</f>
        <v>0</v>
      </c>
      <c r="CV41" s="11">
        <f>ROUND(IFERROR(BP41/_xlfn.XLOOKUP(CV$7,'Product Tgt'!$B:$B,'Product Tgt'!$D:$D),0),0)</f>
        <v>0</v>
      </c>
      <c r="CW41" s="11">
        <f>ROUND(IFERROR(BQ41/_xlfn.XLOOKUP(CW$7,'Product Tgt'!$B:$B,'Product Tgt'!$D:$D),0),0)</f>
        <v>0</v>
      </c>
      <c r="CX41" s="11">
        <f>ROUND(IFERROR(#REF!/_xlfn.XLOOKUP(CX$7,'Product Tgt'!$B:$B,'Product Tgt'!$D:$D),0),0)</f>
        <v>0</v>
      </c>
      <c r="CY41" s="11">
        <f>ROUND(IFERROR(#REF!/_xlfn.XLOOKUP(CY$7,'Product Tgt'!$B:$B,'Product Tgt'!$D:$D),0),0)</f>
        <v>0</v>
      </c>
      <c r="CZ41" s="11">
        <f>ROUND(IFERROR(#REF!/_xlfn.XLOOKUP(CZ$7,'Product Tgt'!$B:$B,'Product Tgt'!$D:$D),0),0)</f>
        <v>0</v>
      </c>
      <c r="DA41" s="10">
        <f>IFERROR(BR41*_xlfn.XLOOKUP(DA$7,'Product Tgt'!$B:$B,'Product Tgt'!$D:$D),0)</f>
        <v>0</v>
      </c>
      <c r="DB41">
        <f>IFERROR(BS41*_xlfn.XLOOKUP(DB$7,'Product Tgt'!$B:$B,'Product Tgt'!$D:$D),0)</f>
        <v>0</v>
      </c>
      <c r="DC41">
        <f>IFERROR(BT41*_xlfn.XLOOKUP(DC$7,'Product Tgt'!$B:$B,'Product Tgt'!$D:$D),0)</f>
        <v>0</v>
      </c>
      <c r="DD41">
        <f>IFERROR(BU41*_xlfn.XLOOKUP(DD$7,'Product Tgt'!$B:$B,'Product Tgt'!$D:$D),0)</f>
        <v>0</v>
      </c>
      <c r="DE41">
        <f>IFERROR(BV41*_xlfn.XLOOKUP(DE$7,'Product Tgt'!$B:$B,'Product Tgt'!$D:$D),0)</f>
        <v>0</v>
      </c>
      <c r="DF41">
        <f>IFERROR(BW41*_xlfn.XLOOKUP(DF$7,'Product Tgt'!$B:$B,'Product Tgt'!$D:$D),0)</f>
        <v>0</v>
      </c>
      <c r="DG41">
        <f>IFERROR(BX41*_xlfn.XLOOKUP(DG$7,'Product Tgt'!$B:$B,'Product Tgt'!$D:$D),0)</f>
        <v>0</v>
      </c>
      <c r="DH41">
        <f>IFERROR(BY41*_xlfn.XLOOKUP(DH$7,'Product Tgt'!$B:$B,'Product Tgt'!$D:$D),0)</f>
        <v>0</v>
      </c>
      <c r="DI41">
        <f>IFERROR(BZ41*_xlfn.XLOOKUP(DI$7,'Product Tgt'!$B:$B,'Product Tgt'!$D:$D),0)</f>
        <v>0</v>
      </c>
      <c r="DJ41">
        <f>IFERROR(CA41*_xlfn.XLOOKUP(DJ$7,'Product Tgt'!$B:$B,'Product Tgt'!$D:$D),0)</f>
        <v>0</v>
      </c>
      <c r="DK41">
        <f>IFERROR(CB41*_xlfn.XLOOKUP(DK$7,'Product Tgt'!$B:$B,'Product Tgt'!$D:$D),0)</f>
        <v>0</v>
      </c>
      <c r="DL41">
        <f>IFERROR(CC41*_xlfn.XLOOKUP(DL$7,'Product Tgt'!$B:$B,'Product Tgt'!$D:$D),0)</f>
        <v>0</v>
      </c>
      <c r="DM41">
        <f>IFERROR(CD41*_xlfn.XLOOKUP(DM$7,'Product Tgt'!$B:$B,'Product Tgt'!$D:$D),0)</f>
        <v>0</v>
      </c>
      <c r="DN41">
        <f>IFERROR(CE41*_xlfn.XLOOKUP(DN$7,'Product Tgt'!$B:$B,'Product Tgt'!$D:$D),0)</f>
        <v>0</v>
      </c>
      <c r="DO41">
        <f>IFERROR(CF41*_xlfn.XLOOKUP(DO$7,'Product Tgt'!$B:$B,'Product Tgt'!$D:$D),0)</f>
        <v>0</v>
      </c>
      <c r="DP41">
        <f>IFERROR(CG41*_xlfn.XLOOKUP(DP$7,'Product Tgt'!$B:$B,'Product Tgt'!$D:$D),0)</f>
        <v>0</v>
      </c>
      <c r="DQ41">
        <f>IFERROR(CH41*_xlfn.XLOOKUP(DQ$7,'Product Tgt'!$B:$B,'Product Tgt'!$D:$D),0)</f>
        <v>0</v>
      </c>
      <c r="DR41">
        <f>IFERROR(CI41*_xlfn.XLOOKUP(DR$7,'Product Tgt'!$B:$B,'Product Tgt'!$D:$D),0)</f>
        <v>0</v>
      </c>
      <c r="DS41">
        <f>IFERROR(CJ41*_xlfn.XLOOKUP(DS$7,'Product Tgt'!$B:$B,'Product Tgt'!$D:$D),0)</f>
        <v>0</v>
      </c>
      <c r="DT41">
        <f>IFERROR(CK41*_xlfn.XLOOKUP(DT$7,'Product Tgt'!$B:$B,'Product Tgt'!$D:$D),0)</f>
        <v>0</v>
      </c>
      <c r="DU41">
        <f>IFERROR(CL41*_xlfn.XLOOKUP(DU$7,'Product Tgt'!$B:$B,'Product Tgt'!$D:$D),0)</f>
        <v>0</v>
      </c>
      <c r="DV41">
        <f>IFERROR(CM41*_xlfn.XLOOKUP(DV$7,'Product Tgt'!$B:$B,'Product Tgt'!$D:$D),0)</f>
        <v>0</v>
      </c>
      <c r="DW41">
        <f>IFERROR(CN41*_xlfn.XLOOKUP(DW$7,'Product Tgt'!$B:$B,'Product Tgt'!$D:$D),0)</f>
        <v>0</v>
      </c>
      <c r="DX41">
        <f>IFERROR(CO41*_xlfn.XLOOKUP(DX$7,'Product Tgt'!$B:$B,'Product Tgt'!$D:$D),0)</f>
        <v>0</v>
      </c>
      <c r="DY41">
        <f>IFERROR(CP41*_xlfn.XLOOKUP(DY$7,'Product Tgt'!$B:$B,'Product Tgt'!$D:$D),0)</f>
        <v>0</v>
      </c>
      <c r="DZ41">
        <f>IFERROR(CQ41*_xlfn.XLOOKUP(DZ$7,'Product Tgt'!$B:$B,'Product Tgt'!$D:$D),0)</f>
        <v>0</v>
      </c>
      <c r="EA41">
        <f>IFERROR(CR41*_xlfn.XLOOKUP(EA$7,'Product Tgt'!$B:$B,'Product Tgt'!$D:$D),0)</f>
        <v>0</v>
      </c>
      <c r="EB41">
        <f>IFERROR(CS41*_xlfn.XLOOKUP(EB$7,'Product Tgt'!$B:$B,'Product Tgt'!$D:$D),0)</f>
        <v>0</v>
      </c>
      <c r="EC41">
        <f>IFERROR(CT41*_xlfn.XLOOKUP(EC$7,'Product Tgt'!$B:$B,'Product Tgt'!$D:$D),0)</f>
        <v>0</v>
      </c>
      <c r="ED41">
        <f>IFERROR(CU41*_xlfn.XLOOKUP(ED$7,'Product Tgt'!$B:$B,'Product Tgt'!$D:$D),0)</f>
        <v>0</v>
      </c>
      <c r="EE41">
        <f>IFERROR(CV41*_xlfn.XLOOKUP(EE$7,'Product Tgt'!$B:$B,'Product Tgt'!$D:$D),0)</f>
        <v>0</v>
      </c>
      <c r="EF41">
        <f>IFERROR(CW41*_xlfn.XLOOKUP(EF$7,'Product Tgt'!$B:$B,'Product Tgt'!$D:$D),0)</f>
        <v>0</v>
      </c>
      <c r="EG41">
        <f>IFERROR(CX41*_xlfn.XLOOKUP(EG$7,'Product Tgt'!$B:$B,'Product Tgt'!$D:$D),0)</f>
        <v>0</v>
      </c>
      <c r="EH41">
        <f>IFERROR(CY41*_xlfn.XLOOKUP(EH$7,'Product Tgt'!$B:$B,'Product Tgt'!$D:$D),0)</f>
        <v>0</v>
      </c>
      <c r="EI41">
        <f>IFERROR(CZ41*_xlfn.XLOOKUP(EI$7,'Product Tgt'!$B:$B,'Product Tgt'!$D:$D),0)</f>
        <v>0</v>
      </c>
    </row>
    <row r="42" spans="2:139" x14ac:dyDescent="0.35">
      <c r="B42" s="7" t="s">
        <v>105</v>
      </c>
      <c r="C42" s="3">
        <f>_xlfn.XLOOKUP($B42,'Terr Target'!$A:$A,'Terr Target'!$E:$E)</f>
        <v>321916.09259461373</v>
      </c>
      <c r="D42" s="3">
        <f t="shared" si="8"/>
        <v>321916</v>
      </c>
      <c r="E42" s="4">
        <f t="shared" si="9"/>
        <v>-9.2594613728579134E-2</v>
      </c>
      <c r="F42" s="9">
        <f t="shared" si="7"/>
        <v>2.8763594766516461E-7</v>
      </c>
      <c r="G42" s="5">
        <f t="shared" si="6"/>
        <v>1.0000002876359477</v>
      </c>
      <c r="H42" s="38">
        <v>30871.068774526546</v>
      </c>
      <c r="I42" s="11">
        <v>69727.890669484477</v>
      </c>
      <c r="J42" s="11">
        <v>37805.243747245862</v>
      </c>
      <c r="K42" s="11">
        <v>36584.949357208716</v>
      </c>
      <c r="L42" s="11">
        <v>35648.00447335987</v>
      </c>
      <c r="M42" s="11">
        <v>25959.074645827506</v>
      </c>
      <c r="N42" s="11">
        <v>324.84557544530963</v>
      </c>
      <c r="O42" s="11">
        <v>3299.2107024622123</v>
      </c>
      <c r="P42" s="11">
        <v>820.59296545331722</v>
      </c>
      <c r="Q42" s="11">
        <v>862.3473296111398</v>
      </c>
      <c r="R42" s="11">
        <v>4883.8797221878212</v>
      </c>
      <c r="S42" s="11">
        <v>14084.661990447536</v>
      </c>
      <c r="T42" s="11">
        <v>0</v>
      </c>
      <c r="U42" s="11">
        <v>1349.1040701871157</v>
      </c>
      <c r="V42" s="11">
        <v>11064.966108338522</v>
      </c>
      <c r="W42" s="11">
        <v>18446.209816682469</v>
      </c>
      <c r="X42" s="11">
        <v>1406.7137674869523</v>
      </c>
      <c r="Y42" s="11">
        <v>1217.9598015105955</v>
      </c>
      <c r="Z42" s="11">
        <v>0</v>
      </c>
      <c r="AA42" s="11">
        <v>3623.092639239117</v>
      </c>
      <c r="AB42" s="11">
        <v>1510.0416622301143</v>
      </c>
      <c r="AC42" s="11">
        <v>518.57668547188484</v>
      </c>
      <c r="AD42" s="11">
        <v>2149.8182626973444</v>
      </c>
      <c r="AE42" s="11">
        <v>6457.3526514052537</v>
      </c>
      <c r="AF42" s="11">
        <v>522.51071549960261</v>
      </c>
      <c r="AG42" s="11">
        <v>11175.2282277265</v>
      </c>
      <c r="AH42" s="11">
        <v>1005.3731637249085</v>
      </c>
      <c r="AI42" s="11">
        <v>5829.5668949871542</v>
      </c>
      <c r="AJ42" s="11">
        <v>5377.5210153123035</v>
      </c>
      <c r="AK42" s="11">
        <v>887.23304986223309</v>
      </c>
      <c r="AL42" s="49">
        <v>1861.5214157166142</v>
      </c>
      <c r="AM42" s="41">
        <f>IFERROR(ROUND(_xlfn.XLOOKUP(AM$7,'Product Tgt'!$B:$B,'Product Tgt'!$G:$G)*H42/H$121,0),0)</f>
        <v>30012</v>
      </c>
      <c r="AN42" s="41">
        <f>IFERROR(ROUND(_xlfn.XLOOKUP(AN$7,'Product Tgt'!$B:$B,'Product Tgt'!$G:$G)*I42/I$121,0),0)</f>
        <v>68640</v>
      </c>
      <c r="AO42" s="41">
        <f>IFERROR(ROUND(_xlfn.XLOOKUP(AO$7,'Product Tgt'!$B:$B,'Product Tgt'!$G:$G)*J42/J$121,0),0)</f>
        <v>36629</v>
      </c>
      <c r="AP42" s="41">
        <f>IFERROR(ROUND(_xlfn.XLOOKUP(AP$7,'Product Tgt'!$B:$B,'Product Tgt'!$G:$G)*K42/K$121,0),0)</f>
        <v>35689</v>
      </c>
      <c r="AQ42" s="41">
        <f>IFERROR(ROUND(_xlfn.XLOOKUP(AQ$7,'Product Tgt'!$B:$B,'Product Tgt'!$G:$G)*L42/L$121,0),0)</f>
        <v>34469</v>
      </c>
      <c r="AR42" s="41">
        <f>IFERROR(ROUND(_xlfn.XLOOKUP(AR$7,'Product Tgt'!$B:$B,'Product Tgt'!$G:$G)*M42/M$121,0),0)</f>
        <v>25149</v>
      </c>
      <c r="AS42" s="41">
        <f>IFERROR(ROUND(_xlfn.XLOOKUP(AS$7,'Product Tgt'!$B:$B,'Product Tgt'!$G:$G)*N42/N$121,0),0)</f>
        <v>300</v>
      </c>
      <c r="AT42" s="41">
        <f>IFERROR(ROUND(_xlfn.XLOOKUP(AT$7,'Product Tgt'!$B:$B,'Product Tgt'!$G:$G)*O42/O$121,0),0)</f>
        <v>2970</v>
      </c>
      <c r="AU42" s="41">
        <f>IFERROR(ROUND(_xlfn.XLOOKUP(AU$7,'Product Tgt'!$B:$B,'Product Tgt'!$G:$G)*P42/P$121,0),0)</f>
        <v>350</v>
      </c>
      <c r="AV42" s="41">
        <f>IFERROR(ROUND(_xlfn.XLOOKUP(AV$7,'Product Tgt'!$B:$B,'Product Tgt'!$G:$G)*Q42/Q$121,0),0)</f>
        <v>647</v>
      </c>
      <c r="AW42" s="41">
        <f>IFERROR(ROUND(_xlfn.XLOOKUP(AW$7,'Product Tgt'!$B:$B,'Product Tgt'!$G:$G)*R42/R$121,0),0)</f>
        <v>4704</v>
      </c>
      <c r="AX42" s="41">
        <f>IFERROR(ROUND(_xlfn.XLOOKUP(AX$7,'Product Tgt'!$B:$B,'Product Tgt'!$G:$G)*S42/S$121,0),0)</f>
        <v>13565</v>
      </c>
      <c r="AY42" s="41">
        <f>IFERROR(ROUND(_xlfn.XLOOKUP(AY$7,'Product Tgt'!$B:$B,'Product Tgt'!$G:$G)*T42/T$121,0),0)</f>
        <v>0</v>
      </c>
      <c r="AZ42" s="41">
        <f>IFERROR(ROUND(_xlfn.XLOOKUP(AZ$7,'Product Tgt'!$B:$B,'Product Tgt'!$G:$G)*U42/U$121,0),0)</f>
        <v>1291</v>
      </c>
      <c r="BA42" s="41">
        <f>IFERROR(ROUND(_xlfn.XLOOKUP(BA$7,'Product Tgt'!$B:$B,'Product Tgt'!$G:$G)*V42/V$121,0),0)</f>
        <v>10653</v>
      </c>
      <c r="BB42" s="41">
        <f>IFERROR(ROUND(_xlfn.XLOOKUP(BB$7,'Product Tgt'!$B:$B,'Product Tgt'!$G:$G)*W42/W$121,0),0)</f>
        <v>17657</v>
      </c>
      <c r="BC42" s="41">
        <f>IFERROR(ROUND(_xlfn.XLOOKUP(BC$7,'Product Tgt'!$B:$B,'Product Tgt'!$G:$G)*X42/X$121,0),0)</f>
        <v>1361</v>
      </c>
      <c r="BD42" s="41">
        <f>IFERROR(ROUND(_xlfn.XLOOKUP(BD$7,'Product Tgt'!$B:$B,'Product Tgt'!$G:$G)*Y42/Y$121,0),0)</f>
        <v>1178</v>
      </c>
      <c r="BE42" s="41">
        <f>IFERROR(ROUND(_xlfn.XLOOKUP(BE$7,'Product Tgt'!$B:$B,'Product Tgt'!$G:$G)*Z42/Z$121,0),0)</f>
        <v>0</v>
      </c>
      <c r="BF42" s="41">
        <f>IFERROR(ROUND(_xlfn.XLOOKUP(BF$7,'Product Tgt'!$B:$B,'Product Tgt'!$G:$G)*AA42/AA$121,0),0)</f>
        <v>2936</v>
      </c>
      <c r="BG42" s="41">
        <f>IFERROR(ROUND(_xlfn.XLOOKUP(BG$7,'Product Tgt'!$B:$B,'Product Tgt'!$G:$G)*AB42/AB$121,0),0)</f>
        <v>1210</v>
      </c>
      <c r="BH42" s="41">
        <f>IFERROR(ROUND(_xlfn.XLOOKUP(BH$7,'Product Tgt'!$B:$B,'Product Tgt'!$G:$G)*AC42/AC$121,0),0)</f>
        <v>444</v>
      </c>
      <c r="BI42" s="41">
        <f>IFERROR(ROUND(_xlfn.XLOOKUP(BI$7,'Product Tgt'!$B:$B,'Product Tgt'!$G:$G)*AD42/AD$121,0),0)</f>
        <v>1871</v>
      </c>
      <c r="BJ42" s="41">
        <f>IFERROR(ROUND(_xlfn.XLOOKUP(BJ$7,'Product Tgt'!$B:$B,'Product Tgt'!$G:$G)*AE42/AE$121,0),0)</f>
        <v>6010</v>
      </c>
      <c r="BK42" s="41">
        <f>IFERROR(ROUND(_xlfn.XLOOKUP(BK$7,'Product Tgt'!$B:$B,'Product Tgt'!$G:$G)*AF42/AF$121,0),0)</f>
        <v>584</v>
      </c>
      <c r="BL42" s="41">
        <f>IFERROR(ROUND(_xlfn.XLOOKUP(BL$7,'Product Tgt'!$B:$B,'Product Tgt'!$G:$G)*AG42/AG$121,0),0)</f>
        <v>10674</v>
      </c>
      <c r="BM42" s="41">
        <f>IFERROR(ROUND(_xlfn.XLOOKUP(BM$7,'Product Tgt'!$B:$B,'Product Tgt'!$G:$G)*AH42/AH$121,0),0)</f>
        <v>788</v>
      </c>
      <c r="BN42" s="41">
        <f>IFERROR(ROUND(_xlfn.XLOOKUP(BN$7,'Product Tgt'!$B:$B,'Product Tgt'!$G:$G)*AI42/AI$121,0),0)</f>
        <v>5354</v>
      </c>
      <c r="BO42" s="41">
        <f>IFERROR(ROUND(_xlfn.XLOOKUP(BO$7,'Product Tgt'!$B:$B,'Product Tgt'!$G:$G)*AJ42/AJ$121,0),0)</f>
        <v>4651</v>
      </c>
      <c r="BP42" s="41">
        <f>IFERROR(ROUND(_xlfn.XLOOKUP(BP$7,'Product Tgt'!$B:$B,'Product Tgt'!$G:$G)*AK42/AK$121,0),0)</f>
        <v>675</v>
      </c>
      <c r="BQ42" s="41">
        <f>IFERROR(ROUND(_xlfn.XLOOKUP(BQ$7,'Product Tgt'!$B:$B,'Product Tgt'!$G:$G)*AL42/AL$121,0),0)</f>
        <v>1455</v>
      </c>
      <c r="BR42" s="25">
        <f>ROUND(IFERROR(AM42/_xlfn.XLOOKUP(BR$7,'Product Tgt'!$B:$B,'Product Tgt'!$D:$D),0),0)</f>
        <v>0</v>
      </c>
      <c r="BS42" s="11">
        <f>ROUND(IFERROR(AN42/_xlfn.XLOOKUP(BS$7,'Product Tgt'!$B:$B,'Product Tgt'!$D:$D),0),0)</f>
        <v>0</v>
      </c>
      <c r="BT42" s="11">
        <f>ROUND(IFERROR(AO42/_xlfn.XLOOKUP(BT$7,'Product Tgt'!$B:$B,'Product Tgt'!$D:$D),0),0)</f>
        <v>0</v>
      </c>
      <c r="BU42" s="11">
        <f>ROUND(IFERROR(AP42/_xlfn.XLOOKUP(BU$7,'Product Tgt'!$B:$B,'Product Tgt'!$D:$D),0),0)</f>
        <v>0</v>
      </c>
      <c r="BV42" s="11">
        <f>ROUND(IFERROR(AQ42/_xlfn.XLOOKUP(BV$7,'Product Tgt'!$B:$B,'Product Tgt'!$D:$D),0),0)</f>
        <v>0</v>
      </c>
      <c r="BW42" s="11">
        <f>ROUND(IFERROR(AU42/_xlfn.XLOOKUP(BW$7,'Product Tgt'!$B:$B,'Product Tgt'!$D:$D),0),0)</f>
        <v>0</v>
      </c>
      <c r="BX42" s="11">
        <f>ROUND(IFERROR(#REF!/_xlfn.XLOOKUP(BX$7,'Product Tgt'!$B:$B,'Product Tgt'!$D:$D),0),0)</f>
        <v>0</v>
      </c>
      <c r="BY42" s="11">
        <f>ROUND(IFERROR(#REF!/_xlfn.XLOOKUP(BY$7,'Product Tgt'!$B:$B,'Product Tgt'!$D:$D),0),0)</f>
        <v>0</v>
      </c>
      <c r="BZ42" s="11">
        <f>ROUND(IFERROR(#REF!/_xlfn.XLOOKUP(BZ$7,'Product Tgt'!$B:$B,'Product Tgt'!$D:$D),0),0)</f>
        <v>0</v>
      </c>
      <c r="CA42" s="11">
        <f>ROUND(IFERROR(#REF!/_xlfn.XLOOKUP(CA$7,'Product Tgt'!$B:$B,'Product Tgt'!$D:$D),0),0)</f>
        <v>0</v>
      </c>
      <c r="CB42" s="11">
        <f>ROUND(IFERROR(AV42/_xlfn.XLOOKUP(CB$7,'Product Tgt'!$B:$B,'Product Tgt'!$D:$D),0),0)</f>
        <v>0</v>
      </c>
      <c r="CC42" s="11">
        <f>ROUND(IFERROR(AW42/_xlfn.XLOOKUP(CC$7,'Product Tgt'!$B:$B,'Product Tgt'!$D:$D),0),0)</f>
        <v>0</v>
      </c>
      <c r="CD42" s="11">
        <f>ROUND(IFERROR(AX42/_xlfn.XLOOKUP(CD$7,'Product Tgt'!$B:$B,'Product Tgt'!$D:$D),0),0)</f>
        <v>0</v>
      </c>
      <c r="CE42" s="11">
        <f>ROUND(IFERROR(AY42/_xlfn.XLOOKUP(CE$7,'Product Tgt'!$B:$B,'Product Tgt'!$D:$D),0),0)</f>
        <v>0</v>
      </c>
      <c r="CF42" s="11">
        <f>ROUND(IFERROR(AZ42/_xlfn.XLOOKUP(CF$7,'Product Tgt'!$B:$B,'Product Tgt'!$D:$D),0),0)</f>
        <v>0</v>
      </c>
      <c r="CG42" s="11">
        <f>ROUND(IFERROR(BA42/_xlfn.XLOOKUP(CG$7,'Product Tgt'!$B:$B,'Product Tgt'!$D:$D),0),0)</f>
        <v>0</v>
      </c>
      <c r="CH42" s="11">
        <f>ROUND(IFERROR(BB42/_xlfn.XLOOKUP(CH$7,'Product Tgt'!$B:$B,'Product Tgt'!$D:$D),0),0)</f>
        <v>0</v>
      </c>
      <c r="CI42" s="11">
        <f>ROUND(IFERROR(BC42/_xlfn.XLOOKUP(CI$7,'Product Tgt'!$B:$B,'Product Tgt'!$D:$D),0),0)</f>
        <v>0</v>
      </c>
      <c r="CJ42" s="11">
        <f>ROUND(IFERROR(BD42/_xlfn.XLOOKUP(CJ$7,'Product Tgt'!$B:$B,'Product Tgt'!$D:$D),0),0)</f>
        <v>0</v>
      </c>
      <c r="CK42" s="11">
        <f>ROUND(IFERROR(BE42/_xlfn.XLOOKUP(CK$7,'Product Tgt'!$B:$B,'Product Tgt'!$D:$D),0),0)</f>
        <v>0</v>
      </c>
      <c r="CL42" s="11">
        <f>ROUND(IFERROR(BF42/_xlfn.XLOOKUP(CL$7,'Product Tgt'!$B:$B,'Product Tgt'!$D:$D),0),0)</f>
        <v>0</v>
      </c>
      <c r="CM42" s="11">
        <f>ROUND(IFERROR(BG42/_xlfn.XLOOKUP(CM$7,'Product Tgt'!$B:$B,'Product Tgt'!$D:$D),0),0)</f>
        <v>0</v>
      </c>
      <c r="CN42" s="11">
        <f>ROUND(IFERROR(BH42/_xlfn.XLOOKUP(CN$7,'Product Tgt'!$B:$B,'Product Tgt'!$D:$D),0),0)</f>
        <v>0</v>
      </c>
      <c r="CO42" s="11">
        <f>ROUND(IFERROR(BI42/_xlfn.XLOOKUP(CO$7,'Product Tgt'!$B:$B,'Product Tgt'!$D:$D),0),0)</f>
        <v>0</v>
      </c>
      <c r="CP42" s="11">
        <f>ROUND(IFERROR(BJ42/_xlfn.XLOOKUP(CP$7,'Product Tgt'!$B:$B,'Product Tgt'!$D:$D),0),0)</f>
        <v>0</v>
      </c>
      <c r="CQ42" s="11">
        <f>ROUND(IFERROR(BK42/_xlfn.XLOOKUP(CQ$7,'Product Tgt'!$B:$B,'Product Tgt'!$D:$D),0),0)</f>
        <v>0</v>
      </c>
      <c r="CR42" s="11">
        <f>ROUND(IFERROR(BL42/_xlfn.XLOOKUP(CR$7,'Product Tgt'!$B:$B,'Product Tgt'!$D:$D),0),0)</f>
        <v>0</v>
      </c>
      <c r="CS42" s="11">
        <f>ROUND(IFERROR(BM42/_xlfn.XLOOKUP(CS$7,'Product Tgt'!$B:$B,'Product Tgt'!$D:$D),0),0)</f>
        <v>0</v>
      </c>
      <c r="CT42" s="11">
        <f>ROUND(IFERROR(BN42/_xlfn.XLOOKUP(CT$7,'Product Tgt'!$B:$B,'Product Tgt'!$D:$D),0),0)</f>
        <v>0</v>
      </c>
      <c r="CU42" s="11">
        <f>ROUND(IFERROR(BO42/_xlfn.XLOOKUP(CU$7,'Product Tgt'!$B:$B,'Product Tgt'!$D:$D),0),0)</f>
        <v>0</v>
      </c>
      <c r="CV42" s="11">
        <f>ROUND(IFERROR(BP42/_xlfn.XLOOKUP(CV$7,'Product Tgt'!$B:$B,'Product Tgt'!$D:$D),0),0)</f>
        <v>0</v>
      </c>
      <c r="CW42" s="11">
        <f>ROUND(IFERROR(BQ42/_xlfn.XLOOKUP(CW$7,'Product Tgt'!$B:$B,'Product Tgt'!$D:$D),0),0)</f>
        <v>0</v>
      </c>
      <c r="CX42" s="11">
        <f>ROUND(IFERROR(#REF!/_xlfn.XLOOKUP(CX$7,'Product Tgt'!$B:$B,'Product Tgt'!$D:$D),0),0)</f>
        <v>0</v>
      </c>
      <c r="CY42" s="11">
        <f>ROUND(IFERROR(#REF!/_xlfn.XLOOKUP(CY$7,'Product Tgt'!$B:$B,'Product Tgt'!$D:$D),0),0)</f>
        <v>0</v>
      </c>
      <c r="CZ42" s="11">
        <f>ROUND(IFERROR(#REF!/_xlfn.XLOOKUP(CZ$7,'Product Tgt'!$B:$B,'Product Tgt'!$D:$D),0),0)</f>
        <v>0</v>
      </c>
      <c r="DA42" s="10">
        <f>IFERROR(BR42*_xlfn.XLOOKUP(DA$7,'Product Tgt'!$B:$B,'Product Tgt'!$D:$D),0)</f>
        <v>0</v>
      </c>
      <c r="DB42">
        <f>IFERROR(BS42*_xlfn.XLOOKUP(DB$7,'Product Tgt'!$B:$B,'Product Tgt'!$D:$D),0)</f>
        <v>0</v>
      </c>
      <c r="DC42">
        <f>IFERROR(BT42*_xlfn.XLOOKUP(DC$7,'Product Tgt'!$B:$B,'Product Tgt'!$D:$D),0)</f>
        <v>0</v>
      </c>
      <c r="DD42">
        <f>IFERROR(BU42*_xlfn.XLOOKUP(DD$7,'Product Tgt'!$B:$B,'Product Tgt'!$D:$D),0)</f>
        <v>0</v>
      </c>
      <c r="DE42">
        <f>IFERROR(BV42*_xlfn.XLOOKUP(DE$7,'Product Tgt'!$B:$B,'Product Tgt'!$D:$D),0)</f>
        <v>0</v>
      </c>
      <c r="DF42">
        <f>IFERROR(BW42*_xlfn.XLOOKUP(DF$7,'Product Tgt'!$B:$B,'Product Tgt'!$D:$D),0)</f>
        <v>0</v>
      </c>
      <c r="DG42">
        <f>IFERROR(BX42*_xlfn.XLOOKUP(DG$7,'Product Tgt'!$B:$B,'Product Tgt'!$D:$D),0)</f>
        <v>0</v>
      </c>
      <c r="DH42">
        <f>IFERROR(BY42*_xlfn.XLOOKUP(DH$7,'Product Tgt'!$B:$B,'Product Tgt'!$D:$D),0)</f>
        <v>0</v>
      </c>
      <c r="DI42">
        <f>IFERROR(BZ42*_xlfn.XLOOKUP(DI$7,'Product Tgt'!$B:$B,'Product Tgt'!$D:$D),0)</f>
        <v>0</v>
      </c>
      <c r="DJ42">
        <f>IFERROR(CA42*_xlfn.XLOOKUP(DJ$7,'Product Tgt'!$B:$B,'Product Tgt'!$D:$D),0)</f>
        <v>0</v>
      </c>
      <c r="DK42">
        <f>IFERROR(CB42*_xlfn.XLOOKUP(DK$7,'Product Tgt'!$B:$B,'Product Tgt'!$D:$D),0)</f>
        <v>0</v>
      </c>
      <c r="DL42">
        <f>IFERROR(CC42*_xlfn.XLOOKUP(DL$7,'Product Tgt'!$B:$B,'Product Tgt'!$D:$D),0)</f>
        <v>0</v>
      </c>
      <c r="DM42">
        <f>IFERROR(CD42*_xlfn.XLOOKUP(DM$7,'Product Tgt'!$B:$B,'Product Tgt'!$D:$D),0)</f>
        <v>0</v>
      </c>
      <c r="DN42">
        <f>IFERROR(CE42*_xlfn.XLOOKUP(DN$7,'Product Tgt'!$B:$B,'Product Tgt'!$D:$D),0)</f>
        <v>0</v>
      </c>
      <c r="DO42">
        <f>IFERROR(CF42*_xlfn.XLOOKUP(DO$7,'Product Tgt'!$B:$B,'Product Tgt'!$D:$D),0)</f>
        <v>0</v>
      </c>
      <c r="DP42">
        <f>IFERROR(CG42*_xlfn.XLOOKUP(DP$7,'Product Tgt'!$B:$B,'Product Tgt'!$D:$D),0)</f>
        <v>0</v>
      </c>
      <c r="DQ42">
        <f>IFERROR(CH42*_xlfn.XLOOKUP(DQ$7,'Product Tgt'!$B:$B,'Product Tgt'!$D:$D),0)</f>
        <v>0</v>
      </c>
      <c r="DR42">
        <f>IFERROR(CI42*_xlfn.XLOOKUP(DR$7,'Product Tgt'!$B:$B,'Product Tgt'!$D:$D),0)</f>
        <v>0</v>
      </c>
      <c r="DS42">
        <f>IFERROR(CJ42*_xlfn.XLOOKUP(DS$7,'Product Tgt'!$B:$B,'Product Tgt'!$D:$D),0)</f>
        <v>0</v>
      </c>
      <c r="DT42">
        <f>IFERROR(CK42*_xlfn.XLOOKUP(DT$7,'Product Tgt'!$B:$B,'Product Tgt'!$D:$D),0)</f>
        <v>0</v>
      </c>
      <c r="DU42">
        <f>IFERROR(CL42*_xlfn.XLOOKUP(DU$7,'Product Tgt'!$B:$B,'Product Tgt'!$D:$D),0)</f>
        <v>0</v>
      </c>
      <c r="DV42">
        <f>IFERROR(CM42*_xlfn.XLOOKUP(DV$7,'Product Tgt'!$B:$B,'Product Tgt'!$D:$D),0)</f>
        <v>0</v>
      </c>
      <c r="DW42">
        <f>IFERROR(CN42*_xlfn.XLOOKUP(DW$7,'Product Tgt'!$B:$B,'Product Tgt'!$D:$D),0)</f>
        <v>0</v>
      </c>
      <c r="DX42">
        <f>IFERROR(CO42*_xlfn.XLOOKUP(DX$7,'Product Tgt'!$B:$B,'Product Tgt'!$D:$D),0)</f>
        <v>0</v>
      </c>
      <c r="DY42">
        <f>IFERROR(CP42*_xlfn.XLOOKUP(DY$7,'Product Tgt'!$B:$B,'Product Tgt'!$D:$D),0)</f>
        <v>0</v>
      </c>
      <c r="DZ42">
        <f>IFERROR(CQ42*_xlfn.XLOOKUP(DZ$7,'Product Tgt'!$B:$B,'Product Tgt'!$D:$D),0)</f>
        <v>0</v>
      </c>
      <c r="EA42">
        <f>IFERROR(CR42*_xlfn.XLOOKUP(EA$7,'Product Tgt'!$B:$B,'Product Tgt'!$D:$D),0)</f>
        <v>0</v>
      </c>
      <c r="EB42">
        <f>IFERROR(CS42*_xlfn.XLOOKUP(EB$7,'Product Tgt'!$B:$B,'Product Tgt'!$D:$D),0)</f>
        <v>0</v>
      </c>
      <c r="EC42">
        <f>IFERROR(CT42*_xlfn.XLOOKUP(EC$7,'Product Tgt'!$B:$B,'Product Tgt'!$D:$D),0)</f>
        <v>0</v>
      </c>
      <c r="ED42">
        <f>IFERROR(CU42*_xlfn.XLOOKUP(ED$7,'Product Tgt'!$B:$B,'Product Tgt'!$D:$D),0)</f>
        <v>0</v>
      </c>
      <c r="EE42">
        <f>IFERROR(CV42*_xlfn.XLOOKUP(EE$7,'Product Tgt'!$B:$B,'Product Tgt'!$D:$D),0)</f>
        <v>0</v>
      </c>
      <c r="EF42">
        <f>IFERROR(CW42*_xlfn.XLOOKUP(EF$7,'Product Tgt'!$B:$B,'Product Tgt'!$D:$D),0)</f>
        <v>0</v>
      </c>
      <c r="EG42">
        <f>IFERROR(CX42*_xlfn.XLOOKUP(EG$7,'Product Tgt'!$B:$B,'Product Tgt'!$D:$D),0)</f>
        <v>0</v>
      </c>
      <c r="EH42">
        <f>IFERROR(CY42*_xlfn.XLOOKUP(EH$7,'Product Tgt'!$B:$B,'Product Tgt'!$D:$D),0)</f>
        <v>0</v>
      </c>
      <c r="EI42">
        <f>IFERROR(CZ42*_xlfn.XLOOKUP(EI$7,'Product Tgt'!$B:$B,'Product Tgt'!$D:$D),0)</f>
        <v>0</v>
      </c>
    </row>
    <row r="43" spans="2:139" x14ac:dyDescent="0.35">
      <c r="B43" s="7" t="s">
        <v>146</v>
      </c>
      <c r="C43" s="3">
        <f>_xlfn.XLOOKUP($B43,'Terr Target'!$A:$A,'Terr Target'!$E:$E)</f>
        <v>200404.29582342925</v>
      </c>
      <c r="D43" s="3">
        <f t="shared" si="8"/>
        <v>200405</v>
      </c>
      <c r="E43" s="4">
        <f t="shared" si="9"/>
        <v>0.70417657075449824</v>
      </c>
      <c r="F43" s="9">
        <f t="shared" si="7"/>
        <v>3.5137674746363527E-6</v>
      </c>
      <c r="G43" s="5">
        <f t="shared" si="6"/>
        <v>0.99999648623252535</v>
      </c>
      <c r="H43" s="38">
        <v>22436.318479009209</v>
      </c>
      <c r="I43" s="11">
        <v>44024.11164274074</v>
      </c>
      <c r="J43" s="11">
        <v>21730.046583613315</v>
      </c>
      <c r="K43" s="11">
        <v>21662.451482909608</v>
      </c>
      <c r="L43" s="11">
        <v>17440.435118278852</v>
      </c>
      <c r="M43" s="11">
        <v>11907.317565952009</v>
      </c>
      <c r="N43" s="11">
        <v>356.64757611907351</v>
      </c>
      <c r="O43" s="11">
        <v>1832.2308415547204</v>
      </c>
      <c r="P43" s="11">
        <v>884.17109111432376</v>
      </c>
      <c r="Q43" s="11">
        <v>690.33719459446979</v>
      </c>
      <c r="R43" s="11">
        <v>5340.0828884490684</v>
      </c>
      <c r="S43" s="11">
        <v>9423.7520827362005</v>
      </c>
      <c r="T43" s="11">
        <v>0</v>
      </c>
      <c r="U43" s="11">
        <v>1184.8723822879701</v>
      </c>
      <c r="V43" s="11">
        <v>7319.9819510356401</v>
      </c>
      <c r="W43" s="11">
        <v>6771.4985600019054</v>
      </c>
      <c r="X43" s="11">
        <v>1585.4777537213079</v>
      </c>
      <c r="Y43" s="11">
        <v>1738.3409869266623</v>
      </c>
      <c r="Z43" s="11">
        <v>278.76235514861781</v>
      </c>
      <c r="AA43" s="11">
        <v>2957.1507852788491</v>
      </c>
      <c r="AB43" s="11">
        <v>1207.860311155725</v>
      </c>
      <c r="AC43" s="11">
        <v>774.26661242063687</v>
      </c>
      <c r="AD43" s="11">
        <v>4190.9461956699906</v>
      </c>
      <c r="AE43" s="11">
        <v>3693.4738280168554</v>
      </c>
      <c r="AF43" s="11">
        <v>554.41769340115934</v>
      </c>
      <c r="AG43" s="11">
        <v>6975.2629220995732</v>
      </c>
      <c r="AH43" s="11">
        <v>813.21921331389069</v>
      </c>
      <c r="AI43" s="11">
        <v>4020.1501800580218</v>
      </c>
      <c r="AJ43" s="11">
        <v>4833.34941255586</v>
      </c>
      <c r="AK43" s="11">
        <v>1402.8031429664616</v>
      </c>
      <c r="AL43" s="49">
        <v>1866.9974614850933</v>
      </c>
      <c r="AM43" s="41">
        <f>IFERROR(ROUND(_xlfn.XLOOKUP(AM$7,'Product Tgt'!$B:$B,'Product Tgt'!$G:$G)*H43/H$121,0),0)</f>
        <v>21812</v>
      </c>
      <c r="AN43" s="41">
        <f>IFERROR(ROUND(_xlfn.XLOOKUP(AN$7,'Product Tgt'!$B:$B,'Product Tgt'!$G:$G)*I43/I$121,0),0)</f>
        <v>43337</v>
      </c>
      <c r="AO43" s="41">
        <f>IFERROR(ROUND(_xlfn.XLOOKUP(AO$7,'Product Tgt'!$B:$B,'Product Tgt'!$G:$G)*J43/J$121,0),0)</f>
        <v>21054</v>
      </c>
      <c r="AP43" s="41">
        <f>IFERROR(ROUND(_xlfn.XLOOKUP(AP$7,'Product Tgt'!$B:$B,'Product Tgt'!$G:$G)*K43/K$121,0),0)</f>
        <v>21132</v>
      </c>
      <c r="AQ43" s="41">
        <f>IFERROR(ROUND(_xlfn.XLOOKUP(AQ$7,'Product Tgt'!$B:$B,'Product Tgt'!$G:$G)*L43/L$121,0),0)</f>
        <v>16864</v>
      </c>
      <c r="AR43" s="41">
        <f>IFERROR(ROUND(_xlfn.XLOOKUP(AR$7,'Product Tgt'!$B:$B,'Product Tgt'!$G:$G)*M43/M$121,0),0)</f>
        <v>11536</v>
      </c>
      <c r="AS43" s="41">
        <f>IFERROR(ROUND(_xlfn.XLOOKUP(AS$7,'Product Tgt'!$B:$B,'Product Tgt'!$G:$G)*N43/N$121,0),0)</f>
        <v>330</v>
      </c>
      <c r="AT43" s="41">
        <f>IFERROR(ROUND(_xlfn.XLOOKUP(AT$7,'Product Tgt'!$B:$B,'Product Tgt'!$G:$G)*O43/O$121,0),0)</f>
        <v>1649</v>
      </c>
      <c r="AU43" s="41">
        <f>IFERROR(ROUND(_xlfn.XLOOKUP(AU$7,'Product Tgt'!$B:$B,'Product Tgt'!$G:$G)*P43/P$121,0),0)</f>
        <v>377</v>
      </c>
      <c r="AV43" s="41">
        <f>IFERROR(ROUND(_xlfn.XLOOKUP(AV$7,'Product Tgt'!$B:$B,'Product Tgt'!$G:$G)*Q43/Q$121,0),0)</f>
        <v>518</v>
      </c>
      <c r="AW43" s="41">
        <f>IFERROR(ROUND(_xlfn.XLOOKUP(AW$7,'Product Tgt'!$B:$B,'Product Tgt'!$G:$G)*R43/R$121,0),0)</f>
        <v>5143</v>
      </c>
      <c r="AX43" s="41">
        <f>IFERROR(ROUND(_xlfn.XLOOKUP(AX$7,'Product Tgt'!$B:$B,'Product Tgt'!$G:$G)*S43/S$121,0),0)</f>
        <v>9076</v>
      </c>
      <c r="AY43" s="41">
        <f>IFERROR(ROUND(_xlfn.XLOOKUP(AY$7,'Product Tgt'!$B:$B,'Product Tgt'!$G:$G)*T43/T$121,0),0)</f>
        <v>0</v>
      </c>
      <c r="AZ43" s="41">
        <f>IFERROR(ROUND(_xlfn.XLOOKUP(AZ$7,'Product Tgt'!$B:$B,'Product Tgt'!$G:$G)*U43/U$121,0),0)</f>
        <v>1134</v>
      </c>
      <c r="BA43" s="41">
        <f>IFERROR(ROUND(_xlfn.XLOOKUP(BA$7,'Product Tgt'!$B:$B,'Product Tgt'!$G:$G)*V43/V$121,0),0)</f>
        <v>7048</v>
      </c>
      <c r="BB43" s="41">
        <f>IFERROR(ROUND(_xlfn.XLOOKUP(BB$7,'Product Tgt'!$B:$B,'Product Tgt'!$G:$G)*W43/W$121,0),0)</f>
        <v>6482</v>
      </c>
      <c r="BC43" s="41">
        <f>IFERROR(ROUND(_xlfn.XLOOKUP(BC$7,'Product Tgt'!$B:$B,'Product Tgt'!$G:$G)*X43/X$121,0),0)</f>
        <v>1534</v>
      </c>
      <c r="BD43" s="41">
        <f>IFERROR(ROUND(_xlfn.XLOOKUP(BD$7,'Product Tgt'!$B:$B,'Product Tgt'!$G:$G)*Y43/Y$121,0),0)</f>
        <v>1681</v>
      </c>
      <c r="BE43" s="41">
        <f>IFERROR(ROUND(_xlfn.XLOOKUP(BE$7,'Product Tgt'!$B:$B,'Product Tgt'!$G:$G)*Z43/Z$121,0),0)</f>
        <v>265</v>
      </c>
      <c r="BF43" s="41">
        <f>IFERROR(ROUND(_xlfn.XLOOKUP(BF$7,'Product Tgt'!$B:$B,'Product Tgt'!$G:$G)*AA43/AA$121,0),0)</f>
        <v>2396</v>
      </c>
      <c r="BG43" s="41">
        <f>IFERROR(ROUND(_xlfn.XLOOKUP(BG$7,'Product Tgt'!$B:$B,'Product Tgt'!$G:$G)*AB43/AB$121,0),0)</f>
        <v>968</v>
      </c>
      <c r="BH43" s="41">
        <f>IFERROR(ROUND(_xlfn.XLOOKUP(BH$7,'Product Tgt'!$B:$B,'Product Tgt'!$G:$G)*AC43/AC$121,0),0)</f>
        <v>663</v>
      </c>
      <c r="BI43" s="41">
        <f>IFERROR(ROUND(_xlfn.XLOOKUP(BI$7,'Product Tgt'!$B:$B,'Product Tgt'!$G:$G)*AD43/AD$121,0),0)</f>
        <v>3648</v>
      </c>
      <c r="BJ43" s="41">
        <f>IFERROR(ROUND(_xlfn.XLOOKUP(BJ$7,'Product Tgt'!$B:$B,'Product Tgt'!$G:$G)*AE43/AE$121,0),0)</f>
        <v>3438</v>
      </c>
      <c r="BK43" s="41">
        <f>IFERROR(ROUND(_xlfn.XLOOKUP(BK$7,'Product Tgt'!$B:$B,'Product Tgt'!$G:$G)*AF43/AF$121,0),0)</f>
        <v>619</v>
      </c>
      <c r="BL43" s="41">
        <f>IFERROR(ROUND(_xlfn.XLOOKUP(BL$7,'Product Tgt'!$B:$B,'Product Tgt'!$G:$G)*AG43/AG$121,0),0)</f>
        <v>6663</v>
      </c>
      <c r="BM43" s="41">
        <f>IFERROR(ROUND(_xlfn.XLOOKUP(BM$7,'Product Tgt'!$B:$B,'Product Tgt'!$G:$G)*AH43/AH$121,0),0)</f>
        <v>638</v>
      </c>
      <c r="BN43" s="41">
        <f>IFERROR(ROUND(_xlfn.XLOOKUP(BN$7,'Product Tgt'!$B:$B,'Product Tgt'!$G:$G)*AI43/AI$121,0),0)</f>
        <v>3692</v>
      </c>
      <c r="BO43" s="41">
        <f>IFERROR(ROUND(_xlfn.XLOOKUP(BO$7,'Product Tgt'!$B:$B,'Product Tgt'!$G:$G)*AJ43/AJ$121,0),0)</f>
        <v>4181</v>
      </c>
      <c r="BP43" s="41">
        <f>IFERROR(ROUND(_xlfn.XLOOKUP(BP$7,'Product Tgt'!$B:$B,'Product Tgt'!$G:$G)*AK43/AK$121,0),0)</f>
        <v>1068</v>
      </c>
      <c r="BQ43" s="41">
        <f>IFERROR(ROUND(_xlfn.XLOOKUP(BQ$7,'Product Tgt'!$B:$B,'Product Tgt'!$G:$G)*AL43/AL$121,0),0)</f>
        <v>1459</v>
      </c>
      <c r="BR43" s="25">
        <f>ROUND(IFERROR(AM43/_xlfn.XLOOKUP(BR$7,'Product Tgt'!$B:$B,'Product Tgt'!$D:$D),0),0)</f>
        <v>0</v>
      </c>
      <c r="BS43" s="11">
        <f>ROUND(IFERROR(AN43/_xlfn.XLOOKUP(BS$7,'Product Tgt'!$B:$B,'Product Tgt'!$D:$D),0),0)</f>
        <v>0</v>
      </c>
      <c r="BT43" s="11">
        <f>ROUND(IFERROR(AO43/_xlfn.XLOOKUP(BT$7,'Product Tgt'!$B:$B,'Product Tgt'!$D:$D),0),0)</f>
        <v>0</v>
      </c>
      <c r="BU43" s="11">
        <f>ROUND(IFERROR(AP43/_xlfn.XLOOKUP(BU$7,'Product Tgt'!$B:$B,'Product Tgt'!$D:$D),0),0)</f>
        <v>0</v>
      </c>
      <c r="BV43" s="11">
        <f>ROUND(IFERROR(AQ43/_xlfn.XLOOKUP(BV$7,'Product Tgt'!$B:$B,'Product Tgt'!$D:$D),0),0)</f>
        <v>0</v>
      </c>
      <c r="BW43" s="11">
        <f>ROUND(IFERROR(AU43/_xlfn.XLOOKUP(BW$7,'Product Tgt'!$B:$B,'Product Tgt'!$D:$D),0),0)</f>
        <v>0</v>
      </c>
      <c r="BX43" s="11">
        <f>ROUND(IFERROR(#REF!/_xlfn.XLOOKUP(BX$7,'Product Tgt'!$B:$B,'Product Tgt'!$D:$D),0),0)</f>
        <v>0</v>
      </c>
      <c r="BY43" s="11">
        <f>ROUND(IFERROR(#REF!/_xlfn.XLOOKUP(BY$7,'Product Tgt'!$B:$B,'Product Tgt'!$D:$D),0),0)</f>
        <v>0</v>
      </c>
      <c r="BZ43" s="11">
        <f>ROUND(IFERROR(#REF!/_xlfn.XLOOKUP(BZ$7,'Product Tgt'!$B:$B,'Product Tgt'!$D:$D),0),0)</f>
        <v>0</v>
      </c>
      <c r="CA43" s="11">
        <f>ROUND(IFERROR(#REF!/_xlfn.XLOOKUP(CA$7,'Product Tgt'!$B:$B,'Product Tgt'!$D:$D),0),0)</f>
        <v>0</v>
      </c>
      <c r="CB43" s="11">
        <f>ROUND(IFERROR(AV43/_xlfn.XLOOKUP(CB$7,'Product Tgt'!$B:$B,'Product Tgt'!$D:$D),0),0)</f>
        <v>0</v>
      </c>
      <c r="CC43" s="11">
        <f>ROUND(IFERROR(AW43/_xlfn.XLOOKUP(CC$7,'Product Tgt'!$B:$B,'Product Tgt'!$D:$D),0),0)</f>
        <v>0</v>
      </c>
      <c r="CD43" s="11">
        <f>ROUND(IFERROR(AX43/_xlfn.XLOOKUP(CD$7,'Product Tgt'!$B:$B,'Product Tgt'!$D:$D),0),0)</f>
        <v>0</v>
      </c>
      <c r="CE43" s="11">
        <f>ROUND(IFERROR(AY43/_xlfn.XLOOKUP(CE$7,'Product Tgt'!$B:$B,'Product Tgt'!$D:$D),0),0)</f>
        <v>0</v>
      </c>
      <c r="CF43" s="11">
        <f>ROUND(IFERROR(AZ43/_xlfn.XLOOKUP(CF$7,'Product Tgt'!$B:$B,'Product Tgt'!$D:$D),0),0)</f>
        <v>0</v>
      </c>
      <c r="CG43" s="11">
        <f>ROUND(IFERROR(BA43/_xlfn.XLOOKUP(CG$7,'Product Tgt'!$B:$B,'Product Tgt'!$D:$D),0),0)</f>
        <v>0</v>
      </c>
      <c r="CH43" s="11">
        <f>ROUND(IFERROR(BB43/_xlfn.XLOOKUP(CH$7,'Product Tgt'!$B:$B,'Product Tgt'!$D:$D),0),0)</f>
        <v>0</v>
      </c>
      <c r="CI43" s="11">
        <f>ROUND(IFERROR(BC43/_xlfn.XLOOKUP(CI$7,'Product Tgt'!$B:$B,'Product Tgt'!$D:$D),0),0)</f>
        <v>0</v>
      </c>
      <c r="CJ43" s="11">
        <f>ROUND(IFERROR(BD43/_xlfn.XLOOKUP(CJ$7,'Product Tgt'!$B:$B,'Product Tgt'!$D:$D),0),0)</f>
        <v>0</v>
      </c>
      <c r="CK43" s="11">
        <f>ROUND(IFERROR(BE43/_xlfn.XLOOKUP(CK$7,'Product Tgt'!$B:$B,'Product Tgt'!$D:$D),0),0)</f>
        <v>0</v>
      </c>
      <c r="CL43" s="11">
        <f>ROUND(IFERROR(BF43/_xlfn.XLOOKUP(CL$7,'Product Tgt'!$B:$B,'Product Tgt'!$D:$D),0),0)</f>
        <v>0</v>
      </c>
      <c r="CM43" s="11">
        <f>ROUND(IFERROR(BG43/_xlfn.XLOOKUP(CM$7,'Product Tgt'!$B:$B,'Product Tgt'!$D:$D),0),0)</f>
        <v>0</v>
      </c>
      <c r="CN43" s="11">
        <f>ROUND(IFERROR(BH43/_xlfn.XLOOKUP(CN$7,'Product Tgt'!$B:$B,'Product Tgt'!$D:$D),0),0)</f>
        <v>0</v>
      </c>
      <c r="CO43" s="11">
        <f>ROUND(IFERROR(BI43/_xlfn.XLOOKUP(CO$7,'Product Tgt'!$B:$B,'Product Tgt'!$D:$D),0),0)</f>
        <v>0</v>
      </c>
      <c r="CP43" s="11">
        <f>ROUND(IFERROR(BJ43/_xlfn.XLOOKUP(CP$7,'Product Tgt'!$B:$B,'Product Tgt'!$D:$D),0),0)</f>
        <v>0</v>
      </c>
      <c r="CQ43" s="11">
        <f>ROUND(IFERROR(BK43/_xlfn.XLOOKUP(CQ$7,'Product Tgt'!$B:$B,'Product Tgt'!$D:$D),0),0)</f>
        <v>0</v>
      </c>
      <c r="CR43" s="11">
        <f>ROUND(IFERROR(BL43/_xlfn.XLOOKUP(CR$7,'Product Tgt'!$B:$B,'Product Tgt'!$D:$D),0),0)</f>
        <v>0</v>
      </c>
      <c r="CS43" s="11">
        <f>ROUND(IFERROR(BM43/_xlfn.XLOOKUP(CS$7,'Product Tgt'!$B:$B,'Product Tgt'!$D:$D),0),0)</f>
        <v>0</v>
      </c>
      <c r="CT43" s="11">
        <f>ROUND(IFERROR(BN43/_xlfn.XLOOKUP(CT$7,'Product Tgt'!$B:$B,'Product Tgt'!$D:$D),0),0)</f>
        <v>0</v>
      </c>
      <c r="CU43" s="11">
        <f>ROUND(IFERROR(BO43/_xlfn.XLOOKUP(CU$7,'Product Tgt'!$B:$B,'Product Tgt'!$D:$D),0),0)</f>
        <v>0</v>
      </c>
      <c r="CV43" s="11">
        <f>ROUND(IFERROR(BP43/_xlfn.XLOOKUP(CV$7,'Product Tgt'!$B:$B,'Product Tgt'!$D:$D),0),0)</f>
        <v>0</v>
      </c>
      <c r="CW43" s="11">
        <f>ROUND(IFERROR(BQ43/_xlfn.XLOOKUP(CW$7,'Product Tgt'!$B:$B,'Product Tgt'!$D:$D),0),0)</f>
        <v>0</v>
      </c>
      <c r="CX43" s="11">
        <f>ROUND(IFERROR(#REF!/_xlfn.XLOOKUP(CX$7,'Product Tgt'!$B:$B,'Product Tgt'!$D:$D),0),0)</f>
        <v>0</v>
      </c>
      <c r="CY43" s="11">
        <f>ROUND(IFERROR(#REF!/_xlfn.XLOOKUP(CY$7,'Product Tgt'!$B:$B,'Product Tgt'!$D:$D),0),0)</f>
        <v>0</v>
      </c>
      <c r="CZ43" s="11">
        <f>ROUND(IFERROR(#REF!/_xlfn.XLOOKUP(CZ$7,'Product Tgt'!$B:$B,'Product Tgt'!$D:$D),0),0)</f>
        <v>0</v>
      </c>
      <c r="DA43" s="10">
        <f>IFERROR(BR43*_xlfn.XLOOKUP(DA$7,'Product Tgt'!$B:$B,'Product Tgt'!$D:$D),0)</f>
        <v>0</v>
      </c>
      <c r="DB43">
        <f>IFERROR(BS43*_xlfn.XLOOKUP(DB$7,'Product Tgt'!$B:$B,'Product Tgt'!$D:$D),0)</f>
        <v>0</v>
      </c>
      <c r="DC43">
        <f>IFERROR(BT43*_xlfn.XLOOKUP(DC$7,'Product Tgt'!$B:$B,'Product Tgt'!$D:$D),0)</f>
        <v>0</v>
      </c>
      <c r="DD43">
        <f>IFERROR(BU43*_xlfn.XLOOKUP(DD$7,'Product Tgt'!$B:$B,'Product Tgt'!$D:$D),0)</f>
        <v>0</v>
      </c>
      <c r="DE43">
        <f>IFERROR(BV43*_xlfn.XLOOKUP(DE$7,'Product Tgt'!$B:$B,'Product Tgt'!$D:$D),0)</f>
        <v>0</v>
      </c>
      <c r="DF43">
        <f>IFERROR(BW43*_xlfn.XLOOKUP(DF$7,'Product Tgt'!$B:$B,'Product Tgt'!$D:$D),0)</f>
        <v>0</v>
      </c>
      <c r="DG43">
        <f>IFERROR(BX43*_xlfn.XLOOKUP(DG$7,'Product Tgt'!$B:$B,'Product Tgt'!$D:$D),0)</f>
        <v>0</v>
      </c>
      <c r="DH43">
        <f>IFERROR(BY43*_xlfn.XLOOKUP(DH$7,'Product Tgt'!$B:$B,'Product Tgt'!$D:$D),0)</f>
        <v>0</v>
      </c>
      <c r="DI43">
        <f>IFERROR(BZ43*_xlfn.XLOOKUP(DI$7,'Product Tgt'!$B:$B,'Product Tgt'!$D:$D),0)</f>
        <v>0</v>
      </c>
      <c r="DJ43">
        <f>IFERROR(CA43*_xlfn.XLOOKUP(DJ$7,'Product Tgt'!$B:$B,'Product Tgt'!$D:$D),0)</f>
        <v>0</v>
      </c>
      <c r="DK43">
        <f>IFERROR(CB43*_xlfn.XLOOKUP(DK$7,'Product Tgt'!$B:$B,'Product Tgt'!$D:$D),0)</f>
        <v>0</v>
      </c>
      <c r="DL43">
        <f>IFERROR(CC43*_xlfn.XLOOKUP(DL$7,'Product Tgt'!$B:$B,'Product Tgt'!$D:$D),0)</f>
        <v>0</v>
      </c>
      <c r="DM43">
        <f>IFERROR(CD43*_xlfn.XLOOKUP(DM$7,'Product Tgt'!$B:$B,'Product Tgt'!$D:$D),0)</f>
        <v>0</v>
      </c>
      <c r="DN43">
        <f>IFERROR(CE43*_xlfn.XLOOKUP(DN$7,'Product Tgt'!$B:$B,'Product Tgt'!$D:$D),0)</f>
        <v>0</v>
      </c>
      <c r="DO43">
        <f>IFERROR(CF43*_xlfn.XLOOKUP(DO$7,'Product Tgt'!$B:$B,'Product Tgt'!$D:$D),0)</f>
        <v>0</v>
      </c>
      <c r="DP43">
        <f>IFERROR(CG43*_xlfn.XLOOKUP(DP$7,'Product Tgt'!$B:$B,'Product Tgt'!$D:$D),0)</f>
        <v>0</v>
      </c>
      <c r="DQ43">
        <f>IFERROR(CH43*_xlfn.XLOOKUP(DQ$7,'Product Tgt'!$B:$B,'Product Tgt'!$D:$D),0)</f>
        <v>0</v>
      </c>
      <c r="DR43">
        <f>IFERROR(CI43*_xlfn.XLOOKUP(DR$7,'Product Tgt'!$B:$B,'Product Tgt'!$D:$D),0)</f>
        <v>0</v>
      </c>
      <c r="DS43">
        <f>IFERROR(CJ43*_xlfn.XLOOKUP(DS$7,'Product Tgt'!$B:$B,'Product Tgt'!$D:$D),0)</f>
        <v>0</v>
      </c>
      <c r="DT43">
        <f>IFERROR(CK43*_xlfn.XLOOKUP(DT$7,'Product Tgt'!$B:$B,'Product Tgt'!$D:$D),0)</f>
        <v>0</v>
      </c>
      <c r="DU43">
        <f>IFERROR(CL43*_xlfn.XLOOKUP(DU$7,'Product Tgt'!$B:$B,'Product Tgt'!$D:$D),0)</f>
        <v>0</v>
      </c>
      <c r="DV43">
        <f>IFERROR(CM43*_xlfn.XLOOKUP(DV$7,'Product Tgt'!$B:$B,'Product Tgt'!$D:$D),0)</f>
        <v>0</v>
      </c>
      <c r="DW43">
        <f>IFERROR(CN43*_xlfn.XLOOKUP(DW$7,'Product Tgt'!$B:$B,'Product Tgt'!$D:$D),0)</f>
        <v>0</v>
      </c>
      <c r="DX43">
        <f>IFERROR(CO43*_xlfn.XLOOKUP(DX$7,'Product Tgt'!$B:$B,'Product Tgt'!$D:$D),0)</f>
        <v>0</v>
      </c>
      <c r="DY43">
        <f>IFERROR(CP43*_xlfn.XLOOKUP(DY$7,'Product Tgt'!$B:$B,'Product Tgt'!$D:$D),0)</f>
        <v>0</v>
      </c>
      <c r="DZ43">
        <f>IFERROR(CQ43*_xlfn.XLOOKUP(DZ$7,'Product Tgt'!$B:$B,'Product Tgt'!$D:$D),0)</f>
        <v>0</v>
      </c>
      <c r="EA43">
        <f>IFERROR(CR43*_xlfn.XLOOKUP(EA$7,'Product Tgt'!$B:$B,'Product Tgt'!$D:$D),0)</f>
        <v>0</v>
      </c>
      <c r="EB43">
        <f>IFERROR(CS43*_xlfn.XLOOKUP(EB$7,'Product Tgt'!$B:$B,'Product Tgt'!$D:$D),0)</f>
        <v>0</v>
      </c>
      <c r="EC43">
        <f>IFERROR(CT43*_xlfn.XLOOKUP(EC$7,'Product Tgt'!$B:$B,'Product Tgt'!$D:$D),0)</f>
        <v>0</v>
      </c>
      <c r="ED43">
        <f>IFERROR(CU43*_xlfn.XLOOKUP(ED$7,'Product Tgt'!$B:$B,'Product Tgt'!$D:$D),0)</f>
        <v>0</v>
      </c>
      <c r="EE43">
        <f>IFERROR(CV43*_xlfn.XLOOKUP(EE$7,'Product Tgt'!$B:$B,'Product Tgt'!$D:$D),0)</f>
        <v>0</v>
      </c>
      <c r="EF43">
        <f>IFERROR(CW43*_xlfn.XLOOKUP(EF$7,'Product Tgt'!$B:$B,'Product Tgt'!$D:$D),0)</f>
        <v>0</v>
      </c>
      <c r="EG43">
        <f>IFERROR(CX43*_xlfn.XLOOKUP(EG$7,'Product Tgt'!$B:$B,'Product Tgt'!$D:$D),0)</f>
        <v>0</v>
      </c>
      <c r="EH43">
        <f>IFERROR(CY43*_xlfn.XLOOKUP(EH$7,'Product Tgt'!$B:$B,'Product Tgt'!$D:$D),0)</f>
        <v>0</v>
      </c>
      <c r="EI43">
        <f>IFERROR(CZ43*_xlfn.XLOOKUP(EI$7,'Product Tgt'!$B:$B,'Product Tgt'!$D:$D),0)</f>
        <v>0</v>
      </c>
    </row>
    <row r="44" spans="2:139" x14ac:dyDescent="0.35">
      <c r="B44" s="7" t="s">
        <v>147</v>
      </c>
      <c r="C44" s="3">
        <f>_xlfn.XLOOKUP($B44,'Terr Target'!$A:$A,'Terr Target'!$E:$E)</f>
        <v>174557.38363719452</v>
      </c>
      <c r="D44" s="3">
        <f t="shared" si="8"/>
        <v>174556</v>
      </c>
      <c r="E44" s="4">
        <f t="shared" si="9"/>
        <v>-1.3836371945217252</v>
      </c>
      <c r="F44" s="9">
        <f t="shared" si="7"/>
        <v>7.9266091943085611E-6</v>
      </c>
      <c r="G44" s="5">
        <f t="shared" si="6"/>
        <v>1.0000079266091944</v>
      </c>
      <c r="H44" s="38">
        <v>19625.51392745689</v>
      </c>
      <c r="I44" s="11">
        <v>37438.55863725501</v>
      </c>
      <c r="J44" s="11">
        <v>17358.5379962525</v>
      </c>
      <c r="K44" s="11">
        <v>16803.074216359615</v>
      </c>
      <c r="L44" s="11">
        <v>17178.884396900066</v>
      </c>
      <c r="M44" s="11">
        <v>11681.762138541695</v>
      </c>
      <c r="N44" s="11">
        <v>187.92008389394113</v>
      </c>
      <c r="O44" s="11">
        <v>1017.5572670382614</v>
      </c>
      <c r="P44" s="11">
        <v>1076.5621742311303</v>
      </c>
      <c r="Q44" s="11">
        <v>960.61148416891126</v>
      </c>
      <c r="R44" s="11">
        <v>3672.2183287653356</v>
      </c>
      <c r="S44" s="11">
        <v>4731.8477039477248</v>
      </c>
      <c r="T44" s="11">
        <v>0</v>
      </c>
      <c r="U44" s="11">
        <v>1073.5534537389985</v>
      </c>
      <c r="V44" s="11">
        <v>7826.691570698069</v>
      </c>
      <c r="W44" s="11">
        <v>5879.4996460859675</v>
      </c>
      <c r="X44" s="11">
        <v>1777.2441976778052</v>
      </c>
      <c r="Y44" s="11">
        <v>2062.1130525125614</v>
      </c>
      <c r="Z44" s="11">
        <v>335.8771627129899</v>
      </c>
      <c r="AA44" s="11">
        <v>2125.0962678644619</v>
      </c>
      <c r="AB44" s="11">
        <v>771.69182536064056</v>
      </c>
      <c r="AC44" s="11">
        <v>955.60361384812052</v>
      </c>
      <c r="AD44" s="11">
        <v>3222.6295237982249</v>
      </c>
      <c r="AE44" s="11">
        <v>3711.4216569053374</v>
      </c>
      <c r="AF44" s="11">
        <v>558.74238561188952</v>
      </c>
      <c r="AG44" s="11">
        <v>8293.4730641916467</v>
      </c>
      <c r="AH44" s="11">
        <v>915.58063427836851</v>
      </c>
      <c r="AI44" s="11">
        <v>4576.0839450477624</v>
      </c>
      <c r="AJ44" s="11">
        <v>5665.5806186703157</v>
      </c>
      <c r="AK44" s="11">
        <v>634.79004509407582</v>
      </c>
      <c r="AL44" s="49">
        <v>804.56784429293691</v>
      </c>
      <c r="AM44" s="41">
        <f>IFERROR(ROUND(_xlfn.XLOOKUP(AM$7,'Product Tgt'!$B:$B,'Product Tgt'!$G:$G)*H44/H$121,0),0)</f>
        <v>19079</v>
      </c>
      <c r="AN44" s="41">
        <f>IFERROR(ROUND(_xlfn.XLOOKUP(AN$7,'Product Tgt'!$B:$B,'Product Tgt'!$G:$G)*I44/I$121,0),0)</f>
        <v>36855</v>
      </c>
      <c r="AO44" s="41">
        <f>IFERROR(ROUND(_xlfn.XLOOKUP(AO$7,'Product Tgt'!$B:$B,'Product Tgt'!$G:$G)*J44/J$121,0),0)</f>
        <v>16819</v>
      </c>
      <c r="AP44" s="41">
        <f>IFERROR(ROUND(_xlfn.XLOOKUP(AP$7,'Product Tgt'!$B:$B,'Product Tgt'!$G:$G)*K44/K$121,0),0)</f>
        <v>16392</v>
      </c>
      <c r="AQ44" s="41">
        <f>IFERROR(ROUND(_xlfn.XLOOKUP(AQ$7,'Product Tgt'!$B:$B,'Product Tgt'!$G:$G)*L44/L$121,0),0)</f>
        <v>16611</v>
      </c>
      <c r="AR44" s="41">
        <f>IFERROR(ROUND(_xlfn.XLOOKUP(AR$7,'Product Tgt'!$B:$B,'Product Tgt'!$G:$G)*M44/M$121,0),0)</f>
        <v>11317</v>
      </c>
      <c r="AS44" s="41">
        <f>IFERROR(ROUND(_xlfn.XLOOKUP(AS$7,'Product Tgt'!$B:$B,'Product Tgt'!$G:$G)*N44/N$121,0),0)</f>
        <v>174</v>
      </c>
      <c r="AT44" s="41">
        <f>IFERROR(ROUND(_xlfn.XLOOKUP(AT$7,'Product Tgt'!$B:$B,'Product Tgt'!$G:$G)*O44/O$121,0),0)</f>
        <v>916</v>
      </c>
      <c r="AU44" s="41">
        <f>IFERROR(ROUND(_xlfn.XLOOKUP(AU$7,'Product Tgt'!$B:$B,'Product Tgt'!$G:$G)*P44/P$121,0),0)</f>
        <v>459</v>
      </c>
      <c r="AV44" s="41">
        <f>IFERROR(ROUND(_xlfn.XLOOKUP(AV$7,'Product Tgt'!$B:$B,'Product Tgt'!$G:$G)*Q44/Q$121,0),0)</f>
        <v>721</v>
      </c>
      <c r="AW44" s="41">
        <f>IFERROR(ROUND(_xlfn.XLOOKUP(AW$7,'Product Tgt'!$B:$B,'Product Tgt'!$G:$G)*R44/R$121,0),0)</f>
        <v>3537</v>
      </c>
      <c r="AX44" s="41">
        <f>IFERROR(ROUND(_xlfn.XLOOKUP(AX$7,'Product Tgt'!$B:$B,'Product Tgt'!$G:$G)*S44/S$121,0),0)</f>
        <v>4557</v>
      </c>
      <c r="AY44" s="41">
        <f>IFERROR(ROUND(_xlfn.XLOOKUP(AY$7,'Product Tgt'!$B:$B,'Product Tgt'!$G:$G)*T44/T$121,0),0)</f>
        <v>0</v>
      </c>
      <c r="AZ44" s="41">
        <f>IFERROR(ROUND(_xlfn.XLOOKUP(AZ$7,'Product Tgt'!$B:$B,'Product Tgt'!$G:$G)*U44/U$121,0),0)</f>
        <v>1027</v>
      </c>
      <c r="BA44" s="41">
        <f>IFERROR(ROUND(_xlfn.XLOOKUP(BA$7,'Product Tgt'!$B:$B,'Product Tgt'!$G:$G)*V44/V$121,0),0)</f>
        <v>7536</v>
      </c>
      <c r="BB44" s="41">
        <f>IFERROR(ROUND(_xlfn.XLOOKUP(BB$7,'Product Tgt'!$B:$B,'Product Tgt'!$G:$G)*W44/W$121,0),0)</f>
        <v>5628</v>
      </c>
      <c r="BC44" s="41">
        <f>IFERROR(ROUND(_xlfn.XLOOKUP(BC$7,'Product Tgt'!$B:$B,'Product Tgt'!$G:$G)*X44/X$121,0),0)</f>
        <v>1720</v>
      </c>
      <c r="BD44" s="41">
        <f>IFERROR(ROUND(_xlfn.XLOOKUP(BD$7,'Product Tgt'!$B:$B,'Product Tgt'!$G:$G)*Y44/Y$121,0),0)</f>
        <v>1994</v>
      </c>
      <c r="BE44" s="41">
        <f>IFERROR(ROUND(_xlfn.XLOOKUP(BE$7,'Product Tgt'!$B:$B,'Product Tgt'!$G:$G)*Z44/Z$121,0),0)</f>
        <v>319</v>
      </c>
      <c r="BF44" s="41">
        <f>IFERROR(ROUND(_xlfn.XLOOKUP(BF$7,'Product Tgt'!$B:$B,'Product Tgt'!$G:$G)*AA44/AA$121,0),0)</f>
        <v>1722</v>
      </c>
      <c r="BG44" s="41">
        <f>IFERROR(ROUND(_xlfn.XLOOKUP(BG$7,'Product Tgt'!$B:$B,'Product Tgt'!$G:$G)*AB44/AB$121,0),0)</f>
        <v>618</v>
      </c>
      <c r="BH44" s="41">
        <f>IFERROR(ROUND(_xlfn.XLOOKUP(BH$7,'Product Tgt'!$B:$B,'Product Tgt'!$G:$G)*AC44/AC$121,0),0)</f>
        <v>818</v>
      </c>
      <c r="BI44" s="41">
        <f>IFERROR(ROUND(_xlfn.XLOOKUP(BI$7,'Product Tgt'!$B:$B,'Product Tgt'!$G:$G)*AD44/AD$121,0),0)</f>
        <v>2805</v>
      </c>
      <c r="BJ44" s="41">
        <f>IFERROR(ROUND(_xlfn.XLOOKUP(BJ$7,'Product Tgt'!$B:$B,'Product Tgt'!$G:$G)*AE44/AE$121,0),0)</f>
        <v>3454</v>
      </c>
      <c r="BK44" s="41">
        <f>IFERROR(ROUND(_xlfn.XLOOKUP(BK$7,'Product Tgt'!$B:$B,'Product Tgt'!$G:$G)*AF44/AF$121,0),0)</f>
        <v>624</v>
      </c>
      <c r="BL44" s="41">
        <f>IFERROR(ROUND(_xlfn.XLOOKUP(BL$7,'Product Tgt'!$B:$B,'Product Tgt'!$G:$G)*AG44/AG$121,0),0)</f>
        <v>7922</v>
      </c>
      <c r="BM44" s="41">
        <f>IFERROR(ROUND(_xlfn.XLOOKUP(BM$7,'Product Tgt'!$B:$B,'Product Tgt'!$G:$G)*AH44/AH$121,0),0)</f>
        <v>718</v>
      </c>
      <c r="BN44" s="41">
        <f>IFERROR(ROUND(_xlfn.XLOOKUP(BN$7,'Product Tgt'!$B:$B,'Product Tgt'!$G:$G)*AI44/AI$121,0),0)</f>
        <v>4202</v>
      </c>
      <c r="BO44" s="41">
        <f>IFERROR(ROUND(_xlfn.XLOOKUP(BO$7,'Product Tgt'!$B:$B,'Product Tgt'!$G:$G)*AJ44/AJ$121,0),0)</f>
        <v>4900</v>
      </c>
      <c r="BP44" s="41">
        <f>IFERROR(ROUND(_xlfn.XLOOKUP(BP$7,'Product Tgt'!$B:$B,'Product Tgt'!$G:$G)*AK44/AK$121,0),0)</f>
        <v>483</v>
      </c>
      <c r="BQ44" s="41">
        <f>IFERROR(ROUND(_xlfn.XLOOKUP(BQ$7,'Product Tgt'!$B:$B,'Product Tgt'!$G:$G)*AL44/AL$121,0),0)</f>
        <v>629</v>
      </c>
      <c r="BR44" s="25">
        <f>ROUND(IFERROR(AM44/_xlfn.XLOOKUP(BR$7,'Product Tgt'!$B:$B,'Product Tgt'!$D:$D),0),0)</f>
        <v>0</v>
      </c>
      <c r="BS44" s="11">
        <f>ROUND(IFERROR(AN44/_xlfn.XLOOKUP(BS$7,'Product Tgt'!$B:$B,'Product Tgt'!$D:$D),0),0)</f>
        <v>0</v>
      </c>
      <c r="BT44" s="11">
        <f>ROUND(IFERROR(AO44/_xlfn.XLOOKUP(BT$7,'Product Tgt'!$B:$B,'Product Tgt'!$D:$D),0),0)</f>
        <v>0</v>
      </c>
      <c r="BU44" s="11">
        <f>ROUND(IFERROR(AP44/_xlfn.XLOOKUP(BU$7,'Product Tgt'!$B:$B,'Product Tgt'!$D:$D),0),0)</f>
        <v>0</v>
      </c>
      <c r="BV44" s="11">
        <f>ROUND(IFERROR(AQ44/_xlfn.XLOOKUP(BV$7,'Product Tgt'!$B:$B,'Product Tgt'!$D:$D),0),0)</f>
        <v>0</v>
      </c>
      <c r="BW44" s="11">
        <f>ROUND(IFERROR(AU44/_xlfn.XLOOKUP(BW$7,'Product Tgt'!$B:$B,'Product Tgt'!$D:$D),0),0)</f>
        <v>0</v>
      </c>
      <c r="BX44" s="11">
        <f>ROUND(IFERROR(#REF!/_xlfn.XLOOKUP(BX$7,'Product Tgt'!$B:$B,'Product Tgt'!$D:$D),0),0)</f>
        <v>0</v>
      </c>
      <c r="BY44" s="11">
        <f>ROUND(IFERROR(#REF!/_xlfn.XLOOKUP(BY$7,'Product Tgt'!$B:$B,'Product Tgt'!$D:$D),0),0)</f>
        <v>0</v>
      </c>
      <c r="BZ44" s="11">
        <f>ROUND(IFERROR(#REF!/_xlfn.XLOOKUP(BZ$7,'Product Tgt'!$B:$B,'Product Tgt'!$D:$D),0),0)</f>
        <v>0</v>
      </c>
      <c r="CA44" s="11">
        <f>ROUND(IFERROR(#REF!/_xlfn.XLOOKUP(CA$7,'Product Tgt'!$B:$B,'Product Tgt'!$D:$D),0),0)</f>
        <v>0</v>
      </c>
      <c r="CB44" s="11">
        <f>ROUND(IFERROR(AV44/_xlfn.XLOOKUP(CB$7,'Product Tgt'!$B:$B,'Product Tgt'!$D:$D),0),0)</f>
        <v>0</v>
      </c>
      <c r="CC44" s="11">
        <f>ROUND(IFERROR(AW44/_xlfn.XLOOKUP(CC$7,'Product Tgt'!$B:$B,'Product Tgt'!$D:$D),0),0)</f>
        <v>0</v>
      </c>
      <c r="CD44" s="11">
        <f>ROUND(IFERROR(AX44/_xlfn.XLOOKUP(CD$7,'Product Tgt'!$B:$B,'Product Tgt'!$D:$D),0),0)</f>
        <v>0</v>
      </c>
      <c r="CE44" s="11">
        <f>ROUND(IFERROR(AY44/_xlfn.XLOOKUP(CE$7,'Product Tgt'!$B:$B,'Product Tgt'!$D:$D),0),0)</f>
        <v>0</v>
      </c>
      <c r="CF44" s="11">
        <f>ROUND(IFERROR(AZ44/_xlfn.XLOOKUP(CF$7,'Product Tgt'!$B:$B,'Product Tgt'!$D:$D),0),0)</f>
        <v>0</v>
      </c>
      <c r="CG44" s="11">
        <f>ROUND(IFERROR(BA44/_xlfn.XLOOKUP(CG$7,'Product Tgt'!$B:$B,'Product Tgt'!$D:$D),0),0)</f>
        <v>0</v>
      </c>
      <c r="CH44" s="11">
        <f>ROUND(IFERROR(BB44/_xlfn.XLOOKUP(CH$7,'Product Tgt'!$B:$B,'Product Tgt'!$D:$D),0),0)</f>
        <v>0</v>
      </c>
      <c r="CI44" s="11">
        <f>ROUND(IFERROR(BC44/_xlfn.XLOOKUP(CI$7,'Product Tgt'!$B:$B,'Product Tgt'!$D:$D),0),0)</f>
        <v>0</v>
      </c>
      <c r="CJ44" s="11">
        <f>ROUND(IFERROR(BD44/_xlfn.XLOOKUP(CJ$7,'Product Tgt'!$B:$B,'Product Tgt'!$D:$D),0),0)</f>
        <v>0</v>
      </c>
      <c r="CK44" s="11">
        <f>ROUND(IFERROR(BE44/_xlfn.XLOOKUP(CK$7,'Product Tgt'!$B:$B,'Product Tgt'!$D:$D),0),0)</f>
        <v>0</v>
      </c>
      <c r="CL44" s="11">
        <f>ROUND(IFERROR(BF44/_xlfn.XLOOKUP(CL$7,'Product Tgt'!$B:$B,'Product Tgt'!$D:$D),0),0)</f>
        <v>0</v>
      </c>
      <c r="CM44" s="11">
        <f>ROUND(IFERROR(BG44/_xlfn.XLOOKUP(CM$7,'Product Tgt'!$B:$B,'Product Tgt'!$D:$D),0),0)</f>
        <v>0</v>
      </c>
      <c r="CN44" s="11">
        <f>ROUND(IFERROR(BH44/_xlfn.XLOOKUP(CN$7,'Product Tgt'!$B:$B,'Product Tgt'!$D:$D),0),0)</f>
        <v>0</v>
      </c>
      <c r="CO44" s="11">
        <f>ROUND(IFERROR(BI44/_xlfn.XLOOKUP(CO$7,'Product Tgt'!$B:$B,'Product Tgt'!$D:$D),0),0)</f>
        <v>0</v>
      </c>
      <c r="CP44" s="11">
        <f>ROUND(IFERROR(BJ44/_xlfn.XLOOKUP(CP$7,'Product Tgt'!$B:$B,'Product Tgt'!$D:$D),0),0)</f>
        <v>0</v>
      </c>
      <c r="CQ44" s="11">
        <f>ROUND(IFERROR(BK44/_xlfn.XLOOKUP(CQ$7,'Product Tgt'!$B:$B,'Product Tgt'!$D:$D),0),0)</f>
        <v>0</v>
      </c>
      <c r="CR44" s="11">
        <f>ROUND(IFERROR(BL44/_xlfn.XLOOKUP(CR$7,'Product Tgt'!$B:$B,'Product Tgt'!$D:$D),0),0)</f>
        <v>0</v>
      </c>
      <c r="CS44" s="11">
        <f>ROUND(IFERROR(BM44/_xlfn.XLOOKUP(CS$7,'Product Tgt'!$B:$B,'Product Tgt'!$D:$D),0),0)</f>
        <v>0</v>
      </c>
      <c r="CT44" s="11">
        <f>ROUND(IFERROR(BN44/_xlfn.XLOOKUP(CT$7,'Product Tgt'!$B:$B,'Product Tgt'!$D:$D),0),0)</f>
        <v>0</v>
      </c>
      <c r="CU44" s="11">
        <f>ROUND(IFERROR(BO44/_xlfn.XLOOKUP(CU$7,'Product Tgt'!$B:$B,'Product Tgt'!$D:$D),0),0)</f>
        <v>0</v>
      </c>
      <c r="CV44" s="11">
        <f>ROUND(IFERROR(BP44/_xlfn.XLOOKUP(CV$7,'Product Tgt'!$B:$B,'Product Tgt'!$D:$D),0),0)</f>
        <v>0</v>
      </c>
      <c r="CW44" s="11">
        <f>ROUND(IFERROR(BQ44/_xlfn.XLOOKUP(CW$7,'Product Tgt'!$B:$B,'Product Tgt'!$D:$D),0),0)</f>
        <v>0</v>
      </c>
      <c r="CX44" s="11">
        <f>ROUND(IFERROR(#REF!/_xlfn.XLOOKUP(CX$7,'Product Tgt'!$B:$B,'Product Tgt'!$D:$D),0),0)</f>
        <v>0</v>
      </c>
      <c r="CY44" s="11">
        <f>ROUND(IFERROR(#REF!/_xlfn.XLOOKUP(CY$7,'Product Tgt'!$B:$B,'Product Tgt'!$D:$D),0),0)</f>
        <v>0</v>
      </c>
      <c r="CZ44" s="11">
        <f>ROUND(IFERROR(#REF!/_xlfn.XLOOKUP(CZ$7,'Product Tgt'!$B:$B,'Product Tgt'!$D:$D),0),0)</f>
        <v>0</v>
      </c>
      <c r="DA44" s="10">
        <f>IFERROR(BR44*_xlfn.XLOOKUP(DA$7,'Product Tgt'!$B:$B,'Product Tgt'!$D:$D),0)</f>
        <v>0</v>
      </c>
      <c r="DB44">
        <f>IFERROR(BS44*_xlfn.XLOOKUP(DB$7,'Product Tgt'!$B:$B,'Product Tgt'!$D:$D),0)</f>
        <v>0</v>
      </c>
      <c r="DC44">
        <f>IFERROR(BT44*_xlfn.XLOOKUP(DC$7,'Product Tgt'!$B:$B,'Product Tgt'!$D:$D),0)</f>
        <v>0</v>
      </c>
      <c r="DD44">
        <f>IFERROR(BU44*_xlfn.XLOOKUP(DD$7,'Product Tgt'!$B:$B,'Product Tgt'!$D:$D),0)</f>
        <v>0</v>
      </c>
      <c r="DE44">
        <f>IFERROR(BV44*_xlfn.XLOOKUP(DE$7,'Product Tgt'!$B:$B,'Product Tgt'!$D:$D),0)</f>
        <v>0</v>
      </c>
      <c r="DF44">
        <f>IFERROR(BW44*_xlfn.XLOOKUP(DF$7,'Product Tgt'!$B:$B,'Product Tgt'!$D:$D),0)</f>
        <v>0</v>
      </c>
      <c r="DG44">
        <f>IFERROR(BX44*_xlfn.XLOOKUP(DG$7,'Product Tgt'!$B:$B,'Product Tgt'!$D:$D),0)</f>
        <v>0</v>
      </c>
      <c r="DH44">
        <f>IFERROR(BY44*_xlfn.XLOOKUP(DH$7,'Product Tgt'!$B:$B,'Product Tgt'!$D:$D),0)</f>
        <v>0</v>
      </c>
      <c r="DI44">
        <f>IFERROR(BZ44*_xlfn.XLOOKUP(DI$7,'Product Tgt'!$B:$B,'Product Tgt'!$D:$D),0)</f>
        <v>0</v>
      </c>
      <c r="DJ44">
        <f>IFERROR(CA44*_xlfn.XLOOKUP(DJ$7,'Product Tgt'!$B:$B,'Product Tgt'!$D:$D),0)</f>
        <v>0</v>
      </c>
      <c r="DK44">
        <f>IFERROR(CB44*_xlfn.XLOOKUP(DK$7,'Product Tgt'!$B:$B,'Product Tgt'!$D:$D),0)</f>
        <v>0</v>
      </c>
      <c r="DL44">
        <f>IFERROR(CC44*_xlfn.XLOOKUP(DL$7,'Product Tgt'!$B:$B,'Product Tgt'!$D:$D),0)</f>
        <v>0</v>
      </c>
      <c r="DM44">
        <f>IFERROR(CD44*_xlfn.XLOOKUP(DM$7,'Product Tgt'!$B:$B,'Product Tgt'!$D:$D),0)</f>
        <v>0</v>
      </c>
      <c r="DN44">
        <f>IFERROR(CE44*_xlfn.XLOOKUP(DN$7,'Product Tgt'!$B:$B,'Product Tgt'!$D:$D),0)</f>
        <v>0</v>
      </c>
      <c r="DO44">
        <f>IFERROR(CF44*_xlfn.XLOOKUP(DO$7,'Product Tgt'!$B:$B,'Product Tgt'!$D:$D),0)</f>
        <v>0</v>
      </c>
      <c r="DP44">
        <f>IFERROR(CG44*_xlfn.XLOOKUP(DP$7,'Product Tgt'!$B:$B,'Product Tgt'!$D:$D),0)</f>
        <v>0</v>
      </c>
      <c r="DQ44">
        <f>IFERROR(CH44*_xlfn.XLOOKUP(DQ$7,'Product Tgt'!$B:$B,'Product Tgt'!$D:$D),0)</f>
        <v>0</v>
      </c>
      <c r="DR44">
        <f>IFERROR(CI44*_xlfn.XLOOKUP(DR$7,'Product Tgt'!$B:$B,'Product Tgt'!$D:$D),0)</f>
        <v>0</v>
      </c>
      <c r="DS44">
        <f>IFERROR(CJ44*_xlfn.XLOOKUP(DS$7,'Product Tgt'!$B:$B,'Product Tgt'!$D:$D),0)</f>
        <v>0</v>
      </c>
      <c r="DT44">
        <f>IFERROR(CK44*_xlfn.XLOOKUP(DT$7,'Product Tgt'!$B:$B,'Product Tgt'!$D:$D),0)</f>
        <v>0</v>
      </c>
      <c r="DU44">
        <f>IFERROR(CL44*_xlfn.XLOOKUP(DU$7,'Product Tgt'!$B:$B,'Product Tgt'!$D:$D),0)</f>
        <v>0</v>
      </c>
      <c r="DV44">
        <f>IFERROR(CM44*_xlfn.XLOOKUP(DV$7,'Product Tgt'!$B:$B,'Product Tgt'!$D:$D),0)</f>
        <v>0</v>
      </c>
      <c r="DW44">
        <f>IFERROR(CN44*_xlfn.XLOOKUP(DW$7,'Product Tgt'!$B:$B,'Product Tgt'!$D:$D),0)</f>
        <v>0</v>
      </c>
      <c r="DX44">
        <f>IFERROR(CO44*_xlfn.XLOOKUP(DX$7,'Product Tgt'!$B:$B,'Product Tgt'!$D:$D),0)</f>
        <v>0</v>
      </c>
      <c r="DY44">
        <f>IFERROR(CP44*_xlfn.XLOOKUP(DY$7,'Product Tgt'!$B:$B,'Product Tgt'!$D:$D),0)</f>
        <v>0</v>
      </c>
      <c r="DZ44">
        <f>IFERROR(CQ44*_xlfn.XLOOKUP(DZ$7,'Product Tgt'!$B:$B,'Product Tgt'!$D:$D),0)</f>
        <v>0</v>
      </c>
      <c r="EA44">
        <f>IFERROR(CR44*_xlfn.XLOOKUP(EA$7,'Product Tgt'!$B:$B,'Product Tgt'!$D:$D),0)</f>
        <v>0</v>
      </c>
      <c r="EB44">
        <f>IFERROR(CS44*_xlfn.XLOOKUP(EB$7,'Product Tgt'!$B:$B,'Product Tgt'!$D:$D),0)</f>
        <v>0</v>
      </c>
      <c r="EC44">
        <f>IFERROR(CT44*_xlfn.XLOOKUP(EC$7,'Product Tgt'!$B:$B,'Product Tgt'!$D:$D),0)</f>
        <v>0</v>
      </c>
      <c r="ED44">
        <f>IFERROR(CU44*_xlfn.XLOOKUP(ED$7,'Product Tgt'!$B:$B,'Product Tgt'!$D:$D),0)</f>
        <v>0</v>
      </c>
      <c r="EE44">
        <f>IFERROR(CV44*_xlfn.XLOOKUP(EE$7,'Product Tgt'!$B:$B,'Product Tgt'!$D:$D),0)</f>
        <v>0</v>
      </c>
      <c r="EF44">
        <f>IFERROR(CW44*_xlfn.XLOOKUP(EF$7,'Product Tgt'!$B:$B,'Product Tgt'!$D:$D),0)</f>
        <v>0</v>
      </c>
      <c r="EG44">
        <f>IFERROR(CX44*_xlfn.XLOOKUP(EG$7,'Product Tgt'!$B:$B,'Product Tgt'!$D:$D),0)</f>
        <v>0</v>
      </c>
      <c r="EH44">
        <f>IFERROR(CY44*_xlfn.XLOOKUP(EH$7,'Product Tgt'!$B:$B,'Product Tgt'!$D:$D),0)</f>
        <v>0</v>
      </c>
      <c r="EI44">
        <f>IFERROR(CZ44*_xlfn.XLOOKUP(EI$7,'Product Tgt'!$B:$B,'Product Tgt'!$D:$D),0)</f>
        <v>0</v>
      </c>
    </row>
    <row r="45" spans="2:139" x14ac:dyDescent="0.35">
      <c r="B45" s="7" t="s">
        <v>148</v>
      </c>
      <c r="C45" s="3">
        <f>_xlfn.XLOOKUP($B45,'Terr Target'!$A:$A,'Terr Target'!$E:$E)</f>
        <v>326891.22528782539</v>
      </c>
      <c r="D45" s="3">
        <f t="shared" si="8"/>
        <v>326890</v>
      </c>
      <c r="E45" s="4">
        <f t="shared" si="9"/>
        <v>-1.2252878253930248</v>
      </c>
      <c r="F45" s="9">
        <f t="shared" si="7"/>
        <v>3.748318472247621E-6</v>
      </c>
      <c r="G45" s="5">
        <f t="shared" si="6"/>
        <v>1.0000037483184723</v>
      </c>
      <c r="H45" s="38">
        <v>34328.203499397845</v>
      </c>
      <c r="I45" s="11">
        <v>66329.145760726038</v>
      </c>
      <c r="J45" s="11">
        <v>32910.736224371154</v>
      </c>
      <c r="K45" s="11">
        <v>33940.879669264104</v>
      </c>
      <c r="L45" s="11">
        <v>30515.245200922822</v>
      </c>
      <c r="M45" s="11">
        <v>20085.551587412898</v>
      </c>
      <c r="N45" s="11">
        <v>576.42439457657269</v>
      </c>
      <c r="O45" s="11">
        <v>3226.0177350970707</v>
      </c>
      <c r="P45" s="11">
        <v>1722.2857960704564</v>
      </c>
      <c r="Q45" s="11">
        <v>1342.3904512387337</v>
      </c>
      <c r="R45" s="11">
        <v>9447.5696619998525</v>
      </c>
      <c r="S45" s="11">
        <v>15607.448118486886</v>
      </c>
      <c r="T45" s="11">
        <v>0</v>
      </c>
      <c r="U45" s="11">
        <v>1401.497535369301</v>
      </c>
      <c r="V45" s="11">
        <v>10095.141101365203</v>
      </c>
      <c r="W45" s="11">
        <v>14345.688311356387</v>
      </c>
      <c r="X45" s="11">
        <v>2980.4366224874207</v>
      </c>
      <c r="Y45" s="11">
        <v>4092.1831312919694</v>
      </c>
      <c r="Z45" s="11">
        <v>276.69854631746603</v>
      </c>
      <c r="AA45" s="11">
        <v>4925.2561793330342</v>
      </c>
      <c r="AB45" s="11">
        <v>1541.846785340118</v>
      </c>
      <c r="AC45" s="11">
        <v>854.13546048311377</v>
      </c>
      <c r="AD45" s="11">
        <v>7094.6445610783821</v>
      </c>
      <c r="AE45" s="11">
        <v>5622.9824256700986</v>
      </c>
      <c r="AF45" s="11">
        <v>673.68642480634901</v>
      </c>
      <c r="AG45" s="11">
        <v>12666.459660187691</v>
      </c>
      <c r="AH45" s="11">
        <v>946.35494266036733</v>
      </c>
      <c r="AI45" s="11">
        <v>6472.1354877792483</v>
      </c>
      <c r="AJ45" s="11">
        <v>11395.346578041279</v>
      </c>
      <c r="AK45" s="11">
        <v>3493.0622580058302</v>
      </c>
      <c r="AL45" s="49">
        <v>4649.0889551761729</v>
      </c>
      <c r="AM45" s="41">
        <f>IFERROR(ROUND(_xlfn.XLOOKUP(AM$7,'Product Tgt'!$B:$B,'Product Tgt'!$G:$G)*H45/H$121,0),0)</f>
        <v>33373</v>
      </c>
      <c r="AN45" s="41">
        <f>IFERROR(ROUND(_xlfn.XLOOKUP(AN$7,'Product Tgt'!$B:$B,'Product Tgt'!$G:$G)*I45/I$121,0),0)</f>
        <v>65294</v>
      </c>
      <c r="AO45" s="41">
        <f>IFERROR(ROUND(_xlfn.XLOOKUP(AO$7,'Product Tgt'!$B:$B,'Product Tgt'!$G:$G)*J45/J$121,0),0)</f>
        <v>31887</v>
      </c>
      <c r="AP45" s="41">
        <f>IFERROR(ROUND(_xlfn.XLOOKUP(AP$7,'Product Tgt'!$B:$B,'Product Tgt'!$G:$G)*K45/K$121,0),0)</f>
        <v>33110</v>
      </c>
      <c r="AQ45" s="41">
        <f>IFERROR(ROUND(_xlfn.XLOOKUP(AQ$7,'Product Tgt'!$B:$B,'Product Tgt'!$G:$G)*L45/L$121,0),0)</f>
        <v>29506</v>
      </c>
      <c r="AR45" s="41">
        <f>IFERROR(ROUND(_xlfn.XLOOKUP(AR$7,'Product Tgt'!$B:$B,'Product Tgt'!$G:$G)*M45/M$121,0),0)</f>
        <v>19459</v>
      </c>
      <c r="AS45" s="41">
        <f>IFERROR(ROUND(_xlfn.XLOOKUP(AS$7,'Product Tgt'!$B:$B,'Product Tgt'!$G:$G)*N45/N$121,0),0)</f>
        <v>533</v>
      </c>
      <c r="AT45" s="41">
        <f>IFERROR(ROUND(_xlfn.XLOOKUP(AT$7,'Product Tgt'!$B:$B,'Product Tgt'!$G:$G)*O45/O$121,0),0)</f>
        <v>2904</v>
      </c>
      <c r="AU45" s="41">
        <f>IFERROR(ROUND(_xlfn.XLOOKUP(AU$7,'Product Tgt'!$B:$B,'Product Tgt'!$G:$G)*P45/P$121,0),0)</f>
        <v>734</v>
      </c>
      <c r="AV45" s="41">
        <f>IFERROR(ROUND(_xlfn.XLOOKUP(AV$7,'Product Tgt'!$B:$B,'Product Tgt'!$G:$G)*Q45/Q$121,0),0)</f>
        <v>1007</v>
      </c>
      <c r="AW45" s="41">
        <f>IFERROR(ROUND(_xlfn.XLOOKUP(AW$7,'Product Tgt'!$B:$B,'Product Tgt'!$G:$G)*R45/R$121,0),0)</f>
        <v>9099</v>
      </c>
      <c r="AX45" s="41">
        <f>IFERROR(ROUND(_xlfn.XLOOKUP(AX$7,'Product Tgt'!$B:$B,'Product Tgt'!$G:$G)*S45/S$121,0),0)</f>
        <v>15032</v>
      </c>
      <c r="AY45" s="41">
        <f>IFERROR(ROUND(_xlfn.XLOOKUP(AY$7,'Product Tgt'!$B:$B,'Product Tgt'!$G:$G)*T45/T$121,0),0)</f>
        <v>0</v>
      </c>
      <c r="AZ45" s="41">
        <f>IFERROR(ROUND(_xlfn.XLOOKUP(AZ$7,'Product Tgt'!$B:$B,'Product Tgt'!$G:$G)*U45/U$121,0),0)</f>
        <v>1341</v>
      </c>
      <c r="BA45" s="41">
        <f>IFERROR(ROUND(_xlfn.XLOOKUP(BA$7,'Product Tgt'!$B:$B,'Product Tgt'!$G:$G)*V45/V$121,0),0)</f>
        <v>9720</v>
      </c>
      <c r="BB45" s="41">
        <f>IFERROR(ROUND(_xlfn.XLOOKUP(BB$7,'Product Tgt'!$B:$B,'Product Tgt'!$G:$G)*W45/W$121,0),0)</f>
        <v>13732</v>
      </c>
      <c r="BC45" s="41">
        <f>IFERROR(ROUND(_xlfn.XLOOKUP(BC$7,'Product Tgt'!$B:$B,'Product Tgt'!$G:$G)*X45/X$121,0),0)</f>
        <v>2884</v>
      </c>
      <c r="BD45" s="41">
        <f>IFERROR(ROUND(_xlfn.XLOOKUP(BD$7,'Product Tgt'!$B:$B,'Product Tgt'!$G:$G)*Y45/Y$121,0),0)</f>
        <v>3957</v>
      </c>
      <c r="BE45" s="41">
        <f>IFERROR(ROUND(_xlfn.XLOOKUP(BE$7,'Product Tgt'!$B:$B,'Product Tgt'!$G:$G)*Z45/Z$121,0),0)</f>
        <v>263</v>
      </c>
      <c r="BF45" s="41">
        <f>IFERROR(ROUND(_xlfn.XLOOKUP(BF$7,'Product Tgt'!$B:$B,'Product Tgt'!$G:$G)*AA45/AA$121,0),0)</f>
        <v>3991</v>
      </c>
      <c r="BG45" s="41">
        <f>IFERROR(ROUND(_xlfn.XLOOKUP(BG$7,'Product Tgt'!$B:$B,'Product Tgt'!$G:$G)*AB45/AB$121,0),0)</f>
        <v>1236</v>
      </c>
      <c r="BH45" s="41">
        <f>IFERROR(ROUND(_xlfn.XLOOKUP(BH$7,'Product Tgt'!$B:$B,'Product Tgt'!$G:$G)*AC45/AC$121,0),0)</f>
        <v>731</v>
      </c>
      <c r="BI45" s="41">
        <f>IFERROR(ROUND(_xlfn.XLOOKUP(BI$7,'Product Tgt'!$B:$B,'Product Tgt'!$G:$G)*AD45/AD$121,0),0)</f>
        <v>6176</v>
      </c>
      <c r="BJ45" s="41">
        <f>IFERROR(ROUND(_xlfn.XLOOKUP(BJ$7,'Product Tgt'!$B:$B,'Product Tgt'!$G:$G)*AE45/AE$121,0),0)</f>
        <v>5234</v>
      </c>
      <c r="BK45" s="41">
        <f>IFERROR(ROUND(_xlfn.XLOOKUP(BK$7,'Product Tgt'!$B:$B,'Product Tgt'!$G:$G)*AF45/AF$121,0),0)</f>
        <v>753</v>
      </c>
      <c r="BL45" s="41">
        <f>IFERROR(ROUND(_xlfn.XLOOKUP(BL$7,'Product Tgt'!$B:$B,'Product Tgt'!$G:$G)*AG45/AG$121,0),0)</f>
        <v>12099</v>
      </c>
      <c r="BM45" s="41">
        <f>IFERROR(ROUND(_xlfn.XLOOKUP(BM$7,'Product Tgt'!$B:$B,'Product Tgt'!$G:$G)*AH45/AH$121,0),0)</f>
        <v>742</v>
      </c>
      <c r="BN45" s="41">
        <f>IFERROR(ROUND(_xlfn.XLOOKUP(BN$7,'Product Tgt'!$B:$B,'Product Tgt'!$G:$G)*AI45/AI$121,0),0)</f>
        <v>5944</v>
      </c>
      <c r="BO45" s="41">
        <f>IFERROR(ROUND(_xlfn.XLOOKUP(BO$7,'Product Tgt'!$B:$B,'Product Tgt'!$G:$G)*AJ45/AJ$121,0),0)</f>
        <v>9856</v>
      </c>
      <c r="BP45" s="41">
        <f>IFERROR(ROUND(_xlfn.XLOOKUP(BP$7,'Product Tgt'!$B:$B,'Product Tgt'!$G:$G)*AK45/AK$121,0),0)</f>
        <v>2659</v>
      </c>
      <c r="BQ45" s="41">
        <f>IFERROR(ROUND(_xlfn.XLOOKUP(BQ$7,'Product Tgt'!$B:$B,'Product Tgt'!$G:$G)*AL45/AL$121,0),0)</f>
        <v>3634</v>
      </c>
      <c r="BR45" s="25">
        <f>ROUND(IFERROR(AM45/_xlfn.XLOOKUP(BR$7,'Product Tgt'!$B:$B,'Product Tgt'!$D:$D),0),0)</f>
        <v>0</v>
      </c>
      <c r="BS45" s="11">
        <f>ROUND(IFERROR(AN45/_xlfn.XLOOKUP(BS$7,'Product Tgt'!$B:$B,'Product Tgt'!$D:$D),0),0)</f>
        <v>0</v>
      </c>
      <c r="BT45" s="11">
        <f>ROUND(IFERROR(AO45/_xlfn.XLOOKUP(BT$7,'Product Tgt'!$B:$B,'Product Tgt'!$D:$D),0),0)</f>
        <v>0</v>
      </c>
      <c r="BU45" s="11">
        <f>ROUND(IFERROR(AP45/_xlfn.XLOOKUP(BU$7,'Product Tgt'!$B:$B,'Product Tgt'!$D:$D),0),0)</f>
        <v>0</v>
      </c>
      <c r="BV45" s="11">
        <f>ROUND(IFERROR(AQ45/_xlfn.XLOOKUP(BV$7,'Product Tgt'!$B:$B,'Product Tgt'!$D:$D),0),0)</f>
        <v>0</v>
      </c>
      <c r="BW45" s="11">
        <f>ROUND(IFERROR(AU45/_xlfn.XLOOKUP(BW$7,'Product Tgt'!$B:$B,'Product Tgt'!$D:$D),0),0)</f>
        <v>0</v>
      </c>
      <c r="BX45" s="11">
        <f>ROUND(IFERROR(#REF!/_xlfn.XLOOKUP(BX$7,'Product Tgt'!$B:$B,'Product Tgt'!$D:$D),0),0)</f>
        <v>0</v>
      </c>
      <c r="BY45" s="11">
        <f>ROUND(IFERROR(#REF!/_xlfn.XLOOKUP(BY$7,'Product Tgt'!$B:$B,'Product Tgt'!$D:$D),0),0)</f>
        <v>0</v>
      </c>
      <c r="BZ45" s="11">
        <f>ROUND(IFERROR(#REF!/_xlfn.XLOOKUP(BZ$7,'Product Tgt'!$B:$B,'Product Tgt'!$D:$D),0),0)</f>
        <v>0</v>
      </c>
      <c r="CA45" s="11">
        <f>ROUND(IFERROR(#REF!/_xlfn.XLOOKUP(CA$7,'Product Tgt'!$B:$B,'Product Tgt'!$D:$D),0),0)</f>
        <v>0</v>
      </c>
      <c r="CB45" s="11">
        <f>ROUND(IFERROR(AV45/_xlfn.XLOOKUP(CB$7,'Product Tgt'!$B:$B,'Product Tgt'!$D:$D),0),0)</f>
        <v>0</v>
      </c>
      <c r="CC45" s="11">
        <f>ROUND(IFERROR(AW45/_xlfn.XLOOKUP(CC$7,'Product Tgt'!$B:$B,'Product Tgt'!$D:$D),0),0)</f>
        <v>0</v>
      </c>
      <c r="CD45" s="11">
        <f>ROUND(IFERROR(AX45/_xlfn.XLOOKUP(CD$7,'Product Tgt'!$B:$B,'Product Tgt'!$D:$D),0),0)</f>
        <v>0</v>
      </c>
      <c r="CE45" s="11">
        <f>ROUND(IFERROR(AY45/_xlfn.XLOOKUP(CE$7,'Product Tgt'!$B:$B,'Product Tgt'!$D:$D),0),0)</f>
        <v>0</v>
      </c>
      <c r="CF45" s="11">
        <f>ROUND(IFERROR(AZ45/_xlfn.XLOOKUP(CF$7,'Product Tgt'!$B:$B,'Product Tgt'!$D:$D),0),0)</f>
        <v>0</v>
      </c>
      <c r="CG45" s="11">
        <f>ROUND(IFERROR(BA45/_xlfn.XLOOKUP(CG$7,'Product Tgt'!$B:$B,'Product Tgt'!$D:$D),0),0)</f>
        <v>0</v>
      </c>
      <c r="CH45" s="11">
        <f>ROUND(IFERROR(BB45/_xlfn.XLOOKUP(CH$7,'Product Tgt'!$B:$B,'Product Tgt'!$D:$D),0),0)</f>
        <v>0</v>
      </c>
      <c r="CI45" s="11">
        <f>ROUND(IFERROR(BC45/_xlfn.XLOOKUP(CI$7,'Product Tgt'!$B:$B,'Product Tgt'!$D:$D),0),0)</f>
        <v>0</v>
      </c>
      <c r="CJ45" s="11">
        <f>ROUND(IFERROR(BD45/_xlfn.XLOOKUP(CJ$7,'Product Tgt'!$B:$B,'Product Tgt'!$D:$D),0),0)</f>
        <v>0</v>
      </c>
      <c r="CK45" s="11">
        <f>ROUND(IFERROR(BE45/_xlfn.XLOOKUP(CK$7,'Product Tgt'!$B:$B,'Product Tgt'!$D:$D),0),0)</f>
        <v>0</v>
      </c>
      <c r="CL45" s="11">
        <f>ROUND(IFERROR(BF45/_xlfn.XLOOKUP(CL$7,'Product Tgt'!$B:$B,'Product Tgt'!$D:$D),0),0)</f>
        <v>0</v>
      </c>
      <c r="CM45" s="11">
        <f>ROUND(IFERROR(BG45/_xlfn.XLOOKUP(CM$7,'Product Tgt'!$B:$B,'Product Tgt'!$D:$D),0),0)</f>
        <v>0</v>
      </c>
      <c r="CN45" s="11">
        <f>ROUND(IFERROR(BH45/_xlfn.XLOOKUP(CN$7,'Product Tgt'!$B:$B,'Product Tgt'!$D:$D),0),0)</f>
        <v>0</v>
      </c>
      <c r="CO45" s="11">
        <f>ROUND(IFERROR(BI45/_xlfn.XLOOKUP(CO$7,'Product Tgt'!$B:$B,'Product Tgt'!$D:$D),0),0)</f>
        <v>0</v>
      </c>
      <c r="CP45" s="11">
        <f>ROUND(IFERROR(BJ45/_xlfn.XLOOKUP(CP$7,'Product Tgt'!$B:$B,'Product Tgt'!$D:$D),0),0)</f>
        <v>0</v>
      </c>
      <c r="CQ45" s="11">
        <f>ROUND(IFERROR(BK45/_xlfn.XLOOKUP(CQ$7,'Product Tgt'!$B:$B,'Product Tgt'!$D:$D),0),0)</f>
        <v>0</v>
      </c>
      <c r="CR45" s="11">
        <f>ROUND(IFERROR(BL45/_xlfn.XLOOKUP(CR$7,'Product Tgt'!$B:$B,'Product Tgt'!$D:$D),0),0)</f>
        <v>0</v>
      </c>
      <c r="CS45" s="11">
        <f>ROUND(IFERROR(BM45/_xlfn.XLOOKUP(CS$7,'Product Tgt'!$B:$B,'Product Tgt'!$D:$D),0),0)</f>
        <v>0</v>
      </c>
      <c r="CT45" s="11">
        <f>ROUND(IFERROR(BN45/_xlfn.XLOOKUP(CT$7,'Product Tgt'!$B:$B,'Product Tgt'!$D:$D),0),0)</f>
        <v>0</v>
      </c>
      <c r="CU45" s="11">
        <f>ROUND(IFERROR(BO45/_xlfn.XLOOKUP(CU$7,'Product Tgt'!$B:$B,'Product Tgt'!$D:$D),0),0)</f>
        <v>0</v>
      </c>
      <c r="CV45" s="11">
        <f>ROUND(IFERROR(BP45/_xlfn.XLOOKUP(CV$7,'Product Tgt'!$B:$B,'Product Tgt'!$D:$D),0),0)</f>
        <v>0</v>
      </c>
      <c r="CW45" s="11">
        <f>ROUND(IFERROR(BQ45/_xlfn.XLOOKUP(CW$7,'Product Tgt'!$B:$B,'Product Tgt'!$D:$D),0),0)</f>
        <v>0</v>
      </c>
      <c r="CX45" s="11">
        <f>ROUND(IFERROR(#REF!/_xlfn.XLOOKUP(CX$7,'Product Tgt'!$B:$B,'Product Tgt'!$D:$D),0),0)</f>
        <v>0</v>
      </c>
      <c r="CY45" s="11">
        <f>ROUND(IFERROR(#REF!/_xlfn.XLOOKUP(CY$7,'Product Tgt'!$B:$B,'Product Tgt'!$D:$D),0),0)</f>
        <v>0</v>
      </c>
      <c r="CZ45" s="11">
        <f>ROUND(IFERROR(#REF!/_xlfn.XLOOKUP(CZ$7,'Product Tgt'!$B:$B,'Product Tgt'!$D:$D),0),0)</f>
        <v>0</v>
      </c>
      <c r="DA45" s="10">
        <f>IFERROR(BR45*_xlfn.XLOOKUP(DA$7,'Product Tgt'!$B:$B,'Product Tgt'!$D:$D),0)</f>
        <v>0</v>
      </c>
      <c r="DB45">
        <f>IFERROR(BS45*_xlfn.XLOOKUP(DB$7,'Product Tgt'!$B:$B,'Product Tgt'!$D:$D),0)</f>
        <v>0</v>
      </c>
      <c r="DC45">
        <f>IFERROR(BT45*_xlfn.XLOOKUP(DC$7,'Product Tgt'!$B:$B,'Product Tgt'!$D:$D),0)</f>
        <v>0</v>
      </c>
      <c r="DD45">
        <f>IFERROR(BU45*_xlfn.XLOOKUP(DD$7,'Product Tgt'!$B:$B,'Product Tgt'!$D:$D),0)</f>
        <v>0</v>
      </c>
      <c r="DE45">
        <f>IFERROR(BV45*_xlfn.XLOOKUP(DE$7,'Product Tgt'!$B:$B,'Product Tgt'!$D:$D),0)</f>
        <v>0</v>
      </c>
      <c r="DF45">
        <f>IFERROR(BW45*_xlfn.XLOOKUP(DF$7,'Product Tgt'!$B:$B,'Product Tgt'!$D:$D),0)</f>
        <v>0</v>
      </c>
      <c r="DG45">
        <f>IFERROR(BX45*_xlfn.XLOOKUP(DG$7,'Product Tgt'!$B:$B,'Product Tgt'!$D:$D),0)</f>
        <v>0</v>
      </c>
      <c r="DH45">
        <f>IFERROR(BY45*_xlfn.XLOOKUP(DH$7,'Product Tgt'!$B:$B,'Product Tgt'!$D:$D),0)</f>
        <v>0</v>
      </c>
      <c r="DI45">
        <f>IFERROR(BZ45*_xlfn.XLOOKUP(DI$7,'Product Tgt'!$B:$B,'Product Tgt'!$D:$D),0)</f>
        <v>0</v>
      </c>
      <c r="DJ45">
        <f>IFERROR(CA45*_xlfn.XLOOKUP(DJ$7,'Product Tgt'!$B:$B,'Product Tgt'!$D:$D),0)</f>
        <v>0</v>
      </c>
      <c r="DK45">
        <f>IFERROR(CB45*_xlfn.XLOOKUP(DK$7,'Product Tgt'!$B:$B,'Product Tgt'!$D:$D),0)</f>
        <v>0</v>
      </c>
      <c r="DL45">
        <f>IFERROR(CC45*_xlfn.XLOOKUP(DL$7,'Product Tgt'!$B:$B,'Product Tgt'!$D:$D),0)</f>
        <v>0</v>
      </c>
      <c r="DM45">
        <f>IFERROR(CD45*_xlfn.XLOOKUP(DM$7,'Product Tgt'!$B:$B,'Product Tgt'!$D:$D),0)</f>
        <v>0</v>
      </c>
      <c r="DN45">
        <f>IFERROR(CE45*_xlfn.XLOOKUP(DN$7,'Product Tgt'!$B:$B,'Product Tgt'!$D:$D),0)</f>
        <v>0</v>
      </c>
      <c r="DO45">
        <f>IFERROR(CF45*_xlfn.XLOOKUP(DO$7,'Product Tgt'!$B:$B,'Product Tgt'!$D:$D),0)</f>
        <v>0</v>
      </c>
      <c r="DP45">
        <f>IFERROR(CG45*_xlfn.XLOOKUP(DP$7,'Product Tgt'!$B:$B,'Product Tgt'!$D:$D),0)</f>
        <v>0</v>
      </c>
      <c r="DQ45">
        <f>IFERROR(CH45*_xlfn.XLOOKUP(DQ$7,'Product Tgt'!$B:$B,'Product Tgt'!$D:$D),0)</f>
        <v>0</v>
      </c>
      <c r="DR45">
        <f>IFERROR(CI45*_xlfn.XLOOKUP(DR$7,'Product Tgt'!$B:$B,'Product Tgt'!$D:$D),0)</f>
        <v>0</v>
      </c>
      <c r="DS45">
        <f>IFERROR(CJ45*_xlfn.XLOOKUP(DS$7,'Product Tgt'!$B:$B,'Product Tgt'!$D:$D),0)</f>
        <v>0</v>
      </c>
      <c r="DT45">
        <f>IFERROR(CK45*_xlfn.XLOOKUP(DT$7,'Product Tgt'!$B:$B,'Product Tgt'!$D:$D),0)</f>
        <v>0</v>
      </c>
      <c r="DU45">
        <f>IFERROR(CL45*_xlfn.XLOOKUP(DU$7,'Product Tgt'!$B:$B,'Product Tgt'!$D:$D),0)</f>
        <v>0</v>
      </c>
      <c r="DV45">
        <f>IFERROR(CM45*_xlfn.XLOOKUP(DV$7,'Product Tgt'!$B:$B,'Product Tgt'!$D:$D),0)</f>
        <v>0</v>
      </c>
      <c r="DW45">
        <f>IFERROR(CN45*_xlfn.XLOOKUP(DW$7,'Product Tgt'!$B:$B,'Product Tgt'!$D:$D),0)</f>
        <v>0</v>
      </c>
      <c r="DX45">
        <f>IFERROR(CO45*_xlfn.XLOOKUP(DX$7,'Product Tgt'!$B:$B,'Product Tgt'!$D:$D),0)</f>
        <v>0</v>
      </c>
      <c r="DY45">
        <f>IFERROR(CP45*_xlfn.XLOOKUP(DY$7,'Product Tgt'!$B:$B,'Product Tgt'!$D:$D),0)</f>
        <v>0</v>
      </c>
      <c r="DZ45">
        <f>IFERROR(CQ45*_xlfn.XLOOKUP(DZ$7,'Product Tgt'!$B:$B,'Product Tgt'!$D:$D),0)</f>
        <v>0</v>
      </c>
      <c r="EA45">
        <f>IFERROR(CR45*_xlfn.XLOOKUP(EA$7,'Product Tgt'!$B:$B,'Product Tgt'!$D:$D),0)</f>
        <v>0</v>
      </c>
      <c r="EB45">
        <f>IFERROR(CS45*_xlfn.XLOOKUP(EB$7,'Product Tgt'!$B:$B,'Product Tgt'!$D:$D),0)</f>
        <v>0</v>
      </c>
      <c r="EC45">
        <f>IFERROR(CT45*_xlfn.XLOOKUP(EC$7,'Product Tgt'!$B:$B,'Product Tgt'!$D:$D),0)</f>
        <v>0</v>
      </c>
      <c r="ED45">
        <f>IFERROR(CU45*_xlfn.XLOOKUP(ED$7,'Product Tgt'!$B:$B,'Product Tgt'!$D:$D),0)</f>
        <v>0</v>
      </c>
      <c r="EE45">
        <f>IFERROR(CV45*_xlfn.XLOOKUP(EE$7,'Product Tgt'!$B:$B,'Product Tgt'!$D:$D),0)</f>
        <v>0</v>
      </c>
      <c r="EF45">
        <f>IFERROR(CW45*_xlfn.XLOOKUP(EF$7,'Product Tgt'!$B:$B,'Product Tgt'!$D:$D),0)</f>
        <v>0</v>
      </c>
      <c r="EG45">
        <f>IFERROR(CX45*_xlfn.XLOOKUP(EG$7,'Product Tgt'!$B:$B,'Product Tgt'!$D:$D),0)</f>
        <v>0</v>
      </c>
      <c r="EH45">
        <f>IFERROR(CY45*_xlfn.XLOOKUP(EH$7,'Product Tgt'!$B:$B,'Product Tgt'!$D:$D),0)</f>
        <v>0</v>
      </c>
      <c r="EI45">
        <f>IFERROR(CZ45*_xlfn.XLOOKUP(EI$7,'Product Tgt'!$B:$B,'Product Tgt'!$D:$D),0)</f>
        <v>0</v>
      </c>
    </row>
    <row r="46" spans="2:139" x14ac:dyDescent="0.35">
      <c r="B46" s="7" t="s">
        <v>149</v>
      </c>
      <c r="C46" s="3">
        <f>_xlfn.XLOOKUP($B46,'Terr Target'!$A:$A,'Terr Target'!$E:$E)</f>
        <v>360832.30604579824</v>
      </c>
      <c r="D46" s="3">
        <f t="shared" si="8"/>
        <v>360834</v>
      </c>
      <c r="E46" s="4">
        <f t="shared" si="9"/>
        <v>1.6939542017644271</v>
      </c>
      <c r="F46" s="9">
        <f t="shared" si="7"/>
        <v>4.6945526246540712E-6</v>
      </c>
      <c r="G46" s="5">
        <f t="shared" si="6"/>
        <v>0.99999530544737536</v>
      </c>
      <c r="H46" s="38">
        <v>42934.337149131788</v>
      </c>
      <c r="I46" s="11">
        <v>79628.088437114828</v>
      </c>
      <c r="J46" s="11">
        <v>34647.383267071178</v>
      </c>
      <c r="K46" s="11">
        <v>37786.542236698522</v>
      </c>
      <c r="L46" s="11">
        <v>29090.46268019222</v>
      </c>
      <c r="M46" s="11">
        <v>20563.772667437297</v>
      </c>
      <c r="N46" s="11">
        <v>539.73363858088908</v>
      </c>
      <c r="O46" s="11">
        <v>2906.6094254649893</v>
      </c>
      <c r="P46" s="11">
        <v>1565.2765286217223</v>
      </c>
      <c r="Q46" s="11">
        <v>1350.3786003362152</v>
      </c>
      <c r="R46" s="11">
        <v>9009.7205840258775</v>
      </c>
      <c r="S46" s="11">
        <v>13662.200759892245</v>
      </c>
      <c r="T46" s="11">
        <v>0</v>
      </c>
      <c r="U46" s="11">
        <v>3102.5063787890667</v>
      </c>
      <c r="V46" s="11">
        <v>16603.133882368045</v>
      </c>
      <c r="W46" s="11">
        <v>15862.455687961488</v>
      </c>
      <c r="X46" s="11">
        <v>2621.7647203356692</v>
      </c>
      <c r="Y46" s="11">
        <v>2448.8468524594236</v>
      </c>
      <c r="Z46" s="11">
        <v>665.74378657602347</v>
      </c>
      <c r="AA46" s="11">
        <v>6018.1515124945263</v>
      </c>
      <c r="AB46" s="11">
        <v>2579.8446314412777</v>
      </c>
      <c r="AC46" s="11">
        <v>1371.368630540846</v>
      </c>
      <c r="AD46" s="11">
        <v>7104.6054711387014</v>
      </c>
      <c r="AE46" s="11">
        <v>8341.0281979687279</v>
      </c>
      <c r="AF46" s="11">
        <v>1331.3476396173496</v>
      </c>
      <c r="AG46" s="11">
        <v>11740.413565871104</v>
      </c>
      <c r="AH46" s="11">
        <v>0</v>
      </c>
      <c r="AI46" s="11">
        <v>8632.9295513477973</v>
      </c>
      <c r="AJ46" s="11">
        <v>9322.5220103372721</v>
      </c>
      <c r="AK46" s="11">
        <v>2885.9192528347103</v>
      </c>
      <c r="AL46" s="49">
        <v>3789.8199202134679</v>
      </c>
      <c r="AM46" s="41">
        <f>IFERROR(ROUND(_xlfn.XLOOKUP(AM$7,'Product Tgt'!$B:$B,'Product Tgt'!$G:$G)*H46/H$121,0),0)</f>
        <v>41739</v>
      </c>
      <c r="AN46" s="41">
        <f>IFERROR(ROUND(_xlfn.XLOOKUP(AN$7,'Product Tgt'!$B:$B,'Product Tgt'!$G:$G)*I46/I$121,0),0)</f>
        <v>78386</v>
      </c>
      <c r="AO46" s="41">
        <f>IFERROR(ROUND(_xlfn.XLOOKUP(AO$7,'Product Tgt'!$B:$B,'Product Tgt'!$G:$G)*J46/J$121,0),0)</f>
        <v>33570</v>
      </c>
      <c r="AP46" s="41">
        <f>IFERROR(ROUND(_xlfn.XLOOKUP(AP$7,'Product Tgt'!$B:$B,'Product Tgt'!$G:$G)*K46/K$121,0),0)</f>
        <v>36862</v>
      </c>
      <c r="AQ46" s="41">
        <f>IFERROR(ROUND(_xlfn.XLOOKUP(AQ$7,'Product Tgt'!$B:$B,'Product Tgt'!$G:$G)*L46/L$121,0),0)</f>
        <v>28129</v>
      </c>
      <c r="AR46" s="41">
        <f>IFERROR(ROUND(_xlfn.XLOOKUP(AR$7,'Product Tgt'!$B:$B,'Product Tgt'!$G:$G)*M46/M$121,0),0)</f>
        <v>19922</v>
      </c>
      <c r="AS46" s="41">
        <f>IFERROR(ROUND(_xlfn.XLOOKUP(AS$7,'Product Tgt'!$B:$B,'Product Tgt'!$G:$G)*N46/N$121,0),0)</f>
        <v>499</v>
      </c>
      <c r="AT46" s="41">
        <f>IFERROR(ROUND(_xlfn.XLOOKUP(AT$7,'Product Tgt'!$B:$B,'Product Tgt'!$G:$G)*O46/O$121,0),0)</f>
        <v>2616</v>
      </c>
      <c r="AU46" s="41">
        <f>IFERROR(ROUND(_xlfn.XLOOKUP(AU$7,'Product Tgt'!$B:$B,'Product Tgt'!$G:$G)*P46/P$121,0),0)</f>
        <v>667</v>
      </c>
      <c r="AV46" s="41">
        <f>IFERROR(ROUND(_xlfn.XLOOKUP(AV$7,'Product Tgt'!$B:$B,'Product Tgt'!$G:$G)*Q46/Q$121,0),0)</f>
        <v>1013</v>
      </c>
      <c r="AW46" s="41">
        <f>IFERROR(ROUND(_xlfn.XLOOKUP(AW$7,'Product Tgt'!$B:$B,'Product Tgt'!$G:$G)*R46/R$121,0),0)</f>
        <v>8677</v>
      </c>
      <c r="AX46" s="41">
        <f>IFERROR(ROUND(_xlfn.XLOOKUP(AX$7,'Product Tgt'!$B:$B,'Product Tgt'!$G:$G)*S46/S$121,0),0)</f>
        <v>13158</v>
      </c>
      <c r="AY46" s="41">
        <f>IFERROR(ROUND(_xlfn.XLOOKUP(AY$7,'Product Tgt'!$B:$B,'Product Tgt'!$G:$G)*T46/T$121,0),0)</f>
        <v>0</v>
      </c>
      <c r="AZ46" s="41">
        <f>IFERROR(ROUND(_xlfn.XLOOKUP(AZ$7,'Product Tgt'!$B:$B,'Product Tgt'!$G:$G)*U46/U$121,0),0)</f>
        <v>2969</v>
      </c>
      <c r="BA46" s="41">
        <f>IFERROR(ROUND(_xlfn.XLOOKUP(BA$7,'Product Tgt'!$B:$B,'Product Tgt'!$G:$G)*V46/V$121,0),0)</f>
        <v>15986</v>
      </c>
      <c r="BB46" s="41">
        <f>IFERROR(ROUND(_xlfn.XLOOKUP(BB$7,'Product Tgt'!$B:$B,'Product Tgt'!$G:$G)*W46/W$121,0),0)</f>
        <v>15184</v>
      </c>
      <c r="BC46" s="41">
        <f>IFERROR(ROUND(_xlfn.XLOOKUP(BC$7,'Product Tgt'!$B:$B,'Product Tgt'!$G:$G)*X46/X$121,0),0)</f>
        <v>2537</v>
      </c>
      <c r="BD46" s="41">
        <f>IFERROR(ROUND(_xlfn.XLOOKUP(BD$7,'Product Tgt'!$B:$B,'Product Tgt'!$G:$G)*Y46/Y$121,0),0)</f>
        <v>2368</v>
      </c>
      <c r="BE46" s="41">
        <f>IFERROR(ROUND(_xlfn.XLOOKUP(BE$7,'Product Tgt'!$B:$B,'Product Tgt'!$G:$G)*Z46/Z$121,0),0)</f>
        <v>633</v>
      </c>
      <c r="BF46" s="41">
        <f>IFERROR(ROUND(_xlfn.XLOOKUP(BF$7,'Product Tgt'!$B:$B,'Product Tgt'!$G:$G)*AA46/AA$121,0),0)</f>
        <v>4877</v>
      </c>
      <c r="BG46" s="41">
        <f>IFERROR(ROUND(_xlfn.XLOOKUP(BG$7,'Product Tgt'!$B:$B,'Product Tgt'!$G:$G)*AB46/AB$121,0),0)</f>
        <v>2068</v>
      </c>
      <c r="BH46" s="41">
        <f>IFERROR(ROUND(_xlfn.XLOOKUP(BH$7,'Product Tgt'!$B:$B,'Product Tgt'!$G:$G)*AC46/AC$121,0),0)</f>
        <v>1174</v>
      </c>
      <c r="BI46" s="41">
        <f>IFERROR(ROUND(_xlfn.XLOOKUP(BI$7,'Product Tgt'!$B:$B,'Product Tgt'!$G:$G)*AD46/AD$121,0),0)</f>
        <v>6185</v>
      </c>
      <c r="BJ46" s="41">
        <f>IFERROR(ROUND(_xlfn.XLOOKUP(BJ$7,'Product Tgt'!$B:$B,'Product Tgt'!$G:$G)*AE46/AE$121,0),0)</f>
        <v>7763</v>
      </c>
      <c r="BK46" s="41">
        <f>IFERROR(ROUND(_xlfn.XLOOKUP(BK$7,'Product Tgt'!$B:$B,'Product Tgt'!$G:$G)*AF46/AF$121,0),0)</f>
        <v>1487</v>
      </c>
      <c r="BL46" s="41">
        <f>IFERROR(ROUND(_xlfn.XLOOKUP(BL$7,'Product Tgt'!$B:$B,'Product Tgt'!$G:$G)*AG46/AG$121,0),0)</f>
        <v>11214</v>
      </c>
      <c r="BM46" s="41">
        <f>IFERROR(ROUND(_xlfn.XLOOKUP(BM$7,'Product Tgt'!$B:$B,'Product Tgt'!$G:$G)*AH46/AH$121,0),0)</f>
        <v>0</v>
      </c>
      <c r="BN46" s="41">
        <f>IFERROR(ROUND(_xlfn.XLOOKUP(BN$7,'Product Tgt'!$B:$B,'Product Tgt'!$G:$G)*AI46/AI$121,0),0)</f>
        <v>7928</v>
      </c>
      <c r="BO46" s="41">
        <f>IFERROR(ROUND(_xlfn.XLOOKUP(BO$7,'Product Tgt'!$B:$B,'Product Tgt'!$G:$G)*AJ46/AJ$121,0),0)</f>
        <v>8064</v>
      </c>
      <c r="BP46" s="41">
        <f>IFERROR(ROUND(_xlfn.XLOOKUP(BP$7,'Product Tgt'!$B:$B,'Product Tgt'!$G:$G)*AK46/AK$121,0),0)</f>
        <v>2197</v>
      </c>
      <c r="BQ46" s="41">
        <f>IFERROR(ROUND(_xlfn.XLOOKUP(BQ$7,'Product Tgt'!$B:$B,'Product Tgt'!$G:$G)*AL46/AL$121,0),0)</f>
        <v>2962</v>
      </c>
      <c r="BR46" s="25">
        <f>ROUND(IFERROR(AM46/_xlfn.XLOOKUP(BR$7,'Product Tgt'!$B:$B,'Product Tgt'!$D:$D),0),0)</f>
        <v>0</v>
      </c>
      <c r="BS46" s="11">
        <f>ROUND(IFERROR(AN46/_xlfn.XLOOKUP(BS$7,'Product Tgt'!$B:$B,'Product Tgt'!$D:$D),0),0)</f>
        <v>0</v>
      </c>
      <c r="BT46" s="11">
        <f>ROUND(IFERROR(AO46/_xlfn.XLOOKUP(BT$7,'Product Tgt'!$B:$B,'Product Tgt'!$D:$D),0),0)</f>
        <v>0</v>
      </c>
      <c r="BU46" s="11">
        <f>ROUND(IFERROR(AP46/_xlfn.XLOOKUP(BU$7,'Product Tgt'!$B:$B,'Product Tgt'!$D:$D),0),0)</f>
        <v>0</v>
      </c>
      <c r="BV46" s="11">
        <f>ROUND(IFERROR(AQ46/_xlfn.XLOOKUP(BV$7,'Product Tgt'!$B:$B,'Product Tgt'!$D:$D),0),0)</f>
        <v>0</v>
      </c>
      <c r="BW46" s="11">
        <f>ROUND(IFERROR(AU46/_xlfn.XLOOKUP(BW$7,'Product Tgt'!$B:$B,'Product Tgt'!$D:$D),0),0)</f>
        <v>0</v>
      </c>
      <c r="BX46" s="11">
        <f>ROUND(IFERROR(#REF!/_xlfn.XLOOKUP(BX$7,'Product Tgt'!$B:$B,'Product Tgt'!$D:$D),0),0)</f>
        <v>0</v>
      </c>
      <c r="BY46" s="11">
        <f>ROUND(IFERROR(#REF!/_xlfn.XLOOKUP(BY$7,'Product Tgt'!$B:$B,'Product Tgt'!$D:$D),0),0)</f>
        <v>0</v>
      </c>
      <c r="BZ46" s="11">
        <f>ROUND(IFERROR(#REF!/_xlfn.XLOOKUP(BZ$7,'Product Tgt'!$B:$B,'Product Tgt'!$D:$D),0),0)</f>
        <v>0</v>
      </c>
      <c r="CA46" s="11">
        <f>ROUND(IFERROR(#REF!/_xlfn.XLOOKUP(CA$7,'Product Tgt'!$B:$B,'Product Tgt'!$D:$D),0),0)</f>
        <v>0</v>
      </c>
      <c r="CB46" s="11">
        <f>ROUND(IFERROR(AV46/_xlfn.XLOOKUP(CB$7,'Product Tgt'!$B:$B,'Product Tgt'!$D:$D),0),0)</f>
        <v>0</v>
      </c>
      <c r="CC46" s="11">
        <f>ROUND(IFERROR(AW46/_xlfn.XLOOKUP(CC$7,'Product Tgt'!$B:$B,'Product Tgt'!$D:$D),0),0)</f>
        <v>0</v>
      </c>
      <c r="CD46" s="11">
        <f>ROUND(IFERROR(AX46/_xlfn.XLOOKUP(CD$7,'Product Tgt'!$B:$B,'Product Tgt'!$D:$D),0),0)</f>
        <v>0</v>
      </c>
      <c r="CE46" s="11">
        <f>ROUND(IFERROR(AY46/_xlfn.XLOOKUP(CE$7,'Product Tgt'!$B:$B,'Product Tgt'!$D:$D),0),0)</f>
        <v>0</v>
      </c>
      <c r="CF46" s="11">
        <f>ROUND(IFERROR(AZ46/_xlfn.XLOOKUP(CF$7,'Product Tgt'!$B:$B,'Product Tgt'!$D:$D),0),0)</f>
        <v>0</v>
      </c>
      <c r="CG46" s="11">
        <f>ROUND(IFERROR(BA46/_xlfn.XLOOKUP(CG$7,'Product Tgt'!$B:$B,'Product Tgt'!$D:$D),0),0)</f>
        <v>0</v>
      </c>
      <c r="CH46" s="11">
        <f>ROUND(IFERROR(BB46/_xlfn.XLOOKUP(CH$7,'Product Tgt'!$B:$B,'Product Tgt'!$D:$D),0),0)</f>
        <v>0</v>
      </c>
      <c r="CI46" s="11">
        <f>ROUND(IFERROR(BC46/_xlfn.XLOOKUP(CI$7,'Product Tgt'!$B:$B,'Product Tgt'!$D:$D),0),0)</f>
        <v>0</v>
      </c>
      <c r="CJ46" s="11">
        <f>ROUND(IFERROR(BD46/_xlfn.XLOOKUP(CJ$7,'Product Tgt'!$B:$B,'Product Tgt'!$D:$D),0),0)</f>
        <v>0</v>
      </c>
      <c r="CK46" s="11">
        <f>ROUND(IFERROR(BE46/_xlfn.XLOOKUP(CK$7,'Product Tgt'!$B:$B,'Product Tgt'!$D:$D),0),0)</f>
        <v>0</v>
      </c>
      <c r="CL46" s="11">
        <f>ROUND(IFERROR(BF46/_xlfn.XLOOKUP(CL$7,'Product Tgt'!$B:$B,'Product Tgt'!$D:$D),0),0)</f>
        <v>0</v>
      </c>
      <c r="CM46" s="11">
        <f>ROUND(IFERROR(BG46/_xlfn.XLOOKUP(CM$7,'Product Tgt'!$B:$B,'Product Tgt'!$D:$D),0),0)</f>
        <v>0</v>
      </c>
      <c r="CN46" s="11">
        <f>ROUND(IFERROR(BH46/_xlfn.XLOOKUP(CN$7,'Product Tgt'!$B:$B,'Product Tgt'!$D:$D),0),0)</f>
        <v>0</v>
      </c>
      <c r="CO46" s="11">
        <f>ROUND(IFERROR(BI46/_xlfn.XLOOKUP(CO$7,'Product Tgt'!$B:$B,'Product Tgt'!$D:$D),0),0)</f>
        <v>0</v>
      </c>
      <c r="CP46" s="11">
        <f>ROUND(IFERROR(BJ46/_xlfn.XLOOKUP(CP$7,'Product Tgt'!$B:$B,'Product Tgt'!$D:$D),0),0)</f>
        <v>0</v>
      </c>
      <c r="CQ46" s="11">
        <f>ROUND(IFERROR(BK46/_xlfn.XLOOKUP(CQ$7,'Product Tgt'!$B:$B,'Product Tgt'!$D:$D),0),0)</f>
        <v>0</v>
      </c>
      <c r="CR46" s="11">
        <f>ROUND(IFERROR(BL46/_xlfn.XLOOKUP(CR$7,'Product Tgt'!$B:$B,'Product Tgt'!$D:$D),0),0)</f>
        <v>0</v>
      </c>
      <c r="CS46" s="11">
        <f>ROUND(IFERROR(BM46/_xlfn.XLOOKUP(CS$7,'Product Tgt'!$B:$B,'Product Tgt'!$D:$D),0),0)</f>
        <v>0</v>
      </c>
      <c r="CT46" s="11">
        <f>ROUND(IFERROR(BN46/_xlfn.XLOOKUP(CT$7,'Product Tgt'!$B:$B,'Product Tgt'!$D:$D),0),0)</f>
        <v>0</v>
      </c>
      <c r="CU46" s="11">
        <f>ROUND(IFERROR(BO46/_xlfn.XLOOKUP(CU$7,'Product Tgt'!$B:$B,'Product Tgt'!$D:$D),0),0)</f>
        <v>0</v>
      </c>
      <c r="CV46" s="11">
        <f>ROUND(IFERROR(BP46/_xlfn.XLOOKUP(CV$7,'Product Tgt'!$B:$B,'Product Tgt'!$D:$D),0),0)</f>
        <v>0</v>
      </c>
      <c r="CW46" s="11">
        <f>ROUND(IFERROR(BQ46/_xlfn.XLOOKUP(CW$7,'Product Tgt'!$B:$B,'Product Tgt'!$D:$D),0),0)</f>
        <v>0</v>
      </c>
      <c r="CX46" s="11">
        <f>ROUND(IFERROR(#REF!/_xlfn.XLOOKUP(CX$7,'Product Tgt'!$B:$B,'Product Tgt'!$D:$D),0),0)</f>
        <v>0</v>
      </c>
      <c r="CY46" s="11">
        <f>ROUND(IFERROR(#REF!/_xlfn.XLOOKUP(CY$7,'Product Tgt'!$B:$B,'Product Tgt'!$D:$D),0),0)</f>
        <v>0</v>
      </c>
      <c r="CZ46" s="11">
        <f>ROUND(IFERROR(#REF!/_xlfn.XLOOKUP(CZ$7,'Product Tgt'!$B:$B,'Product Tgt'!$D:$D),0),0)</f>
        <v>0</v>
      </c>
      <c r="DA46" s="10">
        <f>IFERROR(BR46*_xlfn.XLOOKUP(DA$7,'Product Tgt'!$B:$B,'Product Tgt'!$D:$D),0)</f>
        <v>0</v>
      </c>
      <c r="DB46">
        <f>IFERROR(BS46*_xlfn.XLOOKUP(DB$7,'Product Tgt'!$B:$B,'Product Tgt'!$D:$D),0)</f>
        <v>0</v>
      </c>
      <c r="DC46">
        <f>IFERROR(BT46*_xlfn.XLOOKUP(DC$7,'Product Tgt'!$B:$B,'Product Tgt'!$D:$D),0)</f>
        <v>0</v>
      </c>
      <c r="DD46">
        <f>IFERROR(BU46*_xlfn.XLOOKUP(DD$7,'Product Tgt'!$B:$B,'Product Tgt'!$D:$D),0)</f>
        <v>0</v>
      </c>
      <c r="DE46">
        <f>IFERROR(BV46*_xlfn.XLOOKUP(DE$7,'Product Tgt'!$B:$B,'Product Tgt'!$D:$D),0)</f>
        <v>0</v>
      </c>
      <c r="DF46">
        <f>IFERROR(BW46*_xlfn.XLOOKUP(DF$7,'Product Tgt'!$B:$B,'Product Tgt'!$D:$D),0)</f>
        <v>0</v>
      </c>
      <c r="DG46">
        <f>IFERROR(BX46*_xlfn.XLOOKUP(DG$7,'Product Tgt'!$B:$B,'Product Tgt'!$D:$D),0)</f>
        <v>0</v>
      </c>
      <c r="DH46">
        <f>IFERROR(BY46*_xlfn.XLOOKUP(DH$7,'Product Tgt'!$B:$B,'Product Tgt'!$D:$D),0)</f>
        <v>0</v>
      </c>
      <c r="DI46">
        <f>IFERROR(BZ46*_xlfn.XLOOKUP(DI$7,'Product Tgt'!$B:$B,'Product Tgt'!$D:$D),0)</f>
        <v>0</v>
      </c>
      <c r="DJ46">
        <f>IFERROR(CA46*_xlfn.XLOOKUP(DJ$7,'Product Tgt'!$B:$B,'Product Tgt'!$D:$D),0)</f>
        <v>0</v>
      </c>
      <c r="DK46">
        <f>IFERROR(CB46*_xlfn.XLOOKUP(DK$7,'Product Tgt'!$B:$B,'Product Tgt'!$D:$D),0)</f>
        <v>0</v>
      </c>
      <c r="DL46">
        <f>IFERROR(CC46*_xlfn.XLOOKUP(DL$7,'Product Tgt'!$B:$B,'Product Tgt'!$D:$D),0)</f>
        <v>0</v>
      </c>
      <c r="DM46">
        <f>IFERROR(CD46*_xlfn.XLOOKUP(DM$7,'Product Tgt'!$B:$B,'Product Tgt'!$D:$D),0)</f>
        <v>0</v>
      </c>
      <c r="DN46">
        <f>IFERROR(CE46*_xlfn.XLOOKUP(DN$7,'Product Tgt'!$B:$B,'Product Tgt'!$D:$D),0)</f>
        <v>0</v>
      </c>
      <c r="DO46">
        <f>IFERROR(CF46*_xlfn.XLOOKUP(DO$7,'Product Tgt'!$B:$B,'Product Tgt'!$D:$D),0)</f>
        <v>0</v>
      </c>
      <c r="DP46">
        <f>IFERROR(CG46*_xlfn.XLOOKUP(DP$7,'Product Tgt'!$B:$B,'Product Tgt'!$D:$D),0)</f>
        <v>0</v>
      </c>
      <c r="DQ46">
        <f>IFERROR(CH46*_xlfn.XLOOKUP(DQ$7,'Product Tgt'!$B:$B,'Product Tgt'!$D:$D),0)</f>
        <v>0</v>
      </c>
      <c r="DR46">
        <f>IFERROR(CI46*_xlfn.XLOOKUP(DR$7,'Product Tgt'!$B:$B,'Product Tgt'!$D:$D),0)</f>
        <v>0</v>
      </c>
      <c r="DS46">
        <f>IFERROR(CJ46*_xlfn.XLOOKUP(DS$7,'Product Tgt'!$B:$B,'Product Tgt'!$D:$D),0)</f>
        <v>0</v>
      </c>
      <c r="DT46">
        <f>IFERROR(CK46*_xlfn.XLOOKUP(DT$7,'Product Tgt'!$B:$B,'Product Tgt'!$D:$D),0)</f>
        <v>0</v>
      </c>
      <c r="DU46">
        <f>IFERROR(CL46*_xlfn.XLOOKUP(DU$7,'Product Tgt'!$B:$B,'Product Tgt'!$D:$D),0)</f>
        <v>0</v>
      </c>
      <c r="DV46">
        <f>IFERROR(CM46*_xlfn.XLOOKUP(DV$7,'Product Tgt'!$B:$B,'Product Tgt'!$D:$D),0)</f>
        <v>0</v>
      </c>
      <c r="DW46">
        <f>IFERROR(CN46*_xlfn.XLOOKUP(DW$7,'Product Tgt'!$B:$B,'Product Tgt'!$D:$D),0)</f>
        <v>0</v>
      </c>
      <c r="DX46">
        <f>IFERROR(CO46*_xlfn.XLOOKUP(DX$7,'Product Tgt'!$B:$B,'Product Tgt'!$D:$D),0)</f>
        <v>0</v>
      </c>
      <c r="DY46">
        <f>IFERROR(CP46*_xlfn.XLOOKUP(DY$7,'Product Tgt'!$B:$B,'Product Tgt'!$D:$D),0)</f>
        <v>0</v>
      </c>
      <c r="DZ46">
        <f>IFERROR(CQ46*_xlfn.XLOOKUP(DZ$7,'Product Tgt'!$B:$B,'Product Tgt'!$D:$D),0)</f>
        <v>0</v>
      </c>
      <c r="EA46">
        <f>IFERROR(CR46*_xlfn.XLOOKUP(EA$7,'Product Tgt'!$B:$B,'Product Tgt'!$D:$D),0)</f>
        <v>0</v>
      </c>
      <c r="EB46">
        <f>IFERROR(CS46*_xlfn.XLOOKUP(EB$7,'Product Tgt'!$B:$B,'Product Tgt'!$D:$D),0)</f>
        <v>0</v>
      </c>
      <c r="EC46">
        <f>IFERROR(CT46*_xlfn.XLOOKUP(EC$7,'Product Tgt'!$B:$B,'Product Tgt'!$D:$D),0)</f>
        <v>0</v>
      </c>
      <c r="ED46">
        <f>IFERROR(CU46*_xlfn.XLOOKUP(ED$7,'Product Tgt'!$B:$B,'Product Tgt'!$D:$D),0)</f>
        <v>0</v>
      </c>
      <c r="EE46">
        <f>IFERROR(CV46*_xlfn.XLOOKUP(EE$7,'Product Tgt'!$B:$B,'Product Tgt'!$D:$D),0)</f>
        <v>0</v>
      </c>
      <c r="EF46">
        <f>IFERROR(CW46*_xlfn.XLOOKUP(EF$7,'Product Tgt'!$B:$B,'Product Tgt'!$D:$D),0)</f>
        <v>0</v>
      </c>
      <c r="EG46">
        <f>IFERROR(CX46*_xlfn.XLOOKUP(EG$7,'Product Tgt'!$B:$B,'Product Tgt'!$D:$D),0)</f>
        <v>0</v>
      </c>
      <c r="EH46">
        <f>IFERROR(CY46*_xlfn.XLOOKUP(EH$7,'Product Tgt'!$B:$B,'Product Tgt'!$D:$D),0)</f>
        <v>0</v>
      </c>
      <c r="EI46">
        <f>IFERROR(CZ46*_xlfn.XLOOKUP(EI$7,'Product Tgt'!$B:$B,'Product Tgt'!$D:$D),0)</f>
        <v>0</v>
      </c>
    </row>
    <row r="47" spans="2:139" x14ac:dyDescent="0.35">
      <c r="B47" s="7" t="s">
        <v>167</v>
      </c>
      <c r="C47" s="3">
        <f>_xlfn.XLOOKUP($B47,'Terr Target'!$A:$A,'Terr Target'!$E:$E)</f>
        <v>522384.36379851919</v>
      </c>
      <c r="D47" s="3">
        <f t="shared" si="8"/>
        <v>522389</v>
      </c>
      <c r="E47" s="4">
        <f t="shared" si="9"/>
        <v>4.6362014808109961</v>
      </c>
      <c r="F47" s="9">
        <f t="shared" si="7"/>
        <v>8.8749982882698455E-6</v>
      </c>
      <c r="G47" s="5">
        <f t="shared" si="6"/>
        <v>0.99999112500171172</v>
      </c>
      <c r="H47" s="38">
        <v>61070.269044187502</v>
      </c>
      <c r="I47" s="11">
        <v>90397.72332355156</v>
      </c>
      <c r="J47" s="11">
        <v>34636.376492316987</v>
      </c>
      <c r="K47" s="11">
        <v>34807.855774088821</v>
      </c>
      <c r="L47" s="11">
        <v>55855.516029447528</v>
      </c>
      <c r="M47" s="11">
        <v>52909.738016199699</v>
      </c>
      <c r="N47" s="11">
        <v>579.61576219386313</v>
      </c>
      <c r="O47" s="11">
        <v>4495.0876777019848</v>
      </c>
      <c r="P47" s="11">
        <v>2565.383620721278</v>
      </c>
      <c r="Q47" s="11">
        <v>2044.7497759478565</v>
      </c>
      <c r="R47" s="11">
        <v>11233.21710110045</v>
      </c>
      <c r="S47" s="11">
        <v>25157.146902279983</v>
      </c>
      <c r="T47" s="11">
        <v>0</v>
      </c>
      <c r="U47" s="11">
        <v>2110.6272411521177</v>
      </c>
      <c r="V47" s="11">
        <v>28270.796526647529</v>
      </c>
      <c r="W47" s="11">
        <v>44457.365420196111</v>
      </c>
      <c r="X47" s="11">
        <v>5611.3969155223103</v>
      </c>
      <c r="Y47" s="11">
        <v>6391.8729891755856</v>
      </c>
      <c r="Z47" s="11">
        <v>461.74186928059532</v>
      </c>
      <c r="AA47" s="11">
        <v>10574.192610370023</v>
      </c>
      <c r="AB47" s="11">
        <v>2677.3013593169276</v>
      </c>
      <c r="AC47" s="11">
        <v>463.70060459310059</v>
      </c>
      <c r="AD47" s="11">
        <v>8131.6896498659144</v>
      </c>
      <c r="AE47" s="11">
        <v>8692.3776330705678</v>
      </c>
      <c r="AF47" s="11">
        <v>3885.3513633045955</v>
      </c>
      <c r="AG47" s="11">
        <v>20289.909508749497</v>
      </c>
      <c r="AH47" s="11">
        <v>2170.5885262288116</v>
      </c>
      <c r="AI47" s="11">
        <v>10234.431982030448</v>
      </c>
      <c r="AJ47" s="11">
        <v>8684.41277570288</v>
      </c>
      <c r="AK47" s="11">
        <v>3329.2004506707453</v>
      </c>
      <c r="AL47" s="49">
        <v>5110.1505529236856</v>
      </c>
      <c r="AM47" s="41">
        <f>IFERROR(ROUND(_xlfn.XLOOKUP(AM$7,'Product Tgt'!$B:$B,'Product Tgt'!$G:$G)*H47/H$121,0),0)</f>
        <v>59370</v>
      </c>
      <c r="AN47" s="41">
        <f>IFERROR(ROUND(_xlfn.XLOOKUP(AN$7,'Product Tgt'!$B:$B,'Product Tgt'!$G:$G)*I47/I$121,0),0)</f>
        <v>88988</v>
      </c>
      <c r="AO47" s="41">
        <f>IFERROR(ROUND(_xlfn.XLOOKUP(AO$7,'Product Tgt'!$B:$B,'Product Tgt'!$G:$G)*J47/J$121,0),0)</f>
        <v>33559</v>
      </c>
      <c r="AP47" s="41">
        <f>IFERROR(ROUND(_xlfn.XLOOKUP(AP$7,'Product Tgt'!$B:$B,'Product Tgt'!$G:$G)*K47/K$121,0),0)</f>
        <v>33956</v>
      </c>
      <c r="AQ47" s="41">
        <f>IFERROR(ROUND(_xlfn.XLOOKUP(AQ$7,'Product Tgt'!$B:$B,'Product Tgt'!$G:$G)*L47/L$121,0),0)</f>
        <v>54009</v>
      </c>
      <c r="AR47" s="41">
        <f>IFERROR(ROUND(_xlfn.XLOOKUP(AR$7,'Product Tgt'!$B:$B,'Product Tgt'!$G:$G)*M47/M$121,0),0)</f>
        <v>51259</v>
      </c>
      <c r="AS47" s="41">
        <f>IFERROR(ROUND(_xlfn.XLOOKUP(AS$7,'Product Tgt'!$B:$B,'Product Tgt'!$G:$G)*N47/N$121,0),0)</f>
        <v>536</v>
      </c>
      <c r="AT47" s="41">
        <f>IFERROR(ROUND(_xlfn.XLOOKUP(AT$7,'Product Tgt'!$B:$B,'Product Tgt'!$G:$G)*O47/O$121,0),0)</f>
        <v>4046</v>
      </c>
      <c r="AU47" s="41">
        <f>IFERROR(ROUND(_xlfn.XLOOKUP(AU$7,'Product Tgt'!$B:$B,'Product Tgt'!$G:$G)*P47/P$121,0),0)</f>
        <v>1094</v>
      </c>
      <c r="AV47" s="41">
        <f>IFERROR(ROUND(_xlfn.XLOOKUP(AV$7,'Product Tgt'!$B:$B,'Product Tgt'!$G:$G)*Q47/Q$121,0),0)</f>
        <v>1534</v>
      </c>
      <c r="AW47" s="41">
        <f>IFERROR(ROUND(_xlfn.XLOOKUP(AW$7,'Product Tgt'!$B:$B,'Product Tgt'!$G:$G)*R47/R$121,0),0)</f>
        <v>10818</v>
      </c>
      <c r="AX47" s="41">
        <f>IFERROR(ROUND(_xlfn.XLOOKUP(AX$7,'Product Tgt'!$B:$B,'Product Tgt'!$G:$G)*S47/S$121,0),0)</f>
        <v>24230</v>
      </c>
      <c r="AY47" s="41">
        <f>IFERROR(ROUND(_xlfn.XLOOKUP(AY$7,'Product Tgt'!$B:$B,'Product Tgt'!$G:$G)*T47/T$121,0),0)</f>
        <v>0</v>
      </c>
      <c r="AZ47" s="41">
        <f>IFERROR(ROUND(_xlfn.XLOOKUP(AZ$7,'Product Tgt'!$B:$B,'Product Tgt'!$G:$G)*U47/U$121,0),0)</f>
        <v>2020</v>
      </c>
      <c r="BA47" s="41">
        <f>IFERROR(ROUND(_xlfn.XLOOKUP(BA$7,'Product Tgt'!$B:$B,'Product Tgt'!$G:$G)*V47/V$121,0),0)</f>
        <v>27219</v>
      </c>
      <c r="BB47" s="41">
        <f>IFERROR(ROUND(_xlfn.XLOOKUP(BB$7,'Product Tgt'!$B:$B,'Product Tgt'!$G:$G)*W47/W$121,0),0)</f>
        <v>42556</v>
      </c>
      <c r="BC47" s="41">
        <f>IFERROR(ROUND(_xlfn.XLOOKUP(BC$7,'Product Tgt'!$B:$B,'Product Tgt'!$G:$G)*X47/X$121,0),0)</f>
        <v>5430</v>
      </c>
      <c r="BD47" s="41">
        <f>IFERROR(ROUND(_xlfn.XLOOKUP(BD$7,'Product Tgt'!$B:$B,'Product Tgt'!$G:$G)*Y47/Y$121,0),0)</f>
        <v>6181</v>
      </c>
      <c r="BE47" s="41">
        <f>IFERROR(ROUND(_xlfn.XLOOKUP(BE$7,'Product Tgt'!$B:$B,'Product Tgt'!$G:$G)*Z47/Z$121,0),0)</f>
        <v>439</v>
      </c>
      <c r="BF47" s="41">
        <f>IFERROR(ROUND(_xlfn.XLOOKUP(BF$7,'Product Tgt'!$B:$B,'Product Tgt'!$G:$G)*AA47/AA$121,0),0)</f>
        <v>8569</v>
      </c>
      <c r="BG47" s="41">
        <f>IFERROR(ROUND(_xlfn.XLOOKUP(BG$7,'Product Tgt'!$B:$B,'Product Tgt'!$G:$G)*AB47/AB$121,0),0)</f>
        <v>2146</v>
      </c>
      <c r="BH47" s="41">
        <f>IFERROR(ROUND(_xlfn.XLOOKUP(BH$7,'Product Tgt'!$B:$B,'Product Tgt'!$G:$G)*AC47/AC$121,0),0)</f>
        <v>397</v>
      </c>
      <c r="BI47" s="41">
        <f>IFERROR(ROUND(_xlfn.XLOOKUP(BI$7,'Product Tgt'!$B:$B,'Product Tgt'!$G:$G)*AD47/AD$121,0),0)</f>
        <v>7079</v>
      </c>
      <c r="BJ47" s="41">
        <f>IFERROR(ROUND(_xlfn.XLOOKUP(BJ$7,'Product Tgt'!$B:$B,'Product Tgt'!$G:$G)*AE47/AE$121,0),0)</f>
        <v>8090</v>
      </c>
      <c r="BK47" s="41">
        <f>IFERROR(ROUND(_xlfn.XLOOKUP(BK$7,'Product Tgt'!$B:$B,'Product Tgt'!$G:$G)*AF47/AF$121,0),0)</f>
        <v>4341</v>
      </c>
      <c r="BL47" s="41">
        <f>IFERROR(ROUND(_xlfn.XLOOKUP(BL$7,'Product Tgt'!$B:$B,'Product Tgt'!$G:$G)*AG47/AG$121,0),0)</f>
        <v>19381</v>
      </c>
      <c r="BM47" s="41">
        <f>IFERROR(ROUND(_xlfn.XLOOKUP(BM$7,'Product Tgt'!$B:$B,'Product Tgt'!$G:$G)*AH47/AH$121,0),0)</f>
        <v>1702</v>
      </c>
      <c r="BN47" s="41">
        <f>IFERROR(ROUND(_xlfn.XLOOKUP(BN$7,'Product Tgt'!$B:$B,'Product Tgt'!$G:$G)*AI47/AI$121,0),0)</f>
        <v>9399</v>
      </c>
      <c r="BO47" s="41">
        <f>IFERROR(ROUND(_xlfn.XLOOKUP(BO$7,'Product Tgt'!$B:$B,'Product Tgt'!$G:$G)*AJ47/AJ$121,0),0)</f>
        <v>7512</v>
      </c>
      <c r="BP47" s="41">
        <f>IFERROR(ROUND(_xlfn.XLOOKUP(BP$7,'Product Tgt'!$B:$B,'Product Tgt'!$G:$G)*AK47/AK$121,0),0)</f>
        <v>2535</v>
      </c>
      <c r="BQ47" s="41">
        <f>IFERROR(ROUND(_xlfn.XLOOKUP(BQ$7,'Product Tgt'!$B:$B,'Product Tgt'!$G:$G)*AL47/AL$121,0),0)</f>
        <v>3994</v>
      </c>
      <c r="BR47" s="25">
        <f>ROUND(IFERROR(AM47/_xlfn.XLOOKUP(BR$7,'Product Tgt'!$B:$B,'Product Tgt'!$D:$D),0),0)</f>
        <v>0</v>
      </c>
      <c r="BS47" s="11">
        <f>ROUND(IFERROR(AN47/_xlfn.XLOOKUP(BS$7,'Product Tgt'!$B:$B,'Product Tgt'!$D:$D),0),0)</f>
        <v>0</v>
      </c>
      <c r="BT47" s="11">
        <f>ROUND(IFERROR(AO47/_xlfn.XLOOKUP(BT$7,'Product Tgt'!$B:$B,'Product Tgt'!$D:$D),0),0)</f>
        <v>0</v>
      </c>
      <c r="BU47" s="11">
        <f>ROUND(IFERROR(AP47/_xlfn.XLOOKUP(BU$7,'Product Tgt'!$B:$B,'Product Tgt'!$D:$D),0),0)</f>
        <v>0</v>
      </c>
      <c r="BV47" s="11">
        <f>ROUND(IFERROR(AQ47/_xlfn.XLOOKUP(BV$7,'Product Tgt'!$B:$B,'Product Tgt'!$D:$D),0),0)</f>
        <v>0</v>
      </c>
      <c r="BW47" s="11">
        <f>ROUND(IFERROR(AU47/_xlfn.XLOOKUP(BW$7,'Product Tgt'!$B:$B,'Product Tgt'!$D:$D),0),0)</f>
        <v>0</v>
      </c>
      <c r="BX47" s="11">
        <f>ROUND(IFERROR(#REF!/_xlfn.XLOOKUP(BX$7,'Product Tgt'!$B:$B,'Product Tgt'!$D:$D),0),0)</f>
        <v>0</v>
      </c>
      <c r="BY47" s="11">
        <f>ROUND(IFERROR(#REF!/_xlfn.XLOOKUP(BY$7,'Product Tgt'!$B:$B,'Product Tgt'!$D:$D),0),0)</f>
        <v>0</v>
      </c>
      <c r="BZ47" s="11">
        <f>ROUND(IFERROR(#REF!/_xlfn.XLOOKUP(BZ$7,'Product Tgt'!$B:$B,'Product Tgt'!$D:$D),0),0)</f>
        <v>0</v>
      </c>
      <c r="CA47" s="11">
        <f>ROUND(IFERROR(#REF!/_xlfn.XLOOKUP(CA$7,'Product Tgt'!$B:$B,'Product Tgt'!$D:$D),0),0)</f>
        <v>0</v>
      </c>
      <c r="CB47" s="11">
        <f>ROUND(IFERROR(AV47/_xlfn.XLOOKUP(CB$7,'Product Tgt'!$B:$B,'Product Tgt'!$D:$D),0),0)</f>
        <v>0</v>
      </c>
      <c r="CC47" s="11">
        <f>ROUND(IFERROR(AW47/_xlfn.XLOOKUP(CC$7,'Product Tgt'!$B:$B,'Product Tgt'!$D:$D),0),0)</f>
        <v>0</v>
      </c>
      <c r="CD47" s="11">
        <f>ROUND(IFERROR(AX47/_xlfn.XLOOKUP(CD$7,'Product Tgt'!$B:$B,'Product Tgt'!$D:$D),0),0)</f>
        <v>0</v>
      </c>
      <c r="CE47" s="11">
        <f>ROUND(IFERROR(AY47/_xlfn.XLOOKUP(CE$7,'Product Tgt'!$B:$B,'Product Tgt'!$D:$D),0),0)</f>
        <v>0</v>
      </c>
      <c r="CF47" s="11">
        <f>ROUND(IFERROR(AZ47/_xlfn.XLOOKUP(CF$7,'Product Tgt'!$B:$B,'Product Tgt'!$D:$D),0),0)</f>
        <v>0</v>
      </c>
      <c r="CG47" s="11">
        <f>ROUND(IFERROR(BA47/_xlfn.XLOOKUP(CG$7,'Product Tgt'!$B:$B,'Product Tgt'!$D:$D),0),0)</f>
        <v>0</v>
      </c>
      <c r="CH47" s="11">
        <f>ROUND(IFERROR(BB47/_xlfn.XLOOKUP(CH$7,'Product Tgt'!$B:$B,'Product Tgt'!$D:$D),0),0)</f>
        <v>0</v>
      </c>
      <c r="CI47" s="11">
        <f>ROUND(IFERROR(BC47/_xlfn.XLOOKUP(CI$7,'Product Tgt'!$B:$B,'Product Tgt'!$D:$D),0),0)</f>
        <v>0</v>
      </c>
      <c r="CJ47" s="11">
        <f>ROUND(IFERROR(BD47/_xlfn.XLOOKUP(CJ$7,'Product Tgt'!$B:$B,'Product Tgt'!$D:$D),0),0)</f>
        <v>0</v>
      </c>
      <c r="CK47" s="11">
        <f>ROUND(IFERROR(BE47/_xlfn.XLOOKUP(CK$7,'Product Tgt'!$B:$B,'Product Tgt'!$D:$D),0),0)</f>
        <v>0</v>
      </c>
      <c r="CL47" s="11">
        <f>ROUND(IFERROR(BF47/_xlfn.XLOOKUP(CL$7,'Product Tgt'!$B:$B,'Product Tgt'!$D:$D),0),0)</f>
        <v>0</v>
      </c>
      <c r="CM47" s="11">
        <f>ROUND(IFERROR(BG47/_xlfn.XLOOKUP(CM$7,'Product Tgt'!$B:$B,'Product Tgt'!$D:$D),0),0)</f>
        <v>0</v>
      </c>
      <c r="CN47" s="11">
        <f>ROUND(IFERROR(BH47/_xlfn.XLOOKUP(CN$7,'Product Tgt'!$B:$B,'Product Tgt'!$D:$D),0),0)</f>
        <v>0</v>
      </c>
      <c r="CO47" s="11">
        <f>ROUND(IFERROR(BI47/_xlfn.XLOOKUP(CO$7,'Product Tgt'!$B:$B,'Product Tgt'!$D:$D),0),0)</f>
        <v>0</v>
      </c>
      <c r="CP47" s="11">
        <f>ROUND(IFERROR(BJ47/_xlfn.XLOOKUP(CP$7,'Product Tgt'!$B:$B,'Product Tgt'!$D:$D),0),0)</f>
        <v>0</v>
      </c>
      <c r="CQ47" s="11">
        <f>ROUND(IFERROR(BK47/_xlfn.XLOOKUP(CQ$7,'Product Tgt'!$B:$B,'Product Tgt'!$D:$D),0),0)</f>
        <v>0</v>
      </c>
      <c r="CR47" s="11">
        <f>ROUND(IFERROR(BL47/_xlfn.XLOOKUP(CR$7,'Product Tgt'!$B:$B,'Product Tgt'!$D:$D),0),0)</f>
        <v>0</v>
      </c>
      <c r="CS47" s="11">
        <f>ROUND(IFERROR(BM47/_xlfn.XLOOKUP(CS$7,'Product Tgt'!$B:$B,'Product Tgt'!$D:$D),0),0)</f>
        <v>0</v>
      </c>
      <c r="CT47" s="11">
        <f>ROUND(IFERROR(BN47/_xlfn.XLOOKUP(CT$7,'Product Tgt'!$B:$B,'Product Tgt'!$D:$D),0),0)</f>
        <v>0</v>
      </c>
      <c r="CU47" s="11">
        <f>ROUND(IFERROR(BO47/_xlfn.XLOOKUP(CU$7,'Product Tgt'!$B:$B,'Product Tgt'!$D:$D),0),0)</f>
        <v>0</v>
      </c>
      <c r="CV47" s="11">
        <f>ROUND(IFERROR(BP47/_xlfn.XLOOKUP(CV$7,'Product Tgt'!$B:$B,'Product Tgt'!$D:$D),0),0)</f>
        <v>0</v>
      </c>
      <c r="CW47" s="11">
        <f>ROUND(IFERROR(BQ47/_xlfn.XLOOKUP(CW$7,'Product Tgt'!$B:$B,'Product Tgt'!$D:$D),0),0)</f>
        <v>0</v>
      </c>
      <c r="CX47" s="11">
        <f>ROUND(IFERROR(#REF!/_xlfn.XLOOKUP(CX$7,'Product Tgt'!$B:$B,'Product Tgt'!$D:$D),0),0)</f>
        <v>0</v>
      </c>
      <c r="CY47" s="11">
        <f>ROUND(IFERROR(#REF!/_xlfn.XLOOKUP(CY$7,'Product Tgt'!$B:$B,'Product Tgt'!$D:$D),0),0)</f>
        <v>0</v>
      </c>
      <c r="CZ47" s="11">
        <f>ROUND(IFERROR(#REF!/_xlfn.XLOOKUP(CZ$7,'Product Tgt'!$B:$B,'Product Tgt'!$D:$D),0),0)</f>
        <v>0</v>
      </c>
      <c r="DA47" s="10">
        <f>IFERROR(BR47*_xlfn.XLOOKUP(DA$7,'Product Tgt'!$B:$B,'Product Tgt'!$D:$D),0)</f>
        <v>0</v>
      </c>
      <c r="DB47">
        <f>IFERROR(BS47*_xlfn.XLOOKUP(DB$7,'Product Tgt'!$B:$B,'Product Tgt'!$D:$D),0)</f>
        <v>0</v>
      </c>
      <c r="DC47">
        <f>IFERROR(BT47*_xlfn.XLOOKUP(DC$7,'Product Tgt'!$B:$B,'Product Tgt'!$D:$D),0)</f>
        <v>0</v>
      </c>
      <c r="DD47">
        <f>IFERROR(BU47*_xlfn.XLOOKUP(DD$7,'Product Tgt'!$B:$B,'Product Tgt'!$D:$D),0)</f>
        <v>0</v>
      </c>
      <c r="DE47">
        <f>IFERROR(BV47*_xlfn.XLOOKUP(DE$7,'Product Tgt'!$B:$B,'Product Tgt'!$D:$D),0)</f>
        <v>0</v>
      </c>
      <c r="DF47">
        <f>IFERROR(BW47*_xlfn.XLOOKUP(DF$7,'Product Tgt'!$B:$B,'Product Tgt'!$D:$D),0)</f>
        <v>0</v>
      </c>
      <c r="DG47">
        <f>IFERROR(BX47*_xlfn.XLOOKUP(DG$7,'Product Tgt'!$B:$B,'Product Tgt'!$D:$D),0)</f>
        <v>0</v>
      </c>
      <c r="DH47">
        <f>IFERROR(BY47*_xlfn.XLOOKUP(DH$7,'Product Tgt'!$B:$B,'Product Tgt'!$D:$D),0)</f>
        <v>0</v>
      </c>
      <c r="DI47">
        <f>IFERROR(BZ47*_xlfn.XLOOKUP(DI$7,'Product Tgt'!$B:$B,'Product Tgt'!$D:$D),0)</f>
        <v>0</v>
      </c>
      <c r="DJ47">
        <f>IFERROR(CA47*_xlfn.XLOOKUP(DJ$7,'Product Tgt'!$B:$B,'Product Tgt'!$D:$D),0)</f>
        <v>0</v>
      </c>
      <c r="DK47">
        <f>IFERROR(CB47*_xlfn.XLOOKUP(DK$7,'Product Tgt'!$B:$B,'Product Tgt'!$D:$D),0)</f>
        <v>0</v>
      </c>
      <c r="DL47">
        <f>IFERROR(CC47*_xlfn.XLOOKUP(DL$7,'Product Tgt'!$B:$B,'Product Tgt'!$D:$D),0)</f>
        <v>0</v>
      </c>
      <c r="DM47">
        <f>IFERROR(CD47*_xlfn.XLOOKUP(DM$7,'Product Tgt'!$B:$B,'Product Tgt'!$D:$D),0)</f>
        <v>0</v>
      </c>
      <c r="DN47">
        <f>IFERROR(CE47*_xlfn.XLOOKUP(DN$7,'Product Tgt'!$B:$B,'Product Tgt'!$D:$D),0)</f>
        <v>0</v>
      </c>
      <c r="DO47">
        <f>IFERROR(CF47*_xlfn.XLOOKUP(DO$7,'Product Tgt'!$B:$B,'Product Tgt'!$D:$D),0)</f>
        <v>0</v>
      </c>
      <c r="DP47">
        <f>IFERROR(CG47*_xlfn.XLOOKUP(DP$7,'Product Tgt'!$B:$B,'Product Tgt'!$D:$D),0)</f>
        <v>0</v>
      </c>
      <c r="DQ47">
        <f>IFERROR(CH47*_xlfn.XLOOKUP(DQ$7,'Product Tgt'!$B:$B,'Product Tgt'!$D:$D),0)</f>
        <v>0</v>
      </c>
      <c r="DR47">
        <f>IFERROR(CI47*_xlfn.XLOOKUP(DR$7,'Product Tgt'!$B:$B,'Product Tgt'!$D:$D),0)</f>
        <v>0</v>
      </c>
      <c r="DS47">
        <f>IFERROR(CJ47*_xlfn.XLOOKUP(DS$7,'Product Tgt'!$B:$B,'Product Tgt'!$D:$D),0)</f>
        <v>0</v>
      </c>
      <c r="DT47">
        <f>IFERROR(CK47*_xlfn.XLOOKUP(DT$7,'Product Tgt'!$B:$B,'Product Tgt'!$D:$D),0)</f>
        <v>0</v>
      </c>
      <c r="DU47">
        <f>IFERROR(CL47*_xlfn.XLOOKUP(DU$7,'Product Tgt'!$B:$B,'Product Tgt'!$D:$D),0)</f>
        <v>0</v>
      </c>
      <c r="DV47">
        <f>IFERROR(CM47*_xlfn.XLOOKUP(DV$7,'Product Tgt'!$B:$B,'Product Tgt'!$D:$D),0)</f>
        <v>0</v>
      </c>
      <c r="DW47">
        <f>IFERROR(CN47*_xlfn.XLOOKUP(DW$7,'Product Tgt'!$B:$B,'Product Tgt'!$D:$D),0)</f>
        <v>0</v>
      </c>
      <c r="DX47">
        <f>IFERROR(CO47*_xlfn.XLOOKUP(DX$7,'Product Tgt'!$B:$B,'Product Tgt'!$D:$D),0)</f>
        <v>0</v>
      </c>
      <c r="DY47">
        <f>IFERROR(CP47*_xlfn.XLOOKUP(DY$7,'Product Tgt'!$B:$B,'Product Tgt'!$D:$D),0)</f>
        <v>0</v>
      </c>
      <c r="DZ47">
        <f>IFERROR(CQ47*_xlfn.XLOOKUP(DZ$7,'Product Tgt'!$B:$B,'Product Tgt'!$D:$D),0)</f>
        <v>0</v>
      </c>
      <c r="EA47">
        <f>IFERROR(CR47*_xlfn.XLOOKUP(EA$7,'Product Tgt'!$B:$B,'Product Tgt'!$D:$D),0)</f>
        <v>0</v>
      </c>
      <c r="EB47">
        <f>IFERROR(CS47*_xlfn.XLOOKUP(EB$7,'Product Tgt'!$B:$B,'Product Tgt'!$D:$D),0)</f>
        <v>0</v>
      </c>
      <c r="EC47">
        <f>IFERROR(CT47*_xlfn.XLOOKUP(EC$7,'Product Tgt'!$B:$B,'Product Tgt'!$D:$D),0)</f>
        <v>0</v>
      </c>
      <c r="ED47">
        <f>IFERROR(CU47*_xlfn.XLOOKUP(ED$7,'Product Tgt'!$B:$B,'Product Tgt'!$D:$D),0)</f>
        <v>0</v>
      </c>
      <c r="EE47">
        <f>IFERROR(CV47*_xlfn.XLOOKUP(EE$7,'Product Tgt'!$B:$B,'Product Tgt'!$D:$D),0)</f>
        <v>0</v>
      </c>
      <c r="EF47">
        <f>IFERROR(CW47*_xlfn.XLOOKUP(EF$7,'Product Tgt'!$B:$B,'Product Tgt'!$D:$D),0)</f>
        <v>0</v>
      </c>
      <c r="EG47">
        <f>IFERROR(CX47*_xlfn.XLOOKUP(EG$7,'Product Tgt'!$B:$B,'Product Tgt'!$D:$D),0)</f>
        <v>0</v>
      </c>
      <c r="EH47">
        <f>IFERROR(CY47*_xlfn.XLOOKUP(EH$7,'Product Tgt'!$B:$B,'Product Tgt'!$D:$D),0)</f>
        <v>0</v>
      </c>
      <c r="EI47">
        <f>IFERROR(CZ47*_xlfn.XLOOKUP(EI$7,'Product Tgt'!$B:$B,'Product Tgt'!$D:$D),0)</f>
        <v>0</v>
      </c>
    </row>
    <row r="48" spans="2:139" x14ac:dyDescent="0.35">
      <c r="B48" s="7" t="s">
        <v>168</v>
      </c>
      <c r="C48" s="3">
        <f>_xlfn.XLOOKUP($B48,'Terr Target'!$A:$A,'Terr Target'!$E:$E)</f>
        <v>426674.37118102564</v>
      </c>
      <c r="D48" s="3">
        <f t="shared" si="8"/>
        <v>426674</v>
      </c>
      <c r="E48" s="4">
        <f t="shared" si="9"/>
        <v>-0.37118102563545108</v>
      </c>
      <c r="F48" s="9">
        <f t="shared" si="7"/>
        <v>8.6994057672942596E-7</v>
      </c>
      <c r="G48" s="5">
        <f t="shared" si="6"/>
        <v>1.0000008699405767</v>
      </c>
      <c r="H48" s="38">
        <v>47988.626928485239</v>
      </c>
      <c r="I48" s="11">
        <v>69529.227498638837</v>
      </c>
      <c r="J48" s="11">
        <v>26354.476477693344</v>
      </c>
      <c r="K48" s="11">
        <v>24503.53384575732</v>
      </c>
      <c r="L48" s="11">
        <v>40872.981626827721</v>
      </c>
      <c r="M48" s="11">
        <v>42941.176543613648</v>
      </c>
      <c r="N48" s="11">
        <v>442.32040803726483</v>
      </c>
      <c r="O48" s="11">
        <v>3678.7379731236115</v>
      </c>
      <c r="P48" s="11">
        <v>1410.0733078410526</v>
      </c>
      <c r="Q48" s="11">
        <v>1133.8469700812711</v>
      </c>
      <c r="R48" s="11">
        <v>8204.9189760217341</v>
      </c>
      <c r="S48" s="11">
        <v>24959.054113931717</v>
      </c>
      <c r="T48" s="11">
        <v>0</v>
      </c>
      <c r="U48" s="11">
        <v>4345.2358390319314</v>
      </c>
      <c r="V48" s="11">
        <v>17560.147219263166</v>
      </c>
      <c r="W48" s="11">
        <v>34510.829175287858</v>
      </c>
      <c r="X48" s="11">
        <v>3778.832742715429</v>
      </c>
      <c r="Y48" s="11">
        <v>3463.5872581211647</v>
      </c>
      <c r="Z48" s="11">
        <v>294.24980107060554</v>
      </c>
      <c r="AA48" s="11">
        <v>9202.9044592025348</v>
      </c>
      <c r="AB48" s="11">
        <v>2089.6109142790806</v>
      </c>
      <c r="AC48" s="11">
        <v>376.30109240067037</v>
      </c>
      <c r="AD48" s="11">
        <v>13014.641781243887</v>
      </c>
      <c r="AE48" s="11">
        <v>12338.206492199726</v>
      </c>
      <c r="AF48" s="11">
        <v>9213.5924429981806</v>
      </c>
      <c r="AG48" s="11">
        <v>16444.263667639934</v>
      </c>
      <c r="AH48" s="11">
        <v>1828.3657672890401</v>
      </c>
      <c r="AI48" s="11">
        <v>7894.9174085706536</v>
      </c>
      <c r="AJ48" s="11">
        <v>7215.4098245590176</v>
      </c>
      <c r="AK48" s="11">
        <v>5081.3256893175258</v>
      </c>
      <c r="AL48" s="49">
        <v>6976.4713403784308</v>
      </c>
      <c r="AM48" s="41">
        <f>IFERROR(ROUND(_xlfn.XLOOKUP(AM$7,'Product Tgt'!$B:$B,'Product Tgt'!$G:$G)*H48/H$121,0),0)</f>
        <v>46653</v>
      </c>
      <c r="AN48" s="41">
        <f>IFERROR(ROUND(_xlfn.XLOOKUP(AN$7,'Product Tgt'!$B:$B,'Product Tgt'!$G:$G)*I48/I$121,0),0)</f>
        <v>68445</v>
      </c>
      <c r="AO48" s="41">
        <f>IFERROR(ROUND(_xlfn.XLOOKUP(AO$7,'Product Tgt'!$B:$B,'Product Tgt'!$G:$G)*J48/J$121,0),0)</f>
        <v>25535</v>
      </c>
      <c r="AP48" s="41">
        <f>IFERROR(ROUND(_xlfn.XLOOKUP(AP$7,'Product Tgt'!$B:$B,'Product Tgt'!$G:$G)*K48/K$121,0),0)</f>
        <v>23904</v>
      </c>
      <c r="AQ48" s="41">
        <f>IFERROR(ROUND(_xlfn.XLOOKUP(AQ$7,'Product Tgt'!$B:$B,'Product Tgt'!$G:$G)*L48/L$121,0),0)</f>
        <v>39522</v>
      </c>
      <c r="AR48" s="41">
        <f>IFERROR(ROUND(_xlfn.XLOOKUP(AR$7,'Product Tgt'!$B:$B,'Product Tgt'!$G:$G)*M48/M$121,0),0)</f>
        <v>41601</v>
      </c>
      <c r="AS48" s="41">
        <f>IFERROR(ROUND(_xlfn.XLOOKUP(AS$7,'Product Tgt'!$B:$B,'Product Tgt'!$G:$G)*N48/N$121,0),0)</f>
        <v>409</v>
      </c>
      <c r="AT48" s="41">
        <f>IFERROR(ROUND(_xlfn.XLOOKUP(AT$7,'Product Tgt'!$B:$B,'Product Tgt'!$G:$G)*O48/O$121,0),0)</f>
        <v>3311</v>
      </c>
      <c r="AU48" s="41">
        <f>IFERROR(ROUND(_xlfn.XLOOKUP(AU$7,'Product Tgt'!$B:$B,'Product Tgt'!$G:$G)*P48/P$121,0),0)</f>
        <v>601</v>
      </c>
      <c r="AV48" s="41">
        <f>IFERROR(ROUND(_xlfn.XLOOKUP(AV$7,'Product Tgt'!$B:$B,'Product Tgt'!$G:$G)*Q48/Q$121,0),0)</f>
        <v>851</v>
      </c>
      <c r="AW48" s="41">
        <f>IFERROR(ROUND(_xlfn.XLOOKUP(AW$7,'Product Tgt'!$B:$B,'Product Tgt'!$G:$G)*R48/R$121,0),0)</f>
        <v>7902</v>
      </c>
      <c r="AX48" s="41">
        <f>IFERROR(ROUND(_xlfn.XLOOKUP(AX$7,'Product Tgt'!$B:$B,'Product Tgt'!$G:$G)*S48/S$121,0),0)</f>
        <v>24039</v>
      </c>
      <c r="AY48" s="41">
        <f>IFERROR(ROUND(_xlfn.XLOOKUP(AY$7,'Product Tgt'!$B:$B,'Product Tgt'!$G:$G)*T48/T$121,0),0)</f>
        <v>0</v>
      </c>
      <c r="AZ48" s="41">
        <f>IFERROR(ROUND(_xlfn.XLOOKUP(AZ$7,'Product Tgt'!$B:$B,'Product Tgt'!$G:$G)*U48/U$121,0),0)</f>
        <v>4159</v>
      </c>
      <c r="BA48" s="41">
        <f>IFERROR(ROUND(_xlfn.XLOOKUP(BA$7,'Product Tgt'!$B:$B,'Product Tgt'!$G:$G)*V48/V$121,0),0)</f>
        <v>16907</v>
      </c>
      <c r="BB48" s="41">
        <f>IFERROR(ROUND(_xlfn.XLOOKUP(BB$7,'Product Tgt'!$B:$B,'Product Tgt'!$G:$G)*W48/W$121,0),0)</f>
        <v>33035</v>
      </c>
      <c r="BC48" s="41">
        <f>IFERROR(ROUND(_xlfn.XLOOKUP(BC$7,'Product Tgt'!$B:$B,'Product Tgt'!$G:$G)*X48/X$121,0),0)</f>
        <v>3656</v>
      </c>
      <c r="BD48" s="41">
        <f>IFERROR(ROUND(_xlfn.XLOOKUP(BD$7,'Product Tgt'!$B:$B,'Product Tgt'!$G:$G)*Y48/Y$121,0),0)</f>
        <v>3349</v>
      </c>
      <c r="BE48" s="41">
        <f>IFERROR(ROUND(_xlfn.XLOOKUP(BE$7,'Product Tgt'!$B:$B,'Product Tgt'!$G:$G)*Z48/Z$121,0),0)</f>
        <v>280</v>
      </c>
      <c r="BF48" s="41">
        <f>IFERROR(ROUND(_xlfn.XLOOKUP(BF$7,'Product Tgt'!$B:$B,'Product Tgt'!$G:$G)*AA48/AA$121,0),0)</f>
        <v>7458</v>
      </c>
      <c r="BG48" s="41">
        <f>IFERROR(ROUND(_xlfn.XLOOKUP(BG$7,'Product Tgt'!$B:$B,'Product Tgt'!$G:$G)*AB48/AB$121,0),0)</f>
        <v>1675</v>
      </c>
      <c r="BH48" s="41">
        <f>IFERROR(ROUND(_xlfn.XLOOKUP(BH$7,'Product Tgt'!$B:$B,'Product Tgt'!$G:$G)*AC48/AC$121,0),0)</f>
        <v>322</v>
      </c>
      <c r="BI48" s="41">
        <f>IFERROR(ROUND(_xlfn.XLOOKUP(BI$7,'Product Tgt'!$B:$B,'Product Tgt'!$G:$G)*AD48/AD$121,0),0)</f>
        <v>11330</v>
      </c>
      <c r="BJ48" s="41">
        <f>IFERROR(ROUND(_xlfn.XLOOKUP(BJ$7,'Product Tgt'!$B:$B,'Product Tgt'!$G:$G)*AE48/AE$121,0),0)</f>
        <v>11484</v>
      </c>
      <c r="BK48" s="41">
        <f>IFERROR(ROUND(_xlfn.XLOOKUP(BK$7,'Product Tgt'!$B:$B,'Product Tgt'!$G:$G)*AF48/AF$121,0),0)</f>
        <v>10293</v>
      </c>
      <c r="BL48" s="41">
        <f>IFERROR(ROUND(_xlfn.XLOOKUP(BL$7,'Product Tgt'!$B:$B,'Product Tgt'!$G:$G)*AG48/AG$121,0),0)</f>
        <v>15707</v>
      </c>
      <c r="BM48" s="41">
        <f>IFERROR(ROUND(_xlfn.XLOOKUP(BM$7,'Product Tgt'!$B:$B,'Product Tgt'!$G:$G)*AH48/AH$121,0),0)</f>
        <v>1433</v>
      </c>
      <c r="BN48" s="41">
        <f>IFERROR(ROUND(_xlfn.XLOOKUP(BN$7,'Product Tgt'!$B:$B,'Product Tgt'!$G:$G)*AI48/AI$121,0),0)</f>
        <v>7250</v>
      </c>
      <c r="BO48" s="41">
        <f>IFERROR(ROUND(_xlfn.XLOOKUP(BO$7,'Product Tgt'!$B:$B,'Product Tgt'!$G:$G)*AJ48/AJ$121,0),0)</f>
        <v>6241</v>
      </c>
      <c r="BP48" s="41">
        <f>IFERROR(ROUND(_xlfn.XLOOKUP(BP$7,'Product Tgt'!$B:$B,'Product Tgt'!$G:$G)*AK48/AK$121,0),0)</f>
        <v>3869</v>
      </c>
      <c r="BQ48" s="41">
        <f>IFERROR(ROUND(_xlfn.XLOOKUP(BQ$7,'Product Tgt'!$B:$B,'Product Tgt'!$G:$G)*AL48/AL$121,0),0)</f>
        <v>5453</v>
      </c>
      <c r="BR48" s="25">
        <f>ROUND(IFERROR(AM48/_xlfn.XLOOKUP(BR$7,'Product Tgt'!$B:$B,'Product Tgt'!$D:$D),0),0)</f>
        <v>0</v>
      </c>
      <c r="BS48" s="11">
        <f>ROUND(IFERROR(AN48/_xlfn.XLOOKUP(BS$7,'Product Tgt'!$B:$B,'Product Tgt'!$D:$D),0),0)</f>
        <v>0</v>
      </c>
      <c r="BT48" s="11">
        <f>ROUND(IFERROR(AO48/_xlfn.XLOOKUP(BT$7,'Product Tgt'!$B:$B,'Product Tgt'!$D:$D),0),0)</f>
        <v>0</v>
      </c>
      <c r="BU48" s="11">
        <f>ROUND(IFERROR(AP48/_xlfn.XLOOKUP(BU$7,'Product Tgt'!$B:$B,'Product Tgt'!$D:$D),0),0)</f>
        <v>0</v>
      </c>
      <c r="BV48" s="11">
        <f>ROUND(IFERROR(AQ48/_xlfn.XLOOKUP(BV$7,'Product Tgt'!$B:$B,'Product Tgt'!$D:$D),0),0)</f>
        <v>0</v>
      </c>
      <c r="BW48" s="11">
        <f>ROUND(IFERROR(AU48/_xlfn.XLOOKUP(BW$7,'Product Tgt'!$B:$B,'Product Tgt'!$D:$D),0),0)</f>
        <v>0</v>
      </c>
      <c r="BX48" s="11">
        <f>ROUND(IFERROR(#REF!/_xlfn.XLOOKUP(BX$7,'Product Tgt'!$B:$B,'Product Tgt'!$D:$D),0),0)</f>
        <v>0</v>
      </c>
      <c r="BY48" s="11">
        <f>ROUND(IFERROR(#REF!/_xlfn.XLOOKUP(BY$7,'Product Tgt'!$B:$B,'Product Tgt'!$D:$D),0),0)</f>
        <v>0</v>
      </c>
      <c r="BZ48" s="11">
        <f>ROUND(IFERROR(#REF!/_xlfn.XLOOKUP(BZ$7,'Product Tgt'!$B:$B,'Product Tgt'!$D:$D),0),0)</f>
        <v>0</v>
      </c>
      <c r="CA48" s="11">
        <f>ROUND(IFERROR(#REF!/_xlfn.XLOOKUP(CA$7,'Product Tgt'!$B:$B,'Product Tgt'!$D:$D),0),0)</f>
        <v>0</v>
      </c>
      <c r="CB48" s="11">
        <f>ROUND(IFERROR(AV48/_xlfn.XLOOKUP(CB$7,'Product Tgt'!$B:$B,'Product Tgt'!$D:$D),0),0)</f>
        <v>0</v>
      </c>
      <c r="CC48" s="11">
        <f>ROUND(IFERROR(AW48/_xlfn.XLOOKUP(CC$7,'Product Tgt'!$B:$B,'Product Tgt'!$D:$D),0),0)</f>
        <v>0</v>
      </c>
      <c r="CD48" s="11">
        <f>ROUND(IFERROR(AX48/_xlfn.XLOOKUP(CD$7,'Product Tgt'!$B:$B,'Product Tgt'!$D:$D),0),0)</f>
        <v>0</v>
      </c>
      <c r="CE48" s="11">
        <f>ROUND(IFERROR(AY48/_xlfn.XLOOKUP(CE$7,'Product Tgt'!$B:$B,'Product Tgt'!$D:$D),0),0)</f>
        <v>0</v>
      </c>
      <c r="CF48" s="11">
        <f>ROUND(IFERROR(AZ48/_xlfn.XLOOKUP(CF$7,'Product Tgt'!$B:$B,'Product Tgt'!$D:$D),0),0)</f>
        <v>0</v>
      </c>
      <c r="CG48" s="11">
        <f>ROUND(IFERROR(BA48/_xlfn.XLOOKUP(CG$7,'Product Tgt'!$B:$B,'Product Tgt'!$D:$D),0),0)</f>
        <v>0</v>
      </c>
      <c r="CH48" s="11">
        <f>ROUND(IFERROR(BB48/_xlfn.XLOOKUP(CH$7,'Product Tgt'!$B:$B,'Product Tgt'!$D:$D),0),0)</f>
        <v>0</v>
      </c>
      <c r="CI48" s="11">
        <f>ROUND(IFERROR(BC48/_xlfn.XLOOKUP(CI$7,'Product Tgt'!$B:$B,'Product Tgt'!$D:$D),0),0)</f>
        <v>0</v>
      </c>
      <c r="CJ48" s="11">
        <f>ROUND(IFERROR(BD48/_xlfn.XLOOKUP(CJ$7,'Product Tgt'!$B:$B,'Product Tgt'!$D:$D),0),0)</f>
        <v>0</v>
      </c>
      <c r="CK48" s="11">
        <f>ROUND(IFERROR(BE48/_xlfn.XLOOKUP(CK$7,'Product Tgt'!$B:$B,'Product Tgt'!$D:$D),0),0)</f>
        <v>0</v>
      </c>
      <c r="CL48" s="11">
        <f>ROUND(IFERROR(BF48/_xlfn.XLOOKUP(CL$7,'Product Tgt'!$B:$B,'Product Tgt'!$D:$D),0),0)</f>
        <v>0</v>
      </c>
      <c r="CM48" s="11">
        <f>ROUND(IFERROR(BG48/_xlfn.XLOOKUP(CM$7,'Product Tgt'!$B:$B,'Product Tgt'!$D:$D),0),0)</f>
        <v>0</v>
      </c>
      <c r="CN48" s="11">
        <f>ROUND(IFERROR(BH48/_xlfn.XLOOKUP(CN$7,'Product Tgt'!$B:$B,'Product Tgt'!$D:$D),0),0)</f>
        <v>0</v>
      </c>
      <c r="CO48" s="11">
        <f>ROUND(IFERROR(BI48/_xlfn.XLOOKUP(CO$7,'Product Tgt'!$B:$B,'Product Tgt'!$D:$D),0),0)</f>
        <v>0</v>
      </c>
      <c r="CP48" s="11">
        <f>ROUND(IFERROR(BJ48/_xlfn.XLOOKUP(CP$7,'Product Tgt'!$B:$B,'Product Tgt'!$D:$D),0),0)</f>
        <v>0</v>
      </c>
      <c r="CQ48" s="11">
        <f>ROUND(IFERROR(BK48/_xlfn.XLOOKUP(CQ$7,'Product Tgt'!$B:$B,'Product Tgt'!$D:$D),0),0)</f>
        <v>0</v>
      </c>
      <c r="CR48" s="11">
        <f>ROUND(IFERROR(BL48/_xlfn.XLOOKUP(CR$7,'Product Tgt'!$B:$B,'Product Tgt'!$D:$D),0),0)</f>
        <v>0</v>
      </c>
      <c r="CS48" s="11">
        <f>ROUND(IFERROR(BM48/_xlfn.XLOOKUP(CS$7,'Product Tgt'!$B:$B,'Product Tgt'!$D:$D),0),0)</f>
        <v>0</v>
      </c>
      <c r="CT48" s="11">
        <f>ROUND(IFERROR(BN48/_xlfn.XLOOKUP(CT$7,'Product Tgt'!$B:$B,'Product Tgt'!$D:$D),0),0)</f>
        <v>0</v>
      </c>
      <c r="CU48" s="11">
        <f>ROUND(IFERROR(BO48/_xlfn.XLOOKUP(CU$7,'Product Tgt'!$B:$B,'Product Tgt'!$D:$D),0),0)</f>
        <v>0</v>
      </c>
      <c r="CV48" s="11">
        <f>ROUND(IFERROR(BP48/_xlfn.XLOOKUP(CV$7,'Product Tgt'!$B:$B,'Product Tgt'!$D:$D),0),0)</f>
        <v>0</v>
      </c>
      <c r="CW48" s="11">
        <f>ROUND(IFERROR(BQ48/_xlfn.XLOOKUP(CW$7,'Product Tgt'!$B:$B,'Product Tgt'!$D:$D),0),0)</f>
        <v>0</v>
      </c>
      <c r="CX48" s="11">
        <f>ROUND(IFERROR(#REF!/_xlfn.XLOOKUP(CX$7,'Product Tgt'!$B:$B,'Product Tgt'!$D:$D),0),0)</f>
        <v>0</v>
      </c>
      <c r="CY48" s="11">
        <f>ROUND(IFERROR(#REF!/_xlfn.XLOOKUP(CY$7,'Product Tgt'!$B:$B,'Product Tgt'!$D:$D),0),0)</f>
        <v>0</v>
      </c>
      <c r="CZ48" s="11">
        <f>ROUND(IFERROR(#REF!/_xlfn.XLOOKUP(CZ$7,'Product Tgt'!$B:$B,'Product Tgt'!$D:$D),0),0)</f>
        <v>0</v>
      </c>
      <c r="DA48" s="10">
        <f>IFERROR(BR48*_xlfn.XLOOKUP(DA$7,'Product Tgt'!$B:$B,'Product Tgt'!$D:$D),0)</f>
        <v>0</v>
      </c>
      <c r="DB48">
        <f>IFERROR(BS48*_xlfn.XLOOKUP(DB$7,'Product Tgt'!$B:$B,'Product Tgt'!$D:$D),0)</f>
        <v>0</v>
      </c>
      <c r="DC48">
        <f>IFERROR(BT48*_xlfn.XLOOKUP(DC$7,'Product Tgt'!$B:$B,'Product Tgt'!$D:$D),0)</f>
        <v>0</v>
      </c>
      <c r="DD48">
        <f>IFERROR(BU48*_xlfn.XLOOKUP(DD$7,'Product Tgt'!$B:$B,'Product Tgt'!$D:$D),0)</f>
        <v>0</v>
      </c>
      <c r="DE48">
        <f>IFERROR(BV48*_xlfn.XLOOKUP(DE$7,'Product Tgt'!$B:$B,'Product Tgt'!$D:$D),0)</f>
        <v>0</v>
      </c>
      <c r="DF48">
        <f>IFERROR(BW48*_xlfn.XLOOKUP(DF$7,'Product Tgt'!$B:$B,'Product Tgt'!$D:$D),0)</f>
        <v>0</v>
      </c>
      <c r="DG48">
        <f>IFERROR(BX48*_xlfn.XLOOKUP(DG$7,'Product Tgt'!$B:$B,'Product Tgt'!$D:$D),0)</f>
        <v>0</v>
      </c>
      <c r="DH48">
        <f>IFERROR(BY48*_xlfn.XLOOKUP(DH$7,'Product Tgt'!$B:$B,'Product Tgt'!$D:$D),0)</f>
        <v>0</v>
      </c>
      <c r="DI48">
        <f>IFERROR(BZ48*_xlfn.XLOOKUP(DI$7,'Product Tgt'!$B:$B,'Product Tgt'!$D:$D),0)</f>
        <v>0</v>
      </c>
      <c r="DJ48">
        <f>IFERROR(CA48*_xlfn.XLOOKUP(DJ$7,'Product Tgt'!$B:$B,'Product Tgt'!$D:$D),0)</f>
        <v>0</v>
      </c>
      <c r="DK48">
        <f>IFERROR(CB48*_xlfn.XLOOKUP(DK$7,'Product Tgt'!$B:$B,'Product Tgt'!$D:$D),0)</f>
        <v>0</v>
      </c>
      <c r="DL48">
        <f>IFERROR(CC48*_xlfn.XLOOKUP(DL$7,'Product Tgt'!$B:$B,'Product Tgt'!$D:$D),0)</f>
        <v>0</v>
      </c>
      <c r="DM48">
        <f>IFERROR(CD48*_xlfn.XLOOKUP(DM$7,'Product Tgt'!$B:$B,'Product Tgt'!$D:$D),0)</f>
        <v>0</v>
      </c>
      <c r="DN48">
        <f>IFERROR(CE48*_xlfn.XLOOKUP(DN$7,'Product Tgt'!$B:$B,'Product Tgt'!$D:$D),0)</f>
        <v>0</v>
      </c>
      <c r="DO48">
        <f>IFERROR(CF48*_xlfn.XLOOKUP(DO$7,'Product Tgt'!$B:$B,'Product Tgt'!$D:$D),0)</f>
        <v>0</v>
      </c>
      <c r="DP48">
        <f>IFERROR(CG48*_xlfn.XLOOKUP(DP$7,'Product Tgt'!$B:$B,'Product Tgt'!$D:$D),0)</f>
        <v>0</v>
      </c>
      <c r="DQ48">
        <f>IFERROR(CH48*_xlfn.XLOOKUP(DQ$7,'Product Tgt'!$B:$B,'Product Tgt'!$D:$D),0)</f>
        <v>0</v>
      </c>
      <c r="DR48">
        <f>IFERROR(CI48*_xlfn.XLOOKUP(DR$7,'Product Tgt'!$B:$B,'Product Tgt'!$D:$D),0)</f>
        <v>0</v>
      </c>
      <c r="DS48">
        <f>IFERROR(CJ48*_xlfn.XLOOKUP(DS$7,'Product Tgt'!$B:$B,'Product Tgt'!$D:$D),0)</f>
        <v>0</v>
      </c>
      <c r="DT48">
        <f>IFERROR(CK48*_xlfn.XLOOKUP(DT$7,'Product Tgt'!$B:$B,'Product Tgt'!$D:$D),0)</f>
        <v>0</v>
      </c>
      <c r="DU48">
        <f>IFERROR(CL48*_xlfn.XLOOKUP(DU$7,'Product Tgt'!$B:$B,'Product Tgt'!$D:$D),0)</f>
        <v>0</v>
      </c>
      <c r="DV48">
        <f>IFERROR(CM48*_xlfn.XLOOKUP(DV$7,'Product Tgt'!$B:$B,'Product Tgt'!$D:$D),0)</f>
        <v>0</v>
      </c>
      <c r="DW48">
        <f>IFERROR(CN48*_xlfn.XLOOKUP(DW$7,'Product Tgt'!$B:$B,'Product Tgt'!$D:$D),0)</f>
        <v>0</v>
      </c>
      <c r="DX48">
        <f>IFERROR(CO48*_xlfn.XLOOKUP(DX$7,'Product Tgt'!$B:$B,'Product Tgt'!$D:$D),0)</f>
        <v>0</v>
      </c>
      <c r="DY48">
        <f>IFERROR(CP48*_xlfn.XLOOKUP(DY$7,'Product Tgt'!$B:$B,'Product Tgt'!$D:$D),0)</f>
        <v>0</v>
      </c>
      <c r="DZ48">
        <f>IFERROR(CQ48*_xlfn.XLOOKUP(DZ$7,'Product Tgt'!$B:$B,'Product Tgt'!$D:$D),0)</f>
        <v>0</v>
      </c>
      <c r="EA48">
        <f>IFERROR(CR48*_xlfn.XLOOKUP(EA$7,'Product Tgt'!$B:$B,'Product Tgt'!$D:$D),0)</f>
        <v>0</v>
      </c>
      <c r="EB48">
        <f>IFERROR(CS48*_xlfn.XLOOKUP(EB$7,'Product Tgt'!$B:$B,'Product Tgt'!$D:$D),0)</f>
        <v>0</v>
      </c>
      <c r="EC48">
        <f>IFERROR(CT48*_xlfn.XLOOKUP(EC$7,'Product Tgt'!$B:$B,'Product Tgt'!$D:$D),0)</f>
        <v>0</v>
      </c>
      <c r="ED48">
        <f>IFERROR(CU48*_xlfn.XLOOKUP(ED$7,'Product Tgt'!$B:$B,'Product Tgt'!$D:$D),0)</f>
        <v>0</v>
      </c>
      <c r="EE48">
        <f>IFERROR(CV48*_xlfn.XLOOKUP(EE$7,'Product Tgt'!$B:$B,'Product Tgt'!$D:$D),0)</f>
        <v>0</v>
      </c>
      <c r="EF48">
        <f>IFERROR(CW48*_xlfn.XLOOKUP(EF$7,'Product Tgt'!$B:$B,'Product Tgt'!$D:$D),0)</f>
        <v>0</v>
      </c>
      <c r="EG48">
        <f>IFERROR(CX48*_xlfn.XLOOKUP(EG$7,'Product Tgt'!$B:$B,'Product Tgt'!$D:$D),0)</f>
        <v>0</v>
      </c>
      <c r="EH48">
        <f>IFERROR(CY48*_xlfn.XLOOKUP(EH$7,'Product Tgt'!$B:$B,'Product Tgt'!$D:$D),0)</f>
        <v>0</v>
      </c>
      <c r="EI48">
        <f>IFERROR(CZ48*_xlfn.XLOOKUP(EI$7,'Product Tgt'!$B:$B,'Product Tgt'!$D:$D),0)</f>
        <v>0</v>
      </c>
    </row>
    <row r="49" spans="2:139" x14ac:dyDescent="0.35">
      <c r="B49" s="7" t="s">
        <v>169</v>
      </c>
      <c r="C49" s="3">
        <f>_xlfn.XLOOKUP($B49,'Terr Target'!$A:$A,'Terr Target'!$E:$E)</f>
        <v>473269.95770739461</v>
      </c>
      <c r="D49" s="3">
        <f t="shared" si="8"/>
        <v>473274</v>
      </c>
      <c r="E49" s="4">
        <f t="shared" si="9"/>
        <v>4.0422926053870469</v>
      </c>
      <c r="F49" s="9">
        <f t="shared" si="7"/>
        <v>8.5411254482330461E-6</v>
      </c>
      <c r="G49" s="5">
        <f t="shared" si="6"/>
        <v>0.99999145887455176</v>
      </c>
      <c r="H49" s="38">
        <v>63422.087481152055</v>
      </c>
      <c r="I49" s="11">
        <v>109388.22986395251</v>
      </c>
      <c r="J49" s="11">
        <v>41288.843954927106</v>
      </c>
      <c r="K49" s="11">
        <v>39943.379450216977</v>
      </c>
      <c r="L49" s="11">
        <v>49353.738676825909</v>
      </c>
      <c r="M49" s="11">
        <v>45842.933056688482</v>
      </c>
      <c r="N49" s="11">
        <v>359.36301635063984</v>
      </c>
      <c r="O49" s="11">
        <v>3341.5727313910702</v>
      </c>
      <c r="P49" s="11">
        <v>1419.6224022249646</v>
      </c>
      <c r="Q49" s="11">
        <v>449.73240605311429</v>
      </c>
      <c r="R49" s="11">
        <v>5471.2445930337853</v>
      </c>
      <c r="S49" s="11">
        <v>14442.056956139833</v>
      </c>
      <c r="T49" s="11">
        <v>0</v>
      </c>
      <c r="U49" s="11">
        <v>913.31357609996167</v>
      </c>
      <c r="V49" s="11">
        <v>18918.741890977093</v>
      </c>
      <c r="W49" s="11">
        <v>35452.89538853291</v>
      </c>
      <c r="X49" s="11">
        <v>5595.1190569146465</v>
      </c>
      <c r="Y49" s="11">
        <v>5586.1645156083041</v>
      </c>
      <c r="Z49" s="11">
        <v>371.32556876099704</v>
      </c>
      <c r="AA49" s="11">
        <v>6604.7386254900239</v>
      </c>
      <c r="AB49" s="11">
        <v>1794.8891604522785</v>
      </c>
      <c r="AC49" s="11">
        <v>415.96921871068702</v>
      </c>
      <c r="AD49" s="11">
        <v>2800.4980475556349</v>
      </c>
      <c r="AE49" s="11">
        <v>4415.7106635472865</v>
      </c>
      <c r="AF49" s="11">
        <v>760.40138126449926</v>
      </c>
      <c r="AG49" s="11">
        <v>13800.129517170109</v>
      </c>
      <c r="AH49" s="11">
        <v>1038.4190412247099</v>
      </c>
      <c r="AI49" s="11">
        <v>7402.9039481395848</v>
      </c>
      <c r="AJ49" s="11">
        <v>6229.4520124039373</v>
      </c>
      <c r="AK49" s="11">
        <v>1921.1462073858247</v>
      </c>
      <c r="AL49" s="49">
        <v>3817.6823173232879</v>
      </c>
      <c r="AM49" s="41">
        <f>IFERROR(ROUND(_xlfn.XLOOKUP(AM$7,'Product Tgt'!$B:$B,'Product Tgt'!$G:$G)*H49/H$121,0),0)</f>
        <v>61657</v>
      </c>
      <c r="AN49" s="41">
        <f>IFERROR(ROUND(_xlfn.XLOOKUP(AN$7,'Product Tgt'!$B:$B,'Product Tgt'!$G:$G)*I49/I$121,0),0)</f>
        <v>107682</v>
      </c>
      <c r="AO49" s="41">
        <f>IFERROR(ROUND(_xlfn.XLOOKUP(AO$7,'Product Tgt'!$B:$B,'Product Tgt'!$G:$G)*J49/J$121,0),0)</f>
        <v>40005</v>
      </c>
      <c r="AP49" s="41">
        <f>IFERROR(ROUND(_xlfn.XLOOKUP(AP$7,'Product Tgt'!$B:$B,'Product Tgt'!$G:$G)*K49/K$121,0),0)</f>
        <v>38966</v>
      </c>
      <c r="AQ49" s="41">
        <f>IFERROR(ROUND(_xlfn.XLOOKUP(AQ$7,'Product Tgt'!$B:$B,'Product Tgt'!$G:$G)*L49/L$121,0),0)</f>
        <v>47722</v>
      </c>
      <c r="AR49" s="41">
        <f>IFERROR(ROUND(_xlfn.XLOOKUP(AR$7,'Product Tgt'!$B:$B,'Product Tgt'!$G:$G)*M49/M$121,0),0)</f>
        <v>44412</v>
      </c>
      <c r="AS49" s="41">
        <f>IFERROR(ROUND(_xlfn.XLOOKUP(AS$7,'Product Tgt'!$B:$B,'Product Tgt'!$G:$G)*N49/N$121,0),0)</f>
        <v>332</v>
      </c>
      <c r="AT49" s="41">
        <f>IFERROR(ROUND(_xlfn.XLOOKUP(AT$7,'Product Tgt'!$B:$B,'Product Tgt'!$G:$G)*O49/O$121,0),0)</f>
        <v>3008</v>
      </c>
      <c r="AU49" s="41">
        <f>IFERROR(ROUND(_xlfn.XLOOKUP(AU$7,'Product Tgt'!$B:$B,'Product Tgt'!$G:$G)*P49/P$121,0),0)</f>
        <v>605</v>
      </c>
      <c r="AV49" s="41">
        <f>IFERROR(ROUND(_xlfn.XLOOKUP(AV$7,'Product Tgt'!$B:$B,'Product Tgt'!$G:$G)*Q49/Q$121,0),0)</f>
        <v>337</v>
      </c>
      <c r="AW49" s="41">
        <f>IFERROR(ROUND(_xlfn.XLOOKUP(AW$7,'Product Tgt'!$B:$B,'Product Tgt'!$G:$G)*R49/R$121,0),0)</f>
        <v>5269</v>
      </c>
      <c r="AX49" s="41">
        <f>IFERROR(ROUND(_xlfn.XLOOKUP(AX$7,'Product Tgt'!$B:$B,'Product Tgt'!$G:$G)*S49/S$121,0),0)</f>
        <v>13910</v>
      </c>
      <c r="AY49" s="41">
        <f>IFERROR(ROUND(_xlfn.XLOOKUP(AY$7,'Product Tgt'!$B:$B,'Product Tgt'!$G:$G)*T49/T$121,0),0)</f>
        <v>0</v>
      </c>
      <c r="AZ49" s="41">
        <f>IFERROR(ROUND(_xlfn.XLOOKUP(AZ$7,'Product Tgt'!$B:$B,'Product Tgt'!$G:$G)*U49/U$121,0),0)</f>
        <v>874</v>
      </c>
      <c r="BA49" s="41">
        <f>IFERROR(ROUND(_xlfn.XLOOKUP(BA$7,'Product Tgt'!$B:$B,'Product Tgt'!$G:$G)*V49/V$121,0),0)</f>
        <v>18215</v>
      </c>
      <c r="BB49" s="41">
        <f>IFERROR(ROUND(_xlfn.XLOOKUP(BB$7,'Product Tgt'!$B:$B,'Product Tgt'!$G:$G)*W49/W$121,0),0)</f>
        <v>33937</v>
      </c>
      <c r="BC49" s="41">
        <f>IFERROR(ROUND(_xlfn.XLOOKUP(BC$7,'Product Tgt'!$B:$B,'Product Tgt'!$G:$G)*X49/X$121,0),0)</f>
        <v>5414</v>
      </c>
      <c r="BD49" s="41">
        <f>IFERROR(ROUND(_xlfn.XLOOKUP(BD$7,'Product Tgt'!$B:$B,'Product Tgt'!$G:$G)*Y49/Y$121,0),0)</f>
        <v>5402</v>
      </c>
      <c r="BE49" s="41">
        <f>IFERROR(ROUND(_xlfn.XLOOKUP(BE$7,'Product Tgt'!$B:$B,'Product Tgt'!$G:$G)*Z49/Z$121,0),0)</f>
        <v>353</v>
      </c>
      <c r="BF49" s="41">
        <f>IFERROR(ROUND(_xlfn.XLOOKUP(BF$7,'Product Tgt'!$B:$B,'Product Tgt'!$G:$G)*AA49/AA$121,0),0)</f>
        <v>5352</v>
      </c>
      <c r="BG49" s="41">
        <f>IFERROR(ROUND(_xlfn.XLOOKUP(BG$7,'Product Tgt'!$B:$B,'Product Tgt'!$G:$G)*AB49/AB$121,0),0)</f>
        <v>1439</v>
      </c>
      <c r="BH49" s="41">
        <f>IFERROR(ROUND(_xlfn.XLOOKUP(BH$7,'Product Tgt'!$B:$B,'Product Tgt'!$G:$G)*AC49/AC$121,0),0)</f>
        <v>356</v>
      </c>
      <c r="BI49" s="41">
        <f>IFERROR(ROUND(_xlfn.XLOOKUP(BI$7,'Product Tgt'!$B:$B,'Product Tgt'!$G:$G)*AD49/AD$121,0),0)</f>
        <v>2438</v>
      </c>
      <c r="BJ49" s="41">
        <f>IFERROR(ROUND(_xlfn.XLOOKUP(BJ$7,'Product Tgt'!$B:$B,'Product Tgt'!$G:$G)*AE49/AE$121,0),0)</f>
        <v>4110</v>
      </c>
      <c r="BK49" s="41">
        <f>IFERROR(ROUND(_xlfn.XLOOKUP(BK$7,'Product Tgt'!$B:$B,'Product Tgt'!$G:$G)*AF49/AF$121,0),0)</f>
        <v>849</v>
      </c>
      <c r="BL49" s="41">
        <f>IFERROR(ROUND(_xlfn.XLOOKUP(BL$7,'Product Tgt'!$B:$B,'Product Tgt'!$G:$G)*AG49/AG$121,0),0)</f>
        <v>13182</v>
      </c>
      <c r="BM49" s="41">
        <f>IFERROR(ROUND(_xlfn.XLOOKUP(BM$7,'Product Tgt'!$B:$B,'Product Tgt'!$G:$G)*AH49/AH$121,0),0)</f>
        <v>814</v>
      </c>
      <c r="BN49" s="41">
        <f>IFERROR(ROUND(_xlfn.XLOOKUP(BN$7,'Product Tgt'!$B:$B,'Product Tgt'!$G:$G)*AI49/AI$121,0),0)</f>
        <v>6799</v>
      </c>
      <c r="BO49" s="41">
        <f>IFERROR(ROUND(_xlfn.XLOOKUP(BO$7,'Product Tgt'!$B:$B,'Product Tgt'!$G:$G)*AJ49/AJ$121,0),0)</f>
        <v>5388</v>
      </c>
      <c r="BP49" s="41">
        <f>IFERROR(ROUND(_xlfn.XLOOKUP(BP$7,'Product Tgt'!$B:$B,'Product Tgt'!$G:$G)*AK49/AK$121,0),0)</f>
        <v>1463</v>
      </c>
      <c r="BQ49" s="41">
        <f>IFERROR(ROUND(_xlfn.XLOOKUP(BQ$7,'Product Tgt'!$B:$B,'Product Tgt'!$G:$G)*AL49/AL$121,0),0)</f>
        <v>2984</v>
      </c>
      <c r="BR49" s="25">
        <f>ROUND(IFERROR(AM49/_xlfn.XLOOKUP(BR$7,'Product Tgt'!$B:$B,'Product Tgt'!$D:$D),0),0)</f>
        <v>0</v>
      </c>
      <c r="BS49" s="11">
        <f>ROUND(IFERROR(AN49/_xlfn.XLOOKUP(BS$7,'Product Tgt'!$B:$B,'Product Tgt'!$D:$D),0),0)</f>
        <v>0</v>
      </c>
      <c r="BT49" s="11">
        <f>ROUND(IFERROR(AO49/_xlfn.XLOOKUP(BT$7,'Product Tgt'!$B:$B,'Product Tgt'!$D:$D),0),0)</f>
        <v>0</v>
      </c>
      <c r="BU49" s="11">
        <f>ROUND(IFERROR(AP49/_xlfn.XLOOKUP(BU$7,'Product Tgt'!$B:$B,'Product Tgt'!$D:$D),0),0)</f>
        <v>0</v>
      </c>
      <c r="BV49" s="11">
        <f>ROUND(IFERROR(AQ49/_xlfn.XLOOKUP(BV$7,'Product Tgt'!$B:$B,'Product Tgt'!$D:$D),0),0)</f>
        <v>0</v>
      </c>
      <c r="BW49" s="11">
        <f>ROUND(IFERROR(AU49/_xlfn.XLOOKUP(BW$7,'Product Tgt'!$B:$B,'Product Tgt'!$D:$D),0),0)</f>
        <v>0</v>
      </c>
      <c r="BX49" s="11">
        <f>ROUND(IFERROR(#REF!/_xlfn.XLOOKUP(BX$7,'Product Tgt'!$B:$B,'Product Tgt'!$D:$D),0),0)</f>
        <v>0</v>
      </c>
      <c r="BY49" s="11">
        <f>ROUND(IFERROR(#REF!/_xlfn.XLOOKUP(BY$7,'Product Tgt'!$B:$B,'Product Tgt'!$D:$D),0),0)</f>
        <v>0</v>
      </c>
      <c r="BZ49" s="11">
        <f>ROUND(IFERROR(#REF!/_xlfn.XLOOKUP(BZ$7,'Product Tgt'!$B:$B,'Product Tgt'!$D:$D),0),0)</f>
        <v>0</v>
      </c>
      <c r="CA49" s="11">
        <f>ROUND(IFERROR(#REF!/_xlfn.XLOOKUP(CA$7,'Product Tgt'!$B:$B,'Product Tgt'!$D:$D),0),0)</f>
        <v>0</v>
      </c>
      <c r="CB49" s="11">
        <f>ROUND(IFERROR(AV49/_xlfn.XLOOKUP(CB$7,'Product Tgt'!$B:$B,'Product Tgt'!$D:$D),0),0)</f>
        <v>0</v>
      </c>
      <c r="CC49" s="11">
        <f>ROUND(IFERROR(AW49/_xlfn.XLOOKUP(CC$7,'Product Tgt'!$B:$B,'Product Tgt'!$D:$D),0),0)</f>
        <v>0</v>
      </c>
      <c r="CD49" s="11">
        <f>ROUND(IFERROR(AX49/_xlfn.XLOOKUP(CD$7,'Product Tgt'!$B:$B,'Product Tgt'!$D:$D),0),0)</f>
        <v>0</v>
      </c>
      <c r="CE49" s="11">
        <f>ROUND(IFERROR(AY49/_xlfn.XLOOKUP(CE$7,'Product Tgt'!$B:$B,'Product Tgt'!$D:$D),0),0)</f>
        <v>0</v>
      </c>
      <c r="CF49" s="11">
        <f>ROUND(IFERROR(AZ49/_xlfn.XLOOKUP(CF$7,'Product Tgt'!$B:$B,'Product Tgt'!$D:$D),0),0)</f>
        <v>0</v>
      </c>
      <c r="CG49" s="11">
        <f>ROUND(IFERROR(BA49/_xlfn.XLOOKUP(CG$7,'Product Tgt'!$B:$B,'Product Tgt'!$D:$D),0),0)</f>
        <v>0</v>
      </c>
      <c r="CH49" s="11">
        <f>ROUND(IFERROR(BB49/_xlfn.XLOOKUP(CH$7,'Product Tgt'!$B:$B,'Product Tgt'!$D:$D),0),0)</f>
        <v>0</v>
      </c>
      <c r="CI49" s="11">
        <f>ROUND(IFERROR(BC49/_xlfn.XLOOKUP(CI$7,'Product Tgt'!$B:$B,'Product Tgt'!$D:$D),0),0)</f>
        <v>0</v>
      </c>
      <c r="CJ49" s="11">
        <f>ROUND(IFERROR(BD49/_xlfn.XLOOKUP(CJ$7,'Product Tgt'!$B:$B,'Product Tgt'!$D:$D),0),0)</f>
        <v>0</v>
      </c>
      <c r="CK49" s="11">
        <f>ROUND(IFERROR(BE49/_xlfn.XLOOKUP(CK$7,'Product Tgt'!$B:$B,'Product Tgt'!$D:$D),0),0)</f>
        <v>0</v>
      </c>
      <c r="CL49" s="11">
        <f>ROUND(IFERROR(BF49/_xlfn.XLOOKUP(CL$7,'Product Tgt'!$B:$B,'Product Tgt'!$D:$D),0),0)</f>
        <v>0</v>
      </c>
      <c r="CM49" s="11">
        <f>ROUND(IFERROR(BG49/_xlfn.XLOOKUP(CM$7,'Product Tgt'!$B:$B,'Product Tgt'!$D:$D),0),0)</f>
        <v>0</v>
      </c>
      <c r="CN49" s="11">
        <f>ROUND(IFERROR(BH49/_xlfn.XLOOKUP(CN$7,'Product Tgt'!$B:$B,'Product Tgt'!$D:$D),0),0)</f>
        <v>0</v>
      </c>
      <c r="CO49" s="11">
        <f>ROUND(IFERROR(BI49/_xlfn.XLOOKUP(CO$7,'Product Tgt'!$B:$B,'Product Tgt'!$D:$D),0),0)</f>
        <v>0</v>
      </c>
      <c r="CP49" s="11">
        <f>ROUND(IFERROR(BJ49/_xlfn.XLOOKUP(CP$7,'Product Tgt'!$B:$B,'Product Tgt'!$D:$D),0),0)</f>
        <v>0</v>
      </c>
      <c r="CQ49" s="11">
        <f>ROUND(IFERROR(BK49/_xlfn.XLOOKUP(CQ$7,'Product Tgt'!$B:$B,'Product Tgt'!$D:$D),0),0)</f>
        <v>0</v>
      </c>
      <c r="CR49" s="11">
        <f>ROUND(IFERROR(BL49/_xlfn.XLOOKUP(CR$7,'Product Tgt'!$B:$B,'Product Tgt'!$D:$D),0),0)</f>
        <v>0</v>
      </c>
      <c r="CS49" s="11">
        <f>ROUND(IFERROR(BM49/_xlfn.XLOOKUP(CS$7,'Product Tgt'!$B:$B,'Product Tgt'!$D:$D),0),0)</f>
        <v>0</v>
      </c>
      <c r="CT49" s="11">
        <f>ROUND(IFERROR(BN49/_xlfn.XLOOKUP(CT$7,'Product Tgt'!$B:$B,'Product Tgt'!$D:$D),0),0)</f>
        <v>0</v>
      </c>
      <c r="CU49" s="11">
        <f>ROUND(IFERROR(BO49/_xlfn.XLOOKUP(CU$7,'Product Tgt'!$B:$B,'Product Tgt'!$D:$D),0),0)</f>
        <v>0</v>
      </c>
      <c r="CV49" s="11">
        <f>ROUND(IFERROR(BP49/_xlfn.XLOOKUP(CV$7,'Product Tgt'!$B:$B,'Product Tgt'!$D:$D),0),0)</f>
        <v>0</v>
      </c>
      <c r="CW49" s="11">
        <f>ROUND(IFERROR(BQ49/_xlfn.XLOOKUP(CW$7,'Product Tgt'!$B:$B,'Product Tgt'!$D:$D),0),0)</f>
        <v>0</v>
      </c>
      <c r="CX49" s="11">
        <f>ROUND(IFERROR(#REF!/_xlfn.XLOOKUP(CX$7,'Product Tgt'!$B:$B,'Product Tgt'!$D:$D),0),0)</f>
        <v>0</v>
      </c>
      <c r="CY49" s="11">
        <f>ROUND(IFERROR(#REF!/_xlfn.XLOOKUP(CY$7,'Product Tgt'!$B:$B,'Product Tgt'!$D:$D),0),0)</f>
        <v>0</v>
      </c>
      <c r="CZ49" s="11">
        <f>ROUND(IFERROR(#REF!/_xlfn.XLOOKUP(CZ$7,'Product Tgt'!$B:$B,'Product Tgt'!$D:$D),0),0)</f>
        <v>0</v>
      </c>
      <c r="DA49" s="10">
        <f>IFERROR(BR49*_xlfn.XLOOKUP(DA$7,'Product Tgt'!$B:$B,'Product Tgt'!$D:$D),0)</f>
        <v>0</v>
      </c>
      <c r="DB49">
        <f>IFERROR(BS49*_xlfn.XLOOKUP(DB$7,'Product Tgt'!$B:$B,'Product Tgt'!$D:$D),0)</f>
        <v>0</v>
      </c>
      <c r="DC49">
        <f>IFERROR(BT49*_xlfn.XLOOKUP(DC$7,'Product Tgt'!$B:$B,'Product Tgt'!$D:$D),0)</f>
        <v>0</v>
      </c>
      <c r="DD49">
        <f>IFERROR(BU49*_xlfn.XLOOKUP(DD$7,'Product Tgt'!$B:$B,'Product Tgt'!$D:$D),0)</f>
        <v>0</v>
      </c>
      <c r="DE49">
        <f>IFERROR(BV49*_xlfn.XLOOKUP(DE$7,'Product Tgt'!$B:$B,'Product Tgt'!$D:$D),0)</f>
        <v>0</v>
      </c>
      <c r="DF49">
        <f>IFERROR(BW49*_xlfn.XLOOKUP(DF$7,'Product Tgt'!$B:$B,'Product Tgt'!$D:$D),0)</f>
        <v>0</v>
      </c>
      <c r="DG49">
        <f>IFERROR(BX49*_xlfn.XLOOKUP(DG$7,'Product Tgt'!$B:$B,'Product Tgt'!$D:$D),0)</f>
        <v>0</v>
      </c>
      <c r="DH49">
        <f>IFERROR(BY49*_xlfn.XLOOKUP(DH$7,'Product Tgt'!$B:$B,'Product Tgt'!$D:$D),0)</f>
        <v>0</v>
      </c>
      <c r="DI49">
        <f>IFERROR(BZ49*_xlfn.XLOOKUP(DI$7,'Product Tgt'!$B:$B,'Product Tgt'!$D:$D),0)</f>
        <v>0</v>
      </c>
      <c r="DJ49">
        <f>IFERROR(CA49*_xlfn.XLOOKUP(DJ$7,'Product Tgt'!$B:$B,'Product Tgt'!$D:$D),0)</f>
        <v>0</v>
      </c>
      <c r="DK49">
        <f>IFERROR(CB49*_xlfn.XLOOKUP(DK$7,'Product Tgt'!$B:$B,'Product Tgt'!$D:$D),0)</f>
        <v>0</v>
      </c>
      <c r="DL49">
        <f>IFERROR(CC49*_xlfn.XLOOKUP(DL$7,'Product Tgt'!$B:$B,'Product Tgt'!$D:$D),0)</f>
        <v>0</v>
      </c>
      <c r="DM49">
        <f>IFERROR(CD49*_xlfn.XLOOKUP(DM$7,'Product Tgt'!$B:$B,'Product Tgt'!$D:$D),0)</f>
        <v>0</v>
      </c>
      <c r="DN49">
        <f>IFERROR(CE49*_xlfn.XLOOKUP(DN$7,'Product Tgt'!$B:$B,'Product Tgt'!$D:$D),0)</f>
        <v>0</v>
      </c>
      <c r="DO49">
        <f>IFERROR(CF49*_xlfn.XLOOKUP(DO$7,'Product Tgt'!$B:$B,'Product Tgt'!$D:$D),0)</f>
        <v>0</v>
      </c>
      <c r="DP49">
        <f>IFERROR(CG49*_xlfn.XLOOKUP(DP$7,'Product Tgt'!$B:$B,'Product Tgt'!$D:$D),0)</f>
        <v>0</v>
      </c>
      <c r="DQ49">
        <f>IFERROR(CH49*_xlfn.XLOOKUP(DQ$7,'Product Tgt'!$B:$B,'Product Tgt'!$D:$D),0)</f>
        <v>0</v>
      </c>
      <c r="DR49">
        <f>IFERROR(CI49*_xlfn.XLOOKUP(DR$7,'Product Tgt'!$B:$B,'Product Tgt'!$D:$D),0)</f>
        <v>0</v>
      </c>
      <c r="DS49">
        <f>IFERROR(CJ49*_xlfn.XLOOKUP(DS$7,'Product Tgt'!$B:$B,'Product Tgt'!$D:$D),0)</f>
        <v>0</v>
      </c>
      <c r="DT49">
        <f>IFERROR(CK49*_xlfn.XLOOKUP(DT$7,'Product Tgt'!$B:$B,'Product Tgt'!$D:$D),0)</f>
        <v>0</v>
      </c>
      <c r="DU49">
        <f>IFERROR(CL49*_xlfn.XLOOKUP(DU$7,'Product Tgt'!$B:$B,'Product Tgt'!$D:$D),0)</f>
        <v>0</v>
      </c>
      <c r="DV49">
        <f>IFERROR(CM49*_xlfn.XLOOKUP(DV$7,'Product Tgt'!$B:$B,'Product Tgt'!$D:$D),0)</f>
        <v>0</v>
      </c>
      <c r="DW49">
        <f>IFERROR(CN49*_xlfn.XLOOKUP(DW$7,'Product Tgt'!$B:$B,'Product Tgt'!$D:$D),0)</f>
        <v>0</v>
      </c>
      <c r="DX49">
        <f>IFERROR(CO49*_xlfn.XLOOKUP(DX$7,'Product Tgt'!$B:$B,'Product Tgt'!$D:$D),0)</f>
        <v>0</v>
      </c>
      <c r="DY49">
        <f>IFERROR(CP49*_xlfn.XLOOKUP(DY$7,'Product Tgt'!$B:$B,'Product Tgt'!$D:$D),0)</f>
        <v>0</v>
      </c>
      <c r="DZ49">
        <f>IFERROR(CQ49*_xlfn.XLOOKUP(DZ$7,'Product Tgt'!$B:$B,'Product Tgt'!$D:$D),0)</f>
        <v>0</v>
      </c>
      <c r="EA49">
        <f>IFERROR(CR49*_xlfn.XLOOKUP(EA$7,'Product Tgt'!$B:$B,'Product Tgt'!$D:$D),0)</f>
        <v>0</v>
      </c>
      <c r="EB49">
        <f>IFERROR(CS49*_xlfn.XLOOKUP(EB$7,'Product Tgt'!$B:$B,'Product Tgt'!$D:$D),0)</f>
        <v>0</v>
      </c>
      <c r="EC49">
        <f>IFERROR(CT49*_xlfn.XLOOKUP(EC$7,'Product Tgt'!$B:$B,'Product Tgt'!$D:$D),0)</f>
        <v>0</v>
      </c>
      <c r="ED49">
        <f>IFERROR(CU49*_xlfn.XLOOKUP(ED$7,'Product Tgt'!$B:$B,'Product Tgt'!$D:$D),0)</f>
        <v>0</v>
      </c>
      <c r="EE49">
        <f>IFERROR(CV49*_xlfn.XLOOKUP(EE$7,'Product Tgt'!$B:$B,'Product Tgt'!$D:$D),0)</f>
        <v>0</v>
      </c>
      <c r="EF49">
        <f>IFERROR(CW49*_xlfn.XLOOKUP(EF$7,'Product Tgt'!$B:$B,'Product Tgt'!$D:$D),0)</f>
        <v>0</v>
      </c>
      <c r="EG49">
        <f>IFERROR(CX49*_xlfn.XLOOKUP(EG$7,'Product Tgt'!$B:$B,'Product Tgt'!$D:$D),0)</f>
        <v>0</v>
      </c>
      <c r="EH49">
        <f>IFERROR(CY49*_xlfn.XLOOKUP(EH$7,'Product Tgt'!$B:$B,'Product Tgt'!$D:$D),0)</f>
        <v>0</v>
      </c>
      <c r="EI49">
        <f>IFERROR(CZ49*_xlfn.XLOOKUP(EI$7,'Product Tgt'!$B:$B,'Product Tgt'!$D:$D),0)</f>
        <v>0</v>
      </c>
    </row>
    <row r="50" spans="2:139" x14ac:dyDescent="0.35">
      <c r="B50" s="7" t="s">
        <v>150</v>
      </c>
      <c r="C50" s="3">
        <f>_xlfn.XLOOKUP($B50,'Terr Target'!$A:$A,'Terr Target'!$E:$E)</f>
        <v>461746.7201884528</v>
      </c>
      <c r="D50" s="3">
        <f t="shared" si="8"/>
        <v>461738</v>
      </c>
      <c r="E50" s="4">
        <f t="shared" si="9"/>
        <v>-8.7201884528039955</v>
      </c>
      <c r="F50" s="9">
        <f t="shared" si="7"/>
        <v>1.8885576783379308E-5</v>
      </c>
      <c r="G50" s="5">
        <f t="shared" si="6"/>
        <v>1.0000188855767833</v>
      </c>
      <c r="H50" s="38">
        <v>43869.307146356965</v>
      </c>
      <c r="I50" s="11">
        <v>66039.812579202146</v>
      </c>
      <c r="J50" s="11">
        <v>80689.6069838806</v>
      </c>
      <c r="K50" s="11">
        <v>24944.486228575119</v>
      </c>
      <c r="L50" s="11">
        <v>28745.94632242162</v>
      </c>
      <c r="M50" s="11">
        <v>23576.663613793757</v>
      </c>
      <c r="N50" s="11">
        <v>401.58208027830938</v>
      </c>
      <c r="O50" s="11">
        <v>2059.9758686076793</v>
      </c>
      <c r="P50" s="11">
        <v>1375.0030225509265</v>
      </c>
      <c r="Q50" s="11">
        <v>1111.6212591763745</v>
      </c>
      <c r="R50" s="11">
        <v>6404.6833820745624</v>
      </c>
      <c r="S50" s="11">
        <v>12737.162105824773</v>
      </c>
      <c r="T50" s="11">
        <v>0</v>
      </c>
      <c r="U50" s="11">
        <v>2739.9514713213189</v>
      </c>
      <c r="V50" s="11">
        <v>29478.768524577372</v>
      </c>
      <c r="W50" s="11">
        <v>23058.412425404666</v>
      </c>
      <c r="X50" s="11">
        <v>1964.8579983213112</v>
      </c>
      <c r="Y50" s="11">
        <v>2193.1789421683229</v>
      </c>
      <c r="Z50" s="11">
        <v>329.49759614256698</v>
      </c>
      <c r="AA50" s="11">
        <v>5569.0822051084315</v>
      </c>
      <c r="AB50" s="11">
        <v>2001.9417500238194</v>
      </c>
      <c r="AC50" s="11">
        <v>2479.6241352406541</v>
      </c>
      <c r="AD50" s="11">
        <v>29159.145240932423</v>
      </c>
      <c r="AE50" s="11">
        <v>28695.593337393209</v>
      </c>
      <c r="AF50" s="11">
        <v>8943.6435229423751</v>
      </c>
      <c r="AG50" s="11">
        <v>18933.383328720451</v>
      </c>
      <c r="AH50" s="11">
        <v>1263.8318835691432</v>
      </c>
      <c r="AI50" s="11">
        <v>20709.127212229403</v>
      </c>
      <c r="AJ50" s="11">
        <v>12908.710760068348</v>
      </c>
      <c r="AK50" s="11">
        <v>1029.5923609329923</v>
      </c>
      <c r="AL50" s="49">
        <v>1370.8369840123785</v>
      </c>
      <c r="AM50" s="41">
        <f>IFERROR(ROUND(_xlfn.XLOOKUP(AM$7,'Product Tgt'!$B:$B,'Product Tgt'!$G:$G)*H50/H$121,0),0)</f>
        <v>42648</v>
      </c>
      <c r="AN50" s="41">
        <f>IFERROR(ROUND(_xlfn.XLOOKUP(AN$7,'Product Tgt'!$B:$B,'Product Tgt'!$G:$G)*I50/I$121,0),0)</f>
        <v>65010</v>
      </c>
      <c r="AO50" s="41">
        <f>IFERROR(ROUND(_xlfn.XLOOKUP(AO$7,'Product Tgt'!$B:$B,'Product Tgt'!$G:$G)*J50/J$121,0),0)</f>
        <v>78180</v>
      </c>
      <c r="AP50" s="41">
        <f>IFERROR(ROUND(_xlfn.XLOOKUP(AP$7,'Product Tgt'!$B:$B,'Product Tgt'!$G:$G)*K50/K$121,0),0)</f>
        <v>24334</v>
      </c>
      <c r="AQ50" s="41">
        <f>IFERROR(ROUND(_xlfn.XLOOKUP(AQ$7,'Product Tgt'!$B:$B,'Product Tgt'!$G:$G)*L50/L$121,0),0)</f>
        <v>27796</v>
      </c>
      <c r="AR50" s="41">
        <f>IFERROR(ROUND(_xlfn.XLOOKUP(AR$7,'Product Tgt'!$B:$B,'Product Tgt'!$G:$G)*M50/M$121,0),0)</f>
        <v>22841</v>
      </c>
      <c r="AS50" s="41">
        <f>IFERROR(ROUND(_xlfn.XLOOKUP(AS$7,'Product Tgt'!$B:$B,'Product Tgt'!$G:$G)*N50/N$121,0),0)</f>
        <v>371</v>
      </c>
      <c r="AT50" s="41">
        <f>IFERROR(ROUND(_xlfn.XLOOKUP(AT$7,'Product Tgt'!$B:$B,'Product Tgt'!$G:$G)*O50/O$121,0),0)</f>
        <v>1854</v>
      </c>
      <c r="AU50" s="41">
        <f>IFERROR(ROUND(_xlfn.XLOOKUP(AU$7,'Product Tgt'!$B:$B,'Product Tgt'!$G:$G)*P50/P$121,0),0)</f>
        <v>586</v>
      </c>
      <c r="AV50" s="41">
        <f>IFERROR(ROUND(_xlfn.XLOOKUP(AV$7,'Product Tgt'!$B:$B,'Product Tgt'!$G:$G)*Q50/Q$121,0),0)</f>
        <v>834</v>
      </c>
      <c r="AW50" s="41">
        <f>IFERROR(ROUND(_xlfn.XLOOKUP(AW$7,'Product Tgt'!$B:$B,'Product Tgt'!$G:$G)*R50/R$121,0),0)</f>
        <v>6168</v>
      </c>
      <c r="AX50" s="41">
        <f>IFERROR(ROUND(_xlfn.XLOOKUP(AX$7,'Product Tgt'!$B:$B,'Product Tgt'!$G:$G)*S50/S$121,0),0)</f>
        <v>12268</v>
      </c>
      <c r="AY50" s="41">
        <f>IFERROR(ROUND(_xlfn.XLOOKUP(AY$7,'Product Tgt'!$B:$B,'Product Tgt'!$G:$G)*T50/T$121,0),0)</f>
        <v>0</v>
      </c>
      <c r="AZ50" s="41">
        <f>IFERROR(ROUND(_xlfn.XLOOKUP(AZ$7,'Product Tgt'!$B:$B,'Product Tgt'!$G:$G)*U50/U$121,0),0)</f>
        <v>2622</v>
      </c>
      <c r="BA50" s="41">
        <f>IFERROR(ROUND(_xlfn.XLOOKUP(BA$7,'Product Tgt'!$B:$B,'Product Tgt'!$G:$G)*V50/V$121,0),0)</f>
        <v>28382</v>
      </c>
      <c r="BB50" s="41">
        <f>IFERROR(ROUND(_xlfn.XLOOKUP(BB$7,'Product Tgt'!$B:$B,'Product Tgt'!$G:$G)*W50/W$121,0),0)</f>
        <v>22072</v>
      </c>
      <c r="BC50" s="41">
        <f>IFERROR(ROUND(_xlfn.XLOOKUP(BC$7,'Product Tgt'!$B:$B,'Product Tgt'!$G:$G)*X50/X$121,0),0)</f>
        <v>1901</v>
      </c>
      <c r="BD50" s="41">
        <f>IFERROR(ROUND(_xlfn.XLOOKUP(BD$7,'Product Tgt'!$B:$B,'Product Tgt'!$G:$G)*Y50/Y$121,0),0)</f>
        <v>2121</v>
      </c>
      <c r="BE50" s="41">
        <f>IFERROR(ROUND(_xlfn.XLOOKUP(BE$7,'Product Tgt'!$B:$B,'Product Tgt'!$G:$G)*Z50/Z$121,0),0)</f>
        <v>313</v>
      </c>
      <c r="BF50" s="41">
        <f>IFERROR(ROUND(_xlfn.XLOOKUP(BF$7,'Product Tgt'!$B:$B,'Product Tgt'!$G:$G)*AA50/AA$121,0),0)</f>
        <v>4513</v>
      </c>
      <c r="BG50" s="41">
        <f>IFERROR(ROUND(_xlfn.XLOOKUP(BG$7,'Product Tgt'!$B:$B,'Product Tgt'!$G:$G)*AB50/AB$121,0),0)</f>
        <v>1604</v>
      </c>
      <c r="BH50" s="41">
        <f>IFERROR(ROUND(_xlfn.XLOOKUP(BH$7,'Product Tgt'!$B:$B,'Product Tgt'!$G:$G)*AC50/AC$121,0),0)</f>
        <v>2122</v>
      </c>
      <c r="BI50" s="41">
        <f>IFERROR(ROUND(_xlfn.XLOOKUP(BI$7,'Product Tgt'!$B:$B,'Product Tgt'!$G:$G)*AD50/AD$121,0),0)</f>
        <v>25384</v>
      </c>
      <c r="BJ50" s="41">
        <f>IFERROR(ROUND(_xlfn.XLOOKUP(BJ$7,'Product Tgt'!$B:$B,'Product Tgt'!$G:$G)*AE50/AE$121,0),0)</f>
        <v>26708</v>
      </c>
      <c r="BK50" s="41">
        <f>IFERROR(ROUND(_xlfn.XLOOKUP(BK$7,'Product Tgt'!$B:$B,'Product Tgt'!$G:$G)*AF50/AF$121,0),0)</f>
        <v>9991</v>
      </c>
      <c r="BL50" s="41">
        <f>IFERROR(ROUND(_xlfn.XLOOKUP(BL$7,'Product Tgt'!$B:$B,'Product Tgt'!$G:$G)*AG50/AG$121,0),0)</f>
        <v>18085</v>
      </c>
      <c r="BM50" s="41">
        <f>IFERROR(ROUND(_xlfn.XLOOKUP(BM$7,'Product Tgt'!$B:$B,'Product Tgt'!$G:$G)*AH50/AH$121,0),0)</f>
        <v>991</v>
      </c>
      <c r="BN50" s="41">
        <f>IFERROR(ROUND(_xlfn.XLOOKUP(BN$7,'Product Tgt'!$B:$B,'Product Tgt'!$G:$G)*AI50/AI$121,0),0)</f>
        <v>19018</v>
      </c>
      <c r="BO50" s="41">
        <f>IFERROR(ROUND(_xlfn.XLOOKUP(BO$7,'Product Tgt'!$B:$B,'Product Tgt'!$G:$G)*AJ50/AJ$121,0),0)</f>
        <v>11165</v>
      </c>
      <c r="BP50" s="41">
        <f>IFERROR(ROUND(_xlfn.XLOOKUP(BP$7,'Product Tgt'!$B:$B,'Product Tgt'!$G:$G)*AK50/AK$121,0),0)</f>
        <v>784</v>
      </c>
      <c r="BQ50" s="41">
        <f>IFERROR(ROUND(_xlfn.XLOOKUP(BQ$7,'Product Tgt'!$B:$B,'Product Tgt'!$G:$G)*AL50/AL$121,0),0)</f>
        <v>1072</v>
      </c>
      <c r="BR50" s="25">
        <f>ROUND(IFERROR(AM50/_xlfn.XLOOKUP(BR$7,'Product Tgt'!$B:$B,'Product Tgt'!$D:$D),0),0)</f>
        <v>0</v>
      </c>
      <c r="BS50" s="11">
        <f>ROUND(IFERROR(AN50/_xlfn.XLOOKUP(BS$7,'Product Tgt'!$B:$B,'Product Tgt'!$D:$D),0),0)</f>
        <v>0</v>
      </c>
      <c r="BT50" s="11">
        <f>ROUND(IFERROR(AO50/_xlfn.XLOOKUP(BT$7,'Product Tgt'!$B:$B,'Product Tgt'!$D:$D),0),0)</f>
        <v>0</v>
      </c>
      <c r="BU50" s="11">
        <f>ROUND(IFERROR(AP50/_xlfn.XLOOKUP(BU$7,'Product Tgt'!$B:$B,'Product Tgt'!$D:$D),0),0)</f>
        <v>0</v>
      </c>
      <c r="BV50" s="11">
        <f>ROUND(IFERROR(AQ50/_xlfn.XLOOKUP(BV$7,'Product Tgt'!$B:$B,'Product Tgt'!$D:$D),0),0)</f>
        <v>0</v>
      </c>
      <c r="BW50" s="11">
        <f>ROUND(IFERROR(AU50/_xlfn.XLOOKUP(BW$7,'Product Tgt'!$B:$B,'Product Tgt'!$D:$D),0),0)</f>
        <v>0</v>
      </c>
      <c r="BX50" s="11">
        <f>ROUND(IFERROR(#REF!/_xlfn.XLOOKUP(BX$7,'Product Tgt'!$B:$B,'Product Tgt'!$D:$D),0),0)</f>
        <v>0</v>
      </c>
      <c r="BY50" s="11">
        <f>ROUND(IFERROR(#REF!/_xlfn.XLOOKUP(BY$7,'Product Tgt'!$B:$B,'Product Tgt'!$D:$D),0),0)</f>
        <v>0</v>
      </c>
      <c r="BZ50" s="11">
        <f>ROUND(IFERROR(#REF!/_xlfn.XLOOKUP(BZ$7,'Product Tgt'!$B:$B,'Product Tgt'!$D:$D),0),0)</f>
        <v>0</v>
      </c>
      <c r="CA50" s="11">
        <f>ROUND(IFERROR(#REF!/_xlfn.XLOOKUP(CA$7,'Product Tgt'!$B:$B,'Product Tgt'!$D:$D),0),0)</f>
        <v>0</v>
      </c>
      <c r="CB50" s="11">
        <f>ROUND(IFERROR(AV50/_xlfn.XLOOKUP(CB$7,'Product Tgt'!$B:$B,'Product Tgt'!$D:$D),0),0)</f>
        <v>0</v>
      </c>
      <c r="CC50" s="11">
        <f>ROUND(IFERROR(AW50/_xlfn.XLOOKUP(CC$7,'Product Tgt'!$B:$B,'Product Tgt'!$D:$D),0),0)</f>
        <v>0</v>
      </c>
      <c r="CD50" s="11">
        <f>ROUND(IFERROR(AX50/_xlfn.XLOOKUP(CD$7,'Product Tgt'!$B:$B,'Product Tgt'!$D:$D),0),0)</f>
        <v>0</v>
      </c>
      <c r="CE50" s="11">
        <f>ROUND(IFERROR(AY50/_xlfn.XLOOKUP(CE$7,'Product Tgt'!$B:$B,'Product Tgt'!$D:$D),0),0)</f>
        <v>0</v>
      </c>
      <c r="CF50" s="11">
        <f>ROUND(IFERROR(AZ50/_xlfn.XLOOKUP(CF$7,'Product Tgt'!$B:$B,'Product Tgt'!$D:$D),0),0)</f>
        <v>0</v>
      </c>
      <c r="CG50" s="11">
        <f>ROUND(IFERROR(BA50/_xlfn.XLOOKUP(CG$7,'Product Tgt'!$B:$B,'Product Tgt'!$D:$D),0),0)</f>
        <v>0</v>
      </c>
      <c r="CH50" s="11">
        <f>ROUND(IFERROR(BB50/_xlfn.XLOOKUP(CH$7,'Product Tgt'!$B:$B,'Product Tgt'!$D:$D),0),0)</f>
        <v>0</v>
      </c>
      <c r="CI50" s="11">
        <f>ROUND(IFERROR(BC50/_xlfn.XLOOKUP(CI$7,'Product Tgt'!$B:$B,'Product Tgt'!$D:$D),0),0)</f>
        <v>0</v>
      </c>
      <c r="CJ50" s="11">
        <f>ROUND(IFERROR(BD50/_xlfn.XLOOKUP(CJ$7,'Product Tgt'!$B:$B,'Product Tgt'!$D:$D),0),0)</f>
        <v>0</v>
      </c>
      <c r="CK50" s="11">
        <f>ROUND(IFERROR(BE50/_xlfn.XLOOKUP(CK$7,'Product Tgt'!$B:$B,'Product Tgt'!$D:$D),0),0)</f>
        <v>0</v>
      </c>
      <c r="CL50" s="11">
        <f>ROUND(IFERROR(BF50/_xlfn.XLOOKUP(CL$7,'Product Tgt'!$B:$B,'Product Tgt'!$D:$D),0),0)</f>
        <v>0</v>
      </c>
      <c r="CM50" s="11">
        <f>ROUND(IFERROR(BG50/_xlfn.XLOOKUP(CM$7,'Product Tgt'!$B:$B,'Product Tgt'!$D:$D),0),0)</f>
        <v>0</v>
      </c>
      <c r="CN50" s="11">
        <f>ROUND(IFERROR(BH50/_xlfn.XLOOKUP(CN$7,'Product Tgt'!$B:$B,'Product Tgt'!$D:$D),0),0)</f>
        <v>0</v>
      </c>
      <c r="CO50" s="11">
        <f>ROUND(IFERROR(BI50/_xlfn.XLOOKUP(CO$7,'Product Tgt'!$B:$B,'Product Tgt'!$D:$D),0),0)</f>
        <v>0</v>
      </c>
      <c r="CP50" s="11">
        <f>ROUND(IFERROR(BJ50/_xlfn.XLOOKUP(CP$7,'Product Tgt'!$B:$B,'Product Tgt'!$D:$D),0),0)</f>
        <v>0</v>
      </c>
      <c r="CQ50" s="11">
        <f>ROUND(IFERROR(BK50/_xlfn.XLOOKUP(CQ$7,'Product Tgt'!$B:$B,'Product Tgt'!$D:$D),0),0)</f>
        <v>0</v>
      </c>
      <c r="CR50" s="11">
        <f>ROUND(IFERROR(BL50/_xlfn.XLOOKUP(CR$7,'Product Tgt'!$B:$B,'Product Tgt'!$D:$D),0),0)</f>
        <v>0</v>
      </c>
      <c r="CS50" s="11">
        <f>ROUND(IFERROR(BM50/_xlfn.XLOOKUP(CS$7,'Product Tgt'!$B:$B,'Product Tgt'!$D:$D),0),0)</f>
        <v>0</v>
      </c>
      <c r="CT50" s="11">
        <f>ROUND(IFERROR(BN50/_xlfn.XLOOKUP(CT$7,'Product Tgt'!$B:$B,'Product Tgt'!$D:$D),0),0)</f>
        <v>0</v>
      </c>
      <c r="CU50" s="11">
        <f>ROUND(IFERROR(BO50/_xlfn.XLOOKUP(CU$7,'Product Tgt'!$B:$B,'Product Tgt'!$D:$D),0),0)</f>
        <v>0</v>
      </c>
      <c r="CV50" s="11">
        <f>ROUND(IFERROR(BP50/_xlfn.XLOOKUP(CV$7,'Product Tgt'!$B:$B,'Product Tgt'!$D:$D),0),0)</f>
        <v>0</v>
      </c>
      <c r="CW50" s="11">
        <f>ROUND(IFERROR(BQ50/_xlfn.XLOOKUP(CW$7,'Product Tgt'!$B:$B,'Product Tgt'!$D:$D),0),0)</f>
        <v>0</v>
      </c>
      <c r="CX50" s="11">
        <f>ROUND(IFERROR(#REF!/_xlfn.XLOOKUP(CX$7,'Product Tgt'!$B:$B,'Product Tgt'!$D:$D),0),0)</f>
        <v>0</v>
      </c>
      <c r="CY50" s="11">
        <f>ROUND(IFERROR(#REF!/_xlfn.XLOOKUP(CY$7,'Product Tgt'!$B:$B,'Product Tgt'!$D:$D),0),0)</f>
        <v>0</v>
      </c>
      <c r="CZ50" s="11">
        <f>ROUND(IFERROR(#REF!/_xlfn.XLOOKUP(CZ$7,'Product Tgt'!$B:$B,'Product Tgt'!$D:$D),0),0)</f>
        <v>0</v>
      </c>
      <c r="DA50" s="10">
        <f>IFERROR(BR50*_xlfn.XLOOKUP(DA$7,'Product Tgt'!$B:$B,'Product Tgt'!$D:$D),0)</f>
        <v>0</v>
      </c>
      <c r="DB50">
        <f>IFERROR(BS50*_xlfn.XLOOKUP(DB$7,'Product Tgt'!$B:$B,'Product Tgt'!$D:$D),0)</f>
        <v>0</v>
      </c>
      <c r="DC50">
        <f>IFERROR(BT50*_xlfn.XLOOKUP(DC$7,'Product Tgt'!$B:$B,'Product Tgt'!$D:$D),0)</f>
        <v>0</v>
      </c>
      <c r="DD50">
        <f>IFERROR(BU50*_xlfn.XLOOKUP(DD$7,'Product Tgt'!$B:$B,'Product Tgt'!$D:$D),0)</f>
        <v>0</v>
      </c>
      <c r="DE50">
        <f>IFERROR(BV50*_xlfn.XLOOKUP(DE$7,'Product Tgt'!$B:$B,'Product Tgt'!$D:$D),0)</f>
        <v>0</v>
      </c>
      <c r="DF50">
        <f>IFERROR(BW50*_xlfn.XLOOKUP(DF$7,'Product Tgt'!$B:$B,'Product Tgt'!$D:$D),0)</f>
        <v>0</v>
      </c>
      <c r="DG50">
        <f>IFERROR(BX50*_xlfn.XLOOKUP(DG$7,'Product Tgt'!$B:$B,'Product Tgt'!$D:$D),0)</f>
        <v>0</v>
      </c>
      <c r="DH50">
        <f>IFERROR(BY50*_xlfn.XLOOKUP(DH$7,'Product Tgt'!$B:$B,'Product Tgt'!$D:$D),0)</f>
        <v>0</v>
      </c>
      <c r="DI50">
        <f>IFERROR(BZ50*_xlfn.XLOOKUP(DI$7,'Product Tgt'!$B:$B,'Product Tgt'!$D:$D),0)</f>
        <v>0</v>
      </c>
      <c r="DJ50">
        <f>IFERROR(CA50*_xlfn.XLOOKUP(DJ$7,'Product Tgt'!$B:$B,'Product Tgt'!$D:$D),0)</f>
        <v>0</v>
      </c>
      <c r="DK50">
        <f>IFERROR(CB50*_xlfn.XLOOKUP(DK$7,'Product Tgt'!$B:$B,'Product Tgt'!$D:$D),0)</f>
        <v>0</v>
      </c>
      <c r="DL50">
        <f>IFERROR(CC50*_xlfn.XLOOKUP(DL$7,'Product Tgt'!$B:$B,'Product Tgt'!$D:$D),0)</f>
        <v>0</v>
      </c>
      <c r="DM50">
        <f>IFERROR(CD50*_xlfn.XLOOKUP(DM$7,'Product Tgt'!$B:$B,'Product Tgt'!$D:$D),0)</f>
        <v>0</v>
      </c>
      <c r="DN50">
        <f>IFERROR(CE50*_xlfn.XLOOKUP(DN$7,'Product Tgt'!$B:$B,'Product Tgt'!$D:$D),0)</f>
        <v>0</v>
      </c>
      <c r="DO50">
        <f>IFERROR(CF50*_xlfn.XLOOKUP(DO$7,'Product Tgt'!$B:$B,'Product Tgt'!$D:$D),0)</f>
        <v>0</v>
      </c>
      <c r="DP50">
        <f>IFERROR(CG50*_xlfn.XLOOKUP(DP$7,'Product Tgt'!$B:$B,'Product Tgt'!$D:$D),0)</f>
        <v>0</v>
      </c>
      <c r="DQ50">
        <f>IFERROR(CH50*_xlfn.XLOOKUP(DQ$7,'Product Tgt'!$B:$B,'Product Tgt'!$D:$D),0)</f>
        <v>0</v>
      </c>
      <c r="DR50">
        <f>IFERROR(CI50*_xlfn.XLOOKUP(DR$7,'Product Tgt'!$B:$B,'Product Tgt'!$D:$D),0)</f>
        <v>0</v>
      </c>
      <c r="DS50">
        <f>IFERROR(CJ50*_xlfn.XLOOKUP(DS$7,'Product Tgt'!$B:$B,'Product Tgt'!$D:$D),0)</f>
        <v>0</v>
      </c>
      <c r="DT50">
        <f>IFERROR(CK50*_xlfn.XLOOKUP(DT$7,'Product Tgt'!$B:$B,'Product Tgt'!$D:$D),0)</f>
        <v>0</v>
      </c>
      <c r="DU50">
        <f>IFERROR(CL50*_xlfn.XLOOKUP(DU$7,'Product Tgt'!$B:$B,'Product Tgt'!$D:$D),0)</f>
        <v>0</v>
      </c>
      <c r="DV50">
        <f>IFERROR(CM50*_xlfn.XLOOKUP(DV$7,'Product Tgt'!$B:$B,'Product Tgt'!$D:$D),0)</f>
        <v>0</v>
      </c>
      <c r="DW50">
        <f>IFERROR(CN50*_xlfn.XLOOKUP(DW$7,'Product Tgt'!$B:$B,'Product Tgt'!$D:$D),0)</f>
        <v>0</v>
      </c>
      <c r="DX50">
        <f>IFERROR(CO50*_xlfn.XLOOKUP(DX$7,'Product Tgt'!$B:$B,'Product Tgt'!$D:$D),0)</f>
        <v>0</v>
      </c>
      <c r="DY50">
        <f>IFERROR(CP50*_xlfn.XLOOKUP(DY$7,'Product Tgt'!$B:$B,'Product Tgt'!$D:$D),0)</f>
        <v>0</v>
      </c>
      <c r="DZ50">
        <f>IFERROR(CQ50*_xlfn.XLOOKUP(DZ$7,'Product Tgt'!$B:$B,'Product Tgt'!$D:$D),0)</f>
        <v>0</v>
      </c>
      <c r="EA50">
        <f>IFERROR(CR50*_xlfn.XLOOKUP(EA$7,'Product Tgt'!$B:$B,'Product Tgt'!$D:$D),0)</f>
        <v>0</v>
      </c>
      <c r="EB50">
        <f>IFERROR(CS50*_xlfn.XLOOKUP(EB$7,'Product Tgt'!$B:$B,'Product Tgt'!$D:$D),0)</f>
        <v>0</v>
      </c>
      <c r="EC50">
        <f>IFERROR(CT50*_xlfn.XLOOKUP(EC$7,'Product Tgt'!$B:$B,'Product Tgt'!$D:$D),0)</f>
        <v>0</v>
      </c>
      <c r="ED50">
        <f>IFERROR(CU50*_xlfn.XLOOKUP(ED$7,'Product Tgt'!$B:$B,'Product Tgt'!$D:$D),0)</f>
        <v>0</v>
      </c>
      <c r="EE50">
        <f>IFERROR(CV50*_xlfn.XLOOKUP(EE$7,'Product Tgt'!$B:$B,'Product Tgt'!$D:$D),0)</f>
        <v>0</v>
      </c>
      <c r="EF50">
        <f>IFERROR(CW50*_xlfn.XLOOKUP(EF$7,'Product Tgt'!$B:$B,'Product Tgt'!$D:$D),0)</f>
        <v>0</v>
      </c>
      <c r="EG50">
        <f>IFERROR(CX50*_xlfn.XLOOKUP(EG$7,'Product Tgt'!$B:$B,'Product Tgt'!$D:$D),0)</f>
        <v>0</v>
      </c>
      <c r="EH50">
        <f>IFERROR(CY50*_xlfn.XLOOKUP(EH$7,'Product Tgt'!$B:$B,'Product Tgt'!$D:$D),0)</f>
        <v>0</v>
      </c>
      <c r="EI50">
        <f>IFERROR(CZ50*_xlfn.XLOOKUP(EI$7,'Product Tgt'!$B:$B,'Product Tgt'!$D:$D),0)</f>
        <v>0</v>
      </c>
    </row>
    <row r="51" spans="2:139" x14ac:dyDescent="0.35">
      <c r="B51" s="7" t="s">
        <v>151</v>
      </c>
      <c r="C51" s="3">
        <f>_xlfn.XLOOKUP($B51,'Terr Target'!$A:$A,'Terr Target'!$E:$E)</f>
        <v>418155.93917196</v>
      </c>
      <c r="D51" s="3">
        <f t="shared" si="8"/>
        <v>418156</v>
      </c>
      <c r="E51" s="4">
        <f t="shared" si="9"/>
        <v>6.0828040004707873E-2</v>
      </c>
      <c r="F51" s="9">
        <f t="shared" si="7"/>
        <v>1.4546733755992469E-7</v>
      </c>
      <c r="G51" s="5">
        <f t="shared" si="6"/>
        <v>0.99999985453266249</v>
      </c>
      <c r="H51" s="38">
        <v>40723.393735353646</v>
      </c>
      <c r="I51" s="11">
        <v>79934.582997813151</v>
      </c>
      <c r="J51" s="11">
        <v>40618.72698153236</v>
      </c>
      <c r="K51" s="11">
        <v>39784.555210242361</v>
      </c>
      <c r="L51" s="11">
        <v>30644.004477053822</v>
      </c>
      <c r="M51" s="11">
        <v>21694.226602292751</v>
      </c>
      <c r="N51" s="11">
        <v>842.92337420261003</v>
      </c>
      <c r="O51" s="11">
        <v>3855.1264020046224</v>
      </c>
      <c r="P51" s="11">
        <v>2048.4390513573553</v>
      </c>
      <c r="Q51" s="11">
        <v>1669.793750657589</v>
      </c>
      <c r="R51" s="11">
        <v>10316.880972782028</v>
      </c>
      <c r="S51" s="11">
        <v>19767.655383899059</v>
      </c>
      <c r="T51" s="11">
        <v>0</v>
      </c>
      <c r="U51" s="11">
        <v>3333.4543296537558</v>
      </c>
      <c r="V51" s="11">
        <v>11276.39503388823</v>
      </c>
      <c r="W51" s="11">
        <v>18807.37593519636</v>
      </c>
      <c r="X51" s="11">
        <v>3878.3095894670109</v>
      </c>
      <c r="Y51" s="11">
        <v>4030.380019824117</v>
      </c>
      <c r="Z51" s="11">
        <v>394.80907823110095</v>
      </c>
      <c r="AA51" s="11">
        <v>10797.010626243951</v>
      </c>
      <c r="AB51" s="11">
        <v>3623.576512284717</v>
      </c>
      <c r="AC51" s="11">
        <v>1263.9268358349582</v>
      </c>
      <c r="AD51" s="11">
        <v>14406.346900878008</v>
      </c>
      <c r="AE51" s="11">
        <v>17152.728802237914</v>
      </c>
      <c r="AF51" s="11">
        <v>9163.1800217324035</v>
      </c>
      <c r="AG51" s="11">
        <v>19841.62606674495</v>
      </c>
      <c r="AH51" s="11">
        <v>2356.5780551743333</v>
      </c>
      <c r="AI51" s="11">
        <v>10339.822458898154</v>
      </c>
      <c r="AJ51" s="11">
        <v>9431.3678071900013</v>
      </c>
      <c r="AK51" s="11">
        <v>3167.6270643385169</v>
      </c>
      <c r="AL51" s="49">
        <v>4214.2341772148002</v>
      </c>
      <c r="AM51" s="41">
        <f>IFERROR(ROUND(_xlfn.XLOOKUP(AM$7,'Product Tgt'!$B:$B,'Product Tgt'!$G:$G)*H51/H$121,0),0)</f>
        <v>39590</v>
      </c>
      <c r="AN51" s="41">
        <f>IFERROR(ROUND(_xlfn.XLOOKUP(AN$7,'Product Tgt'!$B:$B,'Product Tgt'!$G:$G)*I51/I$121,0),0)</f>
        <v>78688</v>
      </c>
      <c r="AO51" s="41">
        <f>IFERROR(ROUND(_xlfn.XLOOKUP(AO$7,'Product Tgt'!$B:$B,'Product Tgt'!$G:$G)*J51/J$121,0),0)</f>
        <v>39355</v>
      </c>
      <c r="AP51" s="41">
        <f>IFERROR(ROUND(_xlfn.XLOOKUP(AP$7,'Product Tgt'!$B:$B,'Product Tgt'!$G:$G)*K51/K$121,0),0)</f>
        <v>38811</v>
      </c>
      <c r="AQ51" s="41">
        <f>IFERROR(ROUND(_xlfn.XLOOKUP(AQ$7,'Product Tgt'!$B:$B,'Product Tgt'!$G:$G)*L51/L$121,0),0)</f>
        <v>29631</v>
      </c>
      <c r="AR51" s="41">
        <f>IFERROR(ROUND(_xlfn.XLOOKUP(AR$7,'Product Tgt'!$B:$B,'Product Tgt'!$G:$G)*M51/M$121,0),0)</f>
        <v>21017</v>
      </c>
      <c r="AS51" s="41">
        <f>IFERROR(ROUND(_xlfn.XLOOKUP(AS$7,'Product Tgt'!$B:$B,'Product Tgt'!$G:$G)*N51/N$121,0),0)</f>
        <v>779</v>
      </c>
      <c r="AT51" s="41">
        <f>IFERROR(ROUND(_xlfn.XLOOKUP(AT$7,'Product Tgt'!$B:$B,'Product Tgt'!$G:$G)*O51/O$121,0),0)</f>
        <v>3470</v>
      </c>
      <c r="AU51" s="41">
        <f>IFERROR(ROUND(_xlfn.XLOOKUP(AU$7,'Product Tgt'!$B:$B,'Product Tgt'!$G:$G)*P51/P$121,0),0)</f>
        <v>873</v>
      </c>
      <c r="AV51" s="41">
        <f>IFERROR(ROUND(_xlfn.XLOOKUP(AV$7,'Product Tgt'!$B:$B,'Product Tgt'!$G:$G)*Q51/Q$121,0),0)</f>
        <v>1253</v>
      </c>
      <c r="AW51" s="41">
        <f>IFERROR(ROUND(_xlfn.XLOOKUP(AW$7,'Product Tgt'!$B:$B,'Product Tgt'!$G:$G)*R51/R$121,0),0)</f>
        <v>9936</v>
      </c>
      <c r="AX51" s="41">
        <f>IFERROR(ROUND(_xlfn.XLOOKUP(AX$7,'Product Tgt'!$B:$B,'Product Tgt'!$G:$G)*S51/S$121,0),0)</f>
        <v>19039</v>
      </c>
      <c r="AY51" s="41">
        <f>IFERROR(ROUND(_xlfn.XLOOKUP(AY$7,'Product Tgt'!$B:$B,'Product Tgt'!$G:$G)*T51/T$121,0),0)</f>
        <v>0</v>
      </c>
      <c r="AZ51" s="41">
        <f>IFERROR(ROUND(_xlfn.XLOOKUP(AZ$7,'Product Tgt'!$B:$B,'Product Tgt'!$G:$G)*U51/U$121,0),0)</f>
        <v>3190</v>
      </c>
      <c r="BA51" s="41">
        <f>IFERROR(ROUND(_xlfn.XLOOKUP(BA$7,'Product Tgt'!$B:$B,'Product Tgt'!$G:$G)*V51/V$121,0),0)</f>
        <v>10857</v>
      </c>
      <c r="BB51" s="41">
        <f>IFERROR(ROUND(_xlfn.XLOOKUP(BB$7,'Product Tgt'!$B:$B,'Product Tgt'!$G:$G)*W51/W$121,0),0)</f>
        <v>18003</v>
      </c>
      <c r="BC51" s="41">
        <f>IFERROR(ROUND(_xlfn.XLOOKUP(BC$7,'Product Tgt'!$B:$B,'Product Tgt'!$G:$G)*X51/X$121,0),0)</f>
        <v>3753</v>
      </c>
      <c r="BD51" s="41">
        <f>IFERROR(ROUND(_xlfn.XLOOKUP(BD$7,'Product Tgt'!$B:$B,'Product Tgt'!$G:$G)*Y51/Y$121,0),0)</f>
        <v>3897</v>
      </c>
      <c r="BE51" s="41">
        <f>IFERROR(ROUND(_xlfn.XLOOKUP(BE$7,'Product Tgt'!$B:$B,'Product Tgt'!$G:$G)*Z51/Z$121,0),0)</f>
        <v>375</v>
      </c>
      <c r="BF51" s="41">
        <f>IFERROR(ROUND(_xlfn.XLOOKUP(BF$7,'Product Tgt'!$B:$B,'Product Tgt'!$G:$G)*AA51/AA$121,0),0)</f>
        <v>8750</v>
      </c>
      <c r="BG51" s="41">
        <f>IFERROR(ROUND(_xlfn.XLOOKUP(BG$7,'Product Tgt'!$B:$B,'Product Tgt'!$G:$G)*AB51/AB$121,0),0)</f>
        <v>2904</v>
      </c>
      <c r="BH51" s="41">
        <f>IFERROR(ROUND(_xlfn.XLOOKUP(BH$7,'Product Tgt'!$B:$B,'Product Tgt'!$G:$G)*AC51/AC$121,0),0)</f>
        <v>1082</v>
      </c>
      <c r="BI51" s="41">
        <f>IFERROR(ROUND(_xlfn.XLOOKUP(BI$7,'Product Tgt'!$B:$B,'Product Tgt'!$G:$G)*AD51/AD$121,0),0)</f>
        <v>12541</v>
      </c>
      <c r="BJ51" s="41">
        <f>IFERROR(ROUND(_xlfn.XLOOKUP(BJ$7,'Product Tgt'!$B:$B,'Product Tgt'!$G:$G)*AE51/AE$121,0),0)</f>
        <v>15965</v>
      </c>
      <c r="BK51" s="41">
        <f>IFERROR(ROUND(_xlfn.XLOOKUP(BK$7,'Product Tgt'!$B:$B,'Product Tgt'!$G:$G)*AF51/AF$121,0),0)</f>
        <v>10237</v>
      </c>
      <c r="BL51" s="41">
        <f>IFERROR(ROUND(_xlfn.XLOOKUP(BL$7,'Product Tgt'!$B:$B,'Product Tgt'!$G:$G)*AG51/AG$121,0),0)</f>
        <v>18952</v>
      </c>
      <c r="BM51" s="41">
        <f>IFERROR(ROUND(_xlfn.XLOOKUP(BM$7,'Product Tgt'!$B:$B,'Product Tgt'!$G:$G)*AH51/AH$121,0),0)</f>
        <v>1848</v>
      </c>
      <c r="BN51" s="41">
        <f>IFERROR(ROUND(_xlfn.XLOOKUP(BN$7,'Product Tgt'!$B:$B,'Product Tgt'!$G:$G)*AI51/AI$121,0),0)</f>
        <v>9496</v>
      </c>
      <c r="BO51" s="41">
        <f>IFERROR(ROUND(_xlfn.XLOOKUP(BO$7,'Product Tgt'!$B:$B,'Product Tgt'!$G:$G)*AJ51/AJ$121,0),0)</f>
        <v>8158</v>
      </c>
      <c r="BP51" s="41">
        <f>IFERROR(ROUND(_xlfn.XLOOKUP(BP$7,'Product Tgt'!$B:$B,'Product Tgt'!$G:$G)*AK51/AK$121,0),0)</f>
        <v>2412</v>
      </c>
      <c r="BQ51" s="41">
        <f>IFERROR(ROUND(_xlfn.XLOOKUP(BQ$7,'Product Tgt'!$B:$B,'Product Tgt'!$G:$G)*AL51/AL$121,0),0)</f>
        <v>3294</v>
      </c>
      <c r="BR51" s="25">
        <f>ROUND(IFERROR(AM51/_xlfn.XLOOKUP(BR$7,'Product Tgt'!$B:$B,'Product Tgt'!$D:$D),0),0)</f>
        <v>0</v>
      </c>
      <c r="BS51" s="11">
        <f>ROUND(IFERROR(AN51/_xlfn.XLOOKUP(BS$7,'Product Tgt'!$B:$B,'Product Tgt'!$D:$D),0),0)</f>
        <v>0</v>
      </c>
      <c r="BT51" s="11">
        <f>ROUND(IFERROR(AO51/_xlfn.XLOOKUP(BT$7,'Product Tgt'!$B:$B,'Product Tgt'!$D:$D),0),0)</f>
        <v>0</v>
      </c>
      <c r="BU51" s="11">
        <f>ROUND(IFERROR(AP51/_xlfn.XLOOKUP(BU$7,'Product Tgt'!$B:$B,'Product Tgt'!$D:$D),0),0)</f>
        <v>0</v>
      </c>
      <c r="BV51" s="11">
        <f>ROUND(IFERROR(AQ51/_xlfn.XLOOKUP(BV$7,'Product Tgt'!$B:$B,'Product Tgt'!$D:$D),0),0)</f>
        <v>0</v>
      </c>
      <c r="BW51" s="11">
        <f>ROUND(IFERROR(AU51/_xlfn.XLOOKUP(BW$7,'Product Tgt'!$B:$B,'Product Tgt'!$D:$D),0),0)</f>
        <v>0</v>
      </c>
      <c r="BX51" s="11">
        <f>ROUND(IFERROR(#REF!/_xlfn.XLOOKUP(BX$7,'Product Tgt'!$B:$B,'Product Tgt'!$D:$D),0),0)</f>
        <v>0</v>
      </c>
      <c r="BY51" s="11">
        <f>ROUND(IFERROR(#REF!/_xlfn.XLOOKUP(BY$7,'Product Tgt'!$B:$B,'Product Tgt'!$D:$D),0),0)</f>
        <v>0</v>
      </c>
      <c r="BZ51" s="11">
        <f>ROUND(IFERROR(#REF!/_xlfn.XLOOKUP(BZ$7,'Product Tgt'!$B:$B,'Product Tgt'!$D:$D),0),0)</f>
        <v>0</v>
      </c>
      <c r="CA51" s="11">
        <f>ROUND(IFERROR(#REF!/_xlfn.XLOOKUP(CA$7,'Product Tgt'!$B:$B,'Product Tgt'!$D:$D),0),0)</f>
        <v>0</v>
      </c>
      <c r="CB51" s="11">
        <f>ROUND(IFERROR(AV51/_xlfn.XLOOKUP(CB$7,'Product Tgt'!$B:$B,'Product Tgt'!$D:$D),0),0)</f>
        <v>0</v>
      </c>
      <c r="CC51" s="11">
        <f>ROUND(IFERROR(AW51/_xlfn.XLOOKUP(CC$7,'Product Tgt'!$B:$B,'Product Tgt'!$D:$D),0),0)</f>
        <v>0</v>
      </c>
      <c r="CD51" s="11">
        <f>ROUND(IFERROR(AX51/_xlfn.XLOOKUP(CD$7,'Product Tgt'!$B:$B,'Product Tgt'!$D:$D),0),0)</f>
        <v>0</v>
      </c>
      <c r="CE51" s="11">
        <f>ROUND(IFERROR(AY51/_xlfn.XLOOKUP(CE$7,'Product Tgt'!$B:$B,'Product Tgt'!$D:$D),0),0)</f>
        <v>0</v>
      </c>
      <c r="CF51" s="11">
        <f>ROUND(IFERROR(AZ51/_xlfn.XLOOKUP(CF$7,'Product Tgt'!$B:$B,'Product Tgt'!$D:$D),0),0)</f>
        <v>0</v>
      </c>
      <c r="CG51" s="11">
        <f>ROUND(IFERROR(BA51/_xlfn.XLOOKUP(CG$7,'Product Tgt'!$B:$B,'Product Tgt'!$D:$D),0),0)</f>
        <v>0</v>
      </c>
      <c r="CH51" s="11">
        <f>ROUND(IFERROR(BB51/_xlfn.XLOOKUP(CH$7,'Product Tgt'!$B:$B,'Product Tgt'!$D:$D),0),0)</f>
        <v>0</v>
      </c>
      <c r="CI51" s="11">
        <f>ROUND(IFERROR(BC51/_xlfn.XLOOKUP(CI$7,'Product Tgt'!$B:$B,'Product Tgt'!$D:$D),0),0)</f>
        <v>0</v>
      </c>
      <c r="CJ51" s="11">
        <f>ROUND(IFERROR(BD51/_xlfn.XLOOKUP(CJ$7,'Product Tgt'!$B:$B,'Product Tgt'!$D:$D),0),0)</f>
        <v>0</v>
      </c>
      <c r="CK51" s="11">
        <f>ROUND(IFERROR(BE51/_xlfn.XLOOKUP(CK$7,'Product Tgt'!$B:$B,'Product Tgt'!$D:$D),0),0)</f>
        <v>0</v>
      </c>
      <c r="CL51" s="11">
        <f>ROUND(IFERROR(BF51/_xlfn.XLOOKUP(CL$7,'Product Tgt'!$B:$B,'Product Tgt'!$D:$D),0),0)</f>
        <v>0</v>
      </c>
      <c r="CM51" s="11">
        <f>ROUND(IFERROR(BG51/_xlfn.XLOOKUP(CM$7,'Product Tgt'!$B:$B,'Product Tgt'!$D:$D),0),0)</f>
        <v>0</v>
      </c>
      <c r="CN51" s="11">
        <f>ROUND(IFERROR(BH51/_xlfn.XLOOKUP(CN$7,'Product Tgt'!$B:$B,'Product Tgt'!$D:$D),0),0)</f>
        <v>0</v>
      </c>
      <c r="CO51" s="11">
        <f>ROUND(IFERROR(BI51/_xlfn.XLOOKUP(CO$7,'Product Tgt'!$B:$B,'Product Tgt'!$D:$D),0),0)</f>
        <v>0</v>
      </c>
      <c r="CP51" s="11">
        <f>ROUND(IFERROR(BJ51/_xlfn.XLOOKUP(CP$7,'Product Tgt'!$B:$B,'Product Tgt'!$D:$D),0),0)</f>
        <v>0</v>
      </c>
      <c r="CQ51" s="11">
        <f>ROUND(IFERROR(BK51/_xlfn.XLOOKUP(CQ$7,'Product Tgt'!$B:$B,'Product Tgt'!$D:$D),0),0)</f>
        <v>0</v>
      </c>
      <c r="CR51" s="11">
        <f>ROUND(IFERROR(BL51/_xlfn.XLOOKUP(CR$7,'Product Tgt'!$B:$B,'Product Tgt'!$D:$D),0),0)</f>
        <v>0</v>
      </c>
      <c r="CS51" s="11">
        <f>ROUND(IFERROR(BM51/_xlfn.XLOOKUP(CS$7,'Product Tgt'!$B:$B,'Product Tgt'!$D:$D),0),0)</f>
        <v>0</v>
      </c>
      <c r="CT51" s="11">
        <f>ROUND(IFERROR(BN51/_xlfn.XLOOKUP(CT$7,'Product Tgt'!$B:$B,'Product Tgt'!$D:$D),0),0)</f>
        <v>0</v>
      </c>
      <c r="CU51" s="11">
        <f>ROUND(IFERROR(BO51/_xlfn.XLOOKUP(CU$7,'Product Tgt'!$B:$B,'Product Tgt'!$D:$D),0),0)</f>
        <v>0</v>
      </c>
      <c r="CV51" s="11">
        <f>ROUND(IFERROR(BP51/_xlfn.XLOOKUP(CV$7,'Product Tgt'!$B:$B,'Product Tgt'!$D:$D),0),0)</f>
        <v>0</v>
      </c>
      <c r="CW51" s="11">
        <f>ROUND(IFERROR(BQ51/_xlfn.XLOOKUP(CW$7,'Product Tgt'!$B:$B,'Product Tgt'!$D:$D),0),0)</f>
        <v>0</v>
      </c>
      <c r="CX51" s="11">
        <f>ROUND(IFERROR(#REF!/_xlfn.XLOOKUP(CX$7,'Product Tgt'!$B:$B,'Product Tgt'!$D:$D),0),0)</f>
        <v>0</v>
      </c>
      <c r="CY51" s="11">
        <f>ROUND(IFERROR(#REF!/_xlfn.XLOOKUP(CY$7,'Product Tgt'!$B:$B,'Product Tgt'!$D:$D),0),0)</f>
        <v>0</v>
      </c>
      <c r="CZ51" s="11">
        <f>ROUND(IFERROR(#REF!/_xlfn.XLOOKUP(CZ$7,'Product Tgt'!$B:$B,'Product Tgt'!$D:$D),0),0)</f>
        <v>0</v>
      </c>
      <c r="DA51" s="10">
        <f>IFERROR(BR51*_xlfn.XLOOKUP(DA$7,'Product Tgt'!$B:$B,'Product Tgt'!$D:$D),0)</f>
        <v>0</v>
      </c>
      <c r="DB51">
        <f>IFERROR(BS51*_xlfn.XLOOKUP(DB$7,'Product Tgt'!$B:$B,'Product Tgt'!$D:$D),0)</f>
        <v>0</v>
      </c>
      <c r="DC51">
        <f>IFERROR(BT51*_xlfn.XLOOKUP(DC$7,'Product Tgt'!$B:$B,'Product Tgt'!$D:$D),0)</f>
        <v>0</v>
      </c>
      <c r="DD51">
        <f>IFERROR(BU51*_xlfn.XLOOKUP(DD$7,'Product Tgt'!$B:$B,'Product Tgt'!$D:$D),0)</f>
        <v>0</v>
      </c>
      <c r="DE51">
        <f>IFERROR(BV51*_xlfn.XLOOKUP(DE$7,'Product Tgt'!$B:$B,'Product Tgt'!$D:$D),0)</f>
        <v>0</v>
      </c>
      <c r="DF51">
        <f>IFERROR(BW51*_xlfn.XLOOKUP(DF$7,'Product Tgt'!$B:$B,'Product Tgt'!$D:$D),0)</f>
        <v>0</v>
      </c>
      <c r="DG51">
        <f>IFERROR(BX51*_xlfn.XLOOKUP(DG$7,'Product Tgt'!$B:$B,'Product Tgt'!$D:$D),0)</f>
        <v>0</v>
      </c>
      <c r="DH51">
        <f>IFERROR(BY51*_xlfn.XLOOKUP(DH$7,'Product Tgt'!$B:$B,'Product Tgt'!$D:$D),0)</f>
        <v>0</v>
      </c>
      <c r="DI51">
        <f>IFERROR(BZ51*_xlfn.XLOOKUP(DI$7,'Product Tgt'!$B:$B,'Product Tgt'!$D:$D),0)</f>
        <v>0</v>
      </c>
      <c r="DJ51">
        <f>IFERROR(CA51*_xlfn.XLOOKUP(DJ$7,'Product Tgt'!$B:$B,'Product Tgt'!$D:$D),0)</f>
        <v>0</v>
      </c>
      <c r="DK51">
        <f>IFERROR(CB51*_xlfn.XLOOKUP(DK$7,'Product Tgt'!$B:$B,'Product Tgt'!$D:$D),0)</f>
        <v>0</v>
      </c>
      <c r="DL51">
        <f>IFERROR(CC51*_xlfn.XLOOKUP(DL$7,'Product Tgt'!$B:$B,'Product Tgt'!$D:$D),0)</f>
        <v>0</v>
      </c>
      <c r="DM51">
        <f>IFERROR(CD51*_xlfn.XLOOKUP(DM$7,'Product Tgt'!$B:$B,'Product Tgt'!$D:$D),0)</f>
        <v>0</v>
      </c>
      <c r="DN51">
        <f>IFERROR(CE51*_xlfn.XLOOKUP(DN$7,'Product Tgt'!$B:$B,'Product Tgt'!$D:$D),0)</f>
        <v>0</v>
      </c>
      <c r="DO51">
        <f>IFERROR(CF51*_xlfn.XLOOKUP(DO$7,'Product Tgt'!$B:$B,'Product Tgt'!$D:$D),0)</f>
        <v>0</v>
      </c>
      <c r="DP51">
        <f>IFERROR(CG51*_xlfn.XLOOKUP(DP$7,'Product Tgt'!$B:$B,'Product Tgt'!$D:$D),0)</f>
        <v>0</v>
      </c>
      <c r="DQ51">
        <f>IFERROR(CH51*_xlfn.XLOOKUP(DQ$7,'Product Tgt'!$B:$B,'Product Tgt'!$D:$D),0)</f>
        <v>0</v>
      </c>
      <c r="DR51">
        <f>IFERROR(CI51*_xlfn.XLOOKUP(DR$7,'Product Tgt'!$B:$B,'Product Tgt'!$D:$D),0)</f>
        <v>0</v>
      </c>
      <c r="DS51">
        <f>IFERROR(CJ51*_xlfn.XLOOKUP(DS$7,'Product Tgt'!$B:$B,'Product Tgt'!$D:$D),0)</f>
        <v>0</v>
      </c>
      <c r="DT51">
        <f>IFERROR(CK51*_xlfn.XLOOKUP(DT$7,'Product Tgt'!$B:$B,'Product Tgt'!$D:$D),0)</f>
        <v>0</v>
      </c>
      <c r="DU51">
        <f>IFERROR(CL51*_xlfn.XLOOKUP(DU$7,'Product Tgt'!$B:$B,'Product Tgt'!$D:$D),0)</f>
        <v>0</v>
      </c>
      <c r="DV51">
        <f>IFERROR(CM51*_xlfn.XLOOKUP(DV$7,'Product Tgt'!$B:$B,'Product Tgt'!$D:$D),0)</f>
        <v>0</v>
      </c>
      <c r="DW51">
        <f>IFERROR(CN51*_xlfn.XLOOKUP(DW$7,'Product Tgt'!$B:$B,'Product Tgt'!$D:$D),0)</f>
        <v>0</v>
      </c>
      <c r="DX51">
        <f>IFERROR(CO51*_xlfn.XLOOKUP(DX$7,'Product Tgt'!$B:$B,'Product Tgt'!$D:$D),0)</f>
        <v>0</v>
      </c>
      <c r="DY51">
        <f>IFERROR(CP51*_xlfn.XLOOKUP(DY$7,'Product Tgt'!$B:$B,'Product Tgt'!$D:$D),0)</f>
        <v>0</v>
      </c>
      <c r="DZ51">
        <f>IFERROR(CQ51*_xlfn.XLOOKUP(DZ$7,'Product Tgt'!$B:$B,'Product Tgt'!$D:$D),0)</f>
        <v>0</v>
      </c>
      <c r="EA51">
        <f>IFERROR(CR51*_xlfn.XLOOKUP(EA$7,'Product Tgt'!$B:$B,'Product Tgt'!$D:$D),0)</f>
        <v>0</v>
      </c>
      <c r="EB51">
        <f>IFERROR(CS51*_xlfn.XLOOKUP(EB$7,'Product Tgt'!$B:$B,'Product Tgt'!$D:$D),0)</f>
        <v>0</v>
      </c>
      <c r="EC51">
        <f>IFERROR(CT51*_xlfn.XLOOKUP(EC$7,'Product Tgt'!$B:$B,'Product Tgt'!$D:$D),0)</f>
        <v>0</v>
      </c>
      <c r="ED51">
        <f>IFERROR(CU51*_xlfn.XLOOKUP(ED$7,'Product Tgt'!$B:$B,'Product Tgt'!$D:$D),0)</f>
        <v>0</v>
      </c>
      <c r="EE51">
        <f>IFERROR(CV51*_xlfn.XLOOKUP(EE$7,'Product Tgt'!$B:$B,'Product Tgt'!$D:$D),0)</f>
        <v>0</v>
      </c>
      <c r="EF51">
        <f>IFERROR(CW51*_xlfn.XLOOKUP(EF$7,'Product Tgt'!$B:$B,'Product Tgt'!$D:$D),0)</f>
        <v>0</v>
      </c>
      <c r="EG51">
        <f>IFERROR(CX51*_xlfn.XLOOKUP(EG$7,'Product Tgt'!$B:$B,'Product Tgt'!$D:$D),0)</f>
        <v>0</v>
      </c>
      <c r="EH51">
        <f>IFERROR(CY51*_xlfn.XLOOKUP(EH$7,'Product Tgt'!$B:$B,'Product Tgt'!$D:$D),0)</f>
        <v>0</v>
      </c>
      <c r="EI51">
        <f>IFERROR(CZ51*_xlfn.XLOOKUP(EI$7,'Product Tgt'!$B:$B,'Product Tgt'!$D:$D),0)</f>
        <v>0</v>
      </c>
    </row>
    <row r="52" spans="2:139" x14ac:dyDescent="0.35">
      <c r="B52" s="7" t="s">
        <v>152</v>
      </c>
      <c r="C52" s="3">
        <f>_xlfn.XLOOKUP($B52,'Terr Target'!$A:$A,'Terr Target'!$E:$E)</f>
        <v>421409.44632526051</v>
      </c>
      <c r="D52" s="3">
        <f t="shared" si="8"/>
        <v>421410</v>
      </c>
      <c r="E52" s="4">
        <f t="shared" si="9"/>
        <v>0.55367473949445412</v>
      </c>
      <c r="F52" s="9">
        <f t="shared" si="7"/>
        <v>1.3138623656165114E-6</v>
      </c>
      <c r="G52" s="5">
        <f t="shared" si="6"/>
        <v>0.99999868613763443</v>
      </c>
      <c r="H52" s="38">
        <v>56675.521837451051</v>
      </c>
      <c r="I52" s="11">
        <v>90886.105888450387</v>
      </c>
      <c r="J52" s="11">
        <v>38282.693617560435</v>
      </c>
      <c r="K52" s="11">
        <v>37846.248619563296</v>
      </c>
      <c r="L52" s="11">
        <v>29413.940063477086</v>
      </c>
      <c r="M52" s="11">
        <v>21713.5003836994</v>
      </c>
      <c r="N52" s="11">
        <v>426.08695085350263</v>
      </c>
      <c r="O52" s="11">
        <v>2634.4166145653217</v>
      </c>
      <c r="P52" s="11">
        <v>962.95910343012713</v>
      </c>
      <c r="Q52" s="11">
        <v>896.10080298471939</v>
      </c>
      <c r="R52" s="11">
        <v>14353.748649519723</v>
      </c>
      <c r="S52" s="11">
        <v>22637.462138153307</v>
      </c>
      <c r="T52" s="11">
        <v>0</v>
      </c>
      <c r="U52" s="11">
        <v>6558.0907752867997</v>
      </c>
      <c r="V52" s="11">
        <v>16549.944030643241</v>
      </c>
      <c r="W52" s="11">
        <v>14481.298320608259</v>
      </c>
      <c r="X52" s="11">
        <v>2411.8982202918673</v>
      </c>
      <c r="Y52" s="11">
        <v>2343.0341708330966</v>
      </c>
      <c r="Z52" s="11">
        <v>524.92746815376586</v>
      </c>
      <c r="AA52" s="11">
        <v>9131.6563575959881</v>
      </c>
      <c r="AB52" s="11">
        <v>2727.2498636763116</v>
      </c>
      <c r="AC52" s="11">
        <v>837.24554089113497</v>
      </c>
      <c r="AD52" s="11">
        <v>1259.3409514195387</v>
      </c>
      <c r="AE52" s="11">
        <v>5724.8567324223895</v>
      </c>
      <c r="AF52" s="11">
        <v>1809.1157580970457</v>
      </c>
      <c r="AG52" s="11">
        <v>30594.058918294224</v>
      </c>
      <c r="AH52" s="11">
        <v>3378.7989697930293</v>
      </c>
      <c r="AI52" s="11">
        <v>8930.1135077309282</v>
      </c>
      <c r="AJ52" s="11">
        <v>9232.4028354014845</v>
      </c>
      <c r="AK52" s="11">
        <v>3276.3960027526155</v>
      </c>
      <c r="AL52" s="49">
        <v>4360.3087568840538</v>
      </c>
      <c r="AM52" s="41">
        <f>IFERROR(ROUND(_xlfn.XLOOKUP(AM$7,'Product Tgt'!$B:$B,'Product Tgt'!$G:$G)*H52/H$121,0),0)</f>
        <v>55098</v>
      </c>
      <c r="AN52" s="41">
        <f>IFERROR(ROUND(_xlfn.XLOOKUP(AN$7,'Product Tgt'!$B:$B,'Product Tgt'!$G:$G)*I52/I$121,0),0)</f>
        <v>89468</v>
      </c>
      <c r="AO52" s="41">
        <f>IFERROR(ROUND(_xlfn.XLOOKUP(AO$7,'Product Tgt'!$B:$B,'Product Tgt'!$G:$G)*J52/J$121,0),0)</f>
        <v>37092</v>
      </c>
      <c r="AP52" s="41">
        <f>IFERROR(ROUND(_xlfn.XLOOKUP(AP$7,'Product Tgt'!$B:$B,'Product Tgt'!$G:$G)*K52/K$121,0),0)</f>
        <v>36920</v>
      </c>
      <c r="AQ52" s="41">
        <f>IFERROR(ROUND(_xlfn.XLOOKUP(AQ$7,'Product Tgt'!$B:$B,'Product Tgt'!$G:$G)*L52/L$121,0),0)</f>
        <v>28441</v>
      </c>
      <c r="AR52" s="41">
        <f>IFERROR(ROUND(_xlfn.XLOOKUP(AR$7,'Product Tgt'!$B:$B,'Product Tgt'!$G:$G)*M52/M$121,0),0)</f>
        <v>21036</v>
      </c>
      <c r="AS52" s="41">
        <f>IFERROR(ROUND(_xlfn.XLOOKUP(AS$7,'Product Tgt'!$B:$B,'Product Tgt'!$G:$G)*N52/N$121,0),0)</f>
        <v>394</v>
      </c>
      <c r="AT52" s="41">
        <f>IFERROR(ROUND(_xlfn.XLOOKUP(AT$7,'Product Tgt'!$B:$B,'Product Tgt'!$G:$G)*O52/O$121,0),0)</f>
        <v>2371</v>
      </c>
      <c r="AU52" s="41">
        <f>IFERROR(ROUND(_xlfn.XLOOKUP(AU$7,'Product Tgt'!$B:$B,'Product Tgt'!$G:$G)*P52/P$121,0),0)</f>
        <v>411</v>
      </c>
      <c r="AV52" s="41">
        <f>IFERROR(ROUND(_xlfn.XLOOKUP(AV$7,'Product Tgt'!$B:$B,'Product Tgt'!$G:$G)*Q52/Q$121,0),0)</f>
        <v>672</v>
      </c>
      <c r="AW52" s="41">
        <f>IFERROR(ROUND(_xlfn.XLOOKUP(AW$7,'Product Tgt'!$B:$B,'Product Tgt'!$G:$G)*R52/R$121,0),0)</f>
        <v>13824</v>
      </c>
      <c r="AX52" s="41">
        <f>IFERROR(ROUND(_xlfn.XLOOKUP(AX$7,'Product Tgt'!$B:$B,'Product Tgt'!$G:$G)*S52/S$121,0),0)</f>
        <v>21803</v>
      </c>
      <c r="AY52" s="41">
        <f>IFERROR(ROUND(_xlfn.XLOOKUP(AY$7,'Product Tgt'!$B:$B,'Product Tgt'!$G:$G)*T52/T$121,0),0)</f>
        <v>0</v>
      </c>
      <c r="AZ52" s="41">
        <f>IFERROR(ROUND(_xlfn.XLOOKUP(AZ$7,'Product Tgt'!$B:$B,'Product Tgt'!$G:$G)*U52/U$121,0),0)</f>
        <v>6276</v>
      </c>
      <c r="BA52" s="41">
        <f>IFERROR(ROUND(_xlfn.XLOOKUP(BA$7,'Product Tgt'!$B:$B,'Product Tgt'!$G:$G)*V52/V$121,0),0)</f>
        <v>15934</v>
      </c>
      <c r="BB52" s="41">
        <f>IFERROR(ROUND(_xlfn.XLOOKUP(BB$7,'Product Tgt'!$B:$B,'Product Tgt'!$G:$G)*W52/W$121,0),0)</f>
        <v>13862</v>
      </c>
      <c r="BC52" s="41">
        <f>IFERROR(ROUND(_xlfn.XLOOKUP(BC$7,'Product Tgt'!$B:$B,'Product Tgt'!$G:$G)*X52/X$121,0),0)</f>
        <v>2334</v>
      </c>
      <c r="BD52" s="41">
        <f>IFERROR(ROUND(_xlfn.XLOOKUP(BD$7,'Product Tgt'!$B:$B,'Product Tgt'!$G:$G)*Y52/Y$121,0),0)</f>
        <v>2266</v>
      </c>
      <c r="BE52" s="41">
        <f>IFERROR(ROUND(_xlfn.XLOOKUP(BE$7,'Product Tgt'!$B:$B,'Product Tgt'!$G:$G)*Z52/Z$121,0),0)</f>
        <v>499</v>
      </c>
      <c r="BF52" s="41">
        <f>IFERROR(ROUND(_xlfn.XLOOKUP(BF$7,'Product Tgt'!$B:$B,'Product Tgt'!$G:$G)*AA52/AA$121,0),0)</f>
        <v>7400</v>
      </c>
      <c r="BG52" s="41">
        <f>IFERROR(ROUND(_xlfn.XLOOKUP(BG$7,'Product Tgt'!$B:$B,'Product Tgt'!$G:$G)*AB52/AB$121,0),0)</f>
        <v>2186</v>
      </c>
      <c r="BH52" s="41">
        <f>IFERROR(ROUND(_xlfn.XLOOKUP(BH$7,'Product Tgt'!$B:$B,'Product Tgt'!$G:$G)*AC52/AC$121,0),0)</f>
        <v>717</v>
      </c>
      <c r="BI52" s="41">
        <f>IFERROR(ROUND(_xlfn.XLOOKUP(BI$7,'Product Tgt'!$B:$B,'Product Tgt'!$G:$G)*AD52/AD$121,0),0)</f>
        <v>1096</v>
      </c>
      <c r="BJ52" s="41">
        <f>IFERROR(ROUND(_xlfn.XLOOKUP(BJ$7,'Product Tgt'!$B:$B,'Product Tgt'!$G:$G)*AE52/AE$121,0),0)</f>
        <v>5328</v>
      </c>
      <c r="BK52" s="41">
        <f>IFERROR(ROUND(_xlfn.XLOOKUP(BK$7,'Product Tgt'!$B:$B,'Product Tgt'!$G:$G)*AF52/AF$121,0),0)</f>
        <v>2021</v>
      </c>
      <c r="BL52" s="41">
        <f>IFERROR(ROUND(_xlfn.XLOOKUP(BL$7,'Product Tgt'!$B:$B,'Product Tgt'!$G:$G)*AG52/AG$121,0),0)</f>
        <v>29223</v>
      </c>
      <c r="BM52" s="41">
        <f>IFERROR(ROUND(_xlfn.XLOOKUP(BM$7,'Product Tgt'!$B:$B,'Product Tgt'!$G:$G)*AH52/AH$121,0),0)</f>
        <v>2649</v>
      </c>
      <c r="BN52" s="41">
        <f>IFERROR(ROUND(_xlfn.XLOOKUP(BN$7,'Product Tgt'!$B:$B,'Product Tgt'!$G:$G)*AI52/AI$121,0),0)</f>
        <v>8201</v>
      </c>
      <c r="BO52" s="41">
        <f>IFERROR(ROUND(_xlfn.XLOOKUP(BO$7,'Product Tgt'!$B:$B,'Product Tgt'!$G:$G)*AJ52/AJ$121,0),0)</f>
        <v>7986</v>
      </c>
      <c r="BP52" s="41">
        <f>IFERROR(ROUND(_xlfn.XLOOKUP(BP$7,'Product Tgt'!$B:$B,'Product Tgt'!$G:$G)*AK52/AK$121,0),0)</f>
        <v>2494</v>
      </c>
      <c r="BQ52" s="41">
        <f>IFERROR(ROUND(_xlfn.XLOOKUP(BQ$7,'Product Tgt'!$B:$B,'Product Tgt'!$G:$G)*AL52/AL$121,0),0)</f>
        <v>3408</v>
      </c>
      <c r="BR52" s="25">
        <f>ROUND(IFERROR(AM52/_xlfn.XLOOKUP(BR$7,'Product Tgt'!$B:$B,'Product Tgt'!$D:$D),0),0)</f>
        <v>0</v>
      </c>
      <c r="BS52" s="11">
        <f>ROUND(IFERROR(AN52/_xlfn.XLOOKUP(BS$7,'Product Tgt'!$B:$B,'Product Tgt'!$D:$D),0),0)</f>
        <v>0</v>
      </c>
      <c r="BT52" s="11">
        <f>ROUND(IFERROR(AO52/_xlfn.XLOOKUP(BT$7,'Product Tgt'!$B:$B,'Product Tgt'!$D:$D),0),0)</f>
        <v>0</v>
      </c>
      <c r="BU52" s="11">
        <f>ROUND(IFERROR(AP52/_xlfn.XLOOKUP(BU$7,'Product Tgt'!$B:$B,'Product Tgt'!$D:$D),0),0)</f>
        <v>0</v>
      </c>
      <c r="BV52" s="11">
        <f>ROUND(IFERROR(AQ52/_xlfn.XLOOKUP(BV$7,'Product Tgt'!$B:$B,'Product Tgt'!$D:$D),0),0)</f>
        <v>0</v>
      </c>
      <c r="BW52" s="11">
        <f>ROUND(IFERROR(AU52/_xlfn.XLOOKUP(BW$7,'Product Tgt'!$B:$B,'Product Tgt'!$D:$D),0),0)</f>
        <v>0</v>
      </c>
      <c r="BX52" s="11">
        <f>ROUND(IFERROR(#REF!/_xlfn.XLOOKUP(BX$7,'Product Tgt'!$B:$B,'Product Tgt'!$D:$D),0),0)</f>
        <v>0</v>
      </c>
      <c r="BY52" s="11">
        <f>ROUND(IFERROR(#REF!/_xlfn.XLOOKUP(BY$7,'Product Tgt'!$B:$B,'Product Tgt'!$D:$D),0),0)</f>
        <v>0</v>
      </c>
      <c r="BZ52" s="11">
        <f>ROUND(IFERROR(#REF!/_xlfn.XLOOKUP(BZ$7,'Product Tgt'!$B:$B,'Product Tgt'!$D:$D),0),0)</f>
        <v>0</v>
      </c>
      <c r="CA52" s="11">
        <f>ROUND(IFERROR(#REF!/_xlfn.XLOOKUP(CA$7,'Product Tgt'!$B:$B,'Product Tgt'!$D:$D),0),0)</f>
        <v>0</v>
      </c>
      <c r="CB52" s="11">
        <f>ROUND(IFERROR(AV52/_xlfn.XLOOKUP(CB$7,'Product Tgt'!$B:$B,'Product Tgt'!$D:$D),0),0)</f>
        <v>0</v>
      </c>
      <c r="CC52" s="11">
        <f>ROUND(IFERROR(AW52/_xlfn.XLOOKUP(CC$7,'Product Tgt'!$B:$B,'Product Tgt'!$D:$D),0),0)</f>
        <v>0</v>
      </c>
      <c r="CD52" s="11">
        <f>ROUND(IFERROR(AX52/_xlfn.XLOOKUP(CD$7,'Product Tgt'!$B:$B,'Product Tgt'!$D:$D),0),0)</f>
        <v>0</v>
      </c>
      <c r="CE52" s="11">
        <f>ROUND(IFERROR(AY52/_xlfn.XLOOKUP(CE$7,'Product Tgt'!$B:$B,'Product Tgt'!$D:$D),0),0)</f>
        <v>0</v>
      </c>
      <c r="CF52" s="11">
        <f>ROUND(IFERROR(AZ52/_xlfn.XLOOKUP(CF$7,'Product Tgt'!$B:$B,'Product Tgt'!$D:$D),0),0)</f>
        <v>0</v>
      </c>
      <c r="CG52" s="11">
        <f>ROUND(IFERROR(BA52/_xlfn.XLOOKUP(CG$7,'Product Tgt'!$B:$B,'Product Tgt'!$D:$D),0),0)</f>
        <v>0</v>
      </c>
      <c r="CH52" s="11">
        <f>ROUND(IFERROR(BB52/_xlfn.XLOOKUP(CH$7,'Product Tgt'!$B:$B,'Product Tgt'!$D:$D),0),0)</f>
        <v>0</v>
      </c>
      <c r="CI52" s="11">
        <f>ROUND(IFERROR(BC52/_xlfn.XLOOKUP(CI$7,'Product Tgt'!$B:$B,'Product Tgt'!$D:$D),0),0)</f>
        <v>0</v>
      </c>
      <c r="CJ52" s="11">
        <f>ROUND(IFERROR(BD52/_xlfn.XLOOKUP(CJ$7,'Product Tgt'!$B:$B,'Product Tgt'!$D:$D),0),0)</f>
        <v>0</v>
      </c>
      <c r="CK52" s="11">
        <f>ROUND(IFERROR(BE52/_xlfn.XLOOKUP(CK$7,'Product Tgt'!$B:$B,'Product Tgt'!$D:$D),0),0)</f>
        <v>0</v>
      </c>
      <c r="CL52" s="11">
        <f>ROUND(IFERROR(BF52/_xlfn.XLOOKUP(CL$7,'Product Tgt'!$B:$B,'Product Tgt'!$D:$D),0),0)</f>
        <v>0</v>
      </c>
      <c r="CM52" s="11">
        <f>ROUND(IFERROR(BG52/_xlfn.XLOOKUP(CM$7,'Product Tgt'!$B:$B,'Product Tgt'!$D:$D),0),0)</f>
        <v>0</v>
      </c>
      <c r="CN52" s="11">
        <f>ROUND(IFERROR(BH52/_xlfn.XLOOKUP(CN$7,'Product Tgt'!$B:$B,'Product Tgt'!$D:$D),0),0)</f>
        <v>0</v>
      </c>
      <c r="CO52" s="11">
        <f>ROUND(IFERROR(BI52/_xlfn.XLOOKUP(CO$7,'Product Tgt'!$B:$B,'Product Tgt'!$D:$D),0),0)</f>
        <v>0</v>
      </c>
      <c r="CP52" s="11">
        <f>ROUND(IFERROR(BJ52/_xlfn.XLOOKUP(CP$7,'Product Tgt'!$B:$B,'Product Tgt'!$D:$D),0),0)</f>
        <v>0</v>
      </c>
      <c r="CQ52" s="11">
        <f>ROUND(IFERROR(BK52/_xlfn.XLOOKUP(CQ$7,'Product Tgt'!$B:$B,'Product Tgt'!$D:$D),0),0)</f>
        <v>0</v>
      </c>
      <c r="CR52" s="11">
        <f>ROUND(IFERROR(BL52/_xlfn.XLOOKUP(CR$7,'Product Tgt'!$B:$B,'Product Tgt'!$D:$D),0),0)</f>
        <v>0</v>
      </c>
      <c r="CS52" s="11">
        <f>ROUND(IFERROR(BM52/_xlfn.XLOOKUP(CS$7,'Product Tgt'!$B:$B,'Product Tgt'!$D:$D),0),0)</f>
        <v>0</v>
      </c>
      <c r="CT52" s="11">
        <f>ROUND(IFERROR(BN52/_xlfn.XLOOKUP(CT$7,'Product Tgt'!$B:$B,'Product Tgt'!$D:$D),0),0)</f>
        <v>0</v>
      </c>
      <c r="CU52" s="11">
        <f>ROUND(IFERROR(BO52/_xlfn.XLOOKUP(CU$7,'Product Tgt'!$B:$B,'Product Tgt'!$D:$D),0),0)</f>
        <v>0</v>
      </c>
      <c r="CV52" s="11">
        <f>ROUND(IFERROR(BP52/_xlfn.XLOOKUP(CV$7,'Product Tgt'!$B:$B,'Product Tgt'!$D:$D),0),0)</f>
        <v>0</v>
      </c>
      <c r="CW52" s="11">
        <f>ROUND(IFERROR(BQ52/_xlfn.XLOOKUP(CW$7,'Product Tgt'!$B:$B,'Product Tgt'!$D:$D),0),0)</f>
        <v>0</v>
      </c>
      <c r="CX52" s="11">
        <f>ROUND(IFERROR(#REF!/_xlfn.XLOOKUP(CX$7,'Product Tgt'!$B:$B,'Product Tgt'!$D:$D),0),0)</f>
        <v>0</v>
      </c>
      <c r="CY52" s="11">
        <f>ROUND(IFERROR(#REF!/_xlfn.XLOOKUP(CY$7,'Product Tgt'!$B:$B,'Product Tgt'!$D:$D),0),0)</f>
        <v>0</v>
      </c>
      <c r="CZ52" s="11">
        <f>ROUND(IFERROR(#REF!/_xlfn.XLOOKUP(CZ$7,'Product Tgt'!$B:$B,'Product Tgt'!$D:$D),0),0)</f>
        <v>0</v>
      </c>
      <c r="DA52" s="10">
        <f>IFERROR(BR52*_xlfn.XLOOKUP(DA$7,'Product Tgt'!$B:$B,'Product Tgt'!$D:$D),0)</f>
        <v>0</v>
      </c>
      <c r="DB52">
        <f>IFERROR(BS52*_xlfn.XLOOKUP(DB$7,'Product Tgt'!$B:$B,'Product Tgt'!$D:$D),0)</f>
        <v>0</v>
      </c>
      <c r="DC52">
        <f>IFERROR(BT52*_xlfn.XLOOKUP(DC$7,'Product Tgt'!$B:$B,'Product Tgt'!$D:$D),0)</f>
        <v>0</v>
      </c>
      <c r="DD52">
        <f>IFERROR(BU52*_xlfn.XLOOKUP(DD$7,'Product Tgt'!$B:$B,'Product Tgt'!$D:$D),0)</f>
        <v>0</v>
      </c>
      <c r="DE52">
        <f>IFERROR(BV52*_xlfn.XLOOKUP(DE$7,'Product Tgt'!$B:$B,'Product Tgt'!$D:$D),0)</f>
        <v>0</v>
      </c>
      <c r="DF52">
        <f>IFERROR(BW52*_xlfn.XLOOKUP(DF$7,'Product Tgt'!$B:$B,'Product Tgt'!$D:$D),0)</f>
        <v>0</v>
      </c>
      <c r="DG52">
        <f>IFERROR(BX52*_xlfn.XLOOKUP(DG$7,'Product Tgt'!$B:$B,'Product Tgt'!$D:$D),0)</f>
        <v>0</v>
      </c>
      <c r="DH52">
        <f>IFERROR(BY52*_xlfn.XLOOKUP(DH$7,'Product Tgt'!$B:$B,'Product Tgt'!$D:$D),0)</f>
        <v>0</v>
      </c>
      <c r="DI52">
        <f>IFERROR(BZ52*_xlfn.XLOOKUP(DI$7,'Product Tgt'!$B:$B,'Product Tgt'!$D:$D),0)</f>
        <v>0</v>
      </c>
      <c r="DJ52">
        <f>IFERROR(CA52*_xlfn.XLOOKUP(DJ$7,'Product Tgt'!$B:$B,'Product Tgt'!$D:$D),0)</f>
        <v>0</v>
      </c>
      <c r="DK52">
        <f>IFERROR(CB52*_xlfn.XLOOKUP(DK$7,'Product Tgt'!$B:$B,'Product Tgt'!$D:$D),0)</f>
        <v>0</v>
      </c>
      <c r="DL52">
        <f>IFERROR(CC52*_xlfn.XLOOKUP(DL$7,'Product Tgt'!$B:$B,'Product Tgt'!$D:$D),0)</f>
        <v>0</v>
      </c>
      <c r="DM52">
        <f>IFERROR(CD52*_xlfn.XLOOKUP(DM$7,'Product Tgt'!$B:$B,'Product Tgt'!$D:$D),0)</f>
        <v>0</v>
      </c>
      <c r="DN52">
        <f>IFERROR(CE52*_xlfn.XLOOKUP(DN$7,'Product Tgt'!$B:$B,'Product Tgt'!$D:$D),0)</f>
        <v>0</v>
      </c>
      <c r="DO52">
        <f>IFERROR(CF52*_xlfn.XLOOKUP(DO$7,'Product Tgt'!$B:$B,'Product Tgt'!$D:$D),0)</f>
        <v>0</v>
      </c>
      <c r="DP52">
        <f>IFERROR(CG52*_xlfn.XLOOKUP(DP$7,'Product Tgt'!$B:$B,'Product Tgt'!$D:$D),0)</f>
        <v>0</v>
      </c>
      <c r="DQ52">
        <f>IFERROR(CH52*_xlfn.XLOOKUP(DQ$7,'Product Tgt'!$B:$B,'Product Tgt'!$D:$D),0)</f>
        <v>0</v>
      </c>
      <c r="DR52">
        <f>IFERROR(CI52*_xlfn.XLOOKUP(DR$7,'Product Tgt'!$B:$B,'Product Tgt'!$D:$D),0)</f>
        <v>0</v>
      </c>
      <c r="DS52">
        <f>IFERROR(CJ52*_xlfn.XLOOKUP(DS$7,'Product Tgt'!$B:$B,'Product Tgt'!$D:$D),0)</f>
        <v>0</v>
      </c>
      <c r="DT52">
        <f>IFERROR(CK52*_xlfn.XLOOKUP(DT$7,'Product Tgt'!$B:$B,'Product Tgt'!$D:$D),0)</f>
        <v>0</v>
      </c>
      <c r="DU52">
        <f>IFERROR(CL52*_xlfn.XLOOKUP(DU$7,'Product Tgt'!$B:$B,'Product Tgt'!$D:$D),0)</f>
        <v>0</v>
      </c>
      <c r="DV52">
        <f>IFERROR(CM52*_xlfn.XLOOKUP(DV$7,'Product Tgt'!$B:$B,'Product Tgt'!$D:$D),0)</f>
        <v>0</v>
      </c>
      <c r="DW52">
        <f>IFERROR(CN52*_xlfn.XLOOKUP(DW$7,'Product Tgt'!$B:$B,'Product Tgt'!$D:$D),0)</f>
        <v>0</v>
      </c>
      <c r="DX52">
        <f>IFERROR(CO52*_xlfn.XLOOKUP(DX$7,'Product Tgt'!$B:$B,'Product Tgt'!$D:$D),0)</f>
        <v>0</v>
      </c>
      <c r="DY52">
        <f>IFERROR(CP52*_xlfn.XLOOKUP(DY$7,'Product Tgt'!$B:$B,'Product Tgt'!$D:$D),0)</f>
        <v>0</v>
      </c>
      <c r="DZ52">
        <f>IFERROR(CQ52*_xlfn.XLOOKUP(DZ$7,'Product Tgt'!$B:$B,'Product Tgt'!$D:$D),0)</f>
        <v>0</v>
      </c>
      <c r="EA52">
        <f>IFERROR(CR52*_xlfn.XLOOKUP(EA$7,'Product Tgt'!$B:$B,'Product Tgt'!$D:$D),0)</f>
        <v>0</v>
      </c>
      <c r="EB52">
        <f>IFERROR(CS52*_xlfn.XLOOKUP(EB$7,'Product Tgt'!$B:$B,'Product Tgt'!$D:$D),0)</f>
        <v>0</v>
      </c>
      <c r="EC52">
        <f>IFERROR(CT52*_xlfn.XLOOKUP(EC$7,'Product Tgt'!$B:$B,'Product Tgt'!$D:$D),0)</f>
        <v>0</v>
      </c>
      <c r="ED52">
        <f>IFERROR(CU52*_xlfn.XLOOKUP(ED$7,'Product Tgt'!$B:$B,'Product Tgt'!$D:$D),0)</f>
        <v>0</v>
      </c>
      <c r="EE52">
        <f>IFERROR(CV52*_xlfn.XLOOKUP(EE$7,'Product Tgt'!$B:$B,'Product Tgt'!$D:$D),0)</f>
        <v>0</v>
      </c>
      <c r="EF52">
        <f>IFERROR(CW52*_xlfn.XLOOKUP(EF$7,'Product Tgt'!$B:$B,'Product Tgt'!$D:$D),0)</f>
        <v>0</v>
      </c>
      <c r="EG52">
        <f>IFERROR(CX52*_xlfn.XLOOKUP(EG$7,'Product Tgt'!$B:$B,'Product Tgt'!$D:$D),0)</f>
        <v>0</v>
      </c>
      <c r="EH52">
        <f>IFERROR(CY52*_xlfn.XLOOKUP(EH$7,'Product Tgt'!$B:$B,'Product Tgt'!$D:$D),0)</f>
        <v>0</v>
      </c>
      <c r="EI52">
        <f>IFERROR(CZ52*_xlfn.XLOOKUP(EI$7,'Product Tgt'!$B:$B,'Product Tgt'!$D:$D),0)</f>
        <v>0</v>
      </c>
    </row>
    <row r="53" spans="2:139" x14ac:dyDescent="0.35">
      <c r="B53" s="7" t="s">
        <v>153</v>
      </c>
      <c r="C53" s="3">
        <f>_xlfn.XLOOKUP($B53,'Terr Target'!$A:$A,'Terr Target'!$E:$E)</f>
        <v>432679.80605803791</v>
      </c>
      <c r="D53" s="3">
        <f t="shared" si="8"/>
        <v>432678</v>
      </c>
      <c r="E53" s="4">
        <f t="shared" si="9"/>
        <v>-1.8060580379096791</v>
      </c>
      <c r="F53" s="9">
        <f t="shared" si="7"/>
        <v>4.1741388235816917E-6</v>
      </c>
      <c r="G53" s="5">
        <f t="shared" si="6"/>
        <v>1.0000041741388235</v>
      </c>
      <c r="H53" s="38">
        <v>28386.83049385593</v>
      </c>
      <c r="I53" s="11">
        <v>77722.176344021398</v>
      </c>
      <c r="J53" s="11">
        <v>27219.595726427797</v>
      </c>
      <c r="K53" s="11">
        <v>52539.457674845442</v>
      </c>
      <c r="L53" s="11">
        <v>35009.488690439204</v>
      </c>
      <c r="M53" s="11">
        <v>24047.760590599541</v>
      </c>
      <c r="N53" s="11">
        <v>659.98947428210704</v>
      </c>
      <c r="O53" s="11">
        <v>3413.5034531969386</v>
      </c>
      <c r="P53" s="11">
        <v>1371.251970630545</v>
      </c>
      <c r="Q53" s="11">
        <v>1110.0448546883945</v>
      </c>
      <c r="R53" s="11">
        <v>19020.653744877414</v>
      </c>
      <c r="S53" s="11">
        <v>35106.720583186077</v>
      </c>
      <c r="T53" s="11">
        <v>0</v>
      </c>
      <c r="U53" s="11">
        <v>7319.2339456235313</v>
      </c>
      <c r="V53" s="11">
        <v>27979.197913642853</v>
      </c>
      <c r="W53" s="11">
        <v>13789.670335119992</v>
      </c>
      <c r="X53" s="11">
        <v>3820.3725636457111</v>
      </c>
      <c r="Y53" s="11">
        <v>3497.8869534628434</v>
      </c>
      <c r="Z53" s="11">
        <v>514.36766239465942</v>
      </c>
      <c r="AA53" s="11">
        <v>12304.952693596186</v>
      </c>
      <c r="AB53" s="11">
        <v>4412.1419962247519</v>
      </c>
      <c r="AC53" s="11">
        <v>2544.604541827955</v>
      </c>
      <c r="AD53" s="11">
        <v>7585.4237063432856</v>
      </c>
      <c r="AE53" s="11">
        <v>9869.8357433632409</v>
      </c>
      <c r="AF53" s="11">
        <v>1073.8202235028166</v>
      </c>
      <c r="AG53" s="11">
        <v>24609.764748025256</v>
      </c>
      <c r="AH53" s="11">
        <v>1657.5330409374214</v>
      </c>
      <c r="AI53" s="11">
        <v>6484.5103518622382</v>
      </c>
      <c r="AJ53" s="11">
        <v>10226.46653418942</v>
      </c>
      <c r="AK53" s="11">
        <v>5312.7048115030366</v>
      </c>
      <c r="AL53" s="49">
        <v>7070.3930307322526</v>
      </c>
      <c r="AM53" s="41">
        <f>IFERROR(ROUND(_xlfn.XLOOKUP(AM$7,'Product Tgt'!$B:$B,'Product Tgt'!$G:$G)*H53/H$121,0),0)</f>
        <v>27597</v>
      </c>
      <c r="AN53" s="41">
        <f>IFERROR(ROUND(_xlfn.XLOOKUP(AN$7,'Product Tgt'!$B:$B,'Product Tgt'!$G:$G)*I53/I$121,0),0)</f>
        <v>76510</v>
      </c>
      <c r="AO53" s="41">
        <f>IFERROR(ROUND(_xlfn.XLOOKUP(AO$7,'Product Tgt'!$B:$B,'Product Tgt'!$G:$G)*J53/J$121,0),0)</f>
        <v>26373</v>
      </c>
      <c r="AP53" s="41">
        <f>IFERROR(ROUND(_xlfn.XLOOKUP(AP$7,'Product Tgt'!$B:$B,'Product Tgt'!$G:$G)*K53/K$121,0),0)</f>
        <v>51253</v>
      </c>
      <c r="AQ53" s="41">
        <f>IFERROR(ROUND(_xlfn.XLOOKUP(AQ$7,'Product Tgt'!$B:$B,'Product Tgt'!$G:$G)*L53/L$121,0),0)</f>
        <v>33852</v>
      </c>
      <c r="AR53" s="41">
        <f>IFERROR(ROUND(_xlfn.XLOOKUP(AR$7,'Product Tgt'!$B:$B,'Product Tgt'!$G:$G)*M53/M$121,0),0)</f>
        <v>23297</v>
      </c>
      <c r="AS53" s="41">
        <f>IFERROR(ROUND(_xlfn.XLOOKUP(AS$7,'Product Tgt'!$B:$B,'Product Tgt'!$G:$G)*N53/N$121,0),0)</f>
        <v>610</v>
      </c>
      <c r="AT53" s="41">
        <f>IFERROR(ROUND(_xlfn.XLOOKUP(AT$7,'Product Tgt'!$B:$B,'Product Tgt'!$G:$G)*O53/O$121,0),0)</f>
        <v>3072</v>
      </c>
      <c r="AU53" s="41">
        <f>IFERROR(ROUND(_xlfn.XLOOKUP(AU$7,'Product Tgt'!$B:$B,'Product Tgt'!$G:$G)*P53/P$121,0),0)</f>
        <v>585</v>
      </c>
      <c r="AV53" s="41">
        <f>IFERROR(ROUND(_xlfn.XLOOKUP(AV$7,'Product Tgt'!$B:$B,'Product Tgt'!$G:$G)*Q53/Q$121,0),0)</f>
        <v>833</v>
      </c>
      <c r="AW53" s="41">
        <f>IFERROR(ROUND(_xlfn.XLOOKUP(AW$7,'Product Tgt'!$B:$B,'Product Tgt'!$G:$G)*R53/R$121,0),0)</f>
        <v>18318</v>
      </c>
      <c r="AX53" s="41">
        <f>IFERROR(ROUND(_xlfn.XLOOKUP(AX$7,'Product Tgt'!$B:$B,'Product Tgt'!$G:$G)*S53/S$121,0),0)</f>
        <v>33812</v>
      </c>
      <c r="AY53" s="41">
        <f>IFERROR(ROUND(_xlfn.XLOOKUP(AY$7,'Product Tgt'!$B:$B,'Product Tgt'!$G:$G)*T53/T$121,0),0)</f>
        <v>0</v>
      </c>
      <c r="AZ53" s="41">
        <f>IFERROR(ROUND(_xlfn.XLOOKUP(AZ$7,'Product Tgt'!$B:$B,'Product Tgt'!$G:$G)*U53/U$121,0),0)</f>
        <v>7005</v>
      </c>
      <c r="BA53" s="41">
        <f>IFERROR(ROUND(_xlfn.XLOOKUP(BA$7,'Product Tgt'!$B:$B,'Product Tgt'!$G:$G)*V53/V$121,0),0)</f>
        <v>26939</v>
      </c>
      <c r="BB53" s="41">
        <f>IFERROR(ROUND(_xlfn.XLOOKUP(BB$7,'Product Tgt'!$B:$B,'Product Tgt'!$G:$G)*W53/W$121,0),0)</f>
        <v>13200</v>
      </c>
      <c r="BC53" s="41">
        <f>IFERROR(ROUND(_xlfn.XLOOKUP(BC$7,'Product Tgt'!$B:$B,'Product Tgt'!$G:$G)*X53/X$121,0),0)</f>
        <v>3697</v>
      </c>
      <c r="BD53" s="41">
        <f>IFERROR(ROUND(_xlfn.XLOOKUP(BD$7,'Product Tgt'!$B:$B,'Product Tgt'!$G:$G)*Y53/Y$121,0),0)</f>
        <v>3382</v>
      </c>
      <c r="BE53" s="41">
        <f>IFERROR(ROUND(_xlfn.XLOOKUP(BE$7,'Product Tgt'!$B:$B,'Product Tgt'!$G:$G)*Z53/Z$121,0),0)</f>
        <v>489</v>
      </c>
      <c r="BF53" s="41">
        <f>IFERROR(ROUND(_xlfn.XLOOKUP(BF$7,'Product Tgt'!$B:$B,'Product Tgt'!$G:$G)*AA53/AA$121,0),0)</f>
        <v>9972</v>
      </c>
      <c r="BG53" s="41">
        <f>IFERROR(ROUND(_xlfn.XLOOKUP(BG$7,'Product Tgt'!$B:$B,'Product Tgt'!$G:$G)*AB53/AB$121,0),0)</f>
        <v>3536</v>
      </c>
      <c r="BH53" s="41">
        <f>IFERROR(ROUND(_xlfn.XLOOKUP(BH$7,'Product Tgt'!$B:$B,'Product Tgt'!$G:$G)*AC53/AC$121,0),0)</f>
        <v>2178</v>
      </c>
      <c r="BI53" s="41">
        <f>IFERROR(ROUND(_xlfn.XLOOKUP(BI$7,'Product Tgt'!$B:$B,'Product Tgt'!$G:$G)*AD53/AD$121,0),0)</f>
        <v>6603</v>
      </c>
      <c r="BJ53" s="41">
        <f>IFERROR(ROUND(_xlfn.XLOOKUP(BJ$7,'Product Tgt'!$B:$B,'Product Tgt'!$G:$G)*AE53/AE$121,0),0)</f>
        <v>9186</v>
      </c>
      <c r="BK53" s="41">
        <f>IFERROR(ROUND(_xlfn.XLOOKUP(BK$7,'Product Tgt'!$B:$B,'Product Tgt'!$G:$G)*AF53/AF$121,0),0)</f>
        <v>1200</v>
      </c>
      <c r="BL53" s="41">
        <f>IFERROR(ROUND(_xlfn.XLOOKUP(BL$7,'Product Tgt'!$B:$B,'Product Tgt'!$G:$G)*AG53/AG$121,0),0)</f>
        <v>23507</v>
      </c>
      <c r="BM53" s="41">
        <f>IFERROR(ROUND(_xlfn.XLOOKUP(BM$7,'Product Tgt'!$B:$B,'Product Tgt'!$G:$G)*AH53/AH$121,0),0)</f>
        <v>1300</v>
      </c>
      <c r="BN53" s="41">
        <f>IFERROR(ROUND(_xlfn.XLOOKUP(BN$7,'Product Tgt'!$B:$B,'Product Tgt'!$G:$G)*AI53/AI$121,0),0)</f>
        <v>5955</v>
      </c>
      <c r="BO53" s="41">
        <f>IFERROR(ROUND(_xlfn.XLOOKUP(BO$7,'Product Tgt'!$B:$B,'Product Tgt'!$G:$G)*AJ53/AJ$121,0),0)</f>
        <v>8845</v>
      </c>
      <c r="BP53" s="41">
        <f>IFERROR(ROUND(_xlfn.XLOOKUP(BP$7,'Product Tgt'!$B:$B,'Product Tgt'!$G:$G)*AK53/AK$121,0),0)</f>
        <v>4045</v>
      </c>
      <c r="BQ53" s="41">
        <f>IFERROR(ROUND(_xlfn.XLOOKUP(BQ$7,'Product Tgt'!$B:$B,'Product Tgt'!$G:$G)*AL53/AL$121,0),0)</f>
        <v>5527</v>
      </c>
      <c r="BR53" s="25">
        <f>ROUND(IFERROR(AM53/_xlfn.XLOOKUP(BR$7,'Product Tgt'!$B:$B,'Product Tgt'!$D:$D),0),0)</f>
        <v>0</v>
      </c>
      <c r="BS53" s="11">
        <f>ROUND(IFERROR(AN53/_xlfn.XLOOKUP(BS$7,'Product Tgt'!$B:$B,'Product Tgt'!$D:$D),0),0)</f>
        <v>0</v>
      </c>
      <c r="BT53" s="11">
        <f>ROUND(IFERROR(AO53/_xlfn.XLOOKUP(BT$7,'Product Tgt'!$B:$B,'Product Tgt'!$D:$D),0),0)</f>
        <v>0</v>
      </c>
      <c r="BU53" s="11">
        <f>ROUND(IFERROR(AP53/_xlfn.XLOOKUP(BU$7,'Product Tgt'!$B:$B,'Product Tgt'!$D:$D),0),0)</f>
        <v>0</v>
      </c>
      <c r="BV53" s="11">
        <f>ROUND(IFERROR(AQ53/_xlfn.XLOOKUP(BV$7,'Product Tgt'!$B:$B,'Product Tgt'!$D:$D),0),0)</f>
        <v>0</v>
      </c>
      <c r="BW53" s="11">
        <f>ROUND(IFERROR(AU53/_xlfn.XLOOKUP(BW$7,'Product Tgt'!$B:$B,'Product Tgt'!$D:$D),0),0)</f>
        <v>0</v>
      </c>
      <c r="BX53" s="11">
        <f>ROUND(IFERROR(#REF!/_xlfn.XLOOKUP(BX$7,'Product Tgt'!$B:$B,'Product Tgt'!$D:$D),0),0)</f>
        <v>0</v>
      </c>
      <c r="BY53" s="11">
        <f>ROUND(IFERROR(#REF!/_xlfn.XLOOKUP(BY$7,'Product Tgt'!$B:$B,'Product Tgt'!$D:$D),0),0)</f>
        <v>0</v>
      </c>
      <c r="BZ53" s="11">
        <f>ROUND(IFERROR(#REF!/_xlfn.XLOOKUP(BZ$7,'Product Tgt'!$B:$B,'Product Tgt'!$D:$D),0),0)</f>
        <v>0</v>
      </c>
      <c r="CA53" s="11">
        <f>ROUND(IFERROR(#REF!/_xlfn.XLOOKUP(CA$7,'Product Tgt'!$B:$B,'Product Tgt'!$D:$D),0),0)</f>
        <v>0</v>
      </c>
      <c r="CB53" s="11">
        <f>ROUND(IFERROR(AV53/_xlfn.XLOOKUP(CB$7,'Product Tgt'!$B:$B,'Product Tgt'!$D:$D),0),0)</f>
        <v>0</v>
      </c>
      <c r="CC53" s="11">
        <f>ROUND(IFERROR(AW53/_xlfn.XLOOKUP(CC$7,'Product Tgt'!$B:$B,'Product Tgt'!$D:$D),0),0)</f>
        <v>0</v>
      </c>
      <c r="CD53" s="11">
        <f>ROUND(IFERROR(AX53/_xlfn.XLOOKUP(CD$7,'Product Tgt'!$B:$B,'Product Tgt'!$D:$D),0),0)</f>
        <v>0</v>
      </c>
      <c r="CE53" s="11">
        <f>ROUND(IFERROR(AY53/_xlfn.XLOOKUP(CE$7,'Product Tgt'!$B:$B,'Product Tgt'!$D:$D),0),0)</f>
        <v>0</v>
      </c>
      <c r="CF53" s="11">
        <f>ROUND(IFERROR(AZ53/_xlfn.XLOOKUP(CF$7,'Product Tgt'!$B:$B,'Product Tgt'!$D:$D),0),0)</f>
        <v>0</v>
      </c>
      <c r="CG53" s="11">
        <f>ROUND(IFERROR(BA53/_xlfn.XLOOKUP(CG$7,'Product Tgt'!$B:$B,'Product Tgt'!$D:$D),0),0)</f>
        <v>0</v>
      </c>
      <c r="CH53" s="11">
        <f>ROUND(IFERROR(BB53/_xlfn.XLOOKUP(CH$7,'Product Tgt'!$B:$B,'Product Tgt'!$D:$D),0),0)</f>
        <v>0</v>
      </c>
      <c r="CI53" s="11">
        <f>ROUND(IFERROR(BC53/_xlfn.XLOOKUP(CI$7,'Product Tgt'!$B:$B,'Product Tgt'!$D:$D),0),0)</f>
        <v>0</v>
      </c>
      <c r="CJ53" s="11">
        <f>ROUND(IFERROR(BD53/_xlfn.XLOOKUP(CJ$7,'Product Tgt'!$B:$B,'Product Tgt'!$D:$D),0),0)</f>
        <v>0</v>
      </c>
      <c r="CK53" s="11">
        <f>ROUND(IFERROR(BE53/_xlfn.XLOOKUP(CK$7,'Product Tgt'!$B:$B,'Product Tgt'!$D:$D),0),0)</f>
        <v>0</v>
      </c>
      <c r="CL53" s="11">
        <f>ROUND(IFERROR(BF53/_xlfn.XLOOKUP(CL$7,'Product Tgt'!$B:$B,'Product Tgt'!$D:$D),0),0)</f>
        <v>0</v>
      </c>
      <c r="CM53" s="11">
        <f>ROUND(IFERROR(BG53/_xlfn.XLOOKUP(CM$7,'Product Tgt'!$B:$B,'Product Tgt'!$D:$D),0),0)</f>
        <v>0</v>
      </c>
      <c r="CN53" s="11">
        <f>ROUND(IFERROR(BH53/_xlfn.XLOOKUP(CN$7,'Product Tgt'!$B:$B,'Product Tgt'!$D:$D),0),0)</f>
        <v>0</v>
      </c>
      <c r="CO53" s="11">
        <f>ROUND(IFERROR(BI53/_xlfn.XLOOKUP(CO$7,'Product Tgt'!$B:$B,'Product Tgt'!$D:$D),0),0)</f>
        <v>0</v>
      </c>
      <c r="CP53" s="11">
        <f>ROUND(IFERROR(BJ53/_xlfn.XLOOKUP(CP$7,'Product Tgt'!$B:$B,'Product Tgt'!$D:$D),0),0)</f>
        <v>0</v>
      </c>
      <c r="CQ53" s="11">
        <f>ROUND(IFERROR(BK53/_xlfn.XLOOKUP(CQ$7,'Product Tgt'!$B:$B,'Product Tgt'!$D:$D),0),0)</f>
        <v>0</v>
      </c>
      <c r="CR53" s="11">
        <f>ROUND(IFERROR(BL53/_xlfn.XLOOKUP(CR$7,'Product Tgt'!$B:$B,'Product Tgt'!$D:$D),0),0)</f>
        <v>0</v>
      </c>
      <c r="CS53" s="11">
        <f>ROUND(IFERROR(BM53/_xlfn.XLOOKUP(CS$7,'Product Tgt'!$B:$B,'Product Tgt'!$D:$D),0),0)</f>
        <v>0</v>
      </c>
      <c r="CT53" s="11">
        <f>ROUND(IFERROR(BN53/_xlfn.XLOOKUP(CT$7,'Product Tgt'!$B:$B,'Product Tgt'!$D:$D),0),0)</f>
        <v>0</v>
      </c>
      <c r="CU53" s="11">
        <f>ROUND(IFERROR(BO53/_xlfn.XLOOKUP(CU$7,'Product Tgt'!$B:$B,'Product Tgt'!$D:$D),0),0)</f>
        <v>0</v>
      </c>
      <c r="CV53" s="11">
        <f>ROUND(IFERROR(BP53/_xlfn.XLOOKUP(CV$7,'Product Tgt'!$B:$B,'Product Tgt'!$D:$D),0),0)</f>
        <v>0</v>
      </c>
      <c r="CW53" s="11">
        <f>ROUND(IFERROR(BQ53/_xlfn.XLOOKUP(CW$7,'Product Tgt'!$B:$B,'Product Tgt'!$D:$D),0),0)</f>
        <v>0</v>
      </c>
      <c r="CX53" s="11">
        <f>ROUND(IFERROR(#REF!/_xlfn.XLOOKUP(CX$7,'Product Tgt'!$B:$B,'Product Tgt'!$D:$D),0),0)</f>
        <v>0</v>
      </c>
      <c r="CY53" s="11">
        <f>ROUND(IFERROR(#REF!/_xlfn.XLOOKUP(CY$7,'Product Tgt'!$B:$B,'Product Tgt'!$D:$D),0),0)</f>
        <v>0</v>
      </c>
      <c r="CZ53" s="11">
        <f>ROUND(IFERROR(#REF!/_xlfn.XLOOKUP(CZ$7,'Product Tgt'!$B:$B,'Product Tgt'!$D:$D),0),0)</f>
        <v>0</v>
      </c>
      <c r="DA53" s="10">
        <f>IFERROR(BR53*_xlfn.XLOOKUP(DA$7,'Product Tgt'!$B:$B,'Product Tgt'!$D:$D),0)</f>
        <v>0</v>
      </c>
      <c r="DB53">
        <f>IFERROR(BS53*_xlfn.XLOOKUP(DB$7,'Product Tgt'!$B:$B,'Product Tgt'!$D:$D),0)</f>
        <v>0</v>
      </c>
      <c r="DC53">
        <f>IFERROR(BT53*_xlfn.XLOOKUP(DC$7,'Product Tgt'!$B:$B,'Product Tgt'!$D:$D),0)</f>
        <v>0</v>
      </c>
      <c r="DD53">
        <f>IFERROR(BU53*_xlfn.XLOOKUP(DD$7,'Product Tgt'!$B:$B,'Product Tgt'!$D:$D),0)</f>
        <v>0</v>
      </c>
      <c r="DE53">
        <f>IFERROR(BV53*_xlfn.XLOOKUP(DE$7,'Product Tgt'!$B:$B,'Product Tgt'!$D:$D),0)</f>
        <v>0</v>
      </c>
      <c r="DF53">
        <f>IFERROR(BW53*_xlfn.XLOOKUP(DF$7,'Product Tgt'!$B:$B,'Product Tgt'!$D:$D),0)</f>
        <v>0</v>
      </c>
      <c r="DG53">
        <f>IFERROR(BX53*_xlfn.XLOOKUP(DG$7,'Product Tgt'!$B:$B,'Product Tgt'!$D:$D),0)</f>
        <v>0</v>
      </c>
      <c r="DH53">
        <f>IFERROR(BY53*_xlfn.XLOOKUP(DH$7,'Product Tgt'!$B:$B,'Product Tgt'!$D:$D),0)</f>
        <v>0</v>
      </c>
      <c r="DI53">
        <f>IFERROR(BZ53*_xlfn.XLOOKUP(DI$7,'Product Tgt'!$B:$B,'Product Tgt'!$D:$D),0)</f>
        <v>0</v>
      </c>
      <c r="DJ53">
        <f>IFERROR(CA53*_xlfn.XLOOKUP(DJ$7,'Product Tgt'!$B:$B,'Product Tgt'!$D:$D),0)</f>
        <v>0</v>
      </c>
      <c r="DK53">
        <f>IFERROR(CB53*_xlfn.XLOOKUP(DK$7,'Product Tgt'!$B:$B,'Product Tgt'!$D:$D),0)</f>
        <v>0</v>
      </c>
      <c r="DL53">
        <f>IFERROR(CC53*_xlfn.XLOOKUP(DL$7,'Product Tgt'!$B:$B,'Product Tgt'!$D:$D),0)</f>
        <v>0</v>
      </c>
      <c r="DM53">
        <f>IFERROR(CD53*_xlfn.XLOOKUP(DM$7,'Product Tgt'!$B:$B,'Product Tgt'!$D:$D),0)</f>
        <v>0</v>
      </c>
      <c r="DN53">
        <f>IFERROR(CE53*_xlfn.XLOOKUP(DN$7,'Product Tgt'!$B:$B,'Product Tgt'!$D:$D),0)</f>
        <v>0</v>
      </c>
      <c r="DO53">
        <f>IFERROR(CF53*_xlfn.XLOOKUP(DO$7,'Product Tgt'!$B:$B,'Product Tgt'!$D:$D),0)</f>
        <v>0</v>
      </c>
      <c r="DP53">
        <f>IFERROR(CG53*_xlfn.XLOOKUP(DP$7,'Product Tgt'!$B:$B,'Product Tgt'!$D:$D),0)</f>
        <v>0</v>
      </c>
      <c r="DQ53">
        <f>IFERROR(CH53*_xlfn.XLOOKUP(DQ$7,'Product Tgt'!$B:$B,'Product Tgt'!$D:$D),0)</f>
        <v>0</v>
      </c>
      <c r="DR53">
        <f>IFERROR(CI53*_xlfn.XLOOKUP(DR$7,'Product Tgt'!$B:$B,'Product Tgt'!$D:$D),0)</f>
        <v>0</v>
      </c>
      <c r="DS53">
        <f>IFERROR(CJ53*_xlfn.XLOOKUP(DS$7,'Product Tgt'!$B:$B,'Product Tgt'!$D:$D),0)</f>
        <v>0</v>
      </c>
      <c r="DT53">
        <f>IFERROR(CK53*_xlfn.XLOOKUP(DT$7,'Product Tgt'!$B:$B,'Product Tgt'!$D:$D),0)</f>
        <v>0</v>
      </c>
      <c r="DU53">
        <f>IFERROR(CL53*_xlfn.XLOOKUP(DU$7,'Product Tgt'!$B:$B,'Product Tgt'!$D:$D),0)</f>
        <v>0</v>
      </c>
      <c r="DV53">
        <f>IFERROR(CM53*_xlfn.XLOOKUP(DV$7,'Product Tgt'!$B:$B,'Product Tgt'!$D:$D),0)</f>
        <v>0</v>
      </c>
      <c r="DW53">
        <f>IFERROR(CN53*_xlfn.XLOOKUP(DW$7,'Product Tgt'!$B:$B,'Product Tgt'!$D:$D),0)</f>
        <v>0</v>
      </c>
      <c r="DX53">
        <f>IFERROR(CO53*_xlfn.XLOOKUP(DX$7,'Product Tgt'!$B:$B,'Product Tgt'!$D:$D),0)</f>
        <v>0</v>
      </c>
      <c r="DY53">
        <f>IFERROR(CP53*_xlfn.XLOOKUP(DY$7,'Product Tgt'!$B:$B,'Product Tgt'!$D:$D),0)</f>
        <v>0</v>
      </c>
      <c r="DZ53">
        <f>IFERROR(CQ53*_xlfn.XLOOKUP(DZ$7,'Product Tgt'!$B:$B,'Product Tgt'!$D:$D),0)</f>
        <v>0</v>
      </c>
      <c r="EA53">
        <f>IFERROR(CR53*_xlfn.XLOOKUP(EA$7,'Product Tgt'!$B:$B,'Product Tgt'!$D:$D),0)</f>
        <v>0</v>
      </c>
      <c r="EB53">
        <f>IFERROR(CS53*_xlfn.XLOOKUP(EB$7,'Product Tgt'!$B:$B,'Product Tgt'!$D:$D),0)</f>
        <v>0</v>
      </c>
      <c r="EC53">
        <f>IFERROR(CT53*_xlfn.XLOOKUP(EC$7,'Product Tgt'!$B:$B,'Product Tgt'!$D:$D),0)</f>
        <v>0</v>
      </c>
      <c r="ED53">
        <f>IFERROR(CU53*_xlfn.XLOOKUP(ED$7,'Product Tgt'!$B:$B,'Product Tgt'!$D:$D),0)</f>
        <v>0</v>
      </c>
      <c r="EE53">
        <f>IFERROR(CV53*_xlfn.XLOOKUP(EE$7,'Product Tgt'!$B:$B,'Product Tgt'!$D:$D),0)</f>
        <v>0</v>
      </c>
      <c r="EF53">
        <f>IFERROR(CW53*_xlfn.XLOOKUP(EF$7,'Product Tgt'!$B:$B,'Product Tgt'!$D:$D),0)</f>
        <v>0</v>
      </c>
      <c r="EG53">
        <f>IFERROR(CX53*_xlfn.XLOOKUP(EG$7,'Product Tgt'!$B:$B,'Product Tgt'!$D:$D),0)</f>
        <v>0</v>
      </c>
      <c r="EH53">
        <f>IFERROR(CY53*_xlfn.XLOOKUP(EH$7,'Product Tgt'!$B:$B,'Product Tgt'!$D:$D),0)</f>
        <v>0</v>
      </c>
      <c r="EI53">
        <f>IFERROR(CZ53*_xlfn.XLOOKUP(EI$7,'Product Tgt'!$B:$B,'Product Tgt'!$D:$D),0)</f>
        <v>0</v>
      </c>
    </row>
    <row r="54" spans="2:139" x14ac:dyDescent="0.35">
      <c r="B54" s="7" t="s">
        <v>154</v>
      </c>
      <c r="C54" s="3">
        <f>_xlfn.XLOOKUP($B54,'Terr Target'!$A:$A,'Terr Target'!$E:$E)</f>
        <v>470249.77986424224</v>
      </c>
      <c r="D54" s="3">
        <f t="shared" si="8"/>
        <v>470244</v>
      </c>
      <c r="E54" s="4">
        <f t="shared" si="9"/>
        <v>-5.7798642422421835</v>
      </c>
      <c r="F54" s="9">
        <f t="shared" si="7"/>
        <v>1.2291202529414907E-5</v>
      </c>
      <c r="G54" s="5">
        <f t="shared" si="6"/>
        <v>1.0000122912025293</v>
      </c>
      <c r="H54" s="38">
        <v>38591.377550550431</v>
      </c>
      <c r="I54" s="11">
        <v>99315.492331969072</v>
      </c>
      <c r="J54" s="11">
        <v>19161.05921937677</v>
      </c>
      <c r="K54" s="11">
        <v>59651.761101392738</v>
      </c>
      <c r="L54" s="11">
        <v>37200.23394469342</v>
      </c>
      <c r="M54" s="11">
        <v>21350.343307173694</v>
      </c>
      <c r="N54" s="11">
        <v>783.80076361433021</v>
      </c>
      <c r="O54" s="11">
        <v>4106.9576313595444</v>
      </c>
      <c r="P54" s="11">
        <v>2057.0109887641761</v>
      </c>
      <c r="Q54" s="11">
        <v>1794.7760277098096</v>
      </c>
      <c r="R54" s="11">
        <v>16287.79970913328</v>
      </c>
      <c r="S54" s="11">
        <v>31591.83645776302</v>
      </c>
      <c r="T54" s="11">
        <v>0</v>
      </c>
      <c r="U54" s="11">
        <v>6885.4664730031845</v>
      </c>
      <c r="V54" s="11">
        <v>17406.649448509208</v>
      </c>
      <c r="W54" s="11">
        <v>28142.807612620236</v>
      </c>
      <c r="X54" s="11">
        <v>3968.3035084047565</v>
      </c>
      <c r="Y54" s="11">
        <v>4152.1774859251727</v>
      </c>
      <c r="Z54" s="11">
        <v>577.84944820931605</v>
      </c>
      <c r="AA54" s="11">
        <v>13140.899785628317</v>
      </c>
      <c r="AB54" s="11">
        <v>5797.2757950227515</v>
      </c>
      <c r="AC54" s="11">
        <v>1536.5003161440777</v>
      </c>
      <c r="AD54" s="11">
        <v>14861.193688440251</v>
      </c>
      <c r="AE54" s="11">
        <v>16564.525121361788</v>
      </c>
      <c r="AF54" s="11">
        <v>1237.9688851583662</v>
      </c>
      <c r="AG54" s="11">
        <v>14652.177471781344</v>
      </c>
      <c r="AH54" s="11">
        <v>1203.8530171027417</v>
      </c>
      <c r="AI54" s="11">
        <v>11814.51101150929</v>
      </c>
      <c r="AJ54" s="11">
        <v>14032.163021403723</v>
      </c>
      <c r="AK54" s="11">
        <v>3235.0685910513694</v>
      </c>
      <c r="AL54" s="49">
        <v>4303.4931681583366</v>
      </c>
      <c r="AM54" s="41">
        <f>IFERROR(ROUND(_xlfn.XLOOKUP(AM$7,'Product Tgt'!$B:$B,'Product Tgt'!$G:$G)*H54/H$121,0),0)</f>
        <v>37517</v>
      </c>
      <c r="AN54" s="41">
        <f>IFERROR(ROUND(_xlfn.XLOOKUP(AN$7,'Product Tgt'!$B:$B,'Product Tgt'!$G:$G)*I54/I$121,0),0)</f>
        <v>97766</v>
      </c>
      <c r="AO54" s="41">
        <f>IFERROR(ROUND(_xlfn.XLOOKUP(AO$7,'Product Tgt'!$B:$B,'Product Tgt'!$G:$G)*J54/J$121,0),0)</f>
        <v>18565</v>
      </c>
      <c r="AP54" s="41">
        <f>IFERROR(ROUND(_xlfn.XLOOKUP(AP$7,'Product Tgt'!$B:$B,'Product Tgt'!$G:$G)*K54/K$121,0),0)</f>
        <v>58192</v>
      </c>
      <c r="AQ54" s="41">
        <f>IFERROR(ROUND(_xlfn.XLOOKUP(AQ$7,'Product Tgt'!$B:$B,'Product Tgt'!$G:$G)*L54/L$121,0),0)</f>
        <v>35970</v>
      </c>
      <c r="AR54" s="41">
        <f>IFERROR(ROUND(_xlfn.XLOOKUP(AR$7,'Product Tgt'!$B:$B,'Product Tgt'!$G:$G)*M54/M$121,0),0)</f>
        <v>20684</v>
      </c>
      <c r="AS54" s="41">
        <f>IFERROR(ROUND(_xlfn.XLOOKUP(AS$7,'Product Tgt'!$B:$B,'Product Tgt'!$G:$G)*N54/N$121,0),0)</f>
        <v>724</v>
      </c>
      <c r="AT54" s="41">
        <f>IFERROR(ROUND(_xlfn.XLOOKUP(AT$7,'Product Tgt'!$B:$B,'Product Tgt'!$G:$G)*O54/O$121,0),0)</f>
        <v>3697</v>
      </c>
      <c r="AU54" s="41">
        <f>IFERROR(ROUND(_xlfn.XLOOKUP(AU$7,'Product Tgt'!$B:$B,'Product Tgt'!$G:$G)*P54/P$121,0),0)</f>
        <v>877</v>
      </c>
      <c r="AV54" s="41">
        <f>IFERROR(ROUND(_xlfn.XLOOKUP(AV$7,'Product Tgt'!$B:$B,'Product Tgt'!$G:$G)*Q54/Q$121,0),0)</f>
        <v>1347</v>
      </c>
      <c r="AW54" s="41">
        <f>IFERROR(ROUND(_xlfn.XLOOKUP(AW$7,'Product Tgt'!$B:$B,'Product Tgt'!$G:$G)*R54/R$121,0),0)</f>
        <v>15686</v>
      </c>
      <c r="AX54" s="41">
        <f>IFERROR(ROUND(_xlfn.XLOOKUP(AX$7,'Product Tgt'!$B:$B,'Product Tgt'!$G:$G)*S54/S$121,0),0)</f>
        <v>30427</v>
      </c>
      <c r="AY54" s="41">
        <f>IFERROR(ROUND(_xlfn.XLOOKUP(AY$7,'Product Tgt'!$B:$B,'Product Tgt'!$G:$G)*T54/T$121,0),0)</f>
        <v>0</v>
      </c>
      <c r="AZ54" s="41">
        <f>IFERROR(ROUND(_xlfn.XLOOKUP(AZ$7,'Product Tgt'!$B:$B,'Product Tgt'!$G:$G)*U54/U$121,0),0)</f>
        <v>6590</v>
      </c>
      <c r="BA54" s="41">
        <f>IFERROR(ROUND(_xlfn.XLOOKUP(BA$7,'Product Tgt'!$B:$B,'Product Tgt'!$G:$G)*V54/V$121,0),0)</f>
        <v>16759</v>
      </c>
      <c r="BB54" s="41">
        <f>IFERROR(ROUND(_xlfn.XLOOKUP(BB$7,'Product Tgt'!$B:$B,'Product Tgt'!$G:$G)*W54/W$121,0),0)</f>
        <v>26939</v>
      </c>
      <c r="BC54" s="41">
        <f>IFERROR(ROUND(_xlfn.XLOOKUP(BC$7,'Product Tgt'!$B:$B,'Product Tgt'!$G:$G)*X54/X$121,0),0)</f>
        <v>3840</v>
      </c>
      <c r="BD54" s="41">
        <f>IFERROR(ROUND(_xlfn.XLOOKUP(BD$7,'Product Tgt'!$B:$B,'Product Tgt'!$G:$G)*Y54/Y$121,0),0)</f>
        <v>4015</v>
      </c>
      <c r="BE54" s="41">
        <f>IFERROR(ROUND(_xlfn.XLOOKUP(BE$7,'Product Tgt'!$B:$B,'Product Tgt'!$G:$G)*Z54/Z$121,0),0)</f>
        <v>549</v>
      </c>
      <c r="BF54" s="41">
        <f>IFERROR(ROUND(_xlfn.XLOOKUP(BF$7,'Product Tgt'!$B:$B,'Product Tgt'!$G:$G)*AA54/AA$121,0),0)</f>
        <v>10649</v>
      </c>
      <c r="BG54" s="41">
        <f>IFERROR(ROUND(_xlfn.XLOOKUP(BG$7,'Product Tgt'!$B:$B,'Product Tgt'!$G:$G)*AB54/AB$121,0),0)</f>
        <v>4646</v>
      </c>
      <c r="BH54" s="41">
        <f>IFERROR(ROUND(_xlfn.XLOOKUP(BH$7,'Product Tgt'!$B:$B,'Product Tgt'!$G:$G)*AC54/AC$121,0),0)</f>
        <v>1315</v>
      </c>
      <c r="BI54" s="41">
        <f>IFERROR(ROUND(_xlfn.XLOOKUP(BI$7,'Product Tgt'!$B:$B,'Product Tgt'!$G:$G)*AD54/AD$121,0),0)</f>
        <v>12937</v>
      </c>
      <c r="BJ54" s="41">
        <f>IFERROR(ROUND(_xlfn.XLOOKUP(BJ$7,'Product Tgt'!$B:$B,'Product Tgt'!$G:$G)*AE54/AE$121,0),0)</f>
        <v>15417</v>
      </c>
      <c r="BK54" s="41">
        <f>IFERROR(ROUND(_xlfn.XLOOKUP(BK$7,'Product Tgt'!$B:$B,'Product Tgt'!$G:$G)*AF54/AF$121,0),0)</f>
        <v>1383</v>
      </c>
      <c r="BL54" s="41">
        <f>IFERROR(ROUND(_xlfn.XLOOKUP(BL$7,'Product Tgt'!$B:$B,'Product Tgt'!$G:$G)*AG54/AG$121,0),0)</f>
        <v>13995</v>
      </c>
      <c r="BM54" s="41">
        <f>IFERROR(ROUND(_xlfn.XLOOKUP(BM$7,'Product Tgt'!$B:$B,'Product Tgt'!$G:$G)*AH54/AH$121,0),0)</f>
        <v>944</v>
      </c>
      <c r="BN54" s="41">
        <f>IFERROR(ROUND(_xlfn.XLOOKUP(BN$7,'Product Tgt'!$B:$B,'Product Tgt'!$G:$G)*AI54/AI$121,0),0)</f>
        <v>10850</v>
      </c>
      <c r="BO54" s="41">
        <f>IFERROR(ROUND(_xlfn.XLOOKUP(BO$7,'Product Tgt'!$B:$B,'Product Tgt'!$G:$G)*AJ54/AJ$121,0),0)</f>
        <v>12137</v>
      </c>
      <c r="BP54" s="41">
        <f>IFERROR(ROUND(_xlfn.XLOOKUP(BP$7,'Product Tgt'!$B:$B,'Product Tgt'!$G:$G)*AK54/AK$121,0),0)</f>
        <v>2463</v>
      </c>
      <c r="BQ54" s="41">
        <f>IFERROR(ROUND(_xlfn.XLOOKUP(BQ$7,'Product Tgt'!$B:$B,'Product Tgt'!$G:$G)*AL54/AL$121,0),0)</f>
        <v>3364</v>
      </c>
      <c r="BR54" s="25">
        <f>ROUND(IFERROR(AM54/_xlfn.XLOOKUP(BR$7,'Product Tgt'!$B:$B,'Product Tgt'!$D:$D),0),0)</f>
        <v>0</v>
      </c>
      <c r="BS54" s="11">
        <f>ROUND(IFERROR(AN54/_xlfn.XLOOKUP(BS$7,'Product Tgt'!$B:$B,'Product Tgt'!$D:$D),0),0)</f>
        <v>0</v>
      </c>
      <c r="BT54" s="11">
        <f>ROUND(IFERROR(AO54/_xlfn.XLOOKUP(BT$7,'Product Tgt'!$B:$B,'Product Tgt'!$D:$D),0),0)</f>
        <v>0</v>
      </c>
      <c r="BU54" s="11">
        <f>ROUND(IFERROR(AP54/_xlfn.XLOOKUP(BU$7,'Product Tgt'!$B:$B,'Product Tgt'!$D:$D),0),0)</f>
        <v>0</v>
      </c>
      <c r="BV54" s="11">
        <f>ROUND(IFERROR(AQ54/_xlfn.XLOOKUP(BV$7,'Product Tgt'!$B:$B,'Product Tgt'!$D:$D),0),0)</f>
        <v>0</v>
      </c>
      <c r="BW54" s="11">
        <f>ROUND(IFERROR(AU54/_xlfn.XLOOKUP(BW$7,'Product Tgt'!$B:$B,'Product Tgt'!$D:$D),0),0)</f>
        <v>0</v>
      </c>
      <c r="BX54" s="11">
        <f>ROUND(IFERROR(#REF!/_xlfn.XLOOKUP(BX$7,'Product Tgt'!$B:$B,'Product Tgt'!$D:$D),0),0)</f>
        <v>0</v>
      </c>
      <c r="BY54" s="11">
        <f>ROUND(IFERROR(#REF!/_xlfn.XLOOKUP(BY$7,'Product Tgt'!$B:$B,'Product Tgt'!$D:$D),0),0)</f>
        <v>0</v>
      </c>
      <c r="BZ54" s="11">
        <f>ROUND(IFERROR(#REF!/_xlfn.XLOOKUP(BZ$7,'Product Tgt'!$B:$B,'Product Tgt'!$D:$D),0),0)</f>
        <v>0</v>
      </c>
      <c r="CA54" s="11">
        <f>ROUND(IFERROR(#REF!/_xlfn.XLOOKUP(CA$7,'Product Tgt'!$B:$B,'Product Tgt'!$D:$D),0),0)</f>
        <v>0</v>
      </c>
      <c r="CB54" s="11">
        <f>ROUND(IFERROR(AV54/_xlfn.XLOOKUP(CB$7,'Product Tgt'!$B:$B,'Product Tgt'!$D:$D),0),0)</f>
        <v>0</v>
      </c>
      <c r="CC54" s="11">
        <f>ROUND(IFERROR(AW54/_xlfn.XLOOKUP(CC$7,'Product Tgt'!$B:$B,'Product Tgt'!$D:$D),0),0)</f>
        <v>0</v>
      </c>
      <c r="CD54" s="11">
        <f>ROUND(IFERROR(AX54/_xlfn.XLOOKUP(CD$7,'Product Tgt'!$B:$B,'Product Tgt'!$D:$D),0),0)</f>
        <v>0</v>
      </c>
      <c r="CE54" s="11">
        <f>ROUND(IFERROR(AY54/_xlfn.XLOOKUP(CE$7,'Product Tgt'!$B:$B,'Product Tgt'!$D:$D),0),0)</f>
        <v>0</v>
      </c>
      <c r="CF54" s="11">
        <f>ROUND(IFERROR(AZ54/_xlfn.XLOOKUP(CF$7,'Product Tgt'!$B:$B,'Product Tgt'!$D:$D),0),0)</f>
        <v>0</v>
      </c>
      <c r="CG54" s="11">
        <f>ROUND(IFERROR(BA54/_xlfn.XLOOKUP(CG$7,'Product Tgt'!$B:$B,'Product Tgt'!$D:$D),0),0)</f>
        <v>0</v>
      </c>
      <c r="CH54" s="11">
        <f>ROUND(IFERROR(BB54/_xlfn.XLOOKUP(CH$7,'Product Tgt'!$B:$B,'Product Tgt'!$D:$D),0),0)</f>
        <v>0</v>
      </c>
      <c r="CI54" s="11">
        <f>ROUND(IFERROR(BC54/_xlfn.XLOOKUP(CI$7,'Product Tgt'!$B:$B,'Product Tgt'!$D:$D),0),0)</f>
        <v>0</v>
      </c>
      <c r="CJ54" s="11">
        <f>ROUND(IFERROR(BD54/_xlfn.XLOOKUP(CJ$7,'Product Tgt'!$B:$B,'Product Tgt'!$D:$D),0),0)</f>
        <v>0</v>
      </c>
      <c r="CK54" s="11">
        <f>ROUND(IFERROR(BE54/_xlfn.XLOOKUP(CK$7,'Product Tgt'!$B:$B,'Product Tgt'!$D:$D),0),0)</f>
        <v>0</v>
      </c>
      <c r="CL54" s="11">
        <f>ROUND(IFERROR(BF54/_xlfn.XLOOKUP(CL$7,'Product Tgt'!$B:$B,'Product Tgt'!$D:$D),0),0)</f>
        <v>0</v>
      </c>
      <c r="CM54" s="11">
        <f>ROUND(IFERROR(BG54/_xlfn.XLOOKUP(CM$7,'Product Tgt'!$B:$B,'Product Tgt'!$D:$D),0),0)</f>
        <v>0</v>
      </c>
      <c r="CN54" s="11">
        <f>ROUND(IFERROR(BH54/_xlfn.XLOOKUP(CN$7,'Product Tgt'!$B:$B,'Product Tgt'!$D:$D),0),0)</f>
        <v>0</v>
      </c>
      <c r="CO54" s="11">
        <f>ROUND(IFERROR(BI54/_xlfn.XLOOKUP(CO$7,'Product Tgt'!$B:$B,'Product Tgt'!$D:$D),0),0)</f>
        <v>0</v>
      </c>
      <c r="CP54" s="11">
        <f>ROUND(IFERROR(BJ54/_xlfn.XLOOKUP(CP$7,'Product Tgt'!$B:$B,'Product Tgt'!$D:$D),0),0)</f>
        <v>0</v>
      </c>
      <c r="CQ54" s="11">
        <f>ROUND(IFERROR(BK54/_xlfn.XLOOKUP(CQ$7,'Product Tgt'!$B:$B,'Product Tgt'!$D:$D),0),0)</f>
        <v>0</v>
      </c>
      <c r="CR54" s="11">
        <f>ROUND(IFERROR(BL54/_xlfn.XLOOKUP(CR$7,'Product Tgt'!$B:$B,'Product Tgt'!$D:$D),0),0)</f>
        <v>0</v>
      </c>
      <c r="CS54" s="11">
        <f>ROUND(IFERROR(BM54/_xlfn.XLOOKUP(CS$7,'Product Tgt'!$B:$B,'Product Tgt'!$D:$D),0),0)</f>
        <v>0</v>
      </c>
      <c r="CT54" s="11">
        <f>ROUND(IFERROR(BN54/_xlfn.XLOOKUP(CT$7,'Product Tgt'!$B:$B,'Product Tgt'!$D:$D),0),0)</f>
        <v>0</v>
      </c>
      <c r="CU54" s="11">
        <f>ROUND(IFERROR(BO54/_xlfn.XLOOKUP(CU$7,'Product Tgt'!$B:$B,'Product Tgt'!$D:$D),0),0)</f>
        <v>0</v>
      </c>
      <c r="CV54" s="11">
        <f>ROUND(IFERROR(BP54/_xlfn.XLOOKUP(CV$7,'Product Tgt'!$B:$B,'Product Tgt'!$D:$D),0),0)</f>
        <v>0</v>
      </c>
      <c r="CW54" s="11">
        <f>ROUND(IFERROR(BQ54/_xlfn.XLOOKUP(CW$7,'Product Tgt'!$B:$B,'Product Tgt'!$D:$D),0),0)</f>
        <v>0</v>
      </c>
      <c r="CX54" s="11">
        <f>ROUND(IFERROR(#REF!/_xlfn.XLOOKUP(CX$7,'Product Tgt'!$B:$B,'Product Tgt'!$D:$D),0),0)</f>
        <v>0</v>
      </c>
      <c r="CY54" s="11">
        <f>ROUND(IFERROR(#REF!/_xlfn.XLOOKUP(CY$7,'Product Tgt'!$B:$B,'Product Tgt'!$D:$D),0),0)</f>
        <v>0</v>
      </c>
      <c r="CZ54" s="11">
        <f>ROUND(IFERROR(#REF!/_xlfn.XLOOKUP(CZ$7,'Product Tgt'!$B:$B,'Product Tgt'!$D:$D),0),0)</f>
        <v>0</v>
      </c>
      <c r="DA54" s="10">
        <f>IFERROR(BR54*_xlfn.XLOOKUP(DA$7,'Product Tgt'!$B:$B,'Product Tgt'!$D:$D),0)</f>
        <v>0</v>
      </c>
      <c r="DB54">
        <f>IFERROR(BS54*_xlfn.XLOOKUP(DB$7,'Product Tgt'!$B:$B,'Product Tgt'!$D:$D),0)</f>
        <v>0</v>
      </c>
      <c r="DC54">
        <f>IFERROR(BT54*_xlfn.XLOOKUP(DC$7,'Product Tgt'!$B:$B,'Product Tgt'!$D:$D),0)</f>
        <v>0</v>
      </c>
      <c r="DD54">
        <f>IFERROR(BU54*_xlfn.XLOOKUP(DD$7,'Product Tgt'!$B:$B,'Product Tgt'!$D:$D),0)</f>
        <v>0</v>
      </c>
      <c r="DE54">
        <f>IFERROR(BV54*_xlfn.XLOOKUP(DE$7,'Product Tgt'!$B:$B,'Product Tgt'!$D:$D),0)</f>
        <v>0</v>
      </c>
      <c r="DF54">
        <f>IFERROR(BW54*_xlfn.XLOOKUP(DF$7,'Product Tgt'!$B:$B,'Product Tgt'!$D:$D),0)</f>
        <v>0</v>
      </c>
      <c r="DG54">
        <f>IFERROR(BX54*_xlfn.XLOOKUP(DG$7,'Product Tgt'!$B:$B,'Product Tgt'!$D:$D),0)</f>
        <v>0</v>
      </c>
      <c r="DH54">
        <f>IFERROR(BY54*_xlfn.XLOOKUP(DH$7,'Product Tgt'!$B:$B,'Product Tgt'!$D:$D),0)</f>
        <v>0</v>
      </c>
      <c r="DI54">
        <f>IFERROR(BZ54*_xlfn.XLOOKUP(DI$7,'Product Tgt'!$B:$B,'Product Tgt'!$D:$D),0)</f>
        <v>0</v>
      </c>
      <c r="DJ54">
        <f>IFERROR(CA54*_xlfn.XLOOKUP(DJ$7,'Product Tgt'!$B:$B,'Product Tgt'!$D:$D),0)</f>
        <v>0</v>
      </c>
      <c r="DK54">
        <f>IFERROR(CB54*_xlfn.XLOOKUP(DK$7,'Product Tgt'!$B:$B,'Product Tgt'!$D:$D),0)</f>
        <v>0</v>
      </c>
      <c r="DL54">
        <f>IFERROR(CC54*_xlfn.XLOOKUP(DL$7,'Product Tgt'!$B:$B,'Product Tgt'!$D:$D),0)</f>
        <v>0</v>
      </c>
      <c r="DM54">
        <f>IFERROR(CD54*_xlfn.XLOOKUP(DM$7,'Product Tgt'!$B:$B,'Product Tgt'!$D:$D),0)</f>
        <v>0</v>
      </c>
      <c r="DN54">
        <f>IFERROR(CE54*_xlfn.XLOOKUP(DN$7,'Product Tgt'!$B:$B,'Product Tgt'!$D:$D),0)</f>
        <v>0</v>
      </c>
      <c r="DO54">
        <f>IFERROR(CF54*_xlfn.XLOOKUP(DO$7,'Product Tgt'!$B:$B,'Product Tgt'!$D:$D),0)</f>
        <v>0</v>
      </c>
      <c r="DP54">
        <f>IFERROR(CG54*_xlfn.XLOOKUP(DP$7,'Product Tgt'!$B:$B,'Product Tgt'!$D:$D),0)</f>
        <v>0</v>
      </c>
      <c r="DQ54">
        <f>IFERROR(CH54*_xlfn.XLOOKUP(DQ$7,'Product Tgt'!$B:$B,'Product Tgt'!$D:$D),0)</f>
        <v>0</v>
      </c>
      <c r="DR54">
        <f>IFERROR(CI54*_xlfn.XLOOKUP(DR$7,'Product Tgt'!$B:$B,'Product Tgt'!$D:$D),0)</f>
        <v>0</v>
      </c>
      <c r="DS54">
        <f>IFERROR(CJ54*_xlfn.XLOOKUP(DS$7,'Product Tgt'!$B:$B,'Product Tgt'!$D:$D),0)</f>
        <v>0</v>
      </c>
      <c r="DT54">
        <f>IFERROR(CK54*_xlfn.XLOOKUP(DT$7,'Product Tgt'!$B:$B,'Product Tgt'!$D:$D),0)</f>
        <v>0</v>
      </c>
      <c r="DU54">
        <f>IFERROR(CL54*_xlfn.XLOOKUP(DU$7,'Product Tgt'!$B:$B,'Product Tgt'!$D:$D),0)</f>
        <v>0</v>
      </c>
      <c r="DV54">
        <f>IFERROR(CM54*_xlfn.XLOOKUP(DV$7,'Product Tgt'!$B:$B,'Product Tgt'!$D:$D),0)</f>
        <v>0</v>
      </c>
      <c r="DW54">
        <f>IFERROR(CN54*_xlfn.XLOOKUP(DW$7,'Product Tgt'!$B:$B,'Product Tgt'!$D:$D),0)</f>
        <v>0</v>
      </c>
      <c r="DX54">
        <f>IFERROR(CO54*_xlfn.XLOOKUP(DX$7,'Product Tgt'!$B:$B,'Product Tgt'!$D:$D),0)</f>
        <v>0</v>
      </c>
      <c r="DY54">
        <f>IFERROR(CP54*_xlfn.XLOOKUP(DY$7,'Product Tgt'!$B:$B,'Product Tgt'!$D:$D),0)</f>
        <v>0</v>
      </c>
      <c r="DZ54">
        <f>IFERROR(CQ54*_xlfn.XLOOKUP(DZ$7,'Product Tgt'!$B:$B,'Product Tgt'!$D:$D),0)</f>
        <v>0</v>
      </c>
      <c r="EA54">
        <f>IFERROR(CR54*_xlfn.XLOOKUP(EA$7,'Product Tgt'!$B:$B,'Product Tgt'!$D:$D),0)</f>
        <v>0</v>
      </c>
      <c r="EB54">
        <f>IFERROR(CS54*_xlfn.XLOOKUP(EB$7,'Product Tgt'!$B:$B,'Product Tgt'!$D:$D),0)</f>
        <v>0</v>
      </c>
      <c r="EC54">
        <f>IFERROR(CT54*_xlfn.XLOOKUP(EC$7,'Product Tgt'!$B:$B,'Product Tgt'!$D:$D),0)</f>
        <v>0</v>
      </c>
      <c r="ED54">
        <f>IFERROR(CU54*_xlfn.XLOOKUP(ED$7,'Product Tgt'!$B:$B,'Product Tgt'!$D:$D),0)</f>
        <v>0</v>
      </c>
      <c r="EE54">
        <f>IFERROR(CV54*_xlfn.XLOOKUP(EE$7,'Product Tgt'!$B:$B,'Product Tgt'!$D:$D),0)</f>
        <v>0</v>
      </c>
      <c r="EF54">
        <f>IFERROR(CW54*_xlfn.XLOOKUP(EF$7,'Product Tgt'!$B:$B,'Product Tgt'!$D:$D),0)</f>
        <v>0</v>
      </c>
      <c r="EG54">
        <f>IFERROR(CX54*_xlfn.XLOOKUP(EG$7,'Product Tgt'!$B:$B,'Product Tgt'!$D:$D),0)</f>
        <v>0</v>
      </c>
      <c r="EH54">
        <f>IFERROR(CY54*_xlfn.XLOOKUP(EH$7,'Product Tgt'!$B:$B,'Product Tgt'!$D:$D),0)</f>
        <v>0</v>
      </c>
      <c r="EI54">
        <f>IFERROR(CZ54*_xlfn.XLOOKUP(EI$7,'Product Tgt'!$B:$B,'Product Tgt'!$D:$D),0)</f>
        <v>0</v>
      </c>
    </row>
    <row r="55" spans="2:139" x14ac:dyDescent="0.35">
      <c r="B55" s="7" t="s">
        <v>170</v>
      </c>
      <c r="C55" s="3">
        <f>_xlfn.XLOOKUP($B55,'Terr Target'!$A:$A,'Terr Target'!$E:$E)</f>
        <v>290414.15548770665</v>
      </c>
      <c r="D55" s="3">
        <f t="shared" si="8"/>
        <v>290418</v>
      </c>
      <c r="E55" s="4">
        <f t="shared" si="9"/>
        <v>3.8445122933480889</v>
      </c>
      <c r="F55" s="9">
        <f t="shared" si="7"/>
        <v>1.323785816770341E-5</v>
      </c>
      <c r="G55" s="5">
        <f t="shared" si="6"/>
        <v>0.99998676214183224</v>
      </c>
      <c r="H55" s="38">
        <v>35069.3969690702</v>
      </c>
      <c r="I55" s="11">
        <v>58944.270080797825</v>
      </c>
      <c r="J55" s="11">
        <v>23204.289902194767</v>
      </c>
      <c r="K55" s="11">
        <v>17044.019723258934</v>
      </c>
      <c r="L55" s="11">
        <v>37298.065497936615</v>
      </c>
      <c r="M55" s="11">
        <v>30483.510592834369</v>
      </c>
      <c r="N55" s="11">
        <v>332.92633705837159</v>
      </c>
      <c r="O55" s="11">
        <v>3737.719264706076</v>
      </c>
      <c r="P55" s="11">
        <v>374.65641733622539</v>
      </c>
      <c r="Q55" s="11">
        <v>362.78038829787454</v>
      </c>
      <c r="R55" s="11">
        <v>5504.9518904095949</v>
      </c>
      <c r="S55" s="11">
        <v>11142.309081972284</v>
      </c>
      <c r="T55" s="11">
        <v>0</v>
      </c>
      <c r="U55" s="11">
        <v>1306.8600991992794</v>
      </c>
      <c r="V55" s="11">
        <v>15297.756487740289</v>
      </c>
      <c r="W55" s="11">
        <v>17050.827321494307</v>
      </c>
      <c r="X55" s="11">
        <v>4351.9136970308964</v>
      </c>
      <c r="Y55" s="11">
        <v>2627.643475957329</v>
      </c>
      <c r="Z55" s="11">
        <v>262.37576790083784</v>
      </c>
      <c r="AA55" s="11">
        <v>4638.1210278053459</v>
      </c>
      <c r="AB55" s="11">
        <v>1071.347014554226</v>
      </c>
      <c r="AC55" s="11">
        <v>256.41290813262822</v>
      </c>
      <c r="AD55" s="11">
        <v>2500.4159247029615</v>
      </c>
      <c r="AE55" s="11">
        <v>5651.7873122017563</v>
      </c>
      <c r="AF55" s="11">
        <v>523.71797344185279</v>
      </c>
      <c r="AG55" s="11">
        <v>9510.751392194763</v>
      </c>
      <c r="AH55" s="11">
        <v>761.2683685077111</v>
      </c>
      <c r="AI55" s="11">
        <v>5800.878682606226</v>
      </c>
      <c r="AJ55" s="11">
        <v>5609.0634219625354</v>
      </c>
      <c r="AK55" s="11">
        <v>853.77219971187003</v>
      </c>
      <c r="AL55" s="49">
        <v>1003.6387418862057</v>
      </c>
      <c r="AM55" s="41">
        <f>IFERROR(ROUND(_xlfn.XLOOKUP(AM$7,'Product Tgt'!$B:$B,'Product Tgt'!$G:$G)*H55/H$121,0),0)</f>
        <v>34093</v>
      </c>
      <c r="AN55" s="41">
        <f>IFERROR(ROUND(_xlfn.XLOOKUP(AN$7,'Product Tgt'!$B:$B,'Product Tgt'!$G:$G)*I55/I$121,0),0)</f>
        <v>58025</v>
      </c>
      <c r="AO55" s="41">
        <f>IFERROR(ROUND(_xlfn.XLOOKUP(AO$7,'Product Tgt'!$B:$B,'Product Tgt'!$G:$G)*J55/J$121,0),0)</f>
        <v>22483</v>
      </c>
      <c r="AP55" s="41">
        <f>IFERROR(ROUND(_xlfn.XLOOKUP(AP$7,'Product Tgt'!$B:$B,'Product Tgt'!$G:$G)*K55/K$121,0),0)</f>
        <v>16627</v>
      </c>
      <c r="AQ55" s="41">
        <f>IFERROR(ROUND(_xlfn.XLOOKUP(AQ$7,'Product Tgt'!$B:$B,'Product Tgt'!$G:$G)*L55/L$121,0),0)</f>
        <v>36065</v>
      </c>
      <c r="AR55" s="41">
        <f>IFERROR(ROUND(_xlfn.XLOOKUP(AR$7,'Product Tgt'!$B:$B,'Product Tgt'!$G:$G)*M55/M$121,0),0)</f>
        <v>29532</v>
      </c>
      <c r="AS55" s="41">
        <f>IFERROR(ROUND(_xlfn.XLOOKUP(AS$7,'Product Tgt'!$B:$B,'Product Tgt'!$G:$G)*N55/N$121,0),0)</f>
        <v>308</v>
      </c>
      <c r="AT55" s="41">
        <f>IFERROR(ROUND(_xlfn.XLOOKUP(AT$7,'Product Tgt'!$B:$B,'Product Tgt'!$G:$G)*O55/O$121,0),0)</f>
        <v>3364</v>
      </c>
      <c r="AU55" s="41">
        <f>IFERROR(ROUND(_xlfn.XLOOKUP(AU$7,'Product Tgt'!$B:$B,'Product Tgt'!$G:$G)*P55/P$121,0),0)</f>
        <v>160</v>
      </c>
      <c r="AV55" s="41">
        <f>IFERROR(ROUND(_xlfn.XLOOKUP(AV$7,'Product Tgt'!$B:$B,'Product Tgt'!$G:$G)*Q55/Q$121,0),0)</f>
        <v>272</v>
      </c>
      <c r="AW55" s="41">
        <f>IFERROR(ROUND(_xlfn.XLOOKUP(AW$7,'Product Tgt'!$B:$B,'Product Tgt'!$G:$G)*R55/R$121,0),0)</f>
        <v>5302</v>
      </c>
      <c r="AX55" s="41">
        <f>IFERROR(ROUND(_xlfn.XLOOKUP(AX$7,'Product Tgt'!$B:$B,'Product Tgt'!$G:$G)*S55/S$121,0),0)</f>
        <v>10731</v>
      </c>
      <c r="AY55" s="41">
        <f>IFERROR(ROUND(_xlfn.XLOOKUP(AY$7,'Product Tgt'!$B:$B,'Product Tgt'!$G:$G)*T55/T$121,0),0)</f>
        <v>0</v>
      </c>
      <c r="AZ55" s="41">
        <f>IFERROR(ROUND(_xlfn.XLOOKUP(AZ$7,'Product Tgt'!$B:$B,'Product Tgt'!$G:$G)*U55/U$121,0),0)</f>
        <v>1251</v>
      </c>
      <c r="BA55" s="41">
        <f>IFERROR(ROUND(_xlfn.XLOOKUP(BA$7,'Product Tgt'!$B:$B,'Product Tgt'!$G:$G)*V55/V$121,0),0)</f>
        <v>14729</v>
      </c>
      <c r="BB55" s="41">
        <f>IFERROR(ROUND(_xlfn.XLOOKUP(BB$7,'Product Tgt'!$B:$B,'Product Tgt'!$G:$G)*W55/W$121,0),0)</f>
        <v>16322</v>
      </c>
      <c r="BC55" s="41">
        <f>IFERROR(ROUND(_xlfn.XLOOKUP(BC$7,'Product Tgt'!$B:$B,'Product Tgt'!$G:$G)*X55/X$121,0),0)</f>
        <v>4211</v>
      </c>
      <c r="BD55" s="41">
        <f>IFERROR(ROUND(_xlfn.XLOOKUP(BD$7,'Product Tgt'!$B:$B,'Product Tgt'!$G:$G)*Y55/Y$121,0),0)</f>
        <v>2541</v>
      </c>
      <c r="BE55" s="41">
        <f>IFERROR(ROUND(_xlfn.XLOOKUP(BE$7,'Product Tgt'!$B:$B,'Product Tgt'!$G:$G)*Z55/Z$121,0),0)</f>
        <v>249</v>
      </c>
      <c r="BF55" s="41">
        <f>IFERROR(ROUND(_xlfn.XLOOKUP(BF$7,'Product Tgt'!$B:$B,'Product Tgt'!$G:$G)*AA55/AA$121,0),0)</f>
        <v>3759</v>
      </c>
      <c r="BG55" s="41">
        <f>IFERROR(ROUND(_xlfn.XLOOKUP(BG$7,'Product Tgt'!$B:$B,'Product Tgt'!$G:$G)*AB55/AB$121,0),0)</f>
        <v>859</v>
      </c>
      <c r="BH55" s="41">
        <f>IFERROR(ROUND(_xlfn.XLOOKUP(BH$7,'Product Tgt'!$B:$B,'Product Tgt'!$G:$G)*AC55/AC$121,0),0)</f>
        <v>219</v>
      </c>
      <c r="BI55" s="41">
        <f>IFERROR(ROUND(_xlfn.XLOOKUP(BI$7,'Product Tgt'!$B:$B,'Product Tgt'!$G:$G)*AD55/AD$121,0),0)</f>
        <v>2177</v>
      </c>
      <c r="BJ55" s="41">
        <f>IFERROR(ROUND(_xlfn.XLOOKUP(BJ$7,'Product Tgt'!$B:$B,'Product Tgt'!$G:$G)*AE55/AE$121,0),0)</f>
        <v>5260</v>
      </c>
      <c r="BK55" s="41">
        <f>IFERROR(ROUND(_xlfn.XLOOKUP(BK$7,'Product Tgt'!$B:$B,'Product Tgt'!$G:$G)*AF55/AF$121,0),0)</f>
        <v>585</v>
      </c>
      <c r="BL55" s="41">
        <f>IFERROR(ROUND(_xlfn.XLOOKUP(BL$7,'Product Tgt'!$B:$B,'Product Tgt'!$G:$G)*AG55/AG$121,0),0)</f>
        <v>9084</v>
      </c>
      <c r="BM55" s="41">
        <f>IFERROR(ROUND(_xlfn.XLOOKUP(BM$7,'Product Tgt'!$B:$B,'Product Tgt'!$G:$G)*AH55/AH$121,0),0)</f>
        <v>597</v>
      </c>
      <c r="BN55" s="41">
        <f>IFERROR(ROUND(_xlfn.XLOOKUP(BN$7,'Product Tgt'!$B:$B,'Product Tgt'!$G:$G)*AI55/AI$121,0),0)</f>
        <v>5327</v>
      </c>
      <c r="BO55" s="41">
        <f>IFERROR(ROUND(_xlfn.XLOOKUP(BO$7,'Product Tgt'!$B:$B,'Product Tgt'!$G:$G)*AJ55/AJ$121,0),0)</f>
        <v>4852</v>
      </c>
      <c r="BP55" s="41">
        <f>IFERROR(ROUND(_xlfn.XLOOKUP(BP$7,'Product Tgt'!$B:$B,'Product Tgt'!$G:$G)*AK55/AK$121,0),0)</f>
        <v>650</v>
      </c>
      <c r="BQ55" s="41">
        <f>IFERROR(ROUND(_xlfn.XLOOKUP(BQ$7,'Product Tgt'!$B:$B,'Product Tgt'!$G:$G)*AL55/AL$121,0),0)</f>
        <v>784</v>
      </c>
      <c r="BR55" s="25">
        <f>ROUND(IFERROR(AM55/_xlfn.XLOOKUP(BR$7,'Product Tgt'!$B:$B,'Product Tgt'!$D:$D),0),0)</f>
        <v>0</v>
      </c>
      <c r="BS55" s="11">
        <f>ROUND(IFERROR(AN55/_xlfn.XLOOKUP(BS$7,'Product Tgt'!$B:$B,'Product Tgt'!$D:$D),0),0)</f>
        <v>0</v>
      </c>
      <c r="BT55" s="11">
        <f>ROUND(IFERROR(AO55/_xlfn.XLOOKUP(BT$7,'Product Tgt'!$B:$B,'Product Tgt'!$D:$D),0),0)</f>
        <v>0</v>
      </c>
      <c r="BU55" s="11">
        <f>ROUND(IFERROR(AP55/_xlfn.XLOOKUP(BU$7,'Product Tgt'!$B:$B,'Product Tgt'!$D:$D),0),0)</f>
        <v>0</v>
      </c>
      <c r="BV55" s="11">
        <f>ROUND(IFERROR(AQ55/_xlfn.XLOOKUP(BV$7,'Product Tgt'!$B:$B,'Product Tgt'!$D:$D),0),0)</f>
        <v>0</v>
      </c>
      <c r="BW55" s="11">
        <f>ROUND(IFERROR(AU55/_xlfn.XLOOKUP(BW$7,'Product Tgt'!$B:$B,'Product Tgt'!$D:$D),0),0)</f>
        <v>0</v>
      </c>
      <c r="BX55" s="11">
        <f>ROUND(IFERROR(#REF!/_xlfn.XLOOKUP(BX$7,'Product Tgt'!$B:$B,'Product Tgt'!$D:$D),0),0)</f>
        <v>0</v>
      </c>
      <c r="BY55" s="11">
        <f>ROUND(IFERROR(#REF!/_xlfn.XLOOKUP(BY$7,'Product Tgt'!$B:$B,'Product Tgt'!$D:$D),0),0)</f>
        <v>0</v>
      </c>
      <c r="BZ55" s="11">
        <f>ROUND(IFERROR(#REF!/_xlfn.XLOOKUP(BZ$7,'Product Tgt'!$B:$B,'Product Tgt'!$D:$D),0),0)</f>
        <v>0</v>
      </c>
      <c r="CA55" s="11">
        <f>ROUND(IFERROR(#REF!/_xlfn.XLOOKUP(CA$7,'Product Tgt'!$B:$B,'Product Tgt'!$D:$D),0),0)</f>
        <v>0</v>
      </c>
      <c r="CB55" s="11">
        <f>ROUND(IFERROR(AV55/_xlfn.XLOOKUP(CB$7,'Product Tgt'!$B:$B,'Product Tgt'!$D:$D),0),0)</f>
        <v>0</v>
      </c>
      <c r="CC55" s="11">
        <f>ROUND(IFERROR(AW55/_xlfn.XLOOKUP(CC$7,'Product Tgt'!$B:$B,'Product Tgt'!$D:$D),0),0)</f>
        <v>0</v>
      </c>
      <c r="CD55" s="11">
        <f>ROUND(IFERROR(AX55/_xlfn.XLOOKUP(CD$7,'Product Tgt'!$B:$B,'Product Tgt'!$D:$D),0),0)</f>
        <v>0</v>
      </c>
      <c r="CE55" s="11">
        <f>ROUND(IFERROR(AY55/_xlfn.XLOOKUP(CE$7,'Product Tgt'!$B:$B,'Product Tgt'!$D:$D),0),0)</f>
        <v>0</v>
      </c>
      <c r="CF55" s="11">
        <f>ROUND(IFERROR(AZ55/_xlfn.XLOOKUP(CF$7,'Product Tgt'!$B:$B,'Product Tgt'!$D:$D),0),0)</f>
        <v>0</v>
      </c>
      <c r="CG55" s="11">
        <f>ROUND(IFERROR(BA55/_xlfn.XLOOKUP(CG$7,'Product Tgt'!$B:$B,'Product Tgt'!$D:$D),0),0)</f>
        <v>0</v>
      </c>
      <c r="CH55" s="11">
        <f>ROUND(IFERROR(BB55/_xlfn.XLOOKUP(CH$7,'Product Tgt'!$B:$B,'Product Tgt'!$D:$D),0),0)</f>
        <v>0</v>
      </c>
      <c r="CI55" s="11">
        <f>ROUND(IFERROR(BC55/_xlfn.XLOOKUP(CI$7,'Product Tgt'!$B:$B,'Product Tgt'!$D:$D),0),0)</f>
        <v>0</v>
      </c>
      <c r="CJ55" s="11">
        <f>ROUND(IFERROR(BD55/_xlfn.XLOOKUP(CJ$7,'Product Tgt'!$B:$B,'Product Tgt'!$D:$D),0),0)</f>
        <v>0</v>
      </c>
      <c r="CK55" s="11">
        <f>ROUND(IFERROR(BE55/_xlfn.XLOOKUP(CK$7,'Product Tgt'!$B:$B,'Product Tgt'!$D:$D),0),0)</f>
        <v>0</v>
      </c>
      <c r="CL55" s="11">
        <f>ROUND(IFERROR(BF55/_xlfn.XLOOKUP(CL$7,'Product Tgt'!$B:$B,'Product Tgt'!$D:$D),0),0)</f>
        <v>0</v>
      </c>
      <c r="CM55" s="11">
        <f>ROUND(IFERROR(BG55/_xlfn.XLOOKUP(CM$7,'Product Tgt'!$B:$B,'Product Tgt'!$D:$D),0),0)</f>
        <v>0</v>
      </c>
      <c r="CN55" s="11">
        <f>ROUND(IFERROR(BH55/_xlfn.XLOOKUP(CN$7,'Product Tgt'!$B:$B,'Product Tgt'!$D:$D),0),0)</f>
        <v>0</v>
      </c>
      <c r="CO55" s="11">
        <f>ROUND(IFERROR(BI55/_xlfn.XLOOKUP(CO$7,'Product Tgt'!$B:$B,'Product Tgt'!$D:$D),0),0)</f>
        <v>0</v>
      </c>
      <c r="CP55" s="11">
        <f>ROUND(IFERROR(BJ55/_xlfn.XLOOKUP(CP$7,'Product Tgt'!$B:$B,'Product Tgt'!$D:$D),0),0)</f>
        <v>0</v>
      </c>
      <c r="CQ55" s="11">
        <f>ROUND(IFERROR(BK55/_xlfn.XLOOKUP(CQ$7,'Product Tgt'!$B:$B,'Product Tgt'!$D:$D),0),0)</f>
        <v>0</v>
      </c>
      <c r="CR55" s="11">
        <f>ROUND(IFERROR(BL55/_xlfn.XLOOKUP(CR$7,'Product Tgt'!$B:$B,'Product Tgt'!$D:$D),0),0)</f>
        <v>0</v>
      </c>
      <c r="CS55" s="11">
        <f>ROUND(IFERROR(BM55/_xlfn.XLOOKUP(CS$7,'Product Tgt'!$B:$B,'Product Tgt'!$D:$D),0),0)</f>
        <v>0</v>
      </c>
      <c r="CT55" s="11">
        <f>ROUND(IFERROR(BN55/_xlfn.XLOOKUP(CT$7,'Product Tgt'!$B:$B,'Product Tgt'!$D:$D),0),0)</f>
        <v>0</v>
      </c>
      <c r="CU55" s="11">
        <f>ROUND(IFERROR(BO55/_xlfn.XLOOKUP(CU$7,'Product Tgt'!$B:$B,'Product Tgt'!$D:$D),0),0)</f>
        <v>0</v>
      </c>
      <c r="CV55" s="11">
        <f>ROUND(IFERROR(BP55/_xlfn.XLOOKUP(CV$7,'Product Tgt'!$B:$B,'Product Tgt'!$D:$D),0),0)</f>
        <v>0</v>
      </c>
      <c r="CW55" s="11">
        <f>ROUND(IFERROR(BQ55/_xlfn.XLOOKUP(CW$7,'Product Tgt'!$B:$B,'Product Tgt'!$D:$D),0),0)</f>
        <v>0</v>
      </c>
      <c r="CX55" s="11">
        <f>ROUND(IFERROR(#REF!/_xlfn.XLOOKUP(CX$7,'Product Tgt'!$B:$B,'Product Tgt'!$D:$D),0),0)</f>
        <v>0</v>
      </c>
      <c r="CY55" s="11">
        <f>ROUND(IFERROR(#REF!/_xlfn.XLOOKUP(CY$7,'Product Tgt'!$B:$B,'Product Tgt'!$D:$D),0),0)</f>
        <v>0</v>
      </c>
      <c r="CZ55" s="11">
        <f>ROUND(IFERROR(#REF!/_xlfn.XLOOKUP(CZ$7,'Product Tgt'!$B:$B,'Product Tgt'!$D:$D),0),0)</f>
        <v>0</v>
      </c>
      <c r="DA55" s="10">
        <f>IFERROR(BR55*_xlfn.XLOOKUP(DA$7,'Product Tgt'!$B:$B,'Product Tgt'!$D:$D),0)</f>
        <v>0</v>
      </c>
      <c r="DB55">
        <f>IFERROR(BS55*_xlfn.XLOOKUP(DB$7,'Product Tgt'!$B:$B,'Product Tgt'!$D:$D),0)</f>
        <v>0</v>
      </c>
      <c r="DC55">
        <f>IFERROR(BT55*_xlfn.XLOOKUP(DC$7,'Product Tgt'!$B:$B,'Product Tgt'!$D:$D),0)</f>
        <v>0</v>
      </c>
      <c r="DD55">
        <f>IFERROR(BU55*_xlfn.XLOOKUP(DD$7,'Product Tgt'!$B:$B,'Product Tgt'!$D:$D),0)</f>
        <v>0</v>
      </c>
      <c r="DE55">
        <f>IFERROR(BV55*_xlfn.XLOOKUP(DE$7,'Product Tgt'!$B:$B,'Product Tgt'!$D:$D),0)</f>
        <v>0</v>
      </c>
      <c r="DF55">
        <f>IFERROR(BW55*_xlfn.XLOOKUP(DF$7,'Product Tgt'!$B:$B,'Product Tgt'!$D:$D),0)</f>
        <v>0</v>
      </c>
      <c r="DG55">
        <f>IFERROR(BX55*_xlfn.XLOOKUP(DG$7,'Product Tgt'!$B:$B,'Product Tgt'!$D:$D),0)</f>
        <v>0</v>
      </c>
      <c r="DH55">
        <f>IFERROR(BY55*_xlfn.XLOOKUP(DH$7,'Product Tgt'!$B:$B,'Product Tgt'!$D:$D),0)</f>
        <v>0</v>
      </c>
      <c r="DI55">
        <f>IFERROR(BZ55*_xlfn.XLOOKUP(DI$7,'Product Tgt'!$B:$B,'Product Tgt'!$D:$D),0)</f>
        <v>0</v>
      </c>
      <c r="DJ55">
        <f>IFERROR(CA55*_xlfn.XLOOKUP(DJ$7,'Product Tgt'!$B:$B,'Product Tgt'!$D:$D),0)</f>
        <v>0</v>
      </c>
      <c r="DK55">
        <f>IFERROR(CB55*_xlfn.XLOOKUP(DK$7,'Product Tgt'!$B:$B,'Product Tgt'!$D:$D),0)</f>
        <v>0</v>
      </c>
      <c r="DL55">
        <f>IFERROR(CC55*_xlfn.XLOOKUP(DL$7,'Product Tgt'!$B:$B,'Product Tgt'!$D:$D),0)</f>
        <v>0</v>
      </c>
      <c r="DM55">
        <f>IFERROR(CD55*_xlfn.XLOOKUP(DM$7,'Product Tgt'!$B:$B,'Product Tgt'!$D:$D),0)</f>
        <v>0</v>
      </c>
      <c r="DN55">
        <f>IFERROR(CE55*_xlfn.XLOOKUP(DN$7,'Product Tgt'!$B:$B,'Product Tgt'!$D:$D),0)</f>
        <v>0</v>
      </c>
      <c r="DO55">
        <f>IFERROR(CF55*_xlfn.XLOOKUP(DO$7,'Product Tgt'!$B:$B,'Product Tgt'!$D:$D),0)</f>
        <v>0</v>
      </c>
      <c r="DP55">
        <f>IFERROR(CG55*_xlfn.XLOOKUP(DP$7,'Product Tgt'!$B:$B,'Product Tgt'!$D:$D),0)</f>
        <v>0</v>
      </c>
      <c r="DQ55">
        <f>IFERROR(CH55*_xlfn.XLOOKUP(DQ$7,'Product Tgt'!$B:$B,'Product Tgt'!$D:$D),0)</f>
        <v>0</v>
      </c>
      <c r="DR55">
        <f>IFERROR(CI55*_xlfn.XLOOKUP(DR$7,'Product Tgt'!$B:$B,'Product Tgt'!$D:$D),0)</f>
        <v>0</v>
      </c>
      <c r="DS55">
        <f>IFERROR(CJ55*_xlfn.XLOOKUP(DS$7,'Product Tgt'!$B:$B,'Product Tgt'!$D:$D),0)</f>
        <v>0</v>
      </c>
      <c r="DT55">
        <f>IFERROR(CK55*_xlfn.XLOOKUP(DT$7,'Product Tgt'!$B:$B,'Product Tgt'!$D:$D),0)</f>
        <v>0</v>
      </c>
      <c r="DU55">
        <f>IFERROR(CL55*_xlfn.XLOOKUP(DU$7,'Product Tgt'!$B:$B,'Product Tgt'!$D:$D),0)</f>
        <v>0</v>
      </c>
      <c r="DV55">
        <f>IFERROR(CM55*_xlfn.XLOOKUP(DV$7,'Product Tgt'!$B:$B,'Product Tgt'!$D:$D),0)</f>
        <v>0</v>
      </c>
      <c r="DW55">
        <f>IFERROR(CN55*_xlfn.XLOOKUP(DW$7,'Product Tgt'!$B:$B,'Product Tgt'!$D:$D),0)</f>
        <v>0</v>
      </c>
      <c r="DX55">
        <f>IFERROR(CO55*_xlfn.XLOOKUP(DX$7,'Product Tgt'!$B:$B,'Product Tgt'!$D:$D),0)</f>
        <v>0</v>
      </c>
      <c r="DY55">
        <f>IFERROR(CP55*_xlfn.XLOOKUP(DY$7,'Product Tgt'!$B:$B,'Product Tgt'!$D:$D),0)</f>
        <v>0</v>
      </c>
      <c r="DZ55">
        <f>IFERROR(CQ55*_xlfn.XLOOKUP(DZ$7,'Product Tgt'!$B:$B,'Product Tgt'!$D:$D),0)</f>
        <v>0</v>
      </c>
      <c r="EA55">
        <f>IFERROR(CR55*_xlfn.XLOOKUP(EA$7,'Product Tgt'!$B:$B,'Product Tgt'!$D:$D),0)</f>
        <v>0</v>
      </c>
      <c r="EB55">
        <f>IFERROR(CS55*_xlfn.XLOOKUP(EB$7,'Product Tgt'!$B:$B,'Product Tgt'!$D:$D),0)</f>
        <v>0</v>
      </c>
      <c r="EC55">
        <f>IFERROR(CT55*_xlfn.XLOOKUP(EC$7,'Product Tgt'!$B:$B,'Product Tgt'!$D:$D),0)</f>
        <v>0</v>
      </c>
      <c r="ED55">
        <f>IFERROR(CU55*_xlfn.XLOOKUP(ED$7,'Product Tgt'!$B:$B,'Product Tgt'!$D:$D),0)</f>
        <v>0</v>
      </c>
      <c r="EE55">
        <f>IFERROR(CV55*_xlfn.XLOOKUP(EE$7,'Product Tgt'!$B:$B,'Product Tgt'!$D:$D),0)</f>
        <v>0</v>
      </c>
      <c r="EF55">
        <f>IFERROR(CW55*_xlfn.XLOOKUP(EF$7,'Product Tgt'!$B:$B,'Product Tgt'!$D:$D),0)</f>
        <v>0</v>
      </c>
      <c r="EG55">
        <f>IFERROR(CX55*_xlfn.XLOOKUP(EG$7,'Product Tgt'!$B:$B,'Product Tgt'!$D:$D),0)</f>
        <v>0</v>
      </c>
      <c r="EH55">
        <f>IFERROR(CY55*_xlfn.XLOOKUP(EH$7,'Product Tgt'!$B:$B,'Product Tgt'!$D:$D),0)</f>
        <v>0</v>
      </c>
      <c r="EI55">
        <f>IFERROR(CZ55*_xlfn.XLOOKUP(EI$7,'Product Tgt'!$B:$B,'Product Tgt'!$D:$D),0)</f>
        <v>0</v>
      </c>
    </row>
    <row r="56" spans="2:139" x14ac:dyDescent="0.35">
      <c r="B56" s="7" t="s">
        <v>171</v>
      </c>
      <c r="C56" s="3">
        <f>_xlfn.XLOOKUP($B56,'Terr Target'!$A:$A,'Terr Target'!$E:$E)</f>
        <v>359705.71170963329</v>
      </c>
      <c r="D56" s="3">
        <f t="shared" si="8"/>
        <v>359705</v>
      </c>
      <c r="E56" s="4">
        <f t="shared" si="9"/>
        <v>-0.71170963329495862</v>
      </c>
      <c r="F56" s="9">
        <f t="shared" si="7"/>
        <v>1.9785925502702453E-6</v>
      </c>
      <c r="G56" s="5">
        <f t="shared" si="6"/>
        <v>1.0000019785925502</v>
      </c>
      <c r="H56" s="38">
        <v>39429.329909066393</v>
      </c>
      <c r="I56" s="11">
        <v>72758.207291935236</v>
      </c>
      <c r="J56" s="11">
        <v>31376.291907580857</v>
      </c>
      <c r="K56" s="11">
        <v>30994.69991396393</v>
      </c>
      <c r="L56" s="11">
        <v>40510.650254786167</v>
      </c>
      <c r="M56" s="11">
        <v>33458.453011454512</v>
      </c>
      <c r="N56" s="11">
        <v>523.88070274307847</v>
      </c>
      <c r="O56" s="11">
        <v>8149.7232741360158</v>
      </c>
      <c r="P56" s="11">
        <v>2521.6704597016833</v>
      </c>
      <c r="Q56" s="11">
        <v>965.95462819348927</v>
      </c>
      <c r="R56" s="11">
        <v>8109.6281739698852</v>
      </c>
      <c r="S56" s="11">
        <v>15510.786505606575</v>
      </c>
      <c r="T56" s="11">
        <v>0</v>
      </c>
      <c r="U56" s="11">
        <v>2093.5669524276245</v>
      </c>
      <c r="V56" s="11">
        <v>15850.467244694453</v>
      </c>
      <c r="W56" s="11">
        <v>20177.305331313219</v>
      </c>
      <c r="X56" s="11">
        <v>3651.2785579610118</v>
      </c>
      <c r="Y56" s="11">
        <v>3220.1714107790367</v>
      </c>
      <c r="Z56" s="11">
        <v>276.43466022950457</v>
      </c>
      <c r="AA56" s="11">
        <v>6388.4926123835567</v>
      </c>
      <c r="AB56" s="11">
        <v>1325.2338682087618</v>
      </c>
      <c r="AC56" s="11">
        <v>539.85687381474963</v>
      </c>
      <c r="AD56" s="11">
        <v>3777.990250820525</v>
      </c>
      <c r="AE56" s="11">
        <v>4882.6811103753171</v>
      </c>
      <c r="AF56" s="11">
        <v>587.75545041938551</v>
      </c>
      <c r="AG56" s="11">
        <v>12517.474728271245</v>
      </c>
      <c r="AH56" s="11">
        <v>957.98151096284255</v>
      </c>
      <c r="AI56" s="11">
        <v>6907.3838800636513</v>
      </c>
      <c r="AJ56" s="11">
        <v>6475.2888247392066</v>
      </c>
      <c r="AK56" s="11">
        <v>1123.7305437551342</v>
      </c>
      <c r="AL56" s="49">
        <v>1246.2211745513646</v>
      </c>
      <c r="AM56" s="41">
        <f>IFERROR(ROUND(_xlfn.XLOOKUP(AM$7,'Product Tgt'!$B:$B,'Product Tgt'!$G:$G)*H56/H$121,0),0)</f>
        <v>38332</v>
      </c>
      <c r="AN56" s="41">
        <f>IFERROR(ROUND(_xlfn.XLOOKUP(AN$7,'Product Tgt'!$B:$B,'Product Tgt'!$G:$G)*I56/I$121,0),0)</f>
        <v>71623</v>
      </c>
      <c r="AO56" s="41">
        <f>IFERROR(ROUND(_xlfn.XLOOKUP(AO$7,'Product Tgt'!$B:$B,'Product Tgt'!$G:$G)*J56/J$121,0),0)</f>
        <v>30400</v>
      </c>
      <c r="AP56" s="41">
        <f>IFERROR(ROUND(_xlfn.XLOOKUP(AP$7,'Product Tgt'!$B:$B,'Product Tgt'!$G:$G)*K56/K$121,0),0)</f>
        <v>30236</v>
      </c>
      <c r="AQ56" s="41">
        <f>IFERROR(ROUND(_xlfn.XLOOKUP(AQ$7,'Product Tgt'!$B:$B,'Product Tgt'!$G:$G)*L56/L$121,0),0)</f>
        <v>39171</v>
      </c>
      <c r="AR56" s="41">
        <f>IFERROR(ROUND(_xlfn.XLOOKUP(AR$7,'Product Tgt'!$B:$B,'Product Tgt'!$G:$G)*M56/M$121,0),0)</f>
        <v>32414</v>
      </c>
      <c r="AS56" s="41">
        <f>IFERROR(ROUND(_xlfn.XLOOKUP(AS$7,'Product Tgt'!$B:$B,'Product Tgt'!$G:$G)*N56/N$121,0),0)</f>
        <v>484</v>
      </c>
      <c r="AT56" s="41">
        <f>IFERROR(ROUND(_xlfn.XLOOKUP(AT$7,'Product Tgt'!$B:$B,'Product Tgt'!$G:$G)*O56/O$121,0),0)</f>
        <v>7335</v>
      </c>
      <c r="AU56" s="41">
        <f>IFERROR(ROUND(_xlfn.XLOOKUP(AU$7,'Product Tgt'!$B:$B,'Product Tgt'!$G:$G)*P56/P$121,0),0)</f>
        <v>1075</v>
      </c>
      <c r="AV56" s="41">
        <f>IFERROR(ROUND(_xlfn.XLOOKUP(AV$7,'Product Tgt'!$B:$B,'Product Tgt'!$G:$G)*Q56/Q$121,0),0)</f>
        <v>725</v>
      </c>
      <c r="AW56" s="41">
        <f>IFERROR(ROUND(_xlfn.XLOOKUP(AW$7,'Product Tgt'!$B:$B,'Product Tgt'!$G:$G)*R56/R$121,0),0)</f>
        <v>7810</v>
      </c>
      <c r="AX56" s="41">
        <f>IFERROR(ROUND(_xlfn.XLOOKUP(AX$7,'Product Tgt'!$B:$B,'Product Tgt'!$G:$G)*S56/S$121,0),0)</f>
        <v>14939</v>
      </c>
      <c r="AY56" s="41">
        <f>IFERROR(ROUND(_xlfn.XLOOKUP(AY$7,'Product Tgt'!$B:$B,'Product Tgt'!$G:$G)*T56/T$121,0),0)</f>
        <v>0</v>
      </c>
      <c r="AZ56" s="41">
        <f>IFERROR(ROUND(_xlfn.XLOOKUP(AZ$7,'Product Tgt'!$B:$B,'Product Tgt'!$G:$G)*U56/U$121,0),0)</f>
        <v>2004</v>
      </c>
      <c r="BA56" s="41">
        <f>IFERROR(ROUND(_xlfn.XLOOKUP(BA$7,'Product Tgt'!$B:$B,'Product Tgt'!$G:$G)*V56/V$121,0),0)</f>
        <v>15261</v>
      </c>
      <c r="BB56" s="41">
        <f>IFERROR(ROUND(_xlfn.XLOOKUP(BB$7,'Product Tgt'!$B:$B,'Product Tgt'!$G:$G)*W56/W$121,0),0)</f>
        <v>19314</v>
      </c>
      <c r="BC56" s="41">
        <f>IFERROR(ROUND(_xlfn.XLOOKUP(BC$7,'Product Tgt'!$B:$B,'Product Tgt'!$G:$G)*X56/X$121,0),0)</f>
        <v>3533</v>
      </c>
      <c r="BD56" s="41">
        <f>IFERROR(ROUND(_xlfn.XLOOKUP(BD$7,'Product Tgt'!$B:$B,'Product Tgt'!$G:$G)*Y56/Y$121,0),0)</f>
        <v>3114</v>
      </c>
      <c r="BE56" s="41">
        <f>IFERROR(ROUND(_xlfn.XLOOKUP(BE$7,'Product Tgt'!$B:$B,'Product Tgt'!$G:$G)*Z56/Z$121,0),0)</f>
        <v>263</v>
      </c>
      <c r="BF56" s="41">
        <f>IFERROR(ROUND(_xlfn.XLOOKUP(BF$7,'Product Tgt'!$B:$B,'Product Tgt'!$G:$G)*AA56/AA$121,0),0)</f>
        <v>5177</v>
      </c>
      <c r="BG56" s="41">
        <f>IFERROR(ROUND(_xlfn.XLOOKUP(BG$7,'Product Tgt'!$B:$B,'Product Tgt'!$G:$G)*AB56/AB$121,0),0)</f>
        <v>1062</v>
      </c>
      <c r="BH56" s="41">
        <f>IFERROR(ROUND(_xlfn.XLOOKUP(BH$7,'Product Tgt'!$B:$B,'Product Tgt'!$G:$G)*AC56/AC$121,0),0)</f>
        <v>462</v>
      </c>
      <c r="BI56" s="41">
        <f>IFERROR(ROUND(_xlfn.XLOOKUP(BI$7,'Product Tgt'!$B:$B,'Product Tgt'!$G:$G)*AD56/AD$121,0),0)</f>
        <v>3289</v>
      </c>
      <c r="BJ56" s="41">
        <f>IFERROR(ROUND(_xlfn.XLOOKUP(BJ$7,'Product Tgt'!$B:$B,'Product Tgt'!$G:$G)*AE56/AE$121,0),0)</f>
        <v>4544</v>
      </c>
      <c r="BK56" s="41">
        <f>IFERROR(ROUND(_xlfn.XLOOKUP(BK$7,'Product Tgt'!$B:$B,'Product Tgt'!$G:$G)*AF56/AF$121,0),0)</f>
        <v>657</v>
      </c>
      <c r="BL56" s="41">
        <f>IFERROR(ROUND(_xlfn.XLOOKUP(BL$7,'Product Tgt'!$B:$B,'Product Tgt'!$G:$G)*AG56/AG$121,0),0)</f>
        <v>11956</v>
      </c>
      <c r="BM56" s="41">
        <f>IFERROR(ROUND(_xlfn.XLOOKUP(BM$7,'Product Tgt'!$B:$B,'Product Tgt'!$G:$G)*AH56/AH$121,0),0)</f>
        <v>751</v>
      </c>
      <c r="BN56" s="41">
        <f>IFERROR(ROUND(_xlfn.XLOOKUP(BN$7,'Product Tgt'!$B:$B,'Product Tgt'!$G:$G)*AI56/AI$121,0),0)</f>
        <v>6343</v>
      </c>
      <c r="BO56" s="41">
        <f>IFERROR(ROUND(_xlfn.XLOOKUP(BO$7,'Product Tgt'!$B:$B,'Product Tgt'!$G:$G)*AJ56/AJ$121,0),0)</f>
        <v>5601</v>
      </c>
      <c r="BP56" s="41">
        <f>IFERROR(ROUND(_xlfn.XLOOKUP(BP$7,'Product Tgt'!$B:$B,'Product Tgt'!$G:$G)*AK56/AK$121,0),0)</f>
        <v>856</v>
      </c>
      <c r="BQ56" s="41">
        <f>IFERROR(ROUND(_xlfn.XLOOKUP(BQ$7,'Product Tgt'!$B:$B,'Product Tgt'!$G:$G)*AL56/AL$121,0),0)</f>
        <v>974</v>
      </c>
      <c r="BR56" s="25">
        <f>ROUND(IFERROR(AM56/_xlfn.XLOOKUP(BR$7,'Product Tgt'!$B:$B,'Product Tgt'!$D:$D),0),0)</f>
        <v>0</v>
      </c>
      <c r="BS56" s="11">
        <f>ROUND(IFERROR(AN56/_xlfn.XLOOKUP(BS$7,'Product Tgt'!$B:$B,'Product Tgt'!$D:$D),0),0)</f>
        <v>0</v>
      </c>
      <c r="BT56" s="11">
        <f>ROUND(IFERROR(AO56/_xlfn.XLOOKUP(BT$7,'Product Tgt'!$B:$B,'Product Tgt'!$D:$D),0),0)</f>
        <v>0</v>
      </c>
      <c r="BU56" s="11">
        <f>ROUND(IFERROR(AP56/_xlfn.XLOOKUP(BU$7,'Product Tgt'!$B:$B,'Product Tgt'!$D:$D),0),0)</f>
        <v>0</v>
      </c>
      <c r="BV56" s="11">
        <f>ROUND(IFERROR(AQ56/_xlfn.XLOOKUP(BV$7,'Product Tgt'!$B:$B,'Product Tgt'!$D:$D),0),0)</f>
        <v>0</v>
      </c>
      <c r="BW56" s="11">
        <f>ROUND(IFERROR(AU56/_xlfn.XLOOKUP(BW$7,'Product Tgt'!$B:$B,'Product Tgt'!$D:$D),0),0)</f>
        <v>0</v>
      </c>
      <c r="BX56" s="11">
        <f>ROUND(IFERROR(#REF!/_xlfn.XLOOKUP(BX$7,'Product Tgt'!$B:$B,'Product Tgt'!$D:$D),0),0)</f>
        <v>0</v>
      </c>
      <c r="BY56" s="11">
        <f>ROUND(IFERROR(#REF!/_xlfn.XLOOKUP(BY$7,'Product Tgt'!$B:$B,'Product Tgt'!$D:$D),0),0)</f>
        <v>0</v>
      </c>
      <c r="BZ56" s="11">
        <f>ROUND(IFERROR(#REF!/_xlfn.XLOOKUP(BZ$7,'Product Tgt'!$B:$B,'Product Tgt'!$D:$D),0),0)</f>
        <v>0</v>
      </c>
      <c r="CA56" s="11">
        <f>ROUND(IFERROR(#REF!/_xlfn.XLOOKUP(CA$7,'Product Tgt'!$B:$B,'Product Tgt'!$D:$D),0),0)</f>
        <v>0</v>
      </c>
      <c r="CB56" s="11">
        <f>ROUND(IFERROR(AV56/_xlfn.XLOOKUP(CB$7,'Product Tgt'!$B:$B,'Product Tgt'!$D:$D),0),0)</f>
        <v>0</v>
      </c>
      <c r="CC56" s="11">
        <f>ROUND(IFERROR(AW56/_xlfn.XLOOKUP(CC$7,'Product Tgt'!$B:$B,'Product Tgt'!$D:$D),0),0)</f>
        <v>0</v>
      </c>
      <c r="CD56" s="11">
        <f>ROUND(IFERROR(AX56/_xlfn.XLOOKUP(CD$7,'Product Tgt'!$B:$B,'Product Tgt'!$D:$D),0),0)</f>
        <v>0</v>
      </c>
      <c r="CE56" s="11">
        <f>ROUND(IFERROR(AY56/_xlfn.XLOOKUP(CE$7,'Product Tgt'!$B:$B,'Product Tgt'!$D:$D),0),0)</f>
        <v>0</v>
      </c>
      <c r="CF56" s="11">
        <f>ROUND(IFERROR(AZ56/_xlfn.XLOOKUP(CF$7,'Product Tgt'!$B:$B,'Product Tgt'!$D:$D),0),0)</f>
        <v>0</v>
      </c>
      <c r="CG56" s="11">
        <f>ROUND(IFERROR(BA56/_xlfn.XLOOKUP(CG$7,'Product Tgt'!$B:$B,'Product Tgt'!$D:$D),0),0)</f>
        <v>0</v>
      </c>
      <c r="CH56" s="11">
        <f>ROUND(IFERROR(BB56/_xlfn.XLOOKUP(CH$7,'Product Tgt'!$B:$B,'Product Tgt'!$D:$D),0),0)</f>
        <v>0</v>
      </c>
      <c r="CI56" s="11">
        <f>ROUND(IFERROR(BC56/_xlfn.XLOOKUP(CI$7,'Product Tgt'!$B:$B,'Product Tgt'!$D:$D),0),0)</f>
        <v>0</v>
      </c>
      <c r="CJ56" s="11">
        <f>ROUND(IFERROR(BD56/_xlfn.XLOOKUP(CJ$7,'Product Tgt'!$B:$B,'Product Tgt'!$D:$D),0),0)</f>
        <v>0</v>
      </c>
      <c r="CK56" s="11">
        <f>ROUND(IFERROR(BE56/_xlfn.XLOOKUP(CK$7,'Product Tgt'!$B:$B,'Product Tgt'!$D:$D),0),0)</f>
        <v>0</v>
      </c>
      <c r="CL56" s="11">
        <f>ROUND(IFERROR(BF56/_xlfn.XLOOKUP(CL$7,'Product Tgt'!$B:$B,'Product Tgt'!$D:$D),0),0)</f>
        <v>0</v>
      </c>
      <c r="CM56" s="11">
        <f>ROUND(IFERROR(BG56/_xlfn.XLOOKUP(CM$7,'Product Tgt'!$B:$B,'Product Tgt'!$D:$D),0),0)</f>
        <v>0</v>
      </c>
      <c r="CN56" s="11">
        <f>ROUND(IFERROR(BH56/_xlfn.XLOOKUP(CN$7,'Product Tgt'!$B:$B,'Product Tgt'!$D:$D),0),0)</f>
        <v>0</v>
      </c>
      <c r="CO56" s="11">
        <f>ROUND(IFERROR(BI56/_xlfn.XLOOKUP(CO$7,'Product Tgt'!$B:$B,'Product Tgt'!$D:$D),0),0)</f>
        <v>0</v>
      </c>
      <c r="CP56" s="11">
        <f>ROUND(IFERROR(BJ56/_xlfn.XLOOKUP(CP$7,'Product Tgt'!$B:$B,'Product Tgt'!$D:$D),0),0)</f>
        <v>0</v>
      </c>
      <c r="CQ56" s="11">
        <f>ROUND(IFERROR(BK56/_xlfn.XLOOKUP(CQ$7,'Product Tgt'!$B:$B,'Product Tgt'!$D:$D),0),0)</f>
        <v>0</v>
      </c>
      <c r="CR56" s="11">
        <f>ROUND(IFERROR(BL56/_xlfn.XLOOKUP(CR$7,'Product Tgt'!$B:$B,'Product Tgt'!$D:$D),0),0)</f>
        <v>0</v>
      </c>
      <c r="CS56" s="11">
        <f>ROUND(IFERROR(BM56/_xlfn.XLOOKUP(CS$7,'Product Tgt'!$B:$B,'Product Tgt'!$D:$D),0),0)</f>
        <v>0</v>
      </c>
      <c r="CT56" s="11">
        <f>ROUND(IFERROR(BN56/_xlfn.XLOOKUP(CT$7,'Product Tgt'!$B:$B,'Product Tgt'!$D:$D),0),0)</f>
        <v>0</v>
      </c>
      <c r="CU56" s="11">
        <f>ROUND(IFERROR(BO56/_xlfn.XLOOKUP(CU$7,'Product Tgt'!$B:$B,'Product Tgt'!$D:$D),0),0)</f>
        <v>0</v>
      </c>
      <c r="CV56" s="11">
        <f>ROUND(IFERROR(BP56/_xlfn.XLOOKUP(CV$7,'Product Tgt'!$B:$B,'Product Tgt'!$D:$D),0),0)</f>
        <v>0</v>
      </c>
      <c r="CW56" s="11">
        <f>ROUND(IFERROR(BQ56/_xlfn.XLOOKUP(CW$7,'Product Tgt'!$B:$B,'Product Tgt'!$D:$D),0),0)</f>
        <v>0</v>
      </c>
      <c r="CX56" s="11">
        <f>ROUND(IFERROR(#REF!/_xlfn.XLOOKUP(CX$7,'Product Tgt'!$B:$B,'Product Tgt'!$D:$D),0),0)</f>
        <v>0</v>
      </c>
      <c r="CY56" s="11">
        <f>ROUND(IFERROR(#REF!/_xlfn.XLOOKUP(CY$7,'Product Tgt'!$B:$B,'Product Tgt'!$D:$D),0),0)</f>
        <v>0</v>
      </c>
      <c r="CZ56" s="11">
        <f>ROUND(IFERROR(#REF!/_xlfn.XLOOKUP(CZ$7,'Product Tgt'!$B:$B,'Product Tgt'!$D:$D),0),0)</f>
        <v>0</v>
      </c>
      <c r="DA56" s="10">
        <f>IFERROR(BR56*_xlfn.XLOOKUP(DA$7,'Product Tgt'!$B:$B,'Product Tgt'!$D:$D),0)</f>
        <v>0</v>
      </c>
      <c r="DB56">
        <f>IFERROR(BS56*_xlfn.XLOOKUP(DB$7,'Product Tgt'!$B:$B,'Product Tgt'!$D:$D),0)</f>
        <v>0</v>
      </c>
      <c r="DC56">
        <f>IFERROR(BT56*_xlfn.XLOOKUP(DC$7,'Product Tgt'!$B:$B,'Product Tgt'!$D:$D),0)</f>
        <v>0</v>
      </c>
      <c r="DD56">
        <f>IFERROR(BU56*_xlfn.XLOOKUP(DD$7,'Product Tgt'!$B:$B,'Product Tgt'!$D:$D),0)</f>
        <v>0</v>
      </c>
      <c r="DE56">
        <f>IFERROR(BV56*_xlfn.XLOOKUP(DE$7,'Product Tgt'!$B:$B,'Product Tgt'!$D:$D),0)</f>
        <v>0</v>
      </c>
      <c r="DF56">
        <f>IFERROR(BW56*_xlfn.XLOOKUP(DF$7,'Product Tgt'!$B:$B,'Product Tgt'!$D:$D),0)</f>
        <v>0</v>
      </c>
      <c r="DG56">
        <f>IFERROR(BX56*_xlfn.XLOOKUP(DG$7,'Product Tgt'!$B:$B,'Product Tgt'!$D:$D),0)</f>
        <v>0</v>
      </c>
      <c r="DH56">
        <f>IFERROR(BY56*_xlfn.XLOOKUP(DH$7,'Product Tgt'!$B:$B,'Product Tgt'!$D:$D),0)</f>
        <v>0</v>
      </c>
      <c r="DI56">
        <f>IFERROR(BZ56*_xlfn.XLOOKUP(DI$7,'Product Tgt'!$B:$B,'Product Tgt'!$D:$D),0)</f>
        <v>0</v>
      </c>
      <c r="DJ56">
        <f>IFERROR(CA56*_xlfn.XLOOKUP(DJ$7,'Product Tgt'!$B:$B,'Product Tgt'!$D:$D),0)</f>
        <v>0</v>
      </c>
      <c r="DK56">
        <f>IFERROR(CB56*_xlfn.XLOOKUP(DK$7,'Product Tgt'!$B:$B,'Product Tgt'!$D:$D),0)</f>
        <v>0</v>
      </c>
      <c r="DL56">
        <f>IFERROR(CC56*_xlfn.XLOOKUP(DL$7,'Product Tgt'!$B:$B,'Product Tgt'!$D:$D),0)</f>
        <v>0</v>
      </c>
      <c r="DM56">
        <f>IFERROR(CD56*_xlfn.XLOOKUP(DM$7,'Product Tgt'!$B:$B,'Product Tgt'!$D:$D),0)</f>
        <v>0</v>
      </c>
      <c r="DN56">
        <f>IFERROR(CE56*_xlfn.XLOOKUP(DN$7,'Product Tgt'!$B:$B,'Product Tgt'!$D:$D),0)</f>
        <v>0</v>
      </c>
      <c r="DO56">
        <f>IFERROR(CF56*_xlfn.XLOOKUP(DO$7,'Product Tgt'!$B:$B,'Product Tgt'!$D:$D),0)</f>
        <v>0</v>
      </c>
      <c r="DP56">
        <f>IFERROR(CG56*_xlfn.XLOOKUP(DP$7,'Product Tgt'!$B:$B,'Product Tgt'!$D:$D),0)</f>
        <v>0</v>
      </c>
      <c r="DQ56">
        <f>IFERROR(CH56*_xlfn.XLOOKUP(DQ$7,'Product Tgt'!$B:$B,'Product Tgt'!$D:$D),0)</f>
        <v>0</v>
      </c>
      <c r="DR56">
        <f>IFERROR(CI56*_xlfn.XLOOKUP(DR$7,'Product Tgt'!$B:$B,'Product Tgt'!$D:$D),0)</f>
        <v>0</v>
      </c>
      <c r="DS56">
        <f>IFERROR(CJ56*_xlfn.XLOOKUP(DS$7,'Product Tgt'!$B:$B,'Product Tgt'!$D:$D),0)</f>
        <v>0</v>
      </c>
      <c r="DT56">
        <f>IFERROR(CK56*_xlfn.XLOOKUP(DT$7,'Product Tgt'!$B:$B,'Product Tgt'!$D:$D),0)</f>
        <v>0</v>
      </c>
      <c r="DU56">
        <f>IFERROR(CL56*_xlfn.XLOOKUP(DU$7,'Product Tgt'!$B:$B,'Product Tgt'!$D:$D),0)</f>
        <v>0</v>
      </c>
      <c r="DV56">
        <f>IFERROR(CM56*_xlfn.XLOOKUP(DV$7,'Product Tgt'!$B:$B,'Product Tgt'!$D:$D),0)</f>
        <v>0</v>
      </c>
      <c r="DW56">
        <f>IFERROR(CN56*_xlfn.XLOOKUP(DW$7,'Product Tgt'!$B:$B,'Product Tgt'!$D:$D),0)</f>
        <v>0</v>
      </c>
      <c r="DX56">
        <f>IFERROR(CO56*_xlfn.XLOOKUP(DX$7,'Product Tgt'!$B:$B,'Product Tgt'!$D:$D),0)</f>
        <v>0</v>
      </c>
      <c r="DY56">
        <f>IFERROR(CP56*_xlfn.XLOOKUP(DY$7,'Product Tgt'!$B:$B,'Product Tgt'!$D:$D),0)</f>
        <v>0</v>
      </c>
      <c r="DZ56">
        <f>IFERROR(CQ56*_xlfn.XLOOKUP(DZ$7,'Product Tgt'!$B:$B,'Product Tgt'!$D:$D),0)</f>
        <v>0</v>
      </c>
      <c r="EA56">
        <f>IFERROR(CR56*_xlfn.XLOOKUP(EA$7,'Product Tgt'!$B:$B,'Product Tgt'!$D:$D),0)</f>
        <v>0</v>
      </c>
      <c r="EB56">
        <f>IFERROR(CS56*_xlfn.XLOOKUP(EB$7,'Product Tgt'!$B:$B,'Product Tgt'!$D:$D),0)</f>
        <v>0</v>
      </c>
      <c r="EC56">
        <f>IFERROR(CT56*_xlfn.XLOOKUP(EC$7,'Product Tgt'!$B:$B,'Product Tgt'!$D:$D),0)</f>
        <v>0</v>
      </c>
      <c r="ED56">
        <f>IFERROR(CU56*_xlfn.XLOOKUP(ED$7,'Product Tgt'!$B:$B,'Product Tgt'!$D:$D),0)</f>
        <v>0</v>
      </c>
      <c r="EE56">
        <f>IFERROR(CV56*_xlfn.XLOOKUP(EE$7,'Product Tgt'!$B:$B,'Product Tgt'!$D:$D),0)</f>
        <v>0</v>
      </c>
      <c r="EF56">
        <f>IFERROR(CW56*_xlfn.XLOOKUP(EF$7,'Product Tgt'!$B:$B,'Product Tgt'!$D:$D),0)</f>
        <v>0</v>
      </c>
      <c r="EG56">
        <f>IFERROR(CX56*_xlfn.XLOOKUP(EG$7,'Product Tgt'!$B:$B,'Product Tgt'!$D:$D),0)</f>
        <v>0</v>
      </c>
      <c r="EH56">
        <f>IFERROR(CY56*_xlfn.XLOOKUP(EH$7,'Product Tgt'!$B:$B,'Product Tgt'!$D:$D),0)</f>
        <v>0</v>
      </c>
      <c r="EI56">
        <f>IFERROR(CZ56*_xlfn.XLOOKUP(EI$7,'Product Tgt'!$B:$B,'Product Tgt'!$D:$D),0)</f>
        <v>0</v>
      </c>
    </row>
    <row r="57" spans="2:139" x14ac:dyDescent="0.35">
      <c r="B57" s="7" t="s">
        <v>172</v>
      </c>
      <c r="C57" s="3">
        <f>_xlfn.XLOOKUP($B57,'Terr Target'!$A:$A,'Terr Target'!$E:$E)</f>
        <v>324929.62203457661</v>
      </c>
      <c r="D57" s="3">
        <f t="shared" si="8"/>
        <v>324932</v>
      </c>
      <c r="E57" s="4">
        <f t="shared" si="9"/>
        <v>2.3779654233949259</v>
      </c>
      <c r="F57" s="9">
        <f t="shared" si="7"/>
        <v>7.318347910931905E-6</v>
      </c>
      <c r="G57" s="5">
        <f t="shared" si="6"/>
        <v>0.9999926816520891</v>
      </c>
      <c r="H57" s="38">
        <v>36339.212371942071</v>
      </c>
      <c r="I57" s="11">
        <v>64697.303933543837</v>
      </c>
      <c r="J57" s="11">
        <v>28734.831634095968</v>
      </c>
      <c r="K57" s="11">
        <v>23836.075272428767</v>
      </c>
      <c r="L57" s="11">
        <v>38215.223754981918</v>
      </c>
      <c r="M57" s="11">
        <v>32651.589788507863</v>
      </c>
      <c r="N57" s="11">
        <v>387.42695711818311</v>
      </c>
      <c r="O57" s="11">
        <v>5830.4674482641522</v>
      </c>
      <c r="P57" s="11">
        <v>1126.4554063103553</v>
      </c>
      <c r="Q57" s="11">
        <v>899.38151764130316</v>
      </c>
      <c r="R57" s="11">
        <v>6614.7632698849766</v>
      </c>
      <c r="S57" s="11">
        <v>13286.068426079624</v>
      </c>
      <c r="T57" s="11">
        <v>0</v>
      </c>
      <c r="U57" s="11">
        <v>4994.8586447396065</v>
      </c>
      <c r="V57" s="11">
        <v>12224.710389668868</v>
      </c>
      <c r="W57" s="11">
        <v>18564.134493263395</v>
      </c>
      <c r="X57" s="11">
        <v>5316.5906428832259</v>
      </c>
      <c r="Y57" s="11">
        <v>2546.7354009634319</v>
      </c>
      <c r="Z57" s="11">
        <v>260.97710885543972</v>
      </c>
      <c r="AA57" s="11">
        <v>4715.9837430889438</v>
      </c>
      <c r="AB57" s="11">
        <v>1140.4290308466366</v>
      </c>
      <c r="AC57" s="11">
        <v>288.83471956675771</v>
      </c>
      <c r="AD57" s="11">
        <v>2919.2126713895559</v>
      </c>
      <c r="AE57" s="11">
        <v>5197.0429484363376</v>
      </c>
      <c r="AF57" s="11">
        <v>526.84448830768224</v>
      </c>
      <c r="AG57" s="11">
        <v>10635.073651170509</v>
      </c>
      <c r="AH57" s="11">
        <v>1621.4683165581976</v>
      </c>
      <c r="AI57" s="11">
        <v>6404.1927995028936</v>
      </c>
      <c r="AJ57" s="11">
        <v>7409.1284674189737</v>
      </c>
      <c r="AK57" s="11">
        <v>714.1986231273471</v>
      </c>
      <c r="AL57" s="49">
        <v>1179.1229234506663</v>
      </c>
      <c r="AM57" s="41">
        <f>IFERROR(ROUND(_xlfn.XLOOKUP(AM$7,'Product Tgt'!$B:$B,'Product Tgt'!$G:$G)*H57/H$121,0),0)</f>
        <v>35328</v>
      </c>
      <c r="AN57" s="41">
        <f>IFERROR(ROUND(_xlfn.XLOOKUP(AN$7,'Product Tgt'!$B:$B,'Product Tgt'!$G:$G)*I57/I$121,0),0)</f>
        <v>63688</v>
      </c>
      <c r="AO57" s="41">
        <f>IFERROR(ROUND(_xlfn.XLOOKUP(AO$7,'Product Tgt'!$B:$B,'Product Tgt'!$G:$G)*J57/J$121,0),0)</f>
        <v>27841</v>
      </c>
      <c r="AP57" s="41">
        <f>IFERROR(ROUND(_xlfn.XLOOKUP(AP$7,'Product Tgt'!$B:$B,'Product Tgt'!$G:$G)*K57/K$121,0),0)</f>
        <v>23253</v>
      </c>
      <c r="AQ57" s="41">
        <f>IFERROR(ROUND(_xlfn.XLOOKUP(AQ$7,'Product Tgt'!$B:$B,'Product Tgt'!$G:$G)*L57/L$121,0),0)</f>
        <v>36952</v>
      </c>
      <c r="AR57" s="41">
        <f>IFERROR(ROUND(_xlfn.XLOOKUP(AR$7,'Product Tgt'!$B:$B,'Product Tgt'!$G:$G)*M57/M$121,0),0)</f>
        <v>31633</v>
      </c>
      <c r="AS57" s="41">
        <f>IFERROR(ROUND(_xlfn.XLOOKUP(AS$7,'Product Tgt'!$B:$B,'Product Tgt'!$G:$G)*N57/N$121,0),0)</f>
        <v>358</v>
      </c>
      <c r="AT57" s="41">
        <f>IFERROR(ROUND(_xlfn.XLOOKUP(AT$7,'Product Tgt'!$B:$B,'Product Tgt'!$G:$G)*O57/O$121,0),0)</f>
        <v>5248</v>
      </c>
      <c r="AU57" s="41">
        <f>IFERROR(ROUND(_xlfn.XLOOKUP(AU$7,'Product Tgt'!$B:$B,'Product Tgt'!$G:$G)*P57/P$121,0),0)</f>
        <v>480</v>
      </c>
      <c r="AV57" s="41">
        <f>IFERROR(ROUND(_xlfn.XLOOKUP(AV$7,'Product Tgt'!$B:$B,'Product Tgt'!$G:$G)*Q57/Q$121,0),0)</f>
        <v>675</v>
      </c>
      <c r="AW57" s="41">
        <f>IFERROR(ROUND(_xlfn.XLOOKUP(AW$7,'Product Tgt'!$B:$B,'Product Tgt'!$G:$G)*R57/R$121,0),0)</f>
        <v>6370</v>
      </c>
      <c r="AX57" s="41">
        <f>IFERROR(ROUND(_xlfn.XLOOKUP(AX$7,'Product Tgt'!$B:$B,'Product Tgt'!$G:$G)*S57/S$121,0),0)</f>
        <v>12796</v>
      </c>
      <c r="AY57" s="41">
        <f>IFERROR(ROUND(_xlfn.XLOOKUP(AY$7,'Product Tgt'!$B:$B,'Product Tgt'!$G:$G)*T57/T$121,0),0)</f>
        <v>0</v>
      </c>
      <c r="AZ57" s="41">
        <f>IFERROR(ROUND(_xlfn.XLOOKUP(AZ$7,'Product Tgt'!$B:$B,'Product Tgt'!$G:$G)*U57/U$121,0),0)</f>
        <v>4780</v>
      </c>
      <c r="BA57" s="41">
        <f>IFERROR(ROUND(_xlfn.XLOOKUP(BA$7,'Product Tgt'!$B:$B,'Product Tgt'!$G:$G)*V57/V$121,0),0)</f>
        <v>11770</v>
      </c>
      <c r="BB57" s="41">
        <f>IFERROR(ROUND(_xlfn.XLOOKUP(BB$7,'Product Tgt'!$B:$B,'Product Tgt'!$G:$G)*W57/W$121,0),0)</f>
        <v>17770</v>
      </c>
      <c r="BC57" s="41">
        <f>IFERROR(ROUND(_xlfn.XLOOKUP(BC$7,'Product Tgt'!$B:$B,'Product Tgt'!$G:$G)*X57/X$121,0),0)</f>
        <v>5144</v>
      </c>
      <c r="BD57" s="41">
        <f>IFERROR(ROUND(_xlfn.XLOOKUP(BD$7,'Product Tgt'!$B:$B,'Product Tgt'!$G:$G)*Y57/Y$121,0),0)</f>
        <v>2463</v>
      </c>
      <c r="BE57" s="41">
        <f>IFERROR(ROUND(_xlfn.XLOOKUP(BE$7,'Product Tgt'!$B:$B,'Product Tgt'!$G:$G)*Z57/Z$121,0),0)</f>
        <v>248</v>
      </c>
      <c r="BF57" s="41">
        <f>IFERROR(ROUND(_xlfn.XLOOKUP(BF$7,'Product Tgt'!$B:$B,'Product Tgt'!$G:$G)*AA57/AA$121,0),0)</f>
        <v>3822</v>
      </c>
      <c r="BG57" s="41">
        <f>IFERROR(ROUND(_xlfn.XLOOKUP(BG$7,'Product Tgt'!$B:$B,'Product Tgt'!$G:$G)*AB57/AB$121,0),0)</f>
        <v>914</v>
      </c>
      <c r="BH57" s="41">
        <f>IFERROR(ROUND(_xlfn.XLOOKUP(BH$7,'Product Tgt'!$B:$B,'Product Tgt'!$G:$G)*AC57/AC$121,0),0)</f>
        <v>247</v>
      </c>
      <c r="BI57" s="41">
        <f>IFERROR(ROUND(_xlfn.XLOOKUP(BI$7,'Product Tgt'!$B:$B,'Product Tgt'!$G:$G)*AD57/AD$121,0),0)</f>
        <v>2541</v>
      </c>
      <c r="BJ57" s="41">
        <f>IFERROR(ROUND(_xlfn.XLOOKUP(BJ$7,'Product Tgt'!$B:$B,'Product Tgt'!$G:$G)*AE57/AE$121,0),0)</f>
        <v>4837</v>
      </c>
      <c r="BK57" s="41">
        <f>IFERROR(ROUND(_xlfn.XLOOKUP(BK$7,'Product Tgt'!$B:$B,'Product Tgt'!$G:$G)*AF57/AF$121,0),0)</f>
        <v>589</v>
      </c>
      <c r="BL57" s="41">
        <f>IFERROR(ROUND(_xlfn.XLOOKUP(BL$7,'Product Tgt'!$B:$B,'Product Tgt'!$G:$G)*AG57/AG$121,0),0)</f>
        <v>10158</v>
      </c>
      <c r="BM57" s="41">
        <f>IFERROR(ROUND(_xlfn.XLOOKUP(BM$7,'Product Tgt'!$B:$B,'Product Tgt'!$G:$G)*AH57/AH$121,0),0)</f>
        <v>1271</v>
      </c>
      <c r="BN57" s="41">
        <f>IFERROR(ROUND(_xlfn.XLOOKUP(BN$7,'Product Tgt'!$B:$B,'Product Tgt'!$G:$G)*AI57/AI$121,0),0)</f>
        <v>5881</v>
      </c>
      <c r="BO57" s="41">
        <f>IFERROR(ROUND(_xlfn.XLOOKUP(BO$7,'Product Tgt'!$B:$B,'Product Tgt'!$G:$G)*AJ57/AJ$121,0),0)</f>
        <v>6409</v>
      </c>
      <c r="BP57" s="41">
        <f>IFERROR(ROUND(_xlfn.XLOOKUP(BP$7,'Product Tgt'!$B:$B,'Product Tgt'!$G:$G)*AK57/AK$121,0),0)</f>
        <v>544</v>
      </c>
      <c r="BQ57" s="41">
        <f>IFERROR(ROUND(_xlfn.XLOOKUP(BQ$7,'Product Tgt'!$B:$B,'Product Tgt'!$G:$G)*AL57/AL$121,0),0)</f>
        <v>922</v>
      </c>
      <c r="BR57" s="25">
        <f>ROUND(IFERROR(AM57/_xlfn.XLOOKUP(BR$7,'Product Tgt'!$B:$B,'Product Tgt'!$D:$D),0),0)</f>
        <v>0</v>
      </c>
      <c r="BS57" s="11">
        <f>ROUND(IFERROR(AN57/_xlfn.XLOOKUP(BS$7,'Product Tgt'!$B:$B,'Product Tgt'!$D:$D),0),0)</f>
        <v>0</v>
      </c>
      <c r="BT57" s="11">
        <f>ROUND(IFERROR(AO57/_xlfn.XLOOKUP(BT$7,'Product Tgt'!$B:$B,'Product Tgt'!$D:$D),0),0)</f>
        <v>0</v>
      </c>
      <c r="BU57" s="11">
        <f>ROUND(IFERROR(AP57/_xlfn.XLOOKUP(BU$7,'Product Tgt'!$B:$B,'Product Tgt'!$D:$D),0),0)</f>
        <v>0</v>
      </c>
      <c r="BV57" s="11">
        <f>ROUND(IFERROR(AQ57/_xlfn.XLOOKUP(BV$7,'Product Tgt'!$B:$B,'Product Tgt'!$D:$D),0),0)</f>
        <v>0</v>
      </c>
      <c r="BW57" s="11">
        <f>ROUND(IFERROR(AU57/_xlfn.XLOOKUP(BW$7,'Product Tgt'!$B:$B,'Product Tgt'!$D:$D),0),0)</f>
        <v>0</v>
      </c>
      <c r="BX57" s="11">
        <f>ROUND(IFERROR(#REF!/_xlfn.XLOOKUP(BX$7,'Product Tgt'!$B:$B,'Product Tgt'!$D:$D),0),0)</f>
        <v>0</v>
      </c>
      <c r="BY57" s="11">
        <f>ROUND(IFERROR(#REF!/_xlfn.XLOOKUP(BY$7,'Product Tgt'!$B:$B,'Product Tgt'!$D:$D),0),0)</f>
        <v>0</v>
      </c>
      <c r="BZ57" s="11">
        <f>ROUND(IFERROR(#REF!/_xlfn.XLOOKUP(BZ$7,'Product Tgt'!$B:$B,'Product Tgt'!$D:$D),0),0)</f>
        <v>0</v>
      </c>
      <c r="CA57" s="11">
        <f>ROUND(IFERROR(#REF!/_xlfn.XLOOKUP(CA$7,'Product Tgt'!$B:$B,'Product Tgt'!$D:$D),0),0)</f>
        <v>0</v>
      </c>
      <c r="CB57" s="11">
        <f>ROUND(IFERROR(AV57/_xlfn.XLOOKUP(CB$7,'Product Tgt'!$B:$B,'Product Tgt'!$D:$D),0),0)</f>
        <v>0</v>
      </c>
      <c r="CC57" s="11">
        <f>ROUND(IFERROR(AW57/_xlfn.XLOOKUP(CC$7,'Product Tgt'!$B:$B,'Product Tgt'!$D:$D),0),0)</f>
        <v>0</v>
      </c>
      <c r="CD57" s="11">
        <f>ROUND(IFERROR(AX57/_xlfn.XLOOKUP(CD$7,'Product Tgt'!$B:$B,'Product Tgt'!$D:$D),0),0)</f>
        <v>0</v>
      </c>
      <c r="CE57" s="11">
        <f>ROUND(IFERROR(AY57/_xlfn.XLOOKUP(CE$7,'Product Tgt'!$B:$B,'Product Tgt'!$D:$D),0),0)</f>
        <v>0</v>
      </c>
      <c r="CF57" s="11">
        <f>ROUND(IFERROR(AZ57/_xlfn.XLOOKUP(CF$7,'Product Tgt'!$B:$B,'Product Tgt'!$D:$D),0),0)</f>
        <v>0</v>
      </c>
      <c r="CG57" s="11">
        <f>ROUND(IFERROR(BA57/_xlfn.XLOOKUP(CG$7,'Product Tgt'!$B:$B,'Product Tgt'!$D:$D),0),0)</f>
        <v>0</v>
      </c>
      <c r="CH57" s="11">
        <f>ROUND(IFERROR(BB57/_xlfn.XLOOKUP(CH$7,'Product Tgt'!$B:$B,'Product Tgt'!$D:$D),0),0)</f>
        <v>0</v>
      </c>
      <c r="CI57" s="11">
        <f>ROUND(IFERROR(BC57/_xlfn.XLOOKUP(CI$7,'Product Tgt'!$B:$B,'Product Tgt'!$D:$D),0),0)</f>
        <v>0</v>
      </c>
      <c r="CJ57" s="11">
        <f>ROUND(IFERROR(BD57/_xlfn.XLOOKUP(CJ$7,'Product Tgt'!$B:$B,'Product Tgt'!$D:$D),0),0)</f>
        <v>0</v>
      </c>
      <c r="CK57" s="11">
        <f>ROUND(IFERROR(BE57/_xlfn.XLOOKUP(CK$7,'Product Tgt'!$B:$B,'Product Tgt'!$D:$D),0),0)</f>
        <v>0</v>
      </c>
      <c r="CL57" s="11">
        <f>ROUND(IFERROR(BF57/_xlfn.XLOOKUP(CL$7,'Product Tgt'!$B:$B,'Product Tgt'!$D:$D),0),0)</f>
        <v>0</v>
      </c>
      <c r="CM57" s="11">
        <f>ROUND(IFERROR(BG57/_xlfn.XLOOKUP(CM$7,'Product Tgt'!$B:$B,'Product Tgt'!$D:$D),0),0)</f>
        <v>0</v>
      </c>
      <c r="CN57" s="11">
        <f>ROUND(IFERROR(BH57/_xlfn.XLOOKUP(CN$7,'Product Tgt'!$B:$B,'Product Tgt'!$D:$D),0),0)</f>
        <v>0</v>
      </c>
      <c r="CO57" s="11">
        <f>ROUND(IFERROR(BI57/_xlfn.XLOOKUP(CO$7,'Product Tgt'!$B:$B,'Product Tgt'!$D:$D),0),0)</f>
        <v>0</v>
      </c>
      <c r="CP57" s="11">
        <f>ROUND(IFERROR(BJ57/_xlfn.XLOOKUP(CP$7,'Product Tgt'!$B:$B,'Product Tgt'!$D:$D),0),0)</f>
        <v>0</v>
      </c>
      <c r="CQ57" s="11">
        <f>ROUND(IFERROR(BK57/_xlfn.XLOOKUP(CQ$7,'Product Tgt'!$B:$B,'Product Tgt'!$D:$D),0),0)</f>
        <v>0</v>
      </c>
      <c r="CR57" s="11">
        <f>ROUND(IFERROR(BL57/_xlfn.XLOOKUP(CR$7,'Product Tgt'!$B:$B,'Product Tgt'!$D:$D),0),0)</f>
        <v>0</v>
      </c>
      <c r="CS57" s="11">
        <f>ROUND(IFERROR(BM57/_xlfn.XLOOKUP(CS$7,'Product Tgt'!$B:$B,'Product Tgt'!$D:$D),0),0)</f>
        <v>0</v>
      </c>
      <c r="CT57" s="11">
        <f>ROUND(IFERROR(BN57/_xlfn.XLOOKUP(CT$7,'Product Tgt'!$B:$B,'Product Tgt'!$D:$D),0),0)</f>
        <v>0</v>
      </c>
      <c r="CU57" s="11">
        <f>ROUND(IFERROR(BO57/_xlfn.XLOOKUP(CU$7,'Product Tgt'!$B:$B,'Product Tgt'!$D:$D),0),0)</f>
        <v>0</v>
      </c>
      <c r="CV57" s="11">
        <f>ROUND(IFERROR(BP57/_xlfn.XLOOKUP(CV$7,'Product Tgt'!$B:$B,'Product Tgt'!$D:$D),0),0)</f>
        <v>0</v>
      </c>
      <c r="CW57" s="11">
        <f>ROUND(IFERROR(BQ57/_xlfn.XLOOKUP(CW$7,'Product Tgt'!$B:$B,'Product Tgt'!$D:$D),0),0)</f>
        <v>0</v>
      </c>
      <c r="CX57" s="11">
        <f>ROUND(IFERROR(#REF!/_xlfn.XLOOKUP(CX$7,'Product Tgt'!$B:$B,'Product Tgt'!$D:$D),0),0)</f>
        <v>0</v>
      </c>
      <c r="CY57" s="11">
        <f>ROUND(IFERROR(#REF!/_xlfn.XLOOKUP(CY$7,'Product Tgt'!$B:$B,'Product Tgt'!$D:$D),0),0)</f>
        <v>0</v>
      </c>
      <c r="CZ57" s="11">
        <f>ROUND(IFERROR(#REF!/_xlfn.XLOOKUP(CZ$7,'Product Tgt'!$B:$B,'Product Tgt'!$D:$D),0),0)</f>
        <v>0</v>
      </c>
      <c r="DA57" s="10">
        <f>IFERROR(BR57*_xlfn.XLOOKUP(DA$7,'Product Tgt'!$B:$B,'Product Tgt'!$D:$D),0)</f>
        <v>0</v>
      </c>
      <c r="DB57">
        <f>IFERROR(BS57*_xlfn.XLOOKUP(DB$7,'Product Tgt'!$B:$B,'Product Tgt'!$D:$D),0)</f>
        <v>0</v>
      </c>
      <c r="DC57">
        <f>IFERROR(BT57*_xlfn.XLOOKUP(DC$7,'Product Tgt'!$B:$B,'Product Tgt'!$D:$D),0)</f>
        <v>0</v>
      </c>
      <c r="DD57">
        <f>IFERROR(BU57*_xlfn.XLOOKUP(DD$7,'Product Tgt'!$B:$B,'Product Tgt'!$D:$D),0)</f>
        <v>0</v>
      </c>
      <c r="DE57">
        <f>IFERROR(BV57*_xlfn.XLOOKUP(DE$7,'Product Tgt'!$B:$B,'Product Tgt'!$D:$D),0)</f>
        <v>0</v>
      </c>
      <c r="DF57">
        <f>IFERROR(BW57*_xlfn.XLOOKUP(DF$7,'Product Tgt'!$B:$B,'Product Tgt'!$D:$D),0)</f>
        <v>0</v>
      </c>
      <c r="DG57">
        <f>IFERROR(BX57*_xlfn.XLOOKUP(DG$7,'Product Tgt'!$B:$B,'Product Tgt'!$D:$D),0)</f>
        <v>0</v>
      </c>
      <c r="DH57">
        <f>IFERROR(BY57*_xlfn.XLOOKUP(DH$7,'Product Tgt'!$B:$B,'Product Tgt'!$D:$D),0)</f>
        <v>0</v>
      </c>
      <c r="DI57">
        <f>IFERROR(BZ57*_xlfn.XLOOKUP(DI$7,'Product Tgt'!$B:$B,'Product Tgt'!$D:$D),0)</f>
        <v>0</v>
      </c>
      <c r="DJ57">
        <f>IFERROR(CA57*_xlfn.XLOOKUP(DJ$7,'Product Tgt'!$B:$B,'Product Tgt'!$D:$D),0)</f>
        <v>0</v>
      </c>
      <c r="DK57">
        <f>IFERROR(CB57*_xlfn.XLOOKUP(DK$7,'Product Tgt'!$B:$B,'Product Tgt'!$D:$D),0)</f>
        <v>0</v>
      </c>
      <c r="DL57">
        <f>IFERROR(CC57*_xlfn.XLOOKUP(DL$7,'Product Tgt'!$B:$B,'Product Tgt'!$D:$D),0)</f>
        <v>0</v>
      </c>
      <c r="DM57">
        <f>IFERROR(CD57*_xlfn.XLOOKUP(DM$7,'Product Tgt'!$B:$B,'Product Tgt'!$D:$D),0)</f>
        <v>0</v>
      </c>
      <c r="DN57">
        <f>IFERROR(CE57*_xlfn.XLOOKUP(DN$7,'Product Tgt'!$B:$B,'Product Tgt'!$D:$D),0)</f>
        <v>0</v>
      </c>
      <c r="DO57">
        <f>IFERROR(CF57*_xlfn.XLOOKUP(DO$7,'Product Tgt'!$B:$B,'Product Tgt'!$D:$D),0)</f>
        <v>0</v>
      </c>
      <c r="DP57">
        <f>IFERROR(CG57*_xlfn.XLOOKUP(DP$7,'Product Tgt'!$B:$B,'Product Tgt'!$D:$D),0)</f>
        <v>0</v>
      </c>
      <c r="DQ57">
        <f>IFERROR(CH57*_xlfn.XLOOKUP(DQ$7,'Product Tgt'!$B:$B,'Product Tgt'!$D:$D),0)</f>
        <v>0</v>
      </c>
      <c r="DR57">
        <f>IFERROR(CI57*_xlfn.XLOOKUP(DR$7,'Product Tgt'!$B:$B,'Product Tgt'!$D:$D),0)</f>
        <v>0</v>
      </c>
      <c r="DS57">
        <f>IFERROR(CJ57*_xlfn.XLOOKUP(DS$7,'Product Tgt'!$B:$B,'Product Tgt'!$D:$D),0)</f>
        <v>0</v>
      </c>
      <c r="DT57">
        <f>IFERROR(CK57*_xlfn.XLOOKUP(DT$7,'Product Tgt'!$B:$B,'Product Tgt'!$D:$D),0)</f>
        <v>0</v>
      </c>
      <c r="DU57">
        <f>IFERROR(CL57*_xlfn.XLOOKUP(DU$7,'Product Tgt'!$B:$B,'Product Tgt'!$D:$D),0)</f>
        <v>0</v>
      </c>
      <c r="DV57">
        <f>IFERROR(CM57*_xlfn.XLOOKUP(DV$7,'Product Tgt'!$B:$B,'Product Tgt'!$D:$D),0)</f>
        <v>0</v>
      </c>
      <c r="DW57">
        <f>IFERROR(CN57*_xlfn.XLOOKUP(DW$7,'Product Tgt'!$B:$B,'Product Tgt'!$D:$D),0)</f>
        <v>0</v>
      </c>
      <c r="DX57">
        <f>IFERROR(CO57*_xlfn.XLOOKUP(DX$7,'Product Tgt'!$B:$B,'Product Tgt'!$D:$D),0)</f>
        <v>0</v>
      </c>
      <c r="DY57">
        <f>IFERROR(CP57*_xlfn.XLOOKUP(DY$7,'Product Tgt'!$B:$B,'Product Tgt'!$D:$D),0)</f>
        <v>0</v>
      </c>
      <c r="DZ57">
        <f>IFERROR(CQ57*_xlfn.XLOOKUP(DZ$7,'Product Tgt'!$B:$B,'Product Tgt'!$D:$D),0)</f>
        <v>0</v>
      </c>
      <c r="EA57">
        <f>IFERROR(CR57*_xlfn.XLOOKUP(EA$7,'Product Tgt'!$B:$B,'Product Tgt'!$D:$D),0)</f>
        <v>0</v>
      </c>
      <c r="EB57">
        <f>IFERROR(CS57*_xlfn.XLOOKUP(EB$7,'Product Tgt'!$B:$B,'Product Tgt'!$D:$D),0)</f>
        <v>0</v>
      </c>
      <c r="EC57">
        <f>IFERROR(CT57*_xlfn.XLOOKUP(EC$7,'Product Tgt'!$B:$B,'Product Tgt'!$D:$D),0)</f>
        <v>0</v>
      </c>
      <c r="ED57">
        <f>IFERROR(CU57*_xlfn.XLOOKUP(ED$7,'Product Tgt'!$B:$B,'Product Tgt'!$D:$D),0)</f>
        <v>0</v>
      </c>
      <c r="EE57">
        <f>IFERROR(CV57*_xlfn.XLOOKUP(EE$7,'Product Tgt'!$B:$B,'Product Tgt'!$D:$D),0)</f>
        <v>0</v>
      </c>
      <c r="EF57">
        <f>IFERROR(CW57*_xlfn.XLOOKUP(EF$7,'Product Tgt'!$B:$B,'Product Tgt'!$D:$D),0)</f>
        <v>0</v>
      </c>
      <c r="EG57">
        <f>IFERROR(CX57*_xlfn.XLOOKUP(EG$7,'Product Tgt'!$B:$B,'Product Tgt'!$D:$D),0)</f>
        <v>0</v>
      </c>
      <c r="EH57">
        <f>IFERROR(CY57*_xlfn.XLOOKUP(EH$7,'Product Tgt'!$B:$B,'Product Tgt'!$D:$D),0)</f>
        <v>0</v>
      </c>
      <c r="EI57">
        <f>IFERROR(CZ57*_xlfn.XLOOKUP(EI$7,'Product Tgt'!$B:$B,'Product Tgt'!$D:$D),0)</f>
        <v>0</v>
      </c>
    </row>
    <row r="58" spans="2:139" x14ac:dyDescent="0.35">
      <c r="B58" s="7" t="s">
        <v>193</v>
      </c>
      <c r="C58" s="3">
        <f>_xlfn.XLOOKUP($B58,'Terr Target'!$A:$A,'Terr Target'!$E:$E)</f>
        <v>515434.09258071578</v>
      </c>
      <c r="D58" s="3">
        <f t="shared" si="8"/>
        <v>515431</v>
      </c>
      <c r="E58" s="4">
        <f t="shared" si="9"/>
        <v>-3.0925807157764211</v>
      </c>
      <c r="F58" s="9">
        <f t="shared" si="7"/>
        <v>5.9999897479515614E-6</v>
      </c>
      <c r="G58" s="5">
        <f t="shared" si="6"/>
        <v>1.0000059999897479</v>
      </c>
      <c r="H58" s="38">
        <v>45448.061662132081</v>
      </c>
      <c r="I58" s="11">
        <v>94032.659551950608</v>
      </c>
      <c r="J58" s="11">
        <v>56087.571615365101</v>
      </c>
      <c r="K58" s="11">
        <v>64762.24099685868</v>
      </c>
      <c r="L58" s="11">
        <v>40029.917174803864</v>
      </c>
      <c r="M58" s="11">
        <v>30475.347514145578</v>
      </c>
      <c r="N58" s="11">
        <v>614.83105498570683</v>
      </c>
      <c r="O58" s="11">
        <v>4186.300040511117</v>
      </c>
      <c r="P58" s="11">
        <v>1220.7234974116934</v>
      </c>
      <c r="Q58" s="11">
        <v>1005.5092103968906</v>
      </c>
      <c r="R58" s="11">
        <v>11732.402322533133</v>
      </c>
      <c r="S58" s="11">
        <v>19955.43759206279</v>
      </c>
      <c r="T58" s="11">
        <v>2042.8167626868326</v>
      </c>
      <c r="U58" s="11">
        <v>2090.658768148613</v>
      </c>
      <c r="V58" s="11">
        <v>17670.939479976969</v>
      </c>
      <c r="W58" s="11">
        <v>32951.353158196507</v>
      </c>
      <c r="X58" s="11">
        <v>3778.751125831699</v>
      </c>
      <c r="Y58" s="11">
        <v>2318.8474961363877</v>
      </c>
      <c r="Z58" s="11">
        <v>360.76320011098306</v>
      </c>
      <c r="AA58" s="11">
        <v>7181.8015039191696</v>
      </c>
      <c r="AB58" s="11">
        <v>2390.6453818585555</v>
      </c>
      <c r="AC58" s="11">
        <v>1258.6104594541196</v>
      </c>
      <c r="AD58" s="11">
        <v>5877.3520056972538</v>
      </c>
      <c r="AE58" s="11">
        <v>7828.5405158906333</v>
      </c>
      <c r="AF58" s="11">
        <v>743.37966370409151</v>
      </c>
      <c r="AG58" s="11">
        <v>45460.308657489826</v>
      </c>
      <c r="AH58" s="11">
        <v>3222.6538305193376</v>
      </c>
      <c r="AI58" s="11">
        <v>19722.844330349937</v>
      </c>
      <c r="AJ58" s="11">
        <v>10851.864282829052</v>
      </c>
      <c r="AK58" s="11">
        <v>989.62498696300656</v>
      </c>
      <c r="AL58" s="49">
        <v>2183.1041513331447</v>
      </c>
      <c r="AM58" s="41">
        <f>IFERROR(ROUND(_xlfn.XLOOKUP(AM$7,'Product Tgt'!$B:$B,'Product Tgt'!$G:$G)*H58/H$121,0),0)</f>
        <v>44183</v>
      </c>
      <c r="AN58" s="41">
        <f>IFERROR(ROUND(_xlfn.XLOOKUP(AN$7,'Product Tgt'!$B:$B,'Product Tgt'!$G:$G)*I58/I$121,0),0)</f>
        <v>92566</v>
      </c>
      <c r="AO58" s="41">
        <f>IFERROR(ROUND(_xlfn.XLOOKUP(AO$7,'Product Tgt'!$B:$B,'Product Tgt'!$G:$G)*J58/J$121,0),0)</f>
        <v>54343</v>
      </c>
      <c r="AP58" s="41">
        <f>IFERROR(ROUND(_xlfn.XLOOKUP(AP$7,'Product Tgt'!$B:$B,'Product Tgt'!$G:$G)*K58/K$121,0),0)</f>
        <v>63177</v>
      </c>
      <c r="AQ58" s="41">
        <f>IFERROR(ROUND(_xlfn.XLOOKUP(AQ$7,'Product Tgt'!$B:$B,'Product Tgt'!$G:$G)*L58/L$121,0),0)</f>
        <v>38706</v>
      </c>
      <c r="AR58" s="41">
        <f>IFERROR(ROUND(_xlfn.XLOOKUP(AR$7,'Product Tgt'!$B:$B,'Product Tgt'!$G:$G)*M58/M$121,0),0)</f>
        <v>29524</v>
      </c>
      <c r="AS58" s="41">
        <f>IFERROR(ROUND(_xlfn.XLOOKUP(AS$7,'Product Tgt'!$B:$B,'Product Tgt'!$G:$G)*N58/N$121,0),0)</f>
        <v>568</v>
      </c>
      <c r="AT58" s="41">
        <f>IFERROR(ROUND(_xlfn.XLOOKUP(AT$7,'Product Tgt'!$B:$B,'Product Tgt'!$G:$G)*O58/O$121,0),0)</f>
        <v>3768</v>
      </c>
      <c r="AU58" s="41">
        <f>IFERROR(ROUND(_xlfn.XLOOKUP(AU$7,'Product Tgt'!$B:$B,'Product Tgt'!$G:$G)*P58/P$121,0),0)</f>
        <v>521</v>
      </c>
      <c r="AV58" s="41">
        <f>IFERROR(ROUND(_xlfn.XLOOKUP(AV$7,'Product Tgt'!$B:$B,'Product Tgt'!$G:$G)*Q58/Q$121,0),0)</f>
        <v>755</v>
      </c>
      <c r="AW58" s="41">
        <f>IFERROR(ROUND(_xlfn.XLOOKUP(AW$7,'Product Tgt'!$B:$B,'Product Tgt'!$G:$G)*R58/R$121,0),0)</f>
        <v>11299</v>
      </c>
      <c r="AX58" s="41">
        <f>IFERROR(ROUND(_xlfn.XLOOKUP(AX$7,'Product Tgt'!$B:$B,'Product Tgt'!$G:$G)*S58/S$121,0),0)</f>
        <v>19220</v>
      </c>
      <c r="AY58" s="41">
        <f>IFERROR(ROUND(_xlfn.XLOOKUP(AY$7,'Product Tgt'!$B:$B,'Product Tgt'!$G:$G)*T58/T$121,0),0)</f>
        <v>2050</v>
      </c>
      <c r="AZ58" s="41">
        <f>IFERROR(ROUND(_xlfn.XLOOKUP(AZ$7,'Product Tgt'!$B:$B,'Product Tgt'!$G:$G)*U58/U$121,0),0)</f>
        <v>2001</v>
      </c>
      <c r="BA58" s="41">
        <f>IFERROR(ROUND(_xlfn.XLOOKUP(BA$7,'Product Tgt'!$B:$B,'Product Tgt'!$G:$G)*V58/V$121,0),0)</f>
        <v>17014</v>
      </c>
      <c r="BB58" s="41">
        <f>IFERROR(ROUND(_xlfn.XLOOKUP(BB$7,'Product Tgt'!$B:$B,'Product Tgt'!$G:$G)*W58/W$121,0),0)</f>
        <v>31542</v>
      </c>
      <c r="BC58" s="41">
        <f>IFERROR(ROUND(_xlfn.XLOOKUP(BC$7,'Product Tgt'!$B:$B,'Product Tgt'!$G:$G)*X58/X$121,0),0)</f>
        <v>3656</v>
      </c>
      <c r="BD58" s="41">
        <f>IFERROR(ROUND(_xlfn.XLOOKUP(BD$7,'Product Tgt'!$B:$B,'Product Tgt'!$G:$G)*Y58/Y$121,0),0)</f>
        <v>2242</v>
      </c>
      <c r="BE58" s="41">
        <f>IFERROR(ROUND(_xlfn.XLOOKUP(BE$7,'Product Tgt'!$B:$B,'Product Tgt'!$G:$G)*Z58/Z$121,0),0)</f>
        <v>343</v>
      </c>
      <c r="BF58" s="41">
        <f>IFERROR(ROUND(_xlfn.XLOOKUP(BF$7,'Product Tgt'!$B:$B,'Product Tgt'!$G:$G)*AA58/AA$121,0),0)</f>
        <v>5820</v>
      </c>
      <c r="BG58" s="41">
        <f>IFERROR(ROUND(_xlfn.XLOOKUP(BG$7,'Product Tgt'!$B:$B,'Product Tgt'!$G:$G)*AB58/AB$121,0),0)</f>
        <v>1916</v>
      </c>
      <c r="BH58" s="41">
        <f>IFERROR(ROUND(_xlfn.XLOOKUP(BH$7,'Product Tgt'!$B:$B,'Product Tgt'!$G:$G)*AC58/AC$121,0),0)</f>
        <v>1077</v>
      </c>
      <c r="BI58" s="41">
        <f>IFERROR(ROUND(_xlfn.XLOOKUP(BI$7,'Product Tgt'!$B:$B,'Product Tgt'!$G:$G)*AD58/AD$121,0),0)</f>
        <v>5116</v>
      </c>
      <c r="BJ58" s="41">
        <f>IFERROR(ROUND(_xlfn.XLOOKUP(BJ$7,'Product Tgt'!$B:$B,'Product Tgt'!$G:$G)*AE58/AE$121,0),0)</f>
        <v>7286</v>
      </c>
      <c r="BK58" s="41">
        <f>IFERROR(ROUND(_xlfn.XLOOKUP(BK$7,'Product Tgt'!$B:$B,'Product Tgt'!$G:$G)*AF58/AF$121,0),0)</f>
        <v>830</v>
      </c>
      <c r="BL58" s="41">
        <f>IFERROR(ROUND(_xlfn.XLOOKUP(BL$7,'Product Tgt'!$B:$B,'Product Tgt'!$G:$G)*AG58/AG$121,0),0)</f>
        <v>43423</v>
      </c>
      <c r="BM58" s="41">
        <f>IFERROR(ROUND(_xlfn.XLOOKUP(BM$7,'Product Tgt'!$B:$B,'Product Tgt'!$G:$G)*AH58/AH$121,0),0)</f>
        <v>2527</v>
      </c>
      <c r="BN58" s="41">
        <f>IFERROR(ROUND(_xlfn.XLOOKUP(BN$7,'Product Tgt'!$B:$B,'Product Tgt'!$G:$G)*AI58/AI$121,0),0)</f>
        <v>18113</v>
      </c>
      <c r="BO58" s="41">
        <f>IFERROR(ROUND(_xlfn.XLOOKUP(BO$7,'Product Tgt'!$B:$B,'Product Tgt'!$G:$G)*AJ58/AJ$121,0),0)</f>
        <v>9386</v>
      </c>
      <c r="BP58" s="41">
        <f>IFERROR(ROUND(_xlfn.XLOOKUP(BP$7,'Product Tgt'!$B:$B,'Product Tgt'!$G:$G)*AK58/AK$121,0),0)</f>
        <v>753</v>
      </c>
      <c r="BQ58" s="41">
        <f>IFERROR(ROUND(_xlfn.XLOOKUP(BQ$7,'Product Tgt'!$B:$B,'Product Tgt'!$G:$G)*AL58/AL$121,0),0)</f>
        <v>1706</v>
      </c>
      <c r="BR58" s="25">
        <f>ROUND(IFERROR(AM58/_xlfn.XLOOKUP(BR$7,'Product Tgt'!$B:$B,'Product Tgt'!$D:$D),0),0)</f>
        <v>0</v>
      </c>
      <c r="BS58" s="11">
        <f>ROUND(IFERROR(AN58/_xlfn.XLOOKUP(BS$7,'Product Tgt'!$B:$B,'Product Tgt'!$D:$D),0),0)</f>
        <v>0</v>
      </c>
      <c r="BT58" s="11">
        <f>ROUND(IFERROR(AO58/_xlfn.XLOOKUP(BT$7,'Product Tgt'!$B:$B,'Product Tgt'!$D:$D),0),0)</f>
        <v>0</v>
      </c>
      <c r="BU58" s="11">
        <f>ROUND(IFERROR(AP58/_xlfn.XLOOKUP(BU$7,'Product Tgt'!$B:$B,'Product Tgt'!$D:$D),0),0)</f>
        <v>0</v>
      </c>
      <c r="BV58" s="11">
        <f>ROUND(IFERROR(AQ58/_xlfn.XLOOKUP(BV$7,'Product Tgt'!$B:$B,'Product Tgt'!$D:$D),0),0)</f>
        <v>0</v>
      </c>
      <c r="BW58" s="11">
        <f>ROUND(IFERROR(AU58/_xlfn.XLOOKUP(BW$7,'Product Tgt'!$B:$B,'Product Tgt'!$D:$D),0),0)</f>
        <v>0</v>
      </c>
      <c r="BX58" s="11">
        <f>ROUND(IFERROR(#REF!/_xlfn.XLOOKUP(BX$7,'Product Tgt'!$B:$B,'Product Tgt'!$D:$D),0),0)</f>
        <v>0</v>
      </c>
      <c r="BY58" s="11">
        <f>ROUND(IFERROR(#REF!/_xlfn.XLOOKUP(BY$7,'Product Tgt'!$B:$B,'Product Tgt'!$D:$D),0),0)</f>
        <v>0</v>
      </c>
      <c r="BZ58" s="11">
        <f>ROUND(IFERROR(#REF!/_xlfn.XLOOKUP(BZ$7,'Product Tgt'!$B:$B,'Product Tgt'!$D:$D),0),0)</f>
        <v>0</v>
      </c>
      <c r="CA58" s="11">
        <f>ROUND(IFERROR(#REF!/_xlfn.XLOOKUP(CA$7,'Product Tgt'!$B:$B,'Product Tgt'!$D:$D),0),0)</f>
        <v>0</v>
      </c>
      <c r="CB58" s="11">
        <f>ROUND(IFERROR(AV58/_xlfn.XLOOKUP(CB$7,'Product Tgt'!$B:$B,'Product Tgt'!$D:$D),0),0)</f>
        <v>0</v>
      </c>
      <c r="CC58" s="11">
        <f>ROUND(IFERROR(AW58/_xlfn.XLOOKUP(CC$7,'Product Tgt'!$B:$B,'Product Tgt'!$D:$D),0),0)</f>
        <v>0</v>
      </c>
      <c r="CD58" s="11">
        <f>ROUND(IFERROR(AX58/_xlfn.XLOOKUP(CD$7,'Product Tgt'!$B:$B,'Product Tgt'!$D:$D),0),0)</f>
        <v>0</v>
      </c>
      <c r="CE58" s="11">
        <f>ROUND(IFERROR(AY58/_xlfn.XLOOKUP(CE$7,'Product Tgt'!$B:$B,'Product Tgt'!$D:$D),0),0)</f>
        <v>0</v>
      </c>
      <c r="CF58" s="11">
        <f>ROUND(IFERROR(AZ58/_xlfn.XLOOKUP(CF$7,'Product Tgt'!$B:$B,'Product Tgt'!$D:$D),0),0)</f>
        <v>0</v>
      </c>
      <c r="CG58" s="11">
        <f>ROUND(IFERROR(BA58/_xlfn.XLOOKUP(CG$7,'Product Tgt'!$B:$B,'Product Tgt'!$D:$D),0),0)</f>
        <v>0</v>
      </c>
      <c r="CH58" s="11">
        <f>ROUND(IFERROR(BB58/_xlfn.XLOOKUP(CH$7,'Product Tgt'!$B:$B,'Product Tgt'!$D:$D),0),0)</f>
        <v>0</v>
      </c>
      <c r="CI58" s="11">
        <f>ROUND(IFERROR(BC58/_xlfn.XLOOKUP(CI$7,'Product Tgt'!$B:$B,'Product Tgt'!$D:$D),0),0)</f>
        <v>0</v>
      </c>
      <c r="CJ58" s="11">
        <f>ROUND(IFERROR(BD58/_xlfn.XLOOKUP(CJ$7,'Product Tgt'!$B:$B,'Product Tgt'!$D:$D),0),0)</f>
        <v>0</v>
      </c>
      <c r="CK58" s="11">
        <f>ROUND(IFERROR(BE58/_xlfn.XLOOKUP(CK$7,'Product Tgt'!$B:$B,'Product Tgt'!$D:$D),0),0)</f>
        <v>0</v>
      </c>
      <c r="CL58" s="11">
        <f>ROUND(IFERROR(BF58/_xlfn.XLOOKUP(CL$7,'Product Tgt'!$B:$B,'Product Tgt'!$D:$D),0),0)</f>
        <v>0</v>
      </c>
      <c r="CM58" s="11">
        <f>ROUND(IFERROR(BG58/_xlfn.XLOOKUP(CM$7,'Product Tgt'!$B:$B,'Product Tgt'!$D:$D),0),0)</f>
        <v>0</v>
      </c>
      <c r="CN58" s="11">
        <f>ROUND(IFERROR(BH58/_xlfn.XLOOKUP(CN$7,'Product Tgt'!$B:$B,'Product Tgt'!$D:$D),0),0)</f>
        <v>0</v>
      </c>
      <c r="CO58" s="11">
        <f>ROUND(IFERROR(BI58/_xlfn.XLOOKUP(CO$7,'Product Tgt'!$B:$B,'Product Tgt'!$D:$D),0),0)</f>
        <v>0</v>
      </c>
      <c r="CP58" s="11">
        <f>ROUND(IFERROR(BJ58/_xlfn.XLOOKUP(CP$7,'Product Tgt'!$B:$B,'Product Tgt'!$D:$D),0),0)</f>
        <v>0</v>
      </c>
      <c r="CQ58" s="11">
        <f>ROUND(IFERROR(BK58/_xlfn.XLOOKUP(CQ$7,'Product Tgt'!$B:$B,'Product Tgt'!$D:$D),0),0)</f>
        <v>0</v>
      </c>
      <c r="CR58" s="11">
        <f>ROUND(IFERROR(BL58/_xlfn.XLOOKUP(CR$7,'Product Tgt'!$B:$B,'Product Tgt'!$D:$D),0),0)</f>
        <v>0</v>
      </c>
      <c r="CS58" s="11">
        <f>ROUND(IFERROR(BM58/_xlfn.XLOOKUP(CS$7,'Product Tgt'!$B:$B,'Product Tgt'!$D:$D),0),0)</f>
        <v>0</v>
      </c>
      <c r="CT58" s="11">
        <f>ROUND(IFERROR(BN58/_xlfn.XLOOKUP(CT$7,'Product Tgt'!$B:$B,'Product Tgt'!$D:$D),0),0)</f>
        <v>0</v>
      </c>
      <c r="CU58" s="11">
        <f>ROUND(IFERROR(BO58/_xlfn.XLOOKUP(CU$7,'Product Tgt'!$B:$B,'Product Tgt'!$D:$D),0),0)</f>
        <v>0</v>
      </c>
      <c r="CV58" s="11">
        <f>ROUND(IFERROR(BP58/_xlfn.XLOOKUP(CV$7,'Product Tgt'!$B:$B,'Product Tgt'!$D:$D),0),0)</f>
        <v>0</v>
      </c>
      <c r="CW58" s="11">
        <f>ROUND(IFERROR(BQ58/_xlfn.XLOOKUP(CW$7,'Product Tgt'!$B:$B,'Product Tgt'!$D:$D),0),0)</f>
        <v>0</v>
      </c>
      <c r="CX58" s="11">
        <f>ROUND(IFERROR(#REF!/_xlfn.XLOOKUP(CX$7,'Product Tgt'!$B:$B,'Product Tgt'!$D:$D),0),0)</f>
        <v>0</v>
      </c>
      <c r="CY58" s="11">
        <f>ROUND(IFERROR(#REF!/_xlfn.XLOOKUP(CY$7,'Product Tgt'!$B:$B,'Product Tgt'!$D:$D),0),0)</f>
        <v>0</v>
      </c>
      <c r="CZ58" s="11">
        <f>ROUND(IFERROR(#REF!/_xlfn.XLOOKUP(CZ$7,'Product Tgt'!$B:$B,'Product Tgt'!$D:$D),0),0)</f>
        <v>0</v>
      </c>
      <c r="DA58" s="10">
        <f>IFERROR(BR58*_xlfn.XLOOKUP(DA$7,'Product Tgt'!$B:$B,'Product Tgt'!$D:$D),0)</f>
        <v>0</v>
      </c>
      <c r="DB58">
        <f>IFERROR(BS58*_xlfn.XLOOKUP(DB$7,'Product Tgt'!$B:$B,'Product Tgt'!$D:$D),0)</f>
        <v>0</v>
      </c>
      <c r="DC58">
        <f>IFERROR(BT58*_xlfn.XLOOKUP(DC$7,'Product Tgt'!$B:$B,'Product Tgt'!$D:$D),0)</f>
        <v>0</v>
      </c>
      <c r="DD58">
        <f>IFERROR(BU58*_xlfn.XLOOKUP(DD$7,'Product Tgt'!$B:$B,'Product Tgt'!$D:$D),0)</f>
        <v>0</v>
      </c>
      <c r="DE58">
        <f>IFERROR(BV58*_xlfn.XLOOKUP(DE$7,'Product Tgt'!$B:$B,'Product Tgt'!$D:$D),0)</f>
        <v>0</v>
      </c>
      <c r="DF58">
        <f>IFERROR(BW58*_xlfn.XLOOKUP(DF$7,'Product Tgt'!$B:$B,'Product Tgt'!$D:$D),0)</f>
        <v>0</v>
      </c>
      <c r="DG58">
        <f>IFERROR(BX58*_xlfn.XLOOKUP(DG$7,'Product Tgt'!$B:$B,'Product Tgt'!$D:$D),0)</f>
        <v>0</v>
      </c>
      <c r="DH58">
        <f>IFERROR(BY58*_xlfn.XLOOKUP(DH$7,'Product Tgt'!$B:$B,'Product Tgt'!$D:$D),0)</f>
        <v>0</v>
      </c>
      <c r="DI58">
        <f>IFERROR(BZ58*_xlfn.XLOOKUP(DI$7,'Product Tgt'!$B:$B,'Product Tgt'!$D:$D),0)</f>
        <v>0</v>
      </c>
      <c r="DJ58">
        <f>IFERROR(CA58*_xlfn.XLOOKUP(DJ$7,'Product Tgt'!$B:$B,'Product Tgt'!$D:$D),0)</f>
        <v>0</v>
      </c>
      <c r="DK58">
        <f>IFERROR(CB58*_xlfn.XLOOKUP(DK$7,'Product Tgt'!$B:$B,'Product Tgt'!$D:$D),0)</f>
        <v>0</v>
      </c>
      <c r="DL58">
        <f>IFERROR(CC58*_xlfn.XLOOKUP(DL$7,'Product Tgt'!$B:$B,'Product Tgt'!$D:$D),0)</f>
        <v>0</v>
      </c>
      <c r="DM58">
        <f>IFERROR(CD58*_xlfn.XLOOKUP(DM$7,'Product Tgt'!$B:$B,'Product Tgt'!$D:$D),0)</f>
        <v>0</v>
      </c>
      <c r="DN58">
        <f>IFERROR(CE58*_xlfn.XLOOKUP(DN$7,'Product Tgt'!$B:$B,'Product Tgt'!$D:$D),0)</f>
        <v>0</v>
      </c>
      <c r="DO58">
        <f>IFERROR(CF58*_xlfn.XLOOKUP(DO$7,'Product Tgt'!$B:$B,'Product Tgt'!$D:$D),0)</f>
        <v>0</v>
      </c>
      <c r="DP58">
        <f>IFERROR(CG58*_xlfn.XLOOKUP(DP$7,'Product Tgt'!$B:$B,'Product Tgt'!$D:$D),0)</f>
        <v>0</v>
      </c>
      <c r="DQ58">
        <f>IFERROR(CH58*_xlfn.XLOOKUP(DQ$7,'Product Tgt'!$B:$B,'Product Tgt'!$D:$D),0)</f>
        <v>0</v>
      </c>
      <c r="DR58">
        <f>IFERROR(CI58*_xlfn.XLOOKUP(DR$7,'Product Tgt'!$B:$B,'Product Tgt'!$D:$D),0)</f>
        <v>0</v>
      </c>
      <c r="DS58">
        <f>IFERROR(CJ58*_xlfn.XLOOKUP(DS$7,'Product Tgt'!$B:$B,'Product Tgt'!$D:$D),0)</f>
        <v>0</v>
      </c>
      <c r="DT58">
        <f>IFERROR(CK58*_xlfn.XLOOKUP(DT$7,'Product Tgt'!$B:$B,'Product Tgt'!$D:$D),0)</f>
        <v>0</v>
      </c>
      <c r="DU58">
        <f>IFERROR(CL58*_xlfn.XLOOKUP(DU$7,'Product Tgt'!$B:$B,'Product Tgt'!$D:$D),0)</f>
        <v>0</v>
      </c>
      <c r="DV58">
        <f>IFERROR(CM58*_xlfn.XLOOKUP(DV$7,'Product Tgt'!$B:$B,'Product Tgt'!$D:$D),0)</f>
        <v>0</v>
      </c>
      <c r="DW58">
        <f>IFERROR(CN58*_xlfn.XLOOKUP(DW$7,'Product Tgt'!$B:$B,'Product Tgt'!$D:$D),0)</f>
        <v>0</v>
      </c>
      <c r="DX58">
        <f>IFERROR(CO58*_xlfn.XLOOKUP(DX$7,'Product Tgt'!$B:$B,'Product Tgt'!$D:$D),0)</f>
        <v>0</v>
      </c>
      <c r="DY58">
        <f>IFERROR(CP58*_xlfn.XLOOKUP(DY$7,'Product Tgt'!$B:$B,'Product Tgt'!$D:$D),0)</f>
        <v>0</v>
      </c>
      <c r="DZ58">
        <f>IFERROR(CQ58*_xlfn.XLOOKUP(DZ$7,'Product Tgt'!$B:$B,'Product Tgt'!$D:$D),0)</f>
        <v>0</v>
      </c>
      <c r="EA58">
        <f>IFERROR(CR58*_xlfn.XLOOKUP(EA$7,'Product Tgt'!$B:$B,'Product Tgt'!$D:$D),0)</f>
        <v>0</v>
      </c>
      <c r="EB58">
        <f>IFERROR(CS58*_xlfn.XLOOKUP(EB$7,'Product Tgt'!$B:$B,'Product Tgt'!$D:$D),0)</f>
        <v>0</v>
      </c>
      <c r="EC58">
        <f>IFERROR(CT58*_xlfn.XLOOKUP(EC$7,'Product Tgt'!$B:$B,'Product Tgt'!$D:$D),0)</f>
        <v>0</v>
      </c>
      <c r="ED58">
        <f>IFERROR(CU58*_xlfn.XLOOKUP(ED$7,'Product Tgt'!$B:$B,'Product Tgt'!$D:$D),0)</f>
        <v>0</v>
      </c>
      <c r="EE58">
        <f>IFERROR(CV58*_xlfn.XLOOKUP(EE$7,'Product Tgt'!$B:$B,'Product Tgt'!$D:$D),0)</f>
        <v>0</v>
      </c>
      <c r="EF58">
        <f>IFERROR(CW58*_xlfn.XLOOKUP(EF$7,'Product Tgt'!$B:$B,'Product Tgt'!$D:$D),0)</f>
        <v>0</v>
      </c>
      <c r="EG58">
        <f>IFERROR(CX58*_xlfn.XLOOKUP(EG$7,'Product Tgt'!$B:$B,'Product Tgt'!$D:$D),0)</f>
        <v>0</v>
      </c>
      <c r="EH58">
        <f>IFERROR(CY58*_xlfn.XLOOKUP(EH$7,'Product Tgt'!$B:$B,'Product Tgt'!$D:$D),0)</f>
        <v>0</v>
      </c>
      <c r="EI58">
        <f>IFERROR(CZ58*_xlfn.XLOOKUP(EI$7,'Product Tgt'!$B:$B,'Product Tgt'!$D:$D),0)</f>
        <v>0</v>
      </c>
    </row>
    <row r="59" spans="2:139" x14ac:dyDescent="0.35">
      <c r="B59" s="7" t="s">
        <v>194</v>
      </c>
      <c r="C59" s="3">
        <f>_xlfn.XLOOKUP($B59,'Terr Target'!$A:$A,'Terr Target'!$E:$E)</f>
        <v>656570.87862842763</v>
      </c>
      <c r="D59" s="3">
        <f t="shared" si="8"/>
        <v>656571</v>
      </c>
      <c r="E59" s="4">
        <f t="shared" si="9"/>
        <v>0.12137157237157226</v>
      </c>
      <c r="F59" s="9">
        <f t="shared" si="7"/>
        <v>1.8485673654726184E-7</v>
      </c>
      <c r="G59" s="5">
        <f t="shared" si="6"/>
        <v>0.99999981514326342</v>
      </c>
      <c r="H59" s="38">
        <v>53224.660370607737</v>
      </c>
      <c r="I59" s="11">
        <v>116281.86399939352</v>
      </c>
      <c r="J59" s="11">
        <v>64819.142857151615</v>
      </c>
      <c r="K59" s="11">
        <v>78399.710208242846</v>
      </c>
      <c r="L59" s="11">
        <v>51768.4743653775</v>
      </c>
      <c r="M59" s="11">
        <v>48045.791259730424</v>
      </c>
      <c r="N59" s="11">
        <v>655.53290874496588</v>
      </c>
      <c r="O59" s="11">
        <v>3983.2889379622238</v>
      </c>
      <c r="P59" s="11">
        <v>2608.1800803791753</v>
      </c>
      <c r="Q59" s="11">
        <v>1097.9292989990727</v>
      </c>
      <c r="R59" s="11">
        <v>15353.155398750554</v>
      </c>
      <c r="S59" s="11">
        <v>27650.199743156074</v>
      </c>
      <c r="T59" s="11">
        <v>2596.1601255187547</v>
      </c>
      <c r="U59" s="11">
        <v>4784.9528716172681</v>
      </c>
      <c r="V59" s="11">
        <v>23263.266509210807</v>
      </c>
      <c r="W59" s="11">
        <v>32430.919108606853</v>
      </c>
      <c r="X59" s="11">
        <v>3717.1084887800821</v>
      </c>
      <c r="Y59" s="11">
        <v>4389.6254636350677</v>
      </c>
      <c r="Z59" s="11">
        <v>532.47098954119031</v>
      </c>
      <c r="AA59" s="11">
        <v>12477.363683889453</v>
      </c>
      <c r="AB59" s="11">
        <v>4093.4401646015172</v>
      </c>
      <c r="AC59" s="11">
        <v>1598.3437394828707</v>
      </c>
      <c r="AD59" s="11">
        <v>7391.1012693680796</v>
      </c>
      <c r="AE59" s="11">
        <v>9952.232384052968</v>
      </c>
      <c r="AF59" s="11">
        <v>944.73242218936252</v>
      </c>
      <c r="AG59" s="11">
        <v>57575.643831148642</v>
      </c>
      <c r="AH59" s="11">
        <v>5200.2568240635819</v>
      </c>
      <c r="AI59" s="11">
        <v>28144.439069444303</v>
      </c>
      <c r="AJ59" s="11">
        <v>15922.166650735871</v>
      </c>
      <c r="AK59" s="11">
        <v>3321.0905088700138</v>
      </c>
      <c r="AL59" s="49">
        <v>6677.8505590577124</v>
      </c>
      <c r="AM59" s="41">
        <f>IFERROR(ROUND(_xlfn.XLOOKUP(AM$7,'Product Tgt'!$B:$B,'Product Tgt'!$G:$G)*H59/H$121,0),0)</f>
        <v>51743</v>
      </c>
      <c r="AN59" s="41">
        <f>IFERROR(ROUND(_xlfn.XLOOKUP(AN$7,'Product Tgt'!$B:$B,'Product Tgt'!$G:$G)*I59/I$121,0),0)</f>
        <v>114468</v>
      </c>
      <c r="AO59" s="41">
        <f>IFERROR(ROUND(_xlfn.XLOOKUP(AO$7,'Product Tgt'!$B:$B,'Product Tgt'!$G:$G)*J59/J$121,0),0)</f>
        <v>62803</v>
      </c>
      <c r="AP59" s="41">
        <f>IFERROR(ROUND(_xlfn.XLOOKUP(AP$7,'Product Tgt'!$B:$B,'Product Tgt'!$G:$G)*K59/K$121,0),0)</f>
        <v>76481</v>
      </c>
      <c r="AQ59" s="41">
        <f>IFERROR(ROUND(_xlfn.XLOOKUP(AQ$7,'Product Tgt'!$B:$B,'Product Tgt'!$G:$G)*L59/L$121,0),0)</f>
        <v>50057</v>
      </c>
      <c r="AR59" s="41">
        <f>IFERROR(ROUND(_xlfn.XLOOKUP(AR$7,'Product Tgt'!$B:$B,'Product Tgt'!$G:$G)*M59/M$121,0),0)</f>
        <v>46547</v>
      </c>
      <c r="AS59" s="41">
        <f>IFERROR(ROUND(_xlfn.XLOOKUP(AS$7,'Product Tgt'!$B:$B,'Product Tgt'!$G:$G)*N59/N$121,0),0)</f>
        <v>606</v>
      </c>
      <c r="AT59" s="41">
        <f>IFERROR(ROUND(_xlfn.XLOOKUP(AT$7,'Product Tgt'!$B:$B,'Product Tgt'!$G:$G)*O59/O$121,0),0)</f>
        <v>3585</v>
      </c>
      <c r="AU59" s="41">
        <f>IFERROR(ROUND(_xlfn.XLOOKUP(AU$7,'Product Tgt'!$B:$B,'Product Tgt'!$G:$G)*P59/P$121,0),0)</f>
        <v>1112</v>
      </c>
      <c r="AV59" s="41">
        <f>IFERROR(ROUND(_xlfn.XLOOKUP(AV$7,'Product Tgt'!$B:$B,'Product Tgt'!$G:$G)*Q59/Q$121,0),0)</f>
        <v>824</v>
      </c>
      <c r="AW59" s="41">
        <f>IFERROR(ROUND(_xlfn.XLOOKUP(AW$7,'Product Tgt'!$B:$B,'Product Tgt'!$G:$G)*R59/R$121,0),0)</f>
        <v>14786</v>
      </c>
      <c r="AX59" s="41">
        <f>IFERROR(ROUND(_xlfn.XLOOKUP(AX$7,'Product Tgt'!$B:$B,'Product Tgt'!$G:$G)*S59/S$121,0),0)</f>
        <v>26631</v>
      </c>
      <c r="AY59" s="41">
        <f>IFERROR(ROUND(_xlfn.XLOOKUP(AY$7,'Product Tgt'!$B:$B,'Product Tgt'!$G:$G)*T59/T$121,0),0)</f>
        <v>2606</v>
      </c>
      <c r="AZ59" s="41">
        <f>IFERROR(ROUND(_xlfn.XLOOKUP(AZ$7,'Product Tgt'!$B:$B,'Product Tgt'!$G:$G)*U59/U$121,0),0)</f>
        <v>4579</v>
      </c>
      <c r="BA59" s="41">
        <f>IFERROR(ROUND(_xlfn.XLOOKUP(BA$7,'Product Tgt'!$B:$B,'Product Tgt'!$G:$G)*V59/V$121,0),0)</f>
        <v>22398</v>
      </c>
      <c r="BB59" s="41">
        <f>IFERROR(ROUND(_xlfn.XLOOKUP(BB$7,'Product Tgt'!$B:$B,'Product Tgt'!$G:$G)*W59/W$121,0),0)</f>
        <v>31044</v>
      </c>
      <c r="BC59" s="41">
        <f>IFERROR(ROUND(_xlfn.XLOOKUP(BC$7,'Product Tgt'!$B:$B,'Product Tgt'!$G:$G)*X59/X$121,0),0)</f>
        <v>3597</v>
      </c>
      <c r="BD59" s="41">
        <f>IFERROR(ROUND(_xlfn.XLOOKUP(BD$7,'Product Tgt'!$B:$B,'Product Tgt'!$G:$G)*Y59/Y$121,0),0)</f>
        <v>4245</v>
      </c>
      <c r="BE59" s="41">
        <f>IFERROR(ROUND(_xlfn.XLOOKUP(BE$7,'Product Tgt'!$B:$B,'Product Tgt'!$G:$G)*Z59/Z$121,0),0)</f>
        <v>506</v>
      </c>
      <c r="BF59" s="41">
        <f>IFERROR(ROUND(_xlfn.XLOOKUP(BF$7,'Product Tgt'!$B:$B,'Product Tgt'!$G:$G)*AA59/AA$121,0),0)</f>
        <v>10112</v>
      </c>
      <c r="BG59" s="41">
        <f>IFERROR(ROUND(_xlfn.XLOOKUP(BG$7,'Product Tgt'!$B:$B,'Product Tgt'!$G:$G)*AB59/AB$121,0),0)</f>
        <v>3281</v>
      </c>
      <c r="BH59" s="41">
        <f>IFERROR(ROUND(_xlfn.XLOOKUP(BH$7,'Product Tgt'!$B:$B,'Product Tgt'!$G:$G)*AC59/AC$121,0),0)</f>
        <v>1368</v>
      </c>
      <c r="BI59" s="41">
        <f>IFERROR(ROUND(_xlfn.XLOOKUP(BI$7,'Product Tgt'!$B:$B,'Product Tgt'!$G:$G)*AD59/AD$121,0),0)</f>
        <v>6434</v>
      </c>
      <c r="BJ59" s="41">
        <f>IFERROR(ROUND(_xlfn.XLOOKUP(BJ$7,'Product Tgt'!$B:$B,'Product Tgt'!$G:$G)*AE59/AE$121,0),0)</f>
        <v>9263</v>
      </c>
      <c r="BK59" s="41">
        <f>IFERROR(ROUND(_xlfn.XLOOKUP(BK$7,'Product Tgt'!$B:$B,'Product Tgt'!$G:$G)*AF59/AF$121,0),0)</f>
        <v>1055</v>
      </c>
      <c r="BL59" s="41">
        <f>IFERROR(ROUND(_xlfn.XLOOKUP(BL$7,'Product Tgt'!$B:$B,'Product Tgt'!$G:$G)*AG59/AG$121,0),0)</f>
        <v>54995</v>
      </c>
      <c r="BM59" s="41">
        <f>IFERROR(ROUND(_xlfn.XLOOKUP(BM$7,'Product Tgt'!$B:$B,'Product Tgt'!$G:$G)*AH59/AH$121,0),0)</f>
        <v>4077</v>
      </c>
      <c r="BN59" s="41">
        <f>IFERROR(ROUND(_xlfn.XLOOKUP(BN$7,'Product Tgt'!$B:$B,'Product Tgt'!$G:$G)*AI59/AI$121,0),0)</f>
        <v>25847</v>
      </c>
      <c r="BO59" s="41">
        <f>IFERROR(ROUND(_xlfn.XLOOKUP(BO$7,'Product Tgt'!$B:$B,'Product Tgt'!$G:$G)*AJ59/AJ$121,0),0)</f>
        <v>13772</v>
      </c>
      <c r="BP59" s="41">
        <f>IFERROR(ROUND(_xlfn.XLOOKUP(BP$7,'Product Tgt'!$B:$B,'Product Tgt'!$G:$G)*AK59/AK$121,0),0)</f>
        <v>2529</v>
      </c>
      <c r="BQ59" s="41">
        <f>IFERROR(ROUND(_xlfn.XLOOKUP(BQ$7,'Product Tgt'!$B:$B,'Product Tgt'!$G:$G)*AL59/AL$121,0),0)</f>
        <v>5220</v>
      </c>
      <c r="BR59" s="25">
        <f>ROUND(IFERROR(AM59/_xlfn.XLOOKUP(BR$7,'Product Tgt'!$B:$B,'Product Tgt'!$D:$D),0),0)</f>
        <v>0</v>
      </c>
      <c r="BS59" s="11">
        <f>ROUND(IFERROR(AN59/_xlfn.XLOOKUP(BS$7,'Product Tgt'!$B:$B,'Product Tgt'!$D:$D),0),0)</f>
        <v>0</v>
      </c>
      <c r="BT59" s="11">
        <f>ROUND(IFERROR(AO59/_xlfn.XLOOKUP(BT$7,'Product Tgt'!$B:$B,'Product Tgt'!$D:$D),0),0)</f>
        <v>0</v>
      </c>
      <c r="BU59" s="11">
        <f>ROUND(IFERROR(AP59/_xlfn.XLOOKUP(BU$7,'Product Tgt'!$B:$B,'Product Tgt'!$D:$D),0),0)</f>
        <v>0</v>
      </c>
      <c r="BV59" s="11">
        <f>ROUND(IFERROR(AQ59/_xlfn.XLOOKUP(BV$7,'Product Tgt'!$B:$B,'Product Tgt'!$D:$D),0),0)</f>
        <v>0</v>
      </c>
      <c r="BW59" s="11">
        <f>ROUND(IFERROR(AU59/_xlfn.XLOOKUP(BW$7,'Product Tgt'!$B:$B,'Product Tgt'!$D:$D),0),0)</f>
        <v>0</v>
      </c>
      <c r="BX59" s="11">
        <f>ROUND(IFERROR(#REF!/_xlfn.XLOOKUP(BX$7,'Product Tgt'!$B:$B,'Product Tgt'!$D:$D),0),0)</f>
        <v>0</v>
      </c>
      <c r="BY59" s="11">
        <f>ROUND(IFERROR(#REF!/_xlfn.XLOOKUP(BY$7,'Product Tgt'!$B:$B,'Product Tgt'!$D:$D),0),0)</f>
        <v>0</v>
      </c>
      <c r="BZ59" s="11">
        <f>ROUND(IFERROR(#REF!/_xlfn.XLOOKUP(BZ$7,'Product Tgt'!$B:$B,'Product Tgt'!$D:$D),0),0)</f>
        <v>0</v>
      </c>
      <c r="CA59" s="11">
        <f>ROUND(IFERROR(#REF!/_xlfn.XLOOKUP(CA$7,'Product Tgt'!$B:$B,'Product Tgt'!$D:$D),0),0)</f>
        <v>0</v>
      </c>
      <c r="CB59" s="11">
        <f>ROUND(IFERROR(AV59/_xlfn.XLOOKUP(CB$7,'Product Tgt'!$B:$B,'Product Tgt'!$D:$D),0),0)</f>
        <v>0</v>
      </c>
      <c r="CC59" s="11">
        <f>ROUND(IFERROR(AW59/_xlfn.XLOOKUP(CC$7,'Product Tgt'!$B:$B,'Product Tgt'!$D:$D),0),0)</f>
        <v>0</v>
      </c>
      <c r="CD59" s="11">
        <f>ROUND(IFERROR(AX59/_xlfn.XLOOKUP(CD$7,'Product Tgt'!$B:$B,'Product Tgt'!$D:$D),0),0)</f>
        <v>0</v>
      </c>
      <c r="CE59" s="11">
        <f>ROUND(IFERROR(AY59/_xlfn.XLOOKUP(CE$7,'Product Tgt'!$B:$B,'Product Tgt'!$D:$D),0),0)</f>
        <v>0</v>
      </c>
      <c r="CF59" s="11">
        <f>ROUND(IFERROR(AZ59/_xlfn.XLOOKUP(CF$7,'Product Tgt'!$B:$B,'Product Tgt'!$D:$D),0),0)</f>
        <v>0</v>
      </c>
      <c r="CG59" s="11">
        <f>ROUND(IFERROR(BA59/_xlfn.XLOOKUP(CG$7,'Product Tgt'!$B:$B,'Product Tgt'!$D:$D),0),0)</f>
        <v>0</v>
      </c>
      <c r="CH59" s="11">
        <f>ROUND(IFERROR(BB59/_xlfn.XLOOKUP(CH$7,'Product Tgt'!$B:$B,'Product Tgt'!$D:$D),0),0)</f>
        <v>0</v>
      </c>
      <c r="CI59" s="11">
        <f>ROUND(IFERROR(BC59/_xlfn.XLOOKUP(CI$7,'Product Tgt'!$B:$B,'Product Tgt'!$D:$D),0),0)</f>
        <v>0</v>
      </c>
      <c r="CJ59" s="11">
        <f>ROUND(IFERROR(BD59/_xlfn.XLOOKUP(CJ$7,'Product Tgt'!$B:$B,'Product Tgt'!$D:$D),0),0)</f>
        <v>0</v>
      </c>
      <c r="CK59" s="11">
        <f>ROUND(IFERROR(BE59/_xlfn.XLOOKUP(CK$7,'Product Tgt'!$B:$B,'Product Tgt'!$D:$D),0),0)</f>
        <v>0</v>
      </c>
      <c r="CL59" s="11">
        <f>ROUND(IFERROR(BF59/_xlfn.XLOOKUP(CL$7,'Product Tgt'!$B:$B,'Product Tgt'!$D:$D),0),0)</f>
        <v>0</v>
      </c>
      <c r="CM59" s="11">
        <f>ROUND(IFERROR(BG59/_xlfn.XLOOKUP(CM$7,'Product Tgt'!$B:$B,'Product Tgt'!$D:$D),0),0)</f>
        <v>0</v>
      </c>
      <c r="CN59" s="11">
        <f>ROUND(IFERROR(BH59/_xlfn.XLOOKUP(CN$7,'Product Tgt'!$B:$B,'Product Tgt'!$D:$D),0),0)</f>
        <v>0</v>
      </c>
      <c r="CO59" s="11">
        <f>ROUND(IFERROR(BI59/_xlfn.XLOOKUP(CO$7,'Product Tgt'!$B:$B,'Product Tgt'!$D:$D),0),0)</f>
        <v>0</v>
      </c>
      <c r="CP59" s="11">
        <f>ROUND(IFERROR(BJ59/_xlfn.XLOOKUP(CP$7,'Product Tgt'!$B:$B,'Product Tgt'!$D:$D),0),0)</f>
        <v>0</v>
      </c>
      <c r="CQ59" s="11">
        <f>ROUND(IFERROR(BK59/_xlfn.XLOOKUP(CQ$7,'Product Tgt'!$B:$B,'Product Tgt'!$D:$D),0),0)</f>
        <v>0</v>
      </c>
      <c r="CR59" s="11">
        <f>ROUND(IFERROR(BL59/_xlfn.XLOOKUP(CR$7,'Product Tgt'!$B:$B,'Product Tgt'!$D:$D),0),0)</f>
        <v>0</v>
      </c>
      <c r="CS59" s="11">
        <f>ROUND(IFERROR(BM59/_xlfn.XLOOKUP(CS$7,'Product Tgt'!$B:$B,'Product Tgt'!$D:$D),0),0)</f>
        <v>0</v>
      </c>
      <c r="CT59" s="11">
        <f>ROUND(IFERROR(BN59/_xlfn.XLOOKUP(CT$7,'Product Tgt'!$B:$B,'Product Tgt'!$D:$D),0),0)</f>
        <v>0</v>
      </c>
      <c r="CU59" s="11">
        <f>ROUND(IFERROR(BO59/_xlfn.XLOOKUP(CU$7,'Product Tgt'!$B:$B,'Product Tgt'!$D:$D),0),0)</f>
        <v>0</v>
      </c>
      <c r="CV59" s="11">
        <f>ROUND(IFERROR(BP59/_xlfn.XLOOKUP(CV$7,'Product Tgt'!$B:$B,'Product Tgt'!$D:$D),0),0)</f>
        <v>0</v>
      </c>
      <c r="CW59" s="11">
        <f>ROUND(IFERROR(BQ59/_xlfn.XLOOKUP(CW$7,'Product Tgt'!$B:$B,'Product Tgt'!$D:$D),0),0)</f>
        <v>0</v>
      </c>
      <c r="CX59" s="11">
        <f>ROUND(IFERROR(#REF!/_xlfn.XLOOKUP(CX$7,'Product Tgt'!$B:$B,'Product Tgt'!$D:$D),0),0)</f>
        <v>0</v>
      </c>
      <c r="CY59" s="11">
        <f>ROUND(IFERROR(#REF!/_xlfn.XLOOKUP(CY$7,'Product Tgt'!$B:$B,'Product Tgt'!$D:$D),0),0)</f>
        <v>0</v>
      </c>
      <c r="CZ59" s="11">
        <f>ROUND(IFERROR(#REF!/_xlfn.XLOOKUP(CZ$7,'Product Tgt'!$B:$B,'Product Tgt'!$D:$D),0),0)</f>
        <v>0</v>
      </c>
      <c r="DA59" s="10">
        <f>IFERROR(BR59*_xlfn.XLOOKUP(DA$7,'Product Tgt'!$B:$B,'Product Tgt'!$D:$D),0)</f>
        <v>0</v>
      </c>
      <c r="DB59">
        <f>IFERROR(BS59*_xlfn.XLOOKUP(DB$7,'Product Tgt'!$B:$B,'Product Tgt'!$D:$D),0)</f>
        <v>0</v>
      </c>
      <c r="DC59">
        <f>IFERROR(BT59*_xlfn.XLOOKUP(DC$7,'Product Tgt'!$B:$B,'Product Tgt'!$D:$D),0)</f>
        <v>0</v>
      </c>
      <c r="DD59">
        <f>IFERROR(BU59*_xlfn.XLOOKUP(DD$7,'Product Tgt'!$B:$B,'Product Tgt'!$D:$D),0)</f>
        <v>0</v>
      </c>
      <c r="DE59">
        <f>IFERROR(BV59*_xlfn.XLOOKUP(DE$7,'Product Tgt'!$B:$B,'Product Tgt'!$D:$D),0)</f>
        <v>0</v>
      </c>
      <c r="DF59">
        <f>IFERROR(BW59*_xlfn.XLOOKUP(DF$7,'Product Tgt'!$B:$B,'Product Tgt'!$D:$D),0)</f>
        <v>0</v>
      </c>
      <c r="DG59">
        <f>IFERROR(BX59*_xlfn.XLOOKUP(DG$7,'Product Tgt'!$B:$B,'Product Tgt'!$D:$D),0)</f>
        <v>0</v>
      </c>
      <c r="DH59">
        <f>IFERROR(BY59*_xlfn.XLOOKUP(DH$7,'Product Tgt'!$B:$B,'Product Tgt'!$D:$D),0)</f>
        <v>0</v>
      </c>
      <c r="DI59">
        <f>IFERROR(BZ59*_xlfn.XLOOKUP(DI$7,'Product Tgt'!$B:$B,'Product Tgt'!$D:$D),0)</f>
        <v>0</v>
      </c>
      <c r="DJ59">
        <f>IFERROR(CA59*_xlfn.XLOOKUP(DJ$7,'Product Tgt'!$B:$B,'Product Tgt'!$D:$D),0)</f>
        <v>0</v>
      </c>
      <c r="DK59">
        <f>IFERROR(CB59*_xlfn.XLOOKUP(DK$7,'Product Tgt'!$B:$B,'Product Tgt'!$D:$D),0)</f>
        <v>0</v>
      </c>
      <c r="DL59">
        <f>IFERROR(CC59*_xlfn.XLOOKUP(DL$7,'Product Tgt'!$B:$B,'Product Tgt'!$D:$D),0)</f>
        <v>0</v>
      </c>
      <c r="DM59">
        <f>IFERROR(CD59*_xlfn.XLOOKUP(DM$7,'Product Tgt'!$B:$B,'Product Tgt'!$D:$D),0)</f>
        <v>0</v>
      </c>
      <c r="DN59">
        <f>IFERROR(CE59*_xlfn.XLOOKUP(DN$7,'Product Tgt'!$B:$B,'Product Tgt'!$D:$D),0)</f>
        <v>0</v>
      </c>
      <c r="DO59">
        <f>IFERROR(CF59*_xlfn.XLOOKUP(DO$7,'Product Tgt'!$B:$B,'Product Tgt'!$D:$D),0)</f>
        <v>0</v>
      </c>
      <c r="DP59">
        <f>IFERROR(CG59*_xlfn.XLOOKUP(DP$7,'Product Tgt'!$B:$B,'Product Tgt'!$D:$D),0)</f>
        <v>0</v>
      </c>
      <c r="DQ59">
        <f>IFERROR(CH59*_xlfn.XLOOKUP(DQ$7,'Product Tgt'!$B:$B,'Product Tgt'!$D:$D),0)</f>
        <v>0</v>
      </c>
      <c r="DR59">
        <f>IFERROR(CI59*_xlfn.XLOOKUP(DR$7,'Product Tgt'!$B:$B,'Product Tgt'!$D:$D),0)</f>
        <v>0</v>
      </c>
      <c r="DS59">
        <f>IFERROR(CJ59*_xlfn.XLOOKUP(DS$7,'Product Tgt'!$B:$B,'Product Tgt'!$D:$D),0)</f>
        <v>0</v>
      </c>
      <c r="DT59">
        <f>IFERROR(CK59*_xlfn.XLOOKUP(DT$7,'Product Tgt'!$B:$B,'Product Tgt'!$D:$D),0)</f>
        <v>0</v>
      </c>
      <c r="DU59">
        <f>IFERROR(CL59*_xlfn.XLOOKUP(DU$7,'Product Tgt'!$B:$B,'Product Tgt'!$D:$D),0)</f>
        <v>0</v>
      </c>
      <c r="DV59">
        <f>IFERROR(CM59*_xlfn.XLOOKUP(DV$7,'Product Tgt'!$B:$B,'Product Tgt'!$D:$D),0)</f>
        <v>0</v>
      </c>
      <c r="DW59">
        <f>IFERROR(CN59*_xlfn.XLOOKUP(DW$7,'Product Tgt'!$B:$B,'Product Tgt'!$D:$D),0)</f>
        <v>0</v>
      </c>
      <c r="DX59">
        <f>IFERROR(CO59*_xlfn.XLOOKUP(DX$7,'Product Tgt'!$B:$B,'Product Tgt'!$D:$D),0)</f>
        <v>0</v>
      </c>
      <c r="DY59">
        <f>IFERROR(CP59*_xlfn.XLOOKUP(DY$7,'Product Tgt'!$B:$B,'Product Tgt'!$D:$D),0)</f>
        <v>0</v>
      </c>
      <c r="DZ59">
        <f>IFERROR(CQ59*_xlfn.XLOOKUP(DZ$7,'Product Tgt'!$B:$B,'Product Tgt'!$D:$D),0)</f>
        <v>0</v>
      </c>
      <c r="EA59">
        <f>IFERROR(CR59*_xlfn.XLOOKUP(EA$7,'Product Tgt'!$B:$B,'Product Tgt'!$D:$D),0)</f>
        <v>0</v>
      </c>
      <c r="EB59">
        <f>IFERROR(CS59*_xlfn.XLOOKUP(EB$7,'Product Tgt'!$B:$B,'Product Tgt'!$D:$D),0)</f>
        <v>0</v>
      </c>
      <c r="EC59">
        <f>IFERROR(CT59*_xlfn.XLOOKUP(EC$7,'Product Tgt'!$B:$B,'Product Tgt'!$D:$D),0)</f>
        <v>0</v>
      </c>
      <c r="ED59">
        <f>IFERROR(CU59*_xlfn.XLOOKUP(ED$7,'Product Tgt'!$B:$B,'Product Tgt'!$D:$D),0)</f>
        <v>0</v>
      </c>
      <c r="EE59">
        <f>IFERROR(CV59*_xlfn.XLOOKUP(EE$7,'Product Tgt'!$B:$B,'Product Tgt'!$D:$D),0)</f>
        <v>0</v>
      </c>
      <c r="EF59">
        <f>IFERROR(CW59*_xlfn.XLOOKUP(EF$7,'Product Tgt'!$B:$B,'Product Tgt'!$D:$D),0)</f>
        <v>0</v>
      </c>
      <c r="EG59">
        <f>IFERROR(CX59*_xlfn.XLOOKUP(EG$7,'Product Tgt'!$B:$B,'Product Tgt'!$D:$D),0)</f>
        <v>0</v>
      </c>
      <c r="EH59">
        <f>IFERROR(CY59*_xlfn.XLOOKUP(EH$7,'Product Tgt'!$B:$B,'Product Tgt'!$D:$D),0)</f>
        <v>0</v>
      </c>
      <c r="EI59">
        <f>IFERROR(CZ59*_xlfn.XLOOKUP(EI$7,'Product Tgt'!$B:$B,'Product Tgt'!$D:$D),0)</f>
        <v>0</v>
      </c>
    </row>
    <row r="60" spans="2:139" x14ac:dyDescent="0.35">
      <c r="B60" s="7" t="s">
        <v>195</v>
      </c>
      <c r="C60" s="3">
        <f>_xlfn.XLOOKUP($B60,'Terr Target'!$A:$A,'Terr Target'!$E:$E)</f>
        <v>545552.64673988847</v>
      </c>
      <c r="D60" s="3">
        <f t="shared" si="8"/>
        <v>545548</v>
      </c>
      <c r="E60" s="4">
        <f t="shared" si="9"/>
        <v>-4.6467398884706199</v>
      </c>
      <c r="F60" s="9">
        <f t="shared" si="7"/>
        <v>8.517563786267422E-6</v>
      </c>
      <c r="G60" s="5">
        <f t="shared" si="6"/>
        <v>1.0000085175637863</v>
      </c>
      <c r="H60" s="38">
        <v>48758.705732712093</v>
      </c>
      <c r="I60" s="11">
        <v>100164.91624182196</v>
      </c>
      <c r="J60" s="11">
        <v>53283.136596932251</v>
      </c>
      <c r="K60" s="11">
        <v>63574.608350599403</v>
      </c>
      <c r="L60" s="11">
        <v>39374.065338703433</v>
      </c>
      <c r="M60" s="11">
        <v>29418.103468393805</v>
      </c>
      <c r="N60" s="11">
        <v>425.06413403800877</v>
      </c>
      <c r="O60" s="11">
        <v>2904.8289011020611</v>
      </c>
      <c r="P60" s="11">
        <v>1316.0672079492931</v>
      </c>
      <c r="Q60" s="11">
        <v>1180.6706579820586</v>
      </c>
      <c r="R60" s="11">
        <v>20139.2736713708</v>
      </c>
      <c r="S60" s="11">
        <v>31475.621337184919</v>
      </c>
      <c r="T60" s="11">
        <v>2188.0862938606133</v>
      </c>
      <c r="U60" s="11">
        <v>4170.1062261065099</v>
      </c>
      <c r="V60" s="11">
        <v>41712.012647431104</v>
      </c>
      <c r="W60" s="11">
        <v>36932.726472887342</v>
      </c>
      <c r="X60" s="11">
        <v>2878.976034381606</v>
      </c>
      <c r="Y60" s="11">
        <v>2949.6358911323919</v>
      </c>
      <c r="Z60" s="11">
        <v>343.47380071461663</v>
      </c>
      <c r="AA60" s="11">
        <v>9506.9462548201718</v>
      </c>
      <c r="AB60" s="11">
        <v>2935.7289004475729</v>
      </c>
      <c r="AC60" s="11">
        <v>1348.9183670472917</v>
      </c>
      <c r="AD60" s="11">
        <v>6708.5849738857123</v>
      </c>
      <c r="AE60" s="11">
        <v>10036.526849273294</v>
      </c>
      <c r="AF60" s="11">
        <v>797.35736068859671</v>
      </c>
      <c r="AG60" s="11">
        <v>29129.968938414273</v>
      </c>
      <c r="AH60" s="11">
        <v>2319.451110665821</v>
      </c>
      <c r="AI60" s="11">
        <v>12507.381983794103</v>
      </c>
      <c r="AJ60" s="11">
        <v>7263.0627649764419</v>
      </c>
      <c r="AK60" s="11">
        <v>1154.8974304351746</v>
      </c>
      <c r="AL60" s="49">
        <v>2463.5880599324628</v>
      </c>
      <c r="AM60" s="41">
        <f>IFERROR(ROUND(_xlfn.XLOOKUP(AM$7,'Product Tgt'!$B:$B,'Product Tgt'!$G:$G)*H60/H$121,0),0)</f>
        <v>47401</v>
      </c>
      <c r="AN60" s="41">
        <f>IFERROR(ROUND(_xlfn.XLOOKUP(AN$7,'Product Tgt'!$B:$B,'Product Tgt'!$G:$G)*I60/I$121,0),0)</f>
        <v>98602</v>
      </c>
      <c r="AO60" s="41">
        <f>IFERROR(ROUND(_xlfn.XLOOKUP(AO$7,'Product Tgt'!$B:$B,'Product Tgt'!$G:$G)*J60/J$121,0),0)</f>
        <v>51626</v>
      </c>
      <c r="AP60" s="41">
        <f>IFERROR(ROUND(_xlfn.XLOOKUP(AP$7,'Product Tgt'!$B:$B,'Product Tgt'!$G:$G)*K60/K$121,0),0)</f>
        <v>62019</v>
      </c>
      <c r="AQ60" s="41">
        <f>IFERROR(ROUND(_xlfn.XLOOKUP(AQ$7,'Product Tgt'!$B:$B,'Product Tgt'!$G:$G)*L60/L$121,0),0)</f>
        <v>38072</v>
      </c>
      <c r="AR60" s="41">
        <f>IFERROR(ROUND(_xlfn.XLOOKUP(AR$7,'Product Tgt'!$B:$B,'Product Tgt'!$G:$G)*M60/M$121,0),0)</f>
        <v>28500</v>
      </c>
      <c r="AS60" s="41">
        <f>IFERROR(ROUND(_xlfn.XLOOKUP(AS$7,'Product Tgt'!$B:$B,'Product Tgt'!$G:$G)*N60/N$121,0),0)</f>
        <v>393</v>
      </c>
      <c r="AT60" s="41">
        <f>IFERROR(ROUND(_xlfn.XLOOKUP(AT$7,'Product Tgt'!$B:$B,'Product Tgt'!$G:$G)*O60/O$121,0),0)</f>
        <v>2615</v>
      </c>
      <c r="AU60" s="41">
        <f>IFERROR(ROUND(_xlfn.XLOOKUP(AU$7,'Product Tgt'!$B:$B,'Product Tgt'!$G:$G)*P60/P$121,0),0)</f>
        <v>561</v>
      </c>
      <c r="AV60" s="41">
        <f>IFERROR(ROUND(_xlfn.XLOOKUP(AV$7,'Product Tgt'!$B:$B,'Product Tgt'!$G:$G)*Q60/Q$121,0),0)</f>
        <v>886</v>
      </c>
      <c r="AW60" s="41">
        <f>IFERROR(ROUND(_xlfn.XLOOKUP(AW$7,'Product Tgt'!$B:$B,'Product Tgt'!$G:$G)*R60/R$121,0),0)</f>
        <v>19395</v>
      </c>
      <c r="AX60" s="41">
        <f>IFERROR(ROUND(_xlfn.XLOOKUP(AX$7,'Product Tgt'!$B:$B,'Product Tgt'!$G:$G)*S60/S$121,0),0)</f>
        <v>30315</v>
      </c>
      <c r="AY60" s="41">
        <f>IFERROR(ROUND(_xlfn.XLOOKUP(AY$7,'Product Tgt'!$B:$B,'Product Tgt'!$G:$G)*T60/T$121,0),0)</f>
        <v>2196</v>
      </c>
      <c r="AZ60" s="41">
        <f>IFERROR(ROUND(_xlfn.XLOOKUP(AZ$7,'Product Tgt'!$B:$B,'Product Tgt'!$G:$G)*U60/U$121,0),0)</f>
        <v>3991</v>
      </c>
      <c r="BA60" s="41">
        <f>IFERROR(ROUND(_xlfn.XLOOKUP(BA$7,'Product Tgt'!$B:$B,'Product Tgt'!$G:$G)*V60/V$121,0),0)</f>
        <v>40161</v>
      </c>
      <c r="BB60" s="41">
        <f>IFERROR(ROUND(_xlfn.XLOOKUP(BB$7,'Product Tgt'!$B:$B,'Product Tgt'!$G:$G)*W60/W$121,0),0)</f>
        <v>35353</v>
      </c>
      <c r="BC60" s="41">
        <f>IFERROR(ROUND(_xlfn.XLOOKUP(BC$7,'Product Tgt'!$B:$B,'Product Tgt'!$G:$G)*X60/X$121,0),0)</f>
        <v>2786</v>
      </c>
      <c r="BD60" s="41">
        <f>IFERROR(ROUND(_xlfn.XLOOKUP(BD$7,'Product Tgt'!$B:$B,'Product Tgt'!$G:$G)*Y60/Y$121,0),0)</f>
        <v>2852</v>
      </c>
      <c r="BE60" s="41">
        <f>IFERROR(ROUND(_xlfn.XLOOKUP(BE$7,'Product Tgt'!$B:$B,'Product Tgt'!$G:$G)*Z60/Z$121,0),0)</f>
        <v>326</v>
      </c>
      <c r="BF60" s="41">
        <f>IFERROR(ROUND(_xlfn.XLOOKUP(BF$7,'Product Tgt'!$B:$B,'Product Tgt'!$G:$G)*AA60/AA$121,0),0)</f>
        <v>7704</v>
      </c>
      <c r="BG60" s="41">
        <f>IFERROR(ROUND(_xlfn.XLOOKUP(BG$7,'Product Tgt'!$B:$B,'Product Tgt'!$G:$G)*AB60/AB$121,0),0)</f>
        <v>2353</v>
      </c>
      <c r="BH60" s="41">
        <f>IFERROR(ROUND(_xlfn.XLOOKUP(BH$7,'Product Tgt'!$B:$B,'Product Tgt'!$G:$G)*AC60/AC$121,0),0)</f>
        <v>1154</v>
      </c>
      <c r="BI60" s="41">
        <f>IFERROR(ROUND(_xlfn.XLOOKUP(BI$7,'Product Tgt'!$B:$B,'Product Tgt'!$G:$G)*AD60/AD$121,0),0)</f>
        <v>5840</v>
      </c>
      <c r="BJ60" s="41">
        <f>IFERROR(ROUND(_xlfn.XLOOKUP(BJ$7,'Product Tgt'!$B:$B,'Product Tgt'!$G:$G)*AE60/AE$121,0),0)</f>
        <v>9341</v>
      </c>
      <c r="BK60" s="41">
        <f>IFERROR(ROUND(_xlfn.XLOOKUP(BK$7,'Product Tgt'!$B:$B,'Product Tgt'!$G:$G)*AF60/AF$121,0),0)</f>
        <v>891</v>
      </c>
      <c r="BL60" s="41">
        <f>IFERROR(ROUND(_xlfn.XLOOKUP(BL$7,'Product Tgt'!$B:$B,'Product Tgt'!$G:$G)*AG60/AG$121,0),0)</f>
        <v>27824</v>
      </c>
      <c r="BM60" s="41">
        <f>IFERROR(ROUND(_xlfn.XLOOKUP(BM$7,'Product Tgt'!$B:$B,'Product Tgt'!$G:$G)*AH60/AH$121,0),0)</f>
        <v>1818</v>
      </c>
      <c r="BN60" s="41">
        <f>IFERROR(ROUND(_xlfn.XLOOKUP(BN$7,'Product Tgt'!$B:$B,'Product Tgt'!$G:$G)*AI60/AI$121,0),0)</f>
        <v>11486</v>
      </c>
      <c r="BO60" s="41">
        <f>IFERROR(ROUND(_xlfn.XLOOKUP(BO$7,'Product Tgt'!$B:$B,'Product Tgt'!$G:$G)*AJ60/AJ$121,0),0)</f>
        <v>6282</v>
      </c>
      <c r="BP60" s="41">
        <f>IFERROR(ROUND(_xlfn.XLOOKUP(BP$7,'Product Tgt'!$B:$B,'Product Tgt'!$G:$G)*AK60/AK$121,0),0)</f>
        <v>879</v>
      </c>
      <c r="BQ60" s="41">
        <f>IFERROR(ROUND(_xlfn.XLOOKUP(BQ$7,'Product Tgt'!$B:$B,'Product Tgt'!$G:$G)*AL60/AL$121,0),0)</f>
        <v>1926</v>
      </c>
      <c r="BR60" s="25">
        <f>ROUND(IFERROR(AM60/_xlfn.XLOOKUP(BR$7,'Product Tgt'!$B:$B,'Product Tgt'!$D:$D),0),0)</f>
        <v>0</v>
      </c>
      <c r="BS60" s="11">
        <f>ROUND(IFERROR(AN60/_xlfn.XLOOKUP(BS$7,'Product Tgt'!$B:$B,'Product Tgt'!$D:$D),0),0)</f>
        <v>0</v>
      </c>
      <c r="BT60" s="11">
        <f>ROUND(IFERROR(AO60/_xlfn.XLOOKUP(BT$7,'Product Tgt'!$B:$B,'Product Tgt'!$D:$D),0),0)</f>
        <v>0</v>
      </c>
      <c r="BU60" s="11">
        <f>ROUND(IFERROR(AP60/_xlfn.XLOOKUP(BU$7,'Product Tgt'!$B:$B,'Product Tgt'!$D:$D),0),0)</f>
        <v>0</v>
      </c>
      <c r="BV60" s="11">
        <f>ROUND(IFERROR(AQ60/_xlfn.XLOOKUP(BV$7,'Product Tgt'!$B:$B,'Product Tgt'!$D:$D),0),0)</f>
        <v>0</v>
      </c>
      <c r="BW60" s="11">
        <f>ROUND(IFERROR(AU60/_xlfn.XLOOKUP(BW$7,'Product Tgt'!$B:$B,'Product Tgt'!$D:$D),0),0)</f>
        <v>0</v>
      </c>
      <c r="BX60" s="11">
        <f>ROUND(IFERROR(#REF!/_xlfn.XLOOKUP(BX$7,'Product Tgt'!$B:$B,'Product Tgt'!$D:$D),0),0)</f>
        <v>0</v>
      </c>
      <c r="BY60" s="11">
        <f>ROUND(IFERROR(#REF!/_xlfn.XLOOKUP(BY$7,'Product Tgt'!$B:$B,'Product Tgt'!$D:$D),0),0)</f>
        <v>0</v>
      </c>
      <c r="BZ60" s="11">
        <f>ROUND(IFERROR(#REF!/_xlfn.XLOOKUP(BZ$7,'Product Tgt'!$B:$B,'Product Tgt'!$D:$D),0),0)</f>
        <v>0</v>
      </c>
      <c r="CA60" s="11">
        <f>ROUND(IFERROR(#REF!/_xlfn.XLOOKUP(CA$7,'Product Tgt'!$B:$B,'Product Tgt'!$D:$D),0),0)</f>
        <v>0</v>
      </c>
      <c r="CB60" s="11">
        <f>ROUND(IFERROR(AV60/_xlfn.XLOOKUP(CB$7,'Product Tgt'!$B:$B,'Product Tgt'!$D:$D),0),0)</f>
        <v>0</v>
      </c>
      <c r="CC60" s="11">
        <f>ROUND(IFERROR(AW60/_xlfn.XLOOKUP(CC$7,'Product Tgt'!$B:$B,'Product Tgt'!$D:$D),0),0)</f>
        <v>0</v>
      </c>
      <c r="CD60" s="11">
        <f>ROUND(IFERROR(AX60/_xlfn.XLOOKUP(CD$7,'Product Tgt'!$B:$B,'Product Tgt'!$D:$D),0),0)</f>
        <v>0</v>
      </c>
      <c r="CE60" s="11">
        <f>ROUND(IFERROR(AY60/_xlfn.XLOOKUP(CE$7,'Product Tgt'!$B:$B,'Product Tgt'!$D:$D),0),0)</f>
        <v>0</v>
      </c>
      <c r="CF60" s="11">
        <f>ROUND(IFERROR(AZ60/_xlfn.XLOOKUP(CF$7,'Product Tgt'!$B:$B,'Product Tgt'!$D:$D),0),0)</f>
        <v>0</v>
      </c>
      <c r="CG60" s="11">
        <f>ROUND(IFERROR(BA60/_xlfn.XLOOKUP(CG$7,'Product Tgt'!$B:$B,'Product Tgt'!$D:$D),0),0)</f>
        <v>0</v>
      </c>
      <c r="CH60" s="11">
        <f>ROUND(IFERROR(BB60/_xlfn.XLOOKUP(CH$7,'Product Tgt'!$B:$B,'Product Tgt'!$D:$D),0),0)</f>
        <v>0</v>
      </c>
      <c r="CI60" s="11">
        <f>ROUND(IFERROR(BC60/_xlfn.XLOOKUP(CI$7,'Product Tgt'!$B:$B,'Product Tgt'!$D:$D),0),0)</f>
        <v>0</v>
      </c>
      <c r="CJ60" s="11">
        <f>ROUND(IFERROR(BD60/_xlfn.XLOOKUP(CJ$7,'Product Tgt'!$B:$B,'Product Tgt'!$D:$D),0),0)</f>
        <v>0</v>
      </c>
      <c r="CK60" s="11">
        <f>ROUND(IFERROR(BE60/_xlfn.XLOOKUP(CK$7,'Product Tgt'!$B:$B,'Product Tgt'!$D:$D),0),0)</f>
        <v>0</v>
      </c>
      <c r="CL60" s="11">
        <f>ROUND(IFERROR(BF60/_xlfn.XLOOKUP(CL$7,'Product Tgt'!$B:$B,'Product Tgt'!$D:$D),0),0)</f>
        <v>0</v>
      </c>
      <c r="CM60" s="11">
        <f>ROUND(IFERROR(BG60/_xlfn.XLOOKUP(CM$7,'Product Tgt'!$B:$B,'Product Tgt'!$D:$D),0),0)</f>
        <v>0</v>
      </c>
      <c r="CN60" s="11">
        <f>ROUND(IFERROR(BH60/_xlfn.XLOOKUP(CN$7,'Product Tgt'!$B:$B,'Product Tgt'!$D:$D),0),0)</f>
        <v>0</v>
      </c>
      <c r="CO60" s="11">
        <f>ROUND(IFERROR(BI60/_xlfn.XLOOKUP(CO$7,'Product Tgt'!$B:$B,'Product Tgt'!$D:$D),0),0)</f>
        <v>0</v>
      </c>
      <c r="CP60" s="11">
        <f>ROUND(IFERROR(BJ60/_xlfn.XLOOKUP(CP$7,'Product Tgt'!$B:$B,'Product Tgt'!$D:$D),0),0)</f>
        <v>0</v>
      </c>
      <c r="CQ60" s="11">
        <f>ROUND(IFERROR(BK60/_xlfn.XLOOKUP(CQ$7,'Product Tgt'!$B:$B,'Product Tgt'!$D:$D),0),0)</f>
        <v>0</v>
      </c>
      <c r="CR60" s="11">
        <f>ROUND(IFERROR(BL60/_xlfn.XLOOKUP(CR$7,'Product Tgt'!$B:$B,'Product Tgt'!$D:$D),0),0)</f>
        <v>0</v>
      </c>
      <c r="CS60" s="11">
        <f>ROUND(IFERROR(BM60/_xlfn.XLOOKUP(CS$7,'Product Tgt'!$B:$B,'Product Tgt'!$D:$D),0),0)</f>
        <v>0</v>
      </c>
      <c r="CT60" s="11">
        <f>ROUND(IFERROR(BN60/_xlfn.XLOOKUP(CT$7,'Product Tgt'!$B:$B,'Product Tgt'!$D:$D),0),0)</f>
        <v>0</v>
      </c>
      <c r="CU60" s="11">
        <f>ROUND(IFERROR(BO60/_xlfn.XLOOKUP(CU$7,'Product Tgt'!$B:$B,'Product Tgt'!$D:$D),0),0)</f>
        <v>0</v>
      </c>
      <c r="CV60" s="11">
        <f>ROUND(IFERROR(BP60/_xlfn.XLOOKUP(CV$7,'Product Tgt'!$B:$B,'Product Tgt'!$D:$D),0),0)</f>
        <v>0</v>
      </c>
      <c r="CW60" s="11">
        <f>ROUND(IFERROR(BQ60/_xlfn.XLOOKUP(CW$7,'Product Tgt'!$B:$B,'Product Tgt'!$D:$D),0),0)</f>
        <v>0</v>
      </c>
      <c r="CX60" s="11">
        <f>ROUND(IFERROR(#REF!/_xlfn.XLOOKUP(CX$7,'Product Tgt'!$B:$B,'Product Tgt'!$D:$D),0),0)</f>
        <v>0</v>
      </c>
      <c r="CY60" s="11">
        <f>ROUND(IFERROR(#REF!/_xlfn.XLOOKUP(CY$7,'Product Tgt'!$B:$B,'Product Tgt'!$D:$D),0),0)</f>
        <v>0</v>
      </c>
      <c r="CZ60" s="11">
        <f>ROUND(IFERROR(#REF!/_xlfn.XLOOKUP(CZ$7,'Product Tgt'!$B:$B,'Product Tgt'!$D:$D),0),0)</f>
        <v>0</v>
      </c>
      <c r="DA60" s="10">
        <f>IFERROR(BR60*_xlfn.XLOOKUP(DA$7,'Product Tgt'!$B:$B,'Product Tgt'!$D:$D),0)</f>
        <v>0</v>
      </c>
      <c r="DB60">
        <f>IFERROR(BS60*_xlfn.XLOOKUP(DB$7,'Product Tgt'!$B:$B,'Product Tgt'!$D:$D),0)</f>
        <v>0</v>
      </c>
      <c r="DC60">
        <f>IFERROR(BT60*_xlfn.XLOOKUP(DC$7,'Product Tgt'!$B:$B,'Product Tgt'!$D:$D),0)</f>
        <v>0</v>
      </c>
      <c r="DD60">
        <f>IFERROR(BU60*_xlfn.XLOOKUP(DD$7,'Product Tgt'!$B:$B,'Product Tgt'!$D:$D),0)</f>
        <v>0</v>
      </c>
      <c r="DE60">
        <f>IFERROR(BV60*_xlfn.XLOOKUP(DE$7,'Product Tgt'!$B:$B,'Product Tgt'!$D:$D),0)</f>
        <v>0</v>
      </c>
      <c r="DF60">
        <f>IFERROR(BW60*_xlfn.XLOOKUP(DF$7,'Product Tgt'!$B:$B,'Product Tgt'!$D:$D),0)</f>
        <v>0</v>
      </c>
      <c r="DG60">
        <f>IFERROR(BX60*_xlfn.XLOOKUP(DG$7,'Product Tgt'!$B:$B,'Product Tgt'!$D:$D),0)</f>
        <v>0</v>
      </c>
      <c r="DH60">
        <f>IFERROR(BY60*_xlfn.XLOOKUP(DH$7,'Product Tgt'!$B:$B,'Product Tgt'!$D:$D),0)</f>
        <v>0</v>
      </c>
      <c r="DI60">
        <f>IFERROR(BZ60*_xlfn.XLOOKUP(DI$7,'Product Tgt'!$B:$B,'Product Tgt'!$D:$D),0)</f>
        <v>0</v>
      </c>
      <c r="DJ60">
        <f>IFERROR(CA60*_xlfn.XLOOKUP(DJ$7,'Product Tgt'!$B:$B,'Product Tgt'!$D:$D),0)</f>
        <v>0</v>
      </c>
      <c r="DK60">
        <f>IFERROR(CB60*_xlfn.XLOOKUP(DK$7,'Product Tgt'!$B:$B,'Product Tgt'!$D:$D),0)</f>
        <v>0</v>
      </c>
      <c r="DL60">
        <f>IFERROR(CC60*_xlfn.XLOOKUP(DL$7,'Product Tgt'!$B:$B,'Product Tgt'!$D:$D),0)</f>
        <v>0</v>
      </c>
      <c r="DM60">
        <f>IFERROR(CD60*_xlfn.XLOOKUP(DM$7,'Product Tgt'!$B:$B,'Product Tgt'!$D:$D),0)</f>
        <v>0</v>
      </c>
      <c r="DN60">
        <f>IFERROR(CE60*_xlfn.XLOOKUP(DN$7,'Product Tgt'!$B:$B,'Product Tgt'!$D:$D),0)</f>
        <v>0</v>
      </c>
      <c r="DO60">
        <f>IFERROR(CF60*_xlfn.XLOOKUP(DO$7,'Product Tgt'!$B:$B,'Product Tgt'!$D:$D),0)</f>
        <v>0</v>
      </c>
      <c r="DP60">
        <f>IFERROR(CG60*_xlfn.XLOOKUP(DP$7,'Product Tgt'!$B:$B,'Product Tgt'!$D:$D),0)</f>
        <v>0</v>
      </c>
      <c r="DQ60">
        <f>IFERROR(CH60*_xlfn.XLOOKUP(DQ$7,'Product Tgt'!$B:$B,'Product Tgt'!$D:$D),0)</f>
        <v>0</v>
      </c>
      <c r="DR60">
        <f>IFERROR(CI60*_xlfn.XLOOKUP(DR$7,'Product Tgt'!$B:$B,'Product Tgt'!$D:$D),0)</f>
        <v>0</v>
      </c>
      <c r="DS60">
        <f>IFERROR(CJ60*_xlfn.XLOOKUP(DS$7,'Product Tgt'!$B:$B,'Product Tgt'!$D:$D),0)</f>
        <v>0</v>
      </c>
      <c r="DT60">
        <f>IFERROR(CK60*_xlfn.XLOOKUP(DT$7,'Product Tgt'!$B:$B,'Product Tgt'!$D:$D),0)</f>
        <v>0</v>
      </c>
      <c r="DU60">
        <f>IFERROR(CL60*_xlfn.XLOOKUP(DU$7,'Product Tgt'!$B:$B,'Product Tgt'!$D:$D),0)</f>
        <v>0</v>
      </c>
      <c r="DV60">
        <f>IFERROR(CM60*_xlfn.XLOOKUP(DV$7,'Product Tgt'!$B:$B,'Product Tgt'!$D:$D),0)</f>
        <v>0</v>
      </c>
      <c r="DW60">
        <f>IFERROR(CN60*_xlfn.XLOOKUP(DW$7,'Product Tgt'!$B:$B,'Product Tgt'!$D:$D),0)</f>
        <v>0</v>
      </c>
      <c r="DX60">
        <f>IFERROR(CO60*_xlfn.XLOOKUP(DX$7,'Product Tgt'!$B:$B,'Product Tgt'!$D:$D),0)</f>
        <v>0</v>
      </c>
      <c r="DY60">
        <f>IFERROR(CP60*_xlfn.XLOOKUP(DY$7,'Product Tgt'!$B:$B,'Product Tgt'!$D:$D),0)</f>
        <v>0</v>
      </c>
      <c r="DZ60">
        <f>IFERROR(CQ60*_xlfn.XLOOKUP(DZ$7,'Product Tgt'!$B:$B,'Product Tgt'!$D:$D),0)</f>
        <v>0</v>
      </c>
      <c r="EA60">
        <f>IFERROR(CR60*_xlfn.XLOOKUP(EA$7,'Product Tgt'!$B:$B,'Product Tgt'!$D:$D),0)</f>
        <v>0</v>
      </c>
      <c r="EB60">
        <f>IFERROR(CS60*_xlfn.XLOOKUP(EB$7,'Product Tgt'!$B:$B,'Product Tgt'!$D:$D),0)</f>
        <v>0</v>
      </c>
      <c r="EC60">
        <f>IFERROR(CT60*_xlfn.XLOOKUP(EC$7,'Product Tgt'!$B:$B,'Product Tgt'!$D:$D),0)</f>
        <v>0</v>
      </c>
      <c r="ED60">
        <f>IFERROR(CU60*_xlfn.XLOOKUP(ED$7,'Product Tgt'!$B:$B,'Product Tgt'!$D:$D),0)</f>
        <v>0</v>
      </c>
      <c r="EE60">
        <f>IFERROR(CV60*_xlfn.XLOOKUP(EE$7,'Product Tgt'!$B:$B,'Product Tgt'!$D:$D),0)</f>
        <v>0</v>
      </c>
      <c r="EF60">
        <f>IFERROR(CW60*_xlfn.XLOOKUP(EF$7,'Product Tgt'!$B:$B,'Product Tgt'!$D:$D),0)</f>
        <v>0</v>
      </c>
      <c r="EG60">
        <f>IFERROR(CX60*_xlfn.XLOOKUP(EG$7,'Product Tgt'!$B:$B,'Product Tgt'!$D:$D),0)</f>
        <v>0</v>
      </c>
      <c r="EH60">
        <f>IFERROR(CY60*_xlfn.XLOOKUP(EH$7,'Product Tgt'!$B:$B,'Product Tgt'!$D:$D),0)</f>
        <v>0</v>
      </c>
      <c r="EI60">
        <f>IFERROR(CZ60*_xlfn.XLOOKUP(EI$7,'Product Tgt'!$B:$B,'Product Tgt'!$D:$D),0)</f>
        <v>0</v>
      </c>
    </row>
    <row r="61" spans="2:139" x14ac:dyDescent="0.35">
      <c r="B61" s="7" t="s">
        <v>196</v>
      </c>
      <c r="C61" s="3">
        <f>_xlfn.XLOOKUP($B61,'Terr Target'!$A:$A,'Terr Target'!$E:$E)</f>
        <v>745359.70229229424</v>
      </c>
      <c r="D61" s="3">
        <f t="shared" si="8"/>
        <v>745357</v>
      </c>
      <c r="E61" s="4">
        <f t="shared" si="9"/>
        <v>-2.702292294241488</v>
      </c>
      <c r="F61" s="9">
        <f t="shared" si="7"/>
        <v>3.6255006583979059E-6</v>
      </c>
      <c r="G61" s="5">
        <f t="shared" si="6"/>
        <v>1.0000036255006584</v>
      </c>
      <c r="H61" s="38">
        <v>72562.16605914908</v>
      </c>
      <c r="I61" s="11">
        <v>144668.70575445966</v>
      </c>
      <c r="J61" s="11">
        <v>77539.394066287816</v>
      </c>
      <c r="K61" s="11">
        <v>81819.794720373844</v>
      </c>
      <c r="L61" s="11">
        <v>58434.071141474757</v>
      </c>
      <c r="M61" s="11">
        <v>46825.29901139337</v>
      </c>
      <c r="N61" s="11">
        <v>751.5510174523672</v>
      </c>
      <c r="O61" s="11">
        <v>4092.5003737056068</v>
      </c>
      <c r="P61" s="11">
        <v>1582.2965267103061</v>
      </c>
      <c r="Q61" s="11">
        <v>1276.6516836682033</v>
      </c>
      <c r="R61" s="11">
        <v>19695.258256596666</v>
      </c>
      <c r="S61" s="11">
        <v>31358.353218523942</v>
      </c>
      <c r="T61" s="11">
        <v>2962.1425513393815</v>
      </c>
      <c r="U61" s="11">
        <v>8939.5379673889584</v>
      </c>
      <c r="V61" s="11">
        <v>24015.872436636837</v>
      </c>
      <c r="W61" s="11">
        <v>30265.924176555549</v>
      </c>
      <c r="X61" s="11">
        <v>4656.7022555389731</v>
      </c>
      <c r="Y61" s="11">
        <v>4391.0905638018512</v>
      </c>
      <c r="Z61" s="11">
        <v>484.03537108497039</v>
      </c>
      <c r="AA61" s="11">
        <v>15049.318355125666</v>
      </c>
      <c r="AB61" s="11">
        <v>5926.3894735859094</v>
      </c>
      <c r="AC61" s="11">
        <v>15464.370443711643</v>
      </c>
      <c r="AD61" s="11">
        <v>27045.114357472627</v>
      </c>
      <c r="AE61" s="11">
        <v>34868.453912456294</v>
      </c>
      <c r="AF61" s="11">
        <v>3311.7587255269796</v>
      </c>
      <c r="AG61" s="11">
        <v>24055.965712824876</v>
      </c>
      <c r="AH61" s="11">
        <v>1612.3289057994239</v>
      </c>
      <c r="AI61" s="11">
        <v>12097.186596815991</v>
      </c>
      <c r="AJ61" s="11">
        <v>13624.268439248339</v>
      </c>
      <c r="AK61" s="11">
        <v>5862.797388934744</v>
      </c>
      <c r="AL61" s="49">
        <v>7801.3939726662957</v>
      </c>
      <c r="AM61" s="41">
        <f>IFERROR(ROUND(_xlfn.XLOOKUP(AM$7,'Product Tgt'!$B:$B,'Product Tgt'!$G:$G)*H61/H$121,0),0)</f>
        <v>70542</v>
      </c>
      <c r="AN61" s="41">
        <f>IFERROR(ROUND(_xlfn.XLOOKUP(AN$7,'Product Tgt'!$B:$B,'Product Tgt'!$G:$G)*I61/I$121,0),0)</f>
        <v>142412</v>
      </c>
      <c r="AO61" s="41">
        <f>IFERROR(ROUND(_xlfn.XLOOKUP(AO$7,'Product Tgt'!$B:$B,'Product Tgt'!$G:$G)*J61/J$121,0),0)</f>
        <v>75128</v>
      </c>
      <c r="AP61" s="41">
        <f>IFERROR(ROUND(_xlfn.XLOOKUP(AP$7,'Product Tgt'!$B:$B,'Product Tgt'!$G:$G)*K61/K$121,0),0)</f>
        <v>79817</v>
      </c>
      <c r="AQ61" s="41">
        <f>IFERROR(ROUND(_xlfn.XLOOKUP(AQ$7,'Product Tgt'!$B:$B,'Product Tgt'!$G:$G)*L61/L$121,0),0)</f>
        <v>56502</v>
      </c>
      <c r="AR61" s="41">
        <f>IFERROR(ROUND(_xlfn.XLOOKUP(AR$7,'Product Tgt'!$B:$B,'Product Tgt'!$G:$G)*M61/M$121,0),0)</f>
        <v>45364</v>
      </c>
      <c r="AS61" s="41">
        <f>IFERROR(ROUND(_xlfn.XLOOKUP(AS$7,'Product Tgt'!$B:$B,'Product Tgt'!$G:$G)*N61/N$121,0),0)</f>
        <v>694</v>
      </c>
      <c r="AT61" s="41">
        <f>IFERROR(ROUND(_xlfn.XLOOKUP(AT$7,'Product Tgt'!$B:$B,'Product Tgt'!$G:$G)*O61/O$121,0),0)</f>
        <v>3684</v>
      </c>
      <c r="AU61" s="41">
        <f>IFERROR(ROUND(_xlfn.XLOOKUP(AU$7,'Product Tgt'!$B:$B,'Product Tgt'!$G:$G)*P61/P$121,0),0)</f>
        <v>675</v>
      </c>
      <c r="AV61" s="41">
        <f>IFERROR(ROUND(_xlfn.XLOOKUP(AV$7,'Product Tgt'!$B:$B,'Product Tgt'!$G:$G)*Q61/Q$121,0),0)</f>
        <v>958</v>
      </c>
      <c r="AW61" s="41">
        <f>IFERROR(ROUND(_xlfn.XLOOKUP(AW$7,'Product Tgt'!$B:$B,'Product Tgt'!$G:$G)*R61/R$121,0),0)</f>
        <v>18968</v>
      </c>
      <c r="AX61" s="41">
        <f>IFERROR(ROUND(_xlfn.XLOOKUP(AX$7,'Product Tgt'!$B:$B,'Product Tgt'!$G:$G)*S61/S$121,0),0)</f>
        <v>30202</v>
      </c>
      <c r="AY61" s="41">
        <f>IFERROR(ROUND(_xlfn.XLOOKUP(AY$7,'Product Tgt'!$B:$B,'Product Tgt'!$G:$G)*T61/T$121,0),0)</f>
        <v>2973</v>
      </c>
      <c r="AZ61" s="41">
        <f>IFERROR(ROUND(_xlfn.XLOOKUP(AZ$7,'Product Tgt'!$B:$B,'Product Tgt'!$G:$G)*U61/U$121,0),0)</f>
        <v>8555</v>
      </c>
      <c r="BA61" s="41">
        <f>IFERROR(ROUND(_xlfn.XLOOKUP(BA$7,'Product Tgt'!$B:$B,'Product Tgt'!$G:$G)*V61/V$121,0),0)</f>
        <v>23123</v>
      </c>
      <c r="BB61" s="41">
        <f>IFERROR(ROUND(_xlfn.XLOOKUP(BB$7,'Product Tgt'!$B:$B,'Product Tgt'!$G:$G)*W61/W$121,0),0)</f>
        <v>28972</v>
      </c>
      <c r="BC61" s="41">
        <f>IFERROR(ROUND(_xlfn.XLOOKUP(BC$7,'Product Tgt'!$B:$B,'Product Tgt'!$G:$G)*X61/X$121,0),0)</f>
        <v>4506</v>
      </c>
      <c r="BD61" s="41">
        <f>IFERROR(ROUND(_xlfn.XLOOKUP(BD$7,'Product Tgt'!$B:$B,'Product Tgt'!$G:$G)*Y61/Y$121,0),0)</f>
        <v>4246</v>
      </c>
      <c r="BE61" s="41">
        <f>IFERROR(ROUND(_xlfn.XLOOKUP(BE$7,'Product Tgt'!$B:$B,'Product Tgt'!$G:$G)*Z61/Z$121,0),0)</f>
        <v>460</v>
      </c>
      <c r="BF61" s="41">
        <f>IFERROR(ROUND(_xlfn.XLOOKUP(BF$7,'Product Tgt'!$B:$B,'Product Tgt'!$G:$G)*AA61/AA$121,0),0)</f>
        <v>12196</v>
      </c>
      <c r="BG61" s="41">
        <f>IFERROR(ROUND(_xlfn.XLOOKUP(BG$7,'Product Tgt'!$B:$B,'Product Tgt'!$G:$G)*AB61/AB$121,0),0)</f>
        <v>4750</v>
      </c>
      <c r="BH61" s="41">
        <f>IFERROR(ROUND(_xlfn.XLOOKUP(BH$7,'Product Tgt'!$B:$B,'Product Tgt'!$G:$G)*AC61/AC$121,0),0)</f>
        <v>13235</v>
      </c>
      <c r="BI61" s="41">
        <f>IFERROR(ROUND(_xlfn.XLOOKUP(BI$7,'Product Tgt'!$B:$B,'Product Tgt'!$G:$G)*AD61/AD$121,0),0)</f>
        <v>23544</v>
      </c>
      <c r="BJ61" s="41">
        <f>IFERROR(ROUND(_xlfn.XLOOKUP(BJ$7,'Product Tgt'!$B:$B,'Product Tgt'!$G:$G)*AE61/AE$121,0),0)</f>
        <v>32453</v>
      </c>
      <c r="BK61" s="41">
        <f>IFERROR(ROUND(_xlfn.XLOOKUP(BK$7,'Product Tgt'!$B:$B,'Product Tgt'!$G:$G)*AF61/AF$121,0),0)</f>
        <v>3700</v>
      </c>
      <c r="BL61" s="41">
        <f>IFERROR(ROUND(_xlfn.XLOOKUP(BL$7,'Product Tgt'!$B:$B,'Product Tgt'!$G:$G)*AG61/AG$121,0),0)</f>
        <v>22978</v>
      </c>
      <c r="BM61" s="41">
        <f>IFERROR(ROUND(_xlfn.XLOOKUP(BM$7,'Product Tgt'!$B:$B,'Product Tgt'!$G:$G)*AH61/AH$121,0),0)</f>
        <v>1264</v>
      </c>
      <c r="BN61" s="41">
        <f>IFERROR(ROUND(_xlfn.XLOOKUP(BN$7,'Product Tgt'!$B:$B,'Product Tgt'!$G:$G)*AI61/AI$121,0),0)</f>
        <v>11110</v>
      </c>
      <c r="BO61" s="41">
        <f>IFERROR(ROUND(_xlfn.XLOOKUP(BO$7,'Product Tgt'!$B:$B,'Product Tgt'!$G:$G)*AJ61/AJ$121,0),0)</f>
        <v>11784</v>
      </c>
      <c r="BP61" s="41">
        <f>IFERROR(ROUND(_xlfn.XLOOKUP(BP$7,'Product Tgt'!$B:$B,'Product Tgt'!$G:$G)*AK61/AK$121,0),0)</f>
        <v>4464</v>
      </c>
      <c r="BQ61" s="41">
        <f>IFERROR(ROUND(_xlfn.XLOOKUP(BQ$7,'Product Tgt'!$B:$B,'Product Tgt'!$G:$G)*AL61/AL$121,0),0)</f>
        <v>6098</v>
      </c>
      <c r="BR61" s="25">
        <f>ROUND(IFERROR(AM61/_xlfn.XLOOKUP(BR$7,'Product Tgt'!$B:$B,'Product Tgt'!$D:$D),0),0)</f>
        <v>0</v>
      </c>
      <c r="BS61" s="11">
        <f>ROUND(IFERROR(AN61/_xlfn.XLOOKUP(BS$7,'Product Tgt'!$B:$B,'Product Tgt'!$D:$D),0),0)</f>
        <v>0</v>
      </c>
      <c r="BT61" s="11">
        <f>ROUND(IFERROR(AO61/_xlfn.XLOOKUP(BT$7,'Product Tgt'!$B:$B,'Product Tgt'!$D:$D),0),0)</f>
        <v>0</v>
      </c>
      <c r="BU61" s="11">
        <f>ROUND(IFERROR(AP61/_xlfn.XLOOKUP(BU$7,'Product Tgt'!$B:$B,'Product Tgt'!$D:$D),0),0)</f>
        <v>0</v>
      </c>
      <c r="BV61" s="11">
        <f>ROUND(IFERROR(AQ61/_xlfn.XLOOKUP(BV$7,'Product Tgt'!$B:$B,'Product Tgt'!$D:$D),0),0)</f>
        <v>0</v>
      </c>
      <c r="BW61" s="11">
        <f>ROUND(IFERROR(AU61/_xlfn.XLOOKUP(BW$7,'Product Tgt'!$B:$B,'Product Tgt'!$D:$D),0),0)</f>
        <v>0</v>
      </c>
      <c r="BX61" s="11">
        <f>ROUND(IFERROR(#REF!/_xlfn.XLOOKUP(BX$7,'Product Tgt'!$B:$B,'Product Tgt'!$D:$D),0),0)</f>
        <v>0</v>
      </c>
      <c r="BY61" s="11">
        <f>ROUND(IFERROR(#REF!/_xlfn.XLOOKUP(BY$7,'Product Tgt'!$B:$B,'Product Tgt'!$D:$D),0),0)</f>
        <v>0</v>
      </c>
      <c r="BZ61" s="11">
        <f>ROUND(IFERROR(#REF!/_xlfn.XLOOKUP(BZ$7,'Product Tgt'!$B:$B,'Product Tgt'!$D:$D),0),0)</f>
        <v>0</v>
      </c>
      <c r="CA61" s="11">
        <f>ROUND(IFERROR(#REF!/_xlfn.XLOOKUP(CA$7,'Product Tgt'!$B:$B,'Product Tgt'!$D:$D),0),0)</f>
        <v>0</v>
      </c>
      <c r="CB61" s="11">
        <f>ROUND(IFERROR(AV61/_xlfn.XLOOKUP(CB$7,'Product Tgt'!$B:$B,'Product Tgt'!$D:$D),0),0)</f>
        <v>0</v>
      </c>
      <c r="CC61" s="11">
        <f>ROUND(IFERROR(AW61/_xlfn.XLOOKUP(CC$7,'Product Tgt'!$B:$B,'Product Tgt'!$D:$D),0),0)</f>
        <v>0</v>
      </c>
      <c r="CD61" s="11">
        <f>ROUND(IFERROR(AX61/_xlfn.XLOOKUP(CD$7,'Product Tgt'!$B:$B,'Product Tgt'!$D:$D),0),0)</f>
        <v>0</v>
      </c>
      <c r="CE61" s="11">
        <f>ROUND(IFERROR(AY61/_xlfn.XLOOKUP(CE$7,'Product Tgt'!$B:$B,'Product Tgt'!$D:$D),0),0)</f>
        <v>0</v>
      </c>
      <c r="CF61" s="11">
        <f>ROUND(IFERROR(AZ61/_xlfn.XLOOKUP(CF$7,'Product Tgt'!$B:$B,'Product Tgt'!$D:$D),0),0)</f>
        <v>0</v>
      </c>
      <c r="CG61" s="11">
        <f>ROUND(IFERROR(BA61/_xlfn.XLOOKUP(CG$7,'Product Tgt'!$B:$B,'Product Tgt'!$D:$D),0),0)</f>
        <v>0</v>
      </c>
      <c r="CH61" s="11">
        <f>ROUND(IFERROR(BB61/_xlfn.XLOOKUP(CH$7,'Product Tgt'!$B:$B,'Product Tgt'!$D:$D),0),0)</f>
        <v>0</v>
      </c>
      <c r="CI61" s="11">
        <f>ROUND(IFERROR(BC61/_xlfn.XLOOKUP(CI$7,'Product Tgt'!$B:$B,'Product Tgt'!$D:$D),0),0)</f>
        <v>0</v>
      </c>
      <c r="CJ61" s="11">
        <f>ROUND(IFERROR(BD61/_xlfn.XLOOKUP(CJ$7,'Product Tgt'!$B:$B,'Product Tgt'!$D:$D),0),0)</f>
        <v>0</v>
      </c>
      <c r="CK61" s="11">
        <f>ROUND(IFERROR(BE61/_xlfn.XLOOKUP(CK$7,'Product Tgt'!$B:$B,'Product Tgt'!$D:$D),0),0)</f>
        <v>0</v>
      </c>
      <c r="CL61" s="11">
        <f>ROUND(IFERROR(BF61/_xlfn.XLOOKUP(CL$7,'Product Tgt'!$B:$B,'Product Tgt'!$D:$D),0),0)</f>
        <v>0</v>
      </c>
      <c r="CM61" s="11">
        <f>ROUND(IFERROR(BG61/_xlfn.XLOOKUP(CM$7,'Product Tgt'!$B:$B,'Product Tgt'!$D:$D),0),0)</f>
        <v>0</v>
      </c>
      <c r="CN61" s="11">
        <f>ROUND(IFERROR(BH61/_xlfn.XLOOKUP(CN$7,'Product Tgt'!$B:$B,'Product Tgt'!$D:$D),0),0)</f>
        <v>0</v>
      </c>
      <c r="CO61" s="11">
        <f>ROUND(IFERROR(BI61/_xlfn.XLOOKUP(CO$7,'Product Tgt'!$B:$B,'Product Tgt'!$D:$D),0),0)</f>
        <v>0</v>
      </c>
      <c r="CP61" s="11">
        <f>ROUND(IFERROR(BJ61/_xlfn.XLOOKUP(CP$7,'Product Tgt'!$B:$B,'Product Tgt'!$D:$D),0),0)</f>
        <v>0</v>
      </c>
      <c r="CQ61" s="11">
        <f>ROUND(IFERROR(BK61/_xlfn.XLOOKUP(CQ$7,'Product Tgt'!$B:$B,'Product Tgt'!$D:$D),0),0)</f>
        <v>0</v>
      </c>
      <c r="CR61" s="11">
        <f>ROUND(IFERROR(BL61/_xlfn.XLOOKUP(CR$7,'Product Tgt'!$B:$B,'Product Tgt'!$D:$D),0),0)</f>
        <v>0</v>
      </c>
      <c r="CS61" s="11">
        <f>ROUND(IFERROR(BM61/_xlfn.XLOOKUP(CS$7,'Product Tgt'!$B:$B,'Product Tgt'!$D:$D),0),0)</f>
        <v>0</v>
      </c>
      <c r="CT61" s="11">
        <f>ROUND(IFERROR(BN61/_xlfn.XLOOKUP(CT$7,'Product Tgt'!$B:$B,'Product Tgt'!$D:$D),0),0)</f>
        <v>0</v>
      </c>
      <c r="CU61" s="11">
        <f>ROUND(IFERROR(BO61/_xlfn.XLOOKUP(CU$7,'Product Tgt'!$B:$B,'Product Tgt'!$D:$D),0),0)</f>
        <v>0</v>
      </c>
      <c r="CV61" s="11">
        <f>ROUND(IFERROR(BP61/_xlfn.XLOOKUP(CV$7,'Product Tgt'!$B:$B,'Product Tgt'!$D:$D),0),0)</f>
        <v>0</v>
      </c>
      <c r="CW61" s="11">
        <f>ROUND(IFERROR(BQ61/_xlfn.XLOOKUP(CW$7,'Product Tgt'!$B:$B,'Product Tgt'!$D:$D),0),0)</f>
        <v>0</v>
      </c>
      <c r="CX61" s="11">
        <f>ROUND(IFERROR(#REF!/_xlfn.XLOOKUP(CX$7,'Product Tgt'!$B:$B,'Product Tgt'!$D:$D),0),0)</f>
        <v>0</v>
      </c>
      <c r="CY61" s="11">
        <f>ROUND(IFERROR(#REF!/_xlfn.XLOOKUP(CY$7,'Product Tgt'!$B:$B,'Product Tgt'!$D:$D),0),0)</f>
        <v>0</v>
      </c>
      <c r="CZ61" s="11">
        <f>ROUND(IFERROR(#REF!/_xlfn.XLOOKUP(CZ$7,'Product Tgt'!$B:$B,'Product Tgt'!$D:$D),0),0)</f>
        <v>0</v>
      </c>
      <c r="DA61" s="10">
        <f>IFERROR(BR61*_xlfn.XLOOKUP(DA$7,'Product Tgt'!$B:$B,'Product Tgt'!$D:$D),0)</f>
        <v>0</v>
      </c>
      <c r="DB61">
        <f>IFERROR(BS61*_xlfn.XLOOKUP(DB$7,'Product Tgt'!$B:$B,'Product Tgt'!$D:$D),0)</f>
        <v>0</v>
      </c>
      <c r="DC61">
        <f>IFERROR(BT61*_xlfn.XLOOKUP(DC$7,'Product Tgt'!$B:$B,'Product Tgt'!$D:$D),0)</f>
        <v>0</v>
      </c>
      <c r="DD61">
        <f>IFERROR(BU61*_xlfn.XLOOKUP(DD$7,'Product Tgt'!$B:$B,'Product Tgt'!$D:$D),0)</f>
        <v>0</v>
      </c>
      <c r="DE61">
        <f>IFERROR(BV61*_xlfn.XLOOKUP(DE$7,'Product Tgt'!$B:$B,'Product Tgt'!$D:$D),0)</f>
        <v>0</v>
      </c>
      <c r="DF61">
        <f>IFERROR(BW61*_xlfn.XLOOKUP(DF$7,'Product Tgt'!$B:$B,'Product Tgt'!$D:$D),0)</f>
        <v>0</v>
      </c>
      <c r="DG61">
        <f>IFERROR(BX61*_xlfn.XLOOKUP(DG$7,'Product Tgt'!$B:$B,'Product Tgt'!$D:$D),0)</f>
        <v>0</v>
      </c>
      <c r="DH61">
        <f>IFERROR(BY61*_xlfn.XLOOKUP(DH$7,'Product Tgt'!$B:$B,'Product Tgt'!$D:$D),0)</f>
        <v>0</v>
      </c>
      <c r="DI61">
        <f>IFERROR(BZ61*_xlfn.XLOOKUP(DI$7,'Product Tgt'!$B:$B,'Product Tgt'!$D:$D),0)</f>
        <v>0</v>
      </c>
      <c r="DJ61">
        <f>IFERROR(CA61*_xlfn.XLOOKUP(DJ$7,'Product Tgt'!$B:$B,'Product Tgt'!$D:$D),0)</f>
        <v>0</v>
      </c>
      <c r="DK61">
        <f>IFERROR(CB61*_xlfn.XLOOKUP(DK$7,'Product Tgt'!$B:$B,'Product Tgt'!$D:$D),0)</f>
        <v>0</v>
      </c>
      <c r="DL61">
        <f>IFERROR(CC61*_xlfn.XLOOKUP(DL$7,'Product Tgt'!$B:$B,'Product Tgt'!$D:$D),0)</f>
        <v>0</v>
      </c>
      <c r="DM61">
        <f>IFERROR(CD61*_xlfn.XLOOKUP(DM$7,'Product Tgt'!$B:$B,'Product Tgt'!$D:$D),0)</f>
        <v>0</v>
      </c>
      <c r="DN61">
        <f>IFERROR(CE61*_xlfn.XLOOKUP(DN$7,'Product Tgt'!$B:$B,'Product Tgt'!$D:$D),0)</f>
        <v>0</v>
      </c>
      <c r="DO61">
        <f>IFERROR(CF61*_xlfn.XLOOKUP(DO$7,'Product Tgt'!$B:$B,'Product Tgt'!$D:$D),0)</f>
        <v>0</v>
      </c>
      <c r="DP61">
        <f>IFERROR(CG61*_xlfn.XLOOKUP(DP$7,'Product Tgt'!$B:$B,'Product Tgt'!$D:$D),0)</f>
        <v>0</v>
      </c>
      <c r="DQ61">
        <f>IFERROR(CH61*_xlfn.XLOOKUP(DQ$7,'Product Tgt'!$B:$B,'Product Tgt'!$D:$D),0)</f>
        <v>0</v>
      </c>
      <c r="DR61">
        <f>IFERROR(CI61*_xlfn.XLOOKUP(DR$7,'Product Tgt'!$B:$B,'Product Tgt'!$D:$D),0)</f>
        <v>0</v>
      </c>
      <c r="DS61">
        <f>IFERROR(CJ61*_xlfn.XLOOKUP(DS$7,'Product Tgt'!$B:$B,'Product Tgt'!$D:$D),0)</f>
        <v>0</v>
      </c>
      <c r="DT61">
        <f>IFERROR(CK61*_xlfn.XLOOKUP(DT$7,'Product Tgt'!$B:$B,'Product Tgt'!$D:$D),0)</f>
        <v>0</v>
      </c>
      <c r="DU61">
        <f>IFERROR(CL61*_xlfn.XLOOKUP(DU$7,'Product Tgt'!$B:$B,'Product Tgt'!$D:$D),0)</f>
        <v>0</v>
      </c>
      <c r="DV61">
        <f>IFERROR(CM61*_xlfn.XLOOKUP(DV$7,'Product Tgt'!$B:$B,'Product Tgt'!$D:$D),0)</f>
        <v>0</v>
      </c>
      <c r="DW61">
        <f>IFERROR(CN61*_xlfn.XLOOKUP(DW$7,'Product Tgt'!$B:$B,'Product Tgt'!$D:$D),0)</f>
        <v>0</v>
      </c>
      <c r="DX61">
        <f>IFERROR(CO61*_xlfn.XLOOKUP(DX$7,'Product Tgt'!$B:$B,'Product Tgt'!$D:$D),0)</f>
        <v>0</v>
      </c>
      <c r="DY61">
        <f>IFERROR(CP61*_xlfn.XLOOKUP(DY$7,'Product Tgt'!$B:$B,'Product Tgt'!$D:$D),0)</f>
        <v>0</v>
      </c>
      <c r="DZ61">
        <f>IFERROR(CQ61*_xlfn.XLOOKUP(DZ$7,'Product Tgt'!$B:$B,'Product Tgt'!$D:$D),0)</f>
        <v>0</v>
      </c>
      <c r="EA61">
        <f>IFERROR(CR61*_xlfn.XLOOKUP(EA$7,'Product Tgt'!$B:$B,'Product Tgt'!$D:$D),0)</f>
        <v>0</v>
      </c>
      <c r="EB61">
        <f>IFERROR(CS61*_xlfn.XLOOKUP(EB$7,'Product Tgt'!$B:$B,'Product Tgt'!$D:$D),0)</f>
        <v>0</v>
      </c>
      <c r="EC61">
        <f>IFERROR(CT61*_xlfn.XLOOKUP(EC$7,'Product Tgt'!$B:$B,'Product Tgt'!$D:$D),0)</f>
        <v>0</v>
      </c>
      <c r="ED61">
        <f>IFERROR(CU61*_xlfn.XLOOKUP(ED$7,'Product Tgt'!$B:$B,'Product Tgt'!$D:$D),0)</f>
        <v>0</v>
      </c>
      <c r="EE61">
        <f>IFERROR(CV61*_xlfn.XLOOKUP(EE$7,'Product Tgt'!$B:$B,'Product Tgt'!$D:$D),0)</f>
        <v>0</v>
      </c>
      <c r="EF61">
        <f>IFERROR(CW61*_xlfn.XLOOKUP(EF$7,'Product Tgt'!$B:$B,'Product Tgt'!$D:$D),0)</f>
        <v>0</v>
      </c>
      <c r="EG61">
        <f>IFERROR(CX61*_xlfn.XLOOKUP(EG$7,'Product Tgt'!$B:$B,'Product Tgt'!$D:$D),0)</f>
        <v>0</v>
      </c>
      <c r="EH61">
        <f>IFERROR(CY61*_xlfn.XLOOKUP(EH$7,'Product Tgt'!$B:$B,'Product Tgt'!$D:$D),0)</f>
        <v>0</v>
      </c>
      <c r="EI61">
        <f>IFERROR(CZ61*_xlfn.XLOOKUP(EI$7,'Product Tgt'!$B:$B,'Product Tgt'!$D:$D),0)</f>
        <v>0</v>
      </c>
    </row>
    <row r="62" spans="2:139" x14ac:dyDescent="0.35">
      <c r="B62" s="7" t="s">
        <v>197</v>
      </c>
      <c r="C62" s="3">
        <f>_xlfn.XLOOKUP($B62,'Terr Target'!$A:$A,'Terr Target'!$E:$E)</f>
        <v>733179.31256483553</v>
      </c>
      <c r="D62" s="3">
        <f t="shared" si="8"/>
        <v>733177</v>
      </c>
      <c r="E62" s="4">
        <f t="shared" si="9"/>
        <v>-2.312564835534431</v>
      </c>
      <c r="F62" s="9">
        <f t="shared" si="7"/>
        <v>3.1541699146787624E-6</v>
      </c>
      <c r="G62" s="5">
        <f t="shared" si="6"/>
        <v>1.0000031541699146</v>
      </c>
      <c r="H62" s="38">
        <v>73861.54413698701</v>
      </c>
      <c r="I62" s="11">
        <v>140687.42575369868</v>
      </c>
      <c r="J62" s="11">
        <v>72351.58457139942</v>
      </c>
      <c r="K62" s="11">
        <v>81123.759284490996</v>
      </c>
      <c r="L62" s="11">
        <v>55176.515626612301</v>
      </c>
      <c r="M62" s="11">
        <v>36781.818807780983</v>
      </c>
      <c r="N62" s="11">
        <v>1045.4067867661804</v>
      </c>
      <c r="O62" s="11">
        <v>4923.1377787113443</v>
      </c>
      <c r="P62" s="11">
        <v>1538.05164991691</v>
      </c>
      <c r="Q62" s="11">
        <v>1425.6933454869361</v>
      </c>
      <c r="R62" s="11">
        <v>24984.43763192794</v>
      </c>
      <c r="S62" s="11">
        <v>31954.966648108344</v>
      </c>
      <c r="T62" s="11">
        <v>2929.593047169215</v>
      </c>
      <c r="U62" s="11">
        <v>14590.807877123192</v>
      </c>
      <c r="V62" s="11">
        <v>20441.997760315033</v>
      </c>
      <c r="W62" s="11">
        <v>35021.859757437051</v>
      </c>
      <c r="X62" s="11">
        <v>5563.266084590944</v>
      </c>
      <c r="Y62" s="11">
        <v>5159.8938522838534</v>
      </c>
      <c r="Z62" s="11">
        <v>558.88198484433542</v>
      </c>
      <c r="AA62" s="11">
        <v>19125.763214839793</v>
      </c>
      <c r="AB62" s="11">
        <v>9474.2159662555168</v>
      </c>
      <c r="AC62" s="11">
        <v>6046.9214807562967</v>
      </c>
      <c r="AD62" s="11">
        <v>30995.511606502587</v>
      </c>
      <c r="AE62" s="11">
        <v>25258.817032727202</v>
      </c>
      <c r="AF62" s="11">
        <v>2376.7207617938993</v>
      </c>
      <c r="AG62" s="11">
        <v>24901.576016043742</v>
      </c>
      <c r="AH62" s="11">
        <v>2569.4023616311756</v>
      </c>
      <c r="AI62" s="11">
        <v>11926.143250953879</v>
      </c>
      <c r="AJ62" s="11">
        <v>17129.158452683219</v>
      </c>
      <c r="AK62" s="11">
        <v>4764.1064827456757</v>
      </c>
      <c r="AL62" s="49">
        <v>6483.5728001063571</v>
      </c>
      <c r="AM62" s="41">
        <f>IFERROR(ROUND(_xlfn.XLOOKUP(AM$7,'Product Tgt'!$B:$B,'Product Tgt'!$G:$G)*H62/H$121,0),0)</f>
        <v>71806</v>
      </c>
      <c r="AN62" s="41">
        <f>IFERROR(ROUND(_xlfn.XLOOKUP(AN$7,'Product Tgt'!$B:$B,'Product Tgt'!$G:$G)*I62/I$121,0),0)</f>
        <v>138493</v>
      </c>
      <c r="AO62" s="41">
        <f>IFERROR(ROUND(_xlfn.XLOOKUP(AO$7,'Product Tgt'!$B:$B,'Product Tgt'!$G:$G)*J62/J$121,0),0)</f>
        <v>70101</v>
      </c>
      <c r="AP62" s="41">
        <f>IFERROR(ROUND(_xlfn.XLOOKUP(AP$7,'Product Tgt'!$B:$B,'Product Tgt'!$G:$G)*K62/K$121,0),0)</f>
        <v>79138</v>
      </c>
      <c r="AQ62" s="41">
        <f>IFERROR(ROUND(_xlfn.XLOOKUP(AQ$7,'Product Tgt'!$B:$B,'Product Tgt'!$G:$G)*L62/L$121,0),0)</f>
        <v>53352</v>
      </c>
      <c r="AR62" s="41">
        <f>IFERROR(ROUND(_xlfn.XLOOKUP(AR$7,'Product Tgt'!$B:$B,'Product Tgt'!$G:$G)*M62/M$121,0),0)</f>
        <v>35634</v>
      </c>
      <c r="AS62" s="41">
        <f>IFERROR(ROUND(_xlfn.XLOOKUP(AS$7,'Product Tgt'!$B:$B,'Product Tgt'!$G:$G)*N62/N$121,0),0)</f>
        <v>966</v>
      </c>
      <c r="AT62" s="41">
        <f>IFERROR(ROUND(_xlfn.XLOOKUP(AT$7,'Product Tgt'!$B:$B,'Product Tgt'!$G:$G)*O62/O$121,0),0)</f>
        <v>4431</v>
      </c>
      <c r="AU62" s="41">
        <f>IFERROR(ROUND(_xlfn.XLOOKUP(AU$7,'Product Tgt'!$B:$B,'Product Tgt'!$G:$G)*P62/P$121,0),0)</f>
        <v>656</v>
      </c>
      <c r="AV62" s="41">
        <f>IFERROR(ROUND(_xlfn.XLOOKUP(AV$7,'Product Tgt'!$B:$B,'Product Tgt'!$G:$G)*Q62/Q$121,0),0)</f>
        <v>1070</v>
      </c>
      <c r="AW62" s="41">
        <f>IFERROR(ROUND(_xlfn.XLOOKUP(AW$7,'Product Tgt'!$B:$B,'Product Tgt'!$G:$G)*R62/R$121,0),0)</f>
        <v>24062</v>
      </c>
      <c r="AX62" s="41">
        <f>IFERROR(ROUND(_xlfn.XLOOKUP(AX$7,'Product Tgt'!$B:$B,'Product Tgt'!$G:$G)*S62/S$121,0),0)</f>
        <v>30777</v>
      </c>
      <c r="AY62" s="41">
        <f>IFERROR(ROUND(_xlfn.XLOOKUP(AY$7,'Product Tgt'!$B:$B,'Product Tgt'!$G:$G)*T62/T$121,0),0)</f>
        <v>2940</v>
      </c>
      <c r="AZ62" s="41">
        <f>IFERROR(ROUND(_xlfn.XLOOKUP(AZ$7,'Product Tgt'!$B:$B,'Product Tgt'!$G:$G)*U62/U$121,0),0)</f>
        <v>13964</v>
      </c>
      <c r="BA62" s="41">
        <f>IFERROR(ROUND(_xlfn.XLOOKUP(BA$7,'Product Tgt'!$B:$B,'Product Tgt'!$G:$G)*V62/V$121,0),0)</f>
        <v>19682</v>
      </c>
      <c r="BB62" s="41">
        <f>IFERROR(ROUND(_xlfn.XLOOKUP(BB$7,'Product Tgt'!$B:$B,'Product Tgt'!$G:$G)*W62/W$121,0),0)</f>
        <v>33524</v>
      </c>
      <c r="BC62" s="41">
        <f>IFERROR(ROUND(_xlfn.XLOOKUP(BC$7,'Product Tgt'!$B:$B,'Product Tgt'!$G:$G)*X62/X$121,0),0)</f>
        <v>5383</v>
      </c>
      <c r="BD62" s="41">
        <f>IFERROR(ROUND(_xlfn.XLOOKUP(BD$7,'Product Tgt'!$B:$B,'Product Tgt'!$G:$G)*Y62/Y$121,0),0)</f>
        <v>4990</v>
      </c>
      <c r="BE62" s="41">
        <f>IFERROR(ROUND(_xlfn.XLOOKUP(BE$7,'Product Tgt'!$B:$B,'Product Tgt'!$G:$G)*Z62/Z$121,0),0)</f>
        <v>531</v>
      </c>
      <c r="BF62" s="41">
        <f>IFERROR(ROUND(_xlfn.XLOOKUP(BF$7,'Product Tgt'!$B:$B,'Product Tgt'!$G:$G)*AA62/AA$121,0),0)</f>
        <v>15499</v>
      </c>
      <c r="BG62" s="41">
        <f>IFERROR(ROUND(_xlfn.XLOOKUP(BG$7,'Product Tgt'!$B:$B,'Product Tgt'!$G:$G)*AB62/AB$121,0),0)</f>
        <v>7593</v>
      </c>
      <c r="BH62" s="41">
        <f>IFERROR(ROUND(_xlfn.XLOOKUP(BH$7,'Product Tgt'!$B:$B,'Product Tgt'!$G:$G)*AC62/AC$121,0),0)</f>
        <v>5175</v>
      </c>
      <c r="BI62" s="41">
        <f>IFERROR(ROUND(_xlfn.XLOOKUP(BI$7,'Product Tgt'!$B:$B,'Product Tgt'!$G:$G)*AD62/AD$121,0),0)</f>
        <v>26982</v>
      </c>
      <c r="BJ62" s="41">
        <f>IFERROR(ROUND(_xlfn.XLOOKUP(BJ$7,'Product Tgt'!$B:$B,'Product Tgt'!$G:$G)*AE62/AE$121,0),0)</f>
        <v>23509</v>
      </c>
      <c r="BK62" s="41">
        <f>IFERROR(ROUND(_xlfn.XLOOKUP(BK$7,'Product Tgt'!$B:$B,'Product Tgt'!$G:$G)*AF62/AF$121,0),0)</f>
        <v>2655</v>
      </c>
      <c r="BL62" s="41">
        <f>IFERROR(ROUND(_xlfn.XLOOKUP(BL$7,'Product Tgt'!$B:$B,'Product Tgt'!$G:$G)*AG62/AG$121,0),0)</f>
        <v>23786</v>
      </c>
      <c r="BM62" s="41">
        <f>IFERROR(ROUND(_xlfn.XLOOKUP(BM$7,'Product Tgt'!$B:$B,'Product Tgt'!$G:$G)*AH62/AH$121,0),0)</f>
        <v>2014</v>
      </c>
      <c r="BN62" s="41">
        <f>IFERROR(ROUND(_xlfn.XLOOKUP(BN$7,'Product Tgt'!$B:$B,'Product Tgt'!$G:$G)*AI62/AI$121,0),0)</f>
        <v>10953</v>
      </c>
      <c r="BO62" s="41">
        <f>IFERROR(ROUND(_xlfn.XLOOKUP(BO$7,'Product Tgt'!$B:$B,'Product Tgt'!$G:$G)*AJ62/AJ$121,0),0)</f>
        <v>14816</v>
      </c>
      <c r="BP62" s="41">
        <f>IFERROR(ROUND(_xlfn.XLOOKUP(BP$7,'Product Tgt'!$B:$B,'Product Tgt'!$G:$G)*AK62/AK$121,0),0)</f>
        <v>3627</v>
      </c>
      <c r="BQ62" s="41">
        <f>IFERROR(ROUND(_xlfn.XLOOKUP(BQ$7,'Product Tgt'!$B:$B,'Product Tgt'!$G:$G)*AL62/AL$121,0),0)</f>
        <v>5068</v>
      </c>
      <c r="BR62" s="25">
        <f>ROUND(IFERROR(AM62/_xlfn.XLOOKUP(BR$7,'Product Tgt'!$B:$B,'Product Tgt'!$D:$D),0),0)</f>
        <v>0</v>
      </c>
      <c r="BS62" s="11">
        <f>ROUND(IFERROR(AN62/_xlfn.XLOOKUP(BS$7,'Product Tgt'!$B:$B,'Product Tgt'!$D:$D),0),0)</f>
        <v>0</v>
      </c>
      <c r="BT62" s="11">
        <f>ROUND(IFERROR(AO62/_xlfn.XLOOKUP(BT$7,'Product Tgt'!$B:$B,'Product Tgt'!$D:$D),0),0)</f>
        <v>0</v>
      </c>
      <c r="BU62" s="11">
        <f>ROUND(IFERROR(AP62/_xlfn.XLOOKUP(BU$7,'Product Tgt'!$B:$B,'Product Tgt'!$D:$D),0),0)</f>
        <v>0</v>
      </c>
      <c r="BV62" s="11">
        <f>ROUND(IFERROR(AQ62/_xlfn.XLOOKUP(BV$7,'Product Tgt'!$B:$B,'Product Tgt'!$D:$D),0),0)</f>
        <v>0</v>
      </c>
      <c r="BW62" s="11">
        <f>ROUND(IFERROR(AU62/_xlfn.XLOOKUP(BW$7,'Product Tgt'!$B:$B,'Product Tgt'!$D:$D),0),0)</f>
        <v>0</v>
      </c>
      <c r="BX62" s="11">
        <f>ROUND(IFERROR(#REF!/_xlfn.XLOOKUP(BX$7,'Product Tgt'!$B:$B,'Product Tgt'!$D:$D),0),0)</f>
        <v>0</v>
      </c>
      <c r="BY62" s="11">
        <f>ROUND(IFERROR(#REF!/_xlfn.XLOOKUP(BY$7,'Product Tgt'!$B:$B,'Product Tgt'!$D:$D),0),0)</f>
        <v>0</v>
      </c>
      <c r="BZ62" s="11">
        <f>ROUND(IFERROR(#REF!/_xlfn.XLOOKUP(BZ$7,'Product Tgt'!$B:$B,'Product Tgt'!$D:$D),0),0)</f>
        <v>0</v>
      </c>
      <c r="CA62" s="11">
        <f>ROUND(IFERROR(#REF!/_xlfn.XLOOKUP(CA$7,'Product Tgt'!$B:$B,'Product Tgt'!$D:$D),0),0)</f>
        <v>0</v>
      </c>
      <c r="CB62" s="11">
        <f>ROUND(IFERROR(AV62/_xlfn.XLOOKUP(CB$7,'Product Tgt'!$B:$B,'Product Tgt'!$D:$D),0),0)</f>
        <v>0</v>
      </c>
      <c r="CC62" s="11">
        <f>ROUND(IFERROR(AW62/_xlfn.XLOOKUP(CC$7,'Product Tgt'!$B:$B,'Product Tgt'!$D:$D),0),0)</f>
        <v>0</v>
      </c>
      <c r="CD62" s="11">
        <f>ROUND(IFERROR(AX62/_xlfn.XLOOKUP(CD$7,'Product Tgt'!$B:$B,'Product Tgt'!$D:$D),0),0)</f>
        <v>0</v>
      </c>
      <c r="CE62" s="11">
        <f>ROUND(IFERROR(AY62/_xlfn.XLOOKUP(CE$7,'Product Tgt'!$B:$B,'Product Tgt'!$D:$D),0),0)</f>
        <v>0</v>
      </c>
      <c r="CF62" s="11">
        <f>ROUND(IFERROR(AZ62/_xlfn.XLOOKUP(CF$7,'Product Tgt'!$B:$B,'Product Tgt'!$D:$D),0),0)</f>
        <v>0</v>
      </c>
      <c r="CG62" s="11">
        <f>ROUND(IFERROR(BA62/_xlfn.XLOOKUP(CG$7,'Product Tgt'!$B:$B,'Product Tgt'!$D:$D),0),0)</f>
        <v>0</v>
      </c>
      <c r="CH62" s="11">
        <f>ROUND(IFERROR(BB62/_xlfn.XLOOKUP(CH$7,'Product Tgt'!$B:$B,'Product Tgt'!$D:$D),0),0)</f>
        <v>0</v>
      </c>
      <c r="CI62" s="11">
        <f>ROUND(IFERROR(BC62/_xlfn.XLOOKUP(CI$7,'Product Tgt'!$B:$B,'Product Tgt'!$D:$D),0),0)</f>
        <v>0</v>
      </c>
      <c r="CJ62" s="11">
        <f>ROUND(IFERROR(BD62/_xlfn.XLOOKUP(CJ$7,'Product Tgt'!$B:$B,'Product Tgt'!$D:$D),0),0)</f>
        <v>0</v>
      </c>
      <c r="CK62" s="11">
        <f>ROUND(IFERROR(BE62/_xlfn.XLOOKUP(CK$7,'Product Tgt'!$B:$B,'Product Tgt'!$D:$D),0),0)</f>
        <v>0</v>
      </c>
      <c r="CL62" s="11">
        <f>ROUND(IFERROR(BF62/_xlfn.XLOOKUP(CL$7,'Product Tgt'!$B:$B,'Product Tgt'!$D:$D),0),0)</f>
        <v>0</v>
      </c>
      <c r="CM62" s="11">
        <f>ROUND(IFERROR(BG62/_xlfn.XLOOKUP(CM$7,'Product Tgt'!$B:$B,'Product Tgt'!$D:$D),0),0)</f>
        <v>0</v>
      </c>
      <c r="CN62" s="11">
        <f>ROUND(IFERROR(BH62/_xlfn.XLOOKUP(CN$7,'Product Tgt'!$B:$B,'Product Tgt'!$D:$D),0),0)</f>
        <v>0</v>
      </c>
      <c r="CO62" s="11">
        <f>ROUND(IFERROR(BI62/_xlfn.XLOOKUP(CO$7,'Product Tgt'!$B:$B,'Product Tgt'!$D:$D),0),0)</f>
        <v>0</v>
      </c>
      <c r="CP62" s="11">
        <f>ROUND(IFERROR(BJ62/_xlfn.XLOOKUP(CP$7,'Product Tgt'!$B:$B,'Product Tgt'!$D:$D),0),0)</f>
        <v>0</v>
      </c>
      <c r="CQ62" s="11">
        <f>ROUND(IFERROR(BK62/_xlfn.XLOOKUP(CQ$7,'Product Tgt'!$B:$B,'Product Tgt'!$D:$D),0),0)</f>
        <v>0</v>
      </c>
      <c r="CR62" s="11">
        <f>ROUND(IFERROR(BL62/_xlfn.XLOOKUP(CR$7,'Product Tgt'!$B:$B,'Product Tgt'!$D:$D),0),0)</f>
        <v>0</v>
      </c>
      <c r="CS62" s="11">
        <f>ROUND(IFERROR(BM62/_xlfn.XLOOKUP(CS$7,'Product Tgt'!$B:$B,'Product Tgt'!$D:$D),0),0)</f>
        <v>0</v>
      </c>
      <c r="CT62" s="11">
        <f>ROUND(IFERROR(BN62/_xlfn.XLOOKUP(CT$7,'Product Tgt'!$B:$B,'Product Tgt'!$D:$D),0),0)</f>
        <v>0</v>
      </c>
      <c r="CU62" s="11">
        <f>ROUND(IFERROR(BO62/_xlfn.XLOOKUP(CU$7,'Product Tgt'!$B:$B,'Product Tgt'!$D:$D),0),0)</f>
        <v>0</v>
      </c>
      <c r="CV62" s="11">
        <f>ROUND(IFERROR(BP62/_xlfn.XLOOKUP(CV$7,'Product Tgt'!$B:$B,'Product Tgt'!$D:$D),0),0)</f>
        <v>0</v>
      </c>
      <c r="CW62" s="11">
        <f>ROUND(IFERROR(BQ62/_xlfn.XLOOKUP(CW$7,'Product Tgt'!$B:$B,'Product Tgt'!$D:$D),0),0)</f>
        <v>0</v>
      </c>
      <c r="CX62" s="11">
        <f>ROUND(IFERROR(#REF!/_xlfn.XLOOKUP(CX$7,'Product Tgt'!$B:$B,'Product Tgt'!$D:$D),0),0)</f>
        <v>0</v>
      </c>
      <c r="CY62" s="11">
        <f>ROUND(IFERROR(#REF!/_xlfn.XLOOKUP(CY$7,'Product Tgt'!$B:$B,'Product Tgt'!$D:$D),0),0)</f>
        <v>0</v>
      </c>
      <c r="CZ62" s="11">
        <f>ROUND(IFERROR(#REF!/_xlfn.XLOOKUP(CZ$7,'Product Tgt'!$B:$B,'Product Tgt'!$D:$D),0),0)</f>
        <v>0</v>
      </c>
      <c r="DA62" s="10">
        <f>IFERROR(BR62*_xlfn.XLOOKUP(DA$7,'Product Tgt'!$B:$B,'Product Tgt'!$D:$D),0)</f>
        <v>0</v>
      </c>
      <c r="DB62">
        <f>IFERROR(BS62*_xlfn.XLOOKUP(DB$7,'Product Tgt'!$B:$B,'Product Tgt'!$D:$D),0)</f>
        <v>0</v>
      </c>
      <c r="DC62">
        <f>IFERROR(BT62*_xlfn.XLOOKUP(DC$7,'Product Tgt'!$B:$B,'Product Tgt'!$D:$D),0)</f>
        <v>0</v>
      </c>
      <c r="DD62">
        <f>IFERROR(BU62*_xlfn.XLOOKUP(DD$7,'Product Tgt'!$B:$B,'Product Tgt'!$D:$D),0)</f>
        <v>0</v>
      </c>
      <c r="DE62">
        <f>IFERROR(BV62*_xlfn.XLOOKUP(DE$7,'Product Tgt'!$B:$B,'Product Tgt'!$D:$D),0)</f>
        <v>0</v>
      </c>
      <c r="DF62">
        <f>IFERROR(BW62*_xlfn.XLOOKUP(DF$7,'Product Tgt'!$B:$B,'Product Tgt'!$D:$D),0)</f>
        <v>0</v>
      </c>
      <c r="DG62">
        <f>IFERROR(BX62*_xlfn.XLOOKUP(DG$7,'Product Tgt'!$B:$B,'Product Tgt'!$D:$D),0)</f>
        <v>0</v>
      </c>
      <c r="DH62">
        <f>IFERROR(BY62*_xlfn.XLOOKUP(DH$7,'Product Tgt'!$B:$B,'Product Tgt'!$D:$D),0)</f>
        <v>0</v>
      </c>
      <c r="DI62">
        <f>IFERROR(BZ62*_xlfn.XLOOKUP(DI$7,'Product Tgt'!$B:$B,'Product Tgt'!$D:$D),0)</f>
        <v>0</v>
      </c>
      <c r="DJ62">
        <f>IFERROR(CA62*_xlfn.XLOOKUP(DJ$7,'Product Tgt'!$B:$B,'Product Tgt'!$D:$D),0)</f>
        <v>0</v>
      </c>
      <c r="DK62">
        <f>IFERROR(CB62*_xlfn.XLOOKUP(DK$7,'Product Tgt'!$B:$B,'Product Tgt'!$D:$D),0)</f>
        <v>0</v>
      </c>
      <c r="DL62">
        <f>IFERROR(CC62*_xlfn.XLOOKUP(DL$7,'Product Tgt'!$B:$B,'Product Tgt'!$D:$D),0)</f>
        <v>0</v>
      </c>
      <c r="DM62">
        <f>IFERROR(CD62*_xlfn.XLOOKUP(DM$7,'Product Tgt'!$B:$B,'Product Tgt'!$D:$D),0)</f>
        <v>0</v>
      </c>
      <c r="DN62">
        <f>IFERROR(CE62*_xlfn.XLOOKUP(DN$7,'Product Tgt'!$B:$B,'Product Tgt'!$D:$D),0)</f>
        <v>0</v>
      </c>
      <c r="DO62">
        <f>IFERROR(CF62*_xlfn.XLOOKUP(DO$7,'Product Tgt'!$B:$B,'Product Tgt'!$D:$D),0)</f>
        <v>0</v>
      </c>
      <c r="DP62">
        <f>IFERROR(CG62*_xlfn.XLOOKUP(DP$7,'Product Tgt'!$B:$B,'Product Tgt'!$D:$D),0)</f>
        <v>0</v>
      </c>
      <c r="DQ62">
        <f>IFERROR(CH62*_xlfn.XLOOKUP(DQ$7,'Product Tgt'!$B:$B,'Product Tgt'!$D:$D),0)</f>
        <v>0</v>
      </c>
      <c r="DR62">
        <f>IFERROR(CI62*_xlfn.XLOOKUP(DR$7,'Product Tgt'!$B:$B,'Product Tgt'!$D:$D),0)</f>
        <v>0</v>
      </c>
      <c r="DS62">
        <f>IFERROR(CJ62*_xlfn.XLOOKUP(DS$7,'Product Tgt'!$B:$B,'Product Tgt'!$D:$D),0)</f>
        <v>0</v>
      </c>
      <c r="DT62">
        <f>IFERROR(CK62*_xlfn.XLOOKUP(DT$7,'Product Tgt'!$B:$B,'Product Tgt'!$D:$D),0)</f>
        <v>0</v>
      </c>
      <c r="DU62">
        <f>IFERROR(CL62*_xlfn.XLOOKUP(DU$7,'Product Tgt'!$B:$B,'Product Tgt'!$D:$D),0)</f>
        <v>0</v>
      </c>
      <c r="DV62">
        <f>IFERROR(CM62*_xlfn.XLOOKUP(DV$7,'Product Tgt'!$B:$B,'Product Tgt'!$D:$D),0)</f>
        <v>0</v>
      </c>
      <c r="DW62">
        <f>IFERROR(CN62*_xlfn.XLOOKUP(DW$7,'Product Tgt'!$B:$B,'Product Tgt'!$D:$D),0)</f>
        <v>0</v>
      </c>
      <c r="DX62">
        <f>IFERROR(CO62*_xlfn.XLOOKUP(DX$7,'Product Tgt'!$B:$B,'Product Tgt'!$D:$D),0)</f>
        <v>0</v>
      </c>
      <c r="DY62">
        <f>IFERROR(CP62*_xlfn.XLOOKUP(DY$7,'Product Tgt'!$B:$B,'Product Tgt'!$D:$D),0)</f>
        <v>0</v>
      </c>
      <c r="DZ62">
        <f>IFERROR(CQ62*_xlfn.XLOOKUP(DZ$7,'Product Tgt'!$B:$B,'Product Tgt'!$D:$D),0)</f>
        <v>0</v>
      </c>
      <c r="EA62">
        <f>IFERROR(CR62*_xlfn.XLOOKUP(EA$7,'Product Tgt'!$B:$B,'Product Tgt'!$D:$D),0)</f>
        <v>0</v>
      </c>
      <c r="EB62">
        <f>IFERROR(CS62*_xlfn.XLOOKUP(EB$7,'Product Tgt'!$B:$B,'Product Tgt'!$D:$D),0)</f>
        <v>0</v>
      </c>
      <c r="EC62">
        <f>IFERROR(CT62*_xlfn.XLOOKUP(EC$7,'Product Tgt'!$B:$B,'Product Tgt'!$D:$D),0)</f>
        <v>0</v>
      </c>
      <c r="ED62">
        <f>IFERROR(CU62*_xlfn.XLOOKUP(ED$7,'Product Tgt'!$B:$B,'Product Tgt'!$D:$D),0)</f>
        <v>0</v>
      </c>
      <c r="EE62">
        <f>IFERROR(CV62*_xlfn.XLOOKUP(EE$7,'Product Tgt'!$B:$B,'Product Tgt'!$D:$D),0)</f>
        <v>0</v>
      </c>
      <c r="EF62">
        <f>IFERROR(CW62*_xlfn.XLOOKUP(EF$7,'Product Tgt'!$B:$B,'Product Tgt'!$D:$D),0)</f>
        <v>0</v>
      </c>
      <c r="EG62">
        <f>IFERROR(CX62*_xlfn.XLOOKUP(EG$7,'Product Tgt'!$B:$B,'Product Tgt'!$D:$D),0)</f>
        <v>0</v>
      </c>
      <c r="EH62">
        <f>IFERROR(CY62*_xlfn.XLOOKUP(EH$7,'Product Tgt'!$B:$B,'Product Tgt'!$D:$D),0)</f>
        <v>0</v>
      </c>
      <c r="EI62">
        <f>IFERROR(CZ62*_xlfn.XLOOKUP(EI$7,'Product Tgt'!$B:$B,'Product Tgt'!$D:$D),0)</f>
        <v>0</v>
      </c>
    </row>
    <row r="63" spans="2:139" x14ac:dyDescent="0.35">
      <c r="B63" s="7" t="s">
        <v>198</v>
      </c>
      <c r="C63" s="3">
        <f>_xlfn.XLOOKUP($B63,'Terr Target'!$A:$A,'Terr Target'!$E:$E)</f>
        <v>233304.27670404271</v>
      </c>
      <c r="D63" s="3">
        <f t="shared" si="8"/>
        <v>233303</v>
      </c>
      <c r="E63" s="4">
        <f t="shared" si="9"/>
        <v>-1.2767040427133907</v>
      </c>
      <c r="F63" s="9">
        <f t="shared" si="7"/>
        <v>5.472300153505916E-6</v>
      </c>
      <c r="G63" s="5">
        <f t="shared" si="6"/>
        <v>1.0000054723001535</v>
      </c>
      <c r="H63" s="38">
        <v>19841.800982802881</v>
      </c>
      <c r="I63" s="11">
        <v>39344.834717243786</v>
      </c>
      <c r="J63" s="11">
        <v>21280.727944687358</v>
      </c>
      <c r="K63" s="11">
        <v>22606.221939653991</v>
      </c>
      <c r="L63" s="11">
        <v>16363.680394798739</v>
      </c>
      <c r="M63" s="11">
        <v>11433.764949489134</v>
      </c>
      <c r="N63" s="11">
        <v>265.01617037746763</v>
      </c>
      <c r="O63" s="11">
        <v>1495.3764138409199</v>
      </c>
      <c r="P63" s="11">
        <v>1253.5365625458924</v>
      </c>
      <c r="Q63" s="11">
        <v>581.4132324946579</v>
      </c>
      <c r="R63" s="11">
        <v>7368.6688124105458</v>
      </c>
      <c r="S63" s="11">
        <v>11981.87481912837</v>
      </c>
      <c r="T63" s="11">
        <v>936.12175772116882</v>
      </c>
      <c r="U63" s="11">
        <v>2385.135456736738</v>
      </c>
      <c r="V63" s="11">
        <v>6955.928799533699</v>
      </c>
      <c r="W63" s="11">
        <v>9925.5307168876934</v>
      </c>
      <c r="X63" s="11">
        <v>1624.3677445254052</v>
      </c>
      <c r="Y63" s="11">
        <v>1817.8295489009565</v>
      </c>
      <c r="Z63" s="11">
        <v>164.25964233167679</v>
      </c>
      <c r="AA63" s="11">
        <v>5120.9790044931488</v>
      </c>
      <c r="AB63" s="11">
        <v>2363.0171870037134</v>
      </c>
      <c r="AC63" s="11">
        <v>2183.6425539660977</v>
      </c>
      <c r="AD63" s="11">
        <v>14061.949456777373</v>
      </c>
      <c r="AE63" s="11">
        <v>23035.265989172309</v>
      </c>
      <c r="AF63" s="11">
        <v>1727.0791447024976</v>
      </c>
      <c r="AG63" s="11">
        <v>7811.4372734898579</v>
      </c>
      <c r="AH63" s="11">
        <v>796.03602385852423</v>
      </c>
      <c r="AI63" s="11">
        <v>3896.6748339725427</v>
      </c>
      <c r="AJ63" s="11">
        <v>3844.2157395624622</v>
      </c>
      <c r="AK63" s="11">
        <v>1548.9439409027684</v>
      </c>
      <c r="AL63" s="49">
        <v>2449.3842438974502</v>
      </c>
      <c r="AM63" s="41">
        <f>IFERROR(ROUND(_xlfn.XLOOKUP(AM$7,'Product Tgt'!$B:$B,'Product Tgt'!$G:$G)*H63/H$121,0),0)</f>
        <v>19289</v>
      </c>
      <c r="AN63" s="41">
        <f>IFERROR(ROUND(_xlfn.XLOOKUP(AN$7,'Product Tgt'!$B:$B,'Product Tgt'!$G:$G)*I63/I$121,0),0)</f>
        <v>38731</v>
      </c>
      <c r="AO63" s="41">
        <f>IFERROR(ROUND(_xlfn.XLOOKUP(AO$7,'Product Tgt'!$B:$B,'Product Tgt'!$G:$G)*J63/J$121,0),0)</f>
        <v>20619</v>
      </c>
      <c r="AP63" s="41">
        <f>IFERROR(ROUND(_xlfn.XLOOKUP(AP$7,'Product Tgt'!$B:$B,'Product Tgt'!$G:$G)*K63/K$121,0),0)</f>
        <v>22053</v>
      </c>
      <c r="AQ63" s="41">
        <f>IFERROR(ROUND(_xlfn.XLOOKUP(AQ$7,'Product Tgt'!$B:$B,'Product Tgt'!$G:$G)*L63/L$121,0),0)</f>
        <v>15823</v>
      </c>
      <c r="AR63" s="41">
        <f>IFERROR(ROUND(_xlfn.XLOOKUP(AR$7,'Product Tgt'!$B:$B,'Product Tgt'!$G:$G)*M63/M$121,0),0)</f>
        <v>11077</v>
      </c>
      <c r="AS63" s="41">
        <f>IFERROR(ROUND(_xlfn.XLOOKUP(AS$7,'Product Tgt'!$B:$B,'Product Tgt'!$G:$G)*N63/N$121,0),0)</f>
        <v>245</v>
      </c>
      <c r="AT63" s="41">
        <f>IFERROR(ROUND(_xlfn.XLOOKUP(AT$7,'Product Tgt'!$B:$B,'Product Tgt'!$G:$G)*O63/O$121,0),0)</f>
        <v>1346</v>
      </c>
      <c r="AU63" s="41">
        <f>IFERROR(ROUND(_xlfn.XLOOKUP(AU$7,'Product Tgt'!$B:$B,'Product Tgt'!$G:$G)*P63/P$121,0),0)</f>
        <v>534</v>
      </c>
      <c r="AV63" s="41">
        <f>IFERROR(ROUND(_xlfn.XLOOKUP(AV$7,'Product Tgt'!$B:$B,'Product Tgt'!$G:$G)*Q63/Q$121,0),0)</f>
        <v>436</v>
      </c>
      <c r="AW63" s="41">
        <f>IFERROR(ROUND(_xlfn.XLOOKUP(AW$7,'Product Tgt'!$B:$B,'Product Tgt'!$G:$G)*R63/R$121,0),0)</f>
        <v>7097</v>
      </c>
      <c r="AX63" s="41">
        <f>IFERROR(ROUND(_xlfn.XLOOKUP(AX$7,'Product Tgt'!$B:$B,'Product Tgt'!$G:$G)*S63/S$121,0),0)</f>
        <v>11540</v>
      </c>
      <c r="AY63" s="41">
        <f>IFERROR(ROUND(_xlfn.XLOOKUP(AY$7,'Product Tgt'!$B:$B,'Product Tgt'!$G:$G)*T63/T$121,0),0)</f>
        <v>940</v>
      </c>
      <c r="AZ63" s="41">
        <f>IFERROR(ROUND(_xlfn.XLOOKUP(AZ$7,'Product Tgt'!$B:$B,'Product Tgt'!$G:$G)*U63/U$121,0),0)</f>
        <v>2283</v>
      </c>
      <c r="BA63" s="41">
        <f>IFERROR(ROUND(_xlfn.XLOOKUP(BA$7,'Product Tgt'!$B:$B,'Product Tgt'!$G:$G)*V63/V$121,0),0)</f>
        <v>6697</v>
      </c>
      <c r="BB63" s="41">
        <f>IFERROR(ROUND(_xlfn.XLOOKUP(BB$7,'Product Tgt'!$B:$B,'Product Tgt'!$G:$G)*W63/W$121,0),0)</f>
        <v>9501</v>
      </c>
      <c r="BC63" s="41">
        <f>IFERROR(ROUND(_xlfn.XLOOKUP(BC$7,'Product Tgt'!$B:$B,'Product Tgt'!$G:$G)*X63/X$121,0),0)</f>
        <v>1572</v>
      </c>
      <c r="BD63" s="41">
        <f>IFERROR(ROUND(_xlfn.XLOOKUP(BD$7,'Product Tgt'!$B:$B,'Product Tgt'!$G:$G)*Y63/Y$121,0),0)</f>
        <v>1758</v>
      </c>
      <c r="BE63" s="41">
        <f>IFERROR(ROUND(_xlfn.XLOOKUP(BE$7,'Product Tgt'!$B:$B,'Product Tgt'!$G:$G)*Z63/Z$121,0),0)</f>
        <v>156</v>
      </c>
      <c r="BF63" s="41">
        <f>IFERROR(ROUND(_xlfn.XLOOKUP(BF$7,'Product Tgt'!$B:$B,'Product Tgt'!$G:$G)*AA63/AA$121,0),0)</f>
        <v>4150</v>
      </c>
      <c r="BG63" s="41">
        <f>IFERROR(ROUND(_xlfn.XLOOKUP(BG$7,'Product Tgt'!$B:$B,'Product Tgt'!$G:$G)*AB63/AB$121,0),0)</f>
        <v>1894</v>
      </c>
      <c r="BH63" s="41">
        <f>IFERROR(ROUND(_xlfn.XLOOKUP(BH$7,'Product Tgt'!$B:$B,'Product Tgt'!$G:$G)*AC63/AC$121,0),0)</f>
        <v>1869</v>
      </c>
      <c r="BI63" s="41">
        <f>IFERROR(ROUND(_xlfn.XLOOKUP(BI$7,'Product Tgt'!$B:$B,'Product Tgt'!$G:$G)*AD63/AD$121,0),0)</f>
        <v>12241</v>
      </c>
      <c r="BJ63" s="41">
        <f>IFERROR(ROUND(_xlfn.XLOOKUP(BJ$7,'Product Tgt'!$B:$B,'Product Tgt'!$G:$G)*AE63/AE$121,0),0)</f>
        <v>21440</v>
      </c>
      <c r="BK63" s="41">
        <f>IFERROR(ROUND(_xlfn.XLOOKUP(BK$7,'Product Tgt'!$B:$B,'Product Tgt'!$G:$G)*AF63/AF$121,0),0)</f>
        <v>1929</v>
      </c>
      <c r="BL63" s="41">
        <f>IFERROR(ROUND(_xlfn.XLOOKUP(BL$7,'Product Tgt'!$B:$B,'Product Tgt'!$G:$G)*AG63/AG$121,0),0)</f>
        <v>7461</v>
      </c>
      <c r="BM63" s="41">
        <f>IFERROR(ROUND(_xlfn.XLOOKUP(BM$7,'Product Tgt'!$B:$B,'Product Tgt'!$G:$G)*AH63/AH$121,0),0)</f>
        <v>624</v>
      </c>
      <c r="BN63" s="41">
        <f>IFERROR(ROUND(_xlfn.XLOOKUP(BN$7,'Product Tgt'!$B:$B,'Product Tgt'!$G:$G)*AI63/AI$121,0),0)</f>
        <v>3579</v>
      </c>
      <c r="BO63" s="41">
        <f>IFERROR(ROUND(_xlfn.XLOOKUP(BO$7,'Product Tgt'!$B:$B,'Product Tgt'!$G:$G)*AJ63/AJ$121,0),0)</f>
        <v>3325</v>
      </c>
      <c r="BP63" s="41">
        <f>IFERROR(ROUND(_xlfn.XLOOKUP(BP$7,'Product Tgt'!$B:$B,'Product Tgt'!$G:$G)*AK63/AK$121,0),0)</f>
        <v>1179</v>
      </c>
      <c r="BQ63" s="41">
        <f>IFERROR(ROUND(_xlfn.XLOOKUP(BQ$7,'Product Tgt'!$B:$B,'Product Tgt'!$G:$G)*AL63/AL$121,0),0)</f>
        <v>1915</v>
      </c>
      <c r="BR63" s="25">
        <f>ROUND(IFERROR(AM63/_xlfn.XLOOKUP(BR$7,'Product Tgt'!$B:$B,'Product Tgt'!$D:$D),0),0)</f>
        <v>0</v>
      </c>
      <c r="BS63" s="11">
        <f>ROUND(IFERROR(AN63/_xlfn.XLOOKUP(BS$7,'Product Tgt'!$B:$B,'Product Tgt'!$D:$D),0),0)</f>
        <v>0</v>
      </c>
      <c r="BT63" s="11">
        <f>ROUND(IFERROR(AO63/_xlfn.XLOOKUP(BT$7,'Product Tgt'!$B:$B,'Product Tgt'!$D:$D),0),0)</f>
        <v>0</v>
      </c>
      <c r="BU63" s="11">
        <f>ROUND(IFERROR(AP63/_xlfn.XLOOKUP(BU$7,'Product Tgt'!$B:$B,'Product Tgt'!$D:$D),0),0)</f>
        <v>0</v>
      </c>
      <c r="BV63" s="11">
        <f>ROUND(IFERROR(AQ63/_xlfn.XLOOKUP(BV$7,'Product Tgt'!$B:$B,'Product Tgt'!$D:$D),0),0)</f>
        <v>0</v>
      </c>
      <c r="BW63" s="11">
        <f>ROUND(IFERROR(AU63/_xlfn.XLOOKUP(BW$7,'Product Tgt'!$B:$B,'Product Tgt'!$D:$D),0),0)</f>
        <v>0</v>
      </c>
      <c r="BX63" s="11">
        <f>ROUND(IFERROR(#REF!/_xlfn.XLOOKUP(BX$7,'Product Tgt'!$B:$B,'Product Tgt'!$D:$D),0),0)</f>
        <v>0</v>
      </c>
      <c r="BY63" s="11">
        <f>ROUND(IFERROR(#REF!/_xlfn.XLOOKUP(BY$7,'Product Tgt'!$B:$B,'Product Tgt'!$D:$D),0),0)</f>
        <v>0</v>
      </c>
      <c r="BZ63" s="11">
        <f>ROUND(IFERROR(#REF!/_xlfn.XLOOKUP(BZ$7,'Product Tgt'!$B:$B,'Product Tgt'!$D:$D),0),0)</f>
        <v>0</v>
      </c>
      <c r="CA63" s="11">
        <f>ROUND(IFERROR(#REF!/_xlfn.XLOOKUP(CA$7,'Product Tgt'!$B:$B,'Product Tgt'!$D:$D),0),0)</f>
        <v>0</v>
      </c>
      <c r="CB63" s="11">
        <f>ROUND(IFERROR(AV63/_xlfn.XLOOKUP(CB$7,'Product Tgt'!$B:$B,'Product Tgt'!$D:$D),0),0)</f>
        <v>0</v>
      </c>
      <c r="CC63" s="11">
        <f>ROUND(IFERROR(AW63/_xlfn.XLOOKUP(CC$7,'Product Tgt'!$B:$B,'Product Tgt'!$D:$D),0),0)</f>
        <v>0</v>
      </c>
      <c r="CD63" s="11">
        <f>ROUND(IFERROR(AX63/_xlfn.XLOOKUP(CD$7,'Product Tgt'!$B:$B,'Product Tgt'!$D:$D),0),0)</f>
        <v>0</v>
      </c>
      <c r="CE63" s="11">
        <f>ROUND(IFERROR(AY63/_xlfn.XLOOKUP(CE$7,'Product Tgt'!$B:$B,'Product Tgt'!$D:$D),0),0)</f>
        <v>0</v>
      </c>
      <c r="CF63" s="11">
        <f>ROUND(IFERROR(AZ63/_xlfn.XLOOKUP(CF$7,'Product Tgt'!$B:$B,'Product Tgt'!$D:$D),0),0)</f>
        <v>0</v>
      </c>
      <c r="CG63" s="11">
        <f>ROUND(IFERROR(BA63/_xlfn.XLOOKUP(CG$7,'Product Tgt'!$B:$B,'Product Tgt'!$D:$D),0),0)</f>
        <v>0</v>
      </c>
      <c r="CH63" s="11">
        <f>ROUND(IFERROR(BB63/_xlfn.XLOOKUP(CH$7,'Product Tgt'!$B:$B,'Product Tgt'!$D:$D),0),0)</f>
        <v>0</v>
      </c>
      <c r="CI63" s="11">
        <f>ROUND(IFERROR(BC63/_xlfn.XLOOKUP(CI$7,'Product Tgt'!$B:$B,'Product Tgt'!$D:$D),0),0)</f>
        <v>0</v>
      </c>
      <c r="CJ63" s="11">
        <f>ROUND(IFERROR(BD63/_xlfn.XLOOKUP(CJ$7,'Product Tgt'!$B:$B,'Product Tgt'!$D:$D),0),0)</f>
        <v>0</v>
      </c>
      <c r="CK63" s="11">
        <f>ROUND(IFERROR(BE63/_xlfn.XLOOKUP(CK$7,'Product Tgt'!$B:$B,'Product Tgt'!$D:$D),0),0)</f>
        <v>0</v>
      </c>
      <c r="CL63" s="11">
        <f>ROUND(IFERROR(BF63/_xlfn.XLOOKUP(CL$7,'Product Tgt'!$B:$B,'Product Tgt'!$D:$D),0),0)</f>
        <v>0</v>
      </c>
      <c r="CM63" s="11">
        <f>ROUND(IFERROR(BG63/_xlfn.XLOOKUP(CM$7,'Product Tgt'!$B:$B,'Product Tgt'!$D:$D),0),0)</f>
        <v>0</v>
      </c>
      <c r="CN63" s="11">
        <f>ROUND(IFERROR(BH63/_xlfn.XLOOKUP(CN$7,'Product Tgt'!$B:$B,'Product Tgt'!$D:$D),0),0)</f>
        <v>0</v>
      </c>
      <c r="CO63" s="11">
        <f>ROUND(IFERROR(BI63/_xlfn.XLOOKUP(CO$7,'Product Tgt'!$B:$B,'Product Tgt'!$D:$D),0),0)</f>
        <v>0</v>
      </c>
      <c r="CP63" s="11">
        <f>ROUND(IFERROR(BJ63/_xlfn.XLOOKUP(CP$7,'Product Tgt'!$B:$B,'Product Tgt'!$D:$D),0),0)</f>
        <v>0</v>
      </c>
      <c r="CQ63" s="11">
        <f>ROUND(IFERROR(BK63/_xlfn.XLOOKUP(CQ$7,'Product Tgt'!$B:$B,'Product Tgt'!$D:$D),0),0)</f>
        <v>0</v>
      </c>
      <c r="CR63" s="11">
        <f>ROUND(IFERROR(BL63/_xlfn.XLOOKUP(CR$7,'Product Tgt'!$B:$B,'Product Tgt'!$D:$D),0),0)</f>
        <v>0</v>
      </c>
      <c r="CS63" s="11">
        <f>ROUND(IFERROR(BM63/_xlfn.XLOOKUP(CS$7,'Product Tgt'!$B:$B,'Product Tgt'!$D:$D),0),0)</f>
        <v>0</v>
      </c>
      <c r="CT63" s="11">
        <f>ROUND(IFERROR(BN63/_xlfn.XLOOKUP(CT$7,'Product Tgt'!$B:$B,'Product Tgt'!$D:$D),0),0)</f>
        <v>0</v>
      </c>
      <c r="CU63" s="11">
        <f>ROUND(IFERROR(BO63/_xlfn.XLOOKUP(CU$7,'Product Tgt'!$B:$B,'Product Tgt'!$D:$D),0),0)</f>
        <v>0</v>
      </c>
      <c r="CV63" s="11">
        <f>ROUND(IFERROR(BP63/_xlfn.XLOOKUP(CV$7,'Product Tgt'!$B:$B,'Product Tgt'!$D:$D),0),0)</f>
        <v>0</v>
      </c>
      <c r="CW63" s="11">
        <f>ROUND(IFERROR(BQ63/_xlfn.XLOOKUP(CW$7,'Product Tgt'!$B:$B,'Product Tgt'!$D:$D),0),0)</f>
        <v>0</v>
      </c>
      <c r="CX63" s="11">
        <f>ROUND(IFERROR(#REF!/_xlfn.XLOOKUP(CX$7,'Product Tgt'!$B:$B,'Product Tgt'!$D:$D),0),0)</f>
        <v>0</v>
      </c>
      <c r="CY63" s="11">
        <f>ROUND(IFERROR(#REF!/_xlfn.XLOOKUP(CY$7,'Product Tgt'!$B:$B,'Product Tgt'!$D:$D),0),0)</f>
        <v>0</v>
      </c>
      <c r="CZ63" s="11">
        <f>ROUND(IFERROR(#REF!/_xlfn.XLOOKUP(CZ$7,'Product Tgt'!$B:$B,'Product Tgt'!$D:$D),0),0)</f>
        <v>0</v>
      </c>
      <c r="DA63" s="10">
        <f>IFERROR(BR63*_xlfn.XLOOKUP(DA$7,'Product Tgt'!$B:$B,'Product Tgt'!$D:$D),0)</f>
        <v>0</v>
      </c>
      <c r="DB63">
        <f>IFERROR(BS63*_xlfn.XLOOKUP(DB$7,'Product Tgt'!$B:$B,'Product Tgt'!$D:$D),0)</f>
        <v>0</v>
      </c>
      <c r="DC63">
        <f>IFERROR(BT63*_xlfn.XLOOKUP(DC$7,'Product Tgt'!$B:$B,'Product Tgt'!$D:$D),0)</f>
        <v>0</v>
      </c>
      <c r="DD63">
        <f>IFERROR(BU63*_xlfn.XLOOKUP(DD$7,'Product Tgt'!$B:$B,'Product Tgt'!$D:$D),0)</f>
        <v>0</v>
      </c>
      <c r="DE63">
        <f>IFERROR(BV63*_xlfn.XLOOKUP(DE$7,'Product Tgt'!$B:$B,'Product Tgt'!$D:$D),0)</f>
        <v>0</v>
      </c>
      <c r="DF63">
        <f>IFERROR(BW63*_xlfn.XLOOKUP(DF$7,'Product Tgt'!$B:$B,'Product Tgt'!$D:$D),0)</f>
        <v>0</v>
      </c>
      <c r="DG63">
        <f>IFERROR(BX63*_xlfn.XLOOKUP(DG$7,'Product Tgt'!$B:$B,'Product Tgt'!$D:$D),0)</f>
        <v>0</v>
      </c>
      <c r="DH63">
        <f>IFERROR(BY63*_xlfn.XLOOKUP(DH$7,'Product Tgt'!$B:$B,'Product Tgt'!$D:$D),0)</f>
        <v>0</v>
      </c>
      <c r="DI63">
        <f>IFERROR(BZ63*_xlfn.XLOOKUP(DI$7,'Product Tgt'!$B:$B,'Product Tgt'!$D:$D),0)</f>
        <v>0</v>
      </c>
      <c r="DJ63">
        <f>IFERROR(CA63*_xlfn.XLOOKUP(DJ$7,'Product Tgt'!$B:$B,'Product Tgt'!$D:$D),0)</f>
        <v>0</v>
      </c>
      <c r="DK63">
        <f>IFERROR(CB63*_xlfn.XLOOKUP(DK$7,'Product Tgt'!$B:$B,'Product Tgt'!$D:$D),0)</f>
        <v>0</v>
      </c>
      <c r="DL63">
        <f>IFERROR(CC63*_xlfn.XLOOKUP(DL$7,'Product Tgt'!$B:$B,'Product Tgt'!$D:$D),0)</f>
        <v>0</v>
      </c>
      <c r="DM63">
        <f>IFERROR(CD63*_xlfn.XLOOKUP(DM$7,'Product Tgt'!$B:$B,'Product Tgt'!$D:$D),0)</f>
        <v>0</v>
      </c>
      <c r="DN63">
        <f>IFERROR(CE63*_xlfn.XLOOKUP(DN$7,'Product Tgt'!$B:$B,'Product Tgt'!$D:$D),0)</f>
        <v>0</v>
      </c>
      <c r="DO63">
        <f>IFERROR(CF63*_xlfn.XLOOKUP(DO$7,'Product Tgt'!$B:$B,'Product Tgt'!$D:$D),0)</f>
        <v>0</v>
      </c>
      <c r="DP63">
        <f>IFERROR(CG63*_xlfn.XLOOKUP(DP$7,'Product Tgt'!$B:$B,'Product Tgt'!$D:$D),0)</f>
        <v>0</v>
      </c>
      <c r="DQ63">
        <f>IFERROR(CH63*_xlfn.XLOOKUP(DQ$7,'Product Tgt'!$B:$B,'Product Tgt'!$D:$D),0)</f>
        <v>0</v>
      </c>
      <c r="DR63">
        <f>IFERROR(CI63*_xlfn.XLOOKUP(DR$7,'Product Tgt'!$B:$B,'Product Tgt'!$D:$D),0)</f>
        <v>0</v>
      </c>
      <c r="DS63">
        <f>IFERROR(CJ63*_xlfn.XLOOKUP(DS$7,'Product Tgt'!$B:$B,'Product Tgt'!$D:$D),0)</f>
        <v>0</v>
      </c>
      <c r="DT63">
        <f>IFERROR(CK63*_xlfn.XLOOKUP(DT$7,'Product Tgt'!$B:$B,'Product Tgt'!$D:$D),0)</f>
        <v>0</v>
      </c>
      <c r="DU63">
        <f>IFERROR(CL63*_xlfn.XLOOKUP(DU$7,'Product Tgt'!$B:$B,'Product Tgt'!$D:$D),0)</f>
        <v>0</v>
      </c>
      <c r="DV63">
        <f>IFERROR(CM63*_xlfn.XLOOKUP(DV$7,'Product Tgt'!$B:$B,'Product Tgt'!$D:$D),0)</f>
        <v>0</v>
      </c>
      <c r="DW63">
        <f>IFERROR(CN63*_xlfn.XLOOKUP(DW$7,'Product Tgt'!$B:$B,'Product Tgt'!$D:$D),0)</f>
        <v>0</v>
      </c>
      <c r="DX63">
        <f>IFERROR(CO63*_xlfn.XLOOKUP(DX$7,'Product Tgt'!$B:$B,'Product Tgt'!$D:$D),0)</f>
        <v>0</v>
      </c>
      <c r="DY63">
        <f>IFERROR(CP63*_xlfn.XLOOKUP(DY$7,'Product Tgt'!$B:$B,'Product Tgt'!$D:$D),0)</f>
        <v>0</v>
      </c>
      <c r="DZ63">
        <f>IFERROR(CQ63*_xlfn.XLOOKUP(DZ$7,'Product Tgt'!$B:$B,'Product Tgt'!$D:$D),0)</f>
        <v>0</v>
      </c>
      <c r="EA63">
        <f>IFERROR(CR63*_xlfn.XLOOKUP(EA$7,'Product Tgt'!$B:$B,'Product Tgt'!$D:$D),0)</f>
        <v>0</v>
      </c>
      <c r="EB63">
        <f>IFERROR(CS63*_xlfn.XLOOKUP(EB$7,'Product Tgt'!$B:$B,'Product Tgt'!$D:$D),0)</f>
        <v>0</v>
      </c>
      <c r="EC63">
        <f>IFERROR(CT63*_xlfn.XLOOKUP(EC$7,'Product Tgt'!$B:$B,'Product Tgt'!$D:$D),0)</f>
        <v>0</v>
      </c>
      <c r="ED63">
        <f>IFERROR(CU63*_xlfn.XLOOKUP(ED$7,'Product Tgt'!$B:$B,'Product Tgt'!$D:$D),0)</f>
        <v>0</v>
      </c>
      <c r="EE63">
        <f>IFERROR(CV63*_xlfn.XLOOKUP(EE$7,'Product Tgt'!$B:$B,'Product Tgt'!$D:$D),0)</f>
        <v>0</v>
      </c>
      <c r="EF63">
        <f>IFERROR(CW63*_xlfn.XLOOKUP(EF$7,'Product Tgt'!$B:$B,'Product Tgt'!$D:$D),0)</f>
        <v>0</v>
      </c>
      <c r="EG63">
        <f>IFERROR(CX63*_xlfn.XLOOKUP(EG$7,'Product Tgt'!$B:$B,'Product Tgt'!$D:$D),0)</f>
        <v>0</v>
      </c>
      <c r="EH63">
        <f>IFERROR(CY63*_xlfn.XLOOKUP(EH$7,'Product Tgt'!$B:$B,'Product Tgt'!$D:$D),0)</f>
        <v>0</v>
      </c>
      <c r="EI63">
        <f>IFERROR(CZ63*_xlfn.XLOOKUP(EI$7,'Product Tgt'!$B:$B,'Product Tgt'!$D:$D),0)</f>
        <v>0</v>
      </c>
    </row>
    <row r="64" spans="2:139" x14ac:dyDescent="0.35">
      <c r="B64" s="7" t="s">
        <v>173</v>
      </c>
      <c r="C64" s="3">
        <f>_xlfn.XLOOKUP($B64,'Terr Target'!$A:$A,'Terr Target'!$E:$E)</f>
        <v>441061.7064550427</v>
      </c>
      <c r="D64" s="3">
        <f t="shared" si="8"/>
        <v>441064</v>
      </c>
      <c r="E64" s="4">
        <f t="shared" si="9"/>
        <v>2.2935449572978541</v>
      </c>
      <c r="F64" s="9">
        <f t="shared" si="7"/>
        <v>5.2000275635686754E-6</v>
      </c>
      <c r="G64" s="5">
        <f t="shared" si="6"/>
        <v>0.99999479997243645</v>
      </c>
      <c r="H64" s="38">
        <v>46953.442550438856</v>
      </c>
      <c r="I64" s="11">
        <v>93757.214090705893</v>
      </c>
      <c r="J64" s="11">
        <v>42385.235127832872</v>
      </c>
      <c r="K64" s="11">
        <v>46890.479699229189</v>
      </c>
      <c r="L64" s="11">
        <v>52293.929316388341</v>
      </c>
      <c r="M64" s="11">
        <v>38455.078443314596</v>
      </c>
      <c r="N64" s="11">
        <v>587.65659248907696</v>
      </c>
      <c r="O64" s="11">
        <v>8205.4357063368461</v>
      </c>
      <c r="P64" s="11">
        <v>1379.1767945013446</v>
      </c>
      <c r="Q64" s="11">
        <v>1273.8045054506542</v>
      </c>
      <c r="R64" s="11">
        <v>5835.180677459517</v>
      </c>
      <c r="S64" s="11">
        <v>11656.579530570232</v>
      </c>
      <c r="T64" s="11">
        <v>0</v>
      </c>
      <c r="U64" s="11">
        <v>1375.1993560168416</v>
      </c>
      <c r="V64" s="11">
        <v>20755.308146141564</v>
      </c>
      <c r="W64" s="11">
        <v>24110.277507819672</v>
      </c>
      <c r="X64" s="11">
        <v>2517.7384478826925</v>
      </c>
      <c r="Y64" s="11">
        <v>2772.274623698449</v>
      </c>
      <c r="Z64" s="11">
        <v>265.52384962919541</v>
      </c>
      <c r="AA64" s="11">
        <v>6293.3119857007614</v>
      </c>
      <c r="AB64" s="11">
        <v>1732.2142343858129</v>
      </c>
      <c r="AC64" s="11">
        <v>389.79891507748528</v>
      </c>
      <c r="AD64" s="11">
        <v>5236.2579904630866</v>
      </c>
      <c r="AE64" s="11">
        <v>12017.830380925199</v>
      </c>
      <c r="AF64" s="11">
        <v>710.91741112381851</v>
      </c>
      <c r="AG64" s="11">
        <v>14336.686960986541</v>
      </c>
      <c r="AH64" s="11">
        <v>1191.2428261085875</v>
      </c>
      <c r="AI64" s="11">
        <v>7553.1755692632332</v>
      </c>
      <c r="AJ64" s="11">
        <v>7092.7671774896107</v>
      </c>
      <c r="AK64" s="11">
        <v>625.51186326533218</v>
      </c>
      <c r="AL64" s="49">
        <v>1139.4168026555162</v>
      </c>
      <c r="AM64" s="41">
        <f>IFERROR(ROUND(_xlfn.XLOOKUP(AM$7,'Product Tgt'!$B:$B,'Product Tgt'!$G:$G)*H64/H$121,0),0)</f>
        <v>45646</v>
      </c>
      <c r="AN64" s="41">
        <f>IFERROR(ROUND(_xlfn.XLOOKUP(AN$7,'Product Tgt'!$B:$B,'Product Tgt'!$G:$G)*I64/I$121,0),0)</f>
        <v>92295</v>
      </c>
      <c r="AO64" s="41">
        <f>IFERROR(ROUND(_xlfn.XLOOKUP(AO$7,'Product Tgt'!$B:$B,'Product Tgt'!$G:$G)*J64/J$121,0),0)</f>
        <v>41067</v>
      </c>
      <c r="AP64" s="41">
        <f>IFERROR(ROUND(_xlfn.XLOOKUP(AP$7,'Product Tgt'!$B:$B,'Product Tgt'!$G:$G)*K64/K$121,0),0)</f>
        <v>45743</v>
      </c>
      <c r="AQ64" s="41">
        <f>IFERROR(ROUND(_xlfn.XLOOKUP(AQ$7,'Product Tgt'!$B:$B,'Product Tgt'!$G:$G)*L64/L$121,0),0)</f>
        <v>50565</v>
      </c>
      <c r="AR64" s="41">
        <f>IFERROR(ROUND(_xlfn.XLOOKUP(AR$7,'Product Tgt'!$B:$B,'Product Tgt'!$G:$G)*M64/M$121,0),0)</f>
        <v>37255</v>
      </c>
      <c r="AS64" s="41">
        <f>IFERROR(ROUND(_xlfn.XLOOKUP(AS$7,'Product Tgt'!$B:$B,'Product Tgt'!$G:$G)*N64/N$121,0),0)</f>
        <v>543</v>
      </c>
      <c r="AT64" s="41">
        <f>IFERROR(ROUND(_xlfn.XLOOKUP(AT$7,'Product Tgt'!$B:$B,'Product Tgt'!$G:$G)*O64/O$121,0),0)</f>
        <v>7386</v>
      </c>
      <c r="AU64" s="41">
        <f>IFERROR(ROUND(_xlfn.XLOOKUP(AU$7,'Product Tgt'!$B:$B,'Product Tgt'!$G:$G)*P64/P$121,0),0)</f>
        <v>588</v>
      </c>
      <c r="AV64" s="41">
        <f>IFERROR(ROUND(_xlfn.XLOOKUP(AV$7,'Product Tgt'!$B:$B,'Product Tgt'!$G:$G)*Q64/Q$121,0),0)</f>
        <v>956</v>
      </c>
      <c r="AW64" s="41">
        <f>IFERROR(ROUND(_xlfn.XLOOKUP(AW$7,'Product Tgt'!$B:$B,'Product Tgt'!$G:$G)*R64/R$121,0),0)</f>
        <v>5620</v>
      </c>
      <c r="AX64" s="41">
        <f>IFERROR(ROUND(_xlfn.XLOOKUP(AX$7,'Product Tgt'!$B:$B,'Product Tgt'!$G:$G)*S64/S$121,0),0)</f>
        <v>11227</v>
      </c>
      <c r="AY64" s="41">
        <f>IFERROR(ROUND(_xlfn.XLOOKUP(AY$7,'Product Tgt'!$B:$B,'Product Tgt'!$G:$G)*T64/T$121,0),0)</f>
        <v>0</v>
      </c>
      <c r="AZ64" s="41">
        <f>IFERROR(ROUND(_xlfn.XLOOKUP(AZ$7,'Product Tgt'!$B:$B,'Product Tgt'!$G:$G)*U64/U$121,0),0)</f>
        <v>1316</v>
      </c>
      <c r="BA64" s="41">
        <f>IFERROR(ROUND(_xlfn.XLOOKUP(BA$7,'Product Tgt'!$B:$B,'Product Tgt'!$G:$G)*V64/V$121,0),0)</f>
        <v>19983</v>
      </c>
      <c r="BB64" s="41">
        <f>IFERROR(ROUND(_xlfn.XLOOKUP(BB$7,'Product Tgt'!$B:$B,'Product Tgt'!$G:$G)*W64/W$121,0),0)</f>
        <v>23079</v>
      </c>
      <c r="BC64" s="41">
        <f>IFERROR(ROUND(_xlfn.XLOOKUP(BC$7,'Product Tgt'!$B:$B,'Product Tgt'!$G:$G)*X64/X$121,0),0)</f>
        <v>2436</v>
      </c>
      <c r="BD64" s="41">
        <f>IFERROR(ROUND(_xlfn.XLOOKUP(BD$7,'Product Tgt'!$B:$B,'Product Tgt'!$G:$G)*Y64/Y$121,0),0)</f>
        <v>2681</v>
      </c>
      <c r="BE64" s="41">
        <f>IFERROR(ROUND(_xlfn.XLOOKUP(BE$7,'Product Tgt'!$B:$B,'Product Tgt'!$G:$G)*Z64/Z$121,0),0)</f>
        <v>252</v>
      </c>
      <c r="BF64" s="41">
        <f>IFERROR(ROUND(_xlfn.XLOOKUP(BF$7,'Product Tgt'!$B:$B,'Product Tgt'!$G:$G)*AA64/AA$121,0),0)</f>
        <v>5100</v>
      </c>
      <c r="BG64" s="41">
        <f>IFERROR(ROUND(_xlfn.XLOOKUP(BG$7,'Product Tgt'!$B:$B,'Product Tgt'!$G:$G)*AB64/AB$121,0),0)</f>
        <v>1388</v>
      </c>
      <c r="BH64" s="41">
        <f>IFERROR(ROUND(_xlfn.XLOOKUP(BH$7,'Product Tgt'!$B:$B,'Product Tgt'!$G:$G)*AC64/AC$121,0),0)</f>
        <v>334</v>
      </c>
      <c r="BI64" s="41">
        <f>IFERROR(ROUND(_xlfn.XLOOKUP(BI$7,'Product Tgt'!$B:$B,'Product Tgt'!$G:$G)*AD64/AD$121,0),0)</f>
        <v>4558</v>
      </c>
      <c r="BJ64" s="41">
        <f>IFERROR(ROUND(_xlfn.XLOOKUP(BJ$7,'Product Tgt'!$B:$B,'Product Tgt'!$G:$G)*AE64/AE$121,0),0)</f>
        <v>11185</v>
      </c>
      <c r="BK64" s="41">
        <f>IFERROR(ROUND(_xlfn.XLOOKUP(BK$7,'Product Tgt'!$B:$B,'Product Tgt'!$G:$G)*AF64/AF$121,0),0)</f>
        <v>794</v>
      </c>
      <c r="BL64" s="41">
        <f>IFERROR(ROUND(_xlfn.XLOOKUP(BL$7,'Product Tgt'!$B:$B,'Product Tgt'!$G:$G)*AG64/AG$121,0),0)</f>
        <v>13694</v>
      </c>
      <c r="BM64" s="41">
        <f>IFERROR(ROUND(_xlfn.XLOOKUP(BM$7,'Product Tgt'!$B:$B,'Product Tgt'!$G:$G)*AH64/AH$121,0),0)</f>
        <v>934</v>
      </c>
      <c r="BN64" s="41">
        <f>IFERROR(ROUND(_xlfn.XLOOKUP(BN$7,'Product Tgt'!$B:$B,'Product Tgt'!$G:$G)*AI64/AI$121,0),0)</f>
        <v>6937</v>
      </c>
      <c r="BO64" s="41">
        <f>IFERROR(ROUND(_xlfn.XLOOKUP(BO$7,'Product Tgt'!$B:$B,'Product Tgt'!$G:$G)*AJ64/AJ$121,0),0)</f>
        <v>6135</v>
      </c>
      <c r="BP64" s="41">
        <f>IFERROR(ROUND(_xlfn.XLOOKUP(BP$7,'Product Tgt'!$B:$B,'Product Tgt'!$G:$G)*AK64/AK$121,0),0)</f>
        <v>476</v>
      </c>
      <c r="BQ64" s="41">
        <f>IFERROR(ROUND(_xlfn.XLOOKUP(BQ$7,'Product Tgt'!$B:$B,'Product Tgt'!$G:$G)*AL64/AL$121,0),0)</f>
        <v>891</v>
      </c>
      <c r="BR64" s="25">
        <f>ROUND(IFERROR(AM64/_xlfn.XLOOKUP(BR$7,'Product Tgt'!$B:$B,'Product Tgt'!$D:$D),0),0)</f>
        <v>0</v>
      </c>
      <c r="BS64" s="11">
        <f>ROUND(IFERROR(AN64/_xlfn.XLOOKUP(BS$7,'Product Tgt'!$B:$B,'Product Tgt'!$D:$D),0),0)</f>
        <v>0</v>
      </c>
      <c r="BT64" s="11">
        <f>ROUND(IFERROR(AO64/_xlfn.XLOOKUP(BT$7,'Product Tgt'!$B:$B,'Product Tgt'!$D:$D),0),0)</f>
        <v>0</v>
      </c>
      <c r="BU64" s="11">
        <f>ROUND(IFERROR(AP64/_xlfn.XLOOKUP(BU$7,'Product Tgt'!$B:$B,'Product Tgt'!$D:$D),0),0)</f>
        <v>0</v>
      </c>
      <c r="BV64" s="11">
        <f>ROUND(IFERROR(AQ64/_xlfn.XLOOKUP(BV$7,'Product Tgt'!$B:$B,'Product Tgt'!$D:$D),0),0)</f>
        <v>0</v>
      </c>
      <c r="BW64" s="11">
        <f>ROUND(IFERROR(AU64/_xlfn.XLOOKUP(BW$7,'Product Tgt'!$B:$B,'Product Tgt'!$D:$D),0),0)</f>
        <v>0</v>
      </c>
      <c r="BX64" s="11">
        <f>ROUND(IFERROR(#REF!/_xlfn.XLOOKUP(BX$7,'Product Tgt'!$B:$B,'Product Tgt'!$D:$D),0),0)</f>
        <v>0</v>
      </c>
      <c r="BY64" s="11">
        <f>ROUND(IFERROR(#REF!/_xlfn.XLOOKUP(BY$7,'Product Tgt'!$B:$B,'Product Tgt'!$D:$D),0),0)</f>
        <v>0</v>
      </c>
      <c r="BZ64" s="11">
        <f>ROUND(IFERROR(#REF!/_xlfn.XLOOKUP(BZ$7,'Product Tgt'!$B:$B,'Product Tgt'!$D:$D),0),0)</f>
        <v>0</v>
      </c>
      <c r="CA64" s="11">
        <f>ROUND(IFERROR(#REF!/_xlfn.XLOOKUP(CA$7,'Product Tgt'!$B:$B,'Product Tgt'!$D:$D),0),0)</f>
        <v>0</v>
      </c>
      <c r="CB64" s="11">
        <f>ROUND(IFERROR(AV64/_xlfn.XLOOKUP(CB$7,'Product Tgt'!$B:$B,'Product Tgt'!$D:$D),0),0)</f>
        <v>0</v>
      </c>
      <c r="CC64" s="11">
        <f>ROUND(IFERROR(AW64/_xlfn.XLOOKUP(CC$7,'Product Tgt'!$B:$B,'Product Tgt'!$D:$D),0),0)</f>
        <v>0</v>
      </c>
      <c r="CD64" s="11">
        <f>ROUND(IFERROR(AX64/_xlfn.XLOOKUP(CD$7,'Product Tgt'!$B:$B,'Product Tgt'!$D:$D),0),0)</f>
        <v>0</v>
      </c>
      <c r="CE64" s="11">
        <f>ROUND(IFERROR(AY64/_xlfn.XLOOKUP(CE$7,'Product Tgt'!$B:$B,'Product Tgt'!$D:$D),0),0)</f>
        <v>0</v>
      </c>
      <c r="CF64" s="11">
        <f>ROUND(IFERROR(AZ64/_xlfn.XLOOKUP(CF$7,'Product Tgt'!$B:$B,'Product Tgt'!$D:$D),0),0)</f>
        <v>0</v>
      </c>
      <c r="CG64" s="11">
        <f>ROUND(IFERROR(BA64/_xlfn.XLOOKUP(CG$7,'Product Tgt'!$B:$B,'Product Tgt'!$D:$D),0),0)</f>
        <v>0</v>
      </c>
      <c r="CH64" s="11">
        <f>ROUND(IFERROR(BB64/_xlfn.XLOOKUP(CH$7,'Product Tgt'!$B:$B,'Product Tgt'!$D:$D),0),0)</f>
        <v>0</v>
      </c>
      <c r="CI64" s="11">
        <f>ROUND(IFERROR(BC64/_xlfn.XLOOKUP(CI$7,'Product Tgt'!$B:$B,'Product Tgt'!$D:$D),0),0)</f>
        <v>0</v>
      </c>
      <c r="CJ64" s="11">
        <f>ROUND(IFERROR(BD64/_xlfn.XLOOKUP(CJ$7,'Product Tgt'!$B:$B,'Product Tgt'!$D:$D),0),0)</f>
        <v>0</v>
      </c>
      <c r="CK64" s="11">
        <f>ROUND(IFERROR(BE64/_xlfn.XLOOKUP(CK$7,'Product Tgt'!$B:$B,'Product Tgt'!$D:$D),0),0)</f>
        <v>0</v>
      </c>
      <c r="CL64" s="11">
        <f>ROUND(IFERROR(BF64/_xlfn.XLOOKUP(CL$7,'Product Tgt'!$B:$B,'Product Tgt'!$D:$D),0),0)</f>
        <v>0</v>
      </c>
      <c r="CM64" s="11">
        <f>ROUND(IFERROR(BG64/_xlfn.XLOOKUP(CM$7,'Product Tgt'!$B:$B,'Product Tgt'!$D:$D),0),0)</f>
        <v>0</v>
      </c>
      <c r="CN64" s="11">
        <f>ROUND(IFERROR(BH64/_xlfn.XLOOKUP(CN$7,'Product Tgt'!$B:$B,'Product Tgt'!$D:$D),0),0)</f>
        <v>0</v>
      </c>
      <c r="CO64" s="11">
        <f>ROUND(IFERROR(BI64/_xlfn.XLOOKUP(CO$7,'Product Tgt'!$B:$B,'Product Tgt'!$D:$D),0),0)</f>
        <v>0</v>
      </c>
      <c r="CP64" s="11">
        <f>ROUND(IFERROR(BJ64/_xlfn.XLOOKUP(CP$7,'Product Tgt'!$B:$B,'Product Tgt'!$D:$D),0),0)</f>
        <v>0</v>
      </c>
      <c r="CQ64" s="11">
        <f>ROUND(IFERROR(BK64/_xlfn.XLOOKUP(CQ$7,'Product Tgt'!$B:$B,'Product Tgt'!$D:$D),0),0)</f>
        <v>0</v>
      </c>
      <c r="CR64" s="11">
        <f>ROUND(IFERROR(BL64/_xlfn.XLOOKUP(CR$7,'Product Tgt'!$B:$B,'Product Tgt'!$D:$D),0),0)</f>
        <v>0</v>
      </c>
      <c r="CS64" s="11">
        <f>ROUND(IFERROR(BM64/_xlfn.XLOOKUP(CS$7,'Product Tgt'!$B:$B,'Product Tgt'!$D:$D),0),0)</f>
        <v>0</v>
      </c>
      <c r="CT64" s="11">
        <f>ROUND(IFERROR(BN64/_xlfn.XLOOKUP(CT$7,'Product Tgt'!$B:$B,'Product Tgt'!$D:$D),0),0)</f>
        <v>0</v>
      </c>
      <c r="CU64" s="11">
        <f>ROUND(IFERROR(BO64/_xlfn.XLOOKUP(CU$7,'Product Tgt'!$B:$B,'Product Tgt'!$D:$D),0),0)</f>
        <v>0</v>
      </c>
      <c r="CV64" s="11">
        <f>ROUND(IFERROR(BP64/_xlfn.XLOOKUP(CV$7,'Product Tgt'!$B:$B,'Product Tgt'!$D:$D),0),0)</f>
        <v>0</v>
      </c>
      <c r="CW64" s="11">
        <f>ROUND(IFERROR(BQ64/_xlfn.XLOOKUP(CW$7,'Product Tgt'!$B:$B,'Product Tgt'!$D:$D),0),0)</f>
        <v>0</v>
      </c>
      <c r="CX64" s="11">
        <f>ROUND(IFERROR(#REF!/_xlfn.XLOOKUP(CX$7,'Product Tgt'!$B:$B,'Product Tgt'!$D:$D),0),0)</f>
        <v>0</v>
      </c>
      <c r="CY64" s="11">
        <f>ROUND(IFERROR(#REF!/_xlfn.XLOOKUP(CY$7,'Product Tgt'!$B:$B,'Product Tgt'!$D:$D),0),0)</f>
        <v>0</v>
      </c>
      <c r="CZ64" s="11">
        <f>ROUND(IFERROR(#REF!/_xlfn.XLOOKUP(CZ$7,'Product Tgt'!$B:$B,'Product Tgt'!$D:$D),0),0)</f>
        <v>0</v>
      </c>
      <c r="DA64" s="10">
        <f>IFERROR(BR64*_xlfn.XLOOKUP(DA$7,'Product Tgt'!$B:$B,'Product Tgt'!$D:$D),0)</f>
        <v>0</v>
      </c>
      <c r="DB64">
        <f>IFERROR(BS64*_xlfn.XLOOKUP(DB$7,'Product Tgt'!$B:$B,'Product Tgt'!$D:$D),0)</f>
        <v>0</v>
      </c>
      <c r="DC64">
        <f>IFERROR(BT64*_xlfn.XLOOKUP(DC$7,'Product Tgt'!$B:$B,'Product Tgt'!$D:$D),0)</f>
        <v>0</v>
      </c>
      <c r="DD64">
        <f>IFERROR(BU64*_xlfn.XLOOKUP(DD$7,'Product Tgt'!$B:$B,'Product Tgt'!$D:$D),0)</f>
        <v>0</v>
      </c>
      <c r="DE64">
        <f>IFERROR(BV64*_xlfn.XLOOKUP(DE$7,'Product Tgt'!$B:$B,'Product Tgt'!$D:$D),0)</f>
        <v>0</v>
      </c>
      <c r="DF64">
        <f>IFERROR(BW64*_xlfn.XLOOKUP(DF$7,'Product Tgt'!$B:$B,'Product Tgt'!$D:$D),0)</f>
        <v>0</v>
      </c>
      <c r="DG64">
        <f>IFERROR(BX64*_xlfn.XLOOKUP(DG$7,'Product Tgt'!$B:$B,'Product Tgt'!$D:$D),0)</f>
        <v>0</v>
      </c>
      <c r="DH64">
        <f>IFERROR(BY64*_xlfn.XLOOKUP(DH$7,'Product Tgt'!$B:$B,'Product Tgt'!$D:$D),0)</f>
        <v>0</v>
      </c>
      <c r="DI64">
        <f>IFERROR(BZ64*_xlfn.XLOOKUP(DI$7,'Product Tgt'!$B:$B,'Product Tgt'!$D:$D),0)</f>
        <v>0</v>
      </c>
      <c r="DJ64">
        <f>IFERROR(CA64*_xlfn.XLOOKUP(DJ$7,'Product Tgt'!$B:$B,'Product Tgt'!$D:$D),0)</f>
        <v>0</v>
      </c>
      <c r="DK64">
        <f>IFERROR(CB64*_xlfn.XLOOKUP(DK$7,'Product Tgt'!$B:$B,'Product Tgt'!$D:$D),0)</f>
        <v>0</v>
      </c>
      <c r="DL64">
        <f>IFERROR(CC64*_xlfn.XLOOKUP(DL$7,'Product Tgt'!$B:$B,'Product Tgt'!$D:$D),0)</f>
        <v>0</v>
      </c>
      <c r="DM64">
        <f>IFERROR(CD64*_xlfn.XLOOKUP(DM$7,'Product Tgt'!$B:$B,'Product Tgt'!$D:$D),0)</f>
        <v>0</v>
      </c>
      <c r="DN64">
        <f>IFERROR(CE64*_xlfn.XLOOKUP(DN$7,'Product Tgt'!$B:$B,'Product Tgt'!$D:$D),0)</f>
        <v>0</v>
      </c>
      <c r="DO64">
        <f>IFERROR(CF64*_xlfn.XLOOKUP(DO$7,'Product Tgt'!$B:$B,'Product Tgt'!$D:$D),0)</f>
        <v>0</v>
      </c>
      <c r="DP64">
        <f>IFERROR(CG64*_xlfn.XLOOKUP(DP$7,'Product Tgt'!$B:$B,'Product Tgt'!$D:$D),0)</f>
        <v>0</v>
      </c>
      <c r="DQ64">
        <f>IFERROR(CH64*_xlfn.XLOOKUP(DQ$7,'Product Tgt'!$B:$B,'Product Tgt'!$D:$D),0)</f>
        <v>0</v>
      </c>
      <c r="DR64">
        <f>IFERROR(CI64*_xlfn.XLOOKUP(DR$7,'Product Tgt'!$B:$B,'Product Tgt'!$D:$D),0)</f>
        <v>0</v>
      </c>
      <c r="DS64">
        <f>IFERROR(CJ64*_xlfn.XLOOKUP(DS$7,'Product Tgt'!$B:$B,'Product Tgt'!$D:$D),0)</f>
        <v>0</v>
      </c>
      <c r="DT64">
        <f>IFERROR(CK64*_xlfn.XLOOKUP(DT$7,'Product Tgt'!$B:$B,'Product Tgt'!$D:$D),0)</f>
        <v>0</v>
      </c>
      <c r="DU64">
        <f>IFERROR(CL64*_xlfn.XLOOKUP(DU$7,'Product Tgt'!$B:$B,'Product Tgt'!$D:$D),0)</f>
        <v>0</v>
      </c>
      <c r="DV64">
        <f>IFERROR(CM64*_xlfn.XLOOKUP(DV$7,'Product Tgt'!$B:$B,'Product Tgt'!$D:$D),0)</f>
        <v>0</v>
      </c>
      <c r="DW64">
        <f>IFERROR(CN64*_xlfn.XLOOKUP(DW$7,'Product Tgt'!$B:$B,'Product Tgt'!$D:$D),0)</f>
        <v>0</v>
      </c>
      <c r="DX64">
        <f>IFERROR(CO64*_xlfn.XLOOKUP(DX$7,'Product Tgt'!$B:$B,'Product Tgt'!$D:$D),0)</f>
        <v>0</v>
      </c>
      <c r="DY64">
        <f>IFERROR(CP64*_xlfn.XLOOKUP(DY$7,'Product Tgt'!$B:$B,'Product Tgt'!$D:$D),0)</f>
        <v>0</v>
      </c>
      <c r="DZ64">
        <f>IFERROR(CQ64*_xlfn.XLOOKUP(DZ$7,'Product Tgt'!$B:$B,'Product Tgt'!$D:$D),0)</f>
        <v>0</v>
      </c>
      <c r="EA64">
        <f>IFERROR(CR64*_xlfn.XLOOKUP(EA$7,'Product Tgt'!$B:$B,'Product Tgt'!$D:$D),0)</f>
        <v>0</v>
      </c>
      <c r="EB64">
        <f>IFERROR(CS64*_xlfn.XLOOKUP(EB$7,'Product Tgt'!$B:$B,'Product Tgt'!$D:$D),0)</f>
        <v>0</v>
      </c>
      <c r="EC64">
        <f>IFERROR(CT64*_xlfn.XLOOKUP(EC$7,'Product Tgt'!$B:$B,'Product Tgt'!$D:$D),0)</f>
        <v>0</v>
      </c>
      <c r="ED64">
        <f>IFERROR(CU64*_xlfn.XLOOKUP(ED$7,'Product Tgt'!$B:$B,'Product Tgt'!$D:$D),0)</f>
        <v>0</v>
      </c>
      <c r="EE64">
        <f>IFERROR(CV64*_xlfn.XLOOKUP(EE$7,'Product Tgt'!$B:$B,'Product Tgt'!$D:$D),0)</f>
        <v>0</v>
      </c>
      <c r="EF64">
        <f>IFERROR(CW64*_xlfn.XLOOKUP(EF$7,'Product Tgt'!$B:$B,'Product Tgt'!$D:$D),0)</f>
        <v>0</v>
      </c>
      <c r="EG64">
        <f>IFERROR(CX64*_xlfn.XLOOKUP(EG$7,'Product Tgt'!$B:$B,'Product Tgt'!$D:$D),0)</f>
        <v>0</v>
      </c>
      <c r="EH64">
        <f>IFERROR(CY64*_xlfn.XLOOKUP(EH$7,'Product Tgt'!$B:$B,'Product Tgt'!$D:$D),0)</f>
        <v>0</v>
      </c>
      <c r="EI64">
        <f>IFERROR(CZ64*_xlfn.XLOOKUP(EI$7,'Product Tgt'!$B:$B,'Product Tgt'!$D:$D),0)</f>
        <v>0</v>
      </c>
    </row>
    <row r="65" spans="2:139" x14ac:dyDescent="0.35">
      <c r="B65" s="7" t="s">
        <v>174</v>
      </c>
      <c r="C65" s="3">
        <f>_xlfn.XLOOKUP($B65,'Terr Target'!$A:$A,'Terr Target'!$E:$E)</f>
        <v>499507.9142797931</v>
      </c>
      <c r="D65" s="3">
        <f t="shared" si="8"/>
        <v>499512</v>
      </c>
      <c r="E65" s="4">
        <f t="shared" si="9"/>
        <v>4.0857202069018967</v>
      </c>
      <c r="F65" s="9">
        <f t="shared" si="7"/>
        <v>8.1794235311702154E-6</v>
      </c>
      <c r="G65" s="5">
        <f t="shared" si="6"/>
        <v>0.99999182057646885</v>
      </c>
      <c r="H65" s="38">
        <v>50470.328815034787</v>
      </c>
      <c r="I65" s="11">
        <v>112243.91146384054</v>
      </c>
      <c r="J65" s="11">
        <v>40362.393870197273</v>
      </c>
      <c r="K65" s="11">
        <v>43402.061196706723</v>
      </c>
      <c r="L65" s="11">
        <v>68426.20268911391</v>
      </c>
      <c r="M65" s="11">
        <v>46730.147403513663</v>
      </c>
      <c r="N65" s="11">
        <v>596.03251719646323</v>
      </c>
      <c r="O65" s="11">
        <v>11607.384751742766</v>
      </c>
      <c r="P65" s="11">
        <v>1624.9669970405857</v>
      </c>
      <c r="Q65" s="11">
        <v>1691.6461385576977</v>
      </c>
      <c r="R65" s="11">
        <v>8574.3445418204519</v>
      </c>
      <c r="S65" s="11">
        <v>14162.386961721255</v>
      </c>
      <c r="T65" s="11">
        <v>0</v>
      </c>
      <c r="U65" s="11">
        <v>1922.450897174235</v>
      </c>
      <c r="V65" s="11">
        <v>22006.843172035711</v>
      </c>
      <c r="W65" s="11">
        <v>28208.072987505682</v>
      </c>
      <c r="X65" s="11">
        <v>3007.0889786021203</v>
      </c>
      <c r="Y65" s="11">
        <v>3284.7114302253749</v>
      </c>
      <c r="Z65" s="11">
        <v>298.53866643730765</v>
      </c>
      <c r="AA65" s="11">
        <v>6670.9092899885836</v>
      </c>
      <c r="AB65" s="11">
        <v>1934.4513515347242</v>
      </c>
      <c r="AC65" s="11">
        <v>442.8028350263379</v>
      </c>
      <c r="AD65" s="11">
        <v>4842.9495326213164</v>
      </c>
      <c r="AE65" s="11">
        <v>7144.5292122076526</v>
      </c>
      <c r="AF65" s="11">
        <v>808.98585365486008</v>
      </c>
      <c r="AG65" s="11">
        <v>16950.890549828466</v>
      </c>
      <c r="AH65" s="11">
        <v>1094.5588550575765</v>
      </c>
      <c r="AI65" s="11">
        <v>8929.7112305237242</v>
      </c>
      <c r="AJ65" s="11">
        <v>9852.1342149493757</v>
      </c>
      <c r="AK65" s="11">
        <v>1496.7332861420593</v>
      </c>
      <c r="AL65" s="49">
        <v>2296.3655518210826</v>
      </c>
      <c r="AM65" s="41">
        <f>IFERROR(ROUND(_xlfn.XLOOKUP(AM$7,'Product Tgt'!$B:$B,'Product Tgt'!$G:$G)*H65/H$121,0),0)</f>
        <v>49065</v>
      </c>
      <c r="AN65" s="41">
        <f>IFERROR(ROUND(_xlfn.XLOOKUP(AN$7,'Product Tgt'!$B:$B,'Product Tgt'!$G:$G)*I65/I$121,0),0)</f>
        <v>110493</v>
      </c>
      <c r="AO65" s="41">
        <f>IFERROR(ROUND(_xlfn.XLOOKUP(AO$7,'Product Tgt'!$B:$B,'Product Tgt'!$G:$G)*J65/J$121,0),0)</f>
        <v>39107</v>
      </c>
      <c r="AP65" s="41">
        <f>IFERROR(ROUND(_xlfn.XLOOKUP(AP$7,'Product Tgt'!$B:$B,'Product Tgt'!$G:$G)*K65/K$121,0),0)</f>
        <v>42340</v>
      </c>
      <c r="AQ65" s="41">
        <f>IFERROR(ROUND(_xlfn.XLOOKUP(AQ$7,'Product Tgt'!$B:$B,'Product Tgt'!$G:$G)*L65/L$121,0),0)</f>
        <v>66164</v>
      </c>
      <c r="AR65" s="41">
        <f>IFERROR(ROUND(_xlfn.XLOOKUP(AR$7,'Product Tgt'!$B:$B,'Product Tgt'!$G:$G)*M65/M$121,0),0)</f>
        <v>45272</v>
      </c>
      <c r="AS65" s="41">
        <f>IFERROR(ROUND(_xlfn.XLOOKUP(AS$7,'Product Tgt'!$B:$B,'Product Tgt'!$G:$G)*N65/N$121,0),0)</f>
        <v>551</v>
      </c>
      <c r="AT65" s="41">
        <f>IFERROR(ROUND(_xlfn.XLOOKUP(AT$7,'Product Tgt'!$B:$B,'Product Tgt'!$G:$G)*O65/O$121,0),0)</f>
        <v>10448</v>
      </c>
      <c r="AU65" s="41">
        <f>IFERROR(ROUND(_xlfn.XLOOKUP(AU$7,'Product Tgt'!$B:$B,'Product Tgt'!$G:$G)*P65/P$121,0),0)</f>
        <v>693</v>
      </c>
      <c r="AV65" s="41">
        <f>IFERROR(ROUND(_xlfn.XLOOKUP(AV$7,'Product Tgt'!$B:$B,'Product Tgt'!$G:$G)*Q65/Q$121,0),0)</f>
        <v>1269</v>
      </c>
      <c r="AW65" s="41">
        <f>IFERROR(ROUND(_xlfn.XLOOKUP(AW$7,'Product Tgt'!$B:$B,'Product Tgt'!$G:$G)*R65/R$121,0),0)</f>
        <v>8258</v>
      </c>
      <c r="AX65" s="41">
        <f>IFERROR(ROUND(_xlfn.XLOOKUP(AX$7,'Product Tgt'!$B:$B,'Product Tgt'!$G:$G)*S65/S$121,0),0)</f>
        <v>13640</v>
      </c>
      <c r="AY65" s="41">
        <f>IFERROR(ROUND(_xlfn.XLOOKUP(AY$7,'Product Tgt'!$B:$B,'Product Tgt'!$G:$G)*T65/T$121,0),0)</f>
        <v>0</v>
      </c>
      <c r="AZ65" s="41">
        <f>IFERROR(ROUND(_xlfn.XLOOKUP(AZ$7,'Product Tgt'!$B:$B,'Product Tgt'!$G:$G)*U65/U$121,0),0)</f>
        <v>1840</v>
      </c>
      <c r="BA65" s="41">
        <f>IFERROR(ROUND(_xlfn.XLOOKUP(BA$7,'Product Tgt'!$B:$B,'Product Tgt'!$G:$G)*V65/V$121,0),0)</f>
        <v>21188</v>
      </c>
      <c r="BB65" s="41">
        <f>IFERROR(ROUND(_xlfn.XLOOKUP(BB$7,'Product Tgt'!$B:$B,'Product Tgt'!$G:$G)*W65/W$121,0),0)</f>
        <v>27002</v>
      </c>
      <c r="BC65" s="41">
        <f>IFERROR(ROUND(_xlfn.XLOOKUP(BC$7,'Product Tgt'!$B:$B,'Product Tgt'!$G:$G)*X65/X$121,0),0)</f>
        <v>2910</v>
      </c>
      <c r="BD65" s="41">
        <f>IFERROR(ROUND(_xlfn.XLOOKUP(BD$7,'Product Tgt'!$B:$B,'Product Tgt'!$G:$G)*Y65/Y$121,0),0)</f>
        <v>3176</v>
      </c>
      <c r="BE65" s="41">
        <f>IFERROR(ROUND(_xlfn.XLOOKUP(BE$7,'Product Tgt'!$B:$B,'Product Tgt'!$G:$G)*Z65/Z$121,0),0)</f>
        <v>284</v>
      </c>
      <c r="BF65" s="41">
        <f>IFERROR(ROUND(_xlfn.XLOOKUP(BF$7,'Product Tgt'!$B:$B,'Product Tgt'!$G:$G)*AA65/AA$121,0),0)</f>
        <v>5406</v>
      </c>
      <c r="BG65" s="41">
        <f>IFERROR(ROUND(_xlfn.XLOOKUP(BG$7,'Product Tgt'!$B:$B,'Product Tgt'!$G:$G)*AB65/AB$121,0),0)</f>
        <v>1550</v>
      </c>
      <c r="BH65" s="41">
        <f>IFERROR(ROUND(_xlfn.XLOOKUP(BH$7,'Product Tgt'!$B:$B,'Product Tgt'!$G:$G)*AC65/AC$121,0),0)</f>
        <v>379</v>
      </c>
      <c r="BI65" s="41">
        <f>IFERROR(ROUND(_xlfn.XLOOKUP(BI$7,'Product Tgt'!$B:$B,'Product Tgt'!$G:$G)*AD65/AD$121,0),0)</f>
        <v>4216</v>
      </c>
      <c r="BJ65" s="41">
        <f>IFERROR(ROUND(_xlfn.XLOOKUP(BJ$7,'Product Tgt'!$B:$B,'Product Tgt'!$G:$G)*AE65/AE$121,0),0)</f>
        <v>6650</v>
      </c>
      <c r="BK65" s="41">
        <f>IFERROR(ROUND(_xlfn.XLOOKUP(BK$7,'Product Tgt'!$B:$B,'Product Tgt'!$G:$G)*AF65/AF$121,0),0)</f>
        <v>904</v>
      </c>
      <c r="BL65" s="41">
        <f>IFERROR(ROUND(_xlfn.XLOOKUP(BL$7,'Product Tgt'!$B:$B,'Product Tgt'!$G:$G)*AG65/AG$121,0),0)</f>
        <v>16191</v>
      </c>
      <c r="BM65" s="41">
        <f>IFERROR(ROUND(_xlfn.XLOOKUP(BM$7,'Product Tgt'!$B:$B,'Product Tgt'!$G:$G)*AH65/AH$121,0),0)</f>
        <v>858</v>
      </c>
      <c r="BN65" s="41">
        <f>IFERROR(ROUND(_xlfn.XLOOKUP(BN$7,'Product Tgt'!$B:$B,'Product Tgt'!$G:$G)*AI65/AI$121,0),0)</f>
        <v>8201</v>
      </c>
      <c r="BO65" s="41">
        <f>IFERROR(ROUND(_xlfn.XLOOKUP(BO$7,'Product Tgt'!$B:$B,'Product Tgt'!$G:$G)*AJ65/AJ$121,0),0)</f>
        <v>8522</v>
      </c>
      <c r="BP65" s="41">
        <f>IFERROR(ROUND(_xlfn.XLOOKUP(BP$7,'Product Tgt'!$B:$B,'Product Tgt'!$G:$G)*AK65/AK$121,0),0)</f>
        <v>1140</v>
      </c>
      <c r="BQ65" s="41">
        <f>IFERROR(ROUND(_xlfn.XLOOKUP(BQ$7,'Product Tgt'!$B:$B,'Product Tgt'!$G:$G)*AL65/AL$121,0),0)</f>
        <v>1795</v>
      </c>
      <c r="BR65" s="25">
        <f>ROUND(IFERROR(AM65/_xlfn.XLOOKUP(BR$7,'Product Tgt'!$B:$B,'Product Tgt'!$D:$D),0),0)</f>
        <v>0</v>
      </c>
      <c r="BS65" s="11">
        <f>ROUND(IFERROR(AN65/_xlfn.XLOOKUP(BS$7,'Product Tgt'!$B:$B,'Product Tgt'!$D:$D),0),0)</f>
        <v>0</v>
      </c>
      <c r="BT65" s="11">
        <f>ROUND(IFERROR(AO65/_xlfn.XLOOKUP(BT$7,'Product Tgt'!$B:$B,'Product Tgt'!$D:$D),0),0)</f>
        <v>0</v>
      </c>
      <c r="BU65" s="11">
        <f>ROUND(IFERROR(AP65/_xlfn.XLOOKUP(BU$7,'Product Tgt'!$B:$B,'Product Tgt'!$D:$D),0),0)</f>
        <v>0</v>
      </c>
      <c r="BV65" s="11">
        <f>ROUND(IFERROR(AQ65/_xlfn.XLOOKUP(BV$7,'Product Tgt'!$B:$B,'Product Tgt'!$D:$D),0),0)</f>
        <v>0</v>
      </c>
      <c r="BW65" s="11">
        <f>ROUND(IFERROR(AU65/_xlfn.XLOOKUP(BW$7,'Product Tgt'!$B:$B,'Product Tgt'!$D:$D),0),0)</f>
        <v>0</v>
      </c>
      <c r="BX65" s="11">
        <f>ROUND(IFERROR(#REF!/_xlfn.XLOOKUP(BX$7,'Product Tgt'!$B:$B,'Product Tgt'!$D:$D),0),0)</f>
        <v>0</v>
      </c>
      <c r="BY65" s="11">
        <f>ROUND(IFERROR(#REF!/_xlfn.XLOOKUP(BY$7,'Product Tgt'!$B:$B,'Product Tgt'!$D:$D),0),0)</f>
        <v>0</v>
      </c>
      <c r="BZ65" s="11">
        <f>ROUND(IFERROR(#REF!/_xlfn.XLOOKUP(BZ$7,'Product Tgt'!$B:$B,'Product Tgt'!$D:$D),0),0)</f>
        <v>0</v>
      </c>
      <c r="CA65" s="11">
        <f>ROUND(IFERROR(#REF!/_xlfn.XLOOKUP(CA$7,'Product Tgt'!$B:$B,'Product Tgt'!$D:$D),0),0)</f>
        <v>0</v>
      </c>
      <c r="CB65" s="11">
        <f>ROUND(IFERROR(AV65/_xlfn.XLOOKUP(CB$7,'Product Tgt'!$B:$B,'Product Tgt'!$D:$D),0),0)</f>
        <v>0</v>
      </c>
      <c r="CC65" s="11">
        <f>ROUND(IFERROR(AW65/_xlfn.XLOOKUP(CC$7,'Product Tgt'!$B:$B,'Product Tgt'!$D:$D),0),0)</f>
        <v>0</v>
      </c>
      <c r="CD65" s="11">
        <f>ROUND(IFERROR(AX65/_xlfn.XLOOKUP(CD$7,'Product Tgt'!$B:$B,'Product Tgt'!$D:$D),0),0)</f>
        <v>0</v>
      </c>
      <c r="CE65" s="11">
        <f>ROUND(IFERROR(AY65/_xlfn.XLOOKUP(CE$7,'Product Tgt'!$B:$B,'Product Tgt'!$D:$D),0),0)</f>
        <v>0</v>
      </c>
      <c r="CF65" s="11">
        <f>ROUND(IFERROR(AZ65/_xlfn.XLOOKUP(CF$7,'Product Tgt'!$B:$B,'Product Tgt'!$D:$D),0),0)</f>
        <v>0</v>
      </c>
      <c r="CG65" s="11">
        <f>ROUND(IFERROR(BA65/_xlfn.XLOOKUP(CG$7,'Product Tgt'!$B:$B,'Product Tgt'!$D:$D),0),0)</f>
        <v>0</v>
      </c>
      <c r="CH65" s="11">
        <f>ROUND(IFERROR(BB65/_xlfn.XLOOKUP(CH$7,'Product Tgt'!$B:$B,'Product Tgt'!$D:$D),0),0)</f>
        <v>0</v>
      </c>
      <c r="CI65" s="11">
        <f>ROUND(IFERROR(BC65/_xlfn.XLOOKUP(CI$7,'Product Tgt'!$B:$B,'Product Tgt'!$D:$D),0),0)</f>
        <v>0</v>
      </c>
      <c r="CJ65" s="11">
        <f>ROUND(IFERROR(BD65/_xlfn.XLOOKUP(CJ$7,'Product Tgt'!$B:$B,'Product Tgt'!$D:$D),0),0)</f>
        <v>0</v>
      </c>
      <c r="CK65" s="11">
        <f>ROUND(IFERROR(BE65/_xlfn.XLOOKUP(CK$7,'Product Tgt'!$B:$B,'Product Tgt'!$D:$D),0),0)</f>
        <v>0</v>
      </c>
      <c r="CL65" s="11">
        <f>ROUND(IFERROR(BF65/_xlfn.XLOOKUP(CL$7,'Product Tgt'!$B:$B,'Product Tgt'!$D:$D),0),0)</f>
        <v>0</v>
      </c>
      <c r="CM65" s="11">
        <f>ROUND(IFERROR(BG65/_xlfn.XLOOKUP(CM$7,'Product Tgt'!$B:$B,'Product Tgt'!$D:$D),0),0)</f>
        <v>0</v>
      </c>
      <c r="CN65" s="11">
        <f>ROUND(IFERROR(BH65/_xlfn.XLOOKUP(CN$7,'Product Tgt'!$B:$B,'Product Tgt'!$D:$D),0),0)</f>
        <v>0</v>
      </c>
      <c r="CO65" s="11">
        <f>ROUND(IFERROR(BI65/_xlfn.XLOOKUP(CO$7,'Product Tgt'!$B:$B,'Product Tgt'!$D:$D),0),0)</f>
        <v>0</v>
      </c>
      <c r="CP65" s="11">
        <f>ROUND(IFERROR(BJ65/_xlfn.XLOOKUP(CP$7,'Product Tgt'!$B:$B,'Product Tgt'!$D:$D),0),0)</f>
        <v>0</v>
      </c>
      <c r="CQ65" s="11">
        <f>ROUND(IFERROR(BK65/_xlfn.XLOOKUP(CQ$7,'Product Tgt'!$B:$B,'Product Tgt'!$D:$D),0),0)</f>
        <v>0</v>
      </c>
      <c r="CR65" s="11">
        <f>ROUND(IFERROR(BL65/_xlfn.XLOOKUP(CR$7,'Product Tgt'!$B:$B,'Product Tgt'!$D:$D),0),0)</f>
        <v>0</v>
      </c>
      <c r="CS65" s="11">
        <f>ROUND(IFERROR(BM65/_xlfn.XLOOKUP(CS$7,'Product Tgt'!$B:$B,'Product Tgt'!$D:$D),0),0)</f>
        <v>0</v>
      </c>
      <c r="CT65" s="11">
        <f>ROUND(IFERROR(BN65/_xlfn.XLOOKUP(CT$7,'Product Tgt'!$B:$B,'Product Tgt'!$D:$D),0),0)</f>
        <v>0</v>
      </c>
      <c r="CU65" s="11">
        <f>ROUND(IFERROR(BO65/_xlfn.XLOOKUP(CU$7,'Product Tgt'!$B:$B,'Product Tgt'!$D:$D),0),0)</f>
        <v>0</v>
      </c>
      <c r="CV65" s="11">
        <f>ROUND(IFERROR(BP65/_xlfn.XLOOKUP(CV$7,'Product Tgt'!$B:$B,'Product Tgt'!$D:$D),0),0)</f>
        <v>0</v>
      </c>
      <c r="CW65" s="11">
        <f>ROUND(IFERROR(BQ65/_xlfn.XLOOKUP(CW$7,'Product Tgt'!$B:$B,'Product Tgt'!$D:$D),0),0)</f>
        <v>0</v>
      </c>
      <c r="CX65" s="11">
        <f>ROUND(IFERROR(#REF!/_xlfn.XLOOKUP(CX$7,'Product Tgt'!$B:$B,'Product Tgt'!$D:$D),0),0)</f>
        <v>0</v>
      </c>
      <c r="CY65" s="11">
        <f>ROUND(IFERROR(#REF!/_xlfn.XLOOKUP(CY$7,'Product Tgt'!$B:$B,'Product Tgt'!$D:$D),0),0)</f>
        <v>0</v>
      </c>
      <c r="CZ65" s="11">
        <f>ROUND(IFERROR(#REF!/_xlfn.XLOOKUP(CZ$7,'Product Tgt'!$B:$B,'Product Tgt'!$D:$D),0),0)</f>
        <v>0</v>
      </c>
      <c r="DA65" s="10">
        <f>IFERROR(BR65*_xlfn.XLOOKUP(DA$7,'Product Tgt'!$B:$B,'Product Tgt'!$D:$D),0)</f>
        <v>0</v>
      </c>
      <c r="DB65">
        <f>IFERROR(BS65*_xlfn.XLOOKUP(DB$7,'Product Tgt'!$B:$B,'Product Tgt'!$D:$D),0)</f>
        <v>0</v>
      </c>
      <c r="DC65">
        <f>IFERROR(BT65*_xlfn.XLOOKUP(DC$7,'Product Tgt'!$B:$B,'Product Tgt'!$D:$D),0)</f>
        <v>0</v>
      </c>
      <c r="DD65">
        <f>IFERROR(BU65*_xlfn.XLOOKUP(DD$7,'Product Tgt'!$B:$B,'Product Tgt'!$D:$D),0)</f>
        <v>0</v>
      </c>
      <c r="DE65">
        <f>IFERROR(BV65*_xlfn.XLOOKUP(DE$7,'Product Tgt'!$B:$B,'Product Tgt'!$D:$D),0)</f>
        <v>0</v>
      </c>
      <c r="DF65">
        <f>IFERROR(BW65*_xlfn.XLOOKUP(DF$7,'Product Tgt'!$B:$B,'Product Tgt'!$D:$D),0)</f>
        <v>0</v>
      </c>
      <c r="DG65">
        <f>IFERROR(BX65*_xlfn.XLOOKUP(DG$7,'Product Tgt'!$B:$B,'Product Tgt'!$D:$D),0)</f>
        <v>0</v>
      </c>
      <c r="DH65">
        <f>IFERROR(BY65*_xlfn.XLOOKUP(DH$7,'Product Tgt'!$B:$B,'Product Tgt'!$D:$D),0)</f>
        <v>0</v>
      </c>
      <c r="DI65">
        <f>IFERROR(BZ65*_xlfn.XLOOKUP(DI$7,'Product Tgt'!$B:$B,'Product Tgt'!$D:$D),0)</f>
        <v>0</v>
      </c>
      <c r="DJ65">
        <f>IFERROR(CA65*_xlfn.XLOOKUP(DJ$7,'Product Tgt'!$B:$B,'Product Tgt'!$D:$D),0)</f>
        <v>0</v>
      </c>
      <c r="DK65">
        <f>IFERROR(CB65*_xlfn.XLOOKUP(DK$7,'Product Tgt'!$B:$B,'Product Tgt'!$D:$D),0)</f>
        <v>0</v>
      </c>
      <c r="DL65">
        <f>IFERROR(CC65*_xlfn.XLOOKUP(DL$7,'Product Tgt'!$B:$B,'Product Tgt'!$D:$D),0)</f>
        <v>0</v>
      </c>
      <c r="DM65">
        <f>IFERROR(CD65*_xlfn.XLOOKUP(DM$7,'Product Tgt'!$B:$B,'Product Tgt'!$D:$D),0)</f>
        <v>0</v>
      </c>
      <c r="DN65">
        <f>IFERROR(CE65*_xlfn.XLOOKUP(DN$7,'Product Tgt'!$B:$B,'Product Tgt'!$D:$D),0)</f>
        <v>0</v>
      </c>
      <c r="DO65">
        <f>IFERROR(CF65*_xlfn.XLOOKUP(DO$7,'Product Tgt'!$B:$B,'Product Tgt'!$D:$D),0)</f>
        <v>0</v>
      </c>
      <c r="DP65">
        <f>IFERROR(CG65*_xlfn.XLOOKUP(DP$7,'Product Tgt'!$B:$B,'Product Tgt'!$D:$D),0)</f>
        <v>0</v>
      </c>
      <c r="DQ65">
        <f>IFERROR(CH65*_xlfn.XLOOKUP(DQ$7,'Product Tgt'!$B:$B,'Product Tgt'!$D:$D),0)</f>
        <v>0</v>
      </c>
      <c r="DR65">
        <f>IFERROR(CI65*_xlfn.XLOOKUP(DR$7,'Product Tgt'!$B:$B,'Product Tgt'!$D:$D),0)</f>
        <v>0</v>
      </c>
      <c r="DS65">
        <f>IFERROR(CJ65*_xlfn.XLOOKUP(DS$7,'Product Tgt'!$B:$B,'Product Tgt'!$D:$D),0)</f>
        <v>0</v>
      </c>
      <c r="DT65">
        <f>IFERROR(CK65*_xlfn.XLOOKUP(DT$7,'Product Tgt'!$B:$B,'Product Tgt'!$D:$D),0)</f>
        <v>0</v>
      </c>
      <c r="DU65">
        <f>IFERROR(CL65*_xlfn.XLOOKUP(DU$7,'Product Tgt'!$B:$B,'Product Tgt'!$D:$D),0)</f>
        <v>0</v>
      </c>
      <c r="DV65">
        <f>IFERROR(CM65*_xlfn.XLOOKUP(DV$7,'Product Tgt'!$B:$B,'Product Tgt'!$D:$D),0)</f>
        <v>0</v>
      </c>
      <c r="DW65">
        <f>IFERROR(CN65*_xlfn.XLOOKUP(DW$7,'Product Tgt'!$B:$B,'Product Tgt'!$D:$D),0)</f>
        <v>0</v>
      </c>
      <c r="DX65">
        <f>IFERROR(CO65*_xlfn.XLOOKUP(DX$7,'Product Tgt'!$B:$B,'Product Tgt'!$D:$D),0)</f>
        <v>0</v>
      </c>
      <c r="DY65">
        <f>IFERROR(CP65*_xlfn.XLOOKUP(DY$7,'Product Tgt'!$B:$B,'Product Tgt'!$D:$D),0)</f>
        <v>0</v>
      </c>
      <c r="DZ65">
        <f>IFERROR(CQ65*_xlfn.XLOOKUP(DZ$7,'Product Tgt'!$B:$B,'Product Tgt'!$D:$D),0)</f>
        <v>0</v>
      </c>
      <c r="EA65">
        <f>IFERROR(CR65*_xlfn.XLOOKUP(EA$7,'Product Tgt'!$B:$B,'Product Tgt'!$D:$D),0)</f>
        <v>0</v>
      </c>
      <c r="EB65">
        <f>IFERROR(CS65*_xlfn.XLOOKUP(EB$7,'Product Tgt'!$B:$B,'Product Tgt'!$D:$D),0)</f>
        <v>0</v>
      </c>
      <c r="EC65">
        <f>IFERROR(CT65*_xlfn.XLOOKUP(EC$7,'Product Tgt'!$B:$B,'Product Tgt'!$D:$D),0)</f>
        <v>0</v>
      </c>
      <c r="ED65">
        <f>IFERROR(CU65*_xlfn.XLOOKUP(ED$7,'Product Tgt'!$B:$B,'Product Tgt'!$D:$D),0)</f>
        <v>0</v>
      </c>
      <c r="EE65">
        <f>IFERROR(CV65*_xlfn.XLOOKUP(EE$7,'Product Tgt'!$B:$B,'Product Tgt'!$D:$D),0)</f>
        <v>0</v>
      </c>
      <c r="EF65">
        <f>IFERROR(CW65*_xlfn.XLOOKUP(EF$7,'Product Tgt'!$B:$B,'Product Tgt'!$D:$D),0)</f>
        <v>0</v>
      </c>
      <c r="EG65">
        <f>IFERROR(CX65*_xlfn.XLOOKUP(EG$7,'Product Tgt'!$B:$B,'Product Tgt'!$D:$D),0)</f>
        <v>0</v>
      </c>
      <c r="EH65">
        <f>IFERROR(CY65*_xlfn.XLOOKUP(EH$7,'Product Tgt'!$B:$B,'Product Tgt'!$D:$D),0)</f>
        <v>0</v>
      </c>
      <c r="EI65">
        <f>IFERROR(CZ65*_xlfn.XLOOKUP(EI$7,'Product Tgt'!$B:$B,'Product Tgt'!$D:$D),0)</f>
        <v>0</v>
      </c>
    </row>
    <row r="66" spans="2:139" x14ac:dyDescent="0.35">
      <c r="B66" s="7" t="s">
        <v>175</v>
      </c>
      <c r="C66" s="3">
        <f>_xlfn.XLOOKUP($B66,'Terr Target'!$A:$A,'Terr Target'!$E:$E)</f>
        <v>696467.00184727204</v>
      </c>
      <c r="D66" s="3">
        <f t="shared" si="8"/>
        <v>696472</v>
      </c>
      <c r="E66" s="4">
        <f t="shared" si="9"/>
        <v>4.9981527279596776</v>
      </c>
      <c r="F66" s="9">
        <f t="shared" si="7"/>
        <v>7.1763871741572922E-6</v>
      </c>
      <c r="G66" s="5">
        <f t="shared" si="6"/>
        <v>0.99999282361282582</v>
      </c>
      <c r="H66" s="38">
        <v>65981.492890854264</v>
      </c>
      <c r="I66" s="11">
        <v>144850.16850646911</v>
      </c>
      <c r="J66" s="11">
        <v>64926.684467065206</v>
      </c>
      <c r="K66" s="11">
        <v>62609.811516014342</v>
      </c>
      <c r="L66" s="11">
        <v>101742.55894141716</v>
      </c>
      <c r="M66" s="11">
        <v>61661.657832538112</v>
      </c>
      <c r="N66" s="11">
        <v>885.62199929095846</v>
      </c>
      <c r="O66" s="11">
        <v>11554.077989761963</v>
      </c>
      <c r="P66" s="11">
        <v>1536.7327881252108</v>
      </c>
      <c r="Q66" s="11">
        <v>1419.4523332369527</v>
      </c>
      <c r="R66" s="11">
        <v>18762.676072185677</v>
      </c>
      <c r="S66" s="11">
        <v>34473.565411422169</v>
      </c>
      <c r="T66" s="11">
        <v>993.98639620525523</v>
      </c>
      <c r="U66" s="11">
        <v>3802.9820120173449</v>
      </c>
      <c r="V66" s="11">
        <v>22865.712757625501</v>
      </c>
      <c r="W66" s="11">
        <v>31536.256091723946</v>
      </c>
      <c r="X66" s="11">
        <v>5002.7633516929363</v>
      </c>
      <c r="Y66" s="11">
        <v>5597.1175173038682</v>
      </c>
      <c r="Z66" s="11">
        <v>554.68416853838062</v>
      </c>
      <c r="AA66" s="11">
        <v>10866.289102907738</v>
      </c>
      <c r="AB66" s="11">
        <v>3593.3403411936943</v>
      </c>
      <c r="AC66" s="11">
        <v>618.25953843966886</v>
      </c>
      <c r="AD66" s="11">
        <v>5332.7171359132699</v>
      </c>
      <c r="AE66" s="11">
        <v>7770.9856455326853</v>
      </c>
      <c r="AF66" s="11">
        <v>1131.0968796978084</v>
      </c>
      <c r="AG66" s="11">
        <v>22318.960600528844</v>
      </c>
      <c r="AH66" s="11">
        <v>2353.7299666221584</v>
      </c>
      <c r="AI66" s="11">
        <v>12833.398120861901</v>
      </c>
      <c r="AJ66" s="11">
        <v>15626.460134742818</v>
      </c>
      <c r="AK66" s="11">
        <v>935.43065760480374</v>
      </c>
      <c r="AL66" s="49">
        <v>1626.9867529006481</v>
      </c>
      <c r="AM66" s="41">
        <f>IFERROR(ROUND(_xlfn.XLOOKUP(AM$7,'Product Tgt'!$B:$B,'Product Tgt'!$G:$G)*H66/H$121,0),0)</f>
        <v>64145</v>
      </c>
      <c r="AN66" s="41">
        <f>IFERROR(ROUND(_xlfn.XLOOKUP(AN$7,'Product Tgt'!$B:$B,'Product Tgt'!$G:$G)*I66/I$121,0),0)</f>
        <v>142591</v>
      </c>
      <c r="AO66" s="41">
        <f>IFERROR(ROUND(_xlfn.XLOOKUP(AO$7,'Product Tgt'!$B:$B,'Product Tgt'!$G:$G)*J66/J$121,0),0)</f>
        <v>62907</v>
      </c>
      <c r="AP66" s="41">
        <f>IFERROR(ROUND(_xlfn.XLOOKUP(AP$7,'Product Tgt'!$B:$B,'Product Tgt'!$G:$G)*K66/K$121,0),0)</f>
        <v>61077</v>
      </c>
      <c r="AQ66" s="41">
        <f>IFERROR(ROUND(_xlfn.XLOOKUP(AQ$7,'Product Tgt'!$B:$B,'Product Tgt'!$G:$G)*L66/L$121,0),0)</f>
        <v>98379</v>
      </c>
      <c r="AR66" s="41">
        <f>IFERROR(ROUND(_xlfn.XLOOKUP(AR$7,'Product Tgt'!$B:$B,'Product Tgt'!$G:$G)*M66/M$121,0),0)</f>
        <v>59738</v>
      </c>
      <c r="AS66" s="41">
        <f>IFERROR(ROUND(_xlfn.XLOOKUP(AS$7,'Product Tgt'!$B:$B,'Product Tgt'!$G:$G)*N66/N$121,0),0)</f>
        <v>818</v>
      </c>
      <c r="AT66" s="41">
        <f>IFERROR(ROUND(_xlfn.XLOOKUP(AT$7,'Product Tgt'!$B:$B,'Product Tgt'!$G:$G)*O66/O$121,0),0)</f>
        <v>10400</v>
      </c>
      <c r="AU66" s="41">
        <f>IFERROR(ROUND(_xlfn.XLOOKUP(AU$7,'Product Tgt'!$B:$B,'Product Tgt'!$G:$G)*P66/P$121,0),0)</f>
        <v>655</v>
      </c>
      <c r="AV66" s="41">
        <f>IFERROR(ROUND(_xlfn.XLOOKUP(AV$7,'Product Tgt'!$B:$B,'Product Tgt'!$G:$G)*Q66/Q$121,0),0)</f>
        <v>1065</v>
      </c>
      <c r="AW66" s="41">
        <f>IFERROR(ROUND(_xlfn.XLOOKUP(AW$7,'Product Tgt'!$B:$B,'Product Tgt'!$G:$G)*R66/R$121,0),0)</f>
        <v>18070</v>
      </c>
      <c r="AX66" s="41">
        <f>IFERROR(ROUND(_xlfn.XLOOKUP(AX$7,'Product Tgt'!$B:$B,'Product Tgt'!$G:$G)*S66/S$121,0),0)</f>
        <v>33202</v>
      </c>
      <c r="AY66" s="41">
        <f>IFERROR(ROUND(_xlfn.XLOOKUP(AY$7,'Product Tgt'!$B:$B,'Product Tgt'!$G:$G)*T66/T$121,0),0)</f>
        <v>998</v>
      </c>
      <c r="AZ66" s="41">
        <f>IFERROR(ROUND(_xlfn.XLOOKUP(AZ$7,'Product Tgt'!$B:$B,'Product Tgt'!$G:$G)*U66/U$121,0),0)</f>
        <v>3640</v>
      </c>
      <c r="BA66" s="41">
        <f>IFERROR(ROUND(_xlfn.XLOOKUP(BA$7,'Product Tgt'!$B:$B,'Product Tgt'!$G:$G)*V66/V$121,0),0)</f>
        <v>22015</v>
      </c>
      <c r="BB66" s="41">
        <f>IFERROR(ROUND(_xlfn.XLOOKUP(BB$7,'Product Tgt'!$B:$B,'Product Tgt'!$G:$G)*W66/W$121,0),0)</f>
        <v>30188</v>
      </c>
      <c r="BC66" s="41">
        <f>IFERROR(ROUND(_xlfn.XLOOKUP(BC$7,'Product Tgt'!$B:$B,'Product Tgt'!$G:$G)*X66/X$121,0),0)</f>
        <v>4841</v>
      </c>
      <c r="BD66" s="41">
        <f>IFERROR(ROUND(_xlfn.XLOOKUP(BD$7,'Product Tgt'!$B:$B,'Product Tgt'!$G:$G)*Y66/Y$121,0),0)</f>
        <v>5412</v>
      </c>
      <c r="BE66" s="41">
        <f>IFERROR(ROUND(_xlfn.XLOOKUP(BE$7,'Product Tgt'!$B:$B,'Product Tgt'!$G:$G)*Z66/Z$121,0),0)</f>
        <v>527</v>
      </c>
      <c r="BF66" s="41">
        <f>IFERROR(ROUND(_xlfn.XLOOKUP(BF$7,'Product Tgt'!$B:$B,'Product Tgt'!$G:$G)*AA66/AA$121,0),0)</f>
        <v>8806</v>
      </c>
      <c r="BG66" s="41">
        <f>IFERROR(ROUND(_xlfn.XLOOKUP(BG$7,'Product Tgt'!$B:$B,'Product Tgt'!$G:$G)*AB66/AB$121,0),0)</f>
        <v>2880</v>
      </c>
      <c r="BH66" s="41">
        <f>IFERROR(ROUND(_xlfn.XLOOKUP(BH$7,'Product Tgt'!$B:$B,'Product Tgt'!$G:$G)*AC66/AC$121,0),0)</f>
        <v>529</v>
      </c>
      <c r="BI66" s="41">
        <f>IFERROR(ROUND(_xlfn.XLOOKUP(BI$7,'Product Tgt'!$B:$B,'Product Tgt'!$G:$G)*AD66/AD$121,0),0)</f>
        <v>4642</v>
      </c>
      <c r="BJ66" s="41">
        <f>IFERROR(ROUND(_xlfn.XLOOKUP(BJ$7,'Product Tgt'!$B:$B,'Product Tgt'!$G:$G)*AE66/AE$121,0),0)</f>
        <v>7233</v>
      </c>
      <c r="BK66" s="41">
        <f>IFERROR(ROUND(_xlfn.XLOOKUP(BK$7,'Product Tgt'!$B:$B,'Product Tgt'!$G:$G)*AF66/AF$121,0),0)</f>
        <v>1264</v>
      </c>
      <c r="BL66" s="41">
        <f>IFERROR(ROUND(_xlfn.XLOOKUP(BL$7,'Product Tgt'!$B:$B,'Product Tgt'!$G:$G)*AG66/AG$121,0),0)</f>
        <v>21319</v>
      </c>
      <c r="BM66" s="41">
        <f>IFERROR(ROUND(_xlfn.XLOOKUP(BM$7,'Product Tgt'!$B:$B,'Product Tgt'!$G:$G)*AH66/AH$121,0),0)</f>
        <v>1845</v>
      </c>
      <c r="BN66" s="41">
        <f>IFERROR(ROUND(_xlfn.XLOOKUP(BN$7,'Product Tgt'!$B:$B,'Product Tgt'!$G:$G)*AI66/AI$121,0),0)</f>
        <v>11786</v>
      </c>
      <c r="BO66" s="41">
        <f>IFERROR(ROUND(_xlfn.XLOOKUP(BO$7,'Product Tgt'!$B:$B,'Product Tgt'!$G:$G)*AJ66/AJ$121,0),0)</f>
        <v>13516</v>
      </c>
      <c r="BP66" s="41">
        <f>IFERROR(ROUND(_xlfn.XLOOKUP(BP$7,'Product Tgt'!$B:$B,'Product Tgt'!$G:$G)*AK66/AK$121,0),0)</f>
        <v>712</v>
      </c>
      <c r="BQ66" s="41">
        <f>IFERROR(ROUND(_xlfn.XLOOKUP(BQ$7,'Product Tgt'!$B:$B,'Product Tgt'!$G:$G)*AL66/AL$121,0),0)</f>
        <v>1272</v>
      </c>
      <c r="BR66" s="25">
        <f>ROUND(IFERROR(AM66/_xlfn.XLOOKUP(BR$7,'Product Tgt'!$B:$B,'Product Tgt'!$D:$D),0),0)</f>
        <v>0</v>
      </c>
      <c r="BS66" s="11">
        <f>ROUND(IFERROR(AN66/_xlfn.XLOOKUP(BS$7,'Product Tgt'!$B:$B,'Product Tgt'!$D:$D),0),0)</f>
        <v>0</v>
      </c>
      <c r="BT66" s="11">
        <f>ROUND(IFERROR(AO66/_xlfn.XLOOKUP(BT$7,'Product Tgt'!$B:$B,'Product Tgt'!$D:$D),0),0)</f>
        <v>0</v>
      </c>
      <c r="BU66" s="11">
        <f>ROUND(IFERROR(AP66/_xlfn.XLOOKUP(BU$7,'Product Tgt'!$B:$B,'Product Tgt'!$D:$D),0),0)</f>
        <v>0</v>
      </c>
      <c r="BV66" s="11">
        <f>ROUND(IFERROR(AQ66/_xlfn.XLOOKUP(BV$7,'Product Tgt'!$B:$B,'Product Tgt'!$D:$D),0),0)</f>
        <v>0</v>
      </c>
      <c r="BW66" s="11">
        <f>ROUND(IFERROR(AU66/_xlfn.XLOOKUP(BW$7,'Product Tgt'!$B:$B,'Product Tgt'!$D:$D),0),0)</f>
        <v>0</v>
      </c>
      <c r="BX66" s="11">
        <f>ROUND(IFERROR(#REF!/_xlfn.XLOOKUP(BX$7,'Product Tgt'!$B:$B,'Product Tgt'!$D:$D),0),0)</f>
        <v>0</v>
      </c>
      <c r="BY66" s="11">
        <f>ROUND(IFERROR(#REF!/_xlfn.XLOOKUP(BY$7,'Product Tgt'!$B:$B,'Product Tgt'!$D:$D),0),0)</f>
        <v>0</v>
      </c>
      <c r="BZ66" s="11">
        <f>ROUND(IFERROR(#REF!/_xlfn.XLOOKUP(BZ$7,'Product Tgt'!$B:$B,'Product Tgt'!$D:$D),0),0)</f>
        <v>0</v>
      </c>
      <c r="CA66" s="11">
        <f>ROUND(IFERROR(#REF!/_xlfn.XLOOKUP(CA$7,'Product Tgt'!$B:$B,'Product Tgt'!$D:$D),0),0)</f>
        <v>0</v>
      </c>
      <c r="CB66" s="11">
        <f>ROUND(IFERROR(AV66/_xlfn.XLOOKUP(CB$7,'Product Tgt'!$B:$B,'Product Tgt'!$D:$D),0),0)</f>
        <v>0</v>
      </c>
      <c r="CC66" s="11">
        <f>ROUND(IFERROR(AW66/_xlfn.XLOOKUP(CC$7,'Product Tgt'!$B:$B,'Product Tgt'!$D:$D),0),0)</f>
        <v>0</v>
      </c>
      <c r="CD66" s="11">
        <f>ROUND(IFERROR(AX66/_xlfn.XLOOKUP(CD$7,'Product Tgt'!$B:$B,'Product Tgt'!$D:$D),0),0)</f>
        <v>0</v>
      </c>
      <c r="CE66" s="11">
        <f>ROUND(IFERROR(AY66/_xlfn.XLOOKUP(CE$7,'Product Tgt'!$B:$B,'Product Tgt'!$D:$D),0),0)</f>
        <v>0</v>
      </c>
      <c r="CF66" s="11">
        <f>ROUND(IFERROR(AZ66/_xlfn.XLOOKUP(CF$7,'Product Tgt'!$B:$B,'Product Tgt'!$D:$D),0),0)</f>
        <v>0</v>
      </c>
      <c r="CG66" s="11">
        <f>ROUND(IFERROR(BA66/_xlfn.XLOOKUP(CG$7,'Product Tgt'!$B:$B,'Product Tgt'!$D:$D),0),0)</f>
        <v>0</v>
      </c>
      <c r="CH66" s="11">
        <f>ROUND(IFERROR(BB66/_xlfn.XLOOKUP(CH$7,'Product Tgt'!$B:$B,'Product Tgt'!$D:$D),0),0)</f>
        <v>0</v>
      </c>
      <c r="CI66" s="11">
        <f>ROUND(IFERROR(BC66/_xlfn.XLOOKUP(CI$7,'Product Tgt'!$B:$B,'Product Tgt'!$D:$D),0),0)</f>
        <v>0</v>
      </c>
      <c r="CJ66" s="11">
        <f>ROUND(IFERROR(BD66/_xlfn.XLOOKUP(CJ$7,'Product Tgt'!$B:$B,'Product Tgt'!$D:$D),0),0)</f>
        <v>0</v>
      </c>
      <c r="CK66" s="11">
        <f>ROUND(IFERROR(BE66/_xlfn.XLOOKUP(CK$7,'Product Tgt'!$B:$B,'Product Tgt'!$D:$D),0),0)</f>
        <v>0</v>
      </c>
      <c r="CL66" s="11">
        <f>ROUND(IFERROR(BF66/_xlfn.XLOOKUP(CL$7,'Product Tgt'!$B:$B,'Product Tgt'!$D:$D),0),0)</f>
        <v>0</v>
      </c>
      <c r="CM66" s="11">
        <f>ROUND(IFERROR(BG66/_xlfn.XLOOKUP(CM$7,'Product Tgt'!$B:$B,'Product Tgt'!$D:$D),0),0)</f>
        <v>0</v>
      </c>
      <c r="CN66" s="11">
        <f>ROUND(IFERROR(BH66/_xlfn.XLOOKUP(CN$7,'Product Tgt'!$B:$B,'Product Tgt'!$D:$D),0),0)</f>
        <v>0</v>
      </c>
      <c r="CO66" s="11">
        <f>ROUND(IFERROR(BI66/_xlfn.XLOOKUP(CO$7,'Product Tgt'!$B:$B,'Product Tgt'!$D:$D),0),0)</f>
        <v>0</v>
      </c>
      <c r="CP66" s="11">
        <f>ROUND(IFERROR(BJ66/_xlfn.XLOOKUP(CP$7,'Product Tgt'!$B:$B,'Product Tgt'!$D:$D),0),0)</f>
        <v>0</v>
      </c>
      <c r="CQ66" s="11">
        <f>ROUND(IFERROR(BK66/_xlfn.XLOOKUP(CQ$7,'Product Tgt'!$B:$B,'Product Tgt'!$D:$D),0),0)</f>
        <v>0</v>
      </c>
      <c r="CR66" s="11">
        <f>ROUND(IFERROR(BL66/_xlfn.XLOOKUP(CR$7,'Product Tgt'!$B:$B,'Product Tgt'!$D:$D),0),0)</f>
        <v>0</v>
      </c>
      <c r="CS66" s="11">
        <f>ROUND(IFERROR(BM66/_xlfn.XLOOKUP(CS$7,'Product Tgt'!$B:$B,'Product Tgt'!$D:$D),0),0)</f>
        <v>0</v>
      </c>
      <c r="CT66" s="11">
        <f>ROUND(IFERROR(BN66/_xlfn.XLOOKUP(CT$7,'Product Tgt'!$B:$B,'Product Tgt'!$D:$D),0),0)</f>
        <v>0</v>
      </c>
      <c r="CU66" s="11">
        <f>ROUND(IFERROR(BO66/_xlfn.XLOOKUP(CU$7,'Product Tgt'!$B:$B,'Product Tgt'!$D:$D),0),0)</f>
        <v>0</v>
      </c>
      <c r="CV66" s="11">
        <f>ROUND(IFERROR(BP66/_xlfn.XLOOKUP(CV$7,'Product Tgt'!$B:$B,'Product Tgt'!$D:$D),0),0)</f>
        <v>0</v>
      </c>
      <c r="CW66" s="11">
        <f>ROUND(IFERROR(BQ66/_xlfn.XLOOKUP(CW$7,'Product Tgt'!$B:$B,'Product Tgt'!$D:$D),0),0)</f>
        <v>0</v>
      </c>
      <c r="CX66" s="11">
        <f>ROUND(IFERROR(#REF!/_xlfn.XLOOKUP(CX$7,'Product Tgt'!$B:$B,'Product Tgt'!$D:$D),0),0)</f>
        <v>0</v>
      </c>
      <c r="CY66" s="11">
        <f>ROUND(IFERROR(#REF!/_xlfn.XLOOKUP(CY$7,'Product Tgt'!$B:$B,'Product Tgt'!$D:$D),0),0)</f>
        <v>0</v>
      </c>
      <c r="CZ66" s="11">
        <f>ROUND(IFERROR(#REF!/_xlfn.XLOOKUP(CZ$7,'Product Tgt'!$B:$B,'Product Tgt'!$D:$D),0),0)</f>
        <v>0</v>
      </c>
      <c r="DA66" s="10">
        <f>IFERROR(BR66*_xlfn.XLOOKUP(DA$7,'Product Tgt'!$B:$B,'Product Tgt'!$D:$D),0)</f>
        <v>0</v>
      </c>
      <c r="DB66">
        <f>IFERROR(BS66*_xlfn.XLOOKUP(DB$7,'Product Tgt'!$B:$B,'Product Tgt'!$D:$D),0)</f>
        <v>0</v>
      </c>
      <c r="DC66">
        <f>IFERROR(BT66*_xlfn.XLOOKUP(DC$7,'Product Tgt'!$B:$B,'Product Tgt'!$D:$D),0)</f>
        <v>0</v>
      </c>
      <c r="DD66">
        <f>IFERROR(BU66*_xlfn.XLOOKUP(DD$7,'Product Tgt'!$B:$B,'Product Tgt'!$D:$D),0)</f>
        <v>0</v>
      </c>
      <c r="DE66">
        <f>IFERROR(BV66*_xlfn.XLOOKUP(DE$7,'Product Tgt'!$B:$B,'Product Tgt'!$D:$D),0)</f>
        <v>0</v>
      </c>
      <c r="DF66">
        <f>IFERROR(BW66*_xlfn.XLOOKUP(DF$7,'Product Tgt'!$B:$B,'Product Tgt'!$D:$D),0)</f>
        <v>0</v>
      </c>
      <c r="DG66">
        <f>IFERROR(BX66*_xlfn.XLOOKUP(DG$7,'Product Tgt'!$B:$B,'Product Tgt'!$D:$D),0)</f>
        <v>0</v>
      </c>
      <c r="DH66">
        <f>IFERROR(BY66*_xlfn.XLOOKUP(DH$7,'Product Tgt'!$B:$B,'Product Tgt'!$D:$D),0)</f>
        <v>0</v>
      </c>
      <c r="DI66">
        <f>IFERROR(BZ66*_xlfn.XLOOKUP(DI$7,'Product Tgt'!$B:$B,'Product Tgt'!$D:$D),0)</f>
        <v>0</v>
      </c>
      <c r="DJ66">
        <f>IFERROR(CA66*_xlfn.XLOOKUP(DJ$7,'Product Tgt'!$B:$B,'Product Tgt'!$D:$D),0)</f>
        <v>0</v>
      </c>
      <c r="DK66">
        <f>IFERROR(CB66*_xlfn.XLOOKUP(DK$7,'Product Tgt'!$B:$B,'Product Tgt'!$D:$D),0)</f>
        <v>0</v>
      </c>
      <c r="DL66">
        <f>IFERROR(CC66*_xlfn.XLOOKUP(DL$7,'Product Tgt'!$B:$B,'Product Tgt'!$D:$D),0)</f>
        <v>0</v>
      </c>
      <c r="DM66">
        <f>IFERROR(CD66*_xlfn.XLOOKUP(DM$7,'Product Tgt'!$B:$B,'Product Tgt'!$D:$D),0)</f>
        <v>0</v>
      </c>
      <c r="DN66">
        <f>IFERROR(CE66*_xlfn.XLOOKUP(DN$7,'Product Tgt'!$B:$B,'Product Tgt'!$D:$D),0)</f>
        <v>0</v>
      </c>
      <c r="DO66">
        <f>IFERROR(CF66*_xlfn.XLOOKUP(DO$7,'Product Tgt'!$B:$B,'Product Tgt'!$D:$D),0)</f>
        <v>0</v>
      </c>
      <c r="DP66">
        <f>IFERROR(CG66*_xlfn.XLOOKUP(DP$7,'Product Tgt'!$B:$B,'Product Tgt'!$D:$D),0)</f>
        <v>0</v>
      </c>
      <c r="DQ66">
        <f>IFERROR(CH66*_xlfn.XLOOKUP(DQ$7,'Product Tgt'!$B:$B,'Product Tgt'!$D:$D),0)</f>
        <v>0</v>
      </c>
      <c r="DR66">
        <f>IFERROR(CI66*_xlfn.XLOOKUP(DR$7,'Product Tgt'!$B:$B,'Product Tgt'!$D:$D),0)</f>
        <v>0</v>
      </c>
      <c r="DS66">
        <f>IFERROR(CJ66*_xlfn.XLOOKUP(DS$7,'Product Tgt'!$B:$B,'Product Tgt'!$D:$D),0)</f>
        <v>0</v>
      </c>
      <c r="DT66">
        <f>IFERROR(CK66*_xlfn.XLOOKUP(DT$7,'Product Tgt'!$B:$B,'Product Tgt'!$D:$D),0)</f>
        <v>0</v>
      </c>
      <c r="DU66">
        <f>IFERROR(CL66*_xlfn.XLOOKUP(DU$7,'Product Tgt'!$B:$B,'Product Tgt'!$D:$D),0)</f>
        <v>0</v>
      </c>
      <c r="DV66">
        <f>IFERROR(CM66*_xlfn.XLOOKUP(DV$7,'Product Tgt'!$B:$B,'Product Tgt'!$D:$D),0)</f>
        <v>0</v>
      </c>
      <c r="DW66">
        <f>IFERROR(CN66*_xlfn.XLOOKUP(DW$7,'Product Tgt'!$B:$B,'Product Tgt'!$D:$D),0)</f>
        <v>0</v>
      </c>
      <c r="DX66">
        <f>IFERROR(CO66*_xlfn.XLOOKUP(DX$7,'Product Tgt'!$B:$B,'Product Tgt'!$D:$D),0)</f>
        <v>0</v>
      </c>
      <c r="DY66">
        <f>IFERROR(CP66*_xlfn.XLOOKUP(DY$7,'Product Tgt'!$B:$B,'Product Tgt'!$D:$D),0)</f>
        <v>0</v>
      </c>
      <c r="DZ66">
        <f>IFERROR(CQ66*_xlfn.XLOOKUP(DZ$7,'Product Tgt'!$B:$B,'Product Tgt'!$D:$D),0)</f>
        <v>0</v>
      </c>
      <c r="EA66">
        <f>IFERROR(CR66*_xlfn.XLOOKUP(EA$7,'Product Tgt'!$B:$B,'Product Tgt'!$D:$D),0)</f>
        <v>0</v>
      </c>
      <c r="EB66">
        <f>IFERROR(CS66*_xlfn.XLOOKUP(EB$7,'Product Tgt'!$B:$B,'Product Tgt'!$D:$D),0)</f>
        <v>0</v>
      </c>
      <c r="EC66">
        <f>IFERROR(CT66*_xlfn.XLOOKUP(EC$7,'Product Tgt'!$B:$B,'Product Tgt'!$D:$D),0)</f>
        <v>0</v>
      </c>
      <c r="ED66">
        <f>IFERROR(CU66*_xlfn.XLOOKUP(ED$7,'Product Tgt'!$B:$B,'Product Tgt'!$D:$D),0)</f>
        <v>0</v>
      </c>
      <c r="EE66">
        <f>IFERROR(CV66*_xlfn.XLOOKUP(EE$7,'Product Tgt'!$B:$B,'Product Tgt'!$D:$D),0)</f>
        <v>0</v>
      </c>
      <c r="EF66">
        <f>IFERROR(CW66*_xlfn.XLOOKUP(EF$7,'Product Tgt'!$B:$B,'Product Tgt'!$D:$D),0)</f>
        <v>0</v>
      </c>
      <c r="EG66">
        <f>IFERROR(CX66*_xlfn.XLOOKUP(EG$7,'Product Tgt'!$B:$B,'Product Tgt'!$D:$D),0)</f>
        <v>0</v>
      </c>
      <c r="EH66">
        <f>IFERROR(CY66*_xlfn.XLOOKUP(EH$7,'Product Tgt'!$B:$B,'Product Tgt'!$D:$D),0)</f>
        <v>0</v>
      </c>
      <c r="EI66">
        <f>IFERROR(CZ66*_xlfn.XLOOKUP(EI$7,'Product Tgt'!$B:$B,'Product Tgt'!$D:$D),0)</f>
        <v>0</v>
      </c>
    </row>
    <row r="67" spans="2:139" x14ac:dyDescent="0.35">
      <c r="B67" s="7" t="s">
        <v>176</v>
      </c>
      <c r="C67" s="3">
        <f>_xlfn.XLOOKUP($B67,'Terr Target'!$A:$A,'Terr Target'!$E:$E)</f>
        <v>464114.12403982272</v>
      </c>
      <c r="D67" s="3">
        <f t="shared" si="8"/>
        <v>464118</v>
      </c>
      <c r="E67" s="4">
        <f t="shared" si="9"/>
        <v>3.8759601772762835</v>
      </c>
      <c r="F67" s="9">
        <f t="shared" si="7"/>
        <v>8.351238644647016E-6</v>
      </c>
      <c r="G67" s="5">
        <f t="shared" si="6"/>
        <v>0.99999164876135538</v>
      </c>
      <c r="H67" s="38">
        <v>38909.303050105809</v>
      </c>
      <c r="I67" s="11">
        <v>81019.708466749653</v>
      </c>
      <c r="J67" s="11">
        <v>43764.620408930379</v>
      </c>
      <c r="K67" s="11">
        <v>65624.725584807835</v>
      </c>
      <c r="L67" s="11">
        <v>45481.037312095119</v>
      </c>
      <c r="M67" s="11">
        <v>30463.21190990305</v>
      </c>
      <c r="N67" s="11">
        <v>560.58254580066625</v>
      </c>
      <c r="O67" s="11">
        <v>10730.754007718357</v>
      </c>
      <c r="P67" s="11">
        <v>1245.4297591947281</v>
      </c>
      <c r="Q67" s="11">
        <v>1044.6799998455188</v>
      </c>
      <c r="R67" s="11">
        <v>22180.159750866063</v>
      </c>
      <c r="S67" s="11">
        <v>36403.822405014231</v>
      </c>
      <c r="T67" s="11">
        <v>0</v>
      </c>
      <c r="U67" s="11">
        <v>1021.7792004426086</v>
      </c>
      <c r="V67" s="11">
        <v>16938.073335459008</v>
      </c>
      <c r="W67" s="11">
        <v>28403.392351108476</v>
      </c>
      <c r="X67" s="11">
        <v>1655.9444797414278</v>
      </c>
      <c r="Y67" s="11">
        <v>3877.4313572375377</v>
      </c>
      <c r="Z67" s="11">
        <v>417.48236828169968</v>
      </c>
      <c r="AA67" s="11">
        <v>6780.7835732054546</v>
      </c>
      <c r="AB67" s="11">
        <v>1952.1639345181341</v>
      </c>
      <c r="AC67" s="11">
        <v>670.93179709021024</v>
      </c>
      <c r="AD67" s="11">
        <v>2945.0785857133246</v>
      </c>
      <c r="AE67" s="11">
        <v>4491.6975912218486</v>
      </c>
      <c r="AF67" s="11">
        <v>761.33230514987554</v>
      </c>
      <c r="AG67" s="11">
        <v>17925.014297226619</v>
      </c>
      <c r="AH67" s="11">
        <v>1549.5909408477039</v>
      </c>
      <c r="AI67" s="11">
        <v>9389.9440093438006</v>
      </c>
      <c r="AJ67" s="11">
        <v>6138.7063857795893</v>
      </c>
      <c r="AK67" s="11">
        <v>547.72072530267758</v>
      </c>
      <c r="AL67" s="49">
        <v>729.49582056327756</v>
      </c>
      <c r="AM67" s="41">
        <f>IFERROR(ROUND(_xlfn.XLOOKUP(AM$7,'Product Tgt'!$B:$B,'Product Tgt'!$G:$G)*H67/H$121,0),0)</f>
        <v>37826</v>
      </c>
      <c r="AN67" s="41">
        <f>IFERROR(ROUND(_xlfn.XLOOKUP(AN$7,'Product Tgt'!$B:$B,'Product Tgt'!$G:$G)*I67/I$121,0),0)</f>
        <v>79756</v>
      </c>
      <c r="AO67" s="41">
        <f>IFERROR(ROUND(_xlfn.XLOOKUP(AO$7,'Product Tgt'!$B:$B,'Product Tgt'!$G:$G)*J67/J$121,0),0)</f>
        <v>42403</v>
      </c>
      <c r="AP67" s="41">
        <f>IFERROR(ROUND(_xlfn.XLOOKUP(AP$7,'Product Tgt'!$B:$B,'Product Tgt'!$G:$G)*K67/K$121,0),0)</f>
        <v>64018</v>
      </c>
      <c r="AQ67" s="41">
        <f>IFERROR(ROUND(_xlfn.XLOOKUP(AQ$7,'Product Tgt'!$B:$B,'Product Tgt'!$G:$G)*L67/L$121,0),0)</f>
        <v>43977</v>
      </c>
      <c r="AR67" s="41">
        <f>IFERROR(ROUND(_xlfn.XLOOKUP(AR$7,'Product Tgt'!$B:$B,'Product Tgt'!$G:$G)*M67/M$121,0),0)</f>
        <v>29513</v>
      </c>
      <c r="AS67" s="41">
        <f>IFERROR(ROUND(_xlfn.XLOOKUP(AS$7,'Product Tgt'!$B:$B,'Product Tgt'!$G:$G)*N67/N$121,0),0)</f>
        <v>518</v>
      </c>
      <c r="AT67" s="41">
        <f>IFERROR(ROUND(_xlfn.XLOOKUP(AT$7,'Product Tgt'!$B:$B,'Product Tgt'!$G:$G)*O67/O$121,0),0)</f>
        <v>9659</v>
      </c>
      <c r="AU67" s="41">
        <f>IFERROR(ROUND(_xlfn.XLOOKUP(AU$7,'Product Tgt'!$B:$B,'Product Tgt'!$G:$G)*P67/P$121,0),0)</f>
        <v>531</v>
      </c>
      <c r="AV67" s="41">
        <f>IFERROR(ROUND(_xlfn.XLOOKUP(AV$7,'Product Tgt'!$B:$B,'Product Tgt'!$G:$G)*Q67/Q$121,0),0)</f>
        <v>784</v>
      </c>
      <c r="AW67" s="41">
        <f>IFERROR(ROUND(_xlfn.XLOOKUP(AW$7,'Product Tgt'!$B:$B,'Product Tgt'!$G:$G)*R67/R$121,0),0)</f>
        <v>21361</v>
      </c>
      <c r="AX67" s="41">
        <f>IFERROR(ROUND(_xlfn.XLOOKUP(AX$7,'Product Tgt'!$B:$B,'Product Tgt'!$G:$G)*S67/S$121,0),0)</f>
        <v>35062</v>
      </c>
      <c r="AY67" s="41">
        <f>IFERROR(ROUND(_xlfn.XLOOKUP(AY$7,'Product Tgt'!$B:$B,'Product Tgt'!$G:$G)*T67/T$121,0),0)</f>
        <v>0</v>
      </c>
      <c r="AZ67" s="41">
        <f>IFERROR(ROUND(_xlfn.XLOOKUP(AZ$7,'Product Tgt'!$B:$B,'Product Tgt'!$G:$G)*U67/U$121,0),0)</f>
        <v>978</v>
      </c>
      <c r="BA67" s="41">
        <f>IFERROR(ROUND(_xlfn.XLOOKUP(BA$7,'Product Tgt'!$B:$B,'Product Tgt'!$G:$G)*V67/V$121,0),0)</f>
        <v>16308</v>
      </c>
      <c r="BB67" s="41">
        <f>IFERROR(ROUND(_xlfn.XLOOKUP(BB$7,'Product Tgt'!$B:$B,'Product Tgt'!$G:$G)*W67/W$121,0),0)</f>
        <v>27189</v>
      </c>
      <c r="BC67" s="41">
        <f>IFERROR(ROUND(_xlfn.XLOOKUP(BC$7,'Product Tgt'!$B:$B,'Product Tgt'!$G:$G)*X67/X$121,0),0)</f>
        <v>1602</v>
      </c>
      <c r="BD67" s="41">
        <f>IFERROR(ROUND(_xlfn.XLOOKUP(BD$7,'Product Tgt'!$B:$B,'Product Tgt'!$G:$G)*Y67/Y$121,0),0)</f>
        <v>3749</v>
      </c>
      <c r="BE67" s="41">
        <f>IFERROR(ROUND(_xlfn.XLOOKUP(BE$7,'Product Tgt'!$B:$B,'Product Tgt'!$G:$G)*Z67/Z$121,0),0)</f>
        <v>397</v>
      </c>
      <c r="BF67" s="41">
        <f>IFERROR(ROUND(_xlfn.XLOOKUP(BF$7,'Product Tgt'!$B:$B,'Product Tgt'!$G:$G)*AA67/AA$121,0),0)</f>
        <v>5495</v>
      </c>
      <c r="BG67" s="41">
        <f>IFERROR(ROUND(_xlfn.XLOOKUP(BG$7,'Product Tgt'!$B:$B,'Product Tgt'!$G:$G)*AB67/AB$121,0),0)</f>
        <v>1565</v>
      </c>
      <c r="BH67" s="41">
        <f>IFERROR(ROUND(_xlfn.XLOOKUP(BH$7,'Product Tgt'!$B:$B,'Product Tgt'!$G:$G)*AC67/AC$121,0),0)</f>
        <v>574</v>
      </c>
      <c r="BI67" s="41">
        <f>IFERROR(ROUND(_xlfn.XLOOKUP(BI$7,'Product Tgt'!$B:$B,'Product Tgt'!$G:$G)*AD67/AD$121,0),0)</f>
        <v>2564</v>
      </c>
      <c r="BJ67" s="41">
        <f>IFERROR(ROUND(_xlfn.XLOOKUP(BJ$7,'Product Tgt'!$B:$B,'Product Tgt'!$G:$G)*AE67/AE$121,0),0)</f>
        <v>4181</v>
      </c>
      <c r="BK67" s="41">
        <f>IFERROR(ROUND(_xlfn.XLOOKUP(BK$7,'Product Tgt'!$B:$B,'Product Tgt'!$G:$G)*AF67/AF$121,0),0)</f>
        <v>851</v>
      </c>
      <c r="BL67" s="41">
        <f>IFERROR(ROUND(_xlfn.XLOOKUP(BL$7,'Product Tgt'!$B:$B,'Product Tgt'!$G:$G)*AG67/AG$121,0),0)</f>
        <v>17122</v>
      </c>
      <c r="BM67" s="41">
        <f>IFERROR(ROUND(_xlfn.XLOOKUP(BM$7,'Product Tgt'!$B:$B,'Product Tgt'!$G:$G)*AH67/AH$121,0),0)</f>
        <v>1215</v>
      </c>
      <c r="BN67" s="41">
        <f>IFERROR(ROUND(_xlfn.XLOOKUP(BN$7,'Product Tgt'!$B:$B,'Product Tgt'!$G:$G)*AI67/AI$121,0),0)</f>
        <v>8623</v>
      </c>
      <c r="BO67" s="41">
        <f>IFERROR(ROUND(_xlfn.XLOOKUP(BO$7,'Product Tgt'!$B:$B,'Product Tgt'!$G:$G)*AJ67/AJ$121,0),0)</f>
        <v>5310</v>
      </c>
      <c r="BP67" s="41">
        <f>IFERROR(ROUND(_xlfn.XLOOKUP(BP$7,'Product Tgt'!$B:$B,'Product Tgt'!$G:$G)*AK67/AK$121,0),0)</f>
        <v>417</v>
      </c>
      <c r="BQ67" s="41">
        <f>IFERROR(ROUND(_xlfn.XLOOKUP(BQ$7,'Product Tgt'!$B:$B,'Product Tgt'!$G:$G)*AL67/AL$121,0),0)</f>
        <v>570</v>
      </c>
      <c r="BR67" s="25">
        <f>ROUND(IFERROR(AM67/_xlfn.XLOOKUP(BR$7,'Product Tgt'!$B:$B,'Product Tgt'!$D:$D),0),0)</f>
        <v>0</v>
      </c>
      <c r="BS67" s="11">
        <f>ROUND(IFERROR(AN67/_xlfn.XLOOKUP(BS$7,'Product Tgt'!$B:$B,'Product Tgt'!$D:$D),0),0)</f>
        <v>0</v>
      </c>
      <c r="BT67" s="11">
        <f>ROUND(IFERROR(AO67/_xlfn.XLOOKUP(BT$7,'Product Tgt'!$B:$B,'Product Tgt'!$D:$D),0),0)</f>
        <v>0</v>
      </c>
      <c r="BU67" s="11">
        <f>ROUND(IFERROR(AP67/_xlfn.XLOOKUP(BU$7,'Product Tgt'!$B:$B,'Product Tgt'!$D:$D),0),0)</f>
        <v>0</v>
      </c>
      <c r="BV67" s="11">
        <f>ROUND(IFERROR(AQ67/_xlfn.XLOOKUP(BV$7,'Product Tgt'!$B:$B,'Product Tgt'!$D:$D),0),0)</f>
        <v>0</v>
      </c>
      <c r="BW67" s="11">
        <f>ROUND(IFERROR(AU67/_xlfn.XLOOKUP(BW$7,'Product Tgt'!$B:$B,'Product Tgt'!$D:$D),0),0)</f>
        <v>0</v>
      </c>
      <c r="BX67" s="11">
        <f>ROUND(IFERROR(#REF!/_xlfn.XLOOKUP(BX$7,'Product Tgt'!$B:$B,'Product Tgt'!$D:$D),0),0)</f>
        <v>0</v>
      </c>
      <c r="BY67" s="11">
        <f>ROUND(IFERROR(#REF!/_xlfn.XLOOKUP(BY$7,'Product Tgt'!$B:$B,'Product Tgt'!$D:$D),0),0)</f>
        <v>0</v>
      </c>
      <c r="BZ67" s="11">
        <f>ROUND(IFERROR(#REF!/_xlfn.XLOOKUP(BZ$7,'Product Tgt'!$B:$B,'Product Tgt'!$D:$D),0),0)</f>
        <v>0</v>
      </c>
      <c r="CA67" s="11">
        <f>ROUND(IFERROR(#REF!/_xlfn.XLOOKUP(CA$7,'Product Tgt'!$B:$B,'Product Tgt'!$D:$D),0),0)</f>
        <v>0</v>
      </c>
      <c r="CB67" s="11">
        <f>ROUND(IFERROR(AV67/_xlfn.XLOOKUP(CB$7,'Product Tgt'!$B:$B,'Product Tgt'!$D:$D),0),0)</f>
        <v>0</v>
      </c>
      <c r="CC67" s="11">
        <f>ROUND(IFERROR(AW67/_xlfn.XLOOKUP(CC$7,'Product Tgt'!$B:$B,'Product Tgt'!$D:$D),0),0)</f>
        <v>0</v>
      </c>
      <c r="CD67" s="11">
        <f>ROUND(IFERROR(AX67/_xlfn.XLOOKUP(CD$7,'Product Tgt'!$B:$B,'Product Tgt'!$D:$D),0),0)</f>
        <v>0</v>
      </c>
      <c r="CE67" s="11">
        <f>ROUND(IFERROR(AY67/_xlfn.XLOOKUP(CE$7,'Product Tgt'!$B:$B,'Product Tgt'!$D:$D),0),0)</f>
        <v>0</v>
      </c>
      <c r="CF67" s="11">
        <f>ROUND(IFERROR(AZ67/_xlfn.XLOOKUP(CF$7,'Product Tgt'!$B:$B,'Product Tgt'!$D:$D),0),0)</f>
        <v>0</v>
      </c>
      <c r="CG67" s="11">
        <f>ROUND(IFERROR(BA67/_xlfn.XLOOKUP(CG$7,'Product Tgt'!$B:$B,'Product Tgt'!$D:$D),0),0)</f>
        <v>0</v>
      </c>
      <c r="CH67" s="11">
        <f>ROUND(IFERROR(BB67/_xlfn.XLOOKUP(CH$7,'Product Tgt'!$B:$B,'Product Tgt'!$D:$D),0),0)</f>
        <v>0</v>
      </c>
      <c r="CI67" s="11">
        <f>ROUND(IFERROR(BC67/_xlfn.XLOOKUP(CI$7,'Product Tgt'!$B:$B,'Product Tgt'!$D:$D),0),0)</f>
        <v>0</v>
      </c>
      <c r="CJ67" s="11">
        <f>ROUND(IFERROR(BD67/_xlfn.XLOOKUP(CJ$7,'Product Tgt'!$B:$B,'Product Tgt'!$D:$D),0),0)</f>
        <v>0</v>
      </c>
      <c r="CK67" s="11">
        <f>ROUND(IFERROR(BE67/_xlfn.XLOOKUP(CK$7,'Product Tgt'!$B:$B,'Product Tgt'!$D:$D),0),0)</f>
        <v>0</v>
      </c>
      <c r="CL67" s="11">
        <f>ROUND(IFERROR(BF67/_xlfn.XLOOKUP(CL$7,'Product Tgt'!$B:$B,'Product Tgt'!$D:$D),0),0)</f>
        <v>0</v>
      </c>
      <c r="CM67" s="11">
        <f>ROUND(IFERROR(BG67/_xlfn.XLOOKUP(CM$7,'Product Tgt'!$B:$B,'Product Tgt'!$D:$D),0),0)</f>
        <v>0</v>
      </c>
      <c r="CN67" s="11">
        <f>ROUND(IFERROR(BH67/_xlfn.XLOOKUP(CN$7,'Product Tgt'!$B:$B,'Product Tgt'!$D:$D),0),0)</f>
        <v>0</v>
      </c>
      <c r="CO67" s="11">
        <f>ROUND(IFERROR(BI67/_xlfn.XLOOKUP(CO$7,'Product Tgt'!$B:$B,'Product Tgt'!$D:$D),0),0)</f>
        <v>0</v>
      </c>
      <c r="CP67" s="11">
        <f>ROUND(IFERROR(BJ67/_xlfn.XLOOKUP(CP$7,'Product Tgt'!$B:$B,'Product Tgt'!$D:$D),0),0)</f>
        <v>0</v>
      </c>
      <c r="CQ67" s="11">
        <f>ROUND(IFERROR(BK67/_xlfn.XLOOKUP(CQ$7,'Product Tgt'!$B:$B,'Product Tgt'!$D:$D),0),0)</f>
        <v>0</v>
      </c>
      <c r="CR67" s="11">
        <f>ROUND(IFERROR(BL67/_xlfn.XLOOKUP(CR$7,'Product Tgt'!$B:$B,'Product Tgt'!$D:$D),0),0)</f>
        <v>0</v>
      </c>
      <c r="CS67" s="11">
        <f>ROUND(IFERROR(BM67/_xlfn.XLOOKUP(CS$7,'Product Tgt'!$B:$B,'Product Tgt'!$D:$D),0),0)</f>
        <v>0</v>
      </c>
      <c r="CT67" s="11">
        <f>ROUND(IFERROR(BN67/_xlfn.XLOOKUP(CT$7,'Product Tgt'!$B:$B,'Product Tgt'!$D:$D),0),0)</f>
        <v>0</v>
      </c>
      <c r="CU67" s="11">
        <f>ROUND(IFERROR(BO67/_xlfn.XLOOKUP(CU$7,'Product Tgt'!$B:$B,'Product Tgt'!$D:$D),0),0)</f>
        <v>0</v>
      </c>
      <c r="CV67" s="11">
        <f>ROUND(IFERROR(BP67/_xlfn.XLOOKUP(CV$7,'Product Tgt'!$B:$B,'Product Tgt'!$D:$D),0),0)</f>
        <v>0</v>
      </c>
      <c r="CW67" s="11">
        <f>ROUND(IFERROR(BQ67/_xlfn.XLOOKUP(CW$7,'Product Tgt'!$B:$B,'Product Tgt'!$D:$D),0),0)</f>
        <v>0</v>
      </c>
      <c r="CX67" s="11">
        <f>ROUND(IFERROR(#REF!/_xlfn.XLOOKUP(CX$7,'Product Tgt'!$B:$B,'Product Tgt'!$D:$D),0),0)</f>
        <v>0</v>
      </c>
      <c r="CY67" s="11">
        <f>ROUND(IFERROR(#REF!/_xlfn.XLOOKUP(CY$7,'Product Tgt'!$B:$B,'Product Tgt'!$D:$D),0),0)</f>
        <v>0</v>
      </c>
      <c r="CZ67" s="11">
        <f>ROUND(IFERROR(#REF!/_xlfn.XLOOKUP(CZ$7,'Product Tgt'!$B:$B,'Product Tgt'!$D:$D),0),0)</f>
        <v>0</v>
      </c>
      <c r="DA67" s="10">
        <f>IFERROR(BR67*_xlfn.XLOOKUP(DA$7,'Product Tgt'!$B:$B,'Product Tgt'!$D:$D),0)</f>
        <v>0</v>
      </c>
      <c r="DB67">
        <f>IFERROR(BS67*_xlfn.XLOOKUP(DB$7,'Product Tgt'!$B:$B,'Product Tgt'!$D:$D),0)</f>
        <v>0</v>
      </c>
      <c r="DC67">
        <f>IFERROR(BT67*_xlfn.XLOOKUP(DC$7,'Product Tgt'!$B:$B,'Product Tgt'!$D:$D),0)</f>
        <v>0</v>
      </c>
      <c r="DD67">
        <f>IFERROR(BU67*_xlfn.XLOOKUP(DD$7,'Product Tgt'!$B:$B,'Product Tgt'!$D:$D),0)</f>
        <v>0</v>
      </c>
      <c r="DE67">
        <f>IFERROR(BV67*_xlfn.XLOOKUP(DE$7,'Product Tgt'!$B:$B,'Product Tgt'!$D:$D),0)</f>
        <v>0</v>
      </c>
      <c r="DF67">
        <f>IFERROR(BW67*_xlfn.XLOOKUP(DF$7,'Product Tgt'!$B:$B,'Product Tgt'!$D:$D),0)</f>
        <v>0</v>
      </c>
      <c r="DG67">
        <f>IFERROR(BX67*_xlfn.XLOOKUP(DG$7,'Product Tgt'!$B:$B,'Product Tgt'!$D:$D),0)</f>
        <v>0</v>
      </c>
      <c r="DH67">
        <f>IFERROR(BY67*_xlfn.XLOOKUP(DH$7,'Product Tgt'!$B:$B,'Product Tgt'!$D:$D),0)</f>
        <v>0</v>
      </c>
      <c r="DI67">
        <f>IFERROR(BZ67*_xlfn.XLOOKUP(DI$7,'Product Tgt'!$B:$B,'Product Tgt'!$D:$D),0)</f>
        <v>0</v>
      </c>
      <c r="DJ67">
        <f>IFERROR(CA67*_xlfn.XLOOKUP(DJ$7,'Product Tgt'!$B:$B,'Product Tgt'!$D:$D),0)</f>
        <v>0</v>
      </c>
      <c r="DK67">
        <f>IFERROR(CB67*_xlfn.XLOOKUP(DK$7,'Product Tgt'!$B:$B,'Product Tgt'!$D:$D),0)</f>
        <v>0</v>
      </c>
      <c r="DL67">
        <f>IFERROR(CC67*_xlfn.XLOOKUP(DL$7,'Product Tgt'!$B:$B,'Product Tgt'!$D:$D),0)</f>
        <v>0</v>
      </c>
      <c r="DM67">
        <f>IFERROR(CD67*_xlfn.XLOOKUP(DM$7,'Product Tgt'!$B:$B,'Product Tgt'!$D:$D),0)</f>
        <v>0</v>
      </c>
      <c r="DN67">
        <f>IFERROR(CE67*_xlfn.XLOOKUP(DN$7,'Product Tgt'!$B:$B,'Product Tgt'!$D:$D),0)</f>
        <v>0</v>
      </c>
      <c r="DO67">
        <f>IFERROR(CF67*_xlfn.XLOOKUP(DO$7,'Product Tgt'!$B:$B,'Product Tgt'!$D:$D),0)</f>
        <v>0</v>
      </c>
      <c r="DP67">
        <f>IFERROR(CG67*_xlfn.XLOOKUP(DP$7,'Product Tgt'!$B:$B,'Product Tgt'!$D:$D),0)</f>
        <v>0</v>
      </c>
      <c r="DQ67">
        <f>IFERROR(CH67*_xlfn.XLOOKUP(DQ$7,'Product Tgt'!$B:$B,'Product Tgt'!$D:$D),0)</f>
        <v>0</v>
      </c>
      <c r="DR67">
        <f>IFERROR(CI67*_xlfn.XLOOKUP(DR$7,'Product Tgt'!$B:$B,'Product Tgt'!$D:$D),0)</f>
        <v>0</v>
      </c>
      <c r="DS67">
        <f>IFERROR(CJ67*_xlfn.XLOOKUP(DS$7,'Product Tgt'!$B:$B,'Product Tgt'!$D:$D),0)</f>
        <v>0</v>
      </c>
      <c r="DT67">
        <f>IFERROR(CK67*_xlfn.XLOOKUP(DT$7,'Product Tgt'!$B:$B,'Product Tgt'!$D:$D),0)</f>
        <v>0</v>
      </c>
      <c r="DU67">
        <f>IFERROR(CL67*_xlfn.XLOOKUP(DU$7,'Product Tgt'!$B:$B,'Product Tgt'!$D:$D),0)</f>
        <v>0</v>
      </c>
      <c r="DV67">
        <f>IFERROR(CM67*_xlfn.XLOOKUP(DV$7,'Product Tgt'!$B:$B,'Product Tgt'!$D:$D),0)</f>
        <v>0</v>
      </c>
      <c r="DW67">
        <f>IFERROR(CN67*_xlfn.XLOOKUP(DW$7,'Product Tgt'!$B:$B,'Product Tgt'!$D:$D),0)</f>
        <v>0</v>
      </c>
      <c r="DX67">
        <f>IFERROR(CO67*_xlfn.XLOOKUP(DX$7,'Product Tgt'!$B:$B,'Product Tgt'!$D:$D),0)</f>
        <v>0</v>
      </c>
      <c r="DY67">
        <f>IFERROR(CP67*_xlfn.XLOOKUP(DY$7,'Product Tgt'!$B:$B,'Product Tgt'!$D:$D),0)</f>
        <v>0</v>
      </c>
      <c r="DZ67">
        <f>IFERROR(CQ67*_xlfn.XLOOKUP(DZ$7,'Product Tgt'!$B:$B,'Product Tgt'!$D:$D),0)</f>
        <v>0</v>
      </c>
      <c r="EA67">
        <f>IFERROR(CR67*_xlfn.XLOOKUP(EA$7,'Product Tgt'!$B:$B,'Product Tgt'!$D:$D),0)</f>
        <v>0</v>
      </c>
      <c r="EB67">
        <f>IFERROR(CS67*_xlfn.XLOOKUP(EB$7,'Product Tgt'!$B:$B,'Product Tgt'!$D:$D),0)</f>
        <v>0</v>
      </c>
      <c r="EC67">
        <f>IFERROR(CT67*_xlfn.XLOOKUP(EC$7,'Product Tgt'!$B:$B,'Product Tgt'!$D:$D),0)</f>
        <v>0</v>
      </c>
      <c r="ED67">
        <f>IFERROR(CU67*_xlfn.XLOOKUP(ED$7,'Product Tgt'!$B:$B,'Product Tgt'!$D:$D),0)</f>
        <v>0</v>
      </c>
      <c r="EE67">
        <f>IFERROR(CV67*_xlfn.XLOOKUP(EE$7,'Product Tgt'!$B:$B,'Product Tgt'!$D:$D),0)</f>
        <v>0</v>
      </c>
      <c r="EF67">
        <f>IFERROR(CW67*_xlfn.XLOOKUP(EF$7,'Product Tgt'!$B:$B,'Product Tgt'!$D:$D),0)</f>
        <v>0</v>
      </c>
      <c r="EG67">
        <f>IFERROR(CX67*_xlfn.XLOOKUP(EG$7,'Product Tgt'!$B:$B,'Product Tgt'!$D:$D),0)</f>
        <v>0</v>
      </c>
      <c r="EH67">
        <f>IFERROR(CY67*_xlfn.XLOOKUP(EH$7,'Product Tgt'!$B:$B,'Product Tgt'!$D:$D),0)</f>
        <v>0</v>
      </c>
      <c r="EI67">
        <f>IFERROR(CZ67*_xlfn.XLOOKUP(EI$7,'Product Tgt'!$B:$B,'Product Tgt'!$D:$D),0)</f>
        <v>0</v>
      </c>
    </row>
    <row r="68" spans="2:139" x14ac:dyDescent="0.35">
      <c r="B68" s="7" t="s">
        <v>177</v>
      </c>
      <c r="C68" s="3">
        <f>_xlfn.XLOOKUP($B68,'Terr Target'!$A:$A,'Terr Target'!$E:$E)</f>
        <v>715486.652582607</v>
      </c>
      <c r="D68" s="3">
        <f t="shared" si="8"/>
        <v>715488</v>
      </c>
      <c r="E68" s="4">
        <f t="shared" si="9"/>
        <v>1.3474173930007964</v>
      </c>
      <c r="F68" s="9">
        <f t="shared" si="7"/>
        <v>1.8832145235151344E-6</v>
      </c>
      <c r="G68" s="5">
        <f t="shared" si="6"/>
        <v>0.99999811678547645</v>
      </c>
      <c r="H68" s="38">
        <v>72879.100112856278</v>
      </c>
      <c r="I68" s="11">
        <v>153166.59407827086</v>
      </c>
      <c r="J68" s="11">
        <v>71138.957026074539</v>
      </c>
      <c r="K68" s="11">
        <v>82358.718168294159</v>
      </c>
      <c r="L68" s="11">
        <v>81281.403833187054</v>
      </c>
      <c r="M68" s="11">
        <v>54870.340675050807</v>
      </c>
      <c r="N68" s="11">
        <v>605.82641414748855</v>
      </c>
      <c r="O68" s="11">
        <v>8401.1199021517587</v>
      </c>
      <c r="P68" s="11">
        <v>1895.113839660926</v>
      </c>
      <c r="Q68" s="11">
        <v>1731.0306712189372</v>
      </c>
      <c r="R68" s="11">
        <v>16516.432272513877</v>
      </c>
      <c r="S68" s="11">
        <v>27779.238635410624</v>
      </c>
      <c r="T68" s="11">
        <v>876.43332259655972</v>
      </c>
      <c r="U68" s="11">
        <v>1837.4051904471526</v>
      </c>
      <c r="V68" s="11">
        <v>24440.413760212919</v>
      </c>
      <c r="W68" s="11">
        <v>39271.984270489265</v>
      </c>
      <c r="X68" s="11">
        <v>4047.8722761133563</v>
      </c>
      <c r="Y68" s="11">
        <v>6132.9640633756317</v>
      </c>
      <c r="Z68" s="11">
        <v>622.78784267868718</v>
      </c>
      <c r="AA68" s="11">
        <v>13458.73934470132</v>
      </c>
      <c r="AB68" s="11">
        <v>4800.9994951062745</v>
      </c>
      <c r="AC68" s="11">
        <v>631.72119330684939</v>
      </c>
      <c r="AD68" s="11">
        <v>5227.6614940942982</v>
      </c>
      <c r="AE68" s="11">
        <v>7083.9978273536917</v>
      </c>
      <c r="AF68" s="11">
        <v>1156.9186466066167</v>
      </c>
      <c r="AG68" s="11">
        <v>27961.964453159046</v>
      </c>
      <c r="AH68" s="11">
        <v>2483.0238122924675</v>
      </c>
      <c r="AI68" s="11">
        <v>14703.250588502779</v>
      </c>
      <c r="AJ68" s="11">
        <v>14122.264460010656</v>
      </c>
      <c r="AK68" s="11">
        <v>2077.3621509169725</v>
      </c>
      <c r="AL68" s="49">
        <v>2637.9547729639567</v>
      </c>
      <c r="AM68" s="41">
        <f>IFERROR(ROUND(_xlfn.XLOOKUP(AM$7,'Product Tgt'!$B:$B,'Product Tgt'!$G:$G)*H68/H$121,0),0)</f>
        <v>70850</v>
      </c>
      <c r="AN68" s="41">
        <f>IFERROR(ROUND(_xlfn.XLOOKUP(AN$7,'Product Tgt'!$B:$B,'Product Tgt'!$G:$G)*I68/I$121,0),0)</f>
        <v>150777</v>
      </c>
      <c r="AO68" s="41">
        <f>IFERROR(ROUND(_xlfn.XLOOKUP(AO$7,'Product Tgt'!$B:$B,'Product Tgt'!$G:$G)*J68/J$121,0),0)</f>
        <v>68926</v>
      </c>
      <c r="AP68" s="41">
        <f>IFERROR(ROUND(_xlfn.XLOOKUP(AP$7,'Product Tgt'!$B:$B,'Product Tgt'!$G:$G)*K68/K$121,0),0)</f>
        <v>80343</v>
      </c>
      <c r="AQ68" s="41">
        <f>IFERROR(ROUND(_xlfn.XLOOKUP(AQ$7,'Product Tgt'!$B:$B,'Product Tgt'!$G:$G)*L68/L$121,0),0)</f>
        <v>78594</v>
      </c>
      <c r="AR68" s="41">
        <f>IFERROR(ROUND(_xlfn.XLOOKUP(AR$7,'Product Tgt'!$B:$B,'Product Tgt'!$G:$G)*M68/M$121,0),0)</f>
        <v>53158</v>
      </c>
      <c r="AS68" s="41">
        <f>IFERROR(ROUND(_xlfn.XLOOKUP(AS$7,'Product Tgt'!$B:$B,'Product Tgt'!$G:$G)*N68/N$121,0),0)</f>
        <v>560</v>
      </c>
      <c r="AT68" s="41">
        <f>IFERROR(ROUND(_xlfn.XLOOKUP(AT$7,'Product Tgt'!$B:$B,'Product Tgt'!$G:$G)*O68/O$121,0),0)</f>
        <v>7562</v>
      </c>
      <c r="AU68" s="41">
        <f>IFERROR(ROUND(_xlfn.XLOOKUP(AU$7,'Product Tgt'!$B:$B,'Product Tgt'!$G:$G)*P68/P$121,0),0)</f>
        <v>808</v>
      </c>
      <c r="AV68" s="41">
        <f>IFERROR(ROUND(_xlfn.XLOOKUP(AV$7,'Product Tgt'!$B:$B,'Product Tgt'!$G:$G)*Q68/Q$121,0),0)</f>
        <v>1299</v>
      </c>
      <c r="AW68" s="41">
        <f>IFERROR(ROUND(_xlfn.XLOOKUP(AW$7,'Product Tgt'!$B:$B,'Product Tgt'!$G:$G)*R68/R$121,0),0)</f>
        <v>15906</v>
      </c>
      <c r="AX68" s="41">
        <f>IFERROR(ROUND(_xlfn.XLOOKUP(AX$7,'Product Tgt'!$B:$B,'Product Tgt'!$G:$G)*S68/S$121,0),0)</f>
        <v>26755</v>
      </c>
      <c r="AY68" s="41">
        <f>IFERROR(ROUND(_xlfn.XLOOKUP(AY$7,'Product Tgt'!$B:$B,'Product Tgt'!$G:$G)*T68/T$121,0),0)</f>
        <v>880</v>
      </c>
      <c r="AZ68" s="41">
        <f>IFERROR(ROUND(_xlfn.XLOOKUP(AZ$7,'Product Tgt'!$B:$B,'Product Tgt'!$G:$G)*U68/U$121,0),0)</f>
        <v>1758</v>
      </c>
      <c r="BA68" s="41">
        <f>IFERROR(ROUND(_xlfn.XLOOKUP(BA$7,'Product Tgt'!$B:$B,'Product Tgt'!$G:$G)*V68/V$121,0),0)</f>
        <v>23531</v>
      </c>
      <c r="BB68" s="41">
        <f>IFERROR(ROUND(_xlfn.XLOOKUP(BB$7,'Product Tgt'!$B:$B,'Product Tgt'!$G:$G)*W68/W$121,0),0)</f>
        <v>37592</v>
      </c>
      <c r="BC68" s="41">
        <f>IFERROR(ROUND(_xlfn.XLOOKUP(BC$7,'Product Tgt'!$B:$B,'Product Tgt'!$G:$G)*X68/X$121,0),0)</f>
        <v>3917</v>
      </c>
      <c r="BD68" s="41">
        <f>IFERROR(ROUND(_xlfn.XLOOKUP(BD$7,'Product Tgt'!$B:$B,'Product Tgt'!$G:$G)*Y68/Y$121,0),0)</f>
        <v>5930</v>
      </c>
      <c r="BE68" s="41">
        <f>IFERROR(ROUND(_xlfn.XLOOKUP(BE$7,'Product Tgt'!$B:$B,'Product Tgt'!$G:$G)*Z68/Z$121,0),0)</f>
        <v>592</v>
      </c>
      <c r="BF68" s="41">
        <f>IFERROR(ROUND(_xlfn.XLOOKUP(BF$7,'Product Tgt'!$B:$B,'Product Tgt'!$G:$G)*AA68/AA$121,0),0)</f>
        <v>10907</v>
      </c>
      <c r="BG68" s="41">
        <f>IFERROR(ROUND(_xlfn.XLOOKUP(BG$7,'Product Tgt'!$B:$B,'Product Tgt'!$G:$G)*AB68/AB$121,0),0)</f>
        <v>3848</v>
      </c>
      <c r="BH68" s="41">
        <f>IFERROR(ROUND(_xlfn.XLOOKUP(BH$7,'Product Tgt'!$B:$B,'Product Tgt'!$G:$G)*AC68/AC$121,0),0)</f>
        <v>541</v>
      </c>
      <c r="BI68" s="41">
        <f>IFERROR(ROUND(_xlfn.XLOOKUP(BI$7,'Product Tgt'!$B:$B,'Product Tgt'!$G:$G)*AD68/AD$121,0),0)</f>
        <v>4551</v>
      </c>
      <c r="BJ68" s="41">
        <f>IFERROR(ROUND(_xlfn.XLOOKUP(BJ$7,'Product Tgt'!$B:$B,'Product Tgt'!$G:$G)*AE68/AE$121,0),0)</f>
        <v>6593</v>
      </c>
      <c r="BK68" s="41">
        <f>IFERROR(ROUND(_xlfn.XLOOKUP(BK$7,'Product Tgt'!$B:$B,'Product Tgt'!$G:$G)*AF68/AF$121,0),0)</f>
        <v>1292</v>
      </c>
      <c r="BL68" s="41">
        <f>IFERROR(ROUND(_xlfn.XLOOKUP(BL$7,'Product Tgt'!$B:$B,'Product Tgt'!$G:$G)*AG68/AG$121,0),0)</f>
        <v>26709</v>
      </c>
      <c r="BM68" s="41">
        <f>IFERROR(ROUND(_xlfn.XLOOKUP(BM$7,'Product Tgt'!$B:$B,'Product Tgt'!$G:$G)*AH68/AH$121,0),0)</f>
        <v>1947</v>
      </c>
      <c r="BN68" s="41">
        <f>IFERROR(ROUND(_xlfn.XLOOKUP(BN$7,'Product Tgt'!$B:$B,'Product Tgt'!$G:$G)*AI68/AI$121,0),0)</f>
        <v>13503</v>
      </c>
      <c r="BO68" s="41">
        <f>IFERROR(ROUND(_xlfn.XLOOKUP(BO$7,'Product Tgt'!$B:$B,'Product Tgt'!$G:$G)*AJ68/AJ$121,0),0)</f>
        <v>12215</v>
      </c>
      <c r="BP68" s="41">
        <f>IFERROR(ROUND(_xlfn.XLOOKUP(BP$7,'Product Tgt'!$B:$B,'Product Tgt'!$G:$G)*AK68/AK$121,0),0)</f>
        <v>1582</v>
      </c>
      <c r="BQ68" s="41">
        <f>IFERROR(ROUND(_xlfn.XLOOKUP(BQ$7,'Product Tgt'!$B:$B,'Product Tgt'!$G:$G)*AL68/AL$121,0),0)</f>
        <v>2062</v>
      </c>
      <c r="BR68" s="25">
        <f>ROUND(IFERROR(AM68/_xlfn.XLOOKUP(BR$7,'Product Tgt'!$B:$B,'Product Tgt'!$D:$D),0),0)</f>
        <v>0</v>
      </c>
      <c r="BS68" s="11">
        <f>ROUND(IFERROR(AN68/_xlfn.XLOOKUP(BS$7,'Product Tgt'!$B:$B,'Product Tgt'!$D:$D),0),0)</f>
        <v>0</v>
      </c>
      <c r="BT68" s="11">
        <f>ROUND(IFERROR(AO68/_xlfn.XLOOKUP(BT$7,'Product Tgt'!$B:$B,'Product Tgt'!$D:$D),0),0)</f>
        <v>0</v>
      </c>
      <c r="BU68" s="11">
        <f>ROUND(IFERROR(AP68/_xlfn.XLOOKUP(BU$7,'Product Tgt'!$B:$B,'Product Tgt'!$D:$D),0),0)</f>
        <v>0</v>
      </c>
      <c r="BV68" s="11">
        <f>ROUND(IFERROR(AQ68/_xlfn.XLOOKUP(BV$7,'Product Tgt'!$B:$B,'Product Tgt'!$D:$D),0),0)</f>
        <v>0</v>
      </c>
      <c r="BW68" s="11">
        <f>ROUND(IFERROR(AU68/_xlfn.XLOOKUP(BW$7,'Product Tgt'!$B:$B,'Product Tgt'!$D:$D),0),0)</f>
        <v>0</v>
      </c>
      <c r="BX68" s="11">
        <f>ROUND(IFERROR(#REF!/_xlfn.XLOOKUP(BX$7,'Product Tgt'!$B:$B,'Product Tgt'!$D:$D),0),0)</f>
        <v>0</v>
      </c>
      <c r="BY68" s="11">
        <f>ROUND(IFERROR(#REF!/_xlfn.XLOOKUP(BY$7,'Product Tgt'!$B:$B,'Product Tgt'!$D:$D),0),0)</f>
        <v>0</v>
      </c>
      <c r="BZ68" s="11">
        <f>ROUND(IFERROR(#REF!/_xlfn.XLOOKUP(BZ$7,'Product Tgt'!$B:$B,'Product Tgt'!$D:$D),0),0)</f>
        <v>0</v>
      </c>
      <c r="CA68" s="11">
        <f>ROUND(IFERROR(#REF!/_xlfn.XLOOKUP(CA$7,'Product Tgt'!$B:$B,'Product Tgt'!$D:$D),0),0)</f>
        <v>0</v>
      </c>
      <c r="CB68" s="11">
        <f>ROUND(IFERROR(AV68/_xlfn.XLOOKUP(CB$7,'Product Tgt'!$B:$B,'Product Tgt'!$D:$D),0),0)</f>
        <v>0</v>
      </c>
      <c r="CC68" s="11">
        <f>ROUND(IFERROR(AW68/_xlfn.XLOOKUP(CC$7,'Product Tgt'!$B:$B,'Product Tgt'!$D:$D),0),0)</f>
        <v>0</v>
      </c>
      <c r="CD68" s="11">
        <f>ROUND(IFERROR(AX68/_xlfn.XLOOKUP(CD$7,'Product Tgt'!$B:$B,'Product Tgt'!$D:$D),0),0)</f>
        <v>0</v>
      </c>
      <c r="CE68" s="11">
        <f>ROUND(IFERROR(AY68/_xlfn.XLOOKUP(CE$7,'Product Tgt'!$B:$B,'Product Tgt'!$D:$D),0),0)</f>
        <v>0</v>
      </c>
      <c r="CF68" s="11">
        <f>ROUND(IFERROR(AZ68/_xlfn.XLOOKUP(CF$7,'Product Tgt'!$B:$B,'Product Tgt'!$D:$D),0),0)</f>
        <v>0</v>
      </c>
      <c r="CG68" s="11">
        <f>ROUND(IFERROR(BA68/_xlfn.XLOOKUP(CG$7,'Product Tgt'!$B:$B,'Product Tgt'!$D:$D),0),0)</f>
        <v>0</v>
      </c>
      <c r="CH68" s="11">
        <f>ROUND(IFERROR(BB68/_xlfn.XLOOKUP(CH$7,'Product Tgt'!$B:$B,'Product Tgt'!$D:$D),0),0)</f>
        <v>0</v>
      </c>
      <c r="CI68" s="11">
        <f>ROUND(IFERROR(BC68/_xlfn.XLOOKUP(CI$7,'Product Tgt'!$B:$B,'Product Tgt'!$D:$D),0),0)</f>
        <v>0</v>
      </c>
      <c r="CJ68" s="11">
        <f>ROUND(IFERROR(BD68/_xlfn.XLOOKUP(CJ$7,'Product Tgt'!$B:$B,'Product Tgt'!$D:$D),0),0)</f>
        <v>0</v>
      </c>
      <c r="CK68" s="11">
        <f>ROUND(IFERROR(BE68/_xlfn.XLOOKUP(CK$7,'Product Tgt'!$B:$B,'Product Tgt'!$D:$D),0),0)</f>
        <v>0</v>
      </c>
      <c r="CL68" s="11">
        <f>ROUND(IFERROR(BF68/_xlfn.XLOOKUP(CL$7,'Product Tgt'!$B:$B,'Product Tgt'!$D:$D),0),0)</f>
        <v>0</v>
      </c>
      <c r="CM68" s="11">
        <f>ROUND(IFERROR(BG68/_xlfn.XLOOKUP(CM$7,'Product Tgt'!$B:$B,'Product Tgt'!$D:$D),0),0)</f>
        <v>0</v>
      </c>
      <c r="CN68" s="11">
        <f>ROUND(IFERROR(BH68/_xlfn.XLOOKUP(CN$7,'Product Tgt'!$B:$B,'Product Tgt'!$D:$D),0),0)</f>
        <v>0</v>
      </c>
      <c r="CO68" s="11">
        <f>ROUND(IFERROR(BI68/_xlfn.XLOOKUP(CO$7,'Product Tgt'!$B:$B,'Product Tgt'!$D:$D),0),0)</f>
        <v>0</v>
      </c>
      <c r="CP68" s="11">
        <f>ROUND(IFERROR(BJ68/_xlfn.XLOOKUP(CP$7,'Product Tgt'!$B:$B,'Product Tgt'!$D:$D),0),0)</f>
        <v>0</v>
      </c>
      <c r="CQ68" s="11">
        <f>ROUND(IFERROR(BK68/_xlfn.XLOOKUP(CQ$7,'Product Tgt'!$B:$B,'Product Tgt'!$D:$D),0),0)</f>
        <v>0</v>
      </c>
      <c r="CR68" s="11">
        <f>ROUND(IFERROR(BL68/_xlfn.XLOOKUP(CR$7,'Product Tgt'!$B:$B,'Product Tgt'!$D:$D),0),0)</f>
        <v>0</v>
      </c>
      <c r="CS68" s="11">
        <f>ROUND(IFERROR(BM68/_xlfn.XLOOKUP(CS$7,'Product Tgt'!$B:$B,'Product Tgt'!$D:$D),0),0)</f>
        <v>0</v>
      </c>
      <c r="CT68" s="11">
        <f>ROUND(IFERROR(BN68/_xlfn.XLOOKUP(CT$7,'Product Tgt'!$B:$B,'Product Tgt'!$D:$D),0),0)</f>
        <v>0</v>
      </c>
      <c r="CU68" s="11">
        <f>ROUND(IFERROR(BO68/_xlfn.XLOOKUP(CU$7,'Product Tgt'!$B:$B,'Product Tgt'!$D:$D),0),0)</f>
        <v>0</v>
      </c>
      <c r="CV68" s="11">
        <f>ROUND(IFERROR(BP68/_xlfn.XLOOKUP(CV$7,'Product Tgt'!$B:$B,'Product Tgt'!$D:$D),0),0)</f>
        <v>0</v>
      </c>
      <c r="CW68" s="11">
        <f>ROUND(IFERROR(BQ68/_xlfn.XLOOKUP(CW$7,'Product Tgt'!$B:$B,'Product Tgt'!$D:$D),0),0)</f>
        <v>0</v>
      </c>
      <c r="CX68" s="11">
        <f>ROUND(IFERROR(#REF!/_xlfn.XLOOKUP(CX$7,'Product Tgt'!$B:$B,'Product Tgt'!$D:$D),0),0)</f>
        <v>0</v>
      </c>
      <c r="CY68" s="11">
        <f>ROUND(IFERROR(#REF!/_xlfn.XLOOKUP(CY$7,'Product Tgt'!$B:$B,'Product Tgt'!$D:$D),0),0)</f>
        <v>0</v>
      </c>
      <c r="CZ68" s="11">
        <f>ROUND(IFERROR(#REF!/_xlfn.XLOOKUP(CZ$7,'Product Tgt'!$B:$B,'Product Tgt'!$D:$D),0),0)</f>
        <v>0</v>
      </c>
      <c r="DA68" s="10">
        <f>IFERROR(BR68*_xlfn.XLOOKUP(DA$7,'Product Tgt'!$B:$B,'Product Tgt'!$D:$D),0)</f>
        <v>0</v>
      </c>
      <c r="DB68">
        <f>IFERROR(BS68*_xlfn.XLOOKUP(DB$7,'Product Tgt'!$B:$B,'Product Tgt'!$D:$D),0)</f>
        <v>0</v>
      </c>
      <c r="DC68">
        <f>IFERROR(BT68*_xlfn.XLOOKUP(DC$7,'Product Tgt'!$B:$B,'Product Tgt'!$D:$D),0)</f>
        <v>0</v>
      </c>
      <c r="DD68">
        <f>IFERROR(BU68*_xlfn.XLOOKUP(DD$7,'Product Tgt'!$B:$B,'Product Tgt'!$D:$D),0)</f>
        <v>0</v>
      </c>
      <c r="DE68">
        <f>IFERROR(BV68*_xlfn.XLOOKUP(DE$7,'Product Tgt'!$B:$B,'Product Tgt'!$D:$D),0)</f>
        <v>0</v>
      </c>
      <c r="DF68">
        <f>IFERROR(BW68*_xlfn.XLOOKUP(DF$7,'Product Tgt'!$B:$B,'Product Tgt'!$D:$D),0)</f>
        <v>0</v>
      </c>
      <c r="DG68">
        <f>IFERROR(BX68*_xlfn.XLOOKUP(DG$7,'Product Tgt'!$B:$B,'Product Tgt'!$D:$D),0)</f>
        <v>0</v>
      </c>
      <c r="DH68">
        <f>IFERROR(BY68*_xlfn.XLOOKUP(DH$7,'Product Tgt'!$B:$B,'Product Tgt'!$D:$D),0)</f>
        <v>0</v>
      </c>
      <c r="DI68">
        <f>IFERROR(BZ68*_xlfn.XLOOKUP(DI$7,'Product Tgt'!$B:$B,'Product Tgt'!$D:$D),0)</f>
        <v>0</v>
      </c>
      <c r="DJ68">
        <f>IFERROR(CA68*_xlfn.XLOOKUP(DJ$7,'Product Tgt'!$B:$B,'Product Tgt'!$D:$D),0)</f>
        <v>0</v>
      </c>
      <c r="DK68">
        <f>IFERROR(CB68*_xlfn.XLOOKUP(DK$7,'Product Tgt'!$B:$B,'Product Tgt'!$D:$D),0)</f>
        <v>0</v>
      </c>
      <c r="DL68">
        <f>IFERROR(CC68*_xlfn.XLOOKUP(DL$7,'Product Tgt'!$B:$B,'Product Tgt'!$D:$D),0)</f>
        <v>0</v>
      </c>
      <c r="DM68">
        <f>IFERROR(CD68*_xlfn.XLOOKUP(DM$7,'Product Tgt'!$B:$B,'Product Tgt'!$D:$D),0)</f>
        <v>0</v>
      </c>
      <c r="DN68">
        <f>IFERROR(CE68*_xlfn.XLOOKUP(DN$7,'Product Tgt'!$B:$B,'Product Tgt'!$D:$D),0)</f>
        <v>0</v>
      </c>
      <c r="DO68">
        <f>IFERROR(CF68*_xlfn.XLOOKUP(DO$7,'Product Tgt'!$B:$B,'Product Tgt'!$D:$D),0)</f>
        <v>0</v>
      </c>
      <c r="DP68">
        <f>IFERROR(CG68*_xlfn.XLOOKUP(DP$7,'Product Tgt'!$B:$B,'Product Tgt'!$D:$D),0)</f>
        <v>0</v>
      </c>
      <c r="DQ68">
        <f>IFERROR(CH68*_xlfn.XLOOKUP(DQ$7,'Product Tgt'!$B:$B,'Product Tgt'!$D:$D),0)</f>
        <v>0</v>
      </c>
      <c r="DR68">
        <f>IFERROR(CI68*_xlfn.XLOOKUP(DR$7,'Product Tgt'!$B:$B,'Product Tgt'!$D:$D),0)</f>
        <v>0</v>
      </c>
      <c r="DS68">
        <f>IFERROR(CJ68*_xlfn.XLOOKUP(DS$7,'Product Tgt'!$B:$B,'Product Tgt'!$D:$D),0)</f>
        <v>0</v>
      </c>
      <c r="DT68">
        <f>IFERROR(CK68*_xlfn.XLOOKUP(DT$7,'Product Tgt'!$B:$B,'Product Tgt'!$D:$D),0)</f>
        <v>0</v>
      </c>
      <c r="DU68">
        <f>IFERROR(CL68*_xlfn.XLOOKUP(DU$7,'Product Tgt'!$B:$B,'Product Tgt'!$D:$D),0)</f>
        <v>0</v>
      </c>
      <c r="DV68">
        <f>IFERROR(CM68*_xlfn.XLOOKUP(DV$7,'Product Tgt'!$B:$B,'Product Tgt'!$D:$D),0)</f>
        <v>0</v>
      </c>
      <c r="DW68">
        <f>IFERROR(CN68*_xlfn.XLOOKUP(DW$7,'Product Tgt'!$B:$B,'Product Tgt'!$D:$D),0)</f>
        <v>0</v>
      </c>
      <c r="DX68">
        <f>IFERROR(CO68*_xlfn.XLOOKUP(DX$7,'Product Tgt'!$B:$B,'Product Tgt'!$D:$D),0)</f>
        <v>0</v>
      </c>
      <c r="DY68">
        <f>IFERROR(CP68*_xlfn.XLOOKUP(DY$7,'Product Tgt'!$B:$B,'Product Tgt'!$D:$D),0)</f>
        <v>0</v>
      </c>
      <c r="DZ68">
        <f>IFERROR(CQ68*_xlfn.XLOOKUP(DZ$7,'Product Tgt'!$B:$B,'Product Tgt'!$D:$D),0)</f>
        <v>0</v>
      </c>
      <c r="EA68">
        <f>IFERROR(CR68*_xlfn.XLOOKUP(EA$7,'Product Tgt'!$B:$B,'Product Tgt'!$D:$D),0)</f>
        <v>0</v>
      </c>
      <c r="EB68">
        <f>IFERROR(CS68*_xlfn.XLOOKUP(EB$7,'Product Tgt'!$B:$B,'Product Tgt'!$D:$D),0)</f>
        <v>0</v>
      </c>
      <c r="EC68">
        <f>IFERROR(CT68*_xlfn.XLOOKUP(EC$7,'Product Tgt'!$B:$B,'Product Tgt'!$D:$D),0)</f>
        <v>0</v>
      </c>
      <c r="ED68">
        <f>IFERROR(CU68*_xlfn.XLOOKUP(ED$7,'Product Tgt'!$B:$B,'Product Tgt'!$D:$D),0)</f>
        <v>0</v>
      </c>
      <c r="EE68">
        <f>IFERROR(CV68*_xlfn.XLOOKUP(EE$7,'Product Tgt'!$B:$B,'Product Tgt'!$D:$D),0)</f>
        <v>0</v>
      </c>
      <c r="EF68">
        <f>IFERROR(CW68*_xlfn.XLOOKUP(EF$7,'Product Tgt'!$B:$B,'Product Tgt'!$D:$D),0)</f>
        <v>0</v>
      </c>
      <c r="EG68">
        <f>IFERROR(CX68*_xlfn.XLOOKUP(EG$7,'Product Tgt'!$B:$B,'Product Tgt'!$D:$D),0)</f>
        <v>0</v>
      </c>
      <c r="EH68">
        <f>IFERROR(CY68*_xlfn.XLOOKUP(EH$7,'Product Tgt'!$B:$B,'Product Tgt'!$D:$D),0)</f>
        <v>0</v>
      </c>
      <c r="EI68">
        <f>IFERROR(CZ68*_xlfn.XLOOKUP(EI$7,'Product Tgt'!$B:$B,'Product Tgt'!$D:$D),0)</f>
        <v>0</v>
      </c>
    </row>
    <row r="69" spans="2:139" x14ac:dyDescent="0.35">
      <c r="B69" s="7" t="s">
        <v>178</v>
      </c>
      <c r="C69" s="3">
        <f>_xlfn.XLOOKUP($B69,'Terr Target'!$A:$A,'Terr Target'!$E:$E)</f>
        <v>514006.34255830204</v>
      </c>
      <c r="D69" s="3">
        <f t="shared" si="8"/>
        <v>514006</v>
      </c>
      <c r="E69" s="4">
        <f t="shared" si="9"/>
        <v>-0.34255830204347149</v>
      </c>
      <c r="F69" s="9">
        <f t="shared" si="7"/>
        <v>6.6644806100215077E-7</v>
      </c>
      <c r="G69" s="5">
        <f t="shared" si="6"/>
        <v>1.000000666448061</v>
      </c>
      <c r="H69" s="38">
        <v>51181.280811876575</v>
      </c>
      <c r="I69" s="11">
        <v>103946.64512622848</v>
      </c>
      <c r="J69" s="11">
        <v>47342.861735598861</v>
      </c>
      <c r="K69" s="11">
        <v>62163.11538496385</v>
      </c>
      <c r="L69" s="11">
        <v>55227.175441967498</v>
      </c>
      <c r="M69" s="11">
        <v>34087.953903299996</v>
      </c>
      <c r="N69" s="11">
        <v>598.20271678899144</v>
      </c>
      <c r="O69" s="11">
        <v>4706.566848742521</v>
      </c>
      <c r="P69" s="11">
        <v>1467.595448081664</v>
      </c>
      <c r="Q69" s="11">
        <v>912.61812381607695</v>
      </c>
      <c r="R69" s="11">
        <v>15254.100699878762</v>
      </c>
      <c r="S69" s="11">
        <v>22849.721114663829</v>
      </c>
      <c r="T69" s="11">
        <v>0</v>
      </c>
      <c r="U69" s="11">
        <v>2244.0804892202973</v>
      </c>
      <c r="V69" s="11">
        <v>18577.34948288693</v>
      </c>
      <c r="W69" s="11">
        <v>22776.458452793555</v>
      </c>
      <c r="X69" s="11">
        <v>1828.4013971945217</v>
      </c>
      <c r="Y69" s="11">
        <v>6169.920996410613</v>
      </c>
      <c r="Z69" s="11">
        <v>396.71984614719219</v>
      </c>
      <c r="AA69" s="11">
        <v>11089.650117680074</v>
      </c>
      <c r="AB69" s="11">
        <v>4671.855708541887</v>
      </c>
      <c r="AC69" s="11">
        <v>457.91273768630487</v>
      </c>
      <c r="AD69" s="11">
        <v>9992.3349664012858</v>
      </c>
      <c r="AE69" s="11">
        <v>11027.391625788294</v>
      </c>
      <c r="AF69" s="11">
        <v>2490.898852093746</v>
      </c>
      <c r="AG69" s="11">
        <v>19210.316092369267</v>
      </c>
      <c r="AH69" s="11">
        <v>2158.6425520334469</v>
      </c>
      <c r="AI69" s="11">
        <v>12172.131268009893</v>
      </c>
      <c r="AJ69" s="11">
        <v>9809.8324426351519</v>
      </c>
      <c r="AK69" s="11">
        <v>749.15924991685768</v>
      </c>
      <c r="AL69" s="49">
        <v>1405.1786987117691</v>
      </c>
      <c r="AM69" s="41">
        <f>IFERROR(ROUND(_xlfn.XLOOKUP(AM$7,'Product Tgt'!$B:$B,'Product Tgt'!$G:$G)*H69/H$121,0),0)</f>
        <v>49757</v>
      </c>
      <c r="AN69" s="41">
        <f>IFERROR(ROUND(_xlfn.XLOOKUP(AN$7,'Product Tgt'!$B:$B,'Product Tgt'!$G:$G)*I69/I$121,0),0)</f>
        <v>102325</v>
      </c>
      <c r="AO69" s="41">
        <f>IFERROR(ROUND(_xlfn.XLOOKUP(AO$7,'Product Tgt'!$B:$B,'Product Tgt'!$G:$G)*J69/J$121,0),0)</f>
        <v>45870</v>
      </c>
      <c r="AP69" s="41">
        <f>IFERROR(ROUND(_xlfn.XLOOKUP(AP$7,'Product Tgt'!$B:$B,'Product Tgt'!$G:$G)*K69/K$121,0),0)</f>
        <v>60642</v>
      </c>
      <c r="AQ69" s="41">
        <f>IFERROR(ROUND(_xlfn.XLOOKUP(AQ$7,'Product Tgt'!$B:$B,'Product Tgt'!$G:$G)*L69/L$121,0),0)</f>
        <v>53401</v>
      </c>
      <c r="AR69" s="41">
        <f>IFERROR(ROUND(_xlfn.XLOOKUP(AR$7,'Product Tgt'!$B:$B,'Product Tgt'!$G:$G)*M69/M$121,0),0)</f>
        <v>33024</v>
      </c>
      <c r="AS69" s="41">
        <f>IFERROR(ROUND(_xlfn.XLOOKUP(AS$7,'Product Tgt'!$B:$B,'Product Tgt'!$G:$G)*N69/N$121,0),0)</f>
        <v>553</v>
      </c>
      <c r="AT69" s="41">
        <f>IFERROR(ROUND(_xlfn.XLOOKUP(AT$7,'Product Tgt'!$B:$B,'Product Tgt'!$G:$G)*O69/O$121,0),0)</f>
        <v>4236</v>
      </c>
      <c r="AU69" s="41">
        <f>IFERROR(ROUND(_xlfn.XLOOKUP(AU$7,'Product Tgt'!$B:$B,'Product Tgt'!$G:$G)*P69/P$121,0),0)</f>
        <v>626</v>
      </c>
      <c r="AV69" s="41">
        <f>IFERROR(ROUND(_xlfn.XLOOKUP(AV$7,'Product Tgt'!$B:$B,'Product Tgt'!$G:$G)*Q69/Q$121,0),0)</f>
        <v>685</v>
      </c>
      <c r="AW69" s="41">
        <f>IFERROR(ROUND(_xlfn.XLOOKUP(AW$7,'Product Tgt'!$B:$B,'Product Tgt'!$G:$G)*R69/R$121,0),0)</f>
        <v>14691</v>
      </c>
      <c r="AX69" s="41">
        <f>IFERROR(ROUND(_xlfn.XLOOKUP(AX$7,'Product Tgt'!$B:$B,'Product Tgt'!$G:$G)*S69/S$121,0),0)</f>
        <v>22007</v>
      </c>
      <c r="AY69" s="41">
        <f>IFERROR(ROUND(_xlfn.XLOOKUP(AY$7,'Product Tgt'!$B:$B,'Product Tgt'!$G:$G)*T69/T$121,0),0)</f>
        <v>0</v>
      </c>
      <c r="AZ69" s="41">
        <f>IFERROR(ROUND(_xlfn.XLOOKUP(AZ$7,'Product Tgt'!$B:$B,'Product Tgt'!$G:$G)*U69/U$121,0),0)</f>
        <v>2148</v>
      </c>
      <c r="BA69" s="41">
        <f>IFERROR(ROUND(_xlfn.XLOOKUP(BA$7,'Product Tgt'!$B:$B,'Product Tgt'!$G:$G)*V69/V$121,0),0)</f>
        <v>17886</v>
      </c>
      <c r="BB69" s="41">
        <f>IFERROR(ROUND(_xlfn.XLOOKUP(BB$7,'Product Tgt'!$B:$B,'Product Tgt'!$G:$G)*W69/W$121,0),0)</f>
        <v>21802</v>
      </c>
      <c r="BC69" s="41">
        <f>IFERROR(ROUND(_xlfn.XLOOKUP(BC$7,'Product Tgt'!$B:$B,'Product Tgt'!$G:$G)*X69/X$121,0),0)</f>
        <v>1769</v>
      </c>
      <c r="BD69" s="41">
        <f>IFERROR(ROUND(_xlfn.XLOOKUP(BD$7,'Product Tgt'!$B:$B,'Product Tgt'!$G:$G)*Y69/Y$121,0),0)</f>
        <v>5966</v>
      </c>
      <c r="BE69" s="41">
        <f>IFERROR(ROUND(_xlfn.XLOOKUP(BE$7,'Product Tgt'!$B:$B,'Product Tgt'!$G:$G)*Z69/Z$121,0),0)</f>
        <v>377</v>
      </c>
      <c r="BF69" s="41">
        <f>IFERROR(ROUND(_xlfn.XLOOKUP(BF$7,'Product Tgt'!$B:$B,'Product Tgt'!$G:$G)*AA69/AA$121,0),0)</f>
        <v>8987</v>
      </c>
      <c r="BG69" s="41">
        <f>IFERROR(ROUND(_xlfn.XLOOKUP(BG$7,'Product Tgt'!$B:$B,'Product Tgt'!$G:$G)*AB69/AB$121,0),0)</f>
        <v>3744</v>
      </c>
      <c r="BH69" s="41">
        <f>IFERROR(ROUND(_xlfn.XLOOKUP(BH$7,'Product Tgt'!$B:$B,'Product Tgt'!$G:$G)*AC69/AC$121,0),0)</f>
        <v>392</v>
      </c>
      <c r="BI69" s="41">
        <f>IFERROR(ROUND(_xlfn.XLOOKUP(BI$7,'Product Tgt'!$B:$B,'Product Tgt'!$G:$G)*AD69/AD$121,0),0)</f>
        <v>8699</v>
      </c>
      <c r="BJ69" s="41">
        <f>IFERROR(ROUND(_xlfn.XLOOKUP(BJ$7,'Product Tgt'!$B:$B,'Product Tgt'!$G:$G)*AE69/AE$121,0),0)</f>
        <v>10264</v>
      </c>
      <c r="BK69" s="41">
        <f>IFERROR(ROUND(_xlfn.XLOOKUP(BK$7,'Product Tgt'!$B:$B,'Product Tgt'!$G:$G)*AF69/AF$121,0),0)</f>
        <v>2783</v>
      </c>
      <c r="BL69" s="41">
        <f>IFERROR(ROUND(_xlfn.XLOOKUP(BL$7,'Product Tgt'!$B:$B,'Product Tgt'!$G:$G)*AG69/AG$121,0),0)</f>
        <v>18349</v>
      </c>
      <c r="BM69" s="41">
        <f>IFERROR(ROUND(_xlfn.XLOOKUP(BM$7,'Product Tgt'!$B:$B,'Product Tgt'!$G:$G)*AH69/AH$121,0),0)</f>
        <v>1692</v>
      </c>
      <c r="BN69" s="41">
        <f>IFERROR(ROUND(_xlfn.XLOOKUP(BN$7,'Product Tgt'!$B:$B,'Product Tgt'!$G:$G)*AI69/AI$121,0),0)</f>
        <v>11178</v>
      </c>
      <c r="BO69" s="41">
        <f>IFERROR(ROUND(_xlfn.XLOOKUP(BO$7,'Product Tgt'!$B:$B,'Product Tgt'!$G:$G)*AJ69/AJ$121,0),0)</f>
        <v>8485</v>
      </c>
      <c r="BP69" s="41">
        <f>IFERROR(ROUND(_xlfn.XLOOKUP(BP$7,'Product Tgt'!$B:$B,'Product Tgt'!$G:$G)*AK69/AK$121,0),0)</f>
        <v>570</v>
      </c>
      <c r="BQ69" s="41">
        <f>IFERROR(ROUND(_xlfn.XLOOKUP(BQ$7,'Product Tgt'!$B:$B,'Product Tgt'!$G:$G)*AL69/AL$121,0),0)</f>
        <v>1098</v>
      </c>
      <c r="BR69" s="25">
        <f>ROUND(IFERROR(AM69/_xlfn.XLOOKUP(BR$7,'Product Tgt'!$B:$B,'Product Tgt'!$D:$D),0),0)</f>
        <v>0</v>
      </c>
      <c r="BS69" s="11">
        <f>ROUND(IFERROR(AN69/_xlfn.XLOOKUP(BS$7,'Product Tgt'!$B:$B,'Product Tgt'!$D:$D),0),0)</f>
        <v>0</v>
      </c>
      <c r="BT69" s="11">
        <f>ROUND(IFERROR(AO69/_xlfn.XLOOKUP(BT$7,'Product Tgt'!$B:$B,'Product Tgt'!$D:$D),0),0)</f>
        <v>0</v>
      </c>
      <c r="BU69" s="11">
        <f>ROUND(IFERROR(AP69/_xlfn.XLOOKUP(BU$7,'Product Tgt'!$B:$B,'Product Tgt'!$D:$D),0),0)</f>
        <v>0</v>
      </c>
      <c r="BV69" s="11">
        <f>ROUND(IFERROR(AQ69/_xlfn.XLOOKUP(BV$7,'Product Tgt'!$B:$B,'Product Tgt'!$D:$D),0),0)</f>
        <v>0</v>
      </c>
      <c r="BW69" s="11">
        <f>ROUND(IFERROR(AU69/_xlfn.XLOOKUP(BW$7,'Product Tgt'!$B:$B,'Product Tgt'!$D:$D),0),0)</f>
        <v>0</v>
      </c>
      <c r="BX69" s="11">
        <f>ROUND(IFERROR(#REF!/_xlfn.XLOOKUP(BX$7,'Product Tgt'!$B:$B,'Product Tgt'!$D:$D),0),0)</f>
        <v>0</v>
      </c>
      <c r="BY69" s="11">
        <f>ROUND(IFERROR(#REF!/_xlfn.XLOOKUP(BY$7,'Product Tgt'!$B:$B,'Product Tgt'!$D:$D),0),0)</f>
        <v>0</v>
      </c>
      <c r="BZ69" s="11">
        <f>ROUND(IFERROR(#REF!/_xlfn.XLOOKUP(BZ$7,'Product Tgt'!$B:$B,'Product Tgt'!$D:$D),0),0)</f>
        <v>0</v>
      </c>
      <c r="CA69" s="11">
        <f>ROUND(IFERROR(#REF!/_xlfn.XLOOKUP(CA$7,'Product Tgt'!$B:$B,'Product Tgt'!$D:$D),0),0)</f>
        <v>0</v>
      </c>
      <c r="CB69" s="11">
        <f>ROUND(IFERROR(AV69/_xlfn.XLOOKUP(CB$7,'Product Tgt'!$B:$B,'Product Tgt'!$D:$D),0),0)</f>
        <v>0</v>
      </c>
      <c r="CC69" s="11">
        <f>ROUND(IFERROR(AW69/_xlfn.XLOOKUP(CC$7,'Product Tgt'!$B:$B,'Product Tgt'!$D:$D),0),0)</f>
        <v>0</v>
      </c>
      <c r="CD69" s="11">
        <f>ROUND(IFERROR(AX69/_xlfn.XLOOKUP(CD$7,'Product Tgt'!$B:$B,'Product Tgt'!$D:$D),0),0)</f>
        <v>0</v>
      </c>
      <c r="CE69" s="11">
        <f>ROUND(IFERROR(AY69/_xlfn.XLOOKUP(CE$7,'Product Tgt'!$B:$B,'Product Tgt'!$D:$D),0),0)</f>
        <v>0</v>
      </c>
      <c r="CF69" s="11">
        <f>ROUND(IFERROR(AZ69/_xlfn.XLOOKUP(CF$7,'Product Tgt'!$B:$B,'Product Tgt'!$D:$D),0),0)</f>
        <v>0</v>
      </c>
      <c r="CG69" s="11">
        <f>ROUND(IFERROR(BA69/_xlfn.XLOOKUP(CG$7,'Product Tgt'!$B:$B,'Product Tgt'!$D:$D),0),0)</f>
        <v>0</v>
      </c>
      <c r="CH69" s="11">
        <f>ROUND(IFERROR(BB69/_xlfn.XLOOKUP(CH$7,'Product Tgt'!$B:$B,'Product Tgt'!$D:$D),0),0)</f>
        <v>0</v>
      </c>
      <c r="CI69" s="11">
        <f>ROUND(IFERROR(BC69/_xlfn.XLOOKUP(CI$7,'Product Tgt'!$B:$B,'Product Tgt'!$D:$D),0),0)</f>
        <v>0</v>
      </c>
      <c r="CJ69" s="11">
        <f>ROUND(IFERROR(BD69/_xlfn.XLOOKUP(CJ$7,'Product Tgt'!$B:$B,'Product Tgt'!$D:$D),0),0)</f>
        <v>0</v>
      </c>
      <c r="CK69" s="11">
        <f>ROUND(IFERROR(BE69/_xlfn.XLOOKUP(CK$7,'Product Tgt'!$B:$B,'Product Tgt'!$D:$D),0),0)</f>
        <v>0</v>
      </c>
      <c r="CL69" s="11">
        <f>ROUND(IFERROR(BF69/_xlfn.XLOOKUP(CL$7,'Product Tgt'!$B:$B,'Product Tgt'!$D:$D),0),0)</f>
        <v>0</v>
      </c>
      <c r="CM69" s="11">
        <f>ROUND(IFERROR(BG69/_xlfn.XLOOKUP(CM$7,'Product Tgt'!$B:$B,'Product Tgt'!$D:$D),0),0)</f>
        <v>0</v>
      </c>
      <c r="CN69" s="11">
        <f>ROUND(IFERROR(BH69/_xlfn.XLOOKUP(CN$7,'Product Tgt'!$B:$B,'Product Tgt'!$D:$D),0),0)</f>
        <v>0</v>
      </c>
      <c r="CO69" s="11">
        <f>ROUND(IFERROR(BI69/_xlfn.XLOOKUP(CO$7,'Product Tgt'!$B:$B,'Product Tgt'!$D:$D),0),0)</f>
        <v>0</v>
      </c>
      <c r="CP69" s="11">
        <f>ROUND(IFERROR(BJ69/_xlfn.XLOOKUP(CP$7,'Product Tgt'!$B:$B,'Product Tgt'!$D:$D),0),0)</f>
        <v>0</v>
      </c>
      <c r="CQ69" s="11">
        <f>ROUND(IFERROR(BK69/_xlfn.XLOOKUP(CQ$7,'Product Tgt'!$B:$B,'Product Tgt'!$D:$D),0),0)</f>
        <v>0</v>
      </c>
      <c r="CR69" s="11">
        <f>ROUND(IFERROR(BL69/_xlfn.XLOOKUP(CR$7,'Product Tgt'!$B:$B,'Product Tgt'!$D:$D),0),0)</f>
        <v>0</v>
      </c>
      <c r="CS69" s="11">
        <f>ROUND(IFERROR(BM69/_xlfn.XLOOKUP(CS$7,'Product Tgt'!$B:$B,'Product Tgt'!$D:$D),0),0)</f>
        <v>0</v>
      </c>
      <c r="CT69" s="11">
        <f>ROUND(IFERROR(BN69/_xlfn.XLOOKUP(CT$7,'Product Tgt'!$B:$B,'Product Tgt'!$D:$D),0),0)</f>
        <v>0</v>
      </c>
      <c r="CU69" s="11">
        <f>ROUND(IFERROR(BO69/_xlfn.XLOOKUP(CU$7,'Product Tgt'!$B:$B,'Product Tgt'!$D:$D),0),0)</f>
        <v>0</v>
      </c>
      <c r="CV69" s="11">
        <f>ROUND(IFERROR(BP69/_xlfn.XLOOKUP(CV$7,'Product Tgt'!$B:$B,'Product Tgt'!$D:$D),0),0)</f>
        <v>0</v>
      </c>
      <c r="CW69" s="11">
        <f>ROUND(IFERROR(BQ69/_xlfn.XLOOKUP(CW$7,'Product Tgt'!$B:$B,'Product Tgt'!$D:$D),0),0)</f>
        <v>0</v>
      </c>
      <c r="CX69" s="11">
        <f>ROUND(IFERROR(#REF!/_xlfn.XLOOKUP(CX$7,'Product Tgt'!$B:$B,'Product Tgt'!$D:$D),0),0)</f>
        <v>0</v>
      </c>
      <c r="CY69" s="11">
        <f>ROUND(IFERROR(#REF!/_xlfn.XLOOKUP(CY$7,'Product Tgt'!$B:$B,'Product Tgt'!$D:$D),0),0)</f>
        <v>0</v>
      </c>
      <c r="CZ69" s="11">
        <f>ROUND(IFERROR(#REF!/_xlfn.XLOOKUP(CZ$7,'Product Tgt'!$B:$B,'Product Tgt'!$D:$D),0),0)</f>
        <v>0</v>
      </c>
      <c r="DA69" s="10">
        <f>IFERROR(BR69*_xlfn.XLOOKUP(DA$7,'Product Tgt'!$B:$B,'Product Tgt'!$D:$D),0)</f>
        <v>0</v>
      </c>
      <c r="DB69">
        <f>IFERROR(BS69*_xlfn.XLOOKUP(DB$7,'Product Tgt'!$B:$B,'Product Tgt'!$D:$D),0)</f>
        <v>0</v>
      </c>
      <c r="DC69">
        <f>IFERROR(BT69*_xlfn.XLOOKUP(DC$7,'Product Tgt'!$B:$B,'Product Tgt'!$D:$D),0)</f>
        <v>0</v>
      </c>
      <c r="DD69">
        <f>IFERROR(BU69*_xlfn.XLOOKUP(DD$7,'Product Tgt'!$B:$B,'Product Tgt'!$D:$D),0)</f>
        <v>0</v>
      </c>
      <c r="DE69">
        <f>IFERROR(BV69*_xlfn.XLOOKUP(DE$7,'Product Tgt'!$B:$B,'Product Tgt'!$D:$D),0)</f>
        <v>0</v>
      </c>
      <c r="DF69">
        <f>IFERROR(BW69*_xlfn.XLOOKUP(DF$7,'Product Tgt'!$B:$B,'Product Tgt'!$D:$D),0)</f>
        <v>0</v>
      </c>
      <c r="DG69">
        <f>IFERROR(BX69*_xlfn.XLOOKUP(DG$7,'Product Tgt'!$B:$B,'Product Tgt'!$D:$D),0)</f>
        <v>0</v>
      </c>
      <c r="DH69">
        <f>IFERROR(BY69*_xlfn.XLOOKUP(DH$7,'Product Tgt'!$B:$B,'Product Tgt'!$D:$D),0)</f>
        <v>0</v>
      </c>
      <c r="DI69">
        <f>IFERROR(BZ69*_xlfn.XLOOKUP(DI$7,'Product Tgt'!$B:$B,'Product Tgt'!$D:$D),0)</f>
        <v>0</v>
      </c>
      <c r="DJ69">
        <f>IFERROR(CA69*_xlfn.XLOOKUP(DJ$7,'Product Tgt'!$B:$B,'Product Tgt'!$D:$D),0)</f>
        <v>0</v>
      </c>
      <c r="DK69">
        <f>IFERROR(CB69*_xlfn.XLOOKUP(DK$7,'Product Tgt'!$B:$B,'Product Tgt'!$D:$D),0)</f>
        <v>0</v>
      </c>
      <c r="DL69">
        <f>IFERROR(CC69*_xlfn.XLOOKUP(DL$7,'Product Tgt'!$B:$B,'Product Tgt'!$D:$D),0)</f>
        <v>0</v>
      </c>
      <c r="DM69">
        <f>IFERROR(CD69*_xlfn.XLOOKUP(DM$7,'Product Tgt'!$B:$B,'Product Tgt'!$D:$D),0)</f>
        <v>0</v>
      </c>
      <c r="DN69">
        <f>IFERROR(CE69*_xlfn.XLOOKUP(DN$7,'Product Tgt'!$B:$B,'Product Tgt'!$D:$D),0)</f>
        <v>0</v>
      </c>
      <c r="DO69">
        <f>IFERROR(CF69*_xlfn.XLOOKUP(DO$7,'Product Tgt'!$B:$B,'Product Tgt'!$D:$D),0)</f>
        <v>0</v>
      </c>
      <c r="DP69">
        <f>IFERROR(CG69*_xlfn.XLOOKUP(DP$7,'Product Tgt'!$B:$B,'Product Tgt'!$D:$D),0)</f>
        <v>0</v>
      </c>
      <c r="DQ69">
        <f>IFERROR(CH69*_xlfn.XLOOKUP(DQ$7,'Product Tgt'!$B:$B,'Product Tgt'!$D:$D),0)</f>
        <v>0</v>
      </c>
      <c r="DR69">
        <f>IFERROR(CI69*_xlfn.XLOOKUP(DR$7,'Product Tgt'!$B:$B,'Product Tgt'!$D:$D),0)</f>
        <v>0</v>
      </c>
      <c r="DS69">
        <f>IFERROR(CJ69*_xlfn.XLOOKUP(DS$7,'Product Tgt'!$B:$B,'Product Tgt'!$D:$D),0)</f>
        <v>0</v>
      </c>
      <c r="DT69">
        <f>IFERROR(CK69*_xlfn.XLOOKUP(DT$7,'Product Tgt'!$B:$B,'Product Tgt'!$D:$D),0)</f>
        <v>0</v>
      </c>
      <c r="DU69">
        <f>IFERROR(CL69*_xlfn.XLOOKUP(DU$7,'Product Tgt'!$B:$B,'Product Tgt'!$D:$D),0)</f>
        <v>0</v>
      </c>
      <c r="DV69">
        <f>IFERROR(CM69*_xlfn.XLOOKUP(DV$7,'Product Tgt'!$B:$B,'Product Tgt'!$D:$D),0)</f>
        <v>0</v>
      </c>
      <c r="DW69">
        <f>IFERROR(CN69*_xlfn.XLOOKUP(DW$7,'Product Tgt'!$B:$B,'Product Tgt'!$D:$D),0)</f>
        <v>0</v>
      </c>
      <c r="DX69">
        <f>IFERROR(CO69*_xlfn.XLOOKUP(DX$7,'Product Tgt'!$B:$B,'Product Tgt'!$D:$D),0)</f>
        <v>0</v>
      </c>
      <c r="DY69">
        <f>IFERROR(CP69*_xlfn.XLOOKUP(DY$7,'Product Tgt'!$B:$B,'Product Tgt'!$D:$D),0)</f>
        <v>0</v>
      </c>
      <c r="DZ69">
        <f>IFERROR(CQ69*_xlfn.XLOOKUP(DZ$7,'Product Tgt'!$B:$B,'Product Tgt'!$D:$D),0)</f>
        <v>0</v>
      </c>
      <c r="EA69">
        <f>IFERROR(CR69*_xlfn.XLOOKUP(EA$7,'Product Tgt'!$B:$B,'Product Tgt'!$D:$D),0)</f>
        <v>0</v>
      </c>
      <c r="EB69">
        <f>IFERROR(CS69*_xlfn.XLOOKUP(EB$7,'Product Tgt'!$B:$B,'Product Tgt'!$D:$D),0)</f>
        <v>0</v>
      </c>
      <c r="EC69">
        <f>IFERROR(CT69*_xlfn.XLOOKUP(EC$7,'Product Tgt'!$B:$B,'Product Tgt'!$D:$D),0)</f>
        <v>0</v>
      </c>
      <c r="ED69">
        <f>IFERROR(CU69*_xlfn.XLOOKUP(ED$7,'Product Tgt'!$B:$B,'Product Tgt'!$D:$D),0)</f>
        <v>0</v>
      </c>
      <c r="EE69">
        <f>IFERROR(CV69*_xlfn.XLOOKUP(EE$7,'Product Tgt'!$B:$B,'Product Tgt'!$D:$D),0)</f>
        <v>0</v>
      </c>
      <c r="EF69">
        <f>IFERROR(CW69*_xlfn.XLOOKUP(EF$7,'Product Tgt'!$B:$B,'Product Tgt'!$D:$D),0)</f>
        <v>0</v>
      </c>
      <c r="EG69">
        <f>IFERROR(CX69*_xlfn.XLOOKUP(EG$7,'Product Tgt'!$B:$B,'Product Tgt'!$D:$D),0)</f>
        <v>0</v>
      </c>
      <c r="EH69">
        <f>IFERROR(CY69*_xlfn.XLOOKUP(EH$7,'Product Tgt'!$B:$B,'Product Tgt'!$D:$D),0)</f>
        <v>0</v>
      </c>
      <c r="EI69">
        <f>IFERROR(CZ69*_xlfn.XLOOKUP(EI$7,'Product Tgt'!$B:$B,'Product Tgt'!$D:$D),0)</f>
        <v>0</v>
      </c>
    </row>
    <row r="70" spans="2:139" x14ac:dyDescent="0.35">
      <c r="B70" s="7" t="s">
        <v>179</v>
      </c>
      <c r="C70" s="3">
        <f>_xlfn.XLOOKUP($B70,'Terr Target'!$A:$A,'Terr Target'!$E:$E)</f>
        <v>401368.21709280217</v>
      </c>
      <c r="D70" s="3">
        <f t="shared" si="8"/>
        <v>401365</v>
      </c>
      <c r="E70" s="4">
        <f t="shared" si="9"/>
        <v>-3.2170928021660075</v>
      </c>
      <c r="F70" s="9">
        <f t="shared" si="7"/>
        <v>8.0153795227934856E-6</v>
      </c>
      <c r="G70" s="5">
        <f t="shared" si="6"/>
        <v>1.0000080153795228</v>
      </c>
      <c r="H70" s="38">
        <v>40280.374326561192</v>
      </c>
      <c r="I70" s="11">
        <v>82421.245453098614</v>
      </c>
      <c r="J70" s="11">
        <v>37077.086528044005</v>
      </c>
      <c r="K70" s="11">
        <v>52138.240033359885</v>
      </c>
      <c r="L70" s="11">
        <v>44077.26464738122</v>
      </c>
      <c r="M70" s="11">
        <v>28520.407488614568</v>
      </c>
      <c r="N70" s="11">
        <v>383.88961115855562</v>
      </c>
      <c r="O70" s="11">
        <v>3495.9898001581819</v>
      </c>
      <c r="P70" s="11">
        <v>1156.3444061145383</v>
      </c>
      <c r="Q70" s="11">
        <v>1100.6186447427001</v>
      </c>
      <c r="R70" s="11">
        <v>10436.398670851368</v>
      </c>
      <c r="S70" s="11">
        <v>15600.982294585179</v>
      </c>
      <c r="T70" s="11">
        <v>0</v>
      </c>
      <c r="U70" s="11">
        <v>1776.3457878495842</v>
      </c>
      <c r="V70" s="11">
        <v>17166.722815478679</v>
      </c>
      <c r="W70" s="11">
        <v>17168.581890086578</v>
      </c>
      <c r="X70" s="11">
        <v>1418.4739258286056</v>
      </c>
      <c r="Y70" s="11">
        <v>3443.0154692060378</v>
      </c>
      <c r="Z70" s="11">
        <v>279.81861460824717</v>
      </c>
      <c r="AA70" s="11">
        <v>8548.982470552728</v>
      </c>
      <c r="AB70" s="11">
        <v>3767.4704651499924</v>
      </c>
      <c r="AC70" s="11">
        <v>355.08325010912671</v>
      </c>
      <c r="AD70" s="11">
        <v>6137.6883411205717</v>
      </c>
      <c r="AE70" s="11">
        <v>9278.6506634078651</v>
      </c>
      <c r="AF70" s="11">
        <v>1473.2980360156118</v>
      </c>
      <c r="AG70" s="11">
        <v>13877.062410678413</v>
      </c>
      <c r="AH70" s="11">
        <v>1030.8382793351293</v>
      </c>
      <c r="AI70" s="11">
        <v>7000.3733221710381</v>
      </c>
      <c r="AJ70" s="11">
        <v>7264.3061442547696</v>
      </c>
      <c r="AK70" s="11">
        <v>1064.4224621268638</v>
      </c>
      <c r="AL70" s="49">
        <v>1337.4647497893116</v>
      </c>
      <c r="AM70" s="41">
        <f>IFERROR(ROUND(_xlfn.XLOOKUP(AM$7,'Product Tgt'!$B:$B,'Product Tgt'!$G:$G)*H70/H$121,0),0)</f>
        <v>39159</v>
      </c>
      <c r="AN70" s="41">
        <f>IFERROR(ROUND(_xlfn.XLOOKUP(AN$7,'Product Tgt'!$B:$B,'Product Tgt'!$G:$G)*I70/I$121,0),0)</f>
        <v>81136</v>
      </c>
      <c r="AO70" s="41">
        <f>IFERROR(ROUND(_xlfn.XLOOKUP(AO$7,'Product Tgt'!$B:$B,'Product Tgt'!$G:$G)*J70/J$121,0),0)</f>
        <v>35924</v>
      </c>
      <c r="AP70" s="41">
        <f>IFERROR(ROUND(_xlfn.XLOOKUP(AP$7,'Product Tgt'!$B:$B,'Product Tgt'!$G:$G)*K70/K$121,0),0)</f>
        <v>50862</v>
      </c>
      <c r="AQ70" s="41">
        <f>IFERROR(ROUND(_xlfn.XLOOKUP(AQ$7,'Product Tgt'!$B:$B,'Product Tgt'!$G:$G)*L70/L$121,0),0)</f>
        <v>42620</v>
      </c>
      <c r="AR70" s="41">
        <f>IFERROR(ROUND(_xlfn.XLOOKUP(AR$7,'Product Tgt'!$B:$B,'Product Tgt'!$G:$G)*M70/M$121,0),0)</f>
        <v>27630</v>
      </c>
      <c r="AS70" s="41">
        <f>IFERROR(ROUND(_xlfn.XLOOKUP(AS$7,'Product Tgt'!$B:$B,'Product Tgt'!$G:$G)*N70/N$121,0),0)</f>
        <v>355</v>
      </c>
      <c r="AT70" s="41">
        <f>IFERROR(ROUND(_xlfn.XLOOKUP(AT$7,'Product Tgt'!$B:$B,'Product Tgt'!$G:$G)*O70/O$121,0),0)</f>
        <v>3147</v>
      </c>
      <c r="AU70" s="41">
        <f>IFERROR(ROUND(_xlfn.XLOOKUP(AU$7,'Product Tgt'!$B:$B,'Product Tgt'!$G:$G)*P70/P$121,0),0)</f>
        <v>493</v>
      </c>
      <c r="AV70" s="41">
        <f>IFERROR(ROUND(_xlfn.XLOOKUP(AV$7,'Product Tgt'!$B:$B,'Product Tgt'!$G:$G)*Q70/Q$121,0),0)</f>
        <v>826</v>
      </c>
      <c r="AW70" s="41">
        <f>IFERROR(ROUND(_xlfn.XLOOKUP(AW$7,'Product Tgt'!$B:$B,'Product Tgt'!$G:$G)*R70/R$121,0),0)</f>
        <v>10051</v>
      </c>
      <c r="AX70" s="41">
        <f>IFERROR(ROUND(_xlfn.XLOOKUP(AX$7,'Product Tgt'!$B:$B,'Product Tgt'!$G:$G)*S70/S$121,0),0)</f>
        <v>15026</v>
      </c>
      <c r="AY70" s="41">
        <f>IFERROR(ROUND(_xlfn.XLOOKUP(AY$7,'Product Tgt'!$B:$B,'Product Tgt'!$G:$G)*T70/T$121,0),0)</f>
        <v>0</v>
      </c>
      <c r="AZ70" s="41">
        <f>IFERROR(ROUND(_xlfn.XLOOKUP(AZ$7,'Product Tgt'!$B:$B,'Product Tgt'!$G:$G)*U70/U$121,0),0)</f>
        <v>1700</v>
      </c>
      <c r="BA70" s="41">
        <f>IFERROR(ROUND(_xlfn.XLOOKUP(BA$7,'Product Tgt'!$B:$B,'Product Tgt'!$G:$G)*V70/V$121,0),0)</f>
        <v>16528</v>
      </c>
      <c r="BB70" s="41">
        <f>IFERROR(ROUND(_xlfn.XLOOKUP(BB$7,'Product Tgt'!$B:$B,'Product Tgt'!$G:$G)*W70/W$121,0),0)</f>
        <v>16434</v>
      </c>
      <c r="BC70" s="41">
        <f>IFERROR(ROUND(_xlfn.XLOOKUP(BC$7,'Product Tgt'!$B:$B,'Product Tgt'!$G:$G)*X70/X$121,0),0)</f>
        <v>1373</v>
      </c>
      <c r="BD70" s="41">
        <f>IFERROR(ROUND(_xlfn.XLOOKUP(BD$7,'Product Tgt'!$B:$B,'Product Tgt'!$G:$G)*Y70/Y$121,0),0)</f>
        <v>3329</v>
      </c>
      <c r="BE70" s="41">
        <f>IFERROR(ROUND(_xlfn.XLOOKUP(BE$7,'Product Tgt'!$B:$B,'Product Tgt'!$G:$G)*Z70/Z$121,0),0)</f>
        <v>266</v>
      </c>
      <c r="BF70" s="41">
        <f>IFERROR(ROUND(_xlfn.XLOOKUP(BF$7,'Product Tgt'!$B:$B,'Product Tgt'!$G:$G)*AA70/AA$121,0),0)</f>
        <v>6928</v>
      </c>
      <c r="BG70" s="41">
        <f>IFERROR(ROUND(_xlfn.XLOOKUP(BG$7,'Product Tgt'!$B:$B,'Product Tgt'!$G:$G)*AB70/AB$121,0),0)</f>
        <v>3019</v>
      </c>
      <c r="BH70" s="41">
        <f>IFERROR(ROUND(_xlfn.XLOOKUP(BH$7,'Product Tgt'!$B:$B,'Product Tgt'!$G:$G)*AC70/AC$121,0),0)</f>
        <v>304</v>
      </c>
      <c r="BI70" s="41">
        <f>IFERROR(ROUND(_xlfn.XLOOKUP(BI$7,'Product Tgt'!$B:$B,'Product Tgt'!$G:$G)*AD70/AD$121,0),0)</f>
        <v>5343</v>
      </c>
      <c r="BJ70" s="41">
        <f>IFERROR(ROUND(_xlfn.XLOOKUP(BJ$7,'Product Tgt'!$B:$B,'Product Tgt'!$G:$G)*AE70/AE$121,0),0)</f>
        <v>8636</v>
      </c>
      <c r="BK70" s="41">
        <f>IFERROR(ROUND(_xlfn.XLOOKUP(BK$7,'Product Tgt'!$B:$B,'Product Tgt'!$G:$G)*AF70/AF$121,0),0)</f>
        <v>1646</v>
      </c>
      <c r="BL70" s="41">
        <f>IFERROR(ROUND(_xlfn.XLOOKUP(BL$7,'Product Tgt'!$B:$B,'Product Tgt'!$G:$G)*AG70/AG$121,0),0)</f>
        <v>13255</v>
      </c>
      <c r="BM70" s="41">
        <f>IFERROR(ROUND(_xlfn.XLOOKUP(BM$7,'Product Tgt'!$B:$B,'Product Tgt'!$G:$G)*AH70/AH$121,0),0)</f>
        <v>808</v>
      </c>
      <c r="BN70" s="41">
        <f>IFERROR(ROUND(_xlfn.XLOOKUP(BN$7,'Product Tgt'!$B:$B,'Product Tgt'!$G:$G)*AI70/AI$121,0),0)</f>
        <v>6429</v>
      </c>
      <c r="BO70" s="41">
        <f>IFERROR(ROUND(_xlfn.XLOOKUP(BO$7,'Product Tgt'!$B:$B,'Product Tgt'!$G:$G)*AJ70/AJ$121,0),0)</f>
        <v>6283</v>
      </c>
      <c r="BP70" s="41">
        <f>IFERROR(ROUND(_xlfn.XLOOKUP(BP$7,'Product Tgt'!$B:$B,'Product Tgt'!$G:$G)*AK70/AK$121,0),0)</f>
        <v>810</v>
      </c>
      <c r="BQ70" s="41">
        <f>IFERROR(ROUND(_xlfn.XLOOKUP(BQ$7,'Product Tgt'!$B:$B,'Product Tgt'!$G:$G)*AL70/AL$121,0),0)</f>
        <v>1045</v>
      </c>
      <c r="BR70" s="25">
        <f>ROUND(IFERROR(AM70/_xlfn.XLOOKUP(BR$7,'Product Tgt'!$B:$B,'Product Tgt'!$D:$D),0),0)</f>
        <v>0</v>
      </c>
      <c r="BS70" s="11">
        <f>ROUND(IFERROR(AN70/_xlfn.XLOOKUP(BS$7,'Product Tgt'!$B:$B,'Product Tgt'!$D:$D),0),0)</f>
        <v>0</v>
      </c>
      <c r="BT70" s="11">
        <f>ROUND(IFERROR(AO70/_xlfn.XLOOKUP(BT$7,'Product Tgt'!$B:$B,'Product Tgt'!$D:$D),0),0)</f>
        <v>0</v>
      </c>
      <c r="BU70" s="11">
        <f>ROUND(IFERROR(AP70/_xlfn.XLOOKUP(BU$7,'Product Tgt'!$B:$B,'Product Tgt'!$D:$D),0),0)</f>
        <v>0</v>
      </c>
      <c r="BV70" s="11">
        <f>ROUND(IFERROR(AQ70/_xlfn.XLOOKUP(BV$7,'Product Tgt'!$B:$B,'Product Tgt'!$D:$D),0),0)</f>
        <v>0</v>
      </c>
      <c r="BW70" s="11">
        <f>ROUND(IFERROR(AU70/_xlfn.XLOOKUP(BW$7,'Product Tgt'!$B:$B,'Product Tgt'!$D:$D),0),0)</f>
        <v>0</v>
      </c>
      <c r="BX70" s="11">
        <f>ROUND(IFERROR(#REF!/_xlfn.XLOOKUP(BX$7,'Product Tgt'!$B:$B,'Product Tgt'!$D:$D),0),0)</f>
        <v>0</v>
      </c>
      <c r="BY70" s="11">
        <f>ROUND(IFERROR(#REF!/_xlfn.XLOOKUP(BY$7,'Product Tgt'!$B:$B,'Product Tgt'!$D:$D),0),0)</f>
        <v>0</v>
      </c>
      <c r="BZ70" s="11">
        <f>ROUND(IFERROR(#REF!/_xlfn.XLOOKUP(BZ$7,'Product Tgt'!$B:$B,'Product Tgt'!$D:$D),0),0)</f>
        <v>0</v>
      </c>
      <c r="CA70" s="11">
        <f>ROUND(IFERROR(#REF!/_xlfn.XLOOKUP(CA$7,'Product Tgt'!$B:$B,'Product Tgt'!$D:$D),0),0)</f>
        <v>0</v>
      </c>
      <c r="CB70" s="11">
        <f>ROUND(IFERROR(AV70/_xlfn.XLOOKUP(CB$7,'Product Tgt'!$B:$B,'Product Tgt'!$D:$D),0),0)</f>
        <v>0</v>
      </c>
      <c r="CC70" s="11">
        <f>ROUND(IFERROR(AW70/_xlfn.XLOOKUP(CC$7,'Product Tgt'!$B:$B,'Product Tgt'!$D:$D),0),0)</f>
        <v>0</v>
      </c>
      <c r="CD70" s="11">
        <f>ROUND(IFERROR(AX70/_xlfn.XLOOKUP(CD$7,'Product Tgt'!$B:$B,'Product Tgt'!$D:$D),0),0)</f>
        <v>0</v>
      </c>
      <c r="CE70" s="11">
        <f>ROUND(IFERROR(AY70/_xlfn.XLOOKUP(CE$7,'Product Tgt'!$B:$B,'Product Tgt'!$D:$D),0),0)</f>
        <v>0</v>
      </c>
      <c r="CF70" s="11">
        <f>ROUND(IFERROR(AZ70/_xlfn.XLOOKUP(CF$7,'Product Tgt'!$B:$B,'Product Tgt'!$D:$D),0),0)</f>
        <v>0</v>
      </c>
      <c r="CG70" s="11">
        <f>ROUND(IFERROR(BA70/_xlfn.XLOOKUP(CG$7,'Product Tgt'!$B:$B,'Product Tgt'!$D:$D),0),0)</f>
        <v>0</v>
      </c>
      <c r="CH70" s="11">
        <f>ROUND(IFERROR(BB70/_xlfn.XLOOKUP(CH$7,'Product Tgt'!$B:$B,'Product Tgt'!$D:$D),0),0)</f>
        <v>0</v>
      </c>
      <c r="CI70" s="11">
        <f>ROUND(IFERROR(BC70/_xlfn.XLOOKUP(CI$7,'Product Tgt'!$B:$B,'Product Tgt'!$D:$D),0),0)</f>
        <v>0</v>
      </c>
      <c r="CJ70" s="11">
        <f>ROUND(IFERROR(BD70/_xlfn.XLOOKUP(CJ$7,'Product Tgt'!$B:$B,'Product Tgt'!$D:$D),0),0)</f>
        <v>0</v>
      </c>
      <c r="CK70" s="11">
        <f>ROUND(IFERROR(BE70/_xlfn.XLOOKUP(CK$7,'Product Tgt'!$B:$B,'Product Tgt'!$D:$D),0),0)</f>
        <v>0</v>
      </c>
      <c r="CL70" s="11">
        <f>ROUND(IFERROR(BF70/_xlfn.XLOOKUP(CL$7,'Product Tgt'!$B:$B,'Product Tgt'!$D:$D),0),0)</f>
        <v>0</v>
      </c>
      <c r="CM70" s="11">
        <f>ROUND(IFERROR(BG70/_xlfn.XLOOKUP(CM$7,'Product Tgt'!$B:$B,'Product Tgt'!$D:$D),0),0)</f>
        <v>0</v>
      </c>
      <c r="CN70" s="11">
        <f>ROUND(IFERROR(BH70/_xlfn.XLOOKUP(CN$7,'Product Tgt'!$B:$B,'Product Tgt'!$D:$D),0),0)</f>
        <v>0</v>
      </c>
      <c r="CO70" s="11">
        <f>ROUND(IFERROR(BI70/_xlfn.XLOOKUP(CO$7,'Product Tgt'!$B:$B,'Product Tgt'!$D:$D),0),0)</f>
        <v>0</v>
      </c>
      <c r="CP70" s="11">
        <f>ROUND(IFERROR(BJ70/_xlfn.XLOOKUP(CP$7,'Product Tgt'!$B:$B,'Product Tgt'!$D:$D),0),0)</f>
        <v>0</v>
      </c>
      <c r="CQ70" s="11">
        <f>ROUND(IFERROR(BK70/_xlfn.XLOOKUP(CQ$7,'Product Tgt'!$B:$B,'Product Tgt'!$D:$D),0),0)</f>
        <v>0</v>
      </c>
      <c r="CR70" s="11">
        <f>ROUND(IFERROR(BL70/_xlfn.XLOOKUP(CR$7,'Product Tgt'!$B:$B,'Product Tgt'!$D:$D),0),0)</f>
        <v>0</v>
      </c>
      <c r="CS70" s="11">
        <f>ROUND(IFERROR(BM70/_xlfn.XLOOKUP(CS$7,'Product Tgt'!$B:$B,'Product Tgt'!$D:$D),0),0)</f>
        <v>0</v>
      </c>
      <c r="CT70" s="11">
        <f>ROUND(IFERROR(BN70/_xlfn.XLOOKUP(CT$7,'Product Tgt'!$B:$B,'Product Tgt'!$D:$D),0),0)</f>
        <v>0</v>
      </c>
      <c r="CU70" s="11">
        <f>ROUND(IFERROR(BO70/_xlfn.XLOOKUP(CU$7,'Product Tgt'!$B:$B,'Product Tgt'!$D:$D),0),0)</f>
        <v>0</v>
      </c>
      <c r="CV70" s="11">
        <f>ROUND(IFERROR(BP70/_xlfn.XLOOKUP(CV$7,'Product Tgt'!$B:$B,'Product Tgt'!$D:$D),0),0)</f>
        <v>0</v>
      </c>
      <c r="CW70" s="11">
        <f>ROUND(IFERROR(BQ70/_xlfn.XLOOKUP(CW$7,'Product Tgt'!$B:$B,'Product Tgt'!$D:$D),0),0)</f>
        <v>0</v>
      </c>
      <c r="CX70" s="11">
        <f>ROUND(IFERROR(#REF!/_xlfn.XLOOKUP(CX$7,'Product Tgt'!$B:$B,'Product Tgt'!$D:$D),0),0)</f>
        <v>0</v>
      </c>
      <c r="CY70" s="11">
        <f>ROUND(IFERROR(#REF!/_xlfn.XLOOKUP(CY$7,'Product Tgt'!$B:$B,'Product Tgt'!$D:$D),0),0)</f>
        <v>0</v>
      </c>
      <c r="CZ70" s="11">
        <f>ROUND(IFERROR(#REF!/_xlfn.XLOOKUP(CZ$7,'Product Tgt'!$B:$B,'Product Tgt'!$D:$D),0),0)</f>
        <v>0</v>
      </c>
      <c r="DA70" s="10">
        <f>IFERROR(BR70*_xlfn.XLOOKUP(DA$7,'Product Tgt'!$B:$B,'Product Tgt'!$D:$D),0)</f>
        <v>0</v>
      </c>
      <c r="DB70">
        <f>IFERROR(BS70*_xlfn.XLOOKUP(DB$7,'Product Tgt'!$B:$B,'Product Tgt'!$D:$D),0)</f>
        <v>0</v>
      </c>
      <c r="DC70">
        <f>IFERROR(BT70*_xlfn.XLOOKUP(DC$7,'Product Tgt'!$B:$B,'Product Tgt'!$D:$D),0)</f>
        <v>0</v>
      </c>
      <c r="DD70">
        <f>IFERROR(BU70*_xlfn.XLOOKUP(DD$7,'Product Tgt'!$B:$B,'Product Tgt'!$D:$D),0)</f>
        <v>0</v>
      </c>
      <c r="DE70">
        <f>IFERROR(BV70*_xlfn.XLOOKUP(DE$7,'Product Tgt'!$B:$B,'Product Tgt'!$D:$D),0)</f>
        <v>0</v>
      </c>
      <c r="DF70">
        <f>IFERROR(BW70*_xlfn.XLOOKUP(DF$7,'Product Tgt'!$B:$B,'Product Tgt'!$D:$D),0)</f>
        <v>0</v>
      </c>
      <c r="DG70">
        <f>IFERROR(BX70*_xlfn.XLOOKUP(DG$7,'Product Tgt'!$B:$B,'Product Tgt'!$D:$D),0)</f>
        <v>0</v>
      </c>
      <c r="DH70">
        <f>IFERROR(BY70*_xlfn.XLOOKUP(DH$7,'Product Tgt'!$B:$B,'Product Tgt'!$D:$D),0)</f>
        <v>0</v>
      </c>
      <c r="DI70">
        <f>IFERROR(BZ70*_xlfn.XLOOKUP(DI$7,'Product Tgt'!$B:$B,'Product Tgt'!$D:$D),0)</f>
        <v>0</v>
      </c>
      <c r="DJ70">
        <f>IFERROR(CA70*_xlfn.XLOOKUP(DJ$7,'Product Tgt'!$B:$B,'Product Tgt'!$D:$D),0)</f>
        <v>0</v>
      </c>
      <c r="DK70">
        <f>IFERROR(CB70*_xlfn.XLOOKUP(DK$7,'Product Tgt'!$B:$B,'Product Tgt'!$D:$D),0)</f>
        <v>0</v>
      </c>
      <c r="DL70">
        <f>IFERROR(CC70*_xlfn.XLOOKUP(DL$7,'Product Tgt'!$B:$B,'Product Tgt'!$D:$D),0)</f>
        <v>0</v>
      </c>
      <c r="DM70">
        <f>IFERROR(CD70*_xlfn.XLOOKUP(DM$7,'Product Tgt'!$B:$B,'Product Tgt'!$D:$D),0)</f>
        <v>0</v>
      </c>
      <c r="DN70">
        <f>IFERROR(CE70*_xlfn.XLOOKUP(DN$7,'Product Tgt'!$B:$B,'Product Tgt'!$D:$D),0)</f>
        <v>0</v>
      </c>
      <c r="DO70">
        <f>IFERROR(CF70*_xlfn.XLOOKUP(DO$7,'Product Tgt'!$B:$B,'Product Tgt'!$D:$D),0)</f>
        <v>0</v>
      </c>
      <c r="DP70">
        <f>IFERROR(CG70*_xlfn.XLOOKUP(DP$7,'Product Tgt'!$B:$B,'Product Tgt'!$D:$D),0)</f>
        <v>0</v>
      </c>
      <c r="DQ70">
        <f>IFERROR(CH70*_xlfn.XLOOKUP(DQ$7,'Product Tgt'!$B:$B,'Product Tgt'!$D:$D),0)</f>
        <v>0</v>
      </c>
      <c r="DR70">
        <f>IFERROR(CI70*_xlfn.XLOOKUP(DR$7,'Product Tgt'!$B:$B,'Product Tgt'!$D:$D),0)</f>
        <v>0</v>
      </c>
      <c r="DS70">
        <f>IFERROR(CJ70*_xlfn.XLOOKUP(DS$7,'Product Tgt'!$B:$B,'Product Tgt'!$D:$D),0)</f>
        <v>0</v>
      </c>
      <c r="DT70">
        <f>IFERROR(CK70*_xlfn.XLOOKUP(DT$7,'Product Tgt'!$B:$B,'Product Tgt'!$D:$D),0)</f>
        <v>0</v>
      </c>
      <c r="DU70">
        <f>IFERROR(CL70*_xlfn.XLOOKUP(DU$7,'Product Tgt'!$B:$B,'Product Tgt'!$D:$D),0)</f>
        <v>0</v>
      </c>
      <c r="DV70">
        <f>IFERROR(CM70*_xlfn.XLOOKUP(DV$7,'Product Tgt'!$B:$B,'Product Tgt'!$D:$D),0)</f>
        <v>0</v>
      </c>
      <c r="DW70">
        <f>IFERROR(CN70*_xlfn.XLOOKUP(DW$7,'Product Tgt'!$B:$B,'Product Tgt'!$D:$D),0)</f>
        <v>0</v>
      </c>
      <c r="DX70">
        <f>IFERROR(CO70*_xlfn.XLOOKUP(DX$7,'Product Tgt'!$B:$B,'Product Tgt'!$D:$D),0)</f>
        <v>0</v>
      </c>
      <c r="DY70">
        <f>IFERROR(CP70*_xlfn.XLOOKUP(DY$7,'Product Tgt'!$B:$B,'Product Tgt'!$D:$D),0)</f>
        <v>0</v>
      </c>
      <c r="DZ70">
        <f>IFERROR(CQ70*_xlfn.XLOOKUP(DZ$7,'Product Tgt'!$B:$B,'Product Tgt'!$D:$D),0)</f>
        <v>0</v>
      </c>
      <c r="EA70">
        <f>IFERROR(CR70*_xlfn.XLOOKUP(EA$7,'Product Tgt'!$B:$B,'Product Tgt'!$D:$D),0)</f>
        <v>0</v>
      </c>
      <c r="EB70">
        <f>IFERROR(CS70*_xlfn.XLOOKUP(EB$7,'Product Tgt'!$B:$B,'Product Tgt'!$D:$D),0)</f>
        <v>0</v>
      </c>
      <c r="EC70">
        <f>IFERROR(CT70*_xlfn.XLOOKUP(EC$7,'Product Tgt'!$B:$B,'Product Tgt'!$D:$D),0)</f>
        <v>0</v>
      </c>
      <c r="ED70">
        <f>IFERROR(CU70*_xlfn.XLOOKUP(ED$7,'Product Tgt'!$B:$B,'Product Tgt'!$D:$D),0)</f>
        <v>0</v>
      </c>
      <c r="EE70">
        <f>IFERROR(CV70*_xlfn.XLOOKUP(EE$7,'Product Tgt'!$B:$B,'Product Tgt'!$D:$D),0)</f>
        <v>0</v>
      </c>
      <c r="EF70">
        <f>IFERROR(CW70*_xlfn.XLOOKUP(EF$7,'Product Tgt'!$B:$B,'Product Tgt'!$D:$D),0)</f>
        <v>0</v>
      </c>
      <c r="EG70">
        <f>IFERROR(CX70*_xlfn.XLOOKUP(EG$7,'Product Tgt'!$B:$B,'Product Tgt'!$D:$D),0)</f>
        <v>0</v>
      </c>
      <c r="EH70">
        <f>IFERROR(CY70*_xlfn.XLOOKUP(EH$7,'Product Tgt'!$B:$B,'Product Tgt'!$D:$D),0)</f>
        <v>0</v>
      </c>
      <c r="EI70">
        <f>IFERROR(CZ70*_xlfn.XLOOKUP(EI$7,'Product Tgt'!$B:$B,'Product Tgt'!$D:$D),0)</f>
        <v>0</v>
      </c>
    </row>
    <row r="71" spans="2:139" x14ac:dyDescent="0.35">
      <c r="B71" s="7" t="s">
        <v>180</v>
      </c>
      <c r="C71" s="3">
        <f>_xlfn.XLOOKUP($B71,'Terr Target'!$A:$A,'Terr Target'!$E:$E)</f>
        <v>667449.24965378479</v>
      </c>
      <c r="D71" s="3">
        <f t="shared" si="8"/>
        <v>667448</v>
      </c>
      <c r="E71" s="4">
        <f t="shared" si="9"/>
        <v>-1.2496537847910076</v>
      </c>
      <c r="F71" s="9">
        <f t="shared" si="7"/>
        <v>1.8722863575754331E-6</v>
      </c>
      <c r="G71" s="5">
        <f t="shared" si="6"/>
        <v>1.0000018722863575</v>
      </c>
      <c r="H71" s="38">
        <v>62868.889799547411</v>
      </c>
      <c r="I71" s="11">
        <v>125759.91131472243</v>
      </c>
      <c r="J71" s="11">
        <v>65017.23640449957</v>
      </c>
      <c r="K71" s="11">
        <v>83487.181668957623</v>
      </c>
      <c r="L71" s="11">
        <v>64618.945026446985</v>
      </c>
      <c r="M71" s="11">
        <v>47855.000253649552</v>
      </c>
      <c r="N71" s="11">
        <v>595.27060367212505</v>
      </c>
      <c r="O71" s="11">
        <v>6172.4231902060665</v>
      </c>
      <c r="P71" s="11">
        <v>1385.363907462588</v>
      </c>
      <c r="Q71" s="11">
        <v>1334.700465042506</v>
      </c>
      <c r="R71" s="11">
        <v>15488.702796573951</v>
      </c>
      <c r="S71" s="11">
        <v>24585.772082639331</v>
      </c>
      <c r="T71" s="11">
        <v>0</v>
      </c>
      <c r="U71" s="11">
        <v>2622.6033329182474</v>
      </c>
      <c r="V71" s="11">
        <v>32269.432691820886</v>
      </c>
      <c r="W71" s="11">
        <v>28641.093442896919</v>
      </c>
      <c r="X71" s="11">
        <v>2358.2649835789457</v>
      </c>
      <c r="Y71" s="11">
        <v>5401.2417206496975</v>
      </c>
      <c r="Z71" s="11">
        <v>475.06169831447255</v>
      </c>
      <c r="AA71" s="11">
        <v>13277.071609171608</v>
      </c>
      <c r="AB71" s="11">
        <v>5337.7583800887942</v>
      </c>
      <c r="AC71" s="11">
        <v>594.29668892964401</v>
      </c>
      <c r="AD71" s="11">
        <v>11106.55353696971</v>
      </c>
      <c r="AE71" s="11">
        <v>32062.664629248851</v>
      </c>
      <c r="AF71" s="11">
        <v>11611.061249385928</v>
      </c>
      <c r="AG71" s="11">
        <v>22692.193623995772</v>
      </c>
      <c r="AH71" s="11">
        <v>1996.5152841804745</v>
      </c>
      <c r="AI71" s="11">
        <v>11199.055561694331</v>
      </c>
      <c r="AJ71" s="11">
        <v>12831.833565369228</v>
      </c>
      <c r="AK71" s="11">
        <v>711.62360168199564</v>
      </c>
      <c r="AL71" s="49">
        <v>1032.439068179659</v>
      </c>
      <c r="AM71" s="41">
        <f>IFERROR(ROUND(_xlfn.XLOOKUP(AM$7,'Product Tgt'!$B:$B,'Product Tgt'!$G:$G)*H71/H$121,0),0)</f>
        <v>61119</v>
      </c>
      <c r="AN71" s="41">
        <f>IFERROR(ROUND(_xlfn.XLOOKUP(AN$7,'Product Tgt'!$B:$B,'Product Tgt'!$G:$G)*I71/I$121,0),0)</f>
        <v>123798</v>
      </c>
      <c r="AO71" s="41">
        <f>IFERROR(ROUND(_xlfn.XLOOKUP(AO$7,'Product Tgt'!$B:$B,'Product Tgt'!$G:$G)*J71/J$121,0),0)</f>
        <v>62995</v>
      </c>
      <c r="AP71" s="41">
        <f>IFERROR(ROUND(_xlfn.XLOOKUP(AP$7,'Product Tgt'!$B:$B,'Product Tgt'!$G:$G)*K71/K$121,0),0)</f>
        <v>81444</v>
      </c>
      <c r="AQ71" s="41">
        <f>IFERROR(ROUND(_xlfn.XLOOKUP(AQ$7,'Product Tgt'!$B:$B,'Product Tgt'!$G:$G)*L71/L$121,0),0)</f>
        <v>62482</v>
      </c>
      <c r="AR71" s="41">
        <f>IFERROR(ROUND(_xlfn.XLOOKUP(AR$7,'Product Tgt'!$B:$B,'Product Tgt'!$G:$G)*M71/M$121,0),0)</f>
        <v>46362</v>
      </c>
      <c r="AS71" s="41">
        <f>IFERROR(ROUND(_xlfn.XLOOKUP(AS$7,'Product Tgt'!$B:$B,'Product Tgt'!$G:$G)*N71/N$121,0),0)</f>
        <v>550</v>
      </c>
      <c r="AT71" s="41">
        <f>IFERROR(ROUND(_xlfn.XLOOKUP(AT$7,'Product Tgt'!$B:$B,'Product Tgt'!$G:$G)*O71/O$121,0),0)</f>
        <v>5556</v>
      </c>
      <c r="AU71" s="41">
        <f>IFERROR(ROUND(_xlfn.XLOOKUP(AU$7,'Product Tgt'!$B:$B,'Product Tgt'!$G:$G)*P71/P$121,0),0)</f>
        <v>591</v>
      </c>
      <c r="AV71" s="41">
        <f>IFERROR(ROUND(_xlfn.XLOOKUP(AV$7,'Product Tgt'!$B:$B,'Product Tgt'!$G:$G)*Q71/Q$121,0),0)</f>
        <v>1002</v>
      </c>
      <c r="AW71" s="41">
        <f>IFERROR(ROUND(_xlfn.XLOOKUP(AW$7,'Product Tgt'!$B:$B,'Product Tgt'!$G:$G)*R71/R$121,0),0)</f>
        <v>14917</v>
      </c>
      <c r="AX71" s="41">
        <f>IFERROR(ROUND(_xlfn.XLOOKUP(AX$7,'Product Tgt'!$B:$B,'Product Tgt'!$G:$G)*S71/S$121,0),0)</f>
        <v>23679</v>
      </c>
      <c r="AY71" s="41">
        <f>IFERROR(ROUND(_xlfn.XLOOKUP(AY$7,'Product Tgt'!$B:$B,'Product Tgt'!$G:$G)*T71/T$121,0),0)</f>
        <v>0</v>
      </c>
      <c r="AZ71" s="41">
        <f>IFERROR(ROUND(_xlfn.XLOOKUP(AZ$7,'Product Tgt'!$B:$B,'Product Tgt'!$G:$G)*U71/U$121,0),0)</f>
        <v>2510</v>
      </c>
      <c r="BA71" s="41">
        <f>IFERROR(ROUND(_xlfn.XLOOKUP(BA$7,'Product Tgt'!$B:$B,'Product Tgt'!$G:$G)*V71/V$121,0),0)</f>
        <v>31069</v>
      </c>
      <c r="BB71" s="41">
        <f>IFERROR(ROUND(_xlfn.XLOOKUP(BB$7,'Product Tgt'!$B:$B,'Product Tgt'!$G:$G)*W71/W$121,0),0)</f>
        <v>27416</v>
      </c>
      <c r="BC71" s="41">
        <f>IFERROR(ROUND(_xlfn.XLOOKUP(BC$7,'Product Tgt'!$B:$B,'Product Tgt'!$G:$G)*X71/X$121,0),0)</f>
        <v>2282</v>
      </c>
      <c r="BD71" s="41">
        <f>IFERROR(ROUND(_xlfn.XLOOKUP(BD$7,'Product Tgt'!$B:$B,'Product Tgt'!$G:$G)*Y71/Y$121,0),0)</f>
        <v>5223</v>
      </c>
      <c r="BE71" s="41">
        <f>IFERROR(ROUND(_xlfn.XLOOKUP(BE$7,'Product Tgt'!$B:$B,'Product Tgt'!$G:$G)*Z71/Z$121,0),0)</f>
        <v>451</v>
      </c>
      <c r="BF71" s="41">
        <f>IFERROR(ROUND(_xlfn.XLOOKUP(BF$7,'Product Tgt'!$B:$B,'Product Tgt'!$G:$G)*AA71/AA$121,0),0)</f>
        <v>10760</v>
      </c>
      <c r="BG71" s="41">
        <f>IFERROR(ROUND(_xlfn.XLOOKUP(BG$7,'Product Tgt'!$B:$B,'Product Tgt'!$G:$G)*AB71/AB$121,0),0)</f>
        <v>4278</v>
      </c>
      <c r="BH71" s="41">
        <f>IFERROR(ROUND(_xlfn.XLOOKUP(BH$7,'Product Tgt'!$B:$B,'Product Tgt'!$G:$G)*AC71/AC$121,0),0)</f>
        <v>509</v>
      </c>
      <c r="BI71" s="41">
        <f>IFERROR(ROUND(_xlfn.XLOOKUP(BI$7,'Product Tgt'!$B:$B,'Product Tgt'!$G:$G)*AD71/AD$121,0),0)</f>
        <v>9669</v>
      </c>
      <c r="BJ71" s="41">
        <f>IFERROR(ROUND(_xlfn.XLOOKUP(BJ$7,'Product Tgt'!$B:$B,'Product Tgt'!$G:$G)*AE71/AE$121,0),0)</f>
        <v>29842</v>
      </c>
      <c r="BK71" s="41">
        <f>IFERROR(ROUND(_xlfn.XLOOKUP(BK$7,'Product Tgt'!$B:$B,'Product Tgt'!$G:$G)*AF71/AF$121,0),0)</f>
        <v>12971</v>
      </c>
      <c r="BL71" s="41">
        <f>IFERROR(ROUND(_xlfn.XLOOKUP(BL$7,'Product Tgt'!$B:$B,'Product Tgt'!$G:$G)*AG71/AG$121,0),0)</f>
        <v>21675</v>
      </c>
      <c r="BM71" s="41">
        <f>IFERROR(ROUND(_xlfn.XLOOKUP(BM$7,'Product Tgt'!$B:$B,'Product Tgt'!$G:$G)*AH71/AH$121,0),0)</f>
        <v>1565</v>
      </c>
      <c r="BN71" s="41">
        <f>IFERROR(ROUND(_xlfn.XLOOKUP(BN$7,'Product Tgt'!$B:$B,'Product Tgt'!$G:$G)*AI71/AI$121,0),0)</f>
        <v>10285</v>
      </c>
      <c r="BO71" s="41">
        <f>IFERROR(ROUND(_xlfn.XLOOKUP(BO$7,'Product Tgt'!$B:$B,'Product Tgt'!$G:$G)*AJ71/AJ$121,0),0)</f>
        <v>11099</v>
      </c>
      <c r="BP71" s="41">
        <f>IFERROR(ROUND(_xlfn.XLOOKUP(BP$7,'Product Tgt'!$B:$B,'Product Tgt'!$G:$G)*AK71/AK$121,0),0)</f>
        <v>542</v>
      </c>
      <c r="BQ71" s="41">
        <f>IFERROR(ROUND(_xlfn.XLOOKUP(BQ$7,'Product Tgt'!$B:$B,'Product Tgt'!$G:$G)*AL71/AL$121,0),0)</f>
        <v>807</v>
      </c>
      <c r="BR71" s="25">
        <f>ROUND(IFERROR(AM71/_xlfn.XLOOKUP(BR$7,'Product Tgt'!$B:$B,'Product Tgt'!$D:$D),0),0)</f>
        <v>0</v>
      </c>
      <c r="BS71" s="11">
        <f>ROUND(IFERROR(AN71/_xlfn.XLOOKUP(BS$7,'Product Tgt'!$B:$B,'Product Tgt'!$D:$D),0),0)</f>
        <v>0</v>
      </c>
      <c r="BT71" s="11">
        <f>ROUND(IFERROR(AO71/_xlfn.XLOOKUP(BT$7,'Product Tgt'!$B:$B,'Product Tgt'!$D:$D),0),0)</f>
        <v>0</v>
      </c>
      <c r="BU71" s="11">
        <f>ROUND(IFERROR(AP71/_xlfn.XLOOKUP(BU$7,'Product Tgt'!$B:$B,'Product Tgt'!$D:$D),0),0)</f>
        <v>0</v>
      </c>
      <c r="BV71" s="11">
        <f>ROUND(IFERROR(AQ71/_xlfn.XLOOKUP(BV$7,'Product Tgt'!$B:$B,'Product Tgt'!$D:$D),0),0)</f>
        <v>0</v>
      </c>
      <c r="BW71" s="11">
        <f>ROUND(IFERROR(AU71/_xlfn.XLOOKUP(BW$7,'Product Tgt'!$B:$B,'Product Tgt'!$D:$D),0),0)</f>
        <v>0</v>
      </c>
      <c r="BX71" s="11">
        <f>ROUND(IFERROR(#REF!/_xlfn.XLOOKUP(BX$7,'Product Tgt'!$B:$B,'Product Tgt'!$D:$D),0),0)</f>
        <v>0</v>
      </c>
      <c r="BY71" s="11">
        <f>ROUND(IFERROR(#REF!/_xlfn.XLOOKUP(BY$7,'Product Tgt'!$B:$B,'Product Tgt'!$D:$D),0),0)</f>
        <v>0</v>
      </c>
      <c r="BZ71" s="11">
        <f>ROUND(IFERROR(#REF!/_xlfn.XLOOKUP(BZ$7,'Product Tgt'!$B:$B,'Product Tgt'!$D:$D),0),0)</f>
        <v>0</v>
      </c>
      <c r="CA71" s="11">
        <f>ROUND(IFERROR(#REF!/_xlfn.XLOOKUP(CA$7,'Product Tgt'!$B:$B,'Product Tgt'!$D:$D),0),0)</f>
        <v>0</v>
      </c>
      <c r="CB71" s="11">
        <f>ROUND(IFERROR(AV71/_xlfn.XLOOKUP(CB$7,'Product Tgt'!$B:$B,'Product Tgt'!$D:$D),0),0)</f>
        <v>0</v>
      </c>
      <c r="CC71" s="11">
        <f>ROUND(IFERROR(AW71/_xlfn.XLOOKUP(CC$7,'Product Tgt'!$B:$B,'Product Tgt'!$D:$D),0),0)</f>
        <v>0</v>
      </c>
      <c r="CD71" s="11">
        <f>ROUND(IFERROR(AX71/_xlfn.XLOOKUP(CD$7,'Product Tgt'!$B:$B,'Product Tgt'!$D:$D),0),0)</f>
        <v>0</v>
      </c>
      <c r="CE71" s="11">
        <f>ROUND(IFERROR(AY71/_xlfn.XLOOKUP(CE$7,'Product Tgt'!$B:$B,'Product Tgt'!$D:$D),0),0)</f>
        <v>0</v>
      </c>
      <c r="CF71" s="11">
        <f>ROUND(IFERROR(AZ71/_xlfn.XLOOKUP(CF$7,'Product Tgt'!$B:$B,'Product Tgt'!$D:$D),0),0)</f>
        <v>0</v>
      </c>
      <c r="CG71" s="11">
        <f>ROUND(IFERROR(BA71/_xlfn.XLOOKUP(CG$7,'Product Tgt'!$B:$B,'Product Tgt'!$D:$D),0),0)</f>
        <v>0</v>
      </c>
      <c r="CH71" s="11">
        <f>ROUND(IFERROR(BB71/_xlfn.XLOOKUP(CH$7,'Product Tgt'!$B:$B,'Product Tgt'!$D:$D),0),0)</f>
        <v>0</v>
      </c>
      <c r="CI71" s="11">
        <f>ROUND(IFERROR(BC71/_xlfn.XLOOKUP(CI$7,'Product Tgt'!$B:$B,'Product Tgt'!$D:$D),0),0)</f>
        <v>0</v>
      </c>
      <c r="CJ71" s="11">
        <f>ROUND(IFERROR(BD71/_xlfn.XLOOKUP(CJ$7,'Product Tgt'!$B:$B,'Product Tgt'!$D:$D),0),0)</f>
        <v>0</v>
      </c>
      <c r="CK71" s="11">
        <f>ROUND(IFERROR(BE71/_xlfn.XLOOKUP(CK$7,'Product Tgt'!$B:$B,'Product Tgt'!$D:$D),0),0)</f>
        <v>0</v>
      </c>
      <c r="CL71" s="11">
        <f>ROUND(IFERROR(BF71/_xlfn.XLOOKUP(CL$7,'Product Tgt'!$B:$B,'Product Tgt'!$D:$D),0),0)</f>
        <v>0</v>
      </c>
      <c r="CM71" s="11">
        <f>ROUND(IFERROR(BG71/_xlfn.XLOOKUP(CM$7,'Product Tgt'!$B:$B,'Product Tgt'!$D:$D),0),0)</f>
        <v>0</v>
      </c>
      <c r="CN71" s="11">
        <f>ROUND(IFERROR(BH71/_xlfn.XLOOKUP(CN$7,'Product Tgt'!$B:$B,'Product Tgt'!$D:$D),0),0)</f>
        <v>0</v>
      </c>
      <c r="CO71" s="11">
        <f>ROUND(IFERROR(BI71/_xlfn.XLOOKUP(CO$7,'Product Tgt'!$B:$B,'Product Tgt'!$D:$D),0),0)</f>
        <v>0</v>
      </c>
      <c r="CP71" s="11">
        <f>ROUND(IFERROR(BJ71/_xlfn.XLOOKUP(CP$7,'Product Tgt'!$B:$B,'Product Tgt'!$D:$D),0),0)</f>
        <v>0</v>
      </c>
      <c r="CQ71" s="11">
        <f>ROUND(IFERROR(BK71/_xlfn.XLOOKUP(CQ$7,'Product Tgt'!$B:$B,'Product Tgt'!$D:$D),0),0)</f>
        <v>0</v>
      </c>
      <c r="CR71" s="11">
        <f>ROUND(IFERROR(BL71/_xlfn.XLOOKUP(CR$7,'Product Tgt'!$B:$B,'Product Tgt'!$D:$D),0),0)</f>
        <v>0</v>
      </c>
      <c r="CS71" s="11">
        <f>ROUND(IFERROR(BM71/_xlfn.XLOOKUP(CS$7,'Product Tgt'!$B:$B,'Product Tgt'!$D:$D),0),0)</f>
        <v>0</v>
      </c>
      <c r="CT71" s="11">
        <f>ROUND(IFERROR(BN71/_xlfn.XLOOKUP(CT$7,'Product Tgt'!$B:$B,'Product Tgt'!$D:$D),0),0)</f>
        <v>0</v>
      </c>
      <c r="CU71" s="11">
        <f>ROUND(IFERROR(BO71/_xlfn.XLOOKUP(CU$7,'Product Tgt'!$B:$B,'Product Tgt'!$D:$D),0),0)</f>
        <v>0</v>
      </c>
      <c r="CV71" s="11">
        <f>ROUND(IFERROR(BP71/_xlfn.XLOOKUP(CV$7,'Product Tgt'!$B:$B,'Product Tgt'!$D:$D),0),0)</f>
        <v>0</v>
      </c>
      <c r="CW71" s="11">
        <f>ROUND(IFERROR(BQ71/_xlfn.XLOOKUP(CW$7,'Product Tgt'!$B:$B,'Product Tgt'!$D:$D),0),0)</f>
        <v>0</v>
      </c>
      <c r="CX71" s="11">
        <f>ROUND(IFERROR(#REF!/_xlfn.XLOOKUP(CX$7,'Product Tgt'!$B:$B,'Product Tgt'!$D:$D),0),0)</f>
        <v>0</v>
      </c>
      <c r="CY71" s="11">
        <f>ROUND(IFERROR(#REF!/_xlfn.XLOOKUP(CY$7,'Product Tgt'!$B:$B,'Product Tgt'!$D:$D),0),0)</f>
        <v>0</v>
      </c>
      <c r="CZ71" s="11">
        <f>ROUND(IFERROR(#REF!/_xlfn.XLOOKUP(CZ$7,'Product Tgt'!$B:$B,'Product Tgt'!$D:$D),0),0)</f>
        <v>0</v>
      </c>
      <c r="DA71" s="10">
        <f>IFERROR(BR71*_xlfn.XLOOKUP(DA$7,'Product Tgt'!$B:$B,'Product Tgt'!$D:$D),0)</f>
        <v>0</v>
      </c>
      <c r="DB71">
        <f>IFERROR(BS71*_xlfn.XLOOKUP(DB$7,'Product Tgt'!$B:$B,'Product Tgt'!$D:$D),0)</f>
        <v>0</v>
      </c>
      <c r="DC71">
        <f>IFERROR(BT71*_xlfn.XLOOKUP(DC$7,'Product Tgt'!$B:$B,'Product Tgt'!$D:$D),0)</f>
        <v>0</v>
      </c>
      <c r="DD71">
        <f>IFERROR(BU71*_xlfn.XLOOKUP(DD$7,'Product Tgt'!$B:$B,'Product Tgt'!$D:$D),0)</f>
        <v>0</v>
      </c>
      <c r="DE71">
        <f>IFERROR(BV71*_xlfn.XLOOKUP(DE$7,'Product Tgt'!$B:$B,'Product Tgt'!$D:$D),0)</f>
        <v>0</v>
      </c>
      <c r="DF71">
        <f>IFERROR(BW71*_xlfn.XLOOKUP(DF$7,'Product Tgt'!$B:$B,'Product Tgt'!$D:$D),0)</f>
        <v>0</v>
      </c>
      <c r="DG71">
        <f>IFERROR(BX71*_xlfn.XLOOKUP(DG$7,'Product Tgt'!$B:$B,'Product Tgt'!$D:$D),0)</f>
        <v>0</v>
      </c>
      <c r="DH71">
        <f>IFERROR(BY71*_xlfn.XLOOKUP(DH$7,'Product Tgt'!$B:$B,'Product Tgt'!$D:$D),0)</f>
        <v>0</v>
      </c>
      <c r="DI71">
        <f>IFERROR(BZ71*_xlfn.XLOOKUP(DI$7,'Product Tgt'!$B:$B,'Product Tgt'!$D:$D),0)</f>
        <v>0</v>
      </c>
      <c r="DJ71">
        <f>IFERROR(CA71*_xlfn.XLOOKUP(DJ$7,'Product Tgt'!$B:$B,'Product Tgt'!$D:$D),0)</f>
        <v>0</v>
      </c>
      <c r="DK71">
        <f>IFERROR(CB71*_xlfn.XLOOKUP(DK$7,'Product Tgt'!$B:$B,'Product Tgt'!$D:$D),0)</f>
        <v>0</v>
      </c>
      <c r="DL71">
        <f>IFERROR(CC71*_xlfn.XLOOKUP(DL$7,'Product Tgt'!$B:$B,'Product Tgt'!$D:$D),0)</f>
        <v>0</v>
      </c>
      <c r="DM71">
        <f>IFERROR(CD71*_xlfn.XLOOKUP(DM$7,'Product Tgt'!$B:$B,'Product Tgt'!$D:$D),0)</f>
        <v>0</v>
      </c>
      <c r="DN71">
        <f>IFERROR(CE71*_xlfn.XLOOKUP(DN$7,'Product Tgt'!$B:$B,'Product Tgt'!$D:$D),0)</f>
        <v>0</v>
      </c>
      <c r="DO71">
        <f>IFERROR(CF71*_xlfn.XLOOKUP(DO$7,'Product Tgt'!$B:$B,'Product Tgt'!$D:$D),0)</f>
        <v>0</v>
      </c>
      <c r="DP71">
        <f>IFERROR(CG71*_xlfn.XLOOKUP(DP$7,'Product Tgt'!$B:$B,'Product Tgt'!$D:$D),0)</f>
        <v>0</v>
      </c>
      <c r="DQ71">
        <f>IFERROR(CH71*_xlfn.XLOOKUP(DQ$7,'Product Tgt'!$B:$B,'Product Tgt'!$D:$D),0)</f>
        <v>0</v>
      </c>
      <c r="DR71">
        <f>IFERROR(CI71*_xlfn.XLOOKUP(DR$7,'Product Tgt'!$B:$B,'Product Tgt'!$D:$D),0)</f>
        <v>0</v>
      </c>
      <c r="DS71">
        <f>IFERROR(CJ71*_xlfn.XLOOKUP(DS$7,'Product Tgt'!$B:$B,'Product Tgt'!$D:$D),0)</f>
        <v>0</v>
      </c>
      <c r="DT71">
        <f>IFERROR(CK71*_xlfn.XLOOKUP(DT$7,'Product Tgt'!$B:$B,'Product Tgt'!$D:$D),0)</f>
        <v>0</v>
      </c>
      <c r="DU71">
        <f>IFERROR(CL71*_xlfn.XLOOKUP(DU$7,'Product Tgt'!$B:$B,'Product Tgt'!$D:$D),0)</f>
        <v>0</v>
      </c>
      <c r="DV71">
        <f>IFERROR(CM71*_xlfn.XLOOKUP(DV$7,'Product Tgt'!$B:$B,'Product Tgt'!$D:$D),0)</f>
        <v>0</v>
      </c>
      <c r="DW71">
        <f>IFERROR(CN71*_xlfn.XLOOKUP(DW$7,'Product Tgt'!$B:$B,'Product Tgt'!$D:$D),0)</f>
        <v>0</v>
      </c>
      <c r="DX71">
        <f>IFERROR(CO71*_xlfn.XLOOKUP(DX$7,'Product Tgt'!$B:$B,'Product Tgt'!$D:$D),0)</f>
        <v>0</v>
      </c>
      <c r="DY71">
        <f>IFERROR(CP71*_xlfn.XLOOKUP(DY$7,'Product Tgt'!$B:$B,'Product Tgt'!$D:$D),0)</f>
        <v>0</v>
      </c>
      <c r="DZ71">
        <f>IFERROR(CQ71*_xlfn.XLOOKUP(DZ$7,'Product Tgt'!$B:$B,'Product Tgt'!$D:$D),0)</f>
        <v>0</v>
      </c>
      <c r="EA71">
        <f>IFERROR(CR71*_xlfn.XLOOKUP(EA$7,'Product Tgt'!$B:$B,'Product Tgt'!$D:$D),0)</f>
        <v>0</v>
      </c>
      <c r="EB71">
        <f>IFERROR(CS71*_xlfn.XLOOKUP(EB$7,'Product Tgt'!$B:$B,'Product Tgt'!$D:$D),0)</f>
        <v>0</v>
      </c>
      <c r="EC71">
        <f>IFERROR(CT71*_xlfn.XLOOKUP(EC$7,'Product Tgt'!$B:$B,'Product Tgt'!$D:$D),0)</f>
        <v>0</v>
      </c>
      <c r="ED71">
        <f>IFERROR(CU71*_xlfn.XLOOKUP(ED$7,'Product Tgt'!$B:$B,'Product Tgt'!$D:$D),0)</f>
        <v>0</v>
      </c>
      <c r="EE71">
        <f>IFERROR(CV71*_xlfn.XLOOKUP(EE$7,'Product Tgt'!$B:$B,'Product Tgt'!$D:$D),0)</f>
        <v>0</v>
      </c>
      <c r="EF71">
        <f>IFERROR(CW71*_xlfn.XLOOKUP(EF$7,'Product Tgt'!$B:$B,'Product Tgt'!$D:$D),0)</f>
        <v>0</v>
      </c>
      <c r="EG71">
        <f>IFERROR(CX71*_xlfn.XLOOKUP(EG$7,'Product Tgt'!$B:$B,'Product Tgt'!$D:$D),0)</f>
        <v>0</v>
      </c>
      <c r="EH71">
        <f>IFERROR(CY71*_xlfn.XLOOKUP(EH$7,'Product Tgt'!$B:$B,'Product Tgt'!$D:$D),0)</f>
        <v>0</v>
      </c>
      <c r="EI71">
        <f>IFERROR(CZ71*_xlfn.XLOOKUP(EI$7,'Product Tgt'!$B:$B,'Product Tgt'!$D:$D),0)</f>
        <v>0</v>
      </c>
    </row>
    <row r="72" spans="2:139" x14ac:dyDescent="0.35">
      <c r="B72" s="7" t="s">
        <v>199</v>
      </c>
      <c r="C72" s="3">
        <f>_xlfn.XLOOKUP($B72,'Terr Target'!$A:$A,'Terr Target'!$E:$E)</f>
        <v>620484</v>
      </c>
      <c r="D72" s="3">
        <f t="shared" ref="D72:D103" si="10">SUM(AM72:BQ72)</f>
        <v>620480</v>
      </c>
      <c r="E72" s="4">
        <f t="shared" ref="E72:E103" si="11">D72-C72</f>
        <v>-4</v>
      </c>
      <c r="F72" s="9">
        <f t="shared" si="7"/>
        <v>6.4466219700876739E-6</v>
      </c>
      <c r="G72" s="5">
        <f t="shared" si="6"/>
        <v>1.00000644662197</v>
      </c>
      <c r="H72" s="38">
        <v>64493.55312355511</v>
      </c>
      <c r="I72" s="11">
        <v>121388.40118624005</v>
      </c>
      <c r="J72" s="11">
        <v>66518.886777807449</v>
      </c>
      <c r="K72" s="11">
        <v>83606.8009414431</v>
      </c>
      <c r="L72" s="11">
        <v>46766.679844193146</v>
      </c>
      <c r="M72" s="11">
        <v>32952.147451485609</v>
      </c>
      <c r="N72" s="11">
        <v>801.4871401222739</v>
      </c>
      <c r="O72" s="11">
        <v>4445.5399194692218</v>
      </c>
      <c r="P72" s="11">
        <v>1202.7368273469131</v>
      </c>
      <c r="Q72" s="11">
        <v>845.70337595188562</v>
      </c>
      <c r="R72" s="11">
        <v>22356.014101489323</v>
      </c>
      <c r="S72" s="11">
        <v>33615.483010232238</v>
      </c>
      <c r="T72" s="11">
        <v>2477.2042599574734</v>
      </c>
      <c r="U72" s="11">
        <v>4763.9336259634092</v>
      </c>
      <c r="V72" s="11">
        <v>17473.004910149182</v>
      </c>
      <c r="W72" s="11">
        <v>24589.058239643029</v>
      </c>
      <c r="X72" s="11">
        <v>4141.9064298888125</v>
      </c>
      <c r="Y72" s="11">
        <v>4401.360492160592</v>
      </c>
      <c r="Z72" s="11">
        <v>250.32554906824743</v>
      </c>
      <c r="AA72" s="11">
        <v>14362.740099952762</v>
      </c>
      <c r="AB72" s="11">
        <v>4749.3114410033149</v>
      </c>
      <c r="AC72" s="11">
        <v>6329.3356084155939</v>
      </c>
      <c r="AD72" s="11">
        <v>11912.111592144285</v>
      </c>
      <c r="AE72" s="11">
        <v>18142.910789891099</v>
      </c>
      <c r="AF72" s="11">
        <v>1352.6855396972821</v>
      </c>
      <c r="AG72" s="11">
        <v>26222.344336916241</v>
      </c>
      <c r="AH72" s="11">
        <v>1556.0618202530054</v>
      </c>
      <c r="AI72" s="11">
        <v>13389.154719979208</v>
      </c>
      <c r="AJ72" s="11">
        <v>8587.4187429673002</v>
      </c>
      <c r="AK72" s="11">
        <v>2223.4739226983925</v>
      </c>
      <c r="AL72" s="49">
        <v>2708.831080366871</v>
      </c>
      <c r="AM72" s="41">
        <f>IFERROR(ROUND(_xlfn.XLOOKUP(AM$7,'Product Tgt'!$B:$B,'Product Tgt'!$G:$G)*H72/H$121,0),0)</f>
        <v>62698</v>
      </c>
      <c r="AN72" s="41">
        <f>IFERROR(ROUND(_xlfn.XLOOKUP(AN$7,'Product Tgt'!$B:$B,'Product Tgt'!$G:$G)*I72/I$121,0),0)</f>
        <v>119495</v>
      </c>
      <c r="AO72" s="41">
        <f>IFERROR(ROUND(_xlfn.XLOOKUP(AO$7,'Product Tgt'!$B:$B,'Product Tgt'!$G:$G)*J72/J$121,0),0)</f>
        <v>64450</v>
      </c>
      <c r="AP72" s="41">
        <f>IFERROR(ROUND(_xlfn.XLOOKUP(AP$7,'Product Tgt'!$B:$B,'Product Tgt'!$G:$G)*K72/K$121,0),0)</f>
        <v>81560</v>
      </c>
      <c r="AQ72" s="41">
        <f>IFERROR(ROUND(_xlfn.XLOOKUP(AQ$7,'Product Tgt'!$B:$B,'Product Tgt'!$G:$G)*L72/L$121,0),0)</f>
        <v>45220</v>
      </c>
      <c r="AR72" s="41">
        <f>IFERROR(ROUND(_xlfn.XLOOKUP(AR$7,'Product Tgt'!$B:$B,'Product Tgt'!$G:$G)*M72/M$121,0),0)</f>
        <v>31924</v>
      </c>
      <c r="AS72" s="41">
        <f>IFERROR(ROUND(_xlfn.XLOOKUP(AS$7,'Product Tgt'!$B:$B,'Product Tgt'!$G:$G)*N72/N$121,0),0)</f>
        <v>741</v>
      </c>
      <c r="AT72" s="41">
        <f>IFERROR(ROUND(_xlfn.XLOOKUP(AT$7,'Product Tgt'!$B:$B,'Product Tgt'!$G:$G)*O72/O$121,0),0)</f>
        <v>4001</v>
      </c>
      <c r="AU72" s="41">
        <f>IFERROR(ROUND(_xlfn.XLOOKUP(AU$7,'Product Tgt'!$B:$B,'Product Tgt'!$G:$G)*P72/P$121,0),0)</f>
        <v>513</v>
      </c>
      <c r="AV72" s="41">
        <f>IFERROR(ROUND(_xlfn.XLOOKUP(AV$7,'Product Tgt'!$B:$B,'Product Tgt'!$G:$G)*Q72/Q$121,0),0)</f>
        <v>635</v>
      </c>
      <c r="AW72" s="41">
        <f>IFERROR(ROUND(_xlfn.XLOOKUP(AW$7,'Product Tgt'!$B:$B,'Product Tgt'!$G:$G)*R72/R$121,0),0)</f>
        <v>21530</v>
      </c>
      <c r="AX72" s="41">
        <f>IFERROR(ROUND(_xlfn.XLOOKUP(AX$7,'Product Tgt'!$B:$B,'Product Tgt'!$G:$G)*S72/S$121,0),0)</f>
        <v>32376</v>
      </c>
      <c r="AY72" s="41">
        <f>IFERROR(ROUND(_xlfn.XLOOKUP(AY$7,'Product Tgt'!$B:$B,'Product Tgt'!$G:$G)*T72/T$121,0),0)</f>
        <v>2486</v>
      </c>
      <c r="AZ72" s="41">
        <f>IFERROR(ROUND(_xlfn.XLOOKUP(AZ$7,'Product Tgt'!$B:$B,'Product Tgt'!$G:$G)*U72/U$121,0),0)</f>
        <v>4559</v>
      </c>
      <c r="BA72" s="41">
        <f>IFERROR(ROUND(_xlfn.XLOOKUP(BA$7,'Product Tgt'!$B:$B,'Product Tgt'!$G:$G)*V72/V$121,0),0)</f>
        <v>16823</v>
      </c>
      <c r="BB72" s="41">
        <f>IFERROR(ROUND(_xlfn.XLOOKUP(BB$7,'Product Tgt'!$B:$B,'Product Tgt'!$G:$G)*W72/W$121,0),0)</f>
        <v>23537</v>
      </c>
      <c r="BC72" s="41">
        <f>IFERROR(ROUND(_xlfn.XLOOKUP(BC$7,'Product Tgt'!$B:$B,'Product Tgt'!$G:$G)*X72/X$121,0),0)</f>
        <v>4008</v>
      </c>
      <c r="BD72" s="41">
        <f>IFERROR(ROUND(_xlfn.XLOOKUP(BD$7,'Product Tgt'!$B:$B,'Product Tgt'!$G:$G)*Y72/Y$121,0),0)</f>
        <v>4256</v>
      </c>
      <c r="BE72" s="41">
        <f>IFERROR(ROUND(_xlfn.XLOOKUP(BE$7,'Product Tgt'!$B:$B,'Product Tgt'!$G:$G)*Z72/Z$121,0),0)</f>
        <v>238</v>
      </c>
      <c r="BF72" s="41">
        <f>IFERROR(ROUND(_xlfn.XLOOKUP(BF$7,'Product Tgt'!$B:$B,'Product Tgt'!$G:$G)*AA72/AA$121,0),0)</f>
        <v>11639</v>
      </c>
      <c r="BG72" s="41">
        <f>IFERROR(ROUND(_xlfn.XLOOKUP(BG$7,'Product Tgt'!$B:$B,'Product Tgt'!$G:$G)*AB72/AB$121,0),0)</f>
        <v>3806</v>
      </c>
      <c r="BH72" s="41">
        <f>IFERROR(ROUND(_xlfn.XLOOKUP(BH$7,'Product Tgt'!$B:$B,'Product Tgt'!$G:$G)*AC72/AC$121,0),0)</f>
        <v>5417</v>
      </c>
      <c r="BI72" s="41">
        <f>IFERROR(ROUND(_xlfn.XLOOKUP(BI$7,'Product Tgt'!$B:$B,'Product Tgt'!$G:$G)*AD72/AD$121,0),0)</f>
        <v>10370</v>
      </c>
      <c r="BJ72" s="41">
        <f>IFERROR(ROUND(_xlfn.XLOOKUP(BJ$7,'Product Tgt'!$B:$B,'Product Tgt'!$G:$G)*AE72/AE$121,0),0)</f>
        <v>16886</v>
      </c>
      <c r="BK72" s="41">
        <f>IFERROR(ROUND(_xlfn.XLOOKUP(BK$7,'Product Tgt'!$B:$B,'Product Tgt'!$G:$G)*AF72/AF$121,0),0)</f>
        <v>1511</v>
      </c>
      <c r="BL72" s="41">
        <f>IFERROR(ROUND(_xlfn.XLOOKUP(BL$7,'Product Tgt'!$B:$B,'Product Tgt'!$G:$G)*AG72/AG$121,0),0)</f>
        <v>25047</v>
      </c>
      <c r="BM72" s="41">
        <f>IFERROR(ROUND(_xlfn.XLOOKUP(BM$7,'Product Tgt'!$B:$B,'Product Tgt'!$G:$G)*AH72/AH$121,0),0)</f>
        <v>1220</v>
      </c>
      <c r="BN72" s="41">
        <f>IFERROR(ROUND(_xlfn.XLOOKUP(BN$7,'Product Tgt'!$B:$B,'Product Tgt'!$G:$G)*AI72/AI$121,0),0)</f>
        <v>12296</v>
      </c>
      <c r="BO72" s="41">
        <f>IFERROR(ROUND(_xlfn.XLOOKUP(BO$7,'Product Tgt'!$B:$B,'Product Tgt'!$G:$G)*AJ72/AJ$121,0),0)</f>
        <v>7428</v>
      </c>
      <c r="BP72" s="41">
        <f>IFERROR(ROUND(_xlfn.XLOOKUP(BP$7,'Product Tgt'!$B:$B,'Product Tgt'!$G:$G)*AK72/AK$121,0),0)</f>
        <v>1693</v>
      </c>
      <c r="BQ72" s="41">
        <f>IFERROR(ROUND(_xlfn.XLOOKUP(BQ$7,'Product Tgt'!$B:$B,'Product Tgt'!$G:$G)*AL72/AL$121,0),0)</f>
        <v>2117</v>
      </c>
      <c r="BR72" s="25">
        <f>ROUND(IFERROR(AM72/_xlfn.XLOOKUP(BR$7,'Product Tgt'!$B:$B,'Product Tgt'!$D:$D),0),0)</f>
        <v>0</v>
      </c>
      <c r="BS72" s="11">
        <f>ROUND(IFERROR(AN72/_xlfn.XLOOKUP(BS$7,'Product Tgt'!$B:$B,'Product Tgt'!$D:$D),0),0)</f>
        <v>0</v>
      </c>
      <c r="BT72" s="11">
        <f>ROUND(IFERROR(AO72/_xlfn.XLOOKUP(BT$7,'Product Tgt'!$B:$B,'Product Tgt'!$D:$D),0),0)</f>
        <v>0</v>
      </c>
      <c r="BU72" s="11">
        <f>ROUND(IFERROR(AP72/_xlfn.XLOOKUP(BU$7,'Product Tgt'!$B:$B,'Product Tgt'!$D:$D),0),0)</f>
        <v>0</v>
      </c>
      <c r="BV72" s="11">
        <f>ROUND(IFERROR(AQ72/_xlfn.XLOOKUP(BV$7,'Product Tgt'!$B:$B,'Product Tgt'!$D:$D),0),0)</f>
        <v>0</v>
      </c>
      <c r="BW72" s="11">
        <f>ROUND(IFERROR(AU72/_xlfn.XLOOKUP(BW$7,'Product Tgt'!$B:$B,'Product Tgt'!$D:$D),0),0)</f>
        <v>0</v>
      </c>
      <c r="BX72" s="11">
        <f>ROUND(IFERROR(#REF!/_xlfn.XLOOKUP(BX$7,'Product Tgt'!$B:$B,'Product Tgt'!$D:$D),0),0)</f>
        <v>0</v>
      </c>
      <c r="BY72" s="11">
        <f>ROUND(IFERROR(#REF!/_xlfn.XLOOKUP(BY$7,'Product Tgt'!$B:$B,'Product Tgt'!$D:$D),0),0)</f>
        <v>0</v>
      </c>
      <c r="BZ72" s="11">
        <f>ROUND(IFERROR(#REF!/_xlfn.XLOOKUP(BZ$7,'Product Tgt'!$B:$B,'Product Tgt'!$D:$D),0),0)</f>
        <v>0</v>
      </c>
      <c r="CA72" s="11">
        <f>ROUND(IFERROR(#REF!/_xlfn.XLOOKUP(CA$7,'Product Tgt'!$B:$B,'Product Tgt'!$D:$D),0),0)</f>
        <v>0</v>
      </c>
      <c r="CB72" s="11">
        <f>ROUND(IFERROR(AV72/_xlfn.XLOOKUP(CB$7,'Product Tgt'!$B:$B,'Product Tgt'!$D:$D),0),0)</f>
        <v>0</v>
      </c>
      <c r="CC72" s="11">
        <f>ROUND(IFERROR(AW72/_xlfn.XLOOKUP(CC$7,'Product Tgt'!$B:$B,'Product Tgt'!$D:$D),0),0)</f>
        <v>0</v>
      </c>
      <c r="CD72" s="11">
        <f>ROUND(IFERROR(AX72/_xlfn.XLOOKUP(CD$7,'Product Tgt'!$B:$B,'Product Tgt'!$D:$D),0),0)</f>
        <v>0</v>
      </c>
      <c r="CE72" s="11">
        <f>ROUND(IFERROR(AY72/_xlfn.XLOOKUP(CE$7,'Product Tgt'!$B:$B,'Product Tgt'!$D:$D),0),0)</f>
        <v>0</v>
      </c>
      <c r="CF72" s="11">
        <f>ROUND(IFERROR(AZ72/_xlfn.XLOOKUP(CF$7,'Product Tgt'!$B:$B,'Product Tgt'!$D:$D),0),0)</f>
        <v>0</v>
      </c>
      <c r="CG72" s="11">
        <f>ROUND(IFERROR(BA72/_xlfn.XLOOKUP(CG$7,'Product Tgt'!$B:$B,'Product Tgt'!$D:$D),0),0)</f>
        <v>0</v>
      </c>
      <c r="CH72" s="11">
        <f>ROUND(IFERROR(BB72/_xlfn.XLOOKUP(CH$7,'Product Tgt'!$B:$B,'Product Tgt'!$D:$D),0),0)</f>
        <v>0</v>
      </c>
      <c r="CI72" s="11">
        <f>ROUND(IFERROR(BC72/_xlfn.XLOOKUP(CI$7,'Product Tgt'!$B:$B,'Product Tgt'!$D:$D),0),0)</f>
        <v>0</v>
      </c>
      <c r="CJ72" s="11">
        <f>ROUND(IFERROR(BD72/_xlfn.XLOOKUP(CJ$7,'Product Tgt'!$B:$B,'Product Tgt'!$D:$D),0),0)</f>
        <v>0</v>
      </c>
      <c r="CK72" s="11">
        <f>ROUND(IFERROR(BE72/_xlfn.XLOOKUP(CK$7,'Product Tgt'!$B:$B,'Product Tgt'!$D:$D),0),0)</f>
        <v>0</v>
      </c>
      <c r="CL72" s="11">
        <f>ROUND(IFERROR(BF72/_xlfn.XLOOKUP(CL$7,'Product Tgt'!$B:$B,'Product Tgt'!$D:$D),0),0)</f>
        <v>0</v>
      </c>
      <c r="CM72" s="11">
        <f>ROUND(IFERROR(BG72/_xlfn.XLOOKUP(CM$7,'Product Tgt'!$B:$B,'Product Tgt'!$D:$D),0),0)</f>
        <v>0</v>
      </c>
      <c r="CN72" s="11">
        <f>ROUND(IFERROR(BH72/_xlfn.XLOOKUP(CN$7,'Product Tgt'!$B:$B,'Product Tgt'!$D:$D),0),0)</f>
        <v>0</v>
      </c>
      <c r="CO72" s="11">
        <f>ROUND(IFERROR(BI72/_xlfn.XLOOKUP(CO$7,'Product Tgt'!$B:$B,'Product Tgt'!$D:$D),0),0)</f>
        <v>0</v>
      </c>
      <c r="CP72" s="11">
        <f>ROUND(IFERROR(BJ72/_xlfn.XLOOKUP(CP$7,'Product Tgt'!$B:$B,'Product Tgt'!$D:$D),0),0)</f>
        <v>0</v>
      </c>
      <c r="CQ72" s="11">
        <f>ROUND(IFERROR(BK72/_xlfn.XLOOKUP(CQ$7,'Product Tgt'!$B:$B,'Product Tgt'!$D:$D),0),0)</f>
        <v>0</v>
      </c>
      <c r="CR72" s="11">
        <f>ROUND(IFERROR(BL72/_xlfn.XLOOKUP(CR$7,'Product Tgt'!$B:$B,'Product Tgt'!$D:$D),0),0)</f>
        <v>0</v>
      </c>
      <c r="CS72" s="11">
        <f>ROUND(IFERROR(BM72/_xlfn.XLOOKUP(CS$7,'Product Tgt'!$B:$B,'Product Tgt'!$D:$D),0),0)</f>
        <v>0</v>
      </c>
      <c r="CT72" s="11">
        <f>ROUND(IFERROR(BN72/_xlfn.XLOOKUP(CT$7,'Product Tgt'!$B:$B,'Product Tgt'!$D:$D),0),0)</f>
        <v>0</v>
      </c>
      <c r="CU72" s="11">
        <f>ROUND(IFERROR(BO72/_xlfn.XLOOKUP(CU$7,'Product Tgt'!$B:$B,'Product Tgt'!$D:$D),0),0)</f>
        <v>0</v>
      </c>
      <c r="CV72" s="11">
        <f>ROUND(IFERROR(BP72/_xlfn.XLOOKUP(CV$7,'Product Tgt'!$B:$B,'Product Tgt'!$D:$D),0),0)</f>
        <v>0</v>
      </c>
      <c r="CW72" s="11">
        <f>ROUND(IFERROR(BQ72/_xlfn.XLOOKUP(CW$7,'Product Tgt'!$B:$B,'Product Tgt'!$D:$D),0),0)</f>
        <v>0</v>
      </c>
      <c r="CX72" s="11">
        <f>ROUND(IFERROR(#REF!/_xlfn.XLOOKUP(CX$7,'Product Tgt'!$B:$B,'Product Tgt'!$D:$D),0),0)</f>
        <v>0</v>
      </c>
      <c r="CY72" s="11">
        <f>ROUND(IFERROR(#REF!/_xlfn.XLOOKUP(CY$7,'Product Tgt'!$B:$B,'Product Tgt'!$D:$D),0),0)</f>
        <v>0</v>
      </c>
      <c r="CZ72" s="11">
        <f>ROUND(IFERROR(#REF!/_xlfn.XLOOKUP(CZ$7,'Product Tgt'!$B:$B,'Product Tgt'!$D:$D),0),0)</f>
        <v>0</v>
      </c>
      <c r="DA72" s="10">
        <f>IFERROR(BR72*_xlfn.XLOOKUP(DA$7,'Product Tgt'!$B:$B,'Product Tgt'!$D:$D),0)</f>
        <v>0</v>
      </c>
      <c r="DB72">
        <f>IFERROR(BS72*_xlfn.XLOOKUP(DB$7,'Product Tgt'!$B:$B,'Product Tgt'!$D:$D),0)</f>
        <v>0</v>
      </c>
      <c r="DC72">
        <f>IFERROR(BT72*_xlfn.XLOOKUP(DC$7,'Product Tgt'!$B:$B,'Product Tgt'!$D:$D),0)</f>
        <v>0</v>
      </c>
      <c r="DD72">
        <f>IFERROR(BU72*_xlfn.XLOOKUP(DD$7,'Product Tgt'!$B:$B,'Product Tgt'!$D:$D),0)</f>
        <v>0</v>
      </c>
      <c r="DE72">
        <f>IFERROR(BV72*_xlfn.XLOOKUP(DE$7,'Product Tgt'!$B:$B,'Product Tgt'!$D:$D),0)</f>
        <v>0</v>
      </c>
      <c r="DF72">
        <f>IFERROR(BW72*_xlfn.XLOOKUP(DF$7,'Product Tgt'!$B:$B,'Product Tgt'!$D:$D),0)</f>
        <v>0</v>
      </c>
      <c r="DG72">
        <f>IFERROR(BX72*_xlfn.XLOOKUP(DG$7,'Product Tgt'!$B:$B,'Product Tgt'!$D:$D),0)</f>
        <v>0</v>
      </c>
      <c r="DH72">
        <f>IFERROR(BY72*_xlfn.XLOOKUP(DH$7,'Product Tgt'!$B:$B,'Product Tgt'!$D:$D),0)</f>
        <v>0</v>
      </c>
      <c r="DI72">
        <f>IFERROR(BZ72*_xlfn.XLOOKUP(DI$7,'Product Tgt'!$B:$B,'Product Tgt'!$D:$D),0)</f>
        <v>0</v>
      </c>
      <c r="DJ72">
        <f>IFERROR(CA72*_xlfn.XLOOKUP(DJ$7,'Product Tgt'!$B:$B,'Product Tgt'!$D:$D),0)</f>
        <v>0</v>
      </c>
      <c r="DK72">
        <f>IFERROR(CB72*_xlfn.XLOOKUP(DK$7,'Product Tgt'!$B:$B,'Product Tgt'!$D:$D),0)</f>
        <v>0</v>
      </c>
      <c r="DL72">
        <f>IFERROR(CC72*_xlfn.XLOOKUP(DL$7,'Product Tgt'!$B:$B,'Product Tgt'!$D:$D),0)</f>
        <v>0</v>
      </c>
      <c r="DM72">
        <f>IFERROR(CD72*_xlfn.XLOOKUP(DM$7,'Product Tgt'!$B:$B,'Product Tgt'!$D:$D),0)</f>
        <v>0</v>
      </c>
      <c r="DN72">
        <f>IFERROR(CE72*_xlfn.XLOOKUP(DN$7,'Product Tgt'!$B:$B,'Product Tgt'!$D:$D),0)</f>
        <v>0</v>
      </c>
      <c r="DO72">
        <f>IFERROR(CF72*_xlfn.XLOOKUP(DO$7,'Product Tgt'!$B:$B,'Product Tgt'!$D:$D),0)</f>
        <v>0</v>
      </c>
      <c r="DP72">
        <f>IFERROR(CG72*_xlfn.XLOOKUP(DP$7,'Product Tgt'!$B:$B,'Product Tgt'!$D:$D),0)</f>
        <v>0</v>
      </c>
      <c r="DQ72">
        <f>IFERROR(CH72*_xlfn.XLOOKUP(DQ$7,'Product Tgt'!$B:$B,'Product Tgt'!$D:$D),0)</f>
        <v>0</v>
      </c>
      <c r="DR72">
        <f>IFERROR(CI72*_xlfn.XLOOKUP(DR$7,'Product Tgt'!$B:$B,'Product Tgt'!$D:$D),0)</f>
        <v>0</v>
      </c>
      <c r="DS72">
        <f>IFERROR(CJ72*_xlfn.XLOOKUP(DS$7,'Product Tgt'!$B:$B,'Product Tgt'!$D:$D),0)</f>
        <v>0</v>
      </c>
      <c r="DT72">
        <f>IFERROR(CK72*_xlfn.XLOOKUP(DT$7,'Product Tgt'!$B:$B,'Product Tgt'!$D:$D),0)</f>
        <v>0</v>
      </c>
      <c r="DU72">
        <f>IFERROR(CL72*_xlfn.XLOOKUP(DU$7,'Product Tgt'!$B:$B,'Product Tgt'!$D:$D),0)</f>
        <v>0</v>
      </c>
      <c r="DV72">
        <f>IFERROR(CM72*_xlfn.XLOOKUP(DV$7,'Product Tgt'!$B:$B,'Product Tgt'!$D:$D),0)</f>
        <v>0</v>
      </c>
      <c r="DW72">
        <f>IFERROR(CN72*_xlfn.XLOOKUP(DW$7,'Product Tgt'!$B:$B,'Product Tgt'!$D:$D),0)</f>
        <v>0</v>
      </c>
      <c r="DX72">
        <f>IFERROR(CO72*_xlfn.XLOOKUP(DX$7,'Product Tgt'!$B:$B,'Product Tgt'!$D:$D),0)</f>
        <v>0</v>
      </c>
      <c r="DY72">
        <f>IFERROR(CP72*_xlfn.XLOOKUP(DY$7,'Product Tgt'!$B:$B,'Product Tgt'!$D:$D),0)</f>
        <v>0</v>
      </c>
      <c r="DZ72">
        <f>IFERROR(CQ72*_xlfn.XLOOKUP(DZ$7,'Product Tgt'!$B:$B,'Product Tgt'!$D:$D),0)</f>
        <v>0</v>
      </c>
      <c r="EA72">
        <f>IFERROR(CR72*_xlfn.XLOOKUP(EA$7,'Product Tgt'!$B:$B,'Product Tgt'!$D:$D),0)</f>
        <v>0</v>
      </c>
      <c r="EB72">
        <f>IFERROR(CS72*_xlfn.XLOOKUP(EB$7,'Product Tgt'!$B:$B,'Product Tgt'!$D:$D),0)</f>
        <v>0</v>
      </c>
      <c r="EC72">
        <f>IFERROR(CT72*_xlfn.XLOOKUP(EC$7,'Product Tgt'!$B:$B,'Product Tgt'!$D:$D),0)</f>
        <v>0</v>
      </c>
      <c r="ED72">
        <f>IFERROR(CU72*_xlfn.XLOOKUP(ED$7,'Product Tgt'!$B:$B,'Product Tgt'!$D:$D),0)</f>
        <v>0</v>
      </c>
      <c r="EE72">
        <f>IFERROR(CV72*_xlfn.XLOOKUP(EE$7,'Product Tgt'!$B:$B,'Product Tgt'!$D:$D),0)</f>
        <v>0</v>
      </c>
      <c r="EF72">
        <f>IFERROR(CW72*_xlfn.XLOOKUP(EF$7,'Product Tgt'!$B:$B,'Product Tgt'!$D:$D),0)</f>
        <v>0</v>
      </c>
      <c r="EG72">
        <f>IFERROR(CX72*_xlfn.XLOOKUP(EG$7,'Product Tgt'!$B:$B,'Product Tgt'!$D:$D),0)</f>
        <v>0</v>
      </c>
      <c r="EH72">
        <f>IFERROR(CY72*_xlfn.XLOOKUP(EH$7,'Product Tgt'!$B:$B,'Product Tgt'!$D:$D),0)</f>
        <v>0</v>
      </c>
      <c r="EI72">
        <f>IFERROR(CZ72*_xlfn.XLOOKUP(EI$7,'Product Tgt'!$B:$B,'Product Tgt'!$D:$D),0)</f>
        <v>0</v>
      </c>
    </row>
    <row r="73" spans="2:139" x14ac:dyDescent="0.35">
      <c r="B73" s="7" t="s">
        <v>200</v>
      </c>
      <c r="C73" s="3">
        <f>_xlfn.XLOOKUP($B73,'Terr Target'!$A:$A,'Terr Target'!$E:$E)</f>
        <v>285636.24285811867</v>
      </c>
      <c r="D73" s="3">
        <f t="shared" si="10"/>
        <v>285639</v>
      </c>
      <c r="E73" s="4">
        <f t="shared" si="11"/>
        <v>2.7571418813313358</v>
      </c>
      <c r="F73" s="9">
        <f t="shared" si="7"/>
        <v>9.6525400289573059E-6</v>
      </c>
      <c r="G73" s="5">
        <f t="shared" ref="G73:G120" si="12">1-E73/D73</f>
        <v>0.99999034745997106</v>
      </c>
      <c r="H73" s="38">
        <v>29751.383917818577</v>
      </c>
      <c r="I73" s="11">
        <v>59894.170173739134</v>
      </c>
      <c r="J73" s="11">
        <v>31570.923668178704</v>
      </c>
      <c r="K73" s="11">
        <v>30014.696940556405</v>
      </c>
      <c r="L73" s="11">
        <v>25863.959628576555</v>
      </c>
      <c r="M73" s="11">
        <v>21055.009704771834</v>
      </c>
      <c r="N73" s="11">
        <v>537.56744498604746</v>
      </c>
      <c r="O73" s="11">
        <v>2869.7442368815932</v>
      </c>
      <c r="P73" s="11">
        <v>1123.1371577784291</v>
      </c>
      <c r="Q73" s="11">
        <v>950.27303765986517</v>
      </c>
      <c r="R73" s="11">
        <v>6752.1824454334946</v>
      </c>
      <c r="S73" s="11">
        <v>13278.22265002749</v>
      </c>
      <c r="T73" s="11">
        <v>1142.1022502631133</v>
      </c>
      <c r="U73" s="11">
        <v>2402.0918351596843</v>
      </c>
      <c r="V73" s="11">
        <v>8387.4070767354096</v>
      </c>
      <c r="W73" s="11">
        <v>11951.62542208408</v>
      </c>
      <c r="X73" s="11">
        <v>1689.6718330664255</v>
      </c>
      <c r="Y73" s="11">
        <v>1788.5840830695274</v>
      </c>
      <c r="Z73" s="11">
        <v>275.79321268164642</v>
      </c>
      <c r="AA73" s="11">
        <v>7318.2774663119408</v>
      </c>
      <c r="AB73" s="11">
        <v>2219.2755379522127</v>
      </c>
      <c r="AC73" s="11">
        <v>987.23398449908871</v>
      </c>
      <c r="AD73" s="11">
        <v>4207.6725580165912</v>
      </c>
      <c r="AE73" s="11">
        <v>5942.3190387508585</v>
      </c>
      <c r="AF73" s="11">
        <v>552.53567920209423</v>
      </c>
      <c r="AG73" s="11">
        <v>9969.133760111612</v>
      </c>
      <c r="AH73" s="11">
        <v>817.36750808200281</v>
      </c>
      <c r="AI73" s="11">
        <v>4907.1627236108088</v>
      </c>
      <c r="AJ73" s="11">
        <v>8575.2594153613627</v>
      </c>
      <c r="AK73" s="11">
        <v>940.37082129931616</v>
      </c>
      <c r="AL73" s="49">
        <v>1482.6945276250419</v>
      </c>
      <c r="AM73" s="41">
        <f>IFERROR(ROUND(_xlfn.XLOOKUP(AM$7,'Product Tgt'!$B:$B,'Product Tgt'!$G:$G)*H73/H$121,0),0)</f>
        <v>28923</v>
      </c>
      <c r="AN73" s="41">
        <f>IFERROR(ROUND(_xlfn.XLOOKUP(AN$7,'Product Tgt'!$B:$B,'Product Tgt'!$G:$G)*I73/I$121,0),0)</f>
        <v>58960</v>
      </c>
      <c r="AO73" s="41">
        <f>IFERROR(ROUND(_xlfn.XLOOKUP(AO$7,'Product Tgt'!$B:$B,'Product Tgt'!$G:$G)*J73/J$121,0),0)</f>
        <v>30589</v>
      </c>
      <c r="AP73" s="41">
        <f>IFERROR(ROUND(_xlfn.XLOOKUP(AP$7,'Product Tgt'!$B:$B,'Product Tgt'!$G:$G)*K73/K$121,0),0)</f>
        <v>29280</v>
      </c>
      <c r="AQ73" s="41">
        <f>IFERROR(ROUND(_xlfn.XLOOKUP(AQ$7,'Product Tgt'!$B:$B,'Product Tgt'!$G:$G)*L73/L$121,0),0)</f>
        <v>25009</v>
      </c>
      <c r="AR73" s="41">
        <f>IFERROR(ROUND(_xlfn.XLOOKUP(AR$7,'Product Tgt'!$B:$B,'Product Tgt'!$G:$G)*M73/M$121,0),0)</f>
        <v>20398</v>
      </c>
      <c r="AS73" s="41">
        <f>IFERROR(ROUND(_xlfn.XLOOKUP(AS$7,'Product Tgt'!$B:$B,'Product Tgt'!$G:$G)*N73/N$121,0),0)</f>
        <v>497</v>
      </c>
      <c r="AT73" s="41">
        <f>IFERROR(ROUND(_xlfn.XLOOKUP(AT$7,'Product Tgt'!$B:$B,'Product Tgt'!$G:$G)*O73/O$121,0),0)</f>
        <v>2583</v>
      </c>
      <c r="AU73" s="41">
        <f>IFERROR(ROUND(_xlfn.XLOOKUP(AU$7,'Product Tgt'!$B:$B,'Product Tgt'!$G:$G)*P73/P$121,0),0)</f>
        <v>479</v>
      </c>
      <c r="AV73" s="41">
        <f>IFERROR(ROUND(_xlfn.XLOOKUP(AV$7,'Product Tgt'!$B:$B,'Product Tgt'!$G:$G)*Q73/Q$121,0),0)</f>
        <v>713</v>
      </c>
      <c r="AW73" s="41">
        <f>IFERROR(ROUND(_xlfn.XLOOKUP(AW$7,'Product Tgt'!$B:$B,'Product Tgt'!$G:$G)*R73/R$121,0),0)</f>
        <v>6503</v>
      </c>
      <c r="AX73" s="41">
        <f>IFERROR(ROUND(_xlfn.XLOOKUP(AX$7,'Product Tgt'!$B:$B,'Product Tgt'!$G:$G)*S73/S$121,0),0)</f>
        <v>12789</v>
      </c>
      <c r="AY73" s="41">
        <f>IFERROR(ROUND(_xlfn.XLOOKUP(AY$7,'Product Tgt'!$B:$B,'Product Tgt'!$G:$G)*T73/T$121,0),0)</f>
        <v>1146</v>
      </c>
      <c r="AZ73" s="41">
        <f>IFERROR(ROUND(_xlfn.XLOOKUP(AZ$7,'Product Tgt'!$B:$B,'Product Tgt'!$G:$G)*U73/U$121,0),0)</f>
        <v>2299</v>
      </c>
      <c r="BA73" s="41">
        <f>IFERROR(ROUND(_xlfn.XLOOKUP(BA$7,'Product Tgt'!$B:$B,'Product Tgt'!$G:$G)*V73/V$121,0),0)</f>
        <v>8075</v>
      </c>
      <c r="BB73" s="41">
        <f>IFERROR(ROUND(_xlfn.XLOOKUP(BB$7,'Product Tgt'!$B:$B,'Product Tgt'!$G:$G)*W73/W$121,0),0)</f>
        <v>11441</v>
      </c>
      <c r="BC73" s="41">
        <f>IFERROR(ROUND(_xlfn.XLOOKUP(BC$7,'Product Tgt'!$B:$B,'Product Tgt'!$G:$G)*X73/X$121,0),0)</f>
        <v>1635</v>
      </c>
      <c r="BD73" s="41">
        <f>IFERROR(ROUND(_xlfn.XLOOKUP(BD$7,'Product Tgt'!$B:$B,'Product Tgt'!$G:$G)*Y73/Y$121,0),0)</f>
        <v>1730</v>
      </c>
      <c r="BE73" s="41">
        <f>IFERROR(ROUND(_xlfn.XLOOKUP(BE$7,'Product Tgt'!$B:$B,'Product Tgt'!$G:$G)*Z73/Z$121,0),0)</f>
        <v>262</v>
      </c>
      <c r="BF73" s="41">
        <f>IFERROR(ROUND(_xlfn.XLOOKUP(BF$7,'Product Tgt'!$B:$B,'Product Tgt'!$G:$G)*AA73/AA$121,0),0)</f>
        <v>5931</v>
      </c>
      <c r="BG73" s="41">
        <f>IFERROR(ROUND(_xlfn.XLOOKUP(BG$7,'Product Tgt'!$B:$B,'Product Tgt'!$G:$G)*AB73/AB$121,0),0)</f>
        <v>1779</v>
      </c>
      <c r="BH73" s="41">
        <f>IFERROR(ROUND(_xlfn.XLOOKUP(BH$7,'Product Tgt'!$B:$B,'Product Tgt'!$G:$G)*AC73/AC$121,0),0)</f>
        <v>845</v>
      </c>
      <c r="BI73" s="41">
        <f>IFERROR(ROUND(_xlfn.XLOOKUP(BI$7,'Product Tgt'!$B:$B,'Product Tgt'!$G:$G)*AD73/AD$121,0),0)</f>
        <v>3663</v>
      </c>
      <c r="BJ73" s="41">
        <f>IFERROR(ROUND(_xlfn.XLOOKUP(BJ$7,'Product Tgt'!$B:$B,'Product Tgt'!$G:$G)*AE73/AE$121,0),0)</f>
        <v>5531</v>
      </c>
      <c r="BK73" s="41">
        <f>IFERROR(ROUND(_xlfn.XLOOKUP(BK$7,'Product Tgt'!$B:$B,'Product Tgt'!$G:$G)*AF73/AF$121,0),0)</f>
        <v>617</v>
      </c>
      <c r="BL73" s="41">
        <f>IFERROR(ROUND(_xlfn.XLOOKUP(BL$7,'Product Tgt'!$B:$B,'Product Tgt'!$G:$G)*AG73/AG$121,0),0)</f>
        <v>9522</v>
      </c>
      <c r="BM73" s="41">
        <f>IFERROR(ROUND(_xlfn.XLOOKUP(BM$7,'Product Tgt'!$B:$B,'Product Tgt'!$G:$G)*AH73/AH$121,0),0)</f>
        <v>641</v>
      </c>
      <c r="BN73" s="41">
        <f>IFERROR(ROUND(_xlfn.XLOOKUP(BN$7,'Product Tgt'!$B:$B,'Product Tgt'!$G:$G)*AI73/AI$121,0),0)</f>
        <v>4507</v>
      </c>
      <c r="BO73" s="41">
        <f>IFERROR(ROUND(_xlfn.XLOOKUP(BO$7,'Product Tgt'!$B:$B,'Product Tgt'!$G:$G)*AJ73/AJ$121,0),0)</f>
        <v>7417</v>
      </c>
      <c r="BP73" s="41">
        <f>IFERROR(ROUND(_xlfn.XLOOKUP(BP$7,'Product Tgt'!$B:$B,'Product Tgt'!$G:$G)*AK73/AK$121,0),0)</f>
        <v>716</v>
      </c>
      <c r="BQ73" s="41">
        <f>IFERROR(ROUND(_xlfn.XLOOKUP(BQ$7,'Product Tgt'!$B:$B,'Product Tgt'!$G:$G)*AL73/AL$121,0),0)</f>
        <v>1159</v>
      </c>
      <c r="BR73" s="25">
        <f>ROUND(IFERROR(AM73/_xlfn.XLOOKUP(BR$7,'Product Tgt'!$B:$B,'Product Tgt'!$D:$D),0),0)</f>
        <v>0</v>
      </c>
      <c r="BS73" s="11">
        <f>ROUND(IFERROR(AN73/_xlfn.XLOOKUP(BS$7,'Product Tgt'!$B:$B,'Product Tgt'!$D:$D),0),0)</f>
        <v>0</v>
      </c>
      <c r="BT73" s="11">
        <f>ROUND(IFERROR(AO73/_xlfn.XLOOKUP(BT$7,'Product Tgt'!$B:$B,'Product Tgt'!$D:$D),0),0)</f>
        <v>0</v>
      </c>
      <c r="BU73" s="11">
        <f>ROUND(IFERROR(AP73/_xlfn.XLOOKUP(BU$7,'Product Tgt'!$B:$B,'Product Tgt'!$D:$D),0),0)</f>
        <v>0</v>
      </c>
      <c r="BV73" s="11">
        <f>ROUND(IFERROR(AQ73/_xlfn.XLOOKUP(BV$7,'Product Tgt'!$B:$B,'Product Tgt'!$D:$D),0),0)</f>
        <v>0</v>
      </c>
      <c r="BW73" s="11">
        <f>ROUND(IFERROR(AU73/_xlfn.XLOOKUP(BW$7,'Product Tgt'!$B:$B,'Product Tgt'!$D:$D),0),0)</f>
        <v>0</v>
      </c>
      <c r="BX73" s="11">
        <f>ROUND(IFERROR(#REF!/_xlfn.XLOOKUP(BX$7,'Product Tgt'!$B:$B,'Product Tgt'!$D:$D),0),0)</f>
        <v>0</v>
      </c>
      <c r="BY73" s="11">
        <f>ROUND(IFERROR(#REF!/_xlfn.XLOOKUP(BY$7,'Product Tgt'!$B:$B,'Product Tgt'!$D:$D),0),0)</f>
        <v>0</v>
      </c>
      <c r="BZ73" s="11">
        <f>ROUND(IFERROR(#REF!/_xlfn.XLOOKUP(BZ$7,'Product Tgt'!$B:$B,'Product Tgt'!$D:$D),0),0)</f>
        <v>0</v>
      </c>
      <c r="CA73" s="11">
        <f>ROUND(IFERROR(#REF!/_xlfn.XLOOKUP(CA$7,'Product Tgt'!$B:$B,'Product Tgt'!$D:$D),0),0)</f>
        <v>0</v>
      </c>
      <c r="CB73" s="11">
        <f>ROUND(IFERROR(AV73/_xlfn.XLOOKUP(CB$7,'Product Tgt'!$B:$B,'Product Tgt'!$D:$D),0),0)</f>
        <v>0</v>
      </c>
      <c r="CC73" s="11">
        <f>ROUND(IFERROR(AW73/_xlfn.XLOOKUP(CC$7,'Product Tgt'!$B:$B,'Product Tgt'!$D:$D),0),0)</f>
        <v>0</v>
      </c>
      <c r="CD73" s="11">
        <f>ROUND(IFERROR(AX73/_xlfn.XLOOKUP(CD$7,'Product Tgt'!$B:$B,'Product Tgt'!$D:$D),0),0)</f>
        <v>0</v>
      </c>
      <c r="CE73" s="11">
        <f>ROUND(IFERROR(AY73/_xlfn.XLOOKUP(CE$7,'Product Tgt'!$B:$B,'Product Tgt'!$D:$D),0),0)</f>
        <v>0</v>
      </c>
      <c r="CF73" s="11">
        <f>ROUND(IFERROR(AZ73/_xlfn.XLOOKUP(CF$7,'Product Tgt'!$B:$B,'Product Tgt'!$D:$D),0),0)</f>
        <v>0</v>
      </c>
      <c r="CG73" s="11">
        <f>ROUND(IFERROR(BA73/_xlfn.XLOOKUP(CG$7,'Product Tgt'!$B:$B,'Product Tgt'!$D:$D),0),0)</f>
        <v>0</v>
      </c>
      <c r="CH73" s="11">
        <f>ROUND(IFERROR(BB73/_xlfn.XLOOKUP(CH$7,'Product Tgt'!$B:$B,'Product Tgt'!$D:$D),0),0)</f>
        <v>0</v>
      </c>
      <c r="CI73" s="11">
        <f>ROUND(IFERROR(BC73/_xlfn.XLOOKUP(CI$7,'Product Tgt'!$B:$B,'Product Tgt'!$D:$D),0),0)</f>
        <v>0</v>
      </c>
      <c r="CJ73" s="11">
        <f>ROUND(IFERROR(BD73/_xlfn.XLOOKUP(CJ$7,'Product Tgt'!$B:$B,'Product Tgt'!$D:$D),0),0)</f>
        <v>0</v>
      </c>
      <c r="CK73" s="11">
        <f>ROUND(IFERROR(BE73/_xlfn.XLOOKUP(CK$7,'Product Tgt'!$B:$B,'Product Tgt'!$D:$D),0),0)</f>
        <v>0</v>
      </c>
      <c r="CL73" s="11">
        <f>ROUND(IFERROR(BF73/_xlfn.XLOOKUP(CL$7,'Product Tgt'!$B:$B,'Product Tgt'!$D:$D),0),0)</f>
        <v>0</v>
      </c>
      <c r="CM73" s="11">
        <f>ROUND(IFERROR(BG73/_xlfn.XLOOKUP(CM$7,'Product Tgt'!$B:$B,'Product Tgt'!$D:$D),0),0)</f>
        <v>0</v>
      </c>
      <c r="CN73" s="11">
        <f>ROUND(IFERROR(BH73/_xlfn.XLOOKUP(CN$7,'Product Tgt'!$B:$B,'Product Tgt'!$D:$D),0),0)</f>
        <v>0</v>
      </c>
      <c r="CO73" s="11">
        <f>ROUND(IFERROR(BI73/_xlfn.XLOOKUP(CO$7,'Product Tgt'!$B:$B,'Product Tgt'!$D:$D),0),0)</f>
        <v>0</v>
      </c>
      <c r="CP73" s="11">
        <f>ROUND(IFERROR(BJ73/_xlfn.XLOOKUP(CP$7,'Product Tgt'!$B:$B,'Product Tgt'!$D:$D),0),0)</f>
        <v>0</v>
      </c>
      <c r="CQ73" s="11">
        <f>ROUND(IFERROR(BK73/_xlfn.XLOOKUP(CQ$7,'Product Tgt'!$B:$B,'Product Tgt'!$D:$D),0),0)</f>
        <v>0</v>
      </c>
      <c r="CR73" s="11">
        <f>ROUND(IFERROR(BL73/_xlfn.XLOOKUP(CR$7,'Product Tgt'!$B:$B,'Product Tgt'!$D:$D),0),0)</f>
        <v>0</v>
      </c>
      <c r="CS73" s="11">
        <f>ROUND(IFERROR(BM73/_xlfn.XLOOKUP(CS$7,'Product Tgt'!$B:$B,'Product Tgt'!$D:$D),0),0)</f>
        <v>0</v>
      </c>
      <c r="CT73" s="11">
        <f>ROUND(IFERROR(BN73/_xlfn.XLOOKUP(CT$7,'Product Tgt'!$B:$B,'Product Tgt'!$D:$D),0),0)</f>
        <v>0</v>
      </c>
      <c r="CU73" s="11">
        <f>ROUND(IFERROR(BO73/_xlfn.XLOOKUP(CU$7,'Product Tgt'!$B:$B,'Product Tgt'!$D:$D),0),0)</f>
        <v>0</v>
      </c>
      <c r="CV73" s="11">
        <f>ROUND(IFERROR(BP73/_xlfn.XLOOKUP(CV$7,'Product Tgt'!$B:$B,'Product Tgt'!$D:$D),0),0)</f>
        <v>0</v>
      </c>
      <c r="CW73" s="11">
        <f>ROUND(IFERROR(BQ73/_xlfn.XLOOKUP(CW$7,'Product Tgt'!$B:$B,'Product Tgt'!$D:$D),0),0)</f>
        <v>0</v>
      </c>
      <c r="CX73" s="11">
        <f>ROUND(IFERROR(#REF!/_xlfn.XLOOKUP(CX$7,'Product Tgt'!$B:$B,'Product Tgt'!$D:$D),0),0)</f>
        <v>0</v>
      </c>
      <c r="CY73" s="11">
        <f>ROUND(IFERROR(#REF!/_xlfn.XLOOKUP(CY$7,'Product Tgt'!$B:$B,'Product Tgt'!$D:$D),0),0)</f>
        <v>0</v>
      </c>
      <c r="CZ73" s="11">
        <f>ROUND(IFERROR(#REF!/_xlfn.XLOOKUP(CZ$7,'Product Tgt'!$B:$B,'Product Tgt'!$D:$D),0),0)</f>
        <v>0</v>
      </c>
      <c r="DA73" s="10">
        <f>IFERROR(BR73*_xlfn.XLOOKUP(DA$7,'Product Tgt'!$B:$B,'Product Tgt'!$D:$D),0)</f>
        <v>0</v>
      </c>
      <c r="DB73">
        <f>IFERROR(BS73*_xlfn.XLOOKUP(DB$7,'Product Tgt'!$B:$B,'Product Tgt'!$D:$D),0)</f>
        <v>0</v>
      </c>
      <c r="DC73">
        <f>IFERROR(BT73*_xlfn.XLOOKUP(DC$7,'Product Tgt'!$B:$B,'Product Tgt'!$D:$D),0)</f>
        <v>0</v>
      </c>
      <c r="DD73">
        <f>IFERROR(BU73*_xlfn.XLOOKUP(DD$7,'Product Tgt'!$B:$B,'Product Tgt'!$D:$D),0)</f>
        <v>0</v>
      </c>
      <c r="DE73">
        <f>IFERROR(BV73*_xlfn.XLOOKUP(DE$7,'Product Tgt'!$B:$B,'Product Tgt'!$D:$D),0)</f>
        <v>0</v>
      </c>
      <c r="DF73">
        <f>IFERROR(BW73*_xlfn.XLOOKUP(DF$7,'Product Tgt'!$B:$B,'Product Tgt'!$D:$D),0)</f>
        <v>0</v>
      </c>
      <c r="DG73">
        <f>IFERROR(BX73*_xlfn.XLOOKUP(DG$7,'Product Tgt'!$B:$B,'Product Tgt'!$D:$D),0)</f>
        <v>0</v>
      </c>
      <c r="DH73">
        <f>IFERROR(BY73*_xlfn.XLOOKUP(DH$7,'Product Tgt'!$B:$B,'Product Tgt'!$D:$D),0)</f>
        <v>0</v>
      </c>
      <c r="DI73">
        <f>IFERROR(BZ73*_xlfn.XLOOKUP(DI$7,'Product Tgt'!$B:$B,'Product Tgt'!$D:$D),0)</f>
        <v>0</v>
      </c>
      <c r="DJ73">
        <f>IFERROR(CA73*_xlfn.XLOOKUP(DJ$7,'Product Tgt'!$B:$B,'Product Tgt'!$D:$D),0)</f>
        <v>0</v>
      </c>
      <c r="DK73">
        <f>IFERROR(CB73*_xlfn.XLOOKUP(DK$7,'Product Tgt'!$B:$B,'Product Tgt'!$D:$D),0)</f>
        <v>0</v>
      </c>
      <c r="DL73">
        <f>IFERROR(CC73*_xlfn.XLOOKUP(DL$7,'Product Tgt'!$B:$B,'Product Tgt'!$D:$D),0)</f>
        <v>0</v>
      </c>
      <c r="DM73">
        <f>IFERROR(CD73*_xlfn.XLOOKUP(DM$7,'Product Tgt'!$B:$B,'Product Tgt'!$D:$D),0)</f>
        <v>0</v>
      </c>
      <c r="DN73">
        <f>IFERROR(CE73*_xlfn.XLOOKUP(DN$7,'Product Tgt'!$B:$B,'Product Tgt'!$D:$D),0)</f>
        <v>0</v>
      </c>
      <c r="DO73">
        <f>IFERROR(CF73*_xlfn.XLOOKUP(DO$7,'Product Tgt'!$B:$B,'Product Tgt'!$D:$D),0)</f>
        <v>0</v>
      </c>
      <c r="DP73">
        <f>IFERROR(CG73*_xlfn.XLOOKUP(DP$7,'Product Tgt'!$B:$B,'Product Tgt'!$D:$D),0)</f>
        <v>0</v>
      </c>
      <c r="DQ73">
        <f>IFERROR(CH73*_xlfn.XLOOKUP(DQ$7,'Product Tgt'!$B:$B,'Product Tgt'!$D:$D),0)</f>
        <v>0</v>
      </c>
      <c r="DR73">
        <f>IFERROR(CI73*_xlfn.XLOOKUP(DR$7,'Product Tgt'!$B:$B,'Product Tgt'!$D:$D),0)</f>
        <v>0</v>
      </c>
      <c r="DS73">
        <f>IFERROR(CJ73*_xlfn.XLOOKUP(DS$7,'Product Tgt'!$B:$B,'Product Tgt'!$D:$D),0)</f>
        <v>0</v>
      </c>
      <c r="DT73">
        <f>IFERROR(CK73*_xlfn.XLOOKUP(DT$7,'Product Tgt'!$B:$B,'Product Tgt'!$D:$D),0)</f>
        <v>0</v>
      </c>
      <c r="DU73">
        <f>IFERROR(CL73*_xlfn.XLOOKUP(DU$7,'Product Tgt'!$B:$B,'Product Tgt'!$D:$D),0)</f>
        <v>0</v>
      </c>
      <c r="DV73">
        <f>IFERROR(CM73*_xlfn.XLOOKUP(DV$7,'Product Tgt'!$B:$B,'Product Tgt'!$D:$D),0)</f>
        <v>0</v>
      </c>
      <c r="DW73">
        <f>IFERROR(CN73*_xlfn.XLOOKUP(DW$7,'Product Tgt'!$B:$B,'Product Tgt'!$D:$D),0)</f>
        <v>0</v>
      </c>
      <c r="DX73">
        <f>IFERROR(CO73*_xlfn.XLOOKUP(DX$7,'Product Tgt'!$B:$B,'Product Tgt'!$D:$D),0)</f>
        <v>0</v>
      </c>
      <c r="DY73">
        <f>IFERROR(CP73*_xlfn.XLOOKUP(DY$7,'Product Tgt'!$B:$B,'Product Tgt'!$D:$D),0)</f>
        <v>0</v>
      </c>
      <c r="DZ73">
        <f>IFERROR(CQ73*_xlfn.XLOOKUP(DZ$7,'Product Tgt'!$B:$B,'Product Tgt'!$D:$D),0)</f>
        <v>0</v>
      </c>
      <c r="EA73">
        <f>IFERROR(CR73*_xlfn.XLOOKUP(EA$7,'Product Tgt'!$B:$B,'Product Tgt'!$D:$D),0)</f>
        <v>0</v>
      </c>
      <c r="EB73">
        <f>IFERROR(CS73*_xlfn.XLOOKUP(EB$7,'Product Tgt'!$B:$B,'Product Tgt'!$D:$D),0)</f>
        <v>0</v>
      </c>
      <c r="EC73">
        <f>IFERROR(CT73*_xlfn.XLOOKUP(EC$7,'Product Tgt'!$B:$B,'Product Tgt'!$D:$D),0)</f>
        <v>0</v>
      </c>
      <c r="ED73">
        <f>IFERROR(CU73*_xlfn.XLOOKUP(ED$7,'Product Tgt'!$B:$B,'Product Tgt'!$D:$D),0)</f>
        <v>0</v>
      </c>
      <c r="EE73">
        <f>IFERROR(CV73*_xlfn.XLOOKUP(EE$7,'Product Tgt'!$B:$B,'Product Tgt'!$D:$D),0)</f>
        <v>0</v>
      </c>
      <c r="EF73">
        <f>IFERROR(CW73*_xlfn.XLOOKUP(EF$7,'Product Tgt'!$B:$B,'Product Tgt'!$D:$D),0)</f>
        <v>0</v>
      </c>
      <c r="EG73">
        <f>IFERROR(CX73*_xlfn.XLOOKUP(EG$7,'Product Tgt'!$B:$B,'Product Tgt'!$D:$D),0)</f>
        <v>0</v>
      </c>
      <c r="EH73">
        <f>IFERROR(CY73*_xlfn.XLOOKUP(EH$7,'Product Tgt'!$B:$B,'Product Tgt'!$D:$D),0)</f>
        <v>0</v>
      </c>
      <c r="EI73">
        <f>IFERROR(CZ73*_xlfn.XLOOKUP(EI$7,'Product Tgt'!$B:$B,'Product Tgt'!$D:$D),0)</f>
        <v>0</v>
      </c>
    </row>
    <row r="74" spans="2:139" x14ac:dyDescent="0.35">
      <c r="B74" s="7" t="s">
        <v>116</v>
      </c>
      <c r="C74" s="3">
        <f>_xlfn.XLOOKUP($B74,'Terr Target'!$A:$A,'Terr Target'!$E:$E)</f>
        <v>479433.76193613571</v>
      </c>
      <c r="D74" s="3">
        <f t="shared" si="10"/>
        <v>479423</v>
      </c>
      <c r="E74" s="4">
        <f t="shared" si="11"/>
        <v>-10.761936135706492</v>
      </c>
      <c r="F74" s="9">
        <f t="shared" si="7"/>
        <v>2.2447684269854578E-5</v>
      </c>
      <c r="G74" s="5">
        <f t="shared" si="12"/>
        <v>1.0000224476842698</v>
      </c>
      <c r="H74" s="38">
        <v>37973.607765165696</v>
      </c>
      <c r="I74" s="11">
        <v>72331.719104299555</v>
      </c>
      <c r="J74" s="11">
        <v>38460.887384767411</v>
      </c>
      <c r="K74" s="11">
        <v>47542.926170511098</v>
      </c>
      <c r="L74" s="11">
        <v>30519.129652727061</v>
      </c>
      <c r="M74" s="11">
        <v>22578.81401773421</v>
      </c>
      <c r="N74" s="11">
        <v>559.92152880818162</v>
      </c>
      <c r="O74" s="11">
        <v>3013.4855544304341</v>
      </c>
      <c r="P74" s="11">
        <v>555.96322105021682</v>
      </c>
      <c r="Q74" s="11">
        <v>382.8916843564927</v>
      </c>
      <c r="R74" s="11">
        <v>12769.86881057875</v>
      </c>
      <c r="S74" s="11">
        <v>20830.326047873645</v>
      </c>
      <c r="T74" s="11">
        <v>58434.627677419987</v>
      </c>
      <c r="U74" s="11">
        <v>4802.6704975211296</v>
      </c>
      <c r="V74" s="11">
        <v>10986.790402571951</v>
      </c>
      <c r="W74" s="11">
        <v>18312.673240361128</v>
      </c>
      <c r="X74" s="11">
        <v>2760.8798791928812</v>
      </c>
      <c r="Y74" s="11">
        <v>2652.4540722146612</v>
      </c>
      <c r="Z74" s="11">
        <v>250.63646685545007</v>
      </c>
      <c r="AA74" s="11">
        <v>8679.455017566168</v>
      </c>
      <c r="AB74" s="11">
        <v>3239.3080065720101</v>
      </c>
      <c r="AC74" s="11">
        <v>1078.1018072139059</v>
      </c>
      <c r="AD74" s="11">
        <v>15823.225861998331</v>
      </c>
      <c r="AE74" s="11">
        <v>39107.702719810099</v>
      </c>
      <c r="AF74" s="11">
        <v>4580.7168436656048</v>
      </c>
      <c r="AG74" s="11">
        <v>15301.146948815918</v>
      </c>
      <c r="AH74" s="11">
        <v>882.17551869153112</v>
      </c>
      <c r="AI74" s="11">
        <v>8394.029202626898</v>
      </c>
      <c r="AJ74" s="11">
        <v>13812.316011480336</v>
      </c>
      <c r="AK74" s="11">
        <v>1340.7822707901987</v>
      </c>
      <c r="AL74" s="49">
        <v>1926.2537810813233</v>
      </c>
      <c r="AM74" s="41">
        <f>IFERROR(ROUND(_xlfn.XLOOKUP(AM$7,'Product Tgt'!$B:$B,'Product Tgt'!$G:$G)*H74/H$121,0),0)</f>
        <v>36917</v>
      </c>
      <c r="AN74" s="41">
        <f>IFERROR(ROUND(_xlfn.XLOOKUP(AN$7,'Product Tgt'!$B:$B,'Product Tgt'!$G:$G)*I74/I$121,0),0)</f>
        <v>71203</v>
      </c>
      <c r="AO74" s="41">
        <f>IFERROR(ROUND(_xlfn.XLOOKUP(AO$7,'Product Tgt'!$B:$B,'Product Tgt'!$G:$G)*J74/J$121,0),0)</f>
        <v>37265</v>
      </c>
      <c r="AP74" s="41">
        <f>IFERROR(ROUND(_xlfn.XLOOKUP(AP$7,'Product Tgt'!$B:$B,'Product Tgt'!$G:$G)*K74/K$121,0),0)</f>
        <v>46379</v>
      </c>
      <c r="AQ74" s="41">
        <f>IFERROR(ROUND(_xlfn.XLOOKUP(AQ$7,'Product Tgt'!$B:$B,'Product Tgt'!$G:$G)*L74/L$121,0),0)</f>
        <v>29510</v>
      </c>
      <c r="AR74" s="41">
        <f>IFERROR(ROUND(_xlfn.XLOOKUP(AR$7,'Product Tgt'!$B:$B,'Product Tgt'!$G:$G)*M74/M$121,0),0)</f>
        <v>21874</v>
      </c>
      <c r="AS74" s="41">
        <f>IFERROR(ROUND(_xlfn.XLOOKUP(AS$7,'Product Tgt'!$B:$B,'Product Tgt'!$G:$G)*N74/N$121,0),0)</f>
        <v>517</v>
      </c>
      <c r="AT74" s="41">
        <f>IFERROR(ROUND(_xlfn.XLOOKUP(AT$7,'Product Tgt'!$B:$B,'Product Tgt'!$G:$G)*O74/O$121,0),0)</f>
        <v>2712</v>
      </c>
      <c r="AU74" s="41">
        <f>IFERROR(ROUND(_xlfn.XLOOKUP(AU$7,'Product Tgt'!$B:$B,'Product Tgt'!$G:$G)*P74/P$121,0),0)</f>
        <v>237</v>
      </c>
      <c r="AV74" s="41">
        <f>IFERROR(ROUND(_xlfn.XLOOKUP(AV$7,'Product Tgt'!$B:$B,'Product Tgt'!$G:$G)*Q74/Q$121,0),0)</f>
        <v>287</v>
      </c>
      <c r="AW74" s="41">
        <f>IFERROR(ROUND(_xlfn.XLOOKUP(AW$7,'Product Tgt'!$B:$B,'Product Tgt'!$G:$G)*R74/R$121,0),0)</f>
        <v>12298</v>
      </c>
      <c r="AX74" s="41">
        <f>IFERROR(ROUND(_xlfn.XLOOKUP(AX$7,'Product Tgt'!$B:$B,'Product Tgt'!$G:$G)*S74/S$121,0),0)</f>
        <v>20062</v>
      </c>
      <c r="AY74" s="41">
        <f>IFERROR(ROUND(_xlfn.XLOOKUP(AY$7,'Product Tgt'!$B:$B,'Product Tgt'!$G:$G)*T74/T$121,0),0)</f>
        <v>58650</v>
      </c>
      <c r="AZ74" s="41">
        <f>IFERROR(ROUND(_xlfn.XLOOKUP(AZ$7,'Product Tgt'!$B:$B,'Product Tgt'!$G:$G)*U74/U$121,0),0)</f>
        <v>4596</v>
      </c>
      <c r="BA74" s="41">
        <f>IFERROR(ROUND(_xlfn.XLOOKUP(BA$7,'Product Tgt'!$B:$B,'Product Tgt'!$G:$G)*V74/V$121,0),0)</f>
        <v>10578</v>
      </c>
      <c r="BB74" s="41">
        <f>IFERROR(ROUND(_xlfn.XLOOKUP(BB$7,'Product Tgt'!$B:$B,'Product Tgt'!$G:$G)*W74/W$121,0),0)</f>
        <v>17530</v>
      </c>
      <c r="BC74" s="41">
        <f>IFERROR(ROUND(_xlfn.XLOOKUP(BC$7,'Product Tgt'!$B:$B,'Product Tgt'!$G:$G)*X74/X$121,0),0)</f>
        <v>2671</v>
      </c>
      <c r="BD74" s="41">
        <f>IFERROR(ROUND(_xlfn.XLOOKUP(BD$7,'Product Tgt'!$B:$B,'Product Tgt'!$G:$G)*Y74/Y$121,0),0)</f>
        <v>2565</v>
      </c>
      <c r="BE74" s="41">
        <f>IFERROR(ROUND(_xlfn.XLOOKUP(BE$7,'Product Tgt'!$B:$B,'Product Tgt'!$G:$G)*Z74/Z$121,0),0)</f>
        <v>238</v>
      </c>
      <c r="BF74" s="41">
        <f>IFERROR(ROUND(_xlfn.XLOOKUP(BF$7,'Product Tgt'!$B:$B,'Product Tgt'!$G:$G)*AA74/AA$121,0),0)</f>
        <v>7034</v>
      </c>
      <c r="BG74" s="41">
        <f>IFERROR(ROUND(_xlfn.XLOOKUP(BG$7,'Product Tgt'!$B:$B,'Product Tgt'!$G:$G)*AB74/AB$121,0),0)</f>
        <v>2596</v>
      </c>
      <c r="BH74" s="41">
        <f>IFERROR(ROUND(_xlfn.XLOOKUP(BH$7,'Product Tgt'!$B:$B,'Product Tgt'!$G:$G)*AC74/AC$121,0),0)</f>
        <v>923</v>
      </c>
      <c r="BI74" s="41">
        <f>IFERROR(ROUND(_xlfn.XLOOKUP(BI$7,'Product Tgt'!$B:$B,'Product Tgt'!$G:$G)*AD74/AD$121,0),0)</f>
        <v>13775</v>
      </c>
      <c r="BJ74" s="41">
        <f>IFERROR(ROUND(_xlfn.XLOOKUP(BJ$7,'Product Tgt'!$B:$B,'Product Tgt'!$G:$G)*AE74/AE$121,0),0)</f>
        <v>36399</v>
      </c>
      <c r="BK74" s="41">
        <f>IFERROR(ROUND(_xlfn.XLOOKUP(BK$7,'Product Tgt'!$B:$B,'Product Tgt'!$G:$G)*AF74/AF$121,0),0)</f>
        <v>5117</v>
      </c>
      <c r="BL74" s="41">
        <f>IFERROR(ROUND(_xlfn.XLOOKUP(BL$7,'Product Tgt'!$B:$B,'Product Tgt'!$G:$G)*AG74/AG$121,0),0)</f>
        <v>14615</v>
      </c>
      <c r="BM74" s="41">
        <f>IFERROR(ROUND(_xlfn.XLOOKUP(BM$7,'Product Tgt'!$B:$B,'Product Tgt'!$G:$G)*AH74/AH$121,0),0)</f>
        <v>692</v>
      </c>
      <c r="BN74" s="41">
        <f>IFERROR(ROUND(_xlfn.XLOOKUP(BN$7,'Product Tgt'!$B:$B,'Product Tgt'!$G:$G)*AI74/AI$121,0),0)</f>
        <v>7709</v>
      </c>
      <c r="BO74" s="41">
        <f>IFERROR(ROUND(_xlfn.XLOOKUP(BO$7,'Product Tgt'!$B:$B,'Product Tgt'!$G:$G)*AJ74/AJ$121,0),0)</f>
        <v>11947</v>
      </c>
      <c r="BP74" s="41">
        <f>IFERROR(ROUND(_xlfn.XLOOKUP(BP$7,'Product Tgt'!$B:$B,'Product Tgt'!$G:$G)*AK74/AK$121,0),0)</f>
        <v>1021</v>
      </c>
      <c r="BQ74" s="41">
        <f>IFERROR(ROUND(_xlfn.XLOOKUP(BQ$7,'Product Tgt'!$B:$B,'Product Tgt'!$G:$G)*AL74/AL$121,0),0)</f>
        <v>1506</v>
      </c>
      <c r="BR74" s="25">
        <f>ROUND(IFERROR(AM74/_xlfn.XLOOKUP(BR$7,'Product Tgt'!$B:$B,'Product Tgt'!$D:$D),0),0)</f>
        <v>0</v>
      </c>
      <c r="BS74" s="11">
        <f>ROUND(IFERROR(AN74/_xlfn.XLOOKUP(BS$7,'Product Tgt'!$B:$B,'Product Tgt'!$D:$D),0),0)</f>
        <v>0</v>
      </c>
      <c r="BT74" s="11">
        <f>ROUND(IFERROR(AO74/_xlfn.XLOOKUP(BT$7,'Product Tgt'!$B:$B,'Product Tgt'!$D:$D),0),0)</f>
        <v>0</v>
      </c>
      <c r="BU74" s="11">
        <f>ROUND(IFERROR(AP74/_xlfn.XLOOKUP(BU$7,'Product Tgt'!$B:$B,'Product Tgt'!$D:$D),0),0)</f>
        <v>0</v>
      </c>
      <c r="BV74" s="11">
        <f>ROUND(IFERROR(AQ74/_xlfn.XLOOKUP(BV$7,'Product Tgt'!$B:$B,'Product Tgt'!$D:$D),0),0)</f>
        <v>0</v>
      </c>
      <c r="BW74" s="11">
        <f>ROUND(IFERROR(AU74/_xlfn.XLOOKUP(BW$7,'Product Tgt'!$B:$B,'Product Tgt'!$D:$D),0),0)</f>
        <v>0</v>
      </c>
      <c r="BX74" s="11">
        <f>ROUND(IFERROR(#REF!/_xlfn.XLOOKUP(BX$7,'Product Tgt'!$B:$B,'Product Tgt'!$D:$D),0),0)</f>
        <v>0</v>
      </c>
      <c r="BY74" s="11">
        <f>ROUND(IFERROR(#REF!/_xlfn.XLOOKUP(BY$7,'Product Tgt'!$B:$B,'Product Tgt'!$D:$D),0),0)</f>
        <v>0</v>
      </c>
      <c r="BZ74" s="11">
        <f>ROUND(IFERROR(#REF!/_xlfn.XLOOKUP(BZ$7,'Product Tgt'!$B:$B,'Product Tgt'!$D:$D),0),0)</f>
        <v>0</v>
      </c>
      <c r="CA74" s="11">
        <f>ROUND(IFERROR(#REF!/_xlfn.XLOOKUP(CA$7,'Product Tgt'!$B:$B,'Product Tgt'!$D:$D),0),0)</f>
        <v>0</v>
      </c>
      <c r="CB74" s="11">
        <f>ROUND(IFERROR(AV74/_xlfn.XLOOKUP(CB$7,'Product Tgt'!$B:$B,'Product Tgt'!$D:$D),0),0)</f>
        <v>0</v>
      </c>
      <c r="CC74" s="11">
        <f>ROUND(IFERROR(AW74/_xlfn.XLOOKUP(CC$7,'Product Tgt'!$B:$B,'Product Tgt'!$D:$D),0),0)</f>
        <v>0</v>
      </c>
      <c r="CD74" s="11">
        <f>ROUND(IFERROR(AX74/_xlfn.XLOOKUP(CD$7,'Product Tgt'!$B:$B,'Product Tgt'!$D:$D),0),0)</f>
        <v>0</v>
      </c>
      <c r="CE74" s="11">
        <f>ROUND(IFERROR(AY74/_xlfn.XLOOKUP(CE$7,'Product Tgt'!$B:$B,'Product Tgt'!$D:$D),0),0)</f>
        <v>0</v>
      </c>
      <c r="CF74" s="11">
        <f>ROUND(IFERROR(AZ74/_xlfn.XLOOKUP(CF$7,'Product Tgt'!$B:$B,'Product Tgt'!$D:$D),0),0)</f>
        <v>0</v>
      </c>
      <c r="CG74" s="11">
        <f>ROUND(IFERROR(BA74/_xlfn.XLOOKUP(CG$7,'Product Tgt'!$B:$B,'Product Tgt'!$D:$D),0),0)</f>
        <v>0</v>
      </c>
      <c r="CH74" s="11">
        <f>ROUND(IFERROR(BB74/_xlfn.XLOOKUP(CH$7,'Product Tgt'!$B:$B,'Product Tgt'!$D:$D),0),0)</f>
        <v>0</v>
      </c>
      <c r="CI74" s="11">
        <f>ROUND(IFERROR(BC74/_xlfn.XLOOKUP(CI$7,'Product Tgt'!$B:$B,'Product Tgt'!$D:$D),0),0)</f>
        <v>0</v>
      </c>
      <c r="CJ74" s="11">
        <f>ROUND(IFERROR(BD74/_xlfn.XLOOKUP(CJ$7,'Product Tgt'!$B:$B,'Product Tgt'!$D:$D),0),0)</f>
        <v>0</v>
      </c>
      <c r="CK74" s="11">
        <f>ROUND(IFERROR(BE74/_xlfn.XLOOKUP(CK$7,'Product Tgt'!$B:$B,'Product Tgt'!$D:$D),0),0)</f>
        <v>0</v>
      </c>
      <c r="CL74" s="11">
        <f>ROUND(IFERROR(BF74/_xlfn.XLOOKUP(CL$7,'Product Tgt'!$B:$B,'Product Tgt'!$D:$D),0),0)</f>
        <v>0</v>
      </c>
      <c r="CM74" s="11">
        <f>ROUND(IFERROR(BG74/_xlfn.XLOOKUP(CM$7,'Product Tgt'!$B:$B,'Product Tgt'!$D:$D),0),0)</f>
        <v>0</v>
      </c>
      <c r="CN74" s="11">
        <f>ROUND(IFERROR(BH74/_xlfn.XLOOKUP(CN$7,'Product Tgt'!$B:$B,'Product Tgt'!$D:$D),0),0)</f>
        <v>0</v>
      </c>
      <c r="CO74" s="11">
        <f>ROUND(IFERROR(BI74/_xlfn.XLOOKUP(CO$7,'Product Tgt'!$B:$B,'Product Tgt'!$D:$D),0),0)</f>
        <v>0</v>
      </c>
      <c r="CP74" s="11">
        <f>ROUND(IFERROR(BJ74/_xlfn.XLOOKUP(CP$7,'Product Tgt'!$B:$B,'Product Tgt'!$D:$D),0),0)</f>
        <v>0</v>
      </c>
      <c r="CQ74" s="11">
        <f>ROUND(IFERROR(BK74/_xlfn.XLOOKUP(CQ$7,'Product Tgt'!$B:$B,'Product Tgt'!$D:$D),0),0)</f>
        <v>0</v>
      </c>
      <c r="CR74" s="11">
        <f>ROUND(IFERROR(BL74/_xlfn.XLOOKUP(CR$7,'Product Tgt'!$B:$B,'Product Tgt'!$D:$D),0),0)</f>
        <v>0</v>
      </c>
      <c r="CS74" s="11">
        <f>ROUND(IFERROR(BM74/_xlfn.XLOOKUP(CS$7,'Product Tgt'!$B:$B,'Product Tgt'!$D:$D),0),0)</f>
        <v>0</v>
      </c>
      <c r="CT74" s="11">
        <f>ROUND(IFERROR(BN74/_xlfn.XLOOKUP(CT$7,'Product Tgt'!$B:$B,'Product Tgt'!$D:$D),0),0)</f>
        <v>0</v>
      </c>
      <c r="CU74" s="11">
        <f>ROUND(IFERROR(BO74/_xlfn.XLOOKUP(CU$7,'Product Tgt'!$B:$B,'Product Tgt'!$D:$D),0),0)</f>
        <v>0</v>
      </c>
      <c r="CV74" s="11">
        <f>ROUND(IFERROR(BP74/_xlfn.XLOOKUP(CV$7,'Product Tgt'!$B:$B,'Product Tgt'!$D:$D),0),0)</f>
        <v>0</v>
      </c>
      <c r="CW74" s="11">
        <f>ROUND(IFERROR(BQ74/_xlfn.XLOOKUP(CW$7,'Product Tgt'!$B:$B,'Product Tgt'!$D:$D),0),0)</f>
        <v>0</v>
      </c>
      <c r="CX74" s="11">
        <f>ROUND(IFERROR(#REF!/_xlfn.XLOOKUP(CX$7,'Product Tgt'!$B:$B,'Product Tgt'!$D:$D),0),0)</f>
        <v>0</v>
      </c>
      <c r="CY74" s="11">
        <f>ROUND(IFERROR(#REF!/_xlfn.XLOOKUP(CY$7,'Product Tgt'!$B:$B,'Product Tgt'!$D:$D),0),0)</f>
        <v>0</v>
      </c>
      <c r="CZ74" s="11">
        <f>ROUND(IFERROR(#REF!/_xlfn.XLOOKUP(CZ$7,'Product Tgt'!$B:$B,'Product Tgt'!$D:$D),0),0)</f>
        <v>0</v>
      </c>
      <c r="DA74" s="10">
        <f>IFERROR(BR74*_xlfn.XLOOKUP(DA$7,'Product Tgt'!$B:$B,'Product Tgt'!$D:$D),0)</f>
        <v>0</v>
      </c>
      <c r="DB74">
        <f>IFERROR(BS74*_xlfn.XLOOKUP(DB$7,'Product Tgt'!$B:$B,'Product Tgt'!$D:$D),0)</f>
        <v>0</v>
      </c>
      <c r="DC74">
        <f>IFERROR(BT74*_xlfn.XLOOKUP(DC$7,'Product Tgt'!$B:$B,'Product Tgt'!$D:$D),0)</f>
        <v>0</v>
      </c>
      <c r="DD74">
        <f>IFERROR(BU74*_xlfn.XLOOKUP(DD$7,'Product Tgt'!$B:$B,'Product Tgt'!$D:$D),0)</f>
        <v>0</v>
      </c>
      <c r="DE74">
        <f>IFERROR(BV74*_xlfn.XLOOKUP(DE$7,'Product Tgt'!$B:$B,'Product Tgt'!$D:$D),0)</f>
        <v>0</v>
      </c>
      <c r="DF74">
        <f>IFERROR(BW74*_xlfn.XLOOKUP(DF$7,'Product Tgt'!$B:$B,'Product Tgt'!$D:$D),0)</f>
        <v>0</v>
      </c>
      <c r="DG74">
        <f>IFERROR(BX74*_xlfn.XLOOKUP(DG$7,'Product Tgt'!$B:$B,'Product Tgt'!$D:$D),0)</f>
        <v>0</v>
      </c>
      <c r="DH74">
        <f>IFERROR(BY74*_xlfn.XLOOKUP(DH$7,'Product Tgt'!$B:$B,'Product Tgt'!$D:$D),0)</f>
        <v>0</v>
      </c>
      <c r="DI74">
        <f>IFERROR(BZ74*_xlfn.XLOOKUP(DI$7,'Product Tgt'!$B:$B,'Product Tgt'!$D:$D),0)</f>
        <v>0</v>
      </c>
      <c r="DJ74">
        <f>IFERROR(CA74*_xlfn.XLOOKUP(DJ$7,'Product Tgt'!$B:$B,'Product Tgt'!$D:$D),0)</f>
        <v>0</v>
      </c>
      <c r="DK74">
        <f>IFERROR(CB74*_xlfn.XLOOKUP(DK$7,'Product Tgt'!$B:$B,'Product Tgt'!$D:$D),0)</f>
        <v>0</v>
      </c>
      <c r="DL74">
        <f>IFERROR(CC74*_xlfn.XLOOKUP(DL$7,'Product Tgt'!$B:$B,'Product Tgt'!$D:$D),0)</f>
        <v>0</v>
      </c>
      <c r="DM74">
        <f>IFERROR(CD74*_xlfn.XLOOKUP(DM$7,'Product Tgt'!$B:$B,'Product Tgt'!$D:$D),0)</f>
        <v>0</v>
      </c>
      <c r="DN74">
        <f>IFERROR(CE74*_xlfn.XLOOKUP(DN$7,'Product Tgt'!$B:$B,'Product Tgt'!$D:$D),0)</f>
        <v>0</v>
      </c>
      <c r="DO74">
        <f>IFERROR(CF74*_xlfn.XLOOKUP(DO$7,'Product Tgt'!$B:$B,'Product Tgt'!$D:$D),0)</f>
        <v>0</v>
      </c>
      <c r="DP74">
        <f>IFERROR(CG74*_xlfn.XLOOKUP(DP$7,'Product Tgt'!$B:$B,'Product Tgt'!$D:$D),0)</f>
        <v>0</v>
      </c>
      <c r="DQ74">
        <f>IFERROR(CH74*_xlfn.XLOOKUP(DQ$7,'Product Tgt'!$B:$B,'Product Tgt'!$D:$D),0)</f>
        <v>0</v>
      </c>
      <c r="DR74">
        <f>IFERROR(CI74*_xlfn.XLOOKUP(DR$7,'Product Tgt'!$B:$B,'Product Tgt'!$D:$D),0)</f>
        <v>0</v>
      </c>
      <c r="DS74">
        <f>IFERROR(CJ74*_xlfn.XLOOKUP(DS$7,'Product Tgt'!$B:$B,'Product Tgt'!$D:$D),0)</f>
        <v>0</v>
      </c>
      <c r="DT74">
        <f>IFERROR(CK74*_xlfn.XLOOKUP(DT$7,'Product Tgt'!$B:$B,'Product Tgt'!$D:$D),0)</f>
        <v>0</v>
      </c>
      <c r="DU74">
        <f>IFERROR(CL74*_xlfn.XLOOKUP(DU$7,'Product Tgt'!$B:$B,'Product Tgt'!$D:$D),0)</f>
        <v>0</v>
      </c>
      <c r="DV74">
        <f>IFERROR(CM74*_xlfn.XLOOKUP(DV$7,'Product Tgt'!$B:$B,'Product Tgt'!$D:$D),0)</f>
        <v>0</v>
      </c>
      <c r="DW74">
        <f>IFERROR(CN74*_xlfn.XLOOKUP(DW$7,'Product Tgt'!$B:$B,'Product Tgt'!$D:$D),0)</f>
        <v>0</v>
      </c>
      <c r="DX74">
        <f>IFERROR(CO74*_xlfn.XLOOKUP(DX$7,'Product Tgt'!$B:$B,'Product Tgt'!$D:$D),0)</f>
        <v>0</v>
      </c>
      <c r="DY74">
        <f>IFERROR(CP74*_xlfn.XLOOKUP(DY$7,'Product Tgt'!$B:$B,'Product Tgt'!$D:$D),0)</f>
        <v>0</v>
      </c>
      <c r="DZ74">
        <f>IFERROR(CQ74*_xlfn.XLOOKUP(DZ$7,'Product Tgt'!$B:$B,'Product Tgt'!$D:$D),0)</f>
        <v>0</v>
      </c>
      <c r="EA74">
        <f>IFERROR(CR74*_xlfn.XLOOKUP(EA$7,'Product Tgt'!$B:$B,'Product Tgt'!$D:$D),0)</f>
        <v>0</v>
      </c>
      <c r="EB74">
        <f>IFERROR(CS74*_xlfn.XLOOKUP(EB$7,'Product Tgt'!$B:$B,'Product Tgt'!$D:$D),0)</f>
        <v>0</v>
      </c>
      <c r="EC74">
        <f>IFERROR(CT74*_xlfn.XLOOKUP(EC$7,'Product Tgt'!$B:$B,'Product Tgt'!$D:$D),0)</f>
        <v>0</v>
      </c>
      <c r="ED74">
        <f>IFERROR(CU74*_xlfn.XLOOKUP(ED$7,'Product Tgt'!$B:$B,'Product Tgt'!$D:$D),0)</f>
        <v>0</v>
      </c>
      <c r="EE74">
        <f>IFERROR(CV74*_xlfn.XLOOKUP(EE$7,'Product Tgt'!$B:$B,'Product Tgt'!$D:$D),0)</f>
        <v>0</v>
      </c>
      <c r="EF74">
        <f>IFERROR(CW74*_xlfn.XLOOKUP(EF$7,'Product Tgt'!$B:$B,'Product Tgt'!$D:$D),0)</f>
        <v>0</v>
      </c>
      <c r="EG74">
        <f>IFERROR(CX74*_xlfn.XLOOKUP(EG$7,'Product Tgt'!$B:$B,'Product Tgt'!$D:$D),0)</f>
        <v>0</v>
      </c>
      <c r="EH74">
        <f>IFERROR(CY74*_xlfn.XLOOKUP(EH$7,'Product Tgt'!$B:$B,'Product Tgt'!$D:$D),0)</f>
        <v>0</v>
      </c>
      <c r="EI74">
        <f>IFERROR(CZ74*_xlfn.XLOOKUP(EI$7,'Product Tgt'!$B:$B,'Product Tgt'!$D:$D),0)</f>
        <v>0</v>
      </c>
    </row>
    <row r="75" spans="2:139" x14ac:dyDescent="0.35">
      <c r="B75" s="7" t="s">
        <v>117</v>
      </c>
      <c r="C75" s="3">
        <f>_xlfn.XLOOKUP($B75,'Terr Target'!$A:$A,'Terr Target'!$E:$E)</f>
        <v>552092.02374794497</v>
      </c>
      <c r="D75" s="3">
        <f t="shared" si="10"/>
        <v>552087</v>
      </c>
      <c r="E75" s="4">
        <f t="shared" si="11"/>
        <v>-5.0237479449715465</v>
      </c>
      <c r="F75" s="9">
        <f t="shared" si="7"/>
        <v>9.0995584843902262E-6</v>
      </c>
      <c r="G75" s="5">
        <f t="shared" si="12"/>
        <v>1.0000090995584845</v>
      </c>
      <c r="H75" s="38">
        <v>54841.944239822304</v>
      </c>
      <c r="I75" s="11">
        <v>103280.12356332496</v>
      </c>
      <c r="J75" s="11">
        <v>53652.928748935148</v>
      </c>
      <c r="K75" s="11">
        <v>61071.907429916675</v>
      </c>
      <c r="L75" s="11">
        <v>50012.31129496768</v>
      </c>
      <c r="M75" s="11">
        <v>32698.643570604458</v>
      </c>
      <c r="N75" s="11">
        <v>671.71641412110034</v>
      </c>
      <c r="O75" s="11">
        <v>3539.0113642337215</v>
      </c>
      <c r="P75" s="11">
        <v>840.15628882340627</v>
      </c>
      <c r="Q75" s="11">
        <v>479.39736423467951</v>
      </c>
      <c r="R75" s="11">
        <v>13924.000867697931</v>
      </c>
      <c r="S75" s="11">
        <v>24840.302019008697</v>
      </c>
      <c r="T75" s="11">
        <v>2195.548637191207</v>
      </c>
      <c r="U75" s="11">
        <v>7477.6799922646842</v>
      </c>
      <c r="V75" s="11">
        <v>16743.318209573357</v>
      </c>
      <c r="W75" s="11">
        <v>22712.165210258787</v>
      </c>
      <c r="X75" s="11">
        <v>2946.0384238729266</v>
      </c>
      <c r="Y75" s="11">
        <v>2741.700056260278</v>
      </c>
      <c r="Z75" s="11">
        <v>272.09901539094466</v>
      </c>
      <c r="AA75" s="11">
        <v>11560.919286080609</v>
      </c>
      <c r="AB75" s="11">
        <v>4229.723482820983</v>
      </c>
      <c r="AC75" s="11">
        <v>1440.1554472579915</v>
      </c>
      <c r="AD75" s="11">
        <v>11760.174857639877</v>
      </c>
      <c r="AE75" s="11">
        <v>45946.512968001582</v>
      </c>
      <c r="AF75" s="11">
        <v>6027.4187505005602</v>
      </c>
      <c r="AG75" s="11">
        <v>16256.984323665827</v>
      </c>
      <c r="AH75" s="11">
        <v>1608.5255580928979</v>
      </c>
      <c r="AI75" s="11">
        <v>9206.8970409584308</v>
      </c>
      <c r="AJ75" s="11">
        <v>10609.100944351185</v>
      </c>
      <c r="AK75" s="11">
        <v>1530.9780363451528</v>
      </c>
      <c r="AL75" s="49">
        <v>1726.9846049369667</v>
      </c>
      <c r="AM75" s="41">
        <f>IFERROR(ROUND(_xlfn.XLOOKUP(AM$7,'Product Tgt'!$B:$B,'Product Tgt'!$G:$G)*H75/H$121,0),0)</f>
        <v>53315</v>
      </c>
      <c r="AN75" s="41">
        <f>IFERROR(ROUND(_xlfn.XLOOKUP(AN$7,'Product Tgt'!$B:$B,'Product Tgt'!$G:$G)*I75/I$121,0),0)</f>
        <v>101669</v>
      </c>
      <c r="AO75" s="41">
        <f>IFERROR(ROUND(_xlfn.XLOOKUP(AO$7,'Product Tgt'!$B:$B,'Product Tgt'!$G:$G)*J75/J$121,0),0)</f>
        <v>51984</v>
      </c>
      <c r="AP75" s="41">
        <f>IFERROR(ROUND(_xlfn.XLOOKUP(AP$7,'Product Tgt'!$B:$B,'Product Tgt'!$G:$G)*K75/K$121,0),0)</f>
        <v>59577</v>
      </c>
      <c r="AQ75" s="41">
        <f>IFERROR(ROUND(_xlfn.XLOOKUP(AQ$7,'Product Tgt'!$B:$B,'Product Tgt'!$G:$G)*L75/L$121,0),0)</f>
        <v>48359</v>
      </c>
      <c r="AR75" s="41">
        <f>IFERROR(ROUND(_xlfn.XLOOKUP(AR$7,'Product Tgt'!$B:$B,'Product Tgt'!$G:$G)*M75/M$121,0),0)</f>
        <v>31678</v>
      </c>
      <c r="AS75" s="41">
        <f>IFERROR(ROUND(_xlfn.XLOOKUP(AS$7,'Product Tgt'!$B:$B,'Product Tgt'!$G:$G)*N75/N$121,0),0)</f>
        <v>621</v>
      </c>
      <c r="AT75" s="41">
        <f>IFERROR(ROUND(_xlfn.XLOOKUP(AT$7,'Product Tgt'!$B:$B,'Product Tgt'!$G:$G)*O75/O$121,0),0)</f>
        <v>3185</v>
      </c>
      <c r="AU75" s="41">
        <f>IFERROR(ROUND(_xlfn.XLOOKUP(AU$7,'Product Tgt'!$B:$B,'Product Tgt'!$G:$G)*P75/P$121,0),0)</f>
        <v>358</v>
      </c>
      <c r="AV75" s="41">
        <f>IFERROR(ROUND(_xlfn.XLOOKUP(AV$7,'Product Tgt'!$B:$B,'Product Tgt'!$G:$G)*Q75/Q$121,0),0)</f>
        <v>360</v>
      </c>
      <c r="AW75" s="41">
        <f>IFERROR(ROUND(_xlfn.XLOOKUP(AW$7,'Product Tgt'!$B:$B,'Product Tgt'!$G:$G)*R75/R$121,0),0)</f>
        <v>13410</v>
      </c>
      <c r="AX75" s="41">
        <f>IFERROR(ROUND(_xlfn.XLOOKUP(AX$7,'Product Tgt'!$B:$B,'Product Tgt'!$G:$G)*S75/S$121,0),0)</f>
        <v>23924</v>
      </c>
      <c r="AY75" s="41">
        <f>IFERROR(ROUND(_xlfn.XLOOKUP(AY$7,'Product Tgt'!$B:$B,'Product Tgt'!$G:$G)*T75/T$121,0),0)</f>
        <v>2204</v>
      </c>
      <c r="AZ75" s="41">
        <f>IFERROR(ROUND(_xlfn.XLOOKUP(AZ$7,'Product Tgt'!$B:$B,'Product Tgt'!$G:$G)*U75/U$121,0),0)</f>
        <v>7156</v>
      </c>
      <c r="BA75" s="41">
        <f>IFERROR(ROUND(_xlfn.XLOOKUP(BA$7,'Product Tgt'!$B:$B,'Product Tgt'!$G:$G)*V75/V$121,0),0)</f>
        <v>16121</v>
      </c>
      <c r="BB75" s="41">
        <f>IFERROR(ROUND(_xlfn.XLOOKUP(BB$7,'Product Tgt'!$B:$B,'Product Tgt'!$G:$G)*W75/W$121,0),0)</f>
        <v>21741</v>
      </c>
      <c r="BC75" s="41">
        <f>IFERROR(ROUND(_xlfn.XLOOKUP(BC$7,'Product Tgt'!$B:$B,'Product Tgt'!$G:$G)*X75/X$121,0),0)</f>
        <v>2851</v>
      </c>
      <c r="BD75" s="41">
        <f>IFERROR(ROUND(_xlfn.XLOOKUP(BD$7,'Product Tgt'!$B:$B,'Product Tgt'!$G:$G)*Y75/Y$121,0),0)</f>
        <v>2651</v>
      </c>
      <c r="BE75" s="41">
        <f>IFERROR(ROUND(_xlfn.XLOOKUP(BE$7,'Product Tgt'!$B:$B,'Product Tgt'!$G:$G)*Z75/Z$121,0),0)</f>
        <v>259</v>
      </c>
      <c r="BF75" s="41">
        <f>IFERROR(ROUND(_xlfn.XLOOKUP(BF$7,'Product Tgt'!$B:$B,'Product Tgt'!$G:$G)*AA75/AA$121,0),0)</f>
        <v>9369</v>
      </c>
      <c r="BG75" s="41">
        <f>IFERROR(ROUND(_xlfn.XLOOKUP(BG$7,'Product Tgt'!$B:$B,'Product Tgt'!$G:$G)*AB75/AB$121,0),0)</f>
        <v>3390</v>
      </c>
      <c r="BH75" s="41">
        <f>IFERROR(ROUND(_xlfn.XLOOKUP(BH$7,'Product Tgt'!$B:$B,'Product Tgt'!$G:$G)*AC75/AC$121,0),0)</f>
        <v>1233</v>
      </c>
      <c r="BI75" s="41">
        <f>IFERROR(ROUND(_xlfn.XLOOKUP(BI$7,'Product Tgt'!$B:$B,'Product Tgt'!$G:$G)*AD75/AD$121,0),0)</f>
        <v>10238</v>
      </c>
      <c r="BJ75" s="41">
        <f>IFERROR(ROUND(_xlfn.XLOOKUP(BJ$7,'Product Tgt'!$B:$B,'Product Tgt'!$G:$G)*AE75/AE$121,0),0)</f>
        <v>42764</v>
      </c>
      <c r="BK75" s="41">
        <f>IFERROR(ROUND(_xlfn.XLOOKUP(BK$7,'Product Tgt'!$B:$B,'Product Tgt'!$G:$G)*AF75/AF$121,0),0)</f>
        <v>6734</v>
      </c>
      <c r="BL75" s="41">
        <f>IFERROR(ROUND(_xlfn.XLOOKUP(BL$7,'Product Tgt'!$B:$B,'Product Tgt'!$G:$G)*AG75/AG$121,0),0)</f>
        <v>15528</v>
      </c>
      <c r="BM75" s="41">
        <f>IFERROR(ROUND(_xlfn.XLOOKUP(BM$7,'Product Tgt'!$B:$B,'Product Tgt'!$G:$G)*AH75/AH$121,0),0)</f>
        <v>1261</v>
      </c>
      <c r="BN75" s="41">
        <f>IFERROR(ROUND(_xlfn.XLOOKUP(BN$7,'Product Tgt'!$B:$B,'Product Tgt'!$G:$G)*AI75/AI$121,0),0)</f>
        <v>8455</v>
      </c>
      <c r="BO75" s="41">
        <f>IFERROR(ROUND(_xlfn.XLOOKUP(BO$7,'Product Tgt'!$B:$B,'Product Tgt'!$G:$G)*AJ75/AJ$121,0),0)</f>
        <v>9176</v>
      </c>
      <c r="BP75" s="41">
        <f>IFERROR(ROUND(_xlfn.XLOOKUP(BP$7,'Product Tgt'!$B:$B,'Product Tgt'!$G:$G)*AK75/AK$121,0),0)</f>
        <v>1166</v>
      </c>
      <c r="BQ75" s="41">
        <f>IFERROR(ROUND(_xlfn.XLOOKUP(BQ$7,'Product Tgt'!$B:$B,'Product Tgt'!$G:$G)*AL75/AL$121,0),0)</f>
        <v>1350</v>
      </c>
      <c r="BR75" s="25">
        <f>ROUND(IFERROR(AM75/_xlfn.XLOOKUP(BR$7,'Product Tgt'!$B:$B,'Product Tgt'!$D:$D),0),0)</f>
        <v>0</v>
      </c>
      <c r="BS75" s="11">
        <f>ROUND(IFERROR(AN75/_xlfn.XLOOKUP(BS$7,'Product Tgt'!$B:$B,'Product Tgt'!$D:$D),0),0)</f>
        <v>0</v>
      </c>
      <c r="BT75" s="11">
        <f>ROUND(IFERROR(AO75/_xlfn.XLOOKUP(BT$7,'Product Tgt'!$B:$B,'Product Tgt'!$D:$D),0),0)</f>
        <v>0</v>
      </c>
      <c r="BU75" s="11">
        <f>ROUND(IFERROR(AP75/_xlfn.XLOOKUP(BU$7,'Product Tgt'!$B:$B,'Product Tgt'!$D:$D),0),0)</f>
        <v>0</v>
      </c>
      <c r="BV75" s="11">
        <f>ROUND(IFERROR(AQ75/_xlfn.XLOOKUP(BV$7,'Product Tgt'!$B:$B,'Product Tgt'!$D:$D),0),0)</f>
        <v>0</v>
      </c>
      <c r="BW75" s="11">
        <f>ROUND(IFERROR(AU75/_xlfn.XLOOKUP(BW$7,'Product Tgt'!$B:$B,'Product Tgt'!$D:$D),0),0)</f>
        <v>0</v>
      </c>
      <c r="BX75" s="11">
        <f>ROUND(IFERROR(#REF!/_xlfn.XLOOKUP(BX$7,'Product Tgt'!$B:$B,'Product Tgt'!$D:$D),0),0)</f>
        <v>0</v>
      </c>
      <c r="BY75" s="11">
        <f>ROUND(IFERROR(#REF!/_xlfn.XLOOKUP(BY$7,'Product Tgt'!$B:$B,'Product Tgt'!$D:$D),0),0)</f>
        <v>0</v>
      </c>
      <c r="BZ75" s="11">
        <f>ROUND(IFERROR(#REF!/_xlfn.XLOOKUP(BZ$7,'Product Tgt'!$B:$B,'Product Tgt'!$D:$D),0),0)</f>
        <v>0</v>
      </c>
      <c r="CA75" s="11">
        <f>ROUND(IFERROR(#REF!/_xlfn.XLOOKUP(CA$7,'Product Tgt'!$B:$B,'Product Tgt'!$D:$D),0),0)</f>
        <v>0</v>
      </c>
      <c r="CB75" s="11">
        <f>ROUND(IFERROR(AV75/_xlfn.XLOOKUP(CB$7,'Product Tgt'!$B:$B,'Product Tgt'!$D:$D),0),0)</f>
        <v>0</v>
      </c>
      <c r="CC75" s="11">
        <f>ROUND(IFERROR(AW75/_xlfn.XLOOKUP(CC$7,'Product Tgt'!$B:$B,'Product Tgt'!$D:$D),0),0)</f>
        <v>0</v>
      </c>
      <c r="CD75" s="11">
        <f>ROUND(IFERROR(AX75/_xlfn.XLOOKUP(CD$7,'Product Tgt'!$B:$B,'Product Tgt'!$D:$D),0),0)</f>
        <v>0</v>
      </c>
      <c r="CE75" s="11">
        <f>ROUND(IFERROR(AY75/_xlfn.XLOOKUP(CE$7,'Product Tgt'!$B:$B,'Product Tgt'!$D:$D),0),0)</f>
        <v>0</v>
      </c>
      <c r="CF75" s="11">
        <f>ROUND(IFERROR(AZ75/_xlfn.XLOOKUP(CF$7,'Product Tgt'!$B:$B,'Product Tgt'!$D:$D),0),0)</f>
        <v>0</v>
      </c>
      <c r="CG75" s="11">
        <f>ROUND(IFERROR(BA75/_xlfn.XLOOKUP(CG$7,'Product Tgt'!$B:$B,'Product Tgt'!$D:$D),0),0)</f>
        <v>0</v>
      </c>
      <c r="CH75" s="11">
        <f>ROUND(IFERROR(BB75/_xlfn.XLOOKUP(CH$7,'Product Tgt'!$B:$B,'Product Tgt'!$D:$D),0),0)</f>
        <v>0</v>
      </c>
      <c r="CI75" s="11">
        <f>ROUND(IFERROR(BC75/_xlfn.XLOOKUP(CI$7,'Product Tgt'!$B:$B,'Product Tgt'!$D:$D),0),0)</f>
        <v>0</v>
      </c>
      <c r="CJ75" s="11">
        <f>ROUND(IFERROR(BD75/_xlfn.XLOOKUP(CJ$7,'Product Tgt'!$B:$B,'Product Tgt'!$D:$D),0),0)</f>
        <v>0</v>
      </c>
      <c r="CK75" s="11">
        <f>ROUND(IFERROR(BE75/_xlfn.XLOOKUP(CK$7,'Product Tgt'!$B:$B,'Product Tgt'!$D:$D),0),0)</f>
        <v>0</v>
      </c>
      <c r="CL75" s="11">
        <f>ROUND(IFERROR(BF75/_xlfn.XLOOKUP(CL$7,'Product Tgt'!$B:$B,'Product Tgt'!$D:$D),0),0)</f>
        <v>0</v>
      </c>
      <c r="CM75" s="11">
        <f>ROUND(IFERROR(BG75/_xlfn.XLOOKUP(CM$7,'Product Tgt'!$B:$B,'Product Tgt'!$D:$D),0),0)</f>
        <v>0</v>
      </c>
      <c r="CN75" s="11">
        <f>ROUND(IFERROR(BH75/_xlfn.XLOOKUP(CN$7,'Product Tgt'!$B:$B,'Product Tgt'!$D:$D),0),0)</f>
        <v>0</v>
      </c>
      <c r="CO75" s="11">
        <f>ROUND(IFERROR(BI75/_xlfn.XLOOKUP(CO$7,'Product Tgt'!$B:$B,'Product Tgt'!$D:$D),0),0)</f>
        <v>0</v>
      </c>
      <c r="CP75" s="11">
        <f>ROUND(IFERROR(BJ75/_xlfn.XLOOKUP(CP$7,'Product Tgt'!$B:$B,'Product Tgt'!$D:$D),0),0)</f>
        <v>0</v>
      </c>
      <c r="CQ75" s="11">
        <f>ROUND(IFERROR(BK75/_xlfn.XLOOKUP(CQ$7,'Product Tgt'!$B:$B,'Product Tgt'!$D:$D),0),0)</f>
        <v>0</v>
      </c>
      <c r="CR75" s="11">
        <f>ROUND(IFERROR(BL75/_xlfn.XLOOKUP(CR$7,'Product Tgt'!$B:$B,'Product Tgt'!$D:$D),0),0)</f>
        <v>0</v>
      </c>
      <c r="CS75" s="11">
        <f>ROUND(IFERROR(BM75/_xlfn.XLOOKUP(CS$7,'Product Tgt'!$B:$B,'Product Tgt'!$D:$D),0),0)</f>
        <v>0</v>
      </c>
      <c r="CT75" s="11">
        <f>ROUND(IFERROR(BN75/_xlfn.XLOOKUP(CT$7,'Product Tgt'!$B:$B,'Product Tgt'!$D:$D),0),0)</f>
        <v>0</v>
      </c>
      <c r="CU75" s="11">
        <f>ROUND(IFERROR(BO75/_xlfn.XLOOKUP(CU$7,'Product Tgt'!$B:$B,'Product Tgt'!$D:$D),0),0)</f>
        <v>0</v>
      </c>
      <c r="CV75" s="11">
        <f>ROUND(IFERROR(BP75/_xlfn.XLOOKUP(CV$7,'Product Tgt'!$B:$B,'Product Tgt'!$D:$D),0),0)</f>
        <v>0</v>
      </c>
      <c r="CW75" s="11">
        <f>ROUND(IFERROR(BQ75/_xlfn.XLOOKUP(CW$7,'Product Tgt'!$B:$B,'Product Tgt'!$D:$D),0),0)</f>
        <v>0</v>
      </c>
      <c r="CX75" s="11">
        <f>ROUND(IFERROR(#REF!/_xlfn.XLOOKUP(CX$7,'Product Tgt'!$B:$B,'Product Tgt'!$D:$D),0),0)</f>
        <v>0</v>
      </c>
      <c r="CY75" s="11">
        <f>ROUND(IFERROR(#REF!/_xlfn.XLOOKUP(CY$7,'Product Tgt'!$B:$B,'Product Tgt'!$D:$D),0),0)</f>
        <v>0</v>
      </c>
      <c r="CZ75" s="11">
        <f>ROUND(IFERROR(#REF!/_xlfn.XLOOKUP(CZ$7,'Product Tgt'!$B:$B,'Product Tgt'!$D:$D),0),0)</f>
        <v>0</v>
      </c>
      <c r="DA75" s="10">
        <f>IFERROR(BR75*_xlfn.XLOOKUP(DA$7,'Product Tgt'!$B:$B,'Product Tgt'!$D:$D),0)</f>
        <v>0</v>
      </c>
      <c r="DB75">
        <f>IFERROR(BS75*_xlfn.XLOOKUP(DB$7,'Product Tgt'!$B:$B,'Product Tgt'!$D:$D),0)</f>
        <v>0</v>
      </c>
      <c r="DC75">
        <f>IFERROR(BT75*_xlfn.XLOOKUP(DC$7,'Product Tgt'!$B:$B,'Product Tgt'!$D:$D),0)</f>
        <v>0</v>
      </c>
      <c r="DD75">
        <f>IFERROR(BU75*_xlfn.XLOOKUP(DD$7,'Product Tgt'!$B:$B,'Product Tgt'!$D:$D),0)</f>
        <v>0</v>
      </c>
      <c r="DE75">
        <f>IFERROR(BV75*_xlfn.XLOOKUP(DE$7,'Product Tgt'!$B:$B,'Product Tgt'!$D:$D),0)</f>
        <v>0</v>
      </c>
      <c r="DF75">
        <f>IFERROR(BW75*_xlfn.XLOOKUP(DF$7,'Product Tgt'!$B:$B,'Product Tgt'!$D:$D),0)</f>
        <v>0</v>
      </c>
      <c r="DG75">
        <f>IFERROR(BX75*_xlfn.XLOOKUP(DG$7,'Product Tgt'!$B:$B,'Product Tgt'!$D:$D),0)</f>
        <v>0</v>
      </c>
      <c r="DH75">
        <f>IFERROR(BY75*_xlfn.XLOOKUP(DH$7,'Product Tgt'!$B:$B,'Product Tgt'!$D:$D),0)</f>
        <v>0</v>
      </c>
      <c r="DI75">
        <f>IFERROR(BZ75*_xlfn.XLOOKUP(DI$7,'Product Tgt'!$B:$B,'Product Tgt'!$D:$D),0)</f>
        <v>0</v>
      </c>
      <c r="DJ75">
        <f>IFERROR(CA75*_xlfn.XLOOKUP(DJ$7,'Product Tgt'!$B:$B,'Product Tgt'!$D:$D),0)</f>
        <v>0</v>
      </c>
      <c r="DK75">
        <f>IFERROR(CB75*_xlfn.XLOOKUP(DK$7,'Product Tgt'!$B:$B,'Product Tgt'!$D:$D),0)</f>
        <v>0</v>
      </c>
      <c r="DL75">
        <f>IFERROR(CC75*_xlfn.XLOOKUP(DL$7,'Product Tgt'!$B:$B,'Product Tgt'!$D:$D),0)</f>
        <v>0</v>
      </c>
      <c r="DM75">
        <f>IFERROR(CD75*_xlfn.XLOOKUP(DM$7,'Product Tgt'!$B:$B,'Product Tgt'!$D:$D),0)</f>
        <v>0</v>
      </c>
      <c r="DN75">
        <f>IFERROR(CE75*_xlfn.XLOOKUP(DN$7,'Product Tgt'!$B:$B,'Product Tgt'!$D:$D),0)</f>
        <v>0</v>
      </c>
      <c r="DO75">
        <f>IFERROR(CF75*_xlfn.XLOOKUP(DO$7,'Product Tgt'!$B:$B,'Product Tgt'!$D:$D),0)</f>
        <v>0</v>
      </c>
      <c r="DP75">
        <f>IFERROR(CG75*_xlfn.XLOOKUP(DP$7,'Product Tgt'!$B:$B,'Product Tgt'!$D:$D),0)</f>
        <v>0</v>
      </c>
      <c r="DQ75">
        <f>IFERROR(CH75*_xlfn.XLOOKUP(DQ$7,'Product Tgt'!$B:$B,'Product Tgt'!$D:$D),0)</f>
        <v>0</v>
      </c>
      <c r="DR75">
        <f>IFERROR(CI75*_xlfn.XLOOKUP(DR$7,'Product Tgt'!$B:$B,'Product Tgt'!$D:$D),0)</f>
        <v>0</v>
      </c>
      <c r="DS75">
        <f>IFERROR(CJ75*_xlfn.XLOOKUP(DS$7,'Product Tgt'!$B:$B,'Product Tgt'!$D:$D),0)</f>
        <v>0</v>
      </c>
      <c r="DT75">
        <f>IFERROR(CK75*_xlfn.XLOOKUP(DT$7,'Product Tgt'!$B:$B,'Product Tgt'!$D:$D),0)</f>
        <v>0</v>
      </c>
      <c r="DU75">
        <f>IFERROR(CL75*_xlfn.XLOOKUP(DU$7,'Product Tgt'!$B:$B,'Product Tgt'!$D:$D),0)</f>
        <v>0</v>
      </c>
      <c r="DV75">
        <f>IFERROR(CM75*_xlfn.XLOOKUP(DV$7,'Product Tgt'!$B:$B,'Product Tgt'!$D:$D),0)</f>
        <v>0</v>
      </c>
      <c r="DW75">
        <f>IFERROR(CN75*_xlfn.XLOOKUP(DW$7,'Product Tgt'!$B:$B,'Product Tgt'!$D:$D),0)</f>
        <v>0</v>
      </c>
      <c r="DX75">
        <f>IFERROR(CO75*_xlfn.XLOOKUP(DX$7,'Product Tgt'!$B:$B,'Product Tgt'!$D:$D),0)</f>
        <v>0</v>
      </c>
      <c r="DY75">
        <f>IFERROR(CP75*_xlfn.XLOOKUP(DY$7,'Product Tgt'!$B:$B,'Product Tgt'!$D:$D),0)</f>
        <v>0</v>
      </c>
      <c r="DZ75">
        <f>IFERROR(CQ75*_xlfn.XLOOKUP(DZ$7,'Product Tgt'!$B:$B,'Product Tgt'!$D:$D),0)</f>
        <v>0</v>
      </c>
      <c r="EA75">
        <f>IFERROR(CR75*_xlfn.XLOOKUP(EA$7,'Product Tgt'!$B:$B,'Product Tgt'!$D:$D),0)</f>
        <v>0</v>
      </c>
      <c r="EB75">
        <f>IFERROR(CS75*_xlfn.XLOOKUP(EB$7,'Product Tgt'!$B:$B,'Product Tgt'!$D:$D),0)</f>
        <v>0</v>
      </c>
      <c r="EC75">
        <f>IFERROR(CT75*_xlfn.XLOOKUP(EC$7,'Product Tgt'!$B:$B,'Product Tgt'!$D:$D),0)</f>
        <v>0</v>
      </c>
      <c r="ED75">
        <f>IFERROR(CU75*_xlfn.XLOOKUP(ED$7,'Product Tgt'!$B:$B,'Product Tgt'!$D:$D),0)</f>
        <v>0</v>
      </c>
      <c r="EE75">
        <f>IFERROR(CV75*_xlfn.XLOOKUP(EE$7,'Product Tgt'!$B:$B,'Product Tgt'!$D:$D),0)</f>
        <v>0</v>
      </c>
      <c r="EF75">
        <f>IFERROR(CW75*_xlfn.XLOOKUP(EF$7,'Product Tgt'!$B:$B,'Product Tgt'!$D:$D),0)</f>
        <v>0</v>
      </c>
      <c r="EG75">
        <f>IFERROR(CX75*_xlfn.XLOOKUP(EG$7,'Product Tgt'!$B:$B,'Product Tgt'!$D:$D),0)</f>
        <v>0</v>
      </c>
      <c r="EH75">
        <f>IFERROR(CY75*_xlfn.XLOOKUP(EH$7,'Product Tgt'!$B:$B,'Product Tgt'!$D:$D),0)</f>
        <v>0</v>
      </c>
      <c r="EI75">
        <f>IFERROR(CZ75*_xlfn.XLOOKUP(EI$7,'Product Tgt'!$B:$B,'Product Tgt'!$D:$D),0)</f>
        <v>0</v>
      </c>
    </row>
    <row r="76" spans="2:139" x14ac:dyDescent="0.35">
      <c r="B76" s="7" t="s">
        <v>118</v>
      </c>
      <c r="C76" s="3">
        <f>_xlfn.XLOOKUP($B76,'Terr Target'!$A:$A,'Terr Target'!$E:$E)</f>
        <v>569668.29233598092</v>
      </c>
      <c r="D76" s="3">
        <f t="shared" si="10"/>
        <v>569669</v>
      </c>
      <c r="E76" s="4">
        <f t="shared" si="11"/>
        <v>0.7076640190789476</v>
      </c>
      <c r="F76" s="9">
        <f t="shared" si="7"/>
        <v>1.2422371922624324E-6</v>
      </c>
      <c r="G76" s="5">
        <f t="shared" si="12"/>
        <v>0.99999875776280778</v>
      </c>
      <c r="H76" s="38">
        <v>57371.898141494363</v>
      </c>
      <c r="I76" s="11">
        <v>112042.87408604314</v>
      </c>
      <c r="J76" s="11">
        <v>57112.841640144376</v>
      </c>
      <c r="K76" s="11">
        <v>68680.294385706773</v>
      </c>
      <c r="L76" s="11">
        <v>49184.165380697661</v>
      </c>
      <c r="M76" s="11">
        <v>32979.23431254302</v>
      </c>
      <c r="N76" s="11">
        <v>607.78247448680963</v>
      </c>
      <c r="O76" s="11">
        <v>3666.0647252176486</v>
      </c>
      <c r="P76" s="11">
        <v>2534.5798168742631</v>
      </c>
      <c r="Q76" s="11">
        <v>1434.8933187084244</v>
      </c>
      <c r="R76" s="11">
        <v>15860.669823563636</v>
      </c>
      <c r="S76" s="11">
        <v>27684.054896557162</v>
      </c>
      <c r="T76" s="11">
        <v>2258.4710062436452</v>
      </c>
      <c r="U76" s="11">
        <v>10785.773070436879</v>
      </c>
      <c r="V76" s="11">
        <v>13257.846687669533</v>
      </c>
      <c r="W76" s="11">
        <v>23467.692496959309</v>
      </c>
      <c r="X76" s="11">
        <v>3645.6496687371014</v>
      </c>
      <c r="Y76" s="11">
        <v>3511.5487635081754</v>
      </c>
      <c r="Z76" s="11">
        <v>346.52201044499276</v>
      </c>
      <c r="AA76" s="11">
        <v>17768.085927021864</v>
      </c>
      <c r="AB76" s="11">
        <v>7514.0358969386498</v>
      </c>
      <c r="AC76" s="11">
        <v>2701.6038348915172</v>
      </c>
      <c r="AD76" s="11">
        <v>11456.016302035569</v>
      </c>
      <c r="AE76" s="11">
        <v>12267.233621484627</v>
      </c>
      <c r="AF76" s="11">
        <v>822.48706682173588</v>
      </c>
      <c r="AG76" s="11">
        <v>23323.3443012766</v>
      </c>
      <c r="AH76" s="11">
        <v>2072.1566343566255</v>
      </c>
      <c r="AI76" s="11">
        <v>12126.407221855874</v>
      </c>
      <c r="AJ76" s="11">
        <v>13007.924134794988</v>
      </c>
      <c r="AK76" s="11">
        <v>4175.4754834745981</v>
      </c>
      <c r="AL76" s="49">
        <v>5392.3241839130487</v>
      </c>
      <c r="AM76" s="41">
        <f>IFERROR(ROUND(_xlfn.XLOOKUP(AM$7,'Product Tgt'!$B:$B,'Product Tgt'!$G:$G)*H76/H$121,0),0)</f>
        <v>55775</v>
      </c>
      <c r="AN76" s="41">
        <f>IFERROR(ROUND(_xlfn.XLOOKUP(AN$7,'Product Tgt'!$B:$B,'Product Tgt'!$G:$G)*I76/I$121,0),0)</f>
        <v>110295</v>
      </c>
      <c r="AO76" s="41">
        <f>IFERROR(ROUND(_xlfn.XLOOKUP(AO$7,'Product Tgt'!$B:$B,'Product Tgt'!$G:$G)*J76/J$121,0),0)</f>
        <v>55336</v>
      </c>
      <c r="AP76" s="41">
        <f>IFERROR(ROUND(_xlfn.XLOOKUP(AP$7,'Product Tgt'!$B:$B,'Product Tgt'!$G:$G)*K76/K$121,0),0)</f>
        <v>66999</v>
      </c>
      <c r="AQ76" s="41">
        <f>IFERROR(ROUND(_xlfn.XLOOKUP(AQ$7,'Product Tgt'!$B:$B,'Product Tgt'!$G:$G)*L76/L$121,0),0)</f>
        <v>47558</v>
      </c>
      <c r="AR76" s="41">
        <f>IFERROR(ROUND(_xlfn.XLOOKUP(AR$7,'Product Tgt'!$B:$B,'Product Tgt'!$G:$G)*M76/M$121,0),0)</f>
        <v>31950</v>
      </c>
      <c r="AS76" s="41">
        <f>IFERROR(ROUND(_xlfn.XLOOKUP(AS$7,'Product Tgt'!$B:$B,'Product Tgt'!$G:$G)*N76/N$121,0),0)</f>
        <v>562</v>
      </c>
      <c r="AT76" s="41">
        <f>IFERROR(ROUND(_xlfn.XLOOKUP(AT$7,'Product Tgt'!$B:$B,'Product Tgt'!$G:$G)*O76/O$121,0),0)</f>
        <v>3300</v>
      </c>
      <c r="AU76" s="41">
        <f>IFERROR(ROUND(_xlfn.XLOOKUP(AU$7,'Product Tgt'!$B:$B,'Product Tgt'!$G:$G)*P76/P$121,0),0)</f>
        <v>1081</v>
      </c>
      <c r="AV76" s="41">
        <f>IFERROR(ROUND(_xlfn.XLOOKUP(AV$7,'Product Tgt'!$B:$B,'Product Tgt'!$G:$G)*Q76/Q$121,0),0)</f>
        <v>1077</v>
      </c>
      <c r="AW76" s="41">
        <f>IFERROR(ROUND(_xlfn.XLOOKUP(AW$7,'Product Tgt'!$B:$B,'Product Tgt'!$G:$G)*R76/R$121,0),0)</f>
        <v>15275</v>
      </c>
      <c r="AX76" s="41">
        <f>IFERROR(ROUND(_xlfn.XLOOKUP(AX$7,'Product Tgt'!$B:$B,'Product Tgt'!$G:$G)*S76/S$121,0),0)</f>
        <v>26663</v>
      </c>
      <c r="AY76" s="41">
        <f>IFERROR(ROUND(_xlfn.XLOOKUP(AY$7,'Product Tgt'!$B:$B,'Product Tgt'!$G:$G)*T76/T$121,0),0)</f>
        <v>2267</v>
      </c>
      <c r="AZ76" s="41">
        <f>IFERROR(ROUND(_xlfn.XLOOKUP(AZ$7,'Product Tgt'!$B:$B,'Product Tgt'!$G:$G)*U76/U$121,0),0)</f>
        <v>10322</v>
      </c>
      <c r="BA76" s="41">
        <f>IFERROR(ROUND(_xlfn.XLOOKUP(BA$7,'Product Tgt'!$B:$B,'Product Tgt'!$G:$G)*V76/V$121,0),0)</f>
        <v>12765</v>
      </c>
      <c r="BB76" s="41">
        <f>IFERROR(ROUND(_xlfn.XLOOKUP(BB$7,'Product Tgt'!$B:$B,'Product Tgt'!$G:$G)*W76/W$121,0),0)</f>
        <v>22464</v>
      </c>
      <c r="BC76" s="41">
        <f>IFERROR(ROUND(_xlfn.XLOOKUP(BC$7,'Product Tgt'!$B:$B,'Product Tgt'!$G:$G)*X76/X$121,0),0)</f>
        <v>3528</v>
      </c>
      <c r="BD76" s="41">
        <f>IFERROR(ROUND(_xlfn.XLOOKUP(BD$7,'Product Tgt'!$B:$B,'Product Tgt'!$G:$G)*Y76/Y$121,0),0)</f>
        <v>3396</v>
      </c>
      <c r="BE76" s="41">
        <f>IFERROR(ROUND(_xlfn.XLOOKUP(BE$7,'Product Tgt'!$B:$B,'Product Tgt'!$G:$G)*Z76/Z$121,0),0)</f>
        <v>329</v>
      </c>
      <c r="BF76" s="41">
        <f>IFERROR(ROUND(_xlfn.XLOOKUP(BF$7,'Product Tgt'!$B:$B,'Product Tgt'!$G:$G)*AA76/AA$121,0),0)</f>
        <v>14399</v>
      </c>
      <c r="BG76" s="41">
        <f>IFERROR(ROUND(_xlfn.XLOOKUP(BG$7,'Product Tgt'!$B:$B,'Product Tgt'!$G:$G)*AB76/AB$121,0),0)</f>
        <v>6022</v>
      </c>
      <c r="BH76" s="41">
        <f>IFERROR(ROUND(_xlfn.XLOOKUP(BH$7,'Product Tgt'!$B:$B,'Product Tgt'!$G:$G)*AC76/AC$121,0),0)</f>
        <v>2312</v>
      </c>
      <c r="BI76" s="41">
        <f>IFERROR(ROUND(_xlfn.XLOOKUP(BI$7,'Product Tgt'!$B:$B,'Product Tgt'!$G:$G)*AD76/AD$121,0),0)</f>
        <v>9973</v>
      </c>
      <c r="BJ76" s="41">
        <f>IFERROR(ROUND(_xlfn.XLOOKUP(BJ$7,'Product Tgt'!$B:$B,'Product Tgt'!$G:$G)*AE76/AE$121,0),0)</f>
        <v>11418</v>
      </c>
      <c r="BK76" s="41">
        <f>IFERROR(ROUND(_xlfn.XLOOKUP(BK$7,'Product Tgt'!$B:$B,'Product Tgt'!$G:$G)*AF76/AF$121,0),0)</f>
        <v>919</v>
      </c>
      <c r="BL76" s="41">
        <f>IFERROR(ROUND(_xlfn.XLOOKUP(BL$7,'Product Tgt'!$B:$B,'Product Tgt'!$G:$G)*AG76/AG$121,0),0)</f>
        <v>22278</v>
      </c>
      <c r="BM76" s="41">
        <f>IFERROR(ROUND(_xlfn.XLOOKUP(BM$7,'Product Tgt'!$B:$B,'Product Tgt'!$G:$G)*AH76/AH$121,0),0)</f>
        <v>1625</v>
      </c>
      <c r="BN76" s="41">
        <f>IFERROR(ROUND(_xlfn.XLOOKUP(BN$7,'Product Tgt'!$B:$B,'Product Tgt'!$G:$G)*AI76/AI$121,0),0)</f>
        <v>11136</v>
      </c>
      <c r="BO76" s="41">
        <f>IFERROR(ROUND(_xlfn.XLOOKUP(BO$7,'Product Tgt'!$B:$B,'Product Tgt'!$G:$G)*AJ76/AJ$121,0),0)</f>
        <v>11251</v>
      </c>
      <c r="BP76" s="41">
        <f>IFERROR(ROUND(_xlfn.XLOOKUP(BP$7,'Product Tgt'!$B:$B,'Product Tgt'!$G:$G)*AK76/AK$121,0),0)</f>
        <v>3179</v>
      </c>
      <c r="BQ76" s="41">
        <f>IFERROR(ROUND(_xlfn.XLOOKUP(BQ$7,'Product Tgt'!$B:$B,'Product Tgt'!$G:$G)*AL76/AL$121,0),0)</f>
        <v>4215</v>
      </c>
      <c r="BR76" s="25">
        <f>ROUND(IFERROR(AM76/_xlfn.XLOOKUP(BR$7,'Product Tgt'!$B:$B,'Product Tgt'!$D:$D),0),0)</f>
        <v>0</v>
      </c>
      <c r="BS76" s="11">
        <f>ROUND(IFERROR(AN76/_xlfn.XLOOKUP(BS$7,'Product Tgt'!$B:$B,'Product Tgt'!$D:$D),0),0)</f>
        <v>0</v>
      </c>
      <c r="BT76" s="11">
        <f>ROUND(IFERROR(AO76/_xlfn.XLOOKUP(BT$7,'Product Tgt'!$B:$B,'Product Tgt'!$D:$D),0),0)</f>
        <v>0</v>
      </c>
      <c r="BU76" s="11">
        <f>ROUND(IFERROR(AP76/_xlfn.XLOOKUP(BU$7,'Product Tgt'!$B:$B,'Product Tgt'!$D:$D),0),0)</f>
        <v>0</v>
      </c>
      <c r="BV76" s="11">
        <f>ROUND(IFERROR(AQ76/_xlfn.XLOOKUP(BV$7,'Product Tgt'!$B:$B,'Product Tgt'!$D:$D),0),0)</f>
        <v>0</v>
      </c>
      <c r="BW76" s="11">
        <f>ROUND(IFERROR(AU76/_xlfn.XLOOKUP(BW$7,'Product Tgt'!$B:$B,'Product Tgt'!$D:$D),0),0)</f>
        <v>0</v>
      </c>
      <c r="BX76" s="11">
        <f>ROUND(IFERROR(#REF!/_xlfn.XLOOKUP(BX$7,'Product Tgt'!$B:$B,'Product Tgt'!$D:$D),0),0)</f>
        <v>0</v>
      </c>
      <c r="BY76" s="11">
        <f>ROUND(IFERROR(#REF!/_xlfn.XLOOKUP(BY$7,'Product Tgt'!$B:$B,'Product Tgt'!$D:$D),0),0)</f>
        <v>0</v>
      </c>
      <c r="BZ76" s="11">
        <f>ROUND(IFERROR(#REF!/_xlfn.XLOOKUP(BZ$7,'Product Tgt'!$B:$B,'Product Tgt'!$D:$D),0),0)</f>
        <v>0</v>
      </c>
      <c r="CA76" s="11">
        <f>ROUND(IFERROR(#REF!/_xlfn.XLOOKUP(CA$7,'Product Tgt'!$B:$B,'Product Tgt'!$D:$D),0),0)</f>
        <v>0</v>
      </c>
      <c r="CB76" s="11">
        <f>ROUND(IFERROR(AV76/_xlfn.XLOOKUP(CB$7,'Product Tgt'!$B:$B,'Product Tgt'!$D:$D),0),0)</f>
        <v>0</v>
      </c>
      <c r="CC76" s="11">
        <f>ROUND(IFERROR(AW76/_xlfn.XLOOKUP(CC$7,'Product Tgt'!$B:$B,'Product Tgt'!$D:$D),0),0)</f>
        <v>0</v>
      </c>
      <c r="CD76" s="11">
        <f>ROUND(IFERROR(AX76/_xlfn.XLOOKUP(CD$7,'Product Tgt'!$B:$B,'Product Tgt'!$D:$D),0),0)</f>
        <v>0</v>
      </c>
      <c r="CE76" s="11">
        <f>ROUND(IFERROR(AY76/_xlfn.XLOOKUP(CE$7,'Product Tgt'!$B:$B,'Product Tgt'!$D:$D),0),0)</f>
        <v>0</v>
      </c>
      <c r="CF76" s="11">
        <f>ROUND(IFERROR(AZ76/_xlfn.XLOOKUP(CF$7,'Product Tgt'!$B:$B,'Product Tgt'!$D:$D),0),0)</f>
        <v>0</v>
      </c>
      <c r="CG76" s="11">
        <f>ROUND(IFERROR(BA76/_xlfn.XLOOKUP(CG$7,'Product Tgt'!$B:$B,'Product Tgt'!$D:$D),0),0)</f>
        <v>0</v>
      </c>
      <c r="CH76" s="11">
        <f>ROUND(IFERROR(BB76/_xlfn.XLOOKUP(CH$7,'Product Tgt'!$B:$B,'Product Tgt'!$D:$D),0),0)</f>
        <v>0</v>
      </c>
      <c r="CI76" s="11">
        <f>ROUND(IFERROR(BC76/_xlfn.XLOOKUP(CI$7,'Product Tgt'!$B:$B,'Product Tgt'!$D:$D),0),0)</f>
        <v>0</v>
      </c>
      <c r="CJ76" s="11">
        <f>ROUND(IFERROR(BD76/_xlfn.XLOOKUP(CJ$7,'Product Tgt'!$B:$B,'Product Tgt'!$D:$D),0),0)</f>
        <v>0</v>
      </c>
      <c r="CK76" s="11">
        <f>ROUND(IFERROR(BE76/_xlfn.XLOOKUP(CK$7,'Product Tgt'!$B:$B,'Product Tgt'!$D:$D),0),0)</f>
        <v>0</v>
      </c>
      <c r="CL76" s="11">
        <f>ROUND(IFERROR(BF76/_xlfn.XLOOKUP(CL$7,'Product Tgt'!$B:$B,'Product Tgt'!$D:$D),0),0)</f>
        <v>0</v>
      </c>
      <c r="CM76" s="11">
        <f>ROUND(IFERROR(BG76/_xlfn.XLOOKUP(CM$7,'Product Tgt'!$B:$B,'Product Tgt'!$D:$D),0),0)</f>
        <v>0</v>
      </c>
      <c r="CN76" s="11">
        <f>ROUND(IFERROR(BH76/_xlfn.XLOOKUP(CN$7,'Product Tgt'!$B:$B,'Product Tgt'!$D:$D),0),0)</f>
        <v>0</v>
      </c>
      <c r="CO76" s="11">
        <f>ROUND(IFERROR(BI76/_xlfn.XLOOKUP(CO$7,'Product Tgt'!$B:$B,'Product Tgt'!$D:$D),0),0)</f>
        <v>0</v>
      </c>
      <c r="CP76" s="11">
        <f>ROUND(IFERROR(BJ76/_xlfn.XLOOKUP(CP$7,'Product Tgt'!$B:$B,'Product Tgt'!$D:$D),0),0)</f>
        <v>0</v>
      </c>
      <c r="CQ76" s="11">
        <f>ROUND(IFERROR(BK76/_xlfn.XLOOKUP(CQ$7,'Product Tgt'!$B:$B,'Product Tgt'!$D:$D),0),0)</f>
        <v>0</v>
      </c>
      <c r="CR76" s="11">
        <f>ROUND(IFERROR(BL76/_xlfn.XLOOKUP(CR$7,'Product Tgt'!$B:$B,'Product Tgt'!$D:$D),0),0)</f>
        <v>0</v>
      </c>
      <c r="CS76" s="11">
        <f>ROUND(IFERROR(BM76/_xlfn.XLOOKUP(CS$7,'Product Tgt'!$B:$B,'Product Tgt'!$D:$D),0),0)</f>
        <v>0</v>
      </c>
      <c r="CT76" s="11">
        <f>ROUND(IFERROR(BN76/_xlfn.XLOOKUP(CT$7,'Product Tgt'!$B:$B,'Product Tgt'!$D:$D),0),0)</f>
        <v>0</v>
      </c>
      <c r="CU76" s="11">
        <f>ROUND(IFERROR(BO76/_xlfn.XLOOKUP(CU$7,'Product Tgt'!$B:$B,'Product Tgt'!$D:$D),0),0)</f>
        <v>0</v>
      </c>
      <c r="CV76" s="11">
        <f>ROUND(IFERROR(BP76/_xlfn.XLOOKUP(CV$7,'Product Tgt'!$B:$B,'Product Tgt'!$D:$D),0),0)</f>
        <v>0</v>
      </c>
      <c r="CW76" s="11">
        <f>ROUND(IFERROR(BQ76/_xlfn.XLOOKUP(CW$7,'Product Tgt'!$B:$B,'Product Tgt'!$D:$D),0),0)</f>
        <v>0</v>
      </c>
      <c r="CX76" s="11">
        <f>ROUND(IFERROR(#REF!/_xlfn.XLOOKUP(CX$7,'Product Tgt'!$B:$B,'Product Tgt'!$D:$D),0),0)</f>
        <v>0</v>
      </c>
      <c r="CY76" s="11">
        <f>ROUND(IFERROR(#REF!/_xlfn.XLOOKUP(CY$7,'Product Tgt'!$B:$B,'Product Tgt'!$D:$D),0),0)</f>
        <v>0</v>
      </c>
      <c r="CZ76" s="11">
        <f>ROUND(IFERROR(#REF!/_xlfn.XLOOKUP(CZ$7,'Product Tgt'!$B:$B,'Product Tgt'!$D:$D),0),0)</f>
        <v>0</v>
      </c>
      <c r="DA76" s="10">
        <f>IFERROR(BR76*_xlfn.XLOOKUP(DA$7,'Product Tgt'!$B:$B,'Product Tgt'!$D:$D),0)</f>
        <v>0</v>
      </c>
      <c r="DB76">
        <f>IFERROR(BS76*_xlfn.XLOOKUP(DB$7,'Product Tgt'!$B:$B,'Product Tgt'!$D:$D),0)</f>
        <v>0</v>
      </c>
      <c r="DC76">
        <f>IFERROR(BT76*_xlfn.XLOOKUP(DC$7,'Product Tgt'!$B:$B,'Product Tgt'!$D:$D),0)</f>
        <v>0</v>
      </c>
      <c r="DD76">
        <f>IFERROR(BU76*_xlfn.XLOOKUP(DD$7,'Product Tgt'!$B:$B,'Product Tgt'!$D:$D),0)</f>
        <v>0</v>
      </c>
      <c r="DE76">
        <f>IFERROR(BV76*_xlfn.XLOOKUP(DE$7,'Product Tgt'!$B:$B,'Product Tgt'!$D:$D),0)</f>
        <v>0</v>
      </c>
      <c r="DF76">
        <f>IFERROR(BW76*_xlfn.XLOOKUP(DF$7,'Product Tgt'!$B:$B,'Product Tgt'!$D:$D),0)</f>
        <v>0</v>
      </c>
      <c r="DG76">
        <f>IFERROR(BX76*_xlfn.XLOOKUP(DG$7,'Product Tgt'!$B:$B,'Product Tgt'!$D:$D),0)</f>
        <v>0</v>
      </c>
      <c r="DH76">
        <f>IFERROR(BY76*_xlfn.XLOOKUP(DH$7,'Product Tgt'!$B:$B,'Product Tgt'!$D:$D),0)</f>
        <v>0</v>
      </c>
      <c r="DI76">
        <f>IFERROR(BZ76*_xlfn.XLOOKUP(DI$7,'Product Tgt'!$B:$B,'Product Tgt'!$D:$D),0)</f>
        <v>0</v>
      </c>
      <c r="DJ76">
        <f>IFERROR(CA76*_xlfn.XLOOKUP(DJ$7,'Product Tgt'!$B:$B,'Product Tgt'!$D:$D),0)</f>
        <v>0</v>
      </c>
      <c r="DK76">
        <f>IFERROR(CB76*_xlfn.XLOOKUP(DK$7,'Product Tgt'!$B:$B,'Product Tgt'!$D:$D),0)</f>
        <v>0</v>
      </c>
      <c r="DL76">
        <f>IFERROR(CC76*_xlfn.XLOOKUP(DL$7,'Product Tgt'!$B:$B,'Product Tgt'!$D:$D),0)</f>
        <v>0</v>
      </c>
      <c r="DM76">
        <f>IFERROR(CD76*_xlfn.XLOOKUP(DM$7,'Product Tgt'!$B:$B,'Product Tgt'!$D:$D),0)</f>
        <v>0</v>
      </c>
      <c r="DN76">
        <f>IFERROR(CE76*_xlfn.XLOOKUP(DN$7,'Product Tgt'!$B:$B,'Product Tgt'!$D:$D),0)</f>
        <v>0</v>
      </c>
      <c r="DO76">
        <f>IFERROR(CF76*_xlfn.XLOOKUP(DO$7,'Product Tgt'!$B:$B,'Product Tgt'!$D:$D),0)</f>
        <v>0</v>
      </c>
      <c r="DP76">
        <f>IFERROR(CG76*_xlfn.XLOOKUP(DP$7,'Product Tgt'!$B:$B,'Product Tgt'!$D:$D),0)</f>
        <v>0</v>
      </c>
      <c r="DQ76">
        <f>IFERROR(CH76*_xlfn.XLOOKUP(DQ$7,'Product Tgt'!$B:$B,'Product Tgt'!$D:$D),0)</f>
        <v>0</v>
      </c>
      <c r="DR76">
        <f>IFERROR(CI76*_xlfn.XLOOKUP(DR$7,'Product Tgt'!$B:$B,'Product Tgt'!$D:$D),0)</f>
        <v>0</v>
      </c>
      <c r="DS76">
        <f>IFERROR(CJ76*_xlfn.XLOOKUP(DS$7,'Product Tgt'!$B:$B,'Product Tgt'!$D:$D),0)</f>
        <v>0</v>
      </c>
      <c r="DT76">
        <f>IFERROR(CK76*_xlfn.XLOOKUP(DT$7,'Product Tgt'!$B:$B,'Product Tgt'!$D:$D),0)</f>
        <v>0</v>
      </c>
      <c r="DU76">
        <f>IFERROR(CL76*_xlfn.XLOOKUP(DU$7,'Product Tgt'!$B:$B,'Product Tgt'!$D:$D),0)</f>
        <v>0</v>
      </c>
      <c r="DV76">
        <f>IFERROR(CM76*_xlfn.XLOOKUP(DV$7,'Product Tgt'!$B:$B,'Product Tgt'!$D:$D),0)</f>
        <v>0</v>
      </c>
      <c r="DW76">
        <f>IFERROR(CN76*_xlfn.XLOOKUP(DW$7,'Product Tgt'!$B:$B,'Product Tgt'!$D:$D),0)</f>
        <v>0</v>
      </c>
      <c r="DX76">
        <f>IFERROR(CO76*_xlfn.XLOOKUP(DX$7,'Product Tgt'!$B:$B,'Product Tgt'!$D:$D),0)</f>
        <v>0</v>
      </c>
      <c r="DY76">
        <f>IFERROR(CP76*_xlfn.XLOOKUP(DY$7,'Product Tgt'!$B:$B,'Product Tgt'!$D:$D),0)</f>
        <v>0</v>
      </c>
      <c r="DZ76">
        <f>IFERROR(CQ76*_xlfn.XLOOKUP(DZ$7,'Product Tgt'!$B:$B,'Product Tgt'!$D:$D),0)</f>
        <v>0</v>
      </c>
      <c r="EA76">
        <f>IFERROR(CR76*_xlfn.XLOOKUP(EA$7,'Product Tgt'!$B:$B,'Product Tgt'!$D:$D),0)</f>
        <v>0</v>
      </c>
      <c r="EB76">
        <f>IFERROR(CS76*_xlfn.XLOOKUP(EB$7,'Product Tgt'!$B:$B,'Product Tgt'!$D:$D),0)</f>
        <v>0</v>
      </c>
      <c r="EC76">
        <f>IFERROR(CT76*_xlfn.XLOOKUP(EC$7,'Product Tgt'!$B:$B,'Product Tgt'!$D:$D),0)</f>
        <v>0</v>
      </c>
      <c r="ED76">
        <f>IFERROR(CU76*_xlfn.XLOOKUP(ED$7,'Product Tgt'!$B:$B,'Product Tgt'!$D:$D),0)</f>
        <v>0</v>
      </c>
      <c r="EE76">
        <f>IFERROR(CV76*_xlfn.XLOOKUP(EE$7,'Product Tgt'!$B:$B,'Product Tgt'!$D:$D),0)</f>
        <v>0</v>
      </c>
      <c r="EF76">
        <f>IFERROR(CW76*_xlfn.XLOOKUP(EF$7,'Product Tgt'!$B:$B,'Product Tgt'!$D:$D),0)</f>
        <v>0</v>
      </c>
      <c r="EG76">
        <f>IFERROR(CX76*_xlfn.XLOOKUP(EG$7,'Product Tgt'!$B:$B,'Product Tgt'!$D:$D),0)</f>
        <v>0</v>
      </c>
      <c r="EH76">
        <f>IFERROR(CY76*_xlfn.XLOOKUP(EH$7,'Product Tgt'!$B:$B,'Product Tgt'!$D:$D),0)</f>
        <v>0</v>
      </c>
      <c r="EI76">
        <f>IFERROR(CZ76*_xlfn.XLOOKUP(EI$7,'Product Tgt'!$B:$B,'Product Tgt'!$D:$D),0)</f>
        <v>0</v>
      </c>
    </row>
    <row r="77" spans="2:139" x14ac:dyDescent="0.35">
      <c r="B77" s="7" t="s">
        <v>119</v>
      </c>
      <c r="C77" s="3">
        <f>_xlfn.XLOOKUP($B77,'Terr Target'!$A:$A,'Terr Target'!$E:$E)</f>
        <v>261650.26355603401</v>
      </c>
      <c r="D77" s="3">
        <f t="shared" si="10"/>
        <v>261648</v>
      </c>
      <c r="E77" s="4">
        <f t="shared" si="11"/>
        <v>-2.2635560340131633</v>
      </c>
      <c r="F77" s="9">
        <f t="shared" si="7"/>
        <v>8.6511497661482735E-6</v>
      </c>
      <c r="G77" s="5">
        <f t="shared" si="12"/>
        <v>1.0000086511497661</v>
      </c>
      <c r="H77" s="38">
        <v>27061.644401113714</v>
      </c>
      <c r="I77" s="11">
        <v>52501.989720440979</v>
      </c>
      <c r="J77" s="11">
        <v>25886.859750164091</v>
      </c>
      <c r="K77" s="11">
        <v>25188.87950320675</v>
      </c>
      <c r="L77" s="11">
        <v>19187.862443025009</v>
      </c>
      <c r="M77" s="11">
        <v>15069.616879083716</v>
      </c>
      <c r="N77" s="11">
        <v>575.36939757712946</v>
      </c>
      <c r="O77" s="11">
        <v>3917.5832475598918</v>
      </c>
      <c r="P77" s="11">
        <v>1669.1306218205173</v>
      </c>
      <c r="Q77" s="11">
        <v>1038.7349400075466</v>
      </c>
      <c r="R77" s="11">
        <v>3974.4707590857611</v>
      </c>
      <c r="S77" s="11">
        <v>8587.4725644296177</v>
      </c>
      <c r="T77" s="11">
        <v>1051.6934848494113</v>
      </c>
      <c r="U77" s="11">
        <v>1219.8043368519816</v>
      </c>
      <c r="V77" s="11">
        <v>13345.800197370696</v>
      </c>
      <c r="W77" s="11">
        <v>21083.942715048994</v>
      </c>
      <c r="X77" s="11">
        <v>2479.6350670379084</v>
      </c>
      <c r="Y77" s="11">
        <v>2230.4607619357657</v>
      </c>
      <c r="Z77" s="11">
        <v>314.22720086813717</v>
      </c>
      <c r="AA77" s="11">
        <v>4083.7127930924312</v>
      </c>
      <c r="AB77" s="11">
        <v>1277.8526137845356</v>
      </c>
      <c r="AC77" s="11">
        <v>647.436918774898</v>
      </c>
      <c r="AD77" s="11">
        <v>3577.3388910246899</v>
      </c>
      <c r="AE77" s="11">
        <v>5687.7604993519544</v>
      </c>
      <c r="AF77" s="11">
        <v>553.33486804679274</v>
      </c>
      <c r="AG77" s="11">
        <v>13689.036526807609</v>
      </c>
      <c r="AH77" s="11">
        <v>1566.0226325922745</v>
      </c>
      <c r="AI77" s="11">
        <v>7433.9319217419816</v>
      </c>
      <c r="AJ77" s="11">
        <v>6874.5230485067632</v>
      </c>
      <c r="AK77" s="11">
        <v>773.60011056349333</v>
      </c>
      <c r="AL77" s="49">
        <v>1938.0879718279625</v>
      </c>
      <c r="AM77" s="41">
        <f>IFERROR(ROUND(_xlfn.XLOOKUP(AM$7,'Product Tgt'!$B:$B,'Product Tgt'!$G:$G)*H77/H$121,0),0)</f>
        <v>26308</v>
      </c>
      <c r="AN77" s="41">
        <f>IFERROR(ROUND(_xlfn.XLOOKUP(AN$7,'Product Tgt'!$B:$B,'Product Tgt'!$G:$G)*I77/I$121,0),0)</f>
        <v>51683</v>
      </c>
      <c r="AO77" s="41">
        <f>IFERROR(ROUND(_xlfn.XLOOKUP(AO$7,'Product Tgt'!$B:$B,'Product Tgt'!$G:$G)*J77/J$121,0),0)</f>
        <v>25082</v>
      </c>
      <c r="AP77" s="41">
        <f>IFERROR(ROUND(_xlfn.XLOOKUP(AP$7,'Product Tgt'!$B:$B,'Product Tgt'!$G:$G)*K77/K$121,0),0)</f>
        <v>24572</v>
      </c>
      <c r="AQ77" s="41">
        <f>IFERROR(ROUND(_xlfn.XLOOKUP(AQ$7,'Product Tgt'!$B:$B,'Product Tgt'!$G:$G)*L77/L$121,0),0)</f>
        <v>18553</v>
      </c>
      <c r="AR77" s="41">
        <f>IFERROR(ROUND(_xlfn.XLOOKUP(AR$7,'Product Tgt'!$B:$B,'Product Tgt'!$G:$G)*M77/M$121,0),0)</f>
        <v>14599</v>
      </c>
      <c r="AS77" s="41">
        <f>IFERROR(ROUND(_xlfn.XLOOKUP(AS$7,'Product Tgt'!$B:$B,'Product Tgt'!$G:$G)*N77/N$121,0),0)</f>
        <v>532</v>
      </c>
      <c r="AT77" s="41">
        <f>IFERROR(ROUND(_xlfn.XLOOKUP(AT$7,'Product Tgt'!$B:$B,'Product Tgt'!$G:$G)*O77/O$121,0),0)</f>
        <v>3526</v>
      </c>
      <c r="AU77" s="41">
        <f>IFERROR(ROUND(_xlfn.XLOOKUP(AU$7,'Product Tgt'!$B:$B,'Product Tgt'!$G:$G)*P77/P$121,0),0)</f>
        <v>712</v>
      </c>
      <c r="AV77" s="41">
        <f>IFERROR(ROUND(_xlfn.XLOOKUP(AV$7,'Product Tgt'!$B:$B,'Product Tgt'!$G:$G)*Q77/Q$121,0),0)</f>
        <v>779</v>
      </c>
      <c r="AW77" s="41">
        <f>IFERROR(ROUND(_xlfn.XLOOKUP(AW$7,'Product Tgt'!$B:$B,'Product Tgt'!$G:$G)*R77/R$121,0),0)</f>
        <v>3828</v>
      </c>
      <c r="AX77" s="41">
        <f>IFERROR(ROUND(_xlfn.XLOOKUP(AX$7,'Product Tgt'!$B:$B,'Product Tgt'!$G:$G)*S77/S$121,0),0)</f>
        <v>8271</v>
      </c>
      <c r="AY77" s="41">
        <f>IFERROR(ROUND(_xlfn.XLOOKUP(AY$7,'Product Tgt'!$B:$B,'Product Tgt'!$G:$G)*T77/T$121,0),0)</f>
        <v>1056</v>
      </c>
      <c r="AZ77" s="41">
        <f>IFERROR(ROUND(_xlfn.XLOOKUP(AZ$7,'Product Tgt'!$B:$B,'Product Tgt'!$G:$G)*U77/U$121,0),0)</f>
        <v>1167</v>
      </c>
      <c r="BA77" s="41">
        <f>IFERROR(ROUND(_xlfn.XLOOKUP(BA$7,'Product Tgt'!$B:$B,'Product Tgt'!$G:$G)*V77/V$121,0),0)</f>
        <v>12849</v>
      </c>
      <c r="BB77" s="41">
        <f>IFERROR(ROUND(_xlfn.XLOOKUP(BB$7,'Product Tgt'!$B:$B,'Product Tgt'!$G:$G)*W77/W$121,0),0)</f>
        <v>20182</v>
      </c>
      <c r="BC77" s="41">
        <f>IFERROR(ROUND(_xlfn.XLOOKUP(BC$7,'Product Tgt'!$B:$B,'Product Tgt'!$G:$G)*X77/X$121,0),0)</f>
        <v>2399</v>
      </c>
      <c r="BD77" s="41">
        <f>IFERROR(ROUND(_xlfn.XLOOKUP(BD$7,'Product Tgt'!$B:$B,'Product Tgt'!$G:$G)*Y77/Y$121,0),0)</f>
        <v>2157</v>
      </c>
      <c r="BE77" s="41">
        <f>IFERROR(ROUND(_xlfn.XLOOKUP(BE$7,'Product Tgt'!$B:$B,'Product Tgt'!$G:$G)*Z77/Z$121,0),0)</f>
        <v>299</v>
      </c>
      <c r="BF77" s="41">
        <f>IFERROR(ROUND(_xlfn.XLOOKUP(BF$7,'Product Tgt'!$B:$B,'Product Tgt'!$G:$G)*AA77/AA$121,0),0)</f>
        <v>3309</v>
      </c>
      <c r="BG77" s="41">
        <f>IFERROR(ROUND(_xlfn.XLOOKUP(BG$7,'Product Tgt'!$B:$B,'Product Tgt'!$G:$G)*AB77/AB$121,0),0)</f>
        <v>1024</v>
      </c>
      <c r="BH77" s="41">
        <f>IFERROR(ROUND(_xlfn.XLOOKUP(BH$7,'Product Tgt'!$B:$B,'Product Tgt'!$G:$G)*AC77/AC$121,0),0)</f>
        <v>554</v>
      </c>
      <c r="BI77" s="41">
        <f>IFERROR(ROUND(_xlfn.XLOOKUP(BI$7,'Product Tgt'!$B:$B,'Product Tgt'!$G:$G)*AD77/AD$121,0),0)</f>
        <v>3114</v>
      </c>
      <c r="BJ77" s="41">
        <f>IFERROR(ROUND(_xlfn.XLOOKUP(BJ$7,'Product Tgt'!$B:$B,'Product Tgt'!$G:$G)*AE77/AE$121,0),0)</f>
        <v>5294</v>
      </c>
      <c r="BK77" s="41">
        <f>IFERROR(ROUND(_xlfn.XLOOKUP(BK$7,'Product Tgt'!$B:$B,'Product Tgt'!$G:$G)*AF77/AF$121,0),0)</f>
        <v>618</v>
      </c>
      <c r="BL77" s="41">
        <f>IFERROR(ROUND(_xlfn.XLOOKUP(BL$7,'Product Tgt'!$B:$B,'Product Tgt'!$G:$G)*AG77/AG$121,0),0)</f>
        <v>13076</v>
      </c>
      <c r="BM77" s="41">
        <f>IFERROR(ROUND(_xlfn.XLOOKUP(BM$7,'Product Tgt'!$B:$B,'Product Tgt'!$G:$G)*AH77/AH$121,0),0)</f>
        <v>1228</v>
      </c>
      <c r="BN77" s="41">
        <f>IFERROR(ROUND(_xlfn.XLOOKUP(BN$7,'Product Tgt'!$B:$B,'Product Tgt'!$G:$G)*AI77/AI$121,0),0)</f>
        <v>6827</v>
      </c>
      <c r="BO77" s="41">
        <f>IFERROR(ROUND(_xlfn.XLOOKUP(BO$7,'Product Tgt'!$B:$B,'Product Tgt'!$G:$G)*AJ77/AJ$121,0),0)</f>
        <v>5946</v>
      </c>
      <c r="BP77" s="41">
        <f>IFERROR(ROUND(_xlfn.XLOOKUP(BP$7,'Product Tgt'!$B:$B,'Product Tgt'!$G:$G)*AK77/AK$121,0),0)</f>
        <v>589</v>
      </c>
      <c r="BQ77" s="41">
        <f>IFERROR(ROUND(_xlfn.XLOOKUP(BQ$7,'Product Tgt'!$B:$B,'Product Tgt'!$G:$G)*AL77/AL$121,0),0)</f>
        <v>1515</v>
      </c>
      <c r="BR77" s="25">
        <f>ROUND(IFERROR(AM77/_xlfn.XLOOKUP(BR$7,'Product Tgt'!$B:$B,'Product Tgt'!$D:$D),0),0)</f>
        <v>0</v>
      </c>
      <c r="BS77" s="11">
        <f>ROUND(IFERROR(AN77/_xlfn.XLOOKUP(BS$7,'Product Tgt'!$B:$B,'Product Tgt'!$D:$D),0),0)</f>
        <v>0</v>
      </c>
      <c r="BT77" s="11">
        <f>ROUND(IFERROR(AO77/_xlfn.XLOOKUP(BT$7,'Product Tgt'!$B:$B,'Product Tgt'!$D:$D),0),0)</f>
        <v>0</v>
      </c>
      <c r="BU77" s="11">
        <f>ROUND(IFERROR(AP77/_xlfn.XLOOKUP(BU$7,'Product Tgt'!$B:$B,'Product Tgt'!$D:$D),0),0)</f>
        <v>0</v>
      </c>
      <c r="BV77" s="11">
        <f>ROUND(IFERROR(AQ77/_xlfn.XLOOKUP(BV$7,'Product Tgt'!$B:$B,'Product Tgt'!$D:$D),0),0)</f>
        <v>0</v>
      </c>
      <c r="BW77" s="11">
        <f>ROUND(IFERROR(AU77/_xlfn.XLOOKUP(BW$7,'Product Tgt'!$B:$B,'Product Tgt'!$D:$D),0),0)</f>
        <v>0</v>
      </c>
      <c r="BX77" s="11">
        <f>ROUND(IFERROR(#REF!/_xlfn.XLOOKUP(BX$7,'Product Tgt'!$B:$B,'Product Tgt'!$D:$D),0),0)</f>
        <v>0</v>
      </c>
      <c r="BY77" s="11">
        <f>ROUND(IFERROR(#REF!/_xlfn.XLOOKUP(BY$7,'Product Tgt'!$B:$B,'Product Tgt'!$D:$D),0),0)</f>
        <v>0</v>
      </c>
      <c r="BZ77" s="11">
        <f>ROUND(IFERROR(#REF!/_xlfn.XLOOKUP(BZ$7,'Product Tgt'!$B:$B,'Product Tgt'!$D:$D),0),0)</f>
        <v>0</v>
      </c>
      <c r="CA77" s="11">
        <f>ROUND(IFERROR(#REF!/_xlfn.XLOOKUP(CA$7,'Product Tgt'!$B:$B,'Product Tgt'!$D:$D),0),0)</f>
        <v>0</v>
      </c>
      <c r="CB77" s="11">
        <f>ROUND(IFERROR(AV77/_xlfn.XLOOKUP(CB$7,'Product Tgt'!$B:$B,'Product Tgt'!$D:$D),0),0)</f>
        <v>0</v>
      </c>
      <c r="CC77" s="11">
        <f>ROUND(IFERROR(AW77/_xlfn.XLOOKUP(CC$7,'Product Tgt'!$B:$B,'Product Tgt'!$D:$D),0),0)</f>
        <v>0</v>
      </c>
      <c r="CD77" s="11">
        <f>ROUND(IFERROR(AX77/_xlfn.XLOOKUP(CD$7,'Product Tgt'!$B:$B,'Product Tgt'!$D:$D),0),0)</f>
        <v>0</v>
      </c>
      <c r="CE77" s="11">
        <f>ROUND(IFERROR(AY77/_xlfn.XLOOKUP(CE$7,'Product Tgt'!$B:$B,'Product Tgt'!$D:$D),0),0)</f>
        <v>0</v>
      </c>
      <c r="CF77" s="11">
        <f>ROUND(IFERROR(AZ77/_xlfn.XLOOKUP(CF$7,'Product Tgt'!$B:$B,'Product Tgt'!$D:$D),0),0)</f>
        <v>0</v>
      </c>
      <c r="CG77" s="11">
        <f>ROUND(IFERROR(BA77/_xlfn.XLOOKUP(CG$7,'Product Tgt'!$B:$B,'Product Tgt'!$D:$D),0),0)</f>
        <v>0</v>
      </c>
      <c r="CH77" s="11">
        <f>ROUND(IFERROR(BB77/_xlfn.XLOOKUP(CH$7,'Product Tgt'!$B:$B,'Product Tgt'!$D:$D),0),0)</f>
        <v>0</v>
      </c>
      <c r="CI77" s="11">
        <f>ROUND(IFERROR(BC77/_xlfn.XLOOKUP(CI$7,'Product Tgt'!$B:$B,'Product Tgt'!$D:$D),0),0)</f>
        <v>0</v>
      </c>
      <c r="CJ77" s="11">
        <f>ROUND(IFERROR(BD77/_xlfn.XLOOKUP(CJ$7,'Product Tgt'!$B:$B,'Product Tgt'!$D:$D),0),0)</f>
        <v>0</v>
      </c>
      <c r="CK77" s="11">
        <f>ROUND(IFERROR(BE77/_xlfn.XLOOKUP(CK$7,'Product Tgt'!$B:$B,'Product Tgt'!$D:$D),0),0)</f>
        <v>0</v>
      </c>
      <c r="CL77" s="11">
        <f>ROUND(IFERROR(BF77/_xlfn.XLOOKUP(CL$7,'Product Tgt'!$B:$B,'Product Tgt'!$D:$D),0),0)</f>
        <v>0</v>
      </c>
      <c r="CM77" s="11">
        <f>ROUND(IFERROR(BG77/_xlfn.XLOOKUP(CM$7,'Product Tgt'!$B:$B,'Product Tgt'!$D:$D),0),0)</f>
        <v>0</v>
      </c>
      <c r="CN77" s="11">
        <f>ROUND(IFERROR(BH77/_xlfn.XLOOKUP(CN$7,'Product Tgt'!$B:$B,'Product Tgt'!$D:$D),0),0)</f>
        <v>0</v>
      </c>
      <c r="CO77" s="11">
        <f>ROUND(IFERROR(BI77/_xlfn.XLOOKUP(CO$7,'Product Tgt'!$B:$B,'Product Tgt'!$D:$D),0),0)</f>
        <v>0</v>
      </c>
      <c r="CP77" s="11">
        <f>ROUND(IFERROR(BJ77/_xlfn.XLOOKUP(CP$7,'Product Tgt'!$B:$B,'Product Tgt'!$D:$D),0),0)</f>
        <v>0</v>
      </c>
      <c r="CQ77" s="11">
        <f>ROUND(IFERROR(BK77/_xlfn.XLOOKUP(CQ$7,'Product Tgt'!$B:$B,'Product Tgt'!$D:$D),0),0)</f>
        <v>0</v>
      </c>
      <c r="CR77" s="11">
        <f>ROUND(IFERROR(BL77/_xlfn.XLOOKUP(CR$7,'Product Tgt'!$B:$B,'Product Tgt'!$D:$D),0),0)</f>
        <v>0</v>
      </c>
      <c r="CS77" s="11">
        <f>ROUND(IFERROR(BM77/_xlfn.XLOOKUP(CS$7,'Product Tgt'!$B:$B,'Product Tgt'!$D:$D),0),0)</f>
        <v>0</v>
      </c>
      <c r="CT77" s="11">
        <f>ROUND(IFERROR(BN77/_xlfn.XLOOKUP(CT$7,'Product Tgt'!$B:$B,'Product Tgt'!$D:$D),0),0)</f>
        <v>0</v>
      </c>
      <c r="CU77" s="11">
        <f>ROUND(IFERROR(BO77/_xlfn.XLOOKUP(CU$7,'Product Tgt'!$B:$B,'Product Tgt'!$D:$D),0),0)</f>
        <v>0</v>
      </c>
      <c r="CV77" s="11">
        <f>ROUND(IFERROR(BP77/_xlfn.XLOOKUP(CV$7,'Product Tgt'!$B:$B,'Product Tgt'!$D:$D),0),0)</f>
        <v>0</v>
      </c>
      <c r="CW77" s="11">
        <f>ROUND(IFERROR(BQ77/_xlfn.XLOOKUP(CW$7,'Product Tgt'!$B:$B,'Product Tgt'!$D:$D),0),0)</f>
        <v>0</v>
      </c>
      <c r="CX77" s="11">
        <f>ROUND(IFERROR(#REF!/_xlfn.XLOOKUP(CX$7,'Product Tgt'!$B:$B,'Product Tgt'!$D:$D),0),0)</f>
        <v>0</v>
      </c>
      <c r="CY77" s="11">
        <f>ROUND(IFERROR(#REF!/_xlfn.XLOOKUP(CY$7,'Product Tgt'!$B:$B,'Product Tgt'!$D:$D),0),0)</f>
        <v>0</v>
      </c>
      <c r="CZ77" s="11">
        <f>ROUND(IFERROR(#REF!/_xlfn.XLOOKUP(CZ$7,'Product Tgt'!$B:$B,'Product Tgt'!$D:$D),0),0)</f>
        <v>0</v>
      </c>
      <c r="DA77" s="10">
        <f>IFERROR(BR77*_xlfn.XLOOKUP(DA$7,'Product Tgt'!$B:$B,'Product Tgt'!$D:$D),0)</f>
        <v>0</v>
      </c>
      <c r="DB77">
        <f>IFERROR(BS77*_xlfn.XLOOKUP(DB$7,'Product Tgt'!$B:$B,'Product Tgt'!$D:$D),0)</f>
        <v>0</v>
      </c>
      <c r="DC77">
        <f>IFERROR(BT77*_xlfn.XLOOKUP(DC$7,'Product Tgt'!$B:$B,'Product Tgt'!$D:$D),0)</f>
        <v>0</v>
      </c>
      <c r="DD77">
        <f>IFERROR(BU77*_xlfn.XLOOKUP(DD$7,'Product Tgt'!$B:$B,'Product Tgt'!$D:$D),0)</f>
        <v>0</v>
      </c>
      <c r="DE77">
        <f>IFERROR(BV77*_xlfn.XLOOKUP(DE$7,'Product Tgt'!$B:$B,'Product Tgt'!$D:$D),0)</f>
        <v>0</v>
      </c>
      <c r="DF77">
        <f>IFERROR(BW77*_xlfn.XLOOKUP(DF$7,'Product Tgt'!$B:$B,'Product Tgt'!$D:$D),0)</f>
        <v>0</v>
      </c>
      <c r="DG77">
        <f>IFERROR(BX77*_xlfn.XLOOKUP(DG$7,'Product Tgt'!$B:$B,'Product Tgt'!$D:$D),0)</f>
        <v>0</v>
      </c>
      <c r="DH77">
        <f>IFERROR(BY77*_xlfn.XLOOKUP(DH$7,'Product Tgt'!$B:$B,'Product Tgt'!$D:$D),0)</f>
        <v>0</v>
      </c>
      <c r="DI77">
        <f>IFERROR(BZ77*_xlfn.XLOOKUP(DI$7,'Product Tgt'!$B:$B,'Product Tgt'!$D:$D),0)</f>
        <v>0</v>
      </c>
      <c r="DJ77">
        <f>IFERROR(CA77*_xlfn.XLOOKUP(DJ$7,'Product Tgt'!$B:$B,'Product Tgt'!$D:$D),0)</f>
        <v>0</v>
      </c>
      <c r="DK77">
        <f>IFERROR(CB77*_xlfn.XLOOKUP(DK$7,'Product Tgt'!$B:$B,'Product Tgt'!$D:$D),0)</f>
        <v>0</v>
      </c>
      <c r="DL77">
        <f>IFERROR(CC77*_xlfn.XLOOKUP(DL$7,'Product Tgt'!$B:$B,'Product Tgt'!$D:$D),0)</f>
        <v>0</v>
      </c>
      <c r="DM77">
        <f>IFERROR(CD77*_xlfn.XLOOKUP(DM$7,'Product Tgt'!$B:$B,'Product Tgt'!$D:$D),0)</f>
        <v>0</v>
      </c>
      <c r="DN77">
        <f>IFERROR(CE77*_xlfn.XLOOKUP(DN$7,'Product Tgt'!$B:$B,'Product Tgt'!$D:$D),0)</f>
        <v>0</v>
      </c>
      <c r="DO77">
        <f>IFERROR(CF77*_xlfn.XLOOKUP(DO$7,'Product Tgt'!$B:$B,'Product Tgt'!$D:$D),0)</f>
        <v>0</v>
      </c>
      <c r="DP77">
        <f>IFERROR(CG77*_xlfn.XLOOKUP(DP$7,'Product Tgt'!$B:$B,'Product Tgt'!$D:$D),0)</f>
        <v>0</v>
      </c>
      <c r="DQ77">
        <f>IFERROR(CH77*_xlfn.XLOOKUP(DQ$7,'Product Tgt'!$B:$B,'Product Tgt'!$D:$D),0)</f>
        <v>0</v>
      </c>
      <c r="DR77">
        <f>IFERROR(CI77*_xlfn.XLOOKUP(DR$7,'Product Tgt'!$B:$B,'Product Tgt'!$D:$D),0)</f>
        <v>0</v>
      </c>
      <c r="DS77">
        <f>IFERROR(CJ77*_xlfn.XLOOKUP(DS$7,'Product Tgt'!$B:$B,'Product Tgt'!$D:$D),0)</f>
        <v>0</v>
      </c>
      <c r="DT77">
        <f>IFERROR(CK77*_xlfn.XLOOKUP(DT$7,'Product Tgt'!$B:$B,'Product Tgt'!$D:$D),0)</f>
        <v>0</v>
      </c>
      <c r="DU77">
        <f>IFERROR(CL77*_xlfn.XLOOKUP(DU$7,'Product Tgt'!$B:$B,'Product Tgt'!$D:$D),0)</f>
        <v>0</v>
      </c>
      <c r="DV77">
        <f>IFERROR(CM77*_xlfn.XLOOKUP(DV$7,'Product Tgt'!$B:$B,'Product Tgt'!$D:$D),0)</f>
        <v>0</v>
      </c>
      <c r="DW77">
        <f>IFERROR(CN77*_xlfn.XLOOKUP(DW$7,'Product Tgt'!$B:$B,'Product Tgt'!$D:$D),0)</f>
        <v>0</v>
      </c>
      <c r="DX77">
        <f>IFERROR(CO77*_xlfn.XLOOKUP(DX$7,'Product Tgt'!$B:$B,'Product Tgt'!$D:$D),0)</f>
        <v>0</v>
      </c>
      <c r="DY77">
        <f>IFERROR(CP77*_xlfn.XLOOKUP(DY$7,'Product Tgt'!$B:$B,'Product Tgt'!$D:$D),0)</f>
        <v>0</v>
      </c>
      <c r="DZ77">
        <f>IFERROR(CQ77*_xlfn.XLOOKUP(DZ$7,'Product Tgt'!$B:$B,'Product Tgt'!$D:$D),0)</f>
        <v>0</v>
      </c>
      <c r="EA77">
        <f>IFERROR(CR77*_xlfn.XLOOKUP(EA$7,'Product Tgt'!$B:$B,'Product Tgt'!$D:$D),0)</f>
        <v>0</v>
      </c>
      <c r="EB77">
        <f>IFERROR(CS77*_xlfn.XLOOKUP(EB$7,'Product Tgt'!$B:$B,'Product Tgt'!$D:$D),0)</f>
        <v>0</v>
      </c>
      <c r="EC77">
        <f>IFERROR(CT77*_xlfn.XLOOKUP(EC$7,'Product Tgt'!$B:$B,'Product Tgt'!$D:$D),0)</f>
        <v>0</v>
      </c>
      <c r="ED77">
        <f>IFERROR(CU77*_xlfn.XLOOKUP(ED$7,'Product Tgt'!$B:$B,'Product Tgt'!$D:$D),0)</f>
        <v>0</v>
      </c>
      <c r="EE77">
        <f>IFERROR(CV77*_xlfn.XLOOKUP(EE$7,'Product Tgt'!$B:$B,'Product Tgt'!$D:$D),0)</f>
        <v>0</v>
      </c>
      <c r="EF77">
        <f>IFERROR(CW77*_xlfn.XLOOKUP(EF$7,'Product Tgt'!$B:$B,'Product Tgt'!$D:$D),0)</f>
        <v>0</v>
      </c>
      <c r="EG77">
        <f>IFERROR(CX77*_xlfn.XLOOKUP(EG$7,'Product Tgt'!$B:$B,'Product Tgt'!$D:$D),0)</f>
        <v>0</v>
      </c>
      <c r="EH77">
        <f>IFERROR(CY77*_xlfn.XLOOKUP(EH$7,'Product Tgt'!$B:$B,'Product Tgt'!$D:$D),0)</f>
        <v>0</v>
      </c>
      <c r="EI77">
        <f>IFERROR(CZ77*_xlfn.XLOOKUP(EI$7,'Product Tgt'!$B:$B,'Product Tgt'!$D:$D),0)</f>
        <v>0</v>
      </c>
    </row>
    <row r="78" spans="2:139" x14ac:dyDescent="0.35">
      <c r="B78" s="7" t="s">
        <v>120</v>
      </c>
      <c r="C78" s="3">
        <f>_xlfn.XLOOKUP($B78,'Terr Target'!$A:$A,'Terr Target'!$E:$E)</f>
        <v>608132.76871311024</v>
      </c>
      <c r="D78" s="3">
        <f t="shared" si="10"/>
        <v>608121</v>
      </c>
      <c r="E78" s="4">
        <f t="shared" si="11"/>
        <v>-11.76871311024297</v>
      </c>
      <c r="F78" s="9">
        <f t="shared" si="7"/>
        <v>1.9352584617605659E-5</v>
      </c>
      <c r="G78" s="5">
        <f t="shared" si="12"/>
        <v>1.0000193525846177</v>
      </c>
      <c r="H78" s="38">
        <v>43936.013611201124</v>
      </c>
      <c r="I78" s="11">
        <v>87167.530450436316</v>
      </c>
      <c r="J78" s="11">
        <v>45949.186221234573</v>
      </c>
      <c r="K78" s="11">
        <v>55642.496929242458</v>
      </c>
      <c r="L78" s="11">
        <v>32849.366638899839</v>
      </c>
      <c r="M78" s="11">
        <v>24659.21538501091</v>
      </c>
      <c r="N78" s="11">
        <v>768.71182142519865</v>
      </c>
      <c r="O78" s="11">
        <v>3776.9298061611898</v>
      </c>
      <c r="P78" s="11">
        <v>2120.3391130558207</v>
      </c>
      <c r="Q78" s="11">
        <v>1601.093212889991</v>
      </c>
      <c r="R78" s="11">
        <v>13313.687920725697</v>
      </c>
      <c r="S78" s="11">
        <v>20811.55508076671</v>
      </c>
      <c r="T78" s="11">
        <v>15876.431046069958</v>
      </c>
      <c r="U78" s="11">
        <v>5176.9936499637688</v>
      </c>
      <c r="V78" s="11">
        <v>41868.565798911186</v>
      </c>
      <c r="W78" s="11">
        <v>25321.397096070006</v>
      </c>
      <c r="X78" s="11">
        <v>4876.010227958418</v>
      </c>
      <c r="Y78" s="11">
        <v>5760.8485569475024</v>
      </c>
      <c r="Z78" s="11">
        <v>656.64610509658519</v>
      </c>
      <c r="AA78" s="11">
        <v>10885.385269386983</v>
      </c>
      <c r="AB78" s="11">
        <v>4607.3515123034877</v>
      </c>
      <c r="AC78" s="11">
        <v>17880.906289800991</v>
      </c>
      <c r="AD78" s="11">
        <v>28598.192984695048</v>
      </c>
      <c r="AE78" s="11">
        <v>70720.416815220422</v>
      </c>
      <c r="AF78" s="11">
        <v>881.82809071020085</v>
      </c>
      <c r="AG78" s="11">
        <v>28879.084581409472</v>
      </c>
      <c r="AH78" s="11">
        <v>4432.5051553599169</v>
      </c>
      <c r="AI78" s="11">
        <v>12924.892413625281</v>
      </c>
      <c r="AJ78" s="11">
        <v>26805.252639615315</v>
      </c>
      <c r="AK78" s="11">
        <v>2064.9628504892571</v>
      </c>
      <c r="AL78" s="49">
        <v>3204.8532140538919</v>
      </c>
      <c r="AM78" s="41">
        <f>IFERROR(ROUND(_xlfn.XLOOKUP(AM$7,'Product Tgt'!$B:$B,'Product Tgt'!$G:$G)*H78/H$121,0),0)</f>
        <v>42713</v>
      </c>
      <c r="AN78" s="41">
        <f>IFERROR(ROUND(_xlfn.XLOOKUP(AN$7,'Product Tgt'!$B:$B,'Product Tgt'!$G:$G)*I78/I$121,0),0)</f>
        <v>85808</v>
      </c>
      <c r="AO78" s="41">
        <f>IFERROR(ROUND(_xlfn.XLOOKUP(AO$7,'Product Tgt'!$B:$B,'Product Tgt'!$G:$G)*J78/J$121,0),0)</f>
        <v>44520</v>
      </c>
      <c r="AP78" s="41">
        <f>IFERROR(ROUND(_xlfn.XLOOKUP(AP$7,'Product Tgt'!$B:$B,'Product Tgt'!$G:$G)*K78/K$121,0),0)</f>
        <v>54281</v>
      </c>
      <c r="AQ78" s="41">
        <f>IFERROR(ROUND(_xlfn.XLOOKUP(AQ$7,'Product Tgt'!$B:$B,'Product Tgt'!$G:$G)*L78/L$121,0),0)</f>
        <v>31763</v>
      </c>
      <c r="AR78" s="41">
        <f>IFERROR(ROUND(_xlfn.XLOOKUP(AR$7,'Product Tgt'!$B:$B,'Product Tgt'!$G:$G)*M78/M$121,0),0)</f>
        <v>23890</v>
      </c>
      <c r="AS78" s="41">
        <f>IFERROR(ROUND(_xlfn.XLOOKUP(AS$7,'Product Tgt'!$B:$B,'Product Tgt'!$G:$G)*N78/N$121,0),0)</f>
        <v>710</v>
      </c>
      <c r="AT78" s="41">
        <f>IFERROR(ROUND(_xlfn.XLOOKUP(AT$7,'Product Tgt'!$B:$B,'Product Tgt'!$G:$G)*O78/O$121,0),0)</f>
        <v>3400</v>
      </c>
      <c r="AU78" s="41">
        <f>IFERROR(ROUND(_xlfn.XLOOKUP(AU$7,'Product Tgt'!$B:$B,'Product Tgt'!$G:$G)*P78/P$121,0),0)</f>
        <v>904</v>
      </c>
      <c r="AV78" s="41">
        <f>IFERROR(ROUND(_xlfn.XLOOKUP(AV$7,'Product Tgt'!$B:$B,'Product Tgt'!$G:$G)*Q78/Q$121,0),0)</f>
        <v>1201</v>
      </c>
      <c r="AW78" s="41">
        <f>IFERROR(ROUND(_xlfn.XLOOKUP(AW$7,'Product Tgt'!$B:$B,'Product Tgt'!$G:$G)*R78/R$121,0),0)</f>
        <v>12822</v>
      </c>
      <c r="AX78" s="41">
        <f>IFERROR(ROUND(_xlfn.XLOOKUP(AX$7,'Product Tgt'!$B:$B,'Product Tgt'!$G:$G)*S78/S$121,0),0)</f>
        <v>20044</v>
      </c>
      <c r="AY78" s="41">
        <f>IFERROR(ROUND(_xlfn.XLOOKUP(AY$7,'Product Tgt'!$B:$B,'Product Tgt'!$G:$G)*T78/T$121,0),0)</f>
        <v>15935</v>
      </c>
      <c r="AZ78" s="41">
        <f>IFERROR(ROUND(_xlfn.XLOOKUP(AZ$7,'Product Tgt'!$B:$B,'Product Tgt'!$G:$G)*U78/U$121,0),0)</f>
        <v>4955</v>
      </c>
      <c r="BA78" s="41">
        <f>IFERROR(ROUND(_xlfn.XLOOKUP(BA$7,'Product Tgt'!$B:$B,'Product Tgt'!$G:$G)*V78/V$121,0),0)</f>
        <v>40311</v>
      </c>
      <c r="BB78" s="41">
        <f>IFERROR(ROUND(_xlfn.XLOOKUP(BB$7,'Product Tgt'!$B:$B,'Product Tgt'!$G:$G)*W78/W$121,0),0)</f>
        <v>24239</v>
      </c>
      <c r="BC78" s="41">
        <f>IFERROR(ROUND(_xlfn.XLOOKUP(BC$7,'Product Tgt'!$B:$B,'Product Tgt'!$G:$G)*X78/X$121,0),0)</f>
        <v>4718</v>
      </c>
      <c r="BD78" s="41">
        <f>IFERROR(ROUND(_xlfn.XLOOKUP(BD$7,'Product Tgt'!$B:$B,'Product Tgt'!$G:$G)*Y78/Y$121,0),0)</f>
        <v>5571</v>
      </c>
      <c r="BE78" s="41">
        <f>IFERROR(ROUND(_xlfn.XLOOKUP(BE$7,'Product Tgt'!$B:$B,'Product Tgt'!$G:$G)*Z78/Z$121,0),0)</f>
        <v>624</v>
      </c>
      <c r="BF78" s="41">
        <f>IFERROR(ROUND(_xlfn.XLOOKUP(BF$7,'Product Tgt'!$B:$B,'Product Tgt'!$G:$G)*AA78/AA$121,0),0)</f>
        <v>8821</v>
      </c>
      <c r="BG78" s="41">
        <f>IFERROR(ROUND(_xlfn.XLOOKUP(BG$7,'Product Tgt'!$B:$B,'Product Tgt'!$G:$G)*AB78/AB$121,0),0)</f>
        <v>3693</v>
      </c>
      <c r="BH78" s="41">
        <f>IFERROR(ROUND(_xlfn.XLOOKUP(BH$7,'Product Tgt'!$B:$B,'Product Tgt'!$G:$G)*AC78/AC$121,0),0)</f>
        <v>15303</v>
      </c>
      <c r="BI78" s="41">
        <f>IFERROR(ROUND(_xlfn.XLOOKUP(BI$7,'Product Tgt'!$B:$B,'Product Tgt'!$G:$G)*AD78/AD$121,0),0)</f>
        <v>24896</v>
      </c>
      <c r="BJ78" s="41">
        <f>IFERROR(ROUND(_xlfn.XLOOKUP(BJ$7,'Product Tgt'!$B:$B,'Product Tgt'!$G:$G)*AE78/AE$121,0),0)</f>
        <v>65822</v>
      </c>
      <c r="BK78" s="41">
        <f>IFERROR(ROUND(_xlfn.XLOOKUP(BK$7,'Product Tgt'!$B:$B,'Product Tgt'!$G:$G)*AF78/AF$121,0),0)</f>
        <v>985</v>
      </c>
      <c r="BL78" s="41">
        <f>IFERROR(ROUND(_xlfn.XLOOKUP(BL$7,'Product Tgt'!$B:$B,'Product Tgt'!$G:$G)*AG78/AG$121,0),0)</f>
        <v>27585</v>
      </c>
      <c r="BM78" s="41">
        <f>IFERROR(ROUND(_xlfn.XLOOKUP(BM$7,'Product Tgt'!$B:$B,'Product Tgt'!$G:$G)*AH78/AH$121,0),0)</f>
        <v>3475</v>
      </c>
      <c r="BN78" s="41">
        <f>IFERROR(ROUND(_xlfn.XLOOKUP(BN$7,'Product Tgt'!$B:$B,'Product Tgt'!$G:$G)*AI78/AI$121,0),0)</f>
        <v>11870</v>
      </c>
      <c r="BO78" s="41">
        <f>IFERROR(ROUND(_xlfn.XLOOKUP(BO$7,'Product Tgt'!$B:$B,'Product Tgt'!$G:$G)*AJ78/AJ$121,0),0)</f>
        <v>23185</v>
      </c>
      <c r="BP78" s="41">
        <f>IFERROR(ROUND(_xlfn.XLOOKUP(BP$7,'Product Tgt'!$B:$B,'Product Tgt'!$G:$G)*AK78/AK$121,0),0)</f>
        <v>1572</v>
      </c>
      <c r="BQ78" s="41">
        <f>IFERROR(ROUND(_xlfn.XLOOKUP(BQ$7,'Product Tgt'!$B:$B,'Product Tgt'!$G:$G)*AL78/AL$121,0),0)</f>
        <v>2505</v>
      </c>
      <c r="BR78" s="25">
        <f>ROUND(IFERROR(AM78/_xlfn.XLOOKUP(BR$7,'Product Tgt'!$B:$B,'Product Tgt'!$D:$D),0),0)</f>
        <v>0</v>
      </c>
      <c r="BS78" s="11">
        <f>ROUND(IFERROR(AN78/_xlfn.XLOOKUP(BS$7,'Product Tgt'!$B:$B,'Product Tgt'!$D:$D),0),0)</f>
        <v>0</v>
      </c>
      <c r="BT78" s="11">
        <f>ROUND(IFERROR(AO78/_xlfn.XLOOKUP(BT$7,'Product Tgt'!$B:$B,'Product Tgt'!$D:$D),0),0)</f>
        <v>0</v>
      </c>
      <c r="BU78" s="11">
        <f>ROUND(IFERROR(AP78/_xlfn.XLOOKUP(BU$7,'Product Tgt'!$B:$B,'Product Tgt'!$D:$D),0),0)</f>
        <v>0</v>
      </c>
      <c r="BV78" s="11">
        <f>ROUND(IFERROR(AQ78/_xlfn.XLOOKUP(BV$7,'Product Tgt'!$B:$B,'Product Tgt'!$D:$D),0),0)</f>
        <v>0</v>
      </c>
      <c r="BW78" s="11">
        <f>ROUND(IFERROR(AU78/_xlfn.XLOOKUP(BW$7,'Product Tgt'!$B:$B,'Product Tgt'!$D:$D),0),0)</f>
        <v>0</v>
      </c>
      <c r="BX78" s="11">
        <f>ROUND(IFERROR(#REF!/_xlfn.XLOOKUP(BX$7,'Product Tgt'!$B:$B,'Product Tgt'!$D:$D),0),0)</f>
        <v>0</v>
      </c>
      <c r="BY78" s="11">
        <f>ROUND(IFERROR(#REF!/_xlfn.XLOOKUP(BY$7,'Product Tgt'!$B:$B,'Product Tgt'!$D:$D),0),0)</f>
        <v>0</v>
      </c>
      <c r="BZ78" s="11">
        <f>ROUND(IFERROR(#REF!/_xlfn.XLOOKUP(BZ$7,'Product Tgt'!$B:$B,'Product Tgt'!$D:$D),0),0)</f>
        <v>0</v>
      </c>
      <c r="CA78" s="11">
        <f>ROUND(IFERROR(#REF!/_xlfn.XLOOKUP(CA$7,'Product Tgt'!$B:$B,'Product Tgt'!$D:$D),0),0)</f>
        <v>0</v>
      </c>
      <c r="CB78" s="11">
        <f>ROUND(IFERROR(AV78/_xlfn.XLOOKUP(CB$7,'Product Tgt'!$B:$B,'Product Tgt'!$D:$D),0),0)</f>
        <v>0</v>
      </c>
      <c r="CC78" s="11">
        <f>ROUND(IFERROR(AW78/_xlfn.XLOOKUP(CC$7,'Product Tgt'!$B:$B,'Product Tgt'!$D:$D),0),0)</f>
        <v>0</v>
      </c>
      <c r="CD78" s="11">
        <f>ROUND(IFERROR(AX78/_xlfn.XLOOKUP(CD$7,'Product Tgt'!$B:$B,'Product Tgt'!$D:$D),0),0)</f>
        <v>0</v>
      </c>
      <c r="CE78" s="11">
        <f>ROUND(IFERROR(AY78/_xlfn.XLOOKUP(CE$7,'Product Tgt'!$B:$B,'Product Tgt'!$D:$D),0),0)</f>
        <v>0</v>
      </c>
      <c r="CF78" s="11">
        <f>ROUND(IFERROR(AZ78/_xlfn.XLOOKUP(CF$7,'Product Tgt'!$B:$B,'Product Tgt'!$D:$D),0),0)</f>
        <v>0</v>
      </c>
      <c r="CG78" s="11">
        <f>ROUND(IFERROR(BA78/_xlfn.XLOOKUP(CG$7,'Product Tgt'!$B:$B,'Product Tgt'!$D:$D),0),0)</f>
        <v>0</v>
      </c>
      <c r="CH78" s="11">
        <f>ROUND(IFERROR(BB78/_xlfn.XLOOKUP(CH$7,'Product Tgt'!$B:$B,'Product Tgt'!$D:$D),0),0)</f>
        <v>0</v>
      </c>
      <c r="CI78" s="11">
        <f>ROUND(IFERROR(BC78/_xlfn.XLOOKUP(CI$7,'Product Tgt'!$B:$B,'Product Tgt'!$D:$D),0),0)</f>
        <v>0</v>
      </c>
      <c r="CJ78" s="11">
        <f>ROUND(IFERROR(BD78/_xlfn.XLOOKUP(CJ$7,'Product Tgt'!$B:$B,'Product Tgt'!$D:$D),0),0)</f>
        <v>0</v>
      </c>
      <c r="CK78" s="11">
        <f>ROUND(IFERROR(BE78/_xlfn.XLOOKUP(CK$7,'Product Tgt'!$B:$B,'Product Tgt'!$D:$D),0),0)</f>
        <v>0</v>
      </c>
      <c r="CL78" s="11">
        <f>ROUND(IFERROR(BF78/_xlfn.XLOOKUP(CL$7,'Product Tgt'!$B:$B,'Product Tgt'!$D:$D),0),0)</f>
        <v>0</v>
      </c>
      <c r="CM78" s="11">
        <f>ROUND(IFERROR(BG78/_xlfn.XLOOKUP(CM$7,'Product Tgt'!$B:$B,'Product Tgt'!$D:$D),0),0)</f>
        <v>0</v>
      </c>
      <c r="CN78" s="11">
        <f>ROUND(IFERROR(BH78/_xlfn.XLOOKUP(CN$7,'Product Tgt'!$B:$B,'Product Tgt'!$D:$D),0),0)</f>
        <v>0</v>
      </c>
      <c r="CO78" s="11">
        <f>ROUND(IFERROR(BI78/_xlfn.XLOOKUP(CO$7,'Product Tgt'!$B:$B,'Product Tgt'!$D:$D),0),0)</f>
        <v>0</v>
      </c>
      <c r="CP78" s="11">
        <f>ROUND(IFERROR(BJ78/_xlfn.XLOOKUP(CP$7,'Product Tgt'!$B:$B,'Product Tgt'!$D:$D),0),0)</f>
        <v>0</v>
      </c>
      <c r="CQ78" s="11">
        <f>ROUND(IFERROR(BK78/_xlfn.XLOOKUP(CQ$7,'Product Tgt'!$B:$B,'Product Tgt'!$D:$D),0),0)</f>
        <v>0</v>
      </c>
      <c r="CR78" s="11">
        <f>ROUND(IFERROR(BL78/_xlfn.XLOOKUP(CR$7,'Product Tgt'!$B:$B,'Product Tgt'!$D:$D),0),0)</f>
        <v>0</v>
      </c>
      <c r="CS78" s="11">
        <f>ROUND(IFERROR(BM78/_xlfn.XLOOKUP(CS$7,'Product Tgt'!$B:$B,'Product Tgt'!$D:$D),0),0)</f>
        <v>0</v>
      </c>
      <c r="CT78" s="11">
        <f>ROUND(IFERROR(BN78/_xlfn.XLOOKUP(CT$7,'Product Tgt'!$B:$B,'Product Tgt'!$D:$D),0),0)</f>
        <v>0</v>
      </c>
      <c r="CU78" s="11">
        <f>ROUND(IFERROR(BO78/_xlfn.XLOOKUP(CU$7,'Product Tgt'!$B:$B,'Product Tgt'!$D:$D),0),0)</f>
        <v>0</v>
      </c>
      <c r="CV78" s="11">
        <f>ROUND(IFERROR(BP78/_xlfn.XLOOKUP(CV$7,'Product Tgt'!$B:$B,'Product Tgt'!$D:$D),0),0)</f>
        <v>0</v>
      </c>
      <c r="CW78" s="11">
        <f>ROUND(IFERROR(BQ78/_xlfn.XLOOKUP(CW$7,'Product Tgt'!$B:$B,'Product Tgt'!$D:$D),0),0)</f>
        <v>0</v>
      </c>
      <c r="CX78" s="11">
        <f>ROUND(IFERROR(#REF!/_xlfn.XLOOKUP(CX$7,'Product Tgt'!$B:$B,'Product Tgt'!$D:$D),0),0)</f>
        <v>0</v>
      </c>
      <c r="CY78" s="11">
        <f>ROUND(IFERROR(#REF!/_xlfn.XLOOKUP(CY$7,'Product Tgt'!$B:$B,'Product Tgt'!$D:$D),0),0)</f>
        <v>0</v>
      </c>
      <c r="CZ78" s="11">
        <f>ROUND(IFERROR(#REF!/_xlfn.XLOOKUP(CZ$7,'Product Tgt'!$B:$B,'Product Tgt'!$D:$D),0),0)</f>
        <v>0</v>
      </c>
      <c r="DA78" s="10">
        <f>IFERROR(BR78*_xlfn.XLOOKUP(DA$7,'Product Tgt'!$B:$B,'Product Tgt'!$D:$D),0)</f>
        <v>0</v>
      </c>
      <c r="DB78">
        <f>IFERROR(BS78*_xlfn.XLOOKUP(DB$7,'Product Tgt'!$B:$B,'Product Tgt'!$D:$D),0)</f>
        <v>0</v>
      </c>
      <c r="DC78">
        <f>IFERROR(BT78*_xlfn.XLOOKUP(DC$7,'Product Tgt'!$B:$B,'Product Tgt'!$D:$D),0)</f>
        <v>0</v>
      </c>
      <c r="DD78">
        <f>IFERROR(BU78*_xlfn.XLOOKUP(DD$7,'Product Tgt'!$B:$B,'Product Tgt'!$D:$D),0)</f>
        <v>0</v>
      </c>
      <c r="DE78">
        <f>IFERROR(BV78*_xlfn.XLOOKUP(DE$7,'Product Tgt'!$B:$B,'Product Tgt'!$D:$D),0)</f>
        <v>0</v>
      </c>
      <c r="DF78">
        <f>IFERROR(BW78*_xlfn.XLOOKUP(DF$7,'Product Tgt'!$B:$B,'Product Tgt'!$D:$D),0)</f>
        <v>0</v>
      </c>
      <c r="DG78">
        <f>IFERROR(BX78*_xlfn.XLOOKUP(DG$7,'Product Tgt'!$B:$B,'Product Tgt'!$D:$D),0)</f>
        <v>0</v>
      </c>
      <c r="DH78">
        <f>IFERROR(BY78*_xlfn.XLOOKUP(DH$7,'Product Tgt'!$B:$B,'Product Tgt'!$D:$D),0)</f>
        <v>0</v>
      </c>
      <c r="DI78">
        <f>IFERROR(BZ78*_xlfn.XLOOKUP(DI$7,'Product Tgt'!$B:$B,'Product Tgt'!$D:$D),0)</f>
        <v>0</v>
      </c>
      <c r="DJ78">
        <f>IFERROR(CA78*_xlfn.XLOOKUP(DJ$7,'Product Tgt'!$B:$B,'Product Tgt'!$D:$D),0)</f>
        <v>0</v>
      </c>
      <c r="DK78">
        <f>IFERROR(CB78*_xlfn.XLOOKUP(DK$7,'Product Tgt'!$B:$B,'Product Tgt'!$D:$D),0)</f>
        <v>0</v>
      </c>
      <c r="DL78">
        <f>IFERROR(CC78*_xlfn.XLOOKUP(DL$7,'Product Tgt'!$B:$B,'Product Tgt'!$D:$D),0)</f>
        <v>0</v>
      </c>
      <c r="DM78">
        <f>IFERROR(CD78*_xlfn.XLOOKUP(DM$7,'Product Tgt'!$B:$B,'Product Tgt'!$D:$D),0)</f>
        <v>0</v>
      </c>
      <c r="DN78">
        <f>IFERROR(CE78*_xlfn.XLOOKUP(DN$7,'Product Tgt'!$B:$B,'Product Tgt'!$D:$D),0)</f>
        <v>0</v>
      </c>
      <c r="DO78">
        <f>IFERROR(CF78*_xlfn.XLOOKUP(DO$7,'Product Tgt'!$B:$B,'Product Tgt'!$D:$D),0)</f>
        <v>0</v>
      </c>
      <c r="DP78">
        <f>IFERROR(CG78*_xlfn.XLOOKUP(DP$7,'Product Tgt'!$B:$B,'Product Tgt'!$D:$D),0)</f>
        <v>0</v>
      </c>
      <c r="DQ78">
        <f>IFERROR(CH78*_xlfn.XLOOKUP(DQ$7,'Product Tgt'!$B:$B,'Product Tgt'!$D:$D),0)</f>
        <v>0</v>
      </c>
      <c r="DR78">
        <f>IFERROR(CI78*_xlfn.XLOOKUP(DR$7,'Product Tgt'!$B:$B,'Product Tgt'!$D:$D),0)</f>
        <v>0</v>
      </c>
      <c r="DS78">
        <f>IFERROR(CJ78*_xlfn.XLOOKUP(DS$7,'Product Tgt'!$B:$B,'Product Tgt'!$D:$D),0)</f>
        <v>0</v>
      </c>
      <c r="DT78">
        <f>IFERROR(CK78*_xlfn.XLOOKUP(DT$7,'Product Tgt'!$B:$B,'Product Tgt'!$D:$D),0)</f>
        <v>0</v>
      </c>
      <c r="DU78">
        <f>IFERROR(CL78*_xlfn.XLOOKUP(DU$7,'Product Tgt'!$B:$B,'Product Tgt'!$D:$D),0)</f>
        <v>0</v>
      </c>
      <c r="DV78">
        <f>IFERROR(CM78*_xlfn.XLOOKUP(DV$7,'Product Tgt'!$B:$B,'Product Tgt'!$D:$D),0)</f>
        <v>0</v>
      </c>
      <c r="DW78">
        <f>IFERROR(CN78*_xlfn.XLOOKUP(DW$7,'Product Tgt'!$B:$B,'Product Tgt'!$D:$D),0)</f>
        <v>0</v>
      </c>
      <c r="DX78">
        <f>IFERROR(CO78*_xlfn.XLOOKUP(DX$7,'Product Tgt'!$B:$B,'Product Tgt'!$D:$D),0)</f>
        <v>0</v>
      </c>
      <c r="DY78">
        <f>IFERROR(CP78*_xlfn.XLOOKUP(DY$7,'Product Tgt'!$B:$B,'Product Tgt'!$D:$D),0)</f>
        <v>0</v>
      </c>
      <c r="DZ78">
        <f>IFERROR(CQ78*_xlfn.XLOOKUP(DZ$7,'Product Tgt'!$B:$B,'Product Tgt'!$D:$D),0)</f>
        <v>0</v>
      </c>
      <c r="EA78">
        <f>IFERROR(CR78*_xlfn.XLOOKUP(EA$7,'Product Tgt'!$B:$B,'Product Tgt'!$D:$D),0)</f>
        <v>0</v>
      </c>
      <c r="EB78">
        <f>IFERROR(CS78*_xlfn.XLOOKUP(EB$7,'Product Tgt'!$B:$B,'Product Tgt'!$D:$D),0)</f>
        <v>0</v>
      </c>
      <c r="EC78">
        <f>IFERROR(CT78*_xlfn.XLOOKUP(EC$7,'Product Tgt'!$B:$B,'Product Tgt'!$D:$D),0)</f>
        <v>0</v>
      </c>
      <c r="ED78">
        <f>IFERROR(CU78*_xlfn.XLOOKUP(ED$7,'Product Tgt'!$B:$B,'Product Tgt'!$D:$D),0)</f>
        <v>0</v>
      </c>
      <c r="EE78">
        <f>IFERROR(CV78*_xlfn.XLOOKUP(EE$7,'Product Tgt'!$B:$B,'Product Tgt'!$D:$D),0)</f>
        <v>0</v>
      </c>
      <c r="EF78">
        <f>IFERROR(CW78*_xlfn.XLOOKUP(EF$7,'Product Tgt'!$B:$B,'Product Tgt'!$D:$D),0)</f>
        <v>0</v>
      </c>
      <c r="EG78">
        <f>IFERROR(CX78*_xlfn.XLOOKUP(EG$7,'Product Tgt'!$B:$B,'Product Tgt'!$D:$D),0)</f>
        <v>0</v>
      </c>
      <c r="EH78">
        <f>IFERROR(CY78*_xlfn.XLOOKUP(EH$7,'Product Tgt'!$B:$B,'Product Tgt'!$D:$D),0)</f>
        <v>0</v>
      </c>
      <c r="EI78">
        <f>IFERROR(CZ78*_xlfn.XLOOKUP(EI$7,'Product Tgt'!$B:$B,'Product Tgt'!$D:$D),0)</f>
        <v>0</v>
      </c>
    </row>
    <row r="79" spans="2:139" x14ac:dyDescent="0.35">
      <c r="B79" s="7" t="s">
        <v>121</v>
      </c>
      <c r="C79" s="3">
        <f>_xlfn.XLOOKUP($B79,'Terr Target'!$A:$A,'Terr Target'!$E:$E)</f>
        <v>406872.52674877929</v>
      </c>
      <c r="D79" s="3">
        <f t="shared" si="10"/>
        <v>406867</v>
      </c>
      <c r="E79" s="4">
        <f t="shared" si="11"/>
        <v>-5.5267487792880274</v>
      </c>
      <c r="F79" s="9">
        <f t="shared" si="7"/>
        <v>1.3583674221030528E-5</v>
      </c>
      <c r="G79" s="5">
        <f t="shared" si="12"/>
        <v>1.000013583674221</v>
      </c>
      <c r="H79" s="38">
        <v>30755.676407862411</v>
      </c>
      <c r="I79" s="11">
        <v>61406.760888441568</v>
      </c>
      <c r="J79" s="11">
        <v>32059.734227266767</v>
      </c>
      <c r="K79" s="11">
        <v>36716.920134795349</v>
      </c>
      <c r="L79" s="11">
        <v>24822.894240231824</v>
      </c>
      <c r="M79" s="11">
        <v>17924.028941746266</v>
      </c>
      <c r="N79" s="11">
        <v>417.14257619969709</v>
      </c>
      <c r="O79" s="11">
        <v>2372.3028618070593</v>
      </c>
      <c r="P79" s="11">
        <v>1429.689632931038</v>
      </c>
      <c r="Q79" s="11">
        <v>889.99326313632309</v>
      </c>
      <c r="R79" s="11">
        <v>9023.4483061868941</v>
      </c>
      <c r="S79" s="11">
        <v>14636.440403022285</v>
      </c>
      <c r="T79" s="11">
        <v>1632.1706940937249</v>
      </c>
      <c r="U79" s="11">
        <v>3283.5486375636683</v>
      </c>
      <c r="V79" s="11">
        <v>30094.712127799397</v>
      </c>
      <c r="W79" s="11">
        <v>23685.606375743493</v>
      </c>
      <c r="X79" s="11">
        <v>2764.1631492917231</v>
      </c>
      <c r="Y79" s="11">
        <v>2701.357367593946</v>
      </c>
      <c r="Z79" s="11">
        <v>340.22245310474096</v>
      </c>
      <c r="AA79" s="11">
        <v>8008.9572368671325</v>
      </c>
      <c r="AB79" s="11">
        <v>2745.9785315375384</v>
      </c>
      <c r="AC79" s="11">
        <v>7300.2937729288578</v>
      </c>
      <c r="AD79" s="11">
        <v>38174.42332283259</v>
      </c>
      <c r="AE79" s="11">
        <v>29751.492655287508</v>
      </c>
      <c r="AF79" s="11">
        <v>594.29072331952773</v>
      </c>
      <c r="AG79" s="11">
        <v>18932.860099415364</v>
      </c>
      <c r="AH79" s="11">
        <v>1347.6462266603482</v>
      </c>
      <c r="AI79" s="11">
        <v>8775.4348251797928</v>
      </c>
      <c r="AJ79" s="11">
        <v>10901.668218568171</v>
      </c>
      <c r="AK79" s="11">
        <v>3602.8830804084519</v>
      </c>
      <c r="AL79" s="49">
        <v>4795.7575548469367</v>
      </c>
      <c r="AM79" s="41">
        <f>IFERROR(ROUND(_xlfn.XLOOKUP(AM$7,'Product Tgt'!$B:$B,'Product Tgt'!$G:$G)*H79/H$121,0),0)</f>
        <v>29900</v>
      </c>
      <c r="AN79" s="41">
        <f>IFERROR(ROUND(_xlfn.XLOOKUP(AN$7,'Product Tgt'!$B:$B,'Product Tgt'!$G:$G)*I79/I$121,0),0)</f>
        <v>60449</v>
      </c>
      <c r="AO79" s="41">
        <f>IFERROR(ROUND(_xlfn.XLOOKUP(AO$7,'Product Tgt'!$B:$B,'Product Tgt'!$G:$G)*J79/J$121,0),0)</f>
        <v>31063</v>
      </c>
      <c r="AP79" s="41">
        <f>IFERROR(ROUND(_xlfn.XLOOKUP(AP$7,'Product Tgt'!$B:$B,'Product Tgt'!$G:$G)*K79/K$121,0),0)</f>
        <v>35818</v>
      </c>
      <c r="AQ79" s="41">
        <f>IFERROR(ROUND(_xlfn.XLOOKUP(AQ$7,'Product Tgt'!$B:$B,'Product Tgt'!$G:$G)*L79/L$121,0),0)</f>
        <v>24002</v>
      </c>
      <c r="AR79" s="41">
        <f>IFERROR(ROUND(_xlfn.XLOOKUP(AR$7,'Product Tgt'!$B:$B,'Product Tgt'!$G:$G)*M79/M$121,0),0)</f>
        <v>17365</v>
      </c>
      <c r="AS79" s="41">
        <f>IFERROR(ROUND(_xlfn.XLOOKUP(AS$7,'Product Tgt'!$B:$B,'Product Tgt'!$G:$G)*N79/N$121,0),0)</f>
        <v>385</v>
      </c>
      <c r="AT79" s="41">
        <f>IFERROR(ROUND(_xlfn.XLOOKUP(AT$7,'Product Tgt'!$B:$B,'Product Tgt'!$G:$G)*O79/O$121,0),0)</f>
        <v>2135</v>
      </c>
      <c r="AU79" s="41">
        <f>IFERROR(ROUND(_xlfn.XLOOKUP(AU$7,'Product Tgt'!$B:$B,'Product Tgt'!$G:$G)*P79/P$121,0),0)</f>
        <v>610</v>
      </c>
      <c r="AV79" s="41">
        <f>IFERROR(ROUND(_xlfn.XLOOKUP(AV$7,'Product Tgt'!$B:$B,'Product Tgt'!$G:$G)*Q79/Q$121,0),0)</f>
        <v>668</v>
      </c>
      <c r="AW79" s="41">
        <f>IFERROR(ROUND(_xlfn.XLOOKUP(AW$7,'Product Tgt'!$B:$B,'Product Tgt'!$G:$G)*R79/R$121,0),0)</f>
        <v>8690</v>
      </c>
      <c r="AX79" s="41">
        <f>IFERROR(ROUND(_xlfn.XLOOKUP(AX$7,'Product Tgt'!$B:$B,'Product Tgt'!$G:$G)*S79/S$121,0),0)</f>
        <v>14097</v>
      </c>
      <c r="AY79" s="41">
        <f>IFERROR(ROUND(_xlfn.XLOOKUP(AY$7,'Product Tgt'!$B:$B,'Product Tgt'!$G:$G)*T79/T$121,0),0)</f>
        <v>1638</v>
      </c>
      <c r="AZ79" s="41">
        <f>IFERROR(ROUND(_xlfn.XLOOKUP(AZ$7,'Product Tgt'!$B:$B,'Product Tgt'!$G:$G)*U79/U$121,0),0)</f>
        <v>3142</v>
      </c>
      <c r="BA79" s="41">
        <f>IFERROR(ROUND(_xlfn.XLOOKUP(BA$7,'Product Tgt'!$B:$B,'Product Tgt'!$G:$G)*V79/V$121,0),0)</f>
        <v>28975</v>
      </c>
      <c r="BB79" s="41">
        <f>IFERROR(ROUND(_xlfn.XLOOKUP(BB$7,'Product Tgt'!$B:$B,'Product Tgt'!$G:$G)*W79/W$121,0),0)</f>
        <v>22673</v>
      </c>
      <c r="BC79" s="41">
        <f>IFERROR(ROUND(_xlfn.XLOOKUP(BC$7,'Product Tgt'!$B:$B,'Product Tgt'!$G:$G)*X79/X$121,0),0)</f>
        <v>2675</v>
      </c>
      <c r="BD79" s="41">
        <f>IFERROR(ROUND(_xlfn.XLOOKUP(BD$7,'Product Tgt'!$B:$B,'Product Tgt'!$G:$G)*Y79/Y$121,0),0)</f>
        <v>2612</v>
      </c>
      <c r="BE79" s="41">
        <f>IFERROR(ROUND(_xlfn.XLOOKUP(BE$7,'Product Tgt'!$B:$B,'Product Tgt'!$G:$G)*Z79/Z$121,0),0)</f>
        <v>323</v>
      </c>
      <c r="BF79" s="41">
        <f>IFERROR(ROUND(_xlfn.XLOOKUP(BF$7,'Product Tgt'!$B:$B,'Product Tgt'!$G:$G)*AA79/AA$121,0),0)</f>
        <v>6490</v>
      </c>
      <c r="BG79" s="41">
        <f>IFERROR(ROUND(_xlfn.XLOOKUP(BG$7,'Product Tgt'!$B:$B,'Product Tgt'!$G:$G)*AB79/AB$121,0),0)</f>
        <v>2201</v>
      </c>
      <c r="BH79" s="41">
        <f>IFERROR(ROUND(_xlfn.XLOOKUP(BH$7,'Product Tgt'!$B:$B,'Product Tgt'!$G:$G)*AC79/AC$121,0),0)</f>
        <v>6248</v>
      </c>
      <c r="BI79" s="41">
        <f>IFERROR(ROUND(_xlfn.XLOOKUP(BI$7,'Product Tgt'!$B:$B,'Product Tgt'!$G:$G)*AD79/AD$121,0),0)</f>
        <v>33232</v>
      </c>
      <c r="BJ79" s="41">
        <f>IFERROR(ROUND(_xlfn.XLOOKUP(BJ$7,'Product Tgt'!$B:$B,'Product Tgt'!$G:$G)*AE79/AE$121,0),0)</f>
        <v>27691</v>
      </c>
      <c r="BK79" s="41">
        <f>IFERROR(ROUND(_xlfn.XLOOKUP(BK$7,'Product Tgt'!$B:$B,'Product Tgt'!$G:$G)*AF79/AF$121,0),0)</f>
        <v>664</v>
      </c>
      <c r="BL79" s="41">
        <f>IFERROR(ROUND(_xlfn.XLOOKUP(BL$7,'Product Tgt'!$B:$B,'Product Tgt'!$G:$G)*AG79/AG$121,0),0)</f>
        <v>18084</v>
      </c>
      <c r="BM79" s="41">
        <f>IFERROR(ROUND(_xlfn.XLOOKUP(BM$7,'Product Tgt'!$B:$B,'Product Tgt'!$G:$G)*AH79/AH$121,0),0)</f>
        <v>1057</v>
      </c>
      <c r="BN79" s="41">
        <f>IFERROR(ROUND(_xlfn.XLOOKUP(BN$7,'Product Tgt'!$B:$B,'Product Tgt'!$G:$G)*AI79/AI$121,0),0)</f>
        <v>8059</v>
      </c>
      <c r="BO79" s="41">
        <f>IFERROR(ROUND(_xlfn.XLOOKUP(BO$7,'Product Tgt'!$B:$B,'Product Tgt'!$G:$G)*AJ79/AJ$121,0),0)</f>
        <v>9429</v>
      </c>
      <c r="BP79" s="41">
        <f>IFERROR(ROUND(_xlfn.XLOOKUP(BP$7,'Product Tgt'!$B:$B,'Product Tgt'!$G:$G)*AK79/AK$121,0),0)</f>
        <v>2743</v>
      </c>
      <c r="BQ79" s="41">
        <f>IFERROR(ROUND(_xlfn.XLOOKUP(BQ$7,'Product Tgt'!$B:$B,'Product Tgt'!$G:$G)*AL79/AL$121,0),0)</f>
        <v>3749</v>
      </c>
      <c r="BR79" s="25">
        <f>ROUND(IFERROR(AM79/_xlfn.XLOOKUP(BR$7,'Product Tgt'!$B:$B,'Product Tgt'!$D:$D),0),0)</f>
        <v>0</v>
      </c>
      <c r="BS79" s="11">
        <f>ROUND(IFERROR(AN79/_xlfn.XLOOKUP(BS$7,'Product Tgt'!$B:$B,'Product Tgt'!$D:$D),0),0)</f>
        <v>0</v>
      </c>
      <c r="BT79" s="11">
        <f>ROUND(IFERROR(AO79/_xlfn.XLOOKUP(BT$7,'Product Tgt'!$B:$B,'Product Tgt'!$D:$D),0),0)</f>
        <v>0</v>
      </c>
      <c r="BU79" s="11">
        <f>ROUND(IFERROR(AP79/_xlfn.XLOOKUP(BU$7,'Product Tgt'!$B:$B,'Product Tgt'!$D:$D),0),0)</f>
        <v>0</v>
      </c>
      <c r="BV79" s="11">
        <f>ROUND(IFERROR(AQ79/_xlfn.XLOOKUP(BV$7,'Product Tgt'!$B:$B,'Product Tgt'!$D:$D),0),0)</f>
        <v>0</v>
      </c>
      <c r="BW79" s="11">
        <f>ROUND(IFERROR(AU79/_xlfn.XLOOKUP(BW$7,'Product Tgt'!$B:$B,'Product Tgt'!$D:$D),0),0)</f>
        <v>0</v>
      </c>
      <c r="BX79" s="11">
        <f>ROUND(IFERROR(#REF!/_xlfn.XLOOKUP(BX$7,'Product Tgt'!$B:$B,'Product Tgt'!$D:$D),0),0)</f>
        <v>0</v>
      </c>
      <c r="BY79" s="11">
        <f>ROUND(IFERROR(#REF!/_xlfn.XLOOKUP(BY$7,'Product Tgt'!$B:$B,'Product Tgt'!$D:$D),0),0)</f>
        <v>0</v>
      </c>
      <c r="BZ79" s="11">
        <f>ROUND(IFERROR(#REF!/_xlfn.XLOOKUP(BZ$7,'Product Tgt'!$B:$B,'Product Tgt'!$D:$D),0),0)</f>
        <v>0</v>
      </c>
      <c r="CA79" s="11">
        <f>ROUND(IFERROR(#REF!/_xlfn.XLOOKUP(CA$7,'Product Tgt'!$B:$B,'Product Tgt'!$D:$D),0),0)</f>
        <v>0</v>
      </c>
      <c r="CB79" s="11">
        <f>ROUND(IFERROR(AV79/_xlfn.XLOOKUP(CB$7,'Product Tgt'!$B:$B,'Product Tgt'!$D:$D),0),0)</f>
        <v>0</v>
      </c>
      <c r="CC79" s="11">
        <f>ROUND(IFERROR(AW79/_xlfn.XLOOKUP(CC$7,'Product Tgt'!$B:$B,'Product Tgt'!$D:$D),0),0)</f>
        <v>0</v>
      </c>
      <c r="CD79" s="11">
        <f>ROUND(IFERROR(AX79/_xlfn.XLOOKUP(CD$7,'Product Tgt'!$B:$B,'Product Tgt'!$D:$D),0),0)</f>
        <v>0</v>
      </c>
      <c r="CE79" s="11">
        <f>ROUND(IFERROR(AY79/_xlfn.XLOOKUP(CE$7,'Product Tgt'!$B:$B,'Product Tgt'!$D:$D),0),0)</f>
        <v>0</v>
      </c>
      <c r="CF79" s="11">
        <f>ROUND(IFERROR(AZ79/_xlfn.XLOOKUP(CF$7,'Product Tgt'!$B:$B,'Product Tgt'!$D:$D),0),0)</f>
        <v>0</v>
      </c>
      <c r="CG79" s="11">
        <f>ROUND(IFERROR(BA79/_xlfn.XLOOKUP(CG$7,'Product Tgt'!$B:$B,'Product Tgt'!$D:$D),0),0)</f>
        <v>0</v>
      </c>
      <c r="CH79" s="11">
        <f>ROUND(IFERROR(BB79/_xlfn.XLOOKUP(CH$7,'Product Tgt'!$B:$B,'Product Tgt'!$D:$D),0),0)</f>
        <v>0</v>
      </c>
      <c r="CI79" s="11">
        <f>ROUND(IFERROR(BC79/_xlfn.XLOOKUP(CI$7,'Product Tgt'!$B:$B,'Product Tgt'!$D:$D),0),0)</f>
        <v>0</v>
      </c>
      <c r="CJ79" s="11">
        <f>ROUND(IFERROR(BD79/_xlfn.XLOOKUP(CJ$7,'Product Tgt'!$B:$B,'Product Tgt'!$D:$D),0),0)</f>
        <v>0</v>
      </c>
      <c r="CK79" s="11">
        <f>ROUND(IFERROR(BE79/_xlfn.XLOOKUP(CK$7,'Product Tgt'!$B:$B,'Product Tgt'!$D:$D),0),0)</f>
        <v>0</v>
      </c>
      <c r="CL79" s="11">
        <f>ROUND(IFERROR(BF79/_xlfn.XLOOKUP(CL$7,'Product Tgt'!$B:$B,'Product Tgt'!$D:$D),0),0)</f>
        <v>0</v>
      </c>
      <c r="CM79" s="11">
        <f>ROUND(IFERROR(BG79/_xlfn.XLOOKUP(CM$7,'Product Tgt'!$B:$B,'Product Tgt'!$D:$D),0),0)</f>
        <v>0</v>
      </c>
      <c r="CN79" s="11">
        <f>ROUND(IFERROR(BH79/_xlfn.XLOOKUP(CN$7,'Product Tgt'!$B:$B,'Product Tgt'!$D:$D),0),0)</f>
        <v>0</v>
      </c>
      <c r="CO79" s="11">
        <f>ROUND(IFERROR(BI79/_xlfn.XLOOKUP(CO$7,'Product Tgt'!$B:$B,'Product Tgt'!$D:$D),0),0)</f>
        <v>0</v>
      </c>
      <c r="CP79" s="11">
        <f>ROUND(IFERROR(BJ79/_xlfn.XLOOKUP(CP$7,'Product Tgt'!$B:$B,'Product Tgt'!$D:$D),0),0)</f>
        <v>0</v>
      </c>
      <c r="CQ79" s="11">
        <f>ROUND(IFERROR(BK79/_xlfn.XLOOKUP(CQ$7,'Product Tgt'!$B:$B,'Product Tgt'!$D:$D),0),0)</f>
        <v>0</v>
      </c>
      <c r="CR79" s="11">
        <f>ROUND(IFERROR(BL79/_xlfn.XLOOKUP(CR$7,'Product Tgt'!$B:$B,'Product Tgt'!$D:$D),0),0)</f>
        <v>0</v>
      </c>
      <c r="CS79" s="11">
        <f>ROUND(IFERROR(BM79/_xlfn.XLOOKUP(CS$7,'Product Tgt'!$B:$B,'Product Tgt'!$D:$D),0),0)</f>
        <v>0</v>
      </c>
      <c r="CT79" s="11">
        <f>ROUND(IFERROR(BN79/_xlfn.XLOOKUP(CT$7,'Product Tgt'!$B:$B,'Product Tgt'!$D:$D),0),0)</f>
        <v>0</v>
      </c>
      <c r="CU79" s="11">
        <f>ROUND(IFERROR(BO79/_xlfn.XLOOKUP(CU$7,'Product Tgt'!$B:$B,'Product Tgt'!$D:$D),0),0)</f>
        <v>0</v>
      </c>
      <c r="CV79" s="11">
        <f>ROUND(IFERROR(BP79/_xlfn.XLOOKUP(CV$7,'Product Tgt'!$B:$B,'Product Tgt'!$D:$D),0),0)</f>
        <v>0</v>
      </c>
      <c r="CW79" s="11">
        <f>ROUND(IFERROR(BQ79/_xlfn.XLOOKUP(CW$7,'Product Tgt'!$B:$B,'Product Tgt'!$D:$D),0),0)</f>
        <v>0</v>
      </c>
      <c r="CX79" s="11">
        <f>ROUND(IFERROR(#REF!/_xlfn.XLOOKUP(CX$7,'Product Tgt'!$B:$B,'Product Tgt'!$D:$D),0),0)</f>
        <v>0</v>
      </c>
      <c r="CY79" s="11">
        <f>ROUND(IFERROR(#REF!/_xlfn.XLOOKUP(CY$7,'Product Tgt'!$B:$B,'Product Tgt'!$D:$D),0),0)</f>
        <v>0</v>
      </c>
      <c r="CZ79" s="11">
        <f>ROUND(IFERROR(#REF!/_xlfn.XLOOKUP(CZ$7,'Product Tgt'!$B:$B,'Product Tgt'!$D:$D),0),0)</f>
        <v>0</v>
      </c>
      <c r="DA79" s="10">
        <f>IFERROR(BR79*_xlfn.XLOOKUP(DA$7,'Product Tgt'!$B:$B,'Product Tgt'!$D:$D),0)</f>
        <v>0</v>
      </c>
      <c r="DB79">
        <f>IFERROR(BS79*_xlfn.XLOOKUP(DB$7,'Product Tgt'!$B:$B,'Product Tgt'!$D:$D),0)</f>
        <v>0</v>
      </c>
      <c r="DC79">
        <f>IFERROR(BT79*_xlfn.XLOOKUP(DC$7,'Product Tgt'!$B:$B,'Product Tgt'!$D:$D),0)</f>
        <v>0</v>
      </c>
      <c r="DD79">
        <f>IFERROR(BU79*_xlfn.XLOOKUP(DD$7,'Product Tgt'!$B:$B,'Product Tgt'!$D:$D),0)</f>
        <v>0</v>
      </c>
      <c r="DE79">
        <f>IFERROR(BV79*_xlfn.XLOOKUP(DE$7,'Product Tgt'!$B:$B,'Product Tgt'!$D:$D),0)</f>
        <v>0</v>
      </c>
      <c r="DF79">
        <f>IFERROR(BW79*_xlfn.XLOOKUP(DF$7,'Product Tgt'!$B:$B,'Product Tgt'!$D:$D),0)</f>
        <v>0</v>
      </c>
      <c r="DG79">
        <f>IFERROR(BX79*_xlfn.XLOOKUP(DG$7,'Product Tgt'!$B:$B,'Product Tgt'!$D:$D),0)</f>
        <v>0</v>
      </c>
      <c r="DH79">
        <f>IFERROR(BY79*_xlfn.XLOOKUP(DH$7,'Product Tgt'!$B:$B,'Product Tgt'!$D:$D),0)</f>
        <v>0</v>
      </c>
      <c r="DI79">
        <f>IFERROR(BZ79*_xlfn.XLOOKUP(DI$7,'Product Tgt'!$B:$B,'Product Tgt'!$D:$D),0)</f>
        <v>0</v>
      </c>
      <c r="DJ79">
        <f>IFERROR(CA79*_xlfn.XLOOKUP(DJ$7,'Product Tgt'!$B:$B,'Product Tgt'!$D:$D),0)</f>
        <v>0</v>
      </c>
      <c r="DK79">
        <f>IFERROR(CB79*_xlfn.XLOOKUP(DK$7,'Product Tgt'!$B:$B,'Product Tgt'!$D:$D),0)</f>
        <v>0</v>
      </c>
      <c r="DL79">
        <f>IFERROR(CC79*_xlfn.XLOOKUP(DL$7,'Product Tgt'!$B:$B,'Product Tgt'!$D:$D),0)</f>
        <v>0</v>
      </c>
      <c r="DM79">
        <f>IFERROR(CD79*_xlfn.XLOOKUP(DM$7,'Product Tgt'!$B:$B,'Product Tgt'!$D:$D),0)</f>
        <v>0</v>
      </c>
      <c r="DN79">
        <f>IFERROR(CE79*_xlfn.XLOOKUP(DN$7,'Product Tgt'!$B:$B,'Product Tgt'!$D:$D),0)</f>
        <v>0</v>
      </c>
      <c r="DO79">
        <f>IFERROR(CF79*_xlfn.XLOOKUP(DO$7,'Product Tgt'!$B:$B,'Product Tgt'!$D:$D),0)</f>
        <v>0</v>
      </c>
      <c r="DP79">
        <f>IFERROR(CG79*_xlfn.XLOOKUP(DP$7,'Product Tgt'!$B:$B,'Product Tgt'!$D:$D),0)</f>
        <v>0</v>
      </c>
      <c r="DQ79">
        <f>IFERROR(CH79*_xlfn.XLOOKUP(DQ$7,'Product Tgt'!$B:$B,'Product Tgt'!$D:$D),0)</f>
        <v>0</v>
      </c>
      <c r="DR79">
        <f>IFERROR(CI79*_xlfn.XLOOKUP(DR$7,'Product Tgt'!$B:$B,'Product Tgt'!$D:$D),0)</f>
        <v>0</v>
      </c>
      <c r="DS79">
        <f>IFERROR(CJ79*_xlfn.XLOOKUP(DS$7,'Product Tgt'!$B:$B,'Product Tgt'!$D:$D),0)</f>
        <v>0</v>
      </c>
      <c r="DT79">
        <f>IFERROR(CK79*_xlfn.XLOOKUP(DT$7,'Product Tgt'!$B:$B,'Product Tgt'!$D:$D),0)</f>
        <v>0</v>
      </c>
      <c r="DU79">
        <f>IFERROR(CL79*_xlfn.XLOOKUP(DU$7,'Product Tgt'!$B:$B,'Product Tgt'!$D:$D),0)</f>
        <v>0</v>
      </c>
      <c r="DV79">
        <f>IFERROR(CM79*_xlfn.XLOOKUP(DV$7,'Product Tgt'!$B:$B,'Product Tgt'!$D:$D),0)</f>
        <v>0</v>
      </c>
      <c r="DW79">
        <f>IFERROR(CN79*_xlfn.XLOOKUP(DW$7,'Product Tgt'!$B:$B,'Product Tgt'!$D:$D),0)</f>
        <v>0</v>
      </c>
      <c r="DX79">
        <f>IFERROR(CO79*_xlfn.XLOOKUP(DX$7,'Product Tgt'!$B:$B,'Product Tgt'!$D:$D),0)</f>
        <v>0</v>
      </c>
      <c r="DY79">
        <f>IFERROR(CP79*_xlfn.XLOOKUP(DY$7,'Product Tgt'!$B:$B,'Product Tgt'!$D:$D),0)</f>
        <v>0</v>
      </c>
      <c r="DZ79">
        <f>IFERROR(CQ79*_xlfn.XLOOKUP(DZ$7,'Product Tgt'!$B:$B,'Product Tgt'!$D:$D),0)</f>
        <v>0</v>
      </c>
      <c r="EA79">
        <f>IFERROR(CR79*_xlfn.XLOOKUP(EA$7,'Product Tgt'!$B:$B,'Product Tgt'!$D:$D),0)</f>
        <v>0</v>
      </c>
      <c r="EB79">
        <f>IFERROR(CS79*_xlfn.XLOOKUP(EB$7,'Product Tgt'!$B:$B,'Product Tgt'!$D:$D),0)</f>
        <v>0</v>
      </c>
      <c r="EC79">
        <f>IFERROR(CT79*_xlfn.XLOOKUP(EC$7,'Product Tgt'!$B:$B,'Product Tgt'!$D:$D),0)</f>
        <v>0</v>
      </c>
      <c r="ED79">
        <f>IFERROR(CU79*_xlfn.XLOOKUP(ED$7,'Product Tgt'!$B:$B,'Product Tgt'!$D:$D),0)</f>
        <v>0</v>
      </c>
      <c r="EE79">
        <f>IFERROR(CV79*_xlfn.XLOOKUP(EE$7,'Product Tgt'!$B:$B,'Product Tgt'!$D:$D),0)</f>
        <v>0</v>
      </c>
      <c r="EF79">
        <f>IFERROR(CW79*_xlfn.XLOOKUP(EF$7,'Product Tgt'!$B:$B,'Product Tgt'!$D:$D),0)</f>
        <v>0</v>
      </c>
      <c r="EG79">
        <f>IFERROR(CX79*_xlfn.XLOOKUP(EG$7,'Product Tgt'!$B:$B,'Product Tgt'!$D:$D),0)</f>
        <v>0</v>
      </c>
      <c r="EH79">
        <f>IFERROR(CY79*_xlfn.XLOOKUP(EH$7,'Product Tgt'!$B:$B,'Product Tgt'!$D:$D),0)</f>
        <v>0</v>
      </c>
      <c r="EI79">
        <f>IFERROR(CZ79*_xlfn.XLOOKUP(EI$7,'Product Tgt'!$B:$B,'Product Tgt'!$D:$D),0)</f>
        <v>0</v>
      </c>
    </row>
    <row r="80" spans="2:139" x14ac:dyDescent="0.35">
      <c r="B80" s="7" t="s">
        <v>122</v>
      </c>
      <c r="C80" s="3">
        <f>_xlfn.XLOOKUP($B80,'Terr Target'!$A:$A,'Terr Target'!$E:$E)</f>
        <v>744631.68783514795</v>
      </c>
      <c r="D80" s="3">
        <f t="shared" si="10"/>
        <v>744631</v>
      </c>
      <c r="E80" s="4">
        <f t="shared" si="11"/>
        <v>-0.68783514795359224</v>
      </c>
      <c r="F80" s="9">
        <f t="shared" si="7"/>
        <v>9.2372617840728121E-7</v>
      </c>
      <c r="G80" s="5">
        <f t="shared" si="12"/>
        <v>1.0000009237261784</v>
      </c>
      <c r="H80" s="38">
        <v>68149.310496952239</v>
      </c>
      <c r="I80" s="11">
        <v>136174.96951026795</v>
      </c>
      <c r="J80" s="11">
        <v>73710.176661076111</v>
      </c>
      <c r="K80" s="11">
        <v>86167.861102265349</v>
      </c>
      <c r="L80" s="11">
        <v>58583.868563981414</v>
      </c>
      <c r="M80" s="11">
        <v>49659.608032085227</v>
      </c>
      <c r="N80" s="11">
        <v>783.12606303123141</v>
      </c>
      <c r="O80" s="11">
        <v>4934.8473974577782</v>
      </c>
      <c r="P80" s="11">
        <v>1823.3167893663199</v>
      </c>
      <c r="Q80" s="11">
        <v>1799.3526257496349</v>
      </c>
      <c r="R80" s="11">
        <v>20321.010642684814</v>
      </c>
      <c r="S80" s="11">
        <v>35889.345539044698</v>
      </c>
      <c r="T80" s="11">
        <v>2926.5084617037037</v>
      </c>
      <c r="U80" s="11">
        <v>21327.665542389375</v>
      </c>
      <c r="V80" s="11">
        <v>22233.852986530663</v>
      </c>
      <c r="W80" s="11">
        <v>32247.662820491638</v>
      </c>
      <c r="X80" s="11">
        <v>5096.9155557402337</v>
      </c>
      <c r="Y80" s="11">
        <v>5336.9072527278631</v>
      </c>
      <c r="Z80" s="11">
        <v>621.14792038840324</v>
      </c>
      <c r="AA80" s="11">
        <v>13456.377957655537</v>
      </c>
      <c r="AB80" s="11">
        <v>5222.9774581712445</v>
      </c>
      <c r="AC80" s="11">
        <v>1802.3531470705886</v>
      </c>
      <c r="AD80" s="11">
        <v>10059.73781364704</v>
      </c>
      <c r="AE80" s="11">
        <v>14479.525722887607</v>
      </c>
      <c r="AF80" s="11">
        <v>1065.155063725425</v>
      </c>
      <c r="AG80" s="11">
        <v>46444.99951488126</v>
      </c>
      <c r="AH80" s="11">
        <v>3848.6186723215196</v>
      </c>
      <c r="AI80" s="11">
        <v>22905.089609503524</v>
      </c>
      <c r="AJ80" s="11">
        <v>19577.391443712811</v>
      </c>
      <c r="AK80" s="11">
        <v>4813.356289172355</v>
      </c>
      <c r="AL80" s="49">
        <v>9323.6599249283663</v>
      </c>
      <c r="AM80" s="41">
        <f>IFERROR(ROUND(_xlfn.XLOOKUP(AM$7,'Product Tgt'!$B:$B,'Product Tgt'!$G:$G)*H80/H$121,0),0)</f>
        <v>66252</v>
      </c>
      <c r="AN80" s="41">
        <f>IFERROR(ROUND(_xlfn.XLOOKUP(AN$7,'Product Tgt'!$B:$B,'Product Tgt'!$G:$G)*I80/I$121,0),0)</f>
        <v>134051</v>
      </c>
      <c r="AO80" s="41">
        <f>IFERROR(ROUND(_xlfn.XLOOKUP(AO$7,'Product Tgt'!$B:$B,'Product Tgt'!$G:$G)*J80/J$121,0),0)</f>
        <v>71418</v>
      </c>
      <c r="AP80" s="41">
        <f>IFERROR(ROUND(_xlfn.XLOOKUP(AP$7,'Product Tgt'!$B:$B,'Product Tgt'!$G:$G)*K80/K$121,0),0)</f>
        <v>84059</v>
      </c>
      <c r="AQ80" s="41">
        <f>IFERROR(ROUND(_xlfn.XLOOKUP(AQ$7,'Product Tgt'!$B:$B,'Product Tgt'!$G:$G)*L80/L$121,0),0)</f>
        <v>56647</v>
      </c>
      <c r="AR80" s="41">
        <f>IFERROR(ROUND(_xlfn.XLOOKUP(AR$7,'Product Tgt'!$B:$B,'Product Tgt'!$G:$G)*M80/M$121,0),0)</f>
        <v>48110</v>
      </c>
      <c r="AS80" s="41">
        <f>IFERROR(ROUND(_xlfn.XLOOKUP(AS$7,'Product Tgt'!$B:$B,'Product Tgt'!$G:$G)*N80/N$121,0),0)</f>
        <v>724</v>
      </c>
      <c r="AT80" s="41">
        <f>IFERROR(ROUND(_xlfn.XLOOKUP(AT$7,'Product Tgt'!$B:$B,'Product Tgt'!$G:$G)*O80/O$121,0),0)</f>
        <v>4442</v>
      </c>
      <c r="AU80" s="41">
        <f>IFERROR(ROUND(_xlfn.XLOOKUP(AU$7,'Product Tgt'!$B:$B,'Product Tgt'!$G:$G)*P80/P$121,0),0)</f>
        <v>777</v>
      </c>
      <c r="AV80" s="41">
        <f>IFERROR(ROUND(_xlfn.XLOOKUP(AV$7,'Product Tgt'!$B:$B,'Product Tgt'!$G:$G)*Q80/Q$121,0),0)</f>
        <v>1350</v>
      </c>
      <c r="AW80" s="41">
        <f>IFERROR(ROUND(_xlfn.XLOOKUP(AW$7,'Product Tgt'!$B:$B,'Product Tgt'!$G:$G)*R80/R$121,0),0)</f>
        <v>19570</v>
      </c>
      <c r="AX80" s="41">
        <f>IFERROR(ROUND(_xlfn.XLOOKUP(AX$7,'Product Tgt'!$B:$B,'Product Tgt'!$G:$G)*S80/S$121,0),0)</f>
        <v>34566</v>
      </c>
      <c r="AY80" s="41">
        <f>IFERROR(ROUND(_xlfn.XLOOKUP(AY$7,'Product Tgt'!$B:$B,'Product Tgt'!$G:$G)*T80/T$121,0),0)</f>
        <v>2937</v>
      </c>
      <c r="AZ80" s="41">
        <f>IFERROR(ROUND(_xlfn.XLOOKUP(AZ$7,'Product Tgt'!$B:$B,'Product Tgt'!$G:$G)*U80/U$121,0),0)</f>
        <v>20411</v>
      </c>
      <c r="BA80" s="41">
        <f>IFERROR(ROUND(_xlfn.XLOOKUP(BA$7,'Product Tgt'!$B:$B,'Product Tgt'!$G:$G)*V80/V$121,0),0)</f>
        <v>21407</v>
      </c>
      <c r="BB80" s="41">
        <f>IFERROR(ROUND(_xlfn.XLOOKUP(BB$7,'Product Tgt'!$B:$B,'Product Tgt'!$G:$G)*W80/W$121,0),0)</f>
        <v>30869</v>
      </c>
      <c r="BC80" s="41">
        <f>IFERROR(ROUND(_xlfn.XLOOKUP(BC$7,'Product Tgt'!$B:$B,'Product Tgt'!$G:$G)*X80/X$121,0),0)</f>
        <v>4932</v>
      </c>
      <c r="BD80" s="41">
        <f>IFERROR(ROUND(_xlfn.XLOOKUP(BD$7,'Product Tgt'!$B:$B,'Product Tgt'!$G:$G)*Y80/Y$121,0),0)</f>
        <v>5161</v>
      </c>
      <c r="BE80" s="41">
        <f>IFERROR(ROUND(_xlfn.XLOOKUP(BE$7,'Product Tgt'!$B:$B,'Product Tgt'!$G:$G)*Z80/Z$121,0),0)</f>
        <v>590</v>
      </c>
      <c r="BF80" s="41">
        <f>IFERROR(ROUND(_xlfn.XLOOKUP(BF$7,'Product Tgt'!$B:$B,'Product Tgt'!$G:$G)*AA80/AA$121,0),0)</f>
        <v>10905</v>
      </c>
      <c r="BG80" s="41">
        <f>IFERROR(ROUND(_xlfn.XLOOKUP(BG$7,'Product Tgt'!$B:$B,'Product Tgt'!$G:$G)*AB80/AB$121,0),0)</f>
        <v>4186</v>
      </c>
      <c r="BH80" s="41">
        <f>IFERROR(ROUND(_xlfn.XLOOKUP(BH$7,'Product Tgt'!$B:$B,'Product Tgt'!$G:$G)*AC80/AC$121,0),0)</f>
        <v>1542</v>
      </c>
      <c r="BI80" s="41">
        <f>IFERROR(ROUND(_xlfn.XLOOKUP(BI$7,'Product Tgt'!$B:$B,'Product Tgt'!$G:$G)*AD80/AD$121,0),0)</f>
        <v>8757</v>
      </c>
      <c r="BJ80" s="41">
        <f>IFERROR(ROUND(_xlfn.XLOOKUP(BJ$7,'Product Tgt'!$B:$B,'Product Tgt'!$G:$G)*AE80/AE$121,0),0)</f>
        <v>13477</v>
      </c>
      <c r="BK80" s="41">
        <f>IFERROR(ROUND(_xlfn.XLOOKUP(BK$7,'Product Tgt'!$B:$B,'Product Tgt'!$G:$G)*AF80/AF$121,0),0)</f>
        <v>1190</v>
      </c>
      <c r="BL80" s="41">
        <f>IFERROR(ROUND(_xlfn.XLOOKUP(BL$7,'Product Tgt'!$B:$B,'Product Tgt'!$G:$G)*AG80/AG$121,0),0)</f>
        <v>44363</v>
      </c>
      <c r="BM80" s="41">
        <f>IFERROR(ROUND(_xlfn.XLOOKUP(BM$7,'Product Tgt'!$B:$B,'Product Tgt'!$G:$G)*AH80/AH$121,0),0)</f>
        <v>3017</v>
      </c>
      <c r="BN80" s="41">
        <f>IFERROR(ROUND(_xlfn.XLOOKUP(BN$7,'Product Tgt'!$B:$B,'Product Tgt'!$G:$G)*AI80/AI$121,0),0)</f>
        <v>21035</v>
      </c>
      <c r="BO80" s="41">
        <f>IFERROR(ROUND(_xlfn.XLOOKUP(BO$7,'Product Tgt'!$B:$B,'Product Tgt'!$G:$G)*AJ80/AJ$121,0),0)</f>
        <v>16933</v>
      </c>
      <c r="BP80" s="41">
        <f>IFERROR(ROUND(_xlfn.XLOOKUP(BP$7,'Product Tgt'!$B:$B,'Product Tgt'!$G:$G)*AK80/AK$121,0),0)</f>
        <v>3665</v>
      </c>
      <c r="BQ80" s="41">
        <f>IFERROR(ROUND(_xlfn.XLOOKUP(BQ$7,'Product Tgt'!$B:$B,'Product Tgt'!$G:$G)*AL80/AL$121,0),0)</f>
        <v>7288</v>
      </c>
      <c r="BR80" s="25">
        <f>ROUND(IFERROR(AM80/_xlfn.XLOOKUP(BR$7,'Product Tgt'!$B:$B,'Product Tgt'!$D:$D),0),0)</f>
        <v>0</v>
      </c>
      <c r="BS80" s="11">
        <f>ROUND(IFERROR(AN80/_xlfn.XLOOKUP(BS$7,'Product Tgt'!$B:$B,'Product Tgt'!$D:$D),0),0)</f>
        <v>0</v>
      </c>
      <c r="BT80" s="11">
        <f>ROUND(IFERROR(AO80/_xlfn.XLOOKUP(BT$7,'Product Tgt'!$B:$B,'Product Tgt'!$D:$D),0),0)</f>
        <v>0</v>
      </c>
      <c r="BU80" s="11">
        <f>ROUND(IFERROR(AP80/_xlfn.XLOOKUP(BU$7,'Product Tgt'!$B:$B,'Product Tgt'!$D:$D),0),0)</f>
        <v>0</v>
      </c>
      <c r="BV80" s="11">
        <f>ROUND(IFERROR(AQ80/_xlfn.XLOOKUP(BV$7,'Product Tgt'!$B:$B,'Product Tgt'!$D:$D),0),0)</f>
        <v>0</v>
      </c>
      <c r="BW80" s="11">
        <f>ROUND(IFERROR(AU80/_xlfn.XLOOKUP(BW$7,'Product Tgt'!$B:$B,'Product Tgt'!$D:$D),0),0)</f>
        <v>0</v>
      </c>
      <c r="BX80" s="11">
        <f>ROUND(IFERROR(#REF!/_xlfn.XLOOKUP(BX$7,'Product Tgt'!$B:$B,'Product Tgt'!$D:$D),0),0)</f>
        <v>0</v>
      </c>
      <c r="BY80" s="11">
        <f>ROUND(IFERROR(#REF!/_xlfn.XLOOKUP(BY$7,'Product Tgt'!$B:$B,'Product Tgt'!$D:$D),0),0)</f>
        <v>0</v>
      </c>
      <c r="BZ80" s="11">
        <f>ROUND(IFERROR(#REF!/_xlfn.XLOOKUP(BZ$7,'Product Tgt'!$B:$B,'Product Tgt'!$D:$D),0),0)</f>
        <v>0</v>
      </c>
      <c r="CA80" s="11">
        <f>ROUND(IFERROR(#REF!/_xlfn.XLOOKUP(CA$7,'Product Tgt'!$B:$B,'Product Tgt'!$D:$D),0),0)</f>
        <v>0</v>
      </c>
      <c r="CB80" s="11">
        <f>ROUND(IFERROR(AV80/_xlfn.XLOOKUP(CB$7,'Product Tgt'!$B:$B,'Product Tgt'!$D:$D),0),0)</f>
        <v>0</v>
      </c>
      <c r="CC80" s="11">
        <f>ROUND(IFERROR(AW80/_xlfn.XLOOKUP(CC$7,'Product Tgt'!$B:$B,'Product Tgt'!$D:$D),0),0)</f>
        <v>0</v>
      </c>
      <c r="CD80" s="11">
        <f>ROUND(IFERROR(AX80/_xlfn.XLOOKUP(CD$7,'Product Tgt'!$B:$B,'Product Tgt'!$D:$D),0),0)</f>
        <v>0</v>
      </c>
      <c r="CE80" s="11">
        <f>ROUND(IFERROR(AY80/_xlfn.XLOOKUP(CE$7,'Product Tgt'!$B:$B,'Product Tgt'!$D:$D),0),0)</f>
        <v>0</v>
      </c>
      <c r="CF80" s="11">
        <f>ROUND(IFERROR(AZ80/_xlfn.XLOOKUP(CF$7,'Product Tgt'!$B:$B,'Product Tgt'!$D:$D),0),0)</f>
        <v>0</v>
      </c>
      <c r="CG80" s="11">
        <f>ROUND(IFERROR(BA80/_xlfn.XLOOKUP(CG$7,'Product Tgt'!$B:$B,'Product Tgt'!$D:$D),0),0)</f>
        <v>0</v>
      </c>
      <c r="CH80" s="11">
        <f>ROUND(IFERROR(BB80/_xlfn.XLOOKUP(CH$7,'Product Tgt'!$B:$B,'Product Tgt'!$D:$D),0),0)</f>
        <v>0</v>
      </c>
      <c r="CI80" s="11">
        <f>ROUND(IFERROR(BC80/_xlfn.XLOOKUP(CI$7,'Product Tgt'!$B:$B,'Product Tgt'!$D:$D),0),0)</f>
        <v>0</v>
      </c>
      <c r="CJ80" s="11">
        <f>ROUND(IFERROR(BD80/_xlfn.XLOOKUP(CJ$7,'Product Tgt'!$B:$B,'Product Tgt'!$D:$D),0),0)</f>
        <v>0</v>
      </c>
      <c r="CK80" s="11">
        <f>ROUND(IFERROR(BE80/_xlfn.XLOOKUP(CK$7,'Product Tgt'!$B:$B,'Product Tgt'!$D:$D),0),0)</f>
        <v>0</v>
      </c>
      <c r="CL80" s="11">
        <f>ROUND(IFERROR(BF80/_xlfn.XLOOKUP(CL$7,'Product Tgt'!$B:$B,'Product Tgt'!$D:$D),0),0)</f>
        <v>0</v>
      </c>
      <c r="CM80" s="11">
        <f>ROUND(IFERROR(BG80/_xlfn.XLOOKUP(CM$7,'Product Tgt'!$B:$B,'Product Tgt'!$D:$D),0),0)</f>
        <v>0</v>
      </c>
      <c r="CN80" s="11">
        <f>ROUND(IFERROR(BH80/_xlfn.XLOOKUP(CN$7,'Product Tgt'!$B:$B,'Product Tgt'!$D:$D),0),0)</f>
        <v>0</v>
      </c>
      <c r="CO80" s="11">
        <f>ROUND(IFERROR(BI80/_xlfn.XLOOKUP(CO$7,'Product Tgt'!$B:$B,'Product Tgt'!$D:$D),0),0)</f>
        <v>0</v>
      </c>
      <c r="CP80" s="11">
        <f>ROUND(IFERROR(BJ80/_xlfn.XLOOKUP(CP$7,'Product Tgt'!$B:$B,'Product Tgt'!$D:$D),0),0)</f>
        <v>0</v>
      </c>
      <c r="CQ80" s="11">
        <f>ROUND(IFERROR(BK80/_xlfn.XLOOKUP(CQ$7,'Product Tgt'!$B:$B,'Product Tgt'!$D:$D),0),0)</f>
        <v>0</v>
      </c>
      <c r="CR80" s="11">
        <f>ROUND(IFERROR(BL80/_xlfn.XLOOKUP(CR$7,'Product Tgt'!$B:$B,'Product Tgt'!$D:$D),0),0)</f>
        <v>0</v>
      </c>
      <c r="CS80" s="11">
        <f>ROUND(IFERROR(BM80/_xlfn.XLOOKUP(CS$7,'Product Tgt'!$B:$B,'Product Tgt'!$D:$D),0),0)</f>
        <v>0</v>
      </c>
      <c r="CT80" s="11">
        <f>ROUND(IFERROR(BN80/_xlfn.XLOOKUP(CT$7,'Product Tgt'!$B:$B,'Product Tgt'!$D:$D),0),0)</f>
        <v>0</v>
      </c>
      <c r="CU80" s="11">
        <f>ROUND(IFERROR(BO80/_xlfn.XLOOKUP(CU$7,'Product Tgt'!$B:$B,'Product Tgt'!$D:$D),0),0)</f>
        <v>0</v>
      </c>
      <c r="CV80" s="11">
        <f>ROUND(IFERROR(BP80/_xlfn.XLOOKUP(CV$7,'Product Tgt'!$B:$B,'Product Tgt'!$D:$D),0),0)</f>
        <v>0</v>
      </c>
      <c r="CW80" s="11">
        <f>ROUND(IFERROR(BQ80/_xlfn.XLOOKUP(CW$7,'Product Tgt'!$B:$B,'Product Tgt'!$D:$D),0),0)</f>
        <v>0</v>
      </c>
      <c r="CX80" s="11">
        <f>ROUND(IFERROR(#REF!/_xlfn.XLOOKUP(CX$7,'Product Tgt'!$B:$B,'Product Tgt'!$D:$D),0),0)</f>
        <v>0</v>
      </c>
      <c r="CY80" s="11">
        <f>ROUND(IFERROR(#REF!/_xlfn.XLOOKUP(CY$7,'Product Tgt'!$B:$B,'Product Tgt'!$D:$D),0),0)</f>
        <v>0</v>
      </c>
      <c r="CZ80" s="11">
        <f>ROUND(IFERROR(#REF!/_xlfn.XLOOKUP(CZ$7,'Product Tgt'!$B:$B,'Product Tgt'!$D:$D),0),0)</f>
        <v>0</v>
      </c>
      <c r="DA80" s="10">
        <f>IFERROR(BR80*_xlfn.XLOOKUP(DA$7,'Product Tgt'!$B:$B,'Product Tgt'!$D:$D),0)</f>
        <v>0</v>
      </c>
      <c r="DB80">
        <f>IFERROR(BS80*_xlfn.XLOOKUP(DB$7,'Product Tgt'!$B:$B,'Product Tgt'!$D:$D),0)</f>
        <v>0</v>
      </c>
      <c r="DC80">
        <f>IFERROR(BT80*_xlfn.XLOOKUP(DC$7,'Product Tgt'!$B:$B,'Product Tgt'!$D:$D),0)</f>
        <v>0</v>
      </c>
      <c r="DD80">
        <f>IFERROR(BU80*_xlfn.XLOOKUP(DD$7,'Product Tgt'!$B:$B,'Product Tgt'!$D:$D),0)</f>
        <v>0</v>
      </c>
      <c r="DE80">
        <f>IFERROR(BV80*_xlfn.XLOOKUP(DE$7,'Product Tgt'!$B:$B,'Product Tgt'!$D:$D),0)</f>
        <v>0</v>
      </c>
      <c r="DF80">
        <f>IFERROR(BW80*_xlfn.XLOOKUP(DF$7,'Product Tgt'!$B:$B,'Product Tgt'!$D:$D),0)</f>
        <v>0</v>
      </c>
      <c r="DG80">
        <f>IFERROR(BX80*_xlfn.XLOOKUP(DG$7,'Product Tgt'!$B:$B,'Product Tgt'!$D:$D),0)</f>
        <v>0</v>
      </c>
      <c r="DH80">
        <f>IFERROR(BY80*_xlfn.XLOOKUP(DH$7,'Product Tgt'!$B:$B,'Product Tgt'!$D:$D),0)</f>
        <v>0</v>
      </c>
      <c r="DI80">
        <f>IFERROR(BZ80*_xlfn.XLOOKUP(DI$7,'Product Tgt'!$B:$B,'Product Tgt'!$D:$D),0)</f>
        <v>0</v>
      </c>
      <c r="DJ80">
        <f>IFERROR(CA80*_xlfn.XLOOKUP(DJ$7,'Product Tgt'!$B:$B,'Product Tgt'!$D:$D),0)</f>
        <v>0</v>
      </c>
      <c r="DK80">
        <f>IFERROR(CB80*_xlfn.XLOOKUP(DK$7,'Product Tgt'!$B:$B,'Product Tgt'!$D:$D),0)</f>
        <v>0</v>
      </c>
      <c r="DL80">
        <f>IFERROR(CC80*_xlfn.XLOOKUP(DL$7,'Product Tgt'!$B:$B,'Product Tgt'!$D:$D),0)</f>
        <v>0</v>
      </c>
      <c r="DM80">
        <f>IFERROR(CD80*_xlfn.XLOOKUP(DM$7,'Product Tgt'!$B:$B,'Product Tgt'!$D:$D),0)</f>
        <v>0</v>
      </c>
      <c r="DN80">
        <f>IFERROR(CE80*_xlfn.XLOOKUP(DN$7,'Product Tgt'!$B:$B,'Product Tgt'!$D:$D),0)</f>
        <v>0</v>
      </c>
      <c r="DO80">
        <f>IFERROR(CF80*_xlfn.XLOOKUP(DO$7,'Product Tgt'!$B:$B,'Product Tgt'!$D:$D),0)</f>
        <v>0</v>
      </c>
      <c r="DP80">
        <f>IFERROR(CG80*_xlfn.XLOOKUP(DP$7,'Product Tgt'!$B:$B,'Product Tgt'!$D:$D),0)</f>
        <v>0</v>
      </c>
      <c r="DQ80">
        <f>IFERROR(CH80*_xlfn.XLOOKUP(DQ$7,'Product Tgt'!$B:$B,'Product Tgt'!$D:$D),0)</f>
        <v>0</v>
      </c>
      <c r="DR80">
        <f>IFERROR(CI80*_xlfn.XLOOKUP(DR$7,'Product Tgt'!$B:$B,'Product Tgt'!$D:$D),0)</f>
        <v>0</v>
      </c>
      <c r="DS80">
        <f>IFERROR(CJ80*_xlfn.XLOOKUP(DS$7,'Product Tgt'!$B:$B,'Product Tgt'!$D:$D),0)</f>
        <v>0</v>
      </c>
      <c r="DT80">
        <f>IFERROR(CK80*_xlfn.XLOOKUP(DT$7,'Product Tgt'!$B:$B,'Product Tgt'!$D:$D),0)</f>
        <v>0</v>
      </c>
      <c r="DU80">
        <f>IFERROR(CL80*_xlfn.XLOOKUP(DU$7,'Product Tgt'!$B:$B,'Product Tgt'!$D:$D),0)</f>
        <v>0</v>
      </c>
      <c r="DV80">
        <f>IFERROR(CM80*_xlfn.XLOOKUP(DV$7,'Product Tgt'!$B:$B,'Product Tgt'!$D:$D),0)</f>
        <v>0</v>
      </c>
      <c r="DW80">
        <f>IFERROR(CN80*_xlfn.XLOOKUP(DW$7,'Product Tgt'!$B:$B,'Product Tgt'!$D:$D),0)</f>
        <v>0</v>
      </c>
      <c r="DX80">
        <f>IFERROR(CO80*_xlfn.XLOOKUP(DX$7,'Product Tgt'!$B:$B,'Product Tgt'!$D:$D),0)</f>
        <v>0</v>
      </c>
      <c r="DY80">
        <f>IFERROR(CP80*_xlfn.XLOOKUP(DY$7,'Product Tgt'!$B:$B,'Product Tgt'!$D:$D),0)</f>
        <v>0</v>
      </c>
      <c r="DZ80">
        <f>IFERROR(CQ80*_xlfn.XLOOKUP(DZ$7,'Product Tgt'!$B:$B,'Product Tgt'!$D:$D),0)</f>
        <v>0</v>
      </c>
      <c r="EA80">
        <f>IFERROR(CR80*_xlfn.XLOOKUP(EA$7,'Product Tgt'!$B:$B,'Product Tgt'!$D:$D),0)</f>
        <v>0</v>
      </c>
      <c r="EB80">
        <f>IFERROR(CS80*_xlfn.XLOOKUP(EB$7,'Product Tgt'!$B:$B,'Product Tgt'!$D:$D),0)</f>
        <v>0</v>
      </c>
      <c r="EC80">
        <f>IFERROR(CT80*_xlfn.XLOOKUP(EC$7,'Product Tgt'!$B:$B,'Product Tgt'!$D:$D),0)</f>
        <v>0</v>
      </c>
      <c r="ED80">
        <f>IFERROR(CU80*_xlfn.XLOOKUP(ED$7,'Product Tgt'!$B:$B,'Product Tgt'!$D:$D),0)</f>
        <v>0</v>
      </c>
      <c r="EE80">
        <f>IFERROR(CV80*_xlfn.XLOOKUP(EE$7,'Product Tgt'!$B:$B,'Product Tgt'!$D:$D),0)</f>
        <v>0</v>
      </c>
      <c r="EF80">
        <f>IFERROR(CW80*_xlfn.XLOOKUP(EF$7,'Product Tgt'!$B:$B,'Product Tgt'!$D:$D),0)</f>
        <v>0</v>
      </c>
      <c r="EG80">
        <f>IFERROR(CX80*_xlfn.XLOOKUP(EG$7,'Product Tgt'!$B:$B,'Product Tgt'!$D:$D),0)</f>
        <v>0</v>
      </c>
      <c r="EH80">
        <f>IFERROR(CY80*_xlfn.XLOOKUP(EH$7,'Product Tgt'!$B:$B,'Product Tgt'!$D:$D),0)</f>
        <v>0</v>
      </c>
      <c r="EI80">
        <f>IFERROR(CZ80*_xlfn.XLOOKUP(EI$7,'Product Tgt'!$B:$B,'Product Tgt'!$D:$D),0)</f>
        <v>0</v>
      </c>
    </row>
    <row r="81" spans="2:139" x14ac:dyDescent="0.35">
      <c r="B81" s="7" t="s">
        <v>123</v>
      </c>
      <c r="C81" s="3">
        <f>_xlfn.XLOOKUP($B81,'Terr Target'!$A:$A,'Terr Target'!$E:$E)</f>
        <v>382447.81006777991</v>
      </c>
      <c r="D81" s="3">
        <f t="shared" si="10"/>
        <v>382446</v>
      </c>
      <c r="E81" s="4">
        <f t="shared" si="11"/>
        <v>-1.8100677799084224</v>
      </c>
      <c r="F81" s="9">
        <f t="shared" si="7"/>
        <v>4.7328715162622232E-6</v>
      </c>
      <c r="G81" s="5">
        <f t="shared" si="12"/>
        <v>1.0000047328715163</v>
      </c>
      <c r="H81" s="38">
        <v>33053.861773123441</v>
      </c>
      <c r="I81" s="11">
        <v>63942.302979916756</v>
      </c>
      <c r="J81" s="11">
        <v>33822.19393232467</v>
      </c>
      <c r="K81" s="11">
        <v>41426.070043526226</v>
      </c>
      <c r="L81" s="11">
        <v>27888.334536140643</v>
      </c>
      <c r="M81" s="11">
        <v>18915.859213552838</v>
      </c>
      <c r="N81" s="11">
        <v>457.19670792356038</v>
      </c>
      <c r="O81" s="11">
        <v>2413.8777728915734</v>
      </c>
      <c r="P81" s="11">
        <v>1810.6802307945375</v>
      </c>
      <c r="Q81" s="11">
        <v>1385.7289823152776</v>
      </c>
      <c r="R81" s="11">
        <v>13324.111856170113</v>
      </c>
      <c r="S81" s="11">
        <v>18853.342095429725</v>
      </c>
      <c r="T81" s="11">
        <v>1542.7770585282276</v>
      </c>
      <c r="U81" s="11">
        <v>2862.0111099532128</v>
      </c>
      <c r="V81" s="11">
        <v>21357.319845100861</v>
      </c>
      <c r="W81" s="11">
        <v>19198.26377919822</v>
      </c>
      <c r="X81" s="11">
        <v>3160.1053776017879</v>
      </c>
      <c r="Y81" s="11">
        <v>2942.564336091551</v>
      </c>
      <c r="Z81" s="11">
        <v>390.7521290936121</v>
      </c>
      <c r="AA81" s="11">
        <v>11640.429591975224</v>
      </c>
      <c r="AB81" s="11">
        <v>3208.4836371803076</v>
      </c>
      <c r="AC81" s="11">
        <v>5171.2371606258066</v>
      </c>
      <c r="AD81" s="11">
        <v>13099.561807859991</v>
      </c>
      <c r="AE81" s="11">
        <v>18356.377330246465</v>
      </c>
      <c r="AF81" s="11">
        <v>1564.8816130192456</v>
      </c>
      <c r="AG81" s="11">
        <v>15680.608421093659</v>
      </c>
      <c r="AH81" s="11">
        <v>728.10086298637316</v>
      </c>
      <c r="AI81" s="11">
        <v>7910.3388912793052</v>
      </c>
      <c r="AJ81" s="11">
        <v>9340.3172642248937</v>
      </c>
      <c r="AK81" s="11">
        <v>3472.6406161570235</v>
      </c>
      <c r="AL81" s="49">
        <v>4850.4139729379485</v>
      </c>
      <c r="AM81" s="41">
        <f>IFERROR(ROUND(_xlfn.XLOOKUP(AM$7,'Product Tgt'!$B:$B,'Product Tgt'!$G:$G)*H81/H$121,0),0)</f>
        <v>32134</v>
      </c>
      <c r="AN81" s="41">
        <f>IFERROR(ROUND(_xlfn.XLOOKUP(AN$7,'Product Tgt'!$B:$B,'Product Tgt'!$G:$G)*I81/I$121,0),0)</f>
        <v>62945</v>
      </c>
      <c r="AO81" s="41">
        <f>IFERROR(ROUND(_xlfn.XLOOKUP(AO$7,'Product Tgt'!$B:$B,'Product Tgt'!$G:$G)*J81/J$121,0),0)</f>
        <v>32770</v>
      </c>
      <c r="AP81" s="41">
        <f>IFERROR(ROUND(_xlfn.XLOOKUP(AP$7,'Product Tgt'!$B:$B,'Product Tgt'!$G:$G)*K81/K$121,0),0)</f>
        <v>40412</v>
      </c>
      <c r="AQ81" s="41">
        <f>IFERROR(ROUND(_xlfn.XLOOKUP(AQ$7,'Product Tgt'!$B:$B,'Product Tgt'!$G:$G)*L81/L$121,0),0)</f>
        <v>26966</v>
      </c>
      <c r="AR81" s="41">
        <f>IFERROR(ROUND(_xlfn.XLOOKUP(AR$7,'Product Tgt'!$B:$B,'Product Tgt'!$G:$G)*M81/M$121,0),0)</f>
        <v>18326</v>
      </c>
      <c r="AS81" s="41">
        <f>IFERROR(ROUND(_xlfn.XLOOKUP(AS$7,'Product Tgt'!$B:$B,'Product Tgt'!$G:$G)*N81/N$121,0),0)</f>
        <v>422</v>
      </c>
      <c r="AT81" s="41">
        <f>IFERROR(ROUND(_xlfn.XLOOKUP(AT$7,'Product Tgt'!$B:$B,'Product Tgt'!$G:$G)*O81/O$121,0),0)</f>
        <v>2173</v>
      </c>
      <c r="AU81" s="41">
        <f>IFERROR(ROUND(_xlfn.XLOOKUP(AU$7,'Product Tgt'!$B:$B,'Product Tgt'!$G:$G)*P81/P$121,0),0)</f>
        <v>772</v>
      </c>
      <c r="AV81" s="41">
        <f>IFERROR(ROUND(_xlfn.XLOOKUP(AV$7,'Product Tgt'!$B:$B,'Product Tgt'!$G:$G)*Q81/Q$121,0),0)</f>
        <v>1040</v>
      </c>
      <c r="AW81" s="41">
        <f>IFERROR(ROUND(_xlfn.XLOOKUP(AW$7,'Product Tgt'!$B:$B,'Product Tgt'!$G:$G)*R81/R$121,0),0)</f>
        <v>12832</v>
      </c>
      <c r="AX81" s="41">
        <f>IFERROR(ROUND(_xlfn.XLOOKUP(AX$7,'Product Tgt'!$B:$B,'Product Tgt'!$G:$G)*S81/S$121,0),0)</f>
        <v>18158</v>
      </c>
      <c r="AY81" s="41">
        <f>IFERROR(ROUND(_xlfn.XLOOKUP(AY$7,'Product Tgt'!$B:$B,'Product Tgt'!$G:$G)*T81/T$121,0),0)</f>
        <v>1548</v>
      </c>
      <c r="AZ81" s="41">
        <f>IFERROR(ROUND(_xlfn.XLOOKUP(AZ$7,'Product Tgt'!$B:$B,'Product Tgt'!$G:$G)*U81/U$121,0),0)</f>
        <v>2739</v>
      </c>
      <c r="BA81" s="41">
        <f>IFERROR(ROUND(_xlfn.XLOOKUP(BA$7,'Product Tgt'!$B:$B,'Product Tgt'!$G:$G)*V81/V$121,0),0)</f>
        <v>20563</v>
      </c>
      <c r="BB81" s="41">
        <f>IFERROR(ROUND(_xlfn.XLOOKUP(BB$7,'Product Tgt'!$B:$B,'Product Tgt'!$G:$G)*W81/W$121,0),0)</f>
        <v>18377</v>
      </c>
      <c r="BC81" s="41">
        <f>IFERROR(ROUND(_xlfn.XLOOKUP(BC$7,'Product Tgt'!$B:$B,'Product Tgt'!$G:$G)*X81/X$121,0),0)</f>
        <v>3058</v>
      </c>
      <c r="BD81" s="41">
        <f>IFERROR(ROUND(_xlfn.XLOOKUP(BD$7,'Product Tgt'!$B:$B,'Product Tgt'!$G:$G)*Y81/Y$121,0),0)</f>
        <v>2845</v>
      </c>
      <c r="BE81" s="41">
        <f>IFERROR(ROUND(_xlfn.XLOOKUP(BE$7,'Product Tgt'!$B:$B,'Product Tgt'!$G:$G)*Z81/Z$121,0),0)</f>
        <v>371</v>
      </c>
      <c r="BF81" s="41">
        <f>IFERROR(ROUND(_xlfn.XLOOKUP(BF$7,'Product Tgt'!$B:$B,'Product Tgt'!$G:$G)*AA81/AA$121,0),0)</f>
        <v>9433</v>
      </c>
      <c r="BG81" s="41">
        <f>IFERROR(ROUND(_xlfn.XLOOKUP(BG$7,'Product Tgt'!$B:$B,'Product Tgt'!$G:$G)*AB81/AB$121,0),0)</f>
        <v>2571</v>
      </c>
      <c r="BH81" s="41">
        <f>IFERROR(ROUND(_xlfn.XLOOKUP(BH$7,'Product Tgt'!$B:$B,'Product Tgt'!$G:$G)*AC81/AC$121,0),0)</f>
        <v>4426</v>
      </c>
      <c r="BI81" s="41">
        <f>IFERROR(ROUND(_xlfn.XLOOKUP(BI$7,'Product Tgt'!$B:$B,'Product Tgt'!$G:$G)*AD81/AD$121,0),0)</f>
        <v>11404</v>
      </c>
      <c r="BJ81" s="41">
        <f>IFERROR(ROUND(_xlfn.XLOOKUP(BJ$7,'Product Tgt'!$B:$B,'Product Tgt'!$G:$G)*AE81/AE$121,0),0)</f>
        <v>17085</v>
      </c>
      <c r="BK81" s="41">
        <f>IFERROR(ROUND(_xlfn.XLOOKUP(BK$7,'Product Tgt'!$B:$B,'Product Tgt'!$G:$G)*AF81/AF$121,0),0)</f>
        <v>1748</v>
      </c>
      <c r="BL81" s="41">
        <f>IFERROR(ROUND(_xlfn.XLOOKUP(BL$7,'Product Tgt'!$B:$B,'Product Tgt'!$G:$G)*AG81/AG$121,0),0)</f>
        <v>14978</v>
      </c>
      <c r="BM81" s="41">
        <f>IFERROR(ROUND(_xlfn.XLOOKUP(BM$7,'Product Tgt'!$B:$B,'Product Tgt'!$G:$G)*AH81/AH$121,0),0)</f>
        <v>571</v>
      </c>
      <c r="BN81" s="41">
        <f>IFERROR(ROUND(_xlfn.XLOOKUP(BN$7,'Product Tgt'!$B:$B,'Product Tgt'!$G:$G)*AI81/AI$121,0),0)</f>
        <v>7265</v>
      </c>
      <c r="BO81" s="41">
        <f>IFERROR(ROUND(_xlfn.XLOOKUP(BO$7,'Product Tgt'!$B:$B,'Product Tgt'!$G:$G)*AJ81/AJ$121,0),0)</f>
        <v>8079</v>
      </c>
      <c r="BP81" s="41">
        <f>IFERROR(ROUND(_xlfn.XLOOKUP(BP$7,'Product Tgt'!$B:$B,'Product Tgt'!$G:$G)*AK81/AK$121,0),0)</f>
        <v>2644</v>
      </c>
      <c r="BQ81" s="41">
        <f>IFERROR(ROUND(_xlfn.XLOOKUP(BQ$7,'Product Tgt'!$B:$B,'Product Tgt'!$G:$G)*AL81/AL$121,0),0)</f>
        <v>3791</v>
      </c>
      <c r="BR81" s="25">
        <f>ROUND(IFERROR(AM81/_xlfn.XLOOKUP(BR$7,'Product Tgt'!$B:$B,'Product Tgt'!$D:$D),0),0)</f>
        <v>0</v>
      </c>
      <c r="BS81" s="11">
        <f>ROUND(IFERROR(AN81/_xlfn.XLOOKUP(BS$7,'Product Tgt'!$B:$B,'Product Tgt'!$D:$D),0),0)</f>
        <v>0</v>
      </c>
      <c r="BT81" s="11">
        <f>ROUND(IFERROR(AO81/_xlfn.XLOOKUP(BT$7,'Product Tgt'!$B:$B,'Product Tgt'!$D:$D),0),0)</f>
        <v>0</v>
      </c>
      <c r="BU81" s="11">
        <f>ROUND(IFERROR(AP81/_xlfn.XLOOKUP(BU$7,'Product Tgt'!$B:$B,'Product Tgt'!$D:$D),0),0)</f>
        <v>0</v>
      </c>
      <c r="BV81" s="11">
        <f>ROUND(IFERROR(AQ81/_xlfn.XLOOKUP(BV$7,'Product Tgt'!$B:$B,'Product Tgt'!$D:$D),0),0)</f>
        <v>0</v>
      </c>
      <c r="BW81" s="11">
        <f>ROUND(IFERROR(AU81/_xlfn.XLOOKUP(BW$7,'Product Tgt'!$B:$B,'Product Tgt'!$D:$D),0),0)</f>
        <v>0</v>
      </c>
      <c r="BX81" s="11">
        <f>ROUND(IFERROR(#REF!/_xlfn.XLOOKUP(BX$7,'Product Tgt'!$B:$B,'Product Tgt'!$D:$D),0),0)</f>
        <v>0</v>
      </c>
      <c r="BY81" s="11">
        <f>ROUND(IFERROR(#REF!/_xlfn.XLOOKUP(BY$7,'Product Tgt'!$B:$B,'Product Tgt'!$D:$D),0),0)</f>
        <v>0</v>
      </c>
      <c r="BZ81" s="11">
        <f>ROUND(IFERROR(#REF!/_xlfn.XLOOKUP(BZ$7,'Product Tgt'!$B:$B,'Product Tgt'!$D:$D),0),0)</f>
        <v>0</v>
      </c>
      <c r="CA81" s="11">
        <f>ROUND(IFERROR(#REF!/_xlfn.XLOOKUP(CA$7,'Product Tgt'!$B:$B,'Product Tgt'!$D:$D),0),0)</f>
        <v>0</v>
      </c>
      <c r="CB81" s="11">
        <f>ROUND(IFERROR(AV81/_xlfn.XLOOKUP(CB$7,'Product Tgt'!$B:$B,'Product Tgt'!$D:$D),0),0)</f>
        <v>0</v>
      </c>
      <c r="CC81" s="11">
        <f>ROUND(IFERROR(AW81/_xlfn.XLOOKUP(CC$7,'Product Tgt'!$B:$B,'Product Tgt'!$D:$D),0),0)</f>
        <v>0</v>
      </c>
      <c r="CD81" s="11">
        <f>ROUND(IFERROR(AX81/_xlfn.XLOOKUP(CD$7,'Product Tgt'!$B:$B,'Product Tgt'!$D:$D),0),0)</f>
        <v>0</v>
      </c>
      <c r="CE81" s="11">
        <f>ROUND(IFERROR(AY81/_xlfn.XLOOKUP(CE$7,'Product Tgt'!$B:$B,'Product Tgt'!$D:$D),0),0)</f>
        <v>0</v>
      </c>
      <c r="CF81" s="11">
        <f>ROUND(IFERROR(AZ81/_xlfn.XLOOKUP(CF$7,'Product Tgt'!$B:$B,'Product Tgt'!$D:$D),0),0)</f>
        <v>0</v>
      </c>
      <c r="CG81" s="11">
        <f>ROUND(IFERROR(BA81/_xlfn.XLOOKUP(CG$7,'Product Tgt'!$B:$B,'Product Tgt'!$D:$D),0),0)</f>
        <v>0</v>
      </c>
      <c r="CH81" s="11">
        <f>ROUND(IFERROR(BB81/_xlfn.XLOOKUP(CH$7,'Product Tgt'!$B:$B,'Product Tgt'!$D:$D),0),0)</f>
        <v>0</v>
      </c>
      <c r="CI81" s="11">
        <f>ROUND(IFERROR(BC81/_xlfn.XLOOKUP(CI$7,'Product Tgt'!$B:$B,'Product Tgt'!$D:$D),0),0)</f>
        <v>0</v>
      </c>
      <c r="CJ81" s="11">
        <f>ROUND(IFERROR(BD81/_xlfn.XLOOKUP(CJ$7,'Product Tgt'!$B:$B,'Product Tgt'!$D:$D),0),0)</f>
        <v>0</v>
      </c>
      <c r="CK81" s="11">
        <f>ROUND(IFERROR(BE81/_xlfn.XLOOKUP(CK$7,'Product Tgt'!$B:$B,'Product Tgt'!$D:$D),0),0)</f>
        <v>0</v>
      </c>
      <c r="CL81" s="11">
        <f>ROUND(IFERROR(BF81/_xlfn.XLOOKUP(CL$7,'Product Tgt'!$B:$B,'Product Tgt'!$D:$D),0),0)</f>
        <v>0</v>
      </c>
      <c r="CM81" s="11">
        <f>ROUND(IFERROR(BG81/_xlfn.XLOOKUP(CM$7,'Product Tgt'!$B:$B,'Product Tgt'!$D:$D),0),0)</f>
        <v>0</v>
      </c>
      <c r="CN81" s="11">
        <f>ROUND(IFERROR(BH81/_xlfn.XLOOKUP(CN$7,'Product Tgt'!$B:$B,'Product Tgt'!$D:$D),0),0)</f>
        <v>0</v>
      </c>
      <c r="CO81" s="11">
        <f>ROUND(IFERROR(BI81/_xlfn.XLOOKUP(CO$7,'Product Tgt'!$B:$B,'Product Tgt'!$D:$D),0),0)</f>
        <v>0</v>
      </c>
      <c r="CP81" s="11">
        <f>ROUND(IFERROR(BJ81/_xlfn.XLOOKUP(CP$7,'Product Tgt'!$B:$B,'Product Tgt'!$D:$D),0),0)</f>
        <v>0</v>
      </c>
      <c r="CQ81" s="11">
        <f>ROUND(IFERROR(BK81/_xlfn.XLOOKUP(CQ$7,'Product Tgt'!$B:$B,'Product Tgt'!$D:$D),0),0)</f>
        <v>0</v>
      </c>
      <c r="CR81" s="11">
        <f>ROUND(IFERROR(BL81/_xlfn.XLOOKUP(CR$7,'Product Tgt'!$B:$B,'Product Tgt'!$D:$D),0),0)</f>
        <v>0</v>
      </c>
      <c r="CS81" s="11">
        <f>ROUND(IFERROR(BM81/_xlfn.XLOOKUP(CS$7,'Product Tgt'!$B:$B,'Product Tgt'!$D:$D),0),0)</f>
        <v>0</v>
      </c>
      <c r="CT81" s="11">
        <f>ROUND(IFERROR(BN81/_xlfn.XLOOKUP(CT$7,'Product Tgt'!$B:$B,'Product Tgt'!$D:$D),0),0)</f>
        <v>0</v>
      </c>
      <c r="CU81" s="11">
        <f>ROUND(IFERROR(BO81/_xlfn.XLOOKUP(CU$7,'Product Tgt'!$B:$B,'Product Tgt'!$D:$D),0),0)</f>
        <v>0</v>
      </c>
      <c r="CV81" s="11">
        <f>ROUND(IFERROR(BP81/_xlfn.XLOOKUP(CV$7,'Product Tgt'!$B:$B,'Product Tgt'!$D:$D),0),0)</f>
        <v>0</v>
      </c>
      <c r="CW81" s="11">
        <f>ROUND(IFERROR(BQ81/_xlfn.XLOOKUP(CW$7,'Product Tgt'!$B:$B,'Product Tgt'!$D:$D),0),0)</f>
        <v>0</v>
      </c>
      <c r="CX81" s="11">
        <f>ROUND(IFERROR(#REF!/_xlfn.XLOOKUP(CX$7,'Product Tgt'!$B:$B,'Product Tgt'!$D:$D),0),0)</f>
        <v>0</v>
      </c>
      <c r="CY81" s="11">
        <f>ROUND(IFERROR(#REF!/_xlfn.XLOOKUP(CY$7,'Product Tgt'!$B:$B,'Product Tgt'!$D:$D),0),0)</f>
        <v>0</v>
      </c>
      <c r="CZ81" s="11">
        <f>ROUND(IFERROR(#REF!/_xlfn.XLOOKUP(CZ$7,'Product Tgt'!$B:$B,'Product Tgt'!$D:$D),0),0)</f>
        <v>0</v>
      </c>
      <c r="DA81" s="10">
        <f>IFERROR(BR81*_xlfn.XLOOKUP(DA$7,'Product Tgt'!$B:$B,'Product Tgt'!$D:$D),0)</f>
        <v>0</v>
      </c>
      <c r="DB81">
        <f>IFERROR(BS81*_xlfn.XLOOKUP(DB$7,'Product Tgt'!$B:$B,'Product Tgt'!$D:$D),0)</f>
        <v>0</v>
      </c>
      <c r="DC81">
        <f>IFERROR(BT81*_xlfn.XLOOKUP(DC$7,'Product Tgt'!$B:$B,'Product Tgt'!$D:$D),0)</f>
        <v>0</v>
      </c>
      <c r="DD81">
        <f>IFERROR(BU81*_xlfn.XLOOKUP(DD$7,'Product Tgt'!$B:$B,'Product Tgt'!$D:$D),0)</f>
        <v>0</v>
      </c>
      <c r="DE81">
        <f>IFERROR(BV81*_xlfn.XLOOKUP(DE$7,'Product Tgt'!$B:$B,'Product Tgt'!$D:$D),0)</f>
        <v>0</v>
      </c>
      <c r="DF81">
        <f>IFERROR(BW81*_xlfn.XLOOKUP(DF$7,'Product Tgt'!$B:$B,'Product Tgt'!$D:$D),0)</f>
        <v>0</v>
      </c>
      <c r="DG81">
        <f>IFERROR(BX81*_xlfn.XLOOKUP(DG$7,'Product Tgt'!$B:$B,'Product Tgt'!$D:$D),0)</f>
        <v>0</v>
      </c>
      <c r="DH81">
        <f>IFERROR(BY81*_xlfn.XLOOKUP(DH$7,'Product Tgt'!$B:$B,'Product Tgt'!$D:$D),0)</f>
        <v>0</v>
      </c>
      <c r="DI81">
        <f>IFERROR(BZ81*_xlfn.XLOOKUP(DI$7,'Product Tgt'!$B:$B,'Product Tgt'!$D:$D),0)</f>
        <v>0</v>
      </c>
      <c r="DJ81">
        <f>IFERROR(CA81*_xlfn.XLOOKUP(DJ$7,'Product Tgt'!$B:$B,'Product Tgt'!$D:$D),0)</f>
        <v>0</v>
      </c>
      <c r="DK81">
        <f>IFERROR(CB81*_xlfn.XLOOKUP(DK$7,'Product Tgt'!$B:$B,'Product Tgt'!$D:$D),0)</f>
        <v>0</v>
      </c>
      <c r="DL81">
        <f>IFERROR(CC81*_xlfn.XLOOKUP(DL$7,'Product Tgt'!$B:$B,'Product Tgt'!$D:$D),0)</f>
        <v>0</v>
      </c>
      <c r="DM81">
        <f>IFERROR(CD81*_xlfn.XLOOKUP(DM$7,'Product Tgt'!$B:$B,'Product Tgt'!$D:$D),0)</f>
        <v>0</v>
      </c>
      <c r="DN81">
        <f>IFERROR(CE81*_xlfn.XLOOKUP(DN$7,'Product Tgt'!$B:$B,'Product Tgt'!$D:$D),0)</f>
        <v>0</v>
      </c>
      <c r="DO81">
        <f>IFERROR(CF81*_xlfn.XLOOKUP(DO$7,'Product Tgt'!$B:$B,'Product Tgt'!$D:$D),0)</f>
        <v>0</v>
      </c>
      <c r="DP81">
        <f>IFERROR(CG81*_xlfn.XLOOKUP(DP$7,'Product Tgt'!$B:$B,'Product Tgt'!$D:$D),0)</f>
        <v>0</v>
      </c>
      <c r="DQ81">
        <f>IFERROR(CH81*_xlfn.XLOOKUP(DQ$7,'Product Tgt'!$B:$B,'Product Tgt'!$D:$D),0)</f>
        <v>0</v>
      </c>
      <c r="DR81">
        <f>IFERROR(CI81*_xlfn.XLOOKUP(DR$7,'Product Tgt'!$B:$B,'Product Tgt'!$D:$D),0)</f>
        <v>0</v>
      </c>
      <c r="DS81">
        <f>IFERROR(CJ81*_xlfn.XLOOKUP(DS$7,'Product Tgt'!$B:$B,'Product Tgt'!$D:$D),0)</f>
        <v>0</v>
      </c>
      <c r="DT81">
        <f>IFERROR(CK81*_xlfn.XLOOKUP(DT$7,'Product Tgt'!$B:$B,'Product Tgt'!$D:$D),0)</f>
        <v>0</v>
      </c>
      <c r="DU81">
        <f>IFERROR(CL81*_xlfn.XLOOKUP(DU$7,'Product Tgt'!$B:$B,'Product Tgt'!$D:$D),0)</f>
        <v>0</v>
      </c>
      <c r="DV81">
        <f>IFERROR(CM81*_xlfn.XLOOKUP(DV$7,'Product Tgt'!$B:$B,'Product Tgt'!$D:$D),0)</f>
        <v>0</v>
      </c>
      <c r="DW81">
        <f>IFERROR(CN81*_xlfn.XLOOKUP(DW$7,'Product Tgt'!$B:$B,'Product Tgt'!$D:$D),0)</f>
        <v>0</v>
      </c>
      <c r="DX81">
        <f>IFERROR(CO81*_xlfn.XLOOKUP(DX$7,'Product Tgt'!$B:$B,'Product Tgt'!$D:$D),0)</f>
        <v>0</v>
      </c>
      <c r="DY81">
        <f>IFERROR(CP81*_xlfn.XLOOKUP(DY$7,'Product Tgt'!$B:$B,'Product Tgt'!$D:$D),0)</f>
        <v>0</v>
      </c>
      <c r="DZ81">
        <f>IFERROR(CQ81*_xlfn.XLOOKUP(DZ$7,'Product Tgt'!$B:$B,'Product Tgt'!$D:$D),0)</f>
        <v>0</v>
      </c>
      <c r="EA81">
        <f>IFERROR(CR81*_xlfn.XLOOKUP(EA$7,'Product Tgt'!$B:$B,'Product Tgt'!$D:$D),0)</f>
        <v>0</v>
      </c>
      <c r="EB81">
        <f>IFERROR(CS81*_xlfn.XLOOKUP(EB$7,'Product Tgt'!$B:$B,'Product Tgt'!$D:$D),0)</f>
        <v>0</v>
      </c>
      <c r="EC81">
        <f>IFERROR(CT81*_xlfn.XLOOKUP(EC$7,'Product Tgt'!$B:$B,'Product Tgt'!$D:$D),0)</f>
        <v>0</v>
      </c>
      <c r="ED81">
        <f>IFERROR(CU81*_xlfn.XLOOKUP(ED$7,'Product Tgt'!$B:$B,'Product Tgt'!$D:$D),0)</f>
        <v>0</v>
      </c>
      <c r="EE81">
        <f>IFERROR(CV81*_xlfn.XLOOKUP(EE$7,'Product Tgt'!$B:$B,'Product Tgt'!$D:$D),0)</f>
        <v>0</v>
      </c>
      <c r="EF81">
        <f>IFERROR(CW81*_xlfn.XLOOKUP(EF$7,'Product Tgt'!$B:$B,'Product Tgt'!$D:$D),0)</f>
        <v>0</v>
      </c>
      <c r="EG81">
        <f>IFERROR(CX81*_xlfn.XLOOKUP(EG$7,'Product Tgt'!$B:$B,'Product Tgt'!$D:$D),0)</f>
        <v>0</v>
      </c>
      <c r="EH81">
        <f>IFERROR(CY81*_xlfn.XLOOKUP(EH$7,'Product Tgt'!$B:$B,'Product Tgt'!$D:$D),0)</f>
        <v>0</v>
      </c>
      <c r="EI81">
        <f>IFERROR(CZ81*_xlfn.XLOOKUP(EI$7,'Product Tgt'!$B:$B,'Product Tgt'!$D:$D),0)</f>
        <v>0</v>
      </c>
    </row>
    <row r="82" spans="2:139" x14ac:dyDescent="0.35">
      <c r="B82" s="7" t="s">
        <v>124</v>
      </c>
      <c r="C82" s="3">
        <f>_xlfn.XLOOKUP($B82,'Terr Target'!$A:$A,'Terr Target'!$E:$E)</f>
        <v>359784.58638104488</v>
      </c>
      <c r="D82" s="3">
        <f t="shared" si="10"/>
        <v>359784</v>
      </c>
      <c r="E82" s="4">
        <f t="shared" si="11"/>
        <v>-0.58638104487909004</v>
      </c>
      <c r="F82" s="9">
        <f t="shared" si="7"/>
        <v>1.6298141242498E-6</v>
      </c>
      <c r="G82" s="5">
        <f t="shared" si="12"/>
        <v>1.0000016298141243</v>
      </c>
      <c r="H82" s="38">
        <v>36664.200846092252</v>
      </c>
      <c r="I82" s="11">
        <v>69550.30919155333</v>
      </c>
      <c r="J82" s="11">
        <v>34387.17231802817</v>
      </c>
      <c r="K82" s="11">
        <v>40685.582169651228</v>
      </c>
      <c r="L82" s="11">
        <v>36853.001969374724</v>
      </c>
      <c r="M82" s="11">
        <v>25241.96676164796</v>
      </c>
      <c r="N82" s="11">
        <v>387.12639790018721</v>
      </c>
      <c r="O82" s="11">
        <v>2865.1971214958226</v>
      </c>
      <c r="P82" s="11">
        <v>959.4015015906283</v>
      </c>
      <c r="Q82" s="11">
        <v>687.68950602593736</v>
      </c>
      <c r="R82" s="11">
        <v>6973.9578063124991</v>
      </c>
      <c r="S82" s="11">
        <v>14773.51124723272</v>
      </c>
      <c r="T82" s="11">
        <v>1425.1494204402352</v>
      </c>
      <c r="U82" s="11">
        <v>1413.1870067464122</v>
      </c>
      <c r="V82" s="11">
        <v>15280.430967622549</v>
      </c>
      <c r="W82" s="11">
        <v>20305.291604960119</v>
      </c>
      <c r="X82" s="11">
        <v>3250.3729095091635</v>
      </c>
      <c r="Y82" s="11">
        <v>5248.7130260357062</v>
      </c>
      <c r="Z82" s="11">
        <v>432.95577814981738</v>
      </c>
      <c r="AA82" s="11">
        <v>6118.555658382812</v>
      </c>
      <c r="AB82" s="11">
        <v>2179.5278899955474</v>
      </c>
      <c r="AC82" s="11">
        <v>879.77481942400709</v>
      </c>
      <c r="AD82" s="11">
        <v>3363.7968935927756</v>
      </c>
      <c r="AE82" s="11">
        <v>5472.6350793726606</v>
      </c>
      <c r="AF82" s="11">
        <v>522.48479111956169</v>
      </c>
      <c r="AG82" s="11">
        <v>19300.070675211118</v>
      </c>
      <c r="AH82" s="11">
        <v>920.57839358762999</v>
      </c>
      <c r="AI82" s="11">
        <v>9842.658063931638</v>
      </c>
      <c r="AJ82" s="11">
        <v>7444.1543099550663</v>
      </c>
      <c r="AK82" s="11">
        <v>772.37185055234409</v>
      </c>
      <c r="AL82" s="49">
        <v>1179.2133412374428</v>
      </c>
      <c r="AM82" s="41">
        <f>IFERROR(ROUND(_xlfn.XLOOKUP(AM$7,'Product Tgt'!$B:$B,'Product Tgt'!$G:$G)*H82/H$121,0),0)</f>
        <v>35644</v>
      </c>
      <c r="AN82" s="41">
        <f>IFERROR(ROUND(_xlfn.XLOOKUP(AN$7,'Product Tgt'!$B:$B,'Product Tgt'!$G:$G)*I82/I$121,0),0)</f>
        <v>68465</v>
      </c>
      <c r="AO82" s="41">
        <f>IFERROR(ROUND(_xlfn.XLOOKUP(AO$7,'Product Tgt'!$B:$B,'Product Tgt'!$G:$G)*J82/J$121,0),0)</f>
        <v>33318</v>
      </c>
      <c r="AP82" s="41">
        <f>IFERROR(ROUND(_xlfn.XLOOKUP(AP$7,'Product Tgt'!$B:$B,'Product Tgt'!$G:$G)*K82/K$121,0),0)</f>
        <v>39690</v>
      </c>
      <c r="AQ82" s="41">
        <f>IFERROR(ROUND(_xlfn.XLOOKUP(AQ$7,'Product Tgt'!$B:$B,'Product Tgt'!$G:$G)*L82/L$121,0),0)</f>
        <v>35635</v>
      </c>
      <c r="AR82" s="41">
        <f>IFERROR(ROUND(_xlfn.XLOOKUP(AR$7,'Product Tgt'!$B:$B,'Product Tgt'!$G:$G)*M82/M$121,0),0)</f>
        <v>24454</v>
      </c>
      <c r="AS82" s="41">
        <f>IFERROR(ROUND(_xlfn.XLOOKUP(AS$7,'Product Tgt'!$B:$B,'Product Tgt'!$G:$G)*N82/N$121,0),0)</f>
        <v>358</v>
      </c>
      <c r="AT82" s="41">
        <f>IFERROR(ROUND(_xlfn.XLOOKUP(AT$7,'Product Tgt'!$B:$B,'Product Tgt'!$G:$G)*O82/O$121,0),0)</f>
        <v>2579</v>
      </c>
      <c r="AU82" s="41">
        <f>IFERROR(ROUND(_xlfn.XLOOKUP(AU$7,'Product Tgt'!$B:$B,'Product Tgt'!$G:$G)*P82/P$121,0),0)</f>
        <v>409</v>
      </c>
      <c r="AV82" s="41">
        <f>IFERROR(ROUND(_xlfn.XLOOKUP(AV$7,'Product Tgt'!$B:$B,'Product Tgt'!$G:$G)*Q82/Q$121,0),0)</f>
        <v>516</v>
      </c>
      <c r="AW82" s="41">
        <f>IFERROR(ROUND(_xlfn.XLOOKUP(AW$7,'Product Tgt'!$B:$B,'Product Tgt'!$G:$G)*R82/R$121,0),0)</f>
        <v>6716</v>
      </c>
      <c r="AX82" s="41">
        <f>IFERROR(ROUND(_xlfn.XLOOKUP(AX$7,'Product Tgt'!$B:$B,'Product Tgt'!$G:$G)*S82/S$121,0),0)</f>
        <v>14229</v>
      </c>
      <c r="AY82" s="41">
        <f>IFERROR(ROUND(_xlfn.XLOOKUP(AY$7,'Product Tgt'!$B:$B,'Product Tgt'!$G:$G)*T82/T$121,0),0)</f>
        <v>1430</v>
      </c>
      <c r="AZ82" s="41">
        <f>IFERROR(ROUND(_xlfn.XLOOKUP(AZ$7,'Product Tgt'!$B:$B,'Product Tgt'!$G:$G)*U82/U$121,0),0)</f>
        <v>1352</v>
      </c>
      <c r="BA82" s="41">
        <f>IFERROR(ROUND(_xlfn.XLOOKUP(BA$7,'Product Tgt'!$B:$B,'Product Tgt'!$G:$G)*V82/V$121,0),0)</f>
        <v>14712</v>
      </c>
      <c r="BB82" s="41">
        <f>IFERROR(ROUND(_xlfn.XLOOKUP(BB$7,'Product Tgt'!$B:$B,'Product Tgt'!$G:$G)*W82/W$121,0),0)</f>
        <v>19437</v>
      </c>
      <c r="BC82" s="41">
        <f>IFERROR(ROUND(_xlfn.XLOOKUP(BC$7,'Product Tgt'!$B:$B,'Product Tgt'!$G:$G)*X82/X$121,0),0)</f>
        <v>3145</v>
      </c>
      <c r="BD82" s="41">
        <f>IFERROR(ROUND(_xlfn.XLOOKUP(BD$7,'Product Tgt'!$B:$B,'Product Tgt'!$G:$G)*Y82/Y$121,0),0)</f>
        <v>5075</v>
      </c>
      <c r="BE82" s="41">
        <f>IFERROR(ROUND(_xlfn.XLOOKUP(BE$7,'Product Tgt'!$B:$B,'Product Tgt'!$G:$G)*Z82/Z$121,0),0)</f>
        <v>411</v>
      </c>
      <c r="BF82" s="41">
        <f>IFERROR(ROUND(_xlfn.XLOOKUP(BF$7,'Product Tgt'!$B:$B,'Product Tgt'!$G:$G)*AA82/AA$121,0),0)</f>
        <v>4958</v>
      </c>
      <c r="BG82" s="41">
        <f>IFERROR(ROUND(_xlfn.XLOOKUP(BG$7,'Product Tgt'!$B:$B,'Product Tgt'!$G:$G)*AB82/AB$121,0),0)</f>
        <v>1747</v>
      </c>
      <c r="BH82" s="41">
        <f>IFERROR(ROUND(_xlfn.XLOOKUP(BH$7,'Product Tgt'!$B:$B,'Product Tgt'!$G:$G)*AC82/AC$121,0),0)</f>
        <v>753</v>
      </c>
      <c r="BI82" s="41">
        <f>IFERROR(ROUND(_xlfn.XLOOKUP(BI$7,'Product Tgt'!$B:$B,'Product Tgt'!$G:$G)*AD82/AD$121,0),0)</f>
        <v>2928</v>
      </c>
      <c r="BJ82" s="41">
        <f>IFERROR(ROUND(_xlfn.XLOOKUP(BJ$7,'Product Tgt'!$B:$B,'Product Tgt'!$G:$G)*AE82/AE$121,0),0)</f>
        <v>5094</v>
      </c>
      <c r="BK82" s="41">
        <f>IFERROR(ROUND(_xlfn.XLOOKUP(BK$7,'Product Tgt'!$B:$B,'Product Tgt'!$G:$G)*AF82/AF$121,0),0)</f>
        <v>584</v>
      </c>
      <c r="BL82" s="41">
        <f>IFERROR(ROUND(_xlfn.XLOOKUP(BL$7,'Product Tgt'!$B:$B,'Product Tgt'!$G:$G)*AG82/AG$121,0),0)</f>
        <v>18435</v>
      </c>
      <c r="BM82" s="41">
        <f>IFERROR(ROUND(_xlfn.XLOOKUP(BM$7,'Product Tgt'!$B:$B,'Product Tgt'!$G:$G)*AH82/AH$121,0),0)</f>
        <v>722</v>
      </c>
      <c r="BN82" s="41">
        <f>IFERROR(ROUND(_xlfn.XLOOKUP(BN$7,'Product Tgt'!$B:$B,'Product Tgt'!$G:$G)*AI82/AI$121,0),0)</f>
        <v>9039</v>
      </c>
      <c r="BO82" s="41">
        <f>IFERROR(ROUND(_xlfn.XLOOKUP(BO$7,'Product Tgt'!$B:$B,'Product Tgt'!$G:$G)*AJ82/AJ$121,0),0)</f>
        <v>6439</v>
      </c>
      <c r="BP82" s="41">
        <f>IFERROR(ROUND(_xlfn.XLOOKUP(BP$7,'Product Tgt'!$B:$B,'Product Tgt'!$G:$G)*AK82/AK$121,0),0)</f>
        <v>588</v>
      </c>
      <c r="BQ82" s="41">
        <f>IFERROR(ROUND(_xlfn.XLOOKUP(BQ$7,'Product Tgt'!$B:$B,'Product Tgt'!$G:$G)*AL82/AL$121,0),0)</f>
        <v>922</v>
      </c>
      <c r="BR82" s="25">
        <f>ROUND(IFERROR(AM82/_xlfn.XLOOKUP(BR$7,'Product Tgt'!$B:$B,'Product Tgt'!$D:$D),0),0)</f>
        <v>0</v>
      </c>
      <c r="BS82" s="11">
        <f>ROUND(IFERROR(AN82/_xlfn.XLOOKUP(BS$7,'Product Tgt'!$B:$B,'Product Tgt'!$D:$D),0),0)</f>
        <v>0</v>
      </c>
      <c r="BT82" s="11">
        <f>ROUND(IFERROR(AO82/_xlfn.XLOOKUP(BT$7,'Product Tgt'!$B:$B,'Product Tgt'!$D:$D),0),0)</f>
        <v>0</v>
      </c>
      <c r="BU82" s="11">
        <f>ROUND(IFERROR(AP82/_xlfn.XLOOKUP(BU$7,'Product Tgt'!$B:$B,'Product Tgt'!$D:$D),0),0)</f>
        <v>0</v>
      </c>
      <c r="BV82" s="11">
        <f>ROUND(IFERROR(AQ82/_xlfn.XLOOKUP(BV$7,'Product Tgt'!$B:$B,'Product Tgt'!$D:$D),0),0)</f>
        <v>0</v>
      </c>
      <c r="BW82" s="11">
        <f>ROUND(IFERROR(AU82/_xlfn.XLOOKUP(BW$7,'Product Tgt'!$B:$B,'Product Tgt'!$D:$D),0),0)</f>
        <v>0</v>
      </c>
      <c r="BX82" s="11">
        <f>ROUND(IFERROR(#REF!/_xlfn.XLOOKUP(BX$7,'Product Tgt'!$B:$B,'Product Tgt'!$D:$D),0),0)</f>
        <v>0</v>
      </c>
      <c r="BY82" s="11">
        <f>ROUND(IFERROR(#REF!/_xlfn.XLOOKUP(BY$7,'Product Tgt'!$B:$B,'Product Tgt'!$D:$D),0),0)</f>
        <v>0</v>
      </c>
      <c r="BZ82" s="11">
        <f>ROUND(IFERROR(#REF!/_xlfn.XLOOKUP(BZ$7,'Product Tgt'!$B:$B,'Product Tgt'!$D:$D),0),0)</f>
        <v>0</v>
      </c>
      <c r="CA82" s="11">
        <f>ROUND(IFERROR(#REF!/_xlfn.XLOOKUP(CA$7,'Product Tgt'!$B:$B,'Product Tgt'!$D:$D),0),0)</f>
        <v>0</v>
      </c>
      <c r="CB82" s="11">
        <f>ROUND(IFERROR(AV82/_xlfn.XLOOKUP(CB$7,'Product Tgt'!$B:$B,'Product Tgt'!$D:$D),0),0)</f>
        <v>0</v>
      </c>
      <c r="CC82" s="11">
        <f>ROUND(IFERROR(AW82/_xlfn.XLOOKUP(CC$7,'Product Tgt'!$B:$B,'Product Tgt'!$D:$D),0),0)</f>
        <v>0</v>
      </c>
      <c r="CD82" s="11">
        <f>ROUND(IFERROR(AX82/_xlfn.XLOOKUP(CD$7,'Product Tgt'!$B:$B,'Product Tgt'!$D:$D),0),0)</f>
        <v>0</v>
      </c>
      <c r="CE82" s="11">
        <f>ROUND(IFERROR(AY82/_xlfn.XLOOKUP(CE$7,'Product Tgt'!$B:$B,'Product Tgt'!$D:$D),0),0)</f>
        <v>0</v>
      </c>
      <c r="CF82" s="11">
        <f>ROUND(IFERROR(AZ82/_xlfn.XLOOKUP(CF$7,'Product Tgt'!$B:$B,'Product Tgt'!$D:$D),0),0)</f>
        <v>0</v>
      </c>
      <c r="CG82" s="11">
        <f>ROUND(IFERROR(BA82/_xlfn.XLOOKUP(CG$7,'Product Tgt'!$B:$B,'Product Tgt'!$D:$D),0),0)</f>
        <v>0</v>
      </c>
      <c r="CH82" s="11">
        <f>ROUND(IFERROR(BB82/_xlfn.XLOOKUP(CH$7,'Product Tgt'!$B:$B,'Product Tgt'!$D:$D),0),0)</f>
        <v>0</v>
      </c>
      <c r="CI82" s="11">
        <f>ROUND(IFERROR(BC82/_xlfn.XLOOKUP(CI$7,'Product Tgt'!$B:$B,'Product Tgt'!$D:$D),0),0)</f>
        <v>0</v>
      </c>
      <c r="CJ82" s="11">
        <f>ROUND(IFERROR(BD82/_xlfn.XLOOKUP(CJ$7,'Product Tgt'!$B:$B,'Product Tgt'!$D:$D),0),0)</f>
        <v>0</v>
      </c>
      <c r="CK82" s="11">
        <f>ROUND(IFERROR(BE82/_xlfn.XLOOKUP(CK$7,'Product Tgt'!$B:$B,'Product Tgt'!$D:$D),0),0)</f>
        <v>0</v>
      </c>
      <c r="CL82" s="11">
        <f>ROUND(IFERROR(BF82/_xlfn.XLOOKUP(CL$7,'Product Tgt'!$B:$B,'Product Tgt'!$D:$D),0),0)</f>
        <v>0</v>
      </c>
      <c r="CM82" s="11">
        <f>ROUND(IFERROR(BG82/_xlfn.XLOOKUP(CM$7,'Product Tgt'!$B:$B,'Product Tgt'!$D:$D),0),0)</f>
        <v>0</v>
      </c>
      <c r="CN82" s="11">
        <f>ROUND(IFERROR(BH82/_xlfn.XLOOKUP(CN$7,'Product Tgt'!$B:$B,'Product Tgt'!$D:$D),0),0)</f>
        <v>0</v>
      </c>
      <c r="CO82" s="11">
        <f>ROUND(IFERROR(BI82/_xlfn.XLOOKUP(CO$7,'Product Tgt'!$B:$B,'Product Tgt'!$D:$D),0),0)</f>
        <v>0</v>
      </c>
      <c r="CP82" s="11">
        <f>ROUND(IFERROR(BJ82/_xlfn.XLOOKUP(CP$7,'Product Tgt'!$B:$B,'Product Tgt'!$D:$D),0),0)</f>
        <v>0</v>
      </c>
      <c r="CQ82" s="11">
        <f>ROUND(IFERROR(BK82/_xlfn.XLOOKUP(CQ$7,'Product Tgt'!$B:$B,'Product Tgt'!$D:$D),0),0)</f>
        <v>0</v>
      </c>
      <c r="CR82" s="11">
        <f>ROUND(IFERROR(BL82/_xlfn.XLOOKUP(CR$7,'Product Tgt'!$B:$B,'Product Tgt'!$D:$D),0),0)</f>
        <v>0</v>
      </c>
      <c r="CS82" s="11">
        <f>ROUND(IFERROR(BM82/_xlfn.XLOOKUP(CS$7,'Product Tgt'!$B:$B,'Product Tgt'!$D:$D),0),0)</f>
        <v>0</v>
      </c>
      <c r="CT82" s="11">
        <f>ROUND(IFERROR(BN82/_xlfn.XLOOKUP(CT$7,'Product Tgt'!$B:$B,'Product Tgt'!$D:$D),0),0)</f>
        <v>0</v>
      </c>
      <c r="CU82" s="11">
        <f>ROUND(IFERROR(BO82/_xlfn.XLOOKUP(CU$7,'Product Tgt'!$B:$B,'Product Tgt'!$D:$D),0),0)</f>
        <v>0</v>
      </c>
      <c r="CV82" s="11">
        <f>ROUND(IFERROR(BP82/_xlfn.XLOOKUP(CV$7,'Product Tgt'!$B:$B,'Product Tgt'!$D:$D),0),0)</f>
        <v>0</v>
      </c>
      <c r="CW82" s="11">
        <f>ROUND(IFERROR(BQ82/_xlfn.XLOOKUP(CW$7,'Product Tgt'!$B:$B,'Product Tgt'!$D:$D),0),0)</f>
        <v>0</v>
      </c>
      <c r="CX82" s="11">
        <f>ROUND(IFERROR(#REF!/_xlfn.XLOOKUP(CX$7,'Product Tgt'!$B:$B,'Product Tgt'!$D:$D),0),0)</f>
        <v>0</v>
      </c>
      <c r="CY82" s="11">
        <f>ROUND(IFERROR(#REF!/_xlfn.XLOOKUP(CY$7,'Product Tgt'!$B:$B,'Product Tgt'!$D:$D),0),0)</f>
        <v>0</v>
      </c>
      <c r="CZ82" s="11">
        <f>ROUND(IFERROR(#REF!/_xlfn.XLOOKUP(CZ$7,'Product Tgt'!$B:$B,'Product Tgt'!$D:$D),0),0)</f>
        <v>0</v>
      </c>
      <c r="DA82" s="10">
        <f>IFERROR(BR82*_xlfn.XLOOKUP(DA$7,'Product Tgt'!$B:$B,'Product Tgt'!$D:$D),0)</f>
        <v>0</v>
      </c>
      <c r="DB82">
        <f>IFERROR(BS82*_xlfn.XLOOKUP(DB$7,'Product Tgt'!$B:$B,'Product Tgt'!$D:$D),0)</f>
        <v>0</v>
      </c>
      <c r="DC82">
        <f>IFERROR(BT82*_xlfn.XLOOKUP(DC$7,'Product Tgt'!$B:$B,'Product Tgt'!$D:$D),0)</f>
        <v>0</v>
      </c>
      <c r="DD82">
        <f>IFERROR(BU82*_xlfn.XLOOKUP(DD$7,'Product Tgt'!$B:$B,'Product Tgt'!$D:$D),0)</f>
        <v>0</v>
      </c>
      <c r="DE82">
        <f>IFERROR(BV82*_xlfn.XLOOKUP(DE$7,'Product Tgt'!$B:$B,'Product Tgt'!$D:$D),0)</f>
        <v>0</v>
      </c>
      <c r="DF82">
        <f>IFERROR(BW82*_xlfn.XLOOKUP(DF$7,'Product Tgt'!$B:$B,'Product Tgt'!$D:$D),0)</f>
        <v>0</v>
      </c>
      <c r="DG82">
        <f>IFERROR(BX82*_xlfn.XLOOKUP(DG$7,'Product Tgt'!$B:$B,'Product Tgt'!$D:$D),0)</f>
        <v>0</v>
      </c>
      <c r="DH82">
        <f>IFERROR(BY82*_xlfn.XLOOKUP(DH$7,'Product Tgt'!$B:$B,'Product Tgt'!$D:$D),0)</f>
        <v>0</v>
      </c>
      <c r="DI82">
        <f>IFERROR(BZ82*_xlfn.XLOOKUP(DI$7,'Product Tgt'!$B:$B,'Product Tgt'!$D:$D),0)</f>
        <v>0</v>
      </c>
      <c r="DJ82">
        <f>IFERROR(CA82*_xlfn.XLOOKUP(DJ$7,'Product Tgt'!$B:$B,'Product Tgt'!$D:$D),0)</f>
        <v>0</v>
      </c>
      <c r="DK82">
        <f>IFERROR(CB82*_xlfn.XLOOKUP(DK$7,'Product Tgt'!$B:$B,'Product Tgt'!$D:$D),0)</f>
        <v>0</v>
      </c>
      <c r="DL82">
        <f>IFERROR(CC82*_xlfn.XLOOKUP(DL$7,'Product Tgt'!$B:$B,'Product Tgt'!$D:$D),0)</f>
        <v>0</v>
      </c>
      <c r="DM82">
        <f>IFERROR(CD82*_xlfn.XLOOKUP(DM$7,'Product Tgt'!$B:$B,'Product Tgt'!$D:$D),0)</f>
        <v>0</v>
      </c>
      <c r="DN82">
        <f>IFERROR(CE82*_xlfn.XLOOKUP(DN$7,'Product Tgt'!$B:$B,'Product Tgt'!$D:$D),0)</f>
        <v>0</v>
      </c>
      <c r="DO82">
        <f>IFERROR(CF82*_xlfn.XLOOKUP(DO$7,'Product Tgt'!$B:$B,'Product Tgt'!$D:$D),0)</f>
        <v>0</v>
      </c>
      <c r="DP82">
        <f>IFERROR(CG82*_xlfn.XLOOKUP(DP$7,'Product Tgt'!$B:$B,'Product Tgt'!$D:$D),0)</f>
        <v>0</v>
      </c>
      <c r="DQ82">
        <f>IFERROR(CH82*_xlfn.XLOOKUP(DQ$7,'Product Tgt'!$B:$B,'Product Tgt'!$D:$D),0)</f>
        <v>0</v>
      </c>
      <c r="DR82">
        <f>IFERROR(CI82*_xlfn.XLOOKUP(DR$7,'Product Tgt'!$B:$B,'Product Tgt'!$D:$D),0)</f>
        <v>0</v>
      </c>
      <c r="DS82">
        <f>IFERROR(CJ82*_xlfn.XLOOKUP(DS$7,'Product Tgt'!$B:$B,'Product Tgt'!$D:$D),0)</f>
        <v>0</v>
      </c>
      <c r="DT82">
        <f>IFERROR(CK82*_xlfn.XLOOKUP(DT$7,'Product Tgt'!$B:$B,'Product Tgt'!$D:$D),0)</f>
        <v>0</v>
      </c>
      <c r="DU82">
        <f>IFERROR(CL82*_xlfn.XLOOKUP(DU$7,'Product Tgt'!$B:$B,'Product Tgt'!$D:$D),0)</f>
        <v>0</v>
      </c>
      <c r="DV82">
        <f>IFERROR(CM82*_xlfn.XLOOKUP(DV$7,'Product Tgt'!$B:$B,'Product Tgt'!$D:$D),0)</f>
        <v>0</v>
      </c>
      <c r="DW82">
        <f>IFERROR(CN82*_xlfn.XLOOKUP(DW$7,'Product Tgt'!$B:$B,'Product Tgt'!$D:$D),0)</f>
        <v>0</v>
      </c>
      <c r="DX82">
        <f>IFERROR(CO82*_xlfn.XLOOKUP(DX$7,'Product Tgt'!$B:$B,'Product Tgt'!$D:$D),0)</f>
        <v>0</v>
      </c>
      <c r="DY82">
        <f>IFERROR(CP82*_xlfn.XLOOKUP(DY$7,'Product Tgt'!$B:$B,'Product Tgt'!$D:$D),0)</f>
        <v>0</v>
      </c>
      <c r="DZ82">
        <f>IFERROR(CQ82*_xlfn.XLOOKUP(DZ$7,'Product Tgt'!$B:$B,'Product Tgt'!$D:$D),0)</f>
        <v>0</v>
      </c>
      <c r="EA82">
        <f>IFERROR(CR82*_xlfn.XLOOKUP(EA$7,'Product Tgt'!$B:$B,'Product Tgt'!$D:$D),0)</f>
        <v>0</v>
      </c>
      <c r="EB82">
        <f>IFERROR(CS82*_xlfn.XLOOKUP(EB$7,'Product Tgt'!$B:$B,'Product Tgt'!$D:$D),0)</f>
        <v>0</v>
      </c>
      <c r="EC82">
        <f>IFERROR(CT82*_xlfn.XLOOKUP(EC$7,'Product Tgt'!$B:$B,'Product Tgt'!$D:$D),0)</f>
        <v>0</v>
      </c>
      <c r="ED82">
        <f>IFERROR(CU82*_xlfn.XLOOKUP(ED$7,'Product Tgt'!$B:$B,'Product Tgt'!$D:$D),0)</f>
        <v>0</v>
      </c>
      <c r="EE82">
        <f>IFERROR(CV82*_xlfn.XLOOKUP(EE$7,'Product Tgt'!$B:$B,'Product Tgt'!$D:$D),0)</f>
        <v>0</v>
      </c>
      <c r="EF82">
        <f>IFERROR(CW82*_xlfn.XLOOKUP(EF$7,'Product Tgt'!$B:$B,'Product Tgt'!$D:$D),0)</f>
        <v>0</v>
      </c>
      <c r="EG82">
        <f>IFERROR(CX82*_xlfn.XLOOKUP(EG$7,'Product Tgt'!$B:$B,'Product Tgt'!$D:$D),0)</f>
        <v>0</v>
      </c>
      <c r="EH82">
        <f>IFERROR(CY82*_xlfn.XLOOKUP(EH$7,'Product Tgt'!$B:$B,'Product Tgt'!$D:$D),0)</f>
        <v>0</v>
      </c>
      <c r="EI82">
        <f>IFERROR(CZ82*_xlfn.XLOOKUP(EI$7,'Product Tgt'!$B:$B,'Product Tgt'!$D:$D),0)</f>
        <v>0</v>
      </c>
    </row>
    <row r="83" spans="2:139" x14ac:dyDescent="0.35">
      <c r="B83" s="7" t="s">
        <v>125</v>
      </c>
      <c r="C83" s="3">
        <f>_xlfn.XLOOKUP($B83,'Terr Target'!$A:$A,'Terr Target'!$E:$E)</f>
        <v>533928.33823070885</v>
      </c>
      <c r="D83" s="3">
        <f t="shared" si="10"/>
        <v>533928</v>
      </c>
      <c r="E83" s="4">
        <f t="shared" si="11"/>
        <v>-0.33823070884682238</v>
      </c>
      <c r="F83" s="9">
        <f t="shared" si="7"/>
        <v>6.3347625306562376E-7</v>
      </c>
      <c r="G83" s="5">
        <f t="shared" si="12"/>
        <v>1.000000633476253</v>
      </c>
      <c r="H83" s="38">
        <v>49773.924199961788</v>
      </c>
      <c r="I83" s="11">
        <v>94344.838433121098</v>
      </c>
      <c r="J83" s="11">
        <v>47933.538170325497</v>
      </c>
      <c r="K83" s="11">
        <v>46934.796720840393</v>
      </c>
      <c r="L83" s="11">
        <v>61317.638223325193</v>
      </c>
      <c r="M83" s="11">
        <v>40428.757496115104</v>
      </c>
      <c r="N83" s="11">
        <v>1055.4908461558659</v>
      </c>
      <c r="O83" s="11">
        <v>7835.8604290264038</v>
      </c>
      <c r="P83" s="11">
        <v>1614.7165565828407</v>
      </c>
      <c r="Q83" s="11">
        <v>899.76203371865529</v>
      </c>
      <c r="R83" s="11">
        <v>12516.042987507277</v>
      </c>
      <c r="S83" s="11">
        <v>28468.874573288198</v>
      </c>
      <c r="T83" s="11">
        <v>2129.9647299804165</v>
      </c>
      <c r="U83" s="11">
        <v>2111.0016639452601</v>
      </c>
      <c r="V83" s="11">
        <v>19720.98952755674</v>
      </c>
      <c r="W83" s="11">
        <v>30845.239331924477</v>
      </c>
      <c r="X83" s="11">
        <v>5673.9810286677048</v>
      </c>
      <c r="Y83" s="11">
        <v>6221.1438724435629</v>
      </c>
      <c r="Z83" s="11">
        <v>260.64978917833105</v>
      </c>
      <c r="AA83" s="11">
        <v>9382.7033890631901</v>
      </c>
      <c r="AB83" s="11">
        <v>3626.8885920131238</v>
      </c>
      <c r="AC83" s="11">
        <v>1314.1434719813633</v>
      </c>
      <c r="AD83" s="11">
        <v>7226.7156205953497</v>
      </c>
      <c r="AE83" s="11">
        <v>9413.6494352153495</v>
      </c>
      <c r="AF83" s="11">
        <v>775.86800512561445</v>
      </c>
      <c r="AG83" s="11">
        <v>32412.91270573132</v>
      </c>
      <c r="AH83" s="11">
        <v>2793.0229631212173</v>
      </c>
      <c r="AI83" s="11">
        <v>15466.112890878574</v>
      </c>
      <c r="AJ83" s="11">
        <v>11359.855165101535</v>
      </c>
      <c r="AK83" s="11">
        <v>1556.948606602125</v>
      </c>
      <c r="AL83" s="49">
        <v>3545.5940577360261</v>
      </c>
      <c r="AM83" s="41">
        <f>IFERROR(ROUND(_xlfn.XLOOKUP(AM$7,'Product Tgt'!$B:$B,'Product Tgt'!$G:$G)*H83/H$121,0),0)</f>
        <v>48388</v>
      </c>
      <c r="AN83" s="41">
        <f>IFERROR(ROUND(_xlfn.XLOOKUP(AN$7,'Product Tgt'!$B:$B,'Product Tgt'!$G:$G)*I83/I$121,0),0)</f>
        <v>92873</v>
      </c>
      <c r="AO83" s="41">
        <f>IFERROR(ROUND(_xlfn.XLOOKUP(AO$7,'Product Tgt'!$B:$B,'Product Tgt'!$G:$G)*J83/J$121,0),0)</f>
        <v>46443</v>
      </c>
      <c r="AP83" s="41">
        <f>IFERROR(ROUND(_xlfn.XLOOKUP(AP$7,'Product Tgt'!$B:$B,'Product Tgt'!$G:$G)*K83/K$121,0),0)</f>
        <v>45786</v>
      </c>
      <c r="AQ83" s="41">
        <f>IFERROR(ROUND(_xlfn.XLOOKUP(AQ$7,'Product Tgt'!$B:$B,'Product Tgt'!$G:$G)*L83/L$121,0),0)</f>
        <v>59290</v>
      </c>
      <c r="AR83" s="41">
        <f>IFERROR(ROUND(_xlfn.XLOOKUP(AR$7,'Product Tgt'!$B:$B,'Product Tgt'!$G:$G)*M83/M$121,0),0)</f>
        <v>39167</v>
      </c>
      <c r="AS83" s="41">
        <f>IFERROR(ROUND(_xlfn.XLOOKUP(AS$7,'Product Tgt'!$B:$B,'Product Tgt'!$G:$G)*N83/N$121,0),0)</f>
        <v>975</v>
      </c>
      <c r="AT83" s="41">
        <f>IFERROR(ROUND(_xlfn.XLOOKUP(AT$7,'Product Tgt'!$B:$B,'Product Tgt'!$G:$G)*O83/O$121,0),0)</f>
        <v>7053</v>
      </c>
      <c r="AU83" s="41">
        <f>IFERROR(ROUND(_xlfn.XLOOKUP(AU$7,'Product Tgt'!$B:$B,'Product Tgt'!$G:$G)*P83/P$121,0),0)</f>
        <v>689</v>
      </c>
      <c r="AV83" s="41">
        <f>IFERROR(ROUND(_xlfn.XLOOKUP(AV$7,'Product Tgt'!$B:$B,'Product Tgt'!$G:$G)*Q83/Q$121,0),0)</f>
        <v>675</v>
      </c>
      <c r="AW83" s="41">
        <f>IFERROR(ROUND(_xlfn.XLOOKUP(AW$7,'Product Tgt'!$B:$B,'Product Tgt'!$G:$G)*R83/R$121,0),0)</f>
        <v>12054</v>
      </c>
      <c r="AX83" s="41">
        <f>IFERROR(ROUND(_xlfn.XLOOKUP(AX$7,'Product Tgt'!$B:$B,'Product Tgt'!$G:$G)*S83/S$121,0),0)</f>
        <v>27419</v>
      </c>
      <c r="AY83" s="41">
        <f>IFERROR(ROUND(_xlfn.XLOOKUP(AY$7,'Product Tgt'!$B:$B,'Product Tgt'!$G:$G)*T83/T$121,0),0)</f>
        <v>2138</v>
      </c>
      <c r="AZ83" s="41">
        <f>IFERROR(ROUND(_xlfn.XLOOKUP(AZ$7,'Product Tgt'!$B:$B,'Product Tgt'!$G:$G)*U83/U$121,0),0)</f>
        <v>2020</v>
      </c>
      <c r="BA83" s="41">
        <f>IFERROR(ROUND(_xlfn.XLOOKUP(BA$7,'Product Tgt'!$B:$B,'Product Tgt'!$G:$G)*V83/V$121,0),0)</f>
        <v>18987</v>
      </c>
      <c r="BB83" s="41">
        <f>IFERROR(ROUND(_xlfn.XLOOKUP(BB$7,'Product Tgt'!$B:$B,'Product Tgt'!$G:$G)*W83/W$121,0),0)</f>
        <v>29526</v>
      </c>
      <c r="BC83" s="41">
        <f>IFERROR(ROUND(_xlfn.XLOOKUP(BC$7,'Product Tgt'!$B:$B,'Product Tgt'!$G:$G)*X83/X$121,0),0)</f>
        <v>5490</v>
      </c>
      <c r="BD83" s="41">
        <f>IFERROR(ROUND(_xlfn.XLOOKUP(BD$7,'Product Tgt'!$B:$B,'Product Tgt'!$G:$G)*Y83/Y$121,0),0)</f>
        <v>6016</v>
      </c>
      <c r="BE83" s="41">
        <f>IFERROR(ROUND(_xlfn.XLOOKUP(BE$7,'Product Tgt'!$B:$B,'Product Tgt'!$G:$G)*Z83/Z$121,0),0)</f>
        <v>248</v>
      </c>
      <c r="BF83" s="41">
        <f>IFERROR(ROUND(_xlfn.XLOOKUP(BF$7,'Product Tgt'!$B:$B,'Product Tgt'!$G:$G)*AA83/AA$121,0),0)</f>
        <v>7604</v>
      </c>
      <c r="BG83" s="41">
        <f>IFERROR(ROUND(_xlfn.XLOOKUP(BG$7,'Product Tgt'!$B:$B,'Product Tgt'!$G:$G)*AB83/AB$121,0),0)</f>
        <v>2907</v>
      </c>
      <c r="BH83" s="41">
        <f>IFERROR(ROUND(_xlfn.XLOOKUP(BH$7,'Product Tgt'!$B:$B,'Product Tgt'!$G:$G)*AC83/AC$121,0),0)</f>
        <v>1125</v>
      </c>
      <c r="BI83" s="41">
        <f>IFERROR(ROUND(_xlfn.XLOOKUP(BI$7,'Product Tgt'!$B:$B,'Product Tgt'!$G:$G)*AD83/AD$121,0),0)</f>
        <v>6291</v>
      </c>
      <c r="BJ83" s="41">
        <f>IFERROR(ROUND(_xlfn.XLOOKUP(BJ$7,'Product Tgt'!$B:$B,'Product Tgt'!$G:$G)*AE83/AE$121,0),0)</f>
        <v>8762</v>
      </c>
      <c r="BK83" s="41">
        <f>IFERROR(ROUND(_xlfn.XLOOKUP(BK$7,'Product Tgt'!$B:$B,'Product Tgt'!$G:$G)*AF83/AF$121,0),0)</f>
        <v>867</v>
      </c>
      <c r="BL83" s="41">
        <f>IFERROR(ROUND(_xlfn.XLOOKUP(BL$7,'Product Tgt'!$B:$B,'Product Tgt'!$G:$G)*AG83/AG$121,0),0)</f>
        <v>30960</v>
      </c>
      <c r="BM83" s="41">
        <f>IFERROR(ROUND(_xlfn.XLOOKUP(BM$7,'Product Tgt'!$B:$B,'Product Tgt'!$G:$G)*AH83/AH$121,0),0)</f>
        <v>2190</v>
      </c>
      <c r="BN83" s="41">
        <f>IFERROR(ROUND(_xlfn.XLOOKUP(BN$7,'Product Tgt'!$B:$B,'Product Tgt'!$G:$G)*AI83/AI$121,0),0)</f>
        <v>14203</v>
      </c>
      <c r="BO83" s="41">
        <f>IFERROR(ROUND(_xlfn.XLOOKUP(BO$7,'Product Tgt'!$B:$B,'Product Tgt'!$G:$G)*AJ83/AJ$121,0),0)</f>
        <v>9826</v>
      </c>
      <c r="BP83" s="41">
        <f>IFERROR(ROUND(_xlfn.XLOOKUP(BP$7,'Product Tgt'!$B:$B,'Product Tgt'!$G:$G)*AK83/AK$121,0),0)</f>
        <v>1185</v>
      </c>
      <c r="BQ83" s="41">
        <f>IFERROR(ROUND(_xlfn.XLOOKUP(BQ$7,'Product Tgt'!$B:$B,'Product Tgt'!$G:$G)*AL83/AL$121,0),0)</f>
        <v>2771</v>
      </c>
      <c r="BR83" s="25">
        <f>ROUND(IFERROR(AM83/_xlfn.XLOOKUP(BR$7,'Product Tgt'!$B:$B,'Product Tgt'!$D:$D),0),0)</f>
        <v>0</v>
      </c>
      <c r="BS83" s="11">
        <f>ROUND(IFERROR(AN83/_xlfn.XLOOKUP(BS$7,'Product Tgt'!$B:$B,'Product Tgt'!$D:$D),0),0)</f>
        <v>0</v>
      </c>
      <c r="BT83" s="11">
        <f>ROUND(IFERROR(AO83/_xlfn.XLOOKUP(BT$7,'Product Tgt'!$B:$B,'Product Tgt'!$D:$D),0),0)</f>
        <v>0</v>
      </c>
      <c r="BU83" s="11">
        <f>ROUND(IFERROR(AP83/_xlfn.XLOOKUP(BU$7,'Product Tgt'!$B:$B,'Product Tgt'!$D:$D),0),0)</f>
        <v>0</v>
      </c>
      <c r="BV83" s="11">
        <f>ROUND(IFERROR(AQ83/_xlfn.XLOOKUP(BV$7,'Product Tgt'!$B:$B,'Product Tgt'!$D:$D),0),0)</f>
        <v>0</v>
      </c>
      <c r="BW83" s="11">
        <f>ROUND(IFERROR(AU83/_xlfn.XLOOKUP(BW$7,'Product Tgt'!$B:$B,'Product Tgt'!$D:$D),0),0)</f>
        <v>0</v>
      </c>
      <c r="BX83" s="11">
        <f>ROUND(IFERROR(#REF!/_xlfn.XLOOKUP(BX$7,'Product Tgt'!$B:$B,'Product Tgt'!$D:$D),0),0)</f>
        <v>0</v>
      </c>
      <c r="BY83" s="11">
        <f>ROUND(IFERROR(#REF!/_xlfn.XLOOKUP(BY$7,'Product Tgt'!$B:$B,'Product Tgt'!$D:$D),0),0)</f>
        <v>0</v>
      </c>
      <c r="BZ83" s="11">
        <f>ROUND(IFERROR(#REF!/_xlfn.XLOOKUP(BZ$7,'Product Tgt'!$B:$B,'Product Tgt'!$D:$D),0),0)</f>
        <v>0</v>
      </c>
      <c r="CA83" s="11">
        <f>ROUND(IFERROR(#REF!/_xlfn.XLOOKUP(CA$7,'Product Tgt'!$B:$B,'Product Tgt'!$D:$D),0),0)</f>
        <v>0</v>
      </c>
      <c r="CB83" s="11">
        <f>ROUND(IFERROR(AV83/_xlfn.XLOOKUP(CB$7,'Product Tgt'!$B:$B,'Product Tgt'!$D:$D),0),0)</f>
        <v>0</v>
      </c>
      <c r="CC83" s="11">
        <f>ROUND(IFERROR(AW83/_xlfn.XLOOKUP(CC$7,'Product Tgt'!$B:$B,'Product Tgt'!$D:$D),0),0)</f>
        <v>0</v>
      </c>
      <c r="CD83" s="11">
        <f>ROUND(IFERROR(AX83/_xlfn.XLOOKUP(CD$7,'Product Tgt'!$B:$B,'Product Tgt'!$D:$D),0),0)</f>
        <v>0</v>
      </c>
      <c r="CE83" s="11">
        <f>ROUND(IFERROR(AY83/_xlfn.XLOOKUP(CE$7,'Product Tgt'!$B:$B,'Product Tgt'!$D:$D),0),0)</f>
        <v>0</v>
      </c>
      <c r="CF83" s="11">
        <f>ROUND(IFERROR(AZ83/_xlfn.XLOOKUP(CF$7,'Product Tgt'!$B:$B,'Product Tgt'!$D:$D),0),0)</f>
        <v>0</v>
      </c>
      <c r="CG83" s="11">
        <f>ROUND(IFERROR(BA83/_xlfn.XLOOKUP(CG$7,'Product Tgt'!$B:$B,'Product Tgt'!$D:$D),0),0)</f>
        <v>0</v>
      </c>
      <c r="CH83" s="11">
        <f>ROUND(IFERROR(BB83/_xlfn.XLOOKUP(CH$7,'Product Tgt'!$B:$B,'Product Tgt'!$D:$D),0),0)</f>
        <v>0</v>
      </c>
      <c r="CI83" s="11">
        <f>ROUND(IFERROR(BC83/_xlfn.XLOOKUP(CI$7,'Product Tgt'!$B:$B,'Product Tgt'!$D:$D),0),0)</f>
        <v>0</v>
      </c>
      <c r="CJ83" s="11">
        <f>ROUND(IFERROR(BD83/_xlfn.XLOOKUP(CJ$7,'Product Tgt'!$B:$B,'Product Tgt'!$D:$D),0),0)</f>
        <v>0</v>
      </c>
      <c r="CK83" s="11">
        <f>ROUND(IFERROR(BE83/_xlfn.XLOOKUP(CK$7,'Product Tgt'!$B:$B,'Product Tgt'!$D:$D),0),0)</f>
        <v>0</v>
      </c>
      <c r="CL83" s="11">
        <f>ROUND(IFERROR(BF83/_xlfn.XLOOKUP(CL$7,'Product Tgt'!$B:$B,'Product Tgt'!$D:$D),0),0)</f>
        <v>0</v>
      </c>
      <c r="CM83" s="11">
        <f>ROUND(IFERROR(BG83/_xlfn.XLOOKUP(CM$7,'Product Tgt'!$B:$B,'Product Tgt'!$D:$D),0),0)</f>
        <v>0</v>
      </c>
      <c r="CN83" s="11">
        <f>ROUND(IFERROR(BH83/_xlfn.XLOOKUP(CN$7,'Product Tgt'!$B:$B,'Product Tgt'!$D:$D),0),0)</f>
        <v>0</v>
      </c>
      <c r="CO83" s="11">
        <f>ROUND(IFERROR(BI83/_xlfn.XLOOKUP(CO$7,'Product Tgt'!$B:$B,'Product Tgt'!$D:$D),0),0)</f>
        <v>0</v>
      </c>
      <c r="CP83" s="11">
        <f>ROUND(IFERROR(BJ83/_xlfn.XLOOKUP(CP$7,'Product Tgt'!$B:$B,'Product Tgt'!$D:$D),0),0)</f>
        <v>0</v>
      </c>
      <c r="CQ83" s="11">
        <f>ROUND(IFERROR(BK83/_xlfn.XLOOKUP(CQ$7,'Product Tgt'!$B:$B,'Product Tgt'!$D:$D),0),0)</f>
        <v>0</v>
      </c>
      <c r="CR83" s="11">
        <f>ROUND(IFERROR(BL83/_xlfn.XLOOKUP(CR$7,'Product Tgt'!$B:$B,'Product Tgt'!$D:$D),0),0)</f>
        <v>0</v>
      </c>
      <c r="CS83" s="11">
        <f>ROUND(IFERROR(BM83/_xlfn.XLOOKUP(CS$7,'Product Tgt'!$B:$B,'Product Tgt'!$D:$D),0),0)</f>
        <v>0</v>
      </c>
      <c r="CT83" s="11">
        <f>ROUND(IFERROR(BN83/_xlfn.XLOOKUP(CT$7,'Product Tgt'!$B:$B,'Product Tgt'!$D:$D),0),0)</f>
        <v>0</v>
      </c>
      <c r="CU83" s="11">
        <f>ROUND(IFERROR(BO83/_xlfn.XLOOKUP(CU$7,'Product Tgt'!$B:$B,'Product Tgt'!$D:$D),0),0)</f>
        <v>0</v>
      </c>
      <c r="CV83" s="11">
        <f>ROUND(IFERROR(BP83/_xlfn.XLOOKUP(CV$7,'Product Tgt'!$B:$B,'Product Tgt'!$D:$D),0),0)</f>
        <v>0</v>
      </c>
      <c r="CW83" s="11">
        <f>ROUND(IFERROR(BQ83/_xlfn.XLOOKUP(CW$7,'Product Tgt'!$B:$B,'Product Tgt'!$D:$D),0),0)</f>
        <v>0</v>
      </c>
      <c r="CX83" s="11">
        <f>ROUND(IFERROR(#REF!/_xlfn.XLOOKUP(CX$7,'Product Tgt'!$B:$B,'Product Tgt'!$D:$D),0),0)</f>
        <v>0</v>
      </c>
      <c r="CY83" s="11">
        <f>ROUND(IFERROR(#REF!/_xlfn.XLOOKUP(CY$7,'Product Tgt'!$B:$B,'Product Tgt'!$D:$D),0),0)</f>
        <v>0</v>
      </c>
      <c r="CZ83" s="11">
        <f>ROUND(IFERROR(#REF!/_xlfn.XLOOKUP(CZ$7,'Product Tgt'!$B:$B,'Product Tgt'!$D:$D),0),0)</f>
        <v>0</v>
      </c>
      <c r="DA83" s="10">
        <f>IFERROR(BR83*_xlfn.XLOOKUP(DA$7,'Product Tgt'!$B:$B,'Product Tgt'!$D:$D),0)</f>
        <v>0</v>
      </c>
      <c r="DB83">
        <f>IFERROR(BS83*_xlfn.XLOOKUP(DB$7,'Product Tgt'!$B:$B,'Product Tgt'!$D:$D),0)</f>
        <v>0</v>
      </c>
      <c r="DC83">
        <f>IFERROR(BT83*_xlfn.XLOOKUP(DC$7,'Product Tgt'!$B:$B,'Product Tgt'!$D:$D),0)</f>
        <v>0</v>
      </c>
      <c r="DD83">
        <f>IFERROR(BU83*_xlfn.XLOOKUP(DD$7,'Product Tgt'!$B:$B,'Product Tgt'!$D:$D),0)</f>
        <v>0</v>
      </c>
      <c r="DE83">
        <f>IFERROR(BV83*_xlfn.XLOOKUP(DE$7,'Product Tgt'!$B:$B,'Product Tgt'!$D:$D),0)</f>
        <v>0</v>
      </c>
      <c r="DF83">
        <f>IFERROR(BW83*_xlfn.XLOOKUP(DF$7,'Product Tgt'!$B:$B,'Product Tgt'!$D:$D),0)</f>
        <v>0</v>
      </c>
      <c r="DG83">
        <f>IFERROR(BX83*_xlfn.XLOOKUP(DG$7,'Product Tgt'!$B:$B,'Product Tgt'!$D:$D),0)</f>
        <v>0</v>
      </c>
      <c r="DH83">
        <f>IFERROR(BY83*_xlfn.XLOOKUP(DH$7,'Product Tgt'!$B:$B,'Product Tgt'!$D:$D),0)</f>
        <v>0</v>
      </c>
      <c r="DI83">
        <f>IFERROR(BZ83*_xlfn.XLOOKUP(DI$7,'Product Tgt'!$B:$B,'Product Tgt'!$D:$D),0)</f>
        <v>0</v>
      </c>
      <c r="DJ83">
        <f>IFERROR(CA83*_xlfn.XLOOKUP(DJ$7,'Product Tgt'!$B:$B,'Product Tgt'!$D:$D),0)</f>
        <v>0</v>
      </c>
      <c r="DK83">
        <f>IFERROR(CB83*_xlfn.XLOOKUP(DK$7,'Product Tgt'!$B:$B,'Product Tgt'!$D:$D),0)</f>
        <v>0</v>
      </c>
      <c r="DL83">
        <f>IFERROR(CC83*_xlfn.XLOOKUP(DL$7,'Product Tgt'!$B:$B,'Product Tgt'!$D:$D),0)</f>
        <v>0</v>
      </c>
      <c r="DM83">
        <f>IFERROR(CD83*_xlfn.XLOOKUP(DM$7,'Product Tgt'!$B:$B,'Product Tgt'!$D:$D),0)</f>
        <v>0</v>
      </c>
      <c r="DN83">
        <f>IFERROR(CE83*_xlfn.XLOOKUP(DN$7,'Product Tgt'!$B:$B,'Product Tgt'!$D:$D),0)</f>
        <v>0</v>
      </c>
      <c r="DO83">
        <f>IFERROR(CF83*_xlfn.XLOOKUP(DO$7,'Product Tgt'!$B:$B,'Product Tgt'!$D:$D),0)</f>
        <v>0</v>
      </c>
      <c r="DP83">
        <f>IFERROR(CG83*_xlfn.XLOOKUP(DP$7,'Product Tgt'!$B:$B,'Product Tgt'!$D:$D),0)</f>
        <v>0</v>
      </c>
      <c r="DQ83">
        <f>IFERROR(CH83*_xlfn.XLOOKUP(DQ$7,'Product Tgt'!$B:$B,'Product Tgt'!$D:$D),0)</f>
        <v>0</v>
      </c>
      <c r="DR83">
        <f>IFERROR(CI83*_xlfn.XLOOKUP(DR$7,'Product Tgt'!$B:$B,'Product Tgt'!$D:$D),0)</f>
        <v>0</v>
      </c>
      <c r="DS83">
        <f>IFERROR(CJ83*_xlfn.XLOOKUP(DS$7,'Product Tgt'!$B:$B,'Product Tgt'!$D:$D),0)</f>
        <v>0</v>
      </c>
      <c r="DT83">
        <f>IFERROR(CK83*_xlfn.XLOOKUP(DT$7,'Product Tgt'!$B:$B,'Product Tgt'!$D:$D),0)</f>
        <v>0</v>
      </c>
      <c r="DU83">
        <f>IFERROR(CL83*_xlfn.XLOOKUP(DU$7,'Product Tgt'!$B:$B,'Product Tgt'!$D:$D),0)</f>
        <v>0</v>
      </c>
      <c r="DV83">
        <f>IFERROR(CM83*_xlfn.XLOOKUP(DV$7,'Product Tgt'!$B:$B,'Product Tgt'!$D:$D),0)</f>
        <v>0</v>
      </c>
      <c r="DW83">
        <f>IFERROR(CN83*_xlfn.XLOOKUP(DW$7,'Product Tgt'!$B:$B,'Product Tgt'!$D:$D),0)</f>
        <v>0</v>
      </c>
      <c r="DX83">
        <f>IFERROR(CO83*_xlfn.XLOOKUP(DX$7,'Product Tgt'!$B:$B,'Product Tgt'!$D:$D),0)</f>
        <v>0</v>
      </c>
      <c r="DY83">
        <f>IFERROR(CP83*_xlfn.XLOOKUP(DY$7,'Product Tgt'!$B:$B,'Product Tgt'!$D:$D),0)</f>
        <v>0</v>
      </c>
      <c r="DZ83">
        <f>IFERROR(CQ83*_xlfn.XLOOKUP(DZ$7,'Product Tgt'!$B:$B,'Product Tgt'!$D:$D),0)</f>
        <v>0</v>
      </c>
      <c r="EA83">
        <f>IFERROR(CR83*_xlfn.XLOOKUP(EA$7,'Product Tgt'!$B:$B,'Product Tgt'!$D:$D),0)</f>
        <v>0</v>
      </c>
      <c r="EB83">
        <f>IFERROR(CS83*_xlfn.XLOOKUP(EB$7,'Product Tgt'!$B:$B,'Product Tgt'!$D:$D),0)</f>
        <v>0</v>
      </c>
      <c r="EC83">
        <f>IFERROR(CT83*_xlfn.XLOOKUP(EC$7,'Product Tgt'!$B:$B,'Product Tgt'!$D:$D),0)</f>
        <v>0</v>
      </c>
      <c r="ED83">
        <f>IFERROR(CU83*_xlfn.XLOOKUP(ED$7,'Product Tgt'!$B:$B,'Product Tgt'!$D:$D),0)</f>
        <v>0</v>
      </c>
      <c r="EE83">
        <f>IFERROR(CV83*_xlfn.XLOOKUP(EE$7,'Product Tgt'!$B:$B,'Product Tgt'!$D:$D),0)</f>
        <v>0</v>
      </c>
      <c r="EF83">
        <f>IFERROR(CW83*_xlfn.XLOOKUP(EF$7,'Product Tgt'!$B:$B,'Product Tgt'!$D:$D),0)</f>
        <v>0</v>
      </c>
      <c r="EG83">
        <f>IFERROR(CX83*_xlfn.XLOOKUP(EG$7,'Product Tgt'!$B:$B,'Product Tgt'!$D:$D),0)</f>
        <v>0</v>
      </c>
      <c r="EH83">
        <f>IFERROR(CY83*_xlfn.XLOOKUP(EH$7,'Product Tgt'!$B:$B,'Product Tgt'!$D:$D),0)</f>
        <v>0</v>
      </c>
      <c r="EI83">
        <f>IFERROR(CZ83*_xlfn.XLOOKUP(EI$7,'Product Tgt'!$B:$B,'Product Tgt'!$D:$D),0)</f>
        <v>0</v>
      </c>
    </row>
    <row r="84" spans="2:139" x14ac:dyDescent="0.35">
      <c r="B84" s="7" t="s">
        <v>126</v>
      </c>
      <c r="C84" s="3">
        <f>_xlfn.XLOOKUP($B84,'Terr Target'!$A:$A,'Terr Target'!$E:$E)</f>
        <v>646708.76896980486</v>
      </c>
      <c r="D84" s="3">
        <f t="shared" si="10"/>
        <v>646710</v>
      </c>
      <c r="E84" s="4">
        <f t="shared" si="11"/>
        <v>1.2310301951365545</v>
      </c>
      <c r="F84" s="9">
        <f t="shared" si="7"/>
        <v>1.9035273849740293E-6</v>
      </c>
      <c r="G84" s="5">
        <f t="shared" si="12"/>
        <v>0.99999809647261506</v>
      </c>
      <c r="H84" s="38">
        <v>60448.752185676683</v>
      </c>
      <c r="I84" s="11">
        <v>129236.0546980947</v>
      </c>
      <c r="J84" s="11">
        <v>74193.151797844665</v>
      </c>
      <c r="K84" s="11">
        <v>73909.471572204537</v>
      </c>
      <c r="L84" s="11">
        <v>62941.353243687721</v>
      </c>
      <c r="M84" s="11">
        <v>42580.057059489074</v>
      </c>
      <c r="N84" s="11">
        <v>1289.5262361197681</v>
      </c>
      <c r="O84" s="11">
        <v>9448.3572770747305</v>
      </c>
      <c r="P84" s="11">
        <v>2264.1999095726637</v>
      </c>
      <c r="Q84" s="11">
        <v>1485.8780764130322</v>
      </c>
      <c r="R84" s="11">
        <v>13460.540006071802</v>
      </c>
      <c r="S84" s="11">
        <v>25507.27301673351</v>
      </c>
      <c r="T84" s="11">
        <v>2568.1102644213356</v>
      </c>
      <c r="U84" s="11">
        <v>3474.988091073486</v>
      </c>
      <c r="V84" s="11">
        <v>20955.61353178884</v>
      </c>
      <c r="W84" s="11">
        <v>37885.222073884936</v>
      </c>
      <c r="X84" s="11">
        <v>6451.7668966685605</v>
      </c>
      <c r="Y84" s="11">
        <v>6046.0880297620897</v>
      </c>
      <c r="Z84" s="11">
        <v>521.23974291726574</v>
      </c>
      <c r="AA84" s="11">
        <v>8464.7843398862678</v>
      </c>
      <c r="AB84" s="11">
        <v>3268.7603601173478</v>
      </c>
      <c r="AC84" s="11">
        <v>1582.5641422164758</v>
      </c>
      <c r="AD84" s="11">
        <v>7351.5990576308495</v>
      </c>
      <c r="AE84" s="11">
        <v>16333.597045754461</v>
      </c>
      <c r="AF84" s="11">
        <v>934.76152198486943</v>
      </c>
      <c r="AG84" s="11">
        <v>26937.931809430105</v>
      </c>
      <c r="AH84" s="11">
        <v>2302.0392202153844</v>
      </c>
      <c r="AI84" s="11">
        <v>14392.361681693857</v>
      </c>
      <c r="AJ84" s="11">
        <v>12407.138243580852</v>
      </c>
      <c r="AK84" s="11">
        <v>2747.7996534650265</v>
      </c>
      <c r="AL84" s="49">
        <v>4266.8232519211697</v>
      </c>
      <c r="AM84" s="41">
        <f>IFERROR(ROUND(_xlfn.XLOOKUP(AM$7,'Product Tgt'!$B:$B,'Product Tgt'!$G:$G)*H84/H$121,0),0)</f>
        <v>58766</v>
      </c>
      <c r="AN84" s="41">
        <f>IFERROR(ROUND(_xlfn.XLOOKUP(AN$7,'Product Tgt'!$B:$B,'Product Tgt'!$G:$G)*I84/I$121,0),0)</f>
        <v>127220</v>
      </c>
      <c r="AO84" s="41">
        <f>IFERROR(ROUND(_xlfn.XLOOKUP(AO$7,'Product Tgt'!$B:$B,'Product Tgt'!$G:$G)*J84/J$121,0),0)</f>
        <v>71886</v>
      </c>
      <c r="AP84" s="41">
        <f>IFERROR(ROUND(_xlfn.XLOOKUP(AP$7,'Product Tgt'!$B:$B,'Product Tgt'!$G:$G)*K84/K$121,0),0)</f>
        <v>72100</v>
      </c>
      <c r="AQ84" s="41">
        <f>IFERROR(ROUND(_xlfn.XLOOKUP(AQ$7,'Product Tgt'!$B:$B,'Product Tgt'!$G:$G)*L84/L$121,0),0)</f>
        <v>60860</v>
      </c>
      <c r="AR84" s="41">
        <f>IFERROR(ROUND(_xlfn.XLOOKUP(AR$7,'Product Tgt'!$B:$B,'Product Tgt'!$G:$G)*M84/M$121,0),0)</f>
        <v>41251</v>
      </c>
      <c r="AS84" s="41">
        <f>IFERROR(ROUND(_xlfn.XLOOKUP(AS$7,'Product Tgt'!$B:$B,'Product Tgt'!$G:$G)*N84/N$121,0),0)</f>
        <v>1192</v>
      </c>
      <c r="AT84" s="41">
        <f>IFERROR(ROUND(_xlfn.XLOOKUP(AT$7,'Product Tgt'!$B:$B,'Product Tgt'!$G:$G)*O84/O$121,0),0)</f>
        <v>8504</v>
      </c>
      <c r="AU84" s="41">
        <f>IFERROR(ROUND(_xlfn.XLOOKUP(AU$7,'Product Tgt'!$B:$B,'Product Tgt'!$G:$G)*P84/P$121,0),0)</f>
        <v>965</v>
      </c>
      <c r="AV84" s="41">
        <f>IFERROR(ROUND(_xlfn.XLOOKUP(AV$7,'Product Tgt'!$B:$B,'Product Tgt'!$G:$G)*Q84/Q$121,0),0)</f>
        <v>1115</v>
      </c>
      <c r="AW84" s="41">
        <f>IFERROR(ROUND(_xlfn.XLOOKUP(AW$7,'Product Tgt'!$B:$B,'Product Tgt'!$G:$G)*R84/R$121,0),0)</f>
        <v>12963</v>
      </c>
      <c r="AX84" s="41">
        <f>IFERROR(ROUND(_xlfn.XLOOKUP(AX$7,'Product Tgt'!$B:$B,'Product Tgt'!$G:$G)*S84/S$121,0),0)</f>
        <v>24567</v>
      </c>
      <c r="AY84" s="41">
        <f>IFERROR(ROUND(_xlfn.XLOOKUP(AY$7,'Product Tgt'!$B:$B,'Product Tgt'!$G:$G)*T84/T$121,0),0)</f>
        <v>2578</v>
      </c>
      <c r="AZ84" s="41">
        <f>IFERROR(ROUND(_xlfn.XLOOKUP(AZ$7,'Product Tgt'!$B:$B,'Product Tgt'!$G:$G)*U84/U$121,0),0)</f>
        <v>3326</v>
      </c>
      <c r="BA84" s="41">
        <f>IFERROR(ROUND(_xlfn.XLOOKUP(BA$7,'Product Tgt'!$B:$B,'Product Tgt'!$G:$G)*V84/V$121,0),0)</f>
        <v>20176</v>
      </c>
      <c r="BB84" s="41">
        <f>IFERROR(ROUND(_xlfn.XLOOKUP(BB$7,'Product Tgt'!$B:$B,'Product Tgt'!$G:$G)*W84/W$121,0),0)</f>
        <v>36265</v>
      </c>
      <c r="BC84" s="41">
        <f>IFERROR(ROUND(_xlfn.XLOOKUP(BC$7,'Product Tgt'!$B:$B,'Product Tgt'!$G:$G)*X84/X$121,0),0)</f>
        <v>6243</v>
      </c>
      <c r="BD84" s="41">
        <f>IFERROR(ROUND(_xlfn.XLOOKUP(BD$7,'Product Tgt'!$B:$B,'Product Tgt'!$G:$G)*Y84/Y$121,0),0)</f>
        <v>5846</v>
      </c>
      <c r="BE84" s="41">
        <f>IFERROR(ROUND(_xlfn.XLOOKUP(BE$7,'Product Tgt'!$B:$B,'Product Tgt'!$G:$G)*Z84/Z$121,0),0)</f>
        <v>495</v>
      </c>
      <c r="BF84" s="41">
        <f>IFERROR(ROUND(_xlfn.XLOOKUP(BF$7,'Product Tgt'!$B:$B,'Product Tgt'!$G:$G)*AA84/AA$121,0),0)</f>
        <v>6860</v>
      </c>
      <c r="BG84" s="41">
        <f>IFERROR(ROUND(_xlfn.XLOOKUP(BG$7,'Product Tgt'!$B:$B,'Product Tgt'!$G:$G)*AB84/AB$121,0),0)</f>
        <v>2620</v>
      </c>
      <c r="BH84" s="41">
        <f>IFERROR(ROUND(_xlfn.XLOOKUP(BH$7,'Product Tgt'!$B:$B,'Product Tgt'!$G:$G)*AC84/AC$121,0),0)</f>
        <v>1354</v>
      </c>
      <c r="BI84" s="41">
        <f>IFERROR(ROUND(_xlfn.XLOOKUP(BI$7,'Product Tgt'!$B:$B,'Product Tgt'!$G:$G)*AD84/AD$121,0),0)</f>
        <v>6400</v>
      </c>
      <c r="BJ84" s="41">
        <f>IFERROR(ROUND(_xlfn.XLOOKUP(BJ$7,'Product Tgt'!$B:$B,'Product Tgt'!$G:$G)*AE84/AE$121,0),0)</f>
        <v>15202</v>
      </c>
      <c r="BK84" s="41">
        <f>IFERROR(ROUND(_xlfn.XLOOKUP(BK$7,'Product Tgt'!$B:$B,'Product Tgt'!$G:$G)*AF84/AF$121,0),0)</f>
        <v>1044</v>
      </c>
      <c r="BL84" s="41">
        <f>IFERROR(ROUND(_xlfn.XLOOKUP(BL$7,'Product Tgt'!$B:$B,'Product Tgt'!$G:$G)*AG84/AG$121,0),0)</f>
        <v>25731</v>
      </c>
      <c r="BM84" s="41">
        <f>IFERROR(ROUND(_xlfn.XLOOKUP(BM$7,'Product Tgt'!$B:$B,'Product Tgt'!$G:$G)*AH84/AH$121,0),0)</f>
        <v>1805</v>
      </c>
      <c r="BN84" s="41">
        <f>IFERROR(ROUND(_xlfn.XLOOKUP(BN$7,'Product Tgt'!$B:$B,'Product Tgt'!$G:$G)*AI84/AI$121,0),0)</f>
        <v>13217</v>
      </c>
      <c r="BO84" s="41">
        <f>IFERROR(ROUND(_xlfn.XLOOKUP(BO$7,'Product Tgt'!$B:$B,'Product Tgt'!$G:$G)*AJ84/AJ$121,0),0)</f>
        <v>10732</v>
      </c>
      <c r="BP84" s="41">
        <f>IFERROR(ROUND(_xlfn.XLOOKUP(BP$7,'Product Tgt'!$B:$B,'Product Tgt'!$G:$G)*AK84/AK$121,0),0)</f>
        <v>2092</v>
      </c>
      <c r="BQ84" s="41">
        <f>IFERROR(ROUND(_xlfn.XLOOKUP(BQ$7,'Product Tgt'!$B:$B,'Product Tgt'!$G:$G)*AL84/AL$121,0),0)</f>
        <v>3335</v>
      </c>
      <c r="BR84" s="25">
        <f>ROUND(IFERROR(AM84/_xlfn.XLOOKUP(BR$7,'Product Tgt'!$B:$B,'Product Tgt'!$D:$D),0),0)</f>
        <v>0</v>
      </c>
      <c r="BS84" s="11">
        <f>ROUND(IFERROR(AN84/_xlfn.XLOOKUP(BS$7,'Product Tgt'!$B:$B,'Product Tgt'!$D:$D),0),0)</f>
        <v>0</v>
      </c>
      <c r="BT84" s="11">
        <f>ROUND(IFERROR(AO84/_xlfn.XLOOKUP(BT$7,'Product Tgt'!$B:$B,'Product Tgt'!$D:$D),0),0)</f>
        <v>0</v>
      </c>
      <c r="BU84" s="11">
        <f>ROUND(IFERROR(AP84/_xlfn.XLOOKUP(BU$7,'Product Tgt'!$B:$B,'Product Tgt'!$D:$D),0),0)</f>
        <v>0</v>
      </c>
      <c r="BV84" s="11">
        <f>ROUND(IFERROR(AQ84/_xlfn.XLOOKUP(BV$7,'Product Tgt'!$B:$B,'Product Tgt'!$D:$D),0),0)</f>
        <v>0</v>
      </c>
      <c r="BW84" s="11">
        <f>ROUND(IFERROR(AU84/_xlfn.XLOOKUP(BW$7,'Product Tgt'!$B:$B,'Product Tgt'!$D:$D),0),0)</f>
        <v>0</v>
      </c>
      <c r="BX84" s="11">
        <f>ROUND(IFERROR(#REF!/_xlfn.XLOOKUP(BX$7,'Product Tgt'!$B:$B,'Product Tgt'!$D:$D),0),0)</f>
        <v>0</v>
      </c>
      <c r="BY84" s="11">
        <f>ROUND(IFERROR(#REF!/_xlfn.XLOOKUP(BY$7,'Product Tgt'!$B:$B,'Product Tgt'!$D:$D),0),0)</f>
        <v>0</v>
      </c>
      <c r="BZ84" s="11">
        <f>ROUND(IFERROR(#REF!/_xlfn.XLOOKUP(BZ$7,'Product Tgt'!$B:$B,'Product Tgt'!$D:$D),0),0)</f>
        <v>0</v>
      </c>
      <c r="CA84" s="11">
        <f>ROUND(IFERROR(#REF!/_xlfn.XLOOKUP(CA$7,'Product Tgt'!$B:$B,'Product Tgt'!$D:$D),0),0)</f>
        <v>0</v>
      </c>
      <c r="CB84" s="11">
        <f>ROUND(IFERROR(AV84/_xlfn.XLOOKUP(CB$7,'Product Tgt'!$B:$B,'Product Tgt'!$D:$D),0),0)</f>
        <v>0</v>
      </c>
      <c r="CC84" s="11">
        <f>ROUND(IFERROR(AW84/_xlfn.XLOOKUP(CC$7,'Product Tgt'!$B:$B,'Product Tgt'!$D:$D),0),0)</f>
        <v>0</v>
      </c>
      <c r="CD84" s="11">
        <f>ROUND(IFERROR(AX84/_xlfn.XLOOKUP(CD$7,'Product Tgt'!$B:$B,'Product Tgt'!$D:$D),0),0)</f>
        <v>0</v>
      </c>
      <c r="CE84" s="11">
        <f>ROUND(IFERROR(AY84/_xlfn.XLOOKUP(CE$7,'Product Tgt'!$B:$B,'Product Tgt'!$D:$D),0),0)</f>
        <v>0</v>
      </c>
      <c r="CF84" s="11">
        <f>ROUND(IFERROR(AZ84/_xlfn.XLOOKUP(CF$7,'Product Tgt'!$B:$B,'Product Tgt'!$D:$D),0),0)</f>
        <v>0</v>
      </c>
      <c r="CG84" s="11">
        <f>ROUND(IFERROR(BA84/_xlfn.XLOOKUP(CG$7,'Product Tgt'!$B:$B,'Product Tgt'!$D:$D),0),0)</f>
        <v>0</v>
      </c>
      <c r="CH84" s="11">
        <f>ROUND(IFERROR(BB84/_xlfn.XLOOKUP(CH$7,'Product Tgt'!$B:$B,'Product Tgt'!$D:$D),0),0)</f>
        <v>0</v>
      </c>
      <c r="CI84" s="11">
        <f>ROUND(IFERROR(BC84/_xlfn.XLOOKUP(CI$7,'Product Tgt'!$B:$B,'Product Tgt'!$D:$D),0),0)</f>
        <v>0</v>
      </c>
      <c r="CJ84" s="11">
        <f>ROUND(IFERROR(BD84/_xlfn.XLOOKUP(CJ$7,'Product Tgt'!$B:$B,'Product Tgt'!$D:$D),0),0)</f>
        <v>0</v>
      </c>
      <c r="CK84" s="11">
        <f>ROUND(IFERROR(BE84/_xlfn.XLOOKUP(CK$7,'Product Tgt'!$B:$B,'Product Tgt'!$D:$D),0),0)</f>
        <v>0</v>
      </c>
      <c r="CL84" s="11">
        <f>ROUND(IFERROR(BF84/_xlfn.XLOOKUP(CL$7,'Product Tgt'!$B:$B,'Product Tgt'!$D:$D),0),0)</f>
        <v>0</v>
      </c>
      <c r="CM84" s="11">
        <f>ROUND(IFERROR(BG84/_xlfn.XLOOKUP(CM$7,'Product Tgt'!$B:$B,'Product Tgt'!$D:$D),0),0)</f>
        <v>0</v>
      </c>
      <c r="CN84" s="11">
        <f>ROUND(IFERROR(BH84/_xlfn.XLOOKUP(CN$7,'Product Tgt'!$B:$B,'Product Tgt'!$D:$D),0),0)</f>
        <v>0</v>
      </c>
      <c r="CO84" s="11">
        <f>ROUND(IFERROR(BI84/_xlfn.XLOOKUP(CO$7,'Product Tgt'!$B:$B,'Product Tgt'!$D:$D),0),0)</f>
        <v>0</v>
      </c>
      <c r="CP84" s="11">
        <f>ROUND(IFERROR(BJ84/_xlfn.XLOOKUP(CP$7,'Product Tgt'!$B:$B,'Product Tgt'!$D:$D),0),0)</f>
        <v>0</v>
      </c>
      <c r="CQ84" s="11">
        <f>ROUND(IFERROR(BK84/_xlfn.XLOOKUP(CQ$7,'Product Tgt'!$B:$B,'Product Tgt'!$D:$D),0),0)</f>
        <v>0</v>
      </c>
      <c r="CR84" s="11">
        <f>ROUND(IFERROR(BL84/_xlfn.XLOOKUP(CR$7,'Product Tgt'!$B:$B,'Product Tgt'!$D:$D),0),0)</f>
        <v>0</v>
      </c>
      <c r="CS84" s="11">
        <f>ROUND(IFERROR(BM84/_xlfn.XLOOKUP(CS$7,'Product Tgt'!$B:$B,'Product Tgt'!$D:$D),0),0)</f>
        <v>0</v>
      </c>
      <c r="CT84" s="11">
        <f>ROUND(IFERROR(BN84/_xlfn.XLOOKUP(CT$7,'Product Tgt'!$B:$B,'Product Tgt'!$D:$D),0),0)</f>
        <v>0</v>
      </c>
      <c r="CU84" s="11">
        <f>ROUND(IFERROR(BO84/_xlfn.XLOOKUP(CU$7,'Product Tgt'!$B:$B,'Product Tgt'!$D:$D),0),0)</f>
        <v>0</v>
      </c>
      <c r="CV84" s="11">
        <f>ROUND(IFERROR(BP84/_xlfn.XLOOKUP(CV$7,'Product Tgt'!$B:$B,'Product Tgt'!$D:$D),0),0)</f>
        <v>0</v>
      </c>
      <c r="CW84" s="11">
        <f>ROUND(IFERROR(BQ84/_xlfn.XLOOKUP(CW$7,'Product Tgt'!$B:$B,'Product Tgt'!$D:$D),0),0)</f>
        <v>0</v>
      </c>
      <c r="CX84" s="11">
        <f>ROUND(IFERROR(#REF!/_xlfn.XLOOKUP(CX$7,'Product Tgt'!$B:$B,'Product Tgt'!$D:$D),0),0)</f>
        <v>0</v>
      </c>
      <c r="CY84" s="11">
        <f>ROUND(IFERROR(#REF!/_xlfn.XLOOKUP(CY$7,'Product Tgt'!$B:$B,'Product Tgt'!$D:$D),0),0)</f>
        <v>0</v>
      </c>
      <c r="CZ84" s="11">
        <f>ROUND(IFERROR(#REF!/_xlfn.XLOOKUP(CZ$7,'Product Tgt'!$B:$B,'Product Tgt'!$D:$D),0),0)</f>
        <v>0</v>
      </c>
      <c r="DA84" s="10">
        <f>IFERROR(BR84*_xlfn.XLOOKUP(DA$7,'Product Tgt'!$B:$B,'Product Tgt'!$D:$D),0)</f>
        <v>0</v>
      </c>
      <c r="DB84">
        <f>IFERROR(BS84*_xlfn.XLOOKUP(DB$7,'Product Tgt'!$B:$B,'Product Tgt'!$D:$D),0)</f>
        <v>0</v>
      </c>
      <c r="DC84">
        <f>IFERROR(BT84*_xlfn.XLOOKUP(DC$7,'Product Tgt'!$B:$B,'Product Tgt'!$D:$D),0)</f>
        <v>0</v>
      </c>
      <c r="DD84">
        <f>IFERROR(BU84*_xlfn.XLOOKUP(DD$7,'Product Tgt'!$B:$B,'Product Tgt'!$D:$D),0)</f>
        <v>0</v>
      </c>
      <c r="DE84">
        <f>IFERROR(BV84*_xlfn.XLOOKUP(DE$7,'Product Tgt'!$B:$B,'Product Tgt'!$D:$D),0)</f>
        <v>0</v>
      </c>
      <c r="DF84">
        <f>IFERROR(BW84*_xlfn.XLOOKUP(DF$7,'Product Tgt'!$B:$B,'Product Tgt'!$D:$D),0)</f>
        <v>0</v>
      </c>
      <c r="DG84">
        <f>IFERROR(BX84*_xlfn.XLOOKUP(DG$7,'Product Tgt'!$B:$B,'Product Tgt'!$D:$D),0)</f>
        <v>0</v>
      </c>
      <c r="DH84">
        <f>IFERROR(BY84*_xlfn.XLOOKUP(DH$7,'Product Tgt'!$B:$B,'Product Tgt'!$D:$D),0)</f>
        <v>0</v>
      </c>
      <c r="DI84">
        <f>IFERROR(BZ84*_xlfn.XLOOKUP(DI$7,'Product Tgt'!$B:$B,'Product Tgt'!$D:$D),0)</f>
        <v>0</v>
      </c>
      <c r="DJ84">
        <f>IFERROR(CA84*_xlfn.XLOOKUP(DJ$7,'Product Tgt'!$B:$B,'Product Tgt'!$D:$D),0)</f>
        <v>0</v>
      </c>
      <c r="DK84">
        <f>IFERROR(CB84*_xlfn.XLOOKUP(DK$7,'Product Tgt'!$B:$B,'Product Tgt'!$D:$D),0)</f>
        <v>0</v>
      </c>
      <c r="DL84">
        <f>IFERROR(CC84*_xlfn.XLOOKUP(DL$7,'Product Tgt'!$B:$B,'Product Tgt'!$D:$D),0)</f>
        <v>0</v>
      </c>
      <c r="DM84">
        <f>IFERROR(CD84*_xlfn.XLOOKUP(DM$7,'Product Tgt'!$B:$B,'Product Tgt'!$D:$D),0)</f>
        <v>0</v>
      </c>
      <c r="DN84">
        <f>IFERROR(CE84*_xlfn.XLOOKUP(DN$7,'Product Tgt'!$B:$B,'Product Tgt'!$D:$D),0)</f>
        <v>0</v>
      </c>
      <c r="DO84">
        <f>IFERROR(CF84*_xlfn.XLOOKUP(DO$7,'Product Tgt'!$B:$B,'Product Tgt'!$D:$D),0)</f>
        <v>0</v>
      </c>
      <c r="DP84">
        <f>IFERROR(CG84*_xlfn.XLOOKUP(DP$7,'Product Tgt'!$B:$B,'Product Tgt'!$D:$D),0)</f>
        <v>0</v>
      </c>
      <c r="DQ84">
        <f>IFERROR(CH84*_xlfn.XLOOKUP(DQ$7,'Product Tgt'!$B:$B,'Product Tgt'!$D:$D),0)</f>
        <v>0</v>
      </c>
      <c r="DR84">
        <f>IFERROR(CI84*_xlfn.XLOOKUP(DR$7,'Product Tgt'!$B:$B,'Product Tgt'!$D:$D),0)</f>
        <v>0</v>
      </c>
      <c r="DS84">
        <f>IFERROR(CJ84*_xlfn.XLOOKUP(DS$7,'Product Tgt'!$B:$B,'Product Tgt'!$D:$D),0)</f>
        <v>0</v>
      </c>
      <c r="DT84">
        <f>IFERROR(CK84*_xlfn.XLOOKUP(DT$7,'Product Tgt'!$B:$B,'Product Tgt'!$D:$D),0)</f>
        <v>0</v>
      </c>
      <c r="DU84">
        <f>IFERROR(CL84*_xlfn.XLOOKUP(DU$7,'Product Tgt'!$B:$B,'Product Tgt'!$D:$D),0)</f>
        <v>0</v>
      </c>
      <c r="DV84">
        <f>IFERROR(CM84*_xlfn.XLOOKUP(DV$7,'Product Tgt'!$B:$B,'Product Tgt'!$D:$D),0)</f>
        <v>0</v>
      </c>
      <c r="DW84">
        <f>IFERROR(CN84*_xlfn.XLOOKUP(DW$7,'Product Tgt'!$B:$B,'Product Tgt'!$D:$D),0)</f>
        <v>0</v>
      </c>
      <c r="DX84">
        <f>IFERROR(CO84*_xlfn.XLOOKUP(DX$7,'Product Tgt'!$B:$B,'Product Tgt'!$D:$D),0)</f>
        <v>0</v>
      </c>
      <c r="DY84">
        <f>IFERROR(CP84*_xlfn.XLOOKUP(DY$7,'Product Tgt'!$B:$B,'Product Tgt'!$D:$D),0)</f>
        <v>0</v>
      </c>
      <c r="DZ84">
        <f>IFERROR(CQ84*_xlfn.XLOOKUP(DZ$7,'Product Tgt'!$B:$B,'Product Tgt'!$D:$D),0)</f>
        <v>0</v>
      </c>
      <c r="EA84">
        <f>IFERROR(CR84*_xlfn.XLOOKUP(EA$7,'Product Tgt'!$B:$B,'Product Tgt'!$D:$D),0)</f>
        <v>0</v>
      </c>
      <c r="EB84">
        <f>IFERROR(CS84*_xlfn.XLOOKUP(EB$7,'Product Tgt'!$B:$B,'Product Tgt'!$D:$D),0)</f>
        <v>0</v>
      </c>
      <c r="EC84">
        <f>IFERROR(CT84*_xlfn.XLOOKUP(EC$7,'Product Tgt'!$B:$B,'Product Tgt'!$D:$D),0)</f>
        <v>0</v>
      </c>
      <c r="ED84">
        <f>IFERROR(CU84*_xlfn.XLOOKUP(ED$7,'Product Tgt'!$B:$B,'Product Tgt'!$D:$D),0)</f>
        <v>0</v>
      </c>
      <c r="EE84">
        <f>IFERROR(CV84*_xlfn.XLOOKUP(EE$7,'Product Tgt'!$B:$B,'Product Tgt'!$D:$D),0)</f>
        <v>0</v>
      </c>
      <c r="EF84">
        <f>IFERROR(CW84*_xlfn.XLOOKUP(EF$7,'Product Tgt'!$B:$B,'Product Tgt'!$D:$D),0)</f>
        <v>0</v>
      </c>
      <c r="EG84">
        <f>IFERROR(CX84*_xlfn.XLOOKUP(EG$7,'Product Tgt'!$B:$B,'Product Tgt'!$D:$D),0)</f>
        <v>0</v>
      </c>
      <c r="EH84">
        <f>IFERROR(CY84*_xlfn.XLOOKUP(EH$7,'Product Tgt'!$B:$B,'Product Tgt'!$D:$D),0)</f>
        <v>0</v>
      </c>
      <c r="EI84">
        <f>IFERROR(CZ84*_xlfn.XLOOKUP(EI$7,'Product Tgt'!$B:$B,'Product Tgt'!$D:$D),0)</f>
        <v>0</v>
      </c>
    </row>
    <row r="85" spans="2:139" x14ac:dyDescent="0.35">
      <c r="B85" s="7" t="s">
        <v>127</v>
      </c>
      <c r="C85" s="3">
        <f>_xlfn.XLOOKUP($B85,'Terr Target'!$A:$A,'Terr Target'!$E:$E)</f>
        <v>464416.84100341174</v>
      </c>
      <c r="D85" s="3">
        <f t="shared" si="10"/>
        <v>464416</v>
      </c>
      <c r="E85" s="4">
        <f t="shared" si="11"/>
        <v>-0.84100341174053028</v>
      </c>
      <c r="F85" s="9">
        <f t="shared" si="7"/>
        <v>1.8108838018942721E-6</v>
      </c>
      <c r="G85" s="5">
        <f t="shared" si="12"/>
        <v>1.0000018108838018</v>
      </c>
      <c r="H85" s="38">
        <v>41531.91084211399</v>
      </c>
      <c r="I85" s="11">
        <v>79858.376718825195</v>
      </c>
      <c r="J85" s="11">
        <v>40076.224644479829</v>
      </c>
      <c r="K85" s="11">
        <v>39555.418266278772</v>
      </c>
      <c r="L85" s="11">
        <v>48581.370057425411</v>
      </c>
      <c r="M85" s="11">
        <v>32171.083587022003</v>
      </c>
      <c r="N85" s="11">
        <v>1242.8497512940432</v>
      </c>
      <c r="O85" s="11">
        <v>9401.4403215320453</v>
      </c>
      <c r="P85" s="11">
        <v>2392.853936431271</v>
      </c>
      <c r="Q85" s="11">
        <v>1460.7316093321185</v>
      </c>
      <c r="R85" s="11">
        <v>10938.462552103101</v>
      </c>
      <c r="S85" s="11">
        <v>23740.840058234146</v>
      </c>
      <c r="T85" s="11">
        <v>1870.299148235863</v>
      </c>
      <c r="U85" s="11">
        <v>1847.3000636245438</v>
      </c>
      <c r="V85" s="11">
        <v>24455.759909464454</v>
      </c>
      <c r="W85" s="11">
        <v>38856.733650710237</v>
      </c>
      <c r="X85" s="11">
        <v>5368.1382101785566</v>
      </c>
      <c r="Y85" s="11">
        <v>5965.5349370461581</v>
      </c>
      <c r="Z85" s="11">
        <v>262.7810266928401</v>
      </c>
      <c r="AA85" s="11">
        <v>7190.4909609123679</v>
      </c>
      <c r="AB85" s="11">
        <v>3104.2070312731162</v>
      </c>
      <c r="AC85" s="11">
        <v>1150.9733038198071</v>
      </c>
      <c r="AD85" s="11">
        <v>4401.976838218081</v>
      </c>
      <c r="AE85" s="11">
        <v>7802.8940409885718</v>
      </c>
      <c r="AF85" s="11">
        <v>680.35128791355544</v>
      </c>
      <c r="AG85" s="11">
        <v>24617.602729455226</v>
      </c>
      <c r="AH85" s="11">
        <v>1601.5435548194919</v>
      </c>
      <c r="AI85" s="11">
        <v>12978.267551562092</v>
      </c>
      <c r="AJ85" s="11">
        <v>10812.177395940167</v>
      </c>
      <c r="AK85" s="11">
        <v>1061.1449937675172</v>
      </c>
      <c r="AL85" s="49">
        <v>1459.5227087074575</v>
      </c>
      <c r="AM85" s="41">
        <f>IFERROR(ROUND(_xlfn.XLOOKUP(AM$7,'Product Tgt'!$B:$B,'Product Tgt'!$G:$G)*H85/H$121,0),0)</f>
        <v>40376</v>
      </c>
      <c r="AN85" s="41">
        <f>IFERROR(ROUND(_xlfn.XLOOKUP(AN$7,'Product Tgt'!$B:$B,'Product Tgt'!$G:$G)*I85/I$121,0),0)</f>
        <v>78613</v>
      </c>
      <c r="AO85" s="41">
        <f>IFERROR(ROUND(_xlfn.XLOOKUP(AO$7,'Product Tgt'!$B:$B,'Product Tgt'!$G:$G)*J85/J$121,0),0)</f>
        <v>38830</v>
      </c>
      <c r="AP85" s="41">
        <f>IFERROR(ROUND(_xlfn.XLOOKUP(AP$7,'Product Tgt'!$B:$B,'Product Tgt'!$G:$G)*K85/K$121,0),0)</f>
        <v>38587</v>
      </c>
      <c r="AQ85" s="41">
        <f>IFERROR(ROUND(_xlfn.XLOOKUP(AQ$7,'Product Tgt'!$B:$B,'Product Tgt'!$G:$G)*L85/L$121,0),0)</f>
        <v>46975</v>
      </c>
      <c r="AR85" s="41">
        <f>IFERROR(ROUND(_xlfn.XLOOKUP(AR$7,'Product Tgt'!$B:$B,'Product Tgt'!$G:$G)*M85/M$121,0),0)</f>
        <v>31167</v>
      </c>
      <c r="AS85" s="41">
        <f>IFERROR(ROUND(_xlfn.XLOOKUP(AS$7,'Product Tgt'!$B:$B,'Product Tgt'!$G:$G)*N85/N$121,0),0)</f>
        <v>1148</v>
      </c>
      <c r="AT85" s="41">
        <f>IFERROR(ROUND(_xlfn.XLOOKUP(AT$7,'Product Tgt'!$B:$B,'Product Tgt'!$G:$G)*O85/O$121,0),0)</f>
        <v>8462</v>
      </c>
      <c r="AU85" s="41">
        <f>IFERROR(ROUND(_xlfn.XLOOKUP(AU$7,'Product Tgt'!$B:$B,'Product Tgt'!$G:$G)*P85/P$121,0),0)</f>
        <v>1020</v>
      </c>
      <c r="AV85" s="41">
        <f>IFERROR(ROUND(_xlfn.XLOOKUP(AV$7,'Product Tgt'!$B:$B,'Product Tgt'!$G:$G)*Q85/Q$121,0),0)</f>
        <v>1096</v>
      </c>
      <c r="AW85" s="41">
        <f>IFERROR(ROUND(_xlfn.XLOOKUP(AW$7,'Product Tgt'!$B:$B,'Product Tgt'!$G:$G)*R85/R$121,0),0)</f>
        <v>10534</v>
      </c>
      <c r="AX85" s="41">
        <f>IFERROR(ROUND(_xlfn.XLOOKUP(AX$7,'Product Tgt'!$B:$B,'Product Tgt'!$G:$G)*S85/S$121,0),0)</f>
        <v>22865</v>
      </c>
      <c r="AY85" s="41">
        <f>IFERROR(ROUND(_xlfn.XLOOKUP(AY$7,'Product Tgt'!$B:$B,'Product Tgt'!$G:$G)*T85/T$121,0),0)</f>
        <v>1877</v>
      </c>
      <c r="AZ85" s="41">
        <f>IFERROR(ROUND(_xlfn.XLOOKUP(AZ$7,'Product Tgt'!$B:$B,'Product Tgt'!$G:$G)*U85/U$121,0),0)</f>
        <v>1768</v>
      </c>
      <c r="BA85" s="41">
        <f>IFERROR(ROUND(_xlfn.XLOOKUP(BA$7,'Product Tgt'!$B:$B,'Product Tgt'!$G:$G)*V85/V$121,0),0)</f>
        <v>23546</v>
      </c>
      <c r="BB85" s="41">
        <f>IFERROR(ROUND(_xlfn.XLOOKUP(BB$7,'Product Tgt'!$B:$B,'Product Tgt'!$G:$G)*W85/W$121,0),0)</f>
        <v>37195</v>
      </c>
      <c r="BC85" s="41">
        <f>IFERROR(ROUND(_xlfn.XLOOKUP(BC$7,'Product Tgt'!$B:$B,'Product Tgt'!$G:$G)*X85/X$121,0),0)</f>
        <v>5194</v>
      </c>
      <c r="BD85" s="41">
        <f>IFERROR(ROUND(_xlfn.XLOOKUP(BD$7,'Product Tgt'!$B:$B,'Product Tgt'!$G:$G)*Y85/Y$121,0),0)</f>
        <v>5769</v>
      </c>
      <c r="BE85" s="41">
        <f>IFERROR(ROUND(_xlfn.XLOOKUP(BE$7,'Product Tgt'!$B:$B,'Product Tgt'!$G:$G)*Z85/Z$121,0),0)</f>
        <v>250</v>
      </c>
      <c r="BF85" s="41">
        <f>IFERROR(ROUND(_xlfn.XLOOKUP(BF$7,'Product Tgt'!$B:$B,'Product Tgt'!$G:$G)*AA85/AA$121,0),0)</f>
        <v>5827</v>
      </c>
      <c r="BG85" s="41">
        <f>IFERROR(ROUND(_xlfn.XLOOKUP(BG$7,'Product Tgt'!$B:$B,'Product Tgt'!$G:$G)*AB85/AB$121,0),0)</f>
        <v>2488</v>
      </c>
      <c r="BH85" s="41">
        <f>IFERROR(ROUND(_xlfn.XLOOKUP(BH$7,'Product Tgt'!$B:$B,'Product Tgt'!$G:$G)*AC85/AC$121,0),0)</f>
        <v>985</v>
      </c>
      <c r="BI85" s="41">
        <f>IFERROR(ROUND(_xlfn.XLOOKUP(BI$7,'Product Tgt'!$B:$B,'Product Tgt'!$G:$G)*AD85/AD$121,0),0)</f>
        <v>3832</v>
      </c>
      <c r="BJ85" s="41">
        <f>IFERROR(ROUND(_xlfn.XLOOKUP(BJ$7,'Product Tgt'!$B:$B,'Product Tgt'!$G:$G)*AE85/AE$121,0),0)</f>
        <v>7262</v>
      </c>
      <c r="BK85" s="41">
        <f>IFERROR(ROUND(_xlfn.XLOOKUP(BK$7,'Product Tgt'!$B:$B,'Product Tgt'!$G:$G)*AF85/AF$121,0),0)</f>
        <v>760</v>
      </c>
      <c r="BL85" s="41">
        <f>IFERROR(ROUND(_xlfn.XLOOKUP(BL$7,'Product Tgt'!$B:$B,'Product Tgt'!$G:$G)*AG85/AG$121,0),0)</f>
        <v>23514</v>
      </c>
      <c r="BM85" s="41">
        <f>IFERROR(ROUND(_xlfn.XLOOKUP(BM$7,'Product Tgt'!$B:$B,'Product Tgt'!$G:$G)*AH85/AH$121,0),0)</f>
        <v>1256</v>
      </c>
      <c r="BN85" s="41">
        <f>IFERROR(ROUND(_xlfn.XLOOKUP(BN$7,'Product Tgt'!$B:$B,'Product Tgt'!$G:$G)*AI85/AI$121,0),0)</f>
        <v>11919</v>
      </c>
      <c r="BO85" s="41">
        <f>IFERROR(ROUND(_xlfn.XLOOKUP(BO$7,'Product Tgt'!$B:$B,'Product Tgt'!$G:$G)*AJ85/AJ$121,0),0)</f>
        <v>9352</v>
      </c>
      <c r="BP85" s="41">
        <f>IFERROR(ROUND(_xlfn.XLOOKUP(BP$7,'Product Tgt'!$B:$B,'Product Tgt'!$G:$G)*AK85/AK$121,0),0)</f>
        <v>808</v>
      </c>
      <c r="BQ85" s="41">
        <f>IFERROR(ROUND(_xlfn.XLOOKUP(BQ$7,'Product Tgt'!$B:$B,'Product Tgt'!$G:$G)*AL85/AL$121,0),0)</f>
        <v>1141</v>
      </c>
      <c r="BR85" s="25">
        <f>ROUND(IFERROR(AM85/_xlfn.XLOOKUP(BR$7,'Product Tgt'!$B:$B,'Product Tgt'!$D:$D),0),0)</f>
        <v>0</v>
      </c>
      <c r="BS85" s="11">
        <f>ROUND(IFERROR(AN85/_xlfn.XLOOKUP(BS$7,'Product Tgt'!$B:$B,'Product Tgt'!$D:$D),0),0)</f>
        <v>0</v>
      </c>
      <c r="BT85" s="11">
        <f>ROUND(IFERROR(AO85/_xlfn.XLOOKUP(BT$7,'Product Tgt'!$B:$B,'Product Tgt'!$D:$D),0),0)</f>
        <v>0</v>
      </c>
      <c r="BU85" s="11">
        <f>ROUND(IFERROR(AP85/_xlfn.XLOOKUP(BU$7,'Product Tgt'!$B:$B,'Product Tgt'!$D:$D),0),0)</f>
        <v>0</v>
      </c>
      <c r="BV85" s="11">
        <f>ROUND(IFERROR(AQ85/_xlfn.XLOOKUP(BV$7,'Product Tgt'!$B:$B,'Product Tgt'!$D:$D),0),0)</f>
        <v>0</v>
      </c>
      <c r="BW85" s="11">
        <f>ROUND(IFERROR(AU85/_xlfn.XLOOKUP(BW$7,'Product Tgt'!$B:$B,'Product Tgt'!$D:$D),0),0)</f>
        <v>0</v>
      </c>
      <c r="BX85" s="11">
        <f>ROUND(IFERROR(#REF!/_xlfn.XLOOKUP(BX$7,'Product Tgt'!$B:$B,'Product Tgt'!$D:$D),0),0)</f>
        <v>0</v>
      </c>
      <c r="BY85" s="11">
        <f>ROUND(IFERROR(#REF!/_xlfn.XLOOKUP(BY$7,'Product Tgt'!$B:$B,'Product Tgt'!$D:$D),0),0)</f>
        <v>0</v>
      </c>
      <c r="BZ85" s="11">
        <f>ROUND(IFERROR(#REF!/_xlfn.XLOOKUP(BZ$7,'Product Tgt'!$B:$B,'Product Tgt'!$D:$D),0),0)</f>
        <v>0</v>
      </c>
      <c r="CA85" s="11">
        <f>ROUND(IFERROR(#REF!/_xlfn.XLOOKUP(CA$7,'Product Tgt'!$B:$B,'Product Tgt'!$D:$D),0),0)</f>
        <v>0</v>
      </c>
      <c r="CB85" s="11">
        <f>ROUND(IFERROR(AV85/_xlfn.XLOOKUP(CB$7,'Product Tgt'!$B:$B,'Product Tgt'!$D:$D),0),0)</f>
        <v>0</v>
      </c>
      <c r="CC85" s="11">
        <f>ROUND(IFERROR(AW85/_xlfn.XLOOKUP(CC$7,'Product Tgt'!$B:$B,'Product Tgt'!$D:$D),0),0)</f>
        <v>0</v>
      </c>
      <c r="CD85" s="11">
        <f>ROUND(IFERROR(AX85/_xlfn.XLOOKUP(CD$7,'Product Tgt'!$B:$B,'Product Tgt'!$D:$D),0),0)</f>
        <v>0</v>
      </c>
      <c r="CE85" s="11">
        <f>ROUND(IFERROR(AY85/_xlfn.XLOOKUP(CE$7,'Product Tgt'!$B:$B,'Product Tgt'!$D:$D),0),0)</f>
        <v>0</v>
      </c>
      <c r="CF85" s="11">
        <f>ROUND(IFERROR(AZ85/_xlfn.XLOOKUP(CF$7,'Product Tgt'!$B:$B,'Product Tgt'!$D:$D),0),0)</f>
        <v>0</v>
      </c>
      <c r="CG85" s="11">
        <f>ROUND(IFERROR(BA85/_xlfn.XLOOKUP(CG$7,'Product Tgt'!$B:$B,'Product Tgt'!$D:$D),0),0)</f>
        <v>0</v>
      </c>
      <c r="CH85" s="11">
        <f>ROUND(IFERROR(BB85/_xlfn.XLOOKUP(CH$7,'Product Tgt'!$B:$B,'Product Tgt'!$D:$D),0),0)</f>
        <v>0</v>
      </c>
      <c r="CI85" s="11">
        <f>ROUND(IFERROR(BC85/_xlfn.XLOOKUP(CI$7,'Product Tgt'!$B:$B,'Product Tgt'!$D:$D),0),0)</f>
        <v>0</v>
      </c>
      <c r="CJ85" s="11">
        <f>ROUND(IFERROR(BD85/_xlfn.XLOOKUP(CJ$7,'Product Tgt'!$B:$B,'Product Tgt'!$D:$D),0),0)</f>
        <v>0</v>
      </c>
      <c r="CK85" s="11">
        <f>ROUND(IFERROR(BE85/_xlfn.XLOOKUP(CK$7,'Product Tgt'!$B:$B,'Product Tgt'!$D:$D),0),0)</f>
        <v>0</v>
      </c>
      <c r="CL85" s="11">
        <f>ROUND(IFERROR(BF85/_xlfn.XLOOKUP(CL$7,'Product Tgt'!$B:$B,'Product Tgt'!$D:$D),0),0)</f>
        <v>0</v>
      </c>
      <c r="CM85" s="11">
        <f>ROUND(IFERROR(BG85/_xlfn.XLOOKUP(CM$7,'Product Tgt'!$B:$B,'Product Tgt'!$D:$D),0),0)</f>
        <v>0</v>
      </c>
      <c r="CN85" s="11">
        <f>ROUND(IFERROR(BH85/_xlfn.XLOOKUP(CN$7,'Product Tgt'!$B:$B,'Product Tgt'!$D:$D),0),0)</f>
        <v>0</v>
      </c>
      <c r="CO85" s="11">
        <f>ROUND(IFERROR(BI85/_xlfn.XLOOKUP(CO$7,'Product Tgt'!$B:$B,'Product Tgt'!$D:$D),0),0)</f>
        <v>0</v>
      </c>
      <c r="CP85" s="11">
        <f>ROUND(IFERROR(BJ85/_xlfn.XLOOKUP(CP$7,'Product Tgt'!$B:$B,'Product Tgt'!$D:$D),0),0)</f>
        <v>0</v>
      </c>
      <c r="CQ85" s="11">
        <f>ROUND(IFERROR(BK85/_xlfn.XLOOKUP(CQ$7,'Product Tgt'!$B:$B,'Product Tgt'!$D:$D),0),0)</f>
        <v>0</v>
      </c>
      <c r="CR85" s="11">
        <f>ROUND(IFERROR(BL85/_xlfn.XLOOKUP(CR$7,'Product Tgt'!$B:$B,'Product Tgt'!$D:$D),0),0)</f>
        <v>0</v>
      </c>
      <c r="CS85" s="11">
        <f>ROUND(IFERROR(BM85/_xlfn.XLOOKUP(CS$7,'Product Tgt'!$B:$B,'Product Tgt'!$D:$D),0),0)</f>
        <v>0</v>
      </c>
      <c r="CT85" s="11">
        <f>ROUND(IFERROR(BN85/_xlfn.XLOOKUP(CT$7,'Product Tgt'!$B:$B,'Product Tgt'!$D:$D),0),0)</f>
        <v>0</v>
      </c>
      <c r="CU85" s="11">
        <f>ROUND(IFERROR(BO85/_xlfn.XLOOKUP(CU$7,'Product Tgt'!$B:$B,'Product Tgt'!$D:$D),0),0)</f>
        <v>0</v>
      </c>
      <c r="CV85" s="11">
        <f>ROUND(IFERROR(BP85/_xlfn.XLOOKUP(CV$7,'Product Tgt'!$B:$B,'Product Tgt'!$D:$D),0),0)</f>
        <v>0</v>
      </c>
      <c r="CW85" s="11">
        <f>ROUND(IFERROR(BQ85/_xlfn.XLOOKUP(CW$7,'Product Tgt'!$B:$B,'Product Tgt'!$D:$D),0),0)</f>
        <v>0</v>
      </c>
      <c r="CX85" s="11">
        <f>ROUND(IFERROR(#REF!/_xlfn.XLOOKUP(CX$7,'Product Tgt'!$B:$B,'Product Tgt'!$D:$D),0),0)</f>
        <v>0</v>
      </c>
      <c r="CY85" s="11">
        <f>ROUND(IFERROR(#REF!/_xlfn.XLOOKUP(CY$7,'Product Tgt'!$B:$B,'Product Tgt'!$D:$D),0),0)</f>
        <v>0</v>
      </c>
      <c r="CZ85" s="11">
        <f>ROUND(IFERROR(#REF!/_xlfn.XLOOKUP(CZ$7,'Product Tgt'!$B:$B,'Product Tgt'!$D:$D),0),0)</f>
        <v>0</v>
      </c>
      <c r="DA85" s="10">
        <f>IFERROR(BR85*_xlfn.XLOOKUP(DA$7,'Product Tgt'!$B:$B,'Product Tgt'!$D:$D),0)</f>
        <v>0</v>
      </c>
      <c r="DB85">
        <f>IFERROR(BS85*_xlfn.XLOOKUP(DB$7,'Product Tgt'!$B:$B,'Product Tgt'!$D:$D),0)</f>
        <v>0</v>
      </c>
      <c r="DC85">
        <f>IFERROR(BT85*_xlfn.XLOOKUP(DC$7,'Product Tgt'!$B:$B,'Product Tgt'!$D:$D),0)</f>
        <v>0</v>
      </c>
      <c r="DD85">
        <f>IFERROR(BU85*_xlfn.XLOOKUP(DD$7,'Product Tgt'!$B:$B,'Product Tgt'!$D:$D),0)</f>
        <v>0</v>
      </c>
      <c r="DE85">
        <f>IFERROR(BV85*_xlfn.XLOOKUP(DE$7,'Product Tgt'!$B:$B,'Product Tgt'!$D:$D),0)</f>
        <v>0</v>
      </c>
      <c r="DF85">
        <f>IFERROR(BW85*_xlfn.XLOOKUP(DF$7,'Product Tgt'!$B:$B,'Product Tgt'!$D:$D),0)</f>
        <v>0</v>
      </c>
      <c r="DG85">
        <f>IFERROR(BX85*_xlfn.XLOOKUP(DG$7,'Product Tgt'!$B:$B,'Product Tgt'!$D:$D),0)</f>
        <v>0</v>
      </c>
      <c r="DH85">
        <f>IFERROR(BY85*_xlfn.XLOOKUP(DH$7,'Product Tgt'!$B:$B,'Product Tgt'!$D:$D),0)</f>
        <v>0</v>
      </c>
      <c r="DI85">
        <f>IFERROR(BZ85*_xlfn.XLOOKUP(DI$7,'Product Tgt'!$B:$B,'Product Tgt'!$D:$D),0)</f>
        <v>0</v>
      </c>
      <c r="DJ85">
        <f>IFERROR(CA85*_xlfn.XLOOKUP(DJ$7,'Product Tgt'!$B:$B,'Product Tgt'!$D:$D),0)</f>
        <v>0</v>
      </c>
      <c r="DK85">
        <f>IFERROR(CB85*_xlfn.XLOOKUP(DK$7,'Product Tgt'!$B:$B,'Product Tgt'!$D:$D),0)</f>
        <v>0</v>
      </c>
      <c r="DL85">
        <f>IFERROR(CC85*_xlfn.XLOOKUP(DL$7,'Product Tgt'!$B:$B,'Product Tgt'!$D:$D),0)</f>
        <v>0</v>
      </c>
      <c r="DM85">
        <f>IFERROR(CD85*_xlfn.XLOOKUP(DM$7,'Product Tgt'!$B:$B,'Product Tgt'!$D:$D),0)</f>
        <v>0</v>
      </c>
      <c r="DN85">
        <f>IFERROR(CE85*_xlfn.XLOOKUP(DN$7,'Product Tgt'!$B:$B,'Product Tgt'!$D:$D),0)</f>
        <v>0</v>
      </c>
      <c r="DO85">
        <f>IFERROR(CF85*_xlfn.XLOOKUP(DO$7,'Product Tgt'!$B:$B,'Product Tgt'!$D:$D),0)</f>
        <v>0</v>
      </c>
      <c r="DP85">
        <f>IFERROR(CG85*_xlfn.XLOOKUP(DP$7,'Product Tgt'!$B:$B,'Product Tgt'!$D:$D),0)</f>
        <v>0</v>
      </c>
      <c r="DQ85">
        <f>IFERROR(CH85*_xlfn.XLOOKUP(DQ$7,'Product Tgt'!$B:$B,'Product Tgt'!$D:$D),0)</f>
        <v>0</v>
      </c>
      <c r="DR85">
        <f>IFERROR(CI85*_xlfn.XLOOKUP(DR$7,'Product Tgt'!$B:$B,'Product Tgt'!$D:$D),0)</f>
        <v>0</v>
      </c>
      <c r="DS85">
        <f>IFERROR(CJ85*_xlfn.XLOOKUP(DS$7,'Product Tgt'!$B:$B,'Product Tgt'!$D:$D),0)</f>
        <v>0</v>
      </c>
      <c r="DT85">
        <f>IFERROR(CK85*_xlfn.XLOOKUP(DT$7,'Product Tgt'!$B:$B,'Product Tgt'!$D:$D),0)</f>
        <v>0</v>
      </c>
      <c r="DU85">
        <f>IFERROR(CL85*_xlfn.XLOOKUP(DU$7,'Product Tgt'!$B:$B,'Product Tgt'!$D:$D),0)</f>
        <v>0</v>
      </c>
      <c r="DV85">
        <f>IFERROR(CM85*_xlfn.XLOOKUP(DV$7,'Product Tgt'!$B:$B,'Product Tgt'!$D:$D),0)</f>
        <v>0</v>
      </c>
      <c r="DW85">
        <f>IFERROR(CN85*_xlfn.XLOOKUP(DW$7,'Product Tgt'!$B:$B,'Product Tgt'!$D:$D),0)</f>
        <v>0</v>
      </c>
      <c r="DX85">
        <f>IFERROR(CO85*_xlfn.XLOOKUP(DX$7,'Product Tgt'!$B:$B,'Product Tgt'!$D:$D),0)</f>
        <v>0</v>
      </c>
      <c r="DY85">
        <f>IFERROR(CP85*_xlfn.XLOOKUP(DY$7,'Product Tgt'!$B:$B,'Product Tgt'!$D:$D),0)</f>
        <v>0</v>
      </c>
      <c r="DZ85">
        <f>IFERROR(CQ85*_xlfn.XLOOKUP(DZ$7,'Product Tgt'!$B:$B,'Product Tgt'!$D:$D),0)</f>
        <v>0</v>
      </c>
      <c r="EA85">
        <f>IFERROR(CR85*_xlfn.XLOOKUP(EA$7,'Product Tgt'!$B:$B,'Product Tgt'!$D:$D),0)</f>
        <v>0</v>
      </c>
      <c r="EB85">
        <f>IFERROR(CS85*_xlfn.XLOOKUP(EB$7,'Product Tgt'!$B:$B,'Product Tgt'!$D:$D),0)</f>
        <v>0</v>
      </c>
      <c r="EC85">
        <f>IFERROR(CT85*_xlfn.XLOOKUP(EC$7,'Product Tgt'!$B:$B,'Product Tgt'!$D:$D),0)</f>
        <v>0</v>
      </c>
      <c r="ED85">
        <f>IFERROR(CU85*_xlfn.XLOOKUP(ED$7,'Product Tgt'!$B:$B,'Product Tgt'!$D:$D),0)</f>
        <v>0</v>
      </c>
      <c r="EE85">
        <f>IFERROR(CV85*_xlfn.XLOOKUP(EE$7,'Product Tgt'!$B:$B,'Product Tgt'!$D:$D),0)</f>
        <v>0</v>
      </c>
      <c r="EF85">
        <f>IFERROR(CW85*_xlfn.XLOOKUP(EF$7,'Product Tgt'!$B:$B,'Product Tgt'!$D:$D),0)</f>
        <v>0</v>
      </c>
      <c r="EG85">
        <f>IFERROR(CX85*_xlfn.XLOOKUP(EG$7,'Product Tgt'!$B:$B,'Product Tgt'!$D:$D),0)</f>
        <v>0</v>
      </c>
      <c r="EH85">
        <f>IFERROR(CY85*_xlfn.XLOOKUP(EH$7,'Product Tgt'!$B:$B,'Product Tgt'!$D:$D),0)</f>
        <v>0</v>
      </c>
      <c r="EI85">
        <f>IFERROR(CZ85*_xlfn.XLOOKUP(EI$7,'Product Tgt'!$B:$B,'Product Tgt'!$D:$D),0)</f>
        <v>0</v>
      </c>
    </row>
    <row r="86" spans="2:139" x14ac:dyDescent="0.35">
      <c r="B86" s="7" t="s">
        <v>106</v>
      </c>
      <c r="C86" s="3">
        <f>_xlfn.XLOOKUP($B86,'Terr Target'!$A:$A,'Terr Target'!$E:$E)</f>
        <v>522053.02150068124</v>
      </c>
      <c r="D86" s="3">
        <f t="shared" si="10"/>
        <v>522055</v>
      </c>
      <c r="E86" s="4">
        <f t="shared" si="11"/>
        <v>1.9784993187640794</v>
      </c>
      <c r="F86" s="9">
        <f t="shared" si="7"/>
        <v>3.789829268494851E-6</v>
      </c>
      <c r="G86" s="5">
        <f t="shared" si="12"/>
        <v>0.99999621017073148</v>
      </c>
      <c r="H86" s="38">
        <v>46218.439150182945</v>
      </c>
      <c r="I86" s="11">
        <v>108532.48932501396</v>
      </c>
      <c r="J86" s="11">
        <v>61992.985480121293</v>
      </c>
      <c r="K86" s="11">
        <v>93671.95794071602</v>
      </c>
      <c r="L86" s="11">
        <v>44775.063215272472</v>
      </c>
      <c r="M86" s="11">
        <v>29238.715923430347</v>
      </c>
      <c r="N86" s="11">
        <v>334.67039336269994</v>
      </c>
      <c r="O86" s="11">
        <v>3901.9455438384352</v>
      </c>
      <c r="P86" s="11">
        <v>1277.1579945053732</v>
      </c>
      <c r="Q86" s="11">
        <v>926.60766526959219</v>
      </c>
      <c r="R86" s="11">
        <v>9444.6191712239106</v>
      </c>
      <c r="S86" s="11">
        <v>16895.467206773101</v>
      </c>
      <c r="T86" s="11">
        <v>0</v>
      </c>
      <c r="U86" s="11">
        <v>3315.0135800491366</v>
      </c>
      <c r="V86" s="11">
        <v>16372.531682487324</v>
      </c>
      <c r="W86" s="11">
        <v>30590.943608532729</v>
      </c>
      <c r="X86" s="11">
        <v>2203.7358662742654</v>
      </c>
      <c r="Y86" s="11">
        <v>2451.9852452732684</v>
      </c>
      <c r="Z86" s="11">
        <v>357.55180190027255</v>
      </c>
      <c r="AA86" s="11">
        <v>6358.9460283961989</v>
      </c>
      <c r="AB86" s="11">
        <v>1969.3702586014456</v>
      </c>
      <c r="AC86" s="11">
        <v>833.24476524280396</v>
      </c>
      <c r="AD86" s="11">
        <v>6998.4635209209346</v>
      </c>
      <c r="AE86" s="11">
        <v>8038.2765576834909</v>
      </c>
      <c r="AF86" s="11">
        <v>829.21271148140875</v>
      </c>
      <c r="AG86" s="11">
        <v>21162.3334783516</v>
      </c>
      <c r="AH86" s="11">
        <v>1919.664768267005</v>
      </c>
      <c r="AI86" s="11">
        <v>10084.156526082445</v>
      </c>
      <c r="AJ86" s="11">
        <v>9503.1634000993399</v>
      </c>
      <c r="AK86" s="11">
        <v>1400.4335692349259</v>
      </c>
      <c r="AL86" s="49">
        <v>1939.3682033965815</v>
      </c>
      <c r="AM86" s="41">
        <f>IFERROR(ROUND(_xlfn.XLOOKUP(AM$7,'Product Tgt'!$B:$B,'Product Tgt'!$G:$G)*H86/H$121,0),0)</f>
        <v>44932</v>
      </c>
      <c r="AN86" s="41">
        <f>IFERROR(ROUND(_xlfn.XLOOKUP(AN$7,'Product Tgt'!$B:$B,'Product Tgt'!$G:$G)*I86/I$121,0),0)</f>
        <v>106839</v>
      </c>
      <c r="AO86" s="41">
        <f>IFERROR(ROUND(_xlfn.XLOOKUP(AO$7,'Product Tgt'!$B:$B,'Product Tgt'!$G:$G)*J86/J$121,0),0)</f>
        <v>60065</v>
      </c>
      <c r="AP86" s="41">
        <f>IFERROR(ROUND(_xlfn.XLOOKUP(AP$7,'Product Tgt'!$B:$B,'Product Tgt'!$G:$G)*K86/K$121,0),0)</f>
        <v>91379</v>
      </c>
      <c r="AQ86" s="41">
        <f>IFERROR(ROUND(_xlfn.XLOOKUP(AQ$7,'Product Tgt'!$B:$B,'Product Tgt'!$G:$G)*L86/L$121,0),0)</f>
        <v>43295</v>
      </c>
      <c r="AR86" s="41">
        <f>IFERROR(ROUND(_xlfn.XLOOKUP(AR$7,'Product Tgt'!$B:$B,'Product Tgt'!$G:$G)*M86/M$121,0),0)</f>
        <v>28326</v>
      </c>
      <c r="AS86" s="41">
        <f>IFERROR(ROUND(_xlfn.XLOOKUP(AS$7,'Product Tgt'!$B:$B,'Product Tgt'!$G:$G)*N86/N$121,0),0)</f>
        <v>309</v>
      </c>
      <c r="AT86" s="41">
        <f>IFERROR(ROUND(_xlfn.XLOOKUP(AT$7,'Product Tgt'!$B:$B,'Product Tgt'!$G:$G)*O86/O$121,0),0)</f>
        <v>3512</v>
      </c>
      <c r="AU86" s="41">
        <f>IFERROR(ROUND(_xlfn.XLOOKUP(AU$7,'Product Tgt'!$B:$B,'Product Tgt'!$G:$G)*P86/P$121,0),0)</f>
        <v>545</v>
      </c>
      <c r="AV86" s="41">
        <f>IFERROR(ROUND(_xlfn.XLOOKUP(AV$7,'Product Tgt'!$B:$B,'Product Tgt'!$G:$G)*Q86/Q$121,0),0)</f>
        <v>695</v>
      </c>
      <c r="AW86" s="41">
        <f>IFERROR(ROUND(_xlfn.XLOOKUP(AW$7,'Product Tgt'!$B:$B,'Product Tgt'!$G:$G)*R86/R$121,0),0)</f>
        <v>9096</v>
      </c>
      <c r="AX86" s="41">
        <f>IFERROR(ROUND(_xlfn.XLOOKUP(AX$7,'Product Tgt'!$B:$B,'Product Tgt'!$G:$G)*S86/S$121,0),0)</f>
        <v>16273</v>
      </c>
      <c r="AY86" s="41">
        <f>IFERROR(ROUND(_xlfn.XLOOKUP(AY$7,'Product Tgt'!$B:$B,'Product Tgt'!$G:$G)*T86/T$121,0),0)</f>
        <v>0</v>
      </c>
      <c r="AZ86" s="41">
        <f>IFERROR(ROUND(_xlfn.XLOOKUP(AZ$7,'Product Tgt'!$B:$B,'Product Tgt'!$G:$G)*U86/U$121,0),0)</f>
        <v>3173</v>
      </c>
      <c r="BA86" s="41">
        <f>IFERROR(ROUND(_xlfn.XLOOKUP(BA$7,'Product Tgt'!$B:$B,'Product Tgt'!$G:$G)*V86/V$121,0),0)</f>
        <v>15764</v>
      </c>
      <c r="BB86" s="41">
        <f>IFERROR(ROUND(_xlfn.XLOOKUP(BB$7,'Product Tgt'!$B:$B,'Product Tgt'!$G:$G)*W86/W$121,0),0)</f>
        <v>29283</v>
      </c>
      <c r="BC86" s="41">
        <f>IFERROR(ROUND(_xlfn.XLOOKUP(BC$7,'Product Tgt'!$B:$B,'Product Tgt'!$G:$G)*X86/X$121,0),0)</f>
        <v>2132</v>
      </c>
      <c r="BD86" s="41">
        <f>IFERROR(ROUND(_xlfn.XLOOKUP(BD$7,'Product Tgt'!$B:$B,'Product Tgt'!$G:$G)*Y86/Y$121,0),0)</f>
        <v>2371</v>
      </c>
      <c r="BE86" s="41">
        <f>IFERROR(ROUND(_xlfn.XLOOKUP(BE$7,'Product Tgt'!$B:$B,'Product Tgt'!$G:$G)*Z86/Z$121,0),0)</f>
        <v>340</v>
      </c>
      <c r="BF86" s="41">
        <f>IFERROR(ROUND(_xlfn.XLOOKUP(BF$7,'Product Tgt'!$B:$B,'Product Tgt'!$G:$G)*AA86/AA$121,0),0)</f>
        <v>5153</v>
      </c>
      <c r="BG86" s="41">
        <f>IFERROR(ROUND(_xlfn.XLOOKUP(BG$7,'Product Tgt'!$B:$B,'Product Tgt'!$G:$G)*AB86/AB$121,0),0)</f>
        <v>1578</v>
      </c>
      <c r="BH86" s="41">
        <f>IFERROR(ROUND(_xlfn.XLOOKUP(BH$7,'Product Tgt'!$B:$B,'Product Tgt'!$G:$G)*AC86/AC$121,0),0)</f>
        <v>713</v>
      </c>
      <c r="BI86" s="41">
        <f>IFERROR(ROUND(_xlfn.XLOOKUP(BI$7,'Product Tgt'!$B:$B,'Product Tgt'!$G:$G)*AD86/AD$121,0),0)</f>
        <v>6092</v>
      </c>
      <c r="BJ86" s="41">
        <f>IFERROR(ROUND(_xlfn.XLOOKUP(BJ$7,'Product Tgt'!$B:$B,'Product Tgt'!$G:$G)*AE86/AE$121,0),0)</f>
        <v>7482</v>
      </c>
      <c r="BK86" s="41">
        <f>IFERROR(ROUND(_xlfn.XLOOKUP(BK$7,'Product Tgt'!$B:$B,'Product Tgt'!$G:$G)*AF86/AF$121,0),0)</f>
        <v>926</v>
      </c>
      <c r="BL86" s="41">
        <f>IFERROR(ROUND(_xlfn.XLOOKUP(BL$7,'Product Tgt'!$B:$B,'Product Tgt'!$G:$G)*AG86/AG$121,0),0)</f>
        <v>20214</v>
      </c>
      <c r="BM86" s="41">
        <f>IFERROR(ROUND(_xlfn.XLOOKUP(BM$7,'Product Tgt'!$B:$B,'Product Tgt'!$G:$G)*AH86/AH$121,0),0)</f>
        <v>1505</v>
      </c>
      <c r="BN86" s="41">
        <f>IFERROR(ROUND(_xlfn.XLOOKUP(BN$7,'Product Tgt'!$B:$B,'Product Tgt'!$G:$G)*AI86/AI$121,0),0)</f>
        <v>9261</v>
      </c>
      <c r="BO86" s="41">
        <f>IFERROR(ROUND(_xlfn.XLOOKUP(BO$7,'Product Tgt'!$B:$B,'Product Tgt'!$G:$G)*AJ86/AJ$121,0),0)</f>
        <v>8220</v>
      </c>
      <c r="BP86" s="41">
        <f>IFERROR(ROUND(_xlfn.XLOOKUP(BP$7,'Product Tgt'!$B:$B,'Product Tgt'!$G:$G)*AK86/AK$121,0),0)</f>
        <v>1066</v>
      </c>
      <c r="BQ86" s="41">
        <f>IFERROR(ROUND(_xlfn.XLOOKUP(BQ$7,'Product Tgt'!$B:$B,'Product Tgt'!$G:$G)*AL86/AL$121,0),0)</f>
        <v>1516</v>
      </c>
      <c r="BR86" s="25">
        <f>ROUND(IFERROR(AM86/_xlfn.XLOOKUP(BR$7,'Product Tgt'!$B:$B,'Product Tgt'!$D:$D),0),0)</f>
        <v>0</v>
      </c>
      <c r="BS86" s="11">
        <f>ROUND(IFERROR(AN86/_xlfn.XLOOKUP(BS$7,'Product Tgt'!$B:$B,'Product Tgt'!$D:$D),0),0)</f>
        <v>0</v>
      </c>
      <c r="BT86" s="11">
        <f>ROUND(IFERROR(AO86/_xlfn.XLOOKUP(BT$7,'Product Tgt'!$B:$B,'Product Tgt'!$D:$D),0),0)</f>
        <v>0</v>
      </c>
      <c r="BU86" s="11">
        <f>ROUND(IFERROR(AP86/_xlfn.XLOOKUP(BU$7,'Product Tgt'!$B:$B,'Product Tgt'!$D:$D),0),0)</f>
        <v>0</v>
      </c>
      <c r="BV86" s="11">
        <f>ROUND(IFERROR(AQ86/_xlfn.XLOOKUP(BV$7,'Product Tgt'!$B:$B,'Product Tgt'!$D:$D),0),0)</f>
        <v>0</v>
      </c>
      <c r="BW86" s="11">
        <f>ROUND(IFERROR(AU86/_xlfn.XLOOKUP(BW$7,'Product Tgt'!$B:$B,'Product Tgt'!$D:$D),0),0)</f>
        <v>0</v>
      </c>
      <c r="BX86" s="11">
        <f>ROUND(IFERROR(#REF!/_xlfn.XLOOKUP(BX$7,'Product Tgt'!$B:$B,'Product Tgt'!$D:$D),0),0)</f>
        <v>0</v>
      </c>
      <c r="BY86" s="11">
        <f>ROUND(IFERROR(#REF!/_xlfn.XLOOKUP(BY$7,'Product Tgt'!$B:$B,'Product Tgt'!$D:$D),0),0)</f>
        <v>0</v>
      </c>
      <c r="BZ86" s="11">
        <f>ROUND(IFERROR(#REF!/_xlfn.XLOOKUP(BZ$7,'Product Tgt'!$B:$B,'Product Tgt'!$D:$D),0),0)</f>
        <v>0</v>
      </c>
      <c r="CA86" s="11">
        <f>ROUND(IFERROR(#REF!/_xlfn.XLOOKUP(CA$7,'Product Tgt'!$B:$B,'Product Tgt'!$D:$D),0),0)</f>
        <v>0</v>
      </c>
      <c r="CB86" s="11">
        <f>ROUND(IFERROR(AV86/_xlfn.XLOOKUP(CB$7,'Product Tgt'!$B:$B,'Product Tgt'!$D:$D),0),0)</f>
        <v>0</v>
      </c>
      <c r="CC86" s="11">
        <f>ROUND(IFERROR(AW86/_xlfn.XLOOKUP(CC$7,'Product Tgt'!$B:$B,'Product Tgt'!$D:$D),0),0)</f>
        <v>0</v>
      </c>
      <c r="CD86" s="11">
        <f>ROUND(IFERROR(AX86/_xlfn.XLOOKUP(CD$7,'Product Tgt'!$B:$B,'Product Tgt'!$D:$D),0),0)</f>
        <v>0</v>
      </c>
      <c r="CE86" s="11">
        <f>ROUND(IFERROR(AY86/_xlfn.XLOOKUP(CE$7,'Product Tgt'!$B:$B,'Product Tgt'!$D:$D),0),0)</f>
        <v>0</v>
      </c>
      <c r="CF86" s="11">
        <f>ROUND(IFERROR(AZ86/_xlfn.XLOOKUP(CF$7,'Product Tgt'!$B:$B,'Product Tgt'!$D:$D),0),0)</f>
        <v>0</v>
      </c>
      <c r="CG86" s="11">
        <f>ROUND(IFERROR(BA86/_xlfn.XLOOKUP(CG$7,'Product Tgt'!$B:$B,'Product Tgt'!$D:$D),0),0)</f>
        <v>0</v>
      </c>
      <c r="CH86" s="11">
        <f>ROUND(IFERROR(BB86/_xlfn.XLOOKUP(CH$7,'Product Tgt'!$B:$B,'Product Tgt'!$D:$D),0),0)</f>
        <v>0</v>
      </c>
      <c r="CI86" s="11">
        <f>ROUND(IFERROR(BC86/_xlfn.XLOOKUP(CI$7,'Product Tgt'!$B:$B,'Product Tgt'!$D:$D),0),0)</f>
        <v>0</v>
      </c>
      <c r="CJ86" s="11">
        <f>ROUND(IFERROR(BD86/_xlfn.XLOOKUP(CJ$7,'Product Tgt'!$B:$B,'Product Tgt'!$D:$D),0),0)</f>
        <v>0</v>
      </c>
      <c r="CK86" s="11">
        <f>ROUND(IFERROR(BE86/_xlfn.XLOOKUP(CK$7,'Product Tgt'!$B:$B,'Product Tgt'!$D:$D),0),0)</f>
        <v>0</v>
      </c>
      <c r="CL86" s="11">
        <f>ROUND(IFERROR(BF86/_xlfn.XLOOKUP(CL$7,'Product Tgt'!$B:$B,'Product Tgt'!$D:$D),0),0)</f>
        <v>0</v>
      </c>
      <c r="CM86" s="11">
        <f>ROUND(IFERROR(BG86/_xlfn.XLOOKUP(CM$7,'Product Tgt'!$B:$B,'Product Tgt'!$D:$D),0),0)</f>
        <v>0</v>
      </c>
      <c r="CN86" s="11">
        <f>ROUND(IFERROR(BH86/_xlfn.XLOOKUP(CN$7,'Product Tgt'!$B:$B,'Product Tgt'!$D:$D),0),0)</f>
        <v>0</v>
      </c>
      <c r="CO86" s="11">
        <f>ROUND(IFERROR(BI86/_xlfn.XLOOKUP(CO$7,'Product Tgt'!$B:$B,'Product Tgt'!$D:$D),0),0)</f>
        <v>0</v>
      </c>
      <c r="CP86" s="11">
        <f>ROUND(IFERROR(BJ86/_xlfn.XLOOKUP(CP$7,'Product Tgt'!$B:$B,'Product Tgt'!$D:$D),0),0)</f>
        <v>0</v>
      </c>
      <c r="CQ86" s="11">
        <f>ROUND(IFERROR(BK86/_xlfn.XLOOKUP(CQ$7,'Product Tgt'!$B:$B,'Product Tgt'!$D:$D),0),0)</f>
        <v>0</v>
      </c>
      <c r="CR86" s="11">
        <f>ROUND(IFERROR(BL86/_xlfn.XLOOKUP(CR$7,'Product Tgt'!$B:$B,'Product Tgt'!$D:$D),0),0)</f>
        <v>0</v>
      </c>
      <c r="CS86" s="11">
        <f>ROUND(IFERROR(BM86/_xlfn.XLOOKUP(CS$7,'Product Tgt'!$B:$B,'Product Tgt'!$D:$D),0),0)</f>
        <v>0</v>
      </c>
      <c r="CT86" s="11">
        <f>ROUND(IFERROR(BN86/_xlfn.XLOOKUP(CT$7,'Product Tgt'!$B:$B,'Product Tgt'!$D:$D),0),0)</f>
        <v>0</v>
      </c>
      <c r="CU86" s="11">
        <f>ROUND(IFERROR(BO86/_xlfn.XLOOKUP(CU$7,'Product Tgt'!$B:$B,'Product Tgt'!$D:$D),0),0)</f>
        <v>0</v>
      </c>
      <c r="CV86" s="11">
        <f>ROUND(IFERROR(BP86/_xlfn.XLOOKUP(CV$7,'Product Tgt'!$B:$B,'Product Tgt'!$D:$D),0),0)</f>
        <v>0</v>
      </c>
      <c r="CW86" s="11">
        <f>ROUND(IFERROR(BQ86/_xlfn.XLOOKUP(CW$7,'Product Tgt'!$B:$B,'Product Tgt'!$D:$D),0),0)</f>
        <v>0</v>
      </c>
      <c r="CX86" s="11">
        <f>ROUND(IFERROR(#REF!/_xlfn.XLOOKUP(CX$7,'Product Tgt'!$B:$B,'Product Tgt'!$D:$D),0),0)</f>
        <v>0</v>
      </c>
      <c r="CY86" s="11">
        <f>ROUND(IFERROR(#REF!/_xlfn.XLOOKUP(CY$7,'Product Tgt'!$B:$B,'Product Tgt'!$D:$D),0),0)</f>
        <v>0</v>
      </c>
      <c r="CZ86" s="11">
        <f>ROUND(IFERROR(#REF!/_xlfn.XLOOKUP(CZ$7,'Product Tgt'!$B:$B,'Product Tgt'!$D:$D),0),0)</f>
        <v>0</v>
      </c>
      <c r="DA86" s="10">
        <f>IFERROR(BR86*_xlfn.XLOOKUP(DA$7,'Product Tgt'!$B:$B,'Product Tgt'!$D:$D),0)</f>
        <v>0</v>
      </c>
      <c r="DB86">
        <f>IFERROR(BS86*_xlfn.XLOOKUP(DB$7,'Product Tgt'!$B:$B,'Product Tgt'!$D:$D),0)</f>
        <v>0</v>
      </c>
      <c r="DC86">
        <f>IFERROR(BT86*_xlfn.XLOOKUP(DC$7,'Product Tgt'!$B:$B,'Product Tgt'!$D:$D),0)</f>
        <v>0</v>
      </c>
      <c r="DD86">
        <f>IFERROR(BU86*_xlfn.XLOOKUP(DD$7,'Product Tgt'!$B:$B,'Product Tgt'!$D:$D),0)</f>
        <v>0</v>
      </c>
      <c r="DE86">
        <f>IFERROR(BV86*_xlfn.XLOOKUP(DE$7,'Product Tgt'!$B:$B,'Product Tgt'!$D:$D),0)</f>
        <v>0</v>
      </c>
      <c r="DF86">
        <f>IFERROR(BW86*_xlfn.XLOOKUP(DF$7,'Product Tgt'!$B:$B,'Product Tgt'!$D:$D),0)</f>
        <v>0</v>
      </c>
      <c r="DG86">
        <f>IFERROR(BX86*_xlfn.XLOOKUP(DG$7,'Product Tgt'!$B:$B,'Product Tgt'!$D:$D),0)</f>
        <v>0</v>
      </c>
      <c r="DH86">
        <f>IFERROR(BY86*_xlfn.XLOOKUP(DH$7,'Product Tgt'!$B:$B,'Product Tgt'!$D:$D),0)</f>
        <v>0</v>
      </c>
      <c r="DI86">
        <f>IFERROR(BZ86*_xlfn.XLOOKUP(DI$7,'Product Tgt'!$B:$B,'Product Tgt'!$D:$D),0)</f>
        <v>0</v>
      </c>
      <c r="DJ86">
        <f>IFERROR(CA86*_xlfn.XLOOKUP(DJ$7,'Product Tgt'!$B:$B,'Product Tgt'!$D:$D),0)</f>
        <v>0</v>
      </c>
      <c r="DK86">
        <f>IFERROR(CB86*_xlfn.XLOOKUP(DK$7,'Product Tgt'!$B:$B,'Product Tgt'!$D:$D),0)</f>
        <v>0</v>
      </c>
      <c r="DL86">
        <f>IFERROR(CC86*_xlfn.XLOOKUP(DL$7,'Product Tgt'!$B:$B,'Product Tgt'!$D:$D),0)</f>
        <v>0</v>
      </c>
      <c r="DM86">
        <f>IFERROR(CD86*_xlfn.XLOOKUP(DM$7,'Product Tgt'!$B:$B,'Product Tgt'!$D:$D),0)</f>
        <v>0</v>
      </c>
      <c r="DN86">
        <f>IFERROR(CE86*_xlfn.XLOOKUP(DN$7,'Product Tgt'!$B:$B,'Product Tgt'!$D:$D),0)</f>
        <v>0</v>
      </c>
      <c r="DO86">
        <f>IFERROR(CF86*_xlfn.XLOOKUP(DO$7,'Product Tgt'!$B:$B,'Product Tgt'!$D:$D),0)</f>
        <v>0</v>
      </c>
      <c r="DP86">
        <f>IFERROR(CG86*_xlfn.XLOOKUP(DP$7,'Product Tgt'!$B:$B,'Product Tgt'!$D:$D),0)</f>
        <v>0</v>
      </c>
      <c r="DQ86">
        <f>IFERROR(CH86*_xlfn.XLOOKUP(DQ$7,'Product Tgt'!$B:$B,'Product Tgt'!$D:$D),0)</f>
        <v>0</v>
      </c>
      <c r="DR86">
        <f>IFERROR(CI86*_xlfn.XLOOKUP(DR$7,'Product Tgt'!$B:$B,'Product Tgt'!$D:$D),0)</f>
        <v>0</v>
      </c>
      <c r="DS86">
        <f>IFERROR(CJ86*_xlfn.XLOOKUP(DS$7,'Product Tgt'!$B:$B,'Product Tgt'!$D:$D),0)</f>
        <v>0</v>
      </c>
      <c r="DT86">
        <f>IFERROR(CK86*_xlfn.XLOOKUP(DT$7,'Product Tgt'!$B:$B,'Product Tgt'!$D:$D),0)</f>
        <v>0</v>
      </c>
      <c r="DU86">
        <f>IFERROR(CL86*_xlfn.XLOOKUP(DU$7,'Product Tgt'!$B:$B,'Product Tgt'!$D:$D),0)</f>
        <v>0</v>
      </c>
      <c r="DV86">
        <f>IFERROR(CM86*_xlfn.XLOOKUP(DV$7,'Product Tgt'!$B:$B,'Product Tgt'!$D:$D),0)</f>
        <v>0</v>
      </c>
      <c r="DW86">
        <f>IFERROR(CN86*_xlfn.XLOOKUP(DW$7,'Product Tgt'!$B:$B,'Product Tgt'!$D:$D),0)</f>
        <v>0</v>
      </c>
      <c r="DX86">
        <f>IFERROR(CO86*_xlfn.XLOOKUP(DX$7,'Product Tgt'!$B:$B,'Product Tgt'!$D:$D),0)</f>
        <v>0</v>
      </c>
      <c r="DY86">
        <f>IFERROR(CP86*_xlfn.XLOOKUP(DY$7,'Product Tgt'!$B:$B,'Product Tgt'!$D:$D),0)</f>
        <v>0</v>
      </c>
      <c r="DZ86">
        <f>IFERROR(CQ86*_xlfn.XLOOKUP(DZ$7,'Product Tgt'!$B:$B,'Product Tgt'!$D:$D),0)</f>
        <v>0</v>
      </c>
      <c r="EA86">
        <f>IFERROR(CR86*_xlfn.XLOOKUP(EA$7,'Product Tgt'!$B:$B,'Product Tgt'!$D:$D),0)</f>
        <v>0</v>
      </c>
      <c r="EB86">
        <f>IFERROR(CS86*_xlfn.XLOOKUP(EB$7,'Product Tgt'!$B:$B,'Product Tgt'!$D:$D),0)</f>
        <v>0</v>
      </c>
      <c r="EC86">
        <f>IFERROR(CT86*_xlfn.XLOOKUP(EC$7,'Product Tgt'!$B:$B,'Product Tgt'!$D:$D),0)</f>
        <v>0</v>
      </c>
      <c r="ED86">
        <f>IFERROR(CU86*_xlfn.XLOOKUP(ED$7,'Product Tgt'!$B:$B,'Product Tgt'!$D:$D),0)</f>
        <v>0</v>
      </c>
      <c r="EE86">
        <f>IFERROR(CV86*_xlfn.XLOOKUP(EE$7,'Product Tgt'!$B:$B,'Product Tgt'!$D:$D),0)</f>
        <v>0</v>
      </c>
      <c r="EF86">
        <f>IFERROR(CW86*_xlfn.XLOOKUP(EF$7,'Product Tgt'!$B:$B,'Product Tgt'!$D:$D),0)</f>
        <v>0</v>
      </c>
      <c r="EG86">
        <f>IFERROR(CX86*_xlfn.XLOOKUP(EG$7,'Product Tgt'!$B:$B,'Product Tgt'!$D:$D),0)</f>
        <v>0</v>
      </c>
      <c r="EH86">
        <f>IFERROR(CY86*_xlfn.XLOOKUP(EH$7,'Product Tgt'!$B:$B,'Product Tgt'!$D:$D),0)</f>
        <v>0</v>
      </c>
      <c r="EI86">
        <f>IFERROR(CZ86*_xlfn.XLOOKUP(EI$7,'Product Tgt'!$B:$B,'Product Tgt'!$D:$D),0)</f>
        <v>0</v>
      </c>
    </row>
    <row r="87" spans="2:139" x14ac:dyDescent="0.35">
      <c r="B87" s="7" t="s">
        <v>107</v>
      </c>
      <c r="C87" s="3">
        <f>_xlfn.XLOOKUP($B87,'Terr Target'!$A:$A,'Terr Target'!$E:$E)</f>
        <v>413563.43241427618</v>
      </c>
      <c r="D87" s="3">
        <f t="shared" si="10"/>
        <v>413564</v>
      </c>
      <c r="E87" s="4">
        <f t="shared" si="11"/>
        <v>0.56758572382386774</v>
      </c>
      <c r="F87" s="9">
        <f t="shared" si="7"/>
        <v>1.3724253654183337E-6</v>
      </c>
      <c r="G87" s="5">
        <f t="shared" si="12"/>
        <v>0.99999862757463454</v>
      </c>
      <c r="H87" s="38">
        <v>35491.956023050923</v>
      </c>
      <c r="I87" s="11">
        <v>79503.775436791795</v>
      </c>
      <c r="J87" s="11">
        <v>45491.615667576771</v>
      </c>
      <c r="K87" s="11">
        <v>59567.475664700338</v>
      </c>
      <c r="L87" s="11">
        <v>47134.220159025259</v>
      </c>
      <c r="M87" s="11">
        <v>30403.012746532233</v>
      </c>
      <c r="N87" s="11">
        <v>557.73054389673894</v>
      </c>
      <c r="O87" s="11">
        <v>4515.0851573138516</v>
      </c>
      <c r="P87" s="11">
        <v>1334.4187246364695</v>
      </c>
      <c r="Q87" s="11">
        <v>1072.7912974017067</v>
      </c>
      <c r="R87" s="11">
        <v>7566.1263337656574</v>
      </c>
      <c r="S87" s="11">
        <v>16104.264863120845</v>
      </c>
      <c r="T87" s="11">
        <v>0</v>
      </c>
      <c r="U87" s="11">
        <v>2979.4835313872782</v>
      </c>
      <c r="V87" s="11">
        <v>15186.202378080403</v>
      </c>
      <c r="W87" s="11">
        <v>25504.889856852282</v>
      </c>
      <c r="X87" s="11">
        <v>2174.6685257081394</v>
      </c>
      <c r="Y87" s="11">
        <v>2231.9959572655175</v>
      </c>
      <c r="Z87" s="11">
        <v>427.44850858621822</v>
      </c>
      <c r="AA87" s="11">
        <v>4644.3768114645336</v>
      </c>
      <c r="AB87" s="11">
        <v>2185.1561409375854</v>
      </c>
      <c r="AC87" s="11">
        <v>663.04454891449359</v>
      </c>
      <c r="AD87" s="11">
        <v>5880.7582263418508</v>
      </c>
      <c r="AE87" s="11">
        <v>9240.7878995983738</v>
      </c>
      <c r="AF87" s="11">
        <v>660.93868581673223</v>
      </c>
      <c r="AG87" s="11">
        <v>13345.135927265172</v>
      </c>
      <c r="AH87" s="11">
        <v>1301.0689422120192</v>
      </c>
      <c r="AI87" s="11">
        <v>6529.2598098039816</v>
      </c>
      <c r="AJ87" s="11">
        <v>6707.4762932506765</v>
      </c>
      <c r="AK87" s="11">
        <v>1204.2200898446717</v>
      </c>
      <c r="AL87" s="49">
        <v>1604.2402528357891</v>
      </c>
      <c r="AM87" s="41">
        <f>IFERROR(ROUND(_xlfn.XLOOKUP(AM$7,'Product Tgt'!$B:$B,'Product Tgt'!$G:$G)*H87/H$121,0),0)</f>
        <v>34504</v>
      </c>
      <c r="AN87" s="41">
        <f>IFERROR(ROUND(_xlfn.XLOOKUP(AN$7,'Product Tgt'!$B:$B,'Product Tgt'!$G:$G)*I87/I$121,0),0)</f>
        <v>78264</v>
      </c>
      <c r="AO87" s="41">
        <f>IFERROR(ROUND(_xlfn.XLOOKUP(AO$7,'Product Tgt'!$B:$B,'Product Tgt'!$G:$G)*J87/J$121,0),0)</f>
        <v>44077</v>
      </c>
      <c r="AP87" s="41">
        <f>IFERROR(ROUND(_xlfn.XLOOKUP(AP$7,'Product Tgt'!$B:$B,'Product Tgt'!$G:$G)*K87/K$121,0),0)</f>
        <v>58109</v>
      </c>
      <c r="AQ87" s="41">
        <f>IFERROR(ROUND(_xlfn.XLOOKUP(AQ$7,'Product Tgt'!$B:$B,'Product Tgt'!$G:$G)*L87/L$121,0),0)</f>
        <v>45576</v>
      </c>
      <c r="AR87" s="41">
        <f>IFERROR(ROUND(_xlfn.XLOOKUP(AR$7,'Product Tgt'!$B:$B,'Product Tgt'!$G:$G)*M87/M$121,0),0)</f>
        <v>29454</v>
      </c>
      <c r="AS87" s="41">
        <f>IFERROR(ROUND(_xlfn.XLOOKUP(AS$7,'Product Tgt'!$B:$B,'Product Tgt'!$G:$G)*N87/N$121,0),0)</f>
        <v>515</v>
      </c>
      <c r="AT87" s="41">
        <f>IFERROR(ROUND(_xlfn.XLOOKUP(AT$7,'Product Tgt'!$B:$B,'Product Tgt'!$G:$G)*O87/O$121,0),0)</f>
        <v>4064</v>
      </c>
      <c r="AU87" s="41">
        <f>IFERROR(ROUND(_xlfn.XLOOKUP(AU$7,'Product Tgt'!$B:$B,'Product Tgt'!$G:$G)*P87/P$121,0),0)</f>
        <v>569</v>
      </c>
      <c r="AV87" s="41">
        <f>IFERROR(ROUND(_xlfn.XLOOKUP(AV$7,'Product Tgt'!$B:$B,'Product Tgt'!$G:$G)*Q87/Q$121,0),0)</f>
        <v>805</v>
      </c>
      <c r="AW87" s="41">
        <f>IFERROR(ROUND(_xlfn.XLOOKUP(AW$7,'Product Tgt'!$B:$B,'Product Tgt'!$G:$G)*R87/R$121,0),0)</f>
        <v>7287</v>
      </c>
      <c r="AX87" s="41">
        <f>IFERROR(ROUND(_xlfn.XLOOKUP(AX$7,'Product Tgt'!$B:$B,'Product Tgt'!$G:$G)*S87/S$121,0),0)</f>
        <v>15510</v>
      </c>
      <c r="AY87" s="41">
        <f>IFERROR(ROUND(_xlfn.XLOOKUP(AY$7,'Product Tgt'!$B:$B,'Product Tgt'!$G:$G)*T87/T$121,0),0)</f>
        <v>0</v>
      </c>
      <c r="AZ87" s="41">
        <f>IFERROR(ROUND(_xlfn.XLOOKUP(AZ$7,'Product Tgt'!$B:$B,'Product Tgt'!$G:$G)*U87/U$121,0),0)</f>
        <v>2851</v>
      </c>
      <c r="BA87" s="41">
        <f>IFERROR(ROUND(_xlfn.XLOOKUP(BA$7,'Product Tgt'!$B:$B,'Product Tgt'!$G:$G)*V87/V$121,0),0)</f>
        <v>14621</v>
      </c>
      <c r="BB87" s="41">
        <f>IFERROR(ROUND(_xlfn.XLOOKUP(BB$7,'Product Tgt'!$B:$B,'Product Tgt'!$G:$G)*W87/W$121,0),0)</f>
        <v>24414</v>
      </c>
      <c r="BC87" s="41">
        <f>IFERROR(ROUND(_xlfn.XLOOKUP(BC$7,'Product Tgt'!$B:$B,'Product Tgt'!$G:$G)*X87/X$121,0),0)</f>
        <v>2104</v>
      </c>
      <c r="BD87" s="41">
        <f>IFERROR(ROUND(_xlfn.XLOOKUP(BD$7,'Product Tgt'!$B:$B,'Product Tgt'!$G:$G)*Y87/Y$121,0),0)</f>
        <v>2158</v>
      </c>
      <c r="BE87" s="41">
        <f>IFERROR(ROUND(_xlfn.XLOOKUP(BE$7,'Product Tgt'!$B:$B,'Product Tgt'!$G:$G)*Z87/Z$121,0),0)</f>
        <v>406</v>
      </c>
      <c r="BF87" s="41">
        <f>IFERROR(ROUND(_xlfn.XLOOKUP(BF$7,'Product Tgt'!$B:$B,'Product Tgt'!$G:$G)*AA87/AA$121,0),0)</f>
        <v>3764</v>
      </c>
      <c r="BG87" s="41">
        <f>IFERROR(ROUND(_xlfn.XLOOKUP(BG$7,'Product Tgt'!$B:$B,'Product Tgt'!$G:$G)*AB87/AB$121,0),0)</f>
        <v>1751</v>
      </c>
      <c r="BH87" s="41">
        <f>IFERROR(ROUND(_xlfn.XLOOKUP(BH$7,'Product Tgt'!$B:$B,'Product Tgt'!$G:$G)*AC87/AC$121,0),0)</f>
        <v>567</v>
      </c>
      <c r="BI87" s="41">
        <f>IFERROR(ROUND(_xlfn.XLOOKUP(BI$7,'Product Tgt'!$B:$B,'Product Tgt'!$G:$G)*AD87/AD$121,0),0)</f>
        <v>5119</v>
      </c>
      <c r="BJ87" s="41">
        <f>IFERROR(ROUND(_xlfn.XLOOKUP(BJ$7,'Product Tgt'!$B:$B,'Product Tgt'!$G:$G)*AE87/AE$121,0),0)</f>
        <v>8601</v>
      </c>
      <c r="BK87" s="41">
        <f>IFERROR(ROUND(_xlfn.XLOOKUP(BK$7,'Product Tgt'!$B:$B,'Product Tgt'!$G:$G)*AF87/AF$121,0),0)</f>
        <v>738</v>
      </c>
      <c r="BL87" s="41">
        <f>IFERROR(ROUND(_xlfn.XLOOKUP(BL$7,'Product Tgt'!$B:$B,'Product Tgt'!$G:$G)*AG87/AG$121,0),0)</f>
        <v>12747</v>
      </c>
      <c r="BM87" s="41">
        <f>IFERROR(ROUND(_xlfn.XLOOKUP(BM$7,'Product Tgt'!$B:$B,'Product Tgt'!$G:$G)*AH87/AH$121,0),0)</f>
        <v>1020</v>
      </c>
      <c r="BN87" s="41">
        <f>IFERROR(ROUND(_xlfn.XLOOKUP(BN$7,'Product Tgt'!$B:$B,'Product Tgt'!$G:$G)*AI87/AI$121,0),0)</f>
        <v>5996</v>
      </c>
      <c r="BO87" s="41">
        <f>IFERROR(ROUND(_xlfn.XLOOKUP(BO$7,'Product Tgt'!$B:$B,'Product Tgt'!$G:$G)*AJ87/AJ$121,0),0)</f>
        <v>5802</v>
      </c>
      <c r="BP87" s="41">
        <f>IFERROR(ROUND(_xlfn.XLOOKUP(BP$7,'Product Tgt'!$B:$B,'Product Tgt'!$G:$G)*AK87/AK$121,0),0)</f>
        <v>917</v>
      </c>
      <c r="BQ87" s="41">
        <f>IFERROR(ROUND(_xlfn.XLOOKUP(BQ$7,'Product Tgt'!$B:$B,'Product Tgt'!$G:$G)*AL87/AL$121,0),0)</f>
        <v>1254</v>
      </c>
      <c r="BR87" s="25">
        <f>ROUND(IFERROR(AM87/_xlfn.XLOOKUP(BR$7,'Product Tgt'!$B:$B,'Product Tgt'!$D:$D),0),0)</f>
        <v>0</v>
      </c>
      <c r="BS87" s="11">
        <f>ROUND(IFERROR(AN87/_xlfn.XLOOKUP(BS$7,'Product Tgt'!$B:$B,'Product Tgt'!$D:$D),0),0)</f>
        <v>0</v>
      </c>
      <c r="BT87" s="11">
        <f>ROUND(IFERROR(AO87/_xlfn.XLOOKUP(BT$7,'Product Tgt'!$B:$B,'Product Tgt'!$D:$D),0),0)</f>
        <v>0</v>
      </c>
      <c r="BU87" s="11">
        <f>ROUND(IFERROR(AP87/_xlfn.XLOOKUP(BU$7,'Product Tgt'!$B:$B,'Product Tgt'!$D:$D),0),0)</f>
        <v>0</v>
      </c>
      <c r="BV87" s="11">
        <f>ROUND(IFERROR(AQ87/_xlfn.XLOOKUP(BV$7,'Product Tgt'!$B:$B,'Product Tgt'!$D:$D),0),0)</f>
        <v>0</v>
      </c>
      <c r="BW87" s="11">
        <f>ROUND(IFERROR(AU87/_xlfn.XLOOKUP(BW$7,'Product Tgt'!$B:$B,'Product Tgt'!$D:$D),0),0)</f>
        <v>0</v>
      </c>
      <c r="BX87" s="11">
        <f>ROUND(IFERROR(#REF!/_xlfn.XLOOKUP(BX$7,'Product Tgt'!$B:$B,'Product Tgt'!$D:$D),0),0)</f>
        <v>0</v>
      </c>
      <c r="BY87" s="11">
        <f>ROUND(IFERROR(#REF!/_xlfn.XLOOKUP(BY$7,'Product Tgt'!$B:$B,'Product Tgt'!$D:$D),0),0)</f>
        <v>0</v>
      </c>
      <c r="BZ87" s="11">
        <f>ROUND(IFERROR(#REF!/_xlfn.XLOOKUP(BZ$7,'Product Tgt'!$B:$B,'Product Tgt'!$D:$D),0),0)</f>
        <v>0</v>
      </c>
      <c r="CA87" s="11">
        <f>ROUND(IFERROR(#REF!/_xlfn.XLOOKUP(CA$7,'Product Tgt'!$B:$B,'Product Tgt'!$D:$D),0),0)</f>
        <v>0</v>
      </c>
      <c r="CB87" s="11">
        <f>ROUND(IFERROR(AV87/_xlfn.XLOOKUP(CB$7,'Product Tgt'!$B:$B,'Product Tgt'!$D:$D),0),0)</f>
        <v>0</v>
      </c>
      <c r="CC87" s="11">
        <f>ROUND(IFERROR(AW87/_xlfn.XLOOKUP(CC$7,'Product Tgt'!$B:$B,'Product Tgt'!$D:$D),0),0)</f>
        <v>0</v>
      </c>
      <c r="CD87" s="11">
        <f>ROUND(IFERROR(AX87/_xlfn.XLOOKUP(CD$7,'Product Tgt'!$B:$B,'Product Tgt'!$D:$D),0),0)</f>
        <v>0</v>
      </c>
      <c r="CE87" s="11">
        <f>ROUND(IFERROR(AY87/_xlfn.XLOOKUP(CE$7,'Product Tgt'!$B:$B,'Product Tgt'!$D:$D),0),0)</f>
        <v>0</v>
      </c>
      <c r="CF87" s="11">
        <f>ROUND(IFERROR(AZ87/_xlfn.XLOOKUP(CF$7,'Product Tgt'!$B:$B,'Product Tgt'!$D:$D),0),0)</f>
        <v>0</v>
      </c>
      <c r="CG87" s="11">
        <f>ROUND(IFERROR(BA87/_xlfn.XLOOKUP(CG$7,'Product Tgt'!$B:$B,'Product Tgt'!$D:$D),0),0)</f>
        <v>0</v>
      </c>
      <c r="CH87" s="11">
        <f>ROUND(IFERROR(BB87/_xlfn.XLOOKUP(CH$7,'Product Tgt'!$B:$B,'Product Tgt'!$D:$D),0),0)</f>
        <v>0</v>
      </c>
      <c r="CI87" s="11">
        <f>ROUND(IFERROR(BC87/_xlfn.XLOOKUP(CI$7,'Product Tgt'!$B:$B,'Product Tgt'!$D:$D),0),0)</f>
        <v>0</v>
      </c>
      <c r="CJ87" s="11">
        <f>ROUND(IFERROR(BD87/_xlfn.XLOOKUP(CJ$7,'Product Tgt'!$B:$B,'Product Tgt'!$D:$D),0),0)</f>
        <v>0</v>
      </c>
      <c r="CK87" s="11">
        <f>ROUND(IFERROR(BE87/_xlfn.XLOOKUP(CK$7,'Product Tgt'!$B:$B,'Product Tgt'!$D:$D),0),0)</f>
        <v>0</v>
      </c>
      <c r="CL87" s="11">
        <f>ROUND(IFERROR(BF87/_xlfn.XLOOKUP(CL$7,'Product Tgt'!$B:$B,'Product Tgt'!$D:$D),0),0)</f>
        <v>0</v>
      </c>
      <c r="CM87" s="11">
        <f>ROUND(IFERROR(BG87/_xlfn.XLOOKUP(CM$7,'Product Tgt'!$B:$B,'Product Tgt'!$D:$D),0),0)</f>
        <v>0</v>
      </c>
      <c r="CN87" s="11">
        <f>ROUND(IFERROR(BH87/_xlfn.XLOOKUP(CN$7,'Product Tgt'!$B:$B,'Product Tgt'!$D:$D),0),0)</f>
        <v>0</v>
      </c>
      <c r="CO87" s="11">
        <f>ROUND(IFERROR(BI87/_xlfn.XLOOKUP(CO$7,'Product Tgt'!$B:$B,'Product Tgt'!$D:$D),0),0)</f>
        <v>0</v>
      </c>
      <c r="CP87" s="11">
        <f>ROUND(IFERROR(BJ87/_xlfn.XLOOKUP(CP$7,'Product Tgt'!$B:$B,'Product Tgt'!$D:$D),0),0)</f>
        <v>0</v>
      </c>
      <c r="CQ87" s="11">
        <f>ROUND(IFERROR(BK87/_xlfn.XLOOKUP(CQ$7,'Product Tgt'!$B:$B,'Product Tgt'!$D:$D),0),0)</f>
        <v>0</v>
      </c>
      <c r="CR87" s="11">
        <f>ROUND(IFERROR(BL87/_xlfn.XLOOKUP(CR$7,'Product Tgt'!$B:$B,'Product Tgt'!$D:$D),0),0)</f>
        <v>0</v>
      </c>
      <c r="CS87" s="11">
        <f>ROUND(IFERROR(BM87/_xlfn.XLOOKUP(CS$7,'Product Tgt'!$B:$B,'Product Tgt'!$D:$D),0),0)</f>
        <v>0</v>
      </c>
      <c r="CT87" s="11">
        <f>ROUND(IFERROR(BN87/_xlfn.XLOOKUP(CT$7,'Product Tgt'!$B:$B,'Product Tgt'!$D:$D),0),0)</f>
        <v>0</v>
      </c>
      <c r="CU87" s="11">
        <f>ROUND(IFERROR(BO87/_xlfn.XLOOKUP(CU$7,'Product Tgt'!$B:$B,'Product Tgt'!$D:$D),0),0)</f>
        <v>0</v>
      </c>
      <c r="CV87" s="11">
        <f>ROUND(IFERROR(BP87/_xlfn.XLOOKUP(CV$7,'Product Tgt'!$B:$B,'Product Tgt'!$D:$D),0),0)</f>
        <v>0</v>
      </c>
      <c r="CW87" s="11">
        <f>ROUND(IFERROR(BQ87/_xlfn.XLOOKUP(CW$7,'Product Tgt'!$B:$B,'Product Tgt'!$D:$D),0),0)</f>
        <v>0</v>
      </c>
      <c r="CX87" s="11">
        <f>ROUND(IFERROR(#REF!/_xlfn.XLOOKUP(CX$7,'Product Tgt'!$B:$B,'Product Tgt'!$D:$D),0),0)</f>
        <v>0</v>
      </c>
      <c r="CY87" s="11">
        <f>ROUND(IFERROR(#REF!/_xlfn.XLOOKUP(CY$7,'Product Tgt'!$B:$B,'Product Tgt'!$D:$D),0),0)</f>
        <v>0</v>
      </c>
      <c r="CZ87" s="11">
        <f>ROUND(IFERROR(#REF!/_xlfn.XLOOKUP(CZ$7,'Product Tgt'!$B:$B,'Product Tgt'!$D:$D),0),0)</f>
        <v>0</v>
      </c>
      <c r="DA87" s="10">
        <f>IFERROR(BR87*_xlfn.XLOOKUP(DA$7,'Product Tgt'!$B:$B,'Product Tgt'!$D:$D),0)</f>
        <v>0</v>
      </c>
      <c r="DB87">
        <f>IFERROR(BS87*_xlfn.XLOOKUP(DB$7,'Product Tgt'!$B:$B,'Product Tgt'!$D:$D),0)</f>
        <v>0</v>
      </c>
      <c r="DC87">
        <f>IFERROR(BT87*_xlfn.XLOOKUP(DC$7,'Product Tgt'!$B:$B,'Product Tgt'!$D:$D),0)</f>
        <v>0</v>
      </c>
      <c r="DD87">
        <f>IFERROR(BU87*_xlfn.XLOOKUP(DD$7,'Product Tgt'!$B:$B,'Product Tgt'!$D:$D),0)</f>
        <v>0</v>
      </c>
      <c r="DE87">
        <f>IFERROR(BV87*_xlfn.XLOOKUP(DE$7,'Product Tgt'!$B:$B,'Product Tgt'!$D:$D),0)</f>
        <v>0</v>
      </c>
      <c r="DF87">
        <f>IFERROR(BW87*_xlfn.XLOOKUP(DF$7,'Product Tgt'!$B:$B,'Product Tgt'!$D:$D),0)</f>
        <v>0</v>
      </c>
      <c r="DG87">
        <f>IFERROR(BX87*_xlfn.XLOOKUP(DG$7,'Product Tgt'!$B:$B,'Product Tgt'!$D:$D),0)</f>
        <v>0</v>
      </c>
      <c r="DH87">
        <f>IFERROR(BY87*_xlfn.XLOOKUP(DH$7,'Product Tgt'!$B:$B,'Product Tgt'!$D:$D),0)</f>
        <v>0</v>
      </c>
      <c r="DI87">
        <f>IFERROR(BZ87*_xlfn.XLOOKUP(DI$7,'Product Tgt'!$B:$B,'Product Tgt'!$D:$D),0)</f>
        <v>0</v>
      </c>
      <c r="DJ87">
        <f>IFERROR(CA87*_xlfn.XLOOKUP(DJ$7,'Product Tgt'!$B:$B,'Product Tgt'!$D:$D),0)</f>
        <v>0</v>
      </c>
      <c r="DK87">
        <f>IFERROR(CB87*_xlfn.XLOOKUP(DK$7,'Product Tgt'!$B:$B,'Product Tgt'!$D:$D),0)</f>
        <v>0</v>
      </c>
      <c r="DL87">
        <f>IFERROR(CC87*_xlfn.XLOOKUP(DL$7,'Product Tgt'!$B:$B,'Product Tgt'!$D:$D),0)</f>
        <v>0</v>
      </c>
      <c r="DM87">
        <f>IFERROR(CD87*_xlfn.XLOOKUP(DM$7,'Product Tgt'!$B:$B,'Product Tgt'!$D:$D),0)</f>
        <v>0</v>
      </c>
      <c r="DN87">
        <f>IFERROR(CE87*_xlfn.XLOOKUP(DN$7,'Product Tgt'!$B:$B,'Product Tgt'!$D:$D),0)</f>
        <v>0</v>
      </c>
      <c r="DO87">
        <f>IFERROR(CF87*_xlfn.XLOOKUP(DO$7,'Product Tgt'!$B:$B,'Product Tgt'!$D:$D),0)</f>
        <v>0</v>
      </c>
      <c r="DP87">
        <f>IFERROR(CG87*_xlfn.XLOOKUP(DP$7,'Product Tgt'!$B:$B,'Product Tgt'!$D:$D),0)</f>
        <v>0</v>
      </c>
      <c r="DQ87">
        <f>IFERROR(CH87*_xlfn.XLOOKUP(DQ$7,'Product Tgt'!$B:$B,'Product Tgt'!$D:$D),0)</f>
        <v>0</v>
      </c>
      <c r="DR87">
        <f>IFERROR(CI87*_xlfn.XLOOKUP(DR$7,'Product Tgt'!$B:$B,'Product Tgt'!$D:$D),0)</f>
        <v>0</v>
      </c>
      <c r="DS87">
        <f>IFERROR(CJ87*_xlfn.XLOOKUP(DS$7,'Product Tgt'!$B:$B,'Product Tgt'!$D:$D),0)</f>
        <v>0</v>
      </c>
      <c r="DT87">
        <f>IFERROR(CK87*_xlfn.XLOOKUP(DT$7,'Product Tgt'!$B:$B,'Product Tgt'!$D:$D),0)</f>
        <v>0</v>
      </c>
      <c r="DU87">
        <f>IFERROR(CL87*_xlfn.XLOOKUP(DU$7,'Product Tgt'!$B:$B,'Product Tgt'!$D:$D),0)</f>
        <v>0</v>
      </c>
      <c r="DV87">
        <f>IFERROR(CM87*_xlfn.XLOOKUP(DV$7,'Product Tgt'!$B:$B,'Product Tgt'!$D:$D),0)</f>
        <v>0</v>
      </c>
      <c r="DW87">
        <f>IFERROR(CN87*_xlfn.XLOOKUP(DW$7,'Product Tgt'!$B:$B,'Product Tgt'!$D:$D),0)</f>
        <v>0</v>
      </c>
      <c r="DX87">
        <f>IFERROR(CO87*_xlfn.XLOOKUP(DX$7,'Product Tgt'!$B:$B,'Product Tgt'!$D:$D),0)</f>
        <v>0</v>
      </c>
      <c r="DY87">
        <f>IFERROR(CP87*_xlfn.XLOOKUP(DY$7,'Product Tgt'!$B:$B,'Product Tgt'!$D:$D),0)</f>
        <v>0</v>
      </c>
      <c r="DZ87">
        <f>IFERROR(CQ87*_xlfn.XLOOKUP(DZ$7,'Product Tgt'!$B:$B,'Product Tgt'!$D:$D),0)</f>
        <v>0</v>
      </c>
      <c r="EA87">
        <f>IFERROR(CR87*_xlfn.XLOOKUP(EA$7,'Product Tgt'!$B:$B,'Product Tgt'!$D:$D),0)</f>
        <v>0</v>
      </c>
      <c r="EB87">
        <f>IFERROR(CS87*_xlfn.XLOOKUP(EB$7,'Product Tgt'!$B:$B,'Product Tgt'!$D:$D),0)</f>
        <v>0</v>
      </c>
      <c r="EC87">
        <f>IFERROR(CT87*_xlfn.XLOOKUP(EC$7,'Product Tgt'!$B:$B,'Product Tgt'!$D:$D),0)</f>
        <v>0</v>
      </c>
      <c r="ED87">
        <f>IFERROR(CU87*_xlfn.XLOOKUP(ED$7,'Product Tgt'!$B:$B,'Product Tgt'!$D:$D),0)</f>
        <v>0</v>
      </c>
      <c r="EE87">
        <f>IFERROR(CV87*_xlfn.XLOOKUP(EE$7,'Product Tgt'!$B:$B,'Product Tgt'!$D:$D),0)</f>
        <v>0</v>
      </c>
      <c r="EF87">
        <f>IFERROR(CW87*_xlfn.XLOOKUP(EF$7,'Product Tgt'!$B:$B,'Product Tgt'!$D:$D),0)</f>
        <v>0</v>
      </c>
      <c r="EG87">
        <f>IFERROR(CX87*_xlfn.XLOOKUP(EG$7,'Product Tgt'!$B:$B,'Product Tgt'!$D:$D),0)</f>
        <v>0</v>
      </c>
      <c r="EH87">
        <f>IFERROR(CY87*_xlfn.XLOOKUP(EH$7,'Product Tgt'!$B:$B,'Product Tgt'!$D:$D),0)</f>
        <v>0</v>
      </c>
      <c r="EI87">
        <f>IFERROR(CZ87*_xlfn.XLOOKUP(EI$7,'Product Tgt'!$B:$B,'Product Tgt'!$D:$D),0)</f>
        <v>0</v>
      </c>
    </row>
    <row r="88" spans="2:139" x14ac:dyDescent="0.35">
      <c r="B88" s="7" t="s">
        <v>108</v>
      </c>
      <c r="C88" s="3">
        <f>_xlfn.XLOOKUP($B88,'Terr Target'!$A:$A,'Terr Target'!$E:$E)</f>
        <v>445015.20459473797</v>
      </c>
      <c r="D88" s="3">
        <f t="shared" si="10"/>
        <v>445020</v>
      </c>
      <c r="E88" s="4">
        <f t="shared" si="11"/>
        <v>4.7954052620334551</v>
      </c>
      <c r="F88" s="9">
        <f t="shared" si="7"/>
        <v>1.0775707298623556E-5</v>
      </c>
      <c r="G88" s="5">
        <f t="shared" si="12"/>
        <v>0.99998922429270143</v>
      </c>
      <c r="H88" s="38">
        <v>40604.838606535042</v>
      </c>
      <c r="I88" s="11">
        <v>85894.068583943779</v>
      </c>
      <c r="J88" s="11">
        <v>47547.895527140339</v>
      </c>
      <c r="K88" s="11">
        <v>61637.315777761978</v>
      </c>
      <c r="L88" s="11">
        <v>47411.254929558228</v>
      </c>
      <c r="M88" s="11">
        <v>31212.416249922273</v>
      </c>
      <c r="N88" s="11">
        <v>646.52773225414683</v>
      </c>
      <c r="O88" s="11">
        <v>4511.4474196036017</v>
      </c>
      <c r="P88" s="11">
        <v>1496.2188347006945</v>
      </c>
      <c r="Q88" s="11">
        <v>1310.2583145353806</v>
      </c>
      <c r="R88" s="11">
        <v>9781.2887763769595</v>
      </c>
      <c r="S88" s="11">
        <v>18107.372830008051</v>
      </c>
      <c r="T88" s="11">
        <v>0</v>
      </c>
      <c r="U88" s="11">
        <v>1262.5499671487305</v>
      </c>
      <c r="V88" s="11">
        <v>21080.17598266566</v>
      </c>
      <c r="W88" s="11">
        <v>27383.39940644864</v>
      </c>
      <c r="X88" s="11">
        <v>2627.1631847630456</v>
      </c>
      <c r="Y88" s="11">
        <v>3779.0866202242828</v>
      </c>
      <c r="Z88" s="11">
        <v>322.34364715389501</v>
      </c>
      <c r="AA88" s="11">
        <v>4706.9534236254103</v>
      </c>
      <c r="AB88" s="11">
        <v>1637.3413277998425</v>
      </c>
      <c r="AC88" s="11">
        <v>3050.5974156958487</v>
      </c>
      <c r="AD88" s="11">
        <v>6100.1363411738448</v>
      </c>
      <c r="AE88" s="11">
        <v>5601.3871936590385</v>
      </c>
      <c r="AF88" s="11">
        <v>716.14015198681648</v>
      </c>
      <c r="AG88" s="11">
        <v>15489.268795758162</v>
      </c>
      <c r="AH88" s="11">
        <v>1567.6812283276299</v>
      </c>
      <c r="AI88" s="11">
        <v>7761.3556825367832</v>
      </c>
      <c r="AJ88" s="11">
        <v>8776.8769191136234</v>
      </c>
      <c r="AK88" s="11">
        <v>860.23786083344282</v>
      </c>
      <c r="AL88" s="49">
        <v>1145.1624483940504</v>
      </c>
      <c r="AM88" s="41">
        <f>IFERROR(ROUND(_xlfn.XLOOKUP(AM$7,'Product Tgt'!$B:$B,'Product Tgt'!$G:$G)*H88/H$121,0),0)</f>
        <v>39475</v>
      </c>
      <c r="AN88" s="41">
        <f>IFERROR(ROUND(_xlfn.XLOOKUP(AN$7,'Product Tgt'!$B:$B,'Product Tgt'!$G:$G)*I88/I$121,0),0)</f>
        <v>84554</v>
      </c>
      <c r="AO88" s="41">
        <f>IFERROR(ROUND(_xlfn.XLOOKUP(AO$7,'Product Tgt'!$B:$B,'Product Tgt'!$G:$G)*J88/J$121,0),0)</f>
        <v>46069</v>
      </c>
      <c r="AP88" s="41">
        <f>IFERROR(ROUND(_xlfn.XLOOKUP(AP$7,'Product Tgt'!$B:$B,'Product Tgt'!$G:$G)*K88/K$121,0),0)</f>
        <v>60129</v>
      </c>
      <c r="AQ88" s="41">
        <f>IFERROR(ROUND(_xlfn.XLOOKUP(AQ$7,'Product Tgt'!$B:$B,'Product Tgt'!$G:$G)*L88/L$121,0),0)</f>
        <v>45844</v>
      </c>
      <c r="AR88" s="41">
        <f>IFERROR(ROUND(_xlfn.XLOOKUP(AR$7,'Product Tgt'!$B:$B,'Product Tgt'!$G:$G)*M88/M$121,0),0)</f>
        <v>30238</v>
      </c>
      <c r="AS88" s="41">
        <f>IFERROR(ROUND(_xlfn.XLOOKUP(AS$7,'Product Tgt'!$B:$B,'Product Tgt'!$G:$G)*N88/N$121,0),0)</f>
        <v>597</v>
      </c>
      <c r="AT88" s="41">
        <f>IFERROR(ROUND(_xlfn.XLOOKUP(AT$7,'Product Tgt'!$B:$B,'Product Tgt'!$G:$G)*O88/O$121,0),0)</f>
        <v>4061</v>
      </c>
      <c r="AU88" s="41">
        <f>IFERROR(ROUND(_xlfn.XLOOKUP(AU$7,'Product Tgt'!$B:$B,'Product Tgt'!$G:$G)*P88/P$121,0),0)</f>
        <v>638</v>
      </c>
      <c r="AV88" s="41">
        <f>IFERROR(ROUND(_xlfn.XLOOKUP(AV$7,'Product Tgt'!$B:$B,'Product Tgt'!$G:$G)*Q88/Q$121,0),0)</f>
        <v>983</v>
      </c>
      <c r="AW88" s="41">
        <f>IFERROR(ROUND(_xlfn.XLOOKUP(AW$7,'Product Tgt'!$B:$B,'Product Tgt'!$G:$G)*R88/R$121,0),0)</f>
        <v>9420</v>
      </c>
      <c r="AX88" s="41">
        <f>IFERROR(ROUND(_xlfn.XLOOKUP(AX$7,'Product Tgt'!$B:$B,'Product Tgt'!$G:$G)*S88/S$121,0),0)</f>
        <v>17440</v>
      </c>
      <c r="AY88" s="41">
        <f>IFERROR(ROUND(_xlfn.XLOOKUP(AY$7,'Product Tgt'!$B:$B,'Product Tgt'!$G:$G)*T88/T$121,0),0)</f>
        <v>0</v>
      </c>
      <c r="AZ88" s="41">
        <f>IFERROR(ROUND(_xlfn.XLOOKUP(AZ$7,'Product Tgt'!$B:$B,'Product Tgt'!$G:$G)*U88/U$121,0),0)</f>
        <v>1208</v>
      </c>
      <c r="BA88" s="41">
        <f>IFERROR(ROUND(_xlfn.XLOOKUP(BA$7,'Product Tgt'!$B:$B,'Product Tgt'!$G:$G)*V88/V$121,0),0)</f>
        <v>20296</v>
      </c>
      <c r="BB88" s="41">
        <f>IFERROR(ROUND(_xlfn.XLOOKUP(BB$7,'Product Tgt'!$B:$B,'Product Tgt'!$G:$G)*W88/W$121,0),0)</f>
        <v>26212</v>
      </c>
      <c r="BC88" s="41">
        <f>IFERROR(ROUND(_xlfn.XLOOKUP(BC$7,'Product Tgt'!$B:$B,'Product Tgt'!$G:$G)*X88/X$121,0),0)</f>
        <v>2542</v>
      </c>
      <c r="BD88" s="41">
        <f>IFERROR(ROUND(_xlfn.XLOOKUP(BD$7,'Product Tgt'!$B:$B,'Product Tgt'!$G:$G)*Y88/Y$121,0),0)</f>
        <v>3654</v>
      </c>
      <c r="BE88" s="41">
        <f>IFERROR(ROUND(_xlfn.XLOOKUP(BE$7,'Product Tgt'!$B:$B,'Product Tgt'!$G:$G)*Z88/Z$121,0),0)</f>
        <v>306</v>
      </c>
      <c r="BF88" s="41">
        <f>IFERROR(ROUND(_xlfn.XLOOKUP(BF$7,'Product Tgt'!$B:$B,'Product Tgt'!$G:$G)*AA88/AA$121,0),0)</f>
        <v>3814</v>
      </c>
      <c r="BG88" s="41">
        <f>IFERROR(ROUND(_xlfn.XLOOKUP(BG$7,'Product Tgt'!$B:$B,'Product Tgt'!$G:$G)*AB88/AB$121,0),0)</f>
        <v>1312</v>
      </c>
      <c r="BH88" s="41">
        <f>IFERROR(ROUND(_xlfn.XLOOKUP(BH$7,'Product Tgt'!$B:$B,'Product Tgt'!$G:$G)*AC88/AC$121,0),0)</f>
        <v>2611</v>
      </c>
      <c r="BI88" s="41">
        <f>IFERROR(ROUND(_xlfn.XLOOKUP(BI$7,'Product Tgt'!$B:$B,'Product Tgt'!$G:$G)*AD88/AD$121,0),0)</f>
        <v>5310</v>
      </c>
      <c r="BJ88" s="41">
        <f>IFERROR(ROUND(_xlfn.XLOOKUP(BJ$7,'Product Tgt'!$B:$B,'Product Tgt'!$G:$G)*AE88/AE$121,0),0)</f>
        <v>5213</v>
      </c>
      <c r="BK88" s="41">
        <f>IFERROR(ROUND(_xlfn.XLOOKUP(BK$7,'Product Tgt'!$B:$B,'Product Tgt'!$G:$G)*AF88/AF$121,0),0)</f>
        <v>800</v>
      </c>
      <c r="BL88" s="41">
        <f>IFERROR(ROUND(_xlfn.XLOOKUP(BL$7,'Product Tgt'!$B:$B,'Product Tgt'!$G:$G)*AG88/AG$121,0),0)</f>
        <v>14795</v>
      </c>
      <c r="BM88" s="41">
        <f>IFERROR(ROUND(_xlfn.XLOOKUP(BM$7,'Product Tgt'!$B:$B,'Product Tgt'!$G:$G)*AH88/AH$121,0),0)</f>
        <v>1229</v>
      </c>
      <c r="BN88" s="41">
        <f>IFERROR(ROUND(_xlfn.XLOOKUP(BN$7,'Product Tgt'!$B:$B,'Product Tgt'!$G:$G)*AI88/AI$121,0),0)</f>
        <v>7128</v>
      </c>
      <c r="BO88" s="41">
        <f>IFERROR(ROUND(_xlfn.XLOOKUP(BO$7,'Product Tgt'!$B:$B,'Product Tgt'!$G:$G)*AJ88/AJ$121,0),0)</f>
        <v>7592</v>
      </c>
      <c r="BP88" s="41">
        <f>IFERROR(ROUND(_xlfn.XLOOKUP(BP$7,'Product Tgt'!$B:$B,'Product Tgt'!$G:$G)*AK88/AK$121,0),0)</f>
        <v>655</v>
      </c>
      <c r="BQ88" s="41">
        <f>IFERROR(ROUND(_xlfn.XLOOKUP(BQ$7,'Product Tgt'!$B:$B,'Product Tgt'!$G:$G)*AL88/AL$121,0),0)</f>
        <v>895</v>
      </c>
      <c r="BR88" s="25">
        <f>ROUND(IFERROR(AM88/_xlfn.XLOOKUP(BR$7,'Product Tgt'!$B:$B,'Product Tgt'!$D:$D),0),0)</f>
        <v>0</v>
      </c>
      <c r="BS88" s="11">
        <f>ROUND(IFERROR(AN88/_xlfn.XLOOKUP(BS$7,'Product Tgt'!$B:$B,'Product Tgt'!$D:$D),0),0)</f>
        <v>0</v>
      </c>
      <c r="BT88" s="11">
        <f>ROUND(IFERROR(AO88/_xlfn.XLOOKUP(BT$7,'Product Tgt'!$B:$B,'Product Tgt'!$D:$D),0),0)</f>
        <v>0</v>
      </c>
      <c r="BU88" s="11">
        <f>ROUND(IFERROR(AP88/_xlfn.XLOOKUP(BU$7,'Product Tgt'!$B:$B,'Product Tgt'!$D:$D),0),0)</f>
        <v>0</v>
      </c>
      <c r="BV88" s="11">
        <f>ROUND(IFERROR(AQ88/_xlfn.XLOOKUP(BV$7,'Product Tgt'!$B:$B,'Product Tgt'!$D:$D),0),0)</f>
        <v>0</v>
      </c>
      <c r="BW88" s="11">
        <f>ROUND(IFERROR(AU88/_xlfn.XLOOKUP(BW$7,'Product Tgt'!$B:$B,'Product Tgt'!$D:$D),0),0)</f>
        <v>0</v>
      </c>
      <c r="BX88" s="11">
        <f>ROUND(IFERROR(#REF!/_xlfn.XLOOKUP(BX$7,'Product Tgt'!$B:$B,'Product Tgt'!$D:$D),0),0)</f>
        <v>0</v>
      </c>
      <c r="BY88" s="11">
        <f>ROUND(IFERROR(#REF!/_xlfn.XLOOKUP(BY$7,'Product Tgt'!$B:$B,'Product Tgt'!$D:$D),0),0)</f>
        <v>0</v>
      </c>
      <c r="BZ88" s="11">
        <f>ROUND(IFERROR(#REF!/_xlfn.XLOOKUP(BZ$7,'Product Tgt'!$B:$B,'Product Tgt'!$D:$D),0),0)</f>
        <v>0</v>
      </c>
      <c r="CA88" s="11">
        <f>ROUND(IFERROR(#REF!/_xlfn.XLOOKUP(CA$7,'Product Tgt'!$B:$B,'Product Tgt'!$D:$D),0),0)</f>
        <v>0</v>
      </c>
      <c r="CB88" s="11">
        <f>ROUND(IFERROR(AV88/_xlfn.XLOOKUP(CB$7,'Product Tgt'!$B:$B,'Product Tgt'!$D:$D),0),0)</f>
        <v>0</v>
      </c>
      <c r="CC88" s="11">
        <f>ROUND(IFERROR(AW88/_xlfn.XLOOKUP(CC$7,'Product Tgt'!$B:$B,'Product Tgt'!$D:$D),0),0)</f>
        <v>0</v>
      </c>
      <c r="CD88" s="11">
        <f>ROUND(IFERROR(AX88/_xlfn.XLOOKUP(CD$7,'Product Tgt'!$B:$B,'Product Tgt'!$D:$D),0),0)</f>
        <v>0</v>
      </c>
      <c r="CE88" s="11">
        <f>ROUND(IFERROR(AY88/_xlfn.XLOOKUP(CE$7,'Product Tgt'!$B:$B,'Product Tgt'!$D:$D),0),0)</f>
        <v>0</v>
      </c>
      <c r="CF88" s="11">
        <f>ROUND(IFERROR(AZ88/_xlfn.XLOOKUP(CF$7,'Product Tgt'!$B:$B,'Product Tgt'!$D:$D),0),0)</f>
        <v>0</v>
      </c>
      <c r="CG88" s="11">
        <f>ROUND(IFERROR(BA88/_xlfn.XLOOKUP(CG$7,'Product Tgt'!$B:$B,'Product Tgt'!$D:$D),0),0)</f>
        <v>0</v>
      </c>
      <c r="CH88" s="11">
        <f>ROUND(IFERROR(BB88/_xlfn.XLOOKUP(CH$7,'Product Tgt'!$B:$B,'Product Tgt'!$D:$D),0),0)</f>
        <v>0</v>
      </c>
      <c r="CI88" s="11">
        <f>ROUND(IFERROR(BC88/_xlfn.XLOOKUP(CI$7,'Product Tgt'!$B:$B,'Product Tgt'!$D:$D),0),0)</f>
        <v>0</v>
      </c>
      <c r="CJ88" s="11">
        <f>ROUND(IFERROR(BD88/_xlfn.XLOOKUP(CJ$7,'Product Tgt'!$B:$B,'Product Tgt'!$D:$D),0),0)</f>
        <v>0</v>
      </c>
      <c r="CK88" s="11">
        <f>ROUND(IFERROR(BE88/_xlfn.XLOOKUP(CK$7,'Product Tgt'!$B:$B,'Product Tgt'!$D:$D),0),0)</f>
        <v>0</v>
      </c>
      <c r="CL88" s="11">
        <f>ROUND(IFERROR(BF88/_xlfn.XLOOKUP(CL$7,'Product Tgt'!$B:$B,'Product Tgt'!$D:$D),0),0)</f>
        <v>0</v>
      </c>
      <c r="CM88" s="11">
        <f>ROUND(IFERROR(BG88/_xlfn.XLOOKUP(CM$7,'Product Tgt'!$B:$B,'Product Tgt'!$D:$D),0),0)</f>
        <v>0</v>
      </c>
      <c r="CN88" s="11">
        <f>ROUND(IFERROR(BH88/_xlfn.XLOOKUP(CN$7,'Product Tgt'!$B:$B,'Product Tgt'!$D:$D),0),0)</f>
        <v>0</v>
      </c>
      <c r="CO88" s="11">
        <f>ROUND(IFERROR(BI88/_xlfn.XLOOKUP(CO$7,'Product Tgt'!$B:$B,'Product Tgt'!$D:$D),0),0)</f>
        <v>0</v>
      </c>
      <c r="CP88" s="11">
        <f>ROUND(IFERROR(BJ88/_xlfn.XLOOKUP(CP$7,'Product Tgt'!$B:$B,'Product Tgt'!$D:$D),0),0)</f>
        <v>0</v>
      </c>
      <c r="CQ88" s="11">
        <f>ROUND(IFERROR(BK88/_xlfn.XLOOKUP(CQ$7,'Product Tgt'!$B:$B,'Product Tgt'!$D:$D),0),0)</f>
        <v>0</v>
      </c>
      <c r="CR88" s="11">
        <f>ROUND(IFERROR(BL88/_xlfn.XLOOKUP(CR$7,'Product Tgt'!$B:$B,'Product Tgt'!$D:$D),0),0)</f>
        <v>0</v>
      </c>
      <c r="CS88" s="11">
        <f>ROUND(IFERROR(BM88/_xlfn.XLOOKUP(CS$7,'Product Tgt'!$B:$B,'Product Tgt'!$D:$D),0),0)</f>
        <v>0</v>
      </c>
      <c r="CT88" s="11">
        <f>ROUND(IFERROR(BN88/_xlfn.XLOOKUP(CT$7,'Product Tgt'!$B:$B,'Product Tgt'!$D:$D),0),0)</f>
        <v>0</v>
      </c>
      <c r="CU88" s="11">
        <f>ROUND(IFERROR(BO88/_xlfn.XLOOKUP(CU$7,'Product Tgt'!$B:$B,'Product Tgt'!$D:$D),0),0)</f>
        <v>0</v>
      </c>
      <c r="CV88" s="11">
        <f>ROUND(IFERROR(BP88/_xlfn.XLOOKUP(CV$7,'Product Tgt'!$B:$B,'Product Tgt'!$D:$D),0),0)</f>
        <v>0</v>
      </c>
      <c r="CW88" s="11">
        <f>ROUND(IFERROR(BQ88/_xlfn.XLOOKUP(CW$7,'Product Tgt'!$B:$B,'Product Tgt'!$D:$D),0),0)</f>
        <v>0</v>
      </c>
      <c r="CX88" s="11">
        <f>ROUND(IFERROR(#REF!/_xlfn.XLOOKUP(CX$7,'Product Tgt'!$B:$B,'Product Tgt'!$D:$D),0),0)</f>
        <v>0</v>
      </c>
      <c r="CY88" s="11">
        <f>ROUND(IFERROR(#REF!/_xlfn.XLOOKUP(CY$7,'Product Tgt'!$B:$B,'Product Tgt'!$D:$D),0),0)</f>
        <v>0</v>
      </c>
      <c r="CZ88" s="11">
        <f>ROUND(IFERROR(#REF!/_xlfn.XLOOKUP(CZ$7,'Product Tgt'!$B:$B,'Product Tgt'!$D:$D),0),0)</f>
        <v>0</v>
      </c>
      <c r="DA88" s="10">
        <f>IFERROR(BR88*_xlfn.XLOOKUP(DA$7,'Product Tgt'!$B:$B,'Product Tgt'!$D:$D),0)</f>
        <v>0</v>
      </c>
      <c r="DB88">
        <f>IFERROR(BS88*_xlfn.XLOOKUP(DB$7,'Product Tgt'!$B:$B,'Product Tgt'!$D:$D),0)</f>
        <v>0</v>
      </c>
      <c r="DC88">
        <f>IFERROR(BT88*_xlfn.XLOOKUP(DC$7,'Product Tgt'!$B:$B,'Product Tgt'!$D:$D),0)</f>
        <v>0</v>
      </c>
      <c r="DD88">
        <f>IFERROR(BU88*_xlfn.XLOOKUP(DD$7,'Product Tgt'!$B:$B,'Product Tgt'!$D:$D),0)</f>
        <v>0</v>
      </c>
      <c r="DE88">
        <f>IFERROR(BV88*_xlfn.XLOOKUP(DE$7,'Product Tgt'!$B:$B,'Product Tgt'!$D:$D),0)</f>
        <v>0</v>
      </c>
      <c r="DF88">
        <f>IFERROR(BW88*_xlfn.XLOOKUP(DF$7,'Product Tgt'!$B:$B,'Product Tgt'!$D:$D),0)</f>
        <v>0</v>
      </c>
      <c r="DG88">
        <f>IFERROR(BX88*_xlfn.XLOOKUP(DG$7,'Product Tgt'!$B:$B,'Product Tgt'!$D:$D),0)</f>
        <v>0</v>
      </c>
      <c r="DH88">
        <f>IFERROR(BY88*_xlfn.XLOOKUP(DH$7,'Product Tgt'!$B:$B,'Product Tgt'!$D:$D),0)</f>
        <v>0</v>
      </c>
      <c r="DI88">
        <f>IFERROR(BZ88*_xlfn.XLOOKUP(DI$7,'Product Tgt'!$B:$B,'Product Tgt'!$D:$D),0)</f>
        <v>0</v>
      </c>
      <c r="DJ88">
        <f>IFERROR(CA88*_xlfn.XLOOKUP(DJ$7,'Product Tgt'!$B:$B,'Product Tgt'!$D:$D),0)</f>
        <v>0</v>
      </c>
      <c r="DK88">
        <f>IFERROR(CB88*_xlfn.XLOOKUP(DK$7,'Product Tgt'!$B:$B,'Product Tgt'!$D:$D),0)</f>
        <v>0</v>
      </c>
      <c r="DL88">
        <f>IFERROR(CC88*_xlfn.XLOOKUP(DL$7,'Product Tgt'!$B:$B,'Product Tgt'!$D:$D),0)</f>
        <v>0</v>
      </c>
      <c r="DM88">
        <f>IFERROR(CD88*_xlfn.XLOOKUP(DM$7,'Product Tgt'!$B:$B,'Product Tgt'!$D:$D),0)</f>
        <v>0</v>
      </c>
      <c r="DN88">
        <f>IFERROR(CE88*_xlfn.XLOOKUP(DN$7,'Product Tgt'!$B:$B,'Product Tgt'!$D:$D),0)</f>
        <v>0</v>
      </c>
      <c r="DO88">
        <f>IFERROR(CF88*_xlfn.XLOOKUP(DO$7,'Product Tgt'!$B:$B,'Product Tgt'!$D:$D),0)</f>
        <v>0</v>
      </c>
      <c r="DP88">
        <f>IFERROR(CG88*_xlfn.XLOOKUP(DP$7,'Product Tgt'!$B:$B,'Product Tgt'!$D:$D),0)</f>
        <v>0</v>
      </c>
      <c r="DQ88">
        <f>IFERROR(CH88*_xlfn.XLOOKUP(DQ$7,'Product Tgt'!$B:$B,'Product Tgt'!$D:$D),0)</f>
        <v>0</v>
      </c>
      <c r="DR88">
        <f>IFERROR(CI88*_xlfn.XLOOKUP(DR$7,'Product Tgt'!$B:$B,'Product Tgt'!$D:$D),0)</f>
        <v>0</v>
      </c>
      <c r="DS88">
        <f>IFERROR(CJ88*_xlfn.XLOOKUP(DS$7,'Product Tgt'!$B:$B,'Product Tgt'!$D:$D),0)</f>
        <v>0</v>
      </c>
      <c r="DT88">
        <f>IFERROR(CK88*_xlfn.XLOOKUP(DT$7,'Product Tgt'!$B:$B,'Product Tgt'!$D:$D),0)</f>
        <v>0</v>
      </c>
      <c r="DU88">
        <f>IFERROR(CL88*_xlfn.XLOOKUP(DU$7,'Product Tgt'!$B:$B,'Product Tgt'!$D:$D),0)</f>
        <v>0</v>
      </c>
      <c r="DV88">
        <f>IFERROR(CM88*_xlfn.XLOOKUP(DV$7,'Product Tgt'!$B:$B,'Product Tgt'!$D:$D),0)</f>
        <v>0</v>
      </c>
      <c r="DW88">
        <f>IFERROR(CN88*_xlfn.XLOOKUP(DW$7,'Product Tgt'!$B:$B,'Product Tgt'!$D:$D),0)</f>
        <v>0</v>
      </c>
      <c r="DX88">
        <f>IFERROR(CO88*_xlfn.XLOOKUP(DX$7,'Product Tgt'!$B:$B,'Product Tgt'!$D:$D),0)</f>
        <v>0</v>
      </c>
      <c r="DY88">
        <f>IFERROR(CP88*_xlfn.XLOOKUP(DY$7,'Product Tgt'!$B:$B,'Product Tgt'!$D:$D),0)</f>
        <v>0</v>
      </c>
      <c r="DZ88">
        <f>IFERROR(CQ88*_xlfn.XLOOKUP(DZ$7,'Product Tgt'!$B:$B,'Product Tgt'!$D:$D),0)</f>
        <v>0</v>
      </c>
      <c r="EA88">
        <f>IFERROR(CR88*_xlfn.XLOOKUP(EA$7,'Product Tgt'!$B:$B,'Product Tgt'!$D:$D),0)</f>
        <v>0</v>
      </c>
      <c r="EB88">
        <f>IFERROR(CS88*_xlfn.XLOOKUP(EB$7,'Product Tgt'!$B:$B,'Product Tgt'!$D:$D),0)</f>
        <v>0</v>
      </c>
      <c r="EC88">
        <f>IFERROR(CT88*_xlfn.XLOOKUP(EC$7,'Product Tgt'!$B:$B,'Product Tgt'!$D:$D),0)</f>
        <v>0</v>
      </c>
      <c r="ED88">
        <f>IFERROR(CU88*_xlfn.XLOOKUP(ED$7,'Product Tgt'!$B:$B,'Product Tgt'!$D:$D),0)</f>
        <v>0</v>
      </c>
      <c r="EE88">
        <f>IFERROR(CV88*_xlfn.XLOOKUP(EE$7,'Product Tgt'!$B:$B,'Product Tgt'!$D:$D),0)</f>
        <v>0</v>
      </c>
      <c r="EF88">
        <f>IFERROR(CW88*_xlfn.XLOOKUP(EF$7,'Product Tgt'!$B:$B,'Product Tgt'!$D:$D),0)</f>
        <v>0</v>
      </c>
      <c r="EG88">
        <f>IFERROR(CX88*_xlfn.XLOOKUP(EG$7,'Product Tgt'!$B:$B,'Product Tgt'!$D:$D),0)</f>
        <v>0</v>
      </c>
      <c r="EH88">
        <f>IFERROR(CY88*_xlfn.XLOOKUP(EH$7,'Product Tgt'!$B:$B,'Product Tgt'!$D:$D),0)</f>
        <v>0</v>
      </c>
      <c r="EI88">
        <f>IFERROR(CZ88*_xlfn.XLOOKUP(EI$7,'Product Tgt'!$B:$B,'Product Tgt'!$D:$D),0)</f>
        <v>0</v>
      </c>
    </row>
    <row r="89" spans="2:139" x14ac:dyDescent="0.35">
      <c r="B89" s="7" t="s">
        <v>109</v>
      </c>
      <c r="C89" s="3">
        <f>_xlfn.XLOOKUP($B89,'Terr Target'!$A:$A,'Terr Target'!$E:$E)</f>
        <v>392881.64460703998</v>
      </c>
      <c r="D89" s="3">
        <f t="shared" si="10"/>
        <v>392882</v>
      </c>
      <c r="E89" s="4">
        <f t="shared" si="11"/>
        <v>0.35539296001661569</v>
      </c>
      <c r="F89" s="9">
        <f t="shared" si="7"/>
        <v>9.0457939029178144E-7</v>
      </c>
      <c r="G89" s="5">
        <f t="shared" si="12"/>
        <v>0.99999909542060972</v>
      </c>
      <c r="H89" s="38">
        <v>38137.3669319459</v>
      </c>
      <c r="I89" s="11">
        <v>83528.683944146353</v>
      </c>
      <c r="J89" s="11">
        <v>47336.005832205665</v>
      </c>
      <c r="K89" s="11">
        <v>54383.563254057204</v>
      </c>
      <c r="L89" s="11">
        <v>31769.136494173585</v>
      </c>
      <c r="M89" s="11">
        <v>21624.639137308644</v>
      </c>
      <c r="N89" s="11">
        <v>405.74074644509562</v>
      </c>
      <c r="O89" s="11">
        <v>3395.8703143511484</v>
      </c>
      <c r="P89" s="11">
        <v>1054.1572568133815</v>
      </c>
      <c r="Q89" s="11">
        <v>940.99556215923053</v>
      </c>
      <c r="R89" s="11">
        <v>7607.9932633130411</v>
      </c>
      <c r="S89" s="11">
        <v>17474.367720010425</v>
      </c>
      <c r="T89" s="11">
        <v>0</v>
      </c>
      <c r="U89" s="11">
        <v>2535.4234503416874</v>
      </c>
      <c r="V89" s="11">
        <v>16480.838625188775</v>
      </c>
      <c r="W89" s="11">
        <v>26624.571376008756</v>
      </c>
      <c r="X89" s="11">
        <v>2322.3634272266336</v>
      </c>
      <c r="Y89" s="11">
        <v>2391.6673191418513</v>
      </c>
      <c r="Z89" s="11">
        <v>280.37593931337523</v>
      </c>
      <c r="AA89" s="11">
        <v>5223.8190834118022</v>
      </c>
      <c r="AB89" s="11">
        <v>1600.5855155312056</v>
      </c>
      <c r="AC89" s="11">
        <v>632.08452524793029</v>
      </c>
      <c r="AD89" s="11">
        <v>4578.4508024760917</v>
      </c>
      <c r="AE89" s="11">
        <v>5902.7688618421771</v>
      </c>
      <c r="AF89" s="11">
        <v>628.0066263414742</v>
      </c>
      <c r="AG89" s="11">
        <v>14919.003344016166</v>
      </c>
      <c r="AH89" s="11">
        <v>1221.3307224835412</v>
      </c>
      <c r="AI89" s="11">
        <v>6797.8880613037791</v>
      </c>
      <c r="AJ89" s="11">
        <v>7298.3889835876435</v>
      </c>
      <c r="AK89" s="11">
        <v>877.84929759276099</v>
      </c>
      <c r="AL89" s="49">
        <v>1245.6757789550829</v>
      </c>
      <c r="AM89" s="41">
        <f>IFERROR(ROUND(_xlfn.XLOOKUP(AM$7,'Product Tgt'!$B:$B,'Product Tgt'!$G:$G)*H89/H$121,0),0)</f>
        <v>37076</v>
      </c>
      <c r="AN89" s="41">
        <f>IFERROR(ROUND(_xlfn.XLOOKUP(AN$7,'Product Tgt'!$B:$B,'Product Tgt'!$G:$G)*I89/I$121,0),0)</f>
        <v>82226</v>
      </c>
      <c r="AO89" s="41">
        <f>IFERROR(ROUND(_xlfn.XLOOKUP(AO$7,'Product Tgt'!$B:$B,'Product Tgt'!$G:$G)*J89/J$121,0),0)</f>
        <v>45864</v>
      </c>
      <c r="AP89" s="41">
        <f>IFERROR(ROUND(_xlfn.XLOOKUP(AP$7,'Product Tgt'!$B:$B,'Product Tgt'!$G:$G)*K89/K$121,0),0)</f>
        <v>53052</v>
      </c>
      <c r="AQ89" s="41">
        <f>IFERROR(ROUND(_xlfn.XLOOKUP(AQ$7,'Product Tgt'!$B:$B,'Product Tgt'!$G:$G)*L89/L$121,0),0)</f>
        <v>30719</v>
      </c>
      <c r="AR89" s="41">
        <f>IFERROR(ROUND(_xlfn.XLOOKUP(AR$7,'Product Tgt'!$B:$B,'Product Tgt'!$G:$G)*M89/M$121,0),0)</f>
        <v>20950</v>
      </c>
      <c r="AS89" s="41">
        <f>IFERROR(ROUND(_xlfn.XLOOKUP(AS$7,'Product Tgt'!$B:$B,'Product Tgt'!$G:$G)*N89/N$121,0),0)</f>
        <v>375</v>
      </c>
      <c r="AT89" s="41">
        <f>IFERROR(ROUND(_xlfn.XLOOKUP(AT$7,'Product Tgt'!$B:$B,'Product Tgt'!$G:$G)*O89/O$121,0),0)</f>
        <v>3057</v>
      </c>
      <c r="AU89" s="41">
        <f>IFERROR(ROUND(_xlfn.XLOOKUP(AU$7,'Product Tgt'!$B:$B,'Product Tgt'!$G:$G)*P89/P$121,0),0)</f>
        <v>449</v>
      </c>
      <c r="AV89" s="41">
        <f>IFERROR(ROUND(_xlfn.XLOOKUP(AV$7,'Product Tgt'!$B:$B,'Product Tgt'!$G:$G)*Q89/Q$121,0),0)</f>
        <v>706</v>
      </c>
      <c r="AW89" s="41">
        <f>IFERROR(ROUND(_xlfn.XLOOKUP(AW$7,'Product Tgt'!$B:$B,'Product Tgt'!$G:$G)*R89/R$121,0),0)</f>
        <v>7327</v>
      </c>
      <c r="AX89" s="41">
        <f>IFERROR(ROUND(_xlfn.XLOOKUP(AX$7,'Product Tgt'!$B:$B,'Product Tgt'!$G:$G)*S89/S$121,0),0)</f>
        <v>16830</v>
      </c>
      <c r="AY89" s="41">
        <f>IFERROR(ROUND(_xlfn.XLOOKUP(AY$7,'Product Tgt'!$B:$B,'Product Tgt'!$G:$G)*T89/T$121,0),0)</f>
        <v>0</v>
      </c>
      <c r="AZ89" s="41">
        <f>IFERROR(ROUND(_xlfn.XLOOKUP(AZ$7,'Product Tgt'!$B:$B,'Product Tgt'!$G:$G)*U89/U$121,0),0)</f>
        <v>2426</v>
      </c>
      <c r="BA89" s="41">
        <f>IFERROR(ROUND(_xlfn.XLOOKUP(BA$7,'Product Tgt'!$B:$B,'Product Tgt'!$G:$G)*V89/V$121,0),0)</f>
        <v>15868</v>
      </c>
      <c r="BB89" s="41">
        <f>IFERROR(ROUND(_xlfn.XLOOKUP(BB$7,'Product Tgt'!$B:$B,'Product Tgt'!$G:$G)*W89/W$121,0),0)</f>
        <v>25486</v>
      </c>
      <c r="BC89" s="41">
        <f>IFERROR(ROUND(_xlfn.XLOOKUP(BC$7,'Product Tgt'!$B:$B,'Product Tgt'!$G:$G)*X89/X$121,0),0)</f>
        <v>2247</v>
      </c>
      <c r="BD89" s="41">
        <f>IFERROR(ROUND(_xlfn.XLOOKUP(BD$7,'Product Tgt'!$B:$B,'Product Tgt'!$G:$G)*Y89/Y$121,0),0)</f>
        <v>2313</v>
      </c>
      <c r="BE89" s="41">
        <f>IFERROR(ROUND(_xlfn.XLOOKUP(BE$7,'Product Tgt'!$B:$B,'Product Tgt'!$G:$G)*Z89/Z$121,0),0)</f>
        <v>266</v>
      </c>
      <c r="BF89" s="41">
        <f>IFERROR(ROUND(_xlfn.XLOOKUP(BF$7,'Product Tgt'!$B:$B,'Product Tgt'!$G:$G)*AA89/AA$121,0),0)</f>
        <v>4233</v>
      </c>
      <c r="BG89" s="41">
        <f>IFERROR(ROUND(_xlfn.XLOOKUP(BG$7,'Product Tgt'!$B:$B,'Product Tgt'!$G:$G)*AB89/AB$121,0),0)</f>
        <v>1283</v>
      </c>
      <c r="BH89" s="41">
        <f>IFERROR(ROUND(_xlfn.XLOOKUP(BH$7,'Product Tgt'!$B:$B,'Product Tgt'!$G:$G)*AC89/AC$121,0),0)</f>
        <v>541</v>
      </c>
      <c r="BI89" s="41">
        <f>IFERROR(ROUND(_xlfn.XLOOKUP(BI$7,'Product Tgt'!$B:$B,'Product Tgt'!$G:$G)*AD89/AD$121,0),0)</f>
        <v>3986</v>
      </c>
      <c r="BJ89" s="41">
        <f>IFERROR(ROUND(_xlfn.XLOOKUP(BJ$7,'Product Tgt'!$B:$B,'Product Tgt'!$G:$G)*AE89/AE$121,0),0)</f>
        <v>5494</v>
      </c>
      <c r="BK89" s="41">
        <f>IFERROR(ROUND(_xlfn.XLOOKUP(BK$7,'Product Tgt'!$B:$B,'Product Tgt'!$G:$G)*AF89/AF$121,0),0)</f>
        <v>702</v>
      </c>
      <c r="BL89" s="41">
        <f>IFERROR(ROUND(_xlfn.XLOOKUP(BL$7,'Product Tgt'!$B:$B,'Product Tgt'!$G:$G)*AG89/AG$121,0),0)</f>
        <v>14250</v>
      </c>
      <c r="BM89" s="41">
        <f>IFERROR(ROUND(_xlfn.XLOOKUP(BM$7,'Product Tgt'!$B:$B,'Product Tgt'!$G:$G)*AH89/AH$121,0),0)</f>
        <v>958</v>
      </c>
      <c r="BN89" s="41">
        <f>IFERROR(ROUND(_xlfn.XLOOKUP(BN$7,'Product Tgt'!$B:$B,'Product Tgt'!$G:$G)*AI89/AI$121,0),0)</f>
        <v>6243</v>
      </c>
      <c r="BO89" s="41">
        <f>IFERROR(ROUND(_xlfn.XLOOKUP(BO$7,'Product Tgt'!$B:$B,'Product Tgt'!$G:$G)*AJ89/AJ$121,0),0)</f>
        <v>6313</v>
      </c>
      <c r="BP89" s="41">
        <f>IFERROR(ROUND(_xlfn.XLOOKUP(BP$7,'Product Tgt'!$B:$B,'Product Tgt'!$G:$G)*AK89/AK$121,0),0)</f>
        <v>668</v>
      </c>
      <c r="BQ89" s="41">
        <f>IFERROR(ROUND(_xlfn.XLOOKUP(BQ$7,'Product Tgt'!$B:$B,'Product Tgt'!$G:$G)*AL89/AL$121,0),0)</f>
        <v>974</v>
      </c>
      <c r="BR89" s="25">
        <f>ROUND(IFERROR(AM89/_xlfn.XLOOKUP(BR$7,'Product Tgt'!$B:$B,'Product Tgt'!$D:$D),0),0)</f>
        <v>0</v>
      </c>
      <c r="BS89" s="11">
        <f>ROUND(IFERROR(AN89/_xlfn.XLOOKUP(BS$7,'Product Tgt'!$B:$B,'Product Tgt'!$D:$D),0),0)</f>
        <v>0</v>
      </c>
      <c r="BT89" s="11">
        <f>ROUND(IFERROR(AO89/_xlfn.XLOOKUP(BT$7,'Product Tgt'!$B:$B,'Product Tgt'!$D:$D),0),0)</f>
        <v>0</v>
      </c>
      <c r="BU89" s="11">
        <f>ROUND(IFERROR(AP89/_xlfn.XLOOKUP(BU$7,'Product Tgt'!$B:$B,'Product Tgt'!$D:$D),0),0)</f>
        <v>0</v>
      </c>
      <c r="BV89" s="11">
        <f>ROUND(IFERROR(AQ89/_xlfn.XLOOKUP(BV$7,'Product Tgt'!$B:$B,'Product Tgt'!$D:$D),0),0)</f>
        <v>0</v>
      </c>
      <c r="BW89" s="11">
        <f>ROUND(IFERROR(AU89/_xlfn.XLOOKUP(BW$7,'Product Tgt'!$B:$B,'Product Tgt'!$D:$D),0),0)</f>
        <v>0</v>
      </c>
      <c r="BX89" s="11">
        <f>ROUND(IFERROR(#REF!/_xlfn.XLOOKUP(BX$7,'Product Tgt'!$B:$B,'Product Tgt'!$D:$D),0),0)</f>
        <v>0</v>
      </c>
      <c r="BY89" s="11">
        <f>ROUND(IFERROR(#REF!/_xlfn.XLOOKUP(BY$7,'Product Tgt'!$B:$B,'Product Tgt'!$D:$D),0),0)</f>
        <v>0</v>
      </c>
      <c r="BZ89" s="11">
        <f>ROUND(IFERROR(#REF!/_xlfn.XLOOKUP(BZ$7,'Product Tgt'!$B:$B,'Product Tgt'!$D:$D),0),0)</f>
        <v>0</v>
      </c>
      <c r="CA89" s="11">
        <f>ROUND(IFERROR(#REF!/_xlfn.XLOOKUP(CA$7,'Product Tgt'!$B:$B,'Product Tgt'!$D:$D),0),0)</f>
        <v>0</v>
      </c>
      <c r="CB89" s="11">
        <f>ROUND(IFERROR(AV89/_xlfn.XLOOKUP(CB$7,'Product Tgt'!$B:$B,'Product Tgt'!$D:$D),0),0)</f>
        <v>0</v>
      </c>
      <c r="CC89" s="11">
        <f>ROUND(IFERROR(AW89/_xlfn.XLOOKUP(CC$7,'Product Tgt'!$B:$B,'Product Tgt'!$D:$D),0),0)</f>
        <v>0</v>
      </c>
      <c r="CD89" s="11">
        <f>ROUND(IFERROR(AX89/_xlfn.XLOOKUP(CD$7,'Product Tgt'!$B:$B,'Product Tgt'!$D:$D),0),0)</f>
        <v>0</v>
      </c>
      <c r="CE89" s="11">
        <f>ROUND(IFERROR(AY89/_xlfn.XLOOKUP(CE$7,'Product Tgt'!$B:$B,'Product Tgt'!$D:$D),0),0)</f>
        <v>0</v>
      </c>
      <c r="CF89" s="11">
        <f>ROUND(IFERROR(AZ89/_xlfn.XLOOKUP(CF$7,'Product Tgt'!$B:$B,'Product Tgt'!$D:$D),0),0)</f>
        <v>0</v>
      </c>
      <c r="CG89" s="11">
        <f>ROUND(IFERROR(BA89/_xlfn.XLOOKUP(CG$7,'Product Tgt'!$B:$B,'Product Tgt'!$D:$D),0),0)</f>
        <v>0</v>
      </c>
      <c r="CH89" s="11">
        <f>ROUND(IFERROR(BB89/_xlfn.XLOOKUP(CH$7,'Product Tgt'!$B:$B,'Product Tgt'!$D:$D),0),0)</f>
        <v>0</v>
      </c>
      <c r="CI89" s="11">
        <f>ROUND(IFERROR(BC89/_xlfn.XLOOKUP(CI$7,'Product Tgt'!$B:$B,'Product Tgt'!$D:$D),0),0)</f>
        <v>0</v>
      </c>
      <c r="CJ89" s="11">
        <f>ROUND(IFERROR(BD89/_xlfn.XLOOKUP(CJ$7,'Product Tgt'!$B:$B,'Product Tgt'!$D:$D),0),0)</f>
        <v>0</v>
      </c>
      <c r="CK89" s="11">
        <f>ROUND(IFERROR(BE89/_xlfn.XLOOKUP(CK$7,'Product Tgt'!$B:$B,'Product Tgt'!$D:$D),0),0)</f>
        <v>0</v>
      </c>
      <c r="CL89" s="11">
        <f>ROUND(IFERROR(BF89/_xlfn.XLOOKUP(CL$7,'Product Tgt'!$B:$B,'Product Tgt'!$D:$D),0),0)</f>
        <v>0</v>
      </c>
      <c r="CM89" s="11">
        <f>ROUND(IFERROR(BG89/_xlfn.XLOOKUP(CM$7,'Product Tgt'!$B:$B,'Product Tgt'!$D:$D),0),0)</f>
        <v>0</v>
      </c>
      <c r="CN89" s="11">
        <f>ROUND(IFERROR(BH89/_xlfn.XLOOKUP(CN$7,'Product Tgt'!$B:$B,'Product Tgt'!$D:$D),0),0)</f>
        <v>0</v>
      </c>
      <c r="CO89" s="11">
        <f>ROUND(IFERROR(BI89/_xlfn.XLOOKUP(CO$7,'Product Tgt'!$B:$B,'Product Tgt'!$D:$D),0),0)</f>
        <v>0</v>
      </c>
      <c r="CP89" s="11">
        <f>ROUND(IFERROR(BJ89/_xlfn.XLOOKUP(CP$7,'Product Tgt'!$B:$B,'Product Tgt'!$D:$D),0),0)</f>
        <v>0</v>
      </c>
      <c r="CQ89" s="11">
        <f>ROUND(IFERROR(BK89/_xlfn.XLOOKUP(CQ$7,'Product Tgt'!$B:$B,'Product Tgt'!$D:$D),0),0)</f>
        <v>0</v>
      </c>
      <c r="CR89" s="11">
        <f>ROUND(IFERROR(BL89/_xlfn.XLOOKUP(CR$7,'Product Tgt'!$B:$B,'Product Tgt'!$D:$D),0),0)</f>
        <v>0</v>
      </c>
      <c r="CS89" s="11">
        <f>ROUND(IFERROR(BM89/_xlfn.XLOOKUP(CS$7,'Product Tgt'!$B:$B,'Product Tgt'!$D:$D),0),0)</f>
        <v>0</v>
      </c>
      <c r="CT89" s="11">
        <f>ROUND(IFERROR(BN89/_xlfn.XLOOKUP(CT$7,'Product Tgt'!$B:$B,'Product Tgt'!$D:$D),0),0)</f>
        <v>0</v>
      </c>
      <c r="CU89" s="11">
        <f>ROUND(IFERROR(BO89/_xlfn.XLOOKUP(CU$7,'Product Tgt'!$B:$B,'Product Tgt'!$D:$D),0),0)</f>
        <v>0</v>
      </c>
      <c r="CV89" s="11">
        <f>ROUND(IFERROR(BP89/_xlfn.XLOOKUP(CV$7,'Product Tgt'!$B:$B,'Product Tgt'!$D:$D),0),0)</f>
        <v>0</v>
      </c>
      <c r="CW89" s="11">
        <f>ROUND(IFERROR(BQ89/_xlfn.XLOOKUP(CW$7,'Product Tgt'!$B:$B,'Product Tgt'!$D:$D),0),0)</f>
        <v>0</v>
      </c>
      <c r="CX89" s="11">
        <f>ROUND(IFERROR(#REF!/_xlfn.XLOOKUP(CX$7,'Product Tgt'!$B:$B,'Product Tgt'!$D:$D),0),0)</f>
        <v>0</v>
      </c>
      <c r="CY89" s="11">
        <f>ROUND(IFERROR(#REF!/_xlfn.XLOOKUP(CY$7,'Product Tgt'!$B:$B,'Product Tgt'!$D:$D),0),0)</f>
        <v>0</v>
      </c>
      <c r="CZ89" s="11">
        <f>ROUND(IFERROR(#REF!/_xlfn.XLOOKUP(CZ$7,'Product Tgt'!$B:$B,'Product Tgt'!$D:$D),0),0)</f>
        <v>0</v>
      </c>
      <c r="DA89" s="10">
        <f>IFERROR(BR89*_xlfn.XLOOKUP(DA$7,'Product Tgt'!$B:$B,'Product Tgt'!$D:$D),0)</f>
        <v>0</v>
      </c>
      <c r="DB89">
        <f>IFERROR(BS89*_xlfn.XLOOKUP(DB$7,'Product Tgt'!$B:$B,'Product Tgt'!$D:$D),0)</f>
        <v>0</v>
      </c>
      <c r="DC89">
        <f>IFERROR(BT89*_xlfn.XLOOKUP(DC$7,'Product Tgt'!$B:$B,'Product Tgt'!$D:$D),0)</f>
        <v>0</v>
      </c>
      <c r="DD89">
        <f>IFERROR(BU89*_xlfn.XLOOKUP(DD$7,'Product Tgt'!$B:$B,'Product Tgt'!$D:$D),0)</f>
        <v>0</v>
      </c>
      <c r="DE89">
        <f>IFERROR(BV89*_xlfn.XLOOKUP(DE$7,'Product Tgt'!$B:$B,'Product Tgt'!$D:$D),0)</f>
        <v>0</v>
      </c>
      <c r="DF89">
        <f>IFERROR(BW89*_xlfn.XLOOKUP(DF$7,'Product Tgt'!$B:$B,'Product Tgt'!$D:$D),0)</f>
        <v>0</v>
      </c>
      <c r="DG89">
        <f>IFERROR(BX89*_xlfn.XLOOKUP(DG$7,'Product Tgt'!$B:$B,'Product Tgt'!$D:$D),0)</f>
        <v>0</v>
      </c>
      <c r="DH89">
        <f>IFERROR(BY89*_xlfn.XLOOKUP(DH$7,'Product Tgt'!$B:$B,'Product Tgt'!$D:$D),0)</f>
        <v>0</v>
      </c>
      <c r="DI89">
        <f>IFERROR(BZ89*_xlfn.XLOOKUP(DI$7,'Product Tgt'!$B:$B,'Product Tgt'!$D:$D),0)</f>
        <v>0</v>
      </c>
      <c r="DJ89">
        <f>IFERROR(CA89*_xlfn.XLOOKUP(DJ$7,'Product Tgt'!$B:$B,'Product Tgt'!$D:$D),0)</f>
        <v>0</v>
      </c>
      <c r="DK89">
        <f>IFERROR(CB89*_xlfn.XLOOKUP(DK$7,'Product Tgt'!$B:$B,'Product Tgt'!$D:$D),0)</f>
        <v>0</v>
      </c>
      <c r="DL89">
        <f>IFERROR(CC89*_xlfn.XLOOKUP(DL$7,'Product Tgt'!$B:$B,'Product Tgt'!$D:$D),0)</f>
        <v>0</v>
      </c>
      <c r="DM89">
        <f>IFERROR(CD89*_xlfn.XLOOKUP(DM$7,'Product Tgt'!$B:$B,'Product Tgt'!$D:$D),0)</f>
        <v>0</v>
      </c>
      <c r="DN89">
        <f>IFERROR(CE89*_xlfn.XLOOKUP(DN$7,'Product Tgt'!$B:$B,'Product Tgt'!$D:$D),0)</f>
        <v>0</v>
      </c>
      <c r="DO89">
        <f>IFERROR(CF89*_xlfn.XLOOKUP(DO$7,'Product Tgt'!$B:$B,'Product Tgt'!$D:$D),0)</f>
        <v>0</v>
      </c>
      <c r="DP89">
        <f>IFERROR(CG89*_xlfn.XLOOKUP(DP$7,'Product Tgt'!$B:$B,'Product Tgt'!$D:$D),0)</f>
        <v>0</v>
      </c>
      <c r="DQ89">
        <f>IFERROR(CH89*_xlfn.XLOOKUP(DQ$7,'Product Tgt'!$B:$B,'Product Tgt'!$D:$D),0)</f>
        <v>0</v>
      </c>
      <c r="DR89">
        <f>IFERROR(CI89*_xlfn.XLOOKUP(DR$7,'Product Tgt'!$B:$B,'Product Tgt'!$D:$D),0)</f>
        <v>0</v>
      </c>
      <c r="DS89">
        <f>IFERROR(CJ89*_xlfn.XLOOKUP(DS$7,'Product Tgt'!$B:$B,'Product Tgt'!$D:$D),0)</f>
        <v>0</v>
      </c>
      <c r="DT89">
        <f>IFERROR(CK89*_xlfn.XLOOKUP(DT$7,'Product Tgt'!$B:$B,'Product Tgt'!$D:$D),0)</f>
        <v>0</v>
      </c>
      <c r="DU89">
        <f>IFERROR(CL89*_xlfn.XLOOKUP(DU$7,'Product Tgt'!$B:$B,'Product Tgt'!$D:$D),0)</f>
        <v>0</v>
      </c>
      <c r="DV89">
        <f>IFERROR(CM89*_xlfn.XLOOKUP(DV$7,'Product Tgt'!$B:$B,'Product Tgt'!$D:$D),0)</f>
        <v>0</v>
      </c>
      <c r="DW89">
        <f>IFERROR(CN89*_xlfn.XLOOKUP(DW$7,'Product Tgt'!$B:$B,'Product Tgt'!$D:$D),0)</f>
        <v>0</v>
      </c>
      <c r="DX89">
        <f>IFERROR(CO89*_xlfn.XLOOKUP(DX$7,'Product Tgt'!$B:$B,'Product Tgt'!$D:$D),0)</f>
        <v>0</v>
      </c>
      <c r="DY89">
        <f>IFERROR(CP89*_xlfn.XLOOKUP(DY$7,'Product Tgt'!$B:$B,'Product Tgt'!$D:$D),0)</f>
        <v>0</v>
      </c>
      <c r="DZ89">
        <f>IFERROR(CQ89*_xlfn.XLOOKUP(DZ$7,'Product Tgt'!$B:$B,'Product Tgt'!$D:$D),0)</f>
        <v>0</v>
      </c>
      <c r="EA89">
        <f>IFERROR(CR89*_xlfn.XLOOKUP(EA$7,'Product Tgt'!$B:$B,'Product Tgt'!$D:$D),0)</f>
        <v>0</v>
      </c>
      <c r="EB89">
        <f>IFERROR(CS89*_xlfn.XLOOKUP(EB$7,'Product Tgt'!$B:$B,'Product Tgt'!$D:$D),0)</f>
        <v>0</v>
      </c>
      <c r="EC89">
        <f>IFERROR(CT89*_xlfn.XLOOKUP(EC$7,'Product Tgt'!$B:$B,'Product Tgt'!$D:$D),0)</f>
        <v>0</v>
      </c>
      <c r="ED89">
        <f>IFERROR(CU89*_xlfn.XLOOKUP(ED$7,'Product Tgt'!$B:$B,'Product Tgt'!$D:$D),0)</f>
        <v>0</v>
      </c>
      <c r="EE89">
        <f>IFERROR(CV89*_xlfn.XLOOKUP(EE$7,'Product Tgt'!$B:$B,'Product Tgt'!$D:$D),0)</f>
        <v>0</v>
      </c>
      <c r="EF89">
        <f>IFERROR(CW89*_xlfn.XLOOKUP(EF$7,'Product Tgt'!$B:$B,'Product Tgt'!$D:$D),0)</f>
        <v>0</v>
      </c>
      <c r="EG89">
        <f>IFERROR(CX89*_xlfn.XLOOKUP(EG$7,'Product Tgt'!$B:$B,'Product Tgt'!$D:$D),0)</f>
        <v>0</v>
      </c>
      <c r="EH89">
        <f>IFERROR(CY89*_xlfn.XLOOKUP(EH$7,'Product Tgt'!$B:$B,'Product Tgt'!$D:$D),0)</f>
        <v>0</v>
      </c>
      <c r="EI89">
        <f>IFERROR(CZ89*_xlfn.XLOOKUP(EI$7,'Product Tgt'!$B:$B,'Product Tgt'!$D:$D),0)</f>
        <v>0</v>
      </c>
    </row>
    <row r="90" spans="2:139" x14ac:dyDescent="0.35">
      <c r="B90" s="7" t="s">
        <v>110</v>
      </c>
      <c r="C90" s="3">
        <f>_xlfn.XLOOKUP($B90,'Terr Target'!$A:$A,'Terr Target'!$E:$E)</f>
        <v>487324.12881125056</v>
      </c>
      <c r="D90" s="3">
        <f t="shared" si="10"/>
        <v>487325</v>
      </c>
      <c r="E90" s="4">
        <f t="shared" si="11"/>
        <v>0.87118874944280833</v>
      </c>
      <c r="F90" s="9">
        <f t="shared" si="7"/>
        <v>1.7876955818864378E-6</v>
      </c>
      <c r="G90" s="5">
        <f t="shared" si="12"/>
        <v>0.9999982123044181</v>
      </c>
      <c r="H90" s="38">
        <v>40556.419426710738</v>
      </c>
      <c r="I90" s="11">
        <v>98052.62868761085</v>
      </c>
      <c r="J90" s="11">
        <v>53978.209827917119</v>
      </c>
      <c r="K90" s="11">
        <v>71755.977789823024</v>
      </c>
      <c r="L90" s="11">
        <v>41772.699457848546</v>
      </c>
      <c r="M90" s="11">
        <v>29805.721676410893</v>
      </c>
      <c r="N90" s="11">
        <v>312.90150323810946</v>
      </c>
      <c r="O90" s="11">
        <v>4328.792996978711</v>
      </c>
      <c r="P90" s="11">
        <v>2324.8581690591532</v>
      </c>
      <c r="Q90" s="11">
        <v>1911.3498640155676</v>
      </c>
      <c r="R90" s="11">
        <v>11031.731132284589</v>
      </c>
      <c r="S90" s="11">
        <v>19729.24694546096</v>
      </c>
      <c r="T90" s="11">
        <v>0</v>
      </c>
      <c r="U90" s="11">
        <v>1339.2881889712955</v>
      </c>
      <c r="V90" s="11">
        <v>22239.932733385856</v>
      </c>
      <c r="W90" s="11">
        <v>30937.358861417993</v>
      </c>
      <c r="X90" s="11">
        <v>3240.6331768960649</v>
      </c>
      <c r="Y90" s="11">
        <v>4269.9794723891791</v>
      </c>
      <c r="Z90" s="11">
        <v>676.67441329247845</v>
      </c>
      <c r="AA90" s="11">
        <v>5345.2445617332851</v>
      </c>
      <c r="AB90" s="11">
        <v>1613.3460597373619</v>
      </c>
      <c r="AC90" s="11">
        <v>786.2596945380036</v>
      </c>
      <c r="AD90" s="11">
        <v>11768.66399749047</v>
      </c>
      <c r="AE90" s="11">
        <v>6406.5187685759183</v>
      </c>
      <c r="AF90" s="11">
        <v>783.24029468191611</v>
      </c>
      <c r="AG90" s="11">
        <v>19560.319993776491</v>
      </c>
      <c r="AH90" s="11">
        <v>1991.0201671489654</v>
      </c>
      <c r="AI90" s="11">
        <v>9393.0739318394317</v>
      </c>
      <c r="AJ90" s="11">
        <v>9800.5733322189244</v>
      </c>
      <c r="AK90" s="11">
        <v>1403.2237317985473</v>
      </c>
      <c r="AL90" s="49">
        <v>1993.7804765883586</v>
      </c>
      <c r="AM90" s="41">
        <f>IFERROR(ROUND(_xlfn.XLOOKUP(AM$7,'Product Tgt'!$B:$B,'Product Tgt'!$G:$G)*H90/H$121,0),0)</f>
        <v>39427</v>
      </c>
      <c r="AN90" s="41">
        <f>IFERROR(ROUND(_xlfn.XLOOKUP(AN$7,'Product Tgt'!$B:$B,'Product Tgt'!$G:$G)*I90/I$121,0),0)</f>
        <v>96523</v>
      </c>
      <c r="AO90" s="41">
        <f>IFERROR(ROUND(_xlfn.XLOOKUP(AO$7,'Product Tgt'!$B:$B,'Product Tgt'!$G:$G)*J90/J$121,0),0)</f>
        <v>52299</v>
      </c>
      <c r="AP90" s="41">
        <f>IFERROR(ROUND(_xlfn.XLOOKUP(AP$7,'Product Tgt'!$B:$B,'Product Tgt'!$G:$G)*K90/K$121,0),0)</f>
        <v>70000</v>
      </c>
      <c r="AQ90" s="41">
        <f>IFERROR(ROUND(_xlfn.XLOOKUP(AQ$7,'Product Tgt'!$B:$B,'Product Tgt'!$G:$G)*L90/L$121,0),0)</f>
        <v>40392</v>
      </c>
      <c r="AR90" s="41">
        <f>IFERROR(ROUND(_xlfn.XLOOKUP(AR$7,'Product Tgt'!$B:$B,'Product Tgt'!$G:$G)*M90/M$121,0),0)</f>
        <v>28876</v>
      </c>
      <c r="AS90" s="41">
        <f>IFERROR(ROUND(_xlfn.XLOOKUP(AS$7,'Product Tgt'!$B:$B,'Product Tgt'!$G:$G)*N90/N$121,0),0)</f>
        <v>289</v>
      </c>
      <c r="AT90" s="41">
        <f>IFERROR(ROUND(_xlfn.XLOOKUP(AT$7,'Product Tgt'!$B:$B,'Product Tgt'!$G:$G)*O90/O$121,0),0)</f>
        <v>3896</v>
      </c>
      <c r="AU90" s="41">
        <f>IFERROR(ROUND(_xlfn.XLOOKUP(AU$7,'Product Tgt'!$B:$B,'Product Tgt'!$G:$G)*P90/P$121,0),0)</f>
        <v>991</v>
      </c>
      <c r="AV90" s="41">
        <f>IFERROR(ROUND(_xlfn.XLOOKUP(AV$7,'Product Tgt'!$B:$B,'Product Tgt'!$G:$G)*Q90/Q$121,0),0)</f>
        <v>1434</v>
      </c>
      <c r="AW90" s="41">
        <f>IFERROR(ROUND(_xlfn.XLOOKUP(AW$7,'Product Tgt'!$B:$B,'Product Tgt'!$G:$G)*R90/R$121,0),0)</f>
        <v>10624</v>
      </c>
      <c r="AX90" s="41">
        <f>IFERROR(ROUND(_xlfn.XLOOKUP(AX$7,'Product Tgt'!$B:$B,'Product Tgt'!$G:$G)*S90/S$121,0),0)</f>
        <v>19002</v>
      </c>
      <c r="AY90" s="41">
        <f>IFERROR(ROUND(_xlfn.XLOOKUP(AY$7,'Product Tgt'!$B:$B,'Product Tgt'!$G:$G)*T90/T$121,0),0)</f>
        <v>0</v>
      </c>
      <c r="AZ90" s="41">
        <f>IFERROR(ROUND(_xlfn.XLOOKUP(AZ$7,'Product Tgt'!$B:$B,'Product Tgt'!$G:$G)*U90/U$121,0),0)</f>
        <v>1282</v>
      </c>
      <c r="BA90" s="41">
        <f>IFERROR(ROUND(_xlfn.XLOOKUP(BA$7,'Product Tgt'!$B:$B,'Product Tgt'!$G:$G)*V90/V$121,0),0)</f>
        <v>21413</v>
      </c>
      <c r="BB90" s="41">
        <f>IFERROR(ROUND(_xlfn.XLOOKUP(BB$7,'Product Tgt'!$B:$B,'Product Tgt'!$G:$G)*W90/W$121,0),0)</f>
        <v>29614</v>
      </c>
      <c r="BC90" s="41">
        <f>IFERROR(ROUND(_xlfn.XLOOKUP(BC$7,'Product Tgt'!$B:$B,'Product Tgt'!$G:$G)*X90/X$121,0),0)</f>
        <v>3136</v>
      </c>
      <c r="BD90" s="41">
        <f>IFERROR(ROUND(_xlfn.XLOOKUP(BD$7,'Product Tgt'!$B:$B,'Product Tgt'!$G:$G)*Y90/Y$121,0),0)</f>
        <v>4129</v>
      </c>
      <c r="BE90" s="41">
        <f>IFERROR(ROUND(_xlfn.XLOOKUP(BE$7,'Product Tgt'!$B:$B,'Product Tgt'!$G:$G)*Z90/Z$121,0),0)</f>
        <v>643</v>
      </c>
      <c r="BF90" s="41">
        <f>IFERROR(ROUND(_xlfn.XLOOKUP(BF$7,'Product Tgt'!$B:$B,'Product Tgt'!$G:$G)*AA90/AA$121,0),0)</f>
        <v>4332</v>
      </c>
      <c r="BG90" s="41">
        <f>IFERROR(ROUND(_xlfn.XLOOKUP(BG$7,'Product Tgt'!$B:$B,'Product Tgt'!$G:$G)*AB90/AB$121,0),0)</f>
        <v>1293</v>
      </c>
      <c r="BH90" s="41">
        <f>IFERROR(ROUND(_xlfn.XLOOKUP(BH$7,'Product Tgt'!$B:$B,'Product Tgt'!$G:$G)*AC90/AC$121,0),0)</f>
        <v>673</v>
      </c>
      <c r="BI90" s="41">
        <f>IFERROR(ROUND(_xlfn.XLOOKUP(BI$7,'Product Tgt'!$B:$B,'Product Tgt'!$G:$G)*AD90/AD$121,0),0)</f>
        <v>10245</v>
      </c>
      <c r="BJ90" s="41">
        <f>IFERROR(ROUND(_xlfn.XLOOKUP(BJ$7,'Product Tgt'!$B:$B,'Product Tgt'!$G:$G)*AE90/AE$121,0),0)</f>
        <v>5963</v>
      </c>
      <c r="BK90" s="41">
        <f>IFERROR(ROUND(_xlfn.XLOOKUP(BK$7,'Product Tgt'!$B:$B,'Product Tgt'!$G:$G)*AF90/AF$121,0),0)</f>
        <v>875</v>
      </c>
      <c r="BL90" s="41">
        <f>IFERROR(ROUND(_xlfn.XLOOKUP(BL$7,'Product Tgt'!$B:$B,'Product Tgt'!$G:$G)*AG90/AG$121,0),0)</f>
        <v>18684</v>
      </c>
      <c r="BM90" s="41">
        <f>IFERROR(ROUND(_xlfn.XLOOKUP(BM$7,'Product Tgt'!$B:$B,'Product Tgt'!$G:$G)*AH90/AH$121,0),0)</f>
        <v>1561</v>
      </c>
      <c r="BN90" s="41">
        <f>IFERROR(ROUND(_xlfn.XLOOKUP(BN$7,'Product Tgt'!$B:$B,'Product Tgt'!$G:$G)*AI90/AI$121,0),0)</f>
        <v>8626</v>
      </c>
      <c r="BO90" s="41">
        <f>IFERROR(ROUND(_xlfn.XLOOKUP(BO$7,'Product Tgt'!$B:$B,'Product Tgt'!$G:$G)*AJ90/AJ$121,0),0)</f>
        <v>8477</v>
      </c>
      <c r="BP90" s="41">
        <f>IFERROR(ROUND(_xlfn.XLOOKUP(BP$7,'Product Tgt'!$B:$B,'Product Tgt'!$G:$G)*AK90/AK$121,0),0)</f>
        <v>1068</v>
      </c>
      <c r="BQ90" s="41">
        <f>IFERROR(ROUND(_xlfn.XLOOKUP(BQ$7,'Product Tgt'!$B:$B,'Product Tgt'!$G:$G)*AL90/AL$121,0),0)</f>
        <v>1558</v>
      </c>
      <c r="BR90" s="25">
        <f>ROUND(IFERROR(AM90/_xlfn.XLOOKUP(BR$7,'Product Tgt'!$B:$B,'Product Tgt'!$D:$D),0),0)</f>
        <v>0</v>
      </c>
      <c r="BS90" s="11">
        <f>ROUND(IFERROR(AN90/_xlfn.XLOOKUP(BS$7,'Product Tgt'!$B:$B,'Product Tgt'!$D:$D),0),0)</f>
        <v>0</v>
      </c>
      <c r="BT90" s="11">
        <f>ROUND(IFERROR(AO90/_xlfn.XLOOKUP(BT$7,'Product Tgt'!$B:$B,'Product Tgt'!$D:$D),0),0)</f>
        <v>0</v>
      </c>
      <c r="BU90" s="11">
        <f>ROUND(IFERROR(AP90/_xlfn.XLOOKUP(BU$7,'Product Tgt'!$B:$B,'Product Tgt'!$D:$D),0),0)</f>
        <v>0</v>
      </c>
      <c r="BV90" s="11">
        <f>ROUND(IFERROR(AQ90/_xlfn.XLOOKUP(BV$7,'Product Tgt'!$B:$B,'Product Tgt'!$D:$D),0),0)</f>
        <v>0</v>
      </c>
      <c r="BW90" s="11">
        <f>ROUND(IFERROR(AU90/_xlfn.XLOOKUP(BW$7,'Product Tgt'!$B:$B,'Product Tgt'!$D:$D),0),0)</f>
        <v>0</v>
      </c>
      <c r="BX90" s="11">
        <f>ROUND(IFERROR(#REF!/_xlfn.XLOOKUP(BX$7,'Product Tgt'!$B:$B,'Product Tgt'!$D:$D),0),0)</f>
        <v>0</v>
      </c>
      <c r="BY90" s="11">
        <f>ROUND(IFERROR(#REF!/_xlfn.XLOOKUP(BY$7,'Product Tgt'!$B:$B,'Product Tgt'!$D:$D),0),0)</f>
        <v>0</v>
      </c>
      <c r="BZ90" s="11">
        <f>ROUND(IFERROR(#REF!/_xlfn.XLOOKUP(BZ$7,'Product Tgt'!$B:$B,'Product Tgt'!$D:$D),0),0)</f>
        <v>0</v>
      </c>
      <c r="CA90" s="11">
        <f>ROUND(IFERROR(#REF!/_xlfn.XLOOKUP(CA$7,'Product Tgt'!$B:$B,'Product Tgt'!$D:$D),0),0)</f>
        <v>0</v>
      </c>
      <c r="CB90" s="11">
        <f>ROUND(IFERROR(AV90/_xlfn.XLOOKUP(CB$7,'Product Tgt'!$B:$B,'Product Tgt'!$D:$D),0),0)</f>
        <v>0</v>
      </c>
      <c r="CC90" s="11">
        <f>ROUND(IFERROR(AW90/_xlfn.XLOOKUP(CC$7,'Product Tgt'!$B:$B,'Product Tgt'!$D:$D),0),0)</f>
        <v>0</v>
      </c>
      <c r="CD90" s="11">
        <f>ROUND(IFERROR(AX90/_xlfn.XLOOKUP(CD$7,'Product Tgt'!$B:$B,'Product Tgt'!$D:$D),0),0)</f>
        <v>0</v>
      </c>
      <c r="CE90" s="11">
        <f>ROUND(IFERROR(AY90/_xlfn.XLOOKUP(CE$7,'Product Tgt'!$B:$B,'Product Tgt'!$D:$D),0),0)</f>
        <v>0</v>
      </c>
      <c r="CF90" s="11">
        <f>ROUND(IFERROR(AZ90/_xlfn.XLOOKUP(CF$7,'Product Tgt'!$B:$B,'Product Tgt'!$D:$D),0),0)</f>
        <v>0</v>
      </c>
      <c r="CG90" s="11">
        <f>ROUND(IFERROR(BA90/_xlfn.XLOOKUP(CG$7,'Product Tgt'!$B:$B,'Product Tgt'!$D:$D),0),0)</f>
        <v>0</v>
      </c>
      <c r="CH90" s="11">
        <f>ROUND(IFERROR(BB90/_xlfn.XLOOKUP(CH$7,'Product Tgt'!$B:$B,'Product Tgt'!$D:$D),0),0)</f>
        <v>0</v>
      </c>
      <c r="CI90" s="11">
        <f>ROUND(IFERROR(BC90/_xlfn.XLOOKUP(CI$7,'Product Tgt'!$B:$B,'Product Tgt'!$D:$D),0),0)</f>
        <v>0</v>
      </c>
      <c r="CJ90" s="11">
        <f>ROUND(IFERROR(BD90/_xlfn.XLOOKUP(CJ$7,'Product Tgt'!$B:$B,'Product Tgt'!$D:$D),0),0)</f>
        <v>0</v>
      </c>
      <c r="CK90" s="11">
        <f>ROUND(IFERROR(BE90/_xlfn.XLOOKUP(CK$7,'Product Tgt'!$B:$B,'Product Tgt'!$D:$D),0),0)</f>
        <v>0</v>
      </c>
      <c r="CL90" s="11">
        <f>ROUND(IFERROR(BF90/_xlfn.XLOOKUP(CL$7,'Product Tgt'!$B:$B,'Product Tgt'!$D:$D),0),0)</f>
        <v>0</v>
      </c>
      <c r="CM90" s="11">
        <f>ROUND(IFERROR(BG90/_xlfn.XLOOKUP(CM$7,'Product Tgt'!$B:$B,'Product Tgt'!$D:$D),0),0)</f>
        <v>0</v>
      </c>
      <c r="CN90" s="11">
        <f>ROUND(IFERROR(BH90/_xlfn.XLOOKUP(CN$7,'Product Tgt'!$B:$B,'Product Tgt'!$D:$D),0),0)</f>
        <v>0</v>
      </c>
      <c r="CO90" s="11">
        <f>ROUND(IFERROR(BI90/_xlfn.XLOOKUP(CO$7,'Product Tgt'!$B:$B,'Product Tgt'!$D:$D),0),0)</f>
        <v>0</v>
      </c>
      <c r="CP90" s="11">
        <f>ROUND(IFERROR(BJ90/_xlfn.XLOOKUP(CP$7,'Product Tgt'!$B:$B,'Product Tgt'!$D:$D),0),0)</f>
        <v>0</v>
      </c>
      <c r="CQ90" s="11">
        <f>ROUND(IFERROR(BK90/_xlfn.XLOOKUP(CQ$7,'Product Tgt'!$B:$B,'Product Tgt'!$D:$D),0),0)</f>
        <v>0</v>
      </c>
      <c r="CR90" s="11">
        <f>ROUND(IFERROR(BL90/_xlfn.XLOOKUP(CR$7,'Product Tgt'!$B:$B,'Product Tgt'!$D:$D),0),0)</f>
        <v>0</v>
      </c>
      <c r="CS90" s="11">
        <f>ROUND(IFERROR(BM90/_xlfn.XLOOKUP(CS$7,'Product Tgt'!$B:$B,'Product Tgt'!$D:$D),0),0)</f>
        <v>0</v>
      </c>
      <c r="CT90" s="11">
        <f>ROUND(IFERROR(BN90/_xlfn.XLOOKUP(CT$7,'Product Tgt'!$B:$B,'Product Tgt'!$D:$D),0),0)</f>
        <v>0</v>
      </c>
      <c r="CU90" s="11">
        <f>ROUND(IFERROR(BO90/_xlfn.XLOOKUP(CU$7,'Product Tgt'!$B:$B,'Product Tgt'!$D:$D),0),0)</f>
        <v>0</v>
      </c>
      <c r="CV90" s="11">
        <f>ROUND(IFERROR(BP90/_xlfn.XLOOKUP(CV$7,'Product Tgt'!$B:$B,'Product Tgt'!$D:$D),0),0)</f>
        <v>0</v>
      </c>
      <c r="CW90" s="11">
        <f>ROUND(IFERROR(BQ90/_xlfn.XLOOKUP(CW$7,'Product Tgt'!$B:$B,'Product Tgt'!$D:$D),0),0)</f>
        <v>0</v>
      </c>
      <c r="CX90" s="11">
        <f>ROUND(IFERROR(#REF!/_xlfn.XLOOKUP(CX$7,'Product Tgt'!$B:$B,'Product Tgt'!$D:$D),0),0)</f>
        <v>0</v>
      </c>
      <c r="CY90" s="11">
        <f>ROUND(IFERROR(#REF!/_xlfn.XLOOKUP(CY$7,'Product Tgt'!$B:$B,'Product Tgt'!$D:$D),0),0)</f>
        <v>0</v>
      </c>
      <c r="CZ90" s="11">
        <f>ROUND(IFERROR(#REF!/_xlfn.XLOOKUP(CZ$7,'Product Tgt'!$B:$B,'Product Tgt'!$D:$D),0),0)</f>
        <v>0</v>
      </c>
      <c r="DA90" s="10">
        <f>IFERROR(BR90*_xlfn.XLOOKUP(DA$7,'Product Tgt'!$B:$B,'Product Tgt'!$D:$D),0)</f>
        <v>0</v>
      </c>
      <c r="DB90">
        <f>IFERROR(BS90*_xlfn.XLOOKUP(DB$7,'Product Tgt'!$B:$B,'Product Tgt'!$D:$D),0)</f>
        <v>0</v>
      </c>
      <c r="DC90">
        <f>IFERROR(BT90*_xlfn.XLOOKUP(DC$7,'Product Tgt'!$B:$B,'Product Tgt'!$D:$D),0)</f>
        <v>0</v>
      </c>
      <c r="DD90">
        <f>IFERROR(BU90*_xlfn.XLOOKUP(DD$7,'Product Tgt'!$B:$B,'Product Tgt'!$D:$D),0)</f>
        <v>0</v>
      </c>
      <c r="DE90">
        <f>IFERROR(BV90*_xlfn.XLOOKUP(DE$7,'Product Tgt'!$B:$B,'Product Tgt'!$D:$D),0)</f>
        <v>0</v>
      </c>
      <c r="DF90">
        <f>IFERROR(BW90*_xlfn.XLOOKUP(DF$7,'Product Tgt'!$B:$B,'Product Tgt'!$D:$D),0)</f>
        <v>0</v>
      </c>
      <c r="DG90">
        <f>IFERROR(BX90*_xlfn.XLOOKUP(DG$7,'Product Tgt'!$B:$B,'Product Tgt'!$D:$D),0)</f>
        <v>0</v>
      </c>
      <c r="DH90">
        <f>IFERROR(BY90*_xlfn.XLOOKUP(DH$7,'Product Tgt'!$B:$B,'Product Tgt'!$D:$D),0)</f>
        <v>0</v>
      </c>
      <c r="DI90">
        <f>IFERROR(BZ90*_xlfn.XLOOKUP(DI$7,'Product Tgt'!$B:$B,'Product Tgt'!$D:$D),0)</f>
        <v>0</v>
      </c>
      <c r="DJ90">
        <f>IFERROR(CA90*_xlfn.XLOOKUP(DJ$7,'Product Tgt'!$B:$B,'Product Tgt'!$D:$D),0)</f>
        <v>0</v>
      </c>
      <c r="DK90">
        <f>IFERROR(CB90*_xlfn.XLOOKUP(DK$7,'Product Tgt'!$B:$B,'Product Tgt'!$D:$D),0)</f>
        <v>0</v>
      </c>
      <c r="DL90">
        <f>IFERROR(CC90*_xlfn.XLOOKUP(DL$7,'Product Tgt'!$B:$B,'Product Tgt'!$D:$D),0)</f>
        <v>0</v>
      </c>
      <c r="DM90">
        <f>IFERROR(CD90*_xlfn.XLOOKUP(DM$7,'Product Tgt'!$B:$B,'Product Tgt'!$D:$D),0)</f>
        <v>0</v>
      </c>
      <c r="DN90">
        <f>IFERROR(CE90*_xlfn.XLOOKUP(DN$7,'Product Tgt'!$B:$B,'Product Tgt'!$D:$D),0)</f>
        <v>0</v>
      </c>
      <c r="DO90">
        <f>IFERROR(CF90*_xlfn.XLOOKUP(DO$7,'Product Tgt'!$B:$B,'Product Tgt'!$D:$D),0)</f>
        <v>0</v>
      </c>
      <c r="DP90">
        <f>IFERROR(CG90*_xlfn.XLOOKUP(DP$7,'Product Tgt'!$B:$B,'Product Tgt'!$D:$D),0)</f>
        <v>0</v>
      </c>
      <c r="DQ90">
        <f>IFERROR(CH90*_xlfn.XLOOKUP(DQ$7,'Product Tgt'!$B:$B,'Product Tgt'!$D:$D),0)</f>
        <v>0</v>
      </c>
      <c r="DR90">
        <f>IFERROR(CI90*_xlfn.XLOOKUP(DR$7,'Product Tgt'!$B:$B,'Product Tgt'!$D:$D),0)</f>
        <v>0</v>
      </c>
      <c r="DS90">
        <f>IFERROR(CJ90*_xlfn.XLOOKUP(DS$7,'Product Tgt'!$B:$B,'Product Tgt'!$D:$D),0)</f>
        <v>0</v>
      </c>
      <c r="DT90">
        <f>IFERROR(CK90*_xlfn.XLOOKUP(DT$7,'Product Tgt'!$B:$B,'Product Tgt'!$D:$D),0)</f>
        <v>0</v>
      </c>
      <c r="DU90">
        <f>IFERROR(CL90*_xlfn.XLOOKUP(DU$7,'Product Tgt'!$B:$B,'Product Tgt'!$D:$D),0)</f>
        <v>0</v>
      </c>
      <c r="DV90">
        <f>IFERROR(CM90*_xlfn.XLOOKUP(DV$7,'Product Tgt'!$B:$B,'Product Tgt'!$D:$D),0)</f>
        <v>0</v>
      </c>
      <c r="DW90">
        <f>IFERROR(CN90*_xlfn.XLOOKUP(DW$7,'Product Tgt'!$B:$B,'Product Tgt'!$D:$D),0)</f>
        <v>0</v>
      </c>
      <c r="DX90">
        <f>IFERROR(CO90*_xlfn.XLOOKUP(DX$7,'Product Tgt'!$B:$B,'Product Tgt'!$D:$D),0)</f>
        <v>0</v>
      </c>
      <c r="DY90">
        <f>IFERROR(CP90*_xlfn.XLOOKUP(DY$7,'Product Tgt'!$B:$B,'Product Tgt'!$D:$D),0)</f>
        <v>0</v>
      </c>
      <c r="DZ90">
        <f>IFERROR(CQ90*_xlfn.XLOOKUP(DZ$7,'Product Tgt'!$B:$B,'Product Tgt'!$D:$D),0)</f>
        <v>0</v>
      </c>
      <c r="EA90">
        <f>IFERROR(CR90*_xlfn.XLOOKUP(EA$7,'Product Tgt'!$B:$B,'Product Tgt'!$D:$D),0)</f>
        <v>0</v>
      </c>
      <c r="EB90">
        <f>IFERROR(CS90*_xlfn.XLOOKUP(EB$7,'Product Tgt'!$B:$B,'Product Tgt'!$D:$D),0)</f>
        <v>0</v>
      </c>
      <c r="EC90">
        <f>IFERROR(CT90*_xlfn.XLOOKUP(EC$7,'Product Tgt'!$B:$B,'Product Tgt'!$D:$D),0)</f>
        <v>0</v>
      </c>
      <c r="ED90">
        <f>IFERROR(CU90*_xlfn.XLOOKUP(ED$7,'Product Tgt'!$B:$B,'Product Tgt'!$D:$D),0)</f>
        <v>0</v>
      </c>
      <c r="EE90">
        <f>IFERROR(CV90*_xlfn.XLOOKUP(EE$7,'Product Tgt'!$B:$B,'Product Tgt'!$D:$D),0)</f>
        <v>0</v>
      </c>
      <c r="EF90">
        <f>IFERROR(CW90*_xlfn.XLOOKUP(EF$7,'Product Tgt'!$B:$B,'Product Tgt'!$D:$D),0)</f>
        <v>0</v>
      </c>
      <c r="EG90">
        <f>IFERROR(CX90*_xlfn.XLOOKUP(EG$7,'Product Tgt'!$B:$B,'Product Tgt'!$D:$D),0)</f>
        <v>0</v>
      </c>
      <c r="EH90">
        <f>IFERROR(CY90*_xlfn.XLOOKUP(EH$7,'Product Tgt'!$B:$B,'Product Tgt'!$D:$D),0)</f>
        <v>0</v>
      </c>
      <c r="EI90">
        <f>IFERROR(CZ90*_xlfn.XLOOKUP(EI$7,'Product Tgt'!$B:$B,'Product Tgt'!$D:$D),0)</f>
        <v>0</v>
      </c>
    </row>
    <row r="91" spans="2:139" x14ac:dyDescent="0.35">
      <c r="B91" s="7" t="s">
        <v>155</v>
      </c>
      <c r="C91" s="3">
        <f>_xlfn.XLOOKUP($B91,'Terr Target'!$A:$A,'Terr Target'!$E:$E)</f>
        <v>391450.64461460675</v>
      </c>
      <c r="D91" s="3">
        <f t="shared" si="10"/>
        <v>391452</v>
      </c>
      <c r="E91" s="4">
        <f t="shared" si="11"/>
        <v>1.3553853932535276</v>
      </c>
      <c r="F91" s="9">
        <f t="shared" si="7"/>
        <v>3.462456171519184E-6</v>
      </c>
      <c r="G91" s="5">
        <f t="shared" si="12"/>
        <v>0.99999653754382845</v>
      </c>
      <c r="H91" s="38">
        <v>48178.979097303825</v>
      </c>
      <c r="I91" s="11">
        <v>83187.252646521243</v>
      </c>
      <c r="J91" s="11">
        <v>42583.89547835003</v>
      </c>
      <c r="K91" s="11">
        <v>52740.066977446964</v>
      </c>
      <c r="L91" s="11">
        <v>30837.130343823992</v>
      </c>
      <c r="M91" s="11">
        <v>19792.118459904494</v>
      </c>
      <c r="N91" s="11">
        <v>468.33930489370357</v>
      </c>
      <c r="O91" s="11">
        <v>2963.1559345863852</v>
      </c>
      <c r="P91" s="11">
        <v>550.89032207475509</v>
      </c>
      <c r="Q91" s="11">
        <v>408.69813396477707</v>
      </c>
      <c r="R91" s="11">
        <v>6406.0265491152732</v>
      </c>
      <c r="S91" s="11">
        <v>11787.73239431717</v>
      </c>
      <c r="T91" s="11">
        <v>0</v>
      </c>
      <c r="U91" s="11">
        <v>11041.233350249444</v>
      </c>
      <c r="V91" s="11">
        <v>11431.068646392918</v>
      </c>
      <c r="W91" s="11">
        <v>18577.449150607252</v>
      </c>
      <c r="X91" s="11">
        <v>4534.2503475760877</v>
      </c>
      <c r="Y91" s="11">
        <v>1162.3863355152664</v>
      </c>
      <c r="Z91" s="11">
        <v>0</v>
      </c>
      <c r="AA91" s="11">
        <v>5817.9673879387628</v>
      </c>
      <c r="AB91" s="11">
        <v>1556.1692049929829</v>
      </c>
      <c r="AC91" s="11">
        <v>741.80570750913103</v>
      </c>
      <c r="AD91" s="11">
        <v>4873.2842528766332</v>
      </c>
      <c r="AE91" s="11">
        <v>6677.0766788837964</v>
      </c>
      <c r="AF91" s="11">
        <v>783.52867403426865</v>
      </c>
      <c r="AG91" s="11">
        <v>17851.543115041324</v>
      </c>
      <c r="AH91" s="11">
        <v>1549.1689741937228</v>
      </c>
      <c r="AI91" s="11">
        <v>9176.9147809537899</v>
      </c>
      <c r="AJ91" s="11">
        <v>8589.1638685766757</v>
      </c>
      <c r="AK91" s="11">
        <v>1492.6798958263951</v>
      </c>
      <c r="AL91" s="49">
        <v>2307.6499473993877</v>
      </c>
      <c r="AM91" s="41">
        <f>IFERROR(ROUND(_xlfn.XLOOKUP(AM$7,'Product Tgt'!$B:$B,'Product Tgt'!$G:$G)*H91/H$121,0),0)</f>
        <v>46838</v>
      </c>
      <c r="AN91" s="41">
        <f>IFERROR(ROUND(_xlfn.XLOOKUP(AN$7,'Product Tgt'!$B:$B,'Product Tgt'!$G:$G)*I91/I$121,0),0)</f>
        <v>81890</v>
      </c>
      <c r="AO91" s="41">
        <f>IFERROR(ROUND(_xlfn.XLOOKUP(AO$7,'Product Tgt'!$B:$B,'Product Tgt'!$G:$G)*J91/J$121,0),0)</f>
        <v>41259</v>
      </c>
      <c r="AP91" s="41">
        <f>IFERROR(ROUND(_xlfn.XLOOKUP(AP$7,'Product Tgt'!$B:$B,'Product Tgt'!$G:$G)*K91/K$121,0),0)</f>
        <v>51449</v>
      </c>
      <c r="AQ91" s="41">
        <f>IFERROR(ROUND(_xlfn.XLOOKUP(AQ$7,'Product Tgt'!$B:$B,'Product Tgt'!$G:$G)*L91/L$121,0),0)</f>
        <v>29818</v>
      </c>
      <c r="AR91" s="41">
        <f>IFERROR(ROUND(_xlfn.XLOOKUP(AR$7,'Product Tgt'!$B:$B,'Product Tgt'!$G:$G)*M91/M$121,0),0)</f>
        <v>19175</v>
      </c>
      <c r="AS91" s="41">
        <f>IFERROR(ROUND(_xlfn.XLOOKUP(AS$7,'Product Tgt'!$B:$B,'Product Tgt'!$G:$G)*N91/N$121,0),0)</f>
        <v>433</v>
      </c>
      <c r="AT91" s="41">
        <f>IFERROR(ROUND(_xlfn.XLOOKUP(AT$7,'Product Tgt'!$B:$B,'Product Tgt'!$G:$G)*O91/O$121,0),0)</f>
        <v>2667</v>
      </c>
      <c r="AU91" s="41">
        <f>IFERROR(ROUND(_xlfn.XLOOKUP(AU$7,'Product Tgt'!$B:$B,'Product Tgt'!$G:$G)*P91/P$121,0),0)</f>
        <v>235</v>
      </c>
      <c r="AV91" s="41">
        <f>IFERROR(ROUND(_xlfn.XLOOKUP(AV$7,'Product Tgt'!$B:$B,'Product Tgt'!$G:$G)*Q91/Q$121,0),0)</f>
        <v>307</v>
      </c>
      <c r="AW91" s="41">
        <f>IFERROR(ROUND(_xlfn.XLOOKUP(AW$7,'Product Tgt'!$B:$B,'Product Tgt'!$G:$G)*R91/R$121,0),0)</f>
        <v>6169</v>
      </c>
      <c r="AX91" s="41">
        <f>IFERROR(ROUND(_xlfn.XLOOKUP(AX$7,'Product Tgt'!$B:$B,'Product Tgt'!$G:$G)*S91/S$121,0),0)</f>
        <v>11353</v>
      </c>
      <c r="AY91" s="41">
        <f>IFERROR(ROUND(_xlfn.XLOOKUP(AY$7,'Product Tgt'!$B:$B,'Product Tgt'!$G:$G)*T91/T$121,0),0)</f>
        <v>0</v>
      </c>
      <c r="AZ91" s="41">
        <f>IFERROR(ROUND(_xlfn.XLOOKUP(AZ$7,'Product Tgt'!$B:$B,'Product Tgt'!$G:$G)*U91/U$121,0),0)</f>
        <v>10567</v>
      </c>
      <c r="BA91" s="41">
        <f>IFERROR(ROUND(_xlfn.XLOOKUP(BA$7,'Product Tgt'!$B:$B,'Product Tgt'!$G:$G)*V91/V$121,0),0)</f>
        <v>11006</v>
      </c>
      <c r="BB91" s="41">
        <f>IFERROR(ROUND(_xlfn.XLOOKUP(BB$7,'Product Tgt'!$B:$B,'Product Tgt'!$G:$G)*W91/W$121,0),0)</f>
        <v>17783</v>
      </c>
      <c r="BC91" s="41">
        <f>IFERROR(ROUND(_xlfn.XLOOKUP(BC$7,'Product Tgt'!$B:$B,'Product Tgt'!$G:$G)*X91/X$121,0),0)</f>
        <v>4387</v>
      </c>
      <c r="BD91" s="41">
        <f>IFERROR(ROUND(_xlfn.XLOOKUP(BD$7,'Product Tgt'!$B:$B,'Product Tgt'!$G:$G)*Y91/Y$121,0),0)</f>
        <v>1124</v>
      </c>
      <c r="BE91" s="41">
        <f>IFERROR(ROUND(_xlfn.XLOOKUP(BE$7,'Product Tgt'!$B:$B,'Product Tgt'!$G:$G)*Z91/Z$121,0),0)</f>
        <v>0</v>
      </c>
      <c r="BF91" s="41">
        <f>IFERROR(ROUND(_xlfn.XLOOKUP(BF$7,'Product Tgt'!$B:$B,'Product Tgt'!$G:$G)*AA91/AA$121,0),0)</f>
        <v>4715</v>
      </c>
      <c r="BG91" s="41">
        <f>IFERROR(ROUND(_xlfn.XLOOKUP(BG$7,'Product Tgt'!$B:$B,'Product Tgt'!$G:$G)*AB91/AB$121,0),0)</f>
        <v>1247</v>
      </c>
      <c r="BH91" s="41">
        <f>IFERROR(ROUND(_xlfn.XLOOKUP(BH$7,'Product Tgt'!$B:$B,'Product Tgt'!$G:$G)*AC91/AC$121,0),0)</f>
        <v>635</v>
      </c>
      <c r="BI91" s="41">
        <f>IFERROR(ROUND(_xlfn.XLOOKUP(BI$7,'Product Tgt'!$B:$B,'Product Tgt'!$G:$G)*AD91/AD$121,0),0)</f>
        <v>4242</v>
      </c>
      <c r="BJ91" s="41">
        <f>IFERROR(ROUND(_xlfn.XLOOKUP(BJ$7,'Product Tgt'!$B:$B,'Product Tgt'!$G:$G)*AE91/AE$121,0),0)</f>
        <v>6215</v>
      </c>
      <c r="BK91" s="41">
        <f>IFERROR(ROUND(_xlfn.XLOOKUP(BK$7,'Product Tgt'!$B:$B,'Product Tgt'!$G:$G)*AF91/AF$121,0),0)</f>
        <v>875</v>
      </c>
      <c r="BL91" s="41">
        <f>IFERROR(ROUND(_xlfn.XLOOKUP(BL$7,'Product Tgt'!$B:$B,'Product Tgt'!$G:$G)*AG91/AG$121,0),0)</f>
        <v>17051</v>
      </c>
      <c r="BM91" s="41">
        <f>IFERROR(ROUND(_xlfn.XLOOKUP(BM$7,'Product Tgt'!$B:$B,'Product Tgt'!$G:$G)*AH91/AH$121,0),0)</f>
        <v>1215</v>
      </c>
      <c r="BN91" s="41">
        <f>IFERROR(ROUND(_xlfn.XLOOKUP(BN$7,'Product Tgt'!$B:$B,'Product Tgt'!$G:$G)*AI91/AI$121,0),0)</f>
        <v>8428</v>
      </c>
      <c r="BO91" s="41">
        <f>IFERROR(ROUND(_xlfn.XLOOKUP(BO$7,'Product Tgt'!$B:$B,'Product Tgt'!$G:$G)*AJ91/AJ$121,0),0)</f>
        <v>7429</v>
      </c>
      <c r="BP91" s="41">
        <f>IFERROR(ROUND(_xlfn.XLOOKUP(BP$7,'Product Tgt'!$B:$B,'Product Tgt'!$G:$G)*AK91/AK$121,0),0)</f>
        <v>1136</v>
      </c>
      <c r="BQ91" s="41">
        <f>IFERROR(ROUND(_xlfn.XLOOKUP(BQ$7,'Product Tgt'!$B:$B,'Product Tgt'!$G:$G)*AL91/AL$121,0),0)</f>
        <v>1804</v>
      </c>
      <c r="BR91" s="25">
        <f>ROUND(IFERROR(AM91/_xlfn.XLOOKUP(BR$7,'Product Tgt'!$B:$B,'Product Tgt'!$D:$D),0),0)</f>
        <v>0</v>
      </c>
      <c r="BS91" s="11">
        <f>ROUND(IFERROR(AN91/_xlfn.XLOOKUP(BS$7,'Product Tgt'!$B:$B,'Product Tgt'!$D:$D),0),0)</f>
        <v>0</v>
      </c>
      <c r="BT91" s="11">
        <f>ROUND(IFERROR(AO91/_xlfn.XLOOKUP(BT$7,'Product Tgt'!$B:$B,'Product Tgt'!$D:$D),0),0)</f>
        <v>0</v>
      </c>
      <c r="BU91" s="11">
        <f>ROUND(IFERROR(AP91/_xlfn.XLOOKUP(BU$7,'Product Tgt'!$B:$B,'Product Tgt'!$D:$D),0),0)</f>
        <v>0</v>
      </c>
      <c r="BV91" s="11">
        <f>ROUND(IFERROR(AQ91/_xlfn.XLOOKUP(BV$7,'Product Tgt'!$B:$B,'Product Tgt'!$D:$D),0),0)</f>
        <v>0</v>
      </c>
      <c r="BW91" s="11">
        <f>ROUND(IFERROR(AU91/_xlfn.XLOOKUP(BW$7,'Product Tgt'!$B:$B,'Product Tgt'!$D:$D),0),0)</f>
        <v>0</v>
      </c>
      <c r="BX91" s="11">
        <f>ROUND(IFERROR(#REF!/_xlfn.XLOOKUP(BX$7,'Product Tgt'!$B:$B,'Product Tgt'!$D:$D),0),0)</f>
        <v>0</v>
      </c>
      <c r="BY91" s="11">
        <f>ROUND(IFERROR(#REF!/_xlfn.XLOOKUP(BY$7,'Product Tgt'!$B:$B,'Product Tgt'!$D:$D),0),0)</f>
        <v>0</v>
      </c>
      <c r="BZ91" s="11">
        <f>ROUND(IFERROR(#REF!/_xlfn.XLOOKUP(BZ$7,'Product Tgt'!$B:$B,'Product Tgt'!$D:$D),0),0)</f>
        <v>0</v>
      </c>
      <c r="CA91" s="11">
        <f>ROUND(IFERROR(#REF!/_xlfn.XLOOKUP(CA$7,'Product Tgt'!$B:$B,'Product Tgt'!$D:$D),0),0)</f>
        <v>0</v>
      </c>
      <c r="CB91" s="11">
        <f>ROUND(IFERROR(AV91/_xlfn.XLOOKUP(CB$7,'Product Tgt'!$B:$B,'Product Tgt'!$D:$D),0),0)</f>
        <v>0</v>
      </c>
      <c r="CC91" s="11">
        <f>ROUND(IFERROR(AW91/_xlfn.XLOOKUP(CC$7,'Product Tgt'!$B:$B,'Product Tgt'!$D:$D),0),0)</f>
        <v>0</v>
      </c>
      <c r="CD91" s="11">
        <f>ROUND(IFERROR(AX91/_xlfn.XLOOKUP(CD$7,'Product Tgt'!$B:$B,'Product Tgt'!$D:$D),0),0)</f>
        <v>0</v>
      </c>
      <c r="CE91" s="11">
        <f>ROUND(IFERROR(AY91/_xlfn.XLOOKUP(CE$7,'Product Tgt'!$B:$B,'Product Tgt'!$D:$D),0),0)</f>
        <v>0</v>
      </c>
      <c r="CF91" s="11">
        <f>ROUND(IFERROR(AZ91/_xlfn.XLOOKUP(CF$7,'Product Tgt'!$B:$B,'Product Tgt'!$D:$D),0),0)</f>
        <v>0</v>
      </c>
      <c r="CG91" s="11">
        <f>ROUND(IFERROR(BA91/_xlfn.XLOOKUP(CG$7,'Product Tgt'!$B:$B,'Product Tgt'!$D:$D),0),0)</f>
        <v>0</v>
      </c>
      <c r="CH91" s="11">
        <f>ROUND(IFERROR(BB91/_xlfn.XLOOKUP(CH$7,'Product Tgt'!$B:$B,'Product Tgt'!$D:$D),0),0)</f>
        <v>0</v>
      </c>
      <c r="CI91" s="11">
        <f>ROUND(IFERROR(BC91/_xlfn.XLOOKUP(CI$7,'Product Tgt'!$B:$B,'Product Tgt'!$D:$D),0),0)</f>
        <v>0</v>
      </c>
      <c r="CJ91" s="11">
        <f>ROUND(IFERROR(BD91/_xlfn.XLOOKUP(CJ$7,'Product Tgt'!$B:$B,'Product Tgt'!$D:$D),0),0)</f>
        <v>0</v>
      </c>
      <c r="CK91" s="11">
        <f>ROUND(IFERROR(BE91/_xlfn.XLOOKUP(CK$7,'Product Tgt'!$B:$B,'Product Tgt'!$D:$D),0),0)</f>
        <v>0</v>
      </c>
      <c r="CL91" s="11">
        <f>ROUND(IFERROR(BF91/_xlfn.XLOOKUP(CL$7,'Product Tgt'!$B:$B,'Product Tgt'!$D:$D),0),0)</f>
        <v>0</v>
      </c>
      <c r="CM91" s="11">
        <f>ROUND(IFERROR(BG91/_xlfn.XLOOKUP(CM$7,'Product Tgt'!$B:$B,'Product Tgt'!$D:$D),0),0)</f>
        <v>0</v>
      </c>
      <c r="CN91" s="11">
        <f>ROUND(IFERROR(BH91/_xlfn.XLOOKUP(CN$7,'Product Tgt'!$B:$B,'Product Tgt'!$D:$D),0),0)</f>
        <v>0</v>
      </c>
      <c r="CO91" s="11">
        <f>ROUND(IFERROR(BI91/_xlfn.XLOOKUP(CO$7,'Product Tgt'!$B:$B,'Product Tgt'!$D:$D),0),0)</f>
        <v>0</v>
      </c>
      <c r="CP91" s="11">
        <f>ROUND(IFERROR(BJ91/_xlfn.XLOOKUP(CP$7,'Product Tgt'!$B:$B,'Product Tgt'!$D:$D),0),0)</f>
        <v>0</v>
      </c>
      <c r="CQ91" s="11">
        <f>ROUND(IFERROR(BK91/_xlfn.XLOOKUP(CQ$7,'Product Tgt'!$B:$B,'Product Tgt'!$D:$D),0),0)</f>
        <v>0</v>
      </c>
      <c r="CR91" s="11">
        <f>ROUND(IFERROR(BL91/_xlfn.XLOOKUP(CR$7,'Product Tgt'!$B:$B,'Product Tgt'!$D:$D),0),0)</f>
        <v>0</v>
      </c>
      <c r="CS91" s="11">
        <f>ROUND(IFERROR(BM91/_xlfn.XLOOKUP(CS$7,'Product Tgt'!$B:$B,'Product Tgt'!$D:$D),0),0)</f>
        <v>0</v>
      </c>
      <c r="CT91" s="11">
        <f>ROUND(IFERROR(BN91/_xlfn.XLOOKUP(CT$7,'Product Tgt'!$B:$B,'Product Tgt'!$D:$D),0),0)</f>
        <v>0</v>
      </c>
      <c r="CU91" s="11">
        <f>ROUND(IFERROR(BO91/_xlfn.XLOOKUP(CU$7,'Product Tgt'!$B:$B,'Product Tgt'!$D:$D),0),0)</f>
        <v>0</v>
      </c>
      <c r="CV91" s="11">
        <f>ROUND(IFERROR(BP91/_xlfn.XLOOKUP(CV$7,'Product Tgt'!$B:$B,'Product Tgt'!$D:$D),0),0)</f>
        <v>0</v>
      </c>
      <c r="CW91" s="11">
        <f>ROUND(IFERROR(BQ91/_xlfn.XLOOKUP(CW$7,'Product Tgt'!$B:$B,'Product Tgt'!$D:$D),0),0)</f>
        <v>0</v>
      </c>
      <c r="CX91" s="11">
        <f>ROUND(IFERROR(#REF!/_xlfn.XLOOKUP(CX$7,'Product Tgt'!$B:$B,'Product Tgt'!$D:$D),0),0)</f>
        <v>0</v>
      </c>
      <c r="CY91" s="11">
        <f>ROUND(IFERROR(#REF!/_xlfn.XLOOKUP(CY$7,'Product Tgt'!$B:$B,'Product Tgt'!$D:$D),0),0)</f>
        <v>0</v>
      </c>
      <c r="CZ91" s="11">
        <f>ROUND(IFERROR(#REF!/_xlfn.XLOOKUP(CZ$7,'Product Tgt'!$B:$B,'Product Tgt'!$D:$D),0),0)</f>
        <v>0</v>
      </c>
      <c r="DA91" s="10">
        <f>IFERROR(BR91*_xlfn.XLOOKUP(DA$7,'Product Tgt'!$B:$B,'Product Tgt'!$D:$D),0)</f>
        <v>0</v>
      </c>
      <c r="DB91">
        <f>IFERROR(BS91*_xlfn.XLOOKUP(DB$7,'Product Tgt'!$B:$B,'Product Tgt'!$D:$D),0)</f>
        <v>0</v>
      </c>
      <c r="DC91">
        <f>IFERROR(BT91*_xlfn.XLOOKUP(DC$7,'Product Tgt'!$B:$B,'Product Tgt'!$D:$D),0)</f>
        <v>0</v>
      </c>
      <c r="DD91">
        <f>IFERROR(BU91*_xlfn.XLOOKUP(DD$7,'Product Tgt'!$B:$B,'Product Tgt'!$D:$D),0)</f>
        <v>0</v>
      </c>
      <c r="DE91">
        <f>IFERROR(BV91*_xlfn.XLOOKUP(DE$7,'Product Tgt'!$B:$B,'Product Tgt'!$D:$D),0)</f>
        <v>0</v>
      </c>
      <c r="DF91">
        <f>IFERROR(BW91*_xlfn.XLOOKUP(DF$7,'Product Tgt'!$B:$B,'Product Tgt'!$D:$D),0)</f>
        <v>0</v>
      </c>
      <c r="DG91">
        <f>IFERROR(BX91*_xlfn.XLOOKUP(DG$7,'Product Tgt'!$B:$B,'Product Tgt'!$D:$D),0)</f>
        <v>0</v>
      </c>
      <c r="DH91">
        <f>IFERROR(BY91*_xlfn.XLOOKUP(DH$7,'Product Tgt'!$B:$B,'Product Tgt'!$D:$D),0)</f>
        <v>0</v>
      </c>
      <c r="DI91">
        <f>IFERROR(BZ91*_xlfn.XLOOKUP(DI$7,'Product Tgt'!$B:$B,'Product Tgt'!$D:$D),0)</f>
        <v>0</v>
      </c>
      <c r="DJ91">
        <f>IFERROR(CA91*_xlfn.XLOOKUP(DJ$7,'Product Tgt'!$B:$B,'Product Tgt'!$D:$D),0)</f>
        <v>0</v>
      </c>
      <c r="DK91">
        <f>IFERROR(CB91*_xlfn.XLOOKUP(DK$7,'Product Tgt'!$B:$B,'Product Tgt'!$D:$D),0)</f>
        <v>0</v>
      </c>
      <c r="DL91">
        <f>IFERROR(CC91*_xlfn.XLOOKUP(DL$7,'Product Tgt'!$B:$B,'Product Tgt'!$D:$D),0)</f>
        <v>0</v>
      </c>
      <c r="DM91">
        <f>IFERROR(CD91*_xlfn.XLOOKUP(DM$7,'Product Tgt'!$B:$B,'Product Tgt'!$D:$D),0)</f>
        <v>0</v>
      </c>
      <c r="DN91">
        <f>IFERROR(CE91*_xlfn.XLOOKUP(DN$7,'Product Tgt'!$B:$B,'Product Tgt'!$D:$D),0)</f>
        <v>0</v>
      </c>
      <c r="DO91">
        <f>IFERROR(CF91*_xlfn.XLOOKUP(DO$7,'Product Tgt'!$B:$B,'Product Tgt'!$D:$D),0)</f>
        <v>0</v>
      </c>
      <c r="DP91">
        <f>IFERROR(CG91*_xlfn.XLOOKUP(DP$7,'Product Tgt'!$B:$B,'Product Tgt'!$D:$D),0)</f>
        <v>0</v>
      </c>
      <c r="DQ91">
        <f>IFERROR(CH91*_xlfn.XLOOKUP(DQ$7,'Product Tgt'!$B:$B,'Product Tgt'!$D:$D),0)</f>
        <v>0</v>
      </c>
      <c r="DR91">
        <f>IFERROR(CI91*_xlfn.XLOOKUP(DR$7,'Product Tgt'!$B:$B,'Product Tgt'!$D:$D),0)</f>
        <v>0</v>
      </c>
      <c r="DS91">
        <f>IFERROR(CJ91*_xlfn.XLOOKUP(DS$7,'Product Tgt'!$B:$B,'Product Tgt'!$D:$D),0)</f>
        <v>0</v>
      </c>
      <c r="DT91">
        <f>IFERROR(CK91*_xlfn.XLOOKUP(DT$7,'Product Tgt'!$B:$B,'Product Tgt'!$D:$D),0)</f>
        <v>0</v>
      </c>
      <c r="DU91">
        <f>IFERROR(CL91*_xlfn.XLOOKUP(DU$7,'Product Tgt'!$B:$B,'Product Tgt'!$D:$D),0)</f>
        <v>0</v>
      </c>
      <c r="DV91">
        <f>IFERROR(CM91*_xlfn.XLOOKUP(DV$7,'Product Tgt'!$B:$B,'Product Tgt'!$D:$D),0)</f>
        <v>0</v>
      </c>
      <c r="DW91">
        <f>IFERROR(CN91*_xlfn.XLOOKUP(DW$7,'Product Tgt'!$B:$B,'Product Tgt'!$D:$D),0)</f>
        <v>0</v>
      </c>
      <c r="DX91">
        <f>IFERROR(CO91*_xlfn.XLOOKUP(DX$7,'Product Tgt'!$B:$B,'Product Tgt'!$D:$D),0)</f>
        <v>0</v>
      </c>
      <c r="DY91">
        <f>IFERROR(CP91*_xlfn.XLOOKUP(DY$7,'Product Tgt'!$B:$B,'Product Tgt'!$D:$D),0)</f>
        <v>0</v>
      </c>
      <c r="DZ91">
        <f>IFERROR(CQ91*_xlfn.XLOOKUP(DZ$7,'Product Tgt'!$B:$B,'Product Tgt'!$D:$D),0)</f>
        <v>0</v>
      </c>
      <c r="EA91">
        <f>IFERROR(CR91*_xlfn.XLOOKUP(EA$7,'Product Tgt'!$B:$B,'Product Tgt'!$D:$D),0)</f>
        <v>0</v>
      </c>
      <c r="EB91">
        <f>IFERROR(CS91*_xlfn.XLOOKUP(EB$7,'Product Tgt'!$B:$B,'Product Tgt'!$D:$D),0)</f>
        <v>0</v>
      </c>
      <c r="EC91">
        <f>IFERROR(CT91*_xlfn.XLOOKUP(EC$7,'Product Tgt'!$B:$B,'Product Tgt'!$D:$D),0)</f>
        <v>0</v>
      </c>
      <c r="ED91">
        <f>IFERROR(CU91*_xlfn.XLOOKUP(ED$7,'Product Tgt'!$B:$B,'Product Tgt'!$D:$D),0)</f>
        <v>0</v>
      </c>
      <c r="EE91">
        <f>IFERROR(CV91*_xlfn.XLOOKUP(EE$7,'Product Tgt'!$B:$B,'Product Tgt'!$D:$D),0)</f>
        <v>0</v>
      </c>
      <c r="EF91">
        <f>IFERROR(CW91*_xlfn.XLOOKUP(EF$7,'Product Tgt'!$B:$B,'Product Tgt'!$D:$D),0)</f>
        <v>0</v>
      </c>
      <c r="EG91">
        <f>IFERROR(CX91*_xlfn.XLOOKUP(EG$7,'Product Tgt'!$B:$B,'Product Tgt'!$D:$D),0)</f>
        <v>0</v>
      </c>
      <c r="EH91">
        <f>IFERROR(CY91*_xlfn.XLOOKUP(EH$7,'Product Tgt'!$B:$B,'Product Tgt'!$D:$D),0)</f>
        <v>0</v>
      </c>
      <c r="EI91">
        <f>IFERROR(CZ91*_xlfn.XLOOKUP(EI$7,'Product Tgt'!$B:$B,'Product Tgt'!$D:$D),0)</f>
        <v>0</v>
      </c>
    </row>
    <row r="92" spans="2:139" x14ac:dyDescent="0.35">
      <c r="B92" s="7" t="s">
        <v>156</v>
      </c>
      <c r="C92" s="3">
        <f>_xlfn.XLOOKUP($B92,'Terr Target'!$A:$A,'Terr Target'!$E:$E)</f>
        <v>729074.25267697871</v>
      </c>
      <c r="D92" s="3">
        <f t="shared" si="10"/>
        <v>729077</v>
      </c>
      <c r="E92" s="4">
        <f t="shared" si="11"/>
        <v>2.7473230212926865</v>
      </c>
      <c r="F92" s="9">
        <f t="shared" si="7"/>
        <v>3.7682206698231963E-6</v>
      </c>
      <c r="G92" s="5">
        <f t="shared" si="12"/>
        <v>0.99999623177933017</v>
      </c>
      <c r="H92" s="38">
        <v>77188.664455161255</v>
      </c>
      <c r="I92" s="11">
        <v>152015.87047273488</v>
      </c>
      <c r="J92" s="11">
        <v>74888.207215040704</v>
      </c>
      <c r="K92" s="11">
        <v>105674.32143086918</v>
      </c>
      <c r="L92" s="11">
        <v>43700.222089988652</v>
      </c>
      <c r="M92" s="11">
        <v>35497.42841426099</v>
      </c>
      <c r="N92" s="11">
        <v>952.09673068716074</v>
      </c>
      <c r="O92" s="11">
        <v>4996.6105743741273</v>
      </c>
      <c r="P92" s="11">
        <v>4178.9754219732013</v>
      </c>
      <c r="Q92" s="11">
        <v>1438.1443127257546</v>
      </c>
      <c r="R92" s="11">
        <v>23363.85700506256</v>
      </c>
      <c r="S92" s="11">
        <v>42740.665784296943</v>
      </c>
      <c r="T92" s="11">
        <v>988.95639302605048</v>
      </c>
      <c r="U92" s="11">
        <v>8192.5454745531861</v>
      </c>
      <c r="V92" s="11">
        <v>23879.633333948379</v>
      </c>
      <c r="W92" s="11">
        <v>44184.765805771327</v>
      </c>
      <c r="X92" s="11">
        <v>4131.1504831590009</v>
      </c>
      <c r="Y92" s="11">
        <v>4765.5629368167365</v>
      </c>
      <c r="Z92" s="11">
        <v>542.82600273408445</v>
      </c>
      <c r="AA92" s="11">
        <v>8407.7278210795466</v>
      </c>
      <c r="AB92" s="11">
        <v>2741.8768440611675</v>
      </c>
      <c r="AC92" s="11">
        <v>1406.2842587343719</v>
      </c>
      <c r="AD92" s="11">
        <v>11946.21556809625</v>
      </c>
      <c r="AE92" s="11">
        <v>9397.6801520234258</v>
      </c>
      <c r="AF92" s="11">
        <v>1487.9013711005434</v>
      </c>
      <c r="AG92" s="11">
        <v>32824.03226142982</v>
      </c>
      <c r="AH92" s="11">
        <v>3079.4101637929457</v>
      </c>
      <c r="AI92" s="11">
        <v>18935.857266115137</v>
      </c>
      <c r="AJ92" s="11">
        <v>11973.135770015193</v>
      </c>
      <c r="AK92" s="11">
        <v>2444.2905942135517</v>
      </c>
      <c r="AL92" s="49">
        <v>3271.3274005587946</v>
      </c>
      <c r="AM92" s="41">
        <f>IFERROR(ROUND(_xlfn.XLOOKUP(AM$7,'Product Tgt'!$B:$B,'Product Tgt'!$G:$G)*H92/H$121,0),0)</f>
        <v>75040</v>
      </c>
      <c r="AN92" s="41">
        <f>IFERROR(ROUND(_xlfn.XLOOKUP(AN$7,'Product Tgt'!$B:$B,'Product Tgt'!$G:$G)*I92/I$121,0),0)</f>
        <v>149645</v>
      </c>
      <c r="AO92" s="41">
        <f>IFERROR(ROUND(_xlfn.XLOOKUP(AO$7,'Product Tgt'!$B:$B,'Product Tgt'!$G:$G)*J92/J$121,0),0)</f>
        <v>72559</v>
      </c>
      <c r="AP92" s="41">
        <f>IFERROR(ROUND(_xlfn.XLOOKUP(AP$7,'Product Tgt'!$B:$B,'Product Tgt'!$G:$G)*K92/K$121,0),0)</f>
        <v>103088</v>
      </c>
      <c r="AQ92" s="41">
        <f>IFERROR(ROUND(_xlfn.XLOOKUP(AQ$7,'Product Tgt'!$B:$B,'Product Tgt'!$G:$G)*L92/L$121,0),0)</f>
        <v>42255</v>
      </c>
      <c r="AR92" s="41">
        <f>IFERROR(ROUND(_xlfn.XLOOKUP(AR$7,'Product Tgt'!$B:$B,'Product Tgt'!$G:$G)*M92/M$121,0),0)</f>
        <v>34390</v>
      </c>
      <c r="AS92" s="41">
        <f>IFERROR(ROUND(_xlfn.XLOOKUP(AS$7,'Product Tgt'!$B:$B,'Product Tgt'!$G:$G)*N92/N$121,0),0)</f>
        <v>880</v>
      </c>
      <c r="AT92" s="41">
        <f>IFERROR(ROUND(_xlfn.XLOOKUP(AT$7,'Product Tgt'!$B:$B,'Product Tgt'!$G:$G)*O92/O$121,0),0)</f>
        <v>4497</v>
      </c>
      <c r="AU92" s="41">
        <f>IFERROR(ROUND(_xlfn.XLOOKUP(AU$7,'Product Tgt'!$B:$B,'Product Tgt'!$G:$G)*P92/P$121,0),0)</f>
        <v>1782</v>
      </c>
      <c r="AV92" s="41">
        <f>IFERROR(ROUND(_xlfn.XLOOKUP(AV$7,'Product Tgt'!$B:$B,'Product Tgt'!$G:$G)*Q92/Q$121,0),0)</f>
        <v>1079</v>
      </c>
      <c r="AW92" s="41">
        <f>IFERROR(ROUND(_xlfn.XLOOKUP(AW$7,'Product Tgt'!$B:$B,'Product Tgt'!$G:$G)*R92/R$121,0),0)</f>
        <v>22501</v>
      </c>
      <c r="AX92" s="41">
        <f>IFERROR(ROUND(_xlfn.XLOOKUP(AX$7,'Product Tgt'!$B:$B,'Product Tgt'!$G:$G)*S92/S$121,0),0)</f>
        <v>41165</v>
      </c>
      <c r="AY92" s="41">
        <f>IFERROR(ROUND(_xlfn.XLOOKUP(AY$7,'Product Tgt'!$B:$B,'Product Tgt'!$G:$G)*T92/T$121,0),0)</f>
        <v>993</v>
      </c>
      <c r="AZ92" s="41">
        <f>IFERROR(ROUND(_xlfn.XLOOKUP(AZ$7,'Product Tgt'!$B:$B,'Product Tgt'!$G:$G)*U92/U$121,0),0)</f>
        <v>7841</v>
      </c>
      <c r="BA92" s="41">
        <f>IFERROR(ROUND(_xlfn.XLOOKUP(BA$7,'Product Tgt'!$B:$B,'Product Tgt'!$G:$G)*V92/V$121,0),0)</f>
        <v>22991</v>
      </c>
      <c r="BB92" s="41">
        <f>IFERROR(ROUND(_xlfn.XLOOKUP(BB$7,'Product Tgt'!$B:$B,'Product Tgt'!$G:$G)*W92/W$121,0),0)</f>
        <v>42295</v>
      </c>
      <c r="BC92" s="41">
        <f>IFERROR(ROUND(_xlfn.XLOOKUP(BC$7,'Product Tgt'!$B:$B,'Product Tgt'!$G:$G)*X92/X$121,0),0)</f>
        <v>3997</v>
      </c>
      <c r="BD92" s="41">
        <f>IFERROR(ROUND(_xlfn.XLOOKUP(BD$7,'Product Tgt'!$B:$B,'Product Tgt'!$G:$G)*Y92/Y$121,0),0)</f>
        <v>4608</v>
      </c>
      <c r="BE92" s="41">
        <f>IFERROR(ROUND(_xlfn.XLOOKUP(BE$7,'Product Tgt'!$B:$B,'Product Tgt'!$G:$G)*Z92/Z$121,0),0)</f>
        <v>516</v>
      </c>
      <c r="BF92" s="41">
        <f>IFERROR(ROUND(_xlfn.XLOOKUP(BF$7,'Product Tgt'!$B:$B,'Product Tgt'!$G:$G)*AA92/AA$121,0),0)</f>
        <v>6814</v>
      </c>
      <c r="BG92" s="41">
        <f>IFERROR(ROUND(_xlfn.XLOOKUP(BG$7,'Product Tgt'!$B:$B,'Product Tgt'!$G:$G)*AB92/AB$121,0),0)</f>
        <v>2197</v>
      </c>
      <c r="BH92" s="41">
        <f>IFERROR(ROUND(_xlfn.XLOOKUP(BH$7,'Product Tgt'!$B:$B,'Product Tgt'!$G:$G)*AC92/AC$121,0),0)</f>
        <v>1204</v>
      </c>
      <c r="BI92" s="41">
        <f>IFERROR(ROUND(_xlfn.XLOOKUP(BI$7,'Product Tgt'!$B:$B,'Product Tgt'!$G:$G)*AD92/AD$121,0),0)</f>
        <v>10400</v>
      </c>
      <c r="BJ92" s="41">
        <f>IFERROR(ROUND(_xlfn.XLOOKUP(BJ$7,'Product Tgt'!$B:$B,'Product Tgt'!$G:$G)*AE92/AE$121,0),0)</f>
        <v>8747</v>
      </c>
      <c r="BK92" s="41">
        <f>IFERROR(ROUND(_xlfn.XLOOKUP(BK$7,'Product Tgt'!$B:$B,'Product Tgt'!$G:$G)*AF92/AF$121,0),0)</f>
        <v>1662</v>
      </c>
      <c r="BL92" s="41">
        <f>IFERROR(ROUND(_xlfn.XLOOKUP(BL$7,'Product Tgt'!$B:$B,'Product Tgt'!$G:$G)*AG92/AG$121,0),0)</f>
        <v>31353</v>
      </c>
      <c r="BM92" s="41">
        <f>IFERROR(ROUND(_xlfn.XLOOKUP(BM$7,'Product Tgt'!$B:$B,'Product Tgt'!$G:$G)*AH92/AH$121,0),0)</f>
        <v>2414</v>
      </c>
      <c r="BN92" s="41">
        <f>IFERROR(ROUND(_xlfn.XLOOKUP(BN$7,'Product Tgt'!$B:$B,'Product Tgt'!$G:$G)*AI92/AI$121,0),0)</f>
        <v>17390</v>
      </c>
      <c r="BO92" s="41">
        <f>IFERROR(ROUND(_xlfn.XLOOKUP(BO$7,'Product Tgt'!$B:$B,'Product Tgt'!$G:$G)*AJ92/AJ$121,0),0)</f>
        <v>10356</v>
      </c>
      <c r="BP92" s="41">
        <f>IFERROR(ROUND(_xlfn.XLOOKUP(BP$7,'Product Tgt'!$B:$B,'Product Tgt'!$G:$G)*AK92/AK$121,0),0)</f>
        <v>1861</v>
      </c>
      <c r="BQ92" s="41">
        <f>IFERROR(ROUND(_xlfn.XLOOKUP(BQ$7,'Product Tgt'!$B:$B,'Product Tgt'!$G:$G)*AL92/AL$121,0),0)</f>
        <v>2557</v>
      </c>
      <c r="BR92" s="25">
        <f>ROUND(IFERROR(AM92/_xlfn.XLOOKUP(BR$7,'Product Tgt'!$B:$B,'Product Tgt'!$D:$D),0),0)</f>
        <v>0</v>
      </c>
      <c r="BS92" s="11">
        <f>ROUND(IFERROR(AN92/_xlfn.XLOOKUP(BS$7,'Product Tgt'!$B:$B,'Product Tgt'!$D:$D),0),0)</f>
        <v>0</v>
      </c>
      <c r="BT92" s="11">
        <f>ROUND(IFERROR(AO92/_xlfn.XLOOKUP(BT$7,'Product Tgt'!$B:$B,'Product Tgt'!$D:$D),0),0)</f>
        <v>0</v>
      </c>
      <c r="BU92" s="11">
        <f>ROUND(IFERROR(AP92/_xlfn.XLOOKUP(BU$7,'Product Tgt'!$B:$B,'Product Tgt'!$D:$D),0),0)</f>
        <v>0</v>
      </c>
      <c r="BV92" s="11">
        <f>ROUND(IFERROR(AQ92/_xlfn.XLOOKUP(BV$7,'Product Tgt'!$B:$B,'Product Tgt'!$D:$D),0),0)</f>
        <v>0</v>
      </c>
      <c r="BW92" s="11">
        <f>ROUND(IFERROR(AU92/_xlfn.XLOOKUP(BW$7,'Product Tgt'!$B:$B,'Product Tgt'!$D:$D),0),0)</f>
        <v>0</v>
      </c>
      <c r="BX92" s="11">
        <f>ROUND(IFERROR(#REF!/_xlfn.XLOOKUP(BX$7,'Product Tgt'!$B:$B,'Product Tgt'!$D:$D),0),0)</f>
        <v>0</v>
      </c>
      <c r="BY92" s="11">
        <f>ROUND(IFERROR(#REF!/_xlfn.XLOOKUP(BY$7,'Product Tgt'!$B:$B,'Product Tgt'!$D:$D),0),0)</f>
        <v>0</v>
      </c>
      <c r="BZ92" s="11">
        <f>ROUND(IFERROR(#REF!/_xlfn.XLOOKUP(BZ$7,'Product Tgt'!$B:$B,'Product Tgt'!$D:$D),0),0)</f>
        <v>0</v>
      </c>
      <c r="CA92" s="11">
        <f>ROUND(IFERROR(#REF!/_xlfn.XLOOKUP(CA$7,'Product Tgt'!$B:$B,'Product Tgt'!$D:$D),0),0)</f>
        <v>0</v>
      </c>
      <c r="CB92" s="11">
        <f>ROUND(IFERROR(AV92/_xlfn.XLOOKUP(CB$7,'Product Tgt'!$B:$B,'Product Tgt'!$D:$D),0),0)</f>
        <v>0</v>
      </c>
      <c r="CC92" s="11">
        <f>ROUND(IFERROR(AW92/_xlfn.XLOOKUP(CC$7,'Product Tgt'!$B:$B,'Product Tgt'!$D:$D),0),0)</f>
        <v>0</v>
      </c>
      <c r="CD92" s="11">
        <f>ROUND(IFERROR(AX92/_xlfn.XLOOKUP(CD$7,'Product Tgt'!$B:$B,'Product Tgt'!$D:$D),0),0)</f>
        <v>0</v>
      </c>
      <c r="CE92" s="11">
        <f>ROUND(IFERROR(AY92/_xlfn.XLOOKUP(CE$7,'Product Tgt'!$B:$B,'Product Tgt'!$D:$D),0),0)</f>
        <v>0</v>
      </c>
      <c r="CF92" s="11">
        <f>ROUND(IFERROR(AZ92/_xlfn.XLOOKUP(CF$7,'Product Tgt'!$B:$B,'Product Tgt'!$D:$D),0),0)</f>
        <v>0</v>
      </c>
      <c r="CG92" s="11">
        <f>ROUND(IFERROR(BA92/_xlfn.XLOOKUP(CG$7,'Product Tgt'!$B:$B,'Product Tgt'!$D:$D),0),0)</f>
        <v>0</v>
      </c>
      <c r="CH92" s="11">
        <f>ROUND(IFERROR(BB92/_xlfn.XLOOKUP(CH$7,'Product Tgt'!$B:$B,'Product Tgt'!$D:$D),0),0)</f>
        <v>0</v>
      </c>
      <c r="CI92" s="11">
        <f>ROUND(IFERROR(BC92/_xlfn.XLOOKUP(CI$7,'Product Tgt'!$B:$B,'Product Tgt'!$D:$D),0),0)</f>
        <v>0</v>
      </c>
      <c r="CJ92" s="11">
        <f>ROUND(IFERROR(BD92/_xlfn.XLOOKUP(CJ$7,'Product Tgt'!$B:$B,'Product Tgt'!$D:$D),0),0)</f>
        <v>0</v>
      </c>
      <c r="CK92" s="11">
        <f>ROUND(IFERROR(BE92/_xlfn.XLOOKUP(CK$7,'Product Tgt'!$B:$B,'Product Tgt'!$D:$D),0),0)</f>
        <v>0</v>
      </c>
      <c r="CL92" s="11">
        <f>ROUND(IFERROR(BF92/_xlfn.XLOOKUP(CL$7,'Product Tgt'!$B:$B,'Product Tgt'!$D:$D),0),0)</f>
        <v>0</v>
      </c>
      <c r="CM92" s="11">
        <f>ROUND(IFERROR(BG92/_xlfn.XLOOKUP(CM$7,'Product Tgt'!$B:$B,'Product Tgt'!$D:$D),0),0)</f>
        <v>0</v>
      </c>
      <c r="CN92" s="11">
        <f>ROUND(IFERROR(BH92/_xlfn.XLOOKUP(CN$7,'Product Tgt'!$B:$B,'Product Tgt'!$D:$D),0),0)</f>
        <v>0</v>
      </c>
      <c r="CO92" s="11">
        <f>ROUND(IFERROR(BI92/_xlfn.XLOOKUP(CO$7,'Product Tgt'!$B:$B,'Product Tgt'!$D:$D),0),0)</f>
        <v>0</v>
      </c>
      <c r="CP92" s="11">
        <f>ROUND(IFERROR(BJ92/_xlfn.XLOOKUP(CP$7,'Product Tgt'!$B:$B,'Product Tgt'!$D:$D),0),0)</f>
        <v>0</v>
      </c>
      <c r="CQ92" s="11">
        <f>ROUND(IFERROR(BK92/_xlfn.XLOOKUP(CQ$7,'Product Tgt'!$B:$B,'Product Tgt'!$D:$D),0),0)</f>
        <v>0</v>
      </c>
      <c r="CR92" s="11">
        <f>ROUND(IFERROR(BL92/_xlfn.XLOOKUP(CR$7,'Product Tgt'!$B:$B,'Product Tgt'!$D:$D),0),0)</f>
        <v>0</v>
      </c>
      <c r="CS92" s="11">
        <f>ROUND(IFERROR(BM92/_xlfn.XLOOKUP(CS$7,'Product Tgt'!$B:$B,'Product Tgt'!$D:$D),0),0)</f>
        <v>0</v>
      </c>
      <c r="CT92" s="11">
        <f>ROUND(IFERROR(BN92/_xlfn.XLOOKUP(CT$7,'Product Tgt'!$B:$B,'Product Tgt'!$D:$D),0),0)</f>
        <v>0</v>
      </c>
      <c r="CU92" s="11">
        <f>ROUND(IFERROR(BO92/_xlfn.XLOOKUP(CU$7,'Product Tgt'!$B:$B,'Product Tgt'!$D:$D),0),0)</f>
        <v>0</v>
      </c>
      <c r="CV92" s="11">
        <f>ROUND(IFERROR(BP92/_xlfn.XLOOKUP(CV$7,'Product Tgt'!$B:$B,'Product Tgt'!$D:$D),0),0)</f>
        <v>0</v>
      </c>
      <c r="CW92" s="11">
        <f>ROUND(IFERROR(BQ92/_xlfn.XLOOKUP(CW$7,'Product Tgt'!$B:$B,'Product Tgt'!$D:$D),0),0)</f>
        <v>0</v>
      </c>
      <c r="CX92" s="11">
        <f>ROUND(IFERROR(#REF!/_xlfn.XLOOKUP(CX$7,'Product Tgt'!$B:$B,'Product Tgt'!$D:$D),0),0)</f>
        <v>0</v>
      </c>
      <c r="CY92" s="11">
        <f>ROUND(IFERROR(#REF!/_xlfn.XLOOKUP(CY$7,'Product Tgt'!$B:$B,'Product Tgt'!$D:$D),0),0)</f>
        <v>0</v>
      </c>
      <c r="CZ92" s="11">
        <f>ROUND(IFERROR(#REF!/_xlfn.XLOOKUP(CZ$7,'Product Tgt'!$B:$B,'Product Tgt'!$D:$D),0),0)</f>
        <v>0</v>
      </c>
      <c r="DA92" s="10">
        <f>IFERROR(BR92*_xlfn.XLOOKUP(DA$7,'Product Tgt'!$B:$B,'Product Tgt'!$D:$D),0)</f>
        <v>0</v>
      </c>
      <c r="DB92">
        <f>IFERROR(BS92*_xlfn.XLOOKUP(DB$7,'Product Tgt'!$B:$B,'Product Tgt'!$D:$D),0)</f>
        <v>0</v>
      </c>
      <c r="DC92">
        <f>IFERROR(BT92*_xlfn.XLOOKUP(DC$7,'Product Tgt'!$B:$B,'Product Tgt'!$D:$D),0)</f>
        <v>0</v>
      </c>
      <c r="DD92">
        <f>IFERROR(BU92*_xlfn.XLOOKUP(DD$7,'Product Tgt'!$B:$B,'Product Tgt'!$D:$D),0)</f>
        <v>0</v>
      </c>
      <c r="DE92">
        <f>IFERROR(BV92*_xlfn.XLOOKUP(DE$7,'Product Tgt'!$B:$B,'Product Tgt'!$D:$D),0)</f>
        <v>0</v>
      </c>
      <c r="DF92">
        <f>IFERROR(BW92*_xlfn.XLOOKUP(DF$7,'Product Tgt'!$B:$B,'Product Tgt'!$D:$D),0)</f>
        <v>0</v>
      </c>
      <c r="DG92">
        <f>IFERROR(BX92*_xlfn.XLOOKUP(DG$7,'Product Tgt'!$B:$B,'Product Tgt'!$D:$D),0)</f>
        <v>0</v>
      </c>
      <c r="DH92">
        <f>IFERROR(BY92*_xlfn.XLOOKUP(DH$7,'Product Tgt'!$B:$B,'Product Tgt'!$D:$D),0)</f>
        <v>0</v>
      </c>
      <c r="DI92">
        <f>IFERROR(BZ92*_xlfn.XLOOKUP(DI$7,'Product Tgt'!$B:$B,'Product Tgt'!$D:$D),0)</f>
        <v>0</v>
      </c>
      <c r="DJ92">
        <f>IFERROR(CA92*_xlfn.XLOOKUP(DJ$7,'Product Tgt'!$B:$B,'Product Tgt'!$D:$D),0)</f>
        <v>0</v>
      </c>
      <c r="DK92">
        <f>IFERROR(CB92*_xlfn.XLOOKUP(DK$7,'Product Tgt'!$B:$B,'Product Tgt'!$D:$D),0)</f>
        <v>0</v>
      </c>
      <c r="DL92">
        <f>IFERROR(CC92*_xlfn.XLOOKUP(DL$7,'Product Tgt'!$B:$B,'Product Tgt'!$D:$D),0)</f>
        <v>0</v>
      </c>
      <c r="DM92">
        <f>IFERROR(CD92*_xlfn.XLOOKUP(DM$7,'Product Tgt'!$B:$B,'Product Tgt'!$D:$D),0)</f>
        <v>0</v>
      </c>
      <c r="DN92">
        <f>IFERROR(CE92*_xlfn.XLOOKUP(DN$7,'Product Tgt'!$B:$B,'Product Tgt'!$D:$D),0)</f>
        <v>0</v>
      </c>
      <c r="DO92">
        <f>IFERROR(CF92*_xlfn.XLOOKUP(DO$7,'Product Tgt'!$B:$B,'Product Tgt'!$D:$D),0)</f>
        <v>0</v>
      </c>
      <c r="DP92">
        <f>IFERROR(CG92*_xlfn.XLOOKUP(DP$7,'Product Tgt'!$B:$B,'Product Tgt'!$D:$D),0)</f>
        <v>0</v>
      </c>
      <c r="DQ92">
        <f>IFERROR(CH92*_xlfn.XLOOKUP(DQ$7,'Product Tgt'!$B:$B,'Product Tgt'!$D:$D),0)</f>
        <v>0</v>
      </c>
      <c r="DR92">
        <f>IFERROR(CI92*_xlfn.XLOOKUP(DR$7,'Product Tgt'!$B:$B,'Product Tgt'!$D:$D),0)</f>
        <v>0</v>
      </c>
      <c r="DS92">
        <f>IFERROR(CJ92*_xlfn.XLOOKUP(DS$7,'Product Tgt'!$B:$B,'Product Tgt'!$D:$D),0)</f>
        <v>0</v>
      </c>
      <c r="DT92">
        <f>IFERROR(CK92*_xlfn.XLOOKUP(DT$7,'Product Tgt'!$B:$B,'Product Tgt'!$D:$D),0)</f>
        <v>0</v>
      </c>
      <c r="DU92">
        <f>IFERROR(CL92*_xlfn.XLOOKUP(DU$7,'Product Tgt'!$B:$B,'Product Tgt'!$D:$D),0)</f>
        <v>0</v>
      </c>
      <c r="DV92">
        <f>IFERROR(CM92*_xlfn.XLOOKUP(DV$7,'Product Tgt'!$B:$B,'Product Tgt'!$D:$D),0)</f>
        <v>0</v>
      </c>
      <c r="DW92">
        <f>IFERROR(CN92*_xlfn.XLOOKUP(DW$7,'Product Tgt'!$B:$B,'Product Tgt'!$D:$D),0)</f>
        <v>0</v>
      </c>
      <c r="DX92">
        <f>IFERROR(CO92*_xlfn.XLOOKUP(DX$7,'Product Tgt'!$B:$B,'Product Tgt'!$D:$D),0)</f>
        <v>0</v>
      </c>
      <c r="DY92">
        <f>IFERROR(CP92*_xlfn.XLOOKUP(DY$7,'Product Tgt'!$B:$B,'Product Tgt'!$D:$D),0)</f>
        <v>0</v>
      </c>
      <c r="DZ92">
        <f>IFERROR(CQ92*_xlfn.XLOOKUP(DZ$7,'Product Tgt'!$B:$B,'Product Tgt'!$D:$D),0)</f>
        <v>0</v>
      </c>
      <c r="EA92">
        <f>IFERROR(CR92*_xlfn.XLOOKUP(EA$7,'Product Tgt'!$B:$B,'Product Tgt'!$D:$D),0)</f>
        <v>0</v>
      </c>
      <c r="EB92">
        <f>IFERROR(CS92*_xlfn.XLOOKUP(EB$7,'Product Tgt'!$B:$B,'Product Tgt'!$D:$D),0)</f>
        <v>0</v>
      </c>
      <c r="EC92">
        <f>IFERROR(CT92*_xlfn.XLOOKUP(EC$7,'Product Tgt'!$B:$B,'Product Tgt'!$D:$D),0)</f>
        <v>0</v>
      </c>
      <c r="ED92">
        <f>IFERROR(CU92*_xlfn.XLOOKUP(ED$7,'Product Tgt'!$B:$B,'Product Tgt'!$D:$D),0)</f>
        <v>0</v>
      </c>
      <c r="EE92">
        <f>IFERROR(CV92*_xlfn.XLOOKUP(EE$7,'Product Tgt'!$B:$B,'Product Tgt'!$D:$D),0)</f>
        <v>0</v>
      </c>
      <c r="EF92">
        <f>IFERROR(CW92*_xlfn.XLOOKUP(EF$7,'Product Tgt'!$B:$B,'Product Tgt'!$D:$D),0)</f>
        <v>0</v>
      </c>
      <c r="EG92">
        <f>IFERROR(CX92*_xlfn.XLOOKUP(EG$7,'Product Tgt'!$B:$B,'Product Tgt'!$D:$D),0)</f>
        <v>0</v>
      </c>
      <c r="EH92">
        <f>IFERROR(CY92*_xlfn.XLOOKUP(EH$7,'Product Tgt'!$B:$B,'Product Tgt'!$D:$D),0)</f>
        <v>0</v>
      </c>
      <c r="EI92">
        <f>IFERROR(CZ92*_xlfn.XLOOKUP(EI$7,'Product Tgt'!$B:$B,'Product Tgt'!$D:$D),0)</f>
        <v>0</v>
      </c>
    </row>
    <row r="93" spans="2:139" x14ac:dyDescent="0.35">
      <c r="B93" s="7" t="s">
        <v>157</v>
      </c>
      <c r="C93" s="3">
        <f>_xlfn.XLOOKUP($B93,'Terr Target'!$A:$A,'Terr Target'!$E:$E)</f>
        <v>729110.20365491428</v>
      </c>
      <c r="D93" s="3">
        <f t="shared" si="10"/>
        <v>729112</v>
      </c>
      <c r="E93" s="4">
        <f t="shared" si="11"/>
        <v>1.7963450857205316</v>
      </c>
      <c r="F93" s="9">
        <f t="shared" si="7"/>
        <v>2.4637436850861481E-6</v>
      </c>
      <c r="G93" s="5">
        <f t="shared" si="12"/>
        <v>0.99999753625631493</v>
      </c>
      <c r="H93" s="38">
        <v>76517.690042038099</v>
      </c>
      <c r="I93" s="11">
        <v>154471.70481754909</v>
      </c>
      <c r="J93" s="11">
        <v>75474.292137365774</v>
      </c>
      <c r="K93" s="11">
        <v>106085.04096255594</v>
      </c>
      <c r="L93" s="11">
        <v>59452.968792117179</v>
      </c>
      <c r="M93" s="11">
        <v>42813.346262341736</v>
      </c>
      <c r="N93" s="11">
        <v>583.93872914488077</v>
      </c>
      <c r="O93" s="11">
        <v>3664.8400122360667</v>
      </c>
      <c r="P93" s="11">
        <v>2517.8633405003084</v>
      </c>
      <c r="Q93" s="11">
        <v>1978.7205379868758</v>
      </c>
      <c r="R93" s="11">
        <v>15543.261375406062</v>
      </c>
      <c r="S93" s="11">
        <v>35162.414881283032</v>
      </c>
      <c r="T93" s="11">
        <v>989.81787783755226</v>
      </c>
      <c r="U93" s="11">
        <v>8209.0848466395892</v>
      </c>
      <c r="V93" s="11">
        <v>21236.064616463045</v>
      </c>
      <c r="W93" s="11">
        <v>32862.263922379272</v>
      </c>
      <c r="X93" s="11">
        <v>4178.1876031671445</v>
      </c>
      <c r="Y93" s="11">
        <v>4931.2426442673041</v>
      </c>
      <c r="Z93" s="11">
        <v>452.6746270125326</v>
      </c>
      <c r="AA93" s="11">
        <v>9130.3210859700994</v>
      </c>
      <c r="AB93" s="11">
        <v>3709.6757309409168</v>
      </c>
      <c r="AC93" s="11">
        <v>1776.73597340217</v>
      </c>
      <c r="AD93" s="11">
        <v>10184.72149893787</v>
      </c>
      <c r="AE93" s="11">
        <v>14285.364299064342</v>
      </c>
      <c r="AF93" s="11">
        <v>1489.198451004793</v>
      </c>
      <c r="AG93" s="11">
        <v>28083.176218779961</v>
      </c>
      <c r="AH93" s="11">
        <v>2272.1174431925856</v>
      </c>
      <c r="AI93" s="11">
        <v>22915.369698142273</v>
      </c>
      <c r="AJ93" s="11">
        <v>15874.013089517188</v>
      </c>
      <c r="AK93" s="11">
        <v>1252.5848345426559</v>
      </c>
      <c r="AL93" s="49">
        <v>2306.686806959915</v>
      </c>
      <c r="AM93" s="41">
        <f>IFERROR(ROUND(_xlfn.XLOOKUP(AM$7,'Product Tgt'!$B:$B,'Product Tgt'!$G:$G)*H93/H$121,0),0)</f>
        <v>74388</v>
      </c>
      <c r="AN93" s="41">
        <f>IFERROR(ROUND(_xlfn.XLOOKUP(AN$7,'Product Tgt'!$B:$B,'Product Tgt'!$G:$G)*I93/I$121,0),0)</f>
        <v>152062</v>
      </c>
      <c r="AO93" s="41">
        <f>IFERROR(ROUND(_xlfn.XLOOKUP(AO$7,'Product Tgt'!$B:$B,'Product Tgt'!$G:$G)*J93/J$121,0),0)</f>
        <v>73127</v>
      </c>
      <c r="AP93" s="41">
        <f>IFERROR(ROUND(_xlfn.XLOOKUP(AP$7,'Product Tgt'!$B:$B,'Product Tgt'!$G:$G)*K93/K$121,0),0)</f>
        <v>103488</v>
      </c>
      <c r="AQ93" s="41">
        <f>IFERROR(ROUND(_xlfn.XLOOKUP(AQ$7,'Product Tgt'!$B:$B,'Product Tgt'!$G:$G)*L93/L$121,0),0)</f>
        <v>57487</v>
      </c>
      <c r="AR93" s="41">
        <f>IFERROR(ROUND(_xlfn.XLOOKUP(AR$7,'Product Tgt'!$B:$B,'Product Tgt'!$G:$G)*M93/M$121,0),0)</f>
        <v>41477</v>
      </c>
      <c r="AS93" s="41">
        <f>IFERROR(ROUND(_xlfn.XLOOKUP(AS$7,'Product Tgt'!$B:$B,'Product Tgt'!$G:$G)*N93/N$121,0),0)</f>
        <v>540</v>
      </c>
      <c r="AT93" s="41">
        <f>IFERROR(ROUND(_xlfn.XLOOKUP(AT$7,'Product Tgt'!$B:$B,'Product Tgt'!$G:$G)*O93/O$121,0),0)</f>
        <v>3299</v>
      </c>
      <c r="AU93" s="41">
        <f>IFERROR(ROUND(_xlfn.XLOOKUP(AU$7,'Product Tgt'!$B:$B,'Product Tgt'!$G:$G)*P93/P$121,0),0)</f>
        <v>1074</v>
      </c>
      <c r="AV93" s="41">
        <f>IFERROR(ROUND(_xlfn.XLOOKUP(AV$7,'Product Tgt'!$B:$B,'Product Tgt'!$G:$G)*Q93/Q$121,0),0)</f>
        <v>1485</v>
      </c>
      <c r="AW93" s="41">
        <f>IFERROR(ROUND(_xlfn.XLOOKUP(AW$7,'Product Tgt'!$B:$B,'Product Tgt'!$G:$G)*R93/R$121,0),0)</f>
        <v>14969</v>
      </c>
      <c r="AX93" s="41">
        <f>IFERROR(ROUND(_xlfn.XLOOKUP(AX$7,'Product Tgt'!$B:$B,'Product Tgt'!$G:$G)*S93/S$121,0),0)</f>
        <v>33866</v>
      </c>
      <c r="AY93" s="41">
        <f>IFERROR(ROUND(_xlfn.XLOOKUP(AY$7,'Product Tgt'!$B:$B,'Product Tgt'!$G:$G)*T93/T$121,0),0)</f>
        <v>993</v>
      </c>
      <c r="AZ93" s="41">
        <f>IFERROR(ROUND(_xlfn.XLOOKUP(AZ$7,'Product Tgt'!$B:$B,'Product Tgt'!$G:$G)*U93/U$121,0),0)</f>
        <v>7856</v>
      </c>
      <c r="BA93" s="41">
        <f>IFERROR(ROUND(_xlfn.XLOOKUP(BA$7,'Product Tgt'!$B:$B,'Product Tgt'!$G:$G)*V93/V$121,0),0)</f>
        <v>20446</v>
      </c>
      <c r="BB93" s="41">
        <f>IFERROR(ROUND(_xlfn.XLOOKUP(BB$7,'Product Tgt'!$B:$B,'Product Tgt'!$G:$G)*W93/W$121,0),0)</f>
        <v>31457</v>
      </c>
      <c r="BC93" s="41">
        <f>IFERROR(ROUND(_xlfn.XLOOKUP(BC$7,'Product Tgt'!$B:$B,'Product Tgt'!$G:$G)*X93/X$121,0),0)</f>
        <v>4043</v>
      </c>
      <c r="BD93" s="41">
        <f>IFERROR(ROUND(_xlfn.XLOOKUP(BD$7,'Product Tgt'!$B:$B,'Product Tgt'!$G:$G)*Y93/Y$121,0),0)</f>
        <v>4768</v>
      </c>
      <c r="BE93" s="41">
        <f>IFERROR(ROUND(_xlfn.XLOOKUP(BE$7,'Product Tgt'!$B:$B,'Product Tgt'!$G:$G)*Z93/Z$121,0),0)</f>
        <v>430</v>
      </c>
      <c r="BF93" s="41">
        <f>IFERROR(ROUND(_xlfn.XLOOKUP(BF$7,'Product Tgt'!$B:$B,'Product Tgt'!$G:$G)*AA93/AA$121,0),0)</f>
        <v>7399</v>
      </c>
      <c r="BG93" s="41">
        <f>IFERROR(ROUND(_xlfn.XLOOKUP(BG$7,'Product Tgt'!$B:$B,'Product Tgt'!$G:$G)*AB93/AB$121,0),0)</f>
        <v>2973</v>
      </c>
      <c r="BH93" s="41">
        <f>IFERROR(ROUND(_xlfn.XLOOKUP(BH$7,'Product Tgt'!$B:$B,'Product Tgt'!$G:$G)*AC93/AC$121,0),0)</f>
        <v>1521</v>
      </c>
      <c r="BI93" s="41">
        <f>IFERROR(ROUND(_xlfn.XLOOKUP(BI$7,'Product Tgt'!$B:$B,'Product Tgt'!$G:$G)*AD93/AD$121,0),0)</f>
        <v>8866</v>
      </c>
      <c r="BJ93" s="41">
        <f>IFERROR(ROUND(_xlfn.XLOOKUP(BJ$7,'Product Tgt'!$B:$B,'Product Tgt'!$G:$G)*AE93/AE$121,0),0)</f>
        <v>13296</v>
      </c>
      <c r="BK93" s="41">
        <f>IFERROR(ROUND(_xlfn.XLOOKUP(BK$7,'Product Tgt'!$B:$B,'Product Tgt'!$G:$G)*AF93/AF$121,0),0)</f>
        <v>1664</v>
      </c>
      <c r="BL93" s="41">
        <f>IFERROR(ROUND(_xlfn.XLOOKUP(BL$7,'Product Tgt'!$B:$B,'Product Tgt'!$G:$G)*AG93/AG$121,0),0)</f>
        <v>26825</v>
      </c>
      <c r="BM93" s="41">
        <f>IFERROR(ROUND(_xlfn.XLOOKUP(BM$7,'Product Tgt'!$B:$B,'Product Tgt'!$G:$G)*AH93/AH$121,0),0)</f>
        <v>1781</v>
      </c>
      <c r="BN93" s="41">
        <f>IFERROR(ROUND(_xlfn.XLOOKUP(BN$7,'Product Tgt'!$B:$B,'Product Tgt'!$G:$G)*AI93/AI$121,0),0)</f>
        <v>21045</v>
      </c>
      <c r="BO93" s="41">
        <f>IFERROR(ROUND(_xlfn.XLOOKUP(BO$7,'Product Tgt'!$B:$B,'Product Tgt'!$G:$G)*AJ93/AJ$121,0),0)</f>
        <v>13730</v>
      </c>
      <c r="BP93" s="41">
        <f>IFERROR(ROUND(_xlfn.XLOOKUP(BP$7,'Product Tgt'!$B:$B,'Product Tgt'!$G:$G)*AK93/AK$121,0),0)</f>
        <v>954</v>
      </c>
      <c r="BQ93" s="41">
        <f>IFERROR(ROUND(_xlfn.XLOOKUP(BQ$7,'Product Tgt'!$B:$B,'Product Tgt'!$G:$G)*AL93/AL$121,0),0)</f>
        <v>1803</v>
      </c>
      <c r="BR93" s="25">
        <f>ROUND(IFERROR(AM93/_xlfn.XLOOKUP(BR$7,'Product Tgt'!$B:$B,'Product Tgt'!$D:$D),0),0)</f>
        <v>0</v>
      </c>
      <c r="BS93" s="11">
        <f>ROUND(IFERROR(AN93/_xlfn.XLOOKUP(BS$7,'Product Tgt'!$B:$B,'Product Tgt'!$D:$D),0),0)</f>
        <v>0</v>
      </c>
      <c r="BT93" s="11">
        <f>ROUND(IFERROR(AO93/_xlfn.XLOOKUP(BT$7,'Product Tgt'!$B:$B,'Product Tgt'!$D:$D),0),0)</f>
        <v>0</v>
      </c>
      <c r="BU93" s="11">
        <f>ROUND(IFERROR(AP93/_xlfn.XLOOKUP(BU$7,'Product Tgt'!$B:$B,'Product Tgt'!$D:$D),0),0)</f>
        <v>0</v>
      </c>
      <c r="BV93" s="11">
        <f>ROUND(IFERROR(AQ93/_xlfn.XLOOKUP(BV$7,'Product Tgt'!$B:$B,'Product Tgt'!$D:$D),0),0)</f>
        <v>0</v>
      </c>
      <c r="BW93" s="11">
        <f>ROUND(IFERROR(AU93/_xlfn.XLOOKUP(BW$7,'Product Tgt'!$B:$B,'Product Tgt'!$D:$D),0),0)</f>
        <v>0</v>
      </c>
      <c r="BX93" s="11">
        <f>ROUND(IFERROR(#REF!/_xlfn.XLOOKUP(BX$7,'Product Tgt'!$B:$B,'Product Tgt'!$D:$D),0),0)</f>
        <v>0</v>
      </c>
      <c r="BY93" s="11">
        <f>ROUND(IFERROR(#REF!/_xlfn.XLOOKUP(BY$7,'Product Tgt'!$B:$B,'Product Tgt'!$D:$D),0),0)</f>
        <v>0</v>
      </c>
      <c r="BZ93" s="11">
        <f>ROUND(IFERROR(#REF!/_xlfn.XLOOKUP(BZ$7,'Product Tgt'!$B:$B,'Product Tgt'!$D:$D),0),0)</f>
        <v>0</v>
      </c>
      <c r="CA93" s="11">
        <f>ROUND(IFERROR(#REF!/_xlfn.XLOOKUP(CA$7,'Product Tgt'!$B:$B,'Product Tgt'!$D:$D),0),0)</f>
        <v>0</v>
      </c>
      <c r="CB93" s="11">
        <f>ROUND(IFERROR(AV93/_xlfn.XLOOKUP(CB$7,'Product Tgt'!$B:$B,'Product Tgt'!$D:$D),0),0)</f>
        <v>0</v>
      </c>
      <c r="CC93" s="11">
        <f>ROUND(IFERROR(AW93/_xlfn.XLOOKUP(CC$7,'Product Tgt'!$B:$B,'Product Tgt'!$D:$D),0),0)</f>
        <v>0</v>
      </c>
      <c r="CD93" s="11">
        <f>ROUND(IFERROR(AX93/_xlfn.XLOOKUP(CD$7,'Product Tgt'!$B:$B,'Product Tgt'!$D:$D),0),0)</f>
        <v>0</v>
      </c>
      <c r="CE93" s="11">
        <f>ROUND(IFERROR(AY93/_xlfn.XLOOKUP(CE$7,'Product Tgt'!$B:$B,'Product Tgt'!$D:$D),0),0)</f>
        <v>0</v>
      </c>
      <c r="CF93" s="11">
        <f>ROUND(IFERROR(AZ93/_xlfn.XLOOKUP(CF$7,'Product Tgt'!$B:$B,'Product Tgt'!$D:$D),0),0)</f>
        <v>0</v>
      </c>
      <c r="CG93" s="11">
        <f>ROUND(IFERROR(BA93/_xlfn.XLOOKUP(CG$7,'Product Tgt'!$B:$B,'Product Tgt'!$D:$D),0),0)</f>
        <v>0</v>
      </c>
      <c r="CH93" s="11">
        <f>ROUND(IFERROR(BB93/_xlfn.XLOOKUP(CH$7,'Product Tgt'!$B:$B,'Product Tgt'!$D:$D),0),0)</f>
        <v>0</v>
      </c>
      <c r="CI93" s="11">
        <f>ROUND(IFERROR(BC93/_xlfn.XLOOKUP(CI$7,'Product Tgt'!$B:$B,'Product Tgt'!$D:$D),0),0)</f>
        <v>0</v>
      </c>
      <c r="CJ93" s="11">
        <f>ROUND(IFERROR(BD93/_xlfn.XLOOKUP(CJ$7,'Product Tgt'!$B:$B,'Product Tgt'!$D:$D),0),0)</f>
        <v>0</v>
      </c>
      <c r="CK93" s="11">
        <f>ROUND(IFERROR(BE93/_xlfn.XLOOKUP(CK$7,'Product Tgt'!$B:$B,'Product Tgt'!$D:$D),0),0)</f>
        <v>0</v>
      </c>
      <c r="CL93" s="11">
        <f>ROUND(IFERROR(BF93/_xlfn.XLOOKUP(CL$7,'Product Tgt'!$B:$B,'Product Tgt'!$D:$D),0),0)</f>
        <v>0</v>
      </c>
      <c r="CM93" s="11">
        <f>ROUND(IFERROR(BG93/_xlfn.XLOOKUP(CM$7,'Product Tgt'!$B:$B,'Product Tgt'!$D:$D),0),0)</f>
        <v>0</v>
      </c>
      <c r="CN93" s="11">
        <f>ROUND(IFERROR(BH93/_xlfn.XLOOKUP(CN$7,'Product Tgt'!$B:$B,'Product Tgt'!$D:$D),0),0)</f>
        <v>0</v>
      </c>
      <c r="CO93" s="11">
        <f>ROUND(IFERROR(BI93/_xlfn.XLOOKUP(CO$7,'Product Tgt'!$B:$B,'Product Tgt'!$D:$D),0),0)</f>
        <v>0</v>
      </c>
      <c r="CP93" s="11">
        <f>ROUND(IFERROR(BJ93/_xlfn.XLOOKUP(CP$7,'Product Tgt'!$B:$B,'Product Tgt'!$D:$D),0),0)</f>
        <v>0</v>
      </c>
      <c r="CQ93" s="11">
        <f>ROUND(IFERROR(BK93/_xlfn.XLOOKUP(CQ$7,'Product Tgt'!$B:$B,'Product Tgt'!$D:$D),0),0)</f>
        <v>0</v>
      </c>
      <c r="CR93" s="11">
        <f>ROUND(IFERROR(BL93/_xlfn.XLOOKUP(CR$7,'Product Tgt'!$B:$B,'Product Tgt'!$D:$D),0),0)</f>
        <v>0</v>
      </c>
      <c r="CS93" s="11">
        <f>ROUND(IFERROR(BM93/_xlfn.XLOOKUP(CS$7,'Product Tgt'!$B:$B,'Product Tgt'!$D:$D),0),0)</f>
        <v>0</v>
      </c>
      <c r="CT93" s="11">
        <f>ROUND(IFERROR(BN93/_xlfn.XLOOKUP(CT$7,'Product Tgt'!$B:$B,'Product Tgt'!$D:$D),0),0)</f>
        <v>0</v>
      </c>
      <c r="CU93" s="11">
        <f>ROUND(IFERROR(BO93/_xlfn.XLOOKUP(CU$7,'Product Tgt'!$B:$B,'Product Tgt'!$D:$D),0),0)</f>
        <v>0</v>
      </c>
      <c r="CV93" s="11">
        <f>ROUND(IFERROR(BP93/_xlfn.XLOOKUP(CV$7,'Product Tgt'!$B:$B,'Product Tgt'!$D:$D),0),0)</f>
        <v>0</v>
      </c>
      <c r="CW93" s="11">
        <f>ROUND(IFERROR(BQ93/_xlfn.XLOOKUP(CW$7,'Product Tgt'!$B:$B,'Product Tgt'!$D:$D),0),0)</f>
        <v>0</v>
      </c>
      <c r="CX93" s="11">
        <f>ROUND(IFERROR(#REF!/_xlfn.XLOOKUP(CX$7,'Product Tgt'!$B:$B,'Product Tgt'!$D:$D),0),0)</f>
        <v>0</v>
      </c>
      <c r="CY93" s="11">
        <f>ROUND(IFERROR(#REF!/_xlfn.XLOOKUP(CY$7,'Product Tgt'!$B:$B,'Product Tgt'!$D:$D),0),0)</f>
        <v>0</v>
      </c>
      <c r="CZ93" s="11">
        <f>ROUND(IFERROR(#REF!/_xlfn.XLOOKUP(CZ$7,'Product Tgt'!$B:$B,'Product Tgt'!$D:$D),0),0)</f>
        <v>0</v>
      </c>
      <c r="DA93" s="10">
        <f>IFERROR(BR93*_xlfn.XLOOKUP(DA$7,'Product Tgt'!$B:$B,'Product Tgt'!$D:$D),0)</f>
        <v>0</v>
      </c>
      <c r="DB93">
        <f>IFERROR(BS93*_xlfn.XLOOKUP(DB$7,'Product Tgt'!$B:$B,'Product Tgt'!$D:$D),0)</f>
        <v>0</v>
      </c>
      <c r="DC93">
        <f>IFERROR(BT93*_xlfn.XLOOKUP(DC$7,'Product Tgt'!$B:$B,'Product Tgt'!$D:$D),0)</f>
        <v>0</v>
      </c>
      <c r="DD93">
        <f>IFERROR(BU93*_xlfn.XLOOKUP(DD$7,'Product Tgt'!$B:$B,'Product Tgt'!$D:$D),0)</f>
        <v>0</v>
      </c>
      <c r="DE93">
        <f>IFERROR(BV93*_xlfn.XLOOKUP(DE$7,'Product Tgt'!$B:$B,'Product Tgt'!$D:$D),0)</f>
        <v>0</v>
      </c>
      <c r="DF93">
        <f>IFERROR(BW93*_xlfn.XLOOKUP(DF$7,'Product Tgt'!$B:$B,'Product Tgt'!$D:$D),0)</f>
        <v>0</v>
      </c>
      <c r="DG93">
        <f>IFERROR(BX93*_xlfn.XLOOKUP(DG$7,'Product Tgt'!$B:$B,'Product Tgt'!$D:$D),0)</f>
        <v>0</v>
      </c>
      <c r="DH93">
        <f>IFERROR(BY93*_xlfn.XLOOKUP(DH$7,'Product Tgt'!$B:$B,'Product Tgt'!$D:$D),0)</f>
        <v>0</v>
      </c>
      <c r="DI93">
        <f>IFERROR(BZ93*_xlfn.XLOOKUP(DI$7,'Product Tgt'!$B:$B,'Product Tgt'!$D:$D),0)</f>
        <v>0</v>
      </c>
      <c r="DJ93">
        <f>IFERROR(CA93*_xlfn.XLOOKUP(DJ$7,'Product Tgt'!$B:$B,'Product Tgt'!$D:$D),0)</f>
        <v>0</v>
      </c>
      <c r="DK93">
        <f>IFERROR(CB93*_xlfn.XLOOKUP(DK$7,'Product Tgt'!$B:$B,'Product Tgt'!$D:$D),0)</f>
        <v>0</v>
      </c>
      <c r="DL93">
        <f>IFERROR(CC93*_xlfn.XLOOKUP(DL$7,'Product Tgt'!$B:$B,'Product Tgt'!$D:$D),0)</f>
        <v>0</v>
      </c>
      <c r="DM93">
        <f>IFERROR(CD93*_xlfn.XLOOKUP(DM$7,'Product Tgt'!$B:$B,'Product Tgt'!$D:$D),0)</f>
        <v>0</v>
      </c>
      <c r="DN93">
        <f>IFERROR(CE93*_xlfn.XLOOKUP(DN$7,'Product Tgt'!$B:$B,'Product Tgt'!$D:$D),0)</f>
        <v>0</v>
      </c>
      <c r="DO93">
        <f>IFERROR(CF93*_xlfn.XLOOKUP(DO$7,'Product Tgt'!$B:$B,'Product Tgt'!$D:$D),0)</f>
        <v>0</v>
      </c>
      <c r="DP93">
        <f>IFERROR(CG93*_xlfn.XLOOKUP(DP$7,'Product Tgt'!$B:$B,'Product Tgt'!$D:$D),0)</f>
        <v>0</v>
      </c>
      <c r="DQ93">
        <f>IFERROR(CH93*_xlfn.XLOOKUP(DQ$7,'Product Tgt'!$B:$B,'Product Tgt'!$D:$D),0)</f>
        <v>0</v>
      </c>
      <c r="DR93">
        <f>IFERROR(CI93*_xlfn.XLOOKUP(DR$7,'Product Tgt'!$B:$B,'Product Tgt'!$D:$D),0)</f>
        <v>0</v>
      </c>
      <c r="DS93">
        <f>IFERROR(CJ93*_xlfn.XLOOKUP(DS$7,'Product Tgt'!$B:$B,'Product Tgt'!$D:$D),0)</f>
        <v>0</v>
      </c>
      <c r="DT93">
        <f>IFERROR(CK93*_xlfn.XLOOKUP(DT$7,'Product Tgt'!$B:$B,'Product Tgt'!$D:$D),0)</f>
        <v>0</v>
      </c>
      <c r="DU93">
        <f>IFERROR(CL93*_xlfn.XLOOKUP(DU$7,'Product Tgt'!$B:$B,'Product Tgt'!$D:$D),0)</f>
        <v>0</v>
      </c>
      <c r="DV93">
        <f>IFERROR(CM93*_xlfn.XLOOKUP(DV$7,'Product Tgt'!$B:$B,'Product Tgt'!$D:$D),0)</f>
        <v>0</v>
      </c>
      <c r="DW93">
        <f>IFERROR(CN93*_xlfn.XLOOKUP(DW$7,'Product Tgt'!$B:$B,'Product Tgt'!$D:$D),0)</f>
        <v>0</v>
      </c>
      <c r="DX93">
        <f>IFERROR(CO93*_xlfn.XLOOKUP(DX$7,'Product Tgt'!$B:$B,'Product Tgt'!$D:$D),0)</f>
        <v>0</v>
      </c>
      <c r="DY93">
        <f>IFERROR(CP93*_xlfn.XLOOKUP(DY$7,'Product Tgt'!$B:$B,'Product Tgt'!$D:$D),0)</f>
        <v>0</v>
      </c>
      <c r="DZ93">
        <f>IFERROR(CQ93*_xlfn.XLOOKUP(DZ$7,'Product Tgt'!$B:$B,'Product Tgt'!$D:$D),0)</f>
        <v>0</v>
      </c>
      <c r="EA93">
        <f>IFERROR(CR93*_xlfn.XLOOKUP(EA$7,'Product Tgt'!$B:$B,'Product Tgt'!$D:$D),0)</f>
        <v>0</v>
      </c>
      <c r="EB93">
        <f>IFERROR(CS93*_xlfn.XLOOKUP(EB$7,'Product Tgt'!$B:$B,'Product Tgt'!$D:$D),0)</f>
        <v>0</v>
      </c>
      <c r="EC93">
        <f>IFERROR(CT93*_xlfn.XLOOKUP(EC$7,'Product Tgt'!$B:$B,'Product Tgt'!$D:$D),0)</f>
        <v>0</v>
      </c>
      <c r="ED93">
        <f>IFERROR(CU93*_xlfn.XLOOKUP(ED$7,'Product Tgt'!$B:$B,'Product Tgt'!$D:$D),0)</f>
        <v>0</v>
      </c>
      <c r="EE93">
        <f>IFERROR(CV93*_xlfn.XLOOKUP(EE$7,'Product Tgt'!$B:$B,'Product Tgt'!$D:$D),0)</f>
        <v>0</v>
      </c>
      <c r="EF93">
        <f>IFERROR(CW93*_xlfn.XLOOKUP(EF$7,'Product Tgt'!$B:$B,'Product Tgt'!$D:$D),0)</f>
        <v>0</v>
      </c>
      <c r="EG93">
        <f>IFERROR(CX93*_xlfn.XLOOKUP(EG$7,'Product Tgt'!$B:$B,'Product Tgt'!$D:$D),0)</f>
        <v>0</v>
      </c>
      <c r="EH93">
        <f>IFERROR(CY93*_xlfn.XLOOKUP(EH$7,'Product Tgt'!$B:$B,'Product Tgt'!$D:$D),0)</f>
        <v>0</v>
      </c>
      <c r="EI93">
        <f>IFERROR(CZ93*_xlfn.XLOOKUP(EI$7,'Product Tgt'!$B:$B,'Product Tgt'!$D:$D),0)</f>
        <v>0</v>
      </c>
    </row>
    <row r="94" spans="2:139" x14ac:dyDescent="0.35">
      <c r="B94" s="7" t="s">
        <v>158</v>
      </c>
      <c r="C94" s="3">
        <f>_xlfn.XLOOKUP($B94,'Terr Target'!$A:$A,'Terr Target'!$E:$E)</f>
        <v>810101.94793748739</v>
      </c>
      <c r="D94" s="3">
        <f t="shared" si="10"/>
        <v>810106</v>
      </c>
      <c r="E94" s="4">
        <f t="shared" si="11"/>
        <v>4.052062512608245</v>
      </c>
      <c r="F94" s="9">
        <f t="shared" si="7"/>
        <v>5.0018917433129064E-6</v>
      </c>
      <c r="G94" s="5">
        <f t="shared" si="12"/>
        <v>0.99999499810825665</v>
      </c>
      <c r="H94" s="38">
        <v>85490.101099706779</v>
      </c>
      <c r="I94" s="11">
        <v>165826.62518753557</v>
      </c>
      <c r="J94" s="11">
        <v>79558.584302968011</v>
      </c>
      <c r="K94" s="11">
        <v>107198.8067840968</v>
      </c>
      <c r="L94" s="11">
        <v>62060.430366012617</v>
      </c>
      <c r="M94" s="11">
        <v>49541.509620843557</v>
      </c>
      <c r="N94" s="11">
        <v>820.18532352364514</v>
      </c>
      <c r="O94" s="11">
        <v>5414.4748549201431</v>
      </c>
      <c r="P94" s="11">
        <v>2165.6145417603511</v>
      </c>
      <c r="Q94" s="11">
        <v>2418.7987620317786</v>
      </c>
      <c r="R94" s="11">
        <v>21317.852232910987</v>
      </c>
      <c r="S94" s="11">
        <v>45112.664342181801</v>
      </c>
      <c r="T94" s="11">
        <v>979.65002372294089</v>
      </c>
      <c r="U94" s="11">
        <v>10030.659514517245</v>
      </c>
      <c r="V94" s="11">
        <v>22531.990409311213</v>
      </c>
      <c r="W94" s="11">
        <v>35687.942783843384</v>
      </c>
      <c r="X94" s="11">
        <v>5490.2357855441705</v>
      </c>
      <c r="Y94" s="11">
        <v>6416.0698364481495</v>
      </c>
      <c r="Z94" s="11">
        <v>431.55427240360638</v>
      </c>
      <c r="AA94" s="11">
        <v>11554.498648569699</v>
      </c>
      <c r="AB94" s="11">
        <v>4260.5208747891229</v>
      </c>
      <c r="AC94" s="11">
        <v>1997.2004445996799</v>
      </c>
      <c r="AD94" s="11">
        <v>12168.34954593709</v>
      </c>
      <c r="AE94" s="11">
        <v>15436.214870238689</v>
      </c>
      <c r="AF94" s="11">
        <v>1650.3166360979058</v>
      </c>
      <c r="AG94" s="11">
        <v>39002.498447525875</v>
      </c>
      <c r="AH94" s="11">
        <v>4211.5583054447598</v>
      </c>
      <c r="AI94" s="11">
        <v>23502.740865677242</v>
      </c>
      <c r="AJ94" s="11">
        <v>14122.696530699448</v>
      </c>
      <c r="AK94" s="11">
        <v>3945.9067181369405</v>
      </c>
      <c r="AL94" s="49">
        <v>6047.6795706605753</v>
      </c>
      <c r="AM94" s="41">
        <f>IFERROR(ROUND(_xlfn.XLOOKUP(AM$7,'Product Tgt'!$B:$B,'Product Tgt'!$G:$G)*H94/H$121,0),0)</f>
        <v>83110</v>
      </c>
      <c r="AN94" s="41">
        <f>IFERROR(ROUND(_xlfn.XLOOKUP(AN$7,'Product Tgt'!$B:$B,'Product Tgt'!$G:$G)*I94/I$121,0),0)</f>
        <v>163240</v>
      </c>
      <c r="AO94" s="41">
        <f>IFERROR(ROUND(_xlfn.XLOOKUP(AO$7,'Product Tgt'!$B:$B,'Product Tgt'!$G:$G)*J94/J$121,0),0)</f>
        <v>77084</v>
      </c>
      <c r="AP94" s="41">
        <f>IFERROR(ROUND(_xlfn.XLOOKUP(AP$7,'Product Tgt'!$B:$B,'Product Tgt'!$G:$G)*K94/K$121,0),0)</f>
        <v>104575</v>
      </c>
      <c r="AQ94" s="41">
        <f>IFERROR(ROUND(_xlfn.XLOOKUP(AQ$7,'Product Tgt'!$B:$B,'Product Tgt'!$G:$G)*L94/L$121,0),0)</f>
        <v>60009</v>
      </c>
      <c r="AR94" s="41">
        <f>IFERROR(ROUND(_xlfn.XLOOKUP(AR$7,'Product Tgt'!$B:$B,'Product Tgt'!$G:$G)*M94/M$121,0),0)</f>
        <v>47996</v>
      </c>
      <c r="AS94" s="41">
        <f>IFERROR(ROUND(_xlfn.XLOOKUP(AS$7,'Product Tgt'!$B:$B,'Product Tgt'!$G:$G)*N94/N$121,0),0)</f>
        <v>758</v>
      </c>
      <c r="AT94" s="41">
        <f>IFERROR(ROUND(_xlfn.XLOOKUP(AT$7,'Product Tgt'!$B:$B,'Product Tgt'!$G:$G)*O94/O$121,0),0)</f>
        <v>4873</v>
      </c>
      <c r="AU94" s="41">
        <f>IFERROR(ROUND(_xlfn.XLOOKUP(AU$7,'Product Tgt'!$B:$B,'Product Tgt'!$G:$G)*P94/P$121,0),0)</f>
        <v>923</v>
      </c>
      <c r="AV94" s="41">
        <f>IFERROR(ROUND(_xlfn.XLOOKUP(AV$7,'Product Tgt'!$B:$B,'Product Tgt'!$G:$G)*Q94/Q$121,0),0)</f>
        <v>1815</v>
      </c>
      <c r="AW94" s="41">
        <f>IFERROR(ROUND(_xlfn.XLOOKUP(AW$7,'Product Tgt'!$B:$B,'Product Tgt'!$G:$G)*R94/R$121,0),0)</f>
        <v>20531</v>
      </c>
      <c r="AX94" s="41">
        <f>IFERROR(ROUND(_xlfn.XLOOKUP(AX$7,'Product Tgt'!$B:$B,'Product Tgt'!$G:$G)*S94/S$121,0),0)</f>
        <v>43449</v>
      </c>
      <c r="AY94" s="41">
        <f>IFERROR(ROUND(_xlfn.XLOOKUP(AY$7,'Product Tgt'!$B:$B,'Product Tgt'!$G:$G)*T94/T$121,0),0)</f>
        <v>983</v>
      </c>
      <c r="AZ94" s="41">
        <f>IFERROR(ROUND(_xlfn.XLOOKUP(AZ$7,'Product Tgt'!$B:$B,'Product Tgt'!$G:$G)*U94/U$121,0),0)</f>
        <v>9600</v>
      </c>
      <c r="BA94" s="41">
        <f>IFERROR(ROUND(_xlfn.XLOOKUP(BA$7,'Product Tgt'!$B:$B,'Product Tgt'!$G:$G)*V94/V$121,0),0)</f>
        <v>21694</v>
      </c>
      <c r="BB94" s="41">
        <f>IFERROR(ROUND(_xlfn.XLOOKUP(BB$7,'Product Tgt'!$B:$B,'Product Tgt'!$G:$G)*W94/W$121,0),0)</f>
        <v>34162</v>
      </c>
      <c r="BC94" s="41">
        <f>IFERROR(ROUND(_xlfn.XLOOKUP(BC$7,'Product Tgt'!$B:$B,'Product Tgt'!$G:$G)*X94/X$121,0),0)</f>
        <v>5312</v>
      </c>
      <c r="BD94" s="41">
        <f>IFERROR(ROUND(_xlfn.XLOOKUP(BD$7,'Product Tgt'!$B:$B,'Product Tgt'!$G:$G)*Y94/Y$121,0),0)</f>
        <v>6204</v>
      </c>
      <c r="BE94" s="41">
        <f>IFERROR(ROUND(_xlfn.XLOOKUP(BE$7,'Product Tgt'!$B:$B,'Product Tgt'!$G:$G)*Z94/Z$121,0),0)</f>
        <v>410</v>
      </c>
      <c r="BF94" s="41">
        <f>IFERROR(ROUND(_xlfn.XLOOKUP(BF$7,'Product Tgt'!$B:$B,'Product Tgt'!$G:$G)*AA94/AA$121,0),0)</f>
        <v>9364</v>
      </c>
      <c r="BG94" s="41">
        <f>IFERROR(ROUND(_xlfn.XLOOKUP(BG$7,'Product Tgt'!$B:$B,'Product Tgt'!$G:$G)*AB94/AB$121,0),0)</f>
        <v>3415</v>
      </c>
      <c r="BH94" s="41">
        <f>IFERROR(ROUND(_xlfn.XLOOKUP(BH$7,'Product Tgt'!$B:$B,'Product Tgt'!$G:$G)*AC94/AC$121,0),0)</f>
        <v>1709</v>
      </c>
      <c r="BI94" s="41">
        <f>IFERROR(ROUND(_xlfn.XLOOKUP(BI$7,'Product Tgt'!$B:$B,'Product Tgt'!$G:$G)*AD94/AD$121,0),0)</f>
        <v>10593</v>
      </c>
      <c r="BJ94" s="41">
        <f>IFERROR(ROUND(_xlfn.XLOOKUP(BJ$7,'Product Tgt'!$B:$B,'Product Tgt'!$G:$G)*AE94/AE$121,0),0)</f>
        <v>14367</v>
      </c>
      <c r="BK94" s="41">
        <f>IFERROR(ROUND(_xlfn.XLOOKUP(BK$7,'Product Tgt'!$B:$B,'Product Tgt'!$G:$G)*AF94/AF$121,0),0)</f>
        <v>1844</v>
      </c>
      <c r="BL94" s="41">
        <f>IFERROR(ROUND(_xlfn.XLOOKUP(BL$7,'Product Tgt'!$B:$B,'Product Tgt'!$G:$G)*AG94/AG$121,0),0)</f>
        <v>37254</v>
      </c>
      <c r="BM94" s="41">
        <f>IFERROR(ROUND(_xlfn.XLOOKUP(BM$7,'Product Tgt'!$B:$B,'Product Tgt'!$G:$G)*AH94/AH$121,0),0)</f>
        <v>3302</v>
      </c>
      <c r="BN94" s="41">
        <f>IFERROR(ROUND(_xlfn.XLOOKUP(BN$7,'Product Tgt'!$B:$B,'Product Tgt'!$G:$G)*AI94/AI$121,0),0)</f>
        <v>21584</v>
      </c>
      <c r="BO94" s="41">
        <f>IFERROR(ROUND(_xlfn.XLOOKUP(BO$7,'Product Tgt'!$B:$B,'Product Tgt'!$G:$G)*AJ94/AJ$121,0),0)</f>
        <v>12215</v>
      </c>
      <c r="BP94" s="41">
        <f>IFERROR(ROUND(_xlfn.XLOOKUP(BP$7,'Product Tgt'!$B:$B,'Product Tgt'!$G:$G)*AK94/AK$121,0),0)</f>
        <v>3004</v>
      </c>
      <c r="BQ94" s="41">
        <f>IFERROR(ROUND(_xlfn.XLOOKUP(BQ$7,'Product Tgt'!$B:$B,'Product Tgt'!$G:$G)*AL94/AL$121,0),0)</f>
        <v>4727</v>
      </c>
      <c r="BR94" s="25">
        <f>ROUND(IFERROR(AM94/_xlfn.XLOOKUP(BR$7,'Product Tgt'!$B:$B,'Product Tgt'!$D:$D),0),0)</f>
        <v>0</v>
      </c>
      <c r="BS94" s="11">
        <f>ROUND(IFERROR(AN94/_xlfn.XLOOKUP(BS$7,'Product Tgt'!$B:$B,'Product Tgt'!$D:$D),0),0)</f>
        <v>0</v>
      </c>
      <c r="BT94" s="11">
        <f>ROUND(IFERROR(AO94/_xlfn.XLOOKUP(BT$7,'Product Tgt'!$B:$B,'Product Tgt'!$D:$D),0),0)</f>
        <v>0</v>
      </c>
      <c r="BU94" s="11">
        <f>ROUND(IFERROR(AP94/_xlfn.XLOOKUP(BU$7,'Product Tgt'!$B:$B,'Product Tgt'!$D:$D),0),0)</f>
        <v>0</v>
      </c>
      <c r="BV94" s="11">
        <f>ROUND(IFERROR(AQ94/_xlfn.XLOOKUP(BV$7,'Product Tgt'!$B:$B,'Product Tgt'!$D:$D),0),0)</f>
        <v>0</v>
      </c>
      <c r="BW94" s="11">
        <f>ROUND(IFERROR(AU94/_xlfn.XLOOKUP(BW$7,'Product Tgt'!$B:$B,'Product Tgt'!$D:$D),0),0)</f>
        <v>0</v>
      </c>
      <c r="BX94" s="11">
        <f>ROUND(IFERROR(#REF!/_xlfn.XLOOKUP(BX$7,'Product Tgt'!$B:$B,'Product Tgt'!$D:$D),0),0)</f>
        <v>0</v>
      </c>
      <c r="BY94" s="11">
        <f>ROUND(IFERROR(#REF!/_xlfn.XLOOKUP(BY$7,'Product Tgt'!$B:$B,'Product Tgt'!$D:$D),0),0)</f>
        <v>0</v>
      </c>
      <c r="BZ94" s="11">
        <f>ROUND(IFERROR(#REF!/_xlfn.XLOOKUP(BZ$7,'Product Tgt'!$B:$B,'Product Tgt'!$D:$D),0),0)</f>
        <v>0</v>
      </c>
      <c r="CA94" s="11">
        <f>ROUND(IFERROR(#REF!/_xlfn.XLOOKUP(CA$7,'Product Tgt'!$B:$B,'Product Tgt'!$D:$D),0),0)</f>
        <v>0</v>
      </c>
      <c r="CB94" s="11">
        <f>ROUND(IFERROR(AV94/_xlfn.XLOOKUP(CB$7,'Product Tgt'!$B:$B,'Product Tgt'!$D:$D),0),0)</f>
        <v>0</v>
      </c>
      <c r="CC94" s="11">
        <f>ROUND(IFERROR(AW94/_xlfn.XLOOKUP(CC$7,'Product Tgt'!$B:$B,'Product Tgt'!$D:$D),0),0)</f>
        <v>0</v>
      </c>
      <c r="CD94" s="11">
        <f>ROUND(IFERROR(AX94/_xlfn.XLOOKUP(CD$7,'Product Tgt'!$B:$B,'Product Tgt'!$D:$D),0),0)</f>
        <v>0</v>
      </c>
      <c r="CE94" s="11">
        <f>ROUND(IFERROR(AY94/_xlfn.XLOOKUP(CE$7,'Product Tgt'!$B:$B,'Product Tgt'!$D:$D),0),0)</f>
        <v>0</v>
      </c>
      <c r="CF94" s="11">
        <f>ROUND(IFERROR(AZ94/_xlfn.XLOOKUP(CF$7,'Product Tgt'!$B:$B,'Product Tgt'!$D:$D),0),0)</f>
        <v>0</v>
      </c>
      <c r="CG94" s="11">
        <f>ROUND(IFERROR(BA94/_xlfn.XLOOKUP(CG$7,'Product Tgt'!$B:$B,'Product Tgt'!$D:$D),0),0)</f>
        <v>0</v>
      </c>
      <c r="CH94" s="11">
        <f>ROUND(IFERROR(BB94/_xlfn.XLOOKUP(CH$7,'Product Tgt'!$B:$B,'Product Tgt'!$D:$D),0),0)</f>
        <v>0</v>
      </c>
      <c r="CI94" s="11">
        <f>ROUND(IFERROR(BC94/_xlfn.XLOOKUP(CI$7,'Product Tgt'!$B:$B,'Product Tgt'!$D:$D),0),0)</f>
        <v>0</v>
      </c>
      <c r="CJ94" s="11">
        <f>ROUND(IFERROR(BD94/_xlfn.XLOOKUP(CJ$7,'Product Tgt'!$B:$B,'Product Tgt'!$D:$D),0),0)</f>
        <v>0</v>
      </c>
      <c r="CK94" s="11">
        <f>ROUND(IFERROR(BE94/_xlfn.XLOOKUP(CK$7,'Product Tgt'!$B:$B,'Product Tgt'!$D:$D),0),0)</f>
        <v>0</v>
      </c>
      <c r="CL94" s="11">
        <f>ROUND(IFERROR(BF94/_xlfn.XLOOKUP(CL$7,'Product Tgt'!$B:$B,'Product Tgt'!$D:$D),0),0)</f>
        <v>0</v>
      </c>
      <c r="CM94" s="11">
        <f>ROUND(IFERROR(BG94/_xlfn.XLOOKUP(CM$7,'Product Tgt'!$B:$B,'Product Tgt'!$D:$D),0),0)</f>
        <v>0</v>
      </c>
      <c r="CN94" s="11">
        <f>ROUND(IFERROR(BH94/_xlfn.XLOOKUP(CN$7,'Product Tgt'!$B:$B,'Product Tgt'!$D:$D),0),0)</f>
        <v>0</v>
      </c>
      <c r="CO94" s="11">
        <f>ROUND(IFERROR(BI94/_xlfn.XLOOKUP(CO$7,'Product Tgt'!$B:$B,'Product Tgt'!$D:$D),0),0)</f>
        <v>0</v>
      </c>
      <c r="CP94" s="11">
        <f>ROUND(IFERROR(BJ94/_xlfn.XLOOKUP(CP$7,'Product Tgt'!$B:$B,'Product Tgt'!$D:$D),0),0)</f>
        <v>0</v>
      </c>
      <c r="CQ94" s="11">
        <f>ROUND(IFERROR(BK94/_xlfn.XLOOKUP(CQ$7,'Product Tgt'!$B:$B,'Product Tgt'!$D:$D),0),0)</f>
        <v>0</v>
      </c>
      <c r="CR94" s="11">
        <f>ROUND(IFERROR(BL94/_xlfn.XLOOKUP(CR$7,'Product Tgt'!$B:$B,'Product Tgt'!$D:$D),0),0)</f>
        <v>0</v>
      </c>
      <c r="CS94" s="11">
        <f>ROUND(IFERROR(BM94/_xlfn.XLOOKUP(CS$7,'Product Tgt'!$B:$B,'Product Tgt'!$D:$D),0),0)</f>
        <v>0</v>
      </c>
      <c r="CT94" s="11">
        <f>ROUND(IFERROR(BN94/_xlfn.XLOOKUP(CT$7,'Product Tgt'!$B:$B,'Product Tgt'!$D:$D),0),0)</f>
        <v>0</v>
      </c>
      <c r="CU94" s="11">
        <f>ROUND(IFERROR(BO94/_xlfn.XLOOKUP(CU$7,'Product Tgt'!$B:$B,'Product Tgt'!$D:$D),0),0)</f>
        <v>0</v>
      </c>
      <c r="CV94" s="11">
        <f>ROUND(IFERROR(BP94/_xlfn.XLOOKUP(CV$7,'Product Tgt'!$B:$B,'Product Tgt'!$D:$D),0),0)</f>
        <v>0</v>
      </c>
      <c r="CW94" s="11">
        <f>ROUND(IFERROR(BQ94/_xlfn.XLOOKUP(CW$7,'Product Tgt'!$B:$B,'Product Tgt'!$D:$D),0),0)</f>
        <v>0</v>
      </c>
      <c r="CX94" s="11">
        <f>ROUND(IFERROR(#REF!/_xlfn.XLOOKUP(CX$7,'Product Tgt'!$B:$B,'Product Tgt'!$D:$D),0),0)</f>
        <v>0</v>
      </c>
      <c r="CY94" s="11">
        <f>ROUND(IFERROR(#REF!/_xlfn.XLOOKUP(CY$7,'Product Tgt'!$B:$B,'Product Tgt'!$D:$D),0),0)</f>
        <v>0</v>
      </c>
      <c r="CZ94" s="11">
        <f>ROUND(IFERROR(#REF!/_xlfn.XLOOKUP(CZ$7,'Product Tgt'!$B:$B,'Product Tgt'!$D:$D),0),0)</f>
        <v>0</v>
      </c>
      <c r="DA94" s="10">
        <f>IFERROR(BR94*_xlfn.XLOOKUP(DA$7,'Product Tgt'!$B:$B,'Product Tgt'!$D:$D),0)</f>
        <v>0</v>
      </c>
      <c r="DB94">
        <f>IFERROR(BS94*_xlfn.XLOOKUP(DB$7,'Product Tgt'!$B:$B,'Product Tgt'!$D:$D),0)</f>
        <v>0</v>
      </c>
      <c r="DC94">
        <f>IFERROR(BT94*_xlfn.XLOOKUP(DC$7,'Product Tgt'!$B:$B,'Product Tgt'!$D:$D),0)</f>
        <v>0</v>
      </c>
      <c r="DD94">
        <f>IFERROR(BU94*_xlfn.XLOOKUP(DD$7,'Product Tgt'!$B:$B,'Product Tgt'!$D:$D),0)</f>
        <v>0</v>
      </c>
      <c r="DE94">
        <f>IFERROR(BV94*_xlfn.XLOOKUP(DE$7,'Product Tgt'!$B:$B,'Product Tgt'!$D:$D),0)</f>
        <v>0</v>
      </c>
      <c r="DF94">
        <f>IFERROR(BW94*_xlfn.XLOOKUP(DF$7,'Product Tgt'!$B:$B,'Product Tgt'!$D:$D),0)</f>
        <v>0</v>
      </c>
      <c r="DG94">
        <f>IFERROR(BX94*_xlfn.XLOOKUP(DG$7,'Product Tgt'!$B:$B,'Product Tgt'!$D:$D),0)</f>
        <v>0</v>
      </c>
      <c r="DH94">
        <f>IFERROR(BY94*_xlfn.XLOOKUP(DH$7,'Product Tgt'!$B:$B,'Product Tgt'!$D:$D),0)</f>
        <v>0</v>
      </c>
      <c r="DI94">
        <f>IFERROR(BZ94*_xlfn.XLOOKUP(DI$7,'Product Tgt'!$B:$B,'Product Tgt'!$D:$D),0)</f>
        <v>0</v>
      </c>
      <c r="DJ94">
        <f>IFERROR(CA94*_xlfn.XLOOKUP(DJ$7,'Product Tgt'!$B:$B,'Product Tgt'!$D:$D),0)</f>
        <v>0</v>
      </c>
      <c r="DK94">
        <f>IFERROR(CB94*_xlfn.XLOOKUP(DK$7,'Product Tgt'!$B:$B,'Product Tgt'!$D:$D),0)</f>
        <v>0</v>
      </c>
      <c r="DL94">
        <f>IFERROR(CC94*_xlfn.XLOOKUP(DL$7,'Product Tgt'!$B:$B,'Product Tgt'!$D:$D),0)</f>
        <v>0</v>
      </c>
      <c r="DM94">
        <f>IFERROR(CD94*_xlfn.XLOOKUP(DM$7,'Product Tgt'!$B:$B,'Product Tgt'!$D:$D),0)</f>
        <v>0</v>
      </c>
      <c r="DN94">
        <f>IFERROR(CE94*_xlfn.XLOOKUP(DN$7,'Product Tgt'!$B:$B,'Product Tgt'!$D:$D),0)</f>
        <v>0</v>
      </c>
      <c r="DO94">
        <f>IFERROR(CF94*_xlfn.XLOOKUP(DO$7,'Product Tgt'!$B:$B,'Product Tgt'!$D:$D),0)</f>
        <v>0</v>
      </c>
      <c r="DP94">
        <f>IFERROR(CG94*_xlfn.XLOOKUP(DP$7,'Product Tgt'!$B:$B,'Product Tgt'!$D:$D),0)</f>
        <v>0</v>
      </c>
      <c r="DQ94">
        <f>IFERROR(CH94*_xlfn.XLOOKUP(DQ$7,'Product Tgt'!$B:$B,'Product Tgt'!$D:$D),0)</f>
        <v>0</v>
      </c>
      <c r="DR94">
        <f>IFERROR(CI94*_xlfn.XLOOKUP(DR$7,'Product Tgt'!$B:$B,'Product Tgt'!$D:$D),0)</f>
        <v>0</v>
      </c>
      <c r="DS94">
        <f>IFERROR(CJ94*_xlfn.XLOOKUP(DS$7,'Product Tgt'!$B:$B,'Product Tgt'!$D:$D),0)</f>
        <v>0</v>
      </c>
      <c r="DT94">
        <f>IFERROR(CK94*_xlfn.XLOOKUP(DT$7,'Product Tgt'!$B:$B,'Product Tgt'!$D:$D),0)</f>
        <v>0</v>
      </c>
      <c r="DU94">
        <f>IFERROR(CL94*_xlfn.XLOOKUP(DU$7,'Product Tgt'!$B:$B,'Product Tgt'!$D:$D),0)</f>
        <v>0</v>
      </c>
      <c r="DV94">
        <f>IFERROR(CM94*_xlfn.XLOOKUP(DV$7,'Product Tgt'!$B:$B,'Product Tgt'!$D:$D),0)</f>
        <v>0</v>
      </c>
      <c r="DW94">
        <f>IFERROR(CN94*_xlfn.XLOOKUP(DW$7,'Product Tgt'!$B:$B,'Product Tgt'!$D:$D),0)</f>
        <v>0</v>
      </c>
      <c r="DX94">
        <f>IFERROR(CO94*_xlfn.XLOOKUP(DX$7,'Product Tgt'!$B:$B,'Product Tgt'!$D:$D),0)</f>
        <v>0</v>
      </c>
      <c r="DY94">
        <f>IFERROR(CP94*_xlfn.XLOOKUP(DY$7,'Product Tgt'!$B:$B,'Product Tgt'!$D:$D),0)</f>
        <v>0</v>
      </c>
      <c r="DZ94">
        <f>IFERROR(CQ94*_xlfn.XLOOKUP(DZ$7,'Product Tgt'!$B:$B,'Product Tgt'!$D:$D),0)</f>
        <v>0</v>
      </c>
      <c r="EA94">
        <f>IFERROR(CR94*_xlfn.XLOOKUP(EA$7,'Product Tgt'!$B:$B,'Product Tgt'!$D:$D),0)</f>
        <v>0</v>
      </c>
      <c r="EB94">
        <f>IFERROR(CS94*_xlfn.XLOOKUP(EB$7,'Product Tgt'!$B:$B,'Product Tgt'!$D:$D),0)</f>
        <v>0</v>
      </c>
      <c r="EC94">
        <f>IFERROR(CT94*_xlfn.XLOOKUP(EC$7,'Product Tgt'!$B:$B,'Product Tgt'!$D:$D),0)</f>
        <v>0</v>
      </c>
      <c r="ED94">
        <f>IFERROR(CU94*_xlfn.XLOOKUP(ED$7,'Product Tgt'!$B:$B,'Product Tgt'!$D:$D),0)</f>
        <v>0</v>
      </c>
      <c r="EE94">
        <f>IFERROR(CV94*_xlfn.XLOOKUP(EE$7,'Product Tgt'!$B:$B,'Product Tgt'!$D:$D),0)</f>
        <v>0</v>
      </c>
      <c r="EF94">
        <f>IFERROR(CW94*_xlfn.XLOOKUP(EF$7,'Product Tgt'!$B:$B,'Product Tgt'!$D:$D),0)</f>
        <v>0</v>
      </c>
      <c r="EG94">
        <f>IFERROR(CX94*_xlfn.XLOOKUP(EG$7,'Product Tgt'!$B:$B,'Product Tgt'!$D:$D),0)</f>
        <v>0</v>
      </c>
      <c r="EH94">
        <f>IFERROR(CY94*_xlfn.XLOOKUP(EH$7,'Product Tgt'!$B:$B,'Product Tgt'!$D:$D),0)</f>
        <v>0</v>
      </c>
      <c r="EI94">
        <f>IFERROR(CZ94*_xlfn.XLOOKUP(EI$7,'Product Tgt'!$B:$B,'Product Tgt'!$D:$D),0)</f>
        <v>0</v>
      </c>
    </row>
    <row r="95" spans="2:139" x14ac:dyDescent="0.35">
      <c r="B95" s="7" t="s">
        <v>181</v>
      </c>
      <c r="C95" s="3">
        <f>_xlfn.XLOOKUP($B95,'Terr Target'!$A:$A,'Terr Target'!$E:$E)</f>
        <v>461411.54337399773</v>
      </c>
      <c r="D95" s="3">
        <f t="shared" si="10"/>
        <v>461412</v>
      </c>
      <c r="E95" s="4">
        <f t="shared" si="11"/>
        <v>0.45662600226933137</v>
      </c>
      <c r="F95" s="9">
        <f t="shared" si="7"/>
        <v>9.8962749618417252E-7</v>
      </c>
      <c r="G95" s="5">
        <f t="shared" si="12"/>
        <v>0.99999901037250383</v>
      </c>
      <c r="H95" s="38">
        <v>46096.284559446416</v>
      </c>
      <c r="I95" s="11">
        <v>95494.055639804355</v>
      </c>
      <c r="J95" s="11">
        <v>46618.751306954269</v>
      </c>
      <c r="K95" s="11">
        <v>51836.05210342916</v>
      </c>
      <c r="L95" s="11">
        <v>47182.093165741346</v>
      </c>
      <c r="M95" s="11">
        <v>40558.702478220839</v>
      </c>
      <c r="N95" s="11">
        <v>683.89655863883831</v>
      </c>
      <c r="O95" s="11">
        <v>6043.6529913547511</v>
      </c>
      <c r="P95" s="11">
        <v>1197.5730666777333</v>
      </c>
      <c r="Q95" s="11">
        <v>1030.3494623746838</v>
      </c>
      <c r="R95" s="11">
        <v>8064.3528422804702</v>
      </c>
      <c r="S95" s="11">
        <v>17563.107513375209</v>
      </c>
      <c r="T95" s="11">
        <v>0</v>
      </c>
      <c r="U95" s="11">
        <v>5783.8481559516686</v>
      </c>
      <c r="V95" s="11">
        <v>14842.881799205596</v>
      </c>
      <c r="W95" s="11">
        <v>22198.629844611714</v>
      </c>
      <c r="X95" s="11">
        <v>4600.2220037654561</v>
      </c>
      <c r="Y95" s="11">
        <v>4375.1998373369443</v>
      </c>
      <c r="Z95" s="11">
        <v>0</v>
      </c>
      <c r="AA95" s="11">
        <v>6705.6784785175932</v>
      </c>
      <c r="AB95" s="11">
        <v>1943.2700858186154</v>
      </c>
      <c r="AC95" s="11">
        <v>404.17182609261903</v>
      </c>
      <c r="AD95" s="11">
        <v>6939.5605692126665</v>
      </c>
      <c r="AE95" s="11">
        <v>10390.01327745548</v>
      </c>
      <c r="AF95" s="11">
        <v>740.60007394483728</v>
      </c>
      <c r="AG95" s="11">
        <v>16700.449538944624</v>
      </c>
      <c r="AH95" s="11">
        <v>1737.1424545113798</v>
      </c>
      <c r="AI95" s="11">
        <v>8632.9608807720524</v>
      </c>
      <c r="AJ95" s="11">
        <v>9100.8047019308869</v>
      </c>
      <c r="AK95" s="11">
        <v>1818.9623618674202</v>
      </c>
      <c r="AL95" s="49">
        <v>2269.504443278744</v>
      </c>
      <c r="AM95" s="41">
        <f>IFERROR(ROUND(_xlfn.XLOOKUP(AM$7,'Product Tgt'!$B:$B,'Product Tgt'!$G:$G)*H95/H$121,0),0)</f>
        <v>44813</v>
      </c>
      <c r="AN95" s="41">
        <f>IFERROR(ROUND(_xlfn.XLOOKUP(AN$7,'Product Tgt'!$B:$B,'Product Tgt'!$G:$G)*I95/I$121,0),0)</f>
        <v>94004</v>
      </c>
      <c r="AO95" s="41">
        <f>IFERROR(ROUND(_xlfn.XLOOKUP(AO$7,'Product Tgt'!$B:$B,'Product Tgt'!$G:$G)*J95/J$121,0),0)</f>
        <v>45169</v>
      </c>
      <c r="AP95" s="41">
        <f>IFERROR(ROUND(_xlfn.XLOOKUP(AP$7,'Product Tgt'!$B:$B,'Product Tgt'!$G:$G)*K95/K$121,0),0)</f>
        <v>50567</v>
      </c>
      <c r="AQ95" s="41">
        <f>IFERROR(ROUND(_xlfn.XLOOKUP(AQ$7,'Product Tgt'!$B:$B,'Product Tgt'!$G:$G)*L95/L$121,0),0)</f>
        <v>45622</v>
      </c>
      <c r="AR95" s="41">
        <f>IFERROR(ROUND(_xlfn.XLOOKUP(AR$7,'Product Tgt'!$B:$B,'Product Tgt'!$G:$G)*M95/M$121,0),0)</f>
        <v>39293</v>
      </c>
      <c r="AS95" s="41">
        <f>IFERROR(ROUND(_xlfn.XLOOKUP(AS$7,'Product Tgt'!$B:$B,'Product Tgt'!$G:$G)*N95/N$121,0),0)</f>
        <v>632</v>
      </c>
      <c r="AT95" s="41">
        <f>IFERROR(ROUND(_xlfn.XLOOKUP(AT$7,'Product Tgt'!$B:$B,'Product Tgt'!$G:$G)*O95/O$121,0),0)</f>
        <v>5440</v>
      </c>
      <c r="AU95" s="41">
        <f>IFERROR(ROUND(_xlfn.XLOOKUP(AU$7,'Product Tgt'!$B:$B,'Product Tgt'!$G:$G)*P95/P$121,0),0)</f>
        <v>511</v>
      </c>
      <c r="AV95" s="41">
        <f>IFERROR(ROUND(_xlfn.XLOOKUP(AV$7,'Product Tgt'!$B:$B,'Product Tgt'!$G:$G)*Q95/Q$121,0),0)</f>
        <v>773</v>
      </c>
      <c r="AW95" s="41">
        <f>IFERROR(ROUND(_xlfn.XLOOKUP(AW$7,'Product Tgt'!$B:$B,'Product Tgt'!$G:$G)*R95/R$121,0),0)</f>
        <v>7767</v>
      </c>
      <c r="AX95" s="41">
        <f>IFERROR(ROUND(_xlfn.XLOOKUP(AX$7,'Product Tgt'!$B:$B,'Product Tgt'!$G:$G)*S95/S$121,0),0)</f>
        <v>16916</v>
      </c>
      <c r="AY95" s="41">
        <f>IFERROR(ROUND(_xlfn.XLOOKUP(AY$7,'Product Tgt'!$B:$B,'Product Tgt'!$G:$G)*T95/T$121,0),0)</f>
        <v>0</v>
      </c>
      <c r="AZ95" s="41">
        <f>IFERROR(ROUND(_xlfn.XLOOKUP(AZ$7,'Product Tgt'!$B:$B,'Product Tgt'!$G:$G)*U95/U$121,0),0)</f>
        <v>5535</v>
      </c>
      <c r="BA95" s="41">
        <f>IFERROR(ROUND(_xlfn.XLOOKUP(BA$7,'Product Tgt'!$B:$B,'Product Tgt'!$G:$G)*V95/V$121,0),0)</f>
        <v>14291</v>
      </c>
      <c r="BB95" s="41">
        <f>IFERROR(ROUND(_xlfn.XLOOKUP(BB$7,'Product Tgt'!$B:$B,'Product Tgt'!$G:$G)*W95/W$121,0),0)</f>
        <v>21249</v>
      </c>
      <c r="BC95" s="41">
        <f>IFERROR(ROUND(_xlfn.XLOOKUP(BC$7,'Product Tgt'!$B:$B,'Product Tgt'!$G:$G)*X95/X$121,0),0)</f>
        <v>4451</v>
      </c>
      <c r="BD95" s="41">
        <f>IFERROR(ROUND(_xlfn.XLOOKUP(BD$7,'Product Tgt'!$B:$B,'Product Tgt'!$G:$G)*Y95/Y$121,0),0)</f>
        <v>4231</v>
      </c>
      <c r="BE95" s="41">
        <f>IFERROR(ROUND(_xlfn.XLOOKUP(BE$7,'Product Tgt'!$B:$B,'Product Tgt'!$G:$G)*Z95/Z$121,0),0)</f>
        <v>0</v>
      </c>
      <c r="BF95" s="41">
        <f>IFERROR(ROUND(_xlfn.XLOOKUP(BF$7,'Product Tgt'!$B:$B,'Product Tgt'!$G:$G)*AA95/AA$121,0),0)</f>
        <v>5434</v>
      </c>
      <c r="BG95" s="41">
        <f>IFERROR(ROUND(_xlfn.XLOOKUP(BG$7,'Product Tgt'!$B:$B,'Product Tgt'!$G:$G)*AB95/AB$121,0),0)</f>
        <v>1557</v>
      </c>
      <c r="BH95" s="41">
        <f>IFERROR(ROUND(_xlfn.XLOOKUP(BH$7,'Product Tgt'!$B:$B,'Product Tgt'!$G:$G)*AC95/AC$121,0),0)</f>
        <v>346</v>
      </c>
      <c r="BI95" s="41">
        <f>IFERROR(ROUND(_xlfn.XLOOKUP(BI$7,'Product Tgt'!$B:$B,'Product Tgt'!$G:$G)*AD95/AD$121,0),0)</f>
        <v>6041</v>
      </c>
      <c r="BJ95" s="41">
        <f>IFERROR(ROUND(_xlfn.XLOOKUP(BJ$7,'Product Tgt'!$B:$B,'Product Tgt'!$G:$G)*AE95/AE$121,0),0)</f>
        <v>9670</v>
      </c>
      <c r="BK95" s="41">
        <f>IFERROR(ROUND(_xlfn.XLOOKUP(BK$7,'Product Tgt'!$B:$B,'Product Tgt'!$G:$G)*AF95/AF$121,0),0)</f>
        <v>827</v>
      </c>
      <c r="BL95" s="41">
        <f>IFERROR(ROUND(_xlfn.XLOOKUP(BL$7,'Product Tgt'!$B:$B,'Product Tgt'!$G:$G)*AG95/AG$121,0),0)</f>
        <v>15952</v>
      </c>
      <c r="BM95" s="41">
        <f>IFERROR(ROUND(_xlfn.XLOOKUP(BM$7,'Product Tgt'!$B:$B,'Product Tgt'!$G:$G)*AH95/AH$121,0),0)</f>
        <v>1362</v>
      </c>
      <c r="BN95" s="41">
        <f>IFERROR(ROUND(_xlfn.XLOOKUP(BN$7,'Product Tgt'!$B:$B,'Product Tgt'!$G:$G)*AI95/AI$121,0),0)</f>
        <v>7928</v>
      </c>
      <c r="BO95" s="41">
        <f>IFERROR(ROUND(_xlfn.XLOOKUP(BO$7,'Product Tgt'!$B:$B,'Product Tgt'!$G:$G)*AJ95/AJ$121,0),0)</f>
        <v>7872</v>
      </c>
      <c r="BP95" s="41">
        <f>IFERROR(ROUND(_xlfn.XLOOKUP(BP$7,'Product Tgt'!$B:$B,'Product Tgt'!$G:$G)*AK95/AK$121,0),0)</f>
        <v>1385</v>
      </c>
      <c r="BQ95" s="41">
        <f>IFERROR(ROUND(_xlfn.XLOOKUP(BQ$7,'Product Tgt'!$B:$B,'Product Tgt'!$G:$G)*AL95/AL$121,0),0)</f>
        <v>1774</v>
      </c>
      <c r="BR95" s="25">
        <f>ROUND(IFERROR(AM95/_xlfn.XLOOKUP(BR$7,'Product Tgt'!$B:$B,'Product Tgt'!$D:$D),0),0)</f>
        <v>0</v>
      </c>
      <c r="BS95" s="11">
        <f>ROUND(IFERROR(AN95/_xlfn.XLOOKUP(BS$7,'Product Tgt'!$B:$B,'Product Tgt'!$D:$D),0),0)</f>
        <v>0</v>
      </c>
      <c r="BT95" s="11">
        <f>ROUND(IFERROR(AO95/_xlfn.XLOOKUP(BT$7,'Product Tgt'!$B:$B,'Product Tgt'!$D:$D),0),0)</f>
        <v>0</v>
      </c>
      <c r="BU95" s="11">
        <f>ROUND(IFERROR(AP95/_xlfn.XLOOKUP(BU$7,'Product Tgt'!$B:$B,'Product Tgt'!$D:$D),0),0)</f>
        <v>0</v>
      </c>
      <c r="BV95" s="11">
        <f>ROUND(IFERROR(AQ95/_xlfn.XLOOKUP(BV$7,'Product Tgt'!$B:$B,'Product Tgt'!$D:$D),0),0)</f>
        <v>0</v>
      </c>
      <c r="BW95" s="11">
        <f>ROUND(IFERROR(AU95/_xlfn.XLOOKUP(BW$7,'Product Tgt'!$B:$B,'Product Tgt'!$D:$D),0),0)</f>
        <v>0</v>
      </c>
      <c r="BX95" s="11">
        <f>ROUND(IFERROR(#REF!/_xlfn.XLOOKUP(BX$7,'Product Tgt'!$B:$B,'Product Tgt'!$D:$D),0),0)</f>
        <v>0</v>
      </c>
      <c r="BY95" s="11">
        <f>ROUND(IFERROR(#REF!/_xlfn.XLOOKUP(BY$7,'Product Tgt'!$B:$B,'Product Tgt'!$D:$D),0),0)</f>
        <v>0</v>
      </c>
      <c r="BZ95" s="11">
        <f>ROUND(IFERROR(#REF!/_xlfn.XLOOKUP(BZ$7,'Product Tgt'!$B:$B,'Product Tgt'!$D:$D),0),0)</f>
        <v>0</v>
      </c>
      <c r="CA95" s="11">
        <f>ROUND(IFERROR(#REF!/_xlfn.XLOOKUP(CA$7,'Product Tgt'!$B:$B,'Product Tgt'!$D:$D),0),0)</f>
        <v>0</v>
      </c>
      <c r="CB95" s="11">
        <f>ROUND(IFERROR(AV95/_xlfn.XLOOKUP(CB$7,'Product Tgt'!$B:$B,'Product Tgt'!$D:$D),0),0)</f>
        <v>0</v>
      </c>
      <c r="CC95" s="11">
        <f>ROUND(IFERROR(AW95/_xlfn.XLOOKUP(CC$7,'Product Tgt'!$B:$B,'Product Tgt'!$D:$D),0),0)</f>
        <v>0</v>
      </c>
      <c r="CD95" s="11">
        <f>ROUND(IFERROR(AX95/_xlfn.XLOOKUP(CD$7,'Product Tgt'!$B:$B,'Product Tgt'!$D:$D),0),0)</f>
        <v>0</v>
      </c>
      <c r="CE95" s="11">
        <f>ROUND(IFERROR(AY95/_xlfn.XLOOKUP(CE$7,'Product Tgt'!$B:$B,'Product Tgt'!$D:$D),0),0)</f>
        <v>0</v>
      </c>
      <c r="CF95" s="11">
        <f>ROUND(IFERROR(AZ95/_xlfn.XLOOKUP(CF$7,'Product Tgt'!$B:$B,'Product Tgt'!$D:$D),0),0)</f>
        <v>0</v>
      </c>
      <c r="CG95" s="11">
        <f>ROUND(IFERROR(BA95/_xlfn.XLOOKUP(CG$7,'Product Tgt'!$B:$B,'Product Tgt'!$D:$D),0),0)</f>
        <v>0</v>
      </c>
      <c r="CH95" s="11">
        <f>ROUND(IFERROR(BB95/_xlfn.XLOOKUP(CH$7,'Product Tgt'!$B:$B,'Product Tgt'!$D:$D),0),0)</f>
        <v>0</v>
      </c>
      <c r="CI95" s="11">
        <f>ROUND(IFERROR(BC95/_xlfn.XLOOKUP(CI$7,'Product Tgt'!$B:$B,'Product Tgt'!$D:$D),0),0)</f>
        <v>0</v>
      </c>
      <c r="CJ95" s="11">
        <f>ROUND(IFERROR(BD95/_xlfn.XLOOKUP(CJ$7,'Product Tgt'!$B:$B,'Product Tgt'!$D:$D),0),0)</f>
        <v>0</v>
      </c>
      <c r="CK95" s="11">
        <f>ROUND(IFERROR(BE95/_xlfn.XLOOKUP(CK$7,'Product Tgt'!$B:$B,'Product Tgt'!$D:$D),0),0)</f>
        <v>0</v>
      </c>
      <c r="CL95" s="11">
        <f>ROUND(IFERROR(BF95/_xlfn.XLOOKUP(CL$7,'Product Tgt'!$B:$B,'Product Tgt'!$D:$D),0),0)</f>
        <v>0</v>
      </c>
      <c r="CM95" s="11">
        <f>ROUND(IFERROR(BG95/_xlfn.XLOOKUP(CM$7,'Product Tgt'!$B:$B,'Product Tgt'!$D:$D),0),0)</f>
        <v>0</v>
      </c>
      <c r="CN95" s="11">
        <f>ROUND(IFERROR(BH95/_xlfn.XLOOKUP(CN$7,'Product Tgt'!$B:$B,'Product Tgt'!$D:$D),0),0)</f>
        <v>0</v>
      </c>
      <c r="CO95" s="11">
        <f>ROUND(IFERROR(BI95/_xlfn.XLOOKUP(CO$7,'Product Tgt'!$B:$B,'Product Tgt'!$D:$D),0),0)</f>
        <v>0</v>
      </c>
      <c r="CP95" s="11">
        <f>ROUND(IFERROR(BJ95/_xlfn.XLOOKUP(CP$7,'Product Tgt'!$B:$B,'Product Tgt'!$D:$D),0),0)</f>
        <v>0</v>
      </c>
      <c r="CQ95" s="11">
        <f>ROUND(IFERROR(BK95/_xlfn.XLOOKUP(CQ$7,'Product Tgt'!$B:$B,'Product Tgt'!$D:$D),0),0)</f>
        <v>0</v>
      </c>
      <c r="CR95" s="11">
        <f>ROUND(IFERROR(BL95/_xlfn.XLOOKUP(CR$7,'Product Tgt'!$B:$B,'Product Tgt'!$D:$D),0),0)</f>
        <v>0</v>
      </c>
      <c r="CS95" s="11">
        <f>ROUND(IFERROR(BM95/_xlfn.XLOOKUP(CS$7,'Product Tgt'!$B:$B,'Product Tgt'!$D:$D),0),0)</f>
        <v>0</v>
      </c>
      <c r="CT95" s="11">
        <f>ROUND(IFERROR(BN95/_xlfn.XLOOKUP(CT$7,'Product Tgt'!$B:$B,'Product Tgt'!$D:$D),0),0)</f>
        <v>0</v>
      </c>
      <c r="CU95" s="11">
        <f>ROUND(IFERROR(BO95/_xlfn.XLOOKUP(CU$7,'Product Tgt'!$B:$B,'Product Tgt'!$D:$D),0),0)</f>
        <v>0</v>
      </c>
      <c r="CV95" s="11">
        <f>ROUND(IFERROR(BP95/_xlfn.XLOOKUP(CV$7,'Product Tgt'!$B:$B,'Product Tgt'!$D:$D),0),0)</f>
        <v>0</v>
      </c>
      <c r="CW95" s="11">
        <f>ROUND(IFERROR(BQ95/_xlfn.XLOOKUP(CW$7,'Product Tgt'!$B:$B,'Product Tgt'!$D:$D),0),0)</f>
        <v>0</v>
      </c>
      <c r="CX95" s="11">
        <f>ROUND(IFERROR(#REF!/_xlfn.XLOOKUP(CX$7,'Product Tgt'!$B:$B,'Product Tgt'!$D:$D),0),0)</f>
        <v>0</v>
      </c>
      <c r="CY95" s="11">
        <f>ROUND(IFERROR(#REF!/_xlfn.XLOOKUP(CY$7,'Product Tgt'!$B:$B,'Product Tgt'!$D:$D),0),0)</f>
        <v>0</v>
      </c>
      <c r="CZ95" s="11">
        <f>ROUND(IFERROR(#REF!/_xlfn.XLOOKUP(CZ$7,'Product Tgt'!$B:$B,'Product Tgt'!$D:$D),0),0)</f>
        <v>0</v>
      </c>
      <c r="DA95" s="10">
        <f>IFERROR(BR95*_xlfn.XLOOKUP(DA$7,'Product Tgt'!$B:$B,'Product Tgt'!$D:$D),0)</f>
        <v>0</v>
      </c>
      <c r="DB95">
        <f>IFERROR(BS95*_xlfn.XLOOKUP(DB$7,'Product Tgt'!$B:$B,'Product Tgt'!$D:$D),0)</f>
        <v>0</v>
      </c>
      <c r="DC95">
        <f>IFERROR(BT95*_xlfn.XLOOKUP(DC$7,'Product Tgt'!$B:$B,'Product Tgt'!$D:$D),0)</f>
        <v>0</v>
      </c>
      <c r="DD95">
        <f>IFERROR(BU95*_xlfn.XLOOKUP(DD$7,'Product Tgt'!$B:$B,'Product Tgt'!$D:$D),0)</f>
        <v>0</v>
      </c>
      <c r="DE95">
        <f>IFERROR(BV95*_xlfn.XLOOKUP(DE$7,'Product Tgt'!$B:$B,'Product Tgt'!$D:$D),0)</f>
        <v>0</v>
      </c>
      <c r="DF95">
        <f>IFERROR(BW95*_xlfn.XLOOKUP(DF$7,'Product Tgt'!$B:$B,'Product Tgt'!$D:$D),0)</f>
        <v>0</v>
      </c>
      <c r="DG95">
        <f>IFERROR(BX95*_xlfn.XLOOKUP(DG$7,'Product Tgt'!$B:$B,'Product Tgt'!$D:$D),0)</f>
        <v>0</v>
      </c>
      <c r="DH95">
        <f>IFERROR(BY95*_xlfn.XLOOKUP(DH$7,'Product Tgt'!$B:$B,'Product Tgt'!$D:$D),0)</f>
        <v>0</v>
      </c>
      <c r="DI95">
        <f>IFERROR(BZ95*_xlfn.XLOOKUP(DI$7,'Product Tgt'!$B:$B,'Product Tgt'!$D:$D),0)</f>
        <v>0</v>
      </c>
      <c r="DJ95">
        <f>IFERROR(CA95*_xlfn.XLOOKUP(DJ$7,'Product Tgt'!$B:$B,'Product Tgt'!$D:$D),0)</f>
        <v>0</v>
      </c>
      <c r="DK95">
        <f>IFERROR(CB95*_xlfn.XLOOKUP(DK$7,'Product Tgt'!$B:$B,'Product Tgt'!$D:$D),0)</f>
        <v>0</v>
      </c>
      <c r="DL95">
        <f>IFERROR(CC95*_xlfn.XLOOKUP(DL$7,'Product Tgt'!$B:$B,'Product Tgt'!$D:$D),0)</f>
        <v>0</v>
      </c>
      <c r="DM95">
        <f>IFERROR(CD95*_xlfn.XLOOKUP(DM$7,'Product Tgt'!$B:$B,'Product Tgt'!$D:$D),0)</f>
        <v>0</v>
      </c>
      <c r="DN95">
        <f>IFERROR(CE95*_xlfn.XLOOKUP(DN$7,'Product Tgt'!$B:$B,'Product Tgt'!$D:$D),0)</f>
        <v>0</v>
      </c>
      <c r="DO95">
        <f>IFERROR(CF95*_xlfn.XLOOKUP(DO$7,'Product Tgt'!$B:$B,'Product Tgt'!$D:$D),0)</f>
        <v>0</v>
      </c>
      <c r="DP95">
        <f>IFERROR(CG95*_xlfn.XLOOKUP(DP$7,'Product Tgt'!$B:$B,'Product Tgt'!$D:$D),0)</f>
        <v>0</v>
      </c>
      <c r="DQ95">
        <f>IFERROR(CH95*_xlfn.XLOOKUP(DQ$7,'Product Tgt'!$B:$B,'Product Tgt'!$D:$D),0)</f>
        <v>0</v>
      </c>
      <c r="DR95">
        <f>IFERROR(CI95*_xlfn.XLOOKUP(DR$7,'Product Tgt'!$B:$B,'Product Tgt'!$D:$D),0)</f>
        <v>0</v>
      </c>
      <c r="DS95">
        <f>IFERROR(CJ95*_xlfn.XLOOKUP(DS$7,'Product Tgt'!$B:$B,'Product Tgt'!$D:$D),0)</f>
        <v>0</v>
      </c>
      <c r="DT95">
        <f>IFERROR(CK95*_xlfn.XLOOKUP(DT$7,'Product Tgt'!$B:$B,'Product Tgt'!$D:$D),0)</f>
        <v>0</v>
      </c>
      <c r="DU95">
        <f>IFERROR(CL95*_xlfn.XLOOKUP(DU$7,'Product Tgt'!$B:$B,'Product Tgt'!$D:$D),0)</f>
        <v>0</v>
      </c>
      <c r="DV95">
        <f>IFERROR(CM95*_xlfn.XLOOKUP(DV$7,'Product Tgt'!$B:$B,'Product Tgt'!$D:$D),0)</f>
        <v>0</v>
      </c>
      <c r="DW95">
        <f>IFERROR(CN95*_xlfn.XLOOKUP(DW$7,'Product Tgt'!$B:$B,'Product Tgt'!$D:$D),0)</f>
        <v>0</v>
      </c>
      <c r="DX95">
        <f>IFERROR(CO95*_xlfn.XLOOKUP(DX$7,'Product Tgt'!$B:$B,'Product Tgt'!$D:$D),0)</f>
        <v>0</v>
      </c>
      <c r="DY95">
        <f>IFERROR(CP95*_xlfn.XLOOKUP(DY$7,'Product Tgt'!$B:$B,'Product Tgt'!$D:$D),0)</f>
        <v>0</v>
      </c>
      <c r="DZ95">
        <f>IFERROR(CQ95*_xlfn.XLOOKUP(DZ$7,'Product Tgt'!$B:$B,'Product Tgt'!$D:$D),0)</f>
        <v>0</v>
      </c>
      <c r="EA95">
        <f>IFERROR(CR95*_xlfn.XLOOKUP(EA$7,'Product Tgt'!$B:$B,'Product Tgt'!$D:$D),0)</f>
        <v>0</v>
      </c>
      <c r="EB95">
        <f>IFERROR(CS95*_xlfn.XLOOKUP(EB$7,'Product Tgt'!$B:$B,'Product Tgt'!$D:$D),0)</f>
        <v>0</v>
      </c>
      <c r="EC95">
        <f>IFERROR(CT95*_xlfn.XLOOKUP(EC$7,'Product Tgt'!$B:$B,'Product Tgt'!$D:$D),0)</f>
        <v>0</v>
      </c>
      <c r="ED95">
        <f>IFERROR(CU95*_xlfn.XLOOKUP(ED$7,'Product Tgt'!$B:$B,'Product Tgt'!$D:$D),0)</f>
        <v>0</v>
      </c>
      <c r="EE95">
        <f>IFERROR(CV95*_xlfn.XLOOKUP(EE$7,'Product Tgt'!$B:$B,'Product Tgt'!$D:$D),0)</f>
        <v>0</v>
      </c>
      <c r="EF95">
        <f>IFERROR(CW95*_xlfn.XLOOKUP(EF$7,'Product Tgt'!$B:$B,'Product Tgt'!$D:$D),0)</f>
        <v>0</v>
      </c>
      <c r="EG95">
        <f>IFERROR(CX95*_xlfn.XLOOKUP(EG$7,'Product Tgt'!$B:$B,'Product Tgt'!$D:$D),0)</f>
        <v>0</v>
      </c>
      <c r="EH95">
        <f>IFERROR(CY95*_xlfn.XLOOKUP(EH$7,'Product Tgt'!$B:$B,'Product Tgt'!$D:$D),0)</f>
        <v>0</v>
      </c>
      <c r="EI95">
        <f>IFERROR(CZ95*_xlfn.XLOOKUP(EI$7,'Product Tgt'!$B:$B,'Product Tgt'!$D:$D),0)</f>
        <v>0</v>
      </c>
    </row>
    <row r="96" spans="2:139" x14ac:dyDescent="0.35">
      <c r="B96" s="7" t="s">
        <v>182</v>
      </c>
      <c r="C96" s="3">
        <f>_xlfn.XLOOKUP($B96,'Terr Target'!$A:$A,'Terr Target'!$E:$E)</f>
        <v>327451.53210526245</v>
      </c>
      <c r="D96" s="3">
        <f t="shared" si="10"/>
        <v>327455</v>
      </c>
      <c r="E96" s="4">
        <f t="shared" si="11"/>
        <v>3.4678947375505231</v>
      </c>
      <c r="F96" s="9">
        <f t="shared" si="7"/>
        <v>1.0590446740927832E-5</v>
      </c>
      <c r="G96" s="5">
        <f t="shared" si="12"/>
        <v>0.9999894095532591</v>
      </c>
      <c r="H96" s="38">
        <v>34206.18785874515</v>
      </c>
      <c r="I96" s="11">
        <v>70948.072839136876</v>
      </c>
      <c r="J96" s="11">
        <v>33965.776194426071</v>
      </c>
      <c r="K96" s="11">
        <v>41668.045197732565</v>
      </c>
      <c r="L96" s="11">
        <v>34732.013279931918</v>
      </c>
      <c r="M96" s="11">
        <v>26145.749067656696</v>
      </c>
      <c r="N96" s="11">
        <v>329.67111046191854</v>
      </c>
      <c r="O96" s="11">
        <v>4303.5882410567783</v>
      </c>
      <c r="P96" s="11">
        <v>990.0063166582313</v>
      </c>
      <c r="Q96" s="11">
        <v>770.5565714411108</v>
      </c>
      <c r="R96" s="11">
        <v>5693.062602979242</v>
      </c>
      <c r="S96" s="11">
        <v>11898.634694641347</v>
      </c>
      <c r="T96" s="11">
        <v>0</v>
      </c>
      <c r="U96" s="11">
        <v>1485.4960377708599</v>
      </c>
      <c r="V96" s="11">
        <v>12115.44309903368</v>
      </c>
      <c r="W96" s="11">
        <v>17288.896368631857</v>
      </c>
      <c r="X96" s="11">
        <v>2461.6303501726061</v>
      </c>
      <c r="Y96" s="11">
        <v>2381.1886132493537</v>
      </c>
      <c r="Z96" s="11">
        <v>263.16095691149894</v>
      </c>
      <c r="AA96" s="11">
        <v>3579.7119072747482</v>
      </c>
      <c r="AB96" s="11">
        <v>1249.1953324798274</v>
      </c>
      <c r="AC96" s="11">
        <v>287.96572901794087</v>
      </c>
      <c r="AD96" s="11">
        <v>4248.9641212178913</v>
      </c>
      <c r="AE96" s="11">
        <v>6327.2822965094447</v>
      </c>
      <c r="AF96" s="11">
        <v>528.24830525160075</v>
      </c>
      <c r="AG96" s="11">
        <v>10052.972968690839</v>
      </c>
      <c r="AH96" s="11">
        <v>1019.7760151270514</v>
      </c>
      <c r="AI96" s="11">
        <v>5712.6542024051869</v>
      </c>
      <c r="AJ96" s="11">
        <v>4399.9376020450918</v>
      </c>
      <c r="AK96" s="11">
        <v>741.84936721383951</v>
      </c>
      <c r="AL96" s="49">
        <v>1087.1997151281489</v>
      </c>
      <c r="AM96" s="41">
        <f>IFERROR(ROUND(_xlfn.XLOOKUP(AM$7,'Product Tgt'!$B:$B,'Product Tgt'!$G:$G)*H96/H$121,0),0)</f>
        <v>33254</v>
      </c>
      <c r="AN96" s="41">
        <f>IFERROR(ROUND(_xlfn.XLOOKUP(AN$7,'Product Tgt'!$B:$B,'Product Tgt'!$G:$G)*I96/I$121,0),0)</f>
        <v>69841</v>
      </c>
      <c r="AO96" s="41">
        <f>IFERROR(ROUND(_xlfn.XLOOKUP(AO$7,'Product Tgt'!$B:$B,'Product Tgt'!$G:$G)*J96/J$121,0),0)</f>
        <v>32909</v>
      </c>
      <c r="AP96" s="41">
        <f>IFERROR(ROUND(_xlfn.XLOOKUP(AP$7,'Product Tgt'!$B:$B,'Product Tgt'!$G:$G)*K96/K$121,0),0)</f>
        <v>40648</v>
      </c>
      <c r="AQ96" s="41">
        <f>IFERROR(ROUND(_xlfn.XLOOKUP(AQ$7,'Product Tgt'!$B:$B,'Product Tgt'!$G:$G)*L96/L$121,0),0)</f>
        <v>33584</v>
      </c>
      <c r="AR96" s="41">
        <f>IFERROR(ROUND(_xlfn.XLOOKUP(AR$7,'Product Tgt'!$B:$B,'Product Tgt'!$G:$G)*M96/M$121,0),0)</f>
        <v>25330</v>
      </c>
      <c r="AS96" s="41">
        <f>IFERROR(ROUND(_xlfn.XLOOKUP(AS$7,'Product Tgt'!$B:$B,'Product Tgt'!$G:$G)*N96/N$121,0),0)</f>
        <v>305</v>
      </c>
      <c r="AT96" s="41">
        <f>IFERROR(ROUND(_xlfn.XLOOKUP(AT$7,'Product Tgt'!$B:$B,'Product Tgt'!$G:$G)*O96/O$121,0),0)</f>
        <v>3874</v>
      </c>
      <c r="AU96" s="41">
        <f>IFERROR(ROUND(_xlfn.XLOOKUP(AU$7,'Product Tgt'!$B:$B,'Product Tgt'!$G:$G)*P96/P$121,0),0)</f>
        <v>422</v>
      </c>
      <c r="AV96" s="41">
        <f>IFERROR(ROUND(_xlfn.XLOOKUP(AV$7,'Product Tgt'!$B:$B,'Product Tgt'!$G:$G)*Q96/Q$121,0),0)</f>
        <v>578</v>
      </c>
      <c r="AW96" s="41">
        <f>IFERROR(ROUND(_xlfn.XLOOKUP(AW$7,'Product Tgt'!$B:$B,'Product Tgt'!$G:$G)*R96/R$121,0),0)</f>
        <v>5483</v>
      </c>
      <c r="AX96" s="41">
        <f>IFERROR(ROUND(_xlfn.XLOOKUP(AX$7,'Product Tgt'!$B:$B,'Product Tgt'!$G:$G)*S96/S$121,0),0)</f>
        <v>11460</v>
      </c>
      <c r="AY96" s="41">
        <f>IFERROR(ROUND(_xlfn.XLOOKUP(AY$7,'Product Tgt'!$B:$B,'Product Tgt'!$G:$G)*T96/T$121,0),0)</f>
        <v>0</v>
      </c>
      <c r="AZ96" s="41">
        <f>IFERROR(ROUND(_xlfn.XLOOKUP(AZ$7,'Product Tgt'!$B:$B,'Product Tgt'!$G:$G)*U96/U$121,0),0)</f>
        <v>1422</v>
      </c>
      <c r="BA96" s="41">
        <f>IFERROR(ROUND(_xlfn.XLOOKUP(BA$7,'Product Tgt'!$B:$B,'Product Tgt'!$G:$G)*V96/V$121,0),0)</f>
        <v>11665</v>
      </c>
      <c r="BB96" s="41">
        <f>IFERROR(ROUND(_xlfn.XLOOKUP(BB$7,'Product Tgt'!$B:$B,'Product Tgt'!$G:$G)*W96/W$121,0),0)</f>
        <v>16550</v>
      </c>
      <c r="BC96" s="41">
        <f>IFERROR(ROUND(_xlfn.XLOOKUP(BC$7,'Product Tgt'!$B:$B,'Product Tgt'!$G:$G)*X96/X$121,0),0)</f>
        <v>2382</v>
      </c>
      <c r="BD96" s="41">
        <f>IFERROR(ROUND(_xlfn.XLOOKUP(BD$7,'Product Tgt'!$B:$B,'Product Tgt'!$G:$G)*Y96/Y$121,0),0)</f>
        <v>2303</v>
      </c>
      <c r="BE96" s="41">
        <f>IFERROR(ROUND(_xlfn.XLOOKUP(BE$7,'Product Tgt'!$B:$B,'Product Tgt'!$G:$G)*Z96/Z$121,0),0)</f>
        <v>250</v>
      </c>
      <c r="BF96" s="41">
        <f>IFERROR(ROUND(_xlfn.XLOOKUP(BF$7,'Product Tgt'!$B:$B,'Product Tgt'!$G:$G)*AA96/AA$121,0),0)</f>
        <v>2901</v>
      </c>
      <c r="BG96" s="41">
        <f>IFERROR(ROUND(_xlfn.XLOOKUP(BG$7,'Product Tgt'!$B:$B,'Product Tgt'!$G:$G)*AB96/AB$121,0),0)</f>
        <v>1001</v>
      </c>
      <c r="BH96" s="41">
        <f>IFERROR(ROUND(_xlfn.XLOOKUP(BH$7,'Product Tgt'!$B:$B,'Product Tgt'!$G:$G)*AC96/AC$121,0),0)</f>
        <v>246</v>
      </c>
      <c r="BI96" s="41">
        <f>IFERROR(ROUND(_xlfn.XLOOKUP(BI$7,'Product Tgt'!$B:$B,'Product Tgt'!$G:$G)*AD96/AD$121,0),0)</f>
        <v>3699</v>
      </c>
      <c r="BJ96" s="41">
        <f>IFERROR(ROUND(_xlfn.XLOOKUP(BJ$7,'Product Tgt'!$B:$B,'Product Tgt'!$G:$G)*AE96/AE$121,0),0)</f>
        <v>5889</v>
      </c>
      <c r="BK96" s="41">
        <f>IFERROR(ROUND(_xlfn.XLOOKUP(BK$7,'Product Tgt'!$B:$B,'Product Tgt'!$G:$G)*AF96/AF$121,0),0)</f>
        <v>590</v>
      </c>
      <c r="BL96" s="41">
        <f>IFERROR(ROUND(_xlfn.XLOOKUP(BL$7,'Product Tgt'!$B:$B,'Product Tgt'!$G:$G)*AG96/AG$121,0),0)</f>
        <v>9602</v>
      </c>
      <c r="BM96" s="41">
        <f>IFERROR(ROUND(_xlfn.XLOOKUP(BM$7,'Product Tgt'!$B:$B,'Product Tgt'!$G:$G)*AH96/AH$121,0),0)</f>
        <v>800</v>
      </c>
      <c r="BN96" s="41">
        <f>IFERROR(ROUND(_xlfn.XLOOKUP(BN$7,'Product Tgt'!$B:$B,'Product Tgt'!$G:$G)*AI96/AI$121,0),0)</f>
        <v>5246</v>
      </c>
      <c r="BO96" s="41">
        <f>IFERROR(ROUND(_xlfn.XLOOKUP(BO$7,'Product Tgt'!$B:$B,'Product Tgt'!$G:$G)*AJ96/AJ$121,0),0)</f>
        <v>3806</v>
      </c>
      <c r="BP96" s="41">
        <f>IFERROR(ROUND(_xlfn.XLOOKUP(BP$7,'Product Tgt'!$B:$B,'Product Tgt'!$G:$G)*AK96/AK$121,0),0)</f>
        <v>565</v>
      </c>
      <c r="BQ96" s="41">
        <f>IFERROR(ROUND(_xlfn.XLOOKUP(BQ$7,'Product Tgt'!$B:$B,'Product Tgt'!$G:$G)*AL96/AL$121,0),0)</f>
        <v>850</v>
      </c>
      <c r="BR96" s="25">
        <f>ROUND(IFERROR(AM96/_xlfn.XLOOKUP(BR$7,'Product Tgt'!$B:$B,'Product Tgt'!$D:$D),0),0)</f>
        <v>0</v>
      </c>
      <c r="BS96" s="11">
        <f>ROUND(IFERROR(AN96/_xlfn.XLOOKUP(BS$7,'Product Tgt'!$B:$B,'Product Tgt'!$D:$D),0),0)</f>
        <v>0</v>
      </c>
      <c r="BT96" s="11">
        <f>ROUND(IFERROR(AO96/_xlfn.XLOOKUP(BT$7,'Product Tgt'!$B:$B,'Product Tgt'!$D:$D),0),0)</f>
        <v>0</v>
      </c>
      <c r="BU96" s="11">
        <f>ROUND(IFERROR(AP96/_xlfn.XLOOKUP(BU$7,'Product Tgt'!$B:$B,'Product Tgt'!$D:$D),0),0)</f>
        <v>0</v>
      </c>
      <c r="BV96" s="11">
        <f>ROUND(IFERROR(AQ96/_xlfn.XLOOKUP(BV$7,'Product Tgt'!$B:$B,'Product Tgt'!$D:$D),0),0)</f>
        <v>0</v>
      </c>
      <c r="BW96" s="11">
        <f>ROUND(IFERROR(AU96/_xlfn.XLOOKUP(BW$7,'Product Tgt'!$B:$B,'Product Tgt'!$D:$D),0),0)</f>
        <v>0</v>
      </c>
      <c r="BX96" s="11">
        <f>ROUND(IFERROR(#REF!/_xlfn.XLOOKUP(BX$7,'Product Tgt'!$B:$B,'Product Tgt'!$D:$D),0),0)</f>
        <v>0</v>
      </c>
      <c r="BY96" s="11">
        <f>ROUND(IFERROR(#REF!/_xlfn.XLOOKUP(BY$7,'Product Tgt'!$B:$B,'Product Tgt'!$D:$D),0),0)</f>
        <v>0</v>
      </c>
      <c r="BZ96" s="11">
        <f>ROUND(IFERROR(#REF!/_xlfn.XLOOKUP(BZ$7,'Product Tgt'!$B:$B,'Product Tgt'!$D:$D),0),0)</f>
        <v>0</v>
      </c>
      <c r="CA96" s="11">
        <f>ROUND(IFERROR(#REF!/_xlfn.XLOOKUP(CA$7,'Product Tgt'!$B:$B,'Product Tgt'!$D:$D),0),0)</f>
        <v>0</v>
      </c>
      <c r="CB96" s="11">
        <f>ROUND(IFERROR(AV96/_xlfn.XLOOKUP(CB$7,'Product Tgt'!$B:$B,'Product Tgt'!$D:$D),0),0)</f>
        <v>0</v>
      </c>
      <c r="CC96" s="11">
        <f>ROUND(IFERROR(AW96/_xlfn.XLOOKUP(CC$7,'Product Tgt'!$B:$B,'Product Tgt'!$D:$D),0),0)</f>
        <v>0</v>
      </c>
      <c r="CD96" s="11">
        <f>ROUND(IFERROR(AX96/_xlfn.XLOOKUP(CD$7,'Product Tgt'!$B:$B,'Product Tgt'!$D:$D),0),0)</f>
        <v>0</v>
      </c>
      <c r="CE96" s="11">
        <f>ROUND(IFERROR(AY96/_xlfn.XLOOKUP(CE$7,'Product Tgt'!$B:$B,'Product Tgt'!$D:$D),0),0)</f>
        <v>0</v>
      </c>
      <c r="CF96" s="11">
        <f>ROUND(IFERROR(AZ96/_xlfn.XLOOKUP(CF$7,'Product Tgt'!$B:$B,'Product Tgt'!$D:$D),0),0)</f>
        <v>0</v>
      </c>
      <c r="CG96" s="11">
        <f>ROUND(IFERROR(BA96/_xlfn.XLOOKUP(CG$7,'Product Tgt'!$B:$B,'Product Tgt'!$D:$D),0),0)</f>
        <v>0</v>
      </c>
      <c r="CH96" s="11">
        <f>ROUND(IFERROR(BB96/_xlfn.XLOOKUP(CH$7,'Product Tgt'!$B:$B,'Product Tgt'!$D:$D),0),0)</f>
        <v>0</v>
      </c>
      <c r="CI96" s="11">
        <f>ROUND(IFERROR(BC96/_xlfn.XLOOKUP(CI$7,'Product Tgt'!$B:$B,'Product Tgt'!$D:$D),0),0)</f>
        <v>0</v>
      </c>
      <c r="CJ96" s="11">
        <f>ROUND(IFERROR(BD96/_xlfn.XLOOKUP(CJ$7,'Product Tgt'!$B:$B,'Product Tgt'!$D:$D),0),0)</f>
        <v>0</v>
      </c>
      <c r="CK96" s="11">
        <f>ROUND(IFERROR(BE96/_xlfn.XLOOKUP(CK$7,'Product Tgt'!$B:$B,'Product Tgt'!$D:$D),0),0)</f>
        <v>0</v>
      </c>
      <c r="CL96" s="11">
        <f>ROUND(IFERROR(BF96/_xlfn.XLOOKUP(CL$7,'Product Tgt'!$B:$B,'Product Tgt'!$D:$D),0),0)</f>
        <v>0</v>
      </c>
      <c r="CM96" s="11">
        <f>ROUND(IFERROR(BG96/_xlfn.XLOOKUP(CM$7,'Product Tgt'!$B:$B,'Product Tgt'!$D:$D),0),0)</f>
        <v>0</v>
      </c>
      <c r="CN96" s="11">
        <f>ROUND(IFERROR(BH96/_xlfn.XLOOKUP(CN$7,'Product Tgt'!$B:$B,'Product Tgt'!$D:$D),0),0)</f>
        <v>0</v>
      </c>
      <c r="CO96" s="11">
        <f>ROUND(IFERROR(BI96/_xlfn.XLOOKUP(CO$7,'Product Tgt'!$B:$B,'Product Tgt'!$D:$D),0),0)</f>
        <v>0</v>
      </c>
      <c r="CP96" s="11">
        <f>ROUND(IFERROR(BJ96/_xlfn.XLOOKUP(CP$7,'Product Tgt'!$B:$B,'Product Tgt'!$D:$D),0),0)</f>
        <v>0</v>
      </c>
      <c r="CQ96" s="11">
        <f>ROUND(IFERROR(BK96/_xlfn.XLOOKUP(CQ$7,'Product Tgt'!$B:$B,'Product Tgt'!$D:$D),0),0)</f>
        <v>0</v>
      </c>
      <c r="CR96" s="11">
        <f>ROUND(IFERROR(BL96/_xlfn.XLOOKUP(CR$7,'Product Tgt'!$B:$B,'Product Tgt'!$D:$D),0),0)</f>
        <v>0</v>
      </c>
      <c r="CS96" s="11">
        <f>ROUND(IFERROR(BM96/_xlfn.XLOOKUP(CS$7,'Product Tgt'!$B:$B,'Product Tgt'!$D:$D),0),0)</f>
        <v>0</v>
      </c>
      <c r="CT96" s="11">
        <f>ROUND(IFERROR(BN96/_xlfn.XLOOKUP(CT$7,'Product Tgt'!$B:$B,'Product Tgt'!$D:$D),0),0)</f>
        <v>0</v>
      </c>
      <c r="CU96" s="11">
        <f>ROUND(IFERROR(BO96/_xlfn.XLOOKUP(CU$7,'Product Tgt'!$B:$B,'Product Tgt'!$D:$D),0),0)</f>
        <v>0</v>
      </c>
      <c r="CV96" s="11">
        <f>ROUND(IFERROR(BP96/_xlfn.XLOOKUP(CV$7,'Product Tgt'!$B:$B,'Product Tgt'!$D:$D),0),0)</f>
        <v>0</v>
      </c>
      <c r="CW96" s="11">
        <f>ROUND(IFERROR(BQ96/_xlfn.XLOOKUP(CW$7,'Product Tgt'!$B:$B,'Product Tgt'!$D:$D),0),0)</f>
        <v>0</v>
      </c>
      <c r="CX96" s="11">
        <f>ROUND(IFERROR(#REF!/_xlfn.XLOOKUP(CX$7,'Product Tgt'!$B:$B,'Product Tgt'!$D:$D),0),0)</f>
        <v>0</v>
      </c>
      <c r="CY96" s="11">
        <f>ROUND(IFERROR(#REF!/_xlfn.XLOOKUP(CY$7,'Product Tgt'!$B:$B,'Product Tgt'!$D:$D),0),0)</f>
        <v>0</v>
      </c>
      <c r="CZ96" s="11">
        <f>ROUND(IFERROR(#REF!/_xlfn.XLOOKUP(CZ$7,'Product Tgt'!$B:$B,'Product Tgt'!$D:$D),0),0)</f>
        <v>0</v>
      </c>
      <c r="DA96" s="10">
        <f>IFERROR(BR96*_xlfn.XLOOKUP(DA$7,'Product Tgt'!$B:$B,'Product Tgt'!$D:$D),0)</f>
        <v>0</v>
      </c>
      <c r="DB96">
        <f>IFERROR(BS96*_xlfn.XLOOKUP(DB$7,'Product Tgt'!$B:$B,'Product Tgt'!$D:$D),0)</f>
        <v>0</v>
      </c>
      <c r="DC96">
        <f>IFERROR(BT96*_xlfn.XLOOKUP(DC$7,'Product Tgt'!$B:$B,'Product Tgt'!$D:$D),0)</f>
        <v>0</v>
      </c>
      <c r="DD96">
        <f>IFERROR(BU96*_xlfn.XLOOKUP(DD$7,'Product Tgt'!$B:$B,'Product Tgt'!$D:$D),0)</f>
        <v>0</v>
      </c>
      <c r="DE96">
        <f>IFERROR(BV96*_xlfn.XLOOKUP(DE$7,'Product Tgt'!$B:$B,'Product Tgt'!$D:$D),0)</f>
        <v>0</v>
      </c>
      <c r="DF96">
        <f>IFERROR(BW96*_xlfn.XLOOKUP(DF$7,'Product Tgt'!$B:$B,'Product Tgt'!$D:$D),0)</f>
        <v>0</v>
      </c>
      <c r="DG96">
        <f>IFERROR(BX96*_xlfn.XLOOKUP(DG$7,'Product Tgt'!$B:$B,'Product Tgt'!$D:$D),0)</f>
        <v>0</v>
      </c>
      <c r="DH96">
        <f>IFERROR(BY96*_xlfn.XLOOKUP(DH$7,'Product Tgt'!$B:$B,'Product Tgt'!$D:$D),0)</f>
        <v>0</v>
      </c>
      <c r="DI96">
        <f>IFERROR(BZ96*_xlfn.XLOOKUP(DI$7,'Product Tgt'!$B:$B,'Product Tgt'!$D:$D),0)</f>
        <v>0</v>
      </c>
      <c r="DJ96">
        <f>IFERROR(CA96*_xlfn.XLOOKUP(DJ$7,'Product Tgt'!$B:$B,'Product Tgt'!$D:$D),0)</f>
        <v>0</v>
      </c>
      <c r="DK96">
        <f>IFERROR(CB96*_xlfn.XLOOKUP(DK$7,'Product Tgt'!$B:$B,'Product Tgt'!$D:$D),0)</f>
        <v>0</v>
      </c>
      <c r="DL96">
        <f>IFERROR(CC96*_xlfn.XLOOKUP(DL$7,'Product Tgt'!$B:$B,'Product Tgt'!$D:$D),0)</f>
        <v>0</v>
      </c>
      <c r="DM96">
        <f>IFERROR(CD96*_xlfn.XLOOKUP(DM$7,'Product Tgt'!$B:$B,'Product Tgt'!$D:$D),0)</f>
        <v>0</v>
      </c>
      <c r="DN96">
        <f>IFERROR(CE96*_xlfn.XLOOKUP(DN$7,'Product Tgt'!$B:$B,'Product Tgt'!$D:$D),0)</f>
        <v>0</v>
      </c>
      <c r="DO96">
        <f>IFERROR(CF96*_xlfn.XLOOKUP(DO$7,'Product Tgt'!$B:$B,'Product Tgt'!$D:$D),0)</f>
        <v>0</v>
      </c>
      <c r="DP96">
        <f>IFERROR(CG96*_xlfn.XLOOKUP(DP$7,'Product Tgt'!$B:$B,'Product Tgt'!$D:$D),0)</f>
        <v>0</v>
      </c>
      <c r="DQ96">
        <f>IFERROR(CH96*_xlfn.XLOOKUP(DQ$7,'Product Tgt'!$B:$B,'Product Tgt'!$D:$D),0)</f>
        <v>0</v>
      </c>
      <c r="DR96">
        <f>IFERROR(CI96*_xlfn.XLOOKUP(DR$7,'Product Tgt'!$B:$B,'Product Tgt'!$D:$D),0)</f>
        <v>0</v>
      </c>
      <c r="DS96">
        <f>IFERROR(CJ96*_xlfn.XLOOKUP(DS$7,'Product Tgt'!$B:$B,'Product Tgt'!$D:$D),0)</f>
        <v>0</v>
      </c>
      <c r="DT96">
        <f>IFERROR(CK96*_xlfn.XLOOKUP(DT$7,'Product Tgt'!$B:$B,'Product Tgt'!$D:$D),0)</f>
        <v>0</v>
      </c>
      <c r="DU96">
        <f>IFERROR(CL96*_xlfn.XLOOKUP(DU$7,'Product Tgt'!$B:$B,'Product Tgt'!$D:$D),0)</f>
        <v>0</v>
      </c>
      <c r="DV96">
        <f>IFERROR(CM96*_xlfn.XLOOKUP(DV$7,'Product Tgt'!$B:$B,'Product Tgt'!$D:$D),0)</f>
        <v>0</v>
      </c>
      <c r="DW96">
        <f>IFERROR(CN96*_xlfn.XLOOKUP(DW$7,'Product Tgt'!$B:$B,'Product Tgt'!$D:$D),0)</f>
        <v>0</v>
      </c>
      <c r="DX96">
        <f>IFERROR(CO96*_xlfn.XLOOKUP(DX$7,'Product Tgt'!$B:$B,'Product Tgt'!$D:$D),0)</f>
        <v>0</v>
      </c>
      <c r="DY96">
        <f>IFERROR(CP96*_xlfn.XLOOKUP(DY$7,'Product Tgt'!$B:$B,'Product Tgt'!$D:$D),0)</f>
        <v>0</v>
      </c>
      <c r="DZ96">
        <f>IFERROR(CQ96*_xlfn.XLOOKUP(DZ$7,'Product Tgt'!$B:$B,'Product Tgt'!$D:$D),0)</f>
        <v>0</v>
      </c>
      <c r="EA96">
        <f>IFERROR(CR96*_xlfn.XLOOKUP(EA$7,'Product Tgt'!$B:$B,'Product Tgt'!$D:$D),0)</f>
        <v>0</v>
      </c>
      <c r="EB96">
        <f>IFERROR(CS96*_xlfn.XLOOKUP(EB$7,'Product Tgt'!$B:$B,'Product Tgt'!$D:$D),0)</f>
        <v>0</v>
      </c>
      <c r="EC96">
        <f>IFERROR(CT96*_xlfn.XLOOKUP(EC$7,'Product Tgt'!$B:$B,'Product Tgt'!$D:$D),0)</f>
        <v>0</v>
      </c>
      <c r="ED96">
        <f>IFERROR(CU96*_xlfn.XLOOKUP(ED$7,'Product Tgt'!$B:$B,'Product Tgt'!$D:$D),0)</f>
        <v>0</v>
      </c>
      <c r="EE96">
        <f>IFERROR(CV96*_xlfn.XLOOKUP(EE$7,'Product Tgt'!$B:$B,'Product Tgt'!$D:$D),0)</f>
        <v>0</v>
      </c>
      <c r="EF96">
        <f>IFERROR(CW96*_xlfn.XLOOKUP(EF$7,'Product Tgt'!$B:$B,'Product Tgt'!$D:$D),0)</f>
        <v>0</v>
      </c>
      <c r="EG96">
        <f>IFERROR(CX96*_xlfn.XLOOKUP(EG$7,'Product Tgt'!$B:$B,'Product Tgt'!$D:$D),0)</f>
        <v>0</v>
      </c>
      <c r="EH96">
        <f>IFERROR(CY96*_xlfn.XLOOKUP(EH$7,'Product Tgt'!$B:$B,'Product Tgt'!$D:$D),0)</f>
        <v>0</v>
      </c>
      <c r="EI96">
        <f>IFERROR(CZ96*_xlfn.XLOOKUP(EI$7,'Product Tgt'!$B:$B,'Product Tgt'!$D:$D),0)</f>
        <v>0</v>
      </c>
    </row>
    <row r="97" spans="2:139" x14ac:dyDescent="0.35">
      <c r="B97" s="7" t="s">
        <v>183</v>
      </c>
      <c r="C97" s="3">
        <f>_xlfn.XLOOKUP($B97,'Terr Target'!$A:$A,'Terr Target'!$E:$E)</f>
        <v>638468.10660153301</v>
      </c>
      <c r="D97" s="3">
        <f t="shared" si="10"/>
        <v>638471</v>
      </c>
      <c r="E97" s="4">
        <f t="shared" si="11"/>
        <v>2.8933984669856727</v>
      </c>
      <c r="F97" s="9">
        <f t="shared" si="7"/>
        <v>4.5317617667610159E-6</v>
      </c>
      <c r="G97" s="5">
        <f t="shared" si="12"/>
        <v>0.99999546823823326</v>
      </c>
      <c r="H97" s="38">
        <v>80224.813826114289</v>
      </c>
      <c r="I97" s="11">
        <v>141532.94129808826</v>
      </c>
      <c r="J97" s="11">
        <v>53742.5481818345</v>
      </c>
      <c r="K97" s="11">
        <v>54376.778464635958</v>
      </c>
      <c r="L97" s="11">
        <v>63718.427571022068</v>
      </c>
      <c r="M97" s="11">
        <v>59434.082429146176</v>
      </c>
      <c r="N97" s="11">
        <v>754.71790646595969</v>
      </c>
      <c r="O97" s="11">
        <v>6050.7468742800129</v>
      </c>
      <c r="P97" s="11">
        <v>1738.4827755612803</v>
      </c>
      <c r="Q97" s="11">
        <v>1311.3247272321976</v>
      </c>
      <c r="R97" s="11">
        <v>9213.0864919942469</v>
      </c>
      <c r="S97" s="11">
        <v>22766.724442332943</v>
      </c>
      <c r="T97" s="11">
        <v>983.74495543138141</v>
      </c>
      <c r="U97" s="11">
        <v>1200.8038923693084</v>
      </c>
      <c r="V97" s="11">
        <v>25053.420429310063</v>
      </c>
      <c r="W97" s="11">
        <v>35160.610518513116</v>
      </c>
      <c r="X97" s="11">
        <v>8542.0059740731758</v>
      </c>
      <c r="Y97" s="11">
        <v>11668.401428377045</v>
      </c>
      <c r="Z97" s="11">
        <v>534.73166092896156</v>
      </c>
      <c r="AA97" s="11">
        <v>10865.920598952773</v>
      </c>
      <c r="AB97" s="11">
        <v>4004.6975591768723</v>
      </c>
      <c r="AC97" s="11">
        <v>559.58391352515719</v>
      </c>
      <c r="AD97" s="11">
        <v>5273.1182974519352</v>
      </c>
      <c r="AE97" s="11">
        <v>8300.015129883297</v>
      </c>
      <c r="AF97" s="11">
        <v>1023.5424128139911</v>
      </c>
      <c r="AG97" s="11">
        <v>22971.407037132616</v>
      </c>
      <c r="AH97" s="11">
        <v>2455.3348500467382</v>
      </c>
      <c r="AI97" s="11">
        <v>12786.603442726306</v>
      </c>
      <c r="AJ97" s="11">
        <v>10884.818666031129</v>
      </c>
      <c r="AK97" s="11">
        <v>3126.7638570867457</v>
      </c>
      <c r="AL97" s="49">
        <v>6202.4491661692909</v>
      </c>
      <c r="AM97" s="41">
        <f>IFERROR(ROUND(_xlfn.XLOOKUP(AM$7,'Product Tgt'!$B:$B,'Product Tgt'!$G:$G)*H97/H$121,0),0)</f>
        <v>77992</v>
      </c>
      <c r="AN97" s="41">
        <f>IFERROR(ROUND(_xlfn.XLOOKUP(AN$7,'Product Tgt'!$B:$B,'Product Tgt'!$G:$G)*I97/I$121,0),0)</f>
        <v>139325</v>
      </c>
      <c r="AO97" s="41">
        <f>IFERROR(ROUND(_xlfn.XLOOKUP(AO$7,'Product Tgt'!$B:$B,'Product Tgt'!$G:$G)*J97/J$121,0),0)</f>
        <v>52071</v>
      </c>
      <c r="AP97" s="41">
        <f>IFERROR(ROUND(_xlfn.XLOOKUP(AP$7,'Product Tgt'!$B:$B,'Product Tgt'!$G:$G)*K97/K$121,0),0)</f>
        <v>53046</v>
      </c>
      <c r="AQ97" s="41">
        <f>IFERROR(ROUND(_xlfn.XLOOKUP(AQ$7,'Product Tgt'!$B:$B,'Product Tgt'!$G:$G)*L97/L$121,0),0)</f>
        <v>61612</v>
      </c>
      <c r="AR97" s="41">
        <f>IFERROR(ROUND(_xlfn.XLOOKUP(AR$7,'Product Tgt'!$B:$B,'Product Tgt'!$G:$G)*M97/M$121,0),0)</f>
        <v>57579</v>
      </c>
      <c r="AS97" s="41">
        <f>IFERROR(ROUND(_xlfn.XLOOKUP(AS$7,'Product Tgt'!$B:$B,'Product Tgt'!$G:$G)*N97/N$121,0),0)</f>
        <v>697</v>
      </c>
      <c r="AT97" s="41">
        <f>IFERROR(ROUND(_xlfn.XLOOKUP(AT$7,'Product Tgt'!$B:$B,'Product Tgt'!$G:$G)*O97/O$121,0),0)</f>
        <v>5446</v>
      </c>
      <c r="AU97" s="41">
        <f>IFERROR(ROUND(_xlfn.XLOOKUP(AU$7,'Product Tgt'!$B:$B,'Product Tgt'!$G:$G)*P97/P$121,0),0)</f>
        <v>741</v>
      </c>
      <c r="AV97" s="41">
        <f>IFERROR(ROUND(_xlfn.XLOOKUP(AV$7,'Product Tgt'!$B:$B,'Product Tgt'!$G:$G)*Q97/Q$121,0),0)</f>
        <v>984</v>
      </c>
      <c r="AW97" s="41">
        <f>IFERROR(ROUND(_xlfn.XLOOKUP(AW$7,'Product Tgt'!$B:$B,'Product Tgt'!$G:$G)*R97/R$121,0),0)</f>
        <v>8873</v>
      </c>
      <c r="AX97" s="41">
        <f>IFERROR(ROUND(_xlfn.XLOOKUP(AX$7,'Product Tgt'!$B:$B,'Product Tgt'!$G:$G)*S97/S$121,0),0)</f>
        <v>21927</v>
      </c>
      <c r="AY97" s="41">
        <f>IFERROR(ROUND(_xlfn.XLOOKUP(AY$7,'Product Tgt'!$B:$B,'Product Tgt'!$G:$G)*T97/T$121,0),0)</f>
        <v>987</v>
      </c>
      <c r="AZ97" s="41">
        <f>IFERROR(ROUND(_xlfn.XLOOKUP(AZ$7,'Product Tgt'!$B:$B,'Product Tgt'!$G:$G)*U97/U$121,0),0)</f>
        <v>1149</v>
      </c>
      <c r="BA97" s="41">
        <f>IFERROR(ROUND(_xlfn.XLOOKUP(BA$7,'Product Tgt'!$B:$B,'Product Tgt'!$G:$G)*V97/V$121,0),0)</f>
        <v>24122</v>
      </c>
      <c r="BB97" s="41">
        <f>IFERROR(ROUND(_xlfn.XLOOKUP(BB$7,'Product Tgt'!$B:$B,'Product Tgt'!$G:$G)*W97/W$121,0),0)</f>
        <v>33657</v>
      </c>
      <c r="BC97" s="41">
        <f>IFERROR(ROUND(_xlfn.XLOOKUP(BC$7,'Product Tgt'!$B:$B,'Product Tgt'!$G:$G)*X97/X$121,0),0)</f>
        <v>8265</v>
      </c>
      <c r="BD97" s="41">
        <f>IFERROR(ROUND(_xlfn.XLOOKUP(BD$7,'Product Tgt'!$B:$B,'Product Tgt'!$G:$G)*Y97/Y$121,0),0)</f>
        <v>11283</v>
      </c>
      <c r="BE97" s="41">
        <f>IFERROR(ROUND(_xlfn.XLOOKUP(BE$7,'Product Tgt'!$B:$B,'Product Tgt'!$G:$G)*Z97/Z$121,0),0)</f>
        <v>508</v>
      </c>
      <c r="BF97" s="41">
        <f>IFERROR(ROUND(_xlfn.XLOOKUP(BF$7,'Product Tgt'!$B:$B,'Product Tgt'!$G:$G)*AA97/AA$121,0),0)</f>
        <v>8806</v>
      </c>
      <c r="BG97" s="41">
        <f>IFERROR(ROUND(_xlfn.XLOOKUP(BG$7,'Product Tgt'!$B:$B,'Product Tgt'!$G:$G)*AB97/AB$121,0),0)</f>
        <v>3210</v>
      </c>
      <c r="BH97" s="41">
        <f>IFERROR(ROUND(_xlfn.XLOOKUP(BH$7,'Product Tgt'!$B:$B,'Product Tgt'!$G:$G)*AC97/AC$121,0),0)</f>
        <v>479</v>
      </c>
      <c r="BI97" s="41">
        <f>IFERROR(ROUND(_xlfn.XLOOKUP(BI$7,'Product Tgt'!$B:$B,'Product Tgt'!$G:$G)*AD97/AD$121,0),0)</f>
        <v>4590</v>
      </c>
      <c r="BJ97" s="41">
        <f>IFERROR(ROUND(_xlfn.XLOOKUP(BJ$7,'Product Tgt'!$B:$B,'Product Tgt'!$G:$G)*AE97/AE$121,0),0)</f>
        <v>7725</v>
      </c>
      <c r="BK97" s="41">
        <f>IFERROR(ROUND(_xlfn.XLOOKUP(BK$7,'Product Tgt'!$B:$B,'Product Tgt'!$G:$G)*AF97/AF$121,0),0)</f>
        <v>1143</v>
      </c>
      <c r="BL97" s="41">
        <f>IFERROR(ROUND(_xlfn.XLOOKUP(BL$7,'Product Tgt'!$B:$B,'Product Tgt'!$G:$G)*AG97/AG$121,0),0)</f>
        <v>21942</v>
      </c>
      <c r="BM97" s="41">
        <f>IFERROR(ROUND(_xlfn.XLOOKUP(BM$7,'Product Tgt'!$B:$B,'Product Tgt'!$G:$G)*AH97/AH$121,0),0)</f>
        <v>1925</v>
      </c>
      <c r="BN97" s="41">
        <f>IFERROR(ROUND(_xlfn.XLOOKUP(BN$7,'Product Tgt'!$B:$B,'Product Tgt'!$G:$G)*AI97/AI$121,0),0)</f>
        <v>11743</v>
      </c>
      <c r="BO97" s="41">
        <f>IFERROR(ROUND(_xlfn.XLOOKUP(BO$7,'Product Tgt'!$B:$B,'Product Tgt'!$G:$G)*AJ97/AJ$121,0),0)</f>
        <v>9415</v>
      </c>
      <c r="BP97" s="41">
        <f>IFERROR(ROUND(_xlfn.XLOOKUP(BP$7,'Product Tgt'!$B:$B,'Product Tgt'!$G:$G)*AK97/AK$121,0),0)</f>
        <v>2381</v>
      </c>
      <c r="BQ97" s="41">
        <f>IFERROR(ROUND(_xlfn.XLOOKUP(BQ$7,'Product Tgt'!$B:$B,'Product Tgt'!$G:$G)*AL97/AL$121,0),0)</f>
        <v>4848</v>
      </c>
      <c r="BR97" s="25">
        <f>ROUND(IFERROR(AM97/_xlfn.XLOOKUP(BR$7,'Product Tgt'!$B:$B,'Product Tgt'!$D:$D),0),0)</f>
        <v>0</v>
      </c>
      <c r="BS97" s="11">
        <f>ROUND(IFERROR(AN97/_xlfn.XLOOKUP(BS$7,'Product Tgt'!$B:$B,'Product Tgt'!$D:$D),0),0)</f>
        <v>0</v>
      </c>
      <c r="BT97" s="11">
        <f>ROUND(IFERROR(AO97/_xlfn.XLOOKUP(BT$7,'Product Tgt'!$B:$B,'Product Tgt'!$D:$D),0),0)</f>
        <v>0</v>
      </c>
      <c r="BU97" s="11">
        <f>ROUND(IFERROR(AP97/_xlfn.XLOOKUP(BU$7,'Product Tgt'!$B:$B,'Product Tgt'!$D:$D),0),0)</f>
        <v>0</v>
      </c>
      <c r="BV97" s="11">
        <f>ROUND(IFERROR(AQ97/_xlfn.XLOOKUP(BV$7,'Product Tgt'!$B:$B,'Product Tgt'!$D:$D),0),0)</f>
        <v>0</v>
      </c>
      <c r="BW97" s="11">
        <f>ROUND(IFERROR(AU97/_xlfn.XLOOKUP(BW$7,'Product Tgt'!$B:$B,'Product Tgt'!$D:$D),0),0)</f>
        <v>0</v>
      </c>
      <c r="BX97" s="11">
        <f>ROUND(IFERROR(#REF!/_xlfn.XLOOKUP(BX$7,'Product Tgt'!$B:$B,'Product Tgt'!$D:$D),0),0)</f>
        <v>0</v>
      </c>
      <c r="BY97" s="11">
        <f>ROUND(IFERROR(#REF!/_xlfn.XLOOKUP(BY$7,'Product Tgt'!$B:$B,'Product Tgt'!$D:$D),0),0)</f>
        <v>0</v>
      </c>
      <c r="BZ97" s="11">
        <f>ROUND(IFERROR(#REF!/_xlfn.XLOOKUP(BZ$7,'Product Tgt'!$B:$B,'Product Tgt'!$D:$D),0),0)</f>
        <v>0</v>
      </c>
      <c r="CA97" s="11">
        <f>ROUND(IFERROR(#REF!/_xlfn.XLOOKUP(CA$7,'Product Tgt'!$B:$B,'Product Tgt'!$D:$D),0),0)</f>
        <v>0</v>
      </c>
      <c r="CB97" s="11">
        <f>ROUND(IFERROR(AV97/_xlfn.XLOOKUP(CB$7,'Product Tgt'!$B:$B,'Product Tgt'!$D:$D),0),0)</f>
        <v>0</v>
      </c>
      <c r="CC97" s="11">
        <f>ROUND(IFERROR(AW97/_xlfn.XLOOKUP(CC$7,'Product Tgt'!$B:$B,'Product Tgt'!$D:$D),0),0)</f>
        <v>0</v>
      </c>
      <c r="CD97" s="11">
        <f>ROUND(IFERROR(AX97/_xlfn.XLOOKUP(CD$7,'Product Tgt'!$B:$B,'Product Tgt'!$D:$D),0),0)</f>
        <v>0</v>
      </c>
      <c r="CE97" s="11">
        <f>ROUND(IFERROR(AY97/_xlfn.XLOOKUP(CE$7,'Product Tgt'!$B:$B,'Product Tgt'!$D:$D),0),0)</f>
        <v>0</v>
      </c>
      <c r="CF97" s="11">
        <f>ROUND(IFERROR(AZ97/_xlfn.XLOOKUP(CF$7,'Product Tgt'!$B:$B,'Product Tgt'!$D:$D),0),0)</f>
        <v>0</v>
      </c>
      <c r="CG97" s="11">
        <f>ROUND(IFERROR(BA97/_xlfn.XLOOKUP(CG$7,'Product Tgt'!$B:$B,'Product Tgt'!$D:$D),0),0)</f>
        <v>0</v>
      </c>
      <c r="CH97" s="11">
        <f>ROUND(IFERROR(BB97/_xlfn.XLOOKUP(CH$7,'Product Tgt'!$B:$B,'Product Tgt'!$D:$D),0),0)</f>
        <v>0</v>
      </c>
      <c r="CI97" s="11">
        <f>ROUND(IFERROR(BC97/_xlfn.XLOOKUP(CI$7,'Product Tgt'!$B:$B,'Product Tgt'!$D:$D),0),0)</f>
        <v>0</v>
      </c>
      <c r="CJ97" s="11">
        <f>ROUND(IFERROR(BD97/_xlfn.XLOOKUP(CJ$7,'Product Tgt'!$B:$B,'Product Tgt'!$D:$D),0),0)</f>
        <v>0</v>
      </c>
      <c r="CK97" s="11">
        <f>ROUND(IFERROR(BE97/_xlfn.XLOOKUP(CK$7,'Product Tgt'!$B:$B,'Product Tgt'!$D:$D),0),0)</f>
        <v>0</v>
      </c>
      <c r="CL97" s="11">
        <f>ROUND(IFERROR(BF97/_xlfn.XLOOKUP(CL$7,'Product Tgt'!$B:$B,'Product Tgt'!$D:$D),0),0)</f>
        <v>0</v>
      </c>
      <c r="CM97" s="11">
        <f>ROUND(IFERROR(BG97/_xlfn.XLOOKUP(CM$7,'Product Tgt'!$B:$B,'Product Tgt'!$D:$D),0),0)</f>
        <v>0</v>
      </c>
      <c r="CN97" s="11">
        <f>ROUND(IFERROR(BH97/_xlfn.XLOOKUP(CN$7,'Product Tgt'!$B:$B,'Product Tgt'!$D:$D),0),0)</f>
        <v>0</v>
      </c>
      <c r="CO97" s="11">
        <f>ROUND(IFERROR(BI97/_xlfn.XLOOKUP(CO$7,'Product Tgt'!$B:$B,'Product Tgt'!$D:$D),0),0)</f>
        <v>0</v>
      </c>
      <c r="CP97" s="11">
        <f>ROUND(IFERROR(BJ97/_xlfn.XLOOKUP(CP$7,'Product Tgt'!$B:$B,'Product Tgt'!$D:$D),0),0)</f>
        <v>0</v>
      </c>
      <c r="CQ97" s="11">
        <f>ROUND(IFERROR(BK97/_xlfn.XLOOKUP(CQ$7,'Product Tgt'!$B:$B,'Product Tgt'!$D:$D),0),0)</f>
        <v>0</v>
      </c>
      <c r="CR97" s="11">
        <f>ROUND(IFERROR(BL97/_xlfn.XLOOKUP(CR$7,'Product Tgt'!$B:$B,'Product Tgt'!$D:$D),0),0)</f>
        <v>0</v>
      </c>
      <c r="CS97" s="11">
        <f>ROUND(IFERROR(BM97/_xlfn.XLOOKUP(CS$7,'Product Tgt'!$B:$B,'Product Tgt'!$D:$D),0),0)</f>
        <v>0</v>
      </c>
      <c r="CT97" s="11">
        <f>ROUND(IFERROR(BN97/_xlfn.XLOOKUP(CT$7,'Product Tgt'!$B:$B,'Product Tgt'!$D:$D),0),0)</f>
        <v>0</v>
      </c>
      <c r="CU97" s="11">
        <f>ROUND(IFERROR(BO97/_xlfn.XLOOKUP(CU$7,'Product Tgt'!$B:$B,'Product Tgt'!$D:$D),0),0)</f>
        <v>0</v>
      </c>
      <c r="CV97" s="11">
        <f>ROUND(IFERROR(BP97/_xlfn.XLOOKUP(CV$7,'Product Tgt'!$B:$B,'Product Tgt'!$D:$D),0),0)</f>
        <v>0</v>
      </c>
      <c r="CW97" s="11">
        <f>ROUND(IFERROR(BQ97/_xlfn.XLOOKUP(CW$7,'Product Tgt'!$B:$B,'Product Tgt'!$D:$D),0),0)</f>
        <v>0</v>
      </c>
      <c r="CX97" s="11">
        <f>ROUND(IFERROR(#REF!/_xlfn.XLOOKUP(CX$7,'Product Tgt'!$B:$B,'Product Tgt'!$D:$D),0),0)</f>
        <v>0</v>
      </c>
      <c r="CY97" s="11">
        <f>ROUND(IFERROR(#REF!/_xlfn.XLOOKUP(CY$7,'Product Tgt'!$B:$B,'Product Tgt'!$D:$D),0),0)</f>
        <v>0</v>
      </c>
      <c r="CZ97" s="11">
        <f>ROUND(IFERROR(#REF!/_xlfn.XLOOKUP(CZ$7,'Product Tgt'!$B:$B,'Product Tgt'!$D:$D),0),0)</f>
        <v>0</v>
      </c>
      <c r="DA97" s="10">
        <f>IFERROR(BR97*_xlfn.XLOOKUP(DA$7,'Product Tgt'!$B:$B,'Product Tgt'!$D:$D),0)</f>
        <v>0</v>
      </c>
      <c r="DB97">
        <f>IFERROR(BS97*_xlfn.XLOOKUP(DB$7,'Product Tgt'!$B:$B,'Product Tgt'!$D:$D),0)</f>
        <v>0</v>
      </c>
      <c r="DC97">
        <f>IFERROR(BT97*_xlfn.XLOOKUP(DC$7,'Product Tgt'!$B:$B,'Product Tgt'!$D:$D),0)</f>
        <v>0</v>
      </c>
      <c r="DD97">
        <f>IFERROR(BU97*_xlfn.XLOOKUP(DD$7,'Product Tgt'!$B:$B,'Product Tgt'!$D:$D),0)</f>
        <v>0</v>
      </c>
      <c r="DE97">
        <f>IFERROR(BV97*_xlfn.XLOOKUP(DE$7,'Product Tgt'!$B:$B,'Product Tgt'!$D:$D),0)</f>
        <v>0</v>
      </c>
      <c r="DF97">
        <f>IFERROR(BW97*_xlfn.XLOOKUP(DF$7,'Product Tgt'!$B:$B,'Product Tgt'!$D:$D),0)</f>
        <v>0</v>
      </c>
      <c r="DG97">
        <f>IFERROR(BX97*_xlfn.XLOOKUP(DG$7,'Product Tgt'!$B:$B,'Product Tgt'!$D:$D),0)</f>
        <v>0</v>
      </c>
      <c r="DH97">
        <f>IFERROR(BY97*_xlfn.XLOOKUP(DH$7,'Product Tgt'!$B:$B,'Product Tgt'!$D:$D),0)</f>
        <v>0</v>
      </c>
      <c r="DI97">
        <f>IFERROR(BZ97*_xlfn.XLOOKUP(DI$7,'Product Tgt'!$B:$B,'Product Tgt'!$D:$D),0)</f>
        <v>0</v>
      </c>
      <c r="DJ97">
        <f>IFERROR(CA97*_xlfn.XLOOKUP(DJ$7,'Product Tgt'!$B:$B,'Product Tgt'!$D:$D),0)</f>
        <v>0</v>
      </c>
      <c r="DK97">
        <f>IFERROR(CB97*_xlfn.XLOOKUP(DK$7,'Product Tgt'!$B:$B,'Product Tgt'!$D:$D),0)</f>
        <v>0</v>
      </c>
      <c r="DL97">
        <f>IFERROR(CC97*_xlfn.XLOOKUP(DL$7,'Product Tgt'!$B:$B,'Product Tgt'!$D:$D),0)</f>
        <v>0</v>
      </c>
      <c r="DM97">
        <f>IFERROR(CD97*_xlfn.XLOOKUP(DM$7,'Product Tgt'!$B:$B,'Product Tgt'!$D:$D),0)</f>
        <v>0</v>
      </c>
      <c r="DN97">
        <f>IFERROR(CE97*_xlfn.XLOOKUP(DN$7,'Product Tgt'!$B:$B,'Product Tgt'!$D:$D),0)</f>
        <v>0</v>
      </c>
      <c r="DO97">
        <f>IFERROR(CF97*_xlfn.XLOOKUP(DO$7,'Product Tgt'!$B:$B,'Product Tgt'!$D:$D),0)</f>
        <v>0</v>
      </c>
      <c r="DP97">
        <f>IFERROR(CG97*_xlfn.XLOOKUP(DP$7,'Product Tgt'!$B:$B,'Product Tgt'!$D:$D),0)</f>
        <v>0</v>
      </c>
      <c r="DQ97">
        <f>IFERROR(CH97*_xlfn.XLOOKUP(DQ$7,'Product Tgt'!$B:$B,'Product Tgt'!$D:$D),0)</f>
        <v>0</v>
      </c>
      <c r="DR97">
        <f>IFERROR(CI97*_xlfn.XLOOKUP(DR$7,'Product Tgt'!$B:$B,'Product Tgt'!$D:$D),0)</f>
        <v>0</v>
      </c>
      <c r="DS97">
        <f>IFERROR(CJ97*_xlfn.XLOOKUP(DS$7,'Product Tgt'!$B:$B,'Product Tgt'!$D:$D),0)</f>
        <v>0</v>
      </c>
      <c r="DT97">
        <f>IFERROR(CK97*_xlfn.XLOOKUP(DT$7,'Product Tgt'!$B:$B,'Product Tgt'!$D:$D),0)</f>
        <v>0</v>
      </c>
      <c r="DU97">
        <f>IFERROR(CL97*_xlfn.XLOOKUP(DU$7,'Product Tgt'!$B:$B,'Product Tgt'!$D:$D),0)</f>
        <v>0</v>
      </c>
      <c r="DV97">
        <f>IFERROR(CM97*_xlfn.XLOOKUP(DV$7,'Product Tgt'!$B:$B,'Product Tgt'!$D:$D),0)</f>
        <v>0</v>
      </c>
      <c r="DW97">
        <f>IFERROR(CN97*_xlfn.XLOOKUP(DW$7,'Product Tgt'!$B:$B,'Product Tgt'!$D:$D),0)</f>
        <v>0</v>
      </c>
      <c r="DX97">
        <f>IFERROR(CO97*_xlfn.XLOOKUP(DX$7,'Product Tgt'!$B:$B,'Product Tgt'!$D:$D),0)</f>
        <v>0</v>
      </c>
      <c r="DY97">
        <f>IFERROR(CP97*_xlfn.XLOOKUP(DY$7,'Product Tgt'!$B:$B,'Product Tgt'!$D:$D),0)</f>
        <v>0</v>
      </c>
      <c r="DZ97">
        <f>IFERROR(CQ97*_xlfn.XLOOKUP(DZ$7,'Product Tgt'!$B:$B,'Product Tgt'!$D:$D),0)</f>
        <v>0</v>
      </c>
      <c r="EA97">
        <f>IFERROR(CR97*_xlfn.XLOOKUP(EA$7,'Product Tgt'!$B:$B,'Product Tgt'!$D:$D),0)</f>
        <v>0</v>
      </c>
      <c r="EB97">
        <f>IFERROR(CS97*_xlfn.XLOOKUP(EB$7,'Product Tgt'!$B:$B,'Product Tgt'!$D:$D),0)</f>
        <v>0</v>
      </c>
      <c r="EC97">
        <f>IFERROR(CT97*_xlfn.XLOOKUP(EC$7,'Product Tgt'!$B:$B,'Product Tgt'!$D:$D),0)</f>
        <v>0</v>
      </c>
      <c r="ED97">
        <f>IFERROR(CU97*_xlfn.XLOOKUP(ED$7,'Product Tgt'!$B:$B,'Product Tgt'!$D:$D),0)</f>
        <v>0</v>
      </c>
      <c r="EE97">
        <f>IFERROR(CV97*_xlfn.XLOOKUP(EE$7,'Product Tgt'!$B:$B,'Product Tgt'!$D:$D),0)</f>
        <v>0</v>
      </c>
      <c r="EF97">
        <f>IFERROR(CW97*_xlfn.XLOOKUP(EF$7,'Product Tgt'!$B:$B,'Product Tgt'!$D:$D),0)</f>
        <v>0</v>
      </c>
      <c r="EG97">
        <f>IFERROR(CX97*_xlfn.XLOOKUP(EG$7,'Product Tgt'!$B:$B,'Product Tgt'!$D:$D),0)</f>
        <v>0</v>
      </c>
      <c r="EH97">
        <f>IFERROR(CY97*_xlfn.XLOOKUP(EH$7,'Product Tgt'!$B:$B,'Product Tgt'!$D:$D),0)</f>
        <v>0</v>
      </c>
      <c r="EI97">
        <f>IFERROR(CZ97*_xlfn.XLOOKUP(EI$7,'Product Tgt'!$B:$B,'Product Tgt'!$D:$D),0)</f>
        <v>0</v>
      </c>
    </row>
    <row r="98" spans="2:139" x14ac:dyDescent="0.35">
      <c r="B98" s="7" t="s">
        <v>184</v>
      </c>
      <c r="C98" s="3">
        <f>_xlfn.XLOOKUP($B98,'Terr Target'!$A:$A,'Terr Target'!$E:$E)</f>
        <v>348284.66119695996</v>
      </c>
      <c r="D98" s="3">
        <f t="shared" si="10"/>
        <v>348288</v>
      </c>
      <c r="E98" s="4">
        <f t="shared" si="11"/>
        <v>3.3388030400383286</v>
      </c>
      <c r="F98" s="9">
        <f t="shared" si="7"/>
        <v>9.5863280963981786E-6</v>
      </c>
      <c r="G98" s="5">
        <f t="shared" si="12"/>
        <v>0.99999041367190356</v>
      </c>
      <c r="H98" s="38">
        <v>49726.788785337427</v>
      </c>
      <c r="I98" s="11">
        <v>78169.489324429203</v>
      </c>
      <c r="J98" s="11">
        <v>28110.136815529379</v>
      </c>
      <c r="K98" s="11">
        <v>28704.951130412483</v>
      </c>
      <c r="L98" s="11">
        <v>33115.587079726291</v>
      </c>
      <c r="M98" s="11">
        <v>32200.254202592023</v>
      </c>
      <c r="N98" s="11">
        <v>357.76713039843747</v>
      </c>
      <c r="O98" s="11">
        <v>4233.6953123624098</v>
      </c>
      <c r="P98" s="11">
        <v>747.37641990675559</v>
      </c>
      <c r="Q98" s="11">
        <v>609.23471840009483</v>
      </c>
      <c r="R98" s="11">
        <v>6780.4021782750951</v>
      </c>
      <c r="S98" s="11">
        <v>11769.593462352243</v>
      </c>
      <c r="T98" s="11">
        <v>0</v>
      </c>
      <c r="U98" s="11">
        <v>1014.6855814480977</v>
      </c>
      <c r="V98" s="11">
        <v>15837.618115425728</v>
      </c>
      <c r="W98" s="11">
        <v>23872.714658701861</v>
      </c>
      <c r="X98" s="11">
        <v>3074.9050782634786</v>
      </c>
      <c r="Y98" s="11">
        <v>3091.7901682533934</v>
      </c>
      <c r="Z98" s="11">
        <v>264.3674389768837</v>
      </c>
      <c r="AA98" s="11">
        <v>6028.5634832621181</v>
      </c>
      <c r="AB98" s="11">
        <v>1652.7511686302662</v>
      </c>
      <c r="AC98" s="11">
        <v>309.08957255817671</v>
      </c>
      <c r="AD98" s="11">
        <v>3484.3312420742627</v>
      </c>
      <c r="AE98" s="11">
        <v>5397.4646106667242</v>
      </c>
      <c r="AF98" s="11">
        <v>563.47900662047857</v>
      </c>
      <c r="AG98" s="11">
        <v>9200.8038007023024</v>
      </c>
      <c r="AH98" s="11">
        <v>1255.1912775963847</v>
      </c>
      <c r="AI98" s="11">
        <v>5263.3081481747522</v>
      </c>
      <c r="AJ98" s="11">
        <v>5271.2189966926871</v>
      </c>
      <c r="AK98" s="11">
        <v>1090.3355549638316</v>
      </c>
      <c r="AL98" s="49">
        <v>1679.3856837409028</v>
      </c>
      <c r="AM98" s="41">
        <f>IFERROR(ROUND(_xlfn.XLOOKUP(AM$7,'Product Tgt'!$B:$B,'Product Tgt'!$G:$G)*H98/H$121,0),0)</f>
        <v>48343</v>
      </c>
      <c r="AN98" s="41">
        <f>IFERROR(ROUND(_xlfn.XLOOKUP(AN$7,'Product Tgt'!$B:$B,'Product Tgt'!$G:$G)*I98/I$121,0),0)</f>
        <v>76950</v>
      </c>
      <c r="AO98" s="41">
        <f>IFERROR(ROUND(_xlfn.XLOOKUP(AO$7,'Product Tgt'!$B:$B,'Product Tgt'!$G:$G)*J98/J$121,0),0)</f>
        <v>27236</v>
      </c>
      <c r="AP98" s="41">
        <f>IFERROR(ROUND(_xlfn.XLOOKUP(AP$7,'Product Tgt'!$B:$B,'Product Tgt'!$G:$G)*K98/K$121,0),0)</f>
        <v>28002</v>
      </c>
      <c r="AQ98" s="41">
        <f>IFERROR(ROUND(_xlfn.XLOOKUP(AQ$7,'Product Tgt'!$B:$B,'Product Tgt'!$G:$G)*L98/L$121,0),0)</f>
        <v>32021</v>
      </c>
      <c r="AR98" s="41">
        <f>IFERROR(ROUND(_xlfn.XLOOKUP(AR$7,'Product Tgt'!$B:$B,'Product Tgt'!$G:$G)*M98/M$121,0),0)</f>
        <v>31195</v>
      </c>
      <c r="AS98" s="41">
        <f>IFERROR(ROUND(_xlfn.XLOOKUP(AS$7,'Product Tgt'!$B:$B,'Product Tgt'!$G:$G)*N98/N$121,0),0)</f>
        <v>331</v>
      </c>
      <c r="AT98" s="41">
        <f>IFERROR(ROUND(_xlfn.XLOOKUP(AT$7,'Product Tgt'!$B:$B,'Product Tgt'!$G:$G)*O98/O$121,0),0)</f>
        <v>3811</v>
      </c>
      <c r="AU98" s="41">
        <f>IFERROR(ROUND(_xlfn.XLOOKUP(AU$7,'Product Tgt'!$B:$B,'Product Tgt'!$G:$G)*P98/P$121,0),0)</f>
        <v>319</v>
      </c>
      <c r="AV98" s="41">
        <f>IFERROR(ROUND(_xlfn.XLOOKUP(AV$7,'Product Tgt'!$B:$B,'Product Tgt'!$G:$G)*Q98/Q$121,0),0)</f>
        <v>457</v>
      </c>
      <c r="AW98" s="41">
        <f>IFERROR(ROUND(_xlfn.XLOOKUP(AW$7,'Product Tgt'!$B:$B,'Product Tgt'!$G:$G)*R98/R$121,0),0)</f>
        <v>6530</v>
      </c>
      <c r="AX98" s="41">
        <f>IFERROR(ROUND(_xlfn.XLOOKUP(AX$7,'Product Tgt'!$B:$B,'Product Tgt'!$G:$G)*S98/S$121,0),0)</f>
        <v>11336</v>
      </c>
      <c r="AY98" s="41">
        <f>IFERROR(ROUND(_xlfn.XLOOKUP(AY$7,'Product Tgt'!$B:$B,'Product Tgt'!$G:$G)*T98/T$121,0),0)</f>
        <v>0</v>
      </c>
      <c r="AZ98" s="41">
        <f>IFERROR(ROUND(_xlfn.XLOOKUP(AZ$7,'Product Tgt'!$B:$B,'Product Tgt'!$G:$G)*U98/U$121,0),0)</f>
        <v>971</v>
      </c>
      <c r="BA98" s="41">
        <f>IFERROR(ROUND(_xlfn.XLOOKUP(BA$7,'Product Tgt'!$B:$B,'Product Tgt'!$G:$G)*V98/V$121,0),0)</f>
        <v>15249</v>
      </c>
      <c r="BB98" s="41">
        <f>IFERROR(ROUND(_xlfn.XLOOKUP(BB$7,'Product Tgt'!$B:$B,'Product Tgt'!$G:$G)*W98/W$121,0),0)</f>
        <v>22852</v>
      </c>
      <c r="BC98" s="41">
        <f>IFERROR(ROUND(_xlfn.XLOOKUP(BC$7,'Product Tgt'!$B:$B,'Product Tgt'!$G:$G)*X98/X$121,0),0)</f>
        <v>2975</v>
      </c>
      <c r="BD98" s="41">
        <f>IFERROR(ROUND(_xlfn.XLOOKUP(BD$7,'Product Tgt'!$B:$B,'Product Tgt'!$G:$G)*Y98/Y$121,0),0)</f>
        <v>2990</v>
      </c>
      <c r="BE98" s="41">
        <f>IFERROR(ROUND(_xlfn.XLOOKUP(BE$7,'Product Tgt'!$B:$B,'Product Tgt'!$G:$G)*Z98/Z$121,0),0)</f>
        <v>251</v>
      </c>
      <c r="BF98" s="41">
        <f>IFERROR(ROUND(_xlfn.XLOOKUP(BF$7,'Product Tgt'!$B:$B,'Product Tgt'!$G:$G)*AA98/AA$121,0),0)</f>
        <v>4885</v>
      </c>
      <c r="BG98" s="41">
        <f>IFERROR(ROUND(_xlfn.XLOOKUP(BG$7,'Product Tgt'!$B:$B,'Product Tgt'!$G:$G)*AB98/AB$121,0),0)</f>
        <v>1325</v>
      </c>
      <c r="BH98" s="41">
        <f>IFERROR(ROUND(_xlfn.XLOOKUP(BH$7,'Product Tgt'!$B:$B,'Product Tgt'!$G:$G)*AC98/AC$121,0),0)</f>
        <v>265</v>
      </c>
      <c r="BI98" s="41">
        <f>IFERROR(ROUND(_xlfn.XLOOKUP(BI$7,'Product Tgt'!$B:$B,'Product Tgt'!$G:$G)*AD98/AD$121,0),0)</f>
        <v>3033</v>
      </c>
      <c r="BJ98" s="41">
        <f>IFERROR(ROUND(_xlfn.XLOOKUP(BJ$7,'Product Tgt'!$B:$B,'Product Tgt'!$G:$G)*AE98/AE$121,0),0)</f>
        <v>5024</v>
      </c>
      <c r="BK98" s="41">
        <f>IFERROR(ROUND(_xlfn.XLOOKUP(BK$7,'Product Tgt'!$B:$B,'Product Tgt'!$G:$G)*AF98/AF$121,0),0)</f>
        <v>629</v>
      </c>
      <c r="BL98" s="41">
        <f>IFERROR(ROUND(_xlfn.XLOOKUP(BL$7,'Product Tgt'!$B:$B,'Product Tgt'!$G:$G)*AG98/AG$121,0),0)</f>
        <v>8788</v>
      </c>
      <c r="BM98" s="41">
        <f>IFERROR(ROUND(_xlfn.XLOOKUP(BM$7,'Product Tgt'!$B:$B,'Product Tgt'!$G:$G)*AH98/AH$121,0),0)</f>
        <v>984</v>
      </c>
      <c r="BN98" s="41">
        <f>IFERROR(ROUND(_xlfn.XLOOKUP(BN$7,'Product Tgt'!$B:$B,'Product Tgt'!$G:$G)*AI98/AI$121,0),0)</f>
        <v>4834</v>
      </c>
      <c r="BO98" s="41">
        <f>IFERROR(ROUND(_xlfn.XLOOKUP(BO$7,'Product Tgt'!$B:$B,'Product Tgt'!$G:$G)*AJ98/AJ$121,0),0)</f>
        <v>4559</v>
      </c>
      <c r="BP98" s="41">
        <f>IFERROR(ROUND(_xlfn.XLOOKUP(BP$7,'Product Tgt'!$B:$B,'Product Tgt'!$G:$G)*AK98/AK$121,0),0)</f>
        <v>830</v>
      </c>
      <c r="BQ98" s="41">
        <f>IFERROR(ROUND(_xlfn.XLOOKUP(BQ$7,'Product Tgt'!$B:$B,'Product Tgt'!$G:$G)*AL98/AL$121,0),0)</f>
        <v>1313</v>
      </c>
      <c r="BR98" s="25">
        <f>ROUND(IFERROR(AM98/_xlfn.XLOOKUP(BR$7,'Product Tgt'!$B:$B,'Product Tgt'!$D:$D),0),0)</f>
        <v>0</v>
      </c>
      <c r="BS98" s="11">
        <f>ROUND(IFERROR(AN98/_xlfn.XLOOKUP(BS$7,'Product Tgt'!$B:$B,'Product Tgt'!$D:$D),0),0)</f>
        <v>0</v>
      </c>
      <c r="BT98" s="11">
        <f>ROUND(IFERROR(AO98/_xlfn.XLOOKUP(BT$7,'Product Tgt'!$B:$B,'Product Tgt'!$D:$D),0),0)</f>
        <v>0</v>
      </c>
      <c r="BU98" s="11">
        <f>ROUND(IFERROR(AP98/_xlfn.XLOOKUP(BU$7,'Product Tgt'!$B:$B,'Product Tgt'!$D:$D),0),0)</f>
        <v>0</v>
      </c>
      <c r="BV98" s="11">
        <f>ROUND(IFERROR(AQ98/_xlfn.XLOOKUP(BV$7,'Product Tgt'!$B:$B,'Product Tgt'!$D:$D),0),0)</f>
        <v>0</v>
      </c>
      <c r="BW98" s="11">
        <f>ROUND(IFERROR(AU98/_xlfn.XLOOKUP(BW$7,'Product Tgt'!$B:$B,'Product Tgt'!$D:$D),0),0)</f>
        <v>0</v>
      </c>
      <c r="BX98" s="11">
        <f>ROUND(IFERROR(#REF!/_xlfn.XLOOKUP(BX$7,'Product Tgt'!$B:$B,'Product Tgt'!$D:$D),0),0)</f>
        <v>0</v>
      </c>
      <c r="BY98" s="11">
        <f>ROUND(IFERROR(#REF!/_xlfn.XLOOKUP(BY$7,'Product Tgt'!$B:$B,'Product Tgt'!$D:$D),0),0)</f>
        <v>0</v>
      </c>
      <c r="BZ98" s="11">
        <f>ROUND(IFERROR(#REF!/_xlfn.XLOOKUP(BZ$7,'Product Tgt'!$B:$B,'Product Tgt'!$D:$D),0),0)</f>
        <v>0</v>
      </c>
      <c r="CA98" s="11">
        <f>ROUND(IFERROR(#REF!/_xlfn.XLOOKUP(CA$7,'Product Tgt'!$B:$B,'Product Tgt'!$D:$D),0),0)</f>
        <v>0</v>
      </c>
      <c r="CB98" s="11">
        <f>ROUND(IFERROR(AV98/_xlfn.XLOOKUP(CB$7,'Product Tgt'!$B:$B,'Product Tgt'!$D:$D),0),0)</f>
        <v>0</v>
      </c>
      <c r="CC98" s="11">
        <f>ROUND(IFERROR(AW98/_xlfn.XLOOKUP(CC$7,'Product Tgt'!$B:$B,'Product Tgt'!$D:$D),0),0)</f>
        <v>0</v>
      </c>
      <c r="CD98" s="11">
        <f>ROUND(IFERROR(AX98/_xlfn.XLOOKUP(CD$7,'Product Tgt'!$B:$B,'Product Tgt'!$D:$D),0),0)</f>
        <v>0</v>
      </c>
      <c r="CE98" s="11">
        <f>ROUND(IFERROR(AY98/_xlfn.XLOOKUP(CE$7,'Product Tgt'!$B:$B,'Product Tgt'!$D:$D),0),0)</f>
        <v>0</v>
      </c>
      <c r="CF98" s="11">
        <f>ROUND(IFERROR(AZ98/_xlfn.XLOOKUP(CF$7,'Product Tgt'!$B:$B,'Product Tgt'!$D:$D),0),0)</f>
        <v>0</v>
      </c>
      <c r="CG98" s="11">
        <f>ROUND(IFERROR(BA98/_xlfn.XLOOKUP(CG$7,'Product Tgt'!$B:$B,'Product Tgt'!$D:$D),0),0)</f>
        <v>0</v>
      </c>
      <c r="CH98" s="11">
        <f>ROUND(IFERROR(BB98/_xlfn.XLOOKUP(CH$7,'Product Tgt'!$B:$B,'Product Tgt'!$D:$D),0),0)</f>
        <v>0</v>
      </c>
      <c r="CI98" s="11">
        <f>ROUND(IFERROR(BC98/_xlfn.XLOOKUP(CI$7,'Product Tgt'!$B:$B,'Product Tgt'!$D:$D),0),0)</f>
        <v>0</v>
      </c>
      <c r="CJ98" s="11">
        <f>ROUND(IFERROR(BD98/_xlfn.XLOOKUP(CJ$7,'Product Tgt'!$B:$B,'Product Tgt'!$D:$D),0),0)</f>
        <v>0</v>
      </c>
      <c r="CK98" s="11">
        <f>ROUND(IFERROR(BE98/_xlfn.XLOOKUP(CK$7,'Product Tgt'!$B:$B,'Product Tgt'!$D:$D),0),0)</f>
        <v>0</v>
      </c>
      <c r="CL98" s="11">
        <f>ROUND(IFERROR(BF98/_xlfn.XLOOKUP(CL$7,'Product Tgt'!$B:$B,'Product Tgt'!$D:$D),0),0)</f>
        <v>0</v>
      </c>
      <c r="CM98" s="11">
        <f>ROUND(IFERROR(BG98/_xlfn.XLOOKUP(CM$7,'Product Tgt'!$B:$B,'Product Tgt'!$D:$D),0),0)</f>
        <v>0</v>
      </c>
      <c r="CN98" s="11">
        <f>ROUND(IFERROR(BH98/_xlfn.XLOOKUP(CN$7,'Product Tgt'!$B:$B,'Product Tgt'!$D:$D),0),0)</f>
        <v>0</v>
      </c>
      <c r="CO98" s="11">
        <f>ROUND(IFERROR(BI98/_xlfn.XLOOKUP(CO$7,'Product Tgt'!$B:$B,'Product Tgt'!$D:$D),0),0)</f>
        <v>0</v>
      </c>
      <c r="CP98" s="11">
        <f>ROUND(IFERROR(BJ98/_xlfn.XLOOKUP(CP$7,'Product Tgt'!$B:$B,'Product Tgt'!$D:$D),0),0)</f>
        <v>0</v>
      </c>
      <c r="CQ98" s="11">
        <f>ROUND(IFERROR(BK98/_xlfn.XLOOKUP(CQ$7,'Product Tgt'!$B:$B,'Product Tgt'!$D:$D),0),0)</f>
        <v>0</v>
      </c>
      <c r="CR98" s="11">
        <f>ROUND(IFERROR(BL98/_xlfn.XLOOKUP(CR$7,'Product Tgt'!$B:$B,'Product Tgt'!$D:$D),0),0)</f>
        <v>0</v>
      </c>
      <c r="CS98" s="11">
        <f>ROUND(IFERROR(BM98/_xlfn.XLOOKUP(CS$7,'Product Tgt'!$B:$B,'Product Tgt'!$D:$D),0),0)</f>
        <v>0</v>
      </c>
      <c r="CT98" s="11">
        <f>ROUND(IFERROR(BN98/_xlfn.XLOOKUP(CT$7,'Product Tgt'!$B:$B,'Product Tgt'!$D:$D),0),0)</f>
        <v>0</v>
      </c>
      <c r="CU98" s="11">
        <f>ROUND(IFERROR(BO98/_xlfn.XLOOKUP(CU$7,'Product Tgt'!$B:$B,'Product Tgt'!$D:$D),0),0)</f>
        <v>0</v>
      </c>
      <c r="CV98" s="11">
        <f>ROUND(IFERROR(BP98/_xlfn.XLOOKUP(CV$7,'Product Tgt'!$B:$B,'Product Tgt'!$D:$D),0),0)</f>
        <v>0</v>
      </c>
      <c r="CW98" s="11">
        <f>ROUND(IFERROR(BQ98/_xlfn.XLOOKUP(CW$7,'Product Tgt'!$B:$B,'Product Tgt'!$D:$D),0),0)</f>
        <v>0</v>
      </c>
      <c r="CX98" s="11">
        <f>ROUND(IFERROR(#REF!/_xlfn.XLOOKUP(CX$7,'Product Tgt'!$B:$B,'Product Tgt'!$D:$D),0),0)</f>
        <v>0</v>
      </c>
      <c r="CY98" s="11">
        <f>ROUND(IFERROR(#REF!/_xlfn.XLOOKUP(CY$7,'Product Tgt'!$B:$B,'Product Tgt'!$D:$D),0),0)</f>
        <v>0</v>
      </c>
      <c r="CZ98" s="11">
        <f>ROUND(IFERROR(#REF!/_xlfn.XLOOKUP(CZ$7,'Product Tgt'!$B:$B,'Product Tgt'!$D:$D),0),0)</f>
        <v>0</v>
      </c>
      <c r="DA98" s="10">
        <f>IFERROR(BR98*_xlfn.XLOOKUP(DA$7,'Product Tgt'!$B:$B,'Product Tgt'!$D:$D),0)</f>
        <v>0</v>
      </c>
      <c r="DB98">
        <f>IFERROR(BS98*_xlfn.XLOOKUP(DB$7,'Product Tgt'!$B:$B,'Product Tgt'!$D:$D),0)</f>
        <v>0</v>
      </c>
      <c r="DC98">
        <f>IFERROR(BT98*_xlfn.XLOOKUP(DC$7,'Product Tgt'!$B:$B,'Product Tgt'!$D:$D),0)</f>
        <v>0</v>
      </c>
      <c r="DD98">
        <f>IFERROR(BU98*_xlfn.XLOOKUP(DD$7,'Product Tgt'!$B:$B,'Product Tgt'!$D:$D),0)</f>
        <v>0</v>
      </c>
      <c r="DE98">
        <f>IFERROR(BV98*_xlfn.XLOOKUP(DE$7,'Product Tgt'!$B:$B,'Product Tgt'!$D:$D),0)</f>
        <v>0</v>
      </c>
      <c r="DF98">
        <f>IFERROR(BW98*_xlfn.XLOOKUP(DF$7,'Product Tgt'!$B:$B,'Product Tgt'!$D:$D),0)</f>
        <v>0</v>
      </c>
      <c r="DG98">
        <f>IFERROR(BX98*_xlfn.XLOOKUP(DG$7,'Product Tgt'!$B:$B,'Product Tgt'!$D:$D),0)</f>
        <v>0</v>
      </c>
      <c r="DH98">
        <f>IFERROR(BY98*_xlfn.XLOOKUP(DH$7,'Product Tgt'!$B:$B,'Product Tgt'!$D:$D),0)</f>
        <v>0</v>
      </c>
      <c r="DI98">
        <f>IFERROR(BZ98*_xlfn.XLOOKUP(DI$7,'Product Tgt'!$B:$B,'Product Tgt'!$D:$D),0)</f>
        <v>0</v>
      </c>
      <c r="DJ98">
        <f>IFERROR(CA98*_xlfn.XLOOKUP(DJ$7,'Product Tgt'!$B:$B,'Product Tgt'!$D:$D),0)</f>
        <v>0</v>
      </c>
      <c r="DK98">
        <f>IFERROR(CB98*_xlfn.XLOOKUP(DK$7,'Product Tgt'!$B:$B,'Product Tgt'!$D:$D),0)</f>
        <v>0</v>
      </c>
      <c r="DL98">
        <f>IFERROR(CC98*_xlfn.XLOOKUP(DL$7,'Product Tgt'!$B:$B,'Product Tgt'!$D:$D),0)</f>
        <v>0</v>
      </c>
      <c r="DM98">
        <f>IFERROR(CD98*_xlfn.XLOOKUP(DM$7,'Product Tgt'!$B:$B,'Product Tgt'!$D:$D),0)</f>
        <v>0</v>
      </c>
      <c r="DN98">
        <f>IFERROR(CE98*_xlfn.XLOOKUP(DN$7,'Product Tgt'!$B:$B,'Product Tgt'!$D:$D),0)</f>
        <v>0</v>
      </c>
      <c r="DO98">
        <f>IFERROR(CF98*_xlfn.XLOOKUP(DO$7,'Product Tgt'!$B:$B,'Product Tgt'!$D:$D),0)</f>
        <v>0</v>
      </c>
      <c r="DP98">
        <f>IFERROR(CG98*_xlfn.XLOOKUP(DP$7,'Product Tgt'!$B:$B,'Product Tgt'!$D:$D),0)</f>
        <v>0</v>
      </c>
      <c r="DQ98">
        <f>IFERROR(CH98*_xlfn.XLOOKUP(DQ$7,'Product Tgt'!$B:$B,'Product Tgt'!$D:$D),0)</f>
        <v>0</v>
      </c>
      <c r="DR98">
        <f>IFERROR(CI98*_xlfn.XLOOKUP(DR$7,'Product Tgt'!$B:$B,'Product Tgt'!$D:$D),0)</f>
        <v>0</v>
      </c>
      <c r="DS98">
        <f>IFERROR(CJ98*_xlfn.XLOOKUP(DS$7,'Product Tgt'!$B:$B,'Product Tgt'!$D:$D),0)</f>
        <v>0</v>
      </c>
      <c r="DT98">
        <f>IFERROR(CK98*_xlfn.XLOOKUP(DT$7,'Product Tgt'!$B:$B,'Product Tgt'!$D:$D),0)</f>
        <v>0</v>
      </c>
      <c r="DU98">
        <f>IFERROR(CL98*_xlfn.XLOOKUP(DU$7,'Product Tgt'!$B:$B,'Product Tgt'!$D:$D),0)</f>
        <v>0</v>
      </c>
      <c r="DV98">
        <f>IFERROR(CM98*_xlfn.XLOOKUP(DV$7,'Product Tgt'!$B:$B,'Product Tgt'!$D:$D),0)</f>
        <v>0</v>
      </c>
      <c r="DW98">
        <f>IFERROR(CN98*_xlfn.XLOOKUP(DW$7,'Product Tgt'!$B:$B,'Product Tgt'!$D:$D),0)</f>
        <v>0</v>
      </c>
      <c r="DX98">
        <f>IFERROR(CO98*_xlfn.XLOOKUP(DX$7,'Product Tgt'!$B:$B,'Product Tgt'!$D:$D),0)</f>
        <v>0</v>
      </c>
      <c r="DY98">
        <f>IFERROR(CP98*_xlfn.XLOOKUP(DY$7,'Product Tgt'!$B:$B,'Product Tgt'!$D:$D),0)</f>
        <v>0</v>
      </c>
      <c r="DZ98">
        <f>IFERROR(CQ98*_xlfn.XLOOKUP(DZ$7,'Product Tgt'!$B:$B,'Product Tgt'!$D:$D),0)</f>
        <v>0</v>
      </c>
      <c r="EA98">
        <f>IFERROR(CR98*_xlfn.XLOOKUP(EA$7,'Product Tgt'!$B:$B,'Product Tgt'!$D:$D),0)</f>
        <v>0</v>
      </c>
      <c r="EB98">
        <f>IFERROR(CS98*_xlfn.XLOOKUP(EB$7,'Product Tgt'!$B:$B,'Product Tgt'!$D:$D),0)</f>
        <v>0</v>
      </c>
      <c r="EC98">
        <f>IFERROR(CT98*_xlfn.XLOOKUP(EC$7,'Product Tgt'!$B:$B,'Product Tgt'!$D:$D),0)</f>
        <v>0</v>
      </c>
      <c r="ED98">
        <f>IFERROR(CU98*_xlfn.XLOOKUP(ED$7,'Product Tgt'!$B:$B,'Product Tgt'!$D:$D),0)</f>
        <v>0</v>
      </c>
      <c r="EE98">
        <f>IFERROR(CV98*_xlfn.XLOOKUP(EE$7,'Product Tgt'!$B:$B,'Product Tgt'!$D:$D),0)</f>
        <v>0</v>
      </c>
      <c r="EF98">
        <f>IFERROR(CW98*_xlfn.XLOOKUP(EF$7,'Product Tgt'!$B:$B,'Product Tgt'!$D:$D),0)</f>
        <v>0</v>
      </c>
      <c r="EG98">
        <f>IFERROR(CX98*_xlfn.XLOOKUP(EG$7,'Product Tgt'!$B:$B,'Product Tgt'!$D:$D),0)</f>
        <v>0</v>
      </c>
      <c r="EH98">
        <f>IFERROR(CY98*_xlfn.XLOOKUP(EH$7,'Product Tgt'!$B:$B,'Product Tgt'!$D:$D),0)</f>
        <v>0</v>
      </c>
      <c r="EI98">
        <f>IFERROR(CZ98*_xlfn.XLOOKUP(EI$7,'Product Tgt'!$B:$B,'Product Tgt'!$D:$D),0)</f>
        <v>0</v>
      </c>
    </row>
    <row r="99" spans="2:139" x14ac:dyDescent="0.35">
      <c r="B99" s="7" t="s">
        <v>185</v>
      </c>
      <c r="C99" s="3">
        <f>_xlfn.XLOOKUP($B99,'Terr Target'!$A:$A,'Terr Target'!$E:$E)</f>
        <v>313372.97080491361</v>
      </c>
      <c r="D99" s="3">
        <f t="shared" si="10"/>
        <v>313371</v>
      </c>
      <c r="E99" s="4">
        <f t="shared" si="11"/>
        <v>-1.9708049136097543</v>
      </c>
      <c r="F99" s="9">
        <f t="shared" ref="F99:F120" si="13">ABS(E99)/D99</f>
        <v>6.2890468920536821E-6</v>
      </c>
      <c r="G99" s="5">
        <f t="shared" si="12"/>
        <v>1.0000062890468921</v>
      </c>
      <c r="H99" s="38">
        <v>35609.492995984278</v>
      </c>
      <c r="I99" s="11">
        <v>66420.457982964101</v>
      </c>
      <c r="J99" s="11">
        <v>27724.645380481557</v>
      </c>
      <c r="K99" s="11">
        <v>40999.936819776973</v>
      </c>
      <c r="L99" s="11">
        <v>30290.580234158828</v>
      </c>
      <c r="M99" s="11">
        <v>26309.581278416663</v>
      </c>
      <c r="N99" s="11">
        <v>400.09740420264239</v>
      </c>
      <c r="O99" s="11">
        <v>2789.7610565990699</v>
      </c>
      <c r="P99" s="11">
        <v>994.80298004747328</v>
      </c>
      <c r="Q99" s="11">
        <v>904.48818883081231</v>
      </c>
      <c r="R99" s="11">
        <v>6750.5565826252932</v>
      </c>
      <c r="S99" s="11">
        <v>13025.205741730542</v>
      </c>
      <c r="T99" s="11">
        <v>0</v>
      </c>
      <c r="U99" s="11">
        <v>1019.603062322863</v>
      </c>
      <c r="V99" s="11">
        <v>14077.898745696268</v>
      </c>
      <c r="W99" s="11">
        <v>21536.796509340176</v>
      </c>
      <c r="X99" s="11">
        <v>2589.2258837085201</v>
      </c>
      <c r="Y99" s="11">
        <v>2644.8126173594032</v>
      </c>
      <c r="Z99" s="11">
        <v>0</v>
      </c>
      <c r="AA99" s="11">
        <v>4586.7444401099065</v>
      </c>
      <c r="AB99" s="11">
        <v>2154.4103499153898</v>
      </c>
      <c r="AC99" s="11">
        <v>275.99771307279059</v>
      </c>
      <c r="AD99" s="11">
        <v>1863.4611060552747</v>
      </c>
      <c r="AE99" s="11">
        <v>2938.6608300043117</v>
      </c>
      <c r="AF99" s="11">
        <v>530.11416860556562</v>
      </c>
      <c r="AG99" s="11">
        <v>8550.9849735618936</v>
      </c>
      <c r="AH99" s="11">
        <v>845.87342271636066</v>
      </c>
      <c r="AI99" s="11">
        <v>4698.9107049407103</v>
      </c>
      <c r="AJ99" s="11">
        <v>3995.0172568521916</v>
      </c>
      <c r="AK99" s="11">
        <v>701.97734885747502</v>
      </c>
      <c r="AL99" s="49">
        <v>935.12592057695019</v>
      </c>
      <c r="AM99" s="41">
        <f>IFERROR(ROUND(_xlfn.XLOOKUP(AM$7,'Product Tgt'!$B:$B,'Product Tgt'!$G:$G)*H99/H$121,0),0)</f>
        <v>34618</v>
      </c>
      <c r="AN99" s="41">
        <f>IFERROR(ROUND(_xlfn.XLOOKUP(AN$7,'Product Tgt'!$B:$B,'Product Tgt'!$G:$G)*I99/I$121,0),0)</f>
        <v>65384</v>
      </c>
      <c r="AO99" s="41">
        <f>IFERROR(ROUND(_xlfn.XLOOKUP(AO$7,'Product Tgt'!$B:$B,'Product Tgt'!$G:$G)*J99/J$121,0),0)</f>
        <v>26862</v>
      </c>
      <c r="AP99" s="41">
        <f>IFERROR(ROUND(_xlfn.XLOOKUP(AP$7,'Product Tgt'!$B:$B,'Product Tgt'!$G:$G)*K99/K$121,0),0)</f>
        <v>39996</v>
      </c>
      <c r="AQ99" s="41">
        <f>IFERROR(ROUND(_xlfn.XLOOKUP(AQ$7,'Product Tgt'!$B:$B,'Product Tgt'!$G:$G)*L99/L$121,0),0)</f>
        <v>29289</v>
      </c>
      <c r="AR99" s="41">
        <f>IFERROR(ROUND(_xlfn.XLOOKUP(AR$7,'Product Tgt'!$B:$B,'Product Tgt'!$G:$G)*M99/M$121,0),0)</f>
        <v>25489</v>
      </c>
      <c r="AS99" s="41">
        <f>IFERROR(ROUND(_xlfn.XLOOKUP(AS$7,'Product Tgt'!$B:$B,'Product Tgt'!$G:$G)*N99/N$121,0),0)</f>
        <v>370</v>
      </c>
      <c r="AT99" s="41">
        <f>IFERROR(ROUND(_xlfn.XLOOKUP(AT$7,'Product Tgt'!$B:$B,'Product Tgt'!$G:$G)*O99/O$121,0),0)</f>
        <v>2511</v>
      </c>
      <c r="AU99" s="41">
        <f>IFERROR(ROUND(_xlfn.XLOOKUP(AU$7,'Product Tgt'!$B:$B,'Product Tgt'!$G:$G)*P99/P$121,0),0)</f>
        <v>424</v>
      </c>
      <c r="AV99" s="41">
        <f>IFERROR(ROUND(_xlfn.XLOOKUP(AV$7,'Product Tgt'!$B:$B,'Product Tgt'!$G:$G)*Q99/Q$121,0),0)</f>
        <v>679</v>
      </c>
      <c r="AW99" s="41">
        <f>IFERROR(ROUND(_xlfn.XLOOKUP(AW$7,'Product Tgt'!$B:$B,'Product Tgt'!$G:$G)*R99/R$121,0),0)</f>
        <v>6501</v>
      </c>
      <c r="AX99" s="41">
        <f>IFERROR(ROUND(_xlfn.XLOOKUP(AX$7,'Product Tgt'!$B:$B,'Product Tgt'!$G:$G)*S99/S$121,0),0)</f>
        <v>12545</v>
      </c>
      <c r="AY99" s="41">
        <f>IFERROR(ROUND(_xlfn.XLOOKUP(AY$7,'Product Tgt'!$B:$B,'Product Tgt'!$G:$G)*T99/T$121,0),0)</f>
        <v>0</v>
      </c>
      <c r="AZ99" s="41">
        <f>IFERROR(ROUND(_xlfn.XLOOKUP(AZ$7,'Product Tgt'!$B:$B,'Product Tgt'!$G:$G)*U99/U$121,0),0)</f>
        <v>976</v>
      </c>
      <c r="BA99" s="41">
        <f>IFERROR(ROUND(_xlfn.XLOOKUP(BA$7,'Product Tgt'!$B:$B,'Product Tgt'!$G:$G)*V99/V$121,0),0)</f>
        <v>13554</v>
      </c>
      <c r="BB99" s="41">
        <f>IFERROR(ROUND(_xlfn.XLOOKUP(BB$7,'Product Tgt'!$B:$B,'Product Tgt'!$G:$G)*W99/W$121,0),0)</f>
        <v>20616</v>
      </c>
      <c r="BC99" s="41">
        <f>IFERROR(ROUND(_xlfn.XLOOKUP(BC$7,'Product Tgt'!$B:$B,'Product Tgt'!$G:$G)*X99/X$121,0),0)</f>
        <v>2505</v>
      </c>
      <c r="BD99" s="41">
        <f>IFERROR(ROUND(_xlfn.XLOOKUP(BD$7,'Product Tgt'!$B:$B,'Product Tgt'!$G:$G)*Y99/Y$121,0),0)</f>
        <v>2557</v>
      </c>
      <c r="BE99" s="41">
        <f>IFERROR(ROUND(_xlfn.XLOOKUP(BE$7,'Product Tgt'!$B:$B,'Product Tgt'!$G:$G)*Z99/Z$121,0),0)</f>
        <v>0</v>
      </c>
      <c r="BF99" s="41">
        <f>IFERROR(ROUND(_xlfn.XLOOKUP(BF$7,'Product Tgt'!$B:$B,'Product Tgt'!$G:$G)*AA99/AA$121,0),0)</f>
        <v>3717</v>
      </c>
      <c r="BG99" s="41">
        <f>IFERROR(ROUND(_xlfn.XLOOKUP(BG$7,'Product Tgt'!$B:$B,'Product Tgt'!$G:$G)*AB99/AB$121,0),0)</f>
        <v>1727</v>
      </c>
      <c r="BH99" s="41">
        <f>IFERROR(ROUND(_xlfn.XLOOKUP(BH$7,'Product Tgt'!$B:$B,'Product Tgt'!$G:$G)*AC99/AC$121,0),0)</f>
        <v>236</v>
      </c>
      <c r="BI99" s="41">
        <f>IFERROR(ROUND(_xlfn.XLOOKUP(BI$7,'Product Tgt'!$B:$B,'Product Tgt'!$G:$G)*AD99/AD$121,0),0)</f>
        <v>1622</v>
      </c>
      <c r="BJ99" s="41">
        <f>IFERROR(ROUND(_xlfn.XLOOKUP(BJ$7,'Product Tgt'!$B:$B,'Product Tgt'!$G:$G)*AE99/AE$121,0),0)</f>
        <v>2735</v>
      </c>
      <c r="BK99" s="41">
        <f>IFERROR(ROUND(_xlfn.XLOOKUP(BK$7,'Product Tgt'!$B:$B,'Product Tgt'!$G:$G)*AF99/AF$121,0),0)</f>
        <v>592</v>
      </c>
      <c r="BL99" s="41">
        <f>IFERROR(ROUND(_xlfn.XLOOKUP(BL$7,'Product Tgt'!$B:$B,'Product Tgt'!$G:$G)*AG99/AG$121,0),0)</f>
        <v>8168</v>
      </c>
      <c r="BM99" s="41">
        <f>IFERROR(ROUND(_xlfn.XLOOKUP(BM$7,'Product Tgt'!$B:$B,'Product Tgt'!$G:$G)*AH99/AH$121,0),0)</f>
        <v>663</v>
      </c>
      <c r="BN99" s="41">
        <f>IFERROR(ROUND(_xlfn.XLOOKUP(BN$7,'Product Tgt'!$B:$B,'Product Tgt'!$G:$G)*AI99/AI$121,0),0)</f>
        <v>4315</v>
      </c>
      <c r="BO99" s="41">
        <f>IFERROR(ROUND(_xlfn.XLOOKUP(BO$7,'Product Tgt'!$B:$B,'Product Tgt'!$G:$G)*AJ99/AJ$121,0),0)</f>
        <v>3455</v>
      </c>
      <c r="BP99" s="41">
        <f>IFERROR(ROUND(_xlfn.XLOOKUP(BP$7,'Product Tgt'!$B:$B,'Product Tgt'!$G:$G)*AK99/AK$121,0),0)</f>
        <v>534</v>
      </c>
      <c r="BQ99" s="41">
        <f>IFERROR(ROUND(_xlfn.XLOOKUP(BQ$7,'Product Tgt'!$B:$B,'Product Tgt'!$G:$G)*AL99/AL$121,0),0)</f>
        <v>731</v>
      </c>
      <c r="BR99" s="25">
        <f>ROUND(IFERROR(AM99/_xlfn.XLOOKUP(BR$7,'Product Tgt'!$B:$B,'Product Tgt'!$D:$D),0),0)</f>
        <v>0</v>
      </c>
      <c r="BS99" s="11">
        <f>ROUND(IFERROR(AN99/_xlfn.XLOOKUP(BS$7,'Product Tgt'!$B:$B,'Product Tgt'!$D:$D),0),0)</f>
        <v>0</v>
      </c>
      <c r="BT99" s="11">
        <f>ROUND(IFERROR(AO99/_xlfn.XLOOKUP(BT$7,'Product Tgt'!$B:$B,'Product Tgt'!$D:$D),0),0)</f>
        <v>0</v>
      </c>
      <c r="BU99" s="11">
        <f>ROUND(IFERROR(AP99/_xlfn.XLOOKUP(BU$7,'Product Tgt'!$B:$B,'Product Tgt'!$D:$D),0),0)</f>
        <v>0</v>
      </c>
      <c r="BV99" s="11">
        <f>ROUND(IFERROR(AQ99/_xlfn.XLOOKUP(BV$7,'Product Tgt'!$B:$B,'Product Tgt'!$D:$D),0),0)</f>
        <v>0</v>
      </c>
      <c r="BW99" s="11">
        <f>ROUND(IFERROR(AU99/_xlfn.XLOOKUP(BW$7,'Product Tgt'!$B:$B,'Product Tgt'!$D:$D),0),0)</f>
        <v>0</v>
      </c>
      <c r="BX99" s="11">
        <f>ROUND(IFERROR(#REF!/_xlfn.XLOOKUP(BX$7,'Product Tgt'!$B:$B,'Product Tgt'!$D:$D),0),0)</f>
        <v>0</v>
      </c>
      <c r="BY99" s="11">
        <f>ROUND(IFERROR(#REF!/_xlfn.XLOOKUP(BY$7,'Product Tgt'!$B:$B,'Product Tgt'!$D:$D),0),0)</f>
        <v>0</v>
      </c>
      <c r="BZ99" s="11">
        <f>ROUND(IFERROR(#REF!/_xlfn.XLOOKUP(BZ$7,'Product Tgt'!$B:$B,'Product Tgt'!$D:$D),0),0)</f>
        <v>0</v>
      </c>
      <c r="CA99" s="11">
        <f>ROUND(IFERROR(#REF!/_xlfn.XLOOKUP(CA$7,'Product Tgt'!$B:$B,'Product Tgt'!$D:$D),0),0)</f>
        <v>0</v>
      </c>
      <c r="CB99" s="11">
        <f>ROUND(IFERROR(AV99/_xlfn.XLOOKUP(CB$7,'Product Tgt'!$B:$B,'Product Tgt'!$D:$D),0),0)</f>
        <v>0</v>
      </c>
      <c r="CC99" s="11">
        <f>ROUND(IFERROR(AW99/_xlfn.XLOOKUP(CC$7,'Product Tgt'!$B:$B,'Product Tgt'!$D:$D),0),0)</f>
        <v>0</v>
      </c>
      <c r="CD99" s="11">
        <f>ROUND(IFERROR(AX99/_xlfn.XLOOKUP(CD$7,'Product Tgt'!$B:$B,'Product Tgt'!$D:$D),0),0)</f>
        <v>0</v>
      </c>
      <c r="CE99" s="11">
        <f>ROUND(IFERROR(AY99/_xlfn.XLOOKUP(CE$7,'Product Tgt'!$B:$B,'Product Tgt'!$D:$D),0),0)</f>
        <v>0</v>
      </c>
      <c r="CF99" s="11">
        <f>ROUND(IFERROR(AZ99/_xlfn.XLOOKUP(CF$7,'Product Tgt'!$B:$B,'Product Tgt'!$D:$D),0),0)</f>
        <v>0</v>
      </c>
      <c r="CG99" s="11">
        <f>ROUND(IFERROR(BA99/_xlfn.XLOOKUP(CG$7,'Product Tgt'!$B:$B,'Product Tgt'!$D:$D),0),0)</f>
        <v>0</v>
      </c>
      <c r="CH99" s="11">
        <f>ROUND(IFERROR(BB99/_xlfn.XLOOKUP(CH$7,'Product Tgt'!$B:$B,'Product Tgt'!$D:$D),0),0)</f>
        <v>0</v>
      </c>
      <c r="CI99" s="11">
        <f>ROUND(IFERROR(BC99/_xlfn.XLOOKUP(CI$7,'Product Tgt'!$B:$B,'Product Tgt'!$D:$D),0),0)</f>
        <v>0</v>
      </c>
      <c r="CJ99" s="11">
        <f>ROUND(IFERROR(BD99/_xlfn.XLOOKUP(CJ$7,'Product Tgt'!$B:$B,'Product Tgt'!$D:$D),0),0)</f>
        <v>0</v>
      </c>
      <c r="CK99" s="11">
        <f>ROUND(IFERROR(BE99/_xlfn.XLOOKUP(CK$7,'Product Tgt'!$B:$B,'Product Tgt'!$D:$D),0),0)</f>
        <v>0</v>
      </c>
      <c r="CL99" s="11">
        <f>ROUND(IFERROR(BF99/_xlfn.XLOOKUP(CL$7,'Product Tgt'!$B:$B,'Product Tgt'!$D:$D),0),0)</f>
        <v>0</v>
      </c>
      <c r="CM99" s="11">
        <f>ROUND(IFERROR(BG99/_xlfn.XLOOKUP(CM$7,'Product Tgt'!$B:$B,'Product Tgt'!$D:$D),0),0)</f>
        <v>0</v>
      </c>
      <c r="CN99" s="11">
        <f>ROUND(IFERROR(BH99/_xlfn.XLOOKUP(CN$7,'Product Tgt'!$B:$B,'Product Tgt'!$D:$D),0),0)</f>
        <v>0</v>
      </c>
      <c r="CO99" s="11">
        <f>ROUND(IFERROR(BI99/_xlfn.XLOOKUP(CO$7,'Product Tgt'!$B:$B,'Product Tgt'!$D:$D),0),0)</f>
        <v>0</v>
      </c>
      <c r="CP99" s="11">
        <f>ROUND(IFERROR(BJ99/_xlfn.XLOOKUP(CP$7,'Product Tgt'!$B:$B,'Product Tgt'!$D:$D),0),0)</f>
        <v>0</v>
      </c>
      <c r="CQ99" s="11">
        <f>ROUND(IFERROR(BK99/_xlfn.XLOOKUP(CQ$7,'Product Tgt'!$B:$B,'Product Tgt'!$D:$D),0),0)</f>
        <v>0</v>
      </c>
      <c r="CR99" s="11">
        <f>ROUND(IFERROR(BL99/_xlfn.XLOOKUP(CR$7,'Product Tgt'!$B:$B,'Product Tgt'!$D:$D),0),0)</f>
        <v>0</v>
      </c>
      <c r="CS99" s="11">
        <f>ROUND(IFERROR(BM99/_xlfn.XLOOKUP(CS$7,'Product Tgt'!$B:$B,'Product Tgt'!$D:$D),0),0)</f>
        <v>0</v>
      </c>
      <c r="CT99" s="11">
        <f>ROUND(IFERROR(BN99/_xlfn.XLOOKUP(CT$7,'Product Tgt'!$B:$B,'Product Tgt'!$D:$D),0),0)</f>
        <v>0</v>
      </c>
      <c r="CU99" s="11">
        <f>ROUND(IFERROR(BO99/_xlfn.XLOOKUP(CU$7,'Product Tgt'!$B:$B,'Product Tgt'!$D:$D),0),0)</f>
        <v>0</v>
      </c>
      <c r="CV99" s="11">
        <f>ROUND(IFERROR(BP99/_xlfn.XLOOKUP(CV$7,'Product Tgt'!$B:$B,'Product Tgt'!$D:$D),0),0)</f>
        <v>0</v>
      </c>
      <c r="CW99" s="11">
        <f>ROUND(IFERROR(BQ99/_xlfn.XLOOKUP(CW$7,'Product Tgt'!$B:$B,'Product Tgt'!$D:$D),0),0)</f>
        <v>0</v>
      </c>
      <c r="CX99" s="11">
        <f>ROUND(IFERROR(#REF!/_xlfn.XLOOKUP(CX$7,'Product Tgt'!$B:$B,'Product Tgt'!$D:$D),0),0)</f>
        <v>0</v>
      </c>
      <c r="CY99" s="11">
        <f>ROUND(IFERROR(#REF!/_xlfn.XLOOKUP(CY$7,'Product Tgt'!$B:$B,'Product Tgt'!$D:$D),0),0)</f>
        <v>0</v>
      </c>
      <c r="CZ99" s="11">
        <f>ROUND(IFERROR(#REF!/_xlfn.XLOOKUP(CZ$7,'Product Tgt'!$B:$B,'Product Tgt'!$D:$D),0),0)</f>
        <v>0</v>
      </c>
      <c r="DA99" s="10">
        <f>IFERROR(BR99*_xlfn.XLOOKUP(DA$7,'Product Tgt'!$B:$B,'Product Tgt'!$D:$D),0)</f>
        <v>0</v>
      </c>
      <c r="DB99">
        <f>IFERROR(BS99*_xlfn.XLOOKUP(DB$7,'Product Tgt'!$B:$B,'Product Tgt'!$D:$D),0)</f>
        <v>0</v>
      </c>
      <c r="DC99">
        <f>IFERROR(BT99*_xlfn.XLOOKUP(DC$7,'Product Tgt'!$B:$B,'Product Tgt'!$D:$D),0)</f>
        <v>0</v>
      </c>
      <c r="DD99">
        <f>IFERROR(BU99*_xlfn.XLOOKUP(DD$7,'Product Tgt'!$B:$B,'Product Tgt'!$D:$D),0)</f>
        <v>0</v>
      </c>
      <c r="DE99">
        <f>IFERROR(BV99*_xlfn.XLOOKUP(DE$7,'Product Tgt'!$B:$B,'Product Tgt'!$D:$D),0)</f>
        <v>0</v>
      </c>
      <c r="DF99">
        <f>IFERROR(BW99*_xlfn.XLOOKUP(DF$7,'Product Tgt'!$B:$B,'Product Tgt'!$D:$D),0)</f>
        <v>0</v>
      </c>
      <c r="DG99">
        <f>IFERROR(BX99*_xlfn.XLOOKUP(DG$7,'Product Tgt'!$B:$B,'Product Tgt'!$D:$D),0)</f>
        <v>0</v>
      </c>
      <c r="DH99">
        <f>IFERROR(BY99*_xlfn.XLOOKUP(DH$7,'Product Tgt'!$B:$B,'Product Tgt'!$D:$D),0)</f>
        <v>0</v>
      </c>
      <c r="DI99">
        <f>IFERROR(BZ99*_xlfn.XLOOKUP(DI$7,'Product Tgt'!$B:$B,'Product Tgt'!$D:$D),0)</f>
        <v>0</v>
      </c>
      <c r="DJ99">
        <f>IFERROR(CA99*_xlfn.XLOOKUP(DJ$7,'Product Tgt'!$B:$B,'Product Tgt'!$D:$D),0)</f>
        <v>0</v>
      </c>
      <c r="DK99">
        <f>IFERROR(CB99*_xlfn.XLOOKUP(DK$7,'Product Tgt'!$B:$B,'Product Tgt'!$D:$D),0)</f>
        <v>0</v>
      </c>
      <c r="DL99">
        <f>IFERROR(CC99*_xlfn.XLOOKUP(DL$7,'Product Tgt'!$B:$B,'Product Tgt'!$D:$D),0)</f>
        <v>0</v>
      </c>
      <c r="DM99">
        <f>IFERROR(CD99*_xlfn.XLOOKUP(DM$7,'Product Tgt'!$B:$B,'Product Tgt'!$D:$D),0)</f>
        <v>0</v>
      </c>
      <c r="DN99">
        <f>IFERROR(CE99*_xlfn.XLOOKUP(DN$7,'Product Tgt'!$B:$B,'Product Tgt'!$D:$D),0)</f>
        <v>0</v>
      </c>
      <c r="DO99">
        <f>IFERROR(CF99*_xlfn.XLOOKUP(DO$7,'Product Tgt'!$B:$B,'Product Tgt'!$D:$D),0)</f>
        <v>0</v>
      </c>
      <c r="DP99">
        <f>IFERROR(CG99*_xlfn.XLOOKUP(DP$7,'Product Tgt'!$B:$B,'Product Tgt'!$D:$D),0)</f>
        <v>0</v>
      </c>
      <c r="DQ99">
        <f>IFERROR(CH99*_xlfn.XLOOKUP(DQ$7,'Product Tgt'!$B:$B,'Product Tgt'!$D:$D),0)</f>
        <v>0</v>
      </c>
      <c r="DR99">
        <f>IFERROR(CI99*_xlfn.XLOOKUP(DR$7,'Product Tgt'!$B:$B,'Product Tgt'!$D:$D),0)</f>
        <v>0</v>
      </c>
      <c r="DS99">
        <f>IFERROR(CJ99*_xlfn.XLOOKUP(DS$7,'Product Tgt'!$B:$B,'Product Tgt'!$D:$D),0)</f>
        <v>0</v>
      </c>
      <c r="DT99">
        <f>IFERROR(CK99*_xlfn.XLOOKUP(DT$7,'Product Tgt'!$B:$B,'Product Tgt'!$D:$D),0)</f>
        <v>0</v>
      </c>
      <c r="DU99">
        <f>IFERROR(CL99*_xlfn.XLOOKUP(DU$7,'Product Tgt'!$B:$B,'Product Tgt'!$D:$D),0)</f>
        <v>0</v>
      </c>
      <c r="DV99">
        <f>IFERROR(CM99*_xlfn.XLOOKUP(DV$7,'Product Tgt'!$B:$B,'Product Tgt'!$D:$D),0)</f>
        <v>0</v>
      </c>
      <c r="DW99">
        <f>IFERROR(CN99*_xlfn.XLOOKUP(DW$7,'Product Tgt'!$B:$B,'Product Tgt'!$D:$D),0)</f>
        <v>0</v>
      </c>
      <c r="DX99">
        <f>IFERROR(CO99*_xlfn.XLOOKUP(DX$7,'Product Tgt'!$B:$B,'Product Tgt'!$D:$D),0)</f>
        <v>0</v>
      </c>
      <c r="DY99">
        <f>IFERROR(CP99*_xlfn.XLOOKUP(DY$7,'Product Tgt'!$B:$B,'Product Tgt'!$D:$D),0)</f>
        <v>0</v>
      </c>
      <c r="DZ99">
        <f>IFERROR(CQ99*_xlfn.XLOOKUP(DZ$7,'Product Tgt'!$B:$B,'Product Tgt'!$D:$D),0)</f>
        <v>0</v>
      </c>
      <c r="EA99">
        <f>IFERROR(CR99*_xlfn.XLOOKUP(EA$7,'Product Tgt'!$B:$B,'Product Tgt'!$D:$D),0)</f>
        <v>0</v>
      </c>
      <c r="EB99">
        <f>IFERROR(CS99*_xlfn.XLOOKUP(EB$7,'Product Tgt'!$B:$B,'Product Tgt'!$D:$D),0)</f>
        <v>0</v>
      </c>
      <c r="EC99">
        <f>IFERROR(CT99*_xlfn.XLOOKUP(EC$7,'Product Tgt'!$B:$B,'Product Tgt'!$D:$D),0)</f>
        <v>0</v>
      </c>
      <c r="ED99">
        <f>IFERROR(CU99*_xlfn.XLOOKUP(ED$7,'Product Tgt'!$B:$B,'Product Tgt'!$D:$D),0)</f>
        <v>0</v>
      </c>
      <c r="EE99">
        <f>IFERROR(CV99*_xlfn.XLOOKUP(EE$7,'Product Tgt'!$B:$B,'Product Tgt'!$D:$D),0)</f>
        <v>0</v>
      </c>
      <c r="EF99">
        <f>IFERROR(CW99*_xlfn.XLOOKUP(EF$7,'Product Tgt'!$B:$B,'Product Tgt'!$D:$D),0)</f>
        <v>0</v>
      </c>
      <c r="EG99">
        <f>IFERROR(CX99*_xlfn.XLOOKUP(EG$7,'Product Tgt'!$B:$B,'Product Tgt'!$D:$D),0)</f>
        <v>0</v>
      </c>
      <c r="EH99">
        <f>IFERROR(CY99*_xlfn.XLOOKUP(EH$7,'Product Tgt'!$B:$B,'Product Tgt'!$D:$D),0)</f>
        <v>0</v>
      </c>
      <c r="EI99">
        <f>IFERROR(CZ99*_xlfn.XLOOKUP(EI$7,'Product Tgt'!$B:$B,'Product Tgt'!$D:$D),0)</f>
        <v>0</v>
      </c>
    </row>
    <row r="100" spans="2:139" x14ac:dyDescent="0.35">
      <c r="B100" s="7" t="s">
        <v>186</v>
      </c>
      <c r="C100" s="3">
        <f>_xlfn.XLOOKUP($B100,'Terr Target'!$A:$A,'Terr Target'!$E:$E)</f>
        <v>406160.16513185372</v>
      </c>
      <c r="D100" s="3">
        <f t="shared" si="10"/>
        <v>406158</v>
      </c>
      <c r="E100" s="4">
        <f t="shared" si="11"/>
        <v>-2.1651318537187763</v>
      </c>
      <c r="F100" s="9">
        <f t="shared" si="13"/>
        <v>5.3307625449179291E-6</v>
      </c>
      <c r="G100" s="5">
        <f t="shared" si="12"/>
        <v>1.0000053307625449</v>
      </c>
      <c r="H100" s="38">
        <v>43564.886963811136</v>
      </c>
      <c r="I100" s="11">
        <v>92027.425126073736</v>
      </c>
      <c r="J100" s="11">
        <v>36358.645570160828</v>
      </c>
      <c r="K100" s="11">
        <v>40298.377097795092</v>
      </c>
      <c r="L100" s="11">
        <v>42838.755499180603</v>
      </c>
      <c r="M100" s="11">
        <v>37593.407036728051</v>
      </c>
      <c r="N100" s="11">
        <v>420.716181894795</v>
      </c>
      <c r="O100" s="11">
        <v>2885.254208018478</v>
      </c>
      <c r="P100" s="11">
        <v>1488.5131730433584</v>
      </c>
      <c r="Q100" s="11">
        <v>558.31955502003393</v>
      </c>
      <c r="R100" s="11">
        <v>7904.8561715813921</v>
      </c>
      <c r="S100" s="11">
        <v>16169.622629340232</v>
      </c>
      <c r="T100" s="11">
        <v>0</v>
      </c>
      <c r="U100" s="11">
        <v>998.98533477192234</v>
      </c>
      <c r="V100" s="11">
        <v>17347.506306914594</v>
      </c>
      <c r="W100" s="11">
        <v>15066.412858787173</v>
      </c>
      <c r="X100" s="11">
        <v>3651.9727855306783</v>
      </c>
      <c r="Y100" s="11">
        <v>6157.3671095146165</v>
      </c>
      <c r="Z100" s="11">
        <v>415.76118432609167</v>
      </c>
      <c r="AA100" s="11">
        <v>6645.887996569877</v>
      </c>
      <c r="AB100" s="11">
        <v>1830.5077034241058</v>
      </c>
      <c r="AC100" s="11">
        <v>853.42605005749772</v>
      </c>
      <c r="AD100" s="11">
        <v>7286.8971890845305</v>
      </c>
      <c r="AE100" s="11">
        <v>7952.9106751651952</v>
      </c>
      <c r="AF100" s="11">
        <v>653.00287878256086</v>
      </c>
      <c r="AG100" s="11">
        <v>10742.484578018993</v>
      </c>
      <c r="AH100" s="11">
        <v>906.25609455761673</v>
      </c>
      <c r="AI100" s="11">
        <v>5805.4227047403756</v>
      </c>
      <c r="AJ100" s="11">
        <v>9035.6225080899767</v>
      </c>
      <c r="AK100" s="11">
        <v>2631.3031052619149</v>
      </c>
      <c r="AL100" s="49">
        <v>4431.113751313711</v>
      </c>
      <c r="AM100" s="41">
        <f>IFERROR(ROUND(_xlfn.XLOOKUP(AM$7,'Product Tgt'!$B:$B,'Product Tgt'!$G:$G)*H100/H$121,0),0)</f>
        <v>42352</v>
      </c>
      <c r="AN100" s="41">
        <f>IFERROR(ROUND(_xlfn.XLOOKUP(AN$7,'Product Tgt'!$B:$B,'Product Tgt'!$G:$G)*I100/I$121,0),0)</f>
        <v>90592</v>
      </c>
      <c r="AO100" s="41">
        <f>IFERROR(ROUND(_xlfn.XLOOKUP(AO$7,'Product Tgt'!$B:$B,'Product Tgt'!$G:$G)*J100/J$121,0),0)</f>
        <v>35228</v>
      </c>
      <c r="AP100" s="41">
        <f>IFERROR(ROUND(_xlfn.XLOOKUP(AP$7,'Product Tgt'!$B:$B,'Product Tgt'!$G:$G)*K100/K$121,0),0)</f>
        <v>39312</v>
      </c>
      <c r="AQ100" s="41">
        <f>IFERROR(ROUND(_xlfn.XLOOKUP(AQ$7,'Product Tgt'!$B:$B,'Product Tgt'!$G:$G)*L100/L$121,0),0)</f>
        <v>41422</v>
      </c>
      <c r="AR100" s="41">
        <f>IFERROR(ROUND(_xlfn.XLOOKUP(AR$7,'Product Tgt'!$B:$B,'Product Tgt'!$G:$G)*M100/M$121,0),0)</f>
        <v>36420</v>
      </c>
      <c r="AS100" s="41">
        <f>IFERROR(ROUND(_xlfn.XLOOKUP(AS$7,'Product Tgt'!$B:$B,'Product Tgt'!$G:$G)*N100/N$121,0),0)</f>
        <v>389</v>
      </c>
      <c r="AT100" s="41">
        <f>IFERROR(ROUND(_xlfn.XLOOKUP(AT$7,'Product Tgt'!$B:$B,'Product Tgt'!$G:$G)*O100/O$121,0),0)</f>
        <v>2597</v>
      </c>
      <c r="AU100" s="41">
        <f>IFERROR(ROUND(_xlfn.XLOOKUP(AU$7,'Product Tgt'!$B:$B,'Product Tgt'!$G:$G)*P100/P$121,0),0)</f>
        <v>635</v>
      </c>
      <c r="AV100" s="41">
        <f>IFERROR(ROUND(_xlfn.XLOOKUP(AV$7,'Product Tgt'!$B:$B,'Product Tgt'!$G:$G)*Q100/Q$121,0),0)</f>
        <v>419</v>
      </c>
      <c r="AW100" s="41">
        <f>IFERROR(ROUND(_xlfn.XLOOKUP(AW$7,'Product Tgt'!$B:$B,'Product Tgt'!$G:$G)*R100/R$121,0),0)</f>
        <v>7613</v>
      </c>
      <c r="AX100" s="41">
        <f>IFERROR(ROUND(_xlfn.XLOOKUP(AX$7,'Product Tgt'!$B:$B,'Product Tgt'!$G:$G)*S100/S$121,0),0)</f>
        <v>15573</v>
      </c>
      <c r="AY100" s="41">
        <f>IFERROR(ROUND(_xlfn.XLOOKUP(AY$7,'Product Tgt'!$B:$B,'Product Tgt'!$G:$G)*T100/T$121,0),0)</f>
        <v>0</v>
      </c>
      <c r="AZ100" s="41">
        <f>IFERROR(ROUND(_xlfn.XLOOKUP(AZ$7,'Product Tgt'!$B:$B,'Product Tgt'!$G:$G)*U100/U$121,0),0)</f>
        <v>956</v>
      </c>
      <c r="BA100" s="41">
        <f>IFERROR(ROUND(_xlfn.XLOOKUP(BA$7,'Product Tgt'!$B:$B,'Product Tgt'!$G:$G)*V100/V$121,0),0)</f>
        <v>16702</v>
      </c>
      <c r="BB100" s="41">
        <f>IFERROR(ROUND(_xlfn.XLOOKUP(BB$7,'Product Tgt'!$B:$B,'Product Tgt'!$G:$G)*W100/W$121,0),0)</f>
        <v>14422</v>
      </c>
      <c r="BC100" s="41">
        <f>IFERROR(ROUND(_xlfn.XLOOKUP(BC$7,'Product Tgt'!$B:$B,'Product Tgt'!$G:$G)*X100/X$121,0),0)</f>
        <v>3534</v>
      </c>
      <c r="BD100" s="41">
        <f>IFERROR(ROUND(_xlfn.XLOOKUP(BD$7,'Product Tgt'!$B:$B,'Product Tgt'!$G:$G)*Y100/Y$121,0),0)</f>
        <v>5954</v>
      </c>
      <c r="BE100" s="41">
        <f>IFERROR(ROUND(_xlfn.XLOOKUP(BE$7,'Product Tgt'!$B:$B,'Product Tgt'!$G:$G)*Z100/Z$121,0),0)</f>
        <v>395</v>
      </c>
      <c r="BF100" s="41">
        <f>IFERROR(ROUND(_xlfn.XLOOKUP(BF$7,'Product Tgt'!$B:$B,'Product Tgt'!$G:$G)*AA100/AA$121,0),0)</f>
        <v>5386</v>
      </c>
      <c r="BG100" s="41">
        <f>IFERROR(ROUND(_xlfn.XLOOKUP(BG$7,'Product Tgt'!$B:$B,'Product Tgt'!$G:$G)*AB100/AB$121,0),0)</f>
        <v>1467</v>
      </c>
      <c r="BH100" s="41">
        <f>IFERROR(ROUND(_xlfn.XLOOKUP(BH$7,'Product Tgt'!$B:$B,'Product Tgt'!$G:$G)*AC100/AC$121,0),0)</f>
        <v>730</v>
      </c>
      <c r="BI100" s="41">
        <f>IFERROR(ROUND(_xlfn.XLOOKUP(BI$7,'Product Tgt'!$B:$B,'Product Tgt'!$G:$G)*AD100/AD$121,0),0)</f>
        <v>6343</v>
      </c>
      <c r="BJ100" s="41">
        <f>IFERROR(ROUND(_xlfn.XLOOKUP(BJ$7,'Product Tgt'!$B:$B,'Product Tgt'!$G:$G)*AE100/AE$121,0),0)</f>
        <v>7402</v>
      </c>
      <c r="BK100" s="41">
        <f>IFERROR(ROUND(_xlfn.XLOOKUP(BK$7,'Product Tgt'!$B:$B,'Product Tgt'!$G:$G)*AF100/AF$121,0),0)</f>
        <v>730</v>
      </c>
      <c r="BL100" s="41">
        <f>IFERROR(ROUND(_xlfn.XLOOKUP(BL$7,'Product Tgt'!$B:$B,'Product Tgt'!$G:$G)*AG100/AG$121,0),0)</f>
        <v>10261</v>
      </c>
      <c r="BM100" s="41">
        <f>IFERROR(ROUND(_xlfn.XLOOKUP(BM$7,'Product Tgt'!$B:$B,'Product Tgt'!$G:$G)*AH100/AH$121,0),0)</f>
        <v>711</v>
      </c>
      <c r="BN100" s="41">
        <f>IFERROR(ROUND(_xlfn.XLOOKUP(BN$7,'Product Tgt'!$B:$B,'Product Tgt'!$G:$G)*AI100/AI$121,0),0)</f>
        <v>5331</v>
      </c>
      <c r="BO100" s="41">
        <f>IFERROR(ROUND(_xlfn.XLOOKUP(BO$7,'Product Tgt'!$B:$B,'Product Tgt'!$G:$G)*AJ100/AJ$121,0),0)</f>
        <v>7815</v>
      </c>
      <c r="BP100" s="41">
        <f>IFERROR(ROUND(_xlfn.XLOOKUP(BP$7,'Product Tgt'!$B:$B,'Product Tgt'!$G:$G)*AK100/AK$121,0),0)</f>
        <v>2003</v>
      </c>
      <c r="BQ100" s="41">
        <f>IFERROR(ROUND(_xlfn.XLOOKUP(BQ$7,'Product Tgt'!$B:$B,'Product Tgt'!$G:$G)*AL100/AL$121,0),0)</f>
        <v>3464</v>
      </c>
      <c r="BR100" s="25">
        <f>ROUND(IFERROR(AM100/_xlfn.XLOOKUP(BR$7,'Product Tgt'!$B:$B,'Product Tgt'!$D:$D),0),0)</f>
        <v>0</v>
      </c>
      <c r="BS100" s="11">
        <f>ROUND(IFERROR(AN100/_xlfn.XLOOKUP(BS$7,'Product Tgt'!$B:$B,'Product Tgt'!$D:$D),0),0)</f>
        <v>0</v>
      </c>
      <c r="BT100" s="11">
        <f>ROUND(IFERROR(AO100/_xlfn.XLOOKUP(BT$7,'Product Tgt'!$B:$B,'Product Tgt'!$D:$D),0),0)</f>
        <v>0</v>
      </c>
      <c r="BU100" s="11">
        <f>ROUND(IFERROR(AP100/_xlfn.XLOOKUP(BU$7,'Product Tgt'!$B:$B,'Product Tgt'!$D:$D),0),0)</f>
        <v>0</v>
      </c>
      <c r="BV100" s="11">
        <f>ROUND(IFERROR(AQ100/_xlfn.XLOOKUP(BV$7,'Product Tgt'!$B:$B,'Product Tgt'!$D:$D),0),0)</f>
        <v>0</v>
      </c>
      <c r="BW100" s="11">
        <f>ROUND(IFERROR(AU100/_xlfn.XLOOKUP(BW$7,'Product Tgt'!$B:$B,'Product Tgt'!$D:$D),0),0)</f>
        <v>0</v>
      </c>
      <c r="BX100" s="11">
        <f>ROUND(IFERROR(#REF!/_xlfn.XLOOKUP(BX$7,'Product Tgt'!$B:$B,'Product Tgt'!$D:$D),0),0)</f>
        <v>0</v>
      </c>
      <c r="BY100" s="11">
        <f>ROUND(IFERROR(#REF!/_xlfn.XLOOKUP(BY$7,'Product Tgt'!$B:$B,'Product Tgt'!$D:$D),0),0)</f>
        <v>0</v>
      </c>
      <c r="BZ100" s="11">
        <f>ROUND(IFERROR(#REF!/_xlfn.XLOOKUP(BZ$7,'Product Tgt'!$B:$B,'Product Tgt'!$D:$D),0),0)</f>
        <v>0</v>
      </c>
      <c r="CA100" s="11">
        <f>ROUND(IFERROR(#REF!/_xlfn.XLOOKUP(CA$7,'Product Tgt'!$B:$B,'Product Tgt'!$D:$D),0),0)</f>
        <v>0</v>
      </c>
      <c r="CB100" s="11">
        <f>ROUND(IFERROR(AV100/_xlfn.XLOOKUP(CB$7,'Product Tgt'!$B:$B,'Product Tgt'!$D:$D),0),0)</f>
        <v>0</v>
      </c>
      <c r="CC100" s="11">
        <f>ROUND(IFERROR(AW100/_xlfn.XLOOKUP(CC$7,'Product Tgt'!$B:$B,'Product Tgt'!$D:$D),0),0)</f>
        <v>0</v>
      </c>
      <c r="CD100" s="11">
        <f>ROUND(IFERROR(AX100/_xlfn.XLOOKUP(CD$7,'Product Tgt'!$B:$B,'Product Tgt'!$D:$D),0),0)</f>
        <v>0</v>
      </c>
      <c r="CE100" s="11">
        <f>ROUND(IFERROR(AY100/_xlfn.XLOOKUP(CE$7,'Product Tgt'!$B:$B,'Product Tgt'!$D:$D),0),0)</f>
        <v>0</v>
      </c>
      <c r="CF100" s="11">
        <f>ROUND(IFERROR(AZ100/_xlfn.XLOOKUP(CF$7,'Product Tgt'!$B:$B,'Product Tgt'!$D:$D),0),0)</f>
        <v>0</v>
      </c>
      <c r="CG100" s="11">
        <f>ROUND(IFERROR(BA100/_xlfn.XLOOKUP(CG$7,'Product Tgt'!$B:$B,'Product Tgt'!$D:$D),0),0)</f>
        <v>0</v>
      </c>
      <c r="CH100" s="11">
        <f>ROUND(IFERROR(BB100/_xlfn.XLOOKUP(CH$7,'Product Tgt'!$B:$B,'Product Tgt'!$D:$D),0),0)</f>
        <v>0</v>
      </c>
      <c r="CI100" s="11">
        <f>ROUND(IFERROR(BC100/_xlfn.XLOOKUP(CI$7,'Product Tgt'!$B:$B,'Product Tgt'!$D:$D),0),0)</f>
        <v>0</v>
      </c>
      <c r="CJ100" s="11">
        <f>ROUND(IFERROR(BD100/_xlfn.XLOOKUP(CJ$7,'Product Tgt'!$B:$B,'Product Tgt'!$D:$D),0),0)</f>
        <v>0</v>
      </c>
      <c r="CK100" s="11">
        <f>ROUND(IFERROR(BE100/_xlfn.XLOOKUP(CK$7,'Product Tgt'!$B:$B,'Product Tgt'!$D:$D),0),0)</f>
        <v>0</v>
      </c>
      <c r="CL100" s="11">
        <f>ROUND(IFERROR(BF100/_xlfn.XLOOKUP(CL$7,'Product Tgt'!$B:$B,'Product Tgt'!$D:$D),0),0)</f>
        <v>0</v>
      </c>
      <c r="CM100" s="11">
        <f>ROUND(IFERROR(BG100/_xlfn.XLOOKUP(CM$7,'Product Tgt'!$B:$B,'Product Tgt'!$D:$D),0),0)</f>
        <v>0</v>
      </c>
      <c r="CN100" s="11">
        <f>ROUND(IFERROR(BH100/_xlfn.XLOOKUP(CN$7,'Product Tgt'!$B:$B,'Product Tgt'!$D:$D),0),0)</f>
        <v>0</v>
      </c>
      <c r="CO100" s="11">
        <f>ROUND(IFERROR(BI100/_xlfn.XLOOKUP(CO$7,'Product Tgt'!$B:$B,'Product Tgt'!$D:$D),0),0)</f>
        <v>0</v>
      </c>
      <c r="CP100" s="11">
        <f>ROUND(IFERROR(BJ100/_xlfn.XLOOKUP(CP$7,'Product Tgt'!$B:$B,'Product Tgt'!$D:$D),0),0)</f>
        <v>0</v>
      </c>
      <c r="CQ100" s="11">
        <f>ROUND(IFERROR(BK100/_xlfn.XLOOKUP(CQ$7,'Product Tgt'!$B:$B,'Product Tgt'!$D:$D),0),0)</f>
        <v>0</v>
      </c>
      <c r="CR100" s="11">
        <f>ROUND(IFERROR(BL100/_xlfn.XLOOKUP(CR$7,'Product Tgt'!$B:$B,'Product Tgt'!$D:$D),0),0)</f>
        <v>0</v>
      </c>
      <c r="CS100" s="11">
        <f>ROUND(IFERROR(BM100/_xlfn.XLOOKUP(CS$7,'Product Tgt'!$B:$B,'Product Tgt'!$D:$D),0),0)</f>
        <v>0</v>
      </c>
      <c r="CT100" s="11">
        <f>ROUND(IFERROR(BN100/_xlfn.XLOOKUP(CT$7,'Product Tgt'!$B:$B,'Product Tgt'!$D:$D),0),0)</f>
        <v>0</v>
      </c>
      <c r="CU100" s="11">
        <f>ROUND(IFERROR(BO100/_xlfn.XLOOKUP(CU$7,'Product Tgt'!$B:$B,'Product Tgt'!$D:$D),0),0)</f>
        <v>0</v>
      </c>
      <c r="CV100" s="11">
        <f>ROUND(IFERROR(BP100/_xlfn.XLOOKUP(CV$7,'Product Tgt'!$B:$B,'Product Tgt'!$D:$D),0),0)</f>
        <v>0</v>
      </c>
      <c r="CW100" s="11">
        <f>ROUND(IFERROR(BQ100/_xlfn.XLOOKUP(CW$7,'Product Tgt'!$B:$B,'Product Tgt'!$D:$D),0),0)</f>
        <v>0</v>
      </c>
      <c r="CX100" s="11">
        <f>ROUND(IFERROR(#REF!/_xlfn.XLOOKUP(CX$7,'Product Tgt'!$B:$B,'Product Tgt'!$D:$D),0),0)</f>
        <v>0</v>
      </c>
      <c r="CY100" s="11">
        <f>ROUND(IFERROR(#REF!/_xlfn.XLOOKUP(CY$7,'Product Tgt'!$B:$B,'Product Tgt'!$D:$D),0),0)</f>
        <v>0</v>
      </c>
      <c r="CZ100" s="11">
        <f>ROUND(IFERROR(#REF!/_xlfn.XLOOKUP(CZ$7,'Product Tgt'!$B:$B,'Product Tgt'!$D:$D),0),0)</f>
        <v>0</v>
      </c>
      <c r="DA100" s="10">
        <f>IFERROR(BR100*_xlfn.XLOOKUP(DA$7,'Product Tgt'!$B:$B,'Product Tgt'!$D:$D),0)</f>
        <v>0</v>
      </c>
      <c r="DB100">
        <f>IFERROR(BS100*_xlfn.XLOOKUP(DB$7,'Product Tgt'!$B:$B,'Product Tgt'!$D:$D),0)</f>
        <v>0</v>
      </c>
      <c r="DC100">
        <f>IFERROR(BT100*_xlfn.XLOOKUP(DC$7,'Product Tgt'!$B:$B,'Product Tgt'!$D:$D),0)</f>
        <v>0</v>
      </c>
      <c r="DD100">
        <f>IFERROR(BU100*_xlfn.XLOOKUP(DD$7,'Product Tgt'!$B:$B,'Product Tgt'!$D:$D),0)</f>
        <v>0</v>
      </c>
      <c r="DE100">
        <f>IFERROR(BV100*_xlfn.XLOOKUP(DE$7,'Product Tgt'!$B:$B,'Product Tgt'!$D:$D),0)</f>
        <v>0</v>
      </c>
      <c r="DF100">
        <f>IFERROR(BW100*_xlfn.XLOOKUP(DF$7,'Product Tgt'!$B:$B,'Product Tgt'!$D:$D),0)</f>
        <v>0</v>
      </c>
      <c r="DG100">
        <f>IFERROR(BX100*_xlfn.XLOOKUP(DG$7,'Product Tgt'!$B:$B,'Product Tgt'!$D:$D),0)</f>
        <v>0</v>
      </c>
      <c r="DH100">
        <f>IFERROR(BY100*_xlfn.XLOOKUP(DH$7,'Product Tgt'!$B:$B,'Product Tgt'!$D:$D),0)</f>
        <v>0</v>
      </c>
      <c r="DI100">
        <f>IFERROR(BZ100*_xlfn.XLOOKUP(DI$7,'Product Tgt'!$B:$B,'Product Tgt'!$D:$D),0)</f>
        <v>0</v>
      </c>
      <c r="DJ100">
        <f>IFERROR(CA100*_xlfn.XLOOKUP(DJ$7,'Product Tgt'!$B:$B,'Product Tgt'!$D:$D),0)</f>
        <v>0</v>
      </c>
      <c r="DK100">
        <f>IFERROR(CB100*_xlfn.XLOOKUP(DK$7,'Product Tgt'!$B:$B,'Product Tgt'!$D:$D),0)</f>
        <v>0</v>
      </c>
      <c r="DL100">
        <f>IFERROR(CC100*_xlfn.XLOOKUP(DL$7,'Product Tgt'!$B:$B,'Product Tgt'!$D:$D),0)</f>
        <v>0</v>
      </c>
      <c r="DM100">
        <f>IFERROR(CD100*_xlfn.XLOOKUP(DM$7,'Product Tgt'!$B:$B,'Product Tgt'!$D:$D),0)</f>
        <v>0</v>
      </c>
      <c r="DN100">
        <f>IFERROR(CE100*_xlfn.XLOOKUP(DN$7,'Product Tgt'!$B:$B,'Product Tgt'!$D:$D),0)</f>
        <v>0</v>
      </c>
      <c r="DO100">
        <f>IFERROR(CF100*_xlfn.XLOOKUP(DO$7,'Product Tgt'!$B:$B,'Product Tgt'!$D:$D),0)</f>
        <v>0</v>
      </c>
      <c r="DP100">
        <f>IFERROR(CG100*_xlfn.XLOOKUP(DP$7,'Product Tgt'!$B:$B,'Product Tgt'!$D:$D),0)</f>
        <v>0</v>
      </c>
      <c r="DQ100">
        <f>IFERROR(CH100*_xlfn.XLOOKUP(DQ$7,'Product Tgt'!$B:$B,'Product Tgt'!$D:$D),0)</f>
        <v>0</v>
      </c>
      <c r="DR100">
        <f>IFERROR(CI100*_xlfn.XLOOKUP(DR$7,'Product Tgt'!$B:$B,'Product Tgt'!$D:$D),0)</f>
        <v>0</v>
      </c>
      <c r="DS100">
        <f>IFERROR(CJ100*_xlfn.XLOOKUP(DS$7,'Product Tgt'!$B:$B,'Product Tgt'!$D:$D),0)</f>
        <v>0</v>
      </c>
      <c r="DT100">
        <f>IFERROR(CK100*_xlfn.XLOOKUP(DT$7,'Product Tgt'!$B:$B,'Product Tgt'!$D:$D),0)</f>
        <v>0</v>
      </c>
      <c r="DU100">
        <f>IFERROR(CL100*_xlfn.XLOOKUP(DU$7,'Product Tgt'!$B:$B,'Product Tgt'!$D:$D),0)</f>
        <v>0</v>
      </c>
      <c r="DV100">
        <f>IFERROR(CM100*_xlfn.XLOOKUP(DV$7,'Product Tgt'!$B:$B,'Product Tgt'!$D:$D),0)</f>
        <v>0</v>
      </c>
      <c r="DW100">
        <f>IFERROR(CN100*_xlfn.XLOOKUP(DW$7,'Product Tgt'!$B:$B,'Product Tgt'!$D:$D),0)</f>
        <v>0</v>
      </c>
      <c r="DX100">
        <f>IFERROR(CO100*_xlfn.XLOOKUP(DX$7,'Product Tgt'!$B:$B,'Product Tgt'!$D:$D),0)</f>
        <v>0</v>
      </c>
      <c r="DY100">
        <f>IFERROR(CP100*_xlfn.XLOOKUP(DY$7,'Product Tgt'!$B:$B,'Product Tgt'!$D:$D),0)</f>
        <v>0</v>
      </c>
      <c r="DZ100">
        <f>IFERROR(CQ100*_xlfn.XLOOKUP(DZ$7,'Product Tgt'!$B:$B,'Product Tgt'!$D:$D),0)</f>
        <v>0</v>
      </c>
      <c r="EA100">
        <f>IFERROR(CR100*_xlfn.XLOOKUP(EA$7,'Product Tgt'!$B:$B,'Product Tgt'!$D:$D),0)</f>
        <v>0</v>
      </c>
      <c r="EB100">
        <f>IFERROR(CS100*_xlfn.XLOOKUP(EB$7,'Product Tgt'!$B:$B,'Product Tgt'!$D:$D),0)</f>
        <v>0</v>
      </c>
      <c r="EC100">
        <f>IFERROR(CT100*_xlfn.XLOOKUP(EC$7,'Product Tgt'!$B:$B,'Product Tgt'!$D:$D),0)</f>
        <v>0</v>
      </c>
      <c r="ED100">
        <f>IFERROR(CU100*_xlfn.XLOOKUP(ED$7,'Product Tgt'!$B:$B,'Product Tgt'!$D:$D),0)</f>
        <v>0</v>
      </c>
      <c r="EE100">
        <f>IFERROR(CV100*_xlfn.XLOOKUP(EE$7,'Product Tgt'!$B:$B,'Product Tgt'!$D:$D),0)</f>
        <v>0</v>
      </c>
      <c r="EF100">
        <f>IFERROR(CW100*_xlfn.XLOOKUP(EF$7,'Product Tgt'!$B:$B,'Product Tgt'!$D:$D),0)</f>
        <v>0</v>
      </c>
      <c r="EG100">
        <f>IFERROR(CX100*_xlfn.XLOOKUP(EG$7,'Product Tgt'!$B:$B,'Product Tgt'!$D:$D),0)</f>
        <v>0</v>
      </c>
      <c r="EH100">
        <f>IFERROR(CY100*_xlfn.XLOOKUP(EH$7,'Product Tgt'!$B:$B,'Product Tgt'!$D:$D),0)</f>
        <v>0</v>
      </c>
      <c r="EI100">
        <f>IFERROR(CZ100*_xlfn.XLOOKUP(EI$7,'Product Tgt'!$B:$B,'Product Tgt'!$D:$D),0)</f>
        <v>0</v>
      </c>
    </row>
    <row r="101" spans="2:139" x14ac:dyDescent="0.35">
      <c r="B101" s="7" t="s">
        <v>187</v>
      </c>
      <c r="C101" s="3">
        <f>_xlfn.XLOOKUP($B101,'Terr Target'!$A:$A,'Terr Target'!$E:$E)</f>
        <v>371484.26889596804</v>
      </c>
      <c r="D101" s="3">
        <f t="shared" si="10"/>
        <v>371489</v>
      </c>
      <c r="E101" s="4">
        <f t="shared" si="11"/>
        <v>4.7311040319618769</v>
      </c>
      <c r="F101" s="9">
        <f t="shared" si="13"/>
        <v>1.2735515807902459E-5</v>
      </c>
      <c r="G101" s="5">
        <f t="shared" si="12"/>
        <v>0.99998726448419206</v>
      </c>
      <c r="H101" s="38">
        <v>40000.235110070811</v>
      </c>
      <c r="I101" s="11">
        <v>86809.986623329707</v>
      </c>
      <c r="J101" s="11">
        <v>33547.743425570865</v>
      </c>
      <c r="K101" s="11">
        <v>37521.650464856022</v>
      </c>
      <c r="L101" s="11">
        <v>38450.010354394319</v>
      </c>
      <c r="M101" s="11">
        <v>34083.180898447783</v>
      </c>
      <c r="N101" s="11">
        <v>276.9023317579132</v>
      </c>
      <c r="O101" s="11">
        <v>1936.3242191992204</v>
      </c>
      <c r="P101" s="11">
        <v>1968.2277504445653</v>
      </c>
      <c r="Q101" s="11">
        <v>874.5731056716478</v>
      </c>
      <c r="R101" s="11">
        <v>6078.2253134278735</v>
      </c>
      <c r="S101" s="11">
        <v>15460.323746895479</v>
      </c>
      <c r="T101" s="11">
        <v>0</v>
      </c>
      <c r="U101" s="11">
        <v>1010.9923263823089</v>
      </c>
      <c r="V101" s="11">
        <v>16104.201352356875</v>
      </c>
      <c r="W101" s="11">
        <v>17515.596442564231</v>
      </c>
      <c r="X101" s="11">
        <v>3240.1855837354115</v>
      </c>
      <c r="Y101" s="11">
        <v>5362.7316012995934</v>
      </c>
      <c r="Z101" s="11">
        <v>262.96757053023975</v>
      </c>
      <c r="AA101" s="11">
        <v>6750.2612962950107</v>
      </c>
      <c r="AB101" s="11">
        <v>1625.5760556674443</v>
      </c>
      <c r="AC101" s="11">
        <v>330.68911562455816</v>
      </c>
      <c r="AD101" s="11">
        <v>6799.0080593030398</v>
      </c>
      <c r="AE101" s="11">
        <v>3950.3504200546809</v>
      </c>
      <c r="AF101" s="11">
        <v>602.6111896170413</v>
      </c>
      <c r="AG101" s="11">
        <v>9750.318771612443</v>
      </c>
      <c r="AH101" s="11">
        <v>1258.9892420696658</v>
      </c>
      <c r="AI101" s="11">
        <v>5015.129530303635</v>
      </c>
      <c r="AJ101" s="11">
        <v>8695.5001768943494</v>
      </c>
      <c r="AK101" s="11">
        <v>977.22617873269292</v>
      </c>
      <c r="AL101" s="49">
        <v>1656.2644040180242</v>
      </c>
      <c r="AM101" s="41">
        <f>IFERROR(ROUND(_xlfn.XLOOKUP(AM$7,'Product Tgt'!$B:$B,'Product Tgt'!$G:$G)*H101/H$121,0),0)</f>
        <v>38887</v>
      </c>
      <c r="AN101" s="41">
        <f>IFERROR(ROUND(_xlfn.XLOOKUP(AN$7,'Product Tgt'!$B:$B,'Product Tgt'!$G:$G)*I101/I$121,0),0)</f>
        <v>85456</v>
      </c>
      <c r="AO101" s="41">
        <f>IFERROR(ROUND(_xlfn.XLOOKUP(AO$7,'Product Tgt'!$B:$B,'Product Tgt'!$G:$G)*J101/J$121,0),0)</f>
        <v>32504</v>
      </c>
      <c r="AP101" s="41">
        <f>IFERROR(ROUND(_xlfn.XLOOKUP(AP$7,'Product Tgt'!$B:$B,'Product Tgt'!$G:$G)*K101/K$121,0),0)</f>
        <v>36603</v>
      </c>
      <c r="AQ101" s="41">
        <f>IFERROR(ROUND(_xlfn.XLOOKUP(AQ$7,'Product Tgt'!$B:$B,'Product Tgt'!$G:$G)*L101/L$121,0),0)</f>
        <v>37179</v>
      </c>
      <c r="AR101" s="41">
        <f>IFERROR(ROUND(_xlfn.XLOOKUP(AR$7,'Product Tgt'!$B:$B,'Product Tgt'!$G:$G)*M101/M$121,0),0)</f>
        <v>33020</v>
      </c>
      <c r="AS101" s="41">
        <f>IFERROR(ROUND(_xlfn.XLOOKUP(AS$7,'Product Tgt'!$B:$B,'Product Tgt'!$G:$G)*N101/N$121,0),0)</f>
        <v>256</v>
      </c>
      <c r="AT101" s="41">
        <f>IFERROR(ROUND(_xlfn.XLOOKUP(AT$7,'Product Tgt'!$B:$B,'Product Tgt'!$G:$G)*O101/O$121,0),0)</f>
        <v>1743</v>
      </c>
      <c r="AU101" s="41">
        <f>IFERROR(ROUND(_xlfn.XLOOKUP(AU$7,'Product Tgt'!$B:$B,'Product Tgt'!$G:$G)*P101/P$121,0),0)</f>
        <v>839</v>
      </c>
      <c r="AV101" s="41">
        <f>IFERROR(ROUND(_xlfn.XLOOKUP(AV$7,'Product Tgt'!$B:$B,'Product Tgt'!$G:$G)*Q101/Q$121,0),0)</f>
        <v>656</v>
      </c>
      <c r="AW101" s="41">
        <f>IFERROR(ROUND(_xlfn.XLOOKUP(AW$7,'Product Tgt'!$B:$B,'Product Tgt'!$G:$G)*R101/R$121,0),0)</f>
        <v>5854</v>
      </c>
      <c r="AX101" s="41">
        <f>IFERROR(ROUND(_xlfn.XLOOKUP(AX$7,'Product Tgt'!$B:$B,'Product Tgt'!$G:$G)*S101/S$121,0),0)</f>
        <v>14890</v>
      </c>
      <c r="AY101" s="41">
        <f>IFERROR(ROUND(_xlfn.XLOOKUP(AY$7,'Product Tgt'!$B:$B,'Product Tgt'!$G:$G)*T101/T$121,0),0)</f>
        <v>0</v>
      </c>
      <c r="AZ101" s="41">
        <f>IFERROR(ROUND(_xlfn.XLOOKUP(AZ$7,'Product Tgt'!$B:$B,'Product Tgt'!$G:$G)*U101/U$121,0),0)</f>
        <v>968</v>
      </c>
      <c r="BA101" s="41">
        <f>IFERROR(ROUND(_xlfn.XLOOKUP(BA$7,'Product Tgt'!$B:$B,'Product Tgt'!$G:$G)*V101/V$121,0),0)</f>
        <v>15505</v>
      </c>
      <c r="BB101" s="41">
        <f>IFERROR(ROUND(_xlfn.XLOOKUP(BB$7,'Product Tgt'!$B:$B,'Product Tgt'!$G:$G)*W101/W$121,0),0)</f>
        <v>16767</v>
      </c>
      <c r="BC101" s="41">
        <f>IFERROR(ROUND(_xlfn.XLOOKUP(BC$7,'Product Tgt'!$B:$B,'Product Tgt'!$G:$G)*X101/X$121,0),0)</f>
        <v>3135</v>
      </c>
      <c r="BD101" s="41">
        <f>IFERROR(ROUND(_xlfn.XLOOKUP(BD$7,'Product Tgt'!$B:$B,'Product Tgt'!$G:$G)*Y101/Y$121,0),0)</f>
        <v>5186</v>
      </c>
      <c r="BE101" s="41">
        <f>IFERROR(ROUND(_xlfn.XLOOKUP(BE$7,'Product Tgt'!$B:$B,'Product Tgt'!$G:$G)*Z101/Z$121,0),0)</f>
        <v>250</v>
      </c>
      <c r="BF101" s="41">
        <f>IFERROR(ROUND(_xlfn.XLOOKUP(BF$7,'Product Tgt'!$B:$B,'Product Tgt'!$G:$G)*AA101/AA$121,0),0)</f>
        <v>5470</v>
      </c>
      <c r="BG101" s="41">
        <f>IFERROR(ROUND(_xlfn.XLOOKUP(BG$7,'Product Tgt'!$B:$B,'Product Tgt'!$G:$G)*AB101/AB$121,0),0)</f>
        <v>1303</v>
      </c>
      <c r="BH101" s="41">
        <f>IFERROR(ROUND(_xlfn.XLOOKUP(BH$7,'Product Tgt'!$B:$B,'Product Tgt'!$G:$G)*AC101/AC$121,0),0)</f>
        <v>283</v>
      </c>
      <c r="BI101" s="41">
        <f>IFERROR(ROUND(_xlfn.XLOOKUP(BI$7,'Product Tgt'!$B:$B,'Product Tgt'!$G:$G)*AD101/AD$121,0),0)</f>
        <v>5919</v>
      </c>
      <c r="BJ101" s="41">
        <f>IFERROR(ROUND(_xlfn.XLOOKUP(BJ$7,'Product Tgt'!$B:$B,'Product Tgt'!$G:$G)*AE101/AE$121,0),0)</f>
        <v>3677</v>
      </c>
      <c r="BK101" s="41">
        <f>IFERROR(ROUND(_xlfn.XLOOKUP(BK$7,'Product Tgt'!$B:$B,'Product Tgt'!$G:$G)*AF101/AF$121,0),0)</f>
        <v>673</v>
      </c>
      <c r="BL101" s="41">
        <f>IFERROR(ROUND(_xlfn.XLOOKUP(BL$7,'Product Tgt'!$B:$B,'Product Tgt'!$G:$G)*AG101/AG$121,0),0)</f>
        <v>9313</v>
      </c>
      <c r="BM101" s="41">
        <f>IFERROR(ROUND(_xlfn.XLOOKUP(BM$7,'Product Tgt'!$B:$B,'Product Tgt'!$G:$G)*AH101/AH$121,0),0)</f>
        <v>987</v>
      </c>
      <c r="BN101" s="41">
        <f>IFERROR(ROUND(_xlfn.XLOOKUP(BN$7,'Product Tgt'!$B:$B,'Product Tgt'!$G:$G)*AI101/AI$121,0),0)</f>
        <v>4606</v>
      </c>
      <c r="BO101" s="41">
        <f>IFERROR(ROUND(_xlfn.XLOOKUP(BO$7,'Product Tgt'!$B:$B,'Product Tgt'!$G:$G)*AJ101/AJ$121,0),0)</f>
        <v>7521</v>
      </c>
      <c r="BP101" s="41">
        <f>IFERROR(ROUND(_xlfn.XLOOKUP(BP$7,'Product Tgt'!$B:$B,'Product Tgt'!$G:$G)*AK101/AK$121,0),0)</f>
        <v>744</v>
      </c>
      <c r="BQ101" s="41">
        <f>IFERROR(ROUND(_xlfn.XLOOKUP(BQ$7,'Product Tgt'!$B:$B,'Product Tgt'!$G:$G)*AL101/AL$121,0),0)</f>
        <v>1295</v>
      </c>
      <c r="BR101" s="25">
        <f>ROUND(IFERROR(AM101/_xlfn.XLOOKUP(BR$7,'Product Tgt'!$B:$B,'Product Tgt'!$D:$D),0),0)</f>
        <v>0</v>
      </c>
      <c r="BS101" s="11">
        <f>ROUND(IFERROR(AN101/_xlfn.XLOOKUP(BS$7,'Product Tgt'!$B:$B,'Product Tgt'!$D:$D),0),0)</f>
        <v>0</v>
      </c>
      <c r="BT101" s="11">
        <f>ROUND(IFERROR(AO101/_xlfn.XLOOKUP(BT$7,'Product Tgt'!$B:$B,'Product Tgt'!$D:$D),0),0)</f>
        <v>0</v>
      </c>
      <c r="BU101" s="11">
        <f>ROUND(IFERROR(AP101/_xlfn.XLOOKUP(BU$7,'Product Tgt'!$B:$B,'Product Tgt'!$D:$D),0),0)</f>
        <v>0</v>
      </c>
      <c r="BV101" s="11">
        <f>ROUND(IFERROR(AQ101/_xlfn.XLOOKUP(BV$7,'Product Tgt'!$B:$B,'Product Tgt'!$D:$D),0),0)</f>
        <v>0</v>
      </c>
      <c r="BW101" s="11">
        <f>ROUND(IFERROR(AU101/_xlfn.XLOOKUP(BW$7,'Product Tgt'!$B:$B,'Product Tgt'!$D:$D),0),0)</f>
        <v>0</v>
      </c>
      <c r="BX101" s="11">
        <f>ROUND(IFERROR(#REF!/_xlfn.XLOOKUP(BX$7,'Product Tgt'!$B:$B,'Product Tgt'!$D:$D),0),0)</f>
        <v>0</v>
      </c>
      <c r="BY101" s="11">
        <f>ROUND(IFERROR(#REF!/_xlfn.XLOOKUP(BY$7,'Product Tgt'!$B:$B,'Product Tgt'!$D:$D),0),0)</f>
        <v>0</v>
      </c>
      <c r="BZ101" s="11">
        <f>ROUND(IFERROR(#REF!/_xlfn.XLOOKUP(BZ$7,'Product Tgt'!$B:$B,'Product Tgt'!$D:$D),0),0)</f>
        <v>0</v>
      </c>
      <c r="CA101" s="11">
        <f>ROUND(IFERROR(#REF!/_xlfn.XLOOKUP(CA$7,'Product Tgt'!$B:$B,'Product Tgt'!$D:$D),0),0)</f>
        <v>0</v>
      </c>
      <c r="CB101" s="11">
        <f>ROUND(IFERROR(AV101/_xlfn.XLOOKUP(CB$7,'Product Tgt'!$B:$B,'Product Tgt'!$D:$D),0),0)</f>
        <v>0</v>
      </c>
      <c r="CC101" s="11">
        <f>ROUND(IFERROR(AW101/_xlfn.XLOOKUP(CC$7,'Product Tgt'!$B:$B,'Product Tgt'!$D:$D),0),0)</f>
        <v>0</v>
      </c>
      <c r="CD101" s="11">
        <f>ROUND(IFERROR(AX101/_xlfn.XLOOKUP(CD$7,'Product Tgt'!$B:$B,'Product Tgt'!$D:$D),0),0)</f>
        <v>0</v>
      </c>
      <c r="CE101" s="11">
        <f>ROUND(IFERROR(AY101/_xlfn.XLOOKUP(CE$7,'Product Tgt'!$B:$B,'Product Tgt'!$D:$D),0),0)</f>
        <v>0</v>
      </c>
      <c r="CF101" s="11">
        <f>ROUND(IFERROR(AZ101/_xlfn.XLOOKUP(CF$7,'Product Tgt'!$B:$B,'Product Tgt'!$D:$D),0),0)</f>
        <v>0</v>
      </c>
      <c r="CG101" s="11">
        <f>ROUND(IFERROR(BA101/_xlfn.XLOOKUP(CG$7,'Product Tgt'!$B:$B,'Product Tgt'!$D:$D),0),0)</f>
        <v>0</v>
      </c>
      <c r="CH101" s="11">
        <f>ROUND(IFERROR(BB101/_xlfn.XLOOKUP(CH$7,'Product Tgt'!$B:$B,'Product Tgt'!$D:$D),0),0)</f>
        <v>0</v>
      </c>
      <c r="CI101" s="11">
        <f>ROUND(IFERROR(BC101/_xlfn.XLOOKUP(CI$7,'Product Tgt'!$B:$B,'Product Tgt'!$D:$D),0),0)</f>
        <v>0</v>
      </c>
      <c r="CJ101" s="11">
        <f>ROUND(IFERROR(BD101/_xlfn.XLOOKUP(CJ$7,'Product Tgt'!$B:$B,'Product Tgt'!$D:$D),0),0)</f>
        <v>0</v>
      </c>
      <c r="CK101" s="11">
        <f>ROUND(IFERROR(BE101/_xlfn.XLOOKUP(CK$7,'Product Tgt'!$B:$B,'Product Tgt'!$D:$D),0),0)</f>
        <v>0</v>
      </c>
      <c r="CL101" s="11">
        <f>ROUND(IFERROR(BF101/_xlfn.XLOOKUP(CL$7,'Product Tgt'!$B:$B,'Product Tgt'!$D:$D),0),0)</f>
        <v>0</v>
      </c>
      <c r="CM101" s="11">
        <f>ROUND(IFERROR(BG101/_xlfn.XLOOKUP(CM$7,'Product Tgt'!$B:$B,'Product Tgt'!$D:$D),0),0)</f>
        <v>0</v>
      </c>
      <c r="CN101" s="11">
        <f>ROUND(IFERROR(BH101/_xlfn.XLOOKUP(CN$7,'Product Tgt'!$B:$B,'Product Tgt'!$D:$D),0),0)</f>
        <v>0</v>
      </c>
      <c r="CO101" s="11">
        <f>ROUND(IFERROR(BI101/_xlfn.XLOOKUP(CO$7,'Product Tgt'!$B:$B,'Product Tgt'!$D:$D),0),0)</f>
        <v>0</v>
      </c>
      <c r="CP101" s="11">
        <f>ROUND(IFERROR(BJ101/_xlfn.XLOOKUP(CP$7,'Product Tgt'!$B:$B,'Product Tgt'!$D:$D),0),0)</f>
        <v>0</v>
      </c>
      <c r="CQ101" s="11">
        <f>ROUND(IFERROR(BK101/_xlfn.XLOOKUP(CQ$7,'Product Tgt'!$B:$B,'Product Tgt'!$D:$D),0),0)</f>
        <v>0</v>
      </c>
      <c r="CR101" s="11">
        <f>ROUND(IFERROR(BL101/_xlfn.XLOOKUP(CR$7,'Product Tgt'!$B:$B,'Product Tgt'!$D:$D),0),0)</f>
        <v>0</v>
      </c>
      <c r="CS101" s="11">
        <f>ROUND(IFERROR(BM101/_xlfn.XLOOKUP(CS$7,'Product Tgt'!$B:$B,'Product Tgt'!$D:$D),0),0)</f>
        <v>0</v>
      </c>
      <c r="CT101" s="11">
        <f>ROUND(IFERROR(BN101/_xlfn.XLOOKUP(CT$7,'Product Tgt'!$B:$B,'Product Tgt'!$D:$D),0),0)</f>
        <v>0</v>
      </c>
      <c r="CU101" s="11">
        <f>ROUND(IFERROR(BO101/_xlfn.XLOOKUP(CU$7,'Product Tgt'!$B:$B,'Product Tgt'!$D:$D),0),0)</f>
        <v>0</v>
      </c>
      <c r="CV101" s="11">
        <f>ROUND(IFERROR(BP101/_xlfn.XLOOKUP(CV$7,'Product Tgt'!$B:$B,'Product Tgt'!$D:$D),0),0)</f>
        <v>0</v>
      </c>
      <c r="CW101" s="11">
        <f>ROUND(IFERROR(BQ101/_xlfn.XLOOKUP(CW$7,'Product Tgt'!$B:$B,'Product Tgt'!$D:$D),0),0)</f>
        <v>0</v>
      </c>
      <c r="CX101" s="11">
        <f>ROUND(IFERROR(#REF!/_xlfn.XLOOKUP(CX$7,'Product Tgt'!$B:$B,'Product Tgt'!$D:$D),0),0)</f>
        <v>0</v>
      </c>
      <c r="CY101" s="11">
        <f>ROUND(IFERROR(#REF!/_xlfn.XLOOKUP(CY$7,'Product Tgt'!$B:$B,'Product Tgt'!$D:$D),0),0)</f>
        <v>0</v>
      </c>
      <c r="CZ101" s="11">
        <f>ROUND(IFERROR(#REF!/_xlfn.XLOOKUP(CZ$7,'Product Tgt'!$B:$B,'Product Tgt'!$D:$D),0),0)</f>
        <v>0</v>
      </c>
      <c r="DA101" s="10">
        <f>IFERROR(BR101*_xlfn.XLOOKUP(DA$7,'Product Tgt'!$B:$B,'Product Tgt'!$D:$D),0)</f>
        <v>0</v>
      </c>
      <c r="DB101">
        <f>IFERROR(BS101*_xlfn.XLOOKUP(DB$7,'Product Tgt'!$B:$B,'Product Tgt'!$D:$D),0)</f>
        <v>0</v>
      </c>
      <c r="DC101">
        <f>IFERROR(BT101*_xlfn.XLOOKUP(DC$7,'Product Tgt'!$B:$B,'Product Tgt'!$D:$D),0)</f>
        <v>0</v>
      </c>
      <c r="DD101">
        <f>IFERROR(BU101*_xlfn.XLOOKUP(DD$7,'Product Tgt'!$B:$B,'Product Tgt'!$D:$D),0)</f>
        <v>0</v>
      </c>
      <c r="DE101">
        <f>IFERROR(BV101*_xlfn.XLOOKUP(DE$7,'Product Tgt'!$B:$B,'Product Tgt'!$D:$D),0)</f>
        <v>0</v>
      </c>
      <c r="DF101">
        <f>IFERROR(BW101*_xlfn.XLOOKUP(DF$7,'Product Tgt'!$B:$B,'Product Tgt'!$D:$D),0)</f>
        <v>0</v>
      </c>
      <c r="DG101">
        <f>IFERROR(BX101*_xlfn.XLOOKUP(DG$7,'Product Tgt'!$B:$B,'Product Tgt'!$D:$D),0)</f>
        <v>0</v>
      </c>
      <c r="DH101">
        <f>IFERROR(BY101*_xlfn.XLOOKUP(DH$7,'Product Tgt'!$B:$B,'Product Tgt'!$D:$D),0)</f>
        <v>0</v>
      </c>
      <c r="DI101">
        <f>IFERROR(BZ101*_xlfn.XLOOKUP(DI$7,'Product Tgt'!$B:$B,'Product Tgt'!$D:$D),0)</f>
        <v>0</v>
      </c>
      <c r="DJ101">
        <f>IFERROR(CA101*_xlfn.XLOOKUP(DJ$7,'Product Tgt'!$B:$B,'Product Tgt'!$D:$D),0)</f>
        <v>0</v>
      </c>
      <c r="DK101">
        <f>IFERROR(CB101*_xlfn.XLOOKUP(DK$7,'Product Tgt'!$B:$B,'Product Tgt'!$D:$D),0)</f>
        <v>0</v>
      </c>
      <c r="DL101">
        <f>IFERROR(CC101*_xlfn.XLOOKUP(DL$7,'Product Tgt'!$B:$B,'Product Tgt'!$D:$D),0)</f>
        <v>0</v>
      </c>
      <c r="DM101">
        <f>IFERROR(CD101*_xlfn.XLOOKUP(DM$7,'Product Tgt'!$B:$B,'Product Tgt'!$D:$D),0)</f>
        <v>0</v>
      </c>
      <c r="DN101">
        <f>IFERROR(CE101*_xlfn.XLOOKUP(DN$7,'Product Tgt'!$B:$B,'Product Tgt'!$D:$D),0)</f>
        <v>0</v>
      </c>
      <c r="DO101">
        <f>IFERROR(CF101*_xlfn.XLOOKUP(DO$7,'Product Tgt'!$B:$B,'Product Tgt'!$D:$D),0)</f>
        <v>0</v>
      </c>
      <c r="DP101">
        <f>IFERROR(CG101*_xlfn.XLOOKUP(DP$7,'Product Tgt'!$B:$B,'Product Tgt'!$D:$D),0)</f>
        <v>0</v>
      </c>
      <c r="DQ101">
        <f>IFERROR(CH101*_xlfn.XLOOKUP(DQ$7,'Product Tgt'!$B:$B,'Product Tgt'!$D:$D),0)</f>
        <v>0</v>
      </c>
      <c r="DR101">
        <f>IFERROR(CI101*_xlfn.XLOOKUP(DR$7,'Product Tgt'!$B:$B,'Product Tgt'!$D:$D),0)</f>
        <v>0</v>
      </c>
      <c r="DS101">
        <f>IFERROR(CJ101*_xlfn.XLOOKUP(DS$7,'Product Tgt'!$B:$B,'Product Tgt'!$D:$D),0)</f>
        <v>0</v>
      </c>
      <c r="DT101">
        <f>IFERROR(CK101*_xlfn.XLOOKUP(DT$7,'Product Tgt'!$B:$B,'Product Tgt'!$D:$D),0)</f>
        <v>0</v>
      </c>
      <c r="DU101">
        <f>IFERROR(CL101*_xlfn.XLOOKUP(DU$7,'Product Tgt'!$B:$B,'Product Tgt'!$D:$D),0)</f>
        <v>0</v>
      </c>
      <c r="DV101">
        <f>IFERROR(CM101*_xlfn.XLOOKUP(DV$7,'Product Tgt'!$B:$B,'Product Tgt'!$D:$D),0)</f>
        <v>0</v>
      </c>
      <c r="DW101">
        <f>IFERROR(CN101*_xlfn.XLOOKUP(DW$7,'Product Tgt'!$B:$B,'Product Tgt'!$D:$D),0)</f>
        <v>0</v>
      </c>
      <c r="DX101">
        <f>IFERROR(CO101*_xlfn.XLOOKUP(DX$7,'Product Tgt'!$B:$B,'Product Tgt'!$D:$D),0)</f>
        <v>0</v>
      </c>
      <c r="DY101">
        <f>IFERROR(CP101*_xlfn.XLOOKUP(DY$7,'Product Tgt'!$B:$B,'Product Tgt'!$D:$D),0)</f>
        <v>0</v>
      </c>
      <c r="DZ101">
        <f>IFERROR(CQ101*_xlfn.XLOOKUP(DZ$7,'Product Tgt'!$B:$B,'Product Tgt'!$D:$D),0)</f>
        <v>0</v>
      </c>
      <c r="EA101">
        <f>IFERROR(CR101*_xlfn.XLOOKUP(EA$7,'Product Tgt'!$B:$B,'Product Tgt'!$D:$D),0)</f>
        <v>0</v>
      </c>
      <c r="EB101">
        <f>IFERROR(CS101*_xlfn.XLOOKUP(EB$7,'Product Tgt'!$B:$B,'Product Tgt'!$D:$D),0)</f>
        <v>0</v>
      </c>
      <c r="EC101">
        <f>IFERROR(CT101*_xlfn.XLOOKUP(EC$7,'Product Tgt'!$B:$B,'Product Tgt'!$D:$D),0)</f>
        <v>0</v>
      </c>
      <c r="ED101">
        <f>IFERROR(CU101*_xlfn.XLOOKUP(ED$7,'Product Tgt'!$B:$B,'Product Tgt'!$D:$D),0)</f>
        <v>0</v>
      </c>
      <c r="EE101">
        <f>IFERROR(CV101*_xlfn.XLOOKUP(EE$7,'Product Tgt'!$B:$B,'Product Tgt'!$D:$D),0)</f>
        <v>0</v>
      </c>
      <c r="EF101">
        <f>IFERROR(CW101*_xlfn.XLOOKUP(EF$7,'Product Tgt'!$B:$B,'Product Tgt'!$D:$D),0)</f>
        <v>0</v>
      </c>
      <c r="EG101">
        <f>IFERROR(CX101*_xlfn.XLOOKUP(EG$7,'Product Tgt'!$B:$B,'Product Tgt'!$D:$D),0)</f>
        <v>0</v>
      </c>
      <c r="EH101">
        <f>IFERROR(CY101*_xlfn.XLOOKUP(EH$7,'Product Tgt'!$B:$B,'Product Tgt'!$D:$D),0)</f>
        <v>0</v>
      </c>
      <c r="EI101">
        <f>IFERROR(CZ101*_xlfn.XLOOKUP(EI$7,'Product Tgt'!$B:$B,'Product Tgt'!$D:$D),0)</f>
        <v>0</v>
      </c>
    </row>
    <row r="102" spans="2:139" x14ac:dyDescent="0.35">
      <c r="B102" s="7" t="s">
        <v>188</v>
      </c>
      <c r="C102" s="3">
        <f>_xlfn.XLOOKUP($B102,'Terr Target'!$A:$A,'Terr Target'!$E:$E)</f>
        <v>487437.87659896165</v>
      </c>
      <c r="D102" s="3">
        <f t="shared" si="10"/>
        <v>487441</v>
      </c>
      <c r="E102" s="4">
        <f t="shared" si="11"/>
        <v>3.1234010383486748</v>
      </c>
      <c r="F102" s="9">
        <f t="shared" si="13"/>
        <v>6.407751991212628E-6</v>
      </c>
      <c r="G102" s="5">
        <f t="shared" si="12"/>
        <v>0.99999359224800877</v>
      </c>
      <c r="H102" s="38">
        <v>46912.332944857008</v>
      </c>
      <c r="I102" s="11">
        <v>99211.620795072275</v>
      </c>
      <c r="J102" s="11">
        <v>43338.521659027654</v>
      </c>
      <c r="K102" s="11">
        <v>44487.576144308281</v>
      </c>
      <c r="L102" s="11">
        <v>55911.314341747457</v>
      </c>
      <c r="M102" s="11">
        <v>45050.830700747538</v>
      </c>
      <c r="N102" s="11">
        <v>515.65543908501286</v>
      </c>
      <c r="O102" s="11">
        <v>3160.9491537159552</v>
      </c>
      <c r="P102" s="11">
        <v>1745.8672689035009</v>
      </c>
      <c r="Q102" s="11">
        <v>2076.7126140913615</v>
      </c>
      <c r="R102" s="11">
        <v>11103.266122000159</v>
      </c>
      <c r="S102" s="11">
        <v>23333.281201266098</v>
      </c>
      <c r="T102" s="11">
        <v>0</v>
      </c>
      <c r="U102" s="11">
        <v>1288.1742234054389</v>
      </c>
      <c r="V102" s="11">
        <v>22738.287237579916</v>
      </c>
      <c r="W102" s="11">
        <v>20922.455362210509</v>
      </c>
      <c r="X102" s="11">
        <v>4436.1417996611444</v>
      </c>
      <c r="Y102" s="11">
        <v>5883.1929425916423</v>
      </c>
      <c r="Z102" s="11">
        <v>404.75739052735884</v>
      </c>
      <c r="AA102" s="11">
        <v>8846.2804703372458</v>
      </c>
      <c r="AB102" s="11">
        <v>2318.5157305103035</v>
      </c>
      <c r="AC102" s="11">
        <v>433.73858732083426</v>
      </c>
      <c r="AD102" s="11">
        <v>12066.111421124633</v>
      </c>
      <c r="AE102" s="11">
        <v>10586.141636043201</v>
      </c>
      <c r="AF102" s="11">
        <v>791.43651036527046</v>
      </c>
      <c r="AG102" s="11">
        <v>14209.770599808924</v>
      </c>
      <c r="AH102" s="11">
        <v>1711.8593334937777</v>
      </c>
      <c r="AI102" s="11">
        <v>6663.686552788341</v>
      </c>
      <c r="AJ102" s="11">
        <v>13081.492634574382</v>
      </c>
      <c r="AK102" s="11">
        <v>2610.5862330917216</v>
      </c>
      <c r="AL102" s="49">
        <v>4844.3469532553127</v>
      </c>
      <c r="AM102" s="41">
        <f>IFERROR(ROUND(_xlfn.XLOOKUP(AM$7,'Product Tgt'!$B:$B,'Product Tgt'!$G:$G)*H102/H$121,0),0)</f>
        <v>45606</v>
      </c>
      <c r="AN102" s="41">
        <f>IFERROR(ROUND(_xlfn.XLOOKUP(AN$7,'Product Tgt'!$B:$B,'Product Tgt'!$G:$G)*I102/I$121,0),0)</f>
        <v>97664</v>
      </c>
      <c r="AO102" s="41">
        <f>IFERROR(ROUND(_xlfn.XLOOKUP(AO$7,'Product Tgt'!$B:$B,'Product Tgt'!$G:$G)*J102/J$121,0),0)</f>
        <v>41991</v>
      </c>
      <c r="AP102" s="41">
        <f>IFERROR(ROUND(_xlfn.XLOOKUP(AP$7,'Product Tgt'!$B:$B,'Product Tgt'!$G:$G)*K102/K$121,0),0)</f>
        <v>43399</v>
      </c>
      <c r="AQ102" s="41">
        <f>IFERROR(ROUND(_xlfn.XLOOKUP(AQ$7,'Product Tgt'!$B:$B,'Product Tgt'!$G:$G)*L102/L$121,0),0)</f>
        <v>54063</v>
      </c>
      <c r="AR102" s="41">
        <f>IFERROR(ROUND(_xlfn.XLOOKUP(AR$7,'Product Tgt'!$B:$B,'Product Tgt'!$G:$G)*M102/M$121,0),0)</f>
        <v>43645</v>
      </c>
      <c r="AS102" s="41">
        <f>IFERROR(ROUND(_xlfn.XLOOKUP(AS$7,'Product Tgt'!$B:$B,'Product Tgt'!$G:$G)*N102/N$121,0),0)</f>
        <v>476</v>
      </c>
      <c r="AT102" s="41">
        <f>IFERROR(ROUND(_xlfn.XLOOKUP(AT$7,'Product Tgt'!$B:$B,'Product Tgt'!$G:$G)*O102/O$121,0),0)</f>
        <v>2845</v>
      </c>
      <c r="AU102" s="41">
        <f>IFERROR(ROUND(_xlfn.XLOOKUP(AU$7,'Product Tgt'!$B:$B,'Product Tgt'!$G:$G)*P102/P$121,0),0)</f>
        <v>744</v>
      </c>
      <c r="AV102" s="41">
        <f>IFERROR(ROUND(_xlfn.XLOOKUP(AV$7,'Product Tgt'!$B:$B,'Product Tgt'!$G:$G)*Q102/Q$121,0),0)</f>
        <v>1558</v>
      </c>
      <c r="AW102" s="41">
        <f>IFERROR(ROUND(_xlfn.XLOOKUP(AW$7,'Product Tgt'!$B:$B,'Product Tgt'!$G:$G)*R102/R$121,0),0)</f>
        <v>10693</v>
      </c>
      <c r="AX102" s="41">
        <f>IFERROR(ROUND(_xlfn.XLOOKUP(AX$7,'Product Tgt'!$B:$B,'Product Tgt'!$G:$G)*S102/S$121,0),0)</f>
        <v>22473</v>
      </c>
      <c r="AY102" s="41">
        <f>IFERROR(ROUND(_xlfn.XLOOKUP(AY$7,'Product Tgt'!$B:$B,'Product Tgt'!$G:$G)*T102/T$121,0),0)</f>
        <v>0</v>
      </c>
      <c r="AZ102" s="41">
        <f>IFERROR(ROUND(_xlfn.XLOOKUP(AZ$7,'Product Tgt'!$B:$B,'Product Tgt'!$G:$G)*U102/U$121,0),0)</f>
        <v>1233</v>
      </c>
      <c r="BA102" s="41">
        <f>IFERROR(ROUND(_xlfn.XLOOKUP(BA$7,'Product Tgt'!$B:$B,'Product Tgt'!$G:$G)*V102/V$121,0),0)</f>
        <v>21893</v>
      </c>
      <c r="BB102" s="41">
        <f>IFERROR(ROUND(_xlfn.XLOOKUP(BB$7,'Product Tgt'!$B:$B,'Product Tgt'!$G:$G)*W102/W$121,0),0)</f>
        <v>20028</v>
      </c>
      <c r="BC102" s="41">
        <f>IFERROR(ROUND(_xlfn.XLOOKUP(BC$7,'Product Tgt'!$B:$B,'Product Tgt'!$G:$G)*X102/X$121,0),0)</f>
        <v>4292</v>
      </c>
      <c r="BD102" s="41">
        <f>IFERROR(ROUND(_xlfn.XLOOKUP(BD$7,'Product Tgt'!$B:$B,'Product Tgt'!$G:$G)*Y102/Y$121,0),0)</f>
        <v>5689</v>
      </c>
      <c r="BE102" s="41">
        <f>IFERROR(ROUND(_xlfn.XLOOKUP(BE$7,'Product Tgt'!$B:$B,'Product Tgt'!$G:$G)*Z102/Z$121,0),0)</f>
        <v>385</v>
      </c>
      <c r="BF102" s="41">
        <f>IFERROR(ROUND(_xlfn.XLOOKUP(BF$7,'Product Tgt'!$B:$B,'Product Tgt'!$G:$G)*AA102/AA$121,0),0)</f>
        <v>7169</v>
      </c>
      <c r="BG102" s="41">
        <f>IFERROR(ROUND(_xlfn.XLOOKUP(BG$7,'Product Tgt'!$B:$B,'Product Tgt'!$G:$G)*AB102/AB$121,0),0)</f>
        <v>1858</v>
      </c>
      <c r="BH102" s="41">
        <f>IFERROR(ROUND(_xlfn.XLOOKUP(BH$7,'Product Tgt'!$B:$B,'Product Tgt'!$G:$G)*AC102/AC$121,0),0)</f>
        <v>371</v>
      </c>
      <c r="BI102" s="41">
        <f>IFERROR(ROUND(_xlfn.XLOOKUP(BI$7,'Product Tgt'!$B:$B,'Product Tgt'!$G:$G)*AD102/AD$121,0),0)</f>
        <v>10504</v>
      </c>
      <c r="BJ102" s="41">
        <f>IFERROR(ROUND(_xlfn.XLOOKUP(BJ$7,'Product Tgt'!$B:$B,'Product Tgt'!$G:$G)*AE102/AE$121,0),0)</f>
        <v>9853</v>
      </c>
      <c r="BK102" s="41">
        <f>IFERROR(ROUND(_xlfn.XLOOKUP(BK$7,'Product Tgt'!$B:$B,'Product Tgt'!$G:$G)*AF102/AF$121,0),0)</f>
        <v>884</v>
      </c>
      <c r="BL102" s="41">
        <f>IFERROR(ROUND(_xlfn.XLOOKUP(BL$7,'Product Tgt'!$B:$B,'Product Tgt'!$G:$G)*AG102/AG$121,0),0)</f>
        <v>13573</v>
      </c>
      <c r="BM102" s="41">
        <f>IFERROR(ROUND(_xlfn.XLOOKUP(BM$7,'Product Tgt'!$B:$B,'Product Tgt'!$G:$G)*AH102/AH$121,0),0)</f>
        <v>1342</v>
      </c>
      <c r="BN102" s="41">
        <f>IFERROR(ROUND(_xlfn.XLOOKUP(BN$7,'Product Tgt'!$B:$B,'Product Tgt'!$G:$G)*AI102/AI$121,0),0)</f>
        <v>6120</v>
      </c>
      <c r="BO102" s="41">
        <f>IFERROR(ROUND(_xlfn.XLOOKUP(BO$7,'Product Tgt'!$B:$B,'Product Tgt'!$G:$G)*AJ102/AJ$121,0),0)</f>
        <v>11315</v>
      </c>
      <c r="BP102" s="41">
        <f>IFERROR(ROUND(_xlfn.XLOOKUP(BP$7,'Product Tgt'!$B:$B,'Product Tgt'!$G:$G)*AK102/AK$121,0),0)</f>
        <v>1988</v>
      </c>
      <c r="BQ102" s="41">
        <f>IFERROR(ROUND(_xlfn.XLOOKUP(BQ$7,'Product Tgt'!$B:$B,'Product Tgt'!$G:$G)*AL102/AL$121,0),0)</f>
        <v>3787</v>
      </c>
      <c r="BR102" s="25">
        <f>ROUND(IFERROR(AM102/_xlfn.XLOOKUP(BR$7,'Product Tgt'!$B:$B,'Product Tgt'!$D:$D),0),0)</f>
        <v>0</v>
      </c>
      <c r="BS102" s="11">
        <f>ROUND(IFERROR(AN102/_xlfn.XLOOKUP(BS$7,'Product Tgt'!$B:$B,'Product Tgt'!$D:$D),0),0)</f>
        <v>0</v>
      </c>
      <c r="BT102" s="11">
        <f>ROUND(IFERROR(AO102/_xlfn.XLOOKUP(BT$7,'Product Tgt'!$B:$B,'Product Tgt'!$D:$D),0),0)</f>
        <v>0</v>
      </c>
      <c r="BU102" s="11">
        <f>ROUND(IFERROR(AP102/_xlfn.XLOOKUP(BU$7,'Product Tgt'!$B:$B,'Product Tgt'!$D:$D),0),0)</f>
        <v>0</v>
      </c>
      <c r="BV102" s="11">
        <f>ROUND(IFERROR(AQ102/_xlfn.XLOOKUP(BV$7,'Product Tgt'!$B:$B,'Product Tgt'!$D:$D),0),0)</f>
        <v>0</v>
      </c>
      <c r="BW102" s="11">
        <f>ROUND(IFERROR(AU102/_xlfn.XLOOKUP(BW$7,'Product Tgt'!$B:$B,'Product Tgt'!$D:$D),0),0)</f>
        <v>0</v>
      </c>
      <c r="BX102" s="11">
        <f>ROUND(IFERROR(#REF!/_xlfn.XLOOKUP(BX$7,'Product Tgt'!$B:$B,'Product Tgt'!$D:$D),0),0)</f>
        <v>0</v>
      </c>
      <c r="BY102" s="11">
        <f>ROUND(IFERROR(#REF!/_xlfn.XLOOKUP(BY$7,'Product Tgt'!$B:$B,'Product Tgt'!$D:$D),0),0)</f>
        <v>0</v>
      </c>
      <c r="BZ102" s="11">
        <f>ROUND(IFERROR(#REF!/_xlfn.XLOOKUP(BZ$7,'Product Tgt'!$B:$B,'Product Tgt'!$D:$D),0),0)</f>
        <v>0</v>
      </c>
      <c r="CA102" s="11">
        <f>ROUND(IFERROR(#REF!/_xlfn.XLOOKUP(CA$7,'Product Tgt'!$B:$B,'Product Tgt'!$D:$D),0),0)</f>
        <v>0</v>
      </c>
      <c r="CB102" s="11">
        <f>ROUND(IFERROR(AV102/_xlfn.XLOOKUP(CB$7,'Product Tgt'!$B:$B,'Product Tgt'!$D:$D),0),0)</f>
        <v>0</v>
      </c>
      <c r="CC102" s="11">
        <f>ROUND(IFERROR(AW102/_xlfn.XLOOKUP(CC$7,'Product Tgt'!$B:$B,'Product Tgt'!$D:$D),0),0)</f>
        <v>0</v>
      </c>
      <c r="CD102" s="11">
        <f>ROUND(IFERROR(AX102/_xlfn.XLOOKUP(CD$7,'Product Tgt'!$B:$B,'Product Tgt'!$D:$D),0),0)</f>
        <v>0</v>
      </c>
      <c r="CE102" s="11">
        <f>ROUND(IFERROR(AY102/_xlfn.XLOOKUP(CE$7,'Product Tgt'!$B:$B,'Product Tgt'!$D:$D),0),0)</f>
        <v>0</v>
      </c>
      <c r="CF102" s="11">
        <f>ROUND(IFERROR(AZ102/_xlfn.XLOOKUP(CF$7,'Product Tgt'!$B:$B,'Product Tgt'!$D:$D),0),0)</f>
        <v>0</v>
      </c>
      <c r="CG102" s="11">
        <f>ROUND(IFERROR(BA102/_xlfn.XLOOKUP(CG$7,'Product Tgt'!$B:$B,'Product Tgt'!$D:$D),0),0)</f>
        <v>0</v>
      </c>
      <c r="CH102" s="11">
        <f>ROUND(IFERROR(BB102/_xlfn.XLOOKUP(CH$7,'Product Tgt'!$B:$B,'Product Tgt'!$D:$D),0),0)</f>
        <v>0</v>
      </c>
      <c r="CI102" s="11">
        <f>ROUND(IFERROR(BC102/_xlfn.XLOOKUP(CI$7,'Product Tgt'!$B:$B,'Product Tgt'!$D:$D),0),0)</f>
        <v>0</v>
      </c>
      <c r="CJ102" s="11">
        <f>ROUND(IFERROR(BD102/_xlfn.XLOOKUP(CJ$7,'Product Tgt'!$B:$B,'Product Tgt'!$D:$D),0),0)</f>
        <v>0</v>
      </c>
      <c r="CK102" s="11">
        <f>ROUND(IFERROR(BE102/_xlfn.XLOOKUP(CK$7,'Product Tgt'!$B:$B,'Product Tgt'!$D:$D),0),0)</f>
        <v>0</v>
      </c>
      <c r="CL102" s="11">
        <f>ROUND(IFERROR(BF102/_xlfn.XLOOKUP(CL$7,'Product Tgt'!$B:$B,'Product Tgt'!$D:$D),0),0)</f>
        <v>0</v>
      </c>
      <c r="CM102" s="11">
        <f>ROUND(IFERROR(BG102/_xlfn.XLOOKUP(CM$7,'Product Tgt'!$B:$B,'Product Tgt'!$D:$D),0),0)</f>
        <v>0</v>
      </c>
      <c r="CN102" s="11">
        <f>ROUND(IFERROR(BH102/_xlfn.XLOOKUP(CN$7,'Product Tgt'!$B:$B,'Product Tgt'!$D:$D),0),0)</f>
        <v>0</v>
      </c>
      <c r="CO102" s="11">
        <f>ROUND(IFERROR(BI102/_xlfn.XLOOKUP(CO$7,'Product Tgt'!$B:$B,'Product Tgt'!$D:$D),0),0)</f>
        <v>0</v>
      </c>
      <c r="CP102" s="11">
        <f>ROUND(IFERROR(BJ102/_xlfn.XLOOKUP(CP$7,'Product Tgt'!$B:$B,'Product Tgt'!$D:$D),0),0)</f>
        <v>0</v>
      </c>
      <c r="CQ102" s="11">
        <f>ROUND(IFERROR(BK102/_xlfn.XLOOKUP(CQ$7,'Product Tgt'!$B:$B,'Product Tgt'!$D:$D),0),0)</f>
        <v>0</v>
      </c>
      <c r="CR102" s="11">
        <f>ROUND(IFERROR(BL102/_xlfn.XLOOKUP(CR$7,'Product Tgt'!$B:$B,'Product Tgt'!$D:$D),0),0)</f>
        <v>0</v>
      </c>
      <c r="CS102" s="11">
        <f>ROUND(IFERROR(BM102/_xlfn.XLOOKUP(CS$7,'Product Tgt'!$B:$B,'Product Tgt'!$D:$D),0),0)</f>
        <v>0</v>
      </c>
      <c r="CT102" s="11">
        <f>ROUND(IFERROR(BN102/_xlfn.XLOOKUP(CT$7,'Product Tgt'!$B:$B,'Product Tgt'!$D:$D),0),0)</f>
        <v>0</v>
      </c>
      <c r="CU102" s="11">
        <f>ROUND(IFERROR(BO102/_xlfn.XLOOKUP(CU$7,'Product Tgt'!$B:$B,'Product Tgt'!$D:$D),0),0)</f>
        <v>0</v>
      </c>
      <c r="CV102" s="11">
        <f>ROUND(IFERROR(BP102/_xlfn.XLOOKUP(CV$7,'Product Tgt'!$B:$B,'Product Tgt'!$D:$D),0),0)</f>
        <v>0</v>
      </c>
      <c r="CW102" s="11">
        <f>ROUND(IFERROR(BQ102/_xlfn.XLOOKUP(CW$7,'Product Tgt'!$B:$B,'Product Tgt'!$D:$D),0),0)</f>
        <v>0</v>
      </c>
      <c r="CX102" s="11">
        <f>ROUND(IFERROR(#REF!/_xlfn.XLOOKUP(CX$7,'Product Tgt'!$B:$B,'Product Tgt'!$D:$D),0),0)</f>
        <v>0</v>
      </c>
      <c r="CY102" s="11">
        <f>ROUND(IFERROR(#REF!/_xlfn.XLOOKUP(CY$7,'Product Tgt'!$B:$B,'Product Tgt'!$D:$D),0),0)</f>
        <v>0</v>
      </c>
      <c r="CZ102" s="11">
        <f>ROUND(IFERROR(#REF!/_xlfn.XLOOKUP(CZ$7,'Product Tgt'!$B:$B,'Product Tgt'!$D:$D),0),0)</f>
        <v>0</v>
      </c>
      <c r="DA102" s="10">
        <f>IFERROR(BR102*_xlfn.XLOOKUP(DA$7,'Product Tgt'!$B:$B,'Product Tgt'!$D:$D),0)</f>
        <v>0</v>
      </c>
      <c r="DB102">
        <f>IFERROR(BS102*_xlfn.XLOOKUP(DB$7,'Product Tgt'!$B:$B,'Product Tgt'!$D:$D),0)</f>
        <v>0</v>
      </c>
      <c r="DC102">
        <f>IFERROR(BT102*_xlfn.XLOOKUP(DC$7,'Product Tgt'!$B:$B,'Product Tgt'!$D:$D),0)</f>
        <v>0</v>
      </c>
      <c r="DD102">
        <f>IFERROR(BU102*_xlfn.XLOOKUP(DD$7,'Product Tgt'!$B:$B,'Product Tgt'!$D:$D),0)</f>
        <v>0</v>
      </c>
      <c r="DE102">
        <f>IFERROR(BV102*_xlfn.XLOOKUP(DE$7,'Product Tgt'!$B:$B,'Product Tgt'!$D:$D),0)</f>
        <v>0</v>
      </c>
      <c r="DF102">
        <f>IFERROR(BW102*_xlfn.XLOOKUP(DF$7,'Product Tgt'!$B:$B,'Product Tgt'!$D:$D),0)</f>
        <v>0</v>
      </c>
      <c r="DG102">
        <f>IFERROR(BX102*_xlfn.XLOOKUP(DG$7,'Product Tgt'!$B:$B,'Product Tgt'!$D:$D),0)</f>
        <v>0</v>
      </c>
      <c r="DH102">
        <f>IFERROR(BY102*_xlfn.XLOOKUP(DH$7,'Product Tgt'!$B:$B,'Product Tgt'!$D:$D),0)</f>
        <v>0</v>
      </c>
      <c r="DI102">
        <f>IFERROR(BZ102*_xlfn.XLOOKUP(DI$7,'Product Tgt'!$B:$B,'Product Tgt'!$D:$D),0)</f>
        <v>0</v>
      </c>
      <c r="DJ102">
        <f>IFERROR(CA102*_xlfn.XLOOKUP(DJ$7,'Product Tgt'!$B:$B,'Product Tgt'!$D:$D),0)</f>
        <v>0</v>
      </c>
      <c r="DK102">
        <f>IFERROR(CB102*_xlfn.XLOOKUP(DK$7,'Product Tgt'!$B:$B,'Product Tgt'!$D:$D),0)</f>
        <v>0</v>
      </c>
      <c r="DL102">
        <f>IFERROR(CC102*_xlfn.XLOOKUP(DL$7,'Product Tgt'!$B:$B,'Product Tgt'!$D:$D),0)</f>
        <v>0</v>
      </c>
      <c r="DM102">
        <f>IFERROR(CD102*_xlfn.XLOOKUP(DM$7,'Product Tgt'!$B:$B,'Product Tgt'!$D:$D),0)</f>
        <v>0</v>
      </c>
      <c r="DN102">
        <f>IFERROR(CE102*_xlfn.XLOOKUP(DN$7,'Product Tgt'!$B:$B,'Product Tgt'!$D:$D),0)</f>
        <v>0</v>
      </c>
      <c r="DO102">
        <f>IFERROR(CF102*_xlfn.XLOOKUP(DO$7,'Product Tgt'!$B:$B,'Product Tgt'!$D:$D),0)</f>
        <v>0</v>
      </c>
      <c r="DP102">
        <f>IFERROR(CG102*_xlfn.XLOOKUP(DP$7,'Product Tgt'!$B:$B,'Product Tgt'!$D:$D),0)</f>
        <v>0</v>
      </c>
      <c r="DQ102">
        <f>IFERROR(CH102*_xlfn.XLOOKUP(DQ$7,'Product Tgt'!$B:$B,'Product Tgt'!$D:$D),0)</f>
        <v>0</v>
      </c>
      <c r="DR102">
        <f>IFERROR(CI102*_xlfn.XLOOKUP(DR$7,'Product Tgt'!$B:$B,'Product Tgt'!$D:$D),0)</f>
        <v>0</v>
      </c>
      <c r="DS102">
        <f>IFERROR(CJ102*_xlfn.XLOOKUP(DS$7,'Product Tgt'!$B:$B,'Product Tgt'!$D:$D),0)</f>
        <v>0</v>
      </c>
      <c r="DT102">
        <f>IFERROR(CK102*_xlfn.XLOOKUP(DT$7,'Product Tgt'!$B:$B,'Product Tgt'!$D:$D),0)</f>
        <v>0</v>
      </c>
      <c r="DU102">
        <f>IFERROR(CL102*_xlfn.XLOOKUP(DU$7,'Product Tgt'!$B:$B,'Product Tgt'!$D:$D),0)</f>
        <v>0</v>
      </c>
      <c r="DV102">
        <f>IFERROR(CM102*_xlfn.XLOOKUP(DV$7,'Product Tgt'!$B:$B,'Product Tgt'!$D:$D),0)</f>
        <v>0</v>
      </c>
      <c r="DW102">
        <f>IFERROR(CN102*_xlfn.XLOOKUP(DW$7,'Product Tgt'!$B:$B,'Product Tgt'!$D:$D),0)</f>
        <v>0</v>
      </c>
      <c r="DX102">
        <f>IFERROR(CO102*_xlfn.XLOOKUP(DX$7,'Product Tgt'!$B:$B,'Product Tgt'!$D:$D),0)</f>
        <v>0</v>
      </c>
      <c r="DY102">
        <f>IFERROR(CP102*_xlfn.XLOOKUP(DY$7,'Product Tgt'!$B:$B,'Product Tgt'!$D:$D),0)</f>
        <v>0</v>
      </c>
      <c r="DZ102">
        <f>IFERROR(CQ102*_xlfn.XLOOKUP(DZ$7,'Product Tgt'!$B:$B,'Product Tgt'!$D:$D),0)</f>
        <v>0</v>
      </c>
      <c r="EA102">
        <f>IFERROR(CR102*_xlfn.XLOOKUP(EA$7,'Product Tgt'!$B:$B,'Product Tgt'!$D:$D),0)</f>
        <v>0</v>
      </c>
      <c r="EB102">
        <f>IFERROR(CS102*_xlfn.XLOOKUP(EB$7,'Product Tgt'!$B:$B,'Product Tgt'!$D:$D),0)</f>
        <v>0</v>
      </c>
      <c r="EC102">
        <f>IFERROR(CT102*_xlfn.XLOOKUP(EC$7,'Product Tgt'!$B:$B,'Product Tgt'!$D:$D),0)</f>
        <v>0</v>
      </c>
      <c r="ED102">
        <f>IFERROR(CU102*_xlfn.XLOOKUP(ED$7,'Product Tgt'!$B:$B,'Product Tgt'!$D:$D),0)</f>
        <v>0</v>
      </c>
      <c r="EE102">
        <f>IFERROR(CV102*_xlfn.XLOOKUP(EE$7,'Product Tgt'!$B:$B,'Product Tgt'!$D:$D),0)</f>
        <v>0</v>
      </c>
      <c r="EF102">
        <f>IFERROR(CW102*_xlfn.XLOOKUP(EF$7,'Product Tgt'!$B:$B,'Product Tgt'!$D:$D),0)</f>
        <v>0</v>
      </c>
      <c r="EG102">
        <f>IFERROR(CX102*_xlfn.XLOOKUP(EG$7,'Product Tgt'!$B:$B,'Product Tgt'!$D:$D),0)</f>
        <v>0</v>
      </c>
      <c r="EH102">
        <f>IFERROR(CY102*_xlfn.XLOOKUP(EH$7,'Product Tgt'!$B:$B,'Product Tgt'!$D:$D),0)</f>
        <v>0</v>
      </c>
      <c r="EI102">
        <f>IFERROR(CZ102*_xlfn.XLOOKUP(EI$7,'Product Tgt'!$B:$B,'Product Tgt'!$D:$D),0)</f>
        <v>0</v>
      </c>
    </row>
    <row r="103" spans="2:139" x14ac:dyDescent="0.35">
      <c r="B103" s="7" t="s">
        <v>189</v>
      </c>
      <c r="C103" s="3">
        <f>_xlfn.XLOOKUP($B103,'Terr Target'!$A:$A,'Terr Target'!$E:$E)</f>
        <v>337254.17814052291</v>
      </c>
      <c r="D103" s="3">
        <f t="shared" si="10"/>
        <v>337257</v>
      </c>
      <c r="E103" s="4">
        <f t="shared" si="11"/>
        <v>2.8218594770878553</v>
      </c>
      <c r="F103" s="9">
        <f t="shared" si="13"/>
        <v>8.3670894216809598E-6</v>
      </c>
      <c r="G103" s="5">
        <f t="shared" si="12"/>
        <v>0.99999163291057835</v>
      </c>
      <c r="H103" s="38">
        <v>46055.117529811941</v>
      </c>
      <c r="I103" s="11">
        <v>71279.746778633416</v>
      </c>
      <c r="J103" s="11">
        <v>26451.279326946893</v>
      </c>
      <c r="K103" s="11">
        <v>23020.89852827731</v>
      </c>
      <c r="L103" s="11">
        <v>32102.061378560531</v>
      </c>
      <c r="M103" s="11">
        <v>28087.075318685813</v>
      </c>
      <c r="N103" s="11">
        <v>451.65975939885431</v>
      </c>
      <c r="O103" s="11">
        <v>3221.4308300664557</v>
      </c>
      <c r="P103" s="11">
        <v>1405.8283901818645</v>
      </c>
      <c r="Q103" s="11">
        <v>1182.5110548393582</v>
      </c>
      <c r="R103" s="11">
        <v>5349.3066400254866</v>
      </c>
      <c r="S103" s="11">
        <v>10987.137123704042</v>
      </c>
      <c r="T103" s="11">
        <v>0</v>
      </c>
      <c r="U103" s="11">
        <v>1014.9981272971913</v>
      </c>
      <c r="V103" s="11">
        <v>13961.600796147768</v>
      </c>
      <c r="W103" s="11">
        <v>31387.910526762258</v>
      </c>
      <c r="X103" s="11">
        <v>4506.6471207020086</v>
      </c>
      <c r="Y103" s="11">
        <v>5494.6952186469898</v>
      </c>
      <c r="Z103" s="11">
        <v>351.98552949354865</v>
      </c>
      <c r="AA103" s="11">
        <v>7642.332389381485</v>
      </c>
      <c r="AB103" s="11">
        <v>2220.4610754287387</v>
      </c>
      <c r="AC103" s="11">
        <v>300.10946485442645</v>
      </c>
      <c r="AD103" s="11">
        <v>2013.016639356938</v>
      </c>
      <c r="AE103" s="11">
        <v>3174.5898245552899</v>
      </c>
      <c r="AF103" s="11">
        <v>546.35875266089226</v>
      </c>
      <c r="AG103" s="11">
        <v>12125.020604965714</v>
      </c>
      <c r="AH103" s="11">
        <v>1057.8509671624513</v>
      </c>
      <c r="AI103" s="11">
        <v>7578.5317094611037</v>
      </c>
      <c r="AJ103" s="11">
        <v>7301.3541970706374</v>
      </c>
      <c r="AK103" s="11">
        <v>932.32345345756016</v>
      </c>
      <c r="AL103" s="49">
        <v>1317.9491601743257</v>
      </c>
      <c r="AM103" s="41">
        <f>IFERROR(ROUND(_xlfn.XLOOKUP(AM$7,'Product Tgt'!$B:$B,'Product Tgt'!$G:$G)*H103/H$121,0),0)</f>
        <v>44773</v>
      </c>
      <c r="AN103" s="41">
        <f>IFERROR(ROUND(_xlfn.XLOOKUP(AN$7,'Product Tgt'!$B:$B,'Product Tgt'!$G:$G)*I103/I$121,0),0)</f>
        <v>70168</v>
      </c>
      <c r="AO103" s="41">
        <f>IFERROR(ROUND(_xlfn.XLOOKUP(AO$7,'Product Tgt'!$B:$B,'Product Tgt'!$G:$G)*J103/J$121,0),0)</f>
        <v>25629</v>
      </c>
      <c r="AP103" s="41">
        <f>IFERROR(ROUND(_xlfn.XLOOKUP(AP$7,'Product Tgt'!$B:$B,'Product Tgt'!$G:$G)*K103/K$121,0),0)</f>
        <v>22457</v>
      </c>
      <c r="AQ103" s="41">
        <f>IFERROR(ROUND(_xlfn.XLOOKUP(AQ$7,'Product Tgt'!$B:$B,'Product Tgt'!$G:$G)*L103/L$121,0),0)</f>
        <v>31041</v>
      </c>
      <c r="AR103" s="41">
        <f>IFERROR(ROUND(_xlfn.XLOOKUP(AR$7,'Product Tgt'!$B:$B,'Product Tgt'!$G:$G)*M103/M$121,0),0)</f>
        <v>27211</v>
      </c>
      <c r="AS103" s="41">
        <f>IFERROR(ROUND(_xlfn.XLOOKUP(AS$7,'Product Tgt'!$B:$B,'Product Tgt'!$G:$G)*N103/N$121,0),0)</f>
        <v>417</v>
      </c>
      <c r="AT103" s="41">
        <f>IFERROR(ROUND(_xlfn.XLOOKUP(AT$7,'Product Tgt'!$B:$B,'Product Tgt'!$G:$G)*O103/O$121,0),0)</f>
        <v>2900</v>
      </c>
      <c r="AU103" s="41">
        <f>IFERROR(ROUND(_xlfn.XLOOKUP(AU$7,'Product Tgt'!$B:$B,'Product Tgt'!$G:$G)*P103/P$121,0),0)</f>
        <v>599</v>
      </c>
      <c r="AV103" s="41">
        <f>IFERROR(ROUND(_xlfn.XLOOKUP(AV$7,'Product Tgt'!$B:$B,'Product Tgt'!$G:$G)*Q103/Q$121,0),0)</f>
        <v>887</v>
      </c>
      <c r="AW103" s="41">
        <f>IFERROR(ROUND(_xlfn.XLOOKUP(AW$7,'Product Tgt'!$B:$B,'Product Tgt'!$G:$G)*R103/R$121,0),0)</f>
        <v>5152</v>
      </c>
      <c r="AX103" s="41">
        <f>IFERROR(ROUND(_xlfn.XLOOKUP(AX$7,'Product Tgt'!$B:$B,'Product Tgt'!$G:$G)*S103/S$121,0),0)</f>
        <v>10582</v>
      </c>
      <c r="AY103" s="41">
        <f>IFERROR(ROUND(_xlfn.XLOOKUP(AY$7,'Product Tgt'!$B:$B,'Product Tgt'!$G:$G)*T103/T$121,0),0)</f>
        <v>0</v>
      </c>
      <c r="AZ103" s="41">
        <f>IFERROR(ROUND(_xlfn.XLOOKUP(AZ$7,'Product Tgt'!$B:$B,'Product Tgt'!$G:$G)*U103/U$121,0),0)</f>
        <v>971</v>
      </c>
      <c r="BA103" s="41">
        <f>IFERROR(ROUND(_xlfn.XLOOKUP(BA$7,'Product Tgt'!$B:$B,'Product Tgt'!$G:$G)*V103/V$121,0),0)</f>
        <v>13442</v>
      </c>
      <c r="BB103" s="41">
        <f>IFERROR(ROUND(_xlfn.XLOOKUP(BB$7,'Product Tgt'!$B:$B,'Product Tgt'!$G:$G)*W103/W$121,0),0)</f>
        <v>30046</v>
      </c>
      <c r="BC103" s="41">
        <f>IFERROR(ROUND(_xlfn.XLOOKUP(BC$7,'Product Tgt'!$B:$B,'Product Tgt'!$G:$G)*X103/X$121,0),0)</f>
        <v>4361</v>
      </c>
      <c r="BD103" s="41">
        <f>IFERROR(ROUND(_xlfn.XLOOKUP(BD$7,'Product Tgt'!$B:$B,'Product Tgt'!$G:$G)*Y103/Y$121,0),0)</f>
        <v>5313</v>
      </c>
      <c r="BE103" s="41">
        <f>IFERROR(ROUND(_xlfn.XLOOKUP(BE$7,'Product Tgt'!$B:$B,'Product Tgt'!$G:$G)*Z103/Z$121,0),0)</f>
        <v>335</v>
      </c>
      <c r="BF103" s="41">
        <f>IFERROR(ROUND(_xlfn.XLOOKUP(BF$7,'Product Tgt'!$B:$B,'Product Tgt'!$G:$G)*AA103/AA$121,0),0)</f>
        <v>6193</v>
      </c>
      <c r="BG103" s="41">
        <f>IFERROR(ROUND(_xlfn.XLOOKUP(BG$7,'Product Tgt'!$B:$B,'Product Tgt'!$G:$G)*AB103/AB$121,0),0)</f>
        <v>1780</v>
      </c>
      <c r="BH103" s="41">
        <f>IFERROR(ROUND(_xlfn.XLOOKUP(BH$7,'Product Tgt'!$B:$B,'Product Tgt'!$G:$G)*AC103/AC$121,0),0)</f>
        <v>257</v>
      </c>
      <c r="BI103" s="41">
        <f>IFERROR(ROUND(_xlfn.XLOOKUP(BI$7,'Product Tgt'!$B:$B,'Product Tgt'!$G:$G)*AD103/AD$121,0),0)</f>
        <v>1752</v>
      </c>
      <c r="BJ103" s="41">
        <f>IFERROR(ROUND(_xlfn.XLOOKUP(BJ$7,'Product Tgt'!$B:$B,'Product Tgt'!$G:$G)*AE103/AE$121,0),0)</f>
        <v>2955</v>
      </c>
      <c r="BK103" s="41">
        <f>IFERROR(ROUND(_xlfn.XLOOKUP(BK$7,'Product Tgt'!$B:$B,'Product Tgt'!$G:$G)*AF103/AF$121,0),0)</f>
        <v>610</v>
      </c>
      <c r="BL103" s="41">
        <f>IFERROR(ROUND(_xlfn.XLOOKUP(BL$7,'Product Tgt'!$B:$B,'Product Tgt'!$G:$G)*AG103/AG$121,0),0)</f>
        <v>11582</v>
      </c>
      <c r="BM103" s="41">
        <f>IFERROR(ROUND(_xlfn.XLOOKUP(BM$7,'Product Tgt'!$B:$B,'Product Tgt'!$G:$G)*AH103/AH$121,0),0)</f>
        <v>829</v>
      </c>
      <c r="BN103" s="41">
        <f>IFERROR(ROUND(_xlfn.XLOOKUP(BN$7,'Product Tgt'!$B:$B,'Product Tgt'!$G:$G)*AI103/AI$121,0),0)</f>
        <v>6960</v>
      </c>
      <c r="BO103" s="41">
        <f>IFERROR(ROUND(_xlfn.XLOOKUP(BO$7,'Product Tgt'!$B:$B,'Product Tgt'!$G:$G)*AJ103/AJ$121,0),0)</f>
        <v>6315</v>
      </c>
      <c r="BP103" s="41">
        <f>IFERROR(ROUND(_xlfn.XLOOKUP(BP$7,'Product Tgt'!$B:$B,'Product Tgt'!$G:$G)*AK103/AK$121,0),0)</f>
        <v>710</v>
      </c>
      <c r="BQ103" s="41">
        <f>IFERROR(ROUND(_xlfn.XLOOKUP(BQ$7,'Product Tgt'!$B:$B,'Product Tgt'!$G:$G)*AL103/AL$121,0),0)</f>
        <v>1030</v>
      </c>
      <c r="BR103" s="25">
        <f>ROUND(IFERROR(AM103/_xlfn.XLOOKUP(BR$7,'Product Tgt'!$B:$B,'Product Tgt'!$D:$D),0),0)</f>
        <v>0</v>
      </c>
      <c r="BS103" s="11">
        <f>ROUND(IFERROR(AN103/_xlfn.XLOOKUP(BS$7,'Product Tgt'!$B:$B,'Product Tgt'!$D:$D),0),0)</f>
        <v>0</v>
      </c>
      <c r="BT103" s="11">
        <f>ROUND(IFERROR(AO103/_xlfn.XLOOKUP(BT$7,'Product Tgt'!$B:$B,'Product Tgt'!$D:$D),0),0)</f>
        <v>0</v>
      </c>
      <c r="BU103" s="11">
        <f>ROUND(IFERROR(AP103/_xlfn.XLOOKUP(BU$7,'Product Tgt'!$B:$B,'Product Tgt'!$D:$D),0),0)</f>
        <v>0</v>
      </c>
      <c r="BV103" s="11">
        <f>ROUND(IFERROR(AQ103/_xlfn.XLOOKUP(BV$7,'Product Tgt'!$B:$B,'Product Tgt'!$D:$D),0),0)</f>
        <v>0</v>
      </c>
      <c r="BW103" s="11">
        <f>ROUND(IFERROR(AU103/_xlfn.XLOOKUP(BW$7,'Product Tgt'!$B:$B,'Product Tgt'!$D:$D),0),0)</f>
        <v>0</v>
      </c>
      <c r="BX103" s="11">
        <f>ROUND(IFERROR(#REF!/_xlfn.XLOOKUP(BX$7,'Product Tgt'!$B:$B,'Product Tgt'!$D:$D),0),0)</f>
        <v>0</v>
      </c>
      <c r="BY103" s="11">
        <f>ROUND(IFERROR(#REF!/_xlfn.XLOOKUP(BY$7,'Product Tgt'!$B:$B,'Product Tgt'!$D:$D),0),0)</f>
        <v>0</v>
      </c>
      <c r="BZ103" s="11">
        <f>ROUND(IFERROR(#REF!/_xlfn.XLOOKUP(BZ$7,'Product Tgt'!$B:$B,'Product Tgt'!$D:$D),0),0)</f>
        <v>0</v>
      </c>
      <c r="CA103" s="11">
        <f>ROUND(IFERROR(#REF!/_xlfn.XLOOKUP(CA$7,'Product Tgt'!$B:$B,'Product Tgt'!$D:$D),0),0)</f>
        <v>0</v>
      </c>
      <c r="CB103" s="11">
        <f>ROUND(IFERROR(AV103/_xlfn.XLOOKUP(CB$7,'Product Tgt'!$B:$B,'Product Tgt'!$D:$D),0),0)</f>
        <v>0</v>
      </c>
      <c r="CC103" s="11">
        <f>ROUND(IFERROR(AW103/_xlfn.XLOOKUP(CC$7,'Product Tgt'!$B:$B,'Product Tgt'!$D:$D),0),0)</f>
        <v>0</v>
      </c>
      <c r="CD103" s="11">
        <f>ROUND(IFERROR(AX103/_xlfn.XLOOKUP(CD$7,'Product Tgt'!$B:$B,'Product Tgt'!$D:$D),0),0)</f>
        <v>0</v>
      </c>
      <c r="CE103" s="11">
        <f>ROUND(IFERROR(AY103/_xlfn.XLOOKUP(CE$7,'Product Tgt'!$B:$B,'Product Tgt'!$D:$D),0),0)</f>
        <v>0</v>
      </c>
      <c r="CF103" s="11">
        <f>ROUND(IFERROR(AZ103/_xlfn.XLOOKUP(CF$7,'Product Tgt'!$B:$B,'Product Tgt'!$D:$D),0),0)</f>
        <v>0</v>
      </c>
      <c r="CG103" s="11">
        <f>ROUND(IFERROR(BA103/_xlfn.XLOOKUP(CG$7,'Product Tgt'!$B:$B,'Product Tgt'!$D:$D),0),0)</f>
        <v>0</v>
      </c>
      <c r="CH103" s="11">
        <f>ROUND(IFERROR(BB103/_xlfn.XLOOKUP(CH$7,'Product Tgt'!$B:$B,'Product Tgt'!$D:$D),0),0)</f>
        <v>0</v>
      </c>
      <c r="CI103" s="11">
        <f>ROUND(IFERROR(BC103/_xlfn.XLOOKUP(CI$7,'Product Tgt'!$B:$B,'Product Tgt'!$D:$D),0),0)</f>
        <v>0</v>
      </c>
      <c r="CJ103" s="11">
        <f>ROUND(IFERROR(BD103/_xlfn.XLOOKUP(CJ$7,'Product Tgt'!$B:$B,'Product Tgt'!$D:$D),0),0)</f>
        <v>0</v>
      </c>
      <c r="CK103" s="11">
        <f>ROUND(IFERROR(BE103/_xlfn.XLOOKUP(CK$7,'Product Tgt'!$B:$B,'Product Tgt'!$D:$D),0),0)</f>
        <v>0</v>
      </c>
      <c r="CL103" s="11">
        <f>ROUND(IFERROR(BF103/_xlfn.XLOOKUP(CL$7,'Product Tgt'!$B:$B,'Product Tgt'!$D:$D),0),0)</f>
        <v>0</v>
      </c>
      <c r="CM103" s="11">
        <f>ROUND(IFERROR(BG103/_xlfn.XLOOKUP(CM$7,'Product Tgt'!$B:$B,'Product Tgt'!$D:$D),0),0)</f>
        <v>0</v>
      </c>
      <c r="CN103" s="11">
        <f>ROUND(IFERROR(BH103/_xlfn.XLOOKUP(CN$7,'Product Tgt'!$B:$B,'Product Tgt'!$D:$D),0),0)</f>
        <v>0</v>
      </c>
      <c r="CO103" s="11">
        <f>ROUND(IFERROR(BI103/_xlfn.XLOOKUP(CO$7,'Product Tgt'!$B:$B,'Product Tgt'!$D:$D),0),0)</f>
        <v>0</v>
      </c>
      <c r="CP103" s="11">
        <f>ROUND(IFERROR(BJ103/_xlfn.XLOOKUP(CP$7,'Product Tgt'!$B:$B,'Product Tgt'!$D:$D),0),0)</f>
        <v>0</v>
      </c>
      <c r="CQ103" s="11">
        <f>ROUND(IFERROR(BK103/_xlfn.XLOOKUP(CQ$7,'Product Tgt'!$B:$B,'Product Tgt'!$D:$D),0),0)</f>
        <v>0</v>
      </c>
      <c r="CR103" s="11">
        <f>ROUND(IFERROR(BL103/_xlfn.XLOOKUP(CR$7,'Product Tgt'!$B:$B,'Product Tgt'!$D:$D),0),0)</f>
        <v>0</v>
      </c>
      <c r="CS103" s="11">
        <f>ROUND(IFERROR(BM103/_xlfn.XLOOKUP(CS$7,'Product Tgt'!$B:$B,'Product Tgt'!$D:$D),0),0)</f>
        <v>0</v>
      </c>
      <c r="CT103" s="11">
        <f>ROUND(IFERROR(BN103/_xlfn.XLOOKUP(CT$7,'Product Tgt'!$B:$B,'Product Tgt'!$D:$D),0),0)</f>
        <v>0</v>
      </c>
      <c r="CU103" s="11">
        <f>ROUND(IFERROR(BO103/_xlfn.XLOOKUP(CU$7,'Product Tgt'!$B:$B,'Product Tgt'!$D:$D),0),0)</f>
        <v>0</v>
      </c>
      <c r="CV103" s="11">
        <f>ROUND(IFERROR(BP103/_xlfn.XLOOKUP(CV$7,'Product Tgt'!$B:$B,'Product Tgt'!$D:$D),0),0)</f>
        <v>0</v>
      </c>
      <c r="CW103" s="11">
        <f>ROUND(IFERROR(BQ103/_xlfn.XLOOKUP(CW$7,'Product Tgt'!$B:$B,'Product Tgt'!$D:$D),0),0)</f>
        <v>0</v>
      </c>
      <c r="CX103" s="11">
        <f>ROUND(IFERROR(#REF!/_xlfn.XLOOKUP(CX$7,'Product Tgt'!$B:$B,'Product Tgt'!$D:$D),0),0)</f>
        <v>0</v>
      </c>
      <c r="CY103" s="11">
        <f>ROUND(IFERROR(#REF!/_xlfn.XLOOKUP(CY$7,'Product Tgt'!$B:$B,'Product Tgt'!$D:$D),0),0)</f>
        <v>0</v>
      </c>
      <c r="CZ103" s="11">
        <f>ROUND(IFERROR(#REF!/_xlfn.XLOOKUP(CZ$7,'Product Tgt'!$B:$B,'Product Tgt'!$D:$D),0),0)</f>
        <v>0</v>
      </c>
      <c r="DA103" s="10">
        <f>IFERROR(BR103*_xlfn.XLOOKUP(DA$7,'Product Tgt'!$B:$B,'Product Tgt'!$D:$D),0)</f>
        <v>0</v>
      </c>
      <c r="DB103">
        <f>IFERROR(BS103*_xlfn.XLOOKUP(DB$7,'Product Tgt'!$B:$B,'Product Tgt'!$D:$D),0)</f>
        <v>0</v>
      </c>
      <c r="DC103">
        <f>IFERROR(BT103*_xlfn.XLOOKUP(DC$7,'Product Tgt'!$B:$B,'Product Tgt'!$D:$D),0)</f>
        <v>0</v>
      </c>
      <c r="DD103">
        <f>IFERROR(BU103*_xlfn.XLOOKUP(DD$7,'Product Tgt'!$B:$B,'Product Tgt'!$D:$D),0)</f>
        <v>0</v>
      </c>
      <c r="DE103">
        <f>IFERROR(BV103*_xlfn.XLOOKUP(DE$7,'Product Tgt'!$B:$B,'Product Tgt'!$D:$D),0)</f>
        <v>0</v>
      </c>
      <c r="DF103">
        <f>IFERROR(BW103*_xlfn.XLOOKUP(DF$7,'Product Tgt'!$B:$B,'Product Tgt'!$D:$D),0)</f>
        <v>0</v>
      </c>
      <c r="DG103">
        <f>IFERROR(BX103*_xlfn.XLOOKUP(DG$7,'Product Tgt'!$B:$B,'Product Tgt'!$D:$D),0)</f>
        <v>0</v>
      </c>
      <c r="DH103">
        <f>IFERROR(BY103*_xlfn.XLOOKUP(DH$7,'Product Tgt'!$B:$B,'Product Tgt'!$D:$D),0)</f>
        <v>0</v>
      </c>
      <c r="DI103">
        <f>IFERROR(BZ103*_xlfn.XLOOKUP(DI$7,'Product Tgt'!$B:$B,'Product Tgt'!$D:$D),0)</f>
        <v>0</v>
      </c>
      <c r="DJ103">
        <f>IFERROR(CA103*_xlfn.XLOOKUP(DJ$7,'Product Tgt'!$B:$B,'Product Tgt'!$D:$D),0)</f>
        <v>0</v>
      </c>
      <c r="DK103">
        <f>IFERROR(CB103*_xlfn.XLOOKUP(DK$7,'Product Tgt'!$B:$B,'Product Tgt'!$D:$D),0)</f>
        <v>0</v>
      </c>
      <c r="DL103">
        <f>IFERROR(CC103*_xlfn.XLOOKUP(DL$7,'Product Tgt'!$B:$B,'Product Tgt'!$D:$D),0)</f>
        <v>0</v>
      </c>
      <c r="DM103">
        <f>IFERROR(CD103*_xlfn.XLOOKUP(DM$7,'Product Tgt'!$B:$B,'Product Tgt'!$D:$D),0)</f>
        <v>0</v>
      </c>
      <c r="DN103">
        <f>IFERROR(CE103*_xlfn.XLOOKUP(DN$7,'Product Tgt'!$B:$B,'Product Tgt'!$D:$D),0)</f>
        <v>0</v>
      </c>
      <c r="DO103">
        <f>IFERROR(CF103*_xlfn.XLOOKUP(DO$7,'Product Tgt'!$B:$B,'Product Tgt'!$D:$D),0)</f>
        <v>0</v>
      </c>
      <c r="DP103">
        <f>IFERROR(CG103*_xlfn.XLOOKUP(DP$7,'Product Tgt'!$B:$B,'Product Tgt'!$D:$D),0)</f>
        <v>0</v>
      </c>
      <c r="DQ103">
        <f>IFERROR(CH103*_xlfn.XLOOKUP(DQ$7,'Product Tgt'!$B:$B,'Product Tgt'!$D:$D),0)</f>
        <v>0</v>
      </c>
      <c r="DR103">
        <f>IFERROR(CI103*_xlfn.XLOOKUP(DR$7,'Product Tgt'!$B:$B,'Product Tgt'!$D:$D),0)</f>
        <v>0</v>
      </c>
      <c r="DS103">
        <f>IFERROR(CJ103*_xlfn.XLOOKUP(DS$7,'Product Tgt'!$B:$B,'Product Tgt'!$D:$D),0)</f>
        <v>0</v>
      </c>
      <c r="DT103">
        <f>IFERROR(CK103*_xlfn.XLOOKUP(DT$7,'Product Tgt'!$B:$B,'Product Tgt'!$D:$D),0)</f>
        <v>0</v>
      </c>
      <c r="DU103">
        <f>IFERROR(CL103*_xlfn.XLOOKUP(DU$7,'Product Tgt'!$B:$B,'Product Tgt'!$D:$D),0)</f>
        <v>0</v>
      </c>
      <c r="DV103">
        <f>IFERROR(CM103*_xlfn.XLOOKUP(DV$7,'Product Tgt'!$B:$B,'Product Tgt'!$D:$D),0)</f>
        <v>0</v>
      </c>
      <c r="DW103">
        <f>IFERROR(CN103*_xlfn.XLOOKUP(DW$7,'Product Tgt'!$B:$B,'Product Tgt'!$D:$D),0)</f>
        <v>0</v>
      </c>
      <c r="DX103">
        <f>IFERROR(CO103*_xlfn.XLOOKUP(DX$7,'Product Tgt'!$B:$B,'Product Tgt'!$D:$D),0)</f>
        <v>0</v>
      </c>
      <c r="DY103">
        <f>IFERROR(CP103*_xlfn.XLOOKUP(DY$7,'Product Tgt'!$B:$B,'Product Tgt'!$D:$D),0)</f>
        <v>0</v>
      </c>
      <c r="DZ103">
        <f>IFERROR(CQ103*_xlfn.XLOOKUP(DZ$7,'Product Tgt'!$B:$B,'Product Tgt'!$D:$D),0)</f>
        <v>0</v>
      </c>
      <c r="EA103">
        <f>IFERROR(CR103*_xlfn.XLOOKUP(EA$7,'Product Tgt'!$B:$B,'Product Tgt'!$D:$D),0)</f>
        <v>0</v>
      </c>
      <c r="EB103">
        <f>IFERROR(CS103*_xlfn.XLOOKUP(EB$7,'Product Tgt'!$B:$B,'Product Tgt'!$D:$D),0)</f>
        <v>0</v>
      </c>
      <c r="EC103">
        <f>IFERROR(CT103*_xlfn.XLOOKUP(EC$7,'Product Tgt'!$B:$B,'Product Tgt'!$D:$D),0)</f>
        <v>0</v>
      </c>
      <c r="ED103">
        <f>IFERROR(CU103*_xlfn.XLOOKUP(ED$7,'Product Tgt'!$B:$B,'Product Tgt'!$D:$D),0)</f>
        <v>0</v>
      </c>
      <c r="EE103">
        <f>IFERROR(CV103*_xlfn.XLOOKUP(EE$7,'Product Tgt'!$B:$B,'Product Tgt'!$D:$D),0)</f>
        <v>0</v>
      </c>
      <c r="EF103">
        <f>IFERROR(CW103*_xlfn.XLOOKUP(EF$7,'Product Tgt'!$B:$B,'Product Tgt'!$D:$D),0)</f>
        <v>0</v>
      </c>
      <c r="EG103">
        <f>IFERROR(CX103*_xlfn.XLOOKUP(EG$7,'Product Tgt'!$B:$B,'Product Tgt'!$D:$D),0)</f>
        <v>0</v>
      </c>
      <c r="EH103">
        <f>IFERROR(CY103*_xlfn.XLOOKUP(EH$7,'Product Tgt'!$B:$B,'Product Tgt'!$D:$D),0)</f>
        <v>0</v>
      </c>
      <c r="EI103">
        <f>IFERROR(CZ103*_xlfn.XLOOKUP(EI$7,'Product Tgt'!$B:$B,'Product Tgt'!$D:$D),0)</f>
        <v>0</v>
      </c>
    </row>
    <row r="104" spans="2:139" x14ac:dyDescent="0.35">
      <c r="B104" s="7" t="s">
        <v>190</v>
      </c>
      <c r="C104" s="3">
        <f>_xlfn.XLOOKUP($B104,'Terr Target'!$A:$A,'Terr Target'!$E:$E)</f>
        <v>390348.93830776209</v>
      </c>
      <c r="D104" s="3">
        <f t="shared" ref="D104:D120" si="14">SUM(AM104:BQ104)</f>
        <v>390352</v>
      </c>
      <c r="E104" s="4">
        <f t="shared" ref="E104:E120" si="15">D104-C104</f>
        <v>3.0616922379122116</v>
      </c>
      <c r="F104" s="9">
        <f t="shared" si="13"/>
        <v>7.843413734045712E-6</v>
      </c>
      <c r="G104" s="5">
        <f t="shared" si="12"/>
        <v>0.99999215658626595</v>
      </c>
      <c r="H104" s="38">
        <v>47244.619349409913</v>
      </c>
      <c r="I104" s="11">
        <v>77269.342953006344</v>
      </c>
      <c r="J104" s="11">
        <v>29029.925227450298</v>
      </c>
      <c r="K104" s="11">
        <v>25638.255827254201</v>
      </c>
      <c r="L104" s="11">
        <v>35283.478709923344</v>
      </c>
      <c r="M104" s="11">
        <v>31777.778622708967</v>
      </c>
      <c r="N104" s="11">
        <v>500.7752552200825</v>
      </c>
      <c r="O104" s="11">
        <v>4752.2083839364605</v>
      </c>
      <c r="P104" s="11">
        <v>1391.4380363907399</v>
      </c>
      <c r="Q104" s="11">
        <v>1075.5506870008815</v>
      </c>
      <c r="R104" s="11">
        <v>5689.9351487876511</v>
      </c>
      <c r="S104" s="11">
        <v>12588.381762383138</v>
      </c>
      <c r="T104" s="11">
        <v>0</v>
      </c>
      <c r="U104" s="11">
        <v>3029.6183516982474</v>
      </c>
      <c r="V104" s="11">
        <v>21035.358032022428</v>
      </c>
      <c r="W104" s="11">
        <v>25793.997020048453</v>
      </c>
      <c r="X104" s="11">
        <v>6197.5348825977899</v>
      </c>
      <c r="Y104" s="11">
        <v>9266.4924548139752</v>
      </c>
      <c r="Z104" s="11">
        <v>481.52363422693497</v>
      </c>
      <c r="AA104" s="11">
        <v>11206.147528095595</v>
      </c>
      <c r="AB104" s="11">
        <v>3213.7506615479465</v>
      </c>
      <c r="AC104" s="11">
        <v>346.4568335806477</v>
      </c>
      <c r="AD104" s="11">
        <v>6783.4432977086562</v>
      </c>
      <c r="AE104" s="11">
        <v>9726.2645707079409</v>
      </c>
      <c r="AF104" s="11">
        <v>2900.1381383547728</v>
      </c>
      <c r="AG104" s="11">
        <v>13116.028904442506</v>
      </c>
      <c r="AH104" s="11">
        <v>973.43269405852391</v>
      </c>
      <c r="AI104" s="11">
        <v>6962.7446162360648</v>
      </c>
      <c r="AJ104" s="11">
        <v>11157.073980637069</v>
      </c>
      <c r="AK104" s="11">
        <v>2055.5988650165496</v>
      </c>
      <c r="AL104" s="49">
        <v>2893.458348356733</v>
      </c>
      <c r="AM104" s="41">
        <f>IFERROR(ROUND(_xlfn.XLOOKUP(AM$7,'Product Tgt'!$B:$B,'Product Tgt'!$G:$G)*H104/H$121,0),0)</f>
        <v>45930</v>
      </c>
      <c r="AN104" s="41">
        <f>IFERROR(ROUND(_xlfn.XLOOKUP(AN$7,'Product Tgt'!$B:$B,'Product Tgt'!$G:$G)*I104/I$121,0),0)</f>
        <v>76064</v>
      </c>
      <c r="AO104" s="41">
        <f>IFERROR(ROUND(_xlfn.XLOOKUP(AO$7,'Product Tgt'!$B:$B,'Product Tgt'!$G:$G)*J104/J$121,0),0)</f>
        <v>28127</v>
      </c>
      <c r="AP104" s="41">
        <f>IFERROR(ROUND(_xlfn.XLOOKUP(AP$7,'Product Tgt'!$B:$B,'Product Tgt'!$G:$G)*K104/K$121,0),0)</f>
        <v>25011</v>
      </c>
      <c r="AQ104" s="41">
        <f>IFERROR(ROUND(_xlfn.XLOOKUP(AQ$7,'Product Tgt'!$B:$B,'Product Tgt'!$G:$G)*L104/L$121,0),0)</f>
        <v>34117</v>
      </c>
      <c r="AR104" s="41">
        <f>IFERROR(ROUND(_xlfn.XLOOKUP(AR$7,'Product Tgt'!$B:$B,'Product Tgt'!$G:$G)*M104/M$121,0),0)</f>
        <v>30786</v>
      </c>
      <c r="AS104" s="41">
        <f>IFERROR(ROUND(_xlfn.XLOOKUP(AS$7,'Product Tgt'!$B:$B,'Product Tgt'!$G:$G)*N104/N$121,0),0)</f>
        <v>463</v>
      </c>
      <c r="AT104" s="41">
        <f>IFERROR(ROUND(_xlfn.XLOOKUP(AT$7,'Product Tgt'!$B:$B,'Product Tgt'!$G:$G)*O104/O$121,0),0)</f>
        <v>4277</v>
      </c>
      <c r="AU104" s="41">
        <f>IFERROR(ROUND(_xlfn.XLOOKUP(AU$7,'Product Tgt'!$B:$B,'Product Tgt'!$G:$G)*P104/P$121,0),0)</f>
        <v>593</v>
      </c>
      <c r="AV104" s="41">
        <f>IFERROR(ROUND(_xlfn.XLOOKUP(AV$7,'Product Tgt'!$B:$B,'Product Tgt'!$G:$G)*Q104/Q$121,0),0)</f>
        <v>807</v>
      </c>
      <c r="AW104" s="41">
        <f>IFERROR(ROUND(_xlfn.XLOOKUP(AW$7,'Product Tgt'!$B:$B,'Product Tgt'!$G:$G)*R104/R$121,0),0)</f>
        <v>5480</v>
      </c>
      <c r="AX104" s="41">
        <f>IFERROR(ROUND(_xlfn.XLOOKUP(AX$7,'Product Tgt'!$B:$B,'Product Tgt'!$G:$G)*S104/S$121,0),0)</f>
        <v>12124</v>
      </c>
      <c r="AY104" s="41">
        <f>IFERROR(ROUND(_xlfn.XLOOKUP(AY$7,'Product Tgt'!$B:$B,'Product Tgt'!$G:$G)*T104/T$121,0),0)</f>
        <v>0</v>
      </c>
      <c r="AZ104" s="41">
        <f>IFERROR(ROUND(_xlfn.XLOOKUP(AZ$7,'Product Tgt'!$B:$B,'Product Tgt'!$G:$G)*U104/U$121,0),0)</f>
        <v>2899</v>
      </c>
      <c r="BA104" s="41">
        <f>IFERROR(ROUND(_xlfn.XLOOKUP(BA$7,'Product Tgt'!$B:$B,'Product Tgt'!$G:$G)*V104/V$121,0),0)</f>
        <v>20253</v>
      </c>
      <c r="BB104" s="41">
        <f>IFERROR(ROUND(_xlfn.XLOOKUP(BB$7,'Product Tgt'!$B:$B,'Product Tgt'!$G:$G)*W104/W$121,0),0)</f>
        <v>24691</v>
      </c>
      <c r="BC104" s="41">
        <f>IFERROR(ROUND(_xlfn.XLOOKUP(BC$7,'Product Tgt'!$B:$B,'Product Tgt'!$G:$G)*X104/X$121,0),0)</f>
        <v>5997</v>
      </c>
      <c r="BD104" s="41">
        <f>IFERROR(ROUND(_xlfn.XLOOKUP(BD$7,'Product Tgt'!$B:$B,'Product Tgt'!$G:$G)*Y104/Y$121,0),0)</f>
        <v>8961</v>
      </c>
      <c r="BE104" s="41">
        <f>IFERROR(ROUND(_xlfn.XLOOKUP(BE$7,'Product Tgt'!$B:$B,'Product Tgt'!$G:$G)*Z104/Z$121,0),0)</f>
        <v>458</v>
      </c>
      <c r="BF104" s="41">
        <f>IFERROR(ROUND(_xlfn.XLOOKUP(BF$7,'Product Tgt'!$B:$B,'Product Tgt'!$G:$G)*AA104/AA$121,0),0)</f>
        <v>9081</v>
      </c>
      <c r="BG104" s="41">
        <f>IFERROR(ROUND(_xlfn.XLOOKUP(BG$7,'Product Tgt'!$B:$B,'Product Tgt'!$G:$G)*AB104/AB$121,0),0)</f>
        <v>2576</v>
      </c>
      <c r="BH104" s="41">
        <f>IFERROR(ROUND(_xlfn.XLOOKUP(BH$7,'Product Tgt'!$B:$B,'Product Tgt'!$G:$G)*AC104/AC$121,0),0)</f>
        <v>297</v>
      </c>
      <c r="BI104" s="41">
        <f>IFERROR(ROUND(_xlfn.XLOOKUP(BI$7,'Product Tgt'!$B:$B,'Product Tgt'!$G:$G)*AD104/AD$121,0),0)</f>
        <v>5905</v>
      </c>
      <c r="BJ104" s="41">
        <f>IFERROR(ROUND(_xlfn.XLOOKUP(BJ$7,'Product Tgt'!$B:$B,'Product Tgt'!$G:$G)*AE104/AE$121,0),0)</f>
        <v>9053</v>
      </c>
      <c r="BK104" s="41">
        <f>IFERROR(ROUND(_xlfn.XLOOKUP(BK$7,'Product Tgt'!$B:$B,'Product Tgt'!$G:$G)*AF104/AF$121,0),0)</f>
        <v>3240</v>
      </c>
      <c r="BL104" s="41">
        <f>IFERROR(ROUND(_xlfn.XLOOKUP(BL$7,'Product Tgt'!$B:$B,'Product Tgt'!$G:$G)*AG104/AG$121,0),0)</f>
        <v>12528</v>
      </c>
      <c r="BM104" s="41">
        <f>IFERROR(ROUND(_xlfn.XLOOKUP(BM$7,'Product Tgt'!$B:$B,'Product Tgt'!$G:$G)*AH104/AH$121,0),0)</f>
        <v>763</v>
      </c>
      <c r="BN104" s="41">
        <f>IFERROR(ROUND(_xlfn.XLOOKUP(BN$7,'Product Tgt'!$B:$B,'Product Tgt'!$G:$G)*AI104/AI$121,0),0)</f>
        <v>6394</v>
      </c>
      <c r="BO104" s="41">
        <f>IFERROR(ROUND(_xlfn.XLOOKUP(BO$7,'Product Tgt'!$B:$B,'Product Tgt'!$G:$G)*AJ104/AJ$121,0),0)</f>
        <v>9650</v>
      </c>
      <c r="BP104" s="41">
        <f>IFERROR(ROUND(_xlfn.XLOOKUP(BP$7,'Product Tgt'!$B:$B,'Product Tgt'!$G:$G)*AK104/AK$121,0),0)</f>
        <v>1565</v>
      </c>
      <c r="BQ104" s="41">
        <f>IFERROR(ROUND(_xlfn.XLOOKUP(BQ$7,'Product Tgt'!$B:$B,'Product Tgt'!$G:$G)*AL104/AL$121,0),0)</f>
        <v>2262</v>
      </c>
      <c r="BR104" s="25">
        <f>ROUND(IFERROR(AM104/_xlfn.XLOOKUP(BR$7,'Product Tgt'!$B:$B,'Product Tgt'!$D:$D),0),0)</f>
        <v>0</v>
      </c>
      <c r="BS104" s="11">
        <f>ROUND(IFERROR(AN104/_xlfn.XLOOKUP(BS$7,'Product Tgt'!$B:$B,'Product Tgt'!$D:$D),0),0)</f>
        <v>0</v>
      </c>
      <c r="BT104" s="11">
        <f>ROUND(IFERROR(AO104/_xlfn.XLOOKUP(BT$7,'Product Tgt'!$B:$B,'Product Tgt'!$D:$D),0),0)</f>
        <v>0</v>
      </c>
      <c r="BU104" s="11">
        <f>ROUND(IFERROR(AP104/_xlfn.XLOOKUP(BU$7,'Product Tgt'!$B:$B,'Product Tgt'!$D:$D),0),0)</f>
        <v>0</v>
      </c>
      <c r="BV104" s="11">
        <f>ROUND(IFERROR(AQ104/_xlfn.XLOOKUP(BV$7,'Product Tgt'!$B:$B,'Product Tgt'!$D:$D),0),0)</f>
        <v>0</v>
      </c>
      <c r="BW104" s="11">
        <f>ROUND(IFERROR(AU104/_xlfn.XLOOKUP(BW$7,'Product Tgt'!$B:$B,'Product Tgt'!$D:$D),0),0)</f>
        <v>0</v>
      </c>
      <c r="BX104" s="11">
        <f>ROUND(IFERROR(#REF!/_xlfn.XLOOKUP(BX$7,'Product Tgt'!$B:$B,'Product Tgt'!$D:$D),0),0)</f>
        <v>0</v>
      </c>
      <c r="BY104" s="11">
        <f>ROUND(IFERROR(#REF!/_xlfn.XLOOKUP(BY$7,'Product Tgt'!$B:$B,'Product Tgt'!$D:$D),0),0)</f>
        <v>0</v>
      </c>
      <c r="BZ104" s="11">
        <f>ROUND(IFERROR(#REF!/_xlfn.XLOOKUP(BZ$7,'Product Tgt'!$B:$B,'Product Tgt'!$D:$D),0),0)</f>
        <v>0</v>
      </c>
      <c r="CA104" s="11">
        <f>ROUND(IFERROR(#REF!/_xlfn.XLOOKUP(CA$7,'Product Tgt'!$B:$B,'Product Tgt'!$D:$D),0),0)</f>
        <v>0</v>
      </c>
      <c r="CB104" s="11">
        <f>ROUND(IFERROR(AV104/_xlfn.XLOOKUP(CB$7,'Product Tgt'!$B:$B,'Product Tgt'!$D:$D),0),0)</f>
        <v>0</v>
      </c>
      <c r="CC104" s="11">
        <f>ROUND(IFERROR(AW104/_xlfn.XLOOKUP(CC$7,'Product Tgt'!$B:$B,'Product Tgt'!$D:$D),0),0)</f>
        <v>0</v>
      </c>
      <c r="CD104" s="11">
        <f>ROUND(IFERROR(AX104/_xlfn.XLOOKUP(CD$7,'Product Tgt'!$B:$B,'Product Tgt'!$D:$D),0),0)</f>
        <v>0</v>
      </c>
      <c r="CE104" s="11">
        <f>ROUND(IFERROR(AY104/_xlfn.XLOOKUP(CE$7,'Product Tgt'!$B:$B,'Product Tgt'!$D:$D),0),0)</f>
        <v>0</v>
      </c>
      <c r="CF104" s="11">
        <f>ROUND(IFERROR(AZ104/_xlfn.XLOOKUP(CF$7,'Product Tgt'!$B:$B,'Product Tgt'!$D:$D),0),0)</f>
        <v>0</v>
      </c>
      <c r="CG104" s="11">
        <f>ROUND(IFERROR(BA104/_xlfn.XLOOKUP(CG$7,'Product Tgt'!$B:$B,'Product Tgt'!$D:$D),0),0)</f>
        <v>0</v>
      </c>
      <c r="CH104" s="11">
        <f>ROUND(IFERROR(BB104/_xlfn.XLOOKUP(CH$7,'Product Tgt'!$B:$B,'Product Tgt'!$D:$D),0),0)</f>
        <v>0</v>
      </c>
      <c r="CI104" s="11">
        <f>ROUND(IFERROR(BC104/_xlfn.XLOOKUP(CI$7,'Product Tgt'!$B:$B,'Product Tgt'!$D:$D),0),0)</f>
        <v>0</v>
      </c>
      <c r="CJ104" s="11">
        <f>ROUND(IFERROR(BD104/_xlfn.XLOOKUP(CJ$7,'Product Tgt'!$B:$B,'Product Tgt'!$D:$D),0),0)</f>
        <v>0</v>
      </c>
      <c r="CK104" s="11">
        <f>ROUND(IFERROR(BE104/_xlfn.XLOOKUP(CK$7,'Product Tgt'!$B:$B,'Product Tgt'!$D:$D),0),0)</f>
        <v>0</v>
      </c>
      <c r="CL104" s="11">
        <f>ROUND(IFERROR(BF104/_xlfn.XLOOKUP(CL$7,'Product Tgt'!$B:$B,'Product Tgt'!$D:$D),0),0)</f>
        <v>0</v>
      </c>
      <c r="CM104" s="11">
        <f>ROUND(IFERROR(BG104/_xlfn.XLOOKUP(CM$7,'Product Tgt'!$B:$B,'Product Tgt'!$D:$D),0),0)</f>
        <v>0</v>
      </c>
      <c r="CN104" s="11">
        <f>ROUND(IFERROR(BH104/_xlfn.XLOOKUP(CN$7,'Product Tgt'!$B:$B,'Product Tgt'!$D:$D),0),0)</f>
        <v>0</v>
      </c>
      <c r="CO104" s="11">
        <f>ROUND(IFERROR(BI104/_xlfn.XLOOKUP(CO$7,'Product Tgt'!$B:$B,'Product Tgt'!$D:$D),0),0)</f>
        <v>0</v>
      </c>
      <c r="CP104" s="11">
        <f>ROUND(IFERROR(BJ104/_xlfn.XLOOKUP(CP$7,'Product Tgt'!$B:$B,'Product Tgt'!$D:$D),0),0)</f>
        <v>0</v>
      </c>
      <c r="CQ104" s="11">
        <f>ROUND(IFERROR(BK104/_xlfn.XLOOKUP(CQ$7,'Product Tgt'!$B:$B,'Product Tgt'!$D:$D),0),0)</f>
        <v>0</v>
      </c>
      <c r="CR104" s="11">
        <f>ROUND(IFERROR(BL104/_xlfn.XLOOKUP(CR$7,'Product Tgt'!$B:$B,'Product Tgt'!$D:$D),0),0)</f>
        <v>0</v>
      </c>
      <c r="CS104" s="11">
        <f>ROUND(IFERROR(BM104/_xlfn.XLOOKUP(CS$7,'Product Tgt'!$B:$B,'Product Tgt'!$D:$D),0),0)</f>
        <v>0</v>
      </c>
      <c r="CT104" s="11">
        <f>ROUND(IFERROR(BN104/_xlfn.XLOOKUP(CT$7,'Product Tgt'!$B:$B,'Product Tgt'!$D:$D),0),0)</f>
        <v>0</v>
      </c>
      <c r="CU104" s="11">
        <f>ROUND(IFERROR(BO104/_xlfn.XLOOKUP(CU$7,'Product Tgt'!$B:$B,'Product Tgt'!$D:$D),0),0)</f>
        <v>0</v>
      </c>
      <c r="CV104" s="11">
        <f>ROUND(IFERROR(BP104/_xlfn.XLOOKUP(CV$7,'Product Tgt'!$B:$B,'Product Tgt'!$D:$D),0),0)</f>
        <v>0</v>
      </c>
      <c r="CW104" s="11">
        <f>ROUND(IFERROR(BQ104/_xlfn.XLOOKUP(CW$7,'Product Tgt'!$B:$B,'Product Tgt'!$D:$D),0),0)</f>
        <v>0</v>
      </c>
      <c r="CX104" s="11">
        <f>ROUND(IFERROR(#REF!/_xlfn.XLOOKUP(CX$7,'Product Tgt'!$B:$B,'Product Tgt'!$D:$D),0),0)</f>
        <v>0</v>
      </c>
      <c r="CY104" s="11">
        <f>ROUND(IFERROR(#REF!/_xlfn.XLOOKUP(CY$7,'Product Tgt'!$B:$B,'Product Tgt'!$D:$D),0),0)</f>
        <v>0</v>
      </c>
      <c r="CZ104" s="11">
        <f>ROUND(IFERROR(#REF!/_xlfn.XLOOKUP(CZ$7,'Product Tgt'!$B:$B,'Product Tgt'!$D:$D),0),0)</f>
        <v>0</v>
      </c>
      <c r="DA104" s="10">
        <f>IFERROR(BR104*_xlfn.XLOOKUP(DA$7,'Product Tgt'!$B:$B,'Product Tgt'!$D:$D),0)</f>
        <v>0</v>
      </c>
      <c r="DB104">
        <f>IFERROR(BS104*_xlfn.XLOOKUP(DB$7,'Product Tgt'!$B:$B,'Product Tgt'!$D:$D),0)</f>
        <v>0</v>
      </c>
      <c r="DC104">
        <f>IFERROR(BT104*_xlfn.XLOOKUP(DC$7,'Product Tgt'!$B:$B,'Product Tgt'!$D:$D),0)</f>
        <v>0</v>
      </c>
      <c r="DD104">
        <f>IFERROR(BU104*_xlfn.XLOOKUP(DD$7,'Product Tgt'!$B:$B,'Product Tgt'!$D:$D),0)</f>
        <v>0</v>
      </c>
      <c r="DE104">
        <f>IFERROR(BV104*_xlfn.XLOOKUP(DE$7,'Product Tgt'!$B:$B,'Product Tgt'!$D:$D),0)</f>
        <v>0</v>
      </c>
      <c r="DF104">
        <f>IFERROR(BW104*_xlfn.XLOOKUP(DF$7,'Product Tgt'!$B:$B,'Product Tgt'!$D:$D),0)</f>
        <v>0</v>
      </c>
      <c r="DG104">
        <f>IFERROR(BX104*_xlfn.XLOOKUP(DG$7,'Product Tgt'!$B:$B,'Product Tgt'!$D:$D),0)</f>
        <v>0</v>
      </c>
      <c r="DH104">
        <f>IFERROR(BY104*_xlfn.XLOOKUP(DH$7,'Product Tgt'!$B:$B,'Product Tgt'!$D:$D),0)</f>
        <v>0</v>
      </c>
      <c r="DI104">
        <f>IFERROR(BZ104*_xlfn.XLOOKUP(DI$7,'Product Tgt'!$B:$B,'Product Tgt'!$D:$D),0)</f>
        <v>0</v>
      </c>
      <c r="DJ104">
        <f>IFERROR(CA104*_xlfn.XLOOKUP(DJ$7,'Product Tgt'!$B:$B,'Product Tgt'!$D:$D),0)</f>
        <v>0</v>
      </c>
      <c r="DK104">
        <f>IFERROR(CB104*_xlfn.XLOOKUP(DK$7,'Product Tgt'!$B:$B,'Product Tgt'!$D:$D),0)</f>
        <v>0</v>
      </c>
      <c r="DL104">
        <f>IFERROR(CC104*_xlfn.XLOOKUP(DL$7,'Product Tgt'!$B:$B,'Product Tgt'!$D:$D),0)</f>
        <v>0</v>
      </c>
      <c r="DM104">
        <f>IFERROR(CD104*_xlfn.XLOOKUP(DM$7,'Product Tgt'!$B:$B,'Product Tgt'!$D:$D),0)</f>
        <v>0</v>
      </c>
      <c r="DN104">
        <f>IFERROR(CE104*_xlfn.XLOOKUP(DN$7,'Product Tgt'!$B:$B,'Product Tgt'!$D:$D),0)</f>
        <v>0</v>
      </c>
      <c r="DO104">
        <f>IFERROR(CF104*_xlfn.XLOOKUP(DO$7,'Product Tgt'!$B:$B,'Product Tgt'!$D:$D),0)</f>
        <v>0</v>
      </c>
      <c r="DP104">
        <f>IFERROR(CG104*_xlfn.XLOOKUP(DP$7,'Product Tgt'!$B:$B,'Product Tgt'!$D:$D),0)</f>
        <v>0</v>
      </c>
      <c r="DQ104">
        <f>IFERROR(CH104*_xlfn.XLOOKUP(DQ$7,'Product Tgt'!$B:$B,'Product Tgt'!$D:$D),0)</f>
        <v>0</v>
      </c>
      <c r="DR104">
        <f>IFERROR(CI104*_xlfn.XLOOKUP(DR$7,'Product Tgt'!$B:$B,'Product Tgt'!$D:$D),0)</f>
        <v>0</v>
      </c>
      <c r="DS104">
        <f>IFERROR(CJ104*_xlfn.XLOOKUP(DS$7,'Product Tgt'!$B:$B,'Product Tgt'!$D:$D),0)</f>
        <v>0</v>
      </c>
      <c r="DT104">
        <f>IFERROR(CK104*_xlfn.XLOOKUP(DT$7,'Product Tgt'!$B:$B,'Product Tgt'!$D:$D),0)</f>
        <v>0</v>
      </c>
      <c r="DU104">
        <f>IFERROR(CL104*_xlfn.XLOOKUP(DU$7,'Product Tgt'!$B:$B,'Product Tgt'!$D:$D),0)</f>
        <v>0</v>
      </c>
      <c r="DV104">
        <f>IFERROR(CM104*_xlfn.XLOOKUP(DV$7,'Product Tgt'!$B:$B,'Product Tgt'!$D:$D),0)</f>
        <v>0</v>
      </c>
      <c r="DW104">
        <f>IFERROR(CN104*_xlfn.XLOOKUP(DW$7,'Product Tgt'!$B:$B,'Product Tgt'!$D:$D),0)</f>
        <v>0</v>
      </c>
      <c r="DX104">
        <f>IFERROR(CO104*_xlfn.XLOOKUP(DX$7,'Product Tgt'!$B:$B,'Product Tgt'!$D:$D),0)</f>
        <v>0</v>
      </c>
      <c r="DY104">
        <f>IFERROR(CP104*_xlfn.XLOOKUP(DY$7,'Product Tgt'!$B:$B,'Product Tgt'!$D:$D),0)</f>
        <v>0</v>
      </c>
      <c r="DZ104">
        <f>IFERROR(CQ104*_xlfn.XLOOKUP(DZ$7,'Product Tgt'!$B:$B,'Product Tgt'!$D:$D),0)</f>
        <v>0</v>
      </c>
      <c r="EA104">
        <f>IFERROR(CR104*_xlfn.XLOOKUP(EA$7,'Product Tgt'!$B:$B,'Product Tgt'!$D:$D),0)</f>
        <v>0</v>
      </c>
      <c r="EB104">
        <f>IFERROR(CS104*_xlfn.XLOOKUP(EB$7,'Product Tgt'!$B:$B,'Product Tgt'!$D:$D),0)</f>
        <v>0</v>
      </c>
      <c r="EC104">
        <f>IFERROR(CT104*_xlfn.XLOOKUP(EC$7,'Product Tgt'!$B:$B,'Product Tgt'!$D:$D),0)</f>
        <v>0</v>
      </c>
      <c r="ED104">
        <f>IFERROR(CU104*_xlfn.XLOOKUP(ED$7,'Product Tgt'!$B:$B,'Product Tgt'!$D:$D),0)</f>
        <v>0</v>
      </c>
      <c r="EE104">
        <f>IFERROR(CV104*_xlfn.XLOOKUP(EE$7,'Product Tgt'!$B:$B,'Product Tgt'!$D:$D),0)</f>
        <v>0</v>
      </c>
      <c r="EF104">
        <f>IFERROR(CW104*_xlfn.XLOOKUP(EF$7,'Product Tgt'!$B:$B,'Product Tgt'!$D:$D),0)</f>
        <v>0</v>
      </c>
      <c r="EG104">
        <f>IFERROR(CX104*_xlfn.XLOOKUP(EG$7,'Product Tgt'!$B:$B,'Product Tgt'!$D:$D),0)</f>
        <v>0</v>
      </c>
      <c r="EH104">
        <f>IFERROR(CY104*_xlfn.XLOOKUP(EH$7,'Product Tgt'!$B:$B,'Product Tgt'!$D:$D),0)</f>
        <v>0</v>
      </c>
      <c r="EI104">
        <f>IFERROR(CZ104*_xlfn.XLOOKUP(EI$7,'Product Tgt'!$B:$B,'Product Tgt'!$D:$D),0)</f>
        <v>0</v>
      </c>
    </row>
    <row r="105" spans="2:139" x14ac:dyDescent="0.35">
      <c r="B105" s="7" t="s">
        <v>191</v>
      </c>
      <c r="C105" s="3">
        <f>_xlfn.XLOOKUP($B105,'Terr Target'!$A:$A,'Terr Target'!$E:$E)</f>
        <v>252485.87735796857</v>
      </c>
      <c r="D105" s="3">
        <f t="shared" si="14"/>
        <v>252488</v>
      </c>
      <c r="E105" s="4">
        <f t="shared" si="15"/>
        <v>2.1226420314342249</v>
      </c>
      <c r="F105" s="9">
        <f t="shared" si="13"/>
        <v>8.4069026307556198E-6</v>
      </c>
      <c r="G105" s="5">
        <f t="shared" si="12"/>
        <v>0.99999159309736929</v>
      </c>
      <c r="H105" s="38">
        <v>28641.937129231246</v>
      </c>
      <c r="I105" s="11">
        <v>47016.191864488937</v>
      </c>
      <c r="J105" s="11">
        <v>19179.007661633677</v>
      </c>
      <c r="K105" s="11">
        <v>17681.761254873218</v>
      </c>
      <c r="L105" s="11">
        <v>26001.294366669754</v>
      </c>
      <c r="M105" s="11">
        <v>22458.219618189582</v>
      </c>
      <c r="N105" s="11">
        <v>246.40989236555993</v>
      </c>
      <c r="O105" s="11">
        <v>1885.4985460076066</v>
      </c>
      <c r="P105" s="11">
        <v>686.14944669152408</v>
      </c>
      <c r="Q105" s="11">
        <v>954.34142898995117</v>
      </c>
      <c r="R105" s="11">
        <v>4473.1019195825629</v>
      </c>
      <c r="S105" s="11">
        <v>9532.1692859716695</v>
      </c>
      <c r="T105" s="11">
        <v>0</v>
      </c>
      <c r="U105" s="11">
        <v>2785.3847501653904</v>
      </c>
      <c r="V105" s="11">
        <v>13586.619437044526</v>
      </c>
      <c r="W105" s="11">
        <v>9755.6671424890937</v>
      </c>
      <c r="X105" s="11">
        <v>5233.1743339837558</v>
      </c>
      <c r="Y105" s="11">
        <v>7336.4801655138263</v>
      </c>
      <c r="Z105" s="11">
        <v>374.40689833357067</v>
      </c>
      <c r="AA105" s="11">
        <v>6584.9980628299081</v>
      </c>
      <c r="AB105" s="11">
        <v>2843.9785720848026</v>
      </c>
      <c r="AC105" s="11">
        <v>351.24981397369123</v>
      </c>
      <c r="AD105" s="11">
        <v>1670.4276355329596</v>
      </c>
      <c r="AE105" s="11">
        <v>5521.7461841756203</v>
      </c>
      <c r="AF105" s="11">
        <v>744.6071305488565</v>
      </c>
      <c r="AG105" s="11">
        <v>9295.4796512386511</v>
      </c>
      <c r="AH105" s="11">
        <v>1291.9365953369763</v>
      </c>
      <c r="AI105" s="11">
        <v>5966.9584885972181</v>
      </c>
      <c r="AJ105" s="11">
        <v>9118.4865567278976</v>
      </c>
      <c r="AK105" s="11">
        <v>1818.9951026813219</v>
      </c>
      <c r="AL105" s="49">
        <v>2075.9012396332819</v>
      </c>
      <c r="AM105" s="41">
        <f>IFERROR(ROUND(_xlfn.XLOOKUP(AM$7,'Product Tgt'!$B:$B,'Product Tgt'!$G:$G)*H105/H$121,0),0)</f>
        <v>27845</v>
      </c>
      <c r="AN105" s="41">
        <f>IFERROR(ROUND(_xlfn.XLOOKUP(AN$7,'Product Tgt'!$B:$B,'Product Tgt'!$G:$G)*I105/I$121,0),0)</f>
        <v>46283</v>
      </c>
      <c r="AO105" s="41">
        <f>IFERROR(ROUND(_xlfn.XLOOKUP(AO$7,'Product Tgt'!$B:$B,'Product Tgt'!$G:$G)*J105/J$121,0),0)</f>
        <v>18582</v>
      </c>
      <c r="AP105" s="41">
        <f>IFERROR(ROUND(_xlfn.XLOOKUP(AP$7,'Product Tgt'!$B:$B,'Product Tgt'!$G:$G)*K105/K$121,0),0)</f>
        <v>17249</v>
      </c>
      <c r="AQ105" s="41">
        <f>IFERROR(ROUND(_xlfn.XLOOKUP(AQ$7,'Product Tgt'!$B:$B,'Product Tgt'!$G:$G)*L105/L$121,0),0)</f>
        <v>25142</v>
      </c>
      <c r="AR105" s="41">
        <f>IFERROR(ROUND(_xlfn.XLOOKUP(AR$7,'Product Tgt'!$B:$B,'Product Tgt'!$G:$G)*M105/M$121,0),0)</f>
        <v>21757</v>
      </c>
      <c r="AS105" s="41">
        <f>IFERROR(ROUND(_xlfn.XLOOKUP(AS$7,'Product Tgt'!$B:$B,'Product Tgt'!$G:$G)*N105/N$121,0),0)</f>
        <v>228</v>
      </c>
      <c r="AT105" s="41">
        <f>IFERROR(ROUND(_xlfn.XLOOKUP(AT$7,'Product Tgt'!$B:$B,'Product Tgt'!$G:$G)*O105/O$121,0),0)</f>
        <v>1697</v>
      </c>
      <c r="AU105" s="41">
        <f>IFERROR(ROUND(_xlfn.XLOOKUP(AU$7,'Product Tgt'!$B:$B,'Product Tgt'!$G:$G)*P105/P$121,0),0)</f>
        <v>293</v>
      </c>
      <c r="AV105" s="41">
        <f>IFERROR(ROUND(_xlfn.XLOOKUP(AV$7,'Product Tgt'!$B:$B,'Product Tgt'!$G:$G)*Q105/Q$121,0),0)</f>
        <v>716</v>
      </c>
      <c r="AW105" s="41">
        <f>IFERROR(ROUND(_xlfn.XLOOKUP(AW$7,'Product Tgt'!$B:$B,'Product Tgt'!$G:$G)*R105/R$121,0),0)</f>
        <v>4308</v>
      </c>
      <c r="AX105" s="41">
        <f>IFERROR(ROUND(_xlfn.XLOOKUP(AX$7,'Product Tgt'!$B:$B,'Product Tgt'!$G:$G)*S105/S$121,0),0)</f>
        <v>9181</v>
      </c>
      <c r="AY105" s="41">
        <f>IFERROR(ROUND(_xlfn.XLOOKUP(AY$7,'Product Tgt'!$B:$B,'Product Tgt'!$G:$G)*T105/T$121,0),0)</f>
        <v>0</v>
      </c>
      <c r="AZ105" s="41">
        <f>IFERROR(ROUND(_xlfn.XLOOKUP(AZ$7,'Product Tgt'!$B:$B,'Product Tgt'!$G:$G)*U105/U$121,0),0)</f>
        <v>2666</v>
      </c>
      <c r="BA105" s="41">
        <f>IFERROR(ROUND(_xlfn.XLOOKUP(BA$7,'Product Tgt'!$B:$B,'Product Tgt'!$G:$G)*V105/V$121,0),0)</f>
        <v>13081</v>
      </c>
      <c r="BB105" s="41">
        <f>IFERROR(ROUND(_xlfn.XLOOKUP(BB$7,'Product Tgt'!$B:$B,'Product Tgt'!$G:$G)*W105/W$121,0),0)</f>
        <v>9338</v>
      </c>
      <c r="BC105" s="41">
        <f>IFERROR(ROUND(_xlfn.XLOOKUP(BC$7,'Product Tgt'!$B:$B,'Product Tgt'!$G:$G)*X105/X$121,0),0)</f>
        <v>5064</v>
      </c>
      <c r="BD105" s="41">
        <f>IFERROR(ROUND(_xlfn.XLOOKUP(BD$7,'Product Tgt'!$B:$B,'Product Tgt'!$G:$G)*Y105/Y$121,0),0)</f>
        <v>7094</v>
      </c>
      <c r="BE105" s="41">
        <f>IFERROR(ROUND(_xlfn.XLOOKUP(BE$7,'Product Tgt'!$B:$B,'Product Tgt'!$G:$G)*Z105/Z$121,0),0)</f>
        <v>356</v>
      </c>
      <c r="BF105" s="41">
        <f>IFERROR(ROUND(_xlfn.XLOOKUP(BF$7,'Product Tgt'!$B:$B,'Product Tgt'!$G:$G)*AA105/AA$121,0),0)</f>
        <v>5336</v>
      </c>
      <c r="BG105" s="41">
        <f>IFERROR(ROUND(_xlfn.XLOOKUP(BG$7,'Product Tgt'!$B:$B,'Product Tgt'!$G:$G)*AB105/AB$121,0),0)</f>
        <v>2279</v>
      </c>
      <c r="BH105" s="41">
        <f>IFERROR(ROUND(_xlfn.XLOOKUP(BH$7,'Product Tgt'!$B:$B,'Product Tgt'!$G:$G)*AC105/AC$121,0),0)</f>
        <v>301</v>
      </c>
      <c r="BI105" s="41">
        <f>IFERROR(ROUND(_xlfn.XLOOKUP(BI$7,'Product Tgt'!$B:$B,'Product Tgt'!$G:$G)*AD105/AD$121,0),0)</f>
        <v>1454</v>
      </c>
      <c r="BJ105" s="41">
        <f>IFERROR(ROUND(_xlfn.XLOOKUP(BJ$7,'Product Tgt'!$B:$B,'Product Tgt'!$G:$G)*AE105/AE$121,0),0)</f>
        <v>5139</v>
      </c>
      <c r="BK105" s="41">
        <f>IFERROR(ROUND(_xlfn.XLOOKUP(BK$7,'Product Tgt'!$B:$B,'Product Tgt'!$G:$G)*AF105/AF$121,0),0)</f>
        <v>832</v>
      </c>
      <c r="BL105" s="41">
        <f>IFERROR(ROUND(_xlfn.XLOOKUP(BL$7,'Product Tgt'!$B:$B,'Product Tgt'!$G:$G)*AG105/AG$121,0),0)</f>
        <v>8879</v>
      </c>
      <c r="BM105" s="41">
        <f>IFERROR(ROUND(_xlfn.XLOOKUP(BM$7,'Product Tgt'!$B:$B,'Product Tgt'!$G:$G)*AH105/AH$121,0),0)</f>
        <v>1013</v>
      </c>
      <c r="BN105" s="41">
        <f>IFERROR(ROUND(_xlfn.XLOOKUP(BN$7,'Product Tgt'!$B:$B,'Product Tgt'!$G:$G)*AI105/AI$121,0),0)</f>
        <v>5480</v>
      </c>
      <c r="BO105" s="41">
        <f>IFERROR(ROUND(_xlfn.XLOOKUP(BO$7,'Product Tgt'!$B:$B,'Product Tgt'!$G:$G)*AJ105/AJ$121,0),0)</f>
        <v>7887</v>
      </c>
      <c r="BP105" s="41">
        <f>IFERROR(ROUND(_xlfn.XLOOKUP(BP$7,'Product Tgt'!$B:$B,'Product Tgt'!$G:$G)*AK105/AK$121,0),0)</f>
        <v>1385</v>
      </c>
      <c r="BQ105" s="41">
        <f>IFERROR(ROUND(_xlfn.XLOOKUP(BQ$7,'Product Tgt'!$B:$B,'Product Tgt'!$G:$G)*AL105/AL$121,0),0)</f>
        <v>1623</v>
      </c>
      <c r="BR105" s="25">
        <f>ROUND(IFERROR(AM105/_xlfn.XLOOKUP(BR$7,'Product Tgt'!$B:$B,'Product Tgt'!$D:$D),0),0)</f>
        <v>0</v>
      </c>
      <c r="BS105" s="11">
        <f>ROUND(IFERROR(AN105/_xlfn.XLOOKUP(BS$7,'Product Tgt'!$B:$B,'Product Tgt'!$D:$D),0),0)</f>
        <v>0</v>
      </c>
      <c r="BT105" s="11">
        <f>ROUND(IFERROR(AO105/_xlfn.XLOOKUP(BT$7,'Product Tgt'!$B:$B,'Product Tgt'!$D:$D),0),0)</f>
        <v>0</v>
      </c>
      <c r="BU105" s="11">
        <f>ROUND(IFERROR(AP105/_xlfn.XLOOKUP(BU$7,'Product Tgt'!$B:$B,'Product Tgt'!$D:$D),0),0)</f>
        <v>0</v>
      </c>
      <c r="BV105" s="11">
        <f>ROUND(IFERROR(AQ105/_xlfn.XLOOKUP(BV$7,'Product Tgt'!$B:$B,'Product Tgt'!$D:$D),0),0)</f>
        <v>0</v>
      </c>
      <c r="BW105" s="11">
        <f>ROUND(IFERROR(AU105/_xlfn.XLOOKUP(BW$7,'Product Tgt'!$B:$B,'Product Tgt'!$D:$D),0),0)</f>
        <v>0</v>
      </c>
      <c r="BX105" s="11">
        <f>ROUND(IFERROR(#REF!/_xlfn.XLOOKUP(BX$7,'Product Tgt'!$B:$B,'Product Tgt'!$D:$D),0),0)</f>
        <v>0</v>
      </c>
      <c r="BY105" s="11">
        <f>ROUND(IFERROR(#REF!/_xlfn.XLOOKUP(BY$7,'Product Tgt'!$B:$B,'Product Tgt'!$D:$D),0),0)</f>
        <v>0</v>
      </c>
      <c r="BZ105" s="11">
        <f>ROUND(IFERROR(#REF!/_xlfn.XLOOKUP(BZ$7,'Product Tgt'!$B:$B,'Product Tgt'!$D:$D),0),0)</f>
        <v>0</v>
      </c>
      <c r="CA105" s="11">
        <f>ROUND(IFERROR(#REF!/_xlfn.XLOOKUP(CA$7,'Product Tgt'!$B:$B,'Product Tgt'!$D:$D),0),0)</f>
        <v>0</v>
      </c>
      <c r="CB105" s="11">
        <f>ROUND(IFERROR(AV105/_xlfn.XLOOKUP(CB$7,'Product Tgt'!$B:$B,'Product Tgt'!$D:$D),0),0)</f>
        <v>0</v>
      </c>
      <c r="CC105" s="11">
        <f>ROUND(IFERROR(AW105/_xlfn.XLOOKUP(CC$7,'Product Tgt'!$B:$B,'Product Tgt'!$D:$D),0),0)</f>
        <v>0</v>
      </c>
      <c r="CD105" s="11">
        <f>ROUND(IFERROR(AX105/_xlfn.XLOOKUP(CD$7,'Product Tgt'!$B:$B,'Product Tgt'!$D:$D),0),0)</f>
        <v>0</v>
      </c>
      <c r="CE105" s="11">
        <f>ROUND(IFERROR(AY105/_xlfn.XLOOKUP(CE$7,'Product Tgt'!$B:$B,'Product Tgt'!$D:$D),0),0)</f>
        <v>0</v>
      </c>
      <c r="CF105" s="11">
        <f>ROUND(IFERROR(AZ105/_xlfn.XLOOKUP(CF$7,'Product Tgt'!$B:$B,'Product Tgt'!$D:$D),0),0)</f>
        <v>0</v>
      </c>
      <c r="CG105" s="11">
        <f>ROUND(IFERROR(BA105/_xlfn.XLOOKUP(CG$7,'Product Tgt'!$B:$B,'Product Tgt'!$D:$D),0),0)</f>
        <v>0</v>
      </c>
      <c r="CH105" s="11">
        <f>ROUND(IFERROR(BB105/_xlfn.XLOOKUP(CH$7,'Product Tgt'!$B:$B,'Product Tgt'!$D:$D),0),0)</f>
        <v>0</v>
      </c>
      <c r="CI105" s="11">
        <f>ROUND(IFERROR(BC105/_xlfn.XLOOKUP(CI$7,'Product Tgt'!$B:$B,'Product Tgt'!$D:$D),0),0)</f>
        <v>0</v>
      </c>
      <c r="CJ105" s="11">
        <f>ROUND(IFERROR(BD105/_xlfn.XLOOKUP(CJ$7,'Product Tgt'!$B:$B,'Product Tgt'!$D:$D),0),0)</f>
        <v>0</v>
      </c>
      <c r="CK105" s="11">
        <f>ROUND(IFERROR(BE105/_xlfn.XLOOKUP(CK$7,'Product Tgt'!$B:$B,'Product Tgt'!$D:$D),0),0)</f>
        <v>0</v>
      </c>
      <c r="CL105" s="11">
        <f>ROUND(IFERROR(BF105/_xlfn.XLOOKUP(CL$7,'Product Tgt'!$B:$B,'Product Tgt'!$D:$D),0),0)</f>
        <v>0</v>
      </c>
      <c r="CM105" s="11">
        <f>ROUND(IFERROR(BG105/_xlfn.XLOOKUP(CM$7,'Product Tgt'!$B:$B,'Product Tgt'!$D:$D),0),0)</f>
        <v>0</v>
      </c>
      <c r="CN105" s="11">
        <f>ROUND(IFERROR(BH105/_xlfn.XLOOKUP(CN$7,'Product Tgt'!$B:$B,'Product Tgt'!$D:$D),0),0)</f>
        <v>0</v>
      </c>
      <c r="CO105" s="11">
        <f>ROUND(IFERROR(BI105/_xlfn.XLOOKUP(CO$7,'Product Tgt'!$B:$B,'Product Tgt'!$D:$D),0),0)</f>
        <v>0</v>
      </c>
      <c r="CP105" s="11">
        <f>ROUND(IFERROR(BJ105/_xlfn.XLOOKUP(CP$7,'Product Tgt'!$B:$B,'Product Tgt'!$D:$D),0),0)</f>
        <v>0</v>
      </c>
      <c r="CQ105" s="11">
        <f>ROUND(IFERROR(BK105/_xlfn.XLOOKUP(CQ$7,'Product Tgt'!$B:$B,'Product Tgt'!$D:$D),0),0)</f>
        <v>0</v>
      </c>
      <c r="CR105" s="11">
        <f>ROUND(IFERROR(BL105/_xlfn.XLOOKUP(CR$7,'Product Tgt'!$B:$B,'Product Tgt'!$D:$D),0),0)</f>
        <v>0</v>
      </c>
      <c r="CS105" s="11">
        <f>ROUND(IFERROR(BM105/_xlfn.XLOOKUP(CS$7,'Product Tgt'!$B:$B,'Product Tgt'!$D:$D),0),0)</f>
        <v>0</v>
      </c>
      <c r="CT105" s="11">
        <f>ROUND(IFERROR(BN105/_xlfn.XLOOKUP(CT$7,'Product Tgt'!$B:$B,'Product Tgt'!$D:$D),0),0)</f>
        <v>0</v>
      </c>
      <c r="CU105" s="11">
        <f>ROUND(IFERROR(BO105/_xlfn.XLOOKUP(CU$7,'Product Tgt'!$B:$B,'Product Tgt'!$D:$D),0),0)</f>
        <v>0</v>
      </c>
      <c r="CV105" s="11">
        <f>ROUND(IFERROR(BP105/_xlfn.XLOOKUP(CV$7,'Product Tgt'!$B:$B,'Product Tgt'!$D:$D),0),0)</f>
        <v>0</v>
      </c>
      <c r="CW105" s="11">
        <f>ROUND(IFERROR(BQ105/_xlfn.XLOOKUP(CW$7,'Product Tgt'!$B:$B,'Product Tgt'!$D:$D),0),0)</f>
        <v>0</v>
      </c>
      <c r="CX105" s="11">
        <f>ROUND(IFERROR(#REF!/_xlfn.XLOOKUP(CX$7,'Product Tgt'!$B:$B,'Product Tgt'!$D:$D),0),0)</f>
        <v>0</v>
      </c>
      <c r="CY105" s="11">
        <f>ROUND(IFERROR(#REF!/_xlfn.XLOOKUP(CY$7,'Product Tgt'!$B:$B,'Product Tgt'!$D:$D),0),0)</f>
        <v>0</v>
      </c>
      <c r="CZ105" s="11">
        <f>ROUND(IFERROR(#REF!/_xlfn.XLOOKUP(CZ$7,'Product Tgt'!$B:$B,'Product Tgt'!$D:$D),0),0)</f>
        <v>0</v>
      </c>
      <c r="DA105" s="10">
        <f>IFERROR(BR105*_xlfn.XLOOKUP(DA$7,'Product Tgt'!$B:$B,'Product Tgt'!$D:$D),0)</f>
        <v>0</v>
      </c>
      <c r="DB105">
        <f>IFERROR(BS105*_xlfn.XLOOKUP(DB$7,'Product Tgt'!$B:$B,'Product Tgt'!$D:$D),0)</f>
        <v>0</v>
      </c>
      <c r="DC105">
        <f>IFERROR(BT105*_xlfn.XLOOKUP(DC$7,'Product Tgt'!$B:$B,'Product Tgt'!$D:$D),0)</f>
        <v>0</v>
      </c>
      <c r="DD105">
        <f>IFERROR(BU105*_xlfn.XLOOKUP(DD$7,'Product Tgt'!$B:$B,'Product Tgt'!$D:$D),0)</f>
        <v>0</v>
      </c>
      <c r="DE105">
        <f>IFERROR(BV105*_xlfn.XLOOKUP(DE$7,'Product Tgt'!$B:$B,'Product Tgt'!$D:$D),0)</f>
        <v>0</v>
      </c>
      <c r="DF105">
        <f>IFERROR(BW105*_xlfn.XLOOKUP(DF$7,'Product Tgt'!$B:$B,'Product Tgt'!$D:$D),0)</f>
        <v>0</v>
      </c>
      <c r="DG105">
        <f>IFERROR(BX105*_xlfn.XLOOKUP(DG$7,'Product Tgt'!$B:$B,'Product Tgt'!$D:$D),0)</f>
        <v>0</v>
      </c>
      <c r="DH105">
        <f>IFERROR(BY105*_xlfn.XLOOKUP(DH$7,'Product Tgt'!$B:$B,'Product Tgt'!$D:$D),0)</f>
        <v>0</v>
      </c>
      <c r="DI105">
        <f>IFERROR(BZ105*_xlfn.XLOOKUP(DI$7,'Product Tgt'!$B:$B,'Product Tgt'!$D:$D),0)</f>
        <v>0</v>
      </c>
      <c r="DJ105">
        <f>IFERROR(CA105*_xlfn.XLOOKUP(DJ$7,'Product Tgt'!$B:$B,'Product Tgt'!$D:$D),0)</f>
        <v>0</v>
      </c>
      <c r="DK105">
        <f>IFERROR(CB105*_xlfn.XLOOKUP(DK$7,'Product Tgt'!$B:$B,'Product Tgt'!$D:$D),0)</f>
        <v>0</v>
      </c>
      <c r="DL105">
        <f>IFERROR(CC105*_xlfn.XLOOKUP(DL$7,'Product Tgt'!$B:$B,'Product Tgt'!$D:$D),0)</f>
        <v>0</v>
      </c>
      <c r="DM105">
        <f>IFERROR(CD105*_xlfn.XLOOKUP(DM$7,'Product Tgt'!$B:$B,'Product Tgt'!$D:$D),0)</f>
        <v>0</v>
      </c>
      <c r="DN105">
        <f>IFERROR(CE105*_xlfn.XLOOKUP(DN$7,'Product Tgt'!$B:$B,'Product Tgt'!$D:$D),0)</f>
        <v>0</v>
      </c>
      <c r="DO105">
        <f>IFERROR(CF105*_xlfn.XLOOKUP(DO$7,'Product Tgt'!$B:$B,'Product Tgt'!$D:$D),0)</f>
        <v>0</v>
      </c>
      <c r="DP105">
        <f>IFERROR(CG105*_xlfn.XLOOKUP(DP$7,'Product Tgt'!$B:$B,'Product Tgt'!$D:$D),0)</f>
        <v>0</v>
      </c>
      <c r="DQ105">
        <f>IFERROR(CH105*_xlfn.XLOOKUP(DQ$7,'Product Tgt'!$B:$B,'Product Tgt'!$D:$D),0)</f>
        <v>0</v>
      </c>
      <c r="DR105">
        <f>IFERROR(CI105*_xlfn.XLOOKUP(DR$7,'Product Tgt'!$B:$B,'Product Tgt'!$D:$D),0)</f>
        <v>0</v>
      </c>
      <c r="DS105">
        <f>IFERROR(CJ105*_xlfn.XLOOKUP(DS$7,'Product Tgt'!$B:$B,'Product Tgt'!$D:$D),0)</f>
        <v>0</v>
      </c>
      <c r="DT105">
        <f>IFERROR(CK105*_xlfn.XLOOKUP(DT$7,'Product Tgt'!$B:$B,'Product Tgt'!$D:$D),0)</f>
        <v>0</v>
      </c>
      <c r="DU105">
        <f>IFERROR(CL105*_xlfn.XLOOKUP(DU$7,'Product Tgt'!$B:$B,'Product Tgt'!$D:$D),0)</f>
        <v>0</v>
      </c>
      <c r="DV105">
        <f>IFERROR(CM105*_xlfn.XLOOKUP(DV$7,'Product Tgt'!$B:$B,'Product Tgt'!$D:$D),0)</f>
        <v>0</v>
      </c>
      <c r="DW105">
        <f>IFERROR(CN105*_xlfn.XLOOKUP(DW$7,'Product Tgt'!$B:$B,'Product Tgt'!$D:$D),0)</f>
        <v>0</v>
      </c>
      <c r="DX105">
        <f>IFERROR(CO105*_xlfn.XLOOKUP(DX$7,'Product Tgt'!$B:$B,'Product Tgt'!$D:$D),0)</f>
        <v>0</v>
      </c>
      <c r="DY105">
        <f>IFERROR(CP105*_xlfn.XLOOKUP(DY$7,'Product Tgt'!$B:$B,'Product Tgt'!$D:$D),0)</f>
        <v>0</v>
      </c>
      <c r="DZ105">
        <f>IFERROR(CQ105*_xlfn.XLOOKUP(DZ$7,'Product Tgt'!$B:$B,'Product Tgt'!$D:$D),0)</f>
        <v>0</v>
      </c>
      <c r="EA105">
        <f>IFERROR(CR105*_xlfn.XLOOKUP(EA$7,'Product Tgt'!$B:$B,'Product Tgt'!$D:$D),0)</f>
        <v>0</v>
      </c>
      <c r="EB105">
        <f>IFERROR(CS105*_xlfn.XLOOKUP(EB$7,'Product Tgt'!$B:$B,'Product Tgt'!$D:$D),0)</f>
        <v>0</v>
      </c>
      <c r="EC105">
        <f>IFERROR(CT105*_xlfn.XLOOKUP(EC$7,'Product Tgt'!$B:$B,'Product Tgt'!$D:$D),0)</f>
        <v>0</v>
      </c>
      <c r="ED105">
        <f>IFERROR(CU105*_xlfn.XLOOKUP(ED$7,'Product Tgt'!$B:$B,'Product Tgt'!$D:$D),0)</f>
        <v>0</v>
      </c>
      <c r="EE105">
        <f>IFERROR(CV105*_xlfn.XLOOKUP(EE$7,'Product Tgt'!$B:$B,'Product Tgt'!$D:$D),0)</f>
        <v>0</v>
      </c>
      <c r="EF105">
        <f>IFERROR(CW105*_xlfn.XLOOKUP(EF$7,'Product Tgt'!$B:$B,'Product Tgt'!$D:$D),0)</f>
        <v>0</v>
      </c>
      <c r="EG105">
        <f>IFERROR(CX105*_xlfn.XLOOKUP(EG$7,'Product Tgt'!$B:$B,'Product Tgt'!$D:$D),0)</f>
        <v>0</v>
      </c>
      <c r="EH105">
        <f>IFERROR(CY105*_xlfn.XLOOKUP(EH$7,'Product Tgt'!$B:$B,'Product Tgt'!$D:$D),0)</f>
        <v>0</v>
      </c>
      <c r="EI105">
        <f>IFERROR(CZ105*_xlfn.XLOOKUP(EI$7,'Product Tgt'!$B:$B,'Product Tgt'!$D:$D),0)</f>
        <v>0</v>
      </c>
    </row>
    <row r="106" spans="2:139" x14ac:dyDescent="0.35">
      <c r="B106" s="7" t="s">
        <v>192</v>
      </c>
      <c r="C106" s="3">
        <f>_xlfn.XLOOKUP($B106,'Terr Target'!$A:$A,'Terr Target'!$E:$E)</f>
        <v>388387.13664073544</v>
      </c>
      <c r="D106" s="3">
        <f t="shared" si="14"/>
        <v>388384</v>
      </c>
      <c r="E106" s="4">
        <f t="shared" si="15"/>
        <v>-3.1366407354362309</v>
      </c>
      <c r="F106" s="9">
        <f t="shared" si="13"/>
        <v>8.0761327331615899E-6</v>
      </c>
      <c r="G106" s="5">
        <f t="shared" si="12"/>
        <v>1.0000080761327332</v>
      </c>
      <c r="H106" s="38">
        <v>48010.141778273195</v>
      </c>
      <c r="I106" s="11">
        <v>72822.923438235564</v>
      </c>
      <c r="J106" s="11">
        <v>24799.090001067631</v>
      </c>
      <c r="K106" s="11">
        <v>23436.786125035134</v>
      </c>
      <c r="L106" s="11">
        <v>34354.681083370851</v>
      </c>
      <c r="M106" s="11">
        <v>31559.219805725275</v>
      </c>
      <c r="N106" s="11">
        <v>394.88945275604618</v>
      </c>
      <c r="O106" s="11">
        <v>3533.4945597855831</v>
      </c>
      <c r="P106" s="11">
        <v>1554.7639322691739</v>
      </c>
      <c r="Q106" s="11">
        <v>1094.0811493790736</v>
      </c>
      <c r="R106" s="11">
        <v>5164.9058874749471</v>
      </c>
      <c r="S106" s="11">
        <v>11393.272807746411</v>
      </c>
      <c r="T106" s="11">
        <v>0</v>
      </c>
      <c r="U106" s="11">
        <v>1958.2632698148188</v>
      </c>
      <c r="V106" s="11">
        <v>18701.187650816009</v>
      </c>
      <c r="W106" s="11">
        <v>27810.61838748075</v>
      </c>
      <c r="X106" s="11">
        <v>10499.139509145341</v>
      </c>
      <c r="Y106" s="11">
        <v>14551.5684407672</v>
      </c>
      <c r="Z106" s="11">
        <v>690.57102250411833</v>
      </c>
      <c r="AA106" s="11">
        <v>9430.9743287695474</v>
      </c>
      <c r="AB106" s="11">
        <v>2273.3548429920752</v>
      </c>
      <c r="AC106" s="11">
        <v>343.08988273741835</v>
      </c>
      <c r="AD106" s="11">
        <v>5775.5064011313116</v>
      </c>
      <c r="AE106" s="11">
        <v>13170.534289052064</v>
      </c>
      <c r="AF106" s="11">
        <v>3182.7766212258007</v>
      </c>
      <c r="AG106" s="11">
        <v>15115.817995706624</v>
      </c>
      <c r="AH106" s="11">
        <v>1395.0602798184909</v>
      </c>
      <c r="AI106" s="11">
        <v>8417.8670958640851</v>
      </c>
      <c r="AJ106" s="11">
        <v>11674.02194572906</v>
      </c>
      <c r="AK106" s="11">
        <v>1705.9655932233607</v>
      </c>
      <c r="AL106" s="49">
        <v>2195.4127280546522</v>
      </c>
      <c r="AM106" s="41">
        <f>IFERROR(ROUND(_xlfn.XLOOKUP(AM$7,'Product Tgt'!$B:$B,'Product Tgt'!$G:$G)*H106/H$121,0),0)</f>
        <v>46674</v>
      </c>
      <c r="AN106" s="41">
        <f>IFERROR(ROUND(_xlfn.XLOOKUP(AN$7,'Product Tgt'!$B:$B,'Product Tgt'!$G:$G)*I106/I$121,0),0)</f>
        <v>71687</v>
      </c>
      <c r="AO106" s="41">
        <f>IFERROR(ROUND(_xlfn.XLOOKUP(AO$7,'Product Tgt'!$B:$B,'Product Tgt'!$G:$G)*J106/J$121,0),0)</f>
        <v>24028</v>
      </c>
      <c r="AP106" s="41">
        <f>IFERROR(ROUND(_xlfn.XLOOKUP(AP$7,'Product Tgt'!$B:$B,'Product Tgt'!$G:$G)*K106/K$121,0),0)</f>
        <v>22863</v>
      </c>
      <c r="AQ106" s="41">
        <f>IFERROR(ROUND(_xlfn.XLOOKUP(AQ$7,'Product Tgt'!$B:$B,'Product Tgt'!$G:$G)*L106/L$121,0),0)</f>
        <v>33219</v>
      </c>
      <c r="AR106" s="41">
        <f>IFERROR(ROUND(_xlfn.XLOOKUP(AR$7,'Product Tgt'!$B:$B,'Product Tgt'!$G:$G)*M106/M$121,0),0)</f>
        <v>30574</v>
      </c>
      <c r="AS106" s="41">
        <f>IFERROR(ROUND(_xlfn.XLOOKUP(AS$7,'Product Tgt'!$B:$B,'Product Tgt'!$G:$G)*N106/N$121,0),0)</f>
        <v>365</v>
      </c>
      <c r="AT106" s="41">
        <f>IFERROR(ROUND(_xlfn.XLOOKUP(AT$7,'Product Tgt'!$B:$B,'Product Tgt'!$G:$G)*O106/O$121,0),0)</f>
        <v>3180</v>
      </c>
      <c r="AU106" s="41">
        <f>IFERROR(ROUND(_xlfn.XLOOKUP(AU$7,'Product Tgt'!$B:$B,'Product Tgt'!$G:$G)*P106/P$121,0),0)</f>
        <v>663</v>
      </c>
      <c r="AV106" s="41">
        <f>IFERROR(ROUND(_xlfn.XLOOKUP(AV$7,'Product Tgt'!$B:$B,'Product Tgt'!$G:$G)*Q106/Q$121,0),0)</f>
        <v>821</v>
      </c>
      <c r="AW106" s="41">
        <f>IFERROR(ROUND(_xlfn.XLOOKUP(AW$7,'Product Tgt'!$B:$B,'Product Tgt'!$G:$G)*R106/R$121,0),0)</f>
        <v>4974</v>
      </c>
      <c r="AX106" s="41">
        <f>IFERROR(ROUND(_xlfn.XLOOKUP(AX$7,'Product Tgt'!$B:$B,'Product Tgt'!$G:$G)*S106/S$121,0),0)</f>
        <v>10973</v>
      </c>
      <c r="AY106" s="41">
        <f>IFERROR(ROUND(_xlfn.XLOOKUP(AY$7,'Product Tgt'!$B:$B,'Product Tgt'!$G:$G)*T106/T$121,0),0)</f>
        <v>0</v>
      </c>
      <c r="AZ106" s="41">
        <f>IFERROR(ROUND(_xlfn.XLOOKUP(AZ$7,'Product Tgt'!$B:$B,'Product Tgt'!$G:$G)*U106/U$121,0),0)</f>
        <v>1874</v>
      </c>
      <c r="BA106" s="41">
        <f>IFERROR(ROUND(_xlfn.XLOOKUP(BA$7,'Product Tgt'!$B:$B,'Product Tgt'!$G:$G)*V106/V$121,0),0)</f>
        <v>18006</v>
      </c>
      <c r="BB106" s="41">
        <f>IFERROR(ROUND(_xlfn.XLOOKUP(BB$7,'Product Tgt'!$B:$B,'Product Tgt'!$G:$G)*W106/W$121,0),0)</f>
        <v>26621</v>
      </c>
      <c r="BC106" s="41">
        <f>IFERROR(ROUND(_xlfn.XLOOKUP(BC$7,'Product Tgt'!$B:$B,'Product Tgt'!$G:$G)*X106/X$121,0),0)</f>
        <v>10159</v>
      </c>
      <c r="BD106" s="41">
        <f>IFERROR(ROUND(_xlfn.XLOOKUP(BD$7,'Product Tgt'!$B:$B,'Product Tgt'!$G:$G)*Y106/Y$121,0),0)</f>
        <v>14071</v>
      </c>
      <c r="BE106" s="41">
        <f>IFERROR(ROUND(_xlfn.XLOOKUP(BE$7,'Product Tgt'!$B:$B,'Product Tgt'!$G:$G)*Z106/Z$121,0),0)</f>
        <v>656</v>
      </c>
      <c r="BF106" s="41">
        <f>IFERROR(ROUND(_xlfn.XLOOKUP(BF$7,'Product Tgt'!$B:$B,'Product Tgt'!$G:$G)*AA106/AA$121,0),0)</f>
        <v>7643</v>
      </c>
      <c r="BG106" s="41">
        <f>IFERROR(ROUND(_xlfn.XLOOKUP(BG$7,'Product Tgt'!$B:$B,'Product Tgt'!$G:$G)*AB106/AB$121,0),0)</f>
        <v>1822</v>
      </c>
      <c r="BH106" s="41">
        <f>IFERROR(ROUND(_xlfn.XLOOKUP(BH$7,'Product Tgt'!$B:$B,'Product Tgt'!$G:$G)*AC106/AC$121,0),0)</f>
        <v>294</v>
      </c>
      <c r="BI106" s="41">
        <f>IFERROR(ROUND(_xlfn.XLOOKUP(BI$7,'Product Tgt'!$B:$B,'Product Tgt'!$G:$G)*AD106/AD$121,0),0)</f>
        <v>5028</v>
      </c>
      <c r="BJ106" s="41">
        <f>IFERROR(ROUND(_xlfn.XLOOKUP(BJ$7,'Product Tgt'!$B:$B,'Product Tgt'!$G:$G)*AE106/AE$121,0),0)</f>
        <v>12258</v>
      </c>
      <c r="BK106" s="41">
        <f>IFERROR(ROUND(_xlfn.XLOOKUP(BK$7,'Product Tgt'!$B:$B,'Product Tgt'!$G:$G)*AF106/AF$121,0),0)</f>
        <v>3556</v>
      </c>
      <c r="BL106" s="41">
        <f>IFERROR(ROUND(_xlfn.XLOOKUP(BL$7,'Product Tgt'!$B:$B,'Product Tgt'!$G:$G)*AG106/AG$121,0),0)</f>
        <v>14438</v>
      </c>
      <c r="BM106" s="41">
        <f>IFERROR(ROUND(_xlfn.XLOOKUP(BM$7,'Product Tgt'!$B:$B,'Product Tgt'!$G:$G)*AH106/AH$121,0),0)</f>
        <v>1094</v>
      </c>
      <c r="BN106" s="41">
        <f>IFERROR(ROUND(_xlfn.XLOOKUP(BN$7,'Product Tgt'!$B:$B,'Product Tgt'!$G:$G)*AI106/AI$121,0),0)</f>
        <v>7731</v>
      </c>
      <c r="BO106" s="41">
        <f>IFERROR(ROUND(_xlfn.XLOOKUP(BO$7,'Product Tgt'!$B:$B,'Product Tgt'!$G:$G)*AJ106/AJ$121,0),0)</f>
        <v>10097</v>
      </c>
      <c r="BP106" s="41">
        <f>IFERROR(ROUND(_xlfn.XLOOKUP(BP$7,'Product Tgt'!$B:$B,'Product Tgt'!$G:$G)*AK106/AK$121,0),0)</f>
        <v>1299</v>
      </c>
      <c r="BQ106" s="41">
        <f>IFERROR(ROUND(_xlfn.XLOOKUP(BQ$7,'Product Tgt'!$B:$B,'Product Tgt'!$G:$G)*AL106/AL$121,0),0)</f>
        <v>1716</v>
      </c>
      <c r="BR106" s="25">
        <f>ROUND(IFERROR(AM106/_xlfn.XLOOKUP(BR$7,'Product Tgt'!$B:$B,'Product Tgt'!$D:$D),0),0)</f>
        <v>0</v>
      </c>
      <c r="BS106" s="11">
        <f>ROUND(IFERROR(AN106/_xlfn.XLOOKUP(BS$7,'Product Tgt'!$B:$B,'Product Tgt'!$D:$D),0),0)</f>
        <v>0</v>
      </c>
      <c r="BT106" s="11">
        <f>ROUND(IFERROR(AO106/_xlfn.XLOOKUP(BT$7,'Product Tgt'!$B:$B,'Product Tgt'!$D:$D),0),0)</f>
        <v>0</v>
      </c>
      <c r="BU106" s="11">
        <f>ROUND(IFERROR(AP106/_xlfn.XLOOKUP(BU$7,'Product Tgt'!$B:$B,'Product Tgt'!$D:$D),0),0)</f>
        <v>0</v>
      </c>
      <c r="BV106" s="11">
        <f>ROUND(IFERROR(AQ106/_xlfn.XLOOKUP(BV$7,'Product Tgt'!$B:$B,'Product Tgt'!$D:$D),0),0)</f>
        <v>0</v>
      </c>
      <c r="BW106" s="11">
        <f>ROUND(IFERROR(AU106/_xlfn.XLOOKUP(BW$7,'Product Tgt'!$B:$B,'Product Tgt'!$D:$D),0),0)</f>
        <v>0</v>
      </c>
      <c r="BX106" s="11">
        <f>ROUND(IFERROR(#REF!/_xlfn.XLOOKUP(BX$7,'Product Tgt'!$B:$B,'Product Tgt'!$D:$D),0),0)</f>
        <v>0</v>
      </c>
      <c r="BY106" s="11">
        <f>ROUND(IFERROR(#REF!/_xlfn.XLOOKUP(BY$7,'Product Tgt'!$B:$B,'Product Tgt'!$D:$D),0),0)</f>
        <v>0</v>
      </c>
      <c r="BZ106" s="11">
        <f>ROUND(IFERROR(#REF!/_xlfn.XLOOKUP(BZ$7,'Product Tgt'!$B:$B,'Product Tgt'!$D:$D),0),0)</f>
        <v>0</v>
      </c>
      <c r="CA106" s="11">
        <f>ROUND(IFERROR(#REF!/_xlfn.XLOOKUP(CA$7,'Product Tgt'!$B:$B,'Product Tgt'!$D:$D),0),0)</f>
        <v>0</v>
      </c>
      <c r="CB106" s="11">
        <f>ROUND(IFERROR(AV106/_xlfn.XLOOKUP(CB$7,'Product Tgt'!$B:$B,'Product Tgt'!$D:$D),0),0)</f>
        <v>0</v>
      </c>
      <c r="CC106" s="11">
        <f>ROUND(IFERROR(AW106/_xlfn.XLOOKUP(CC$7,'Product Tgt'!$B:$B,'Product Tgt'!$D:$D),0),0)</f>
        <v>0</v>
      </c>
      <c r="CD106" s="11">
        <f>ROUND(IFERROR(AX106/_xlfn.XLOOKUP(CD$7,'Product Tgt'!$B:$B,'Product Tgt'!$D:$D),0),0)</f>
        <v>0</v>
      </c>
      <c r="CE106" s="11">
        <f>ROUND(IFERROR(AY106/_xlfn.XLOOKUP(CE$7,'Product Tgt'!$B:$B,'Product Tgt'!$D:$D),0),0)</f>
        <v>0</v>
      </c>
      <c r="CF106" s="11">
        <f>ROUND(IFERROR(AZ106/_xlfn.XLOOKUP(CF$7,'Product Tgt'!$B:$B,'Product Tgt'!$D:$D),0),0)</f>
        <v>0</v>
      </c>
      <c r="CG106" s="11">
        <f>ROUND(IFERROR(BA106/_xlfn.XLOOKUP(CG$7,'Product Tgt'!$B:$B,'Product Tgt'!$D:$D),0),0)</f>
        <v>0</v>
      </c>
      <c r="CH106" s="11">
        <f>ROUND(IFERROR(BB106/_xlfn.XLOOKUP(CH$7,'Product Tgt'!$B:$B,'Product Tgt'!$D:$D),0),0)</f>
        <v>0</v>
      </c>
      <c r="CI106" s="11">
        <f>ROUND(IFERROR(BC106/_xlfn.XLOOKUP(CI$7,'Product Tgt'!$B:$B,'Product Tgt'!$D:$D),0),0)</f>
        <v>0</v>
      </c>
      <c r="CJ106" s="11">
        <f>ROUND(IFERROR(BD106/_xlfn.XLOOKUP(CJ$7,'Product Tgt'!$B:$B,'Product Tgt'!$D:$D),0),0)</f>
        <v>0</v>
      </c>
      <c r="CK106" s="11">
        <f>ROUND(IFERROR(BE106/_xlfn.XLOOKUP(CK$7,'Product Tgt'!$B:$B,'Product Tgt'!$D:$D),0),0)</f>
        <v>0</v>
      </c>
      <c r="CL106" s="11">
        <f>ROUND(IFERROR(BF106/_xlfn.XLOOKUP(CL$7,'Product Tgt'!$B:$B,'Product Tgt'!$D:$D),0),0)</f>
        <v>0</v>
      </c>
      <c r="CM106" s="11">
        <f>ROUND(IFERROR(BG106/_xlfn.XLOOKUP(CM$7,'Product Tgt'!$B:$B,'Product Tgt'!$D:$D),0),0)</f>
        <v>0</v>
      </c>
      <c r="CN106" s="11">
        <f>ROUND(IFERROR(BH106/_xlfn.XLOOKUP(CN$7,'Product Tgt'!$B:$B,'Product Tgt'!$D:$D),0),0)</f>
        <v>0</v>
      </c>
      <c r="CO106" s="11">
        <f>ROUND(IFERROR(BI106/_xlfn.XLOOKUP(CO$7,'Product Tgt'!$B:$B,'Product Tgt'!$D:$D),0),0)</f>
        <v>0</v>
      </c>
      <c r="CP106" s="11">
        <f>ROUND(IFERROR(BJ106/_xlfn.XLOOKUP(CP$7,'Product Tgt'!$B:$B,'Product Tgt'!$D:$D),0),0)</f>
        <v>0</v>
      </c>
      <c r="CQ106" s="11">
        <f>ROUND(IFERROR(BK106/_xlfn.XLOOKUP(CQ$7,'Product Tgt'!$B:$B,'Product Tgt'!$D:$D),0),0)</f>
        <v>0</v>
      </c>
      <c r="CR106" s="11">
        <f>ROUND(IFERROR(BL106/_xlfn.XLOOKUP(CR$7,'Product Tgt'!$B:$B,'Product Tgt'!$D:$D),0),0)</f>
        <v>0</v>
      </c>
      <c r="CS106" s="11">
        <f>ROUND(IFERROR(BM106/_xlfn.XLOOKUP(CS$7,'Product Tgt'!$B:$B,'Product Tgt'!$D:$D),0),0)</f>
        <v>0</v>
      </c>
      <c r="CT106" s="11">
        <f>ROUND(IFERROR(BN106/_xlfn.XLOOKUP(CT$7,'Product Tgt'!$B:$B,'Product Tgt'!$D:$D),0),0)</f>
        <v>0</v>
      </c>
      <c r="CU106" s="11">
        <f>ROUND(IFERROR(BO106/_xlfn.XLOOKUP(CU$7,'Product Tgt'!$B:$B,'Product Tgt'!$D:$D),0),0)</f>
        <v>0</v>
      </c>
      <c r="CV106" s="11">
        <f>ROUND(IFERROR(BP106/_xlfn.XLOOKUP(CV$7,'Product Tgt'!$B:$B,'Product Tgt'!$D:$D),0),0)</f>
        <v>0</v>
      </c>
      <c r="CW106" s="11">
        <f>ROUND(IFERROR(BQ106/_xlfn.XLOOKUP(CW$7,'Product Tgt'!$B:$B,'Product Tgt'!$D:$D),0),0)</f>
        <v>0</v>
      </c>
      <c r="CX106" s="11">
        <f>ROUND(IFERROR(#REF!/_xlfn.XLOOKUP(CX$7,'Product Tgt'!$B:$B,'Product Tgt'!$D:$D),0),0)</f>
        <v>0</v>
      </c>
      <c r="CY106" s="11">
        <f>ROUND(IFERROR(#REF!/_xlfn.XLOOKUP(CY$7,'Product Tgt'!$B:$B,'Product Tgt'!$D:$D),0),0)</f>
        <v>0</v>
      </c>
      <c r="CZ106" s="11">
        <f>ROUND(IFERROR(#REF!/_xlfn.XLOOKUP(CZ$7,'Product Tgt'!$B:$B,'Product Tgt'!$D:$D),0),0)</f>
        <v>0</v>
      </c>
      <c r="DA106" s="10">
        <f>IFERROR(BR106*_xlfn.XLOOKUP(DA$7,'Product Tgt'!$B:$B,'Product Tgt'!$D:$D),0)</f>
        <v>0</v>
      </c>
      <c r="DB106">
        <f>IFERROR(BS106*_xlfn.XLOOKUP(DB$7,'Product Tgt'!$B:$B,'Product Tgt'!$D:$D),0)</f>
        <v>0</v>
      </c>
      <c r="DC106">
        <f>IFERROR(BT106*_xlfn.XLOOKUP(DC$7,'Product Tgt'!$B:$B,'Product Tgt'!$D:$D),0)</f>
        <v>0</v>
      </c>
      <c r="DD106">
        <f>IFERROR(BU106*_xlfn.XLOOKUP(DD$7,'Product Tgt'!$B:$B,'Product Tgt'!$D:$D),0)</f>
        <v>0</v>
      </c>
      <c r="DE106">
        <f>IFERROR(BV106*_xlfn.XLOOKUP(DE$7,'Product Tgt'!$B:$B,'Product Tgt'!$D:$D),0)</f>
        <v>0</v>
      </c>
      <c r="DF106">
        <f>IFERROR(BW106*_xlfn.XLOOKUP(DF$7,'Product Tgt'!$B:$B,'Product Tgt'!$D:$D),0)</f>
        <v>0</v>
      </c>
      <c r="DG106">
        <f>IFERROR(BX106*_xlfn.XLOOKUP(DG$7,'Product Tgt'!$B:$B,'Product Tgt'!$D:$D),0)</f>
        <v>0</v>
      </c>
      <c r="DH106">
        <f>IFERROR(BY106*_xlfn.XLOOKUP(DH$7,'Product Tgt'!$B:$B,'Product Tgt'!$D:$D),0)</f>
        <v>0</v>
      </c>
      <c r="DI106">
        <f>IFERROR(BZ106*_xlfn.XLOOKUP(DI$7,'Product Tgt'!$B:$B,'Product Tgt'!$D:$D),0)</f>
        <v>0</v>
      </c>
      <c r="DJ106">
        <f>IFERROR(CA106*_xlfn.XLOOKUP(DJ$7,'Product Tgt'!$B:$B,'Product Tgt'!$D:$D),0)</f>
        <v>0</v>
      </c>
      <c r="DK106">
        <f>IFERROR(CB106*_xlfn.XLOOKUP(DK$7,'Product Tgt'!$B:$B,'Product Tgt'!$D:$D),0)</f>
        <v>0</v>
      </c>
      <c r="DL106">
        <f>IFERROR(CC106*_xlfn.XLOOKUP(DL$7,'Product Tgt'!$B:$B,'Product Tgt'!$D:$D),0)</f>
        <v>0</v>
      </c>
      <c r="DM106">
        <f>IFERROR(CD106*_xlfn.XLOOKUP(DM$7,'Product Tgt'!$B:$B,'Product Tgt'!$D:$D),0)</f>
        <v>0</v>
      </c>
      <c r="DN106">
        <f>IFERROR(CE106*_xlfn.XLOOKUP(DN$7,'Product Tgt'!$B:$B,'Product Tgt'!$D:$D),0)</f>
        <v>0</v>
      </c>
      <c r="DO106">
        <f>IFERROR(CF106*_xlfn.XLOOKUP(DO$7,'Product Tgt'!$B:$B,'Product Tgt'!$D:$D),0)</f>
        <v>0</v>
      </c>
      <c r="DP106">
        <f>IFERROR(CG106*_xlfn.XLOOKUP(DP$7,'Product Tgt'!$B:$B,'Product Tgt'!$D:$D),0)</f>
        <v>0</v>
      </c>
      <c r="DQ106">
        <f>IFERROR(CH106*_xlfn.XLOOKUP(DQ$7,'Product Tgt'!$B:$B,'Product Tgt'!$D:$D),0)</f>
        <v>0</v>
      </c>
      <c r="DR106">
        <f>IFERROR(CI106*_xlfn.XLOOKUP(DR$7,'Product Tgt'!$B:$B,'Product Tgt'!$D:$D),0)</f>
        <v>0</v>
      </c>
      <c r="DS106">
        <f>IFERROR(CJ106*_xlfn.XLOOKUP(DS$7,'Product Tgt'!$B:$B,'Product Tgt'!$D:$D),0)</f>
        <v>0</v>
      </c>
      <c r="DT106">
        <f>IFERROR(CK106*_xlfn.XLOOKUP(DT$7,'Product Tgt'!$B:$B,'Product Tgt'!$D:$D),0)</f>
        <v>0</v>
      </c>
      <c r="DU106">
        <f>IFERROR(CL106*_xlfn.XLOOKUP(DU$7,'Product Tgt'!$B:$B,'Product Tgt'!$D:$D),0)</f>
        <v>0</v>
      </c>
      <c r="DV106">
        <f>IFERROR(CM106*_xlfn.XLOOKUP(DV$7,'Product Tgt'!$B:$B,'Product Tgt'!$D:$D),0)</f>
        <v>0</v>
      </c>
      <c r="DW106">
        <f>IFERROR(CN106*_xlfn.XLOOKUP(DW$7,'Product Tgt'!$B:$B,'Product Tgt'!$D:$D),0)</f>
        <v>0</v>
      </c>
      <c r="DX106">
        <f>IFERROR(CO106*_xlfn.XLOOKUP(DX$7,'Product Tgt'!$B:$B,'Product Tgt'!$D:$D),0)</f>
        <v>0</v>
      </c>
      <c r="DY106">
        <f>IFERROR(CP106*_xlfn.XLOOKUP(DY$7,'Product Tgt'!$B:$B,'Product Tgt'!$D:$D),0)</f>
        <v>0</v>
      </c>
      <c r="DZ106">
        <f>IFERROR(CQ106*_xlfn.XLOOKUP(DZ$7,'Product Tgt'!$B:$B,'Product Tgt'!$D:$D),0)</f>
        <v>0</v>
      </c>
      <c r="EA106">
        <f>IFERROR(CR106*_xlfn.XLOOKUP(EA$7,'Product Tgt'!$B:$B,'Product Tgt'!$D:$D),0)</f>
        <v>0</v>
      </c>
      <c r="EB106">
        <f>IFERROR(CS106*_xlfn.XLOOKUP(EB$7,'Product Tgt'!$B:$B,'Product Tgt'!$D:$D),0)</f>
        <v>0</v>
      </c>
      <c r="EC106">
        <f>IFERROR(CT106*_xlfn.XLOOKUP(EC$7,'Product Tgt'!$B:$B,'Product Tgt'!$D:$D),0)</f>
        <v>0</v>
      </c>
      <c r="ED106">
        <f>IFERROR(CU106*_xlfn.XLOOKUP(ED$7,'Product Tgt'!$B:$B,'Product Tgt'!$D:$D),0)</f>
        <v>0</v>
      </c>
      <c r="EE106">
        <f>IFERROR(CV106*_xlfn.XLOOKUP(EE$7,'Product Tgt'!$B:$B,'Product Tgt'!$D:$D),0)</f>
        <v>0</v>
      </c>
      <c r="EF106">
        <f>IFERROR(CW106*_xlfn.XLOOKUP(EF$7,'Product Tgt'!$B:$B,'Product Tgt'!$D:$D),0)</f>
        <v>0</v>
      </c>
      <c r="EG106">
        <f>IFERROR(CX106*_xlfn.XLOOKUP(EG$7,'Product Tgt'!$B:$B,'Product Tgt'!$D:$D),0)</f>
        <v>0</v>
      </c>
      <c r="EH106">
        <f>IFERROR(CY106*_xlfn.XLOOKUP(EH$7,'Product Tgt'!$B:$B,'Product Tgt'!$D:$D),0)</f>
        <v>0</v>
      </c>
      <c r="EI106">
        <f>IFERROR(CZ106*_xlfn.XLOOKUP(EI$7,'Product Tgt'!$B:$B,'Product Tgt'!$D:$D),0)</f>
        <v>0</v>
      </c>
    </row>
    <row r="107" spans="2:139" x14ac:dyDescent="0.35">
      <c r="B107" s="7" t="s">
        <v>159</v>
      </c>
      <c r="C107" s="3">
        <f>_xlfn.XLOOKUP($B107,'Terr Target'!$A:$A,'Terr Target'!$E:$E)</f>
        <v>645896.29976109508</v>
      </c>
      <c r="D107" s="3">
        <f t="shared" si="14"/>
        <v>645898</v>
      </c>
      <c r="E107" s="4">
        <f t="shared" si="15"/>
        <v>1.70023890491575</v>
      </c>
      <c r="F107" s="9">
        <f t="shared" si="13"/>
        <v>2.6323644057045386E-6</v>
      </c>
      <c r="G107" s="5">
        <f t="shared" si="12"/>
        <v>0.99999736763559433</v>
      </c>
      <c r="H107" s="38">
        <v>71252.693172716885</v>
      </c>
      <c r="I107" s="11">
        <v>148276.7574881551</v>
      </c>
      <c r="J107" s="11">
        <v>79208.017725334139</v>
      </c>
      <c r="K107" s="11">
        <v>85203.736721116453</v>
      </c>
      <c r="L107" s="11">
        <v>51633.06024699811</v>
      </c>
      <c r="M107" s="11">
        <v>34272.41857963935</v>
      </c>
      <c r="N107" s="11">
        <v>625.47119408190076</v>
      </c>
      <c r="O107" s="11">
        <v>3462.5203863228012</v>
      </c>
      <c r="P107" s="11">
        <v>1524.4337672133017</v>
      </c>
      <c r="Q107" s="11">
        <v>2301.1242246921324</v>
      </c>
      <c r="R107" s="11">
        <v>15190.888369788147</v>
      </c>
      <c r="S107" s="11">
        <v>28091.272766959384</v>
      </c>
      <c r="T107" s="11">
        <v>0</v>
      </c>
      <c r="U107" s="11">
        <v>12605.035982483778</v>
      </c>
      <c r="V107" s="11">
        <v>16659.307268144021</v>
      </c>
      <c r="W107" s="11">
        <v>23788.161417693907</v>
      </c>
      <c r="X107" s="11">
        <v>4572.296951958635</v>
      </c>
      <c r="Y107" s="11">
        <v>4289.8559222839458</v>
      </c>
      <c r="Z107" s="11">
        <v>306.30676467519021</v>
      </c>
      <c r="AA107" s="11">
        <v>12759.238462755769</v>
      </c>
      <c r="AB107" s="11">
        <v>3871.3105947126464</v>
      </c>
      <c r="AC107" s="11">
        <v>1249.9877587637816</v>
      </c>
      <c r="AD107" s="11">
        <v>8486.2178277034254</v>
      </c>
      <c r="AE107" s="11">
        <v>9267.8504811386119</v>
      </c>
      <c r="AF107" s="11">
        <v>1321.5451875402862</v>
      </c>
      <c r="AG107" s="11">
        <v>26589.322510927803</v>
      </c>
      <c r="AH107" s="11">
        <v>2438.2726484950153</v>
      </c>
      <c r="AI107" s="11">
        <v>14017.211298688469</v>
      </c>
      <c r="AJ107" s="11">
        <v>2135.9832825449098</v>
      </c>
      <c r="AK107" s="11">
        <v>3412.1636854717426</v>
      </c>
      <c r="AL107" s="49">
        <v>4538.9843635204343</v>
      </c>
      <c r="AM107" s="41">
        <f>IFERROR(ROUND(_xlfn.XLOOKUP(AM$7,'Product Tgt'!$B:$B,'Product Tgt'!$G:$G)*H107/H$121,0),0)</f>
        <v>69269</v>
      </c>
      <c r="AN107" s="41">
        <f>IFERROR(ROUND(_xlfn.XLOOKUP(AN$7,'Product Tgt'!$B:$B,'Product Tgt'!$G:$G)*I107/I$121,0),0)</f>
        <v>145964</v>
      </c>
      <c r="AO107" s="41">
        <f>IFERROR(ROUND(_xlfn.XLOOKUP(AO$7,'Product Tgt'!$B:$B,'Product Tgt'!$G:$G)*J107/J$121,0),0)</f>
        <v>76744</v>
      </c>
      <c r="AP107" s="41">
        <f>IFERROR(ROUND(_xlfn.XLOOKUP(AP$7,'Product Tgt'!$B:$B,'Product Tgt'!$G:$G)*K107/K$121,0),0)</f>
        <v>83118</v>
      </c>
      <c r="AQ107" s="41">
        <f>IFERROR(ROUND(_xlfn.XLOOKUP(AQ$7,'Product Tgt'!$B:$B,'Product Tgt'!$G:$G)*L107/L$121,0),0)</f>
        <v>49926</v>
      </c>
      <c r="AR107" s="41">
        <f>IFERROR(ROUND(_xlfn.XLOOKUP(AR$7,'Product Tgt'!$B:$B,'Product Tgt'!$G:$G)*M107/M$121,0),0)</f>
        <v>33203</v>
      </c>
      <c r="AS107" s="41">
        <f>IFERROR(ROUND(_xlfn.XLOOKUP(AS$7,'Product Tgt'!$B:$B,'Product Tgt'!$G:$G)*N107/N$121,0),0)</f>
        <v>578</v>
      </c>
      <c r="AT107" s="41">
        <f>IFERROR(ROUND(_xlfn.XLOOKUP(AT$7,'Product Tgt'!$B:$B,'Product Tgt'!$G:$G)*O107/O$121,0),0)</f>
        <v>3117</v>
      </c>
      <c r="AU107" s="41">
        <f>IFERROR(ROUND(_xlfn.XLOOKUP(AU$7,'Product Tgt'!$B:$B,'Product Tgt'!$G:$G)*P107/P$121,0),0)</f>
        <v>650</v>
      </c>
      <c r="AV107" s="41">
        <f>IFERROR(ROUND(_xlfn.XLOOKUP(AV$7,'Product Tgt'!$B:$B,'Product Tgt'!$G:$G)*Q107/Q$121,0),0)</f>
        <v>1727</v>
      </c>
      <c r="AW107" s="41">
        <f>IFERROR(ROUND(_xlfn.XLOOKUP(AW$7,'Product Tgt'!$B:$B,'Product Tgt'!$G:$G)*R107/R$121,0),0)</f>
        <v>14630</v>
      </c>
      <c r="AX107" s="41">
        <f>IFERROR(ROUND(_xlfn.XLOOKUP(AX$7,'Product Tgt'!$B:$B,'Product Tgt'!$G:$G)*S107/S$121,0),0)</f>
        <v>27056</v>
      </c>
      <c r="AY107" s="41">
        <f>IFERROR(ROUND(_xlfn.XLOOKUP(AY$7,'Product Tgt'!$B:$B,'Product Tgt'!$G:$G)*T107/T$121,0),0)</f>
        <v>0</v>
      </c>
      <c r="AZ107" s="41">
        <f>IFERROR(ROUND(_xlfn.XLOOKUP(AZ$7,'Product Tgt'!$B:$B,'Product Tgt'!$G:$G)*U107/U$121,0),0)</f>
        <v>12063</v>
      </c>
      <c r="BA107" s="41">
        <f>IFERROR(ROUND(_xlfn.XLOOKUP(BA$7,'Product Tgt'!$B:$B,'Product Tgt'!$G:$G)*V107/V$121,0),0)</f>
        <v>16040</v>
      </c>
      <c r="BB107" s="41">
        <f>IFERROR(ROUND(_xlfn.XLOOKUP(BB$7,'Product Tgt'!$B:$B,'Product Tgt'!$G:$G)*W107/W$121,0),0)</f>
        <v>22771</v>
      </c>
      <c r="BC107" s="41">
        <f>IFERROR(ROUND(_xlfn.XLOOKUP(BC$7,'Product Tgt'!$B:$B,'Product Tgt'!$G:$G)*X107/X$121,0),0)</f>
        <v>4424</v>
      </c>
      <c r="BD107" s="41">
        <f>IFERROR(ROUND(_xlfn.XLOOKUP(BD$7,'Product Tgt'!$B:$B,'Product Tgt'!$G:$G)*Y107/Y$121,0),0)</f>
        <v>4148</v>
      </c>
      <c r="BE107" s="41">
        <f>IFERROR(ROUND(_xlfn.XLOOKUP(BE$7,'Product Tgt'!$B:$B,'Product Tgt'!$G:$G)*Z107/Z$121,0),0)</f>
        <v>291</v>
      </c>
      <c r="BF107" s="41">
        <f>IFERROR(ROUND(_xlfn.XLOOKUP(BF$7,'Product Tgt'!$B:$B,'Product Tgt'!$G:$G)*AA107/AA$121,0),0)</f>
        <v>10340</v>
      </c>
      <c r="BG107" s="41">
        <f>IFERROR(ROUND(_xlfn.XLOOKUP(BG$7,'Product Tgt'!$B:$B,'Product Tgt'!$G:$G)*AB107/AB$121,0),0)</f>
        <v>3103</v>
      </c>
      <c r="BH107" s="41">
        <f>IFERROR(ROUND(_xlfn.XLOOKUP(BH$7,'Product Tgt'!$B:$B,'Product Tgt'!$G:$G)*AC107/AC$121,0),0)</f>
        <v>1070</v>
      </c>
      <c r="BI107" s="41">
        <f>IFERROR(ROUND(_xlfn.XLOOKUP(BI$7,'Product Tgt'!$B:$B,'Product Tgt'!$G:$G)*AD107/AD$121,0),0)</f>
        <v>7387</v>
      </c>
      <c r="BJ107" s="41">
        <f>IFERROR(ROUND(_xlfn.XLOOKUP(BJ$7,'Product Tgt'!$B:$B,'Product Tgt'!$G:$G)*AE107/AE$121,0),0)</f>
        <v>8626</v>
      </c>
      <c r="BK107" s="41">
        <f>IFERROR(ROUND(_xlfn.XLOOKUP(BK$7,'Product Tgt'!$B:$B,'Product Tgt'!$G:$G)*AF107/AF$121,0),0)</f>
        <v>1476</v>
      </c>
      <c r="BL107" s="41">
        <f>IFERROR(ROUND(_xlfn.XLOOKUP(BL$7,'Product Tgt'!$B:$B,'Product Tgt'!$G:$G)*AG107/AG$121,0),0)</f>
        <v>25398</v>
      </c>
      <c r="BM107" s="41">
        <f>IFERROR(ROUND(_xlfn.XLOOKUP(BM$7,'Product Tgt'!$B:$B,'Product Tgt'!$G:$G)*AH107/AH$121,0),0)</f>
        <v>1912</v>
      </c>
      <c r="BN107" s="41">
        <f>IFERROR(ROUND(_xlfn.XLOOKUP(BN$7,'Product Tgt'!$B:$B,'Product Tgt'!$G:$G)*AI107/AI$121,0),0)</f>
        <v>12873</v>
      </c>
      <c r="BO107" s="41">
        <f>IFERROR(ROUND(_xlfn.XLOOKUP(BO$7,'Product Tgt'!$B:$B,'Product Tgt'!$G:$G)*AJ107/AJ$121,0),0)</f>
        <v>1848</v>
      </c>
      <c r="BP107" s="41">
        <f>IFERROR(ROUND(_xlfn.XLOOKUP(BP$7,'Product Tgt'!$B:$B,'Product Tgt'!$G:$G)*AK107/AK$121,0),0)</f>
        <v>2598</v>
      </c>
      <c r="BQ107" s="41">
        <f>IFERROR(ROUND(_xlfn.XLOOKUP(BQ$7,'Product Tgt'!$B:$B,'Product Tgt'!$G:$G)*AL107/AL$121,0),0)</f>
        <v>3548</v>
      </c>
      <c r="BR107" s="25">
        <f>ROUND(IFERROR(AM107/_xlfn.XLOOKUP(BR$7,'Product Tgt'!$B:$B,'Product Tgt'!$D:$D),0),0)</f>
        <v>0</v>
      </c>
      <c r="BS107" s="11">
        <f>ROUND(IFERROR(AN107/_xlfn.XLOOKUP(BS$7,'Product Tgt'!$B:$B,'Product Tgt'!$D:$D),0),0)</f>
        <v>0</v>
      </c>
      <c r="BT107" s="11">
        <f>ROUND(IFERROR(AO107/_xlfn.XLOOKUP(BT$7,'Product Tgt'!$B:$B,'Product Tgt'!$D:$D),0),0)</f>
        <v>0</v>
      </c>
      <c r="BU107" s="11">
        <f>ROUND(IFERROR(AP107/_xlfn.XLOOKUP(BU$7,'Product Tgt'!$B:$B,'Product Tgt'!$D:$D),0),0)</f>
        <v>0</v>
      </c>
      <c r="BV107" s="11">
        <f>ROUND(IFERROR(AQ107/_xlfn.XLOOKUP(BV$7,'Product Tgt'!$B:$B,'Product Tgt'!$D:$D),0),0)</f>
        <v>0</v>
      </c>
      <c r="BW107" s="11">
        <f>ROUND(IFERROR(AU107/_xlfn.XLOOKUP(BW$7,'Product Tgt'!$B:$B,'Product Tgt'!$D:$D),0),0)</f>
        <v>0</v>
      </c>
      <c r="BX107" s="11">
        <f>ROUND(IFERROR(#REF!/_xlfn.XLOOKUP(BX$7,'Product Tgt'!$B:$B,'Product Tgt'!$D:$D),0),0)</f>
        <v>0</v>
      </c>
      <c r="BY107" s="11">
        <f>ROUND(IFERROR(#REF!/_xlfn.XLOOKUP(BY$7,'Product Tgt'!$B:$B,'Product Tgt'!$D:$D),0),0)</f>
        <v>0</v>
      </c>
      <c r="BZ107" s="11">
        <f>ROUND(IFERROR(#REF!/_xlfn.XLOOKUP(BZ$7,'Product Tgt'!$B:$B,'Product Tgt'!$D:$D),0),0)</f>
        <v>0</v>
      </c>
      <c r="CA107" s="11">
        <f>ROUND(IFERROR(#REF!/_xlfn.XLOOKUP(CA$7,'Product Tgt'!$B:$B,'Product Tgt'!$D:$D),0),0)</f>
        <v>0</v>
      </c>
      <c r="CB107" s="11">
        <f>ROUND(IFERROR(AV107/_xlfn.XLOOKUP(CB$7,'Product Tgt'!$B:$B,'Product Tgt'!$D:$D),0),0)</f>
        <v>0</v>
      </c>
      <c r="CC107" s="11">
        <f>ROUND(IFERROR(AW107/_xlfn.XLOOKUP(CC$7,'Product Tgt'!$B:$B,'Product Tgt'!$D:$D),0),0)</f>
        <v>0</v>
      </c>
      <c r="CD107" s="11">
        <f>ROUND(IFERROR(AX107/_xlfn.XLOOKUP(CD$7,'Product Tgt'!$B:$B,'Product Tgt'!$D:$D),0),0)</f>
        <v>0</v>
      </c>
      <c r="CE107" s="11">
        <f>ROUND(IFERROR(AY107/_xlfn.XLOOKUP(CE$7,'Product Tgt'!$B:$B,'Product Tgt'!$D:$D),0),0)</f>
        <v>0</v>
      </c>
      <c r="CF107" s="11">
        <f>ROUND(IFERROR(AZ107/_xlfn.XLOOKUP(CF$7,'Product Tgt'!$B:$B,'Product Tgt'!$D:$D),0),0)</f>
        <v>0</v>
      </c>
      <c r="CG107" s="11">
        <f>ROUND(IFERROR(BA107/_xlfn.XLOOKUP(CG$7,'Product Tgt'!$B:$B,'Product Tgt'!$D:$D),0),0)</f>
        <v>0</v>
      </c>
      <c r="CH107" s="11">
        <f>ROUND(IFERROR(BB107/_xlfn.XLOOKUP(CH$7,'Product Tgt'!$B:$B,'Product Tgt'!$D:$D),0),0)</f>
        <v>0</v>
      </c>
      <c r="CI107" s="11">
        <f>ROUND(IFERROR(BC107/_xlfn.XLOOKUP(CI$7,'Product Tgt'!$B:$B,'Product Tgt'!$D:$D),0),0)</f>
        <v>0</v>
      </c>
      <c r="CJ107" s="11">
        <f>ROUND(IFERROR(BD107/_xlfn.XLOOKUP(CJ$7,'Product Tgt'!$B:$B,'Product Tgt'!$D:$D),0),0)</f>
        <v>0</v>
      </c>
      <c r="CK107" s="11">
        <f>ROUND(IFERROR(BE107/_xlfn.XLOOKUP(CK$7,'Product Tgt'!$B:$B,'Product Tgt'!$D:$D),0),0)</f>
        <v>0</v>
      </c>
      <c r="CL107" s="11">
        <f>ROUND(IFERROR(BF107/_xlfn.XLOOKUP(CL$7,'Product Tgt'!$B:$B,'Product Tgt'!$D:$D),0),0)</f>
        <v>0</v>
      </c>
      <c r="CM107" s="11">
        <f>ROUND(IFERROR(BG107/_xlfn.XLOOKUP(CM$7,'Product Tgt'!$B:$B,'Product Tgt'!$D:$D),0),0)</f>
        <v>0</v>
      </c>
      <c r="CN107" s="11">
        <f>ROUND(IFERROR(BH107/_xlfn.XLOOKUP(CN$7,'Product Tgt'!$B:$B,'Product Tgt'!$D:$D),0),0)</f>
        <v>0</v>
      </c>
      <c r="CO107" s="11">
        <f>ROUND(IFERROR(BI107/_xlfn.XLOOKUP(CO$7,'Product Tgt'!$B:$B,'Product Tgt'!$D:$D),0),0)</f>
        <v>0</v>
      </c>
      <c r="CP107" s="11">
        <f>ROUND(IFERROR(BJ107/_xlfn.XLOOKUP(CP$7,'Product Tgt'!$B:$B,'Product Tgt'!$D:$D),0),0)</f>
        <v>0</v>
      </c>
      <c r="CQ107" s="11">
        <f>ROUND(IFERROR(BK107/_xlfn.XLOOKUP(CQ$7,'Product Tgt'!$B:$B,'Product Tgt'!$D:$D),0),0)</f>
        <v>0</v>
      </c>
      <c r="CR107" s="11">
        <f>ROUND(IFERROR(BL107/_xlfn.XLOOKUP(CR$7,'Product Tgt'!$B:$B,'Product Tgt'!$D:$D),0),0)</f>
        <v>0</v>
      </c>
      <c r="CS107" s="11">
        <f>ROUND(IFERROR(BM107/_xlfn.XLOOKUP(CS$7,'Product Tgt'!$B:$B,'Product Tgt'!$D:$D),0),0)</f>
        <v>0</v>
      </c>
      <c r="CT107" s="11">
        <f>ROUND(IFERROR(BN107/_xlfn.XLOOKUP(CT$7,'Product Tgt'!$B:$B,'Product Tgt'!$D:$D),0),0)</f>
        <v>0</v>
      </c>
      <c r="CU107" s="11">
        <f>ROUND(IFERROR(BO107/_xlfn.XLOOKUP(CU$7,'Product Tgt'!$B:$B,'Product Tgt'!$D:$D),0),0)</f>
        <v>0</v>
      </c>
      <c r="CV107" s="11">
        <f>ROUND(IFERROR(BP107/_xlfn.XLOOKUP(CV$7,'Product Tgt'!$B:$B,'Product Tgt'!$D:$D),0),0)</f>
        <v>0</v>
      </c>
      <c r="CW107" s="11">
        <f>ROUND(IFERROR(BQ107/_xlfn.XLOOKUP(CW$7,'Product Tgt'!$B:$B,'Product Tgt'!$D:$D),0),0)</f>
        <v>0</v>
      </c>
      <c r="CX107" s="11">
        <f>ROUND(IFERROR(#REF!/_xlfn.XLOOKUP(CX$7,'Product Tgt'!$B:$B,'Product Tgt'!$D:$D),0),0)</f>
        <v>0</v>
      </c>
      <c r="CY107" s="11">
        <f>ROUND(IFERROR(#REF!/_xlfn.XLOOKUP(CY$7,'Product Tgt'!$B:$B,'Product Tgt'!$D:$D),0),0)</f>
        <v>0</v>
      </c>
      <c r="CZ107" s="11">
        <f>ROUND(IFERROR(#REF!/_xlfn.XLOOKUP(CZ$7,'Product Tgt'!$B:$B,'Product Tgt'!$D:$D),0),0)</f>
        <v>0</v>
      </c>
      <c r="DA107" s="10">
        <f>IFERROR(BR107*_xlfn.XLOOKUP(DA$7,'Product Tgt'!$B:$B,'Product Tgt'!$D:$D),0)</f>
        <v>0</v>
      </c>
      <c r="DB107">
        <f>IFERROR(BS107*_xlfn.XLOOKUP(DB$7,'Product Tgt'!$B:$B,'Product Tgt'!$D:$D),0)</f>
        <v>0</v>
      </c>
      <c r="DC107">
        <f>IFERROR(BT107*_xlfn.XLOOKUP(DC$7,'Product Tgt'!$B:$B,'Product Tgt'!$D:$D),0)</f>
        <v>0</v>
      </c>
      <c r="DD107">
        <f>IFERROR(BU107*_xlfn.XLOOKUP(DD$7,'Product Tgt'!$B:$B,'Product Tgt'!$D:$D),0)</f>
        <v>0</v>
      </c>
      <c r="DE107">
        <f>IFERROR(BV107*_xlfn.XLOOKUP(DE$7,'Product Tgt'!$B:$B,'Product Tgt'!$D:$D),0)</f>
        <v>0</v>
      </c>
      <c r="DF107">
        <f>IFERROR(BW107*_xlfn.XLOOKUP(DF$7,'Product Tgt'!$B:$B,'Product Tgt'!$D:$D),0)</f>
        <v>0</v>
      </c>
      <c r="DG107">
        <f>IFERROR(BX107*_xlfn.XLOOKUP(DG$7,'Product Tgt'!$B:$B,'Product Tgt'!$D:$D),0)</f>
        <v>0</v>
      </c>
      <c r="DH107">
        <f>IFERROR(BY107*_xlfn.XLOOKUP(DH$7,'Product Tgt'!$B:$B,'Product Tgt'!$D:$D),0)</f>
        <v>0</v>
      </c>
      <c r="DI107">
        <f>IFERROR(BZ107*_xlfn.XLOOKUP(DI$7,'Product Tgt'!$B:$B,'Product Tgt'!$D:$D),0)</f>
        <v>0</v>
      </c>
      <c r="DJ107">
        <f>IFERROR(CA107*_xlfn.XLOOKUP(DJ$7,'Product Tgt'!$B:$B,'Product Tgt'!$D:$D),0)</f>
        <v>0</v>
      </c>
      <c r="DK107">
        <f>IFERROR(CB107*_xlfn.XLOOKUP(DK$7,'Product Tgt'!$B:$B,'Product Tgt'!$D:$D),0)</f>
        <v>0</v>
      </c>
      <c r="DL107">
        <f>IFERROR(CC107*_xlfn.XLOOKUP(DL$7,'Product Tgt'!$B:$B,'Product Tgt'!$D:$D),0)</f>
        <v>0</v>
      </c>
      <c r="DM107">
        <f>IFERROR(CD107*_xlfn.XLOOKUP(DM$7,'Product Tgt'!$B:$B,'Product Tgt'!$D:$D),0)</f>
        <v>0</v>
      </c>
      <c r="DN107">
        <f>IFERROR(CE107*_xlfn.XLOOKUP(DN$7,'Product Tgt'!$B:$B,'Product Tgt'!$D:$D),0)</f>
        <v>0</v>
      </c>
      <c r="DO107">
        <f>IFERROR(CF107*_xlfn.XLOOKUP(DO$7,'Product Tgt'!$B:$B,'Product Tgt'!$D:$D),0)</f>
        <v>0</v>
      </c>
      <c r="DP107">
        <f>IFERROR(CG107*_xlfn.XLOOKUP(DP$7,'Product Tgt'!$B:$B,'Product Tgt'!$D:$D),0)</f>
        <v>0</v>
      </c>
      <c r="DQ107">
        <f>IFERROR(CH107*_xlfn.XLOOKUP(DQ$7,'Product Tgt'!$B:$B,'Product Tgt'!$D:$D),0)</f>
        <v>0</v>
      </c>
      <c r="DR107">
        <f>IFERROR(CI107*_xlfn.XLOOKUP(DR$7,'Product Tgt'!$B:$B,'Product Tgt'!$D:$D),0)</f>
        <v>0</v>
      </c>
      <c r="DS107">
        <f>IFERROR(CJ107*_xlfn.XLOOKUP(DS$7,'Product Tgt'!$B:$B,'Product Tgt'!$D:$D),0)</f>
        <v>0</v>
      </c>
      <c r="DT107">
        <f>IFERROR(CK107*_xlfn.XLOOKUP(DT$7,'Product Tgt'!$B:$B,'Product Tgt'!$D:$D),0)</f>
        <v>0</v>
      </c>
      <c r="DU107">
        <f>IFERROR(CL107*_xlfn.XLOOKUP(DU$7,'Product Tgt'!$B:$B,'Product Tgt'!$D:$D),0)</f>
        <v>0</v>
      </c>
      <c r="DV107">
        <f>IFERROR(CM107*_xlfn.XLOOKUP(DV$7,'Product Tgt'!$B:$B,'Product Tgt'!$D:$D),0)</f>
        <v>0</v>
      </c>
      <c r="DW107">
        <f>IFERROR(CN107*_xlfn.XLOOKUP(DW$7,'Product Tgt'!$B:$B,'Product Tgt'!$D:$D),0)</f>
        <v>0</v>
      </c>
      <c r="DX107">
        <f>IFERROR(CO107*_xlfn.XLOOKUP(DX$7,'Product Tgt'!$B:$B,'Product Tgt'!$D:$D),0)</f>
        <v>0</v>
      </c>
      <c r="DY107">
        <f>IFERROR(CP107*_xlfn.XLOOKUP(DY$7,'Product Tgt'!$B:$B,'Product Tgt'!$D:$D),0)</f>
        <v>0</v>
      </c>
      <c r="DZ107">
        <f>IFERROR(CQ107*_xlfn.XLOOKUP(DZ$7,'Product Tgt'!$B:$B,'Product Tgt'!$D:$D),0)</f>
        <v>0</v>
      </c>
      <c r="EA107">
        <f>IFERROR(CR107*_xlfn.XLOOKUP(EA$7,'Product Tgt'!$B:$B,'Product Tgt'!$D:$D),0)</f>
        <v>0</v>
      </c>
      <c r="EB107">
        <f>IFERROR(CS107*_xlfn.XLOOKUP(EB$7,'Product Tgt'!$B:$B,'Product Tgt'!$D:$D),0)</f>
        <v>0</v>
      </c>
      <c r="EC107">
        <f>IFERROR(CT107*_xlfn.XLOOKUP(EC$7,'Product Tgt'!$B:$B,'Product Tgt'!$D:$D),0)</f>
        <v>0</v>
      </c>
      <c r="ED107">
        <f>IFERROR(CU107*_xlfn.XLOOKUP(ED$7,'Product Tgt'!$B:$B,'Product Tgt'!$D:$D),0)</f>
        <v>0</v>
      </c>
      <c r="EE107">
        <f>IFERROR(CV107*_xlfn.XLOOKUP(EE$7,'Product Tgt'!$B:$B,'Product Tgt'!$D:$D),0)</f>
        <v>0</v>
      </c>
      <c r="EF107">
        <f>IFERROR(CW107*_xlfn.XLOOKUP(EF$7,'Product Tgt'!$B:$B,'Product Tgt'!$D:$D),0)</f>
        <v>0</v>
      </c>
      <c r="EG107">
        <f>IFERROR(CX107*_xlfn.XLOOKUP(EG$7,'Product Tgt'!$B:$B,'Product Tgt'!$D:$D),0)</f>
        <v>0</v>
      </c>
      <c r="EH107">
        <f>IFERROR(CY107*_xlfn.XLOOKUP(EH$7,'Product Tgt'!$B:$B,'Product Tgt'!$D:$D),0)</f>
        <v>0</v>
      </c>
      <c r="EI107">
        <f>IFERROR(CZ107*_xlfn.XLOOKUP(EI$7,'Product Tgt'!$B:$B,'Product Tgt'!$D:$D),0)</f>
        <v>0</v>
      </c>
    </row>
    <row r="108" spans="2:139" x14ac:dyDescent="0.35">
      <c r="B108" s="7" t="s">
        <v>160</v>
      </c>
      <c r="C108" s="3">
        <f>_xlfn.XLOOKUP($B108,'Terr Target'!$A:$A,'Terr Target'!$E:$E)</f>
        <v>273744.54000000004</v>
      </c>
      <c r="D108" s="3">
        <f t="shared" si="14"/>
        <v>273743</v>
      </c>
      <c r="E108" s="4">
        <f t="shared" si="15"/>
        <v>-1.5400000000372529</v>
      </c>
      <c r="F108" s="9">
        <f t="shared" si="13"/>
        <v>5.6257146302818808E-6</v>
      </c>
      <c r="G108" s="5">
        <f t="shared" si="12"/>
        <v>1.0000056257146304</v>
      </c>
      <c r="H108" s="38">
        <v>24417.464813940551</v>
      </c>
      <c r="I108" s="11">
        <v>54048.454089210012</v>
      </c>
      <c r="J108" s="11">
        <v>22065.404460589234</v>
      </c>
      <c r="K108" s="11">
        <v>23773.692143040036</v>
      </c>
      <c r="L108" s="11">
        <v>17002.003237434856</v>
      </c>
      <c r="M108" s="11">
        <v>12721.924976169625</v>
      </c>
      <c r="N108" s="11">
        <v>275.35906189952692</v>
      </c>
      <c r="O108" s="11">
        <v>1551.2594479530601</v>
      </c>
      <c r="P108" s="11">
        <v>867.0552384598883</v>
      </c>
      <c r="Q108" s="11">
        <v>686.29567717706527</v>
      </c>
      <c r="R108" s="11">
        <v>8657.8249104019251</v>
      </c>
      <c r="S108" s="11">
        <v>15759.198488248559</v>
      </c>
      <c r="T108" s="11">
        <v>0</v>
      </c>
      <c r="U108" s="11">
        <v>7851.8951797285872</v>
      </c>
      <c r="V108" s="11">
        <v>13089.035359076131</v>
      </c>
      <c r="W108" s="11">
        <v>10036.942905116344</v>
      </c>
      <c r="X108" s="11">
        <v>2429.896582833303</v>
      </c>
      <c r="Y108" s="11">
        <v>4863.9761010343927</v>
      </c>
      <c r="Z108" s="11">
        <v>404.66221222585818</v>
      </c>
      <c r="AA108" s="11">
        <v>4528.7211882277888</v>
      </c>
      <c r="AB108" s="11">
        <v>1766.7331688333693</v>
      </c>
      <c r="AC108" s="11">
        <v>1130.8744434904961</v>
      </c>
      <c r="AD108" s="11">
        <v>7847.7122443608005</v>
      </c>
      <c r="AE108" s="11">
        <v>12697.006032056504</v>
      </c>
      <c r="AF108" s="11">
        <v>565.42145691345991</v>
      </c>
      <c r="AG108" s="11">
        <v>16792.646271288344</v>
      </c>
      <c r="AH108" s="11">
        <v>1485.0471544428685</v>
      </c>
      <c r="AI108" s="11">
        <v>7993.8417251490082</v>
      </c>
      <c r="AJ108" s="11">
        <v>8503.5502665231761</v>
      </c>
      <c r="AK108" s="11">
        <v>1310.7301544174659</v>
      </c>
      <c r="AL108" s="49">
        <v>2577.8127445574992</v>
      </c>
      <c r="AM108" s="41">
        <f>IFERROR(ROUND(_xlfn.XLOOKUP(AM$7,'Product Tgt'!$B:$B,'Product Tgt'!$G:$G)*H108/H$121,0),0)</f>
        <v>23738</v>
      </c>
      <c r="AN108" s="41">
        <f>IFERROR(ROUND(_xlfn.XLOOKUP(AN$7,'Product Tgt'!$B:$B,'Product Tgt'!$G:$G)*I108/I$121,0),0)</f>
        <v>53205</v>
      </c>
      <c r="AO108" s="41">
        <f>IFERROR(ROUND(_xlfn.XLOOKUP(AO$7,'Product Tgt'!$B:$B,'Product Tgt'!$G:$G)*J108/J$121,0),0)</f>
        <v>21379</v>
      </c>
      <c r="AP108" s="41">
        <f>IFERROR(ROUND(_xlfn.XLOOKUP(AP$7,'Product Tgt'!$B:$B,'Product Tgt'!$G:$G)*K108/K$121,0),0)</f>
        <v>23192</v>
      </c>
      <c r="AQ108" s="41">
        <f>IFERROR(ROUND(_xlfn.XLOOKUP(AQ$7,'Product Tgt'!$B:$B,'Product Tgt'!$G:$G)*L108/L$121,0),0)</f>
        <v>16440</v>
      </c>
      <c r="AR108" s="41">
        <f>IFERROR(ROUND(_xlfn.XLOOKUP(AR$7,'Product Tgt'!$B:$B,'Product Tgt'!$G:$G)*M108/M$121,0),0)</f>
        <v>12325</v>
      </c>
      <c r="AS108" s="41">
        <f>IFERROR(ROUND(_xlfn.XLOOKUP(AS$7,'Product Tgt'!$B:$B,'Product Tgt'!$G:$G)*N108/N$121,0),0)</f>
        <v>254</v>
      </c>
      <c r="AT108" s="41">
        <f>IFERROR(ROUND(_xlfn.XLOOKUP(AT$7,'Product Tgt'!$B:$B,'Product Tgt'!$G:$G)*O108/O$121,0),0)</f>
        <v>1396</v>
      </c>
      <c r="AU108" s="41">
        <f>IFERROR(ROUND(_xlfn.XLOOKUP(AU$7,'Product Tgt'!$B:$B,'Product Tgt'!$G:$G)*P108/P$121,0),0)</f>
        <v>370</v>
      </c>
      <c r="AV108" s="41">
        <f>IFERROR(ROUND(_xlfn.XLOOKUP(AV$7,'Product Tgt'!$B:$B,'Product Tgt'!$G:$G)*Q108/Q$121,0),0)</f>
        <v>515</v>
      </c>
      <c r="AW108" s="41">
        <f>IFERROR(ROUND(_xlfn.XLOOKUP(AW$7,'Product Tgt'!$B:$B,'Product Tgt'!$G:$G)*R108/R$121,0),0)</f>
        <v>8338</v>
      </c>
      <c r="AX108" s="41">
        <f>IFERROR(ROUND(_xlfn.XLOOKUP(AX$7,'Product Tgt'!$B:$B,'Product Tgt'!$G:$G)*S108/S$121,0),0)</f>
        <v>15178</v>
      </c>
      <c r="AY108" s="41">
        <f>IFERROR(ROUND(_xlfn.XLOOKUP(AY$7,'Product Tgt'!$B:$B,'Product Tgt'!$G:$G)*T108/T$121,0),0)</f>
        <v>0</v>
      </c>
      <c r="AZ108" s="41">
        <f>IFERROR(ROUND(_xlfn.XLOOKUP(AZ$7,'Product Tgt'!$B:$B,'Product Tgt'!$G:$G)*U108/U$121,0),0)</f>
        <v>7515</v>
      </c>
      <c r="BA108" s="41">
        <f>IFERROR(ROUND(_xlfn.XLOOKUP(BA$7,'Product Tgt'!$B:$B,'Product Tgt'!$G:$G)*V108/V$121,0),0)</f>
        <v>12602</v>
      </c>
      <c r="BB108" s="41">
        <f>IFERROR(ROUND(_xlfn.XLOOKUP(BB$7,'Product Tgt'!$B:$B,'Product Tgt'!$G:$G)*W108/W$121,0),0)</f>
        <v>9608</v>
      </c>
      <c r="BC108" s="41">
        <f>IFERROR(ROUND(_xlfn.XLOOKUP(BC$7,'Product Tgt'!$B:$B,'Product Tgt'!$G:$G)*X108/X$121,0),0)</f>
        <v>2351</v>
      </c>
      <c r="BD108" s="41">
        <f>IFERROR(ROUND(_xlfn.XLOOKUP(BD$7,'Product Tgt'!$B:$B,'Product Tgt'!$G:$G)*Y108/Y$121,0),0)</f>
        <v>4703</v>
      </c>
      <c r="BE108" s="41">
        <f>IFERROR(ROUND(_xlfn.XLOOKUP(BE$7,'Product Tgt'!$B:$B,'Product Tgt'!$G:$G)*Z108/Z$121,0),0)</f>
        <v>385</v>
      </c>
      <c r="BF108" s="41">
        <f>IFERROR(ROUND(_xlfn.XLOOKUP(BF$7,'Product Tgt'!$B:$B,'Product Tgt'!$G:$G)*AA108/AA$121,0),0)</f>
        <v>3670</v>
      </c>
      <c r="BG108" s="41">
        <f>IFERROR(ROUND(_xlfn.XLOOKUP(BG$7,'Product Tgt'!$B:$B,'Product Tgt'!$G:$G)*AB108/AB$121,0),0)</f>
        <v>1416</v>
      </c>
      <c r="BH108" s="41">
        <f>IFERROR(ROUND(_xlfn.XLOOKUP(BH$7,'Product Tgt'!$B:$B,'Product Tgt'!$G:$G)*AC108/AC$121,0),0)</f>
        <v>968</v>
      </c>
      <c r="BI108" s="41">
        <f>IFERROR(ROUND(_xlfn.XLOOKUP(BI$7,'Product Tgt'!$B:$B,'Product Tgt'!$G:$G)*AD108/AD$121,0),0)</f>
        <v>6832</v>
      </c>
      <c r="BJ108" s="41">
        <f>IFERROR(ROUND(_xlfn.XLOOKUP(BJ$7,'Product Tgt'!$B:$B,'Product Tgt'!$G:$G)*AE108/AE$121,0),0)</f>
        <v>11818</v>
      </c>
      <c r="BK108" s="41">
        <f>IFERROR(ROUND(_xlfn.XLOOKUP(BK$7,'Product Tgt'!$B:$B,'Product Tgt'!$G:$G)*AF108/AF$121,0),0)</f>
        <v>632</v>
      </c>
      <c r="BL108" s="41">
        <f>IFERROR(ROUND(_xlfn.XLOOKUP(BL$7,'Product Tgt'!$B:$B,'Product Tgt'!$G:$G)*AG108/AG$121,0),0)</f>
        <v>16040</v>
      </c>
      <c r="BM108" s="41">
        <f>IFERROR(ROUND(_xlfn.XLOOKUP(BM$7,'Product Tgt'!$B:$B,'Product Tgt'!$G:$G)*AH108/AH$121,0),0)</f>
        <v>1164</v>
      </c>
      <c r="BN108" s="41">
        <f>IFERROR(ROUND(_xlfn.XLOOKUP(BN$7,'Product Tgt'!$B:$B,'Product Tgt'!$G:$G)*AI108/AI$121,0),0)</f>
        <v>7341</v>
      </c>
      <c r="BO108" s="41">
        <f>IFERROR(ROUND(_xlfn.XLOOKUP(BO$7,'Product Tgt'!$B:$B,'Product Tgt'!$G:$G)*AJ108/AJ$121,0),0)</f>
        <v>7355</v>
      </c>
      <c r="BP108" s="41">
        <f>IFERROR(ROUND(_xlfn.XLOOKUP(BP$7,'Product Tgt'!$B:$B,'Product Tgt'!$G:$G)*AK108/AK$121,0),0)</f>
        <v>998</v>
      </c>
      <c r="BQ108" s="41">
        <f>IFERROR(ROUND(_xlfn.XLOOKUP(BQ$7,'Product Tgt'!$B:$B,'Product Tgt'!$G:$G)*AL108/AL$121,0),0)</f>
        <v>2015</v>
      </c>
      <c r="BR108" s="25">
        <f>ROUND(IFERROR(AM108/_xlfn.XLOOKUP(BR$7,'Product Tgt'!$B:$B,'Product Tgt'!$D:$D),0),0)</f>
        <v>0</v>
      </c>
      <c r="BS108" s="11">
        <f>ROUND(IFERROR(AN108/_xlfn.XLOOKUP(BS$7,'Product Tgt'!$B:$B,'Product Tgt'!$D:$D),0),0)</f>
        <v>0</v>
      </c>
      <c r="BT108" s="11">
        <f>ROUND(IFERROR(AO108/_xlfn.XLOOKUP(BT$7,'Product Tgt'!$B:$B,'Product Tgt'!$D:$D),0),0)</f>
        <v>0</v>
      </c>
      <c r="BU108" s="11">
        <f>ROUND(IFERROR(AP108/_xlfn.XLOOKUP(BU$7,'Product Tgt'!$B:$B,'Product Tgt'!$D:$D),0),0)</f>
        <v>0</v>
      </c>
      <c r="BV108" s="11">
        <f>ROUND(IFERROR(AQ108/_xlfn.XLOOKUP(BV$7,'Product Tgt'!$B:$B,'Product Tgt'!$D:$D),0),0)</f>
        <v>0</v>
      </c>
      <c r="BW108" s="11">
        <f>ROUND(IFERROR(AU108/_xlfn.XLOOKUP(BW$7,'Product Tgt'!$B:$B,'Product Tgt'!$D:$D),0),0)</f>
        <v>0</v>
      </c>
      <c r="BX108" s="11">
        <f>ROUND(IFERROR(#REF!/_xlfn.XLOOKUP(BX$7,'Product Tgt'!$B:$B,'Product Tgt'!$D:$D),0),0)</f>
        <v>0</v>
      </c>
      <c r="BY108" s="11">
        <f>ROUND(IFERROR(#REF!/_xlfn.XLOOKUP(BY$7,'Product Tgt'!$B:$B,'Product Tgt'!$D:$D),0),0)</f>
        <v>0</v>
      </c>
      <c r="BZ108" s="11">
        <f>ROUND(IFERROR(#REF!/_xlfn.XLOOKUP(BZ$7,'Product Tgt'!$B:$B,'Product Tgt'!$D:$D),0),0)</f>
        <v>0</v>
      </c>
      <c r="CA108" s="11">
        <f>ROUND(IFERROR(#REF!/_xlfn.XLOOKUP(CA$7,'Product Tgt'!$B:$B,'Product Tgt'!$D:$D),0),0)</f>
        <v>0</v>
      </c>
      <c r="CB108" s="11">
        <f>ROUND(IFERROR(AV108/_xlfn.XLOOKUP(CB$7,'Product Tgt'!$B:$B,'Product Tgt'!$D:$D),0),0)</f>
        <v>0</v>
      </c>
      <c r="CC108" s="11">
        <f>ROUND(IFERROR(AW108/_xlfn.XLOOKUP(CC$7,'Product Tgt'!$B:$B,'Product Tgt'!$D:$D),0),0)</f>
        <v>0</v>
      </c>
      <c r="CD108" s="11">
        <f>ROUND(IFERROR(AX108/_xlfn.XLOOKUP(CD$7,'Product Tgt'!$B:$B,'Product Tgt'!$D:$D),0),0)</f>
        <v>0</v>
      </c>
      <c r="CE108" s="11">
        <f>ROUND(IFERROR(AY108/_xlfn.XLOOKUP(CE$7,'Product Tgt'!$B:$B,'Product Tgt'!$D:$D),0),0)</f>
        <v>0</v>
      </c>
      <c r="CF108" s="11">
        <f>ROUND(IFERROR(AZ108/_xlfn.XLOOKUP(CF$7,'Product Tgt'!$B:$B,'Product Tgt'!$D:$D),0),0)</f>
        <v>0</v>
      </c>
      <c r="CG108" s="11">
        <f>ROUND(IFERROR(BA108/_xlfn.XLOOKUP(CG$7,'Product Tgt'!$B:$B,'Product Tgt'!$D:$D),0),0)</f>
        <v>0</v>
      </c>
      <c r="CH108" s="11">
        <f>ROUND(IFERROR(BB108/_xlfn.XLOOKUP(CH$7,'Product Tgt'!$B:$B,'Product Tgt'!$D:$D),0),0)</f>
        <v>0</v>
      </c>
      <c r="CI108" s="11">
        <f>ROUND(IFERROR(BC108/_xlfn.XLOOKUP(CI$7,'Product Tgt'!$B:$B,'Product Tgt'!$D:$D),0),0)</f>
        <v>0</v>
      </c>
      <c r="CJ108" s="11">
        <f>ROUND(IFERROR(BD108/_xlfn.XLOOKUP(CJ$7,'Product Tgt'!$B:$B,'Product Tgt'!$D:$D),0),0)</f>
        <v>0</v>
      </c>
      <c r="CK108" s="11">
        <f>ROUND(IFERROR(BE108/_xlfn.XLOOKUP(CK$7,'Product Tgt'!$B:$B,'Product Tgt'!$D:$D),0),0)</f>
        <v>0</v>
      </c>
      <c r="CL108" s="11">
        <f>ROUND(IFERROR(BF108/_xlfn.XLOOKUP(CL$7,'Product Tgt'!$B:$B,'Product Tgt'!$D:$D),0),0)</f>
        <v>0</v>
      </c>
      <c r="CM108" s="11">
        <f>ROUND(IFERROR(BG108/_xlfn.XLOOKUP(CM$7,'Product Tgt'!$B:$B,'Product Tgt'!$D:$D),0),0)</f>
        <v>0</v>
      </c>
      <c r="CN108" s="11">
        <f>ROUND(IFERROR(BH108/_xlfn.XLOOKUP(CN$7,'Product Tgt'!$B:$B,'Product Tgt'!$D:$D),0),0)</f>
        <v>0</v>
      </c>
      <c r="CO108" s="11">
        <f>ROUND(IFERROR(BI108/_xlfn.XLOOKUP(CO$7,'Product Tgt'!$B:$B,'Product Tgt'!$D:$D),0),0)</f>
        <v>0</v>
      </c>
      <c r="CP108" s="11">
        <f>ROUND(IFERROR(BJ108/_xlfn.XLOOKUP(CP$7,'Product Tgt'!$B:$B,'Product Tgt'!$D:$D),0),0)</f>
        <v>0</v>
      </c>
      <c r="CQ108" s="11">
        <f>ROUND(IFERROR(BK108/_xlfn.XLOOKUP(CQ$7,'Product Tgt'!$B:$B,'Product Tgt'!$D:$D),0),0)</f>
        <v>0</v>
      </c>
      <c r="CR108" s="11">
        <f>ROUND(IFERROR(BL108/_xlfn.XLOOKUP(CR$7,'Product Tgt'!$B:$B,'Product Tgt'!$D:$D),0),0)</f>
        <v>0</v>
      </c>
      <c r="CS108" s="11">
        <f>ROUND(IFERROR(BM108/_xlfn.XLOOKUP(CS$7,'Product Tgt'!$B:$B,'Product Tgt'!$D:$D),0),0)</f>
        <v>0</v>
      </c>
      <c r="CT108" s="11">
        <f>ROUND(IFERROR(BN108/_xlfn.XLOOKUP(CT$7,'Product Tgt'!$B:$B,'Product Tgt'!$D:$D),0),0)</f>
        <v>0</v>
      </c>
      <c r="CU108" s="11">
        <f>ROUND(IFERROR(BO108/_xlfn.XLOOKUP(CU$7,'Product Tgt'!$B:$B,'Product Tgt'!$D:$D),0),0)</f>
        <v>0</v>
      </c>
      <c r="CV108" s="11">
        <f>ROUND(IFERROR(BP108/_xlfn.XLOOKUP(CV$7,'Product Tgt'!$B:$B,'Product Tgt'!$D:$D),0),0)</f>
        <v>0</v>
      </c>
      <c r="CW108" s="11">
        <f>ROUND(IFERROR(BQ108/_xlfn.XLOOKUP(CW$7,'Product Tgt'!$B:$B,'Product Tgt'!$D:$D),0),0)</f>
        <v>0</v>
      </c>
      <c r="CX108" s="11">
        <f>ROUND(IFERROR(#REF!/_xlfn.XLOOKUP(CX$7,'Product Tgt'!$B:$B,'Product Tgt'!$D:$D),0),0)</f>
        <v>0</v>
      </c>
      <c r="CY108" s="11">
        <f>ROUND(IFERROR(#REF!/_xlfn.XLOOKUP(CY$7,'Product Tgt'!$B:$B,'Product Tgt'!$D:$D),0),0)</f>
        <v>0</v>
      </c>
      <c r="CZ108" s="11">
        <f>ROUND(IFERROR(#REF!/_xlfn.XLOOKUP(CZ$7,'Product Tgt'!$B:$B,'Product Tgt'!$D:$D),0),0)</f>
        <v>0</v>
      </c>
      <c r="DA108" s="10">
        <f>IFERROR(BR108*_xlfn.XLOOKUP(DA$7,'Product Tgt'!$B:$B,'Product Tgt'!$D:$D),0)</f>
        <v>0</v>
      </c>
      <c r="DB108">
        <f>IFERROR(BS108*_xlfn.XLOOKUP(DB$7,'Product Tgt'!$B:$B,'Product Tgt'!$D:$D),0)</f>
        <v>0</v>
      </c>
      <c r="DC108">
        <f>IFERROR(BT108*_xlfn.XLOOKUP(DC$7,'Product Tgt'!$B:$B,'Product Tgt'!$D:$D),0)</f>
        <v>0</v>
      </c>
      <c r="DD108">
        <f>IFERROR(BU108*_xlfn.XLOOKUP(DD$7,'Product Tgt'!$B:$B,'Product Tgt'!$D:$D),0)</f>
        <v>0</v>
      </c>
      <c r="DE108">
        <f>IFERROR(BV108*_xlfn.XLOOKUP(DE$7,'Product Tgt'!$B:$B,'Product Tgt'!$D:$D),0)</f>
        <v>0</v>
      </c>
      <c r="DF108">
        <f>IFERROR(BW108*_xlfn.XLOOKUP(DF$7,'Product Tgt'!$B:$B,'Product Tgt'!$D:$D),0)</f>
        <v>0</v>
      </c>
      <c r="DG108">
        <f>IFERROR(BX108*_xlfn.XLOOKUP(DG$7,'Product Tgt'!$B:$B,'Product Tgt'!$D:$D),0)</f>
        <v>0</v>
      </c>
      <c r="DH108">
        <f>IFERROR(BY108*_xlfn.XLOOKUP(DH$7,'Product Tgt'!$B:$B,'Product Tgt'!$D:$D),0)</f>
        <v>0</v>
      </c>
      <c r="DI108">
        <f>IFERROR(BZ108*_xlfn.XLOOKUP(DI$7,'Product Tgt'!$B:$B,'Product Tgt'!$D:$D),0)</f>
        <v>0</v>
      </c>
      <c r="DJ108">
        <f>IFERROR(CA108*_xlfn.XLOOKUP(DJ$7,'Product Tgt'!$B:$B,'Product Tgt'!$D:$D),0)</f>
        <v>0</v>
      </c>
      <c r="DK108">
        <f>IFERROR(CB108*_xlfn.XLOOKUP(DK$7,'Product Tgt'!$B:$B,'Product Tgt'!$D:$D),0)</f>
        <v>0</v>
      </c>
      <c r="DL108">
        <f>IFERROR(CC108*_xlfn.XLOOKUP(DL$7,'Product Tgt'!$B:$B,'Product Tgt'!$D:$D),0)</f>
        <v>0</v>
      </c>
      <c r="DM108">
        <f>IFERROR(CD108*_xlfn.XLOOKUP(DM$7,'Product Tgt'!$B:$B,'Product Tgt'!$D:$D),0)</f>
        <v>0</v>
      </c>
      <c r="DN108">
        <f>IFERROR(CE108*_xlfn.XLOOKUP(DN$7,'Product Tgt'!$B:$B,'Product Tgt'!$D:$D),0)</f>
        <v>0</v>
      </c>
      <c r="DO108">
        <f>IFERROR(CF108*_xlfn.XLOOKUP(DO$7,'Product Tgt'!$B:$B,'Product Tgt'!$D:$D),0)</f>
        <v>0</v>
      </c>
      <c r="DP108">
        <f>IFERROR(CG108*_xlfn.XLOOKUP(DP$7,'Product Tgt'!$B:$B,'Product Tgt'!$D:$D),0)</f>
        <v>0</v>
      </c>
      <c r="DQ108">
        <f>IFERROR(CH108*_xlfn.XLOOKUP(DQ$7,'Product Tgt'!$B:$B,'Product Tgt'!$D:$D),0)</f>
        <v>0</v>
      </c>
      <c r="DR108">
        <f>IFERROR(CI108*_xlfn.XLOOKUP(DR$7,'Product Tgt'!$B:$B,'Product Tgt'!$D:$D),0)</f>
        <v>0</v>
      </c>
      <c r="DS108">
        <f>IFERROR(CJ108*_xlfn.XLOOKUP(DS$7,'Product Tgt'!$B:$B,'Product Tgt'!$D:$D),0)</f>
        <v>0</v>
      </c>
      <c r="DT108">
        <f>IFERROR(CK108*_xlfn.XLOOKUP(DT$7,'Product Tgt'!$B:$B,'Product Tgt'!$D:$D),0)</f>
        <v>0</v>
      </c>
      <c r="DU108">
        <f>IFERROR(CL108*_xlfn.XLOOKUP(DU$7,'Product Tgt'!$B:$B,'Product Tgt'!$D:$D),0)</f>
        <v>0</v>
      </c>
      <c r="DV108">
        <f>IFERROR(CM108*_xlfn.XLOOKUP(DV$7,'Product Tgt'!$B:$B,'Product Tgt'!$D:$D),0)</f>
        <v>0</v>
      </c>
      <c r="DW108">
        <f>IFERROR(CN108*_xlfn.XLOOKUP(DW$7,'Product Tgt'!$B:$B,'Product Tgt'!$D:$D),0)</f>
        <v>0</v>
      </c>
      <c r="DX108">
        <f>IFERROR(CO108*_xlfn.XLOOKUP(DX$7,'Product Tgt'!$B:$B,'Product Tgt'!$D:$D),0)</f>
        <v>0</v>
      </c>
      <c r="DY108">
        <f>IFERROR(CP108*_xlfn.XLOOKUP(DY$7,'Product Tgt'!$B:$B,'Product Tgt'!$D:$D),0)</f>
        <v>0</v>
      </c>
      <c r="DZ108">
        <f>IFERROR(CQ108*_xlfn.XLOOKUP(DZ$7,'Product Tgt'!$B:$B,'Product Tgt'!$D:$D),0)</f>
        <v>0</v>
      </c>
      <c r="EA108">
        <f>IFERROR(CR108*_xlfn.XLOOKUP(EA$7,'Product Tgt'!$B:$B,'Product Tgt'!$D:$D),0)</f>
        <v>0</v>
      </c>
      <c r="EB108">
        <f>IFERROR(CS108*_xlfn.XLOOKUP(EB$7,'Product Tgt'!$B:$B,'Product Tgt'!$D:$D),0)</f>
        <v>0</v>
      </c>
      <c r="EC108">
        <f>IFERROR(CT108*_xlfn.XLOOKUP(EC$7,'Product Tgt'!$B:$B,'Product Tgt'!$D:$D),0)</f>
        <v>0</v>
      </c>
      <c r="ED108">
        <f>IFERROR(CU108*_xlfn.XLOOKUP(ED$7,'Product Tgt'!$B:$B,'Product Tgt'!$D:$D),0)</f>
        <v>0</v>
      </c>
      <c r="EE108">
        <f>IFERROR(CV108*_xlfn.XLOOKUP(EE$7,'Product Tgt'!$B:$B,'Product Tgt'!$D:$D),0)</f>
        <v>0</v>
      </c>
      <c r="EF108">
        <f>IFERROR(CW108*_xlfn.XLOOKUP(EF$7,'Product Tgt'!$B:$B,'Product Tgt'!$D:$D),0)</f>
        <v>0</v>
      </c>
      <c r="EG108">
        <f>IFERROR(CX108*_xlfn.XLOOKUP(EG$7,'Product Tgt'!$B:$B,'Product Tgt'!$D:$D),0)</f>
        <v>0</v>
      </c>
      <c r="EH108">
        <f>IFERROR(CY108*_xlfn.XLOOKUP(EH$7,'Product Tgt'!$B:$B,'Product Tgt'!$D:$D),0)</f>
        <v>0</v>
      </c>
      <c r="EI108">
        <f>IFERROR(CZ108*_xlfn.XLOOKUP(EI$7,'Product Tgt'!$B:$B,'Product Tgt'!$D:$D),0)</f>
        <v>0</v>
      </c>
    </row>
    <row r="109" spans="2:139" x14ac:dyDescent="0.35">
      <c r="B109" s="7" t="s">
        <v>161</v>
      </c>
      <c r="C109" s="3">
        <f>_xlfn.XLOOKUP($B109,'Terr Target'!$A:$A,'Terr Target'!$E:$E)</f>
        <v>674151.1834583336</v>
      </c>
      <c r="D109" s="3">
        <f t="shared" si="14"/>
        <v>674150</v>
      </c>
      <c r="E109" s="4">
        <f t="shared" si="15"/>
        <v>-1.1834583336021751</v>
      </c>
      <c r="F109" s="9">
        <f t="shared" si="13"/>
        <v>1.7554822125671959E-6</v>
      </c>
      <c r="G109" s="5">
        <f t="shared" si="12"/>
        <v>1.0000017554822125</v>
      </c>
      <c r="H109" s="38">
        <v>66295.65372751464</v>
      </c>
      <c r="I109" s="11">
        <v>119609.04175204627</v>
      </c>
      <c r="J109" s="11">
        <v>61062.105381315909</v>
      </c>
      <c r="K109" s="11">
        <v>68240.401808953859</v>
      </c>
      <c r="L109" s="11">
        <v>44880.440323937575</v>
      </c>
      <c r="M109" s="11">
        <v>34316.57203479133</v>
      </c>
      <c r="N109" s="11">
        <v>710.98543397819617</v>
      </c>
      <c r="O109" s="11">
        <v>4846.5923250853775</v>
      </c>
      <c r="P109" s="11">
        <v>2765.7924039477061</v>
      </c>
      <c r="Q109" s="11">
        <v>710.02273208307895</v>
      </c>
      <c r="R109" s="11">
        <v>18222.161864802722</v>
      </c>
      <c r="S109" s="11">
        <v>34784.806169028911</v>
      </c>
      <c r="T109" s="11">
        <v>0</v>
      </c>
      <c r="U109" s="11">
        <v>23664.345762333873</v>
      </c>
      <c r="V109" s="11">
        <v>28217.243812395351</v>
      </c>
      <c r="W109" s="11">
        <v>31617.717496988484</v>
      </c>
      <c r="X109" s="11">
        <v>4829.5545071707538</v>
      </c>
      <c r="Y109" s="11">
        <v>6435.0504520285822</v>
      </c>
      <c r="Z109" s="11">
        <v>357.02200906207048</v>
      </c>
      <c r="AA109" s="11">
        <v>14313.21110112717</v>
      </c>
      <c r="AB109" s="11">
        <v>4142.7168457284115</v>
      </c>
      <c r="AC109" s="11">
        <v>1633.6148627110408</v>
      </c>
      <c r="AD109" s="11">
        <v>26103.170507007693</v>
      </c>
      <c r="AE109" s="11">
        <v>31737.062447548782</v>
      </c>
      <c r="AF109" s="11">
        <v>2377.5828647417379</v>
      </c>
      <c r="AG109" s="11">
        <v>30218.731136778009</v>
      </c>
      <c r="AH109" s="11">
        <v>2626.3309950373578</v>
      </c>
      <c r="AI109" s="11">
        <v>17445.050844403668</v>
      </c>
      <c r="AJ109" s="11">
        <v>18988.261982276374</v>
      </c>
      <c r="AK109" s="11">
        <v>3059.9078610507195</v>
      </c>
      <c r="AL109" s="49">
        <v>4539.2597732139866</v>
      </c>
      <c r="AM109" s="41">
        <f>IFERROR(ROUND(_xlfn.XLOOKUP(AM$7,'Product Tgt'!$B:$B,'Product Tgt'!$G:$G)*H109/H$121,0),0)</f>
        <v>64450</v>
      </c>
      <c r="AN109" s="41">
        <f>IFERROR(ROUND(_xlfn.XLOOKUP(AN$7,'Product Tgt'!$B:$B,'Product Tgt'!$G:$G)*I109/I$121,0),0)</f>
        <v>117743</v>
      </c>
      <c r="AO109" s="41">
        <f>IFERROR(ROUND(_xlfn.XLOOKUP(AO$7,'Product Tgt'!$B:$B,'Product Tgt'!$G:$G)*J109/J$121,0),0)</f>
        <v>59163</v>
      </c>
      <c r="AP109" s="41">
        <f>IFERROR(ROUND(_xlfn.XLOOKUP(AP$7,'Product Tgt'!$B:$B,'Product Tgt'!$G:$G)*K109/K$121,0),0)</f>
        <v>66570</v>
      </c>
      <c r="AQ109" s="41">
        <f>IFERROR(ROUND(_xlfn.XLOOKUP(AQ$7,'Product Tgt'!$B:$B,'Product Tgt'!$G:$G)*L109/L$121,0),0)</f>
        <v>43397</v>
      </c>
      <c r="AR109" s="41">
        <f>IFERROR(ROUND(_xlfn.XLOOKUP(AR$7,'Product Tgt'!$B:$B,'Product Tgt'!$G:$G)*M109/M$121,0),0)</f>
        <v>33246</v>
      </c>
      <c r="AS109" s="41">
        <f>IFERROR(ROUND(_xlfn.XLOOKUP(AS$7,'Product Tgt'!$B:$B,'Product Tgt'!$G:$G)*N109/N$121,0),0)</f>
        <v>657</v>
      </c>
      <c r="AT109" s="41">
        <f>IFERROR(ROUND(_xlfn.XLOOKUP(AT$7,'Product Tgt'!$B:$B,'Product Tgt'!$G:$G)*O109/O$121,0),0)</f>
        <v>4362</v>
      </c>
      <c r="AU109" s="41">
        <f>IFERROR(ROUND(_xlfn.XLOOKUP(AU$7,'Product Tgt'!$B:$B,'Product Tgt'!$G:$G)*P109/P$121,0),0)</f>
        <v>1179</v>
      </c>
      <c r="AV109" s="41">
        <f>IFERROR(ROUND(_xlfn.XLOOKUP(AV$7,'Product Tgt'!$B:$B,'Product Tgt'!$G:$G)*Q109/Q$121,0),0)</f>
        <v>533</v>
      </c>
      <c r="AW109" s="41">
        <f>IFERROR(ROUND(_xlfn.XLOOKUP(AW$7,'Product Tgt'!$B:$B,'Product Tgt'!$G:$G)*R109/R$121,0),0)</f>
        <v>17549</v>
      </c>
      <c r="AX109" s="41">
        <f>IFERROR(ROUND(_xlfn.XLOOKUP(AX$7,'Product Tgt'!$B:$B,'Product Tgt'!$G:$G)*S109/S$121,0),0)</f>
        <v>33502</v>
      </c>
      <c r="AY109" s="41">
        <f>IFERROR(ROUND(_xlfn.XLOOKUP(AY$7,'Product Tgt'!$B:$B,'Product Tgt'!$G:$G)*T109/T$121,0),0)</f>
        <v>0</v>
      </c>
      <c r="AZ109" s="41">
        <f>IFERROR(ROUND(_xlfn.XLOOKUP(AZ$7,'Product Tgt'!$B:$B,'Product Tgt'!$G:$G)*U109/U$121,0),0)</f>
        <v>22648</v>
      </c>
      <c r="BA109" s="41">
        <f>IFERROR(ROUND(_xlfn.XLOOKUP(BA$7,'Product Tgt'!$B:$B,'Product Tgt'!$G:$G)*V109/V$121,0),0)</f>
        <v>27168</v>
      </c>
      <c r="BB109" s="41">
        <f>IFERROR(ROUND(_xlfn.XLOOKUP(BB$7,'Product Tgt'!$B:$B,'Product Tgt'!$G:$G)*W109/W$121,0),0)</f>
        <v>30266</v>
      </c>
      <c r="BC109" s="41">
        <f>IFERROR(ROUND(_xlfn.XLOOKUP(BC$7,'Product Tgt'!$B:$B,'Product Tgt'!$G:$G)*X109/X$121,0),0)</f>
        <v>4673</v>
      </c>
      <c r="BD109" s="41">
        <f>IFERROR(ROUND(_xlfn.XLOOKUP(BD$7,'Product Tgt'!$B:$B,'Product Tgt'!$G:$G)*Y109/Y$121,0),0)</f>
        <v>6223</v>
      </c>
      <c r="BE109" s="41">
        <f>IFERROR(ROUND(_xlfn.XLOOKUP(BE$7,'Product Tgt'!$B:$B,'Product Tgt'!$G:$G)*Z109/Z$121,0),0)</f>
        <v>339</v>
      </c>
      <c r="BF109" s="41">
        <f>IFERROR(ROUND(_xlfn.XLOOKUP(BF$7,'Product Tgt'!$B:$B,'Product Tgt'!$G:$G)*AA109/AA$121,0),0)</f>
        <v>11599</v>
      </c>
      <c r="BG109" s="41">
        <f>IFERROR(ROUND(_xlfn.XLOOKUP(BG$7,'Product Tgt'!$B:$B,'Product Tgt'!$G:$G)*AB109/AB$121,0),0)</f>
        <v>3320</v>
      </c>
      <c r="BH109" s="41">
        <f>IFERROR(ROUND(_xlfn.XLOOKUP(BH$7,'Product Tgt'!$B:$B,'Product Tgt'!$G:$G)*AC109/AC$121,0),0)</f>
        <v>1398</v>
      </c>
      <c r="BI109" s="41">
        <f>IFERROR(ROUND(_xlfn.XLOOKUP(BI$7,'Product Tgt'!$B:$B,'Product Tgt'!$G:$G)*AD109/AD$121,0),0)</f>
        <v>22724</v>
      </c>
      <c r="BJ109" s="41">
        <f>IFERROR(ROUND(_xlfn.XLOOKUP(BJ$7,'Product Tgt'!$B:$B,'Product Tgt'!$G:$G)*AE109/AE$121,0),0)</f>
        <v>29539</v>
      </c>
      <c r="BK109" s="41">
        <f>IFERROR(ROUND(_xlfn.XLOOKUP(BK$7,'Product Tgt'!$B:$B,'Product Tgt'!$G:$G)*AF109/AF$121,0),0)</f>
        <v>2656</v>
      </c>
      <c r="BL109" s="41">
        <f>IFERROR(ROUND(_xlfn.XLOOKUP(BL$7,'Product Tgt'!$B:$B,'Product Tgt'!$G:$G)*AG109/AG$121,0),0)</f>
        <v>28864</v>
      </c>
      <c r="BM109" s="41">
        <f>IFERROR(ROUND(_xlfn.XLOOKUP(BM$7,'Product Tgt'!$B:$B,'Product Tgt'!$G:$G)*AH109/AH$121,0),0)</f>
        <v>2059</v>
      </c>
      <c r="BN109" s="41">
        <f>IFERROR(ROUND(_xlfn.XLOOKUP(BN$7,'Product Tgt'!$B:$B,'Product Tgt'!$G:$G)*AI109/AI$121,0),0)</f>
        <v>16021</v>
      </c>
      <c r="BO109" s="41">
        <f>IFERROR(ROUND(_xlfn.XLOOKUP(BO$7,'Product Tgt'!$B:$B,'Product Tgt'!$G:$G)*AJ109/AJ$121,0),0)</f>
        <v>16424</v>
      </c>
      <c r="BP109" s="41">
        <f>IFERROR(ROUND(_xlfn.XLOOKUP(BP$7,'Product Tgt'!$B:$B,'Product Tgt'!$G:$G)*AK109/AK$121,0),0)</f>
        <v>2330</v>
      </c>
      <c r="BQ109" s="41">
        <f>IFERROR(ROUND(_xlfn.XLOOKUP(BQ$7,'Product Tgt'!$B:$B,'Product Tgt'!$G:$G)*AL109/AL$121,0),0)</f>
        <v>3548</v>
      </c>
      <c r="BR109" s="25">
        <f>ROUND(IFERROR(AM109/_xlfn.XLOOKUP(BR$7,'Product Tgt'!$B:$B,'Product Tgt'!$D:$D),0),0)</f>
        <v>0</v>
      </c>
      <c r="BS109" s="11">
        <f>ROUND(IFERROR(AN109/_xlfn.XLOOKUP(BS$7,'Product Tgt'!$B:$B,'Product Tgt'!$D:$D),0),0)</f>
        <v>0</v>
      </c>
      <c r="BT109" s="11">
        <f>ROUND(IFERROR(AO109/_xlfn.XLOOKUP(BT$7,'Product Tgt'!$B:$B,'Product Tgt'!$D:$D),0),0)</f>
        <v>0</v>
      </c>
      <c r="BU109" s="11">
        <f>ROUND(IFERROR(AP109/_xlfn.XLOOKUP(BU$7,'Product Tgt'!$B:$B,'Product Tgt'!$D:$D),0),0)</f>
        <v>0</v>
      </c>
      <c r="BV109" s="11">
        <f>ROUND(IFERROR(AQ109/_xlfn.XLOOKUP(BV$7,'Product Tgt'!$B:$B,'Product Tgt'!$D:$D),0),0)</f>
        <v>0</v>
      </c>
      <c r="BW109" s="11">
        <f>ROUND(IFERROR(AU109/_xlfn.XLOOKUP(BW$7,'Product Tgt'!$B:$B,'Product Tgt'!$D:$D),0),0)</f>
        <v>0</v>
      </c>
      <c r="BX109" s="11">
        <f>ROUND(IFERROR(#REF!/_xlfn.XLOOKUP(BX$7,'Product Tgt'!$B:$B,'Product Tgt'!$D:$D),0),0)</f>
        <v>0</v>
      </c>
      <c r="BY109" s="11">
        <f>ROUND(IFERROR(#REF!/_xlfn.XLOOKUP(BY$7,'Product Tgt'!$B:$B,'Product Tgt'!$D:$D),0),0)</f>
        <v>0</v>
      </c>
      <c r="BZ109" s="11">
        <f>ROUND(IFERROR(#REF!/_xlfn.XLOOKUP(BZ$7,'Product Tgt'!$B:$B,'Product Tgt'!$D:$D),0),0)</f>
        <v>0</v>
      </c>
      <c r="CA109" s="11">
        <f>ROUND(IFERROR(#REF!/_xlfn.XLOOKUP(CA$7,'Product Tgt'!$B:$B,'Product Tgt'!$D:$D),0),0)</f>
        <v>0</v>
      </c>
      <c r="CB109" s="11">
        <f>ROUND(IFERROR(AV109/_xlfn.XLOOKUP(CB$7,'Product Tgt'!$B:$B,'Product Tgt'!$D:$D),0),0)</f>
        <v>0</v>
      </c>
      <c r="CC109" s="11">
        <f>ROUND(IFERROR(AW109/_xlfn.XLOOKUP(CC$7,'Product Tgt'!$B:$B,'Product Tgt'!$D:$D),0),0)</f>
        <v>0</v>
      </c>
      <c r="CD109" s="11">
        <f>ROUND(IFERROR(AX109/_xlfn.XLOOKUP(CD$7,'Product Tgt'!$B:$B,'Product Tgt'!$D:$D),0),0)</f>
        <v>0</v>
      </c>
      <c r="CE109" s="11">
        <f>ROUND(IFERROR(AY109/_xlfn.XLOOKUP(CE$7,'Product Tgt'!$B:$B,'Product Tgt'!$D:$D),0),0)</f>
        <v>0</v>
      </c>
      <c r="CF109" s="11">
        <f>ROUND(IFERROR(AZ109/_xlfn.XLOOKUP(CF$7,'Product Tgt'!$B:$B,'Product Tgt'!$D:$D),0),0)</f>
        <v>0</v>
      </c>
      <c r="CG109" s="11">
        <f>ROUND(IFERROR(BA109/_xlfn.XLOOKUP(CG$7,'Product Tgt'!$B:$B,'Product Tgt'!$D:$D),0),0)</f>
        <v>0</v>
      </c>
      <c r="CH109" s="11">
        <f>ROUND(IFERROR(BB109/_xlfn.XLOOKUP(CH$7,'Product Tgt'!$B:$B,'Product Tgt'!$D:$D),0),0)</f>
        <v>0</v>
      </c>
      <c r="CI109" s="11">
        <f>ROUND(IFERROR(BC109/_xlfn.XLOOKUP(CI$7,'Product Tgt'!$B:$B,'Product Tgt'!$D:$D),0),0)</f>
        <v>0</v>
      </c>
      <c r="CJ109" s="11">
        <f>ROUND(IFERROR(BD109/_xlfn.XLOOKUP(CJ$7,'Product Tgt'!$B:$B,'Product Tgt'!$D:$D),0),0)</f>
        <v>0</v>
      </c>
      <c r="CK109" s="11">
        <f>ROUND(IFERROR(BE109/_xlfn.XLOOKUP(CK$7,'Product Tgt'!$B:$B,'Product Tgt'!$D:$D),0),0)</f>
        <v>0</v>
      </c>
      <c r="CL109" s="11">
        <f>ROUND(IFERROR(BF109/_xlfn.XLOOKUP(CL$7,'Product Tgt'!$B:$B,'Product Tgt'!$D:$D),0),0)</f>
        <v>0</v>
      </c>
      <c r="CM109" s="11">
        <f>ROUND(IFERROR(BG109/_xlfn.XLOOKUP(CM$7,'Product Tgt'!$B:$B,'Product Tgt'!$D:$D),0),0)</f>
        <v>0</v>
      </c>
      <c r="CN109" s="11">
        <f>ROUND(IFERROR(BH109/_xlfn.XLOOKUP(CN$7,'Product Tgt'!$B:$B,'Product Tgt'!$D:$D),0),0)</f>
        <v>0</v>
      </c>
      <c r="CO109" s="11">
        <f>ROUND(IFERROR(BI109/_xlfn.XLOOKUP(CO$7,'Product Tgt'!$B:$B,'Product Tgt'!$D:$D),0),0)</f>
        <v>0</v>
      </c>
      <c r="CP109" s="11">
        <f>ROUND(IFERROR(BJ109/_xlfn.XLOOKUP(CP$7,'Product Tgt'!$B:$B,'Product Tgt'!$D:$D),0),0)</f>
        <v>0</v>
      </c>
      <c r="CQ109" s="11">
        <f>ROUND(IFERROR(BK109/_xlfn.XLOOKUP(CQ$7,'Product Tgt'!$B:$B,'Product Tgt'!$D:$D),0),0)</f>
        <v>0</v>
      </c>
      <c r="CR109" s="11">
        <f>ROUND(IFERROR(BL109/_xlfn.XLOOKUP(CR$7,'Product Tgt'!$B:$B,'Product Tgt'!$D:$D),0),0)</f>
        <v>0</v>
      </c>
      <c r="CS109" s="11">
        <f>ROUND(IFERROR(BM109/_xlfn.XLOOKUP(CS$7,'Product Tgt'!$B:$B,'Product Tgt'!$D:$D),0),0)</f>
        <v>0</v>
      </c>
      <c r="CT109" s="11">
        <f>ROUND(IFERROR(BN109/_xlfn.XLOOKUP(CT$7,'Product Tgt'!$B:$B,'Product Tgt'!$D:$D),0),0)</f>
        <v>0</v>
      </c>
      <c r="CU109" s="11">
        <f>ROUND(IFERROR(BO109/_xlfn.XLOOKUP(CU$7,'Product Tgt'!$B:$B,'Product Tgt'!$D:$D),0),0)</f>
        <v>0</v>
      </c>
      <c r="CV109" s="11">
        <f>ROUND(IFERROR(BP109/_xlfn.XLOOKUP(CV$7,'Product Tgt'!$B:$B,'Product Tgt'!$D:$D),0),0)</f>
        <v>0</v>
      </c>
      <c r="CW109" s="11">
        <f>ROUND(IFERROR(BQ109/_xlfn.XLOOKUP(CW$7,'Product Tgt'!$B:$B,'Product Tgt'!$D:$D),0),0)</f>
        <v>0</v>
      </c>
      <c r="CX109" s="11">
        <f>ROUND(IFERROR(#REF!/_xlfn.XLOOKUP(CX$7,'Product Tgt'!$B:$B,'Product Tgt'!$D:$D),0),0)</f>
        <v>0</v>
      </c>
      <c r="CY109" s="11">
        <f>ROUND(IFERROR(#REF!/_xlfn.XLOOKUP(CY$7,'Product Tgt'!$B:$B,'Product Tgt'!$D:$D),0),0)</f>
        <v>0</v>
      </c>
      <c r="CZ109" s="11">
        <f>ROUND(IFERROR(#REF!/_xlfn.XLOOKUP(CZ$7,'Product Tgt'!$B:$B,'Product Tgt'!$D:$D),0),0)</f>
        <v>0</v>
      </c>
      <c r="DA109" s="10">
        <f>IFERROR(BR109*_xlfn.XLOOKUP(DA$7,'Product Tgt'!$B:$B,'Product Tgt'!$D:$D),0)</f>
        <v>0</v>
      </c>
      <c r="DB109">
        <f>IFERROR(BS109*_xlfn.XLOOKUP(DB$7,'Product Tgt'!$B:$B,'Product Tgt'!$D:$D),0)</f>
        <v>0</v>
      </c>
      <c r="DC109">
        <f>IFERROR(BT109*_xlfn.XLOOKUP(DC$7,'Product Tgt'!$B:$B,'Product Tgt'!$D:$D),0)</f>
        <v>0</v>
      </c>
      <c r="DD109">
        <f>IFERROR(BU109*_xlfn.XLOOKUP(DD$7,'Product Tgt'!$B:$B,'Product Tgt'!$D:$D),0)</f>
        <v>0</v>
      </c>
      <c r="DE109">
        <f>IFERROR(BV109*_xlfn.XLOOKUP(DE$7,'Product Tgt'!$B:$B,'Product Tgt'!$D:$D),0)</f>
        <v>0</v>
      </c>
      <c r="DF109">
        <f>IFERROR(BW109*_xlfn.XLOOKUP(DF$7,'Product Tgt'!$B:$B,'Product Tgt'!$D:$D),0)</f>
        <v>0</v>
      </c>
      <c r="DG109">
        <f>IFERROR(BX109*_xlfn.XLOOKUP(DG$7,'Product Tgt'!$B:$B,'Product Tgt'!$D:$D),0)</f>
        <v>0</v>
      </c>
      <c r="DH109">
        <f>IFERROR(BY109*_xlfn.XLOOKUP(DH$7,'Product Tgt'!$B:$B,'Product Tgt'!$D:$D),0)</f>
        <v>0</v>
      </c>
      <c r="DI109">
        <f>IFERROR(BZ109*_xlfn.XLOOKUP(DI$7,'Product Tgt'!$B:$B,'Product Tgt'!$D:$D),0)</f>
        <v>0</v>
      </c>
      <c r="DJ109">
        <f>IFERROR(CA109*_xlfn.XLOOKUP(DJ$7,'Product Tgt'!$B:$B,'Product Tgt'!$D:$D),0)</f>
        <v>0</v>
      </c>
      <c r="DK109">
        <f>IFERROR(CB109*_xlfn.XLOOKUP(DK$7,'Product Tgt'!$B:$B,'Product Tgt'!$D:$D),0)</f>
        <v>0</v>
      </c>
      <c r="DL109">
        <f>IFERROR(CC109*_xlfn.XLOOKUP(DL$7,'Product Tgt'!$B:$B,'Product Tgt'!$D:$D),0)</f>
        <v>0</v>
      </c>
      <c r="DM109">
        <f>IFERROR(CD109*_xlfn.XLOOKUP(DM$7,'Product Tgt'!$B:$B,'Product Tgt'!$D:$D),0)</f>
        <v>0</v>
      </c>
      <c r="DN109">
        <f>IFERROR(CE109*_xlfn.XLOOKUP(DN$7,'Product Tgt'!$B:$B,'Product Tgt'!$D:$D),0)</f>
        <v>0</v>
      </c>
      <c r="DO109">
        <f>IFERROR(CF109*_xlfn.XLOOKUP(DO$7,'Product Tgt'!$B:$B,'Product Tgt'!$D:$D),0)</f>
        <v>0</v>
      </c>
      <c r="DP109">
        <f>IFERROR(CG109*_xlfn.XLOOKUP(DP$7,'Product Tgt'!$B:$B,'Product Tgt'!$D:$D),0)</f>
        <v>0</v>
      </c>
      <c r="DQ109">
        <f>IFERROR(CH109*_xlfn.XLOOKUP(DQ$7,'Product Tgt'!$B:$B,'Product Tgt'!$D:$D),0)</f>
        <v>0</v>
      </c>
      <c r="DR109">
        <f>IFERROR(CI109*_xlfn.XLOOKUP(DR$7,'Product Tgt'!$B:$B,'Product Tgt'!$D:$D),0)</f>
        <v>0</v>
      </c>
      <c r="DS109">
        <f>IFERROR(CJ109*_xlfn.XLOOKUP(DS$7,'Product Tgt'!$B:$B,'Product Tgt'!$D:$D),0)</f>
        <v>0</v>
      </c>
      <c r="DT109">
        <f>IFERROR(CK109*_xlfn.XLOOKUP(DT$7,'Product Tgt'!$B:$B,'Product Tgt'!$D:$D),0)</f>
        <v>0</v>
      </c>
      <c r="DU109">
        <f>IFERROR(CL109*_xlfn.XLOOKUP(DU$7,'Product Tgt'!$B:$B,'Product Tgt'!$D:$D),0)</f>
        <v>0</v>
      </c>
      <c r="DV109">
        <f>IFERROR(CM109*_xlfn.XLOOKUP(DV$7,'Product Tgt'!$B:$B,'Product Tgt'!$D:$D),0)</f>
        <v>0</v>
      </c>
      <c r="DW109">
        <f>IFERROR(CN109*_xlfn.XLOOKUP(DW$7,'Product Tgt'!$B:$B,'Product Tgt'!$D:$D),0)</f>
        <v>0</v>
      </c>
      <c r="DX109">
        <f>IFERROR(CO109*_xlfn.XLOOKUP(DX$7,'Product Tgt'!$B:$B,'Product Tgt'!$D:$D),0)</f>
        <v>0</v>
      </c>
      <c r="DY109">
        <f>IFERROR(CP109*_xlfn.XLOOKUP(DY$7,'Product Tgt'!$B:$B,'Product Tgt'!$D:$D),0)</f>
        <v>0</v>
      </c>
      <c r="DZ109">
        <f>IFERROR(CQ109*_xlfn.XLOOKUP(DZ$7,'Product Tgt'!$B:$B,'Product Tgt'!$D:$D),0)</f>
        <v>0</v>
      </c>
      <c r="EA109">
        <f>IFERROR(CR109*_xlfn.XLOOKUP(EA$7,'Product Tgt'!$B:$B,'Product Tgt'!$D:$D),0)</f>
        <v>0</v>
      </c>
      <c r="EB109">
        <f>IFERROR(CS109*_xlfn.XLOOKUP(EB$7,'Product Tgt'!$B:$B,'Product Tgt'!$D:$D),0)</f>
        <v>0</v>
      </c>
      <c r="EC109">
        <f>IFERROR(CT109*_xlfn.XLOOKUP(EC$7,'Product Tgt'!$B:$B,'Product Tgt'!$D:$D),0)</f>
        <v>0</v>
      </c>
      <c r="ED109">
        <f>IFERROR(CU109*_xlfn.XLOOKUP(ED$7,'Product Tgt'!$B:$B,'Product Tgt'!$D:$D),0)</f>
        <v>0</v>
      </c>
      <c r="EE109">
        <f>IFERROR(CV109*_xlfn.XLOOKUP(EE$7,'Product Tgt'!$B:$B,'Product Tgt'!$D:$D),0)</f>
        <v>0</v>
      </c>
      <c r="EF109">
        <f>IFERROR(CW109*_xlfn.XLOOKUP(EF$7,'Product Tgt'!$B:$B,'Product Tgt'!$D:$D),0)</f>
        <v>0</v>
      </c>
      <c r="EG109">
        <f>IFERROR(CX109*_xlfn.XLOOKUP(EG$7,'Product Tgt'!$B:$B,'Product Tgt'!$D:$D),0)</f>
        <v>0</v>
      </c>
      <c r="EH109">
        <f>IFERROR(CY109*_xlfn.XLOOKUP(EH$7,'Product Tgt'!$B:$B,'Product Tgt'!$D:$D),0)</f>
        <v>0</v>
      </c>
      <c r="EI109">
        <f>IFERROR(CZ109*_xlfn.XLOOKUP(EI$7,'Product Tgt'!$B:$B,'Product Tgt'!$D:$D),0)</f>
        <v>0</v>
      </c>
    </row>
    <row r="110" spans="2:139" x14ac:dyDescent="0.35">
      <c r="B110" s="7" t="s">
        <v>162</v>
      </c>
      <c r="C110" s="3">
        <f>_xlfn.XLOOKUP($B110,'Terr Target'!$A:$A,'Terr Target'!$E:$E)</f>
        <v>179925.8118258279</v>
      </c>
      <c r="D110" s="3">
        <f t="shared" si="14"/>
        <v>179927</v>
      </c>
      <c r="E110" s="4">
        <f t="shared" si="15"/>
        <v>1.1881741721008439</v>
      </c>
      <c r="F110" s="9">
        <f t="shared" si="13"/>
        <v>6.6036457680106038E-6</v>
      </c>
      <c r="G110" s="5">
        <f t="shared" si="12"/>
        <v>0.99999339635423201</v>
      </c>
      <c r="H110" s="38">
        <v>16767.454366578044</v>
      </c>
      <c r="I110" s="11">
        <v>22648.310088249073</v>
      </c>
      <c r="J110" s="11">
        <v>16686.074475903457</v>
      </c>
      <c r="K110" s="11">
        <v>16207.797972031525</v>
      </c>
      <c r="L110" s="11">
        <v>13471.302386956264</v>
      </c>
      <c r="M110" s="11">
        <v>10847.06983327854</v>
      </c>
      <c r="N110" s="11">
        <v>205.08335636337216</v>
      </c>
      <c r="O110" s="11">
        <v>1055.5760989291214</v>
      </c>
      <c r="P110" s="11">
        <v>657.47311304728134</v>
      </c>
      <c r="Q110" s="11">
        <v>651.43119651912502</v>
      </c>
      <c r="R110" s="11">
        <v>9584.7315093334637</v>
      </c>
      <c r="S110" s="11">
        <v>16584.186249592542</v>
      </c>
      <c r="T110" s="11">
        <v>0</v>
      </c>
      <c r="U110" s="11">
        <v>4263.5221291032412</v>
      </c>
      <c r="V110" s="11">
        <v>5747.370584132168</v>
      </c>
      <c r="W110" s="11">
        <v>6678.2781192249076</v>
      </c>
      <c r="X110" s="11">
        <v>1244.5845392716585</v>
      </c>
      <c r="Y110" s="11">
        <v>1555.2255055279429</v>
      </c>
      <c r="Z110" s="11">
        <v>222.19374227172798</v>
      </c>
      <c r="AA110" s="11">
        <v>2270.0013210885195</v>
      </c>
      <c r="AB110" s="11">
        <v>846.47150028411443</v>
      </c>
      <c r="AC110" s="11">
        <v>834.41782654491419</v>
      </c>
      <c r="AD110" s="11">
        <v>4973.2412324946627</v>
      </c>
      <c r="AE110" s="11">
        <v>5337.2038714054233</v>
      </c>
      <c r="AF110" s="11">
        <v>388.03982707204909</v>
      </c>
      <c r="AG110" s="11">
        <v>11944.064727708497</v>
      </c>
      <c r="AH110" s="11">
        <v>971.11995790908747</v>
      </c>
      <c r="AI110" s="11">
        <v>6858.2689237508794</v>
      </c>
      <c r="AJ110" s="11">
        <v>5614.6394295211085</v>
      </c>
      <c r="AK110" s="11">
        <v>1821.8238156946227</v>
      </c>
      <c r="AL110" s="49">
        <v>2693.9608948412706</v>
      </c>
      <c r="AM110" s="41">
        <f>IFERROR(ROUND(_xlfn.XLOOKUP(AM$7,'Product Tgt'!$B:$B,'Product Tgt'!$G:$G)*H110/H$121,0),0)</f>
        <v>16301</v>
      </c>
      <c r="AN110" s="41">
        <f>IFERROR(ROUND(_xlfn.XLOOKUP(AN$7,'Product Tgt'!$B:$B,'Product Tgt'!$G:$G)*I110/I$121,0),0)</f>
        <v>22295</v>
      </c>
      <c r="AO110" s="41">
        <f>IFERROR(ROUND(_xlfn.XLOOKUP(AO$7,'Product Tgt'!$B:$B,'Product Tgt'!$G:$G)*J110/J$121,0),0)</f>
        <v>16167</v>
      </c>
      <c r="AP110" s="41">
        <f>IFERROR(ROUND(_xlfn.XLOOKUP(AP$7,'Product Tgt'!$B:$B,'Product Tgt'!$G:$G)*K110/K$121,0),0)</f>
        <v>15811</v>
      </c>
      <c r="AQ110" s="41">
        <f>IFERROR(ROUND(_xlfn.XLOOKUP(AQ$7,'Product Tgt'!$B:$B,'Product Tgt'!$G:$G)*L110/L$121,0),0)</f>
        <v>13026</v>
      </c>
      <c r="AR110" s="41">
        <f>IFERROR(ROUND(_xlfn.XLOOKUP(AR$7,'Product Tgt'!$B:$B,'Product Tgt'!$G:$G)*M110/M$121,0),0)</f>
        <v>10509</v>
      </c>
      <c r="AS110" s="41">
        <f>IFERROR(ROUND(_xlfn.XLOOKUP(AS$7,'Product Tgt'!$B:$B,'Product Tgt'!$G:$G)*N110/N$121,0),0)</f>
        <v>189</v>
      </c>
      <c r="AT110" s="41">
        <f>IFERROR(ROUND(_xlfn.XLOOKUP(AT$7,'Product Tgt'!$B:$B,'Product Tgt'!$G:$G)*O110/O$121,0),0)</f>
        <v>950</v>
      </c>
      <c r="AU110" s="41">
        <f>IFERROR(ROUND(_xlfn.XLOOKUP(AU$7,'Product Tgt'!$B:$B,'Product Tgt'!$G:$G)*P110/P$121,0),0)</f>
        <v>280</v>
      </c>
      <c r="AV110" s="41">
        <f>IFERROR(ROUND(_xlfn.XLOOKUP(AV$7,'Product Tgt'!$B:$B,'Product Tgt'!$G:$G)*Q110/Q$121,0),0)</f>
        <v>489</v>
      </c>
      <c r="AW110" s="41">
        <f>IFERROR(ROUND(_xlfn.XLOOKUP(AW$7,'Product Tgt'!$B:$B,'Product Tgt'!$G:$G)*R110/R$121,0),0)</f>
        <v>9231</v>
      </c>
      <c r="AX110" s="41">
        <f>IFERROR(ROUND(_xlfn.XLOOKUP(AX$7,'Product Tgt'!$B:$B,'Product Tgt'!$G:$G)*S110/S$121,0),0)</f>
        <v>15973</v>
      </c>
      <c r="AY110" s="41">
        <f>IFERROR(ROUND(_xlfn.XLOOKUP(AY$7,'Product Tgt'!$B:$B,'Product Tgt'!$G:$G)*T110/T$121,0),0)</f>
        <v>0</v>
      </c>
      <c r="AZ110" s="41">
        <f>IFERROR(ROUND(_xlfn.XLOOKUP(AZ$7,'Product Tgt'!$B:$B,'Product Tgt'!$G:$G)*U110/U$121,0),0)</f>
        <v>4080</v>
      </c>
      <c r="BA110" s="41">
        <f>IFERROR(ROUND(_xlfn.XLOOKUP(BA$7,'Product Tgt'!$B:$B,'Product Tgt'!$G:$G)*V110/V$121,0),0)</f>
        <v>5534</v>
      </c>
      <c r="BB110" s="41">
        <f>IFERROR(ROUND(_xlfn.XLOOKUP(BB$7,'Product Tgt'!$B:$B,'Product Tgt'!$G:$G)*W110/W$121,0),0)</f>
        <v>6393</v>
      </c>
      <c r="BC110" s="41">
        <f>IFERROR(ROUND(_xlfn.XLOOKUP(BC$7,'Product Tgt'!$B:$B,'Product Tgt'!$G:$G)*X110/X$121,0),0)</f>
        <v>1204</v>
      </c>
      <c r="BD110" s="41">
        <f>IFERROR(ROUND(_xlfn.XLOOKUP(BD$7,'Product Tgt'!$B:$B,'Product Tgt'!$G:$G)*Y110/Y$121,0),0)</f>
        <v>1504</v>
      </c>
      <c r="BE110" s="41">
        <f>IFERROR(ROUND(_xlfn.XLOOKUP(BE$7,'Product Tgt'!$B:$B,'Product Tgt'!$G:$G)*Z110/Z$121,0),0)</f>
        <v>211</v>
      </c>
      <c r="BF110" s="41">
        <f>IFERROR(ROUND(_xlfn.XLOOKUP(BF$7,'Product Tgt'!$B:$B,'Product Tgt'!$G:$G)*AA110/AA$121,0),0)</f>
        <v>1840</v>
      </c>
      <c r="BG110" s="41">
        <f>IFERROR(ROUND(_xlfn.XLOOKUP(BG$7,'Product Tgt'!$B:$B,'Product Tgt'!$G:$G)*AB110/AB$121,0),0)</f>
        <v>678</v>
      </c>
      <c r="BH110" s="41">
        <f>IFERROR(ROUND(_xlfn.XLOOKUP(BH$7,'Product Tgt'!$B:$B,'Product Tgt'!$G:$G)*AC110/AC$121,0),0)</f>
        <v>714</v>
      </c>
      <c r="BI110" s="41">
        <f>IFERROR(ROUND(_xlfn.XLOOKUP(BI$7,'Product Tgt'!$B:$B,'Product Tgt'!$G:$G)*AD110/AD$121,0),0)</f>
        <v>4329</v>
      </c>
      <c r="BJ110" s="41">
        <f>IFERROR(ROUND(_xlfn.XLOOKUP(BJ$7,'Product Tgt'!$B:$B,'Product Tgt'!$G:$G)*AE110/AE$121,0),0)</f>
        <v>4968</v>
      </c>
      <c r="BK110" s="41">
        <f>IFERROR(ROUND(_xlfn.XLOOKUP(BK$7,'Product Tgt'!$B:$B,'Product Tgt'!$G:$G)*AF110/AF$121,0),0)</f>
        <v>434</v>
      </c>
      <c r="BL110" s="41">
        <f>IFERROR(ROUND(_xlfn.XLOOKUP(BL$7,'Product Tgt'!$B:$B,'Product Tgt'!$G:$G)*AG110/AG$121,0),0)</f>
        <v>11409</v>
      </c>
      <c r="BM110" s="41">
        <f>IFERROR(ROUND(_xlfn.XLOOKUP(BM$7,'Product Tgt'!$B:$B,'Product Tgt'!$G:$G)*AH110/AH$121,0),0)</f>
        <v>761</v>
      </c>
      <c r="BN110" s="41">
        <f>IFERROR(ROUND(_xlfn.XLOOKUP(BN$7,'Product Tgt'!$B:$B,'Product Tgt'!$G:$G)*AI110/AI$121,0),0)</f>
        <v>6298</v>
      </c>
      <c r="BO110" s="41">
        <f>IFERROR(ROUND(_xlfn.XLOOKUP(BO$7,'Product Tgt'!$B:$B,'Product Tgt'!$G:$G)*AJ110/AJ$121,0),0)</f>
        <v>4856</v>
      </c>
      <c r="BP110" s="41">
        <f>IFERROR(ROUND(_xlfn.XLOOKUP(BP$7,'Product Tgt'!$B:$B,'Product Tgt'!$G:$G)*AK110/AK$121,0),0)</f>
        <v>1387</v>
      </c>
      <c r="BQ110" s="41">
        <f>IFERROR(ROUND(_xlfn.XLOOKUP(BQ$7,'Product Tgt'!$B:$B,'Product Tgt'!$G:$G)*AL110/AL$121,0),0)</f>
        <v>2106</v>
      </c>
      <c r="BR110" s="25">
        <f>ROUND(IFERROR(AM110/_xlfn.XLOOKUP(BR$7,'Product Tgt'!$B:$B,'Product Tgt'!$D:$D),0),0)</f>
        <v>0</v>
      </c>
      <c r="BS110" s="11">
        <f>ROUND(IFERROR(AN110/_xlfn.XLOOKUP(BS$7,'Product Tgt'!$B:$B,'Product Tgt'!$D:$D),0),0)</f>
        <v>0</v>
      </c>
      <c r="BT110" s="11">
        <f>ROUND(IFERROR(AO110/_xlfn.XLOOKUP(BT$7,'Product Tgt'!$B:$B,'Product Tgt'!$D:$D),0),0)</f>
        <v>0</v>
      </c>
      <c r="BU110" s="11">
        <f>ROUND(IFERROR(AP110/_xlfn.XLOOKUP(BU$7,'Product Tgt'!$B:$B,'Product Tgt'!$D:$D),0),0)</f>
        <v>0</v>
      </c>
      <c r="BV110" s="11">
        <f>ROUND(IFERROR(AQ110/_xlfn.XLOOKUP(BV$7,'Product Tgt'!$B:$B,'Product Tgt'!$D:$D),0),0)</f>
        <v>0</v>
      </c>
      <c r="BW110" s="11">
        <f>ROUND(IFERROR(AU110/_xlfn.XLOOKUP(BW$7,'Product Tgt'!$B:$B,'Product Tgt'!$D:$D),0),0)</f>
        <v>0</v>
      </c>
      <c r="BX110" s="11">
        <f>ROUND(IFERROR(#REF!/_xlfn.XLOOKUP(BX$7,'Product Tgt'!$B:$B,'Product Tgt'!$D:$D),0),0)</f>
        <v>0</v>
      </c>
      <c r="BY110" s="11">
        <f>ROUND(IFERROR(#REF!/_xlfn.XLOOKUP(BY$7,'Product Tgt'!$B:$B,'Product Tgt'!$D:$D),0),0)</f>
        <v>0</v>
      </c>
      <c r="BZ110" s="11">
        <f>ROUND(IFERROR(#REF!/_xlfn.XLOOKUP(BZ$7,'Product Tgt'!$B:$B,'Product Tgt'!$D:$D),0),0)</f>
        <v>0</v>
      </c>
      <c r="CA110" s="11">
        <f>ROUND(IFERROR(#REF!/_xlfn.XLOOKUP(CA$7,'Product Tgt'!$B:$B,'Product Tgt'!$D:$D),0),0)</f>
        <v>0</v>
      </c>
      <c r="CB110" s="11">
        <f>ROUND(IFERROR(AV110/_xlfn.XLOOKUP(CB$7,'Product Tgt'!$B:$B,'Product Tgt'!$D:$D),0),0)</f>
        <v>0</v>
      </c>
      <c r="CC110" s="11">
        <f>ROUND(IFERROR(AW110/_xlfn.XLOOKUP(CC$7,'Product Tgt'!$B:$B,'Product Tgt'!$D:$D),0),0)</f>
        <v>0</v>
      </c>
      <c r="CD110" s="11">
        <f>ROUND(IFERROR(AX110/_xlfn.XLOOKUP(CD$7,'Product Tgt'!$B:$B,'Product Tgt'!$D:$D),0),0)</f>
        <v>0</v>
      </c>
      <c r="CE110" s="11">
        <f>ROUND(IFERROR(AY110/_xlfn.XLOOKUP(CE$7,'Product Tgt'!$B:$B,'Product Tgt'!$D:$D),0),0)</f>
        <v>0</v>
      </c>
      <c r="CF110" s="11">
        <f>ROUND(IFERROR(AZ110/_xlfn.XLOOKUP(CF$7,'Product Tgt'!$B:$B,'Product Tgt'!$D:$D),0),0)</f>
        <v>0</v>
      </c>
      <c r="CG110" s="11">
        <f>ROUND(IFERROR(BA110/_xlfn.XLOOKUP(CG$7,'Product Tgt'!$B:$B,'Product Tgt'!$D:$D),0),0)</f>
        <v>0</v>
      </c>
      <c r="CH110" s="11">
        <f>ROUND(IFERROR(BB110/_xlfn.XLOOKUP(CH$7,'Product Tgt'!$B:$B,'Product Tgt'!$D:$D),0),0)</f>
        <v>0</v>
      </c>
      <c r="CI110" s="11">
        <f>ROUND(IFERROR(BC110/_xlfn.XLOOKUP(CI$7,'Product Tgt'!$B:$B,'Product Tgt'!$D:$D),0),0)</f>
        <v>0</v>
      </c>
      <c r="CJ110" s="11">
        <f>ROUND(IFERROR(BD110/_xlfn.XLOOKUP(CJ$7,'Product Tgt'!$B:$B,'Product Tgt'!$D:$D),0),0)</f>
        <v>0</v>
      </c>
      <c r="CK110" s="11">
        <f>ROUND(IFERROR(BE110/_xlfn.XLOOKUP(CK$7,'Product Tgt'!$B:$B,'Product Tgt'!$D:$D),0),0)</f>
        <v>0</v>
      </c>
      <c r="CL110" s="11">
        <f>ROUND(IFERROR(BF110/_xlfn.XLOOKUP(CL$7,'Product Tgt'!$B:$B,'Product Tgt'!$D:$D),0),0)</f>
        <v>0</v>
      </c>
      <c r="CM110" s="11">
        <f>ROUND(IFERROR(BG110/_xlfn.XLOOKUP(CM$7,'Product Tgt'!$B:$B,'Product Tgt'!$D:$D),0),0)</f>
        <v>0</v>
      </c>
      <c r="CN110" s="11">
        <f>ROUND(IFERROR(BH110/_xlfn.XLOOKUP(CN$7,'Product Tgt'!$B:$B,'Product Tgt'!$D:$D),0),0)</f>
        <v>0</v>
      </c>
      <c r="CO110" s="11">
        <f>ROUND(IFERROR(BI110/_xlfn.XLOOKUP(CO$7,'Product Tgt'!$B:$B,'Product Tgt'!$D:$D),0),0)</f>
        <v>0</v>
      </c>
      <c r="CP110" s="11">
        <f>ROUND(IFERROR(BJ110/_xlfn.XLOOKUP(CP$7,'Product Tgt'!$B:$B,'Product Tgt'!$D:$D),0),0)</f>
        <v>0</v>
      </c>
      <c r="CQ110" s="11">
        <f>ROUND(IFERROR(BK110/_xlfn.XLOOKUP(CQ$7,'Product Tgt'!$B:$B,'Product Tgt'!$D:$D),0),0)</f>
        <v>0</v>
      </c>
      <c r="CR110" s="11">
        <f>ROUND(IFERROR(BL110/_xlfn.XLOOKUP(CR$7,'Product Tgt'!$B:$B,'Product Tgt'!$D:$D),0),0)</f>
        <v>0</v>
      </c>
      <c r="CS110" s="11">
        <f>ROUND(IFERROR(BM110/_xlfn.XLOOKUP(CS$7,'Product Tgt'!$B:$B,'Product Tgt'!$D:$D),0),0)</f>
        <v>0</v>
      </c>
      <c r="CT110" s="11">
        <f>ROUND(IFERROR(BN110/_xlfn.XLOOKUP(CT$7,'Product Tgt'!$B:$B,'Product Tgt'!$D:$D),0),0)</f>
        <v>0</v>
      </c>
      <c r="CU110" s="11">
        <f>ROUND(IFERROR(BO110/_xlfn.XLOOKUP(CU$7,'Product Tgt'!$B:$B,'Product Tgt'!$D:$D),0),0)</f>
        <v>0</v>
      </c>
      <c r="CV110" s="11">
        <f>ROUND(IFERROR(BP110/_xlfn.XLOOKUP(CV$7,'Product Tgt'!$B:$B,'Product Tgt'!$D:$D),0),0)</f>
        <v>0</v>
      </c>
      <c r="CW110" s="11">
        <f>ROUND(IFERROR(BQ110/_xlfn.XLOOKUP(CW$7,'Product Tgt'!$B:$B,'Product Tgt'!$D:$D),0),0)</f>
        <v>0</v>
      </c>
      <c r="CX110" s="11">
        <f>ROUND(IFERROR(#REF!/_xlfn.XLOOKUP(CX$7,'Product Tgt'!$B:$B,'Product Tgt'!$D:$D),0),0)</f>
        <v>0</v>
      </c>
      <c r="CY110" s="11">
        <f>ROUND(IFERROR(#REF!/_xlfn.XLOOKUP(CY$7,'Product Tgt'!$B:$B,'Product Tgt'!$D:$D),0),0)</f>
        <v>0</v>
      </c>
      <c r="CZ110" s="11">
        <f>ROUND(IFERROR(#REF!/_xlfn.XLOOKUP(CZ$7,'Product Tgt'!$B:$B,'Product Tgt'!$D:$D),0),0)</f>
        <v>0</v>
      </c>
      <c r="DA110" s="10">
        <f>IFERROR(BR110*_xlfn.XLOOKUP(DA$7,'Product Tgt'!$B:$B,'Product Tgt'!$D:$D),0)</f>
        <v>0</v>
      </c>
      <c r="DB110">
        <f>IFERROR(BS110*_xlfn.XLOOKUP(DB$7,'Product Tgt'!$B:$B,'Product Tgt'!$D:$D),0)</f>
        <v>0</v>
      </c>
      <c r="DC110">
        <f>IFERROR(BT110*_xlfn.XLOOKUP(DC$7,'Product Tgt'!$B:$B,'Product Tgt'!$D:$D),0)</f>
        <v>0</v>
      </c>
      <c r="DD110">
        <f>IFERROR(BU110*_xlfn.XLOOKUP(DD$7,'Product Tgt'!$B:$B,'Product Tgt'!$D:$D),0)</f>
        <v>0</v>
      </c>
      <c r="DE110">
        <f>IFERROR(BV110*_xlfn.XLOOKUP(DE$7,'Product Tgt'!$B:$B,'Product Tgt'!$D:$D),0)</f>
        <v>0</v>
      </c>
      <c r="DF110">
        <f>IFERROR(BW110*_xlfn.XLOOKUP(DF$7,'Product Tgt'!$B:$B,'Product Tgt'!$D:$D),0)</f>
        <v>0</v>
      </c>
      <c r="DG110">
        <f>IFERROR(BX110*_xlfn.XLOOKUP(DG$7,'Product Tgt'!$B:$B,'Product Tgt'!$D:$D),0)</f>
        <v>0</v>
      </c>
      <c r="DH110">
        <f>IFERROR(BY110*_xlfn.XLOOKUP(DH$7,'Product Tgt'!$B:$B,'Product Tgt'!$D:$D),0)</f>
        <v>0</v>
      </c>
      <c r="DI110">
        <f>IFERROR(BZ110*_xlfn.XLOOKUP(DI$7,'Product Tgt'!$B:$B,'Product Tgt'!$D:$D),0)</f>
        <v>0</v>
      </c>
      <c r="DJ110">
        <f>IFERROR(CA110*_xlfn.XLOOKUP(DJ$7,'Product Tgt'!$B:$B,'Product Tgt'!$D:$D),0)</f>
        <v>0</v>
      </c>
      <c r="DK110">
        <f>IFERROR(CB110*_xlfn.XLOOKUP(DK$7,'Product Tgt'!$B:$B,'Product Tgt'!$D:$D),0)</f>
        <v>0</v>
      </c>
      <c r="DL110">
        <f>IFERROR(CC110*_xlfn.XLOOKUP(DL$7,'Product Tgt'!$B:$B,'Product Tgt'!$D:$D),0)</f>
        <v>0</v>
      </c>
      <c r="DM110">
        <f>IFERROR(CD110*_xlfn.XLOOKUP(DM$7,'Product Tgt'!$B:$B,'Product Tgt'!$D:$D),0)</f>
        <v>0</v>
      </c>
      <c r="DN110">
        <f>IFERROR(CE110*_xlfn.XLOOKUP(DN$7,'Product Tgt'!$B:$B,'Product Tgt'!$D:$D),0)</f>
        <v>0</v>
      </c>
      <c r="DO110">
        <f>IFERROR(CF110*_xlfn.XLOOKUP(DO$7,'Product Tgt'!$B:$B,'Product Tgt'!$D:$D),0)</f>
        <v>0</v>
      </c>
      <c r="DP110">
        <f>IFERROR(CG110*_xlfn.XLOOKUP(DP$7,'Product Tgt'!$B:$B,'Product Tgt'!$D:$D),0)</f>
        <v>0</v>
      </c>
      <c r="DQ110">
        <f>IFERROR(CH110*_xlfn.XLOOKUP(DQ$7,'Product Tgt'!$B:$B,'Product Tgt'!$D:$D),0)</f>
        <v>0</v>
      </c>
      <c r="DR110">
        <f>IFERROR(CI110*_xlfn.XLOOKUP(DR$7,'Product Tgt'!$B:$B,'Product Tgt'!$D:$D),0)</f>
        <v>0</v>
      </c>
      <c r="DS110">
        <f>IFERROR(CJ110*_xlfn.XLOOKUP(DS$7,'Product Tgt'!$B:$B,'Product Tgt'!$D:$D),0)</f>
        <v>0</v>
      </c>
      <c r="DT110">
        <f>IFERROR(CK110*_xlfn.XLOOKUP(DT$7,'Product Tgt'!$B:$B,'Product Tgt'!$D:$D),0)</f>
        <v>0</v>
      </c>
      <c r="DU110">
        <f>IFERROR(CL110*_xlfn.XLOOKUP(DU$7,'Product Tgt'!$B:$B,'Product Tgt'!$D:$D),0)</f>
        <v>0</v>
      </c>
      <c r="DV110">
        <f>IFERROR(CM110*_xlfn.XLOOKUP(DV$7,'Product Tgt'!$B:$B,'Product Tgt'!$D:$D),0)</f>
        <v>0</v>
      </c>
      <c r="DW110">
        <f>IFERROR(CN110*_xlfn.XLOOKUP(DW$7,'Product Tgt'!$B:$B,'Product Tgt'!$D:$D),0)</f>
        <v>0</v>
      </c>
      <c r="DX110">
        <f>IFERROR(CO110*_xlfn.XLOOKUP(DX$7,'Product Tgt'!$B:$B,'Product Tgt'!$D:$D),0)</f>
        <v>0</v>
      </c>
      <c r="DY110">
        <f>IFERROR(CP110*_xlfn.XLOOKUP(DY$7,'Product Tgt'!$B:$B,'Product Tgt'!$D:$D),0)</f>
        <v>0</v>
      </c>
      <c r="DZ110">
        <f>IFERROR(CQ110*_xlfn.XLOOKUP(DZ$7,'Product Tgt'!$B:$B,'Product Tgt'!$D:$D),0)</f>
        <v>0</v>
      </c>
      <c r="EA110">
        <f>IFERROR(CR110*_xlfn.XLOOKUP(EA$7,'Product Tgt'!$B:$B,'Product Tgt'!$D:$D),0)</f>
        <v>0</v>
      </c>
      <c r="EB110">
        <f>IFERROR(CS110*_xlfn.XLOOKUP(EB$7,'Product Tgt'!$B:$B,'Product Tgt'!$D:$D),0)</f>
        <v>0</v>
      </c>
      <c r="EC110">
        <f>IFERROR(CT110*_xlfn.XLOOKUP(EC$7,'Product Tgt'!$B:$B,'Product Tgt'!$D:$D),0)</f>
        <v>0</v>
      </c>
      <c r="ED110">
        <f>IFERROR(CU110*_xlfn.XLOOKUP(ED$7,'Product Tgt'!$B:$B,'Product Tgt'!$D:$D),0)</f>
        <v>0</v>
      </c>
      <c r="EE110">
        <f>IFERROR(CV110*_xlfn.XLOOKUP(EE$7,'Product Tgt'!$B:$B,'Product Tgt'!$D:$D),0)</f>
        <v>0</v>
      </c>
      <c r="EF110">
        <f>IFERROR(CW110*_xlfn.XLOOKUP(EF$7,'Product Tgt'!$B:$B,'Product Tgt'!$D:$D),0)</f>
        <v>0</v>
      </c>
      <c r="EG110">
        <f>IFERROR(CX110*_xlfn.XLOOKUP(EG$7,'Product Tgt'!$B:$B,'Product Tgt'!$D:$D),0)</f>
        <v>0</v>
      </c>
      <c r="EH110">
        <f>IFERROR(CY110*_xlfn.XLOOKUP(EH$7,'Product Tgt'!$B:$B,'Product Tgt'!$D:$D),0)</f>
        <v>0</v>
      </c>
      <c r="EI110">
        <f>IFERROR(CZ110*_xlfn.XLOOKUP(EI$7,'Product Tgt'!$B:$B,'Product Tgt'!$D:$D),0)</f>
        <v>0</v>
      </c>
    </row>
    <row r="111" spans="2:139" x14ac:dyDescent="0.35">
      <c r="B111" s="7" t="s">
        <v>111</v>
      </c>
      <c r="C111" s="3">
        <f>_xlfn.XLOOKUP($B111,'Terr Target'!$A:$A,'Terr Target'!$E:$E)</f>
        <v>484608.88286727917</v>
      </c>
      <c r="D111" s="3">
        <f t="shared" si="14"/>
        <v>484608</v>
      </c>
      <c r="E111" s="4">
        <f t="shared" si="15"/>
        <v>-0.882867279171478</v>
      </c>
      <c r="F111" s="9">
        <f t="shared" si="13"/>
        <v>1.8218173847139914E-6</v>
      </c>
      <c r="G111" s="5">
        <f t="shared" si="12"/>
        <v>1.0000018218173847</v>
      </c>
      <c r="H111" s="38">
        <v>37825.890845121809</v>
      </c>
      <c r="I111" s="11">
        <v>78045.328388341528</v>
      </c>
      <c r="J111" s="11">
        <v>41947.110717634023</v>
      </c>
      <c r="K111" s="11">
        <v>43665.243029423538</v>
      </c>
      <c r="L111" s="11">
        <v>45973.600643817008</v>
      </c>
      <c r="M111" s="11">
        <v>37452.489022621878</v>
      </c>
      <c r="N111" s="11">
        <v>1070.1306926309182</v>
      </c>
      <c r="O111" s="11">
        <v>7894.306454568924</v>
      </c>
      <c r="P111" s="11">
        <v>3206.5363890794379</v>
      </c>
      <c r="Q111" s="11">
        <v>1404.6116971862136</v>
      </c>
      <c r="R111" s="11">
        <v>16000.695465752011</v>
      </c>
      <c r="S111" s="11">
        <v>32144.080925419326</v>
      </c>
      <c r="T111" s="11">
        <v>0</v>
      </c>
      <c r="U111" s="11">
        <v>1108.5105338287883</v>
      </c>
      <c r="V111" s="11">
        <v>18244.706355102811</v>
      </c>
      <c r="W111" s="11">
        <v>34177.887922858361</v>
      </c>
      <c r="X111" s="11">
        <v>4658.3212585836891</v>
      </c>
      <c r="Y111" s="11">
        <v>9378.5400929383122</v>
      </c>
      <c r="Z111" s="11">
        <v>587.24501252629955</v>
      </c>
      <c r="AA111" s="11">
        <v>9912.7005326955477</v>
      </c>
      <c r="AB111" s="11">
        <v>5179.6851392946801</v>
      </c>
      <c r="AC111" s="11">
        <v>792.78666847501472</v>
      </c>
      <c r="AD111" s="11">
        <v>8170.6865565214966</v>
      </c>
      <c r="AE111" s="11">
        <v>15986.325156169722</v>
      </c>
      <c r="AF111" s="11">
        <v>1580.5668430572268</v>
      </c>
      <c r="AG111" s="11">
        <v>22813.491044126218</v>
      </c>
      <c r="AH111" s="11">
        <v>2191.437785505947</v>
      </c>
      <c r="AI111" s="11">
        <v>12748.44162360038</v>
      </c>
      <c r="AJ111" s="11">
        <v>9534.9905681031833</v>
      </c>
      <c r="AK111" s="11">
        <v>2384.4779606339303</v>
      </c>
      <c r="AL111" s="49">
        <v>3543.5353944924091</v>
      </c>
      <c r="AM111" s="41">
        <f>IFERROR(ROUND(_xlfn.XLOOKUP(AM$7,'Product Tgt'!$B:$B,'Product Tgt'!$G:$G)*H111/H$121,0),0)</f>
        <v>36773</v>
      </c>
      <c r="AN111" s="41">
        <f>IFERROR(ROUND(_xlfn.XLOOKUP(AN$7,'Product Tgt'!$B:$B,'Product Tgt'!$G:$G)*I111/I$121,0),0)</f>
        <v>76828</v>
      </c>
      <c r="AO111" s="41">
        <f>IFERROR(ROUND(_xlfn.XLOOKUP(AO$7,'Product Tgt'!$B:$B,'Product Tgt'!$G:$G)*J111/J$121,0),0)</f>
        <v>40642</v>
      </c>
      <c r="AP111" s="41">
        <f>IFERROR(ROUND(_xlfn.XLOOKUP(AP$7,'Product Tgt'!$B:$B,'Product Tgt'!$G:$G)*K111/K$121,0),0)</f>
        <v>42596</v>
      </c>
      <c r="AQ111" s="41">
        <f>IFERROR(ROUND(_xlfn.XLOOKUP(AQ$7,'Product Tgt'!$B:$B,'Product Tgt'!$G:$G)*L111/L$121,0),0)</f>
        <v>44454</v>
      </c>
      <c r="AR111" s="41">
        <f>IFERROR(ROUND(_xlfn.XLOOKUP(AR$7,'Product Tgt'!$B:$B,'Product Tgt'!$G:$G)*M111/M$121,0),0)</f>
        <v>36284</v>
      </c>
      <c r="AS111" s="41">
        <f>IFERROR(ROUND(_xlfn.XLOOKUP(AS$7,'Product Tgt'!$B:$B,'Product Tgt'!$G:$G)*N111/N$121,0),0)</f>
        <v>989</v>
      </c>
      <c r="AT111" s="41">
        <f>IFERROR(ROUND(_xlfn.XLOOKUP(AT$7,'Product Tgt'!$B:$B,'Product Tgt'!$G:$G)*O111/O$121,0),0)</f>
        <v>7106</v>
      </c>
      <c r="AU111" s="41">
        <f>IFERROR(ROUND(_xlfn.XLOOKUP(AU$7,'Product Tgt'!$B:$B,'Product Tgt'!$G:$G)*P111/P$121,0),0)</f>
        <v>1367</v>
      </c>
      <c r="AV111" s="41">
        <f>IFERROR(ROUND(_xlfn.XLOOKUP(AV$7,'Product Tgt'!$B:$B,'Product Tgt'!$G:$G)*Q111/Q$121,0),0)</f>
        <v>1054</v>
      </c>
      <c r="AW111" s="41">
        <f>IFERROR(ROUND(_xlfn.XLOOKUP(AW$7,'Product Tgt'!$B:$B,'Product Tgt'!$G:$G)*R111/R$121,0),0)</f>
        <v>15410</v>
      </c>
      <c r="AX111" s="41">
        <f>IFERROR(ROUND(_xlfn.XLOOKUP(AX$7,'Product Tgt'!$B:$B,'Product Tgt'!$G:$G)*S111/S$121,0),0)</f>
        <v>30959</v>
      </c>
      <c r="AY111" s="41">
        <f>IFERROR(ROUND(_xlfn.XLOOKUP(AY$7,'Product Tgt'!$B:$B,'Product Tgt'!$G:$G)*T111/T$121,0),0)</f>
        <v>0</v>
      </c>
      <c r="AZ111" s="41">
        <f>IFERROR(ROUND(_xlfn.XLOOKUP(AZ$7,'Product Tgt'!$B:$B,'Product Tgt'!$G:$G)*U111/U$121,0),0)</f>
        <v>1061</v>
      </c>
      <c r="BA111" s="41">
        <f>IFERROR(ROUND(_xlfn.XLOOKUP(BA$7,'Product Tgt'!$B:$B,'Product Tgt'!$G:$G)*V111/V$121,0),0)</f>
        <v>17566</v>
      </c>
      <c r="BB111" s="41">
        <f>IFERROR(ROUND(_xlfn.XLOOKUP(BB$7,'Product Tgt'!$B:$B,'Product Tgt'!$G:$G)*W111/W$121,0),0)</f>
        <v>32716</v>
      </c>
      <c r="BC111" s="41">
        <f>IFERROR(ROUND(_xlfn.XLOOKUP(BC$7,'Product Tgt'!$B:$B,'Product Tgt'!$G:$G)*X111/X$121,0),0)</f>
        <v>4507</v>
      </c>
      <c r="BD111" s="41">
        <f>IFERROR(ROUND(_xlfn.XLOOKUP(BD$7,'Product Tgt'!$B:$B,'Product Tgt'!$G:$G)*Y111/Y$121,0),0)</f>
        <v>9069</v>
      </c>
      <c r="BE111" s="41">
        <f>IFERROR(ROUND(_xlfn.XLOOKUP(BE$7,'Product Tgt'!$B:$B,'Product Tgt'!$G:$G)*Z111/Z$121,0),0)</f>
        <v>558</v>
      </c>
      <c r="BF111" s="41">
        <f>IFERROR(ROUND(_xlfn.XLOOKUP(BF$7,'Product Tgt'!$B:$B,'Product Tgt'!$G:$G)*AA111/AA$121,0),0)</f>
        <v>8033</v>
      </c>
      <c r="BG111" s="41">
        <f>IFERROR(ROUND(_xlfn.XLOOKUP(BG$7,'Product Tgt'!$B:$B,'Product Tgt'!$G:$G)*AB111/AB$121,0),0)</f>
        <v>4151</v>
      </c>
      <c r="BH111" s="41">
        <f>IFERROR(ROUND(_xlfn.XLOOKUP(BH$7,'Product Tgt'!$B:$B,'Product Tgt'!$G:$G)*AC111/AC$121,0),0)</f>
        <v>678</v>
      </c>
      <c r="BI111" s="41">
        <f>IFERROR(ROUND(_xlfn.XLOOKUP(BI$7,'Product Tgt'!$B:$B,'Product Tgt'!$G:$G)*AD111/AD$121,0),0)</f>
        <v>7113</v>
      </c>
      <c r="BJ111" s="41">
        <f>IFERROR(ROUND(_xlfn.XLOOKUP(BJ$7,'Product Tgt'!$B:$B,'Product Tgt'!$G:$G)*AE111/AE$121,0),0)</f>
        <v>14879</v>
      </c>
      <c r="BK111" s="41">
        <f>IFERROR(ROUND(_xlfn.XLOOKUP(BK$7,'Product Tgt'!$B:$B,'Product Tgt'!$G:$G)*AF111/AF$121,0),0)</f>
        <v>1766</v>
      </c>
      <c r="BL111" s="41">
        <f>IFERROR(ROUND(_xlfn.XLOOKUP(BL$7,'Product Tgt'!$B:$B,'Product Tgt'!$G:$G)*AG111/AG$121,0),0)</f>
        <v>21791</v>
      </c>
      <c r="BM111" s="41">
        <f>IFERROR(ROUND(_xlfn.XLOOKUP(BM$7,'Product Tgt'!$B:$B,'Product Tgt'!$G:$G)*AH111/AH$121,0),0)</f>
        <v>1718</v>
      </c>
      <c r="BN111" s="41">
        <f>IFERROR(ROUND(_xlfn.XLOOKUP(BN$7,'Product Tgt'!$B:$B,'Product Tgt'!$G:$G)*AI111/AI$121,0),0)</f>
        <v>11708</v>
      </c>
      <c r="BO111" s="41">
        <f>IFERROR(ROUND(_xlfn.XLOOKUP(BO$7,'Product Tgt'!$B:$B,'Product Tgt'!$G:$G)*AJ111/AJ$121,0),0)</f>
        <v>8247</v>
      </c>
      <c r="BP111" s="41">
        <f>IFERROR(ROUND(_xlfn.XLOOKUP(BP$7,'Product Tgt'!$B:$B,'Product Tgt'!$G:$G)*AK111/AK$121,0),0)</f>
        <v>1815</v>
      </c>
      <c r="BQ111" s="41">
        <f>IFERROR(ROUND(_xlfn.XLOOKUP(BQ$7,'Product Tgt'!$B:$B,'Product Tgt'!$G:$G)*AL111/AL$121,0),0)</f>
        <v>2770</v>
      </c>
      <c r="BR111" s="25">
        <f>ROUND(IFERROR(AM111/_xlfn.XLOOKUP(BR$7,'Product Tgt'!$B:$B,'Product Tgt'!$D:$D),0),0)</f>
        <v>0</v>
      </c>
      <c r="BS111" s="11">
        <f>ROUND(IFERROR(AN111/_xlfn.XLOOKUP(BS$7,'Product Tgt'!$B:$B,'Product Tgt'!$D:$D),0),0)</f>
        <v>0</v>
      </c>
      <c r="BT111" s="11">
        <f>ROUND(IFERROR(AO111/_xlfn.XLOOKUP(BT$7,'Product Tgt'!$B:$B,'Product Tgt'!$D:$D),0),0)</f>
        <v>0</v>
      </c>
      <c r="BU111" s="11">
        <f>ROUND(IFERROR(AP111/_xlfn.XLOOKUP(BU$7,'Product Tgt'!$B:$B,'Product Tgt'!$D:$D),0),0)</f>
        <v>0</v>
      </c>
      <c r="BV111" s="11">
        <f>ROUND(IFERROR(AQ111/_xlfn.XLOOKUP(BV$7,'Product Tgt'!$B:$B,'Product Tgt'!$D:$D),0),0)</f>
        <v>0</v>
      </c>
      <c r="BW111" s="11">
        <f>ROUND(IFERROR(AU111/_xlfn.XLOOKUP(BW$7,'Product Tgt'!$B:$B,'Product Tgt'!$D:$D),0),0)</f>
        <v>0</v>
      </c>
      <c r="BX111" s="11">
        <f>ROUND(IFERROR(#REF!/_xlfn.XLOOKUP(BX$7,'Product Tgt'!$B:$B,'Product Tgt'!$D:$D),0),0)</f>
        <v>0</v>
      </c>
      <c r="BY111" s="11">
        <f>ROUND(IFERROR(#REF!/_xlfn.XLOOKUP(BY$7,'Product Tgt'!$B:$B,'Product Tgt'!$D:$D),0),0)</f>
        <v>0</v>
      </c>
      <c r="BZ111" s="11">
        <f>ROUND(IFERROR(#REF!/_xlfn.XLOOKUP(BZ$7,'Product Tgt'!$B:$B,'Product Tgt'!$D:$D),0),0)</f>
        <v>0</v>
      </c>
      <c r="CA111" s="11">
        <f>ROUND(IFERROR(#REF!/_xlfn.XLOOKUP(CA$7,'Product Tgt'!$B:$B,'Product Tgt'!$D:$D),0),0)</f>
        <v>0</v>
      </c>
      <c r="CB111" s="11">
        <f>ROUND(IFERROR(AV111/_xlfn.XLOOKUP(CB$7,'Product Tgt'!$B:$B,'Product Tgt'!$D:$D),0),0)</f>
        <v>0</v>
      </c>
      <c r="CC111" s="11">
        <f>ROUND(IFERROR(AW111/_xlfn.XLOOKUP(CC$7,'Product Tgt'!$B:$B,'Product Tgt'!$D:$D),0),0)</f>
        <v>0</v>
      </c>
      <c r="CD111" s="11">
        <f>ROUND(IFERROR(AX111/_xlfn.XLOOKUP(CD$7,'Product Tgt'!$B:$B,'Product Tgt'!$D:$D),0),0)</f>
        <v>0</v>
      </c>
      <c r="CE111" s="11">
        <f>ROUND(IFERROR(AY111/_xlfn.XLOOKUP(CE$7,'Product Tgt'!$B:$B,'Product Tgt'!$D:$D),0),0)</f>
        <v>0</v>
      </c>
      <c r="CF111" s="11">
        <f>ROUND(IFERROR(AZ111/_xlfn.XLOOKUP(CF$7,'Product Tgt'!$B:$B,'Product Tgt'!$D:$D),0),0)</f>
        <v>0</v>
      </c>
      <c r="CG111" s="11">
        <f>ROUND(IFERROR(BA111/_xlfn.XLOOKUP(CG$7,'Product Tgt'!$B:$B,'Product Tgt'!$D:$D),0),0)</f>
        <v>0</v>
      </c>
      <c r="CH111" s="11">
        <f>ROUND(IFERROR(BB111/_xlfn.XLOOKUP(CH$7,'Product Tgt'!$B:$B,'Product Tgt'!$D:$D),0),0)</f>
        <v>0</v>
      </c>
      <c r="CI111" s="11">
        <f>ROUND(IFERROR(BC111/_xlfn.XLOOKUP(CI$7,'Product Tgt'!$B:$B,'Product Tgt'!$D:$D),0),0)</f>
        <v>0</v>
      </c>
      <c r="CJ111" s="11">
        <f>ROUND(IFERROR(BD111/_xlfn.XLOOKUP(CJ$7,'Product Tgt'!$B:$B,'Product Tgt'!$D:$D),0),0)</f>
        <v>0</v>
      </c>
      <c r="CK111" s="11">
        <f>ROUND(IFERROR(BE111/_xlfn.XLOOKUP(CK$7,'Product Tgt'!$B:$B,'Product Tgt'!$D:$D),0),0)</f>
        <v>0</v>
      </c>
      <c r="CL111" s="11">
        <f>ROUND(IFERROR(BF111/_xlfn.XLOOKUP(CL$7,'Product Tgt'!$B:$B,'Product Tgt'!$D:$D),0),0)</f>
        <v>0</v>
      </c>
      <c r="CM111" s="11">
        <f>ROUND(IFERROR(BG111/_xlfn.XLOOKUP(CM$7,'Product Tgt'!$B:$B,'Product Tgt'!$D:$D),0),0)</f>
        <v>0</v>
      </c>
      <c r="CN111" s="11">
        <f>ROUND(IFERROR(BH111/_xlfn.XLOOKUP(CN$7,'Product Tgt'!$B:$B,'Product Tgt'!$D:$D),0),0)</f>
        <v>0</v>
      </c>
      <c r="CO111" s="11">
        <f>ROUND(IFERROR(BI111/_xlfn.XLOOKUP(CO$7,'Product Tgt'!$B:$B,'Product Tgt'!$D:$D),0),0)</f>
        <v>0</v>
      </c>
      <c r="CP111" s="11">
        <f>ROUND(IFERROR(BJ111/_xlfn.XLOOKUP(CP$7,'Product Tgt'!$B:$B,'Product Tgt'!$D:$D),0),0)</f>
        <v>0</v>
      </c>
      <c r="CQ111" s="11">
        <f>ROUND(IFERROR(BK111/_xlfn.XLOOKUP(CQ$7,'Product Tgt'!$B:$B,'Product Tgt'!$D:$D),0),0)</f>
        <v>0</v>
      </c>
      <c r="CR111" s="11">
        <f>ROUND(IFERROR(BL111/_xlfn.XLOOKUP(CR$7,'Product Tgt'!$B:$B,'Product Tgt'!$D:$D),0),0)</f>
        <v>0</v>
      </c>
      <c r="CS111" s="11">
        <f>ROUND(IFERROR(BM111/_xlfn.XLOOKUP(CS$7,'Product Tgt'!$B:$B,'Product Tgt'!$D:$D),0),0)</f>
        <v>0</v>
      </c>
      <c r="CT111" s="11">
        <f>ROUND(IFERROR(BN111/_xlfn.XLOOKUP(CT$7,'Product Tgt'!$B:$B,'Product Tgt'!$D:$D),0),0)</f>
        <v>0</v>
      </c>
      <c r="CU111" s="11">
        <f>ROUND(IFERROR(BO111/_xlfn.XLOOKUP(CU$7,'Product Tgt'!$B:$B,'Product Tgt'!$D:$D),0),0)</f>
        <v>0</v>
      </c>
      <c r="CV111" s="11">
        <f>ROUND(IFERROR(BP111/_xlfn.XLOOKUP(CV$7,'Product Tgt'!$B:$B,'Product Tgt'!$D:$D),0),0)</f>
        <v>0</v>
      </c>
      <c r="CW111" s="11">
        <f>ROUND(IFERROR(BQ111/_xlfn.XLOOKUP(CW$7,'Product Tgt'!$B:$B,'Product Tgt'!$D:$D),0),0)</f>
        <v>0</v>
      </c>
      <c r="CX111" s="11">
        <f>ROUND(IFERROR(#REF!/_xlfn.XLOOKUP(CX$7,'Product Tgt'!$B:$B,'Product Tgt'!$D:$D),0),0)</f>
        <v>0</v>
      </c>
      <c r="CY111" s="11">
        <f>ROUND(IFERROR(#REF!/_xlfn.XLOOKUP(CY$7,'Product Tgt'!$B:$B,'Product Tgt'!$D:$D),0),0)</f>
        <v>0</v>
      </c>
      <c r="CZ111" s="11">
        <f>ROUND(IFERROR(#REF!/_xlfn.XLOOKUP(CZ$7,'Product Tgt'!$B:$B,'Product Tgt'!$D:$D),0),0)</f>
        <v>0</v>
      </c>
      <c r="DA111" s="10">
        <f>IFERROR(BR111*_xlfn.XLOOKUP(DA$7,'Product Tgt'!$B:$B,'Product Tgt'!$D:$D),0)</f>
        <v>0</v>
      </c>
      <c r="DB111">
        <f>IFERROR(BS111*_xlfn.XLOOKUP(DB$7,'Product Tgt'!$B:$B,'Product Tgt'!$D:$D),0)</f>
        <v>0</v>
      </c>
      <c r="DC111">
        <f>IFERROR(BT111*_xlfn.XLOOKUP(DC$7,'Product Tgt'!$B:$B,'Product Tgt'!$D:$D),0)</f>
        <v>0</v>
      </c>
      <c r="DD111">
        <f>IFERROR(BU111*_xlfn.XLOOKUP(DD$7,'Product Tgt'!$B:$B,'Product Tgt'!$D:$D),0)</f>
        <v>0</v>
      </c>
      <c r="DE111">
        <f>IFERROR(BV111*_xlfn.XLOOKUP(DE$7,'Product Tgt'!$B:$B,'Product Tgt'!$D:$D),0)</f>
        <v>0</v>
      </c>
      <c r="DF111">
        <f>IFERROR(BW111*_xlfn.XLOOKUP(DF$7,'Product Tgt'!$B:$B,'Product Tgt'!$D:$D),0)</f>
        <v>0</v>
      </c>
      <c r="DG111">
        <f>IFERROR(BX111*_xlfn.XLOOKUP(DG$7,'Product Tgt'!$B:$B,'Product Tgt'!$D:$D),0)</f>
        <v>0</v>
      </c>
      <c r="DH111">
        <f>IFERROR(BY111*_xlfn.XLOOKUP(DH$7,'Product Tgt'!$B:$B,'Product Tgt'!$D:$D),0)</f>
        <v>0</v>
      </c>
      <c r="DI111">
        <f>IFERROR(BZ111*_xlfn.XLOOKUP(DI$7,'Product Tgt'!$B:$B,'Product Tgt'!$D:$D),0)</f>
        <v>0</v>
      </c>
      <c r="DJ111">
        <f>IFERROR(CA111*_xlfn.XLOOKUP(DJ$7,'Product Tgt'!$B:$B,'Product Tgt'!$D:$D),0)</f>
        <v>0</v>
      </c>
      <c r="DK111">
        <f>IFERROR(CB111*_xlfn.XLOOKUP(DK$7,'Product Tgt'!$B:$B,'Product Tgt'!$D:$D),0)</f>
        <v>0</v>
      </c>
      <c r="DL111">
        <f>IFERROR(CC111*_xlfn.XLOOKUP(DL$7,'Product Tgt'!$B:$B,'Product Tgt'!$D:$D),0)</f>
        <v>0</v>
      </c>
      <c r="DM111">
        <f>IFERROR(CD111*_xlfn.XLOOKUP(DM$7,'Product Tgt'!$B:$B,'Product Tgt'!$D:$D),0)</f>
        <v>0</v>
      </c>
      <c r="DN111">
        <f>IFERROR(CE111*_xlfn.XLOOKUP(DN$7,'Product Tgt'!$B:$B,'Product Tgt'!$D:$D),0)</f>
        <v>0</v>
      </c>
      <c r="DO111">
        <f>IFERROR(CF111*_xlfn.XLOOKUP(DO$7,'Product Tgt'!$B:$B,'Product Tgt'!$D:$D),0)</f>
        <v>0</v>
      </c>
      <c r="DP111">
        <f>IFERROR(CG111*_xlfn.XLOOKUP(DP$7,'Product Tgt'!$B:$B,'Product Tgt'!$D:$D),0)</f>
        <v>0</v>
      </c>
      <c r="DQ111">
        <f>IFERROR(CH111*_xlfn.XLOOKUP(DQ$7,'Product Tgt'!$B:$B,'Product Tgt'!$D:$D),0)</f>
        <v>0</v>
      </c>
      <c r="DR111">
        <f>IFERROR(CI111*_xlfn.XLOOKUP(DR$7,'Product Tgt'!$B:$B,'Product Tgt'!$D:$D),0)</f>
        <v>0</v>
      </c>
      <c r="DS111">
        <f>IFERROR(CJ111*_xlfn.XLOOKUP(DS$7,'Product Tgt'!$B:$B,'Product Tgt'!$D:$D),0)</f>
        <v>0</v>
      </c>
      <c r="DT111">
        <f>IFERROR(CK111*_xlfn.XLOOKUP(DT$7,'Product Tgt'!$B:$B,'Product Tgt'!$D:$D),0)</f>
        <v>0</v>
      </c>
      <c r="DU111">
        <f>IFERROR(CL111*_xlfn.XLOOKUP(DU$7,'Product Tgt'!$B:$B,'Product Tgt'!$D:$D),0)</f>
        <v>0</v>
      </c>
      <c r="DV111">
        <f>IFERROR(CM111*_xlfn.XLOOKUP(DV$7,'Product Tgt'!$B:$B,'Product Tgt'!$D:$D),0)</f>
        <v>0</v>
      </c>
      <c r="DW111">
        <f>IFERROR(CN111*_xlfn.XLOOKUP(DW$7,'Product Tgt'!$B:$B,'Product Tgt'!$D:$D),0)</f>
        <v>0</v>
      </c>
      <c r="DX111">
        <f>IFERROR(CO111*_xlfn.XLOOKUP(DX$7,'Product Tgt'!$B:$B,'Product Tgt'!$D:$D),0)</f>
        <v>0</v>
      </c>
      <c r="DY111">
        <f>IFERROR(CP111*_xlfn.XLOOKUP(DY$7,'Product Tgt'!$B:$B,'Product Tgt'!$D:$D),0)</f>
        <v>0</v>
      </c>
      <c r="DZ111">
        <f>IFERROR(CQ111*_xlfn.XLOOKUP(DZ$7,'Product Tgt'!$B:$B,'Product Tgt'!$D:$D),0)</f>
        <v>0</v>
      </c>
      <c r="EA111">
        <f>IFERROR(CR111*_xlfn.XLOOKUP(EA$7,'Product Tgt'!$B:$B,'Product Tgt'!$D:$D),0)</f>
        <v>0</v>
      </c>
      <c r="EB111">
        <f>IFERROR(CS111*_xlfn.XLOOKUP(EB$7,'Product Tgt'!$B:$B,'Product Tgt'!$D:$D),0)</f>
        <v>0</v>
      </c>
      <c r="EC111">
        <f>IFERROR(CT111*_xlfn.XLOOKUP(EC$7,'Product Tgt'!$B:$B,'Product Tgt'!$D:$D),0)</f>
        <v>0</v>
      </c>
      <c r="ED111">
        <f>IFERROR(CU111*_xlfn.XLOOKUP(ED$7,'Product Tgt'!$B:$B,'Product Tgt'!$D:$D),0)</f>
        <v>0</v>
      </c>
      <c r="EE111">
        <f>IFERROR(CV111*_xlfn.XLOOKUP(EE$7,'Product Tgt'!$B:$B,'Product Tgt'!$D:$D),0)</f>
        <v>0</v>
      </c>
      <c r="EF111">
        <f>IFERROR(CW111*_xlfn.XLOOKUP(EF$7,'Product Tgt'!$B:$B,'Product Tgt'!$D:$D),0)</f>
        <v>0</v>
      </c>
      <c r="EG111">
        <f>IFERROR(CX111*_xlfn.XLOOKUP(EG$7,'Product Tgt'!$B:$B,'Product Tgt'!$D:$D),0)</f>
        <v>0</v>
      </c>
      <c r="EH111">
        <f>IFERROR(CY111*_xlfn.XLOOKUP(EH$7,'Product Tgt'!$B:$B,'Product Tgt'!$D:$D),0)</f>
        <v>0</v>
      </c>
      <c r="EI111">
        <f>IFERROR(CZ111*_xlfn.XLOOKUP(EI$7,'Product Tgt'!$B:$B,'Product Tgt'!$D:$D),0)</f>
        <v>0</v>
      </c>
    </row>
    <row r="112" spans="2:139" x14ac:dyDescent="0.35">
      <c r="B112" s="7" t="s">
        <v>112</v>
      </c>
      <c r="C112" s="3">
        <f>_xlfn.XLOOKUP($B112,'Terr Target'!$A:$A,'Terr Target'!$E:$E)</f>
        <v>406415.30237326195</v>
      </c>
      <c r="D112" s="3">
        <f t="shared" si="14"/>
        <v>406419</v>
      </c>
      <c r="E112" s="4">
        <f t="shared" si="15"/>
        <v>3.6976267380523495</v>
      </c>
      <c r="F112" s="9">
        <f t="shared" si="13"/>
        <v>9.0980656368239416E-6</v>
      </c>
      <c r="G112" s="5">
        <f t="shared" si="12"/>
        <v>0.99999090193436313</v>
      </c>
      <c r="H112" s="38">
        <v>33773.535030206469</v>
      </c>
      <c r="I112" s="11">
        <v>83933.880124199946</v>
      </c>
      <c r="J112" s="11">
        <v>49405.272507746056</v>
      </c>
      <c r="K112" s="11">
        <v>48972.149646275931</v>
      </c>
      <c r="L112" s="11">
        <v>39732.484595475529</v>
      </c>
      <c r="M112" s="11">
        <v>26158.384503509209</v>
      </c>
      <c r="N112" s="11">
        <v>743.39057390458822</v>
      </c>
      <c r="O112" s="11">
        <v>4944.4219356588374</v>
      </c>
      <c r="P112" s="11">
        <v>1469.4419371814208</v>
      </c>
      <c r="Q112" s="11">
        <v>947.65219356713123</v>
      </c>
      <c r="R112" s="11">
        <v>6876.9576313612961</v>
      </c>
      <c r="S112" s="11">
        <v>16863.954914077083</v>
      </c>
      <c r="T112" s="11">
        <v>0</v>
      </c>
      <c r="U112" s="11">
        <v>1823.7826961820831</v>
      </c>
      <c r="V112" s="11">
        <v>10090.031814655746</v>
      </c>
      <c r="W112" s="11">
        <v>23148.540573402977</v>
      </c>
      <c r="X112" s="11">
        <v>2868.4343960819897</v>
      </c>
      <c r="Y112" s="11">
        <v>3610.7936035122525</v>
      </c>
      <c r="Z112" s="11">
        <v>376.84701354929223</v>
      </c>
      <c r="AA112" s="11">
        <v>6397.5560286868276</v>
      </c>
      <c r="AB112" s="11">
        <v>3180.9384378023715</v>
      </c>
      <c r="AC112" s="11">
        <v>650.4756872721091</v>
      </c>
      <c r="AD112" s="11">
        <v>2696.8599455710632</v>
      </c>
      <c r="AE112" s="11">
        <v>4721.7999504434638</v>
      </c>
      <c r="AF112" s="11">
        <v>646.36043292406112</v>
      </c>
      <c r="AG112" s="11">
        <v>24160.545950348267</v>
      </c>
      <c r="AH112" s="11">
        <v>2186.2926945833369</v>
      </c>
      <c r="AI112" s="11">
        <v>11563.609429283715</v>
      </c>
      <c r="AJ112" s="11">
        <v>8226.3934417480268</v>
      </c>
      <c r="AK112" s="11">
        <v>1886.2773775966091</v>
      </c>
      <c r="AL112" s="49">
        <v>2883.4351619313261</v>
      </c>
      <c r="AM112" s="41">
        <f>IFERROR(ROUND(_xlfn.XLOOKUP(AM$7,'Product Tgt'!$B:$B,'Product Tgt'!$G:$G)*H112/H$121,0),0)</f>
        <v>32833</v>
      </c>
      <c r="AN112" s="41">
        <f>IFERROR(ROUND(_xlfn.XLOOKUP(AN$7,'Product Tgt'!$B:$B,'Product Tgt'!$G:$G)*I112/I$121,0),0)</f>
        <v>82625</v>
      </c>
      <c r="AO112" s="41">
        <f>IFERROR(ROUND(_xlfn.XLOOKUP(AO$7,'Product Tgt'!$B:$B,'Product Tgt'!$G:$G)*J112/J$121,0),0)</f>
        <v>47869</v>
      </c>
      <c r="AP112" s="41">
        <f>IFERROR(ROUND(_xlfn.XLOOKUP(AP$7,'Product Tgt'!$B:$B,'Product Tgt'!$G:$G)*K112/K$121,0),0)</f>
        <v>47773</v>
      </c>
      <c r="AQ112" s="41">
        <f>IFERROR(ROUND(_xlfn.XLOOKUP(AQ$7,'Product Tgt'!$B:$B,'Product Tgt'!$G:$G)*L112/L$121,0),0)</f>
        <v>38419</v>
      </c>
      <c r="AR112" s="41">
        <f>IFERROR(ROUND(_xlfn.XLOOKUP(AR$7,'Product Tgt'!$B:$B,'Product Tgt'!$G:$G)*M112/M$121,0),0)</f>
        <v>25342</v>
      </c>
      <c r="AS112" s="41">
        <f>IFERROR(ROUND(_xlfn.XLOOKUP(AS$7,'Product Tgt'!$B:$B,'Product Tgt'!$G:$G)*N112/N$121,0),0)</f>
        <v>687</v>
      </c>
      <c r="AT112" s="41">
        <f>IFERROR(ROUND(_xlfn.XLOOKUP(AT$7,'Product Tgt'!$B:$B,'Product Tgt'!$G:$G)*O112/O$121,0),0)</f>
        <v>4450</v>
      </c>
      <c r="AU112" s="41">
        <f>IFERROR(ROUND(_xlfn.XLOOKUP(AU$7,'Product Tgt'!$B:$B,'Product Tgt'!$G:$G)*P112/P$121,0),0)</f>
        <v>627</v>
      </c>
      <c r="AV112" s="41">
        <f>IFERROR(ROUND(_xlfn.XLOOKUP(AV$7,'Product Tgt'!$B:$B,'Product Tgt'!$G:$G)*Q112/Q$121,0),0)</f>
        <v>711</v>
      </c>
      <c r="AW112" s="41">
        <f>IFERROR(ROUND(_xlfn.XLOOKUP(AW$7,'Product Tgt'!$B:$B,'Product Tgt'!$G:$G)*R112/R$121,0),0)</f>
        <v>6623</v>
      </c>
      <c r="AX112" s="41">
        <f>IFERROR(ROUND(_xlfn.XLOOKUP(AX$7,'Product Tgt'!$B:$B,'Product Tgt'!$G:$G)*S112/S$121,0),0)</f>
        <v>16242</v>
      </c>
      <c r="AY112" s="41">
        <f>IFERROR(ROUND(_xlfn.XLOOKUP(AY$7,'Product Tgt'!$B:$B,'Product Tgt'!$G:$G)*T112/T$121,0),0)</f>
        <v>0</v>
      </c>
      <c r="AZ112" s="41">
        <f>IFERROR(ROUND(_xlfn.XLOOKUP(AZ$7,'Product Tgt'!$B:$B,'Product Tgt'!$G:$G)*U112/U$121,0),0)</f>
        <v>1745</v>
      </c>
      <c r="BA112" s="41">
        <f>IFERROR(ROUND(_xlfn.XLOOKUP(BA$7,'Product Tgt'!$B:$B,'Product Tgt'!$G:$G)*V112/V$121,0),0)</f>
        <v>9715</v>
      </c>
      <c r="BB112" s="41">
        <f>IFERROR(ROUND(_xlfn.XLOOKUP(BB$7,'Product Tgt'!$B:$B,'Product Tgt'!$G:$G)*W112/W$121,0),0)</f>
        <v>22159</v>
      </c>
      <c r="BC112" s="41">
        <f>IFERROR(ROUND(_xlfn.XLOOKUP(BC$7,'Product Tgt'!$B:$B,'Product Tgt'!$G:$G)*X112/X$121,0),0)</f>
        <v>2776</v>
      </c>
      <c r="BD112" s="41">
        <f>IFERROR(ROUND(_xlfn.XLOOKUP(BD$7,'Product Tgt'!$B:$B,'Product Tgt'!$G:$G)*Y112/Y$121,0),0)</f>
        <v>3492</v>
      </c>
      <c r="BE112" s="41">
        <f>IFERROR(ROUND(_xlfn.XLOOKUP(BE$7,'Product Tgt'!$B:$B,'Product Tgt'!$G:$G)*Z112/Z$121,0),0)</f>
        <v>358</v>
      </c>
      <c r="BF112" s="41">
        <f>IFERROR(ROUND(_xlfn.XLOOKUP(BF$7,'Product Tgt'!$B:$B,'Product Tgt'!$G:$G)*AA112/AA$121,0),0)</f>
        <v>5185</v>
      </c>
      <c r="BG112" s="41">
        <f>IFERROR(ROUND(_xlfn.XLOOKUP(BG$7,'Product Tgt'!$B:$B,'Product Tgt'!$G:$G)*AB112/AB$121,0),0)</f>
        <v>2549</v>
      </c>
      <c r="BH112" s="41">
        <f>IFERROR(ROUND(_xlfn.XLOOKUP(BH$7,'Product Tgt'!$B:$B,'Product Tgt'!$G:$G)*AC112/AC$121,0),0)</f>
        <v>557</v>
      </c>
      <c r="BI112" s="41">
        <f>IFERROR(ROUND(_xlfn.XLOOKUP(BI$7,'Product Tgt'!$B:$B,'Product Tgt'!$G:$G)*AD112/AD$121,0),0)</f>
        <v>2348</v>
      </c>
      <c r="BJ112" s="41">
        <f>IFERROR(ROUND(_xlfn.XLOOKUP(BJ$7,'Product Tgt'!$B:$B,'Product Tgt'!$G:$G)*AE112/AE$121,0),0)</f>
        <v>4395</v>
      </c>
      <c r="BK112" s="41">
        <f>IFERROR(ROUND(_xlfn.XLOOKUP(BK$7,'Product Tgt'!$B:$B,'Product Tgt'!$G:$G)*AF112/AF$121,0),0)</f>
        <v>722</v>
      </c>
      <c r="BL112" s="41">
        <f>IFERROR(ROUND(_xlfn.XLOOKUP(BL$7,'Product Tgt'!$B:$B,'Product Tgt'!$G:$G)*AG112/AG$121,0),0)</f>
        <v>23078</v>
      </c>
      <c r="BM112" s="41">
        <f>IFERROR(ROUND(_xlfn.XLOOKUP(BM$7,'Product Tgt'!$B:$B,'Product Tgt'!$G:$G)*AH112/AH$121,0),0)</f>
        <v>1714</v>
      </c>
      <c r="BN112" s="41">
        <f>IFERROR(ROUND(_xlfn.XLOOKUP(BN$7,'Product Tgt'!$B:$B,'Product Tgt'!$G:$G)*AI112/AI$121,0),0)</f>
        <v>10620</v>
      </c>
      <c r="BO112" s="41">
        <f>IFERROR(ROUND(_xlfn.XLOOKUP(BO$7,'Product Tgt'!$B:$B,'Product Tgt'!$G:$G)*AJ112/AJ$121,0),0)</f>
        <v>7115</v>
      </c>
      <c r="BP112" s="41">
        <f>IFERROR(ROUND(_xlfn.XLOOKUP(BP$7,'Product Tgt'!$B:$B,'Product Tgt'!$G:$G)*AK112/AK$121,0),0)</f>
        <v>1436</v>
      </c>
      <c r="BQ112" s="41">
        <f>IFERROR(ROUND(_xlfn.XLOOKUP(BQ$7,'Product Tgt'!$B:$B,'Product Tgt'!$G:$G)*AL112/AL$121,0),0)</f>
        <v>2254</v>
      </c>
      <c r="BR112" s="25">
        <f>ROUND(IFERROR(AM112/_xlfn.XLOOKUP(BR$7,'Product Tgt'!$B:$B,'Product Tgt'!$D:$D),0),0)</f>
        <v>0</v>
      </c>
      <c r="BS112" s="11">
        <f>ROUND(IFERROR(AN112/_xlfn.XLOOKUP(BS$7,'Product Tgt'!$B:$B,'Product Tgt'!$D:$D),0),0)</f>
        <v>0</v>
      </c>
      <c r="BT112" s="11">
        <f>ROUND(IFERROR(AO112/_xlfn.XLOOKUP(BT$7,'Product Tgt'!$B:$B,'Product Tgt'!$D:$D),0),0)</f>
        <v>0</v>
      </c>
      <c r="BU112" s="11">
        <f>ROUND(IFERROR(AP112/_xlfn.XLOOKUP(BU$7,'Product Tgt'!$B:$B,'Product Tgt'!$D:$D),0),0)</f>
        <v>0</v>
      </c>
      <c r="BV112" s="11">
        <f>ROUND(IFERROR(AQ112/_xlfn.XLOOKUP(BV$7,'Product Tgt'!$B:$B,'Product Tgt'!$D:$D),0),0)</f>
        <v>0</v>
      </c>
      <c r="BW112" s="11">
        <f>ROUND(IFERROR(AU112/_xlfn.XLOOKUP(BW$7,'Product Tgt'!$B:$B,'Product Tgt'!$D:$D),0),0)</f>
        <v>0</v>
      </c>
      <c r="BX112" s="11">
        <f>ROUND(IFERROR(#REF!/_xlfn.XLOOKUP(BX$7,'Product Tgt'!$B:$B,'Product Tgt'!$D:$D),0),0)</f>
        <v>0</v>
      </c>
      <c r="BY112" s="11">
        <f>ROUND(IFERROR(#REF!/_xlfn.XLOOKUP(BY$7,'Product Tgt'!$B:$B,'Product Tgt'!$D:$D),0),0)</f>
        <v>0</v>
      </c>
      <c r="BZ112" s="11">
        <f>ROUND(IFERROR(#REF!/_xlfn.XLOOKUP(BZ$7,'Product Tgt'!$B:$B,'Product Tgt'!$D:$D),0),0)</f>
        <v>0</v>
      </c>
      <c r="CA112" s="11">
        <f>ROUND(IFERROR(#REF!/_xlfn.XLOOKUP(CA$7,'Product Tgt'!$B:$B,'Product Tgt'!$D:$D),0),0)</f>
        <v>0</v>
      </c>
      <c r="CB112" s="11">
        <f>ROUND(IFERROR(AV112/_xlfn.XLOOKUP(CB$7,'Product Tgt'!$B:$B,'Product Tgt'!$D:$D),0),0)</f>
        <v>0</v>
      </c>
      <c r="CC112" s="11">
        <f>ROUND(IFERROR(AW112/_xlfn.XLOOKUP(CC$7,'Product Tgt'!$B:$B,'Product Tgt'!$D:$D),0),0)</f>
        <v>0</v>
      </c>
      <c r="CD112" s="11">
        <f>ROUND(IFERROR(AX112/_xlfn.XLOOKUP(CD$7,'Product Tgt'!$B:$B,'Product Tgt'!$D:$D),0),0)</f>
        <v>0</v>
      </c>
      <c r="CE112" s="11">
        <f>ROUND(IFERROR(AY112/_xlfn.XLOOKUP(CE$7,'Product Tgt'!$B:$B,'Product Tgt'!$D:$D),0),0)</f>
        <v>0</v>
      </c>
      <c r="CF112" s="11">
        <f>ROUND(IFERROR(AZ112/_xlfn.XLOOKUP(CF$7,'Product Tgt'!$B:$B,'Product Tgt'!$D:$D),0),0)</f>
        <v>0</v>
      </c>
      <c r="CG112" s="11">
        <f>ROUND(IFERROR(BA112/_xlfn.XLOOKUP(CG$7,'Product Tgt'!$B:$B,'Product Tgt'!$D:$D),0),0)</f>
        <v>0</v>
      </c>
      <c r="CH112" s="11">
        <f>ROUND(IFERROR(BB112/_xlfn.XLOOKUP(CH$7,'Product Tgt'!$B:$B,'Product Tgt'!$D:$D),0),0)</f>
        <v>0</v>
      </c>
      <c r="CI112" s="11">
        <f>ROUND(IFERROR(BC112/_xlfn.XLOOKUP(CI$7,'Product Tgt'!$B:$B,'Product Tgt'!$D:$D),0),0)</f>
        <v>0</v>
      </c>
      <c r="CJ112" s="11">
        <f>ROUND(IFERROR(BD112/_xlfn.XLOOKUP(CJ$7,'Product Tgt'!$B:$B,'Product Tgt'!$D:$D),0),0)</f>
        <v>0</v>
      </c>
      <c r="CK112" s="11">
        <f>ROUND(IFERROR(BE112/_xlfn.XLOOKUP(CK$7,'Product Tgt'!$B:$B,'Product Tgt'!$D:$D),0),0)</f>
        <v>0</v>
      </c>
      <c r="CL112" s="11">
        <f>ROUND(IFERROR(BF112/_xlfn.XLOOKUP(CL$7,'Product Tgt'!$B:$B,'Product Tgt'!$D:$D),0),0)</f>
        <v>0</v>
      </c>
      <c r="CM112" s="11">
        <f>ROUND(IFERROR(BG112/_xlfn.XLOOKUP(CM$7,'Product Tgt'!$B:$B,'Product Tgt'!$D:$D),0),0)</f>
        <v>0</v>
      </c>
      <c r="CN112" s="11">
        <f>ROUND(IFERROR(BH112/_xlfn.XLOOKUP(CN$7,'Product Tgt'!$B:$B,'Product Tgt'!$D:$D),0),0)</f>
        <v>0</v>
      </c>
      <c r="CO112" s="11">
        <f>ROUND(IFERROR(BI112/_xlfn.XLOOKUP(CO$7,'Product Tgt'!$B:$B,'Product Tgt'!$D:$D),0),0)</f>
        <v>0</v>
      </c>
      <c r="CP112" s="11">
        <f>ROUND(IFERROR(BJ112/_xlfn.XLOOKUP(CP$7,'Product Tgt'!$B:$B,'Product Tgt'!$D:$D),0),0)</f>
        <v>0</v>
      </c>
      <c r="CQ112" s="11">
        <f>ROUND(IFERROR(BK112/_xlfn.XLOOKUP(CQ$7,'Product Tgt'!$B:$B,'Product Tgt'!$D:$D),0),0)</f>
        <v>0</v>
      </c>
      <c r="CR112" s="11">
        <f>ROUND(IFERROR(BL112/_xlfn.XLOOKUP(CR$7,'Product Tgt'!$B:$B,'Product Tgt'!$D:$D),0),0)</f>
        <v>0</v>
      </c>
      <c r="CS112" s="11">
        <f>ROUND(IFERROR(BM112/_xlfn.XLOOKUP(CS$7,'Product Tgt'!$B:$B,'Product Tgt'!$D:$D),0),0)</f>
        <v>0</v>
      </c>
      <c r="CT112" s="11">
        <f>ROUND(IFERROR(BN112/_xlfn.XLOOKUP(CT$7,'Product Tgt'!$B:$B,'Product Tgt'!$D:$D),0),0)</f>
        <v>0</v>
      </c>
      <c r="CU112" s="11">
        <f>ROUND(IFERROR(BO112/_xlfn.XLOOKUP(CU$7,'Product Tgt'!$B:$B,'Product Tgt'!$D:$D),0),0)</f>
        <v>0</v>
      </c>
      <c r="CV112" s="11">
        <f>ROUND(IFERROR(BP112/_xlfn.XLOOKUP(CV$7,'Product Tgt'!$B:$B,'Product Tgt'!$D:$D),0),0)</f>
        <v>0</v>
      </c>
      <c r="CW112" s="11">
        <f>ROUND(IFERROR(BQ112/_xlfn.XLOOKUP(CW$7,'Product Tgt'!$B:$B,'Product Tgt'!$D:$D),0),0)</f>
        <v>0</v>
      </c>
      <c r="CX112" s="11">
        <f>ROUND(IFERROR(#REF!/_xlfn.XLOOKUP(CX$7,'Product Tgt'!$B:$B,'Product Tgt'!$D:$D),0),0)</f>
        <v>0</v>
      </c>
      <c r="CY112" s="11">
        <f>ROUND(IFERROR(#REF!/_xlfn.XLOOKUP(CY$7,'Product Tgt'!$B:$B,'Product Tgt'!$D:$D),0),0)</f>
        <v>0</v>
      </c>
      <c r="CZ112" s="11">
        <f>ROUND(IFERROR(#REF!/_xlfn.XLOOKUP(CZ$7,'Product Tgt'!$B:$B,'Product Tgt'!$D:$D),0),0)</f>
        <v>0</v>
      </c>
      <c r="DA112" s="10">
        <f>IFERROR(BR112*_xlfn.XLOOKUP(DA$7,'Product Tgt'!$B:$B,'Product Tgt'!$D:$D),0)</f>
        <v>0</v>
      </c>
      <c r="DB112">
        <f>IFERROR(BS112*_xlfn.XLOOKUP(DB$7,'Product Tgt'!$B:$B,'Product Tgt'!$D:$D),0)</f>
        <v>0</v>
      </c>
      <c r="DC112">
        <f>IFERROR(BT112*_xlfn.XLOOKUP(DC$7,'Product Tgt'!$B:$B,'Product Tgt'!$D:$D),0)</f>
        <v>0</v>
      </c>
      <c r="DD112">
        <f>IFERROR(BU112*_xlfn.XLOOKUP(DD$7,'Product Tgt'!$B:$B,'Product Tgt'!$D:$D),0)</f>
        <v>0</v>
      </c>
      <c r="DE112">
        <f>IFERROR(BV112*_xlfn.XLOOKUP(DE$7,'Product Tgt'!$B:$B,'Product Tgt'!$D:$D),0)</f>
        <v>0</v>
      </c>
      <c r="DF112">
        <f>IFERROR(BW112*_xlfn.XLOOKUP(DF$7,'Product Tgt'!$B:$B,'Product Tgt'!$D:$D),0)</f>
        <v>0</v>
      </c>
      <c r="DG112">
        <f>IFERROR(BX112*_xlfn.XLOOKUP(DG$7,'Product Tgt'!$B:$B,'Product Tgt'!$D:$D),0)</f>
        <v>0</v>
      </c>
      <c r="DH112">
        <f>IFERROR(BY112*_xlfn.XLOOKUP(DH$7,'Product Tgt'!$B:$B,'Product Tgt'!$D:$D),0)</f>
        <v>0</v>
      </c>
      <c r="DI112">
        <f>IFERROR(BZ112*_xlfn.XLOOKUP(DI$7,'Product Tgt'!$B:$B,'Product Tgt'!$D:$D),0)</f>
        <v>0</v>
      </c>
      <c r="DJ112">
        <f>IFERROR(CA112*_xlfn.XLOOKUP(DJ$7,'Product Tgt'!$B:$B,'Product Tgt'!$D:$D),0)</f>
        <v>0</v>
      </c>
      <c r="DK112">
        <f>IFERROR(CB112*_xlfn.XLOOKUP(DK$7,'Product Tgt'!$B:$B,'Product Tgt'!$D:$D),0)</f>
        <v>0</v>
      </c>
      <c r="DL112">
        <f>IFERROR(CC112*_xlfn.XLOOKUP(DL$7,'Product Tgt'!$B:$B,'Product Tgt'!$D:$D),0)</f>
        <v>0</v>
      </c>
      <c r="DM112">
        <f>IFERROR(CD112*_xlfn.XLOOKUP(DM$7,'Product Tgt'!$B:$B,'Product Tgt'!$D:$D),0)</f>
        <v>0</v>
      </c>
      <c r="DN112">
        <f>IFERROR(CE112*_xlfn.XLOOKUP(DN$7,'Product Tgt'!$B:$B,'Product Tgt'!$D:$D),0)</f>
        <v>0</v>
      </c>
      <c r="DO112">
        <f>IFERROR(CF112*_xlfn.XLOOKUP(DO$7,'Product Tgt'!$B:$B,'Product Tgt'!$D:$D),0)</f>
        <v>0</v>
      </c>
      <c r="DP112">
        <f>IFERROR(CG112*_xlfn.XLOOKUP(DP$7,'Product Tgt'!$B:$B,'Product Tgt'!$D:$D),0)</f>
        <v>0</v>
      </c>
      <c r="DQ112">
        <f>IFERROR(CH112*_xlfn.XLOOKUP(DQ$7,'Product Tgt'!$B:$B,'Product Tgt'!$D:$D),0)</f>
        <v>0</v>
      </c>
      <c r="DR112">
        <f>IFERROR(CI112*_xlfn.XLOOKUP(DR$7,'Product Tgt'!$B:$B,'Product Tgt'!$D:$D),0)</f>
        <v>0</v>
      </c>
      <c r="DS112">
        <f>IFERROR(CJ112*_xlfn.XLOOKUP(DS$7,'Product Tgt'!$B:$B,'Product Tgt'!$D:$D),0)</f>
        <v>0</v>
      </c>
      <c r="DT112">
        <f>IFERROR(CK112*_xlfn.XLOOKUP(DT$7,'Product Tgt'!$B:$B,'Product Tgt'!$D:$D),0)</f>
        <v>0</v>
      </c>
      <c r="DU112">
        <f>IFERROR(CL112*_xlfn.XLOOKUP(DU$7,'Product Tgt'!$B:$B,'Product Tgt'!$D:$D),0)</f>
        <v>0</v>
      </c>
      <c r="DV112">
        <f>IFERROR(CM112*_xlfn.XLOOKUP(DV$7,'Product Tgt'!$B:$B,'Product Tgt'!$D:$D),0)</f>
        <v>0</v>
      </c>
      <c r="DW112">
        <f>IFERROR(CN112*_xlfn.XLOOKUP(DW$7,'Product Tgt'!$B:$B,'Product Tgt'!$D:$D),0)</f>
        <v>0</v>
      </c>
      <c r="DX112">
        <f>IFERROR(CO112*_xlfn.XLOOKUP(DX$7,'Product Tgt'!$B:$B,'Product Tgt'!$D:$D),0)</f>
        <v>0</v>
      </c>
      <c r="DY112">
        <f>IFERROR(CP112*_xlfn.XLOOKUP(DY$7,'Product Tgt'!$B:$B,'Product Tgt'!$D:$D),0)</f>
        <v>0</v>
      </c>
      <c r="DZ112">
        <f>IFERROR(CQ112*_xlfn.XLOOKUP(DZ$7,'Product Tgt'!$B:$B,'Product Tgt'!$D:$D),0)</f>
        <v>0</v>
      </c>
      <c r="EA112">
        <f>IFERROR(CR112*_xlfn.XLOOKUP(EA$7,'Product Tgt'!$B:$B,'Product Tgt'!$D:$D),0)</f>
        <v>0</v>
      </c>
      <c r="EB112">
        <f>IFERROR(CS112*_xlfn.XLOOKUP(EB$7,'Product Tgt'!$B:$B,'Product Tgt'!$D:$D),0)</f>
        <v>0</v>
      </c>
      <c r="EC112">
        <f>IFERROR(CT112*_xlfn.XLOOKUP(EC$7,'Product Tgt'!$B:$B,'Product Tgt'!$D:$D),0)</f>
        <v>0</v>
      </c>
      <c r="ED112">
        <f>IFERROR(CU112*_xlfn.XLOOKUP(ED$7,'Product Tgt'!$B:$B,'Product Tgt'!$D:$D),0)</f>
        <v>0</v>
      </c>
      <c r="EE112">
        <f>IFERROR(CV112*_xlfn.XLOOKUP(EE$7,'Product Tgt'!$B:$B,'Product Tgt'!$D:$D),0)</f>
        <v>0</v>
      </c>
      <c r="EF112">
        <f>IFERROR(CW112*_xlfn.XLOOKUP(EF$7,'Product Tgt'!$B:$B,'Product Tgt'!$D:$D),0)</f>
        <v>0</v>
      </c>
      <c r="EG112">
        <f>IFERROR(CX112*_xlfn.XLOOKUP(EG$7,'Product Tgt'!$B:$B,'Product Tgt'!$D:$D),0)</f>
        <v>0</v>
      </c>
      <c r="EH112">
        <f>IFERROR(CY112*_xlfn.XLOOKUP(EH$7,'Product Tgt'!$B:$B,'Product Tgt'!$D:$D),0)</f>
        <v>0</v>
      </c>
      <c r="EI112">
        <f>IFERROR(CZ112*_xlfn.XLOOKUP(EI$7,'Product Tgt'!$B:$B,'Product Tgt'!$D:$D),0)</f>
        <v>0</v>
      </c>
    </row>
    <row r="113" spans="2:139" x14ac:dyDescent="0.35">
      <c r="B113" s="7" t="s">
        <v>113</v>
      </c>
      <c r="C113" s="3">
        <f>_xlfn.XLOOKUP($B113,'Terr Target'!$A:$A,'Terr Target'!$E:$E)</f>
        <v>361455.15745392878</v>
      </c>
      <c r="D113" s="3">
        <f t="shared" si="14"/>
        <v>361451</v>
      </c>
      <c r="E113" s="4">
        <f t="shared" si="15"/>
        <v>-4.1574539287830703</v>
      </c>
      <c r="F113" s="9">
        <f t="shared" si="13"/>
        <v>1.1502123188988467E-5</v>
      </c>
      <c r="G113" s="5">
        <f t="shared" si="12"/>
        <v>1.000011502123189</v>
      </c>
      <c r="H113" s="38">
        <v>27980.098096697868</v>
      </c>
      <c r="I113" s="11">
        <v>56206.585595776465</v>
      </c>
      <c r="J113" s="11">
        <v>33012.588850905828</v>
      </c>
      <c r="K113" s="11">
        <v>29616.662188104525</v>
      </c>
      <c r="L113" s="11">
        <v>29256.411852351495</v>
      </c>
      <c r="M113" s="11">
        <v>23056.573188602426</v>
      </c>
      <c r="N113" s="11">
        <v>599.83877673596828</v>
      </c>
      <c r="O113" s="11">
        <v>4213.9779974247658</v>
      </c>
      <c r="P113" s="11">
        <v>1318.0624301929167</v>
      </c>
      <c r="Q113" s="11">
        <v>833.60928613966632</v>
      </c>
      <c r="R113" s="11">
        <v>8029.5079290038466</v>
      </c>
      <c r="S113" s="11">
        <v>18928.881135047679</v>
      </c>
      <c r="T113" s="11">
        <v>0</v>
      </c>
      <c r="U113" s="11">
        <v>900.78633404683512</v>
      </c>
      <c r="V113" s="11">
        <v>19753.893925733188</v>
      </c>
      <c r="W113" s="11">
        <v>22601.63100093904</v>
      </c>
      <c r="X113" s="11">
        <v>2653.1874493794271</v>
      </c>
      <c r="Y113" s="11">
        <v>4109.6564656591154</v>
      </c>
      <c r="Z113" s="11">
        <v>264.82622693701063</v>
      </c>
      <c r="AA113" s="11">
        <v>7240.3456339462555</v>
      </c>
      <c r="AB113" s="11">
        <v>2982.2516656844391</v>
      </c>
      <c r="AC113" s="11">
        <v>587.82173874988678</v>
      </c>
      <c r="AD113" s="11">
        <v>12005.973885164471</v>
      </c>
      <c r="AE113" s="11">
        <v>33955.655498067295</v>
      </c>
      <c r="AF113" s="11">
        <v>3346.2234714648807</v>
      </c>
      <c r="AG113" s="11">
        <v>15060.418057014045</v>
      </c>
      <c r="AH113" s="11">
        <v>1584.8948404331131</v>
      </c>
      <c r="AI113" s="11">
        <v>9143.2405897673125</v>
      </c>
      <c r="AJ113" s="11">
        <v>6839.0688496430785</v>
      </c>
      <c r="AK113" s="11">
        <v>1728.4974412751358</v>
      </c>
      <c r="AL113" s="49">
        <v>2299.8584460223851</v>
      </c>
      <c r="AM113" s="41">
        <f>IFERROR(ROUND(_xlfn.XLOOKUP(AM$7,'Product Tgt'!$B:$B,'Product Tgt'!$G:$G)*H113/H$121,0),0)</f>
        <v>27201</v>
      </c>
      <c r="AN113" s="41">
        <f>IFERROR(ROUND(_xlfn.XLOOKUP(AN$7,'Product Tgt'!$B:$B,'Product Tgt'!$G:$G)*I113/I$121,0),0)</f>
        <v>55330</v>
      </c>
      <c r="AO113" s="41">
        <f>IFERROR(ROUND(_xlfn.XLOOKUP(AO$7,'Product Tgt'!$B:$B,'Product Tgt'!$G:$G)*J113/J$121,0),0)</f>
        <v>31986</v>
      </c>
      <c r="AP113" s="41">
        <f>IFERROR(ROUND(_xlfn.XLOOKUP(AP$7,'Product Tgt'!$B:$B,'Product Tgt'!$G:$G)*K113/K$121,0),0)</f>
        <v>28892</v>
      </c>
      <c r="AQ113" s="41">
        <f>IFERROR(ROUND(_xlfn.XLOOKUP(AQ$7,'Product Tgt'!$B:$B,'Product Tgt'!$G:$G)*L113/L$121,0),0)</f>
        <v>28289</v>
      </c>
      <c r="AR113" s="41">
        <f>IFERROR(ROUND(_xlfn.XLOOKUP(AR$7,'Product Tgt'!$B:$B,'Product Tgt'!$G:$G)*M113/M$121,0),0)</f>
        <v>22337</v>
      </c>
      <c r="AS113" s="41">
        <f>IFERROR(ROUND(_xlfn.XLOOKUP(AS$7,'Product Tgt'!$B:$B,'Product Tgt'!$G:$G)*N113/N$121,0),0)</f>
        <v>554</v>
      </c>
      <c r="AT113" s="41">
        <f>IFERROR(ROUND(_xlfn.XLOOKUP(AT$7,'Product Tgt'!$B:$B,'Product Tgt'!$G:$G)*O113/O$121,0),0)</f>
        <v>3793</v>
      </c>
      <c r="AU113" s="41">
        <f>IFERROR(ROUND(_xlfn.XLOOKUP(AU$7,'Product Tgt'!$B:$B,'Product Tgt'!$G:$G)*P113/P$121,0),0)</f>
        <v>562</v>
      </c>
      <c r="AV113" s="41">
        <f>IFERROR(ROUND(_xlfn.XLOOKUP(AV$7,'Product Tgt'!$B:$B,'Product Tgt'!$G:$G)*Q113/Q$121,0),0)</f>
        <v>626</v>
      </c>
      <c r="AW113" s="41">
        <f>IFERROR(ROUND(_xlfn.XLOOKUP(AW$7,'Product Tgt'!$B:$B,'Product Tgt'!$G:$G)*R113/R$121,0),0)</f>
        <v>7733</v>
      </c>
      <c r="AX113" s="41">
        <f>IFERROR(ROUND(_xlfn.XLOOKUP(AX$7,'Product Tgt'!$B:$B,'Product Tgt'!$G:$G)*S113/S$121,0),0)</f>
        <v>18231</v>
      </c>
      <c r="AY113" s="41">
        <f>IFERROR(ROUND(_xlfn.XLOOKUP(AY$7,'Product Tgt'!$B:$B,'Product Tgt'!$G:$G)*T113/T$121,0),0)</f>
        <v>0</v>
      </c>
      <c r="AZ113" s="41">
        <f>IFERROR(ROUND(_xlfn.XLOOKUP(AZ$7,'Product Tgt'!$B:$B,'Product Tgt'!$G:$G)*U113/U$121,0),0)</f>
        <v>862</v>
      </c>
      <c r="BA113" s="41">
        <f>IFERROR(ROUND(_xlfn.XLOOKUP(BA$7,'Product Tgt'!$B:$B,'Product Tgt'!$G:$G)*V113/V$121,0),0)</f>
        <v>19019</v>
      </c>
      <c r="BB113" s="41">
        <f>IFERROR(ROUND(_xlfn.XLOOKUP(BB$7,'Product Tgt'!$B:$B,'Product Tgt'!$G:$G)*W113/W$121,0),0)</f>
        <v>21635</v>
      </c>
      <c r="BC113" s="41">
        <f>IFERROR(ROUND(_xlfn.XLOOKUP(BC$7,'Product Tgt'!$B:$B,'Product Tgt'!$G:$G)*X113/X$121,0),0)</f>
        <v>2567</v>
      </c>
      <c r="BD113" s="41">
        <f>IFERROR(ROUND(_xlfn.XLOOKUP(BD$7,'Product Tgt'!$B:$B,'Product Tgt'!$G:$G)*Y113/Y$121,0),0)</f>
        <v>3974</v>
      </c>
      <c r="BE113" s="41">
        <f>IFERROR(ROUND(_xlfn.XLOOKUP(BE$7,'Product Tgt'!$B:$B,'Product Tgt'!$G:$G)*Z113/Z$121,0),0)</f>
        <v>252</v>
      </c>
      <c r="BF113" s="41">
        <f>IFERROR(ROUND(_xlfn.XLOOKUP(BF$7,'Product Tgt'!$B:$B,'Product Tgt'!$G:$G)*AA113/AA$121,0),0)</f>
        <v>5867</v>
      </c>
      <c r="BG113" s="41">
        <f>IFERROR(ROUND(_xlfn.XLOOKUP(BG$7,'Product Tgt'!$B:$B,'Product Tgt'!$G:$G)*AB113/AB$121,0),0)</f>
        <v>2390</v>
      </c>
      <c r="BH113" s="41">
        <f>IFERROR(ROUND(_xlfn.XLOOKUP(BH$7,'Product Tgt'!$B:$B,'Product Tgt'!$G:$G)*AC113/AC$121,0),0)</f>
        <v>503</v>
      </c>
      <c r="BI113" s="41">
        <f>IFERROR(ROUND(_xlfn.XLOOKUP(BI$7,'Product Tgt'!$B:$B,'Product Tgt'!$G:$G)*AD113/AD$121,0),0)</f>
        <v>10452</v>
      </c>
      <c r="BJ113" s="41">
        <f>IFERROR(ROUND(_xlfn.XLOOKUP(BJ$7,'Product Tgt'!$B:$B,'Product Tgt'!$G:$G)*AE113/AE$121,0),0)</f>
        <v>31604</v>
      </c>
      <c r="BK113" s="41">
        <f>IFERROR(ROUND(_xlfn.XLOOKUP(BK$7,'Product Tgt'!$B:$B,'Product Tgt'!$G:$G)*AF113/AF$121,0),0)</f>
        <v>3738</v>
      </c>
      <c r="BL113" s="41">
        <f>IFERROR(ROUND(_xlfn.XLOOKUP(BL$7,'Product Tgt'!$B:$B,'Product Tgt'!$G:$G)*AG113/AG$121,0),0)</f>
        <v>14385</v>
      </c>
      <c r="BM113" s="41">
        <f>IFERROR(ROUND(_xlfn.XLOOKUP(BM$7,'Product Tgt'!$B:$B,'Product Tgt'!$G:$G)*AH113/AH$121,0),0)</f>
        <v>1243</v>
      </c>
      <c r="BN113" s="41">
        <f>IFERROR(ROUND(_xlfn.XLOOKUP(BN$7,'Product Tgt'!$B:$B,'Product Tgt'!$G:$G)*AI113/AI$121,0),0)</f>
        <v>8397</v>
      </c>
      <c r="BO113" s="41">
        <f>IFERROR(ROUND(_xlfn.XLOOKUP(BO$7,'Product Tgt'!$B:$B,'Product Tgt'!$G:$G)*AJ113/AJ$121,0),0)</f>
        <v>5915</v>
      </c>
      <c r="BP113" s="41">
        <f>IFERROR(ROUND(_xlfn.XLOOKUP(BP$7,'Product Tgt'!$B:$B,'Product Tgt'!$G:$G)*AK113/AK$121,0),0)</f>
        <v>1316</v>
      </c>
      <c r="BQ113" s="41">
        <f>IFERROR(ROUND(_xlfn.XLOOKUP(BQ$7,'Product Tgt'!$B:$B,'Product Tgt'!$G:$G)*AL113/AL$121,0),0)</f>
        <v>1798</v>
      </c>
      <c r="BR113" s="25">
        <f>ROUND(IFERROR(AM113/_xlfn.XLOOKUP(BR$7,'Product Tgt'!$B:$B,'Product Tgt'!$D:$D),0),0)</f>
        <v>0</v>
      </c>
      <c r="BS113" s="11">
        <f>ROUND(IFERROR(AN113/_xlfn.XLOOKUP(BS$7,'Product Tgt'!$B:$B,'Product Tgt'!$D:$D),0),0)</f>
        <v>0</v>
      </c>
      <c r="BT113" s="11">
        <f>ROUND(IFERROR(AO113/_xlfn.XLOOKUP(BT$7,'Product Tgt'!$B:$B,'Product Tgt'!$D:$D),0),0)</f>
        <v>0</v>
      </c>
      <c r="BU113" s="11">
        <f>ROUND(IFERROR(AP113/_xlfn.XLOOKUP(BU$7,'Product Tgt'!$B:$B,'Product Tgt'!$D:$D),0),0)</f>
        <v>0</v>
      </c>
      <c r="BV113" s="11">
        <f>ROUND(IFERROR(AQ113/_xlfn.XLOOKUP(BV$7,'Product Tgt'!$B:$B,'Product Tgt'!$D:$D),0),0)</f>
        <v>0</v>
      </c>
      <c r="BW113" s="11">
        <f>ROUND(IFERROR(AU113/_xlfn.XLOOKUP(BW$7,'Product Tgt'!$B:$B,'Product Tgt'!$D:$D),0),0)</f>
        <v>0</v>
      </c>
      <c r="BX113" s="11">
        <f>ROUND(IFERROR(#REF!/_xlfn.XLOOKUP(BX$7,'Product Tgt'!$B:$B,'Product Tgt'!$D:$D),0),0)</f>
        <v>0</v>
      </c>
      <c r="BY113" s="11">
        <f>ROUND(IFERROR(#REF!/_xlfn.XLOOKUP(BY$7,'Product Tgt'!$B:$B,'Product Tgt'!$D:$D),0),0)</f>
        <v>0</v>
      </c>
      <c r="BZ113" s="11">
        <f>ROUND(IFERROR(#REF!/_xlfn.XLOOKUP(BZ$7,'Product Tgt'!$B:$B,'Product Tgt'!$D:$D),0),0)</f>
        <v>0</v>
      </c>
      <c r="CA113" s="11">
        <f>ROUND(IFERROR(#REF!/_xlfn.XLOOKUP(CA$7,'Product Tgt'!$B:$B,'Product Tgt'!$D:$D),0),0)</f>
        <v>0</v>
      </c>
      <c r="CB113" s="11">
        <f>ROUND(IFERROR(AV113/_xlfn.XLOOKUP(CB$7,'Product Tgt'!$B:$B,'Product Tgt'!$D:$D),0),0)</f>
        <v>0</v>
      </c>
      <c r="CC113" s="11">
        <f>ROUND(IFERROR(AW113/_xlfn.XLOOKUP(CC$7,'Product Tgt'!$B:$B,'Product Tgt'!$D:$D),0),0)</f>
        <v>0</v>
      </c>
      <c r="CD113" s="11">
        <f>ROUND(IFERROR(AX113/_xlfn.XLOOKUP(CD$7,'Product Tgt'!$B:$B,'Product Tgt'!$D:$D),0),0)</f>
        <v>0</v>
      </c>
      <c r="CE113" s="11">
        <f>ROUND(IFERROR(AY113/_xlfn.XLOOKUP(CE$7,'Product Tgt'!$B:$B,'Product Tgt'!$D:$D),0),0)</f>
        <v>0</v>
      </c>
      <c r="CF113" s="11">
        <f>ROUND(IFERROR(AZ113/_xlfn.XLOOKUP(CF$7,'Product Tgt'!$B:$B,'Product Tgt'!$D:$D),0),0)</f>
        <v>0</v>
      </c>
      <c r="CG113" s="11">
        <f>ROUND(IFERROR(BA113/_xlfn.XLOOKUP(CG$7,'Product Tgt'!$B:$B,'Product Tgt'!$D:$D),0),0)</f>
        <v>0</v>
      </c>
      <c r="CH113" s="11">
        <f>ROUND(IFERROR(BB113/_xlfn.XLOOKUP(CH$7,'Product Tgt'!$B:$B,'Product Tgt'!$D:$D),0),0)</f>
        <v>0</v>
      </c>
      <c r="CI113" s="11">
        <f>ROUND(IFERROR(BC113/_xlfn.XLOOKUP(CI$7,'Product Tgt'!$B:$B,'Product Tgt'!$D:$D),0),0)</f>
        <v>0</v>
      </c>
      <c r="CJ113" s="11">
        <f>ROUND(IFERROR(BD113/_xlfn.XLOOKUP(CJ$7,'Product Tgt'!$B:$B,'Product Tgt'!$D:$D),0),0)</f>
        <v>0</v>
      </c>
      <c r="CK113" s="11">
        <f>ROUND(IFERROR(BE113/_xlfn.XLOOKUP(CK$7,'Product Tgt'!$B:$B,'Product Tgt'!$D:$D),0),0)</f>
        <v>0</v>
      </c>
      <c r="CL113" s="11">
        <f>ROUND(IFERROR(BF113/_xlfn.XLOOKUP(CL$7,'Product Tgt'!$B:$B,'Product Tgt'!$D:$D),0),0)</f>
        <v>0</v>
      </c>
      <c r="CM113" s="11">
        <f>ROUND(IFERROR(BG113/_xlfn.XLOOKUP(CM$7,'Product Tgt'!$B:$B,'Product Tgt'!$D:$D),0),0)</f>
        <v>0</v>
      </c>
      <c r="CN113" s="11">
        <f>ROUND(IFERROR(BH113/_xlfn.XLOOKUP(CN$7,'Product Tgt'!$B:$B,'Product Tgt'!$D:$D),0),0)</f>
        <v>0</v>
      </c>
      <c r="CO113" s="11">
        <f>ROUND(IFERROR(BI113/_xlfn.XLOOKUP(CO$7,'Product Tgt'!$B:$B,'Product Tgt'!$D:$D),0),0)</f>
        <v>0</v>
      </c>
      <c r="CP113" s="11">
        <f>ROUND(IFERROR(BJ113/_xlfn.XLOOKUP(CP$7,'Product Tgt'!$B:$B,'Product Tgt'!$D:$D),0),0)</f>
        <v>0</v>
      </c>
      <c r="CQ113" s="11">
        <f>ROUND(IFERROR(BK113/_xlfn.XLOOKUP(CQ$7,'Product Tgt'!$B:$B,'Product Tgt'!$D:$D),0),0)</f>
        <v>0</v>
      </c>
      <c r="CR113" s="11">
        <f>ROUND(IFERROR(BL113/_xlfn.XLOOKUP(CR$7,'Product Tgt'!$B:$B,'Product Tgt'!$D:$D),0),0)</f>
        <v>0</v>
      </c>
      <c r="CS113" s="11">
        <f>ROUND(IFERROR(BM113/_xlfn.XLOOKUP(CS$7,'Product Tgt'!$B:$B,'Product Tgt'!$D:$D),0),0)</f>
        <v>0</v>
      </c>
      <c r="CT113" s="11">
        <f>ROUND(IFERROR(BN113/_xlfn.XLOOKUP(CT$7,'Product Tgt'!$B:$B,'Product Tgt'!$D:$D),0),0)</f>
        <v>0</v>
      </c>
      <c r="CU113" s="11">
        <f>ROUND(IFERROR(BO113/_xlfn.XLOOKUP(CU$7,'Product Tgt'!$B:$B,'Product Tgt'!$D:$D),0),0)</f>
        <v>0</v>
      </c>
      <c r="CV113" s="11">
        <f>ROUND(IFERROR(BP113/_xlfn.XLOOKUP(CV$7,'Product Tgt'!$B:$B,'Product Tgt'!$D:$D),0),0)</f>
        <v>0</v>
      </c>
      <c r="CW113" s="11">
        <f>ROUND(IFERROR(BQ113/_xlfn.XLOOKUP(CW$7,'Product Tgt'!$B:$B,'Product Tgt'!$D:$D),0),0)</f>
        <v>0</v>
      </c>
      <c r="CX113" s="11">
        <f>ROUND(IFERROR(#REF!/_xlfn.XLOOKUP(CX$7,'Product Tgt'!$B:$B,'Product Tgt'!$D:$D),0),0)</f>
        <v>0</v>
      </c>
      <c r="CY113" s="11">
        <f>ROUND(IFERROR(#REF!/_xlfn.XLOOKUP(CY$7,'Product Tgt'!$B:$B,'Product Tgt'!$D:$D),0),0)</f>
        <v>0</v>
      </c>
      <c r="CZ113" s="11">
        <f>ROUND(IFERROR(#REF!/_xlfn.XLOOKUP(CZ$7,'Product Tgt'!$B:$B,'Product Tgt'!$D:$D),0),0)</f>
        <v>0</v>
      </c>
      <c r="DA113" s="10">
        <f>IFERROR(BR113*_xlfn.XLOOKUP(DA$7,'Product Tgt'!$B:$B,'Product Tgt'!$D:$D),0)</f>
        <v>0</v>
      </c>
      <c r="DB113">
        <f>IFERROR(BS113*_xlfn.XLOOKUP(DB$7,'Product Tgt'!$B:$B,'Product Tgt'!$D:$D),0)</f>
        <v>0</v>
      </c>
      <c r="DC113">
        <f>IFERROR(BT113*_xlfn.XLOOKUP(DC$7,'Product Tgt'!$B:$B,'Product Tgt'!$D:$D),0)</f>
        <v>0</v>
      </c>
      <c r="DD113">
        <f>IFERROR(BU113*_xlfn.XLOOKUP(DD$7,'Product Tgt'!$B:$B,'Product Tgt'!$D:$D),0)</f>
        <v>0</v>
      </c>
      <c r="DE113">
        <f>IFERROR(BV113*_xlfn.XLOOKUP(DE$7,'Product Tgt'!$B:$B,'Product Tgt'!$D:$D),0)</f>
        <v>0</v>
      </c>
      <c r="DF113">
        <f>IFERROR(BW113*_xlfn.XLOOKUP(DF$7,'Product Tgt'!$B:$B,'Product Tgt'!$D:$D),0)</f>
        <v>0</v>
      </c>
      <c r="DG113">
        <f>IFERROR(BX113*_xlfn.XLOOKUP(DG$7,'Product Tgt'!$B:$B,'Product Tgt'!$D:$D),0)</f>
        <v>0</v>
      </c>
      <c r="DH113">
        <f>IFERROR(BY113*_xlfn.XLOOKUP(DH$7,'Product Tgt'!$B:$B,'Product Tgt'!$D:$D),0)</f>
        <v>0</v>
      </c>
      <c r="DI113">
        <f>IFERROR(BZ113*_xlfn.XLOOKUP(DI$7,'Product Tgt'!$B:$B,'Product Tgt'!$D:$D),0)</f>
        <v>0</v>
      </c>
      <c r="DJ113">
        <f>IFERROR(CA113*_xlfn.XLOOKUP(DJ$7,'Product Tgt'!$B:$B,'Product Tgt'!$D:$D),0)</f>
        <v>0</v>
      </c>
      <c r="DK113">
        <f>IFERROR(CB113*_xlfn.XLOOKUP(DK$7,'Product Tgt'!$B:$B,'Product Tgt'!$D:$D),0)</f>
        <v>0</v>
      </c>
      <c r="DL113">
        <f>IFERROR(CC113*_xlfn.XLOOKUP(DL$7,'Product Tgt'!$B:$B,'Product Tgt'!$D:$D),0)</f>
        <v>0</v>
      </c>
      <c r="DM113">
        <f>IFERROR(CD113*_xlfn.XLOOKUP(DM$7,'Product Tgt'!$B:$B,'Product Tgt'!$D:$D),0)</f>
        <v>0</v>
      </c>
      <c r="DN113">
        <f>IFERROR(CE113*_xlfn.XLOOKUP(DN$7,'Product Tgt'!$B:$B,'Product Tgt'!$D:$D),0)</f>
        <v>0</v>
      </c>
      <c r="DO113">
        <f>IFERROR(CF113*_xlfn.XLOOKUP(DO$7,'Product Tgt'!$B:$B,'Product Tgt'!$D:$D),0)</f>
        <v>0</v>
      </c>
      <c r="DP113">
        <f>IFERROR(CG113*_xlfn.XLOOKUP(DP$7,'Product Tgt'!$B:$B,'Product Tgt'!$D:$D),0)</f>
        <v>0</v>
      </c>
      <c r="DQ113">
        <f>IFERROR(CH113*_xlfn.XLOOKUP(DQ$7,'Product Tgt'!$B:$B,'Product Tgt'!$D:$D),0)</f>
        <v>0</v>
      </c>
      <c r="DR113">
        <f>IFERROR(CI113*_xlfn.XLOOKUP(DR$7,'Product Tgt'!$B:$B,'Product Tgt'!$D:$D),0)</f>
        <v>0</v>
      </c>
      <c r="DS113">
        <f>IFERROR(CJ113*_xlfn.XLOOKUP(DS$7,'Product Tgt'!$B:$B,'Product Tgt'!$D:$D),0)</f>
        <v>0</v>
      </c>
      <c r="DT113">
        <f>IFERROR(CK113*_xlfn.XLOOKUP(DT$7,'Product Tgt'!$B:$B,'Product Tgt'!$D:$D),0)</f>
        <v>0</v>
      </c>
      <c r="DU113">
        <f>IFERROR(CL113*_xlfn.XLOOKUP(DU$7,'Product Tgt'!$B:$B,'Product Tgt'!$D:$D),0)</f>
        <v>0</v>
      </c>
      <c r="DV113">
        <f>IFERROR(CM113*_xlfn.XLOOKUP(DV$7,'Product Tgt'!$B:$B,'Product Tgt'!$D:$D),0)</f>
        <v>0</v>
      </c>
      <c r="DW113">
        <f>IFERROR(CN113*_xlfn.XLOOKUP(DW$7,'Product Tgt'!$B:$B,'Product Tgt'!$D:$D),0)</f>
        <v>0</v>
      </c>
      <c r="DX113">
        <f>IFERROR(CO113*_xlfn.XLOOKUP(DX$7,'Product Tgt'!$B:$B,'Product Tgt'!$D:$D),0)</f>
        <v>0</v>
      </c>
      <c r="DY113">
        <f>IFERROR(CP113*_xlfn.XLOOKUP(DY$7,'Product Tgt'!$B:$B,'Product Tgt'!$D:$D),0)</f>
        <v>0</v>
      </c>
      <c r="DZ113">
        <f>IFERROR(CQ113*_xlfn.XLOOKUP(DZ$7,'Product Tgt'!$B:$B,'Product Tgt'!$D:$D),0)</f>
        <v>0</v>
      </c>
      <c r="EA113">
        <f>IFERROR(CR113*_xlfn.XLOOKUP(EA$7,'Product Tgt'!$B:$B,'Product Tgt'!$D:$D),0)</f>
        <v>0</v>
      </c>
      <c r="EB113">
        <f>IFERROR(CS113*_xlfn.XLOOKUP(EB$7,'Product Tgt'!$B:$B,'Product Tgt'!$D:$D),0)</f>
        <v>0</v>
      </c>
      <c r="EC113">
        <f>IFERROR(CT113*_xlfn.XLOOKUP(EC$7,'Product Tgt'!$B:$B,'Product Tgt'!$D:$D),0)</f>
        <v>0</v>
      </c>
      <c r="ED113">
        <f>IFERROR(CU113*_xlfn.XLOOKUP(ED$7,'Product Tgt'!$B:$B,'Product Tgt'!$D:$D),0)</f>
        <v>0</v>
      </c>
      <c r="EE113">
        <f>IFERROR(CV113*_xlfn.XLOOKUP(EE$7,'Product Tgt'!$B:$B,'Product Tgt'!$D:$D),0)</f>
        <v>0</v>
      </c>
      <c r="EF113">
        <f>IFERROR(CW113*_xlfn.XLOOKUP(EF$7,'Product Tgt'!$B:$B,'Product Tgt'!$D:$D),0)</f>
        <v>0</v>
      </c>
      <c r="EG113">
        <f>IFERROR(CX113*_xlfn.XLOOKUP(EG$7,'Product Tgt'!$B:$B,'Product Tgt'!$D:$D),0)</f>
        <v>0</v>
      </c>
      <c r="EH113">
        <f>IFERROR(CY113*_xlfn.XLOOKUP(EH$7,'Product Tgt'!$B:$B,'Product Tgt'!$D:$D),0)</f>
        <v>0</v>
      </c>
      <c r="EI113">
        <f>IFERROR(CZ113*_xlfn.XLOOKUP(EI$7,'Product Tgt'!$B:$B,'Product Tgt'!$D:$D),0)</f>
        <v>0</v>
      </c>
    </row>
    <row r="114" spans="2:139" x14ac:dyDescent="0.35">
      <c r="B114" s="7" t="s">
        <v>114</v>
      </c>
      <c r="C114" s="3">
        <f>_xlfn.XLOOKUP($B114,'Terr Target'!$A:$A,'Terr Target'!$E:$E)</f>
        <v>486837.72608353681</v>
      </c>
      <c r="D114" s="3">
        <f t="shared" si="14"/>
        <v>486833</v>
      </c>
      <c r="E114" s="4">
        <f t="shared" si="15"/>
        <v>-4.726083536806982</v>
      </c>
      <c r="F114" s="9">
        <f t="shared" si="13"/>
        <v>9.7078126109096586E-6</v>
      </c>
      <c r="G114" s="5">
        <f t="shared" si="12"/>
        <v>1.0000097078126109</v>
      </c>
      <c r="H114" s="38">
        <v>35070.640654545219</v>
      </c>
      <c r="I114" s="11">
        <v>73517.789954796448</v>
      </c>
      <c r="J114" s="11">
        <v>42867.980835790433</v>
      </c>
      <c r="K114" s="11">
        <v>45304.381260754024</v>
      </c>
      <c r="L114" s="11">
        <v>39768.432364078915</v>
      </c>
      <c r="M114" s="11">
        <v>33153.292818890041</v>
      </c>
      <c r="N114" s="11">
        <v>645.07782352534628</v>
      </c>
      <c r="O114" s="11">
        <v>4861.4535269572762</v>
      </c>
      <c r="P114" s="11">
        <v>1793.4210789737633</v>
      </c>
      <c r="Q114" s="11">
        <v>1354.3243698384592</v>
      </c>
      <c r="R114" s="11">
        <v>10460.716211127899</v>
      </c>
      <c r="S114" s="11">
        <v>24663.309323314181</v>
      </c>
      <c r="T114" s="11">
        <v>0</v>
      </c>
      <c r="U114" s="11">
        <v>1115.2922342638631</v>
      </c>
      <c r="V114" s="11">
        <v>30002.428799295849</v>
      </c>
      <c r="W114" s="11">
        <v>30056.775481396497</v>
      </c>
      <c r="X114" s="11">
        <v>3061.2609718619278</v>
      </c>
      <c r="Y114" s="11">
        <v>4888.6657287027019</v>
      </c>
      <c r="Z114" s="11">
        <v>424.59195468834974</v>
      </c>
      <c r="AA114" s="11">
        <v>8947.6944776651908</v>
      </c>
      <c r="AB114" s="11">
        <v>3732.6280556240185</v>
      </c>
      <c r="AC114" s="11">
        <v>2544.4331573481345</v>
      </c>
      <c r="AD114" s="11">
        <v>14129.719593695583</v>
      </c>
      <c r="AE114" s="11">
        <v>37827.933269316512</v>
      </c>
      <c r="AF114" s="11">
        <v>13934.00741798634</v>
      </c>
      <c r="AG114" s="11">
        <v>19054.389756410623</v>
      </c>
      <c r="AH114" s="11">
        <v>1841.0351456479261</v>
      </c>
      <c r="AI114" s="11">
        <v>11392.071060298531</v>
      </c>
      <c r="AJ114" s="11">
        <v>10113.505615562119</v>
      </c>
      <c r="AK114" s="11">
        <v>1232.9915645551257</v>
      </c>
      <c r="AL114" s="49">
        <v>1764.081254171484</v>
      </c>
      <c r="AM114" s="41">
        <f>IFERROR(ROUND(_xlfn.XLOOKUP(AM$7,'Product Tgt'!$B:$B,'Product Tgt'!$G:$G)*H114/H$121,0),0)</f>
        <v>34094</v>
      </c>
      <c r="AN114" s="41">
        <f>IFERROR(ROUND(_xlfn.XLOOKUP(AN$7,'Product Tgt'!$B:$B,'Product Tgt'!$G:$G)*I114/I$121,0),0)</f>
        <v>72371</v>
      </c>
      <c r="AO114" s="41">
        <f>IFERROR(ROUND(_xlfn.XLOOKUP(AO$7,'Product Tgt'!$B:$B,'Product Tgt'!$G:$G)*J114/J$121,0),0)</f>
        <v>41535</v>
      </c>
      <c r="AP114" s="41">
        <f>IFERROR(ROUND(_xlfn.XLOOKUP(AP$7,'Product Tgt'!$B:$B,'Product Tgt'!$G:$G)*K114/K$121,0),0)</f>
        <v>44195</v>
      </c>
      <c r="AQ114" s="41">
        <f>IFERROR(ROUND(_xlfn.XLOOKUP(AQ$7,'Product Tgt'!$B:$B,'Product Tgt'!$G:$G)*L114/L$121,0),0)</f>
        <v>38454</v>
      </c>
      <c r="AR114" s="41">
        <f>IFERROR(ROUND(_xlfn.XLOOKUP(AR$7,'Product Tgt'!$B:$B,'Product Tgt'!$G:$G)*M114/M$121,0),0)</f>
        <v>32119</v>
      </c>
      <c r="AS114" s="41">
        <f>IFERROR(ROUND(_xlfn.XLOOKUP(AS$7,'Product Tgt'!$B:$B,'Product Tgt'!$G:$G)*N114/N$121,0),0)</f>
        <v>596</v>
      </c>
      <c r="AT114" s="41">
        <f>IFERROR(ROUND(_xlfn.XLOOKUP(AT$7,'Product Tgt'!$B:$B,'Product Tgt'!$G:$G)*O114/O$121,0),0)</f>
        <v>4376</v>
      </c>
      <c r="AU114" s="41">
        <f>IFERROR(ROUND(_xlfn.XLOOKUP(AU$7,'Product Tgt'!$B:$B,'Product Tgt'!$G:$G)*P114/P$121,0),0)</f>
        <v>765</v>
      </c>
      <c r="AV114" s="41">
        <f>IFERROR(ROUND(_xlfn.XLOOKUP(AV$7,'Product Tgt'!$B:$B,'Product Tgt'!$G:$G)*Q114/Q$121,0),0)</f>
        <v>1016</v>
      </c>
      <c r="AW114" s="41">
        <f>IFERROR(ROUND(_xlfn.XLOOKUP(AW$7,'Product Tgt'!$B:$B,'Product Tgt'!$G:$G)*R114/R$121,0),0)</f>
        <v>10074</v>
      </c>
      <c r="AX114" s="41">
        <f>IFERROR(ROUND(_xlfn.XLOOKUP(AX$7,'Product Tgt'!$B:$B,'Product Tgt'!$G:$G)*S114/S$121,0),0)</f>
        <v>23754</v>
      </c>
      <c r="AY114" s="41">
        <f>IFERROR(ROUND(_xlfn.XLOOKUP(AY$7,'Product Tgt'!$B:$B,'Product Tgt'!$G:$G)*T114/T$121,0),0)</f>
        <v>0</v>
      </c>
      <c r="AZ114" s="41">
        <f>IFERROR(ROUND(_xlfn.XLOOKUP(AZ$7,'Product Tgt'!$B:$B,'Product Tgt'!$G:$G)*U114/U$121,0),0)</f>
        <v>1067</v>
      </c>
      <c r="BA114" s="41">
        <f>IFERROR(ROUND(_xlfn.XLOOKUP(BA$7,'Product Tgt'!$B:$B,'Product Tgt'!$G:$G)*V114/V$121,0),0)</f>
        <v>28886</v>
      </c>
      <c r="BB114" s="41">
        <f>IFERROR(ROUND(_xlfn.XLOOKUP(BB$7,'Product Tgt'!$B:$B,'Product Tgt'!$G:$G)*W114/W$121,0),0)</f>
        <v>28771</v>
      </c>
      <c r="BC114" s="41">
        <f>IFERROR(ROUND(_xlfn.XLOOKUP(BC$7,'Product Tgt'!$B:$B,'Product Tgt'!$G:$G)*X114/X$121,0),0)</f>
        <v>2962</v>
      </c>
      <c r="BD114" s="41">
        <f>IFERROR(ROUND(_xlfn.XLOOKUP(BD$7,'Product Tgt'!$B:$B,'Product Tgt'!$G:$G)*Y114/Y$121,0),0)</f>
        <v>4727</v>
      </c>
      <c r="BE114" s="41">
        <f>IFERROR(ROUND(_xlfn.XLOOKUP(BE$7,'Product Tgt'!$B:$B,'Product Tgt'!$G:$G)*Z114/Z$121,0),0)</f>
        <v>404</v>
      </c>
      <c r="BF114" s="41">
        <f>IFERROR(ROUND(_xlfn.XLOOKUP(BF$7,'Product Tgt'!$B:$B,'Product Tgt'!$G:$G)*AA114/AA$121,0),0)</f>
        <v>7251</v>
      </c>
      <c r="BG114" s="41">
        <f>IFERROR(ROUND(_xlfn.XLOOKUP(BG$7,'Product Tgt'!$B:$B,'Product Tgt'!$G:$G)*AB114/AB$121,0),0)</f>
        <v>2992</v>
      </c>
      <c r="BH114" s="41">
        <f>IFERROR(ROUND(_xlfn.XLOOKUP(BH$7,'Product Tgt'!$B:$B,'Product Tgt'!$G:$G)*AC114/AC$121,0),0)</f>
        <v>2178</v>
      </c>
      <c r="BI114" s="41">
        <f>IFERROR(ROUND(_xlfn.XLOOKUP(BI$7,'Product Tgt'!$B:$B,'Product Tgt'!$G:$G)*AD114/AD$121,0),0)</f>
        <v>12300</v>
      </c>
      <c r="BJ114" s="41">
        <f>IFERROR(ROUND(_xlfn.XLOOKUP(BJ$7,'Product Tgt'!$B:$B,'Product Tgt'!$G:$G)*AE114/AE$121,0),0)</f>
        <v>35208</v>
      </c>
      <c r="BK114" s="41">
        <f>IFERROR(ROUND(_xlfn.XLOOKUP(BK$7,'Product Tgt'!$B:$B,'Product Tgt'!$G:$G)*AF114/AF$121,0),0)</f>
        <v>15567</v>
      </c>
      <c r="BL114" s="41">
        <f>IFERROR(ROUND(_xlfn.XLOOKUP(BL$7,'Product Tgt'!$B:$B,'Product Tgt'!$G:$G)*AG114/AG$121,0),0)</f>
        <v>18200</v>
      </c>
      <c r="BM114" s="41">
        <f>IFERROR(ROUND(_xlfn.XLOOKUP(BM$7,'Product Tgt'!$B:$B,'Product Tgt'!$G:$G)*AH114/AH$121,0),0)</f>
        <v>1443</v>
      </c>
      <c r="BN114" s="41">
        <f>IFERROR(ROUND(_xlfn.XLOOKUP(BN$7,'Product Tgt'!$B:$B,'Product Tgt'!$G:$G)*AI114/AI$121,0),0)</f>
        <v>10462</v>
      </c>
      <c r="BO114" s="41">
        <f>IFERROR(ROUND(_xlfn.XLOOKUP(BO$7,'Product Tgt'!$B:$B,'Product Tgt'!$G:$G)*AJ114/AJ$121,0),0)</f>
        <v>8748</v>
      </c>
      <c r="BP114" s="41">
        <f>IFERROR(ROUND(_xlfn.XLOOKUP(BP$7,'Product Tgt'!$B:$B,'Product Tgt'!$G:$G)*AK114/AK$121,0),0)</f>
        <v>939</v>
      </c>
      <c r="BQ114" s="41">
        <f>IFERROR(ROUND(_xlfn.XLOOKUP(BQ$7,'Product Tgt'!$B:$B,'Product Tgt'!$G:$G)*AL114/AL$121,0),0)</f>
        <v>1379</v>
      </c>
      <c r="BR114" s="25">
        <f>ROUND(IFERROR(AM114/_xlfn.XLOOKUP(BR$7,'Product Tgt'!$B:$B,'Product Tgt'!$D:$D),0),0)</f>
        <v>0</v>
      </c>
      <c r="BS114" s="11">
        <f>ROUND(IFERROR(AN114/_xlfn.XLOOKUP(BS$7,'Product Tgt'!$B:$B,'Product Tgt'!$D:$D),0),0)</f>
        <v>0</v>
      </c>
      <c r="BT114" s="11">
        <f>ROUND(IFERROR(AO114/_xlfn.XLOOKUP(BT$7,'Product Tgt'!$B:$B,'Product Tgt'!$D:$D),0),0)</f>
        <v>0</v>
      </c>
      <c r="BU114" s="11">
        <f>ROUND(IFERROR(AP114/_xlfn.XLOOKUP(BU$7,'Product Tgt'!$B:$B,'Product Tgt'!$D:$D),0),0)</f>
        <v>0</v>
      </c>
      <c r="BV114" s="11">
        <f>ROUND(IFERROR(AQ114/_xlfn.XLOOKUP(BV$7,'Product Tgt'!$B:$B,'Product Tgt'!$D:$D),0),0)</f>
        <v>0</v>
      </c>
      <c r="BW114" s="11">
        <f>ROUND(IFERROR(AU114/_xlfn.XLOOKUP(BW$7,'Product Tgt'!$B:$B,'Product Tgt'!$D:$D),0),0)</f>
        <v>0</v>
      </c>
      <c r="BX114" s="11">
        <f>ROUND(IFERROR(#REF!/_xlfn.XLOOKUP(BX$7,'Product Tgt'!$B:$B,'Product Tgt'!$D:$D),0),0)</f>
        <v>0</v>
      </c>
      <c r="BY114" s="11">
        <f>ROUND(IFERROR(#REF!/_xlfn.XLOOKUP(BY$7,'Product Tgt'!$B:$B,'Product Tgt'!$D:$D),0),0)</f>
        <v>0</v>
      </c>
      <c r="BZ114" s="11">
        <f>ROUND(IFERROR(#REF!/_xlfn.XLOOKUP(BZ$7,'Product Tgt'!$B:$B,'Product Tgt'!$D:$D),0),0)</f>
        <v>0</v>
      </c>
      <c r="CA114" s="11">
        <f>ROUND(IFERROR(#REF!/_xlfn.XLOOKUP(CA$7,'Product Tgt'!$B:$B,'Product Tgt'!$D:$D),0),0)</f>
        <v>0</v>
      </c>
      <c r="CB114" s="11">
        <f>ROUND(IFERROR(AV114/_xlfn.XLOOKUP(CB$7,'Product Tgt'!$B:$B,'Product Tgt'!$D:$D),0),0)</f>
        <v>0</v>
      </c>
      <c r="CC114" s="11">
        <f>ROUND(IFERROR(AW114/_xlfn.XLOOKUP(CC$7,'Product Tgt'!$B:$B,'Product Tgt'!$D:$D),0),0)</f>
        <v>0</v>
      </c>
      <c r="CD114" s="11">
        <f>ROUND(IFERROR(AX114/_xlfn.XLOOKUP(CD$7,'Product Tgt'!$B:$B,'Product Tgt'!$D:$D),0),0)</f>
        <v>0</v>
      </c>
      <c r="CE114" s="11">
        <f>ROUND(IFERROR(AY114/_xlfn.XLOOKUP(CE$7,'Product Tgt'!$B:$B,'Product Tgt'!$D:$D),0),0)</f>
        <v>0</v>
      </c>
      <c r="CF114" s="11">
        <f>ROUND(IFERROR(AZ114/_xlfn.XLOOKUP(CF$7,'Product Tgt'!$B:$B,'Product Tgt'!$D:$D),0),0)</f>
        <v>0</v>
      </c>
      <c r="CG114" s="11">
        <f>ROUND(IFERROR(BA114/_xlfn.XLOOKUP(CG$7,'Product Tgt'!$B:$B,'Product Tgt'!$D:$D),0),0)</f>
        <v>0</v>
      </c>
      <c r="CH114" s="11">
        <f>ROUND(IFERROR(BB114/_xlfn.XLOOKUP(CH$7,'Product Tgt'!$B:$B,'Product Tgt'!$D:$D),0),0)</f>
        <v>0</v>
      </c>
      <c r="CI114" s="11">
        <f>ROUND(IFERROR(BC114/_xlfn.XLOOKUP(CI$7,'Product Tgt'!$B:$B,'Product Tgt'!$D:$D),0),0)</f>
        <v>0</v>
      </c>
      <c r="CJ114" s="11">
        <f>ROUND(IFERROR(BD114/_xlfn.XLOOKUP(CJ$7,'Product Tgt'!$B:$B,'Product Tgt'!$D:$D),0),0)</f>
        <v>0</v>
      </c>
      <c r="CK114" s="11">
        <f>ROUND(IFERROR(BE114/_xlfn.XLOOKUP(CK$7,'Product Tgt'!$B:$B,'Product Tgt'!$D:$D),0),0)</f>
        <v>0</v>
      </c>
      <c r="CL114" s="11">
        <f>ROUND(IFERROR(BF114/_xlfn.XLOOKUP(CL$7,'Product Tgt'!$B:$B,'Product Tgt'!$D:$D),0),0)</f>
        <v>0</v>
      </c>
      <c r="CM114" s="11">
        <f>ROUND(IFERROR(BG114/_xlfn.XLOOKUP(CM$7,'Product Tgt'!$B:$B,'Product Tgt'!$D:$D),0),0)</f>
        <v>0</v>
      </c>
      <c r="CN114" s="11">
        <f>ROUND(IFERROR(BH114/_xlfn.XLOOKUP(CN$7,'Product Tgt'!$B:$B,'Product Tgt'!$D:$D),0),0)</f>
        <v>0</v>
      </c>
      <c r="CO114" s="11">
        <f>ROUND(IFERROR(BI114/_xlfn.XLOOKUP(CO$7,'Product Tgt'!$B:$B,'Product Tgt'!$D:$D),0),0)</f>
        <v>0</v>
      </c>
      <c r="CP114" s="11">
        <f>ROUND(IFERROR(BJ114/_xlfn.XLOOKUP(CP$7,'Product Tgt'!$B:$B,'Product Tgt'!$D:$D),0),0)</f>
        <v>0</v>
      </c>
      <c r="CQ114" s="11">
        <f>ROUND(IFERROR(BK114/_xlfn.XLOOKUP(CQ$7,'Product Tgt'!$B:$B,'Product Tgt'!$D:$D),0),0)</f>
        <v>0</v>
      </c>
      <c r="CR114" s="11">
        <f>ROUND(IFERROR(BL114/_xlfn.XLOOKUP(CR$7,'Product Tgt'!$B:$B,'Product Tgt'!$D:$D),0),0)</f>
        <v>0</v>
      </c>
      <c r="CS114" s="11">
        <f>ROUND(IFERROR(BM114/_xlfn.XLOOKUP(CS$7,'Product Tgt'!$B:$B,'Product Tgt'!$D:$D),0),0)</f>
        <v>0</v>
      </c>
      <c r="CT114" s="11">
        <f>ROUND(IFERROR(BN114/_xlfn.XLOOKUP(CT$7,'Product Tgt'!$B:$B,'Product Tgt'!$D:$D),0),0)</f>
        <v>0</v>
      </c>
      <c r="CU114" s="11">
        <f>ROUND(IFERROR(BO114/_xlfn.XLOOKUP(CU$7,'Product Tgt'!$B:$B,'Product Tgt'!$D:$D),0),0)</f>
        <v>0</v>
      </c>
      <c r="CV114" s="11">
        <f>ROUND(IFERROR(BP114/_xlfn.XLOOKUP(CV$7,'Product Tgt'!$B:$B,'Product Tgt'!$D:$D),0),0)</f>
        <v>0</v>
      </c>
      <c r="CW114" s="11">
        <f>ROUND(IFERROR(BQ114/_xlfn.XLOOKUP(CW$7,'Product Tgt'!$B:$B,'Product Tgt'!$D:$D),0),0)</f>
        <v>0</v>
      </c>
      <c r="CX114" s="11">
        <f>ROUND(IFERROR(#REF!/_xlfn.XLOOKUP(CX$7,'Product Tgt'!$B:$B,'Product Tgt'!$D:$D),0),0)</f>
        <v>0</v>
      </c>
      <c r="CY114" s="11">
        <f>ROUND(IFERROR(#REF!/_xlfn.XLOOKUP(CY$7,'Product Tgt'!$B:$B,'Product Tgt'!$D:$D),0),0)</f>
        <v>0</v>
      </c>
      <c r="CZ114" s="11">
        <f>ROUND(IFERROR(#REF!/_xlfn.XLOOKUP(CZ$7,'Product Tgt'!$B:$B,'Product Tgt'!$D:$D),0),0)</f>
        <v>0</v>
      </c>
      <c r="DA114" s="10">
        <f>IFERROR(BR114*_xlfn.XLOOKUP(DA$7,'Product Tgt'!$B:$B,'Product Tgt'!$D:$D),0)</f>
        <v>0</v>
      </c>
      <c r="DB114">
        <f>IFERROR(BS114*_xlfn.XLOOKUP(DB$7,'Product Tgt'!$B:$B,'Product Tgt'!$D:$D),0)</f>
        <v>0</v>
      </c>
      <c r="DC114">
        <f>IFERROR(BT114*_xlfn.XLOOKUP(DC$7,'Product Tgt'!$B:$B,'Product Tgt'!$D:$D),0)</f>
        <v>0</v>
      </c>
      <c r="DD114">
        <f>IFERROR(BU114*_xlfn.XLOOKUP(DD$7,'Product Tgt'!$B:$B,'Product Tgt'!$D:$D),0)</f>
        <v>0</v>
      </c>
      <c r="DE114">
        <f>IFERROR(BV114*_xlfn.XLOOKUP(DE$7,'Product Tgt'!$B:$B,'Product Tgt'!$D:$D),0)</f>
        <v>0</v>
      </c>
      <c r="DF114">
        <f>IFERROR(BW114*_xlfn.XLOOKUP(DF$7,'Product Tgt'!$B:$B,'Product Tgt'!$D:$D),0)</f>
        <v>0</v>
      </c>
      <c r="DG114">
        <f>IFERROR(BX114*_xlfn.XLOOKUP(DG$7,'Product Tgt'!$B:$B,'Product Tgt'!$D:$D),0)</f>
        <v>0</v>
      </c>
      <c r="DH114">
        <f>IFERROR(BY114*_xlfn.XLOOKUP(DH$7,'Product Tgt'!$B:$B,'Product Tgt'!$D:$D),0)</f>
        <v>0</v>
      </c>
      <c r="DI114">
        <f>IFERROR(BZ114*_xlfn.XLOOKUP(DI$7,'Product Tgt'!$B:$B,'Product Tgt'!$D:$D),0)</f>
        <v>0</v>
      </c>
      <c r="DJ114">
        <f>IFERROR(CA114*_xlfn.XLOOKUP(DJ$7,'Product Tgt'!$B:$B,'Product Tgt'!$D:$D),0)</f>
        <v>0</v>
      </c>
      <c r="DK114">
        <f>IFERROR(CB114*_xlfn.XLOOKUP(DK$7,'Product Tgt'!$B:$B,'Product Tgt'!$D:$D),0)</f>
        <v>0</v>
      </c>
      <c r="DL114">
        <f>IFERROR(CC114*_xlfn.XLOOKUP(DL$7,'Product Tgt'!$B:$B,'Product Tgt'!$D:$D),0)</f>
        <v>0</v>
      </c>
      <c r="DM114">
        <f>IFERROR(CD114*_xlfn.XLOOKUP(DM$7,'Product Tgt'!$B:$B,'Product Tgt'!$D:$D),0)</f>
        <v>0</v>
      </c>
      <c r="DN114">
        <f>IFERROR(CE114*_xlfn.XLOOKUP(DN$7,'Product Tgt'!$B:$B,'Product Tgt'!$D:$D),0)</f>
        <v>0</v>
      </c>
      <c r="DO114">
        <f>IFERROR(CF114*_xlfn.XLOOKUP(DO$7,'Product Tgt'!$B:$B,'Product Tgt'!$D:$D),0)</f>
        <v>0</v>
      </c>
      <c r="DP114">
        <f>IFERROR(CG114*_xlfn.XLOOKUP(DP$7,'Product Tgt'!$B:$B,'Product Tgt'!$D:$D),0)</f>
        <v>0</v>
      </c>
      <c r="DQ114">
        <f>IFERROR(CH114*_xlfn.XLOOKUP(DQ$7,'Product Tgt'!$B:$B,'Product Tgt'!$D:$D),0)</f>
        <v>0</v>
      </c>
      <c r="DR114">
        <f>IFERROR(CI114*_xlfn.XLOOKUP(DR$7,'Product Tgt'!$B:$B,'Product Tgt'!$D:$D),0)</f>
        <v>0</v>
      </c>
      <c r="DS114">
        <f>IFERROR(CJ114*_xlfn.XLOOKUP(DS$7,'Product Tgt'!$B:$B,'Product Tgt'!$D:$D),0)</f>
        <v>0</v>
      </c>
      <c r="DT114">
        <f>IFERROR(CK114*_xlfn.XLOOKUP(DT$7,'Product Tgt'!$B:$B,'Product Tgt'!$D:$D),0)</f>
        <v>0</v>
      </c>
      <c r="DU114">
        <f>IFERROR(CL114*_xlfn.XLOOKUP(DU$7,'Product Tgt'!$B:$B,'Product Tgt'!$D:$D),0)</f>
        <v>0</v>
      </c>
      <c r="DV114">
        <f>IFERROR(CM114*_xlfn.XLOOKUP(DV$7,'Product Tgt'!$B:$B,'Product Tgt'!$D:$D),0)</f>
        <v>0</v>
      </c>
      <c r="DW114">
        <f>IFERROR(CN114*_xlfn.XLOOKUP(DW$7,'Product Tgt'!$B:$B,'Product Tgt'!$D:$D),0)</f>
        <v>0</v>
      </c>
      <c r="DX114">
        <f>IFERROR(CO114*_xlfn.XLOOKUP(DX$7,'Product Tgt'!$B:$B,'Product Tgt'!$D:$D),0)</f>
        <v>0</v>
      </c>
      <c r="DY114">
        <f>IFERROR(CP114*_xlfn.XLOOKUP(DY$7,'Product Tgt'!$B:$B,'Product Tgt'!$D:$D),0)</f>
        <v>0</v>
      </c>
      <c r="DZ114">
        <f>IFERROR(CQ114*_xlfn.XLOOKUP(DZ$7,'Product Tgt'!$B:$B,'Product Tgt'!$D:$D),0)</f>
        <v>0</v>
      </c>
      <c r="EA114">
        <f>IFERROR(CR114*_xlfn.XLOOKUP(EA$7,'Product Tgt'!$B:$B,'Product Tgt'!$D:$D),0)</f>
        <v>0</v>
      </c>
      <c r="EB114">
        <f>IFERROR(CS114*_xlfn.XLOOKUP(EB$7,'Product Tgt'!$B:$B,'Product Tgt'!$D:$D),0)</f>
        <v>0</v>
      </c>
      <c r="EC114">
        <f>IFERROR(CT114*_xlfn.XLOOKUP(EC$7,'Product Tgt'!$B:$B,'Product Tgt'!$D:$D),0)</f>
        <v>0</v>
      </c>
      <c r="ED114">
        <f>IFERROR(CU114*_xlfn.XLOOKUP(ED$7,'Product Tgt'!$B:$B,'Product Tgt'!$D:$D),0)</f>
        <v>0</v>
      </c>
      <c r="EE114">
        <f>IFERROR(CV114*_xlfn.XLOOKUP(EE$7,'Product Tgt'!$B:$B,'Product Tgt'!$D:$D),0)</f>
        <v>0</v>
      </c>
      <c r="EF114">
        <f>IFERROR(CW114*_xlfn.XLOOKUP(EF$7,'Product Tgt'!$B:$B,'Product Tgt'!$D:$D),0)</f>
        <v>0</v>
      </c>
      <c r="EG114">
        <f>IFERROR(CX114*_xlfn.XLOOKUP(EG$7,'Product Tgt'!$B:$B,'Product Tgt'!$D:$D),0)</f>
        <v>0</v>
      </c>
      <c r="EH114">
        <f>IFERROR(CY114*_xlfn.XLOOKUP(EH$7,'Product Tgt'!$B:$B,'Product Tgt'!$D:$D),0)</f>
        <v>0</v>
      </c>
      <c r="EI114">
        <f>IFERROR(CZ114*_xlfn.XLOOKUP(EI$7,'Product Tgt'!$B:$B,'Product Tgt'!$D:$D),0)</f>
        <v>0</v>
      </c>
    </row>
    <row r="115" spans="2:139" x14ac:dyDescent="0.35">
      <c r="B115" s="7" t="s">
        <v>115</v>
      </c>
      <c r="C115" s="3">
        <f>_xlfn.XLOOKUP($B115,'Terr Target'!$A:$A,'Terr Target'!$E:$E)</f>
        <v>328133.02593610744</v>
      </c>
      <c r="D115" s="3">
        <f t="shared" si="14"/>
        <v>328133</v>
      </c>
      <c r="E115" s="4">
        <f t="shared" si="15"/>
        <v>-2.5936107442248613E-2</v>
      </c>
      <c r="F115" s="9">
        <f t="shared" si="13"/>
        <v>7.9041447956312261E-8</v>
      </c>
      <c r="G115" s="5">
        <f t="shared" si="12"/>
        <v>1.0000000790414481</v>
      </c>
      <c r="H115" s="38">
        <v>24705.328559866553</v>
      </c>
      <c r="I115" s="11">
        <v>52533.518594581707</v>
      </c>
      <c r="J115" s="11">
        <v>30302.819922949842</v>
      </c>
      <c r="K115" s="11">
        <v>29187.911711822413</v>
      </c>
      <c r="L115" s="11">
        <v>30207.483958729601</v>
      </c>
      <c r="M115" s="11">
        <v>24577.609538668406</v>
      </c>
      <c r="N115" s="11">
        <v>699.80611240160852</v>
      </c>
      <c r="O115" s="11">
        <v>4619.5923109218038</v>
      </c>
      <c r="P115" s="11">
        <v>1661.4270503603013</v>
      </c>
      <c r="Q115" s="11">
        <v>765.05099442219557</v>
      </c>
      <c r="R115" s="11">
        <v>9415.4833217858886</v>
      </c>
      <c r="S115" s="11">
        <v>19573.006211220432</v>
      </c>
      <c r="T115" s="11">
        <v>0</v>
      </c>
      <c r="U115" s="11">
        <v>1234.6002273244524</v>
      </c>
      <c r="V115" s="11">
        <v>15494.778342919099</v>
      </c>
      <c r="W115" s="11">
        <v>22160.818907281944</v>
      </c>
      <c r="X115" s="11">
        <v>3014.211683805418</v>
      </c>
      <c r="Y115" s="11">
        <v>6095.6138815542836</v>
      </c>
      <c r="Z115" s="11">
        <v>505.29385288824278</v>
      </c>
      <c r="AA115" s="11">
        <v>8944.8339409900764</v>
      </c>
      <c r="AB115" s="11">
        <v>3467.5744814960099</v>
      </c>
      <c r="AC115" s="11">
        <v>1173.5114595684086</v>
      </c>
      <c r="AD115" s="11">
        <v>4091.9287841979321</v>
      </c>
      <c r="AE115" s="11">
        <v>8685.0666129015517</v>
      </c>
      <c r="AF115" s="11">
        <v>642.75122025526855</v>
      </c>
      <c r="AG115" s="11">
        <v>18377.563099662904</v>
      </c>
      <c r="AH115" s="11">
        <v>1755.1433524039239</v>
      </c>
      <c r="AI115" s="11">
        <v>9096.6441637461739</v>
      </c>
      <c r="AJ115" s="11">
        <v>7356.7398969789101</v>
      </c>
      <c r="AK115" s="11">
        <v>2005.9363259163124</v>
      </c>
      <c r="AL115" s="49">
        <v>3029.1553593595472</v>
      </c>
      <c r="AM115" s="41">
        <f>IFERROR(ROUND(_xlfn.XLOOKUP(AM$7,'Product Tgt'!$B:$B,'Product Tgt'!$G:$G)*H115/H$121,0),0)</f>
        <v>24018</v>
      </c>
      <c r="AN115" s="41">
        <f>IFERROR(ROUND(_xlfn.XLOOKUP(AN$7,'Product Tgt'!$B:$B,'Product Tgt'!$G:$G)*I115/I$121,0),0)</f>
        <v>51714</v>
      </c>
      <c r="AO115" s="41">
        <f>IFERROR(ROUND(_xlfn.XLOOKUP(AO$7,'Product Tgt'!$B:$B,'Product Tgt'!$G:$G)*J115/J$121,0),0)</f>
        <v>29360</v>
      </c>
      <c r="AP115" s="41">
        <f>IFERROR(ROUND(_xlfn.XLOOKUP(AP$7,'Product Tgt'!$B:$B,'Product Tgt'!$G:$G)*K115/K$121,0),0)</f>
        <v>28473</v>
      </c>
      <c r="AQ115" s="41">
        <f>IFERROR(ROUND(_xlfn.XLOOKUP(AQ$7,'Product Tgt'!$B:$B,'Product Tgt'!$G:$G)*L115/L$121,0),0)</f>
        <v>29209</v>
      </c>
      <c r="AR115" s="41">
        <f>IFERROR(ROUND(_xlfn.XLOOKUP(AR$7,'Product Tgt'!$B:$B,'Product Tgt'!$G:$G)*M115/M$121,0),0)</f>
        <v>23811</v>
      </c>
      <c r="AS115" s="41">
        <f>IFERROR(ROUND(_xlfn.XLOOKUP(AS$7,'Product Tgt'!$B:$B,'Product Tgt'!$G:$G)*N115/N$121,0),0)</f>
        <v>647</v>
      </c>
      <c r="AT115" s="41">
        <f>IFERROR(ROUND(_xlfn.XLOOKUP(AT$7,'Product Tgt'!$B:$B,'Product Tgt'!$G:$G)*O115/O$121,0),0)</f>
        <v>4158</v>
      </c>
      <c r="AU115" s="41">
        <f>IFERROR(ROUND(_xlfn.XLOOKUP(AU$7,'Product Tgt'!$B:$B,'Product Tgt'!$G:$G)*P115/P$121,0),0)</f>
        <v>708</v>
      </c>
      <c r="AV115" s="41">
        <f>IFERROR(ROUND(_xlfn.XLOOKUP(AV$7,'Product Tgt'!$B:$B,'Product Tgt'!$G:$G)*Q115/Q$121,0),0)</f>
        <v>574</v>
      </c>
      <c r="AW115" s="41">
        <f>IFERROR(ROUND(_xlfn.XLOOKUP(AW$7,'Product Tgt'!$B:$B,'Product Tgt'!$G:$G)*R115/R$121,0),0)</f>
        <v>9068</v>
      </c>
      <c r="AX115" s="41">
        <f>IFERROR(ROUND(_xlfn.XLOOKUP(AX$7,'Product Tgt'!$B:$B,'Product Tgt'!$G:$G)*S115/S$121,0),0)</f>
        <v>18851</v>
      </c>
      <c r="AY115" s="41">
        <f>IFERROR(ROUND(_xlfn.XLOOKUP(AY$7,'Product Tgt'!$B:$B,'Product Tgt'!$G:$G)*T115/T$121,0),0)</f>
        <v>0</v>
      </c>
      <c r="AZ115" s="41">
        <f>IFERROR(ROUND(_xlfn.XLOOKUP(AZ$7,'Product Tgt'!$B:$B,'Product Tgt'!$G:$G)*U115/U$121,0),0)</f>
        <v>1182</v>
      </c>
      <c r="BA115" s="41">
        <f>IFERROR(ROUND(_xlfn.XLOOKUP(BA$7,'Product Tgt'!$B:$B,'Product Tgt'!$G:$G)*V115/V$121,0),0)</f>
        <v>14918</v>
      </c>
      <c r="BB115" s="41">
        <f>IFERROR(ROUND(_xlfn.XLOOKUP(BB$7,'Product Tgt'!$B:$B,'Product Tgt'!$G:$G)*W115/W$121,0),0)</f>
        <v>21213</v>
      </c>
      <c r="BC115" s="41">
        <f>IFERROR(ROUND(_xlfn.XLOOKUP(BC$7,'Product Tgt'!$B:$B,'Product Tgt'!$G:$G)*X115/X$121,0),0)</f>
        <v>2917</v>
      </c>
      <c r="BD115" s="41">
        <f>IFERROR(ROUND(_xlfn.XLOOKUP(BD$7,'Product Tgt'!$B:$B,'Product Tgt'!$G:$G)*Y115/Y$121,0),0)</f>
        <v>5894</v>
      </c>
      <c r="BE115" s="41">
        <f>IFERROR(ROUND(_xlfn.XLOOKUP(BE$7,'Product Tgt'!$B:$B,'Product Tgt'!$G:$G)*Z115/Z$121,0),0)</f>
        <v>480</v>
      </c>
      <c r="BF115" s="41">
        <f>IFERROR(ROUND(_xlfn.XLOOKUP(BF$7,'Product Tgt'!$B:$B,'Product Tgt'!$G:$G)*AA115/AA$121,0),0)</f>
        <v>7249</v>
      </c>
      <c r="BG115" s="41">
        <f>IFERROR(ROUND(_xlfn.XLOOKUP(BG$7,'Product Tgt'!$B:$B,'Product Tgt'!$G:$G)*AB115/AB$121,0),0)</f>
        <v>2779</v>
      </c>
      <c r="BH115" s="41">
        <f>IFERROR(ROUND(_xlfn.XLOOKUP(BH$7,'Product Tgt'!$B:$B,'Product Tgt'!$G:$G)*AC115/AC$121,0),0)</f>
        <v>1004</v>
      </c>
      <c r="BI115" s="41">
        <f>IFERROR(ROUND(_xlfn.XLOOKUP(BI$7,'Product Tgt'!$B:$B,'Product Tgt'!$G:$G)*AD115/AD$121,0),0)</f>
        <v>3562</v>
      </c>
      <c r="BJ115" s="41">
        <f>IFERROR(ROUND(_xlfn.XLOOKUP(BJ$7,'Product Tgt'!$B:$B,'Product Tgt'!$G:$G)*AE115/AE$121,0),0)</f>
        <v>8084</v>
      </c>
      <c r="BK115" s="41">
        <f>IFERROR(ROUND(_xlfn.XLOOKUP(BK$7,'Product Tgt'!$B:$B,'Product Tgt'!$G:$G)*AF115/AF$121,0),0)</f>
        <v>718</v>
      </c>
      <c r="BL115" s="41">
        <f>IFERROR(ROUND(_xlfn.XLOOKUP(BL$7,'Product Tgt'!$B:$B,'Product Tgt'!$G:$G)*AG115/AG$121,0),0)</f>
        <v>17554</v>
      </c>
      <c r="BM115" s="41">
        <f>IFERROR(ROUND(_xlfn.XLOOKUP(BM$7,'Product Tgt'!$B:$B,'Product Tgt'!$G:$G)*AH115/AH$121,0),0)</f>
        <v>1376</v>
      </c>
      <c r="BN115" s="41">
        <f>IFERROR(ROUND(_xlfn.XLOOKUP(BN$7,'Product Tgt'!$B:$B,'Product Tgt'!$G:$G)*AI115/AI$121,0),0)</f>
        <v>8354</v>
      </c>
      <c r="BO115" s="41">
        <f>IFERROR(ROUND(_xlfn.XLOOKUP(BO$7,'Product Tgt'!$B:$B,'Product Tgt'!$G:$G)*AJ115/AJ$121,0),0)</f>
        <v>6363</v>
      </c>
      <c r="BP115" s="41">
        <f>IFERROR(ROUND(_xlfn.XLOOKUP(BP$7,'Product Tgt'!$B:$B,'Product Tgt'!$G:$G)*AK115/AK$121,0),0)</f>
        <v>1527</v>
      </c>
      <c r="BQ115" s="41">
        <f>IFERROR(ROUND(_xlfn.XLOOKUP(BQ$7,'Product Tgt'!$B:$B,'Product Tgt'!$G:$G)*AL115/AL$121,0),0)</f>
        <v>2368</v>
      </c>
      <c r="BR115" s="25">
        <f>ROUND(IFERROR(AM115/_xlfn.XLOOKUP(BR$7,'Product Tgt'!$B:$B,'Product Tgt'!$D:$D),0),0)</f>
        <v>0</v>
      </c>
      <c r="BS115" s="11">
        <f>ROUND(IFERROR(AN115/_xlfn.XLOOKUP(BS$7,'Product Tgt'!$B:$B,'Product Tgt'!$D:$D),0),0)</f>
        <v>0</v>
      </c>
      <c r="BT115" s="11">
        <f>ROUND(IFERROR(AO115/_xlfn.XLOOKUP(BT$7,'Product Tgt'!$B:$B,'Product Tgt'!$D:$D),0),0)</f>
        <v>0</v>
      </c>
      <c r="BU115" s="11">
        <f>ROUND(IFERROR(AP115/_xlfn.XLOOKUP(BU$7,'Product Tgt'!$B:$B,'Product Tgt'!$D:$D),0),0)</f>
        <v>0</v>
      </c>
      <c r="BV115" s="11">
        <f>ROUND(IFERROR(AQ115/_xlfn.XLOOKUP(BV$7,'Product Tgt'!$B:$B,'Product Tgt'!$D:$D),0),0)</f>
        <v>0</v>
      </c>
      <c r="BW115" s="11">
        <f>ROUND(IFERROR(AU115/_xlfn.XLOOKUP(BW$7,'Product Tgt'!$B:$B,'Product Tgt'!$D:$D),0),0)</f>
        <v>0</v>
      </c>
      <c r="BX115" s="11">
        <f>ROUND(IFERROR(#REF!/_xlfn.XLOOKUP(BX$7,'Product Tgt'!$B:$B,'Product Tgt'!$D:$D),0),0)</f>
        <v>0</v>
      </c>
      <c r="BY115" s="11">
        <f>ROUND(IFERROR(#REF!/_xlfn.XLOOKUP(BY$7,'Product Tgt'!$B:$B,'Product Tgt'!$D:$D),0),0)</f>
        <v>0</v>
      </c>
      <c r="BZ115" s="11">
        <f>ROUND(IFERROR(#REF!/_xlfn.XLOOKUP(BZ$7,'Product Tgt'!$B:$B,'Product Tgt'!$D:$D),0),0)</f>
        <v>0</v>
      </c>
      <c r="CA115" s="11">
        <f>ROUND(IFERROR(#REF!/_xlfn.XLOOKUP(CA$7,'Product Tgt'!$B:$B,'Product Tgt'!$D:$D),0),0)</f>
        <v>0</v>
      </c>
      <c r="CB115" s="11">
        <f>ROUND(IFERROR(AV115/_xlfn.XLOOKUP(CB$7,'Product Tgt'!$B:$B,'Product Tgt'!$D:$D),0),0)</f>
        <v>0</v>
      </c>
      <c r="CC115" s="11">
        <f>ROUND(IFERROR(AW115/_xlfn.XLOOKUP(CC$7,'Product Tgt'!$B:$B,'Product Tgt'!$D:$D),0),0)</f>
        <v>0</v>
      </c>
      <c r="CD115" s="11">
        <f>ROUND(IFERROR(AX115/_xlfn.XLOOKUP(CD$7,'Product Tgt'!$B:$B,'Product Tgt'!$D:$D),0),0)</f>
        <v>0</v>
      </c>
      <c r="CE115" s="11">
        <f>ROUND(IFERROR(AY115/_xlfn.XLOOKUP(CE$7,'Product Tgt'!$B:$B,'Product Tgt'!$D:$D),0),0)</f>
        <v>0</v>
      </c>
      <c r="CF115" s="11">
        <f>ROUND(IFERROR(AZ115/_xlfn.XLOOKUP(CF$7,'Product Tgt'!$B:$B,'Product Tgt'!$D:$D),0),0)</f>
        <v>0</v>
      </c>
      <c r="CG115" s="11">
        <f>ROUND(IFERROR(BA115/_xlfn.XLOOKUP(CG$7,'Product Tgt'!$B:$B,'Product Tgt'!$D:$D),0),0)</f>
        <v>0</v>
      </c>
      <c r="CH115" s="11">
        <f>ROUND(IFERROR(BB115/_xlfn.XLOOKUP(CH$7,'Product Tgt'!$B:$B,'Product Tgt'!$D:$D),0),0)</f>
        <v>0</v>
      </c>
      <c r="CI115" s="11">
        <f>ROUND(IFERROR(BC115/_xlfn.XLOOKUP(CI$7,'Product Tgt'!$B:$B,'Product Tgt'!$D:$D),0),0)</f>
        <v>0</v>
      </c>
      <c r="CJ115" s="11">
        <f>ROUND(IFERROR(BD115/_xlfn.XLOOKUP(CJ$7,'Product Tgt'!$B:$B,'Product Tgt'!$D:$D),0),0)</f>
        <v>0</v>
      </c>
      <c r="CK115" s="11">
        <f>ROUND(IFERROR(BE115/_xlfn.XLOOKUP(CK$7,'Product Tgt'!$B:$B,'Product Tgt'!$D:$D),0),0)</f>
        <v>0</v>
      </c>
      <c r="CL115" s="11">
        <f>ROUND(IFERROR(BF115/_xlfn.XLOOKUP(CL$7,'Product Tgt'!$B:$B,'Product Tgt'!$D:$D),0),0)</f>
        <v>0</v>
      </c>
      <c r="CM115" s="11">
        <f>ROUND(IFERROR(BG115/_xlfn.XLOOKUP(CM$7,'Product Tgt'!$B:$B,'Product Tgt'!$D:$D),0),0)</f>
        <v>0</v>
      </c>
      <c r="CN115" s="11">
        <f>ROUND(IFERROR(BH115/_xlfn.XLOOKUP(CN$7,'Product Tgt'!$B:$B,'Product Tgt'!$D:$D),0),0)</f>
        <v>0</v>
      </c>
      <c r="CO115" s="11">
        <f>ROUND(IFERROR(BI115/_xlfn.XLOOKUP(CO$7,'Product Tgt'!$B:$B,'Product Tgt'!$D:$D),0),0)</f>
        <v>0</v>
      </c>
      <c r="CP115" s="11">
        <f>ROUND(IFERROR(BJ115/_xlfn.XLOOKUP(CP$7,'Product Tgt'!$B:$B,'Product Tgt'!$D:$D),0),0)</f>
        <v>0</v>
      </c>
      <c r="CQ115" s="11">
        <f>ROUND(IFERROR(BK115/_xlfn.XLOOKUP(CQ$7,'Product Tgt'!$B:$B,'Product Tgt'!$D:$D),0),0)</f>
        <v>0</v>
      </c>
      <c r="CR115" s="11">
        <f>ROUND(IFERROR(BL115/_xlfn.XLOOKUP(CR$7,'Product Tgt'!$B:$B,'Product Tgt'!$D:$D),0),0)</f>
        <v>0</v>
      </c>
      <c r="CS115" s="11">
        <f>ROUND(IFERROR(BM115/_xlfn.XLOOKUP(CS$7,'Product Tgt'!$B:$B,'Product Tgt'!$D:$D),0),0)</f>
        <v>0</v>
      </c>
      <c r="CT115" s="11">
        <f>ROUND(IFERROR(BN115/_xlfn.XLOOKUP(CT$7,'Product Tgt'!$B:$B,'Product Tgt'!$D:$D),0),0)</f>
        <v>0</v>
      </c>
      <c r="CU115" s="11">
        <f>ROUND(IFERROR(BO115/_xlfn.XLOOKUP(CU$7,'Product Tgt'!$B:$B,'Product Tgt'!$D:$D),0),0)</f>
        <v>0</v>
      </c>
      <c r="CV115" s="11">
        <f>ROUND(IFERROR(BP115/_xlfn.XLOOKUP(CV$7,'Product Tgt'!$B:$B,'Product Tgt'!$D:$D),0),0)</f>
        <v>0</v>
      </c>
      <c r="CW115" s="11">
        <f>ROUND(IFERROR(BQ115/_xlfn.XLOOKUP(CW$7,'Product Tgt'!$B:$B,'Product Tgt'!$D:$D),0),0)</f>
        <v>0</v>
      </c>
      <c r="CX115" s="11">
        <f>ROUND(IFERROR(#REF!/_xlfn.XLOOKUP(CX$7,'Product Tgt'!$B:$B,'Product Tgt'!$D:$D),0),0)</f>
        <v>0</v>
      </c>
      <c r="CY115" s="11">
        <f>ROUND(IFERROR(#REF!/_xlfn.XLOOKUP(CY$7,'Product Tgt'!$B:$B,'Product Tgt'!$D:$D),0),0)</f>
        <v>0</v>
      </c>
      <c r="CZ115" s="11">
        <f>ROUND(IFERROR(#REF!/_xlfn.XLOOKUP(CZ$7,'Product Tgt'!$B:$B,'Product Tgt'!$D:$D),0),0)</f>
        <v>0</v>
      </c>
      <c r="DA115" s="10">
        <f>IFERROR(BR115*_xlfn.XLOOKUP(DA$7,'Product Tgt'!$B:$B,'Product Tgt'!$D:$D),0)</f>
        <v>0</v>
      </c>
      <c r="DB115">
        <f>IFERROR(BS115*_xlfn.XLOOKUP(DB$7,'Product Tgt'!$B:$B,'Product Tgt'!$D:$D),0)</f>
        <v>0</v>
      </c>
      <c r="DC115">
        <f>IFERROR(BT115*_xlfn.XLOOKUP(DC$7,'Product Tgt'!$B:$B,'Product Tgt'!$D:$D),0)</f>
        <v>0</v>
      </c>
      <c r="DD115">
        <f>IFERROR(BU115*_xlfn.XLOOKUP(DD$7,'Product Tgt'!$B:$B,'Product Tgt'!$D:$D),0)</f>
        <v>0</v>
      </c>
      <c r="DE115">
        <f>IFERROR(BV115*_xlfn.XLOOKUP(DE$7,'Product Tgt'!$B:$B,'Product Tgt'!$D:$D),0)</f>
        <v>0</v>
      </c>
      <c r="DF115">
        <f>IFERROR(BW115*_xlfn.XLOOKUP(DF$7,'Product Tgt'!$B:$B,'Product Tgt'!$D:$D),0)</f>
        <v>0</v>
      </c>
      <c r="DG115">
        <f>IFERROR(BX115*_xlfn.XLOOKUP(DG$7,'Product Tgt'!$B:$B,'Product Tgt'!$D:$D),0)</f>
        <v>0</v>
      </c>
      <c r="DH115">
        <f>IFERROR(BY115*_xlfn.XLOOKUP(DH$7,'Product Tgt'!$B:$B,'Product Tgt'!$D:$D),0)</f>
        <v>0</v>
      </c>
      <c r="DI115">
        <f>IFERROR(BZ115*_xlfn.XLOOKUP(DI$7,'Product Tgt'!$B:$B,'Product Tgt'!$D:$D),0)</f>
        <v>0</v>
      </c>
      <c r="DJ115">
        <f>IFERROR(CA115*_xlfn.XLOOKUP(DJ$7,'Product Tgt'!$B:$B,'Product Tgt'!$D:$D),0)</f>
        <v>0</v>
      </c>
      <c r="DK115">
        <f>IFERROR(CB115*_xlfn.XLOOKUP(DK$7,'Product Tgt'!$B:$B,'Product Tgt'!$D:$D),0)</f>
        <v>0</v>
      </c>
      <c r="DL115">
        <f>IFERROR(CC115*_xlfn.XLOOKUP(DL$7,'Product Tgt'!$B:$B,'Product Tgt'!$D:$D),0)</f>
        <v>0</v>
      </c>
      <c r="DM115">
        <f>IFERROR(CD115*_xlfn.XLOOKUP(DM$7,'Product Tgt'!$B:$B,'Product Tgt'!$D:$D),0)</f>
        <v>0</v>
      </c>
      <c r="DN115">
        <f>IFERROR(CE115*_xlfn.XLOOKUP(DN$7,'Product Tgt'!$B:$B,'Product Tgt'!$D:$D),0)</f>
        <v>0</v>
      </c>
      <c r="DO115">
        <f>IFERROR(CF115*_xlfn.XLOOKUP(DO$7,'Product Tgt'!$B:$B,'Product Tgt'!$D:$D),0)</f>
        <v>0</v>
      </c>
      <c r="DP115">
        <f>IFERROR(CG115*_xlfn.XLOOKUP(DP$7,'Product Tgt'!$B:$B,'Product Tgt'!$D:$D),0)</f>
        <v>0</v>
      </c>
      <c r="DQ115">
        <f>IFERROR(CH115*_xlfn.XLOOKUP(DQ$7,'Product Tgt'!$B:$B,'Product Tgt'!$D:$D),0)</f>
        <v>0</v>
      </c>
      <c r="DR115">
        <f>IFERROR(CI115*_xlfn.XLOOKUP(DR$7,'Product Tgt'!$B:$B,'Product Tgt'!$D:$D),0)</f>
        <v>0</v>
      </c>
      <c r="DS115">
        <f>IFERROR(CJ115*_xlfn.XLOOKUP(DS$7,'Product Tgt'!$B:$B,'Product Tgt'!$D:$D),0)</f>
        <v>0</v>
      </c>
      <c r="DT115">
        <f>IFERROR(CK115*_xlfn.XLOOKUP(DT$7,'Product Tgt'!$B:$B,'Product Tgt'!$D:$D),0)</f>
        <v>0</v>
      </c>
      <c r="DU115">
        <f>IFERROR(CL115*_xlfn.XLOOKUP(DU$7,'Product Tgt'!$B:$B,'Product Tgt'!$D:$D),0)</f>
        <v>0</v>
      </c>
      <c r="DV115">
        <f>IFERROR(CM115*_xlfn.XLOOKUP(DV$7,'Product Tgt'!$B:$B,'Product Tgt'!$D:$D),0)</f>
        <v>0</v>
      </c>
      <c r="DW115">
        <f>IFERROR(CN115*_xlfn.XLOOKUP(DW$7,'Product Tgt'!$B:$B,'Product Tgt'!$D:$D),0)</f>
        <v>0</v>
      </c>
      <c r="DX115">
        <f>IFERROR(CO115*_xlfn.XLOOKUP(DX$7,'Product Tgt'!$B:$B,'Product Tgt'!$D:$D),0)</f>
        <v>0</v>
      </c>
      <c r="DY115">
        <f>IFERROR(CP115*_xlfn.XLOOKUP(DY$7,'Product Tgt'!$B:$B,'Product Tgt'!$D:$D),0)</f>
        <v>0</v>
      </c>
      <c r="DZ115">
        <f>IFERROR(CQ115*_xlfn.XLOOKUP(DZ$7,'Product Tgt'!$B:$B,'Product Tgt'!$D:$D),0)</f>
        <v>0</v>
      </c>
      <c r="EA115">
        <f>IFERROR(CR115*_xlfn.XLOOKUP(EA$7,'Product Tgt'!$B:$B,'Product Tgt'!$D:$D),0)</f>
        <v>0</v>
      </c>
      <c r="EB115">
        <f>IFERROR(CS115*_xlfn.XLOOKUP(EB$7,'Product Tgt'!$B:$B,'Product Tgt'!$D:$D),0)</f>
        <v>0</v>
      </c>
      <c r="EC115">
        <f>IFERROR(CT115*_xlfn.XLOOKUP(EC$7,'Product Tgt'!$B:$B,'Product Tgt'!$D:$D),0)</f>
        <v>0</v>
      </c>
      <c r="ED115">
        <f>IFERROR(CU115*_xlfn.XLOOKUP(ED$7,'Product Tgt'!$B:$B,'Product Tgt'!$D:$D),0)</f>
        <v>0</v>
      </c>
      <c r="EE115">
        <f>IFERROR(CV115*_xlfn.XLOOKUP(EE$7,'Product Tgt'!$B:$B,'Product Tgt'!$D:$D),0)</f>
        <v>0</v>
      </c>
      <c r="EF115">
        <f>IFERROR(CW115*_xlfn.XLOOKUP(EF$7,'Product Tgt'!$B:$B,'Product Tgt'!$D:$D),0)</f>
        <v>0</v>
      </c>
      <c r="EG115">
        <f>IFERROR(CX115*_xlfn.XLOOKUP(EG$7,'Product Tgt'!$B:$B,'Product Tgt'!$D:$D),0)</f>
        <v>0</v>
      </c>
      <c r="EH115">
        <f>IFERROR(CY115*_xlfn.XLOOKUP(EH$7,'Product Tgt'!$B:$B,'Product Tgt'!$D:$D),0)</f>
        <v>0</v>
      </c>
      <c r="EI115">
        <f>IFERROR(CZ115*_xlfn.XLOOKUP(EI$7,'Product Tgt'!$B:$B,'Product Tgt'!$D:$D),0)</f>
        <v>0</v>
      </c>
    </row>
    <row r="116" spans="2:139" x14ac:dyDescent="0.35">
      <c r="B116" s="7" t="s">
        <v>128</v>
      </c>
      <c r="C116" s="3">
        <f>_xlfn.XLOOKUP($B116,'Terr Target'!$A:$A,'Terr Target'!$E:$E)</f>
        <v>429502.83273191762</v>
      </c>
      <c r="D116" s="3">
        <f t="shared" si="14"/>
        <v>429504</v>
      </c>
      <c r="E116" s="4">
        <f t="shared" si="15"/>
        <v>1.1672680823830888</v>
      </c>
      <c r="F116" s="9">
        <f t="shared" si="13"/>
        <v>2.7177117847169963E-6</v>
      </c>
      <c r="G116" s="5">
        <f t="shared" si="12"/>
        <v>0.99999728228821527</v>
      </c>
      <c r="H116" s="38">
        <v>41890.172466244432</v>
      </c>
      <c r="I116" s="11">
        <v>81803.756338231819</v>
      </c>
      <c r="J116" s="11">
        <v>38864.547664756836</v>
      </c>
      <c r="K116" s="11">
        <v>39745.270480730091</v>
      </c>
      <c r="L116" s="11">
        <v>42614.530955802453</v>
      </c>
      <c r="M116" s="11">
        <v>34925.621654494731</v>
      </c>
      <c r="N116" s="11">
        <v>538.14641568493016</v>
      </c>
      <c r="O116" s="11">
        <v>3441.2110842053812</v>
      </c>
      <c r="P116" s="11">
        <v>1110.2066492660401</v>
      </c>
      <c r="Q116" s="11">
        <v>729.5407361951078</v>
      </c>
      <c r="R116" s="11">
        <v>6920.800691101972</v>
      </c>
      <c r="S116" s="11">
        <v>12284.61531180842</v>
      </c>
      <c r="T116" s="11">
        <v>1676.2674357788278</v>
      </c>
      <c r="U116" s="11">
        <v>21342.843594236627</v>
      </c>
      <c r="V116" s="11">
        <v>20538.638643031769</v>
      </c>
      <c r="W116" s="11">
        <v>28038.993893620795</v>
      </c>
      <c r="X116" s="11">
        <v>2561.2357076509334</v>
      </c>
      <c r="Y116" s="11">
        <v>2566.18873953292</v>
      </c>
      <c r="Z116" s="11">
        <v>253.14278236287541</v>
      </c>
      <c r="AA116" s="11">
        <v>5445.3752100870915</v>
      </c>
      <c r="AB116" s="11">
        <v>1831.7547666093301</v>
      </c>
      <c r="AC116" s="11">
        <v>1030.479777926211</v>
      </c>
      <c r="AD116" s="11">
        <v>5356.6292364269439</v>
      </c>
      <c r="AE116" s="11">
        <v>8746.0278201203546</v>
      </c>
      <c r="AF116" s="11">
        <v>608.86415056335875</v>
      </c>
      <c r="AG116" s="11">
        <v>18048.150567836019</v>
      </c>
      <c r="AH116" s="11">
        <v>1898.486157920767</v>
      </c>
      <c r="AI116" s="11">
        <v>9762.6151907155981</v>
      </c>
      <c r="AJ116" s="11">
        <v>9288.1705452311926</v>
      </c>
      <c r="AK116" s="11">
        <v>1908.6712657344303</v>
      </c>
      <c r="AL116" s="49">
        <v>2970.5036358150287</v>
      </c>
      <c r="AM116" s="41">
        <f>IFERROR(ROUND(_xlfn.XLOOKUP(AM$7,'Product Tgt'!$B:$B,'Product Tgt'!$G:$G)*H116/H$121,0),0)</f>
        <v>40724</v>
      </c>
      <c r="AN116" s="41">
        <f>IFERROR(ROUND(_xlfn.XLOOKUP(AN$7,'Product Tgt'!$B:$B,'Product Tgt'!$G:$G)*I116/I$121,0),0)</f>
        <v>80528</v>
      </c>
      <c r="AO116" s="41">
        <f>IFERROR(ROUND(_xlfn.XLOOKUP(AO$7,'Product Tgt'!$B:$B,'Product Tgt'!$G:$G)*J116/J$121,0),0)</f>
        <v>37656</v>
      </c>
      <c r="AP116" s="41">
        <f>IFERROR(ROUND(_xlfn.XLOOKUP(AP$7,'Product Tgt'!$B:$B,'Product Tgt'!$G:$G)*K116/K$121,0),0)</f>
        <v>38772</v>
      </c>
      <c r="AQ116" s="41">
        <f>IFERROR(ROUND(_xlfn.XLOOKUP(AQ$7,'Product Tgt'!$B:$B,'Product Tgt'!$G:$G)*L116/L$121,0),0)</f>
        <v>41206</v>
      </c>
      <c r="AR116" s="41">
        <f>IFERROR(ROUND(_xlfn.XLOOKUP(AR$7,'Product Tgt'!$B:$B,'Product Tgt'!$G:$G)*M116/M$121,0),0)</f>
        <v>33836</v>
      </c>
      <c r="AS116" s="41">
        <f>IFERROR(ROUND(_xlfn.XLOOKUP(AS$7,'Product Tgt'!$B:$B,'Product Tgt'!$G:$G)*N116/N$121,0),0)</f>
        <v>497</v>
      </c>
      <c r="AT116" s="41">
        <f>IFERROR(ROUND(_xlfn.XLOOKUP(AT$7,'Product Tgt'!$B:$B,'Product Tgt'!$G:$G)*O116/O$121,0),0)</f>
        <v>3097</v>
      </c>
      <c r="AU116" s="41">
        <f>IFERROR(ROUND(_xlfn.XLOOKUP(AU$7,'Product Tgt'!$B:$B,'Product Tgt'!$G:$G)*P116/P$121,0),0)</f>
        <v>473</v>
      </c>
      <c r="AV116" s="41">
        <f>IFERROR(ROUND(_xlfn.XLOOKUP(AV$7,'Product Tgt'!$B:$B,'Product Tgt'!$G:$G)*Q116/Q$121,0),0)</f>
        <v>547</v>
      </c>
      <c r="AW116" s="41">
        <f>IFERROR(ROUND(_xlfn.XLOOKUP(AW$7,'Product Tgt'!$B:$B,'Product Tgt'!$G:$G)*R116/R$121,0),0)</f>
        <v>6665</v>
      </c>
      <c r="AX116" s="41">
        <f>IFERROR(ROUND(_xlfn.XLOOKUP(AX$7,'Product Tgt'!$B:$B,'Product Tgt'!$G:$G)*S116/S$121,0),0)</f>
        <v>11832</v>
      </c>
      <c r="AY116" s="41">
        <f>IFERROR(ROUND(_xlfn.XLOOKUP(AY$7,'Product Tgt'!$B:$B,'Product Tgt'!$G:$G)*T116/T$121,0),0)</f>
        <v>1682</v>
      </c>
      <c r="AZ116" s="41">
        <f>IFERROR(ROUND(_xlfn.XLOOKUP(AZ$7,'Product Tgt'!$B:$B,'Product Tgt'!$G:$G)*U116/U$121,0),0)</f>
        <v>20426</v>
      </c>
      <c r="BA116" s="41">
        <f>IFERROR(ROUND(_xlfn.XLOOKUP(BA$7,'Product Tgt'!$B:$B,'Product Tgt'!$G:$G)*V116/V$121,0),0)</f>
        <v>19775</v>
      </c>
      <c r="BB116" s="41">
        <f>IFERROR(ROUND(_xlfn.XLOOKUP(BB$7,'Product Tgt'!$B:$B,'Product Tgt'!$G:$G)*W116/W$121,0),0)</f>
        <v>26840</v>
      </c>
      <c r="BC116" s="41">
        <f>IFERROR(ROUND(_xlfn.XLOOKUP(BC$7,'Product Tgt'!$B:$B,'Product Tgt'!$G:$G)*X116/X$121,0),0)</f>
        <v>2478</v>
      </c>
      <c r="BD116" s="41">
        <f>IFERROR(ROUND(_xlfn.XLOOKUP(BD$7,'Product Tgt'!$B:$B,'Product Tgt'!$G:$G)*Y116/Y$121,0),0)</f>
        <v>2481</v>
      </c>
      <c r="BE116" s="41">
        <f>IFERROR(ROUND(_xlfn.XLOOKUP(BE$7,'Product Tgt'!$B:$B,'Product Tgt'!$G:$G)*Z116/Z$121,0),0)</f>
        <v>241</v>
      </c>
      <c r="BF116" s="41">
        <f>IFERROR(ROUND(_xlfn.XLOOKUP(BF$7,'Product Tgt'!$B:$B,'Product Tgt'!$G:$G)*AA116/AA$121,0),0)</f>
        <v>4413</v>
      </c>
      <c r="BG116" s="41">
        <f>IFERROR(ROUND(_xlfn.XLOOKUP(BG$7,'Product Tgt'!$B:$B,'Product Tgt'!$G:$G)*AB116/AB$121,0),0)</f>
        <v>1468</v>
      </c>
      <c r="BH116" s="41">
        <f>IFERROR(ROUND(_xlfn.XLOOKUP(BH$7,'Product Tgt'!$B:$B,'Product Tgt'!$G:$G)*AC116/AC$121,0),0)</f>
        <v>882</v>
      </c>
      <c r="BI116" s="41">
        <f>IFERROR(ROUND(_xlfn.XLOOKUP(BI$7,'Product Tgt'!$B:$B,'Product Tgt'!$G:$G)*AD116/AD$121,0),0)</f>
        <v>4663</v>
      </c>
      <c r="BJ116" s="41">
        <f>IFERROR(ROUND(_xlfn.XLOOKUP(BJ$7,'Product Tgt'!$B:$B,'Product Tgt'!$G:$G)*AE116/AE$121,0),0)</f>
        <v>8140</v>
      </c>
      <c r="BK116" s="41">
        <f>IFERROR(ROUND(_xlfn.XLOOKUP(BK$7,'Product Tgt'!$B:$B,'Product Tgt'!$G:$G)*AF116/AF$121,0),0)</f>
        <v>680</v>
      </c>
      <c r="BL116" s="41">
        <f>IFERROR(ROUND(_xlfn.XLOOKUP(BL$7,'Product Tgt'!$B:$B,'Product Tgt'!$G:$G)*AG116/AG$121,0),0)</f>
        <v>17239</v>
      </c>
      <c r="BM116" s="41">
        <f>IFERROR(ROUND(_xlfn.XLOOKUP(BM$7,'Product Tgt'!$B:$B,'Product Tgt'!$G:$G)*AH116/AH$121,0),0)</f>
        <v>1488</v>
      </c>
      <c r="BN116" s="41">
        <f>IFERROR(ROUND(_xlfn.XLOOKUP(BN$7,'Product Tgt'!$B:$B,'Product Tgt'!$G:$G)*AI116/AI$121,0),0)</f>
        <v>8966</v>
      </c>
      <c r="BO116" s="41">
        <f>IFERROR(ROUND(_xlfn.XLOOKUP(BO$7,'Product Tgt'!$B:$B,'Product Tgt'!$G:$G)*AJ116/AJ$121,0),0)</f>
        <v>8034</v>
      </c>
      <c r="BP116" s="41">
        <f>IFERROR(ROUND(_xlfn.XLOOKUP(BP$7,'Product Tgt'!$B:$B,'Product Tgt'!$G:$G)*AK116/AK$121,0),0)</f>
        <v>1453</v>
      </c>
      <c r="BQ116" s="41">
        <f>IFERROR(ROUND(_xlfn.XLOOKUP(BQ$7,'Product Tgt'!$B:$B,'Product Tgt'!$G:$G)*AL116/AL$121,0),0)</f>
        <v>2322</v>
      </c>
      <c r="BR116" s="25">
        <f>ROUND(IFERROR(AM116/_xlfn.XLOOKUP(BR$7,'Product Tgt'!$B:$B,'Product Tgt'!$D:$D),0),0)</f>
        <v>0</v>
      </c>
      <c r="BS116" s="11">
        <f>ROUND(IFERROR(AN116/_xlfn.XLOOKUP(BS$7,'Product Tgt'!$B:$B,'Product Tgt'!$D:$D),0),0)</f>
        <v>0</v>
      </c>
      <c r="BT116" s="11">
        <f>ROUND(IFERROR(AO116/_xlfn.XLOOKUP(BT$7,'Product Tgt'!$B:$B,'Product Tgt'!$D:$D),0),0)</f>
        <v>0</v>
      </c>
      <c r="BU116" s="11">
        <f>ROUND(IFERROR(AP116/_xlfn.XLOOKUP(BU$7,'Product Tgt'!$B:$B,'Product Tgt'!$D:$D),0),0)</f>
        <v>0</v>
      </c>
      <c r="BV116" s="11">
        <f>ROUND(IFERROR(AQ116/_xlfn.XLOOKUP(BV$7,'Product Tgt'!$B:$B,'Product Tgt'!$D:$D),0),0)</f>
        <v>0</v>
      </c>
      <c r="BW116" s="11">
        <f>ROUND(IFERROR(AU116/_xlfn.XLOOKUP(BW$7,'Product Tgt'!$B:$B,'Product Tgt'!$D:$D),0),0)</f>
        <v>0</v>
      </c>
      <c r="BX116" s="11">
        <f>ROUND(IFERROR(#REF!/_xlfn.XLOOKUP(BX$7,'Product Tgt'!$B:$B,'Product Tgt'!$D:$D),0),0)</f>
        <v>0</v>
      </c>
      <c r="BY116" s="11">
        <f>ROUND(IFERROR(#REF!/_xlfn.XLOOKUP(BY$7,'Product Tgt'!$B:$B,'Product Tgt'!$D:$D),0),0)</f>
        <v>0</v>
      </c>
      <c r="BZ116" s="11">
        <f>ROUND(IFERROR(#REF!/_xlfn.XLOOKUP(BZ$7,'Product Tgt'!$B:$B,'Product Tgt'!$D:$D),0),0)</f>
        <v>0</v>
      </c>
      <c r="CA116" s="11">
        <f>ROUND(IFERROR(#REF!/_xlfn.XLOOKUP(CA$7,'Product Tgt'!$B:$B,'Product Tgt'!$D:$D),0),0)</f>
        <v>0</v>
      </c>
      <c r="CB116" s="11">
        <f>ROUND(IFERROR(AV116/_xlfn.XLOOKUP(CB$7,'Product Tgt'!$B:$B,'Product Tgt'!$D:$D),0),0)</f>
        <v>0</v>
      </c>
      <c r="CC116" s="11">
        <f>ROUND(IFERROR(AW116/_xlfn.XLOOKUP(CC$7,'Product Tgt'!$B:$B,'Product Tgt'!$D:$D),0),0)</f>
        <v>0</v>
      </c>
      <c r="CD116" s="11">
        <f>ROUND(IFERROR(AX116/_xlfn.XLOOKUP(CD$7,'Product Tgt'!$B:$B,'Product Tgt'!$D:$D),0),0)</f>
        <v>0</v>
      </c>
      <c r="CE116" s="11">
        <f>ROUND(IFERROR(AY116/_xlfn.XLOOKUP(CE$7,'Product Tgt'!$B:$B,'Product Tgt'!$D:$D),0),0)</f>
        <v>0</v>
      </c>
      <c r="CF116" s="11">
        <f>ROUND(IFERROR(AZ116/_xlfn.XLOOKUP(CF$7,'Product Tgt'!$B:$B,'Product Tgt'!$D:$D),0),0)</f>
        <v>0</v>
      </c>
      <c r="CG116" s="11">
        <f>ROUND(IFERROR(BA116/_xlfn.XLOOKUP(CG$7,'Product Tgt'!$B:$B,'Product Tgt'!$D:$D),0),0)</f>
        <v>0</v>
      </c>
      <c r="CH116" s="11">
        <f>ROUND(IFERROR(BB116/_xlfn.XLOOKUP(CH$7,'Product Tgt'!$B:$B,'Product Tgt'!$D:$D),0),0)</f>
        <v>0</v>
      </c>
      <c r="CI116" s="11">
        <f>ROUND(IFERROR(BC116/_xlfn.XLOOKUP(CI$7,'Product Tgt'!$B:$B,'Product Tgt'!$D:$D),0),0)</f>
        <v>0</v>
      </c>
      <c r="CJ116" s="11">
        <f>ROUND(IFERROR(BD116/_xlfn.XLOOKUP(CJ$7,'Product Tgt'!$B:$B,'Product Tgt'!$D:$D),0),0)</f>
        <v>0</v>
      </c>
      <c r="CK116" s="11">
        <f>ROUND(IFERROR(BE116/_xlfn.XLOOKUP(CK$7,'Product Tgt'!$B:$B,'Product Tgt'!$D:$D),0),0)</f>
        <v>0</v>
      </c>
      <c r="CL116" s="11">
        <f>ROUND(IFERROR(BF116/_xlfn.XLOOKUP(CL$7,'Product Tgt'!$B:$B,'Product Tgt'!$D:$D),0),0)</f>
        <v>0</v>
      </c>
      <c r="CM116" s="11">
        <f>ROUND(IFERROR(BG116/_xlfn.XLOOKUP(CM$7,'Product Tgt'!$B:$B,'Product Tgt'!$D:$D),0),0)</f>
        <v>0</v>
      </c>
      <c r="CN116" s="11">
        <f>ROUND(IFERROR(BH116/_xlfn.XLOOKUP(CN$7,'Product Tgt'!$B:$B,'Product Tgt'!$D:$D),0),0)</f>
        <v>0</v>
      </c>
      <c r="CO116" s="11">
        <f>ROUND(IFERROR(BI116/_xlfn.XLOOKUP(CO$7,'Product Tgt'!$B:$B,'Product Tgt'!$D:$D),0),0)</f>
        <v>0</v>
      </c>
      <c r="CP116" s="11">
        <f>ROUND(IFERROR(BJ116/_xlfn.XLOOKUP(CP$7,'Product Tgt'!$B:$B,'Product Tgt'!$D:$D),0),0)</f>
        <v>0</v>
      </c>
      <c r="CQ116" s="11">
        <f>ROUND(IFERROR(BK116/_xlfn.XLOOKUP(CQ$7,'Product Tgt'!$B:$B,'Product Tgt'!$D:$D),0),0)</f>
        <v>0</v>
      </c>
      <c r="CR116" s="11">
        <f>ROUND(IFERROR(BL116/_xlfn.XLOOKUP(CR$7,'Product Tgt'!$B:$B,'Product Tgt'!$D:$D),0),0)</f>
        <v>0</v>
      </c>
      <c r="CS116" s="11">
        <f>ROUND(IFERROR(BM116/_xlfn.XLOOKUP(CS$7,'Product Tgt'!$B:$B,'Product Tgt'!$D:$D),0),0)</f>
        <v>0</v>
      </c>
      <c r="CT116" s="11">
        <f>ROUND(IFERROR(BN116/_xlfn.XLOOKUP(CT$7,'Product Tgt'!$B:$B,'Product Tgt'!$D:$D),0),0)</f>
        <v>0</v>
      </c>
      <c r="CU116" s="11">
        <f>ROUND(IFERROR(BO116/_xlfn.XLOOKUP(CU$7,'Product Tgt'!$B:$B,'Product Tgt'!$D:$D),0),0)</f>
        <v>0</v>
      </c>
      <c r="CV116" s="11">
        <f>ROUND(IFERROR(BP116/_xlfn.XLOOKUP(CV$7,'Product Tgt'!$B:$B,'Product Tgt'!$D:$D),0),0)</f>
        <v>0</v>
      </c>
      <c r="CW116" s="11">
        <f>ROUND(IFERROR(BQ116/_xlfn.XLOOKUP(CW$7,'Product Tgt'!$B:$B,'Product Tgt'!$D:$D),0),0)</f>
        <v>0</v>
      </c>
      <c r="CX116" s="11">
        <f>ROUND(IFERROR(#REF!/_xlfn.XLOOKUP(CX$7,'Product Tgt'!$B:$B,'Product Tgt'!$D:$D),0),0)</f>
        <v>0</v>
      </c>
      <c r="CY116" s="11">
        <f>ROUND(IFERROR(#REF!/_xlfn.XLOOKUP(CY$7,'Product Tgt'!$B:$B,'Product Tgt'!$D:$D),0),0)</f>
        <v>0</v>
      </c>
      <c r="CZ116" s="11">
        <f>ROUND(IFERROR(#REF!/_xlfn.XLOOKUP(CZ$7,'Product Tgt'!$B:$B,'Product Tgt'!$D:$D),0),0)</f>
        <v>0</v>
      </c>
      <c r="DA116" s="10">
        <f>IFERROR(BR116*_xlfn.XLOOKUP(DA$7,'Product Tgt'!$B:$B,'Product Tgt'!$D:$D),0)</f>
        <v>0</v>
      </c>
      <c r="DB116">
        <f>IFERROR(BS116*_xlfn.XLOOKUP(DB$7,'Product Tgt'!$B:$B,'Product Tgt'!$D:$D),0)</f>
        <v>0</v>
      </c>
      <c r="DC116">
        <f>IFERROR(BT116*_xlfn.XLOOKUP(DC$7,'Product Tgt'!$B:$B,'Product Tgt'!$D:$D),0)</f>
        <v>0</v>
      </c>
      <c r="DD116">
        <f>IFERROR(BU116*_xlfn.XLOOKUP(DD$7,'Product Tgt'!$B:$B,'Product Tgt'!$D:$D),0)</f>
        <v>0</v>
      </c>
      <c r="DE116">
        <f>IFERROR(BV116*_xlfn.XLOOKUP(DE$7,'Product Tgt'!$B:$B,'Product Tgt'!$D:$D),0)</f>
        <v>0</v>
      </c>
      <c r="DF116">
        <f>IFERROR(BW116*_xlfn.XLOOKUP(DF$7,'Product Tgt'!$B:$B,'Product Tgt'!$D:$D),0)</f>
        <v>0</v>
      </c>
      <c r="DG116">
        <f>IFERROR(BX116*_xlfn.XLOOKUP(DG$7,'Product Tgt'!$B:$B,'Product Tgt'!$D:$D),0)</f>
        <v>0</v>
      </c>
      <c r="DH116">
        <f>IFERROR(BY116*_xlfn.XLOOKUP(DH$7,'Product Tgt'!$B:$B,'Product Tgt'!$D:$D),0)</f>
        <v>0</v>
      </c>
      <c r="DI116">
        <f>IFERROR(BZ116*_xlfn.XLOOKUP(DI$7,'Product Tgt'!$B:$B,'Product Tgt'!$D:$D),0)</f>
        <v>0</v>
      </c>
      <c r="DJ116">
        <f>IFERROR(CA116*_xlfn.XLOOKUP(DJ$7,'Product Tgt'!$B:$B,'Product Tgt'!$D:$D),0)</f>
        <v>0</v>
      </c>
      <c r="DK116">
        <f>IFERROR(CB116*_xlfn.XLOOKUP(DK$7,'Product Tgt'!$B:$B,'Product Tgt'!$D:$D),0)</f>
        <v>0</v>
      </c>
      <c r="DL116">
        <f>IFERROR(CC116*_xlfn.XLOOKUP(DL$7,'Product Tgt'!$B:$B,'Product Tgt'!$D:$D),0)</f>
        <v>0</v>
      </c>
      <c r="DM116">
        <f>IFERROR(CD116*_xlfn.XLOOKUP(DM$7,'Product Tgt'!$B:$B,'Product Tgt'!$D:$D),0)</f>
        <v>0</v>
      </c>
      <c r="DN116">
        <f>IFERROR(CE116*_xlfn.XLOOKUP(DN$7,'Product Tgt'!$B:$B,'Product Tgt'!$D:$D),0)</f>
        <v>0</v>
      </c>
      <c r="DO116">
        <f>IFERROR(CF116*_xlfn.XLOOKUP(DO$7,'Product Tgt'!$B:$B,'Product Tgt'!$D:$D),0)</f>
        <v>0</v>
      </c>
      <c r="DP116">
        <f>IFERROR(CG116*_xlfn.XLOOKUP(DP$7,'Product Tgt'!$B:$B,'Product Tgt'!$D:$D),0)</f>
        <v>0</v>
      </c>
      <c r="DQ116">
        <f>IFERROR(CH116*_xlfn.XLOOKUP(DQ$7,'Product Tgt'!$B:$B,'Product Tgt'!$D:$D),0)</f>
        <v>0</v>
      </c>
      <c r="DR116">
        <f>IFERROR(CI116*_xlfn.XLOOKUP(DR$7,'Product Tgt'!$B:$B,'Product Tgt'!$D:$D),0)</f>
        <v>0</v>
      </c>
      <c r="DS116">
        <f>IFERROR(CJ116*_xlfn.XLOOKUP(DS$7,'Product Tgt'!$B:$B,'Product Tgt'!$D:$D),0)</f>
        <v>0</v>
      </c>
      <c r="DT116">
        <f>IFERROR(CK116*_xlfn.XLOOKUP(DT$7,'Product Tgt'!$B:$B,'Product Tgt'!$D:$D),0)</f>
        <v>0</v>
      </c>
      <c r="DU116">
        <f>IFERROR(CL116*_xlfn.XLOOKUP(DU$7,'Product Tgt'!$B:$B,'Product Tgt'!$D:$D),0)</f>
        <v>0</v>
      </c>
      <c r="DV116">
        <f>IFERROR(CM116*_xlfn.XLOOKUP(DV$7,'Product Tgt'!$B:$B,'Product Tgt'!$D:$D),0)</f>
        <v>0</v>
      </c>
      <c r="DW116">
        <f>IFERROR(CN116*_xlfn.XLOOKUP(DW$7,'Product Tgt'!$B:$B,'Product Tgt'!$D:$D),0)</f>
        <v>0</v>
      </c>
      <c r="DX116">
        <f>IFERROR(CO116*_xlfn.XLOOKUP(DX$7,'Product Tgt'!$B:$B,'Product Tgt'!$D:$D),0)</f>
        <v>0</v>
      </c>
      <c r="DY116">
        <f>IFERROR(CP116*_xlfn.XLOOKUP(DY$7,'Product Tgt'!$B:$B,'Product Tgt'!$D:$D),0)</f>
        <v>0</v>
      </c>
      <c r="DZ116">
        <f>IFERROR(CQ116*_xlfn.XLOOKUP(DZ$7,'Product Tgt'!$B:$B,'Product Tgt'!$D:$D),0)</f>
        <v>0</v>
      </c>
      <c r="EA116">
        <f>IFERROR(CR116*_xlfn.XLOOKUP(EA$7,'Product Tgt'!$B:$B,'Product Tgt'!$D:$D),0)</f>
        <v>0</v>
      </c>
      <c r="EB116">
        <f>IFERROR(CS116*_xlfn.XLOOKUP(EB$7,'Product Tgt'!$B:$B,'Product Tgt'!$D:$D),0)</f>
        <v>0</v>
      </c>
      <c r="EC116">
        <f>IFERROR(CT116*_xlfn.XLOOKUP(EC$7,'Product Tgt'!$B:$B,'Product Tgt'!$D:$D),0)</f>
        <v>0</v>
      </c>
      <c r="ED116">
        <f>IFERROR(CU116*_xlfn.XLOOKUP(ED$7,'Product Tgt'!$B:$B,'Product Tgt'!$D:$D),0)</f>
        <v>0</v>
      </c>
      <c r="EE116">
        <f>IFERROR(CV116*_xlfn.XLOOKUP(EE$7,'Product Tgt'!$B:$B,'Product Tgt'!$D:$D),0)</f>
        <v>0</v>
      </c>
      <c r="EF116">
        <f>IFERROR(CW116*_xlfn.XLOOKUP(EF$7,'Product Tgt'!$B:$B,'Product Tgt'!$D:$D),0)</f>
        <v>0</v>
      </c>
      <c r="EG116">
        <f>IFERROR(CX116*_xlfn.XLOOKUP(EG$7,'Product Tgt'!$B:$B,'Product Tgt'!$D:$D),0)</f>
        <v>0</v>
      </c>
      <c r="EH116">
        <f>IFERROR(CY116*_xlfn.XLOOKUP(EH$7,'Product Tgt'!$B:$B,'Product Tgt'!$D:$D),0)</f>
        <v>0</v>
      </c>
      <c r="EI116">
        <f>IFERROR(CZ116*_xlfn.XLOOKUP(EI$7,'Product Tgt'!$B:$B,'Product Tgt'!$D:$D),0)</f>
        <v>0</v>
      </c>
    </row>
    <row r="117" spans="2:139" x14ac:dyDescent="0.35">
      <c r="B117" s="7" t="s">
        <v>129</v>
      </c>
      <c r="C117" s="3">
        <f>_xlfn.XLOOKUP($B117,'Terr Target'!$A:$A,'Terr Target'!$E:$E)</f>
        <v>348237.13989898295</v>
      </c>
      <c r="D117" s="3">
        <f t="shared" si="14"/>
        <v>348238</v>
      </c>
      <c r="E117" s="4">
        <f t="shared" si="15"/>
        <v>0.86010101705323905</v>
      </c>
      <c r="F117" s="9">
        <f t="shared" si="13"/>
        <v>2.4698654858264724E-6</v>
      </c>
      <c r="G117" s="5">
        <f t="shared" si="12"/>
        <v>0.9999975301345142</v>
      </c>
      <c r="H117" s="38">
        <v>35804.213549369408</v>
      </c>
      <c r="I117" s="11">
        <v>68689.891873997345</v>
      </c>
      <c r="J117" s="11">
        <v>34721.289843427185</v>
      </c>
      <c r="K117" s="11">
        <v>38379.782789484147</v>
      </c>
      <c r="L117" s="11">
        <v>33311.643709852571</v>
      </c>
      <c r="M117" s="11">
        <v>27029.239025934861</v>
      </c>
      <c r="N117" s="11">
        <v>608.12811813536473</v>
      </c>
      <c r="O117" s="11">
        <v>4136.5233108387929</v>
      </c>
      <c r="P117" s="11">
        <v>1396.4482435167179</v>
      </c>
      <c r="Q117" s="11">
        <v>1218.2866808950214</v>
      </c>
      <c r="R117" s="11">
        <v>5982.2173806400297</v>
      </c>
      <c r="S117" s="11">
        <v>10185.824989359842</v>
      </c>
      <c r="T117" s="11">
        <v>1374.5413385261952</v>
      </c>
      <c r="U117" s="11">
        <v>15078.002154712702</v>
      </c>
      <c r="V117" s="11">
        <v>12881.369619186416</v>
      </c>
      <c r="W117" s="11">
        <v>19635.623755573768</v>
      </c>
      <c r="X117" s="11">
        <v>2822.7261073226659</v>
      </c>
      <c r="Y117" s="11">
        <v>1874.1800135008621</v>
      </c>
      <c r="Z117" s="11">
        <v>273.73180420234041</v>
      </c>
      <c r="AA117" s="11">
        <v>4477.9565088373774</v>
      </c>
      <c r="AB117" s="11">
        <v>1555.7087554446375</v>
      </c>
      <c r="AC117" s="11">
        <v>846.03849977482889</v>
      </c>
      <c r="AD117" s="11">
        <v>3979.2733372153193</v>
      </c>
      <c r="AE117" s="11">
        <v>8922.9879646494719</v>
      </c>
      <c r="AF117" s="11">
        <v>514.57836801908957</v>
      </c>
      <c r="AG117" s="11">
        <v>11933.818841356911</v>
      </c>
      <c r="AH117" s="11">
        <v>881.8201096980132</v>
      </c>
      <c r="AI117" s="11">
        <v>7832.1813560482333</v>
      </c>
      <c r="AJ117" s="11">
        <v>5544.9053931031876</v>
      </c>
      <c r="AK117" s="11">
        <v>999.40674102833282</v>
      </c>
      <c r="AL117" s="49">
        <v>479.69254248897528</v>
      </c>
      <c r="AM117" s="41">
        <f>IFERROR(ROUND(_xlfn.XLOOKUP(AM$7,'Product Tgt'!$B:$B,'Product Tgt'!$G:$G)*H117/H$121,0),0)</f>
        <v>34808</v>
      </c>
      <c r="AN117" s="41">
        <f>IFERROR(ROUND(_xlfn.XLOOKUP(AN$7,'Product Tgt'!$B:$B,'Product Tgt'!$G:$G)*I117/I$121,0),0)</f>
        <v>67618</v>
      </c>
      <c r="AO117" s="41">
        <f>IFERROR(ROUND(_xlfn.XLOOKUP(AO$7,'Product Tgt'!$B:$B,'Product Tgt'!$G:$G)*J117/J$121,0),0)</f>
        <v>33641</v>
      </c>
      <c r="AP117" s="41">
        <f>IFERROR(ROUND(_xlfn.XLOOKUP(AP$7,'Product Tgt'!$B:$B,'Product Tgt'!$G:$G)*K117/K$121,0),0)</f>
        <v>37440</v>
      </c>
      <c r="AQ117" s="41">
        <f>IFERROR(ROUND(_xlfn.XLOOKUP(AQ$7,'Product Tgt'!$B:$B,'Product Tgt'!$G:$G)*L117/L$121,0),0)</f>
        <v>32210</v>
      </c>
      <c r="AR117" s="41">
        <f>IFERROR(ROUND(_xlfn.XLOOKUP(AR$7,'Product Tgt'!$B:$B,'Product Tgt'!$G:$G)*M117/M$121,0),0)</f>
        <v>26186</v>
      </c>
      <c r="AS117" s="41">
        <f>IFERROR(ROUND(_xlfn.XLOOKUP(AS$7,'Product Tgt'!$B:$B,'Product Tgt'!$G:$G)*N117/N$121,0),0)</f>
        <v>562</v>
      </c>
      <c r="AT117" s="41">
        <f>IFERROR(ROUND(_xlfn.XLOOKUP(AT$7,'Product Tgt'!$B:$B,'Product Tgt'!$G:$G)*O117/O$121,0),0)</f>
        <v>3723</v>
      </c>
      <c r="AU117" s="41">
        <f>IFERROR(ROUND(_xlfn.XLOOKUP(AU$7,'Product Tgt'!$B:$B,'Product Tgt'!$G:$G)*P117/P$121,0),0)</f>
        <v>595</v>
      </c>
      <c r="AV117" s="41">
        <f>IFERROR(ROUND(_xlfn.XLOOKUP(AV$7,'Product Tgt'!$B:$B,'Product Tgt'!$G:$G)*Q117/Q$121,0),0)</f>
        <v>914</v>
      </c>
      <c r="AW117" s="41">
        <f>IFERROR(ROUND(_xlfn.XLOOKUP(AW$7,'Product Tgt'!$B:$B,'Product Tgt'!$G:$G)*R117/R$121,0),0)</f>
        <v>5761</v>
      </c>
      <c r="AX117" s="41">
        <f>IFERROR(ROUND(_xlfn.XLOOKUP(AX$7,'Product Tgt'!$B:$B,'Product Tgt'!$G:$G)*S117/S$121,0),0)</f>
        <v>9810</v>
      </c>
      <c r="AY117" s="41">
        <f>IFERROR(ROUND(_xlfn.XLOOKUP(AY$7,'Product Tgt'!$B:$B,'Product Tgt'!$G:$G)*T117/T$121,0),0)</f>
        <v>1380</v>
      </c>
      <c r="AZ117" s="41">
        <f>IFERROR(ROUND(_xlfn.XLOOKUP(AZ$7,'Product Tgt'!$B:$B,'Product Tgt'!$G:$G)*U117/U$121,0),0)</f>
        <v>14430</v>
      </c>
      <c r="BA117" s="41">
        <f>IFERROR(ROUND(_xlfn.XLOOKUP(BA$7,'Product Tgt'!$B:$B,'Product Tgt'!$G:$G)*V117/V$121,0),0)</f>
        <v>12402</v>
      </c>
      <c r="BB117" s="41">
        <f>IFERROR(ROUND(_xlfn.XLOOKUP(BB$7,'Product Tgt'!$B:$B,'Product Tgt'!$G:$G)*W117/W$121,0),0)</f>
        <v>18796</v>
      </c>
      <c r="BC117" s="41">
        <f>IFERROR(ROUND(_xlfn.XLOOKUP(BC$7,'Product Tgt'!$B:$B,'Product Tgt'!$G:$G)*X117/X$121,0),0)</f>
        <v>2731</v>
      </c>
      <c r="BD117" s="41">
        <f>IFERROR(ROUND(_xlfn.XLOOKUP(BD$7,'Product Tgt'!$B:$B,'Product Tgt'!$G:$G)*Y117/Y$121,0),0)</f>
        <v>1812</v>
      </c>
      <c r="BE117" s="41">
        <f>IFERROR(ROUND(_xlfn.XLOOKUP(BE$7,'Product Tgt'!$B:$B,'Product Tgt'!$G:$G)*Z117/Z$121,0),0)</f>
        <v>260</v>
      </c>
      <c r="BF117" s="41">
        <f>IFERROR(ROUND(_xlfn.XLOOKUP(BF$7,'Product Tgt'!$B:$B,'Product Tgt'!$G:$G)*AA117/AA$121,0),0)</f>
        <v>3629</v>
      </c>
      <c r="BG117" s="41">
        <f>IFERROR(ROUND(_xlfn.XLOOKUP(BG$7,'Product Tgt'!$B:$B,'Product Tgt'!$G:$G)*AB117/AB$121,0),0)</f>
        <v>1247</v>
      </c>
      <c r="BH117" s="41">
        <f>IFERROR(ROUND(_xlfn.XLOOKUP(BH$7,'Product Tgt'!$B:$B,'Product Tgt'!$G:$G)*AC117/AC$121,0),0)</f>
        <v>724</v>
      </c>
      <c r="BI117" s="41">
        <f>IFERROR(ROUND(_xlfn.XLOOKUP(BI$7,'Product Tgt'!$B:$B,'Product Tgt'!$G:$G)*AD117/AD$121,0),0)</f>
        <v>3464</v>
      </c>
      <c r="BJ117" s="41">
        <f>IFERROR(ROUND(_xlfn.XLOOKUP(BJ$7,'Product Tgt'!$B:$B,'Product Tgt'!$G:$G)*AE117/AE$121,0),0)</f>
        <v>8305</v>
      </c>
      <c r="BK117" s="41">
        <f>IFERROR(ROUND(_xlfn.XLOOKUP(BK$7,'Product Tgt'!$B:$B,'Product Tgt'!$G:$G)*AF117/AF$121,0),0)</f>
        <v>575</v>
      </c>
      <c r="BL117" s="41">
        <f>IFERROR(ROUND(_xlfn.XLOOKUP(BL$7,'Product Tgt'!$B:$B,'Product Tgt'!$G:$G)*AG117/AG$121,0),0)</f>
        <v>11399</v>
      </c>
      <c r="BM117" s="41">
        <f>IFERROR(ROUND(_xlfn.XLOOKUP(BM$7,'Product Tgt'!$B:$B,'Product Tgt'!$G:$G)*AH117/AH$121,0),0)</f>
        <v>691</v>
      </c>
      <c r="BN117" s="41">
        <f>IFERROR(ROUND(_xlfn.XLOOKUP(BN$7,'Product Tgt'!$B:$B,'Product Tgt'!$G:$G)*AI117/AI$121,0),0)</f>
        <v>7193</v>
      </c>
      <c r="BO117" s="41">
        <f>IFERROR(ROUND(_xlfn.XLOOKUP(BO$7,'Product Tgt'!$B:$B,'Product Tgt'!$G:$G)*AJ117/AJ$121,0),0)</f>
        <v>4796</v>
      </c>
      <c r="BP117" s="41">
        <f>IFERROR(ROUND(_xlfn.XLOOKUP(BP$7,'Product Tgt'!$B:$B,'Product Tgt'!$G:$G)*AK117/AK$121,0),0)</f>
        <v>761</v>
      </c>
      <c r="BQ117" s="41">
        <f>IFERROR(ROUND(_xlfn.XLOOKUP(BQ$7,'Product Tgt'!$B:$B,'Product Tgt'!$G:$G)*AL117/AL$121,0),0)</f>
        <v>375</v>
      </c>
      <c r="BR117" s="25">
        <f>ROUND(IFERROR(AM117/_xlfn.XLOOKUP(BR$7,'Product Tgt'!$B:$B,'Product Tgt'!$D:$D),0),0)</f>
        <v>0</v>
      </c>
      <c r="BS117" s="11">
        <f>ROUND(IFERROR(AN117/_xlfn.XLOOKUP(BS$7,'Product Tgt'!$B:$B,'Product Tgt'!$D:$D),0),0)</f>
        <v>0</v>
      </c>
      <c r="BT117" s="11">
        <f>ROUND(IFERROR(AO117/_xlfn.XLOOKUP(BT$7,'Product Tgt'!$B:$B,'Product Tgt'!$D:$D),0),0)</f>
        <v>0</v>
      </c>
      <c r="BU117" s="11">
        <f>ROUND(IFERROR(AP117/_xlfn.XLOOKUP(BU$7,'Product Tgt'!$B:$B,'Product Tgt'!$D:$D),0),0)</f>
        <v>0</v>
      </c>
      <c r="BV117" s="11">
        <f>ROUND(IFERROR(AQ117/_xlfn.XLOOKUP(BV$7,'Product Tgt'!$B:$B,'Product Tgt'!$D:$D),0),0)</f>
        <v>0</v>
      </c>
      <c r="BW117" s="11">
        <f>ROUND(IFERROR(AU117/_xlfn.XLOOKUP(BW$7,'Product Tgt'!$B:$B,'Product Tgt'!$D:$D),0),0)</f>
        <v>0</v>
      </c>
      <c r="BX117" s="11">
        <f>ROUND(IFERROR(#REF!/_xlfn.XLOOKUP(BX$7,'Product Tgt'!$B:$B,'Product Tgt'!$D:$D),0),0)</f>
        <v>0</v>
      </c>
      <c r="BY117" s="11">
        <f>ROUND(IFERROR(#REF!/_xlfn.XLOOKUP(BY$7,'Product Tgt'!$B:$B,'Product Tgt'!$D:$D),0),0)</f>
        <v>0</v>
      </c>
      <c r="BZ117" s="11">
        <f>ROUND(IFERROR(#REF!/_xlfn.XLOOKUP(BZ$7,'Product Tgt'!$B:$B,'Product Tgt'!$D:$D),0),0)</f>
        <v>0</v>
      </c>
      <c r="CA117" s="11">
        <f>ROUND(IFERROR(#REF!/_xlfn.XLOOKUP(CA$7,'Product Tgt'!$B:$B,'Product Tgt'!$D:$D),0),0)</f>
        <v>0</v>
      </c>
      <c r="CB117" s="11">
        <f>ROUND(IFERROR(AV117/_xlfn.XLOOKUP(CB$7,'Product Tgt'!$B:$B,'Product Tgt'!$D:$D),0),0)</f>
        <v>0</v>
      </c>
      <c r="CC117" s="11">
        <f>ROUND(IFERROR(AW117/_xlfn.XLOOKUP(CC$7,'Product Tgt'!$B:$B,'Product Tgt'!$D:$D),0),0)</f>
        <v>0</v>
      </c>
      <c r="CD117" s="11">
        <f>ROUND(IFERROR(AX117/_xlfn.XLOOKUP(CD$7,'Product Tgt'!$B:$B,'Product Tgt'!$D:$D),0),0)</f>
        <v>0</v>
      </c>
      <c r="CE117" s="11">
        <f>ROUND(IFERROR(AY117/_xlfn.XLOOKUP(CE$7,'Product Tgt'!$B:$B,'Product Tgt'!$D:$D),0),0)</f>
        <v>0</v>
      </c>
      <c r="CF117" s="11">
        <f>ROUND(IFERROR(AZ117/_xlfn.XLOOKUP(CF$7,'Product Tgt'!$B:$B,'Product Tgt'!$D:$D),0),0)</f>
        <v>0</v>
      </c>
      <c r="CG117" s="11">
        <f>ROUND(IFERROR(BA117/_xlfn.XLOOKUP(CG$7,'Product Tgt'!$B:$B,'Product Tgt'!$D:$D),0),0)</f>
        <v>0</v>
      </c>
      <c r="CH117" s="11">
        <f>ROUND(IFERROR(BB117/_xlfn.XLOOKUP(CH$7,'Product Tgt'!$B:$B,'Product Tgt'!$D:$D),0),0)</f>
        <v>0</v>
      </c>
      <c r="CI117" s="11">
        <f>ROUND(IFERROR(BC117/_xlfn.XLOOKUP(CI$7,'Product Tgt'!$B:$B,'Product Tgt'!$D:$D),0),0)</f>
        <v>0</v>
      </c>
      <c r="CJ117" s="11">
        <f>ROUND(IFERROR(BD117/_xlfn.XLOOKUP(CJ$7,'Product Tgt'!$B:$B,'Product Tgt'!$D:$D),0),0)</f>
        <v>0</v>
      </c>
      <c r="CK117" s="11">
        <f>ROUND(IFERROR(BE117/_xlfn.XLOOKUP(CK$7,'Product Tgt'!$B:$B,'Product Tgt'!$D:$D),0),0)</f>
        <v>0</v>
      </c>
      <c r="CL117" s="11">
        <f>ROUND(IFERROR(BF117/_xlfn.XLOOKUP(CL$7,'Product Tgt'!$B:$B,'Product Tgt'!$D:$D),0),0)</f>
        <v>0</v>
      </c>
      <c r="CM117" s="11">
        <f>ROUND(IFERROR(BG117/_xlfn.XLOOKUP(CM$7,'Product Tgt'!$B:$B,'Product Tgt'!$D:$D),0),0)</f>
        <v>0</v>
      </c>
      <c r="CN117" s="11">
        <f>ROUND(IFERROR(BH117/_xlfn.XLOOKUP(CN$7,'Product Tgt'!$B:$B,'Product Tgt'!$D:$D),0),0)</f>
        <v>0</v>
      </c>
      <c r="CO117" s="11">
        <f>ROUND(IFERROR(BI117/_xlfn.XLOOKUP(CO$7,'Product Tgt'!$B:$B,'Product Tgt'!$D:$D),0),0)</f>
        <v>0</v>
      </c>
      <c r="CP117" s="11">
        <f>ROUND(IFERROR(BJ117/_xlfn.XLOOKUP(CP$7,'Product Tgt'!$B:$B,'Product Tgt'!$D:$D),0),0)</f>
        <v>0</v>
      </c>
      <c r="CQ117" s="11">
        <f>ROUND(IFERROR(BK117/_xlfn.XLOOKUP(CQ$7,'Product Tgt'!$B:$B,'Product Tgt'!$D:$D),0),0)</f>
        <v>0</v>
      </c>
      <c r="CR117" s="11">
        <f>ROUND(IFERROR(BL117/_xlfn.XLOOKUP(CR$7,'Product Tgt'!$B:$B,'Product Tgt'!$D:$D),0),0)</f>
        <v>0</v>
      </c>
      <c r="CS117" s="11">
        <f>ROUND(IFERROR(BM117/_xlfn.XLOOKUP(CS$7,'Product Tgt'!$B:$B,'Product Tgt'!$D:$D),0),0)</f>
        <v>0</v>
      </c>
      <c r="CT117" s="11">
        <f>ROUND(IFERROR(BN117/_xlfn.XLOOKUP(CT$7,'Product Tgt'!$B:$B,'Product Tgt'!$D:$D),0),0)</f>
        <v>0</v>
      </c>
      <c r="CU117" s="11">
        <f>ROUND(IFERROR(BO117/_xlfn.XLOOKUP(CU$7,'Product Tgt'!$B:$B,'Product Tgt'!$D:$D),0),0)</f>
        <v>0</v>
      </c>
      <c r="CV117" s="11">
        <f>ROUND(IFERROR(BP117/_xlfn.XLOOKUP(CV$7,'Product Tgt'!$B:$B,'Product Tgt'!$D:$D),0),0)</f>
        <v>0</v>
      </c>
      <c r="CW117" s="11">
        <f>ROUND(IFERROR(BQ117/_xlfn.XLOOKUP(CW$7,'Product Tgt'!$B:$B,'Product Tgt'!$D:$D),0),0)</f>
        <v>0</v>
      </c>
      <c r="CX117" s="11">
        <f>ROUND(IFERROR(#REF!/_xlfn.XLOOKUP(CX$7,'Product Tgt'!$B:$B,'Product Tgt'!$D:$D),0),0)</f>
        <v>0</v>
      </c>
      <c r="CY117" s="11">
        <f>ROUND(IFERROR(#REF!/_xlfn.XLOOKUP(CY$7,'Product Tgt'!$B:$B,'Product Tgt'!$D:$D),0),0)</f>
        <v>0</v>
      </c>
      <c r="CZ117" s="11">
        <f>ROUND(IFERROR(#REF!/_xlfn.XLOOKUP(CZ$7,'Product Tgt'!$B:$B,'Product Tgt'!$D:$D),0),0)</f>
        <v>0</v>
      </c>
      <c r="DA117" s="10">
        <f>IFERROR(BR117*_xlfn.XLOOKUP(DA$7,'Product Tgt'!$B:$B,'Product Tgt'!$D:$D),0)</f>
        <v>0</v>
      </c>
      <c r="DB117">
        <f>IFERROR(BS117*_xlfn.XLOOKUP(DB$7,'Product Tgt'!$B:$B,'Product Tgt'!$D:$D),0)</f>
        <v>0</v>
      </c>
      <c r="DC117">
        <f>IFERROR(BT117*_xlfn.XLOOKUP(DC$7,'Product Tgt'!$B:$B,'Product Tgt'!$D:$D),0)</f>
        <v>0</v>
      </c>
      <c r="DD117">
        <f>IFERROR(BU117*_xlfn.XLOOKUP(DD$7,'Product Tgt'!$B:$B,'Product Tgt'!$D:$D),0)</f>
        <v>0</v>
      </c>
      <c r="DE117">
        <f>IFERROR(BV117*_xlfn.XLOOKUP(DE$7,'Product Tgt'!$B:$B,'Product Tgt'!$D:$D),0)</f>
        <v>0</v>
      </c>
      <c r="DF117">
        <f>IFERROR(BW117*_xlfn.XLOOKUP(DF$7,'Product Tgt'!$B:$B,'Product Tgt'!$D:$D),0)</f>
        <v>0</v>
      </c>
      <c r="DG117">
        <f>IFERROR(BX117*_xlfn.XLOOKUP(DG$7,'Product Tgt'!$B:$B,'Product Tgt'!$D:$D),0)</f>
        <v>0</v>
      </c>
      <c r="DH117">
        <f>IFERROR(BY117*_xlfn.XLOOKUP(DH$7,'Product Tgt'!$B:$B,'Product Tgt'!$D:$D),0)</f>
        <v>0</v>
      </c>
      <c r="DI117">
        <f>IFERROR(BZ117*_xlfn.XLOOKUP(DI$7,'Product Tgt'!$B:$B,'Product Tgt'!$D:$D),0)</f>
        <v>0</v>
      </c>
      <c r="DJ117">
        <f>IFERROR(CA117*_xlfn.XLOOKUP(DJ$7,'Product Tgt'!$B:$B,'Product Tgt'!$D:$D),0)</f>
        <v>0</v>
      </c>
      <c r="DK117">
        <f>IFERROR(CB117*_xlfn.XLOOKUP(DK$7,'Product Tgt'!$B:$B,'Product Tgt'!$D:$D),0)</f>
        <v>0</v>
      </c>
      <c r="DL117">
        <f>IFERROR(CC117*_xlfn.XLOOKUP(DL$7,'Product Tgt'!$B:$B,'Product Tgt'!$D:$D),0)</f>
        <v>0</v>
      </c>
      <c r="DM117">
        <f>IFERROR(CD117*_xlfn.XLOOKUP(DM$7,'Product Tgt'!$B:$B,'Product Tgt'!$D:$D),0)</f>
        <v>0</v>
      </c>
      <c r="DN117">
        <f>IFERROR(CE117*_xlfn.XLOOKUP(DN$7,'Product Tgt'!$B:$B,'Product Tgt'!$D:$D),0)</f>
        <v>0</v>
      </c>
      <c r="DO117">
        <f>IFERROR(CF117*_xlfn.XLOOKUP(DO$7,'Product Tgt'!$B:$B,'Product Tgt'!$D:$D),0)</f>
        <v>0</v>
      </c>
      <c r="DP117">
        <f>IFERROR(CG117*_xlfn.XLOOKUP(DP$7,'Product Tgt'!$B:$B,'Product Tgt'!$D:$D),0)</f>
        <v>0</v>
      </c>
      <c r="DQ117">
        <f>IFERROR(CH117*_xlfn.XLOOKUP(DQ$7,'Product Tgt'!$B:$B,'Product Tgt'!$D:$D),0)</f>
        <v>0</v>
      </c>
      <c r="DR117">
        <f>IFERROR(CI117*_xlfn.XLOOKUP(DR$7,'Product Tgt'!$B:$B,'Product Tgt'!$D:$D),0)</f>
        <v>0</v>
      </c>
      <c r="DS117">
        <f>IFERROR(CJ117*_xlfn.XLOOKUP(DS$7,'Product Tgt'!$B:$B,'Product Tgt'!$D:$D),0)</f>
        <v>0</v>
      </c>
      <c r="DT117">
        <f>IFERROR(CK117*_xlfn.XLOOKUP(DT$7,'Product Tgt'!$B:$B,'Product Tgt'!$D:$D),0)</f>
        <v>0</v>
      </c>
      <c r="DU117">
        <f>IFERROR(CL117*_xlfn.XLOOKUP(DU$7,'Product Tgt'!$B:$B,'Product Tgt'!$D:$D),0)</f>
        <v>0</v>
      </c>
      <c r="DV117">
        <f>IFERROR(CM117*_xlfn.XLOOKUP(DV$7,'Product Tgt'!$B:$B,'Product Tgt'!$D:$D),0)</f>
        <v>0</v>
      </c>
      <c r="DW117">
        <f>IFERROR(CN117*_xlfn.XLOOKUP(DW$7,'Product Tgt'!$B:$B,'Product Tgt'!$D:$D),0)</f>
        <v>0</v>
      </c>
      <c r="DX117">
        <f>IFERROR(CO117*_xlfn.XLOOKUP(DX$7,'Product Tgt'!$B:$B,'Product Tgt'!$D:$D),0)</f>
        <v>0</v>
      </c>
      <c r="DY117">
        <f>IFERROR(CP117*_xlfn.XLOOKUP(DY$7,'Product Tgt'!$B:$B,'Product Tgt'!$D:$D),0)</f>
        <v>0</v>
      </c>
      <c r="DZ117">
        <f>IFERROR(CQ117*_xlfn.XLOOKUP(DZ$7,'Product Tgt'!$B:$B,'Product Tgt'!$D:$D),0)</f>
        <v>0</v>
      </c>
      <c r="EA117">
        <f>IFERROR(CR117*_xlfn.XLOOKUP(EA$7,'Product Tgt'!$B:$B,'Product Tgt'!$D:$D),0)</f>
        <v>0</v>
      </c>
      <c r="EB117">
        <f>IFERROR(CS117*_xlfn.XLOOKUP(EB$7,'Product Tgt'!$B:$B,'Product Tgt'!$D:$D),0)</f>
        <v>0</v>
      </c>
      <c r="EC117">
        <f>IFERROR(CT117*_xlfn.XLOOKUP(EC$7,'Product Tgt'!$B:$B,'Product Tgt'!$D:$D),0)</f>
        <v>0</v>
      </c>
      <c r="ED117">
        <f>IFERROR(CU117*_xlfn.XLOOKUP(ED$7,'Product Tgt'!$B:$B,'Product Tgt'!$D:$D),0)</f>
        <v>0</v>
      </c>
      <c r="EE117">
        <f>IFERROR(CV117*_xlfn.XLOOKUP(EE$7,'Product Tgt'!$B:$B,'Product Tgt'!$D:$D),0)</f>
        <v>0</v>
      </c>
      <c r="EF117">
        <f>IFERROR(CW117*_xlfn.XLOOKUP(EF$7,'Product Tgt'!$B:$B,'Product Tgt'!$D:$D),0)</f>
        <v>0</v>
      </c>
      <c r="EG117">
        <f>IFERROR(CX117*_xlfn.XLOOKUP(EG$7,'Product Tgt'!$B:$B,'Product Tgt'!$D:$D),0)</f>
        <v>0</v>
      </c>
      <c r="EH117">
        <f>IFERROR(CY117*_xlfn.XLOOKUP(EH$7,'Product Tgt'!$B:$B,'Product Tgt'!$D:$D),0)</f>
        <v>0</v>
      </c>
      <c r="EI117">
        <f>IFERROR(CZ117*_xlfn.XLOOKUP(EI$7,'Product Tgt'!$B:$B,'Product Tgt'!$D:$D),0)</f>
        <v>0</v>
      </c>
    </row>
    <row r="118" spans="2:139" x14ac:dyDescent="0.35">
      <c r="B118" s="7" t="s">
        <v>130</v>
      </c>
      <c r="C118" s="3">
        <f>_xlfn.XLOOKUP($B118,'Terr Target'!$A:$A,'Terr Target'!$E:$E)</f>
        <v>587661.7248223779</v>
      </c>
      <c r="D118" s="3">
        <f t="shared" si="14"/>
        <v>587659</v>
      </c>
      <c r="E118" s="4">
        <f t="shared" si="15"/>
        <v>-2.7248223779024556</v>
      </c>
      <c r="F118" s="9">
        <f t="shared" si="13"/>
        <v>4.6367406572560881E-6</v>
      </c>
      <c r="G118" s="5">
        <f t="shared" si="12"/>
        <v>1.0000046367406572</v>
      </c>
      <c r="H118" s="38">
        <v>58433.102884000888</v>
      </c>
      <c r="I118" s="11">
        <v>111710.01113833913</v>
      </c>
      <c r="J118" s="11">
        <v>62352.225257501545</v>
      </c>
      <c r="K118" s="11">
        <v>71328.655461963528</v>
      </c>
      <c r="L118" s="11">
        <v>50813.204895527786</v>
      </c>
      <c r="M118" s="11">
        <v>36314.920294563512</v>
      </c>
      <c r="N118" s="11">
        <v>603.32315799034689</v>
      </c>
      <c r="O118" s="11">
        <v>3709.7408461173081</v>
      </c>
      <c r="P118" s="11">
        <v>2396.3993043091014</v>
      </c>
      <c r="Q118" s="11">
        <v>1378.2522086846704</v>
      </c>
      <c r="R118" s="11">
        <v>19377.773703845363</v>
      </c>
      <c r="S118" s="11">
        <v>29019.1368527415</v>
      </c>
      <c r="T118" s="11">
        <v>2350.506096602006</v>
      </c>
      <c r="U118" s="11">
        <v>9922.5662499227947</v>
      </c>
      <c r="V118" s="11">
        <v>16072.585173472025</v>
      </c>
      <c r="W118" s="11">
        <v>28819.428600342042</v>
      </c>
      <c r="X118" s="11">
        <v>3636.9619174240484</v>
      </c>
      <c r="Y118" s="11">
        <v>4627.2061023217402</v>
      </c>
      <c r="Z118" s="11">
        <v>475.72568023887186</v>
      </c>
      <c r="AA118" s="11">
        <v>10989.668094924482</v>
      </c>
      <c r="AB118" s="11">
        <v>4055.8546140204303</v>
      </c>
      <c r="AC118" s="11">
        <v>1719.2700554364828</v>
      </c>
      <c r="AD118" s="11">
        <v>12097.547281585081</v>
      </c>
      <c r="AE118" s="11">
        <v>17405.91150194799</v>
      </c>
      <c r="AF118" s="11">
        <v>856.59343094495512</v>
      </c>
      <c r="AG118" s="11">
        <v>25332.013519679316</v>
      </c>
      <c r="AH118" s="11">
        <v>1384.1658706078142</v>
      </c>
      <c r="AI118" s="11">
        <v>12753.834113224359</v>
      </c>
      <c r="AJ118" s="11">
        <v>12773.679285613998</v>
      </c>
      <c r="AK118" s="11">
        <v>1189.8327679159038</v>
      </c>
      <c r="AL118" s="49">
        <v>490.6045733068828</v>
      </c>
      <c r="AM118" s="41">
        <f>IFERROR(ROUND(_xlfn.XLOOKUP(AM$7,'Product Tgt'!$B:$B,'Product Tgt'!$G:$G)*H118/H$121,0),0)</f>
        <v>56807</v>
      </c>
      <c r="AN118" s="41">
        <f>IFERROR(ROUND(_xlfn.XLOOKUP(AN$7,'Product Tgt'!$B:$B,'Product Tgt'!$G:$G)*I118/I$121,0),0)</f>
        <v>109967</v>
      </c>
      <c r="AO118" s="41">
        <f>IFERROR(ROUND(_xlfn.XLOOKUP(AO$7,'Product Tgt'!$B:$B,'Product Tgt'!$G:$G)*J118/J$121,0),0)</f>
        <v>60413</v>
      </c>
      <c r="AP118" s="41">
        <f>IFERROR(ROUND(_xlfn.XLOOKUP(AP$7,'Product Tgt'!$B:$B,'Product Tgt'!$G:$G)*K118/K$121,0),0)</f>
        <v>69583</v>
      </c>
      <c r="AQ118" s="41">
        <f>IFERROR(ROUND(_xlfn.XLOOKUP(AQ$7,'Product Tgt'!$B:$B,'Product Tgt'!$G:$G)*L118/L$121,0),0)</f>
        <v>49133</v>
      </c>
      <c r="AR118" s="41">
        <f>IFERROR(ROUND(_xlfn.XLOOKUP(AR$7,'Product Tgt'!$B:$B,'Product Tgt'!$G:$G)*M118/M$121,0),0)</f>
        <v>35182</v>
      </c>
      <c r="AS118" s="41">
        <f>IFERROR(ROUND(_xlfn.XLOOKUP(AS$7,'Product Tgt'!$B:$B,'Product Tgt'!$G:$G)*N118/N$121,0),0)</f>
        <v>557</v>
      </c>
      <c r="AT118" s="41">
        <f>IFERROR(ROUND(_xlfn.XLOOKUP(AT$7,'Product Tgt'!$B:$B,'Product Tgt'!$G:$G)*O118/O$121,0),0)</f>
        <v>3339</v>
      </c>
      <c r="AU118" s="41">
        <f>IFERROR(ROUND(_xlfn.XLOOKUP(AU$7,'Product Tgt'!$B:$B,'Product Tgt'!$G:$G)*P118/P$121,0),0)</f>
        <v>1022</v>
      </c>
      <c r="AV118" s="41">
        <f>IFERROR(ROUND(_xlfn.XLOOKUP(AV$7,'Product Tgt'!$B:$B,'Product Tgt'!$G:$G)*Q118/Q$121,0),0)</f>
        <v>1034</v>
      </c>
      <c r="AW118" s="41">
        <f>IFERROR(ROUND(_xlfn.XLOOKUP(AW$7,'Product Tgt'!$B:$B,'Product Tgt'!$G:$G)*R118/R$121,0),0)</f>
        <v>18662</v>
      </c>
      <c r="AX118" s="41">
        <f>IFERROR(ROUND(_xlfn.XLOOKUP(AX$7,'Product Tgt'!$B:$B,'Product Tgt'!$G:$G)*S118/S$121,0),0)</f>
        <v>27949</v>
      </c>
      <c r="AY118" s="41">
        <f>IFERROR(ROUND(_xlfn.XLOOKUP(AY$7,'Product Tgt'!$B:$B,'Product Tgt'!$G:$G)*T118/T$121,0),0)</f>
        <v>2359</v>
      </c>
      <c r="AZ118" s="41">
        <f>IFERROR(ROUND(_xlfn.XLOOKUP(AZ$7,'Product Tgt'!$B:$B,'Product Tgt'!$G:$G)*U118/U$121,0),0)</f>
        <v>9496</v>
      </c>
      <c r="BA118" s="41">
        <f>IFERROR(ROUND(_xlfn.XLOOKUP(BA$7,'Product Tgt'!$B:$B,'Product Tgt'!$G:$G)*V118/V$121,0),0)</f>
        <v>15475</v>
      </c>
      <c r="BB118" s="41">
        <f>IFERROR(ROUND(_xlfn.XLOOKUP(BB$7,'Product Tgt'!$B:$B,'Product Tgt'!$G:$G)*W118/W$121,0),0)</f>
        <v>27587</v>
      </c>
      <c r="BC118" s="41">
        <f>IFERROR(ROUND(_xlfn.XLOOKUP(BC$7,'Product Tgt'!$B:$B,'Product Tgt'!$G:$G)*X118/X$121,0),0)</f>
        <v>3519</v>
      </c>
      <c r="BD118" s="41">
        <f>IFERROR(ROUND(_xlfn.XLOOKUP(BD$7,'Product Tgt'!$B:$B,'Product Tgt'!$G:$G)*Y118/Y$121,0),0)</f>
        <v>4474</v>
      </c>
      <c r="BE118" s="41">
        <f>IFERROR(ROUND(_xlfn.XLOOKUP(BE$7,'Product Tgt'!$B:$B,'Product Tgt'!$G:$G)*Z118/Z$121,0),0)</f>
        <v>452</v>
      </c>
      <c r="BF118" s="41">
        <f>IFERROR(ROUND(_xlfn.XLOOKUP(BF$7,'Product Tgt'!$B:$B,'Product Tgt'!$G:$G)*AA118/AA$121,0),0)</f>
        <v>8906</v>
      </c>
      <c r="BG118" s="41">
        <f>IFERROR(ROUND(_xlfn.XLOOKUP(BG$7,'Product Tgt'!$B:$B,'Product Tgt'!$G:$G)*AB118/AB$121,0),0)</f>
        <v>3251</v>
      </c>
      <c r="BH118" s="41">
        <f>IFERROR(ROUND(_xlfn.XLOOKUP(BH$7,'Product Tgt'!$B:$B,'Product Tgt'!$G:$G)*AC118/AC$121,0),0)</f>
        <v>1471</v>
      </c>
      <c r="BI118" s="41">
        <f>IFERROR(ROUND(_xlfn.XLOOKUP(BI$7,'Product Tgt'!$B:$B,'Product Tgt'!$G:$G)*AD118/AD$121,0),0)</f>
        <v>10531</v>
      </c>
      <c r="BJ118" s="41">
        <f>IFERROR(ROUND(_xlfn.XLOOKUP(BJ$7,'Product Tgt'!$B:$B,'Product Tgt'!$G:$G)*AE118/AE$121,0),0)</f>
        <v>16200</v>
      </c>
      <c r="BK118" s="41">
        <f>IFERROR(ROUND(_xlfn.XLOOKUP(BK$7,'Product Tgt'!$B:$B,'Product Tgt'!$G:$G)*AF118/AF$121,0),0)</f>
        <v>957</v>
      </c>
      <c r="BL118" s="41">
        <f>IFERROR(ROUND(_xlfn.XLOOKUP(BL$7,'Product Tgt'!$B:$B,'Product Tgt'!$G:$G)*AG118/AG$121,0),0)</f>
        <v>24197</v>
      </c>
      <c r="BM118" s="41">
        <f>IFERROR(ROUND(_xlfn.XLOOKUP(BM$7,'Product Tgt'!$B:$B,'Product Tgt'!$G:$G)*AH118/AH$121,0),0)</f>
        <v>1085</v>
      </c>
      <c r="BN118" s="41">
        <f>IFERROR(ROUND(_xlfn.XLOOKUP(BN$7,'Product Tgt'!$B:$B,'Product Tgt'!$G:$G)*AI118/AI$121,0),0)</f>
        <v>11713</v>
      </c>
      <c r="BO118" s="41">
        <f>IFERROR(ROUND(_xlfn.XLOOKUP(BO$7,'Product Tgt'!$B:$B,'Product Tgt'!$G:$G)*AJ118/AJ$121,0),0)</f>
        <v>11049</v>
      </c>
      <c r="BP118" s="41">
        <f>IFERROR(ROUND(_xlfn.XLOOKUP(BP$7,'Product Tgt'!$B:$B,'Product Tgt'!$G:$G)*AK118/AK$121,0),0)</f>
        <v>906</v>
      </c>
      <c r="BQ118" s="41">
        <f>IFERROR(ROUND(_xlfn.XLOOKUP(BQ$7,'Product Tgt'!$B:$B,'Product Tgt'!$G:$G)*AL118/AL$121,0),0)</f>
        <v>383</v>
      </c>
      <c r="BR118" s="25">
        <f>ROUND(IFERROR(AM118/_xlfn.XLOOKUP(BR$7,'Product Tgt'!$B:$B,'Product Tgt'!$D:$D),0),0)</f>
        <v>0</v>
      </c>
      <c r="BS118" s="11">
        <f>ROUND(IFERROR(AN118/_xlfn.XLOOKUP(BS$7,'Product Tgt'!$B:$B,'Product Tgt'!$D:$D),0),0)</f>
        <v>0</v>
      </c>
      <c r="BT118" s="11">
        <f>ROUND(IFERROR(AO118/_xlfn.XLOOKUP(BT$7,'Product Tgt'!$B:$B,'Product Tgt'!$D:$D),0),0)</f>
        <v>0</v>
      </c>
      <c r="BU118" s="11">
        <f>ROUND(IFERROR(AP118/_xlfn.XLOOKUP(BU$7,'Product Tgt'!$B:$B,'Product Tgt'!$D:$D),0),0)</f>
        <v>0</v>
      </c>
      <c r="BV118" s="11">
        <f>ROUND(IFERROR(AQ118/_xlfn.XLOOKUP(BV$7,'Product Tgt'!$B:$B,'Product Tgt'!$D:$D),0),0)</f>
        <v>0</v>
      </c>
      <c r="BW118" s="11">
        <f>ROUND(IFERROR(AU118/_xlfn.XLOOKUP(BW$7,'Product Tgt'!$B:$B,'Product Tgt'!$D:$D),0),0)</f>
        <v>0</v>
      </c>
      <c r="BX118" s="11">
        <f>ROUND(IFERROR(#REF!/_xlfn.XLOOKUP(BX$7,'Product Tgt'!$B:$B,'Product Tgt'!$D:$D),0),0)</f>
        <v>0</v>
      </c>
      <c r="BY118" s="11">
        <f>ROUND(IFERROR(#REF!/_xlfn.XLOOKUP(BY$7,'Product Tgt'!$B:$B,'Product Tgt'!$D:$D),0),0)</f>
        <v>0</v>
      </c>
      <c r="BZ118" s="11">
        <f>ROUND(IFERROR(#REF!/_xlfn.XLOOKUP(BZ$7,'Product Tgt'!$B:$B,'Product Tgt'!$D:$D),0),0)</f>
        <v>0</v>
      </c>
      <c r="CA118" s="11">
        <f>ROUND(IFERROR(#REF!/_xlfn.XLOOKUP(CA$7,'Product Tgt'!$B:$B,'Product Tgt'!$D:$D),0),0)</f>
        <v>0</v>
      </c>
      <c r="CB118" s="11">
        <f>ROUND(IFERROR(AV118/_xlfn.XLOOKUP(CB$7,'Product Tgt'!$B:$B,'Product Tgt'!$D:$D),0),0)</f>
        <v>0</v>
      </c>
      <c r="CC118" s="11">
        <f>ROUND(IFERROR(AW118/_xlfn.XLOOKUP(CC$7,'Product Tgt'!$B:$B,'Product Tgt'!$D:$D),0),0)</f>
        <v>0</v>
      </c>
      <c r="CD118" s="11">
        <f>ROUND(IFERROR(AX118/_xlfn.XLOOKUP(CD$7,'Product Tgt'!$B:$B,'Product Tgt'!$D:$D),0),0)</f>
        <v>0</v>
      </c>
      <c r="CE118" s="11">
        <f>ROUND(IFERROR(AY118/_xlfn.XLOOKUP(CE$7,'Product Tgt'!$B:$B,'Product Tgt'!$D:$D),0),0)</f>
        <v>0</v>
      </c>
      <c r="CF118" s="11">
        <f>ROUND(IFERROR(AZ118/_xlfn.XLOOKUP(CF$7,'Product Tgt'!$B:$B,'Product Tgt'!$D:$D),0),0)</f>
        <v>0</v>
      </c>
      <c r="CG118" s="11">
        <f>ROUND(IFERROR(BA118/_xlfn.XLOOKUP(CG$7,'Product Tgt'!$B:$B,'Product Tgt'!$D:$D),0),0)</f>
        <v>0</v>
      </c>
      <c r="CH118" s="11">
        <f>ROUND(IFERROR(BB118/_xlfn.XLOOKUP(CH$7,'Product Tgt'!$B:$B,'Product Tgt'!$D:$D),0),0)</f>
        <v>0</v>
      </c>
      <c r="CI118" s="11">
        <f>ROUND(IFERROR(BC118/_xlfn.XLOOKUP(CI$7,'Product Tgt'!$B:$B,'Product Tgt'!$D:$D),0),0)</f>
        <v>0</v>
      </c>
      <c r="CJ118" s="11">
        <f>ROUND(IFERROR(BD118/_xlfn.XLOOKUP(CJ$7,'Product Tgt'!$B:$B,'Product Tgt'!$D:$D),0),0)</f>
        <v>0</v>
      </c>
      <c r="CK118" s="11">
        <f>ROUND(IFERROR(BE118/_xlfn.XLOOKUP(CK$7,'Product Tgt'!$B:$B,'Product Tgt'!$D:$D),0),0)</f>
        <v>0</v>
      </c>
      <c r="CL118" s="11">
        <f>ROUND(IFERROR(BF118/_xlfn.XLOOKUP(CL$7,'Product Tgt'!$B:$B,'Product Tgt'!$D:$D),0),0)</f>
        <v>0</v>
      </c>
      <c r="CM118" s="11">
        <f>ROUND(IFERROR(BG118/_xlfn.XLOOKUP(CM$7,'Product Tgt'!$B:$B,'Product Tgt'!$D:$D),0),0)</f>
        <v>0</v>
      </c>
      <c r="CN118" s="11">
        <f>ROUND(IFERROR(BH118/_xlfn.XLOOKUP(CN$7,'Product Tgt'!$B:$B,'Product Tgt'!$D:$D),0),0)</f>
        <v>0</v>
      </c>
      <c r="CO118" s="11">
        <f>ROUND(IFERROR(BI118/_xlfn.XLOOKUP(CO$7,'Product Tgt'!$B:$B,'Product Tgt'!$D:$D),0),0)</f>
        <v>0</v>
      </c>
      <c r="CP118" s="11">
        <f>ROUND(IFERROR(BJ118/_xlfn.XLOOKUP(CP$7,'Product Tgt'!$B:$B,'Product Tgt'!$D:$D),0),0)</f>
        <v>0</v>
      </c>
      <c r="CQ118" s="11">
        <f>ROUND(IFERROR(BK118/_xlfn.XLOOKUP(CQ$7,'Product Tgt'!$B:$B,'Product Tgt'!$D:$D),0),0)</f>
        <v>0</v>
      </c>
      <c r="CR118" s="11">
        <f>ROUND(IFERROR(BL118/_xlfn.XLOOKUP(CR$7,'Product Tgt'!$B:$B,'Product Tgt'!$D:$D),0),0)</f>
        <v>0</v>
      </c>
      <c r="CS118" s="11">
        <f>ROUND(IFERROR(BM118/_xlfn.XLOOKUP(CS$7,'Product Tgt'!$B:$B,'Product Tgt'!$D:$D),0),0)</f>
        <v>0</v>
      </c>
      <c r="CT118" s="11">
        <f>ROUND(IFERROR(BN118/_xlfn.XLOOKUP(CT$7,'Product Tgt'!$B:$B,'Product Tgt'!$D:$D),0),0)</f>
        <v>0</v>
      </c>
      <c r="CU118" s="11">
        <f>ROUND(IFERROR(BO118/_xlfn.XLOOKUP(CU$7,'Product Tgt'!$B:$B,'Product Tgt'!$D:$D),0),0)</f>
        <v>0</v>
      </c>
      <c r="CV118" s="11">
        <f>ROUND(IFERROR(BP118/_xlfn.XLOOKUP(CV$7,'Product Tgt'!$B:$B,'Product Tgt'!$D:$D),0),0)</f>
        <v>0</v>
      </c>
      <c r="CW118" s="11">
        <f>ROUND(IFERROR(BQ118/_xlfn.XLOOKUP(CW$7,'Product Tgt'!$B:$B,'Product Tgt'!$D:$D),0),0)</f>
        <v>0</v>
      </c>
      <c r="CX118" s="11">
        <f>ROUND(IFERROR(#REF!/_xlfn.XLOOKUP(CX$7,'Product Tgt'!$B:$B,'Product Tgt'!$D:$D),0),0)</f>
        <v>0</v>
      </c>
      <c r="CY118" s="11">
        <f>ROUND(IFERROR(#REF!/_xlfn.XLOOKUP(CY$7,'Product Tgt'!$B:$B,'Product Tgt'!$D:$D),0),0)</f>
        <v>0</v>
      </c>
      <c r="CZ118" s="11">
        <f>ROUND(IFERROR(#REF!/_xlfn.XLOOKUP(CZ$7,'Product Tgt'!$B:$B,'Product Tgt'!$D:$D),0),0)</f>
        <v>0</v>
      </c>
      <c r="DA118" s="10">
        <f>IFERROR(BR118*_xlfn.XLOOKUP(DA$7,'Product Tgt'!$B:$B,'Product Tgt'!$D:$D),0)</f>
        <v>0</v>
      </c>
      <c r="DB118">
        <f>IFERROR(BS118*_xlfn.XLOOKUP(DB$7,'Product Tgt'!$B:$B,'Product Tgt'!$D:$D),0)</f>
        <v>0</v>
      </c>
      <c r="DC118">
        <f>IFERROR(BT118*_xlfn.XLOOKUP(DC$7,'Product Tgt'!$B:$B,'Product Tgt'!$D:$D),0)</f>
        <v>0</v>
      </c>
      <c r="DD118">
        <f>IFERROR(BU118*_xlfn.XLOOKUP(DD$7,'Product Tgt'!$B:$B,'Product Tgt'!$D:$D),0)</f>
        <v>0</v>
      </c>
      <c r="DE118">
        <f>IFERROR(BV118*_xlfn.XLOOKUP(DE$7,'Product Tgt'!$B:$B,'Product Tgt'!$D:$D),0)</f>
        <v>0</v>
      </c>
      <c r="DF118">
        <f>IFERROR(BW118*_xlfn.XLOOKUP(DF$7,'Product Tgt'!$B:$B,'Product Tgt'!$D:$D),0)</f>
        <v>0</v>
      </c>
      <c r="DG118">
        <f>IFERROR(BX118*_xlfn.XLOOKUP(DG$7,'Product Tgt'!$B:$B,'Product Tgt'!$D:$D),0)</f>
        <v>0</v>
      </c>
      <c r="DH118">
        <f>IFERROR(BY118*_xlfn.XLOOKUP(DH$7,'Product Tgt'!$B:$B,'Product Tgt'!$D:$D),0)</f>
        <v>0</v>
      </c>
      <c r="DI118">
        <f>IFERROR(BZ118*_xlfn.XLOOKUP(DI$7,'Product Tgt'!$B:$B,'Product Tgt'!$D:$D),0)</f>
        <v>0</v>
      </c>
      <c r="DJ118">
        <f>IFERROR(CA118*_xlfn.XLOOKUP(DJ$7,'Product Tgt'!$B:$B,'Product Tgt'!$D:$D),0)</f>
        <v>0</v>
      </c>
      <c r="DK118">
        <f>IFERROR(CB118*_xlfn.XLOOKUP(DK$7,'Product Tgt'!$B:$B,'Product Tgt'!$D:$D),0)</f>
        <v>0</v>
      </c>
      <c r="DL118">
        <f>IFERROR(CC118*_xlfn.XLOOKUP(DL$7,'Product Tgt'!$B:$B,'Product Tgt'!$D:$D),0)</f>
        <v>0</v>
      </c>
      <c r="DM118">
        <f>IFERROR(CD118*_xlfn.XLOOKUP(DM$7,'Product Tgt'!$B:$B,'Product Tgt'!$D:$D),0)</f>
        <v>0</v>
      </c>
      <c r="DN118">
        <f>IFERROR(CE118*_xlfn.XLOOKUP(DN$7,'Product Tgt'!$B:$B,'Product Tgt'!$D:$D),0)</f>
        <v>0</v>
      </c>
      <c r="DO118">
        <f>IFERROR(CF118*_xlfn.XLOOKUP(DO$7,'Product Tgt'!$B:$B,'Product Tgt'!$D:$D),0)</f>
        <v>0</v>
      </c>
      <c r="DP118">
        <f>IFERROR(CG118*_xlfn.XLOOKUP(DP$7,'Product Tgt'!$B:$B,'Product Tgt'!$D:$D),0)</f>
        <v>0</v>
      </c>
      <c r="DQ118">
        <f>IFERROR(CH118*_xlfn.XLOOKUP(DQ$7,'Product Tgt'!$B:$B,'Product Tgt'!$D:$D),0)</f>
        <v>0</v>
      </c>
      <c r="DR118">
        <f>IFERROR(CI118*_xlfn.XLOOKUP(DR$7,'Product Tgt'!$B:$B,'Product Tgt'!$D:$D),0)</f>
        <v>0</v>
      </c>
      <c r="DS118">
        <f>IFERROR(CJ118*_xlfn.XLOOKUP(DS$7,'Product Tgt'!$B:$B,'Product Tgt'!$D:$D),0)</f>
        <v>0</v>
      </c>
      <c r="DT118">
        <f>IFERROR(CK118*_xlfn.XLOOKUP(DT$7,'Product Tgt'!$B:$B,'Product Tgt'!$D:$D),0)</f>
        <v>0</v>
      </c>
      <c r="DU118">
        <f>IFERROR(CL118*_xlfn.XLOOKUP(DU$7,'Product Tgt'!$B:$B,'Product Tgt'!$D:$D),0)</f>
        <v>0</v>
      </c>
      <c r="DV118">
        <f>IFERROR(CM118*_xlfn.XLOOKUP(DV$7,'Product Tgt'!$B:$B,'Product Tgt'!$D:$D),0)</f>
        <v>0</v>
      </c>
      <c r="DW118">
        <f>IFERROR(CN118*_xlfn.XLOOKUP(DW$7,'Product Tgt'!$B:$B,'Product Tgt'!$D:$D),0)</f>
        <v>0</v>
      </c>
      <c r="DX118">
        <f>IFERROR(CO118*_xlfn.XLOOKUP(DX$7,'Product Tgt'!$B:$B,'Product Tgt'!$D:$D),0)</f>
        <v>0</v>
      </c>
      <c r="DY118">
        <f>IFERROR(CP118*_xlfn.XLOOKUP(DY$7,'Product Tgt'!$B:$B,'Product Tgt'!$D:$D),0)</f>
        <v>0</v>
      </c>
      <c r="DZ118">
        <f>IFERROR(CQ118*_xlfn.XLOOKUP(DZ$7,'Product Tgt'!$B:$B,'Product Tgt'!$D:$D),0)</f>
        <v>0</v>
      </c>
      <c r="EA118">
        <f>IFERROR(CR118*_xlfn.XLOOKUP(EA$7,'Product Tgt'!$B:$B,'Product Tgt'!$D:$D),0)</f>
        <v>0</v>
      </c>
      <c r="EB118">
        <f>IFERROR(CS118*_xlfn.XLOOKUP(EB$7,'Product Tgt'!$B:$B,'Product Tgt'!$D:$D),0)</f>
        <v>0</v>
      </c>
      <c r="EC118">
        <f>IFERROR(CT118*_xlfn.XLOOKUP(EC$7,'Product Tgt'!$B:$B,'Product Tgt'!$D:$D),0)</f>
        <v>0</v>
      </c>
      <c r="ED118">
        <f>IFERROR(CU118*_xlfn.XLOOKUP(ED$7,'Product Tgt'!$B:$B,'Product Tgt'!$D:$D),0)</f>
        <v>0</v>
      </c>
      <c r="EE118">
        <f>IFERROR(CV118*_xlfn.XLOOKUP(EE$7,'Product Tgt'!$B:$B,'Product Tgt'!$D:$D),0)</f>
        <v>0</v>
      </c>
      <c r="EF118">
        <f>IFERROR(CW118*_xlfn.XLOOKUP(EF$7,'Product Tgt'!$B:$B,'Product Tgt'!$D:$D),0)</f>
        <v>0</v>
      </c>
      <c r="EG118">
        <f>IFERROR(CX118*_xlfn.XLOOKUP(EG$7,'Product Tgt'!$B:$B,'Product Tgt'!$D:$D),0)</f>
        <v>0</v>
      </c>
      <c r="EH118">
        <f>IFERROR(CY118*_xlfn.XLOOKUP(EH$7,'Product Tgt'!$B:$B,'Product Tgt'!$D:$D),0)</f>
        <v>0</v>
      </c>
      <c r="EI118">
        <f>IFERROR(CZ118*_xlfn.XLOOKUP(EI$7,'Product Tgt'!$B:$B,'Product Tgt'!$D:$D),0)</f>
        <v>0</v>
      </c>
    </row>
    <row r="119" spans="2:139" x14ac:dyDescent="0.35">
      <c r="B119" s="7" t="s">
        <v>131</v>
      </c>
      <c r="C119" s="3">
        <f>_xlfn.XLOOKUP($B119,'Terr Target'!$A:$A,'Terr Target'!$E:$E)</f>
        <v>551655.82363624452</v>
      </c>
      <c r="D119" s="3">
        <f t="shared" si="14"/>
        <v>551651</v>
      </c>
      <c r="E119" s="4">
        <f t="shared" si="15"/>
        <v>-4.8236362445168197</v>
      </c>
      <c r="F119" s="9">
        <f t="shared" si="13"/>
        <v>8.7439998196628295E-6</v>
      </c>
      <c r="G119" s="5">
        <f t="shared" si="12"/>
        <v>1.0000087439998198</v>
      </c>
      <c r="H119" s="38">
        <v>45957.977029936519</v>
      </c>
      <c r="I119" s="11">
        <v>90694.11078471769</v>
      </c>
      <c r="J119" s="11">
        <v>51124.025762032819</v>
      </c>
      <c r="K119" s="11">
        <v>54220.029466024956</v>
      </c>
      <c r="L119" s="11">
        <v>44659.604648169967</v>
      </c>
      <c r="M119" s="11">
        <v>29930.997257330742</v>
      </c>
      <c r="N119" s="11">
        <v>550.40132323543116</v>
      </c>
      <c r="O119" s="11">
        <v>2878.6909548736198</v>
      </c>
      <c r="P119" s="11">
        <v>1653.2380984031904</v>
      </c>
      <c r="Q119" s="11">
        <v>1001.1403115420023</v>
      </c>
      <c r="R119" s="11">
        <v>20616.093767435061</v>
      </c>
      <c r="S119" s="11">
        <v>28059.329633269565</v>
      </c>
      <c r="T119" s="11">
        <v>33237.981986311352</v>
      </c>
      <c r="U119" s="11">
        <v>9393.8755451869856</v>
      </c>
      <c r="V119" s="11">
        <v>24301.845225240846</v>
      </c>
      <c r="W119" s="11">
        <v>21961.649957994348</v>
      </c>
      <c r="X119" s="11">
        <v>3450.061751881477</v>
      </c>
      <c r="Y119" s="11">
        <v>3810.9700272941909</v>
      </c>
      <c r="Z119" s="11">
        <v>260.26876101181585</v>
      </c>
      <c r="AA119" s="11">
        <v>12148.973239285897</v>
      </c>
      <c r="AB119" s="11">
        <v>4239.8122184518106</v>
      </c>
      <c r="AC119" s="11">
        <v>3193.8313346061482</v>
      </c>
      <c r="AD119" s="11">
        <v>19316.205760364937</v>
      </c>
      <c r="AE119" s="11">
        <v>22672.548023902607</v>
      </c>
      <c r="AF119" s="11">
        <v>2459.8100115993357</v>
      </c>
      <c r="AG119" s="11">
        <v>21737.237700874895</v>
      </c>
      <c r="AH119" s="11">
        <v>2109.8999908566093</v>
      </c>
      <c r="AI119" s="11">
        <v>10355.150922757444</v>
      </c>
      <c r="AJ119" s="11">
        <v>8680.9234081436225</v>
      </c>
      <c r="AK119" s="11">
        <v>1524.7489690491848</v>
      </c>
      <c r="AL119" s="49">
        <v>474.59014439960106</v>
      </c>
      <c r="AM119" s="41">
        <f>IFERROR(ROUND(_xlfn.XLOOKUP(AM$7,'Product Tgt'!$B:$B,'Product Tgt'!$G:$G)*H119/H$121,0),0)</f>
        <v>44679</v>
      </c>
      <c r="AN119" s="41">
        <f>IFERROR(ROUND(_xlfn.XLOOKUP(AN$7,'Product Tgt'!$B:$B,'Product Tgt'!$G:$G)*I119/I$121,0),0)</f>
        <v>89279</v>
      </c>
      <c r="AO119" s="41">
        <f>IFERROR(ROUND(_xlfn.XLOOKUP(AO$7,'Product Tgt'!$B:$B,'Product Tgt'!$G:$G)*J119/J$121,0),0)</f>
        <v>49534</v>
      </c>
      <c r="AP119" s="41">
        <f>IFERROR(ROUND(_xlfn.XLOOKUP(AP$7,'Product Tgt'!$B:$B,'Product Tgt'!$G:$G)*K119/K$121,0),0)</f>
        <v>52893</v>
      </c>
      <c r="AQ119" s="41">
        <f>IFERROR(ROUND(_xlfn.XLOOKUP(AQ$7,'Product Tgt'!$B:$B,'Product Tgt'!$G:$G)*L119/L$121,0),0)</f>
        <v>43183</v>
      </c>
      <c r="AR119" s="41">
        <f>IFERROR(ROUND(_xlfn.XLOOKUP(AR$7,'Product Tgt'!$B:$B,'Product Tgt'!$G:$G)*M119/M$121,0),0)</f>
        <v>28997</v>
      </c>
      <c r="AS119" s="41">
        <f>IFERROR(ROUND(_xlfn.XLOOKUP(AS$7,'Product Tgt'!$B:$B,'Product Tgt'!$G:$G)*N119/N$121,0),0)</f>
        <v>509</v>
      </c>
      <c r="AT119" s="41">
        <f>IFERROR(ROUND(_xlfn.XLOOKUP(AT$7,'Product Tgt'!$B:$B,'Product Tgt'!$G:$G)*O119/O$121,0),0)</f>
        <v>2591</v>
      </c>
      <c r="AU119" s="41">
        <f>IFERROR(ROUND(_xlfn.XLOOKUP(AU$7,'Product Tgt'!$B:$B,'Product Tgt'!$G:$G)*P119/P$121,0),0)</f>
        <v>705</v>
      </c>
      <c r="AV119" s="41">
        <f>IFERROR(ROUND(_xlfn.XLOOKUP(AV$7,'Product Tgt'!$B:$B,'Product Tgt'!$G:$G)*Q119/Q$121,0),0)</f>
        <v>751</v>
      </c>
      <c r="AW119" s="41">
        <f>IFERROR(ROUND(_xlfn.XLOOKUP(AW$7,'Product Tgt'!$B:$B,'Product Tgt'!$G:$G)*R119/R$121,0),0)</f>
        <v>19855</v>
      </c>
      <c r="AX119" s="41">
        <f>IFERROR(ROUND(_xlfn.XLOOKUP(AX$7,'Product Tgt'!$B:$B,'Product Tgt'!$G:$G)*S119/S$121,0),0)</f>
        <v>27025</v>
      </c>
      <c r="AY119" s="41">
        <f>IFERROR(ROUND(_xlfn.XLOOKUP(AY$7,'Product Tgt'!$B:$B,'Product Tgt'!$G:$G)*T119/T$121,0),0)</f>
        <v>33361</v>
      </c>
      <c r="AZ119" s="41">
        <f>IFERROR(ROUND(_xlfn.XLOOKUP(AZ$7,'Product Tgt'!$B:$B,'Product Tgt'!$G:$G)*U119/U$121,0),0)</f>
        <v>8990</v>
      </c>
      <c r="BA119" s="41">
        <f>IFERROR(ROUND(_xlfn.XLOOKUP(BA$7,'Product Tgt'!$B:$B,'Product Tgt'!$G:$G)*V119/V$121,0),0)</f>
        <v>23398</v>
      </c>
      <c r="BB119" s="41">
        <f>IFERROR(ROUND(_xlfn.XLOOKUP(BB$7,'Product Tgt'!$B:$B,'Product Tgt'!$G:$G)*W119/W$121,0),0)</f>
        <v>21022</v>
      </c>
      <c r="BC119" s="41">
        <f>IFERROR(ROUND(_xlfn.XLOOKUP(BC$7,'Product Tgt'!$B:$B,'Product Tgt'!$G:$G)*X119/X$121,0),0)</f>
        <v>3338</v>
      </c>
      <c r="BD119" s="41">
        <f>IFERROR(ROUND(_xlfn.XLOOKUP(BD$7,'Product Tgt'!$B:$B,'Product Tgt'!$G:$G)*Y119/Y$121,0),0)</f>
        <v>3685</v>
      </c>
      <c r="BE119" s="41">
        <f>IFERROR(ROUND(_xlfn.XLOOKUP(BE$7,'Product Tgt'!$B:$B,'Product Tgt'!$G:$G)*Z119/Z$121,0),0)</f>
        <v>247</v>
      </c>
      <c r="BF119" s="41">
        <f>IFERROR(ROUND(_xlfn.XLOOKUP(BF$7,'Product Tgt'!$B:$B,'Product Tgt'!$G:$G)*AA119/AA$121,0),0)</f>
        <v>9845</v>
      </c>
      <c r="BG119" s="41">
        <f>IFERROR(ROUND(_xlfn.XLOOKUP(BG$7,'Product Tgt'!$B:$B,'Product Tgt'!$G:$G)*AB119/AB$121,0),0)</f>
        <v>3398</v>
      </c>
      <c r="BH119" s="41">
        <f>IFERROR(ROUND(_xlfn.XLOOKUP(BH$7,'Product Tgt'!$B:$B,'Product Tgt'!$G:$G)*AC119/AC$121,0),0)</f>
        <v>2733</v>
      </c>
      <c r="BI119" s="41">
        <f>IFERROR(ROUND(_xlfn.XLOOKUP(BI$7,'Product Tgt'!$B:$B,'Product Tgt'!$G:$G)*AD119/AD$121,0),0)</f>
        <v>16815</v>
      </c>
      <c r="BJ119" s="41">
        <f>IFERROR(ROUND(_xlfn.XLOOKUP(BJ$7,'Product Tgt'!$B:$B,'Product Tgt'!$G:$G)*AE119/AE$121,0),0)</f>
        <v>21102</v>
      </c>
      <c r="BK119" s="41">
        <f>IFERROR(ROUND(_xlfn.XLOOKUP(BK$7,'Product Tgt'!$B:$B,'Product Tgt'!$G:$G)*AF119/AF$121,0),0)</f>
        <v>2748</v>
      </c>
      <c r="BL119" s="41">
        <f>IFERROR(ROUND(_xlfn.XLOOKUP(BL$7,'Product Tgt'!$B:$B,'Product Tgt'!$G:$G)*AG119/AG$121,0),0)</f>
        <v>20763</v>
      </c>
      <c r="BM119" s="41">
        <f>IFERROR(ROUND(_xlfn.XLOOKUP(BM$7,'Product Tgt'!$B:$B,'Product Tgt'!$G:$G)*AH119/AH$121,0),0)</f>
        <v>1654</v>
      </c>
      <c r="BN119" s="41">
        <f>IFERROR(ROUND(_xlfn.XLOOKUP(BN$7,'Product Tgt'!$B:$B,'Product Tgt'!$G:$G)*AI119/AI$121,0),0)</f>
        <v>9510</v>
      </c>
      <c r="BO119" s="41">
        <f>IFERROR(ROUND(_xlfn.XLOOKUP(BO$7,'Product Tgt'!$B:$B,'Product Tgt'!$G:$G)*AJ119/AJ$121,0),0)</f>
        <v>7509</v>
      </c>
      <c r="BP119" s="41">
        <f>IFERROR(ROUND(_xlfn.XLOOKUP(BP$7,'Product Tgt'!$B:$B,'Product Tgt'!$G:$G)*AK119/AK$121,0),0)</f>
        <v>1161</v>
      </c>
      <c r="BQ119" s="41">
        <f>IFERROR(ROUND(_xlfn.XLOOKUP(BQ$7,'Product Tgt'!$B:$B,'Product Tgt'!$G:$G)*AL119/AL$121,0),0)</f>
        <v>371</v>
      </c>
      <c r="BR119" s="25">
        <f>ROUND(IFERROR(AM119/_xlfn.XLOOKUP(BR$7,'Product Tgt'!$B:$B,'Product Tgt'!$D:$D),0),0)</f>
        <v>0</v>
      </c>
      <c r="BS119" s="11">
        <f>ROUND(IFERROR(AN119/_xlfn.XLOOKUP(BS$7,'Product Tgt'!$B:$B,'Product Tgt'!$D:$D),0),0)</f>
        <v>0</v>
      </c>
      <c r="BT119" s="11">
        <f>ROUND(IFERROR(AO119/_xlfn.XLOOKUP(BT$7,'Product Tgt'!$B:$B,'Product Tgt'!$D:$D),0),0)</f>
        <v>0</v>
      </c>
      <c r="BU119" s="11">
        <f>ROUND(IFERROR(AP119/_xlfn.XLOOKUP(BU$7,'Product Tgt'!$B:$B,'Product Tgt'!$D:$D),0),0)</f>
        <v>0</v>
      </c>
      <c r="BV119" s="11">
        <f>ROUND(IFERROR(AQ119/_xlfn.XLOOKUP(BV$7,'Product Tgt'!$B:$B,'Product Tgt'!$D:$D),0),0)</f>
        <v>0</v>
      </c>
      <c r="BW119" s="11">
        <f>ROUND(IFERROR(AU119/_xlfn.XLOOKUP(BW$7,'Product Tgt'!$B:$B,'Product Tgt'!$D:$D),0),0)</f>
        <v>0</v>
      </c>
      <c r="BX119" s="11">
        <f>ROUND(IFERROR(#REF!/_xlfn.XLOOKUP(BX$7,'Product Tgt'!$B:$B,'Product Tgt'!$D:$D),0),0)</f>
        <v>0</v>
      </c>
      <c r="BY119" s="11">
        <f>ROUND(IFERROR(#REF!/_xlfn.XLOOKUP(BY$7,'Product Tgt'!$B:$B,'Product Tgt'!$D:$D),0),0)</f>
        <v>0</v>
      </c>
      <c r="BZ119" s="11">
        <f>ROUND(IFERROR(#REF!/_xlfn.XLOOKUP(BZ$7,'Product Tgt'!$B:$B,'Product Tgt'!$D:$D),0),0)</f>
        <v>0</v>
      </c>
      <c r="CA119" s="11">
        <f>ROUND(IFERROR(#REF!/_xlfn.XLOOKUP(CA$7,'Product Tgt'!$B:$B,'Product Tgt'!$D:$D),0),0)</f>
        <v>0</v>
      </c>
      <c r="CB119" s="11">
        <f>ROUND(IFERROR(AV119/_xlfn.XLOOKUP(CB$7,'Product Tgt'!$B:$B,'Product Tgt'!$D:$D),0),0)</f>
        <v>0</v>
      </c>
      <c r="CC119" s="11">
        <f>ROUND(IFERROR(AW119/_xlfn.XLOOKUP(CC$7,'Product Tgt'!$B:$B,'Product Tgt'!$D:$D),0),0)</f>
        <v>0</v>
      </c>
      <c r="CD119" s="11">
        <f>ROUND(IFERROR(AX119/_xlfn.XLOOKUP(CD$7,'Product Tgt'!$B:$B,'Product Tgt'!$D:$D),0),0)</f>
        <v>0</v>
      </c>
      <c r="CE119" s="11">
        <f>ROUND(IFERROR(AY119/_xlfn.XLOOKUP(CE$7,'Product Tgt'!$B:$B,'Product Tgt'!$D:$D),0),0)</f>
        <v>0</v>
      </c>
      <c r="CF119" s="11">
        <f>ROUND(IFERROR(AZ119/_xlfn.XLOOKUP(CF$7,'Product Tgt'!$B:$B,'Product Tgt'!$D:$D),0),0)</f>
        <v>0</v>
      </c>
      <c r="CG119" s="11">
        <f>ROUND(IFERROR(BA119/_xlfn.XLOOKUP(CG$7,'Product Tgt'!$B:$B,'Product Tgt'!$D:$D),0),0)</f>
        <v>0</v>
      </c>
      <c r="CH119" s="11">
        <f>ROUND(IFERROR(BB119/_xlfn.XLOOKUP(CH$7,'Product Tgt'!$B:$B,'Product Tgt'!$D:$D),0),0)</f>
        <v>0</v>
      </c>
      <c r="CI119" s="11">
        <f>ROUND(IFERROR(BC119/_xlfn.XLOOKUP(CI$7,'Product Tgt'!$B:$B,'Product Tgt'!$D:$D),0),0)</f>
        <v>0</v>
      </c>
      <c r="CJ119" s="11">
        <f>ROUND(IFERROR(BD119/_xlfn.XLOOKUP(CJ$7,'Product Tgt'!$B:$B,'Product Tgt'!$D:$D),0),0)</f>
        <v>0</v>
      </c>
      <c r="CK119" s="11">
        <f>ROUND(IFERROR(BE119/_xlfn.XLOOKUP(CK$7,'Product Tgt'!$B:$B,'Product Tgt'!$D:$D),0),0)</f>
        <v>0</v>
      </c>
      <c r="CL119" s="11">
        <f>ROUND(IFERROR(BF119/_xlfn.XLOOKUP(CL$7,'Product Tgt'!$B:$B,'Product Tgt'!$D:$D),0),0)</f>
        <v>0</v>
      </c>
      <c r="CM119" s="11">
        <f>ROUND(IFERROR(BG119/_xlfn.XLOOKUP(CM$7,'Product Tgt'!$B:$B,'Product Tgt'!$D:$D),0),0)</f>
        <v>0</v>
      </c>
      <c r="CN119" s="11">
        <f>ROUND(IFERROR(BH119/_xlfn.XLOOKUP(CN$7,'Product Tgt'!$B:$B,'Product Tgt'!$D:$D),0),0)</f>
        <v>0</v>
      </c>
      <c r="CO119" s="11">
        <f>ROUND(IFERROR(BI119/_xlfn.XLOOKUP(CO$7,'Product Tgt'!$B:$B,'Product Tgt'!$D:$D),0),0)</f>
        <v>0</v>
      </c>
      <c r="CP119" s="11">
        <f>ROUND(IFERROR(BJ119/_xlfn.XLOOKUP(CP$7,'Product Tgt'!$B:$B,'Product Tgt'!$D:$D),0),0)</f>
        <v>0</v>
      </c>
      <c r="CQ119" s="11">
        <f>ROUND(IFERROR(BK119/_xlfn.XLOOKUP(CQ$7,'Product Tgt'!$B:$B,'Product Tgt'!$D:$D),0),0)</f>
        <v>0</v>
      </c>
      <c r="CR119" s="11">
        <f>ROUND(IFERROR(BL119/_xlfn.XLOOKUP(CR$7,'Product Tgt'!$B:$B,'Product Tgt'!$D:$D),0),0)</f>
        <v>0</v>
      </c>
      <c r="CS119" s="11">
        <f>ROUND(IFERROR(BM119/_xlfn.XLOOKUP(CS$7,'Product Tgt'!$B:$B,'Product Tgt'!$D:$D),0),0)</f>
        <v>0</v>
      </c>
      <c r="CT119" s="11">
        <f>ROUND(IFERROR(BN119/_xlfn.XLOOKUP(CT$7,'Product Tgt'!$B:$B,'Product Tgt'!$D:$D),0),0)</f>
        <v>0</v>
      </c>
      <c r="CU119" s="11">
        <f>ROUND(IFERROR(BO119/_xlfn.XLOOKUP(CU$7,'Product Tgt'!$B:$B,'Product Tgt'!$D:$D),0),0)</f>
        <v>0</v>
      </c>
      <c r="CV119" s="11">
        <f>ROUND(IFERROR(BP119/_xlfn.XLOOKUP(CV$7,'Product Tgt'!$B:$B,'Product Tgt'!$D:$D),0),0)</f>
        <v>0</v>
      </c>
      <c r="CW119" s="11">
        <f>ROUND(IFERROR(BQ119/_xlfn.XLOOKUP(CW$7,'Product Tgt'!$B:$B,'Product Tgt'!$D:$D),0),0)</f>
        <v>0</v>
      </c>
      <c r="CX119" s="11">
        <f>ROUND(IFERROR(#REF!/_xlfn.XLOOKUP(CX$7,'Product Tgt'!$B:$B,'Product Tgt'!$D:$D),0),0)</f>
        <v>0</v>
      </c>
      <c r="CY119" s="11">
        <f>ROUND(IFERROR(#REF!/_xlfn.XLOOKUP(CY$7,'Product Tgt'!$B:$B,'Product Tgt'!$D:$D),0),0)</f>
        <v>0</v>
      </c>
      <c r="CZ119" s="11">
        <f>ROUND(IFERROR(#REF!/_xlfn.XLOOKUP(CZ$7,'Product Tgt'!$B:$B,'Product Tgt'!$D:$D),0),0)</f>
        <v>0</v>
      </c>
      <c r="DA119" s="10">
        <f>IFERROR(BR119*_xlfn.XLOOKUP(DA$7,'Product Tgt'!$B:$B,'Product Tgt'!$D:$D),0)</f>
        <v>0</v>
      </c>
      <c r="DB119">
        <f>IFERROR(BS119*_xlfn.XLOOKUP(DB$7,'Product Tgt'!$B:$B,'Product Tgt'!$D:$D),0)</f>
        <v>0</v>
      </c>
      <c r="DC119">
        <f>IFERROR(BT119*_xlfn.XLOOKUP(DC$7,'Product Tgt'!$B:$B,'Product Tgt'!$D:$D),0)</f>
        <v>0</v>
      </c>
      <c r="DD119">
        <f>IFERROR(BU119*_xlfn.XLOOKUP(DD$7,'Product Tgt'!$B:$B,'Product Tgt'!$D:$D),0)</f>
        <v>0</v>
      </c>
      <c r="DE119">
        <f>IFERROR(BV119*_xlfn.XLOOKUP(DE$7,'Product Tgt'!$B:$B,'Product Tgt'!$D:$D),0)</f>
        <v>0</v>
      </c>
      <c r="DF119">
        <f>IFERROR(BW119*_xlfn.XLOOKUP(DF$7,'Product Tgt'!$B:$B,'Product Tgt'!$D:$D),0)</f>
        <v>0</v>
      </c>
      <c r="DG119">
        <f>IFERROR(BX119*_xlfn.XLOOKUP(DG$7,'Product Tgt'!$B:$B,'Product Tgt'!$D:$D),0)</f>
        <v>0</v>
      </c>
      <c r="DH119">
        <f>IFERROR(BY119*_xlfn.XLOOKUP(DH$7,'Product Tgt'!$B:$B,'Product Tgt'!$D:$D),0)</f>
        <v>0</v>
      </c>
      <c r="DI119">
        <f>IFERROR(BZ119*_xlfn.XLOOKUP(DI$7,'Product Tgt'!$B:$B,'Product Tgt'!$D:$D),0)</f>
        <v>0</v>
      </c>
      <c r="DJ119">
        <f>IFERROR(CA119*_xlfn.XLOOKUP(DJ$7,'Product Tgt'!$B:$B,'Product Tgt'!$D:$D),0)</f>
        <v>0</v>
      </c>
      <c r="DK119">
        <f>IFERROR(CB119*_xlfn.XLOOKUP(DK$7,'Product Tgt'!$B:$B,'Product Tgt'!$D:$D),0)</f>
        <v>0</v>
      </c>
      <c r="DL119">
        <f>IFERROR(CC119*_xlfn.XLOOKUP(DL$7,'Product Tgt'!$B:$B,'Product Tgt'!$D:$D),0)</f>
        <v>0</v>
      </c>
      <c r="DM119">
        <f>IFERROR(CD119*_xlfn.XLOOKUP(DM$7,'Product Tgt'!$B:$B,'Product Tgt'!$D:$D),0)</f>
        <v>0</v>
      </c>
      <c r="DN119">
        <f>IFERROR(CE119*_xlfn.XLOOKUP(DN$7,'Product Tgt'!$B:$B,'Product Tgt'!$D:$D),0)</f>
        <v>0</v>
      </c>
      <c r="DO119">
        <f>IFERROR(CF119*_xlfn.XLOOKUP(DO$7,'Product Tgt'!$B:$B,'Product Tgt'!$D:$D),0)</f>
        <v>0</v>
      </c>
      <c r="DP119">
        <f>IFERROR(CG119*_xlfn.XLOOKUP(DP$7,'Product Tgt'!$B:$B,'Product Tgt'!$D:$D),0)</f>
        <v>0</v>
      </c>
      <c r="DQ119">
        <f>IFERROR(CH119*_xlfn.XLOOKUP(DQ$7,'Product Tgt'!$B:$B,'Product Tgt'!$D:$D),0)</f>
        <v>0</v>
      </c>
      <c r="DR119">
        <f>IFERROR(CI119*_xlfn.XLOOKUP(DR$7,'Product Tgt'!$B:$B,'Product Tgt'!$D:$D),0)</f>
        <v>0</v>
      </c>
      <c r="DS119">
        <f>IFERROR(CJ119*_xlfn.XLOOKUP(DS$7,'Product Tgt'!$B:$B,'Product Tgt'!$D:$D),0)</f>
        <v>0</v>
      </c>
      <c r="DT119">
        <f>IFERROR(CK119*_xlfn.XLOOKUP(DT$7,'Product Tgt'!$B:$B,'Product Tgt'!$D:$D),0)</f>
        <v>0</v>
      </c>
      <c r="DU119">
        <f>IFERROR(CL119*_xlfn.XLOOKUP(DU$7,'Product Tgt'!$B:$B,'Product Tgt'!$D:$D),0)</f>
        <v>0</v>
      </c>
      <c r="DV119">
        <f>IFERROR(CM119*_xlfn.XLOOKUP(DV$7,'Product Tgt'!$B:$B,'Product Tgt'!$D:$D),0)</f>
        <v>0</v>
      </c>
      <c r="DW119">
        <f>IFERROR(CN119*_xlfn.XLOOKUP(DW$7,'Product Tgt'!$B:$B,'Product Tgt'!$D:$D),0)</f>
        <v>0</v>
      </c>
      <c r="DX119">
        <f>IFERROR(CO119*_xlfn.XLOOKUP(DX$7,'Product Tgt'!$B:$B,'Product Tgt'!$D:$D),0)</f>
        <v>0</v>
      </c>
      <c r="DY119">
        <f>IFERROR(CP119*_xlfn.XLOOKUP(DY$7,'Product Tgt'!$B:$B,'Product Tgt'!$D:$D),0)</f>
        <v>0</v>
      </c>
      <c r="DZ119">
        <f>IFERROR(CQ119*_xlfn.XLOOKUP(DZ$7,'Product Tgt'!$B:$B,'Product Tgt'!$D:$D),0)</f>
        <v>0</v>
      </c>
      <c r="EA119">
        <f>IFERROR(CR119*_xlfn.XLOOKUP(EA$7,'Product Tgt'!$B:$B,'Product Tgt'!$D:$D),0)</f>
        <v>0</v>
      </c>
      <c r="EB119">
        <f>IFERROR(CS119*_xlfn.XLOOKUP(EB$7,'Product Tgt'!$B:$B,'Product Tgt'!$D:$D),0)</f>
        <v>0</v>
      </c>
      <c r="EC119">
        <f>IFERROR(CT119*_xlfn.XLOOKUP(EC$7,'Product Tgt'!$B:$B,'Product Tgt'!$D:$D),0)</f>
        <v>0</v>
      </c>
      <c r="ED119">
        <f>IFERROR(CU119*_xlfn.XLOOKUP(ED$7,'Product Tgt'!$B:$B,'Product Tgt'!$D:$D),0)</f>
        <v>0</v>
      </c>
      <c r="EE119">
        <f>IFERROR(CV119*_xlfn.XLOOKUP(EE$7,'Product Tgt'!$B:$B,'Product Tgt'!$D:$D),0)</f>
        <v>0</v>
      </c>
      <c r="EF119">
        <f>IFERROR(CW119*_xlfn.XLOOKUP(EF$7,'Product Tgt'!$B:$B,'Product Tgt'!$D:$D),0)</f>
        <v>0</v>
      </c>
      <c r="EG119">
        <f>IFERROR(CX119*_xlfn.XLOOKUP(EG$7,'Product Tgt'!$B:$B,'Product Tgt'!$D:$D),0)</f>
        <v>0</v>
      </c>
      <c r="EH119">
        <f>IFERROR(CY119*_xlfn.XLOOKUP(EH$7,'Product Tgt'!$B:$B,'Product Tgt'!$D:$D),0)</f>
        <v>0</v>
      </c>
      <c r="EI119">
        <f>IFERROR(CZ119*_xlfn.XLOOKUP(EI$7,'Product Tgt'!$B:$B,'Product Tgt'!$D:$D),0)</f>
        <v>0</v>
      </c>
    </row>
    <row r="120" spans="2:139" x14ac:dyDescent="0.35">
      <c r="B120" s="7" t="s">
        <v>132</v>
      </c>
      <c r="C120" s="3">
        <f>_xlfn.XLOOKUP($B120,'Terr Target'!$A:$A,'Terr Target'!$E:$E)</f>
        <v>279550.75052347465</v>
      </c>
      <c r="D120" s="3">
        <f t="shared" si="14"/>
        <v>279547</v>
      </c>
      <c r="E120" s="4">
        <f t="shared" si="15"/>
        <v>-3.7505234746495262</v>
      </c>
      <c r="F120" s="9">
        <f t="shared" si="13"/>
        <v>1.341643256643615E-5</v>
      </c>
      <c r="G120" s="5">
        <f t="shared" si="12"/>
        <v>1.0000134164325665</v>
      </c>
      <c r="H120" s="38">
        <v>25835.108839009819</v>
      </c>
      <c r="I120" s="11">
        <v>48706.537208333204</v>
      </c>
      <c r="J120" s="11">
        <v>25838.093381229311</v>
      </c>
      <c r="K120" s="11">
        <v>31688.537259374913</v>
      </c>
      <c r="L120" s="11">
        <v>23201.590848544522</v>
      </c>
      <c r="M120" s="11">
        <v>14520.799422082118</v>
      </c>
      <c r="N120" s="11">
        <v>370.55395160781057</v>
      </c>
      <c r="O120" s="11">
        <v>1820.771058739424</v>
      </c>
      <c r="P120" s="11">
        <v>1209.8613060387233</v>
      </c>
      <c r="Q120" s="11">
        <v>648.97768886279391</v>
      </c>
      <c r="R120" s="11">
        <v>9194.0225205498773</v>
      </c>
      <c r="S120" s="11">
        <v>12661.970442422948</v>
      </c>
      <c r="T120" s="11">
        <v>1119.6940791859674</v>
      </c>
      <c r="U120" s="11">
        <v>5408.230867542844</v>
      </c>
      <c r="V120" s="11">
        <v>15182.105874274439</v>
      </c>
      <c r="W120" s="11">
        <v>13539.626159801679</v>
      </c>
      <c r="X120" s="11">
        <v>1961.9959910787236</v>
      </c>
      <c r="Y120" s="11">
        <v>2081.1673597692647</v>
      </c>
      <c r="Z120" s="11">
        <v>0</v>
      </c>
      <c r="AA120" s="11">
        <v>6650.1409490929327</v>
      </c>
      <c r="AB120" s="11">
        <v>2325.5893492551595</v>
      </c>
      <c r="AC120" s="11">
        <v>4639.1403772088624</v>
      </c>
      <c r="AD120" s="11">
        <v>6579.0026827000493</v>
      </c>
      <c r="AE120" s="11">
        <v>11390.335121586068</v>
      </c>
      <c r="AF120" s="11">
        <v>549.8368048668558</v>
      </c>
      <c r="AG120" s="11">
        <v>12407.863713587212</v>
      </c>
      <c r="AH120" s="11">
        <v>1038.5906466575193</v>
      </c>
      <c r="AI120" s="11">
        <v>5741.7684834350284</v>
      </c>
      <c r="AJ120" s="11">
        <v>5914.9921150739556</v>
      </c>
      <c r="AK120" s="11">
        <v>801.29950972290351</v>
      </c>
      <c r="AL120" s="49">
        <v>491.69832304077022</v>
      </c>
      <c r="AM120" s="41">
        <f>IFERROR(ROUND(_xlfn.XLOOKUP(AM$7,'Product Tgt'!$B:$B,'Product Tgt'!$G:$G)*H120/H$121,0),0)</f>
        <v>25116</v>
      </c>
      <c r="AN120" s="41">
        <f>IFERROR(ROUND(_xlfn.XLOOKUP(AN$7,'Product Tgt'!$B:$B,'Product Tgt'!$G:$G)*I120/I$121,0),0)</f>
        <v>47947</v>
      </c>
      <c r="AO120" s="41">
        <f>IFERROR(ROUND(_xlfn.XLOOKUP(AO$7,'Product Tgt'!$B:$B,'Product Tgt'!$G:$G)*J120/J$121,0),0)</f>
        <v>25034</v>
      </c>
      <c r="AP120" s="41">
        <f>IFERROR(ROUND(_xlfn.XLOOKUP(AP$7,'Product Tgt'!$B:$B,'Product Tgt'!$G:$G)*K120/K$121,0),0)</f>
        <v>30913</v>
      </c>
      <c r="AQ120" s="41">
        <f>IFERROR(ROUND(_xlfn.XLOOKUP(AQ$7,'Product Tgt'!$B:$B,'Product Tgt'!$G:$G)*L120/L$121,0),0)</f>
        <v>22434</v>
      </c>
      <c r="AR120" s="41">
        <f>IFERROR(ROUND(_xlfn.XLOOKUP(AR$7,'Product Tgt'!$B:$B,'Product Tgt'!$G:$G)*M120/M$121,0),0)</f>
        <v>14068</v>
      </c>
      <c r="AS120" s="41">
        <f>IFERROR(ROUND(_xlfn.XLOOKUP(AS$7,'Product Tgt'!$B:$B,'Product Tgt'!$G:$G)*N120/N$121,0),0)</f>
        <v>342</v>
      </c>
      <c r="AT120" s="41">
        <f>IFERROR(ROUND(_xlfn.XLOOKUP(AT$7,'Product Tgt'!$B:$B,'Product Tgt'!$G:$G)*O120/O$121,0),0)</f>
        <v>1639</v>
      </c>
      <c r="AU120" s="41">
        <f>IFERROR(ROUND(_xlfn.XLOOKUP(AU$7,'Product Tgt'!$B:$B,'Product Tgt'!$G:$G)*P120/P$121,0),0)</f>
        <v>516</v>
      </c>
      <c r="AV120" s="41">
        <f>IFERROR(ROUND(_xlfn.XLOOKUP(AV$7,'Product Tgt'!$B:$B,'Product Tgt'!$G:$G)*Q120/Q$121,0),0)</f>
        <v>487</v>
      </c>
      <c r="AW120" s="41">
        <f>IFERROR(ROUND(_xlfn.XLOOKUP(AW$7,'Product Tgt'!$B:$B,'Product Tgt'!$G:$G)*R120/R$121,0),0)</f>
        <v>8854</v>
      </c>
      <c r="AX120" s="41">
        <f>IFERROR(ROUND(_xlfn.XLOOKUP(AX$7,'Product Tgt'!$B:$B,'Product Tgt'!$G:$G)*S120/S$121,0),0)</f>
        <v>12195</v>
      </c>
      <c r="AY120" s="41">
        <f>IFERROR(ROUND(_xlfn.XLOOKUP(AY$7,'Product Tgt'!$B:$B,'Product Tgt'!$G:$G)*T120/T$121,0),0)</f>
        <v>1124</v>
      </c>
      <c r="AZ120" s="41">
        <f>IFERROR(ROUND(_xlfn.XLOOKUP(AZ$7,'Product Tgt'!$B:$B,'Product Tgt'!$G:$G)*U120/U$121,0),0)</f>
        <v>5176</v>
      </c>
      <c r="BA120" s="41">
        <f>IFERROR(ROUND(_xlfn.XLOOKUP(BA$7,'Product Tgt'!$B:$B,'Product Tgt'!$G:$G)*V120/V$121,0),0)</f>
        <v>14617</v>
      </c>
      <c r="BB120" s="41">
        <f>IFERROR(ROUND(_xlfn.XLOOKUP(BB$7,'Product Tgt'!$B:$B,'Product Tgt'!$G:$G)*W120/W$121,0),0)</f>
        <v>12961</v>
      </c>
      <c r="BC120" s="41">
        <f>IFERROR(ROUND(_xlfn.XLOOKUP(BC$7,'Product Tgt'!$B:$B,'Product Tgt'!$G:$G)*X120/X$121,0),0)</f>
        <v>1898</v>
      </c>
      <c r="BD120" s="41">
        <f>IFERROR(ROUND(_xlfn.XLOOKUP(BD$7,'Product Tgt'!$B:$B,'Product Tgt'!$G:$G)*Y120/Y$121,0),0)</f>
        <v>2012</v>
      </c>
      <c r="BE120" s="41">
        <f>IFERROR(ROUND(_xlfn.XLOOKUP(BE$7,'Product Tgt'!$B:$B,'Product Tgt'!$G:$G)*Z120/Z$121,0),0)</f>
        <v>0</v>
      </c>
      <c r="BF120" s="41">
        <f>IFERROR(ROUND(_xlfn.XLOOKUP(BF$7,'Product Tgt'!$B:$B,'Product Tgt'!$G:$G)*AA120/AA$121,0),0)</f>
        <v>5389</v>
      </c>
      <c r="BG120" s="41">
        <f>IFERROR(ROUND(_xlfn.XLOOKUP(BG$7,'Product Tgt'!$B:$B,'Product Tgt'!$G:$G)*AB120/AB$121,0),0)</f>
        <v>1864</v>
      </c>
      <c r="BH120" s="41">
        <f>IFERROR(ROUND(_xlfn.XLOOKUP(BH$7,'Product Tgt'!$B:$B,'Product Tgt'!$G:$G)*AC120/AC$121,0),0)</f>
        <v>3970</v>
      </c>
      <c r="BI120" s="41">
        <f>IFERROR(ROUND(_xlfn.XLOOKUP(BI$7,'Product Tgt'!$B:$B,'Product Tgt'!$G:$G)*AD120/AD$121,0),0)</f>
        <v>5727</v>
      </c>
      <c r="BJ120" s="41">
        <f>IFERROR(ROUND(_xlfn.XLOOKUP(BJ$7,'Product Tgt'!$B:$B,'Product Tgt'!$G:$G)*AE120/AE$121,0),0)</f>
        <v>10601</v>
      </c>
      <c r="BK120" s="41">
        <f>IFERROR(ROUND(_xlfn.XLOOKUP(BK$7,'Product Tgt'!$B:$B,'Product Tgt'!$G:$G)*AF120/AF$121,0),0)</f>
        <v>614</v>
      </c>
      <c r="BL120" s="41">
        <f>IFERROR(ROUND(_xlfn.XLOOKUP(BL$7,'Product Tgt'!$B:$B,'Product Tgt'!$G:$G)*AG120/AG$121,0),0)</f>
        <v>11852</v>
      </c>
      <c r="BM120" s="41">
        <f>IFERROR(ROUND(_xlfn.XLOOKUP(BM$7,'Product Tgt'!$B:$B,'Product Tgt'!$G:$G)*AH120/AH$121,0),0)</f>
        <v>814</v>
      </c>
      <c r="BN120" s="41">
        <f>IFERROR(ROUND(_xlfn.XLOOKUP(BN$7,'Product Tgt'!$B:$B,'Product Tgt'!$G:$G)*AI120/AI$121,0),0)</f>
        <v>5273</v>
      </c>
      <c r="BO120" s="41">
        <f>IFERROR(ROUND(_xlfn.XLOOKUP(BO$7,'Product Tgt'!$B:$B,'Product Tgt'!$G:$G)*AJ120/AJ$121,0),0)</f>
        <v>5116</v>
      </c>
      <c r="BP120" s="41">
        <f>IFERROR(ROUND(_xlfn.XLOOKUP(BP$7,'Product Tgt'!$B:$B,'Product Tgt'!$G:$G)*AK120/AK$121,0),0)</f>
        <v>610</v>
      </c>
      <c r="BQ120" s="41">
        <f>IFERROR(ROUND(_xlfn.XLOOKUP(BQ$7,'Product Tgt'!$B:$B,'Product Tgt'!$G:$G)*AL120/AL$121,0),0)</f>
        <v>384</v>
      </c>
      <c r="BR120" s="25">
        <f>ROUND(IFERROR(AM120/_xlfn.XLOOKUP(BR$7,'Product Tgt'!$B:$B,'Product Tgt'!$D:$D),0),0)</f>
        <v>0</v>
      </c>
      <c r="BS120" s="11">
        <f>ROUND(IFERROR(AN120/_xlfn.XLOOKUP(BS$7,'Product Tgt'!$B:$B,'Product Tgt'!$D:$D),0),0)</f>
        <v>0</v>
      </c>
      <c r="BT120" s="11">
        <f>ROUND(IFERROR(AO120/_xlfn.XLOOKUP(BT$7,'Product Tgt'!$B:$B,'Product Tgt'!$D:$D),0),0)</f>
        <v>0</v>
      </c>
      <c r="BU120" s="11">
        <f>ROUND(IFERROR(AP120/_xlfn.XLOOKUP(BU$7,'Product Tgt'!$B:$B,'Product Tgt'!$D:$D),0),0)</f>
        <v>0</v>
      </c>
      <c r="BV120" s="11">
        <f>ROUND(IFERROR(AQ120/_xlfn.XLOOKUP(BV$7,'Product Tgt'!$B:$B,'Product Tgt'!$D:$D),0),0)</f>
        <v>0</v>
      </c>
      <c r="BW120" s="11">
        <f>ROUND(IFERROR(AU120/_xlfn.XLOOKUP(BW$7,'Product Tgt'!$B:$B,'Product Tgt'!$D:$D),0),0)</f>
        <v>0</v>
      </c>
      <c r="BX120" s="11">
        <f>ROUND(IFERROR(#REF!/_xlfn.XLOOKUP(BX$7,'Product Tgt'!$B:$B,'Product Tgt'!$D:$D),0),0)</f>
        <v>0</v>
      </c>
      <c r="BY120" s="11">
        <f>ROUND(IFERROR(#REF!/_xlfn.XLOOKUP(BY$7,'Product Tgt'!$B:$B,'Product Tgt'!$D:$D),0),0)</f>
        <v>0</v>
      </c>
      <c r="BZ120" s="11">
        <f>ROUND(IFERROR(#REF!/_xlfn.XLOOKUP(BZ$7,'Product Tgt'!$B:$B,'Product Tgt'!$D:$D),0),0)</f>
        <v>0</v>
      </c>
      <c r="CA120" s="11">
        <f>ROUND(IFERROR(#REF!/_xlfn.XLOOKUP(CA$7,'Product Tgt'!$B:$B,'Product Tgt'!$D:$D),0),0)</f>
        <v>0</v>
      </c>
      <c r="CB120" s="11">
        <f>ROUND(IFERROR(AV120/_xlfn.XLOOKUP(CB$7,'Product Tgt'!$B:$B,'Product Tgt'!$D:$D),0),0)</f>
        <v>0</v>
      </c>
      <c r="CC120" s="11">
        <f>ROUND(IFERROR(AW120/_xlfn.XLOOKUP(CC$7,'Product Tgt'!$B:$B,'Product Tgt'!$D:$D),0),0)</f>
        <v>0</v>
      </c>
      <c r="CD120" s="11">
        <f>ROUND(IFERROR(AX120/_xlfn.XLOOKUP(CD$7,'Product Tgt'!$B:$B,'Product Tgt'!$D:$D),0),0)</f>
        <v>0</v>
      </c>
      <c r="CE120" s="11">
        <f>ROUND(IFERROR(AY120/_xlfn.XLOOKUP(CE$7,'Product Tgt'!$B:$B,'Product Tgt'!$D:$D),0),0)</f>
        <v>0</v>
      </c>
      <c r="CF120" s="11">
        <f>ROUND(IFERROR(AZ120/_xlfn.XLOOKUP(CF$7,'Product Tgt'!$B:$B,'Product Tgt'!$D:$D),0),0)</f>
        <v>0</v>
      </c>
      <c r="CG120" s="11">
        <f>ROUND(IFERROR(BA120/_xlfn.XLOOKUP(CG$7,'Product Tgt'!$B:$B,'Product Tgt'!$D:$D),0),0)</f>
        <v>0</v>
      </c>
      <c r="CH120" s="11">
        <f>ROUND(IFERROR(BB120/_xlfn.XLOOKUP(CH$7,'Product Tgt'!$B:$B,'Product Tgt'!$D:$D),0),0)</f>
        <v>0</v>
      </c>
      <c r="CI120" s="11">
        <f>ROUND(IFERROR(BC120/_xlfn.XLOOKUP(CI$7,'Product Tgt'!$B:$B,'Product Tgt'!$D:$D),0),0)</f>
        <v>0</v>
      </c>
      <c r="CJ120" s="11">
        <f>ROUND(IFERROR(BD120/_xlfn.XLOOKUP(CJ$7,'Product Tgt'!$B:$B,'Product Tgt'!$D:$D),0),0)</f>
        <v>0</v>
      </c>
      <c r="CK120" s="11">
        <f>ROUND(IFERROR(BE120/_xlfn.XLOOKUP(CK$7,'Product Tgt'!$B:$B,'Product Tgt'!$D:$D),0),0)</f>
        <v>0</v>
      </c>
      <c r="CL120" s="11">
        <f>ROUND(IFERROR(BF120/_xlfn.XLOOKUP(CL$7,'Product Tgt'!$B:$B,'Product Tgt'!$D:$D),0),0)</f>
        <v>0</v>
      </c>
      <c r="CM120" s="11">
        <f>ROUND(IFERROR(BG120/_xlfn.XLOOKUP(CM$7,'Product Tgt'!$B:$B,'Product Tgt'!$D:$D),0),0)</f>
        <v>0</v>
      </c>
      <c r="CN120" s="11">
        <f>ROUND(IFERROR(BH120/_xlfn.XLOOKUP(CN$7,'Product Tgt'!$B:$B,'Product Tgt'!$D:$D),0),0)</f>
        <v>0</v>
      </c>
      <c r="CO120" s="11">
        <f>ROUND(IFERROR(BI120/_xlfn.XLOOKUP(CO$7,'Product Tgt'!$B:$B,'Product Tgt'!$D:$D),0),0)</f>
        <v>0</v>
      </c>
      <c r="CP120" s="11">
        <f>ROUND(IFERROR(BJ120/_xlfn.XLOOKUP(CP$7,'Product Tgt'!$B:$B,'Product Tgt'!$D:$D),0),0)</f>
        <v>0</v>
      </c>
      <c r="CQ120" s="11">
        <f>ROUND(IFERROR(BK120/_xlfn.XLOOKUP(CQ$7,'Product Tgt'!$B:$B,'Product Tgt'!$D:$D),0),0)</f>
        <v>0</v>
      </c>
      <c r="CR120" s="11">
        <f>ROUND(IFERROR(BL120/_xlfn.XLOOKUP(CR$7,'Product Tgt'!$B:$B,'Product Tgt'!$D:$D),0),0)</f>
        <v>0</v>
      </c>
      <c r="CS120" s="11">
        <f>ROUND(IFERROR(BM120/_xlfn.XLOOKUP(CS$7,'Product Tgt'!$B:$B,'Product Tgt'!$D:$D),0),0)</f>
        <v>0</v>
      </c>
      <c r="CT120" s="11">
        <f>ROUND(IFERROR(BN120/_xlfn.XLOOKUP(CT$7,'Product Tgt'!$B:$B,'Product Tgt'!$D:$D),0),0)</f>
        <v>0</v>
      </c>
      <c r="CU120" s="11">
        <f>ROUND(IFERROR(BO120/_xlfn.XLOOKUP(CU$7,'Product Tgt'!$B:$B,'Product Tgt'!$D:$D),0),0)</f>
        <v>0</v>
      </c>
      <c r="CV120" s="11">
        <f>ROUND(IFERROR(BP120/_xlfn.XLOOKUP(CV$7,'Product Tgt'!$B:$B,'Product Tgt'!$D:$D),0),0)</f>
        <v>0</v>
      </c>
      <c r="CW120" s="11">
        <f>ROUND(IFERROR(BQ120/_xlfn.XLOOKUP(CW$7,'Product Tgt'!$B:$B,'Product Tgt'!$D:$D),0),0)</f>
        <v>0</v>
      </c>
      <c r="CX120" s="11">
        <f>ROUND(IFERROR(#REF!/_xlfn.XLOOKUP(CX$7,'Product Tgt'!$B:$B,'Product Tgt'!$D:$D),0),0)</f>
        <v>0</v>
      </c>
      <c r="CY120" s="11">
        <f>ROUND(IFERROR(#REF!/_xlfn.XLOOKUP(CY$7,'Product Tgt'!$B:$B,'Product Tgt'!$D:$D),0),0)</f>
        <v>0</v>
      </c>
      <c r="CZ120" s="11">
        <f>ROUND(IFERROR(#REF!/_xlfn.XLOOKUP(CZ$7,'Product Tgt'!$B:$B,'Product Tgt'!$D:$D),0),0)</f>
        <v>0</v>
      </c>
      <c r="DA120" s="10">
        <f>IFERROR(BR120*_xlfn.XLOOKUP(DA$7,'Product Tgt'!$B:$B,'Product Tgt'!$D:$D),0)</f>
        <v>0</v>
      </c>
      <c r="DB120">
        <f>IFERROR(BS120*_xlfn.XLOOKUP(DB$7,'Product Tgt'!$B:$B,'Product Tgt'!$D:$D),0)</f>
        <v>0</v>
      </c>
      <c r="DC120">
        <f>IFERROR(BT120*_xlfn.XLOOKUP(DC$7,'Product Tgt'!$B:$B,'Product Tgt'!$D:$D),0)</f>
        <v>0</v>
      </c>
      <c r="DD120">
        <f>IFERROR(BU120*_xlfn.XLOOKUP(DD$7,'Product Tgt'!$B:$B,'Product Tgt'!$D:$D),0)</f>
        <v>0</v>
      </c>
      <c r="DE120">
        <f>IFERROR(BV120*_xlfn.XLOOKUP(DE$7,'Product Tgt'!$B:$B,'Product Tgt'!$D:$D),0)</f>
        <v>0</v>
      </c>
      <c r="DF120">
        <f>IFERROR(BW120*_xlfn.XLOOKUP(DF$7,'Product Tgt'!$B:$B,'Product Tgt'!$D:$D),0)</f>
        <v>0</v>
      </c>
      <c r="DG120">
        <f>IFERROR(BX120*_xlfn.XLOOKUP(DG$7,'Product Tgt'!$B:$B,'Product Tgt'!$D:$D),0)</f>
        <v>0</v>
      </c>
      <c r="DH120">
        <f>IFERROR(BY120*_xlfn.XLOOKUP(DH$7,'Product Tgt'!$B:$B,'Product Tgt'!$D:$D),0)</f>
        <v>0</v>
      </c>
      <c r="DI120">
        <f>IFERROR(BZ120*_xlfn.XLOOKUP(DI$7,'Product Tgt'!$B:$B,'Product Tgt'!$D:$D),0)</f>
        <v>0</v>
      </c>
      <c r="DJ120">
        <f>IFERROR(CA120*_xlfn.XLOOKUP(DJ$7,'Product Tgt'!$B:$B,'Product Tgt'!$D:$D),0)</f>
        <v>0</v>
      </c>
      <c r="DK120">
        <f>IFERROR(CB120*_xlfn.XLOOKUP(DK$7,'Product Tgt'!$B:$B,'Product Tgt'!$D:$D),0)</f>
        <v>0</v>
      </c>
      <c r="DL120">
        <f>IFERROR(CC120*_xlfn.XLOOKUP(DL$7,'Product Tgt'!$B:$B,'Product Tgt'!$D:$D),0)</f>
        <v>0</v>
      </c>
      <c r="DM120">
        <f>IFERROR(CD120*_xlfn.XLOOKUP(DM$7,'Product Tgt'!$B:$B,'Product Tgt'!$D:$D),0)</f>
        <v>0</v>
      </c>
      <c r="DN120">
        <f>IFERROR(CE120*_xlfn.XLOOKUP(DN$7,'Product Tgt'!$B:$B,'Product Tgt'!$D:$D),0)</f>
        <v>0</v>
      </c>
      <c r="DO120">
        <f>IFERROR(CF120*_xlfn.XLOOKUP(DO$7,'Product Tgt'!$B:$B,'Product Tgt'!$D:$D),0)</f>
        <v>0</v>
      </c>
      <c r="DP120">
        <f>IFERROR(CG120*_xlfn.XLOOKUP(DP$7,'Product Tgt'!$B:$B,'Product Tgt'!$D:$D),0)</f>
        <v>0</v>
      </c>
      <c r="DQ120">
        <f>IFERROR(CH120*_xlfn.XLOOKUP(DQ$7,'Product Tgt'!$B:$B,'Product Tgt'!$D:$D),0)</f>
        <v>0</v>
      </c>
      <c r="DR120">
        <f>IFERROR(CI120*_xlfn.XLOOKUP(DR$7,'Product Tgt'!$B:$B,'Product Tgt'!$D:$D),0)</f>
        <v>0</v>
      </c>
      <c r="DS120">
        <f>IFERROR(CJ120*_xlfn.XLOOKUP(DS$7,'Product Tgt'!$B:$B,'Product Tgt'!$D:$D),0)</f>
        <v>0</v>
      </c>
      <c r="DT120">
        <f>IFERROR(CK120*_xlfn.XLOOKUP(DT$7,'Product Tgt'!$B:$B,'Product Tgt'!$D:$D),0)</f>
        <v>0</v>
      </c>
      <c r="DU120">
        <f>IFERROR(CL120*_xlfn.XLOOKUP(DU$7,'Product Tgt'!$B:$B,'Product Tgt'!$D:$D),0)</f>
        <v>0</v>
      </c>
      <c r="DV120">
        <f>IFERROR(CM120*_xlfn.XLOOKUP(DV$7,'Product Tgt'!$B:$B,'Product Tgt'!$D:$D),0)</f>
        <v>0</v>
      </c>
      <c r="DW120">
        <f>IFERROR(CN120*_xlfn.XLOOKUP(DW$7,'Product Tgt'!$B:$B,'Product Tgt'!$D:$D),0)</f>
        <v>0</v>
      </c>
      <c r="DX120">
        <f>IFERROR(CO120*_xlfn.XLOOKUP(DX$7,'Product Tgt'!$B:$B,'Product Tgt'!$D:$D),0)</f>
        <v>0</v>
      </c>
      <c r="DY120">
        <f>IFERROR(CP120*_xlfn.XLOOKUP(DY$7,'Product Tgt'!$B:$B,'Product Tgt'!$D:$D),0)</f>
        <v>0</v>
      </c>
      <c r="DZ120">
        <f>IFERROR(CQ120*_xlfn.XLOOKUP(DZ$7,'Product Tgt'!$B:$B,'Product Tgt'!$D:$D),0)</f>
        <v>0</v>
      </c>
      <c r="EA120">
        <f>IFERROR(CR120*_xlfn.XLOOKUP(EA$7,'Product Tgt'!$B:$B,'Product Tgt'!$D:$D),0)</f>
        <v>0</v>
      </c>
      <c r="EB120">
        <f>IFERROR(CS120*_xlfn.XLOOKUP(EB$7,'Product Tgt'!$B:$B,'Product Tgt'!$D:$D),0)</f>
        <v>0</v>
      </c>
      <c r="EC120">
        <f>IFERROR(CT120*_xlfn.XLOOKUP(EC$7,'Product Tgt'!$B:$B,'Product Tgt'!$D:$D),0)</f>
        <v>0</v>
      </c>
      <c r="ED120">
        <f>IFERROR(CU120*_xlfn.XLOOKUP(ED$7,'Product Tgt'!$B:$B,'Product Tgt'!$D:$D),0)</f>
        <v>0</v>
      </c>
      <c r="EE120">
        <f>IFERROR(CV120*_xlfn.XLOOKUP(EE$7,'Product Tgt'!$B:$B,'Product Tgt'!$D:$D),0)</f>
        <v>0</v>
      </c>
      <c r="EF120">
        <f>IFERROR(CW120*_xlfn.XLOOKUP(EF$7,'Product Tgt'!$B:$B,'Product Tgt'!$D:$D),0)</f>
        <v>0</v>
      </c>
      <c r="EG120">
        <f>IFERROR(CX120*_xlfn.XLOOKUP(EG$7,'Product Tgt'!$B:$B,'Product Tgt'!$D:$D),0)</f>
        <v>0</v>
      </c>
      <c r="EH120">
        <f>IFERROR(CY120*_xlfn.XLOOKUP(EH$7,'Product Tgt'!$B:$B,'Product Tgt'!$D:$D),0)</f>
        <v>0</v>
      </c>
      <c r="EI120">
        <f>IFERROR(CZ120*_xlfn.XLOOKUP(EI$7,'Product Tgt'!$B:$B,'Product Tgt'!$D:$D),0)</f>
        <v>0</v>
      </c>
    </row>
    <row r="121" spans="2:139" ht="15" thickBot="1" x14ac:dyDescent="0.4">
      <c r="C121" s="47">
        <f>SUM(C8:C120)</f>
        <v>50915411.376507923</v>
      </c>
      <c r="D121" s="47">
        <f>SUM(D8:D120)</f>
        <v>50915407</v>
      </c>
      <c r="E121" s="47">
        <f>SUM(E8:E120)</f>
        <v>-4.376507926688646</v>
      </c>
      <c r="F121" s="9">
        <f>ABS(E121)/C121</f>
        <v>8.5956448320241627E-8</v>
      </c>
      <c r="G121" s="5"/>
      <c r="H121" s="44">
        <f t="shared" ref="H121:AL121" si="16">SUM(H8:H120)</f>
        <v>4978854.0801895941</v>
      </c>
      <c r="I121" s="45">
        <f t="shared" si="16"/>
        <v>9824167.8270733785</v>
      </c>
      <c r="J121" s="45">
        <f t="shared" si="16"/>
        <v>4839213.0637667552</v>
      </c>
      <c r="K121" s="45">
        <f t="shared" si="16"/>
        <v>5365118.1068515982</v>
      </c>
      <c r="L121" s="45">
        <f t="shared" si="16"/>
        <v>4778318.568825854</v>
      </c>
      <c r="M121" s="45">
        <f t="shared" si="16"/>
        <v>3561262.0311284149</v>
      </c>
      <c r="N121" s="45">
        <f t="shared" si="16"/>
        <v>65992.321658232482</v>
      </c>
      <c r="O121" s="45">
        <f t="shared" si="16"/>
        <v>502287.13913759374</v>
      </c>
      <c r="P121" s="45">
        <f t="shared" si="16"/>
        <v>179858.20361297909</v>
      </c>
      <c r="Q121" s="45">
        <f t="shared" si="16"/>
        <v>123851.27261583786</v>
      </c>
      <c r="R121" s="45">
        <f t="shared" si="16"/>
        <v>1213544.5468368102</v>
      </c>
      <c r="S121" s="45">
        <f t="shared" si="16"/>
        <v>2334582.9044413818</v>
      </c>
      <c r="T121" s="45">
        <f t="shared" si="16"/>
        <v>160768.56914146824</v>
      </c>
      <c r="U121" s="45">
        <f t="shared" si="16"/>
        <v>450865.79159818648</v>
      </c>
      <c r="V121" s="45">
        <f t="shared" si="16"/>
        <v>2110570.3613451989</v>
      </c>
      <c r="W121" s="45">
        <f t="shared" si="16"/>
        <v>2814299.1784181176</v>
      </c>
      <c r="X121" s="45">
        <f t="shared" si="16"/>
        <v>402409.95734931831</v>
      </c>
      <c r="Y121" s="45">
        <f t="shared" si="16"/>
        <v>473010.59114899836</v>
      </c>
      <c r="Z121" s="45">
        <f t="shared" si="16"/>
        <v>40543.158013565684</v>
      </c>
      <c r="AA121" s="45">
        <f t="shared" si="16"/>
        <v>880795.21200325538</v>
      </c>
      <c r="AB121" s="45">
        <f t="shared" si="16"/>
        <v>311652.93725766457</v>
      </c>
      <c r="AC121" s="45">
        <f t="shared" si="16"/>
        <v>208194.1568656335</v>
      </c>
      <c r="AD121" s="45">
        <f t="shared" si="16"/>
        <v>972051.74009953788</v>
      </c>
      <c r="AE121" s="45">
        <f t="shared" si="16"/>
        <v>1463577.8257900309</v>
      </c>
      <c r="AF121" s="45">
        <f t="shared" si="16"/>
        <v>194742.21706529168</v>
      </c>
      <c r="AG121" s="45">
        <f t="shared" si="16"/>
        <v>2131762.9828898227</v>
      </c>
      <c r="AH121" s="45">
        <f t="shared" si="16"/>
        <v>189686.31218945453</v>
      </c>
      <c r="AI121" s="45">
        <f t="shared" si="16"/>
        <v>1121985.3324141917</v>
      </c>
      <c r="AJ121" s="45">
        <f t="shared" si="16"/>
        <v>1081061.869192611</v>
      </c>
      <c r="AK121" s="45">
        <f t="shared" si="16"/>
        <v>203446.56730620118</v>
      </c>
      <c r="AL121" s="46">
        <f t="shared" si="16"/>
        <v>299589.63576371042</v>
      </c>
    </row>
    <row r="122" spans="2:139" x14ac:dyDescent="0.35">
      <c r="C122" s="3"/>
      <c r="D122" s="3"/>
      <c r="E122" s="4"/>
      <c r="F122" s="5"/>
      <c r="G122" s="5"/>
    </row>
    <row r="123" spans="2:139" x14ac:dyDescent="0.35">
      <c r="C123" s="3"/>
      <c r="D123" s="3"/>
      <c r="E123" s="4"/>
      <c r="F123" s="5"/>
      <c r="G123" s="5"/>
    </row>
    <row r="124" spans="2:139" x14ac:dyDescent="0.35">
      <c r="C124" s="3"/>
      <c r="D124" s="3"/>
      <c r="E124" s="4"/>
      <c r="F124" s="5"/>
      <c r="G124" s="5"/>
    </row>
    <row r="125" spans="2:139" x14ac:dyDescent="0.35">
      <c r="C125" s="3"/>
      <c r="D125" s="3"/>
      <c r="E125" s="4"/>
      <c r="F125" s="5"/>
      <c r="G125" s="5"/>
    </row>
    <row r="126" spans="2:139" x14ac:dyDescent="0.35">
      <c r="C126" s="3"/>
      <c r="D126" s="3"/>
      <c r="E126" s="4"/>
      <c r="F126" s="5"/>
      <c r="G126" s="5"/>
    </row>
    <row r="127" spans="2:139" x14ac:dyDescent="0.35">
      <c r="C127" s="3"/>
      <c r="D127" s="3"/>
      <c r="E127" s="4"/>
      <c r="F127" s="5"/>
      <c r="G127" s="5"/>
    </row>
    <row r="128" spans="2:139" x14ac:dyDescent="0.35">
      <c r="C128" s="3"/>
      <c r="D128" s="3"/>
      <c r="E128" s="4"/>
      <c r="F128" s="5"/>
      <c r="G128" s="5"/>
    </row>
    <row r="129" spans="3:7" x14ac:dyDescent="0.35">
      <c r="C129" s="3"/>
      <c r="D129" s="3"/>
      <c r="E129" s="4"/>
      <c r="F129" s="5"/>
      <c r="G129" s="5"/>
    </row>
    <row r="130" spans="3:7" x14ac:dyDescent="0.35">
      <c r="C130" s="3"/>
      <c r="D130" s="3"/>
      <c r="E130" s="4"/>
      <c r="F130" s="5"/>
      <c r="G130" s="5"/>
    </row>
    <row r="131" spans="3:7" x14ac:dyDescent="0.35">
      <c r="C131" s="3"/>
      <c r="D131" s="3"/>
      <c r="E131" s="4"/>
      <c r="F131" s="5"/>
      <c r="G131" s="5"/>
    </row>
    <row r="132" spans="3:7" x14ac:dyDescent="0.35">
      <c r="C132" s="3"/>
      <c r="D132" s="3"/>
      <c r="E132" s="4"/>
      <c r="F132" s="5"/>
      <c r="G132" s="5"/>
    </row>
    <row r="133" spans="3:7" x14ac:dyDescent="0.35">
      <c r="C133" s="3"/>
      <c r="D133" s="3"/>
      <c r="E133" s="4"/>
      <c r="F133" s="5"/>
      <c r="G133" s="5"/>
    </row>
    <row r="134" spans="3:7" x14ac:dyDescent="0.35">
      <c r="C134" s="3"/>
      <c r="D134" s="3"/>
      <c r="E134" s="4"/>
      <c r="F134" s="5"/>
      <c r="G134" s="5"/>
    </row>
    <row r="135" spans="3:7" x14ac:dyDescent="0.35">
      <c r="C135" s="3"/>
      <c r="D135" s="3"/>
      <c r="E135" s="4"/>
      <c r="F135" s="5"/>
      <c r="G135" s="5"/>
    </row>
    <row r="136" spans="3:7" x14ac:dyDescent="0.35">
      <c r="C136" s="3"/>
      <c r="D136" s="3"/>
      <c r="E136" s="4"/>
      <c r="F136" s="5"/>
      <c r="G136" s="5"/>
    </row>
    <row r="137" spans="3:7" x14ac:dyDescent="0.35">
      <c r="C137" s="3"/>
      <c r="D137" s="3"/>
      <c r="E137" s="4"/>
      <c r="F137" s="5"/>
      <c r="G137" s="5"/>
    </row>
    <row r="138" spans="3:7" x14ac:dyDescent="0.35">
      <c r="C138" s="3"/>
      <c r="D138" s="3"/>
      <c r="E138" s="4"/>
      <c r="F138" s="5"/>
      <c r="G138" s="5"/>
    </row>
    <row r="139" spans="3:7" x14ac:dyDescent="0.35">
      <c r="C139" s="3"/>
      <c r="D139" s="3"/>
      <c r="E139" s="4"/>
      <c r="F139" s="5"/>
      <c r="G139" s="5"/>
    </row>
    <row r="140" spans="3:7" x14ac:dyDescent="0.35">
      <c r="C140" s="3"/>
      <c r="D140" s="3"/>
      <c r="E140" s="4"/>
      <c r="F140" s="5"/>
      <c r="G140" s="5"/>
    </row>
    <row r="141" spans="3:7" x14ac:dyDescent="0.35">
      <c r="C141" s="3"/>
      <c r="D141" s="3"/>
      <c r="E141" s="4"/>
      <c r="F141" s="5"/>
      <c r="G141" s="5"/>
    </row>
    <row r="142" spans="3:7" x14ac:dyDescent="0.35">
      <c r="C142" s="3"/>
      <c r="D142" s="3"/>
      <c r="E142" s="4"/>
      <c r="F142" s="5"/>
      <c r="G142" s="5"/>
    </row>
    <row r="143" spans="3:7" x14ac:dyDescent="0.35">
      <c r="C143" s="3"/>
      <c r="D143" s="3"/>
      <c r="E143" s="4"/>
      <c r="F143" s="5"/>
      <c r="G143" s="5"/>
    </row>
    <row r="144" spans="3:7" x14ac:dyDescent="0.35">
      <c r="C144" s="3"/>
      <c r="D144" s="3"/>
      <c r="E144" s="4"/>
      <c r="F144" s="5"/>
      <c r="G144" s="5"/>
    </row>
    <row r="145" spans="3:7" x14ac:dyDescent="0.35">
      <c r="C145" s="3"/>
      <c r="D145" s="3"/>
      <c r="E145" s="4"/>
      <c r="F145" s="5"/>
      <c r="G145" s="5"/>
    </row>
    <row r="146" spans="3:7" x14ac:dyDescent="0.35">
      <c r="C146" s="3"/>
      <c r="D146" s="3"/>
      <c r="E146" s="4"/>
      <c r="F146" s="5"/>
      <c r="G146" s="5"/>
    </row>
    <row r="147" spans="3:7" x14ac:dyDescent="0.35">
      <c r="C147" s="3"/>
      <c r="D147" s="3"/>
      <c r="E147" s="4"/>
      <c r="F147" s="5"/>
      <c r="G147" s="5"/>
    </row>
    <row r="148" spans="3:7" x14ac:dyDescent="0.35">
      <c r="C148" s="3"/>
      <c r="D148" s="3"/>
      <c r="E148" s="4"/>
      <c r="F148" s="5"/>
      <c r="G148" s="5"/>
    </row>
    <row r="149" spans="3:7" x14ac:dyDescent="0.35">
      <c r="C149" s="3"/>
      <c r="D149" s="3"/>
      <c r="E149" s="4"/>
      <c r="F149" s="5"/>
      <c r="G149" s="5"/>
    </row>
    <row r="150" spans="3:7" x14ac:dyDescent="0.35">
      <c r="C150" s="3"/>
      <c r="D150" s="3"/>
      <c r="E150" s="4"/>
      <c r="F150" s="5"/>
      <c r="G150" s="5"/>
    </row>
    <row r="151" spans="3:7" x14ac:dyDescent="0.35">
      <c r="C151" s="3"/>
      <c r="D151" s="3"/>
      <c r="E151" s="4"/>
      <c r="F151" s="5"/>
      <c r="G151" s="5"/>
    </row>
    <row r="152" spans="3:7" x14ac:dyDescent="0.35">
      <c r="C152" s="3"/>
      <c r="D152" s="3"/>
      <c r="E152" s="4"/>
      <c r="F152" s="5"/>
      <c r="G152" s="5"/>
    </row>
    <row r="153" spans="3:7" x14ac:dyDescent="0.35">
      <c r="C153" s="3"/>
      <c r="D153" s="3"/>
      <c r="E153" s="4"/>
      <c r="F153" s="5"/>
      <c r="G153" s="5"/>
    </row>
    <row r="154" spans="3:7" x14ac:dyDescent="0.35">
      <c r="C154" s="3"/>
      <c r="D154" s="3"/>
      <c r="E154" s="4"/>
      <c r="F154" s="5"/>
      <c r="G154" s="5"/>
    </row>
    <row r="155" spans="3:7" x14ac:dyDescent="0.35">
      <c r="C155" s="3"/>
      <c r="D155" s="3"/>
      <c r="E155" s="4"/>
      <c r="F155" s="5"/>
      <c r="G155" s="5"/>
    </row>
    <row r="156" spans="3:7" x14ac:dyDescent="0.35">
      <c r="C156" s="3"/>
      <c r="D156" s="3"/>
      <c r="E156" s="4"/>
      <c r="F156" s="5"/>
      <c r="G156" s="5"/>
    </row>
    <row r="157" spans="3:7" x14ac:dyDescent="0.35">
      <c r="C157" s="3"/>
      <c r="D157" s="3"/>
      <c r="E157" s="4"/>
      <c r="F157" s="5"/>
      <c r="G157" s="5"/>
    </row>
    <row r="158" spans="3:7" x14ac:dyDescent="0.35">
      <c r="C158" s="3"/>
      <c r="D158" s="3"/>
      <c r="E158" s="4"/>
      <c r="F158" s="5"/>
      <c r="G158" s="5"/>
    </row>
    <row r="159" spans="3:7" x14ac:dyDescent="0.35">
      <c r="C159" s="3"/>
      <c r="D159" s="3"/>
      <c r="E159" s="4"/>
      <c r="F159" s="5"/>
      <c r="G159" s="5"/>
    </row>
    <row r="160" spans="3:7" x14ac:dyDescent="0.35">
      <c r="C160" s="3"/>
      <c r="D160" s="3"/>
      <c r="E160" s="4"/>
      <c r="F160" s="5"/>
      <c r="G160" s="5"/>
    </row>
    <row r="161" spans="3:7" x14ac:dyDescent="0.35">
      <c r="C161" s="3"/>
      <c r="D161" s="3"/>
      <c r="E161" s="4"/>
      <c r="F161" s="5"/>
      <c r="G161" s="5"/>
    </row>
    <row r="162" spans="3:7" x14ac:dyDescent="0.35">
      <c r="C162" s="3"/>
      <c r="D162" s="3"/>
      <c r="E162" s="4"/>
      <c r="F162" s="5"/>
      <c r="G162" s="5"/>
    </row>
    <row r="163" spans="3:7" x14ac:dyDescent="0.35">
      <c r="C163" s="3"/>
      <c r="D163" s="3"/>
      <c r="E163" s="4"/>
      <c r="F163" s="5"/>
      <c r="G163" s="5"/>
    </row>
    <row r="164" spans="3:7" x14ac:dyDescent="0.35">
      <c r="C164" s="3"/>
      <c r="D164" s="3"/>
      <c r="E164" s="4"/>
      <c r="F164" s="5"/>
      <c r="G164" s="5"/>
    </row>
    <row r="165" spans="3:7" x14ac:dyDescent="0.35">
      <c r="C165" s="3"/>
      <c r="D165" s="3"/>
      <c r="E165" s="4"/>
      <c r="F165" s="5"/>
      <c r="G165" s="5"/>
    </row>
    <row r="166" spans="3:7" x14ac:dyDescent="0.35">
      <c r="C166" s="3"/>
      <c r="D166" s="3"/>
      <c r="E166" s="4"/>
      <c r="F166" s="5"/>
      <c r="G166" s="5"/>
    </row>
    <row r="167" spans="3:7" x14ac:dyDescent="0.35">
      <c r="C167" s="3"/>
      <c r="D167" s="3"/>
      <c r="E167" s="4"/>
      <c r="F167" s="5"/>
      <c r="G167" s="5"/>
    </row>
    <row r="168" spans="3:7" x14ac:dyDescent="0.35">
      <c r="C168" s="3"/>
      <c r="D168" s="3"/>
      <c r="E168" s="4"/>
      <c r="F168" s="5"/>
      <c r="G168" s="5"/>
    </row>
    <row r="169" spans="3:7" x14ac:dyDescent="0.35">
      <c r="C169" s="3"/>
      <c r="D169" s="3"/>
      <c r="E169" s="4"/>
      <c r="F169" s="5"/>
      <c r="G169" s="5"/>
    </row>
    <row r="170" spans="3:7" x14ac:dyDescent="0.35">
      <c r="C170" s="3"/>
      <c r="D170" s="3"/>
      <c r="E170" s="4"/>
      <c r="F170" s="5"/>
      <c r="G170" s="5"/>
    </row>
    <row r="171" spans="3:7" x14ac:dyDescent="0.35">
      <c r="C171" s="3"/>
      <c r="D171" s="3"/>
      <c r="E171" s="4"/>
      <c r="F171" s="5"/>
      <c r="G171" s="5"/>
    </row>
    <row r="172" spans="3:7" x14ac:dyDescent="0.35">
      <c r="C172" s="3"/>
      <c r="D172" s="3"/>
      <c r="E172" s="4"/>
      <c r="F172" s="5"/>
      <c r="G172" s="5"/>
    </row>
    <row r="173" spans="3:7" x14ac:dyDescent="0.35">
      <c r="C173" s="3"/>
      <c r="D173" s="3"/>
      <c r="E173" s="4"/>
      <c r="F173" s="5"/>
      <c r="G173" s="5"/>
    </row>
    <row r="174" spans="3:7" x14ac:dyDescent="0.35">
      <c r="C174" s="3"/>
      <c r="D174" s="3"/>
      <c r="E174" s="4"/>
      <c r="F174" s="5"/>
      <c r="G174" s="5"/>
    </row>
    <row r="175" spans="3:7" x14ac:dyDescent="0.35">
      <c r="C175" s="3"/>
      <c r="D175" s="3"/>
      <c r="E175" s="4"/>
      <c r="F175" s="5"/>
      <c r="G175" s="5"/>
    </row>
    <row r="176" spans="3:7" x14ac:dyDescent="0.35">
      <c r="C176" s="3"/>
      <c r="D176" s="3"/>
      <c r="E176" s="4"/>
      <c r="F176" s="5"/>
      <c r="G176" s="5"/>
    </row>
    <row r="177" spans="3:7" x14ac:dyDescent="0.35">
      <c r="C177" s="3"/>
      <c r="D177" s="3"/>
      <c r="E177" s="4"/>
      <c r="F177" s="5"/>
      <c r="G177" s="5"/>
    </row>
    <row r="178" spans="3:7" x14ac:dyDescent="0.35">
      <c r="C178" s="3"/>
      <c r="D178" s="3"/>
      <c r="E178" s="4"/>
      <c r="F178" s="5"/>
      <c r="G178" s="5"/>
    </row>
    <row r="179" spans="3:7" x14ac:dyDescent="0.35">
      <c r="C179" s="3"/>
      <c r="D179" s="3"/>
      <c r="E179" s="4"/>
      <c r="F179" s="5"/>
      <c r="G179" s="5"/>
    </row>
    <row r="180" spans="3:7" x14ac:dyDescent="0.35">
      <c r="C180" s="3"/>
      <c r="D180" s="3"/>
      <c r="E180" s="4"/>
      <c r="F180" s="5"/>
      <c r="G180" s="5"/>
    </row>
    <row r="181" spans="3:7" x14ac:dyDescent="0.35">
      <c r="C181" s="3"/>
      <c r="D181" s="3"/>
      <c r="E181" s="4"/>
      <c r="F181" s="5"/>
      <c r="G181" s="5"/>
    </row>
    <row r="182" spans="3:7" x14ac:dyDescent="0.35">
      <c r="C182" s="3"/>
      <c r="D182" s="3"/>
      <c r="E182" s="4"/>
      <c r="F182" s="5"/>
      <c r="G182" s="5"/>
    </row>
    <row r="183" spans="3:7" x14ac:dyDescent="0.35">
      <c r="C183" s="3"/>
      <c r="D183" s="3"/>
      <c r="E183" s="4"/>
      <c r="F183" s="5"/>
      <c r="G183" s="5"/>
    </row>
    <row r="184" spans="3:7" x14ac:dyDescent="0.35">
      <c r="C184" s="3"/>
      <c r="D184" s="3"/>
      <c r="E184" s="4"/>
      <c r="F184" s="5"/>
      <c r="G184" s="5"/>
    </row>
    <row r="185" spans="3:7" x14ac:dyDescent="0.35">
      <c r="C185" s="3"/>
      <c r="D185" s="3"/>
      <c r="E185" s="4"/>
      <c r="F185" s="5"/>
      <c r="G185" s="5"/>
    </row>
    <row r="186" spans="3:7" x14ac:dyDescent="0.35">
      <c r="C186" s="3"/>
      <c r="D186" s="3"/>
      <c r="E186" s="4"/>
      <c r="F186" s="5"/>
      <c r="G186" s="5"/>
    </row>
    <row r="187" spans="3:7" x14ac:dyDescent="0.35">
      <c r="C187" s="3"/>
      <c r="D187" s="3"/>
      <c r="E187" s="4"/>
      <c r="F187" s="5"/>
      <c r="G187" s="5"/>
    </row>
    <row r="188" spans="3:7" x14ac:dyDescent="0.35">
      <c r="C188" s="3"/>
      <c r="D188" s="3"/>
      <c r="E188" s="4"/>
      <c r="F188" s="5"/>
      <c r="G188" s="5"/>
    </row>
    <row r="189" spans="3:7" x14ac:dyDescent="0.35">
      <c r="C189" s="3"/>
      <c r="D189" s="3"/>
      <c r="E189" s="4"/>
      <c r="F189" s="5"/>
      <c r="G189" s="5"/>
    </row>
    <row r="190" spans="3:7" x14ac:dyDescent="0.35">
      <c r="C190" s="3"/>
      <c r="D190" s="3"/>
      <c r="E190" s="4"/>
      <c r="F190" s="5"/>
      <c r="G190" s="5"/>
    </row>
    <row r="191" spans="3:7" x14ac:dyDescent="0.35">
      <c r="C191" s="3"/>
      <c r="D191" s="3"/>
      <c r="E191" s="4"/>
      <c r="F191" s="5"/>
      <c r="G191" s="5"/>
    </row>
    <row r="192" spans="3:7" x14ac:dyDescent="0.35">
      <c r="C192" s="3"/>
      <c r="D192" s="3"/>
      <c r="E192" s="4"/>
      <c r="F192" s="5"/>
      <c r="G192" s="5"/>
    </row>
    <row r="193" spans="3:7" x14ac:dyDescent="0.35">
      <c r="C193" s="3"/>
      <c r="D193" s="3"/>
      <c r="E193" s="4"/>
      <c r="F193" s="5"/>
      <c r="G193" s="5"/>
    </row>
    <row r="194" spans="3:7" x14ac:dyDescent="0.35">
      <c r="C194" s="3"/>
      <c r="D194" s="3"/>
      <c r="E194" s="4"/>
      <c r="F194" s="5"/>
      <c r="G194" s="5"/>
    </row>
    <row r="195" spans="3:7" x14ac:dyDescent="0.35">
      <c r="C195" s="3"/>
      <c r="D195" s="3"/>
      <c r="E195" s="4"/>
      <c r="F195" s="5"/>
      <c r="G195" s="5"/>
    </row>
    <row r="196" spans="3:7" x14ac:dyDescent="0.35">
      <c r="C196" s="3"/>
      <c r="D196" s="3"/>
      <c r="E196" s="4"/>
      <c r="F196" s="5"/>
      <c r="G196" s="5"/>
    </row>
    <row r="197" spans="3:7" x14ac:dyDescent="0.35">
      <c r="C197" s="3"/>
      <c r="D197" s="3"/>
      <c r="E197" s="4"/>
      <c r="F197" s="5"/>
      <c r="G197" s="5"/>
    </row>
    <row r="198" spans="3:7" x14ac:dyDescent="0.35">
      <c r="C198" s="3"/>
      <c r="D198" s="3"/>
      <c r="E198" s="4"/>
      <c r="F198" s="5"/>
      <c r="G198" s="5"/>
    </row>
    <row r="199" spans="3:7" x14ac:dyDescent="0.35">
      <c r="C199" s="3"/>
      <c r="D199" s="3"/>
      <c r="E199" s="4"/>
      <c r="F199" s="5"/>
      <c r="G199" s="5"/>
    </row>
    <row r="200" spans="3:7" x14ac:dyDescent="0.35">
      <c r="C200" s="3"/>
      <c r="D200" s="3"/>
      <c r="E200" s="4"/>
      <c r="F200" s="5"/>
      <c r="G200" s="5"/>
    </row>
    <row r="201" spans="3:7" x14ac:dyDescent="0.35">
      <c r="C201" s="3"/>
      <c r="D201" s="3"/>
      <c r="E201" s="4"/>
      <c r="F201" s="5"/>
      <c r="G201" s="5"/>
    </row>
    <row r="202" spans="3:7" x14ac:dyDescent="0.35">
      <c r="C202" s="3"/>
      <c r="D202" s="3"/>
      <c r="E202" s="4"/>
      <c r="F202" s="5"/>
      <c r="G202" s="5"/>
    </row>
    <row r="203" spans="3:7" x14ac:dyDescent="0.35">
      <c r="C203" s="3"/>
      <c r="D203" s="3"/>
      <c r="E203" s="4"/>
      <c r="F203" s="5"/>
      <c r="G203" s="5"/>
    </row>
    <row r="204" spans="3:7" x14ac:dyDescent="0.35">
      <c r="C204" s="3"/>
      <c r="D204" s="3"/>
      <c r="E204" s="4"/>
      <c r="F204" s="5"/>
      <c r="G204" s="5"/>
    </row>
    <row r="205" spans="3:7" x14ac:dyDescent="0.35">
      <c r="C205" s="3"/>
      <c r="D205" s="3"/>
      <c r="E205" s="4"/>
      <c r="F205" s="5"/>
      <c r="G205" s="5"/>
    </row>
    <row r="206" spans="3:7" x14ac:dyDescent="0.35">
      <c r="C206" s="3"/>
      <c r="D206" s="3"/>
      <c r="E206" s="4"/>
      <c r="F206" s="5"/>
      <c r="G206" s="5"/>
    </row>
    <row r="207" spans="3:7" x14ac:dyDescent="0.35">
      <c r="C207" s="3"/>
      <c r="D207" s="3"/>
      <c r="E207" s="4"/>
      <c r="F207" s="5"/>
      <c r="G207" s="5"/>
    </row>
    <row r="208" spans="3:7" x14ac:dyDescent="0.35">
      <c r="C208" s="3"/>
      <c r="D208" s="3"/>
      <c r="E208" s="4"/>
      <c r="F208" s="5"/>
      <c r="G208" s="5"/>
    </row>
    <row r="209" spans="3:7" x14ac:dyDescent="0.35">
      <c r="C209" s="3"/>
      <c r="D209" s="3"/>
      <c r="E209" s="4"/>
      <c r="F209" s="5"/>
      <c r="G209" s="5"/>
    </row>
    <row r="210" spans="3:7" x14ac:dyDescent="0.35">
      <c r="C210" s="3"/>
      <c r="D210" s="3"/>
      <c r="E210" s="4"/>
      <c r="F210" s="5"/>
      <c r="G210" s="5"/>
    </row>
    <row r="211" spans="3:7" x14ac:dyDescent="0.35">
      <c r="C211" s="3"/>
      <c r="D211" s="3"/>
      <c r="E211" s="4"/>
      <c r="F211" s="5"/>
      <c r="G211" s="5"/>
    </row>
    <row r="212" spans="3:7" x14ac:dyDescent="0.35">
      <c r="C212" s="3"/>
      <c r="D212" s="3"/>
      <c r="E212" s="4"/>
      <c r="F212" s="5"/>
      <c r="G212" s="5"/>
    </row>
    <row r="213" spans="3:7" x14ac:dyDescent="0.35">
      <c r="C213" s="3"/>
      <c r="D213" s="3"/>
      <c r="E213" s="4"/>
      <c r="F213" s="5"/>
      <c r="G213" s="5"/>
    </row>
    <row r="214" spans="3:7" x14ac:dyDescent="0.35">
      <c r="C214" s="3"/>
      <c r="D214" s="3"/>
      <c r="E214" s="4"/>
      <c r="F214" s="5"/>
      <c r="G214" s="5"/>
    </row>
    <row r="215" spans="3:7" x14ac:dyDescent="0.35">
      <c r="C215" s="3"/>
      <c r="D215" s="3"/>
      <c r="E215" s="4"/>
      <c r="F215" s="5"/>
      <c r="G215" s="5"/>
    </row>
    <row r="216" spans="3:7" x14ac:dyDescent="0.35">
      <c r="C216" s="3"/>
      <c r="D216" s="3"/>
      <c r="E216" s="4"/>
      <c r="F216" s="5"/>
      <c r="G216" s="5"/>
    </row>
    <row r="217" spans="3:7" x14ac:dyDescent="0.35">
      <c r="C217" s="3"/>
      <c r="D217" s="3"/>
      <c r="E217" s="4"/>
      <c r="F217" s="5"/>
      <c r="G217" s="5"/>
    </row>
    <row r="218" spans="3:7" x14ac:dyDescent="0.35">
      <c r="C218" s="3"/>
      <c r="D218" s="3"/>
      <c r="E218" s="4"/>
      <c r="F218" s="5"/>
      <c r="G218" s="5"/>
    </row>
    <row r="219" spans="3:7" x14ac:dyDescent="0.35">
      <c r="C219" s="3"/>
      <c r="D219" s="3"/>
      <c r="E219" s="4"/>
      <c r="F219" s="5"/>
      <c r="G219" s="5"/>
    </row>
    <row r="220" spans="3:7" x14ac:dyDescent="0.35">
      <c r="C220" s="3"/>
      <c r="D220" s="3"/>
      <c r="E220" s="4"/>
      <c r="F220" s="5"/>
      <c r="G220" s="5"/>
    </row>
    <row r="221" spans="3:7" x14ac:dyDescent="0.35">
      <c r="C221" s="3"/>
      <c r="D221" s="3"/>
      <c r="E221" s="4"/>
      <c r="F221" s="5"/>
      <c r="G221" s="5"/>
    </row>
    <row r="222" spans="3:7" x14ac:dyDescent="0.35">
      <c r="C222" s="3"/>
      <c r="D222" s="3"/>
      <c r="E222" s="4"/>
      <c r="F222" s="5"/>
      <c r="G222" s="5"/>
    </row>
    <row r="223" spans="3:7" x14ac:dyDescent="0.35">
      <c r="C223" s="3"/>
      <c r="D223" s="3"/>
      <c r="E223" s="4"/>
      <c r="F223" s="5"/>
      <c r="G223" s="5"/>
    </row>
    <row r="224" spans="3:7" x14ac:dyDescent="0.35">
      <c r="C224" s="3"/>
      <c r="D224" s="3"/>
      <c r="E224" s="4"/>
      <c r="F224" s="5"/>
      <c r="G224" s="5"/>
    </row>
    <row r="225" spans="3:7" x14ac:dyDescent="0.35">
      <c r="C225" s="3"/>
      <c r="D225" s="3"/>
      <c r="E225" s="4"/>
      <c r="F225" s="5"/>
      <c r="G225" s="5"/>
    </row>
    <row r="226" spans="3:7" x14ac:dyDescent="0.35">
      <c r="C226" s="3"/>
      <c r="D226" s="3"/>
      <c r="E226" s="4"/>
      <c r="F226" s="5"/>
      <c r="G226" s="5"/>
    </row>
    <row r="227" spans="3:7" x14ac:dyDescent="0.35">
      <c r="C227" s="3"/>
      <c r="D227" s="3"/>
      <c r="E227" s="4"/>
      <c r="F227" s="5"/>
      <c r="G227" s="5"/>
    </row>
    <row r="228" spans="3:7" x14ac:dyDescent="0.35">
      <c r="C228" s="3"/>
      <c r="D228" s="3"/>
      <c r="E228" s="4"/>
      <c r="F228" s="5"/>
      <c r="G228" s="5"/>
    </row>
    <row r="229" spans="3:7" x14ac:dyDescent="0.35">
      <c r="C229" s="3"/>
      <c r="D229" s="3"/>
      <c r="E229" s="4"/>
      <c r="F229" s="5"/>
      <c r="G229" s="5"/>
    </row>
    <row r="230" spans="3:7" x14ac:dyDescent="0.35">
      <c r="C230" s="3"/>
      <c r="D230" s="3"/>
      <c r="E230" s="4"/>
      <c r="F230" s="5"/>
      <c r="G230" s="5"/>
    </row>
    <row r="231" spans="3:7" x14ac:dyDescent="0.35">
      <c r="C231" s="3"/>
      <c r="D231" s="3"/>
      <c r="E231" s="4"/>
      <c r="F231" s="5"/>
      <c r="G231" s="5"/>
    </row>
    <row r="232" spans="3:7" x14ac:dyDescent="0.35">
      <c r="C232" s="3"/>
      <c r="D232" s="3"/>
      <c r="E232" s="4"/>
      <c r="F232" s="5"/>
      <c r="G232" s="5"/>
    </row>
    <row r="233" spans="3:7" x14ac:dyDescent="0.35">
      <c r="C233" s="3"/>
      <c r="D233" s="3"/>
      <c r="E233" s="4"/>
      <c r="F233" s="5"/>
      <c r="G233" s="5"/>
    </row>
    <row r="234" spans="3:7" x14ac:dyDescent="0.35">
      <c r="C234" s="3"/>
      <c r="D234" s="3"/>
      <c r="E234" s="4"/>
      <c r="F234" s="5"/>
      <c r="G234" s="5"/>
    </row>
    <row r="235" spans="3:7" x14ac:dyDescent="0.35">
      <c r="C235" s="3"/>
      <c r="D235" s="3"/>
      <c r="E235" s="4"/>
      <c r="F235" s="5"/>
      <c r="G235" s="5"/>
    </row>
    <row r="236" spans="3:7" x14ac:dyDescent="0.35">
      <c r="C236" s="3"/>
      <c r="D236" s="3"/>
      <c r="E236" s="4"/>
      <c r="F236" s="5"/>
      <c r="G236" s="5"/>
    </row>
    <row r="237" spans="3:7" x14ac:dyDescent="0.35">
      <c r="C237" s="3"/>
      <c r="D237" s="3"/>
      <c r="E237" s="4"/>
      <c r="F237" s="5"/>
      <c r="G237" s="5"/>
    </row>
    <row r="238" spans="3:7" x14ac:dyDescent="0.35">
      <c r="C238" s="3"/>
      <c r="D238" s="3"/>
      <c r="E238" s="4"/>
      <c r="F238" s="5"/>
      <c r="G238" s="5"/>
    </row>
    <row r="239" spans="3:7" x14ac:dyDescent="0.35">
      <c r="C239" s="3"/>
      <c r="D239" s="3"/>
      <c r="E239" s="4"/>
      <c r="F239" s="5"/>
      <c r="G239" s="5"/>
    </row>
    <row r="240" spans="3:7" x14ac:dyDescent="0.35">
      <c r="C240" s="3"/>
      <c r="D240" s="3"/>
      <c r="E240" s="4"/>
      <c r="F240" s="5"/>
      <c r="G240" s="5"/>
    </row>
    <row r="241" spans="3:7" x14ac:dyDescent="0.35">
      <c r="C241" s="3"/>
      <c r="D241" s="3"/>
      <c r="E241" s="4"/>
      <c r="F241" s="5"/>
      <c r="G241" s="5"/>
    </row>
    <row r="242" spans="3:7" x14ac:dyDescent="0.35">
      <c r="C242" s="3"/>
      <c r="D242" s="3"/>
      <c r="E242" s="4"/>
      <c r="F242" s="5"/>
      <c r="G242" s="5"/>
    </row>
    <row r="243" spans="3:7" x14ac:dyDescent="0.35">
      <c r="C243" s="3"/>
      <c r="D243" s="3"/>
      <c r="E243" s="4"/>
      <c r="F243" s="5"/>
      <c r="G243" s="5"/>
    </row>
    <row r="244" spans="3:7" x14ac:dyDescent="0.35">
      <c r="C244" s="3"/>
      <c r="D244" s="3"/>
      <c r="E244" s="4"/>
      <c r="F244" s="5"/>
      <c r="G244" s="5"/>
    </row>
    <row r="245" spans="3:7" x14ac:dyDescent="0.35">
      <c r="C245" s="3"/>
      <c r="D245" s="3"/>
      <c r="E245" s="4"/>
      <c r="F245" s="5"/>
      <c r="G245" s="5"/>
    </row>
    <row r="246" spans="3:7" x14ac:dyDescent="0.35">
      <c r="C246" s="3"/>
      <c r="D246" s="3"/>
      <c r="E246" s="4"/>
      <c r="F246" s="5"/>
      <c r="G246" s="5"/>
    </row>
    <row r="247" spans="3:7" x14ac:dyDescent="0.35">
      <c r="C247" s="3"/>
      <c r="D247" s="3"/>
      <c r="E247" s="4"/>
      <c r="F247" s="5"/>
      <c r="G247" s="5"/>
    </row>
  </sheetData>
  <conditionalFormatting sqref="AM5:BQ5">
    <cfRule type="cellIs" dxfId="1" priority="1" operator="between">
      <formula>1000</formula>
      <formula>3000</formula>
    </cfRule>
    <cfRule type="cellIs" dxfId="0" priority="2" operator="greaterThan">
      <formula>3333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4.5" x14ac:dyDescent="0.35"/>
  <cols>
    <col min="1" max="1" width="10.453125" bestFit="1" customWidth="1"/>
    <col min="2" max="2" width="10.81640625" bestFit="1" customWidth="1"/>
    <col min="3" max="3" width="33.453125" customWidth="1"/>
    <col min="4" max="4" width="7.81640625" bestFit="1" customWidth="1"/>
    <col min="5" max="5" width="6.1796875" bestFit="1" customWidth="1"/>
    <col min="6" max="6" width="9.7265625" bestFit="1" customWidth="1"/>
    <col min="7" max="7" width="13.7265625" bestFit="1" customWidth="1"/>
    <col min="8" max="8" width="10.54296875" bestFit="1" customWidth="1"/>
  </cols>
  <sheetData>
    <row r="1" spans="1:8" x14ac:dyDescent="0.35">
      <c r="A1" s="21" t="s">
        <v>54</v>
      </c>
      <c r="B1" s="21" t="s">
        <v>55</v>
      </c>
      <c r="C1" s="21" t="s">
        <v>56</v>
      </c>
      <c r="D1" s="21" t="s">
        <v>1</v>
      </c>
      <c r="E1" s="21" t="s">
        <v>0</v>
      </c>
      <c r="F1" s="21" t="s">
        <v>57</v>
      </c>
      <c r="G1" s="21" t="s">
        <v>238</v>
      </c>
      <c r="H1" s="21" t="s">
        <v>75</v>
      </c>
    </row>
    <row r="2" spans="1:8" x14ac:dyDescent="0.35">
      <c r="A2" s="22" t="s">
        <v>58</v>
      </c>
      <c r="B2" s="22">
        <v>520</v>
      </c>
      <c r="C2" s="22" t="s">
        <v>15</v>
      </c>
      <c r="D2" s="22">
        <v>68</v>
      </c>
      <c r="E2" s="22" t="s">
        <v>13</v>
      </c>
      <c r="F2" s="22" t="s">
        <v>87</v>
      </c>
      <c r="G2" s="23">
        <v>60975.854020715444</v>
      </c>
      <c r="H2" s="23"/>
    </row>
    <row r="3" spans="1:8" x14ac:dyDescent="0.35">
      <c r="A3" s="22" t="s">
        <v>58</v>
      </c>
      <c r="B3" s="22">
        <v>521</v>
      </c>
      <c r="C3" s="22" t="s">
        <v>16</v>
      </c>
      <c r="D3" s="22">
        <v>116</v>
      </c>
      <c r="E3" s="22" t="s">
        <v>13</v>
      </c>
      <c r="F3" s="22" t="s">
        <v>87</v>
      </c>
      <c r="G3" s="23">
        <v>452098.98732020438</v>
      </c>
      <c r="H3" s="23"/>
    </row>
    <row r="4" spans="1:8" x14ac:dyDescent="0.35">
      <c r="A4" s="22" t="s">
        <v>59</v>
      </c>
      <c r="B4" s="22">
        <v>594</v>
      </c>
      <c r="C4" s="22" t="s">
        <v>17</v>
      </c>
      <c r="D4" s="22">
        <v>168.75</v>
      </c>
      <c r="E4" s="22" t="s">
        <v>13</v>
      </c>
      <c r="F4" s="22" t="s">
        <v>87</v>
      </c>
      <c r="G4" s="23">
        <v>2032067.1742343525</v>
      </c>
      <c r="H4" s="23"/>
    </row>
    <row r="5" spans="1:8" x14ac:dyDescent="0.35">
      <c r="A5" s="22" t="s">
        <v>59</v>
      </c>
      <c r="B5" s="22">
        <v>595</v>
      </c>
      <c r="C5" s="22" t="s">
        <v>18</v>
      </c>
      <c r="D5" s="22">
        <v>75</v>
      </c>
      <c r="E5" s="22" t="s">
        <v>13</v>
      </c>
      <c r="F5" s="22" t="s">
        <v>87</v>
      </c>
      <c r="G5" s="23">
        <v>2693943.4881243873</v>
      </c>
      <c r="H5" s="23"/>
    </row>
    <row r="6" spans="1:8" x14ac:dyDescent="0.35">
      <c r="A6" s="22" t="s">
        <v>60</v>
      </c>
      <c r="B6" s="22">
        <v>617</v>
      </c>
      <c r="C6" s="22" t="s">
        <v>20</v>
      </c>
      <c r="D6" s="22">
        <v>450</v>
      </c>
      <c r="E6" s="22" t="s">
        <v>13</v>
      </c>
      <c r="F6" s="22" t="s">
        <v>87</v>
      </c>
      <c r="G6" s="23">
        <v>249774.57126789945</v>
      </c>
      <c r="H6" s="23"/>
    </row>
    <row r="7" spans="1:8" x14ac:dyDescent="0.35">
      <c r="A7" s="22" t="s">
        <v>60</v>
      </c>
      <c r="B7" s="22">
        <v>615</v>
      </c>
      <c r="C7" s="22" t="s">
        <v>19</v>
      </c>
      <c r="D7" s="22">
        <v>270.68</v>
      </c>
      <c r="E7" s="22" t="s">
        <v>13</v>
      </c>
      <c r="F7" s="22" t="s">
        <v>87</v>
      </c>
      <c r="G7" s="23">
        <v>713785.95211589453</v>
      </c>
      <c r="H7" s="23"/>
    </row>
    <row r="8" spans="1:8" x14ac:dyDescent="0.35">
      <c r="A8" s="22" t="s">
        <v>61</v>
      </c>
      <c r="B8" s="22">
        <v>751</v>
      </c>
      <c r="C8" s="22" t="s">
        <v>21</v>
      </c>
      <c r="D8" s="22">
        <v>203.01</v>
      </c>
      <c r="E8" s="22" t="s">
        <v>13</v>
      </c>
      <c r="F8" s="22" t="s">
        <v>87</v>
      </c>
      <c r="G8" s="23">
        <v>178175.29275841286</v>
      </c>
      <c r="H8" s="23"/>
    </row>
    <row r="9" spans="1:8" x14ac:dyDescent="0.35">
      <c r="A9" s="22" t="s">
        <v>61</v>
      </c>
      <c r="B9" s="22">
        <v>752</v>
      </c>
      <c r="C9" s="22" t="s">
        <v>22</v>
      </c>
      <c r="D9" s="22">
        <v>345.86</v>
      </c>
      <c r="E9" s="22" t="s">
        <v>13</v>
      </c>
      <c r="F9" s="22" t="s">
        <v>87</v>
      </c>
      <c r="G9" s="23">
        <v>846197.89458525367</v>
      </c>
      <c r="H9" s="23"/>
    </row>
    <row r="10" spans="1:8" x14ac:dyDescent="0.35">
      <c r="A10" s="22" t="s">
        <v>61</v>
      </c>
      <c r="B10" s="22">
        <v>753</v>
      </c>
      <c r="C10" s="22" t="s">
        <v>23</v>
      </c>
      <c r="D10" s="22">
        <v>488.72</v>
      </c>
      <c r="E10" s="22" t="s">
        <v>13</v>
      </c>
      <c r="F10" s="22" t="s">
        <v>87</v>
      </c>
      <c r="G10" s="23">
        <v>1362207.2314627881</v>
      </c>
      <c r="H10" s="23"/>
    </row>
    <row r="11" spans="1:8" x14ac:dyDescent="0.35">
      <c r="A11" s="22" t="s">
        <v>61</v>
      </c>
      <c r="B11" s="22">
        <v>754</v>
      </c>
      <c r="C11" s="22" t="s">
        <v>24</v>
      </c>
      <c r="D11" s="22">
        <v>601.51</v>
      </c>
      <c r="E11" s="22" t="s">
        <v>13</v>
      </c>
      <c r="F11" s="22" t="s">
        <v>87</v>
      </c>
      <c r="G11" s="23">
        <v>217558.47073072949</v>
      </c>
      <c r="H11" s="23"/>
    </row>
    <row r="12" spans="1:8" x14ac:dyDescent="0.35">
      <c r="A12" s="22" t="s">
        <v>62</v>
      </c>
      <c r="B12" s="22">
        <v>784</v>
      </c>
      <c r="C12" s="22" t="s">
        <v>63</v>
      </c>
      <c r="D12" s="22">
        <v>337.2</v>
      </c>
      <c r="E12" s="22" t="s">
        <v>13</v>
      </c>
      <c r="F12" s="22" t="s">
        <v>87</v>
      </c>
      <c r="G12" s="23">
        <v>76690.111082866424</v>
      </c>
      <c r="H12" s="23"/>
    </row>
    <row r="13" spans="1:8" x14ac:dyDescent="0.35">
      <c r="A13" s="22" t="s">
        <v>62</v>
      </c>
      <c r="B13" s="22">
        <v>785</v>
      </c>
      <c r="C13" s="22" t="s">
        <v>64</v>
      </c>
      <c r="D13" s="22">
        <v>562.20000000000005</v>
      </c>
      <c r="E13" s="22" t="s">
        <v>13</v>
      </c>
      <c r="F13" s="22" t="s">
        <v>87</v>
      </c>
      <c r="G13" s="23">
        <v>92939.585056254145</v>
      </c>
      <c r="H13" s="23"/>
    </row>
    <row r="14" spans="1:8" x14ac:dyDescent="0.35">
      <c r="A14" s="22" t="s">
        <v>65</v>
      </c>
      <c r="B14" s="22">
        <v>797</v>
      </c>
      <c r="C14" s="22" t="s">
        <v>66</v>
      </c>
      <c r="D14" s="22">
        <v>449.8</v>
      </c>
      <c r="E14" s="22" t="s">
        <v>13</v>
      </c>
      <c r="F14" s="22" t="s">
        <v>87</v>
      </c>
      <c r="G14" s="23">
        <v>148716.56121772717</v>
      </c>
      <c r="H14" s="23"/>
    </row>
    <row r="15" spans="1:8" x14ac:dyDescent="0.35">
      <c r="A15" s="22" t="s">
        <v>65</v>
      </c>
      <c r="B15" s="22">
        <v>613</v>
      </c>
      <c r="C15" s="22" t="s">
        <v>26</v>
      </c>
      <c r="D15" s="22">
        <v>292.5</v>
      </c>
      <c r="E15" s="22" t="s">
        <v>13</v>
      </c>
      <c r="F15" s="22" t="s">
        <v>87</v>
      </c>
      <c r="G15" s="23">
        <v>1030387.7349741108</v>
      </c>
      <c r="H15" s="23"/>
    </row>
    <row r="16" spans="1:8" x14ac:dyDescent="0.35">
      <c r="A16" s="22" t="s">
        <v>65</v>
      </c>
      <c r="B16" s="22">
        <v>614</v>
      </c>
      <c r="C16" s="22" t="s">
        <v>25</v>
      </c>
      <c r="D16" s="22">
        <v>562.20000000000005</v>
      </c>
      <c r="E16" s="22" t="s">
        <v>13</v>
      </c>
      <c r="F16" s="22" t="s">
        <v>87</v>
      </c>
      <c r="G16" s="23">
        <v>2036221.8180506588</v>
      </c>
      <c r="H16" s="23"/>
    </row>
    <row r="17" spans="1:8" x14ac:dyDescent="0.35">
      <c r="A17" s="22" t="s">
        <v>67</v>
      </c>
      <c r="B17" s="22">
        <v>767</v>
      </c>
      <c r="C17" s="22" t="s">
        <v>28</v>
      </c>
      <c r="D17" s="22">
        <v>599.79999999999995</v>
      </c>
      <c r="E17" s="22" t="s">
        <v>13</v>
      </c>
      <c r="F17" s="22" t="s">
        <v>87</v>
      </c>
      <c r="G17" s="23">
        <v>935065.42274020193</v>
      </c>
      <c r="H17" s="23"/>
    </row>
    <row r="18" spans="1:8" x14ac:dyDescent="0.35">
      <c r="A18" s="22" t="s">
        <v>68</v>
      </c>
      <c r="B18" s="22">
        <v>807</v>
      </c>
      <c r="C18" s="22" t="s">
        <v>29</v>
      </c>
      <c r="D18" s="22">
        <v>200</v>
      </c>
      <c r="E18" s="22" t="s">
        <v>13</v>
      </c>
      <c r="F18" s="22" t="s">
        <v>87</v>
      </c>
      <c r="G18" s="23">
        <v>154894.29890901427</v>
      </c>
      <c r="H18" s="23"/>
    </row>
    <row r="19" spans="1:8" x14ac:dyDescent="0.35">
      <c r="A19" s="22" t="s">
        <v>68</v>
      </c>
      <c r="B19" s="22">
        <v>808</v>
      </c>
      <c r="C19" s="22" t="s">
        <v>30</v>
      </c>
      <c r="D19" s="22">
        <v>294.74</v>
      </c>
      <c r="E19" s="22" t="s">
        <v>13</v>
      </c>
      <c r="F19" s="22" t="s">
        <v>87</v>
      </c>
      <c r="G19" s="23">
        <v>234173.74973306074</v>
      </c>
      <c r="H19" s="23"/>
    </row>
    <row r="20" spans="1:8" x14ac:dyDescent="0.35">
      <c r="A20" s="22" t="s">
        <v>69</v>
      </c>
      <c r="B20" s="22">
        <v>502</v>
      </c>
      <c r="C20" s="22" t="s">
        <v>31</v>
      </c>
      <c r="D20" s="22">
        <v>311.24</v>
      </c>
      <c r="E20" s="22" t="s">
        <v>11</v>
      </c>
      <c r="F20" s="22" t="s">
        <v>87</v>
      </c>
      <c r="G20" s="23">
        <v>4840263.7730781278</v>
      </c>
      <c r="H20" s="23"/>
    </row>
    <row r="21" spans="1:8" x14ac:dyDescent="0.35">
      <c r="A21" s="22" t="s">
        <v>69</v>
      </c>
      <c r="B21" s="22">
        <v>504</v>
      </c>
      <c r="C21" s="22" t="s">
        <v>32</v>
      </c>
      <c r="D21" s="22">
        <v>436.51</v>
      </c>
      <c r="E21" s="22" t="s">
        <v>11</v>
      </c>
      <c r="F21" s="22" t="s">
        <v>87</v>
      </c>
      <c r="G21" s="23">
        <v>9670920.3625234123</v>
      </c>
      <c r="H21" s="23"/>
    </row>
    <row r="22" spans="1:8" x14ac:dyDescent="0.35">
      <c r="A22" s="22" t="s">
        <v>69</v>
      </c>
      <c r="B22" s="22">
        <v>505</v>
      </c>
      <c r="C22" s="22" t="s">
        <v>33</v>
      </c>
      <c r="D22" s="22">
        <v>372.18</v>
      </c>
      <c r="E22" s="22" t="s">
        <v>11</v>
      </c>
      <c r="F22" s="22" t="s">
        <v>87</v>
      </c>
      <c r="G22" s="23">
        <v>4688699.8418621626</v>
      </c>
      <c r="H22" s="23"/>
    </row>
    <row r="23" spans="1:8" x14ac:dyDescent="0.35">
      <c r="A23" s="22" t="s">
        <v>69</v>
      </c>
      <c r="B23" s="22">
        <v>506</v>
      </c>
      <c r="C23" s="22" t="s">
        <v>34</v>
      </c>
      <c r="D23" s="22">
        <v>473.69</v>
      </c>
      <c r="E23" s="22" t="s">
        <v>11</v>
      </c>
      <c r="F23" s="22" t="s">
        <v>87</v>
      </c>
      <c r="G23" s="23">
        <v>5233797.5265519172</v>
      </c>
      <c r="H23" s="23"/>
    </row>
    <row r="24" spans="1:8" x14ac:dyDescent="0.35">
      <c r="A24" s="22" t="s">
        <v>70</v>
      </c>
      <c r="B24" s="22">
        <v>507</v>
      </c>
      <c r="C24" s="22" t="s">
        <v>35</v>
      </c>
      <c r="D24" s="22">
        <v>270</v>
      </c>
      <c r="E24" s="22" t="s">
        <v>11</v>
      </c>
      <c r="F24" s="22" t="s">
        <v>87</v>
      </c>
      <c r="G24" s="23">
        <v>3450135.2512102416</v>
      </c>
      <c r="H24" s="23"/>
    </row>
    <row r="25" spans="1:8" x14ac:dyDescent="0.35">
      <c r="A25" s="22" t="s">
        <v>70</v>
      </c>
      <c r="B25" s="22">
        <v>508</v>
      </c>
      <c r="C25" s="22" t="s">
        <v>12</v>
      </c>
      <c r="D25" s="22">
        <v>404.7</v>
      </c>
      <c r="E25" s="22" t="s">
        <v>11</v>
      </c>
      <c r="F25" s="22" t="s">
        <v>87</v>
      </c>
      <c r="G25" s="23">
        <v>4620335.1290220413</v>
      </c>
      <c r="H25" s="23"/>
    </row>
    <row r="26" spans="1:8" x14ac:dyDescent="0.35">
      <c r="A26" s="22" t="s">
        <v>71</v>
      </c>
      <c r="B26" s="22">
        <v>757</v>
      </c>
      <c r="C26" s="22" t="s">
        <v>37</v>
      </c>
      <c r="D26" s="22">
        <v>494.76</v>
      </c>
      <c r="E26" s="22" t="s">
        <v>11</v>
      </c>
      <c r="F26" s="22" t="s">
        <v>87</v>
      </c>
      <c r="G26" s="23">
        <v>2248503.5129160648</v>
      </c>
      <c r="H26" s="23"/>
    </row>
    <row r="27" spans="1:8" x14ac:dyDescent="0.35">
      <c r="A27" s="22" t="s">
        <v>71</v>
      </c>
      <c r="B27" s="22">
        <v>758</v>
      </c>
      <c r="C27" s="22" t="s">
        <v>36</v>
      </c>
      <c r="D27" s="22">
        <v>674.67</v>
      </c>
      <c r="E27" s="22" t="s">
        <v>11</v>
      </c>
      <c r="F27" s="22" t="s">
        <v>87</v>
      </c>
      <c r="G27" s="23">
        <v>1168725.0055569811</v>
      </c>
      <c r="H27" s="23"/>
    </row>
    <row r="28" spans="1:8" x14ac:dyDescent="0.35">
      <c r="A28" s="22" t="s">
        <v>72</v>
      </c>
      <c r="B28" s="22">
        <v>580</v>
      </c>
      <c r="C28" s="22" t="s">
        <v>38</v>
      </c>
      <c r="D28" s="22">
        <v>270.68</v>
      </c>
      <c r="E28" s="22" t="s">
        <v>11</v>
      </c>
      <c r="F28" s="22" t="s">
        <v>87</v>
      </c>
      <c r="G28" s="23">
        <v>161361.18598364637</v>
      </c>
      <c r="H28" s="23"/>
    </row>
    <row r="29" spans="1:8" x14ac:dyDescent="0.35">
      <c r="A29" s="22" t="s">
        <v>73</v>
      </c>
      <c r="B29" s="22">
        <v>582</v>
      </c>
      <c r="C29" s="22" t="s">
        <v>40</v>
      </c>
      <c r="D29" s="22">
        <v>300.75</v>
      </c>
      <c r="E29" s="22" t="s">
        <v>11</v>
      </c>
      <c r="F29" s="22" t="s">
        <v>87</v>
      </c>
      <c r="G29" s="23">
        <v>431493.83757012163</v>
      </c>
      <c r="H29" s="23"/>
    </row>
    <row r="30" spans="1:8" x14ac:dyDescent="0.35">
      <c r="A30" t="s">
        <v>49</v>
      </c>
      <c r="B30">
        <v>603</v>
      </c>
      <c r="C30" t="s">
        <v>41</v>
      </c>
      <c r="D30">
        <v>225.56</v>
      </c>
      <c r="E30" t="s">
        <v>11</v>
      </c>
      <c r="F30" t="s">
        <v>87</v>
      </c>
      <c r="G30" s="4">
        <v>389379.70078061731</v>
      </c>
    </row>
    <row r="31" spans="1:8" x14ac:dyDescent="0.35">
      <c r="A31" t="s">
        <v>49</v>
      </c>
      <c r="B31">
        <v>606</v>
      </c>
      <c r="C31" t="s">
        <v>50</v>
      </c>
      <c r="D31">
        <v>262.37</v>
      </c>
      <c r="E31" t="s">
        <v>11</v>
      </c>
      <c r="F31" t="s">
        <v>87</v>
      </c>
      <c r="G31">
        <v>457392.84564216714</v>
      </c>
    </row>
    <row r="32" spans="1:8" x14ac:dyDescent="0.35">
      <c r="A32" t="s">
        <v>49</v>
      </c>
      <c r="B32">
        <v>772</v>
      </c>
      <c r="C32" t="s">
        <v>44</v>
      </c>
      <c r="D32">
        <v>202.4</v>
      </c>
      <c r="E32" t="s">
        <v>11</v>
      </c>
      <c r="F32" t="s">
        <v>87</v>
      </c>
      <c r="G32">
        <v>38529.2054259059</v>
      </c>
    </row>
    <row r="33" spans="7:7" x14ac:dyDescent="0.35">
      <c r="G33" s="4">
        <f>SUM(G2:G32)</f>
        <v>50915411.37650793</v>
      </c>
    </row>
    <row r="34" spans="7:7" x14ac:dyDescent="0.35">
      <c r="G34">
        <f>'Terr Target'!E115</f>
        <v>50915411.376507938</v>
      </c>
    </row>
    <row r="35" spans="7:7" x14ac:dyDescent="0.35">
      <c r="G35" s="4">
        <f>G34-G33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F665-9C0D-49AF-9571-4F243577DEBE}">
  <dimension ref="A1:E186"/>
  <sheetViews>
    <sheetView zoomScaleNormal="100" workbookViewId="0">
      <pane xSplit="4" ySplit="1" topLeftCell="E16" activePane="bottomRight" state="frozen"/>
      <selection pane="topRight" activeCell="E1" sqref="E1"/>
      <selection pane="bottomLeft" activeCell="A2" sqref="A2"/>
      <selection pane="bottomRight" activeCell="E1" sqref="E1"/>
    </sheetView>
  </sheetViews>
  <sheetFormatPr defaultRowHeight="14.5" x14ac:dyDescent="0.35"/>
  <cols>
    <col min="1" max="1" width="16.453125" bestFit="1" customWidth="1"/>
    <col min="2" max="2" width="10.453125" bestFit="1" customWidth="1"/>
    <col min="3" max="3" width="11.54296875" bestFit="1" customWidth="1"/>
    <col min="4" max="4" width="9.453125" bestFit="1" customWidth="1"/>
    <col min="5" max="5" width="18.453125" bestFit="1" customWidth="1"/>
  </cols>
  <sheetData>
    <row r="1" spans="1:5" x14ac:dyDescent="0.35">
      <c r="A1" s="21" t="s">
        <v>3</v>
      </c>
      <c r="B1" s="21" t="s">
        <v>74</v>
      </c>
      <c r="C1" s="21" t="s">
        <v>2</v>
      </c>
      <c r="D1" s="21" t="s">
        <v>76</v>
      </c>
      <c r="E1" s="21" t="s">
        <v>78</v>
      </c>
    </row>
    <row r="2" spans="1:5" x14ac:dyDescent="0.35">
      <c r="A2" s="22" t="s">
        <v>88</v>
      </c>
      <c r="B2" s="22" t="s">
        <v>201</v>
      </c>
      <c r="C2" s="22" t="s">
        <v>234</v>
      </c>
      <c r="D2" s="22" t="s">
        <v>235</v>
      </c>
      <c r="E2" s="39">
        <v>684081.29038404615</v>
      </c>
    </row>
    <row r="3" spans="1:5" x14ac:dyDescent="0.35">
      <c r="A3" s="22" t="s">
        <v>89</v>
      </c>
      <c r="B3" s="22" t="s">
        <v>201</v>
      </c>
      <c r="C3" s="22" t="s">
        <v>234</v>
      </c>
      <c r="D3" s="22" t="s">
        <v>235</v>
      </c>
      <c r="E3" s="39">
        <v>535351</v>
      </c>
    </row>
    <row r="4" spans="1:5" x14ac:dyDescent="0.35">
      <c r="A4" s="22" t="s">
        <v>90</v>
      </c>
      <c r="B4" s="22" t="s">
        <v>201</v>
      </c>
      <c r="C4" s="22" t="s">
        <v>234</v>
      </c>
      <c r="D4" s="22" t="s">
        <v>235</v>
      </c>
      <c r="E4" s="39">
        <v>365084.90897602984</v>
      </c>
    </row>
    <row r="5" spans="1:5" x14ac:dyDescent="0.35">
      <c r="A5" s="22" t="s">
        <v>91</v>
      </c>
      <c r="B5" s="22" t="s">
        <v>201</v>
      </c>
      <c r="C5" s="22" t="s">
        <v>234</v>
      </c>
      <c r="D5" s="22" t="s">
        <v>235</v>
      </c>
      <c r="E5" s="39">
        <v>340830.85160202609</v>
      </c>
    </row>
    <row r="6" spans="1:5" x14ac:dyDescent="0.35">
      <c r="A6" s="22" t="s">
        <v>92</v>
      </c>
      <c r="B6" s="22" t="s">
        <v>202</v>
      </c>
      <c r="C6" s="22" t="s">
        <v>234</v>
      </c>
      <c r="D6" s="22" t="s">
        <v>235</v>
      </c>
      <c r="E6" s="39">
        <v>554481.25794330472</v>
      </c>
    </row>
    <row r="7" spans="1:5" x14ac:dyDescent="0.35">
      <c r="A7" s="22" t="s">
        <v>93</v>
      </c>
      <c r="B7" s="22" t="s">
        <v>202</v>
      </c>
      <c r="C7" s="22" t="s">
        <v>234</v>
      </c>
      <c r="D7" s="22" t="s">
        <v>235</v>
      </c>
      <c r="E7" s="39">
        <v>565945</v>
      </c>
    </row>
    <row r="8" spans="1:5" x14ac:dyDescent="0.35">
      <c r="A8" s="22" t="s">
        <v>94</v>
      </c>
      <c r="B8" s="22" t="s">
        <v>202</v>
      </c>
      <c r="C8" s="22" t="s">
        <v>234</v>
      </c>
      <c r="D8" s="22" t="s">
        <v>235</v>
      </c>
      <c r="E8" s="39">
        <v>817036.18477112753</v>
      </c>
    </row>
    <row r="9" spans="1:5" x14ac:dyDescent="0.35">
      <c r="A9" s="22" t="s">
        <v>95</v>
      </c>
      <c r="B9" s="22" t="s">
        <v>202</v>
      </c>
      <c r="C9" s="22" t="s">
        <v>234</v>
      </c>
      <c r="D9" s="22" t="s">
        <v>235</v>
      </c>
      <c r="E9" s="39">
        <v>374132.84023072914</v>
      </c>
    </row>
    <row r="10" spans="1:5" x14ac:dyDescent="0.35">
      <c r="A10" s="22" t="s">
        <v>96</v>
      </c>
      <c r="B10" s="22" t="s">
        <v>203</v>
      </c>
      <c r="C10" s="22" t="s">
        <v>234</v>
      </c>
      <c r="D10" s="22" t="s">
        <v>235</v>
      </c>
      <c r="E10" s="39">
        <v>461545.07649211679</v>
      </c>
    </row>
    <row r="11" spans="1:5" x14ac:dyDescent="0.35">
      <c r="A11" s="22" t="s">
        <v>97</v>
      </c>
      <c r="B11" s="22" t="s">
        <v>203</v>
      </c>
      <c r="C11" s="22" t="s">
        <v>234</v>
      </c>
      <c r="D11" s="22" t="s">
        <v>235</v>
      </c>
      <c r="E11" s="39">
        <v>362587.10810577706</v>
      </c>
    </row>
    <row r="12" spans="1:5" x14ac:dyDescent="0.35">
      <c r="A12" s="22" t="s">
        <v>98</v>
      </c>
      <c r="B12" s="22" t="s">
        <v>203</v>
      </c>
      <c r="C12" s="22" t="s">
        <v>234</v>
      </c>
      <c r="D12" s="22" t="s">
        <v>235</v>
      </c>
      <c r="E12" s="39">
        <v>345064</v>
      </c>
    </row>
    <row r="13" spans="1:5" x14ac:dyDescent="0.35">
      <c r="A13" s="22" t="s">
        <v>99</v>
      </c>
      <c r="B13" s="22" t="s">
        <v>203</v>
      </c>
      <c r="C13" s="22" t="s">
        <v>234</v>
      </c>
      <c r="D13" s="22" t="s">
        <v>235</v>
      </c>
      <c r="E13" s="39">
        <v>788636.64038622461</v>
      </c>
    </row>
    <row r="14" spans="1:5" x14ac:dyDescent="0.35">
      <c r="A14" s="22" t="s">
        <v>100</v>
      </c>
      <c r="B14" s="22" t="s">
        <v>203</v>
      </c>
      <c r="C14" s="22" t="s">
        <v>234</v>
      </c>
      <c r="D14" s="22" t="s">
        <v>235</v>
      </c>
      <c r="E14" s="39">
        <v>416727.35845670785</v>
      </c>
    </row>
    <row r="15" spans="1:5" x14ac:dyDescent="0.35">
      <c r="A15" s="22" t="s">
        <v>101</v>
      </c>
      <c r="B15" s="22" t="s">
        <v>204</v>
      </c>
      <c r="C15" s="22" t="s">
        <v>234</v>
      </c>
      <c r="D15" s="22" t="s">
        <v>235</v>
      </c>
      <c r="E15" s="39">
        <v>471651.69630895992</v>
      </c>
    </row>
    <row r="16" spans="1:5" x14ac:dyDescent="0.35">
      <c r="A16" s="22" t="s">
        <v>102</v>
      </c>
      <c r="B16" s="22" t="s">
        <v>204</v>
      </c>
      <c r="C16" s="22" t="s">
        <v>234</v>
      </c>
      <c r="D16" s="22" t="s">
        <v>235</v>
      </c>
      <c r="E16" s="39">
        <v>771906.98607707722</v>
      </c>
    </row>
    <row r="17" spans="1:5" x14ac:dyDescent="0.35">
      <c r="A17" s="22" t="s">
        <v>103</v>
      </c>
      <c r="B17" s="22" t="s">
        <v>204</v>
      </c>
      <c r="C17" s="22" t="s">
        <v>234</v>
      </c>
      <c r="D17" s="22" t="s">
        <v>235</v>
      </c>
      <c r="E17" s="39">
        <v>673633.28977039573</v>
      </c>
    </row>
    <row r="18" spans="1:5" x14ac:dyDescent="0.35">
      <c r="A18" s="22" t="s">
        <v>104</v>
      </c>
      <c r="B18" s="22" t="s">
        <v>204</v>
      </c>
      <c r="C18" s="22" t="s">
        <v>234</v>
      </c>
      <c r="D18" s="22" t="s">
        <v>235</v>
      </c>
      <c r="E18" s="39">
        <v>1039282.0861952699</v>
      </c>
    </row>
    <row r="19" spans="1:5" x14ac:dyDescent="0.35">
      <c r="A19" s="22" t="s">
        <v>105</v>
      </c>
      <c r="B19" s="22" t="s">
        <v>204</v>
      </c>
      <c r="C19" s="22" t="s">
        <v>234</v>
      </c>
      <c r="D19" s="22" t="s">
        <v>235</v>
      </c>
      <c r="E19" s="39">
        <v>321916.09259461373</v>
      </c>
    </row>
    <row r="20" spans="1:5" x14ac:dyDescent="0.35">
      <c r="A20" s="22" t="s">
        <v>106</v>
      </c>
      <c r="B20" s="22" t="s">
        <v>205</v>
      </c>
      <c r="C20" s="22" t="s">
        <v>234</v>
      </c>
      <c r="D20" s="22" t="s">
        <v>235</v>
      </c>
      <c r="E20" s="39">
        <v>522053.02150068124</v>
      </c>
    </row>
    <row r="21" spans="1:5" x14ac:dyDescent="0.35">
      <c r="A21" s="22" t="s">
        <v>107</v>
      </c>
      <c r="B21" s="22" t="s">
        <v>205</v>
      </c>
      <c r="C21" s="22" t="s">
        <v>234</v>
      </c>
      <c r="D21" s="22" t="s">
        <v>235</v>
      </c>
      <c r="E21" s="39">
        <v>413563.43241427618</v>
      </c>
    </row>
    <row r="22" spans="1:5" x14ac:dyDescent="0.35">
      <c r="A22" s="22" t="s">
        <v>108</v>
      </c>
      <c r="B22" s="22" t="s">
        <v>205</v>
      </c>
      <c r="C22" s="22" t="s">
        <v>234</v>
      </c>
      <c r="D22" s="22" t="s">
        <v>235</v>
      </c>
      <c r="E22" s="39">
        <v>445015.20459473797</v>
      </c>
    </row>
    <row r="23" spans="1:5" x14ac:dyDescent="0.35">
      <c r="A23" s="22" t="s">
        <v>109</v>
      </c>
      <c r="B23" s="22" t="s">
        <v>205</v>
      </c>
      <c r="C23" s="22" t="s">
        <v>234</v>
      </c>
      <c r="D23" s="22" t="s">
        <v>235</v>
      </c>
      <c r="E23" s="39">
        <v>392881.64460703998</v>
      </c>
    </row>
    <row r="24" spans="1:5" x14ac:dyDescent="0.35">
      <c r="A24" s="22" t="s">
        <v>110</v>
      </c>
      <c r="B24" s="22" t="s">
        <v>205</v>
      </c>
      <c r="C24" s="22" t="s">
        <v>234</v>
      </c>
      <c r="D24" s="22" t="s">
        <v>235</v>
      </c>
      <c r="E24" s="39">
        <v>487324.12881125056</v>
      </c>
    </row>
    <row r="25" spans="1:5" x14ac:dyDescent="0.35">
      <c r="A25" s="22" t="s">
        <v>111</v>
      </c>
      <c r="B25" s="22" t="s">
        <v>206</v>
      </c>
      <c r="C25" s="22" t="s">
        <v>234</v>
      </c>
      <c r="D25" s="22" t="s">
        <v>235</v>
      </c>
      <c r="E25" s="39">
        <v>484608.88286727917</v>
      </c>
    </row>
    <row r="26" spans="1:5" x14ac:dyDescent="0.35">
      <c r="A26" s="22" t="s">
        <v>112</v>
      </c>
      <c r="B26" s="22" t="s">
        <v>206</v>
      </c>
      <c r="C26" s="22" t="s">
        <v>234</v>
      </c>
      <c r="D26" s="22" t="s">
        <v>235</v>
      </c>
      <c r="E26" s="39">
        <v>406415.30237326195</v>
      </c>
    </row>
    <row r="27" spans="1:5" x14ac:dyDescent="0.35">
      <c r="A27" s="22" t="s">
        <v>113</v>
      </c>
      <c r="B27" s="22" t="s">
        <v>206</v>
      </c>
      <c r="C27" s="22" t="s">
        <v>234</v>
      </c>
      <c r="D27" s="22" t="s">
        <v>235</v>
      </c>
      <c r="E27" s="39">
        <v>361455.15745392878</v>
      </c>
    </row>
    <row r="28" spans="1:5" x14ac:dyDescent="0.35">
      <c r="A28" s="22" t="s">
        <v>114</v>
      </c>
      <c r="B28" s="22" t="s">
        <v>206</v>
      </c>
      <c r="C28" s="22" t="s">
        <v>234</v>
      </c>
      <c r="D28" s="22" t="s">
        <v>235</v>
      </c>
      <c r="E28" s="39">
        <v>486837.72608353681</v>
      </c>
    </row>
    <row r="29" spans="1:5" x14ac:dyDescent="0.35">
      <c r="A29" s="22" t="s">
        <v>115</v>
      </c>
      <c r="B29" s="22" t="s">
        <v>206</v>
      </c>
      <c r="C29" s="22" t="s">
        <v>234</v>
      </c>
      <c r="D29" s="22" t="s">
        <v>235</v>
      </c>
      <c r="E29" s="39">
        <v>328133.02593610744</v>
      </c>
    </row>
    <row r="30" spans="1:5" x14ac:dyDescent="0.35">
      <c r="A30" s="22" t="s">
        <v>193</v>
      </c>
      <c r="B30" s="22" t="s">
        <v>227</v>
      </c>
      <c r="C30" s="22" t="s">
        <v>229</v>
      </c>
      <c r="D30" s="22" t="s">
        <v>235</v>
      </c>
      <c r="E30" s="39">
        <v>515434.09258071578</v>
      </c>
    </row>
    <row r="31" spans="1:5" x14ac:dyDescent="0.35">
      <c r="A31" s="22" t="s">
        <v>194</v>
      </c>
      <c r="B31" s="22" t="s">
        <v>227</v>
      </c>
      <c r="C31" s="22" t="s">
        <v>229</v>
      </c>
      <c r="D31" s="22" t="s">
        <v>235</v>
      </c>
      <c r="E31" s="39">
        <v>656570.87862842763</v>
      </c>
    </row>
    <row r="32" spans="1:5" x14ac:dyDescent="0.35">
      <c r="A32" s="22" t="s">
        <v>195</v>
      </c>
      <c r="B32" s="22" t="s">
        <v>227</v>
      </c>
      <c r="C32" s="22" t="s">
        <v>229</v>
      </c>
      <c r="D32" s="22" t="s">
        <v>235</v>
      </c>
      <c r="E32" s="39">
        <v>545552.64673988847</v>
      </c>
    </row>
    <row r="33" spans="1:5" x14ac:dyDescent="0.35">
      <c r="A33" s="22" t="s">
        <v>196</v>
      </c>
      <c r="B33" s="22" t="s">
        <v>228</v>
      </c>
      <c r="C33" s="22" t="s">
        <v>229</v>
      </c>
      <c r="D33" s="22" t="s">
        <v>235</v>
      </c>
      <c r="E33" s="39">
        <v>745359.70229229424</v>
      </c>
    </row>
    <row r="34" spans="1:5" x14ac:dyDescent="0.35">
      <c r="A34" s="22" t="s">
        <v>197</v>
      </c>
      <c r="B34" s="22" t="s">
        <v>228</v>
      </c>
      <c r="C34" s="22" t="s">
        <v>229</v>
      </c>
      <c r="D34" s="22" t="s">
        <v>235</v>
      </c>
      <c r="E34" s="39">
        <v>733179.31256483553</v>
      </c>
    </row>
    <row r="35" spans="1:5" x14ac:dyDescent="0.35">
      <c r="A35" s="22" t="s">
        <v>198</v>
      </c>
      <c r="B35" s="22" t="s">
        <v>228</v>
      </c>
      <c r="C35" s="22" t="s">
        <v>229</v>
      </c>
      <c r="D35" s="22" t="s">
        <v>235</v>
      </c>
      <c r="E35" s="39">
        <v>233304.27670404271</v>
      </c>
    </row>
    <row r="36" spans="1:5" x14ac:dyDescent="0.35">
      <c r="A36" s="22" t="s">
        <v>199</v>
      </c>
      <c r="B36" s="22" t="s">
        <v>207</v>
      </c>
      <c r="C36" s="22" t="s">
        <v>229</v>
      </c>
      <c r="D36" s="22" t="s">
        <v>235</v>
      </c>
      <c r="E36" s="39">
        <v>620484</v>
      </c>
    </row>
    <row r="37" spans="1:5" x14ac:dyDescent="0.35">
      <c r="A37" s="22" t="s">
        <v>200</v>
      </c>
      <c r="B37" s="22" t="s">
        <v>207</v>
      </c>
      <c r="C37" s="22" t="s">
        <v>229</v>
      </c>
      <c r="D37" s="22" t="s">
        <v>235</v>
      </c>
      <c r="E37" s="39">
        <v>285636.24285811867</v>
      </c>
    </row>
    <row r="38" spans="1:5" x14ac:dyDescent="0.35">
      <c r="A38" s="22" t="s">
        <v>116</v>
      </c>
      <c r="B38" s="22" t="s">
        <v>207</v>
      </c>
      <c r="C38" s="22" t="s">
        <v>229</v>
      </c>
      <c r="D38" s="22" t="s">
        <v>235</v>
      </c>
      <c r="E38" s="39">
        <v>479433.76193613571</v>
      </c>
    </row>
    <row r="39" spans="1:5" x14ac:dyDescent="0.35">
      <c r="A39" s="22" t="s">
        <v>117</v>
      </c>
      <c r="B39" s="22" t="s">
        <v>207</v>
      </c>
      <c r="C39" s="22" t="s">
        <v>229</v>
      </c>
      <c r="D39" s="22" t="s">
        <v>235</v>
      </c>
      <c r="E39" s="39">
        <v>552092.02374794497</v>
      </c>
    </row>
    <row r="40" spans="1:5" x14ac:dyDescent="0.35">
      <c r="A40" s="22" t="s">
        <v>118</v>
      </c>
      <c r="B40" s="22" t="s">
        <v>207</v>
      </c>
      <c r="C40" s="22" t="s">
        <v>229</v>
      </c>
      <c r="D40" s="22" t="s">
        <v>235</v>
      </c>
      <c r="E40" s="39">
        <v>569668.29233598092</v>
      </c>
    </row>
    <row r="41" spans="1:5" x14ac:dyDescent="0.35">
      <c r="A41" s="22" t="s">
        <v>119</v>
      </c>
      <c r="B41" s="22" t="s">
        <v>208</v>
      </c>
      <c r="C41" s="22" t="s">
        <v>229</v>
      </c>
      <c r="D41" s="22" t="s">
        <v>235</v>
      </c>
      <c r="E41" s="39">
        <v>261650.26355603401</v>
      </c>
    </row>
    <row r="42" spans="1:5" x14ac:dyDescent="0.35">
      <c r="A42" s="22" t="s">
        <v>120</v>
      </c>
      <c r="B42" s="22" t="s">
        <v>208</v>
      </c>
      <c r="C42" s="22" t="s">
        <v>229</v>
      </c>
      <c r="D42" s="22" t="s">
        <v>235</v>
      </c>
      <c r="E42" s="39">
        <v>608132.76871311024</v>
      </c>
    </row>
    <row r="43" spans="1:5" x14ac:dyDescent="0.35">
      <c r="A43" s="22" t="s">
        <v>121</v>
      </c>
      <c r="B43" s="22" t="s">
        <v>208</v>
      </c>
      <c r="C43" s="22" t="s">
        <v>229</v>
      </c>
      <c r="D43" s="22" t="s">
        <v>235</v>
      </c>
      <c r="E43" s="39">
        <v>406872.52674877929</v>
      </c>
    </row>
    <row r="44" spans="1:5" x14ac:dyDescent="0.35">
      <c r="A44" s="22" t="s">
        <v>122</v>
      </c>
      <c r="B44" s="22" t="s">
        <v>208</v>
      </c>
      <c r="C44" s="22" t="s">
        <v>229</v>
      </c>
      <c r="D44" s="22" t="s">
        <v>235</v>
      </c>
      <c r="E44" s="39">
        <v>744631.68783514795</v>
      </c>
    </row>
    <row r="45" spans="1:5" x14ac:dyDescent="0.35">
      <c r="A45" s="22" t="s">
        <v>123</v>
      </c>
      <c r="B45" s="22" t="s">
        <v>208</v>
      </c>
      <c r="C45" s="22" t="s">
        <v>229</v>
      </c>
      <c r="D45" s="22" t="s">
        <v>235</v>
      </c>
      <c r="E45" s="39">
        <v>382447.81006777991</v>
      </c>
    </row>
    <row r="46" spans="1:5" x14ac:dyDescent="0.35">
      <c r="A46" s="22" t="s">
        <v>124</v>
      </c>
      <c r="B46" s="22" t="s">
        <v>209</v>
      </c>
      <c r="C46" s="22" t="s">
        <v>229</v>
      </c>
      <c r="D46" s="22" t="s">
        <v>235</v>
      </c>
      <c r="E46" s="39">
        <v>359784.58638104488</v>
      </c>
    </row>
    <row r="47" spans="1:5" x14ac:dyDescent="0.35">
      <c r="A47" s="22" t="s">
        <v>125</v>
      </c>
      <c r="B47" s="22" t="s">
        <v>209</v>
      </c>
      <c r="C47" s="22" t="s">
        <v>229</v>
      </c>
      <c r="D47" s="22" t="s">
        <v>235</v>
      </c>
      <c r="E47" s="39">
        <v>533928.33823070885</v>
      </c>
    </row>
    <row r="48" spans="1:5" x14ac:dyDescent="0.35">
      <c r="A48" s="22" t="s">
        <v>126</v>
      </c>
      <c r="B48" s="22" t="s">
        <v>209</v>
      </c>
      <c r="C48" s="22" t="s">
        <v>229</v>
      </c>
      <c r="D48" s="22" t="s">
        <v>235</v>
      </c>
      <c r="E48" s="39">
        <v>646708.76896980486</v>
      </c>
    </row>
    <row r="49" spans="1:5" x14ac:dyDescent="0.35">
      <c r="A49" s="22" t="s">
        <v>127</v>
      </c>
      <c r="B49" s="22" t="s">
        <v>209</v>
      </c>
      <c r="C49" s="22" t="s">
        <v>229</v>
      </c>
      <c r="D49" s="22" t="s">
        <v>235</v>
      </c>
      <c r="E49" s="39">
        <v>464416.84100341174</v>
      </c>
    </row>
    <row r="50" spans="1:5" x14ac:dyDescent="0.35">
      <c r="A50" s="22" t="s">
        <v>128</v>
      </c>
      <c r="B50" s="22" t="s">
        <v>210</v>
      </c>
      <c r="C50" s="22" t="s">
        <v>229</v>
      </c>
      <c r="D50" s="22" t="s">
        <v>235</v>
      </c>
      <c r="E50" s="39">
        <v>429502.83273191762</v>
      </c>
    </row>
    <row r="51" spans="1:5" x14ac:dyDescent="0.35">
      <c r="A51" s="22" t="s">
        <v>129</v>
      </c>
      <c r="B51" s="22" t="s">
        <v>210</v>
      </c>
      <c r="C51" s="22" t="s">
        <v>229</v>
      </c>
      <c r="D51" s="22" t="s">
        <v>235</v>
      </c>
      <c r="E51" s="39">
        <v>348237.13989898295</v>
      </c>
    </row>
    <row r="52" spans="1:5" x14ac:dyDescent="0.35">
      <c r="A52" s="22" t="s">
        <v>130</v>
      </c>
      <c r="B52" s="22" t="s">
        <v>211</v>
      </c>
      <c r="C52" s="22" t="s">
        <v>229</v>
      </c>
      <c r="D52" s="22" t="s">
        <v>235</v>
      </c>
      <c r="E52" s="39">
        <v>587661.7248223779</v>
      </c>
    </row>
    <row r="53" spans="1:5" x14ac:dyDescent="0.35">
      <c r="A53" s="22" t="s">
        <v>131</v>
      </c>
      <c r="B53" s="22" t="s">
        <v>211</v>
      </c>
      <c r="C53" s="22" t="s">
        <v>229</v>
      </c>
      <c r="D53" s="22" t="s">
        <v>235</v>
      </c>
      <c r="E53" s="39">
        <v>551655.82363624452</v>
      </c>
    </row>
    <row r="54" spans="1:5" x14ac:dyDescent="0.35">
      <c r="A54" s="22" t="s">
        <v>132</v>
      </c>
      <c r="B54" s="22" t="s">
        <v>211</v>
      </c>
      <c r="C54" s="22" t="s">
        <v>229</v>
      </c>
      <c r="D54" s="22" t="s">
        <v>235</v>
      </c>
      <c r="E54" s="39">
        <v>279550.75052347465</v>
      </c>
    </row>
    <row r="55" spans="1:5" x14ac:dyDescent="0.35">
      <c r="A55" s="22" t="s">
        <v>133</v>
      </c>
      <c r="B55" s="22" t="s">
        <v>212</v>
      </c>
      <c r="C55" s="22" t="s">
        <v>230</v>
      </c>
      <c r="D55" s="22" t="s">
        <v>235</v>
      </c>
      <c r="E55" s="39">
        <v>163481.17253930782</v>
      </c>
    </row>
    <row r="56" spans="1:5" x14ac:dyDescent="0.35">
      <c r="A56" s="22" t="s">
        <v>134</v>
      </c>
      <c r="B56" s="22" t="s">
        <v>212</v>
      </c>
      <c r="C56" s="22" t="s">
        <v>230</v>
      </c>
      <c r="D56" s="22" t="s">
        <v>235</v>
      </c>
      <c r="E56" s="39">
        <v>134305.4516152307</v>
      </c>
    </row>
    <row r="57" spans="1:5" x14ac:dyDescent="0.35">
      <c r="A57" s="22" t="s">
        <v>135</v>
      </c>
      <c r="B57" s="22" t="s">
        <v>212</v>
      </c>
      <c r="C57" s="22" t="s">
        <v>230</v>
      </c>
      <c r="D57" s="22" t="s">
        <v>235</v>
      </c>
      <c r="E57" s="39">
        <v>127483.42000000001</v>
      </c>
    </row>
    <row r="58" spans="1:5" x14ac:dyDescent="0.35">
      <c r="A58" s="22" t="s">
        <v>136</v>
      </c>
      <c r="B58" s="22" t="s">
        <v>212</v>
      </c>
      <c r="C58" s="22" t="s">
        <v>230</v>
      </c>
      <c r="D58" s="22" t="s">
        <v>235</v>
      </c>
      <c r="E58" s="39">
        <v>200671.51966181296</v>
      </c>
    </row>
    <row r="59" spans="1:5" x14ac:dyDescent="0.35">
      <c r="A59" s="22" t="s">
        <v>137</v>
      </c>
      <c r="B59" s="22" t="s">
        <v>213</v>
      </c>
      <c r="C59" s="22" t="s">
        <v>230</v>
      </c>
      <c r="D59" s="22" t="s">
        <v>235</v>
      </c>
      <c r="E59" s="39">
        <v>581969.98583588575</v>
      </c>
    </row>
    <row r="60" spans="1:5" x14ac:dyDescent="0.35">
      <c r="A60" s="22" t="s">
        <v>138</v>
      </c>
      <c r="B60" s="22" t="s">
        <v>213</v>
      </c>
      <c r="C60" s="22" t="s">
        <v>230</v>
      </c>
      <c r="D60" s="22" t="s">
        <v>235</v>
      </c>
      <c r="E60" s="39">
        <v>549031.45947853103</v>
      </c>
    </row>
    <row r="61" spans="1:5" x14ac:dyDescent="0.35">
      <c r="A61" s="22" t="s">
        <v>139</v>
      </c>
      <c r="B61" s="22" t="s">
        <v>213</v>
      </c>
      <c r="C61" s="22" t="s">
        <v>230</v>
      </c>
      <c r="D61" s="22" t="s">
        <v>235</v>
      </c>
      <c r="E61" s="39">
        <v>280206.63409838441</v>
      </c>
    </row>
    <row r="62" spans="1:5" x14ac:dyDescent="0.35">
      <c r="A62" s="22" t="s">
        <v>140</v>
      </c>
      <c r="B62" s="22" t="s">
        <v>213</v>
      </c>
      <c r="C62" s="22" t="s">
        <v>230</v>
      </c>
      <c r="D62" s="22" t="s">
        <v>235</v>
      </c>
      <c r="E62" s="39">
        <v>404914.16661903751</v>
      </c>
    </row>
    <row r="63" spans="1:5" x14ac:dyDescent="0.35">
      <c r="A63" s="22" t="s">
        <v>141</v>
      </c>
      <c r="B63" s="22" t="s">
        <v>214</v>
      </c>
      <c r="C63" s="22" t="s">
        <v>230</v>
      </c>
      <c r="D63" s="22" t="s">
        <v>235</v>
      </c>
      <c r="E63" s="39">
        <v>182489.81573191567</v>
      </c>
    </row>
    <row r="64" spans="1:5" x14ac:dyDescent="0.35">
      <c r="A64" s="22" t="s">
        <v>142</v>
      </c>
      <c r="B64" s="22" t="s">
        <v>214</v>
      </c>
      <c r="C64" s="22" t="s">
        <v>230</v>
      </c>
      <c r="D64" s="22" t="s">
        <v>235</v>
      </c>
      <c r="E64" s="39">
        <v>130652.2</v>
      </c>
    </row>
    <row r="65" spans="1:5" x14ac:dyDescent="0.35">
      <c r="A65" s="22" t="s">
        <v>143</v>
      </c>
      <c r="B65" s="22" t="s">
        <v>214</v>
      </c>
      <c r="C65" s="22" t="s">
        <v>230</v>
      </c>
      <c r="D65" s="22" t="s">
        <v>235</v>
      </c>
      <c r="E65" s="39">
        <v>210640.30900662078</v>
      </c>
    </row>
    <row r="66" spans="1:5" x14ac:dyDescent="0.35">
      <c r="A66" s="22" t="s">
        <v>144</v>
      </c>
      <c r="B66" s="22" t="s">
        <v>214</v>
      </c>
      <c r="C66" s="22" t="s">
        <v>230</v>
      </c>
      <c r="D66" s="22" t="s">
        <v>235</v>
      </c>
      <c r="E66" s="39">
        <v>141907.73373693242</v>
      </c>
    </row>
    <row r="67" spans="1:5" x14ac:dyDescent="0.35">
      <c r="A67" s="22" t="s">
        <v>145</v>
      </c>
      <c r="B67" s="22" t="s">
        <v>214</v>
      </c>
      <c r="C67" s="22" t="s">
        <v>230</v>
      </c>
      <c r="D67" s="22" t="s">
        <v>235</v>
      </c>
      <c r="E67" s="39">
        <v>149496.71905225524</v>
      </c>
    </row>
    <row r="68" spans="1:5" x14ac:dyDescent="0.35">
      <c r="A68" s="22" t="s">
        <v>146</v>
      </c>
      <c r="B68" s="22" t="s">
        <v>215</v>
      </c>
      <c r="C68" s="22" t="s">
        <v>230</v>
      </c>
      <c r="D68" s="22" t="s">
        <v>235</v>
      </c>
      <c r="E68" s="39">
        <v>200404.29582342925</v>
      </c>
    </row>
    <row r="69" spans="1:5" x14ac:dyDescent="0.35">
      <c r="A69" s="22" t="s">
        <v>147</v>
      </c>
      <c r="B69" s="22" t="s">
        <v>215</v>
      </c>
      <c r="C69" s="22" t="s">
        <v>230</v>
      </c>
      <c r="D69" s="22" t="s">
        <v>235</v>
      </c>
      <c r="E69" s="39">
        <v>174557.38363719452</v>
      </c>
    </row>
    <row r="70" spans="1:5" x14ac:dyDescent="0.35">
      <c r="A70" s="22" t="s">
        <v>148</v>
      </c>
      <c r="B70" s="22" t="s">
        <v>215</v>
      </c>
      <c r="C70" s="22" t="s">
        <v>230</v>
      </c>
      <c r="D70" s="22" t="s">
        <v>235</v>
      </c>
      <c r="E70" s="39">
        <v>326891.22528782539</v>
      </c>
    </row>
    <row r="71" spans="1:5" x14ac:dyDescent="0.35">
      <c r="A71" s="22" t="s">
        <v>149</v>
      </c>
      <c r="B71" s="22" t="s">
        <v>215</v>
      </c>
      <c r="C71" s="22" t="s">
        <v>230</v>
      </c>
      <c r="D71" s="22" t="s">
        <v>235</v>
      </c>
      <c r="E71" s="39">
        <v>360832.30604579824</v>
      </c>
    </row>
    <row r="72" spans="1:5" x14ac:dyDescent="0.35">
      <c r="A72" s="22" t="s">
        <v>150</v>
      </c>
      <c r="B72" s="22" t="s">
        <v>216</v>
      </c>
      <c r="C72" s="22" t="s">
        <v>230</v>
      </c>
      <c r="D72" s="22" t="s">
        <v>235</v>
      </c>
      <c r="E72" s="39">
        <v>461746.7201884528</v>
      </c>
    </row>
    <row r="73" spans="1:5" x14ac:dyDescent="0.35">
      <c r="A73" s="22" t="s">
        <v>151</v>
      </c>
      <c r="B73" s="22" t="s">
        <v>216</v>
      </c>
      <c r="C73" s="22" t="s">
        <v>230</v>
      </c>
      <c r="D73" s="22" t="s">
        <v>235</v>
      </c>
      <c r="E73" s="39">
        <v>418155.93917196</v>
      </c>
    </row>
    <row r="74" spans="1:5" x14ac:dyDescent="0.35">
      <c r="A74" s="22" t="s">
        <v>152</v>
      </c>
      <c r="B74" s="22" t="s">
        <v>216</v>
      </c>
      <c r="C74" s="22" t="s">
        <v>230</v>
      </c>
      <c r="D74" s="22" t="s">
        <v>235</v>
      </c>
      <c r="E74" s="39">
        <v>421409.44632526051</v>
      </c>
    </row>
    <row r="75" spans="1:5" x14ac:dyDescent="0.35">
      <c r="A75" s="22" t="s">
        <v>153</v>
      </c>
      <c r="B75" s="22" t="s">
        <v>216</v>
      </c>
      <c r="C75" s="22" t="s">
        <v>230</v>
      </c>
      <c r="D75" s="22" t="s">
        <v>235</v>
      </c>
      <c r="E75" s="39">
        <v>432679.80605803791</v>
      </c>
    </row>
    <row r="76" spans="1:5" x14ac:dyDescent="0.35">
      <c r="A76" s="22" t="s">
        <v>154</v>
      </c>
      <c r="B76" s="22" t="s">
        <v>216</v>
      </c>
      <c r="C76" s="22" t="s">
        <v>230</v>
      </c>
      <c r="D76" s="22" t="s">
        <v>235</v>
      </c>
      <c r="E76" s="39">
        <v>470249.77986424224</v>
      </c>
    </row>
    <row r="77" spans="1:5" x14ac:dyDescent="0.35">
      <c r="A77" s="22" t="s">
        <v>155</v>
      </c>
      <c r="B77" s="22" t="s">
        <v>217</v>
      </c>
      <c r="C77" s="22" t="s">
        <v>230</v>
      </c>
      <c r="D77" s="22" t="s">
        <v>235</v>
      </c>
      <c r="E77" s="39">
        <v>391450.64461460675</v>
      </c>
    </row>
    <row r="78" spans="1:5" x14ac:dyDescent="0.35">
      <c r="A78" s="22" t="s">
        <v>156</v>
      </c>
      <c r="B78" s="22" t="s">
        <v>217</v>
      </c>
      <c r="C78" s="22" t="s">
        <v>230</v>
      </c>
      <c r="D78" s="22" t="s">
        <v>235</v>
      </c>
      <c r="E78" s="39">
        <v>729074.25267697871</v>
      </c>
    </row>
    <row r="79" spans="1:5" x14ac:dyDescent="0.35">
      <c r="A79" s="22" t="s">
        <v>157</v>
      </c>
      <c r="B79" s="22" t="s">
        <v>217</v>
      </c>
      <c r="C79" s="22" t="s">
        <v>230</v>
      </c>
      <c r="D79" s="22" t="s">
        <v>235</v>
      </c>
      <c r="E79" s="39">
        <v>729110.20365491428</v>
      </c>
    </row>
    <row r="80" spans="1:5" x14ac:dyDescent="0.35">
      <c r="A80" s="22" t="s">
        <v>158</v>
      </c>
      <c r="B80" s="22" t="s">
        <v>217</v>
      </c>
      <c r="C80" s="22" t="s">
        <v>230</v>
      </c>
      <c r="D80" s="22" t="s">
        <v>235</v>
      </c>
      <c r="E80" s="39">
        <v>810101.94793748739</v>
      </c>
    </row>
    <row r="81" spans="1:5" x14ac:dyDescent="0.35">
      <c r="A81" s="22" t="s">
        <v>159</v>
      </c>
      <c r="B81" s="22" t="s">
        <v>218</v>
      </c>
      <c r="C81" s="22" t="s">
        <v>230</v>
      </c>
      <c r="D81" s="22" t="s">
        <v>235</v>
      </c>
      <c r="E81" s="39">
        <v>645896.29976109508</v>
      </c>
    </row>
    <row r="82" spans="1:5" x14ac:dyDescent="0.35">
      <c r="A82" s="22" t="s">
        <v>160</v>
      </c>
      <c r="B82" s="22" t="s">
        <v>218</v>
      </c>
      <c r="C82" s="22" t="s">
        <v>230</v>
      </c>
      <c r="D82" s="22" t="s">
        <v>235</v>
      </c>
      <c r="E82" s="39">
        <v>273744.54000000004</v>
      </c>
    </row>
    <row r="83" spans="1:5" x14ac:dyDescent="0.35">
      <c r="A83" s="22" t="s">
        <v>161</v>
      </c>
      <c r="B83" s="22" t="s">
        <v>218</v>
      </c>
      <c r="C83" s="22" t="s">
        <v>230</v>
      </c>
      <c r="D83" s="22" t="s">
        <v>235</v>
      </c>
      <c r="E83" s="39">
        <v>674151.1834583336</v>
      </c>
    </row>
    <row r="84" spans="1:5" x14ac:dyDescent="0.35">
      <c r="A84" s="22" t="s">
        <v>162</v>
      </c>
      <c r="B84" s="22" t="s">
        <v>218</v>
      </c>
      <c r="C84" s="22" t="s">
        <v>230</v>
      </c>
      <c r="D84" s="22" t="s">
        <v>235</v>
      </c>
      <c r="E84" s="39">
        <v>179925.8118258279</v>
      </c>
    </row>
    <row r="85" spans="1:5" x14ac:dyDescent="0.35">
      <c r="A85" s="22" t="s">
        <v>163</v>
      </c>
      <c r="B85" s="22" t="s">
        <v>219</v>
      </c>
      <c r="C85" s="22" t="s">
        <v>231</v>
      </c>
      <c r="D85" s="22" t="s">
        <v>235</v>
      </c>
      <c r="E85" s="39">
        <v>319622.15502927755</v>
      </c>
    </row>
    <row r="86" spans="1:5" x14ac:dyDescent="0.35">
      <c r="A86" s="22" t="s">
        <v>164</v>
      </c>
      <c r="B86" s="22" t="s">
        <v>219</v>
      </c>
      <c r="C86" s="22" t="s">
        <v>231</v>
      </c>
      <c r="D86" s="22" t="s">
        <v>235</v>
      </c>
      <c r="E86" s="39">
        <v>355435.28149944701</v>
      </c>
    </row>
    <row r="87" spans="1:5" x14ac:dyDescent="0.35">
      <c r="A87" s="22" t="s">
        <v>165</v>
      </c>
      <c r="B87" s="22" t="s">
        <v>219</v>
      </c>
      <c r="C87" s="22" t="s">
        <v>231</v>
      </c>
      <c r="D87" s="22" t="s">
        <v>235</v>
      </c>
      <c r="E87" s="39">
        <v>472811.12250133458</v>
      </c>
    </row>
    <row r="88" spans="1:5" x14ac:dyDescent="0.35">
      <c r="A88" s="22" t="s">
        <v>166</v>
      </c>
      <c r="B88" s="22" t="s">
        <v>219</v>
      </c>
      <c r="C88" s="22" t="s">
        <v>231</v>
      </c>
      <c r="D88" s="22" t="s">
        <v>235</v>
      </c>
      <c r="E88" s="39">
        <v>530445.50974207651</v>
      </c>
    </row>
    <row r="89" spans="1:5" x14ac:dyDescent="0.35">
      <c r="A89" s="22" t="s">
        <v>167</v>
      </c>
      <c r="B89" s="22" t="s">
        <v>220</v>
      </c>
      <c r="C89" s="22" t="s">
        <v>231</v>
      </c>
      <c r="D89" s="22" t="s">
        <v>235</v>
      </c>
      <c r="E89" s="39">
        <v>522384.36379851919</v>
      </c>
    </row>
    <row r="90" spans="1:5" x14ac:dyDescent="0.35">
      <c r="A90" s="22" t="s">
        <v>168</v>
      </c>
      <c r="B90" s="22" t="s">
        <v>220</v>
      </c>
      <c r="C90" s="22" t="s">
        <v>231</v>
      </c>
      <c r="D90" s="22" t="s">
        <v>235</v>
      </c>
      <c r="E90" s="39">
        <v>426674.37118102564</v>
      </c>
    </row>
    <row r="91" spans="1:5" x14ac:dyDescent="0.35">
      <c r="A91" s="22" t="s">
        <v>169</v>
      </c>
      <c r="B91" s="22" t="s">
        <v>220</v>
      </c>
      <c r="C91" s="22" t="s">
        <v>231</v>
      </c>
      <c r="D91" s="22" t="s">
        <v>235</v>
      </c>
      <c r="E91" s="39">
        <v>473269.95770739461</v>
      </c>
    </row>
    <row r="92" spans="1:5" x14ac:dyDescent="0.35">
      <c r="A92" s="22" t="s">
        <v>170</v>
      </c>
      <c r="B92" s="22" t="s">
        <v>221</v>
      </c>
      <c r="C92" s="22" t="s">
        <v>231</v>
      </c>
      <c r="D92" s="22" t="s">
        <v>235</v>
      </c>
      <c r="E92" s="39">
        <v>290414.15548770665</v>
      </c>
    </row>
    <row r="93" spans="1:5" x14ac:dyDescent="0.35">
      <c r="A93" s="22" t="s">
        <v>171</v>
      </c>
      <c r="B93" s="22" t="s">
        <v>221</v>
      </c>
      <c r="C93" s="22" t="s">
        <v>231</v>
      </c>
      <c r="D93" s="22" t="s">
        <v>235</v>
      </c>
      <c r="E93" s="39">
        <v>359705.71170963329</v>
      </c>
    </row>
    <row r="94" spans="1:5" x14ac:dyDescent="0.35">
      <c r="A94" s="22" t="s">
        <v>172</v>
      </c>
      <c r="B94" s="22" t="s">
        <v>221</v>
      </c>
      <c r="C94" s="22" t="s">
        <v>231</v>
      </c>
      <c r="D94" s="22" t="s">
        <v>235</v>
      </c>
      <c r="E94" s="39">
        <v>324929.62203457661</v>
      </c>
    </row>
    <row r="95" spans="1:5" x14ac:dyDescent="0.35">
      <c r="A95" s="22" t="s">
        <v>173</v>
      </c>
      <c r="B95" s="22" t="s">
        <v>222</v>
      </c>
      <c r="C95" s="22" t="s">
        <v>231</v>
      </c>
      <c r="D95" s="22" t="s">
        <v>235</v>
      </c>
      <c r="E95" s="39">
        <v>441061.7064550427</v>
      </c>
    </row>
    <row r="96" spans="1:5" x14ac:dyDescent="0.35">
      <c r="A96" s="22" t="s">
        <v>174</v>
      </c>
      <c r="B96" s="22" t="s">
        <v>222</v>
      </c>
      <c r="C96" s="22" t="s">
        <v>231</v>
      </c>
      <c r="D96" s="22" t="s">
        <v>235</v>
      </c>
      <c r="E96" s="39">
        <v>499507.9142797931</v>
      </c>
    </row>
    <row r="97" spans="1:5" x14ac:dyDescent="0.35">
      <c r="A97" s="22" t="s">
        <v>175</v>
      </c>
      <c r="B97" s="22" t="s">
        <v>222</v>
      </c>
      <c r="C97" s="22" t="s">
        <v>231</v>
      </c>
      <c r="D97" s="22" t="s">
        <v>235</v>
      </c>
      <c r="E97" s="39">
        <v>696467.00184727204</v>
      </c>
    </row>
    <row r="98" spans="1:5" x14ac:dyDescent="0.35">
      <c r="A98" s="22" t="s">
        <v>176</v>
      </c>
      <c r="B98" s="22" t="s">
        <v>222</v>
      </c>
      <c r="C98" s="22" t="s">
        <v>231</v>
      </c>
      <c r="D98" s="22" t="s">
        <v>235</v>
      </c>
      <c r="E98" s="39">
        <v>464114.12403982272</v>
      </c>
    </row>
    <row r="99" spans="1:5" x14ac:dyDescent="0.35">
      <c r="A99" s="22" t="s">
        <v>177</v>
      </c>
      <c r="B99" s="22" t="s">
        <v>223</v>
      </c>
      <c r="C99" s="22" t="s">
        <v>231</v>
      </c>
      <c r="D99" s="22" t="s">
        <v>235</v>
      </c>
      <c r="E99" s="39">
        <v>715486.652582607</v>
      </c>
    </row>
    <row r="100" spans="1:5" x14ac:dyDescent="0.35">
      <c r="A100" s="22" t="s">
        <v>178</v>
      </c>
      <c r="B100" s="22" t="s">
        <v>223</v>
      </c>
      <c r="C100" s="22" t="s">
        <v>231</v>
      </c>
      <c r="D100" s="22" t="s">
        <v>235</v>
      </c>
      <c r="E100" s="39">
        <v>514006.34255830204</v>
      </c>
    </row>
    <row r="101" spans="1:5" x14ac:dyDescent="0.35">
      <c r="A101" s="22" t="s">
        <v>179</v>
      </c>
      <c r="B101" s="22" t="s">
        <v>223</v>
      </c>
      <c r="C101" s="22" t="s">
        <v>231</v>
      </c>
      <c r="D101" s="22" t="s">
        <v>235</v>
      </c>
      <c r="E101" s="39">
        <v>401368.21709280217</v>
      </c>
    </row>
    <row r="102" spans="1:5" x14ac:dyDescent="0.35">
      <c r="A102" s="22" t="s">
        <v>180</v>
      </c>
      <c r="B102" s="22" t="s">
        <v>223</v>
      </c>
      <c r="C102" s="22" t="s">
        <v>231</v>
      </c>
      <c r="D102" s="22" t="s">
        <v>235</v>
      </c>
      <c r="E102" s="39">
        <v>667449.24965378479</v>
      </c>
    </row>
    <row r="103" spans="1:5" x14ac:dyDescent="0.35">
      <c r="A103" s="22" t="s">
        <v>181</v>
      </c>
      <c r="B103" s="22" t="s">
        <v>224</v>
      </c>
      <c r="C103" s="22" t="s">
        <v>231</v>
      </c>
      <c r="D103" s="22" t="s">
        <v>235</v>
      </c>
      <c r="E103" s="39">
        <v>461411.54337399773</v>
      </c>
    </row>
    <row r="104" spans="1:5" x14ac:dyDescent="0.35">
      <c r="A104" s="22" t="s">
        <v>182</v>
      </c>
      <c r="B104" s="22" t="s">
        <v>224</v>
      </c>
      <c r="C104" s="22" t="s">
        <v>231</v>
      </c>
      <c r="D104" s="22" t="s">
        <v>235</v>
      </c>
      <c r="E104" s="39">
        <v>327451.53210526245</v>
      </c>
    </row>
    <row r="105" spans="1:5" x14ac:dyDescent="0.35">
      <c r="A105" s="22" t="s">
        <v>183</v>
      </c>
      <c r="B105" s="22" t="s">
        <v>224</v>
      </c>
      <c r="C105" s="22" t="s">
        <v>231</v>
      </c>
      <c r="D105" s="22" t="s">
        <v>235</v>
      </c>
      <c r="E105" s="39">
        <v>638468.10660153301</v>
      </c>
    </row>
    <row r="106" spans="1:5" x14ac:dyDescent="0.35">
      <c r="A106" s="22" t="s">
        <v>184</v>
      </c>
      <c r="B106" s="22" t="s">
        <v>224</v>
      </c>
      <c r="C106" s="22" t="s">
        <v>231</v>
      </c>
      <c r="D106" s="22" t="s">
        <v>235</v>
      </c>
      <c r="E106" s="39">
        <v>348284.66119695996</v>
      </c>
    </row>
    <row r="107" spans="1:5" x14ac:dyDescent="0.35">
      <c r="A107" s="22" t="s">
        <v>185</v>
      </c>
      <c r="B107" s="22" t="s">
        <v>224</v>
      </c>
      <c r="C107" s="22" t="s">
        <v>231</v>
      </c>
      <c r="D107" s="22" t="s">
        <v>235</v>
      </c>
      <c r="E107" s="39">
        <v>313372.97080491361</v>
      </c>
    </row>
    <row r="108" spans="1:5" x14ac:dyDescent="0.35">
      <c r="A108" s="22" t="s">
        <v>186</v>
      </c>
      <c r="B108" s="22" t="s">
        <v>225</v>
      </c>
      <c r="C108" s="22" t="s">
        <v>231</v>
      </c>
      <c r="D108" s="22" t="s">
        <v>235</v>
      </c>
      <c r="E108" s="39">
        <v>406160.16513185372</v>
      </c>
    </row>
    <row r="109" spans="1:5" x14ac:dyDescent="0.35">
      <c r="A109" s="22" t="s">
        <v>187</v>
      </c>
      <c r="B109" s="22" t="s">
        <v>225</v>
      </c>
      <c r="C109" s="22" t="s">
        <v>231</v>
      </c>
      <c r="D109" s="22" t="s">
        <v>235</v>
      </c>
      <c r="E109" s="39">
        <v>371484.26889596804</v>
      </c>
    </row>
    <row r="110" spans="1:5" x14ac:dyDescent="0.35">
      <c r="A110" s="22" t="s">
        <v>188</v>
      </c>
      <c r="B110" s="22" t="s">
        <v>225</v>
      </c>
      <c r="C110" s="22" t="s">
        <v>231</v>
      </c>
      <c r="D110" s="22" t="s">
        <v>235</v>
      </c>
      <c r="E110" s="39">
        <v>487437.87659896165</v>
      </c>
    </row>
    <row r="111" spans="1:5" x14ac:dyDescent="0.35">
      <c r="A111" s="22" t="s">
        <v>189</v>
      </c>
      <c r="B111" s="22" t="s">
        <v>226</v>
      </c>
      <c r="C111" s="22" t="s">
        <v>231</v>
      </c>
      <c r="D111" s="22" t="s">
        <v>235</v>
      </c>
      <c r="E111" s="39">
        <v>337254.17814052291</v>
      </c>
    </row>
    <row r="112" spans="1:5" x14ac:dyDescent="0.35">
      <c r="A112" s="22" t="s">
        <v>190</v>
      </c>
      <c r="B112" s="22" t="s">
        <v>226</v>
      </c>
      <c r="C112" s="22" t="s">
        <v>231</v>
      </c>
      <c r="D112" s="22" t="s">
        <v>235</v>
      </c>
      <c r="E112" s="39">
        <v>390348.93830776209</v>
      </c>
    </row>
    <row r="113" spans="1:5" x14ac:dyDescent="0.35">
      <c r="A113" s="22" t="s">
        <v>191</v>
      </c>
      <c r="B113" s="22" t="s">
        <v>226</v>
      </c>
      <c r="C113" s="22" t="s">
        <v>231</v>
      </c>
      <c r="D113" s="22" t="s">
        <v>235</v>
      </c>
      <c r="E113" s="39">
        <v>252485.87735796857</v>
      </c>
    </row>
    <row r="114" spans="1:5" x14ac:dyDescent="0.35">
      <c r="A114" s="22" t="s">
        <v>192</v>
      </c>
      <c r="B114" s="22" t="s">
        <v>226</v>
      </c>
      <c r="C114" s="22" t="s">
        <v>231</v>
      </c>
      <c r="D114" s="22" t="s">
        <v>235</v>
      </c>
      <c r="E114" s="39">
        <v>388387.13664073544</v>
      </c>
    </row>
    <row r="115" spans="1:5" x14ac:dyDescent="0.35">
      <c r="A115" s="22"/>
      <c r="B115" s="22"/>
      <c r="C115" s="22"/>
      <c r="D115" s="22"/>
      <c r="E115" s="48">
        <f>SUM(E2:E114)</f>
        <v>50915411.376507938</v>
      </c>
    </row>
    <row r="116" spans="1:5" x14ac:dyDescent="0.35">
      <c r="A116" s="22"/>
      <c r="B116" s="22"/>
      <c r="C116" s="22"/>
      <c r="D116" s="22"/>
      <c r="E116" s="39"/>
    </row>
    <row r="117" spans="1:5" x14ac:dyDescent="0.35">
      <c r="A117" s="22"/>
      <c r="B117" s="22"/>
      <c r="C117" s="22"/>
      <c r="D117" s="22"/>
      <c r="E117" s="39"/>
    </row>
    <row r="118" spans="1:5" x14ac:dyDescent="0.35">
      <c r="A118" s="22"/>
      <c r="B118" s="22"/>
      <c r="C118" s="22"/>
      <c r="D118" s="22"/>
      <c r="E118" s="39"/>
    </row>
    <row r="119" spans="1:5" x14ac:dyDescent="0.35">
      <c r="A119" s="22"/>
      <c r="B119" s="22"/>
      <c r="C119" s="22"/>
      <c r="D119" s="22"/>
      <c r="E119" s="39"/>
    </row>
    <row r="120" spans="1:5" x14ac:dyDescent="0.35">
      <c r="A120" s="22"/>
      <c r="B120" s="22"/>
      <c r="C120" s="22"/>
      <c r="D120" s="22"/>
      <c r="E120" s="39"/>
    </row>
    <row r="121" spans="1:5" x14ac:dyDescent="0.35">
      <c r="A121" s="22"/>
      <c r="B121" s="22"/>
      <c r="C121" s="22"/>
      <c r="D121" s="22"/>
      <c r="E121" s="39"/>
    </row>
    <row r="122" spans="1:5" x14ac:dyDescent="0.35">
      <c r="A122" s="22"/>
      <c r="B122" s="22"/>
      <c r="C122" s="22"/>
      <c r="D122" s="22"/>
      <c r="E122" s="39"/>
    </row>
    <row r="123" spans="1:5" x14ac:dyDescent="0.35">
      <c r="A123" s="22"/>
      <c r="B123" s="22"/>
      <c r="C123" s="22"/>
      <c r="D123" s="22"/>
      <c r="E123" s="39"/>
    </row>
    <row r="124" spans="1:5" x14ac:dyDescent="0.35">
      <c r="A124" s="22"/>
      <c r="B124" s="22"/>
      <c r="C124" s="22"/>
      <c r="D124" s="22"/>
      <c r="E124" s="39"/>
    </row>
    <row r="125" spans="1:5" x14ac:dyDescent="0.35">
      <c r="A125" s="22"/>
      <c r="B125" s="22"/>
      <c r="C125" s="22"/>
      <c r="D125" s="22"/>
      <c r="E125" s="39"/>
    </row>
    <row r="126" spans="1:5" x14ac:dyDescent="0.35">
      <c r="A126" s="22"/>
      <c r="B126" s="22"/>
      <c r="C126" s="22"/>
      <c r="D126" s="22"/>
      <c r="E126" s="39"/>
    </row>
    <row r="127" spans="1:5" x14ac:dyDescent="0.35">
      <c r="A127" s="22"/>
      <c r="B127" s="22"/>
      <c r="C127" s="22"/>
      <c r="D127" s="22"/>
      <c r="E127" s="39"/>
    </row>
    <row r="128" spans="1:5" x14ac:dyDescent="0.35">
      <c r="A128" s="22"/>
      <c r="B128" s="22"/>
      <c r="C128" s="22"/>
      <c r="D128" s="22"/>
      <c r="E128" s="39"/>
    </row>
    <row r="129" spans="1:5" x14ac:dyDescent="0.35">
      <c r="A129" s="22"/>
      <c r="B129" s="22"/>
      <c r="C129" s="22"/>
      <c r="D129" s="22"/>
      <c r="E129" s="39"/>
    </row>
    <row r="130" spans="1:5" x14ac:dyDescent="0.35">
      <c r="A130" s="22"/>
      <c r="B130" s="22"/>
      <c r="C130" s="22"/>
      <c r="D130" s="22"/>
      <c r="E130" s="39"/>
    </row>
    <row r="131" spans="1:5" x14ac:dyDescent="0.35">
      <c r="A131" s="22"/>
      <c r="B131" s="22"/>
      <c r="C131" s="22"/>
      <c r="D131" s="22"/>
      <c r="E131" s="39"/>
    </row>
    <row r="132" spans="1:5" x14ac:dyDescent="0.35">
      <c r="A132" s="22"/>
      <c r="B132" s="22"/>
      <c r="C132" s="22"/>
      <c r="D132" s="22"/>
      <c r="E132" s="39"/>
    </row>
    <row r="133" spans="1:5" x14ac:dyDescent="0.35">
      <c r="A133" s="22"/>
      <c r="B133" s="22"/>
      <c r="C133" s="22"/>
      <c r="D133" s="22"/>
      <c r="E133" s="39"/>
    </row>
    <row r="134" spans="1:5" x14ac:dyDescent="0.35">
      <c r="A134" s="22"/>
      <c r="B134" s="22"/>
      <c r="C134" s="22"/>
      <c r="D134" s="22"/>
      <c r="E134" s="39"/>
    </row>
    <row r="135" spans="1:5" x14ac:dyDescent="0.35">
      <c r="A135" s="22"/>
      <c r="B135" s="22"/>
      <c r="C135" s="22"/>
      <c r="D135" s="22"/>
      <c r="E135" s="39"/>
    </row>
    <row r="136" spans="1:5" x14ac:dyDescent="0.35">
      <c r="A136" s="22"/>
      <c r="B136" s="22"/>
      <c r="C136" s="22"/>
      <c r="D136" s="22"/>
      <c r="E136" s="39"/>
    </row>
    <row r="137" spans="1:5" x14ac:dyDescent="0.35">
      <c r="A137" s="22"/>
      <c r="B137" s="22"/>
      <c r="C137" s="22"/>
      <c r="D137" s="22"/>
      <c r="E137" s="39"/>
    </row>
    <row r="138" spans="1:5" x14ac:dyDescent="0.35">
      <c r="A138" s="22"/>
      <c r="B138" s="22"/>
      <c r="C138" s="22"/>
      <c r="D138" s="22"/>
      <c r="E138" s="39"/>
    </row>
    <row r="139" spans="1:5" x14ac:dyDescent="0.35">
      <c r="A139" s="22"/>
      <c r="B139" s="22"/>
      <c r="C139" s="22"/>
      <c r="D139" s="22"/>
      <c r="E139" s="39"/>
    </row>
    <row r="140" spans="1:5" x14ac:dyDescent="0.35">
      <c r="A140" s="22"/>
      <c r="B140" s="22"/>
      <c r="C140" s="22"/>
      <c r="D140" s="22"/>
      <c r="E140" s="39"/>
    </row>
    <row r="141" spans="1:5" x14ac:dyDescent="0.35">
      <c r="A141" s="22"/>
      <c r="B141" s="22"/>
      <c r="C141" s="22"/>
      <c r="D141" s="22"/>
      <c r="E141" s="39"/>
    </row>
    <row r="142" spans="1:5" x14ac:dyDescent="0.35">
      <c r="A142" s="22"/>
      <c r="B142" s="22"/>
      <c r="C142" s="22"/>
      <c r="D142" s="22"/>
      <c r="E142" s="39"/>
    </row>
    <row r="143" spans="1:5" x14ac:dyDescent="0.35">
      <c r="A143" s="22"/>
      <c r="B143" s="22"/>
      <c r="C143" s="22"/>
      <c r="D143" s="22"/>
      <c r="E143" s="39"/>
    </row>
    <row r="144" spans="1:5" x14ac:dyDescent="0.35">
      <c r="A144" s="22"/>
      <c r="B144" s="22"/>
      <c r="C144" s="22"/>
      <c r="D144" s="22"/>
      <c r="E144" s="39"/>
    </row>
    <row r="145" spans="1:5" x14ac:dyDescent="0.35">
      <c r="A145" s="22"/>
      <c r="B145" s="22"/>
      <c r="C145" s="22"/>
      <c r="D145" s="22"/>
      <c r="E145" s="39"/>
    </row>
    <row r="146" spans="1:5" x14ac:dyDescent="0.35">
      <c r="A146" s="22"/>
      <c r="B146" s="22"/>
      <c r="C146" s="22"/>
      <c r="D146" s="22"/>
      <c r="E146" s="39"/>
    </row>
    <row r="147" spans="1:5" x14ac:dyDescent="0.35">
      <c r="A147" s="22"/>
      <c r="B147" s="22"/>
      <c r="C147" s="22"/>
      <c r="D147" s="22"/>
      <c r="E147" s="39"/>
    </row>
    <row r="148" spans="1:5" x14ac:dyDescent="0.35">
      <c r="A148" s="22"/>
      <c r="B148" s="22"/>
      <c r="C148" s="22"/>
      <c r="D148" s="22"/>
      <c r="E148" s="39"/>
    </row>
    <row r="149" spans="1:5" x14ac:dyDescent="0.35">
      <c r="A149" s="22"/>
      <c r="B149" s="22"/>
      <c r="C149" s="22"/>
      <c r="D149" s="22"/>
      <c r="E149" s="39"/>
    </row>
    <row r="150" spans="1:5" x14ac:dyDescent="0.35">
      <c r="A150" s="22"/>
      <c r="B150" s="22"/>
      <c r="C150" s="22"/>
      <c r="D150" s="22"/>
      <c r="E150" s="39"/>
    </row>
    <row r="151" spans="1:5" x14ac:dyDescent="0.35">
      <c r="A151" s="22"/>
      <c r="B151" s="22"/>
      <c r="C151" s="22"/>
      <c r="D151" s="22"/>
      <c r="E151" s="39"/>
    </row>
    <row r="152" spans="1:5" x14ac:dyDescent="0.35">
      <c r="A152" s="22"/>
      <c r="B152" s="22"/>
      <c r="C152" s="22"/>
      <c r="D152" s="22"/>
      <c r="E152" s="39"/>
    </row>
    <row r="153" spans="1:5" x14ac:dyDescent="0.35">
      <c r="A153" s="22"/>
      <c r="B153" s="22"/>
      <c r="C153" s="22"/>
      <c r="D153" s="22"/>
      <c r="E153" s="39"/>
    </row>
    <row r="154" spans="1:5" x14ac:dyDescent="0.35">
      <c r="A154" s="22"/>
      <c r="B154" s="22"/>
      <c r="C154" s="22"/>
      <c r="D154" s="22"/>
      <c r="E154" s="39"/>
    </row>
    <row r="155" spans="1:5" x14ac:dyDescent="0.35">
      <c r="A155" s="22"/>
      <c r="B155" s="22"/>
      <c r="C155" s="22"/>
      <c r="D155" s="22"/>
      <c r="E155" s="39"/>
    </row>
    <row r="156" spans="1:5" x14ac:dyDescent="0.35">
      <c r="A156" s="22"/>
      <c r="B156" s="22"/>
      <c r="C156" s="22"/>
      <c r="D156" s="22"/>
      <c r="E156" s="39"/>
    </row>
    <row r="157" spans="1:5" x14ac:dyDescent="0.35">
      <c r="A157" s="22"/>
      <c r="B157" s="22"/>
      <c r="C157" s="22"/>
      <c r="D157" s="22"/>
      <c r="E157" s="39"/>
    </row>
    <row r="158" spans="1:5" x14ac:dyDescent="0.35">
      <c r="A158" s="22"/>
      <c r="B158" s="22"/>
      <c r="C158" s="22"/>
      <c r="D158" s="22"/>
      <c r="E158" s="39"/>
    </row>
    <row r="159" spans="1:5" x14ac:dyDescent="0.35">
      <c r="A159" s="22"/>
      <c r="B159" s="22"/>
      <c r="C159" s="22"/>
      <c r="D159" s="22"/>
      <c r="E159" s="39"/>
    </row>
    <row r="160" spans="1:5" x14ac:dyDescent="0.35">
      <c r="A160" s="22"/>
      <c r="B160" s="22"/>
      <c r="C160" s="22"/>
      <c r="D160" s="22"/>
      <c r="E160" s="39"/>
    </row>
    <row r="161" spans="1:5" x14ac:dyDescent="0.35">
      <c r="A161" s="22"/>
      <c r="B161" s="22"/>
      <c r="C161" s="22"/>
      <c r="D161" s="22"/>
      <c r="E161" s="39"/>
    </row>
    <row r="162" spans="1:5" x14ac:dyDescent="0.35">
      <c r="A162" s="22"/>
      <c r="B162" s="22"/>
      <c r="C162" s="22"/>
      <c r="D162" s="22"/>
      <c r="E162" s="39"/>
    </row>
    <row r="163" spans="1:5" x14ac:dyDescent="0.35">
      <c r="A163" s="22"/>
      <c r="B163" s="22"/>
      <c r="C163" s="22"/>
      <c r="D163" s="22"/>
      <c r="E163" s="39"/>
    </row>
    <row r="164" spans="1:5" x14ac:dyDescent="0.35">
      <c r="A164" s="22"/>
      <c r="B164" s="22"/>
      <c r="C164" s="22"/>
      <c r="D164" s="22"/>
      <c r="E164" s="39"/>
    </row>
    <row r="165" spans="1:5" x14ac:dyDescent="0.35">
      <c r="A165" s="22"/>
      <c r="B165" s="22"/>
      <c r="C165" s="22"/>
      <c r="D165" s="22"/>
      <c r="E165" s="39"/>
    </row>
    <row r="166" spans="1:5" x14ac:dyDescent="0.35">
      <c r="A166" s="22"/>
      <c r="B166" s="22"/>
      <c r="C166" s="22"/>
      <c r="D166" s="22"/>
      <c r="E166" s="39"/>
    </row>
    <row r="167" spans="1:5" x14ac:dyDescent="0.35">
      <c r="A167" s="22"/>
      <c r="B167" s="22"/>
      <c r="C167" s="22"/>
      <c r="D167" s="22"/>
      <c r="E167" s="39"/>
    </row>
    <row r="168" spans="1:5" x14ac:dyDescent="0.35">
      <c r="A168" s="22"/>
      <c r="B168" s="22"/>
      <c r="C168" s="22"/>
      <c r="D168" s="22"/>
      <c r="E168" s="39"/>
    </row>
    <row r="169" spans="1:5" x14ac:dyDescent="0.35">
      <c r="A169" s="22"/>
      <c r="B169" s="22"/>
      <c r="C169" s="22"/>
      <c r="D169" s="22"/>
      <c r="E169" s="39"/>
    </row>
    <row r="170" spans="1:5" x14ac:dyDescent="0.35">
      <c r="A170" s="22"/>
      <c r="B170" s="22"/>
      <c r="C170" s="22"/>
      <c r="D170" s="22"/>
      <c r="E170" s="39"/>
    </row>
    <row r="171" spans="1:5" x14ac:dyDescent="0.35">
      <c r="A171" s="22"/>
      <c r="B171" s="22"/>
      <c r="C171" s="22"/>
      <c r="D171" s="22"/>
      <c r="E171" s="39"/>
    </row>
    <row r="172" spans="1:5" x14ac:dyDescent="0.35">
      <c r="A172" s="22"/>
      <c r="B172" s="22"/>
      <c r="C172" s="22"/>
      <c r="D172" s="22"/>
      <c r="E172" s="39"/>
    </row>
    <row r="173" spans="1:5" x14ac:dyDescent="0.35">
      <c r="A173" s="40"/>
      <c r="B173" s="40"/>
      <c r="C173" s="40"/>
      <c r="D173" s="40"/>
      <c r="E173" s="39"/>
    </row>
    <row r="174" spans="1:5" x14ac:dyDescent="0.35">
      <c r="A174" s="22"/>
      <c r="B174" s="22"/>
      <c r="C174" s="22"/>
      <c r="D174" s="22"/>
      <c r="E174" s="39"/>
    </row>
    <row r="175" spans="1:5" x14ac:dyDescent="0.35">
      <c r="A175" s="22"/>
      <c r="B175" s="22"/>
      <c r="C175" s="22"/>
      <c r="D175" s="22"/>
      <c r="E175" s="39"/>
    </row>
    <row r="176" spans="1:5" x14ac:dyDescent="0.35">
      <c r="A176" s="22"/>
      <c r="B176" s="22"/>
      <c r="C176" s="22"/>
      <c r="D176" s="22"/>
      <c r="E176" s="39"/>
    </row>
    <row r="177" spans="1:5" x14ac:dyDescent="0.35">
      <c r="A177" s="22"/>
      <c r="B177" s="22"/>
      <c r="C177" s="22"/>
      <c r="D177" s="22"/>
      <c r="E177" s="39"/>
    </row>
    <row r="178" spans="1:5" x14ac:dyDescent="0.35">
      <c r="A178" s="22"/>
      <c r="B178" s="22"/>
      <c r="C178" s="22"/>
      <c r="D178" s="22"/>
      <c r="E178" s="39"/>
    </row>
    <row r="179" spans="1:5" x14ac:dyDescent="0.35">
      <c r="A179" s="22"/>
      <c r="B179" s="22"/>
      <c r="C179" s="22"/>
      <c r="D179" s="22"/>
      <c r="E179" s="39"/>
    </row>
    <row r="180" spans="1:5" x14ac:dyDescent="0.35">
      <c r="A180" s="22"/>
      <c r="B180" s="22"/>
      <c r="C180" s="22"/>
      <c r="D180" s="22"/>
      <c r="E180" s="39"/>
    </row>
    <row r="181" spans="1:5" x14ac:dyDescent="0.35">
      <c r="A181" s="22"/>
      <c r="B181" s="22"/>
      <c r="C181" s="22"/>
      <c r="D181" s="22"/>
      <c r="E181" s="39"/>
    </row>
    <row r="182" spans="1:5" x14ac:dyDescent="0.35">
      <c r="A182" s="22"/>
      <c r="B182" s="22"/>
      <c r="C182" s="22"/>
      <c r="D182" s="22"/>
      <c r="E182" s="39"/>
    </row>
    <row r="183" spans="1:5" x14ac:dyDescent="0.35">
      <c r="A183" s="22"/>
      <c r="B183" s="22"/>
      <c r="C183" s="22"/>
      <c r="D183" s="22"/>
      <c r="E183" s="39"/>
    </row>
    <row r="184" spans="1:5" x14ac:dyDescent="0.35">
      <c r="A184" s="22"/>
      <c r="B184" s="22"/>
      <c r="C184" s="22"/>
      <c r="D184" s="22"/>
      <c r="E184" s="39"/>
    </row>
    <row r="185" spans="1:5" x14ac:dyDescent="0.35">
      <c r="A185" s="22"/>
      <c r="B185" s="22"/>
      <c r="C185" s="22"/>
      <c r="D185" s="22"/>
      <c r="E185" s="39"/>
    </row>
    <row r="186" spans="1:5" x14ac:dyDescent="0.35">
      <c r="E18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42C1-831F-4B8A-B9D4-F1F14D9DE4AA}">
  <dimension ref="A1:AF115"/>
  <sheetViews>
    <sheetView workbookViewId="0">
      <selection activeCell="A9" sqref="A9"/>
    </sheetView>
  </sheetViews>
  <sheetFormatPr defaultRowHeight="14.5" x14ac:dyDescent="0.35"/>
  <cols>
    <col min="1" max="1" width="16.453125" bestFit="1" customWidth="1"/>
    <col min="13" max="13" width="13.6328125" customWidth="1"/>
    <col min="14" max="14" width="14.6328125" customWidth="1"/>
    <col min="15" max="15" width="13.7265625" customWidth="1"/>
    <col min="16" max="16" width="10.36328125" customWidth="1"/>
    <col min="17" max="17" width="12.453125" customWidth="1"/>
    <col min="18" max="18" width="12.26953125" customWidth="1"/>
    <col min="19" max="19" width="15.26953125" customWidth="1"/>
    <col min="20" max="20" width="11.90625" customWidth="1"/>
    <col min="21" max="21" width="12.1796875" customWidth="1"/>
    <col min="22" max="22" width="15.81640625" customWidth="1"/>
    <col min="23" max="23" width="14.7265625" customWidth="1"/>
    <col min="24" max="24" width="14.08984375" customWidth="1"/>
    <col min="25" max="25" width="12.1796875" customWidth="1"/>
    <col min="26" max="26" width="12.54296875" customWidth="1"/>
    <col min="28" max="28" width="10.81640625" customWidth="1"/>
    <col min="29" max="29" width="12.6328125" customWidth="1"/>
    <col min="30" max="30" width="11.7265625" customWidth="1"/>
    <col min="31" max="31" width="10.453125" customWidth="1"/>
    <col min="32" max="32" width="13.1796875" customWidth="1"/>
  </cols>
  <sheetData>
    <row r="1" spans="1:32" x14ac:dyDescent="0.35">
      <c r="B1" t="s">
        <v>239</v>
      </c>
      <c r="C1" t="s">
        <v>240</v>
      </c>
      <c r="D1" t="s">
        <v>241</v>
      </c>
      <c r="E1" t="s">
        <v>242</v>
      </c>
      <c r="F1" t="s">
        <v>12</v>
      </c>
      <c r="G1" t="s">
        <v>35</v>
      </c>
      <c r="H1" t="s">
        <v>243</v>
      </c>
      <c r="I1" t="s">
        <v>244</v>
      </c>
      <c r="J1" t="s">
        <v>79</v>
      </c>
      <c r="K1" t="s">
        <v>80</v>
      </c>
      <c r="L1" t="s">
        <v>245</v>
      </c>
      <c r="M1" t="s">
        <v>246</v>
      </c>
      <c r="N1" t="s">
        <v>247</v>
      </c>
      <c r="O1" t="s">
        <v>248</v>
      </c>
      <c r="P1" t="s">
        <v>249</v>
      </c>
      <c r="Q1" t="s">
        <v>250</v>
      </c>
      <c r="R1" t="s">
        <v>251</v>
      </c>
      <c r="S1" t="s">
        <v>252</v>
      </c>
      <c r="T1" t="s">
        <v>253</v>
      </c>
      <c r="U1" t="s">
        <v>254</v>
      </c>
      <c r="V1" t="s">
        <v>255</v>
      </c>
      <c r="W1" t="s">
        <v>256</v>
      </c>
      <c r="X1" t="s">
        <v>257</v>
      </c>
      <c r="Y1" t="s">
        <v>258</v>
      </c>
      <c r="Z1" t="s">
        <v>259</v>
      </c>
      <c r="AA1" t="s">
        <v>260</v>
      </c>
      <c r="AB1" t="s">
        <v>261</v>
      </c>
      <c r="AC1" t="s">
        <v>262</v>
      </c>
      <c r="AD1" t="s">
        <v>263</v>
      </c>
      <c r="AE1" t="s">
        <v>236</v>
      </c>
      <c r="AF1" t="s">
        <v>237</v>
      </c>
    </row>
    <row r="2" spans="1:32" x14ac:dyDescent="0.35">
      <c r="A2" t="s">
        <v>86</v>
      </c>
      <c r="B2">
        <v>502</v>
      </c>
      <c r="C2">
        <v>504</v>
      </c>
      <c r="D2">
        <v>505</v>
      </c>
      <c r="E2">
        <v>506</v>
      </c>
      <c r="F2">
        <v>508</v>
      </c>
      <c r="G2">
        <v>507</v>
      </c>
      <c r="H2">
        <v>520</v>
      </c>
      <c r="I2">
        <v>521</v>
      </c>
      <c r="J2">
        <v>784</v>
      </c>
      <c r="K2">
        <v>785</v>
      </c>
      <c r="L2">
        <v>758</v>
      </c>
      <c r="M2">
        <v>757</v>
      </c>
      <c r="N2">
        <v>580</v>
      </c>
      <c r="O2">
        <v>582</v>
      </c>
      <c r="P2">
        <v>594</v>
      </c>
      <c r="Q2">
        <v>595</v>
      </c>
      <c r="R2">
        <v>603</v>
      </c>
      <c r="S2">
        <v>606</v>
      </c>
      <c r="T2">
        <v>772</v>
      </c>
      <c r="U2">
        <v>615</v>
      </c>
      <c r="V2">
        <v>617</v>
      </c>
      <c r="W2">
        <v>751</v>
      </c>
      <c r="X2">
        <v>752</v>
      </c>
      <c r="Y2">
        <v>753</v>
      </c>
      <c r="Z2">
        <v>754</v>
      </c>
      <c r="AA2">
        <v>614</v>
      </c>
      <c r="AB2">
        <v>797</v>
      </c>
      <c r="AC2">
        <v>613</v>
      </c>
      <c r="AD2">
        <v>767</v>
      </c>
      <c r="AE2">
        <v>807</v>
      </c>
      <c r="AF2">
        <v>808</v>
      </c>
    </row>
    <row r="3" spans="1:32" x14ac:dyDescent="0.35">
      <c r="A3" t="s">
        <v>88</v>
      </c>
      <c r="B3">
        <v>46504.407599557242</v>
      </c>
      <c r="C3">
        <v>96387.743273459724</v>
      </c>
      <c r="D3">
        <v>87763.385552931388</v>
      </c>
      <c r="E3">
        <v>132399.32444059954</v>
      </c>
      <c r="F3">
        <v>58787.584976054808</v>
      </c>
      <c r="G3">
        <v>45911.456832661344</v>
      </c>
      <c r="H3">
        <v>1149.8440594500537</v>
      </c>
      <c r="I3">
        <v>8675.6858800102855</v>
      </c>
      <c r="J3">
        <v>1939.7623289017026</v>
      </c>
      <c r="K3">
        <v>1284.7553913164265</v>
      </c>
      <c r="L3">
        <v>20238.66692000721</v>
      </c>
      <c r="M3">
        <v>35553.673550773514</v>
      </c>
      <c r="N3">
        <v>0</v>
      </c>
      <c r="O3">
        <v>2493.390574566648</v>
      </c>
      <c r="P3">
        <v>24282.021896410013</v>
      </c>
      <c r="Q3">
        <v>42963.707605738411</v>
      </c>
      <c r="R3">
        <v>3149.4622013549279</v>
      </c>
      <c r="S3">
        <v>4042.7465825725144</v>
      </c>
      <c r="T3">
        <v>520.21728448496049</v>
      </c>
      <c r="U3">
        <v>9455.4845320848108</v>
      </c>
      <c r="V3">
        <v>3370.5626591787732</v>
      </c>
      <c r="W3">
        <v>0</v>
      </c>
      <c r="X3">
        <v>7677.9098584407275</v>
      </c>
      <c r="Y3">
        <v>10493.76944285438</v>
      </c>
      <c r="Z3">
        <v>0</v>
      </c>
      <c r="AA3">
        <v>33408.943340447775</v>
      </c>
      <c r="AB3">
        <v>2829.000891147874</v>
      </c>
      <c r="AC3">
        <v>17587.753042881817</v>
      </c>
      <c r="AD3">
        <v>15373.118381455981</v>
      </c>
      <c r="AE3">
        <v>1224.0072673621655</v>
      </c>
      <c r="AF3">
        <v>1703.3100667602555</v>
      </c>
    </row>
    <row r="4" spans="1:32" x14ac:dyDescent="0.35">
      <c r="A4" t="s">
        <v>89</v>
      </c>
      <c r="B4">
        <v>34652.939343218364</v>
      </c>
      <c r="C4">
        <v>69844.18942917262</v>
      </c>
      <c r="D4">
        <v>63294.634438773632</v>
      </c>
      <c r="E4">
        <v>81908.942491378912</v>
      </c>
      <c r="F4">
        <v>50856.179468553033</v>
      </c>
      <c r="G4">
        <v>37472.295699215843</v>
      </c>
      <c r="H4">
        <v>897.93791434586035</v>
      </c>
      <c r="I4">
        <v>6796.2109623535671</v>
      </c>
      <c r="J4">
        <v>2892.6458794677692</v>
      </c>
      <c r="K4">
        <v>2162.2124624585904</v>
      </c>
      <c r="L4">
        <v>15030.527034475912</v>
      </c>
      <c r="M4">
        <v>25329.894485491481</v>
      </c>
      <c r="N4">
        <v>0</v>
      </c>
      <c r="O4">
        <v>2357.906790271039</v>
      </c>
      <c r="P4">
        <v>20778.155000581799</v>
      </c>
      <c r="Q4">
        <v>37238.988025657636</v>
      </c>
      <c r="R4">
        <v>3676.5935630637305</v>
      </c>
      <c r="S4">
        <v>3945.9608121839997</v>
      </c>
      <c r="T4">
        <v>535.78838854156902</v>
      </c>
      <c r="U4">
        <v>6064.7686036666591</v>
      </c>
      <c r="V4">
        <v>2039.1114883587918</v>
      </c>
      <c r="W4">
        <v>0</v>
      </c>
      <c r="X4">
        <v>13408.814718193888</v>
      </c>
      <c r="Y4">
        <v>14931.307709887975</v>
      </c>
      <c r="Z4">
        <v>0</v>
      </c>
      <c r="AA4">
        <v>26460.514529555352</v>
      </c>
      <c r="AB4">
        <v>2668.6507375950027</v>
      </c>
      <c r="AC4">
        <v>13470.450965286394</v>
      </c>
      <c r="AD4">
        <v>12267.752127765507</v>
      </c>
      <c r="AE4">
        <v>1637.6737736237069</v>
      </c>
      <c r="AF4">
        <v>2335.4679273583306</v>
      </c>
    </row>
    <row r="5" spans="1:32" x14ac:dyDescent="0.35">
      <c r="A5" t="s">
        <v>90</v>
      </c>
      <c r="B5">
        <v>26359.88</v>
      </c>
      <c r="C5">
        <v>52211.4</v>
      </c>
      <c r="D5">
        <v>43604.76</v>
      </c>
      <c r="E5">
        <v>44135.54</v>
      </c>
      <c r="F5">
        <v>34745.32</v>
      </c>
      <c r="G5">
        <v>25328.46</v>
      </c>
      <c r="H5">
        <v>773.99</v>
      </c>
      <c r="I5">
        <v>6727.99</v>
      </c>
      <c r="J5">
        <v>1698</v>
      </c>
      <c r="K5">
        <v>1001</v>
      </c>
      <c r="L5">
        <v>8477.9</v>
      </c>
      <c r="M5">
        <v>20065.54</v>
      </c>
      <c r="N5">
        <v>0</v>
      </c>
      <c r="O5">
        <v>1967</v>
      </c>
      <c r="P5">
        <v>11645</v>
      </c>
      <c r="Q5">
        <v>30137.96</v>
      </c>
      <c r="R5">
        <v>4101</v>
      </c>
      <c r="S5">
        <v>5543.98</v>
      </c>
      <c r="T5">
        <v>903.07</v>
      </c>
      <c r="U5">
        <v>6198.03</v>
      </c>
      <c r="V5">
        <v>2091.02</v>
      </c>
      <c r="W5">
        <v>0</v>
      </c>
      <c r="X5">
        <v>3849.01</v>
      </c>
      <c r="Y5">
        <v>8009.97</v>
      </c>
      <c r="Z5">
        <v>0</v>
      </c>
      <c r="AA5">
        <v>19019</v>
      </c>
      <c r="AB5">
        <v>1873.01</v>
      </c>
      <c r="AC5">
        <v>10726.06</v>
      </c>
      <c r="AD5">
        <v>9166.98</v>
      </c>
      <c r="AE5">
        <v>892.1</v>
      </c>
      <c r="AF5">
        <v>1491.84</v>
      </c>
    </row>
    <row r="6" spans="1:32" x14ac:dyDescent="0.35">
      <c r="A6" t="s">
        <v>91</v>
      </c>
      <c r="B6">
        <v>25176.710115060188</v>
      </c>
      <c r="C6">
        <v>53150.830249431339</v>
      </c>
      <c r="D6">
        <v>44563.494888777597</v>
      </c>
      <c r="E6">
        <v>47657.212113028174</v>
      </c>
      <c r="F6">
        <v>32645.121350512589</v>
      </c>
      <c r="G6">
        <v>33988.165313947749</v>
      </c>
      <c r="H6">
        <v>1133.6407762037954</v>
      </c>
      <c r="I6">
        <v>7550.7387336415932</v>
      </c>
      <c r="J6">
        <v>1236.3781555596674</v>
      </c>
      <c r="K6">
        <v>827.5922650112019</v>
      </c>
      <c r="L6">
        <v>4943.5184960865754</v>
      </c>
      <c r="M6">
        <v>12170.869791643119</v>
      </c>
      <c r="N6">
        <v>0</v>
      </c>
      <c r="O6">
        <v>2654.1819084368271</v>
      </c>
      <c r="P6">
        <v>9099.1976320039375</v>
      </c>
      <c r="Q6">
        <v>23906.561433114814</v>
      </c>
      <c r="R6">
        <v>3055.9983280837246</v>
      </c>
      <c r="S6">
        <v>2916.389556175639</v>
      </c>
      <c r="T6">
        <v>343.00963942165185</v>
      </c>
      <c r="U6">
        <v>6213.7270018165136</v>
      </c>
      <c r="V6">
        <v>2661.2012324921971</v>
      </c>
      <c r="W6">
        <v>0</v>
      </c>
      <c r="X6">
        <v>3696.1128229058295</v>
      </c>
      <c r="Y6">
        <v>5735.0968427909629</v>
      </c>
      <c r="Z6">
        <v>0</v>
      </c>
      <c r="AA6">
        <v>13838.2683443471</v>
      </c>
      <c r="AB6">
        <v>1231.3928401794328</v>
      </c>
      <c r="AC6">
        <v>6951.5536780912144</v>
      </c>
      <c r="AD6">
        <v>6709.2174974580166</v>
      </c>
      <c r="AE6">
        <v>1399.0190845244365</v>
      </c>
      <c r="AF6">
        <v>1862.334354701906</v>
      </c>
    </row>
    <row r="7" spans="1:32" x14ac:dyDescent="0.35">
      <c r="A7" t="s">
        <v>133</v>
      </c>
      <c r="B7">
        <v>12442.91</v>
      </c>
      <c r="C7">
        <v>23882.68</v>
      </c>
      <c r="D7">
        <v>12804.93</v>
      </c>
      <c r="E7">
        <v>12492.15</v>
      </c>
      <c r="F7">
        <v>12546.15</v>
      </c>
      <c r="G7">
        <v>9317.81</v>
      </c>
      <c r="H7">
        <v>175</v>
      </c>
      <c r="I7">
        <v>1044</v>
      </c>
      <c r="J7">
        <v>1036.01</v>
      </c>
      <c r="K7">
        <v>875.01</v>
      </c>
      <c r="L7">
        <v>8003.75</v>
      </c>
      <c r="M7">
        <v>14138.66</v>
      </c>
      <c r="N7">
        <v>0</v>
      </c>
      <c r="O7">
        <v>0</v>
      </c>
      <c r="P7">
        <v>10285.01</v>
      </c>
      <c r="Q7">
        <v>7174</v>
      </c>
      <c r="R7">
        <v>1754.99</v>
      </c>
      <c r="S7">
        <v>1893</v>
      </c>
      <c r="T7">
        <v>379.03</v>
      </c>
      <c r="U7">
        <v>3241.01</v>
      </c>
      <c r="V7">
        <v>933.03</v>
      </c>
      <c r="W7">
        <v>1839.03</v>
      </c>
      <c r="X7">
        <v>6794.97</v>
      </c>
      <c r="Y7">
        <v>9787.01</v>
      </c>
      <c r="Z7">
        <v>0</v>
      </c>
      <c r="AA7">
        <v>5930.99</v>
      </c>
      <c r="AB7">
        <v>931.99</v>
      </c>
      <c r="AC7">
        <v>3359.01</v>
      </c>
      <c r="AD7">
        <v>4622</v>
      </c>
      <c r="AE7">
        <v>1682.18</v>
      </c>
      <c r="AF7">
        <v>2022.78</v>
      </c>
    </row>
    <row r="8" spans="1:32" x14ac:dyDescent="0.35">
      <c r="A8" t="s">
        <v>134</v>
      </c>
      <c r="B8">
        <v>10215.92</v>
      </c>
      <c r="C8">
        <v>18872.73</v>
      </c>
      <c r="D8">
        <v>10133.94</v>
      </c>
      <c r="E8">
        <v>11936.14</v>
      </c>
      <c r="F8">
        <v>11726.1</v>
      </c>
      <c r="G8">
        <v>6870.85</v>
      </c>
      <c r="H8">
        <v>253.99</v>
      </c>
      <c r="I8">
        <v>947</v>
      </c>
      <c r="J8">
        <v>335.99</v>
      </c>
      <c r="K8">
        <v>0</v>
      </c>
      <c r="L8">
        <v>6984.52</v>
      </c>
      <c r="M8">
        <v>7583.83</v>
      </c>
      <c r="N8">
        <v>0</v>
      </c>
      <c r="O8">
        <v>0</v>
      </c>
      <c r="P8">
        <v>8802.02</v>
      </c>
      <c r="Q8">
        <v>6542</v>
      </c>
      <c r="R8">
        <v>2316</v>
      </c>
      <c r="S8">
        <v>2538.0100000000002</v>
      </c>
      <c r="T8">
        <v>0</v>
      </c>
      <c r="U8">
        <v>2636.02</v>
      </c>
      <c r="V8">
        <v>883.04</v>
      </c>
      <c r="W8">
        <v>1004.01</v>
      </c>
      <c r="X8">
        <v>4694.9799999999996</v>
      </c>
      <c r="Y8">
        <v>8807.0300000000007</v>
      </c>
      <c r="Z8">
        <v>0</v>
      </c>
      <c r="AA8">
        <v>5326</v>
      </c>
      <c r="AB8">
        <v>676</v>
      </c>
      <c r="AC8">
        <v>2770</v>
      </c>
      <c r="AD8">
        <v>4568.0200000000004</v>
      </c>
      <c r="AE8">
        <v>1449.15</v>
      </c>
      <c r="AF8">
        <v>1928.79</v>
      </c>
    </row>
    <row r="9" spans="1:32" x14ac:dyDescent="0.35">
      <c r="A9" t="s">
        <v>135</v>
      </c>
      <c r="B9">
        <v>9292.94</v>
      </c>
      <c r="C9">
        <v>16868.75</v>
      </c>
      <c r="D9">
        <v>9445.9699999999993</v>
      </c>
      <c r="E9">
        <v>9802.11</v>
      </c>
      <c r="F9">
        <v>8671.1</v>
      </c>
      <c r="G9">
        <v>6095.87</v>
      </c>
      <c r="H9">
        <v>239</v>
      </c>
      <c r="I9">
        <v>1063</v>
      </c>
      <c r="J9">
        <v>248.01</v>
      </c>
      <c r="K9">
        <v>0</v>
      </c>
      <c r="L9">
        <v>3689.84</v>
      </c>
      <c r="M9">
        <v>6030.88</v>
      </c>
      <c r="N9">
        <v>0</v>
      </c>
      <c r="O9">
        <v>1635.99</v>
      </c>
      <c r="P9">
        <v>7676.02</v>
      </c>
      <c r="Q9">
        <v>5189</v>
      </c>
      <c r="R9">
        <v>1122</v>
      </c>
      <c r="S9">
        <v>1094</v>
      </c>
      <c r="T9">
        <v>205.01</v>
      </c>
      <c r="U9">
        <v>2143</v>
      </c>
      <c r="V9">
        <v>657.99</v>
      </c>
      <c r="W9">
        <v>2168.02</v>
      </c>
      <c r="X9">
        <v>9955.9599999999991</v>
      </c>
      <c r="Y9">
        <v>10667</v>
      </c>
      <c r="Z9">
        <v>406.98</v>
      </c>
      <c r="AA9">
        <v>3803</v>
      </c>
      <c r="AB9">
        <v>452.99</v>
      </c>
      <c r="AC9">
        <v>2018.02</v>
      </c>
      <c r="AD9">
        <v>4580.01</v>
      </c>
      <c r="AE9">
        <v>970.09</v>
      </c>
      <c r="AF9">
        <v>1290.8699999999999</v>
      </c>
    </row>
    <row r="10" spans="1:32" x14ac:dyDescent="0.35">
      <c r="A10" t="s">
        <v>136</v>
      </c>
      <c r="B10">
        <v>15651.89</v>
      </c>
      <c r="C10">
        <v>27419.64</v>
      </c>
      <c r="D10">
        <v>14756.94</v>
      </c>
      <c r="E10">
        <v>16313.22</v>
      </c>
      <c r="F10">
        <v>11447.1</v>
      </c>
      <c r="G10">
        <v>8943.7999999999993</v>
      </c>
      <c r="H10">
        <v>210</v>
      </c>
      <c r="I10">
        <v>1159</v>
      </c>
      <c r="J10">
        <v>2259</v>
      </c>
      <c r="K10">
        <v>1701.05</v>
      </c>
      <c r="L10">
        <v>5494.24</v>
      </c>
      <c r="M10">
        <v>7932.83</v>
      </c>
      <c r="N10">
        <v>0</v>
      </c>
      <c r="O10">
        <v>1222.01</v>
      </c>
      <c r="P10">
        <v>13695.02</v>
      </c>
      <c r="Q10">
        <v>8945.99</v>
      </c>
      <c r="R10">
        <v>2899.01</v>
      </c>
      <c r="S10">
        <v>2840.99</v>
      </c>
      <c r="T10">
        <v>0</v>
      </c>
      <c r="U10">
        <v>3042.01</v>
      </c>
      <c r="V10">
        <v>1170</v>
      </c>
      <c r="W10">
        <v>2923.04</v>
      </c>
      <c r="X10">
        <v>11882.95</v>
      </c>
      <c r="Y10">
        <v>18169</v>
      </c>
      <c r="Z10">
        <v>6168.79</v>
      </c>
      <c r="AA10">
        <v>7056.96</v>
      </c>
      <c r="AB10">
        <v>539</v>
      </c>
      <c r="AC10">
        <v>3900.02</v>
      </c>
      <c r="AD10">
        <v>10095.950000000001</v>
      </c>
      <c r="AE10">
        <v>1170.1099999999999</v>
      </c>
      <c r="AF10">
        <v>1368.85</v>
      </c>
    </row>
    <row r="11" spans="1:32" x14ac:dyDescent="0.35">
      <c r="A11" t="s">
        <v>163</v>
      </c>
      <c r="B11">
        <v>35430.85</v>
      </c>
      <c r="C11">
        <v>66846.31</v>
      </c>
      <c r="D11">
        <v>25778.79</v>
      </c>
      <c r="E11">
        <v>23733.24</v>
      </c>
      <c r="F11">
        <v>31338.35</v>
      </c>
      <c r="G11">
        <v>22757.52</v>
      </c>
      <c r="H11">
        <v>294</v>
      </c>
      <c r="I11">
        <v>2573.9899999999998</v>
      </c>
      <c r="J11">
        <v>1310.02</v>
      </c>
      <c r="K11">
        <v>1114.06</v>
      </c>
      <c r="L11">
        <v>4900.0600000000004</v>
      </c>
      <c r="M11">
        <v>12717.71</v>
      </c>
      <c r="N11">
        <v>0</v>
      </c>
      <c r="O11">
        <v>1483</v>
      </c>
      <c r="P11">
        <v>18876.04</v>
      </c>
      <c r="Q11">
        <v>19866.03</v>
      </c>
      <c r="R11">
        <v>3373.02</v>
      </c>
      <c r="S11">
        <v>8810.99</v>
      </c>
      <c r="T11">
        <v>336.02</v>
      </c>
      <c r="U11">
        <v>6036</v>
      </c>
      <c r="V11">
        <v>1680.03</v>
      </c>
      <c r="W11">
        <v>397.01</v>
      </c>
      <c r="X11">
        <v>3341.98</v>
      </c>
      <c r="Y11">
        <v>7350.01</v>
      </c>
      <c r="Z11">
        <v>912.97</v>
      </c>
      <c r="AA11">
        <v>13051.02</v>
      </c>
      <c r="AB11">
        <v>1418.98</v>
      </c>
      <c r="AC11">
        <v>8122.02</v>
      </c>
      <c r="AD11">
        <v>8702.02</v>
      </c>
      <c r="AE11">
        <v>886.08</v>
      </c>
      <c r="AF11">
        <v>1644.81</v>
      </c>
    </row>
    <row r="12" spans="1:32" x14ac:dyDescent="0.35">
      <c r="A12" t="s">
        <v>164</v>
      </c>
      <c r="B12">
        <v>39075.81</v>
      </c>
      <c r="C12">
        <v>73824.23</v>
      </c>
      <c r="D12">
        <v>29131.759999999998</v>
      </c>
      <c r="E12">
        <v>25852.25</v>
      </c>
      <c r="F12">
        <v>33358.370000000003</v>
      </c>
      <c r="G12">
        <v>23878.5</v>
      </c>
      <c r="H12">
        <v>267.99</v>
      </c>
      <c r="I12">
        <v>2485</v>
      </c>
      <c r="J12">
        <v>1154</v>
      </c>
      <c r="K12">
        <v>708.99</v>
      </c>
      <c r="L12">
        <v>5079.12</v>
      </c>
      <c r="M12">
        <v>13203.66</v>
      </c>
      <c r="N12">
        <v>0</v>
      </c>
      <c r="O12">
        <v>1447</v>
      </c>
      <c r="P12">
        <v>19109.03</v>
      </c>
      <c r="Q12">
        <v>23159.040000000001</v>
      </c>
      <c r="R12">
        <v>3894.02</v>
      </c>
      <c r="S12">
        <v>9662.98</v>
      </c>
      <c r="T12">
        <v>254.01</v>
      </c>
      <c r="U12">
        <v>6594.01</v>
      </c>
      <c r="V12">
        <v>1435.01</v>
      </c>
      <c r="W12">
        <v>418</v>
      </c>
      <c r="X12">
        <v>3395</v>
      </c>
      <c r="Y12">
        <v>6722</v>
      </c>
      <c r="Z12">
        <v>944.97</v>
      </c>
      <c r="AA12">
        <v>14050</v>
      </c>
      <c r="AB12">
        <v>1242.98</v>
      </c>
      <c r="AC12">
        <v>9753.0300000000007</v>
      </c>
      <c r="AD12">
        <v>9610</v>
      </c>
      <c r="AE12">
        <v>914.1</v>
      </c>
      <c r="AF12">
        <v>1519.83</v>
      </c>
    </row>
    <row r="13" spans="1:32" x14ac:dyDescent="0.35">
      <c r="A13" t="s">
        <v>165</v>
      </c>
      <c r="B13">
        <v>57558.73</v>
      </c>
      <c r="C13">
        <v>96469.02</v>
      </c>
      <c r="D13">
        <v>38032.699999999997</v>
      </c>
      <c r="E13">
        <v>32982.32</v>
      </c>
      <c r="F13">
        <v>47818.5</v>
      </c>
      <c r="G13">
        <v>38125.22</v>
      </c>
      <c r="H13">
        <v>474.99</v>
      </c>
      <c r="I13">
        <v>3740.99</v>
      </c>
      <c r="J13">
        <v>2387.04</v>
      </c>
      <c r="K13">
        <v>961.02</v>
      </c>
      <c r="L13">
        <v>8731.92</v>
      </c>
      <c r="M13">
        <v>17513.560000000001</v>
      </c>
      <c r="N13">
        <v>0</v>
      </c>
      <c r="O13">
        <v>2270</v>
      </c>
      <c r="P13">
        <v>21813.05</v>
      </c>
      <c r="Q13">
        <v>32379.05</v>
      </c>
      <c r="R13">
        <v>5578.03</v>
      </c>
      <c r="S13">
        <v>12183.99</v>
      </c>
      <c r="T13">
        <v>348.03</v>
      </c>
      <c r="U13">
        <v>9894.0300000000007</v>
      </c>
      <c r="V13">
        <v>2172.02</v>
      </c>
      <c r="W13">
        <v>522</v>
      </c>
      <c r="X13">
        <v>4467.96</v>
      </c>
      <c r="Y13">
        <v>10088.99</v>
      </c>
      <c r="Z13">
        <v>1120.97</v>
      </c>
      <c r="AA13">
        <v>18442.97</v>
      </c>
      <c r="AB13">
        <v>2016</v>
      </c>
      <c r="AC13">
        <v>12321.04</v>
      </c>
      <c r="AD13">
        <v>10410.01</v>
      </c>
      <c r="AE13">
        <v>1600.16</v>
      </c>
      <c r="AF13">
        <v>3257.65</v>
      </c>
    </row>
    <row r="14" spans="1:32" x14ac:dyDescent="0.35">
      <c r="A14" t="s">
        <v>166</v>
      </c>
      <c r="B14">
        <v>65736.69</v>
      </c>
      <c r="C14">
        <v>125984.69</v>
      </c>
      <c r="D14">
        <v>52250.57</v>
      </c>
      <c r="E14">
        <v>39756.379999999997</v>
      </c>
      <c r="F14">
        <v>53911.58</v>
      </c>
      <c r="G14">
        <v>48029</v>
      </c>
      <c r="H14">
        <v>483.99</v>
      </c>
      <c r="I14">
        <v>3958.99</v>
      </c>
      <c r="J14">
        <v>2045.02</v>
      </c>
      <c r="K14">
        <v>1510.01</v>
      </c>
      <c r="L14">
        <v>8688.94</v>
      </c>
      <c r="M14">
        <v>20443.48</v>
      </c>
      <c r="N14">
        <v>0</v>
      </c>
      <c r="O14">
        <v>1028.99</v>
      </c>
      <c r="P14">
        <v>19849.03</v>
      </c>
      <c r="Q14">
        <v>33698.06</v>
      </c>
      <c r="R14">
        <v>5794.03</v>
      </c>
      <c r="S14">
        <v>6820.99</v>
      </c>
      <c r="T14">
        <v>405.02</v>
      </c>
      <c r="U14">
        <v>7206.02</v>
      </c>
      <c r="V14">
        <v>1985.04</v>
      </c>
      <c r="W14">
        <v>470.01</v>
      </c>
      <c r="X14">
        <v>3162.99</v>
      </c>
      <c r="Y14">
        <v>4987</v>
      </c>
      <c r="Z14">
        <v>856.97</v>
      </c>
      <c r="AA14">
        <v>18315.009999999998</v>
      </c>
      <c r="AB14">
        <v>1904</v>
      </c>
      <c r="AC14">
        <v>9405.02</v>
      </c>
      <c r="AD14">
        <v>10288.01</v>
      </c>
      <c r="AE14">
        <v>2270.2399999999998</v>
      </c>
      <c r="AF14">
        <v>4858.47</v>
      </c>
    </row>
    <row r="15" spans="1:32" x14ac:dyDescent="0.35">
      <c r="A15" t="s">
        <v>137</v>
      </c>
      <c r="B15">
        <v>55378.65</v>
      </c>
      <c r="C15">
        <v>118547.34</v>
      </c>
      <c r="D15">
        <v>56267.74</v>
      </c>
      <c r="E15">
        <v>56504.73</v>
      </c>
      <c r="F15">
        <v>64494.65</v>
      </c>
      <c r="G15">
        <v>45142</v>
      </c>
      <c r="H15">
        <v>997.99</v>
      </c>
      <c r="I15">
        <v>5201.99</v>
      </c>
      <c r="J15">
        <v>2750.03</v>
      </c>
      <c r="K15">
        <v>1727.02</v>
      </c>
      <c r="L15">
        <v>11474.52</v>
      </c>
      <c r="M15">
        <v>26191.360000000001</v>
      </c>
      <c r="N15">
        <v>0</v>
      </c>
      <c r="O15">
        <v>3813.99</v>
      </c>
      <c r="P15">
        <v>32051.040000000001</v>
      </c>
      <c r="Q15">
        <v>41484.980000000003</v>
      </c>
      <c r="R15">
        <v>3498.01</v>
      </c>
      <c r="S15">
        <v>4641.01</v>
      </c>
      <c r="T15">
        <v>608.04999999999995</v>
      </c>
      <c r="U15">
        <v>9300.02</v>
      </c>
      <c r="V15">
        <v>3814.07</v>
      </c>
      <c r="W15">
        <v>1340.03</v>
      </c>
      <c r="X15">
        <v>5434.98</v>
      </c>
      <c r="Y15">
        <v>7556</v>
      </c>
      <c r="Z15">
        <v>1195.98</v>
      </c>
      <c r="AA15">
        <v>20961.96</v>
      </c>
      <c r="AB15">
        <v>2007.01</v>
      </c>
      <c r="AC15">
        <v>11956.05</v>
      </c>
      <c r="AD15">
        <v>10991.99</v>
      </c>
      <c r="AE15">
        <v>1816.18</v>
      </c>
      <c r="AF15">
        <v>2971.69</v>
      </c>
    </row>
    <row r="16" spans="1:32" x14ac:dyDescent="0.35">
      <c r="A16" t="s">
        <v>138</v>
      </c>
      <c r="B16">
        <v>50626.67</v>
      </c>
      <c r="C16">
        <v>113262.43</v>
      </c>
      <c r="D16">
        <v>51944.75</v>
      </c>
      <c r="E16">
        <v>50438.65</v>
      </c>
      <c r="F16">
        <v>72551.740000000005</v>
      </c>
      <c r="G16">
        <v>49488.92</v>
      </c>
      <c r="H16">
        <v>522.99</v>
      </c>
      <c r="I16">
        <v>3230</v>
      </c>
      <c r="J16">
        <v>2230</v>
      </c>
      <c r="K16">
        <v>1175.05</v>
      </c>
      <c r="L16">
        <v>11520.53</v>
      </c>
      <c r="M16">
        <v>20793.48</v>
      </c>
      <c r="N16">
        <v>0</v>
      </c>
      <c r="O16">
        <v>3969</v>
      </c>
      <c r="P16">
        <v>30077.040000000001</v>
      </c>
      <c r="Q16">
        <v>26887.99</v>
      </c>
      <c r="R16">
        <v>3119</v>
      </c>
      <c r="S16">
        <v>3621.99</v>
      </c>
      <c r="T16">
        <v>411.03</v>
      </c>
      <c r="U16">
        <v>8050.02</v>
      </c>
      <c r="V16">
        <v>2941.07</v>
      </c>
      <c r="W16">
        <v>4202.0600000000004</v>
      </c>
      <c r="X16">
        <v>5117.97</v>
      </c>
      <c r="Y16">
        <v>7112</v>
      </c>
      <c r="Z16">
        <v>1125.97</v>
      </c>
      <c r="AA16">
        <v>20897.93</v>
      </c>
      <c r="AB16">
        <v>1740.01</v>
      </c>
      <c r="AC16">
        <v>11440.06</v>
      </c>
      <c r="AD16">
        <v>13722.94</v>
      </c>
      <c r="AE16">
        <v>1358.14</v>
      </c>
      <c r="AF16">
        <v>2009.8</v>
      </c>
    </row>
    <row r="17" spans="1:32" x14ac:dyDescent="0.35">
      <c r="A17" t="s">
        <v>139</v>
      </c>
      <c r="B17">
        <v>27573.81</v>
      </c>
      <c r="C17">
        <v>62806.15</v>
      </c>
      <c r="D17">
        <v>27377.9</v>
      </c>
      <c r="E17">
        <v>24443.3</v>
      </c>
      <c r="F17">
        <v>32760.34</v>
      </c>
      <c r="G17">
        <v>21615.53</v>
      </c>
      <c r="H17">
        <v>143</v>
      </c>
      <c r="I17">
        <v>2985.99</v>
      </c>
      <c r="J17">
        <v>402.99</v>
      </c>
      <c r="K17">
        <v>377.01</v>
      </c>
      <c r="L17">
        <v>5312.15</v>
      </c>
      <c r="M17">
        <v>10882.74</v>
      </c>
      <c r="N17">
        <v>0</v>
      </c>
      <c r="O17">
        <v>1119</v>
      </c>
      <c r="P17">
        <v>15410.03</v>
      </c>
      <c r="Q17">
        <v>19629.990000000002</v>
      </c>
      <c r="R17">
        <v>850.99</v>
      </c>
      <c r="S17">
        <v>2455</v>
      </c>
      <c r="T17">
        <v>366.02</v>
      </c>
      <c r="U17">
        <v>2610</v>
      </c>
      <c r="V17">
        <v>1025.01</v>
      </c>
      <c r="W17">
        <v>541</v>
      </c>
      <c r="X17">
        <v>2608.9899999999998</v>
      </c>
      <c r="Y17">
        <v>3626.99</v>
      </c>
      <c r="Z17">
        <v>573.96</v>
      </c>
      <c r="AA17">
        <v>11239.95</v>
      </c>
      <c r="AB17">
        <v>1008</v>
      </c>
      <c r="AC17">
        <v>5335.02</v>
      </c>
      <c r="AD17">
        <v>5809</v>
      </c>
      <c r="AE17">
        <v>1085.1199999999999</v>
      </c>
      <c r="AF17">
        <v>1785.82</v>
      </c>
    </row>
    <row r="18" spans="1:32" x14ac:dyDescent="0.35">
      <c r="A18" t="s">
        <v>140</v>
      </c>
      <c r="B18">
        <v>43824.71</v>
      </c>
      <c r="C18">
        <v>90053.759999999995</v>
      </c>
      <c r="D18">
        <v>44386.82</v>
      </c>
      <c r="E18">
        <v>44926.559999999998</v>
      </c>
      <c r="F18">
        <v>37950.379999999997</v>
      </c>
      <c r="G18">
        <v>27448.39</v>
      </c>
      <c r="H18">
        <v>230</v>
      </c>
      <c r="I18">
        <v>4144.99</v>
      </c>
      <c r="J18">
        <v>577.99</v>
      </c>
      <c r="K18">
        <v>429.01</v>
      </c>
      <c r="L18">
        <v>6745.49</v>
      </c>
      <c r="M18">
        <v>13308.7</v>
      </c>
      <c r="N18">
        <v>0</v>
      </c>
      <c r="O18">
        <v>1788.98</v>
      </c>
      <c r="P18">
        <v>13796.02</v>
      </c>
      <c r="Q18">
        <v>31074.98</v>
      </c>
      <c r="R18">
        <v>2449</v>
      </c>
      <c r="S18">
        <v>2389.0100000000002</v>
      </c>
      <c r="T18">
        <v>387.03</v>
      </c>
      <c r="U18">
        <v>7252</v>
      </c>
      <c r="V18">
        <v>2391.0300000000002</v>
      </c>
      <c r="W18">
        <v>1665.03</v>
      </c>
      <c r="X18">
        <v>5665.98</v>
      </c>
      <c r="Y18">
        <v>5205.99</v>
      </c>
      <c r="Z18">
        <v>823.95</v>
      </c>
      <c r="AA18">
        <v>15492.94</v>
      </c>
      <c r="AB18">
        <v>822.01</v>
      </c>
      <c r="AC18">
        <v>7730.04</v>
      </c>
      <c r="AD18">
        <v>5163.0200000000004</v>
      </c>
      <c r="AE18">
        <v>2640.27</v>
      </c>
      <c r="AF18">
        <v>3736.61</v>
      </c>
    </row>
    <row r="19" spans="1:32" x14ac:dyDescent="0.35">
      <c r="A19" t="s">
        <v>141</v>
      </c>
      <c r="B19">
        <v>15694.9</v>
      </c>
      <c r="C19">
        <v>30519.56</v>
      </c>
      <c r="D19">
        <v>8538.9599999999991</v>
      </c>
      <c r="E19">
        <v>14047.18</v>
      </c>
      <c r="F19">
        <v>12812.11</v>
      </c>
      <c r="G19">
        <v>9278.7900000000009</v>
      </c>
      <c r="H19">
        <v>361</v>
      </c>
      <c r="I19">
        <v>1301</v>
      </c>
      <c r="J19">
        <v>1024.01</v>
      </c>
      <c r="K19">
        <v>734.01</v>
      </c>
      <c r="L19">
        <v>4572.9799999999996</v>
      </c>
      <c r="M19">
        <v>7879.8</v>
      </c>
      <c r="N19">
        <v>0</v>
      </c>
      <c r="O19">
        <v>1271.99</v>
      </c>
      <c r="P19">
        <v>9487.01</v>
      </c>
      <c r="Q19">
        <v>7846</v>
      </c>
      <c r="R19">
        <v>1385.01</v>
      </c>
      <c r="S19">
        <v>1448.99</v>
      </c>
      <c r="T19">
        <v>333.03</v>
      </c>
      <c r="U19">
        <v>2809.01</v>
      </c>
      <c r="V19">
        <v>1431.05</v>
      </c>
      <c r="W19">
        <v>3572.06</v>
      </c>
      <c r="X19">
        <v>5938.97</v>
      </c>
      <c r="Y19">
        <v>11037.99</v>
      </c>
      <c r="Z19">
        <v>2219.9299999999998</v>
      </c>
      <c r="AA19">
        <v>11258.95</v>
      </c>
      <c r="AB19">
        <v>1150</v>
      </c>
      <c r="AC19">
        <v>7578.03</v>
      </c>
      <c r="AD19">
        <v>4900.97</v>
      </c>
      <c r="AE19">
        <v>5045.5200000000004</v>
      </c>
      <c r="AF19">
        <v>5838.41</v>
      </c>
    </row>
    <row r="20" spans="1:32" x14ac:dyDescent="0.35">
      <c r="A20" t="s">
        <v>142</v>
      </c>
      <c r="B20">
        <v>7717.94</v>
      </c>
      <c r="C20">
        <v>16942.79</v>
      </c>
      <c r="D20">
        <v>9043.9699999999993</v>
      </c>
      <c r="E20">
        <v>7852.12</v>
      </c>
      <c r="F20">
        <v>8440.1</v>
      </c>
      <c r="G20">
        <v>5649.89</v>
      </c>
      <c r="H20">
        <v>126</v>
      </c>
      <c r="I20">
        <v>606.99</v>
      </c>
      <c r="J20">
        <v>977</v>
      </c>
      <c r="K20">
        <v>866.01</v>
      </c>
      <c r="L20">
        <v>2988.65</v>
      </c>
      <c r="M20">
        <v>5897.84</v>
      </c>
      <c r="N20">
        <v>0</v>
      </c>
      <c r="O20">
        <v>910.01</v>
      </c>
      <c r="P20">
        <v>4172.01</v>
      </c>
      <c r="Q20">
        <v>3741</v>
      </c>
      <c r="R20">
        <v>1242.99</v>
      </c>
      <c r="S20">
        <v>1299.99</v>
      </c>
      <c r="T20">
        <v>0</v>
      </c>
      <c r="U20">
        <v>2243.02</v>
      </c>
      <c r="V20">
        <v>584.01</v>
      </c>
      <c r="W20">
        <v>2666.05</v>
      </c>
      <c r="X20">
        <v>11584.96</v>
      </c>
      <c r="Y20">
        <v>16043.02</v>
      </c>
      <c r="Z20">
        <v>1872.92</v>
      </c>
      <c r="AA20">
        <v>5704.98</v>
      </c>
      <c r="AB20">
        <v>625.99</v>
      </c>
      <c r="AC20">
        <v>2670</v>
      </c>
      <c r="AD20">
        <v>4419.99</v>
      </c>
      <c r="AE20">
        <v>1185.1300000000001</v>
      </c>
      <c r="AF20">
        <v>1576.83</v>
      </c>
    </row>
    <row r="21" spans="1:32" x14ac:dyDescent="0.35">
      <c r="A21" t="s">
        <v>143</v>
      </c>
      <c r="B21">
        <v>15639.9</v>
      </c>
      <c r="C21">
        <v>31349.58</v>
      </c>
      <c r="D21">
        <v>15549.94</v>
      </c>
      <c r="E21">
        <v>13999.2</v>
      </c>
      <c r="F21">
        <v>17367.169999999998</v>
      </c>
      <c r="G21">
        <v>11509.75</v>
      </c>
      <c r="H21">
        <v>267.99</v>
      </c>
      <c r="I21">
        <v>1262</v>
      </c>
      <c r="J21">
        <v>1548.02</v>
      </c>
      <c r="K21">
        <v>1232.01</v>
      </c>
      <c r="L21">
        <v>5482.23</v>
      </c>
      <c r="M21">
        <v>9769.7800000000007</v>
      </c>
      <c r="N21">
        <v>0</v>
      </c>
      <c r="O21">
        <v>1451</v>
      </c>
      <c r="P21">
        <v>6801.01</v>
      </c>
      <c r="Q21">
        <v>6306</v>
      </c>
      <c r="R21">
        <v>2526</v>
      </c>
      <c r="S21">
        <v>2635.01</v>
      </c>
      <c r="T21">
        <v>203.01</v>
      </c>
      <c r="U21">
        <v>3213</v>
      </c>
      <c r="V21">
        <v>935.01</v>
      </c>
      <c r="W21">
        <v>6139.08</v>
      </c>
      <c r="X21">
        <v>19275.919999999998</v>
      </c>
      <c r="Y21">
        <v>20742.990000000002</v>
      </c>
      <c r="Z21">
        <v>3146.92</v>
      </c>
      <c r="AA21">
        <v>8617.9599999999991</v>
      </c>
      <c r="AB21">
        <v>1090.99</v>
      </c>
      <c r="AC21">
        <v>5103.01</v>
      </c>
      <c r="AD21">
        <v>4925.9799999999996</v>
      </c>
      <c r="AE21">
        <v>1175.1199999999999</v>
      </c>
      <c r="AF21">
        <v>1563.83</v>
      </c>
    </row>
    <row r="22" spans="1:32" x14ac:dyDescent="0.35">
      <c r="A22" t="s">
        <v>144</v>
      </c>
      <c r="B22">
        <v>10250.94</v>
      </c>
      <c r="C22">
        <v>20573.72</v>
      </c>
      <c r="D22">
        <v>16250.94</v>
      </c>
      <c r="E22">
        <v>10192.15</v>
      </c>
      <c r="F22">
        <v>9685.1200000000008</v>
      </c>
      <c r="G22">
        <v>7316.84</v>
      </c>
      <c r="H22">
        <v>168</v>
      </c>
      <c r="I22">
        <v>701</v>
      </c>
      <c r="J22">
        <v>1275.02</v>
      </c>
      <c r="K22">
        <v>659.01</v>
      </c>
      <c r="L22">
        <v>3674.79</v>
      </c>
      <c r="M22">
        <v>8153.79</v>
      </c>
      <c r="N22">
        <v>0</v>
      </c>
      <c r="O22">
        <v>0</v>
      </c>
      <c r="P22">
        <v>2641.01</v>
      </c>
      <c r="Q22">
        <v>4315</v>
      </c>
      <c r="R22">
        <v>1610</v>
      </c>
      <c r="S22">
        <v>1365.01</v>
      </c>
      <c r="T22">
        <v>274.02999999999997</v>
      </c>
      <c r="U22">
        <v>2188.0100000000002</v>
      </c>
      <c r="V22">
        <v>894.02</v>
      </c>
      <c r="W22">
        <v>688</v>
      </c>
      <c r="X22">
        <v>10971.96</v>
      </c>
      <c r="Y22">
        <v>10285.99</v>
      </c>
      <c r="Z22">
        <v>3953.85</v>
      </c>
      <c r="AA22">
        <v>7919.99</v>
      </c>
      <c r="AB22">
        <v>1169.97</v>
      </c>
      <c r="AC22">
        <v>3028.02</v>
      </c>
      <c r="AD22">
        <v>4290.97</v>
      </c>
      <c r="AE22">
        <v>1948.19</v>
      </c>
      <c r="AF22">
        <v>2326.7600000000002</v>
      </c>
    </row>
    <row r="23" spans="1:32" x14ac:dyDescent="0.35">
      <c r="A23" t="s">
        <v>145</v>
      </c>
      <c r="B23">
        <v>12686.92</v>
      </c>
      <c r="C23">
        <v>28383.63</v>
      </c>
      <c r="D23">
        <v>14269.94</v>
      </c>
      <c r="E23">
        <v>13110.18</v>
      </c>
      <c r="F23">
        <v>11150.13</v>
      </c>
      <c r="G23">
        <v>8801.81</v>
      </c>
      <c r="H23">
        <v>140</v>
      </c>
      <c r="I23">
        <v>782</v>
      </c>
      <c r="J23">
        <v>994</v>
      </c>
      <c r="K23">
        <v>534.99</v>
      </c>
      <c r="L23">
        <v>4465.9799999999996</v>
      </c>
      <c r="M23">
        <v>7164.82</v>
      </c>
      <c r="N23">
        <v>0</v>
      </c>
      <c r="O23">
        <v>0</v>
      </c>
      <c r="P23">
        <v>2980.01</v>
      </c>
      <c r="Q23">
        <v>5164</v>
      </c>
      <c r="R23">
        <v>2308</v>
      </c>
      <c r="S23">
        <v>2205.0100000000002</v>
      </c>
      <c r="T23">
        <v>319.02</v>
      </c>
      <c r="U23">
        <v>2872</v>
      </c>
      <c r="V23">
        <v>995</v>
      </c>
      <c r="W23">
        <v>583</v>
      </c>
      <c r="X23">
        <v>3524.97</v>
      </c>
      <c r="Y23">
        <v>4776.99</v>
      </c>
      <c r="Z23">
        <v>1921.94</v>
      </c>
      <c r="AA23">
        <v>7272.96</v>
      </c>
      <c r="AB23">
        <v>819.99</v>
      </c>
      <c r="AC23">
        <v>4058.03</v>
      </c>
      <c r="AD23">
        <v>7307.96</v>
      </c>
      <c r="AE23">
        <v>3061.32</v>
      </c>
      <c r="AF23">
        <v>4073.58</v>
      </c>
    </row>
    <row r="24" spans="1:32" x14ac:dyDescent="0.35">
      <c r="A24" t="s">
        <v>92</v>
      </c>
      <c r="B24">
        <v>52799.805025661095</v>
      </c>
      <c r="C24">
        <v>98981.318675202594</v>
      </c>
      <c r="D24">
        <v>44363.582997186073</v>
      </c>
      <c r="E24">
        <v>45667.498666577965</v>
      </c>
      <c r="F24">
        <v>45264.16164494813</v>
      </c>
      <c r="G24">
        <v>30820.963660797581</v>
      </c>
      <c r="H24">
        <v>764.28693795978279</v>
      </c>
      <c r="I24">
        <v>5050.7075180546735</v>
      </c>
      <c r="J24">
        <v>2411.7243230253234</v>
      </c>
      <c r="K24">
        <v>1842.9737512050942</v>
      </c>
      <c r="L24">
        <v>15991.080397995294</v>
      </c>
      <c r="M24">
        <v>32442.048259363502</v>
      </c>
      <c r="N24">
        <v>0</v>
      </c>
      <c r="O24">
        <v>3711.0747954659168</v>
      </c>
      <c r="P24">
        <v>28168.593587003248</v>
      </c>
      <c r="Q24">
        <v>27695.188276100362</v>
      </c>
      <c r="R24">
        <v>4321.0524635246411</v>
      </c>
      <c r="S24">
        <v>4385.5545802853449</v>
      </c>
      <c r="T24">
        <v>418.20197645692281</v>
      </c>
      <c r="U24">
        <v>8334.3189743960702</v>
      </c>
      <c r="V24">
        <v>2781.2714032861013</v>
      </c>
      <c r="W24">
        <v>10057.62469404164</v>
      </c>
      <c r="X24">
        <v>16467.413796287026</v>
      </c>
      <c r="Y24">
        <v>40585.321225277032</v>
      </c>
      <c r="Z24">
        <v>5859.7483539960667</v>
      </c>
      <c r="AA24">
        <v>22260.957439577436</v>
      </c>
      <c r="AB24">
        <v>1431.2921482626325</v>
      </c>
      <c r="AC24">
        <v>11250.291752480918</v>
      </c>
      <c r="AD24">
        <v>15082.007490332047</v>
      </c>
      <c r="AE24">
        <v>570.70574838338916</v>
      </c>
      <c r="AF24">
        <v>1521.8757590811808</v>
      </c>
    </row>
    <row r="25" spans="1:32" x14ac:dyDescent="0.35">
      <c r="A25" t="s">
        <v>93</v>
      </c>
      <c r="B25">
        <v>58368.74</v>
      </c>
      <c r="C25">
        <v>122199.62</v>
      </c>
      <c r="D25">
        <v>50814.74</v>
      </c>
      <c r="E25">
        <v>55160.68</v>
      </c>
      <c r="F25">
        <v>45939.4</v>
      </c>
      <c r="G25">
        <v>31884.33</v>
      </c>
      <c r="H25">
        <v>1054.99</v>
      </c>
      <c r="I25">
        <v>7548.98</v>
      </c>
      <c r="J25">
        <v>2190.0100000000002</v>
      </c>
      <c r="K25">
        <v>1846.04</v>
      </c>
      <c r="L25">
        <v>13144.93</v>
      </c>
      <c r="M25">
        <v>30113.27</v>
      </c>
      <c r="N25">
        <v>0</v>
      </c>
      <c r="O25">
        <v>4656.99</v>
      </c>
      <c r="P25">
        <v>26869.02</v>
      </c>
      <c r="Q25">
        <v>35457.96</v>
      </c>
      <c r="R25">
        <v>5097</v>
      </c>
      <c r="S25">
        <v>4703.9799999999996</v>
      </c>
      <c r="T25">
        <v>425.04</v>
      </c>
      <c r="U25">
        <v>7249.03</v>
      </c>
      <c r="V25">
        <v>2725.07</v>
      </c>
      <c r="W25">
        <v>1128.03</v>
      </c>
      <c r="X25">
        <v>4202.99</v>
      </c>
      <c r="Y25">
        <v>7616.02</v>
      </c>
      <c r="Z25">
        <v>897.99</v>
      </c>
      <c r="AA25">
        <v>30369.03</v>
      </c>
      <c r="AB25">
        <v>1964.01</v>
      </c>
      <c r="AC25">
        <v>16231.09</v>
      </c>
      <c r="AD25">
        <v>11881.98</v>
      </c>
      <c r="AE25">
        <v>871.09</v>
      </c>
      <c r="AF25">
        <v>1273.8599999999999</v>
      </c>
    </row>
    <row r="26" spans="1:32" x14ac:dyDescent="0.35">
      <c r="A26" t="s">
        <v>94</v>
      </c>
      <c r="B26">
        <v>74285.67</v>
      </c>
      <c r="C26">
        <v>155993.22</v>
      </c>
      <c r="D26">
        <v>75060.63</v>
      </c>
      <c r="E26">
        <v>72434.92</v>
      </c>
      <c r="F26">
        <v>131460.16</v>
      </c>
      <c r="G26">
        <v>75523.399999999994</v>
      </c>
      <c r="H26">
        <v>1224.98</v>
      </c>
      <c r="I26">
        <v>9025.98</v>
      </c>
      <c r="J26">
        <v>2633.03</v>
      </c>
      <c r="K26">
        <v>727.99</v>
      </c>
      <c r="L26">
        <v>16895.759999999998</v>
      </c>
      <c r="M26">
        <v>38098.1</v>
      </c>
      <c r="N26">
        <v>1017.97</v>
      </c>
      <c r="O26">
        <v>10650.97</v>
      </c>
      <c r="P26">
        <v>26071.01</v>
      </c>
      <c r="Q26">
        <v>48719.95</v>
      </c>
      <c r="R26">
        <v>7308.01</v>
      </c>
      <c r="S26">
        <v>5727.98</v>
      </c>
      <c r="T26">
        <v>456.03</v>
      </c>
      <c r="U26">
        <v>10508.04</v>
      </c>
      <c r="V26">
        <v>3193.07</v>
      </c>
      <c r="W26">
        <v>2432.04</v>
      </c>
      <c r="X26">
        <v>7635</v>
      </c>
      <c r="Y26">
        <v>10816.01</v>
      </c>
      <c r="Z26">
        <v>1310.93</v>
      </c>
      <c r="AA26">
        <v>35548.019999999997</v>
      </c>
      <c r="AB26">
        <v>3218.99</v>
      </c>
      <c r="AC26">
        <v>15616.08</v>
      </c>
      <c r="AD26">
        <v>11802.98</v>
      </c>
      <c r="AE26">
        <v>437.05</v>
      </c>
      <c r="AF26">
        <v>723.92</v>
      </c>
    </row>
    <row r="27" spans="1:32" x14ac:dyDescent="0.35">
      <c r="A27" t="s">
        <v>95</v>
      </c>
      <c r="B27">
        <v>38744.325355689478</v>
      </c>
      <c r="C27">
        <v>71031.682525153621</v>
      </c>
      <c r="D27">
        <v>32766.589234752784</v>
      </c>
      <c r="E27">
        <v>34983.918498475839</v>
      </c>
      <c r="F27">
        <v>36888.833391639229</v>
      </c>
      <c r="G27">
        <v>24827.835012767806</v>
      </c>
      <c r="H27">
        <v>1052.1216389574897</v>
      </c>
      <c r="I27">
        <v>7530.8786677767584</v>
      </c>
      <c r="J27">
        <v>2598.6618436114522</v>
      </c>
      <c r="K27">
        <v>423.07318841399444</v>
      </c>
      <c r="L27">
        <v>7070.4070520388177</v>
      </c>
      <c r="M27">
        <v>14431.26149127614</v>
      </c>
      <c r="N27">
        <v>0</v>
      </c>
      <c r="O27">
        <v>1176.8313098284375</v>
      </c>
      <c r="P27">
        <v>22275.411832054939</v>
      </c>
      <c r="Q27">
        <v>29294.102392602323</v>
      </c>
      <c r="R27">
        <v>2609.7622401705389</v>
      </c>
      <c r="S27">
        <v>2783.4383544385428</v>
      </c>
      <c r="T27">
        <v>307.30395729926215</v>
      </c>
      <c r="U27">
        <v>5733.9170795651353</v>
      </c>
      <c r="V27">
        <v>1956.2417017264684</v>
      </c>
      <c r="W27">
        <v>1948.4480431594061</v>
      </c>
      <c r="X27">
        <v>3891.240116958716</v>
      </c>
      <c r="Y27">
        <v>14639.842062126629</v>
      </c>
      <c r="Z27">
        <v>3204.2179804742304</v>
      </c>
      <c r="AA27">
        <v>11949.927610492832</v>
      </c>
      <c r="AB27">
        <v>669.11898937614785</v>
      </c>
      <c r="AC27">
        <v>6444.2645227610419</v>
      </c>
      <c r="AD27">
        <v>8656.5613098093618</v>
      </c>
      <c r="AE27">
        <v>503.30333646292326</v>
      </c>
      <c r="AF27">
        <v>1836.8873876708872</v>
      </c>
    </row>
    <row r="28" spans="1:32" x14ac:dyDescent="0.35">
      <c r="A28" t="s">
        <v>96</v>
      </c>
      <c r="B28">
        <v>53086.459562510463</v>
      </c>
      <c r="C28">
        <v>95640.16089179492</v>
      </c>
      <c r="D28">
        <v>40871.507488273215</v>
      </c>
      <c r="E28">
        <v>45333.433516058329</v>
      </c>
      <c r="F28">
        <v>41957.677744672386</v>
      </c>
      <c r="G28">
        <v>31512.801490868667</v>
      </c>
      <c r="H28">
        <v>920.98962907132216</v>
      </c>
      <c r="I28">
        <v>6120.0103638376577</v>
      </c>
      <c r="J28">
        <v>1887.8112962761713</v>
      </c>
      <c r="K28">
        <v>842.55744205375697</v>
      </c>
      <c r="L28">
        <v>8953.6292560888487</v>
      </c>
      <c r="M28">
        <v>18898.026193123176</v>
      </c>
      <c r="N28">
        <v>0</v>
      </c>
      <c r="O28">
        <v>15924.022841618757</v>
      </c>
      <c r="P28">
        <v>22967.26811392263</v>
      </c>
      <c r="Q28">
        <v>26323.154252605262</v>
      </c>
      <c r="R28">
        <v>4273.6604404651589</v>
      </c>
      <c r="S28">
        <v>3087.7932392842099</v>
      </c>
      <c r="T28">
        <v>0</v>
      </c>
      <c r="U28">
        <v>7003.9855811369343</v>
      </c>
      <c r="V28">
        <v>1832.2133827163325</v>
      </c>
      <c r="W28">
        <v>1775.547326531741</v>
      </c>
      <c r="X28">
        <v>6541.8177064696438</v>
      </c>
      <c r="Y28">
        <v>5353.7706223810364</v>
      </c>
      <c r="Z28">
        <v>733.49790018358522</v>
      </c>
      <c r="AA28">
        <v>18936.642818832355</v>
      </c>
      <c r="AB28">
        <v>565.65781570839272</v>
      </c>
      <c r="AC28">
        <v>9327.7734589448719</v>
      </c>
      <c r="AD28">
        <v>9093.3597504697791</v>
      </c>
      <c r="AE28">
        <v>1582.7584821783933</v>
      </c>
      <c r="AF28">
        <v>2522.9637790807278</v>
      </c>
    </row>
    <row r="29" spans="1:32" x14ac:dyDescent="0.35">
      <c r="A29" t="s">
        <v>97</v>
      </c>
      <c r="B29">
        <v>37383.494044424922</v>
      </c>
      <c r="C29">
        <v>70650.261487876269</v>
      </c>
      <c r="D29">
        <v>30487.205983044041</v>
      </c>
      <c r="E29">
        <v>32359.555623570526</v>
      </c>
      <c r="F29">
        <v>32316.88235391448</v>
      </c>
      <c r="G29">
        <v>22087.040249144033</v>
      </c>
      <c r="H29">
        <v>662.20917226051677</v>
      </c>
      <c r="I29">
        <v>4362.3082372006302</v>
      </c>
      <c r="J29">
        <v>2943.8042440845425</v>
      </c>
      <c r="K29">
        <v>325.7082313815132</v>
      </c>
      <c r="L29">
        <v>6614.5829641115233</v>
      </c>
      <c r="M29">
        <v>16093.703013366256</v>
      </c>
      <c r="N29">
        <v>0</v>
      </c>
      <c r="O29">
        <v>1454.6998277342427</v>
      </c>
      <c r="P29">
        <v>15054.617491603683</v>
      </c>
      <c r="Q29">
        <v>19619.553647768935</v>
      </c>
      <c r="R29">
        <v>3922.6568573523177</v>
      </c>
      <c r="S29">
        <v>3851.1608111170567</v>
      </c>
      <c r="T29">
        <v>315.74781800620985</v>
      </c>
      <c r="U29">
        <v>4542.3556005024348</v>
      </c>
      <c r="V29">
        <v>1372.4201186984717</v>
      </c>
      <c r="W29">
        <v>5993.536263111343</v>
      </c>
      <c r="X29">
        <v>12390.310950725316</v>
      </c>
      <c r="Y29">
        <v>16966.166470145778</v>
      </c>
      <c r="Z29">
        <v>587.1034939301187</v>
      </c>
      <c r="AA29">
        <v>16674.880920774282</v>
      </c>
      <c r="AB29">
        <v>1328.0641634040919</v>
      </c>
      <c r="AC29">
        <v>8855.8750008883399</v>
      </c>
      <c r="AD29">
        <v>10236.328586505313</v>
      </c>
      <c r="AE29">
        <v>228.0039039943415</v>
      </c>
      <c r="AF29">
        <v>445.9478809465964</v>
      </c>
    </row>
    <row r="30" spans="1:32" x14ac:dyDescent="0.35">
      <c r="A30" t="s">
        <v>98</v>
      </c>
      <c r="B30">
        <v>32676.84</v>
      </c>
      <c r="C30">
        <v>67802.23</v>
      </c>
      <c r="D30">
        <v>24152.880000000001</v>
      </c>
      <c r="E30">
        <v>24538.33</v>
      </c>
      <c r="F30">
        <v>35923.32</v>
      </c>
      <c r="G30">
        <v>39204.160000000003</v>
      </c>
      <c r="H30">
        <v>413.99</v>
      </c>
      <c r="I30">
        <v>3004.99</v>
      </c>
      <c r="J30">
        <v>462</v>
      </c>
      <c r="K30">
        <v>379.04</v>
      </c>
      <c r="L30">
        <v>4901.07</v>
      </c>
      <c r="M30">
        <v>11227.74</v>
      </c>
      <c r="N30">
        <v>0</v>
      </c>
      <c r="O30">
        <v>1054.01</v>
      </c>
      <c r="P30">
        <v>19757.009999999998</v>
      </c>
      <c r="Q30">
        <v>33643.97</v>
      </c>
      <c r="R30">
        <v>2088.0100000000002</v>
      </c>
      <c r="S30">
        <v>2174</v>
      </c>
      <c r="T30">
        <v>0</v>
      </c>
      <c r="U30">
        <v>5095.01</v>
      </c>
      <c r="V30">
        <v>809.01</v>
      </c>
      <c r="W30">
        <v>542.02</v>
      </c>
      <c r="X30">
        <v>2245.98</v>
      </c>
      <c r="Y30">
        <v>3932.97</v>
      </c>
      <c r="Z30">
        <v>549</v>
      </c>
      <c r="AA30">
        <v>17181</v>
      </c>
      <c r="AB30">
        <v>1539.98</v>
      </c>
      <c r="AC30">
        <v>9573.06</v>
      </c>
      <c r="AD30">
        <v>6280.03</v>
      </c>
      <c r="AE30">
        <v>249.03</v>
      </c>
      <c r="AF30">
        <v>662.92</v>
      </c>
    </row>
    <row r="31" spans="1:32" x14ac:dyDescent="0.35">
      <c r="A31" t="s">
        <v>99</v>
      </c>
      <c r="B31">
        <v>82571.511720657407</v>
      </c>
      <c r="C31">
        <v>154294.04043947574</v>
      </c>
      <c r="D31">
        <v>66446.178055507611</v>
      </c>
      <c r="E31">
        <v>73230.172048631517</v>
      </c>
      <c r="F31">
        <v>66854.543638785763</v>
      </c>
      <c r="G31">
        <v>51174.577350396685</v>
      </c>
      <c r="H31">
        <v>1608.5547979880541</v>
      </c>
      <c r="I31">
        <v>11698.770578816064</v>
      </c>
      <c r="J31">
        <v>2858.5867375012294</v>
      </c>
      <c r="K31">
        <v>1688.8083141961711</v>
      </c>
      <c r="L31">
        <v>12838.239610748242</v>
      </c>
      <c r="M31">
        <v>30099.42877941838</v>
      </c>
      <c r="N31">
        <v>895.98911881421498</v>
      </c>
      <c r="O31">
        <v>3883.621224268285</v>
      </c>
      <c r="P31">
        <v>37316.161236230997</v>
      </c>
      <c r="Q31">
        <v>51192.211737773912</v>
      </c>
      <c r="R31">
        <v>8921.3683941800882</v>
      </c>
      <c r="S31">
        <v>5081.9575838486426</v>
      </c>
      <c r="T31">
        <v>328.18581254782691</v>
      </c>
      <c r="U31">
        <v>14555.550552111368</v>
      </c>
      <c r="V31">
        <v>9308.6888617330915</v>
      </c>
      <c r="W31">
        <v>5661.892021211961</v>
      </c>
      <c r="X31">
        <v>19056.707189232624</v>
      </c>
      <c r="Y31">
        <v>35082.521332100921</v>
      </c>
      <c r="Z31">
        <v>4611.6918901480803</v>
      </c>
      <c r="AA31">
        <v>35839.380388874117</v>
      </c>
      <c r="AB31">
        <v>3052.122525783956</v>
      </c>
      <c r="AC31">
        <v>17801.337920764188</v>
      </c>
      <c r="AD31">
        <v>17478.60005538831</v>
      </c>
      <c r="AE31">
        <v>561.44275880675082</v>
      </c>
      <c r="AF31">
        <v>791.75910413868326</v>
      </c>
    </row>
    <row r="32" spans="1:32" x14ac:dyDescent="0.35">
      <c r="A32" t="s">
        <v>100</v>
      </c>
      <c r="B32">
        <v>48652.79</v>
      </c>
      <c r="C32">
        <v>97555.88</v>
      </c>
      <c r="D32">
        <v>43089.77</v>
      </c>
      <c r="E32">
        <v>57670.720000000001</v>
      </c>
      <c r="F32">
        <v>29342.25</v>
      </c>
      <c r="G32">
        <v>21601.54</v>
      </c>
      <c r="H32">
        <v>1015.98</v>
      </c>
      <c r="I32">
        <v>6850.98</v>
      </c>
      <c r="J32">
        <v>634</v>
      </c>
      <c r="K32">
        <v>379.04</v>
      </c>
      <c r="L32">
        <v>8497.8700000000008</v>
      </c>
      <c r="M32">
        <v>21250.49</v>
      </c>
      <c r="N32">
        <v>0</v>
      </c>
      <c r="O32">
        <v>1841.01</v>
      </c>
      <c r="P32">
        <v>19591.009999999998</v>
      </c>
      <c r="Q32">
        <v>30672.97</v>
      </c>
      <c r="R32">
        <v>2565</v>
      </c>
      <c r="S32">
        <v>3486.98</v>
      </c>
      <c r="T32">
        <v>0</v>
      </c>
      <c r="U32">
        <v>4288</v>
      </c>
      <c r="V32">
        <v>1011.02</v>
      </c>
      <c r="W32">
        <v>675.01</v>
      </c>
      <c r="X32">
        <v>2806</v>
      </c>
      <c r="Y32">
        <v>4913</v>
      </c>
      <c r="Z32">
        <v>672.97</v>
      </c>
      <c r="AA32">
        <v>13839</v>
      </c>
      <c r="AB32">
        <v>1253.01</v>
      </c>
      <c r="AC32">
        <v>6904.05</v>
      </c>
      <c r="AD32">
        <v>5078.99</v>
      </c>
      <c r="AE32">
        <v>252.03</v>
      </c>
      <c r="AF32">
        <v>493.95</v>
      </c>
    </row>
    <row r="33" spans="1:32" x14ac:dyDescent="0.35">
      <c r="A33" t="s">
        <v>101</v>
      </c>
      <c r="B33">
        <v>45920.79</v>
      </c>
      <c r="C33">
        <v>108110.78</v>
      </c>
      <c r="D33">
        <v>60675.69</v>
      </c>
      <c r="E33">
        <v>57973.73</v>
      </c>
      <c r="F33">
        <v>54562.5</v>
      </c>
      <c r="G33">
        <v>37693.19</v>
      </c>
      <c r="H33">
        <v>495.99</v>
      </c>
      <c r="I33">
        <v>4396.99</v>
      </c>
      <c r="J33">
        <v>1634</v>
      </c>
      <c r="K33">
        <v>419.01</v>
      </c>
      <c r="L33">
        <v>9979.18</v>
      </c>
      <c r="M33">
        <v>19642.52</v>
      </c>
      <c r="N33">
        <v>0</v>
      </c>
      <c r="O33">
        <v>2829</v>
      </c>
      <c r="P33">
        <v>12580.01</v>
      </c>
      <c r="Q33">
        <v>20556.98</v>
      </c>
      <c r="R33">
        <v>2575.02</v>
      </c>
      <c r="S33">
        <v>2687.98</v>
      </c>
      <c r="T33">
        <v>467.04</v>
      </c>
      <c r="U33">
        <v>4269</v>
      </c>
      <c r="V33">
        <v>1668.02</v>
      </c>
      <c r="W33">
        <v>760.01</v>
      </c>
      <c r="X33">
        <v>3814.01</v>
      </c>
      <c r="Y33">
        <v>5792.02</v>
      </c>
      <c r="Z33">
        <v>755.98</v>
      </c>
      <c r="AA33">
        <v>16535.990000000002</v>
      </c>
      <c r="AB33">
        <v>585.01</v>
      </c>
      <c r="AC33">
        <v>8123.05</v>
      </c>
      <c r="AD33">
        <v>7162.99</v>
      </c>
      <c r="AE33">
        <v>739.08</v>
      </c>
      <c r="AF33">
        <v>1060.8900000000001</v>
      </c>
    </row>
    <row r="34" spans="1:32" x14ac:dyDescent="0.35">
      <c r="A34" t="s">
        <v>102</v>
      </c>
      <c r="B34">
        <v>74690.66</v>
      </c>
      <c r="C34">
        <v>153651.26</v>
      </c>
      <c r="D34">
        <v>70953.62</v>
      </c>
      <c r="E34">
        <v>69506.850000000006</v>
      </c>
      <c r="F34">
        <v>94185.83</v>
      </c>
      <c r="G34">
        <v>68754.53</v>
      </c>
      <c r="H34">
        <v>743.99</v>
      </c>
      <c r="I34">
        <v>8831.98</v>
      </c>
      <c r="J34">
        <v>1603.02</v>
      </c>
      <c r="K34">
        <v>1513.05</v>
      </c>
      <c r="L34">
        <v>18762.169999999998</v>
      </c>
      <c r="M34">
        <v>53815.69</v>
      </c>
      <c r="N34">
        <v>1059.98</v>
      </c>
      <c r="O34">
        <v>1761.01</v>
      </c>
      <c r="P34">
        <v>32916.019999999997</v>
      </c>
      <c r="Q34">
        <v>41934.949999999997</v>
      </c>
      <c r="R34">
        <v>3776.01</v>
      </c>
      <c r="S34">
        <v>3889.98</v>
      </c>
      <c r="T34">
        <v>540.04</v>
      </c>
      <c r="U34">
        <v>11055.03</v>
      </c>
      <c r="V34">
        <v>4244.09</v>
      </c>
      <c r="W34">
        <v>1960.02</v>
      </c>
      <c r="X34">
        <v>9291.98</v>
      </c>
      <c r="Y34">
        <v>22760.959999999999</v>
      </c>
      <c r="Z34">
        <v>1248.98</v>
      </c>
      <c r="AA34">
        <v>27948.03</v>
      </c>
      <c r="AB34">
        <v>2259.98</v>
      </c>
      <c r="AC34">
        <v>12152.06</v>
      </c>
      <c r="AD34">
        <v>10288.01</v>
      </c>
      <c r="AE34">
        <v>1235.1199999999999</v>
      </c>
      <c r="AF34">
        <v>1910.8</v>
      </c>
    </row>
    <row r="35" spans="1:32" x14ac:dyDescent="0.35">
      <c r="A35" t="s">
        <v>103</v>
      </c>
      <c r="B35">
        <v>63621.024433706385</v>
      </c>
      <c r="C35">
        <v>131146.47721794105</v>
      </c>
      <c r="D35">
        <v>61059.558461130771</v>
      </c>
      <c r="E35">
        <v>62301.201636579171</v>
      </c>
      <c r="F35">
        <v>77325.086147914757</v>
      </c>
      <c r="G35">
        <v>54423.834651318713</v>
      </c>
      <c r="H35">
        <v>677.67854512250096</v>
      </c>
      <c r="I35">
        <v>7241.5401729666737</v>
      </c>
      <c r="J35">
        <v>2389.182604326857</v>
      </c>
      <c r="K35">
        <v>1851.4484013626602</v>
      </c>
      <c r="L35">
        <v>14976.122578711189</v>
      </c>
      <c r="M35">
        <v>39941.965583082012</v>
      </c>
      <c r="N35">
        <v>0</v>
      </c>
      <c r="O35">
        <v>1533.916130008246</v>
      </c>
      <c r="P35">
        <v>31403.439374389432</v>
      </c>
      <c r="Q35">
        <v>40034.774515562458</v>
      </c>
      <c r="R35">
        <v>3484.5117876604968</v>
      </c>
      <c r="S35">
        <v>4497.3801091806663</v>
      </c>
      <c r="T35">
        <v>597.32697722904118</v>
      </c>
      <c r="U35">
        <v>11365.168018390279</v>
      </c>
      <c r="V35">
        <v>4306.3741468795397</v>
      </c>
      <c r="W35">
        <v>3364.4804331529831</v>
      </c>
      <c r="X35">
        <v>11147.90030258011</v>
      </c>
      <c r="Y35">
        <v>20988.497824914662</v>
      </c>
      <c r="Z35">
        <v>1086.9859860955792</v>
      </c>
      <c r="AA35">
        <v>23529.100583370575</v>
      </c>
      <c r="AB35">
        <v>2670.0110730632714</v>
      </c>
      <c r="AC35">
        <v>11767.207793183516</v>
      </c>
      <c r="AD35">
        <v>10656.111115695345</v>
      </c>
      <c r="AE35">
        <v>2773.6901786661515</v>
      </c>
      <c r="AF35">
        <v>4056.3079548181267</v>
      </c>
    </row>
    <row r="36" spans="1:32" x14ac:dyDescent="0.35">
      <c r="A36" t="s">
        <v>104</v>
      </c>
      <c r="B36">
        <v>95427.765039152044</v>
      </c>
      <c r="C36">
        <v>207173.96012240613</v>
      </c>
      <c r="D36">
        <v>91945.282520928638</v>
      </c>
      <c r="E36">
        <v>89434.762770800138</v>
      </c>
      <c r="F36">
        <v>137913.13413305883</v>
      </c>
      <c r="G36">
        <v>97727.40592508491</v>
      </c>
      <c r="H36">
        <v>900.04054068266782</v>
      </c>
      <c r="I36">
        <v>9109.0947729074178</v>
      </c>
      <c r="J36">
        <v>2413.9620930968863</v>
      </c>
      <c r="K36">
        <v>2037.8274443069204</v>
      </c>
      <c r="L36">
        <v>27092.576049869636</v>
      </c>
      <c r="M36">
        <v>68086.819630682803</v>
      </c>
      <c r="N36">
        <v>1046.7887521023856</v>
      </c>
      <c r="O36">
        <v>2957.4915927274969</v>
      </c>
      <c r="P36">
        <v>39722.584197860524</v>
      </c>
      <c r="Q36">
        <v>55477.189447125384</v>
      </c>
      <c r="R36">
        <v>4642.9104563678002</v>
      </c>
      <c r="S36">
        <v>4183.0422143707383</v>
      </c>
      <c r="T36">
        <v>509.50077910352638</v>
      </c>
      <c r="U36">
        <v>14848.478186750888</v>
      </c>
      <c r="V36">
        <v>6003.9456072641869</v>
      </c>
      <c r="W36">
        <v>3729.4671672722479</v>
      </c>
      <c r="X36">
        <v>11225.426981819339</v>
      </c>
      <c r="Y36">
        <v>23051.270225037159</v>
      </c>
      <c r="Z36">
        <v>1662.6021570129715</v>
      </c>
      <c r="AA36">
        <v>38285.193682258818</v>
      </c>
      <c r="AB36">
        <v>3377.0172519921757</v>
      </c>
      <c r="AC36">
        <v>17327.56296334662</v>
      </c>
      <c r="AD36">
        <v>16858.342765055291</v>
      </c>
      <c r="AE36">
        <v>2084.514890204694</v>
      </c>
      <c r="AF36">
        <v>2814.5978340124871</v>
      </c>
    </row>
    <row r="37" spans="1:32" x14ac:dyDescent="0.35">
      <c r="A37" t="s">
        <v>105</v>
      </c>
      <c r="B37">
        <v>31074.86</v>
      </c>
      <c r="C37">
        <v>70188.19</v>
      </c>
      <c r="D37">
        <v>38054.81</v>
      </c>
      <c r="E37">
        <v>36826.46</v>
      </c>
      <c r="F37">
        <v>35883.33</v>
      </c>
      <c r="G37">
        <v>26130.44</v>
      </c>
      <c r="H37">
        <v>326.99</v>
      </c>
      <c r="I37">
        <v>3320.99</v>
      </c>
      <c r="J37">
        <v>826.01</v>
      </c>
      <c r="K37">
        <v>868.04</v>
      </c>
      <c r="L37">
        <v>4916.12</v>
      </c>
      <c r="M37">
        <v>14177.64</v>
      </c>
      <c r="N37">
        <v>0</v>
      </c>
      <c r="O37">
        <v>1358.01</v>
      </c>
      <c r="P37">
        <v>11138.01</v>
      </c>
      <c r="Q37">
        <v>18567.98</v>
      </c>
      <c r="R37">
        <v>1416</v>
      </c>
      <c r="S37">
        <v>1226</v>
      </c>
      <c r="T37">
        <v>0</v>
      </c>
      <c r="U37">
        <v>3647.01</v>
      </c>
      <c r="V37">
        <v>1520.01</v>
      </c>
      <c r="W37">
        <v>522</v>
      </c>
      <c r="X37">
        <v>2164.0100000000002</v>
      </c>
      <c r="Y37">
        <v>6499.98</v>
      </c>
      <c r="Z37">
        <v>525.96</v>
      </c>
      <c r="AA37">
        <v>11249</v>
      </c>
      <c r="AB37">
        <v>1012.01</v>
      </c>
      <c r="AC37">
        <v>5868.05</v>
      </c>
      <c r="AD37">
        <v>5413.02</v>
      </c>
      <c r="AE37">
        <v>893.09</v>
      </c>
      <c r="AF37">
        <v>1873.81</v>
      </c>
    </row>
    <row r="38" spans="1:32" x14ac:dyDescent="0.35">
      <c r="A38" t="s">
        <v>146</v>
      </c>
      <c r="B38">
        <v>22457.86</v>
      </c>
      <c r="C38">
        <v>44066.38</v>
      </c>
      <c r="D38">
        <v>21750.91</v>
      </c>
      <c r="E38">
        <v>21683.25</v>
      </c>
      <c r="F38">
        <v>17457.18</v>
      </c>
      <c r="G38">
        <v>11918.75</v>
      </c>
      <c r="H38">
        <v>356.99</v>
      </c>
      <c r="I38">
        <v>1833.99</v>
      </c>
      <c r="J38">
        <v>885.02</v>
      </c>
      <c r="K38">
        <v>691</v>
      </c>
      <c r="L38">
        <v>5345.21</v>
      </c>
      <c r="M38">
        <v>9432.7999999999993</v>
      </c>
      <c r="N38">
        <v>0</v>
      </c>
      <c r="O38">
        <v>1186.01</v>
      </c>
      <c r="P38">
        <v>7327.01</v>
      </c>
      <c r="Q38">
        <v>6778</v>
      </c>
      <c r="R38">
        <v>1587</v>
      </c>
      <c r="S38">
        <v>1740.01</v>
      </c>
      <c r="T38">
        <v>279.02999999999997</v>
      </c>
      <c r="U38">
        <v>2959.99</v>
      </c>
      <c r="V38">
        <v>1209.02</v>
      </c>
      <c r="W38">
        <v>775.01</v>
      </c>
      <c r="X38">
        <v>4194.97</v>
      </c>
      <c r="Y38">
        <v>3697.02</v>
      </c>
      <c r="Z38">
        <v>554.95000000000005</v>
      </c>
      <c r="AA38">
        <v>6981.96</v>
      </c>
      <c r="AB38">
        <v>814</v>
      </c>
      <c r="AC38">
        <v>4024.01</v>
      </c>
      <c r="AD38">
        <v>4837.99</v>
      </c>
      <c r="AE38">
        <v>1404.15</v>
      </c>
      <c r="AF38">
        <v>1868.79</v>
      </c>
    </row>
    <row r="39" spans="1:32" x14ac:dyDescent="0.35">
      <c r="A39" t="s">
        <v>147</v>
      </c>
      <c r="B39">
        <v>19633.86</v>
      </c>
      <c r="C39">
        <v>37454.480000000003</v>
      </c>
      <c r="D39">
        <v>17365.919999999998</v>
      </c>
      <c r="E39">
        <v>16810.22</v>
      </c>
      <c r="F39">
        <v>17186.189999999999</v>
      </c>
      <c r="G39">
        <v>11686.73</v>
      </c>
      <c r="H39">
        <v>188</v>
      </c>
      <c r="I39">
        <v>1017.99</v>
      </c>
      <c r="J39">
        <v>1077.02</v>
      </c>
      <c r="K39">
        <v>961.02</v>
      </c>
      <c r="L39">
        <v>3673.78</v>
      </c>
      <c r="M39">
        <v>4733.8599999999997</v>
      </c>
      <c r="N39">
        <v>0</v>
      </c>
      <c r="O39">
        <v>1074.01</v>
      </c>
      <c r="P39">
        <v>7830.02</v>
      </c>
      <c r="Q39">
        <v>5882</v>
      </c>
      <c r="R39">
        <v>1778</v>
      </c>
      <c r="S39">
        <v>2062.9899999999998</v>
      </c>
      <c r="T39">
        <v>336.02</v>
      </c>
      <c r="U39">
        <v>2126</v>
      </c>
      <c r="V39">
        <v>772.02</v>
      </c>
      <c r="W39">
        <v>956.01</v>
      </c>
      <c r="X39">
        <v>3224</v>
      </c>
      <c r="Y39">
        <v>3713</v>
      </c>
      <c r="Z39">
        <v>558.98</v>
      </c>
      <c r="AA39">
        <v>8297</v>
      </c>
      <c r="AB39">
        <v>915.97</v>
      </c>
      <c r="AC39">
        <v>4578.03</v>
      </c>
      <c r="AD39">
        <v>5667.99</v>
      </c>
      <c r="AE39">
        <v>635.05999999999995</v>
      </c>
      <c r="AF39">
        <v>804.91</v>
      </c>
    </row>
    <row r="40" spans="1:32" x14ac:dyDescent="0.35">
      <c r="A40" t="s">
        <v>148</v>
      </c>
      <c r="B40">
        <v>34242.78</v>
      </c>
      <c r="C40">
        <v>66164.09</v>
      </c>
      <c r="D40">
        <v>32828.839999999997</v>
      </c>
      <c r="E40">
        <v>33856.42</v>
      </c>
      <c r="F40">
        <v>30439.31</v>
      </c>
      <c r="G40">
        <v>20035.57</v>
      </c>
      <c r="H40">
        <v>574.99</v>
      </c>
      <c r="I40">
        <v>3217.99</v>
      </c>
      <c r="J40">
        <v>1718</v>
      </c>
      <c r="K40">
        <v>1339.05</v>
      </c>
      <c r="L40">
        <v>9424.06</v>
      </c>
      <c r="M40">
        <v>15568.61</v>
      </c>
      <c r="N40">
        <v>0</v>
      </c>
      <c r="O40">
        <v>1398.01</v>
      </c>
      <c r="P40">
        <v>10070.02</v>
      </c>
      <c r="Q40">
        <v>14309.99</v>
      </c>
      <c r="R40">
        <v>2973.02</v>
      </c>
      <c r="S40">
        <v>4082</v>
      </c>
      <c r="T40">
        <v>276.01</v>
      </c>
      <c r="U40">
        <v>4913</v>
      </c>
      <c r="V40">
        <v>1538.01</v>
      </c>
      <c r="W40">
        <v>852.01</v>
      </c>
      <c r="X40">
        <v>7076.99</v>
      </c>
      <c r="Y40">
        <v>5608.99</v>
      </c>
      <c r="Z40">
        <v>672.01</v>
      </c>
      <c r="AA40">
        <v>12634.94</v>
      </c>
      <c r="AB40">
        <v>944</v>
      </c>
      <c r="AC40">
        <v>6456.03</v>
      </c>
      <c r="AD40">
        <v>11366.99</v>
      </c>
      <c r="AE40">
        <v>3484.37</v>
      </c>
      <c r="AF40">
        <v>4637.5200000000004</v>
      </c>
    </row>
    <row r="41" spans="1:32" x14ac:dyDescent="0.35">
      <c r="A41" t="s">
        <v>149</v>
      </c>
      <c r="B41">
        <v>42954.73</v>
      </c>
      <c r="C41">
        <v>79665.91</v>
      </c>
      <c r="D41">
        <v>34663.839999999997</v>
      </c>
      <c r="E41">
        <v>37804.49</v>
      </c>
      <c r="F41">
        <v>29104.28</v>
      </c>
      <c r="G41">
        <v>20573.54</v>
      </c>
      <c r="H41">
        <v>539.99</v>
      </c>
      <c r="I41">
        <v>2907.99</v>
      </c>
      <c r="J41">
        <v>1566.02</v>
      </c>
      <c r="K41">
        <v>1351.02</v>
      </c>
      <c r="L41">
        <v>9014</v>
      </c>
      <c r="M41">
        <v>13668.69</v>
      </c>
      <c r="N41">
        <v>0</v>
      </c>
      <c r="O41">
        <v>3103.98</v>
      </c>
      <c r="P41">
        <v>16611.02</v>
      </c>
      <c r="Q41">
        <v>15869.99</v>
      </c>
      <c r="R41">
        <v>2623.01</v>
      </c>
      <c r="S41">
        <v>2450.0100000000002</v>
      </c>
      <c r="T41">
        <v>666.06</v>
      </c>
      <c r="U41">
        <v>6021.01</v>
      </c>
      <c r="V41">
        <v>2581.0700000000002</v>
      </c>
      <c r="W41">
        <v>1372.02</v>
      </c>
      <c r="X41">
        <v>7107.98</v>
      </c>
      <c r="Y41">
        <v>8344.99</v>
      </c>
      <c r="Z41">
        <v>1331.98</v>
      </c>
      <c r="AA41">
        <v>11745.99</v>
      </c>
      <c r="AB41">
        <v>0</v>
      </c>
      <c r="AC41">
        <v>8637.0300000000007</v>
      </c>
      <c r="AD41">
        <v>9326.9500000000007</v>
      </c>
      <c r="AE41">
        <v>2887.29</v>
      </c>
      <c r="AF41">
        <v>3791.62</v>
      </c>
    </row>
    <row r="42" spans="1:32" x14ac:dyDescent="0.35">
      <c r="A42" t="s">
        <v>167</v>
      </c>
      <c r="B42">
        <v>61109.7</v>
      </c>
      <c r="C42">
        <v>90456.09</v>
      </c>
      <c r="D42">
        <v>34658.74</v>
      </c>
      <c r="E42">
        <v>34830.33</v>
      </c>
      <c r="F42">
        <v>55891.58</v>
      </c>
      <c r="G42">
        <v>52943.9</v>
      </c>
      <c r="H42">
        <v>579.99</v>
      </c>
      <c r="I42">
        <v>4497.99</v>
      </c>
      <c r="J42">
        <v>2567.04</v>
      </c>
      <c r="K42">
        <v>2046.07</v>
      </c>
      <c r="L42">
        <v>11240.47</v>
      </c>
      <c r="M42">
        <v>25173.39</v>
      </c>
      <c r="N42">
        <v>0</v>
      </c>
      <c r="O42">
        <v>2111.9899999999998</v>
      </c>
      <c r="P42">
        <v>28289.05</v>
      </c>
      <c r="Q42">
        <v>44486.07</v>
      </c>
      <c r="R42">
        <v>5615.02</v>
      </c>
      <c r="S42">
        <v>6396</v>
      </c>
      <c r="T42">
        <v>462.04</v>
      </c>
      <c r="U42">
        <v>10581.02</v>
      </c>
      <c r="V42">
        <v>2679.03</v>
      </c>
      <c r="W42">
        <v>464</v>
      </c>
      <c r="X42">
        <v>8136.94</v>
      </c>
      <c r="Y42">
        <v>8697.99</v>
      </c>
      <c r="Z42">
        <v>3887.86</v>
      </c>
      <c r="AA42">
        <v>20303.009999999998</v>
      </c>
      <c r="AB42">
        <v>2171.9899999999998</v>
      </c>
      <c r="AC42">
        <v>10241.040000000001</v>
      </c>
      <c r="AD42">
        <v>8690.02</v>
      </c>
      <c r="AE42">
        <v>3331.35</v>
      </c>
      <c r="AF42">
        <v>5113.45</v>
      </c>
    </row>
    <row r="43" spans="1:32" x14ac:dyDescent="0.35">
      <c r="A43" t="s">
        <v>168</v>
      </c>
      <c r="B43">
        <v>47952.78</v>
      </c>
      <c r="C43">
        <v>69477.289999999994</v>
      </c>
      <c r="D43">
        <v>26334.79</v>
      </c>
      <c r="E43">
        <v>24485.23</v>
      </c>
      <c r="F43">
        <v>40842.449999999997</v>
      </c>
      <c r="G43">
        <v>42909.1</v>
      </c>
      <c r="H43">
        <v>441.99</v>
      </c>
      <c r="I43">
        <v>3675.99</v>
      </c>
      <c r="J43">
        <v>1409.02</v>
      </c>
      <c r="K43">
        <v>1133</v>
      </c>
      <c r="L43">
        <v>8198.7900000000009</v>
      </c>
      <c r="M43">
        <v>24940.41</v>
      </c>
      <c r="N43">
        <v>0</v>
      </c>
      <c r="O43">
        <v>4341.99</v>
      </c>
      <c r="P43">
        <v>17547.03</v>
      </c>
      <c r="Q43">
        <v>34485.050000000003</v>
      </c>
      <c r="R43">
        <v>3776.01</v>
      </c>
      <c r="S43">
        <v>3461</v>
      </c>
      <c r="T43">
        <v>294.02999999999997</v>
      </c>
      <c r="U43">
        <v>9196.0300000000007</v>
      </c>
      <c r="V43">
        <v>2088.0500000000002</v>
      </c>
      <c r="W43">
        <v>376.02</v>
      </c>
      <c r="X43">
        <v>13004.92</v>
      </c>
      <c r="Y43">
        <v>12328.99</v>
      </c>
      <c r="Z43">
        <v>9206.7099999999991</v>
      </c>
      <c r="AA43">
        <v>16431.98</v>
      </c>
      <c r="AB43">
        <v>1827</v>
      </c>
      <c r="AC43">
        <v>7889.02</v>
      </c>
      <c r="AD43">
        <v>7210.02</v>
      </c>
      <c r="AE43">
        <v>5077.53</v>
      </c>
      <c r="AF43">
        <v>6971.26</v>
      </c>
    </row>
    <row r="44" spans="1:32" x14ac:dyDescent="0.35">
      <c r="A44" t="s">
        <v>169</v>
      </c>
      <c r="B44">
        <v>63885.71</v>
      </c>
      <c r="C44">
        <v>110187.87</v>
      </c>
      <c r="D44">
        <v>41590.67</v>
      </c>
      <c r="E44">
        <v>40235.370000000003</v>
      </c>
      <c r="F44">
        <v>49714.52</v>
      </c>
      <c r="G44">
        <v>46178.05</v>
      </c>
      <c r="H44">
        <v>361.99</v>
      </c>
      <c r="I44">
        <v>3366</v>
      </c>
      <c r="J44">
        <v>1430</v>
      </c>
      <c r="K44">
        <v>453.02</v>
      </c>
      <c r="L44">
        <v>5511.24</v>
      </c>
      <c r="M44">
        <v>14547.63</v>
      </c>
      <c r="N44">
        <v>0</v>
      </c>
      <c r="O44">
        <v>919.99</v>
      </c>
      <c r="P44">
        <v>19057.04</v>
      </c>
      <c r="Q44">
        <v>35712.06</v>
      </c>
      <c r="R44">
        <v>5636.02</v>
      </c>
      <c r="S44">
        <v>5627</v>
      </c>
      <c r="T44">
        <v>374.04</v>
      </c>
      <c r="U44">
        <v>6653.02</v>
      </c>
      <c r="V44">
        <v>1808.01</v>
      </c>
      <c r="W44">
        <v>419.01</v>
      </c>
      <c r="X44">
        <v>2820.97</v>
      </c>
      <c r="Y44">
        <v>4447.99</v>
      </c>
      <c r="Z44">
        <v>765.96</v>
      </c>
      <c r="AA44">
        <v>13901.01</v>
      </c>
      <c r="AB44">
        <v>1046.01</v>
      </c>
      <c r="AC44">
        <v>7457.02</v>
      </c>
      <c r="AD44">
        <v>6274.99</v>
      </c>
      <c r="AE44">
        <v>1935.19</v>
      </c>
      <c r="AF44">
        <v>3845.59</v>
      </c>
    </row>
    <row r="45" spans="1:32" x14ac:dyDescent="0.35">
      <c r="A45" t="s">
        <v>150</v>
      </c>
      <c r="B45">
        <v>43805.72</v>
      </c>
      <c r="C45">
        <v>65944.09</v>
      </c>
      <c r="D45">
        <v>80572.649999999994</v>
      </c>
      <c r="E45">
        <v>24908.33</v>
      </c>
      <c r="F45">
        <v>28704.28</v>
      </c>
      <c r="G45">
        <v>23542.49</v>
      </c>
      <c r="H45">
        <v>401</v>
      </c>
      <c r="I45">
        <v>2056.9899999999998</v>
      </c>
      <c r="J45">
        <v>1373.01</v>
      </c>
      <c r="K45">
        <v>1110.01</v>
      </c>
      <c r="L45">
        <v>6395.4</v>
      </c>
      <c r="M45">
        <v>12718.7</v>
      </c>
      <c r="N45">
        <v>0</v>
      </c>
      <c r="O45">
        <v>2735.98</v>
      </c>
      <c r="P45">
        <v>29436.04</v>
      </c>
      <c r="Q45">
        <v>23024.99</v>
      </c>
      <c r="R45">
        <v>1962.01</v>
      </c>
      <c r="S45">
        <v>2190</v>
      </c>
      <c r="T45">
        <v>329.02</v>
      </c>
      <c r="U45">
        <v>5561.01</v>
      </c>
      <c r="V45">
        <v>1999.04</v>
      </c>
      <c r="W45">
        <v>2476.0300000000002</v>
      </c>
      <c r="X45">
        <v>29116.880000000001</v>
      </c>
      <c r="Y45">
        <v>28654</v>
      </c>
      <c r="Z45">
        <v>8930.68</v>
      </c>
      <c r="AA45">
        <v>18905.939999999999</v>
      </c>
      <c r="AB45">
        <v>1262</v>
      </c>
      <c r="AC45">
        <v>20679.11</v>
      </c>
      <c r="AD45">
        <v>12890</v>
      </c>
      <c r="AE45">
        <v>1028.0999999999999</v>
      </c>
      <c r="AF45">
        <v>1368.85</v>
      </c>
    </row>
    <row r="46" spans="1:32" x14ac:dyDescent="0.35">
      <c r="A46" t="s">
        <v>151</v>
      </c>
      <c r="B46">
        <v>40436.74</v>
      </c>
      <c r="C46">
        <v>79371.92</v>
      </c>
      <c r="D46">
        <v>40332.81</v>
      </c>
      <c r="E46">
        <v>39504.51</v>
      </c>
      <c r="F46">
        <v>30428.3</v>
      </c>
      <c r="G46">
        <v>21541.52</v>
      </c>
      <c r="H46">
        <v>836.99</v>
      </c>
      <c r="I46">
        <v>3827.99</v>
      </c>
      <c r="J46">
        <v>2034.02</v>
      </c>
      <c r="K46">
        <v>1658.04</v>
      </c>
      <c r="L46">
        <v>10244.26</v>
      </c>
      <c r="M46">
        <v>19628.509999999998</v>
      </c>
      <c r="N46">
        <v>0</v>
      </c>
      <c r="O46">
        <v>3309.99</v>
      </c>
      <c r="P46">
        <v>11197.02</v>
      </c>
      <c r="Q46">
        <v>18674.990000000002</v>
      </c>
      <c r="R46">
        <v>3851.01</v>
      </c>
      <c r="S46">
        <v>4002.01</v>
      </c>
      <c r="T46">
        <v>392.03</v>
      </c>
      <c r="U46">
        <v>10721.01</v>
      </c>
      <c r="V46">
        <v>3598.07</v>
      </c>
      <c r="W46">
        <v>1255.03</v>
      </c>
      <c r="X46">
        <v>14304.94</v>
      </c>
      <c r="Y46">
        <v>17031.990000000002</v>
      </c>
      <c r="Z46">
        <v>9098.68</v>
      </c>
      <c r="AA46">
        <v>19701.96</v>
      </c>
      <c r="AB46">
        <v>2339.9899999999998</v>
      </c>
      <c r="AC46">
        <v>10267.040000000001</v>
      </c>
      <c r="AD46">
        <v>9364.98</v>
      </c>
      <c r="AE46">
        <v>3145.33</v>
      </c>
      <c r="AF46">
        <v>4184.57</v>
      </c>
    </row>
    <row r="47" spans="1:32" x14ac:dyDescent="0.35">
      <c r="A47" t="s">
        <v>152</v>
      </c>
      <c r="B47">
        <v>56795.64</v>
      </c>
      <c r="C47">
        <v>91078.73</v>
      </c>
      <c r="D47">
        <v>38363.83</v>
      </c>
      <c r="E47">
        <v>37926.46</v>
      </c>
      <c r="F47">
        <v>29476.28</v>
      </c>
      <c r="G47">
        <v>21759.52</v>
      </c>
      <c r="H47">
        <v>426.99</v>
      </c>
      <c r="I47">
        <v>2640</v>
      </c>
      <c r="J47">
        <v>965</v>
      </c>
      <c r="K47">
        <v>898</v>
      </c>
      <c r="L47">
        <v>14384.17</v>
      </c>
      <c r="M47">
        <v>22685.439999999999</v>
      </c>
      <c r="N47">
        <v>0</v>
      </c>
      <c r="O47">
        <v>6571.99</v>
      </c>
      <c r="P47">
        <v>16585.02</v>
      </c>
      <c r="Q47">
        <v>14511.99</v>
      </c>
      <c r="R47">
        <v>2417.0100000000002</v>
      </c>
      <c r="S47">
        <v>2348</v>
      </c>
      <c r="T47">
        <v>526.04</v>
      </c>
      <c r="U47">
        <v>9151.01</v>
      </c>
      <c r="V47">
        <v>2733.03</v>
      </c>
      <c r="W47">
        <v>839.02</v>
      </c>
      <c r="X47">
        <v>1262.01</v>
      </c>
      <c r="Y47">
        <v>5736.99</v>
      </c>
      <c r="Z47">
        <v>1812.95</v>
      </c>
      <c r="AA47">
        <v>30658.9</v>
      </c>
      <c r="AB47">
        <v>3385.96</v>
      </c>
      <c r="AC47">
        <v>8949.0400000000009</v>
      </c>
      <c r="AD47">
        <v>9251.9699999999993</v>
      </c>
      <c r="AE47">
        <v>3283.34</v>
      </c>
      <c r="AF47">
        <v>4369.55</v>
      </c>
    </row>
    <row r="48" spans="1:32" x14ac:dyDescent="0.35">
      <c r="A48" t="s">
        <v>153</v>
      </c>
      <c r="B48">
        <v>28257.82</v>
      </c>
      <c r="C48">
        <v>77368.95</v>
      </c>
      <c r="D48">
        <v>27095.89</v>
      </c>
      <c r="E48">
        <v>52300.68</v>
      </c>
      <c r="F48">
        <v>34850.379999999997</v>
      </c>
      <c r="G48">
        <v>23938.47</v>
      </c>
      <c r="H48">
        <v>656.99</v>
      </c>
      <c r="I48">
        <v>3397.99</v>
      </c>
      <c r="J48">
        <v>1365.02</v>
      </c>
      <c r="K48">
        <v>1105</v>
      </c>
      <c r="L48">
        <v>18934.21</v>
      </c>
      <c r="M48">
        <v>34947.17</v>
      </c>
      <c r="N48">
        <v>0</v>
      </c>
      <c r="O48">
        <v>7285.97</v>
      </c>
      <c r="P48">
        <v>27852.04</v>
      </c>
      <c r="Q48">
        <v>13727</v>
      </c>
      <c r="R48">
        <v>3803.01</v>
      </c>
      <c r="S48">
        <v>3481.99</v>
      </c>
      <c r="T48">
        <v>512.03</v>
      </c>
      <c r="U48">
        <v>12249.03</v>
      </c>
      <c r="V48">
        <v>4392.09</v>
      </c>
      <c r="W48">
        <v>2533.04</v>
      </c>
      <c r="X48">
        <v>7550.95</v>
      </c>
      <c r="Y48">
        <v>9824.98</v>
      </c>
      <c r="Z48">
        <v>1068.94</v>
      </c>
      <c r="AA48">
        <v>24497.919999999998</v>
      </c>
      <c r="AB48">
        <v>1650</v>
      </c>
      <c r="AC48">
        <v>6455.04</v>
      </c>
      <c r="AD48">
        <v>10179.99</v>
      </c>
      <c r="AE48">
        <v>5288.56</v>
      </c>
      <c r="AF48">
        <v>7038.26</v>
      </c>
    </row>
    <row r="49" spans="1:32" x14ac:dyDescent="0.35">
      <c r="A49" t="s">
        <v>154</v>
      </c>
      <c r="B49">
        <v>38403.75</v>
      </c>
      <c r="C49">
        <v>98832.63</v>
      </c>
      <c r="D49">
        <v>19067.900000000001</v>
      </c>
      <c r="E49">
        <v>59361.74</v>
      </c>
      <c r="F49">
        <v>37019.370000000003</v>
      </c>
      <c r="G49">
        <v>21246.54</v>
      </c>
      <c r="H49">
        <v>779.99</v>
      </c>
      <c r="I49">
        <v>4086.99</v>
      </c>
      <c r="J49">
        <v>2047.01</v>
      </c>
      <c r="K49">
        <v>1786.05</v>
      </c>
      <c r="L49">
        <v>16208.61</v>
      </c>
      <c r="M49">
        <v>31438.240000000002</v>
      </c>
      <c r="N49">
        <v>0</v>
      </c>
      <c r="O49">
        <v>6851.99</v>
      </c>
      <c r="P49">
        <v>17322.02</v>
      </c>
      <c r="Q49">
        <v>28005.98</v>
      </c>
      <c r="R49">
        <v>3949.01</v>
      </c>
      <c r="S49">
        <v>4131.99</v>
      </c>
      <c r="T49">
        <v>575.04</v>
      </c>
      <c r="U49">
        <v>13077.01</v>
      </c>
      <c r="V49">
        <v>5769.09</v>
      </c>
      <c r="W49">
        <v>1529.03</v>
      </c>
      <c r="X49">
        <v>14788.94</v>
      </c>
      <c r="Y49">
        <v>16483.990000000002</v>
      </c>
      <c r="Z49">
        <v>1231.95</v>
      </c>
      <c r="AA49">
        <v>14580.94</v>
      </c>
      <c r="AB49">
        <v>1198</v>
      </c>
      <c r="AC49">
        <v>11757.07</v>
      </c>
      <c r="AD49">
        <v>13963.94</v>
      </c>
      <c r="AE49">
        <v>3219.34</v>
      </c>
      <c r="AF49">
        <v>4282.57</v>
      </c>
    </row>
    <row r="50" spans="1:32" x14ac:dyDescent="0.35">
      <c r="A50" t="s">
        <v>170</v>
      </c>
      <c r="B50">
        <v>35287.83</v>
      </c>
      <c r="C50">
        <v>59311.41</v>
      </c>
      <c r="D50">
        <v>23348.82</v>
      </c>
      <c r="E50">
        <v>17150.18</v>
      </c>
      <c r="F50">
        <v>37530.379999999997</v>
      </c>
      <c r="G50">
        <v>30673.38</v>
      </c>
      <c r="H50">
        <v>335</v>
      </c>
      <c r="I50">
        <v>3761</v>
      </c>
      <c r="J50">
        <v>376.99</v>
      </c>
      <c r="K50">
        <v>365.04</v>
      </c>
      <c r="L50">
        <v>5539.24</v>
      </c>
      <c r="M50">
        <v>11211.71</v>
      </c>
      <c r="N50">
        <v>0</v>
      </c>
      <c r="O50">
        <v>1315</v>
      </c>
      <c r="P50">
        <v>15393.04</v>
      </c>
      <c r="Q50">
        <v>17157.03</v>
      </c>
      <c r="R50">
        <v>4379.0200000000004</v>
      </c>
      <c r="S50">
        <v>2644.01</v>
      </c>
      <c r="T50">
        <v>264.01</v>
      </c>
      <c r="U50">
        <v>4667.01</v>
      </c>
      <c r="V50">
        <v>1078.02</v>
      </c>
      <c r="W50">
        <v>258.01</v>
      </c>
      <c r="X50">
        <v>2515.9899999999998</v>
      </c>
      <c r="Y50">
        <v>5686.99</v>
      </c>
      <c r="Z50">
        <v>526.98</v>
      </c>
      <c r="AA50">
        <v>9569.99</v>
      </c>
      <c r="AB50">
        <v>766.01</v>
      </c>
      <c r="AC50">
        <v>5837.01</v>
      </c>
      <c r="AD50">
        <v>5644</v>
      </c>
      <c r="AE50">
        <v>859.09</v>
      </c>
      <c r="AF50">
        <v>1009.89</v>
      </c>
    </row>
    <row r="51" spans="1:32" x14ac:dyDescent="0.35">
      <c r="A51" t="s">
        <v>171</v>
      </c>
      <c r="B51">
        <v>39512.82</v>
      </c>
      <c r="C51">
        <v>72912.27</v>
      </c>
      <c r="D51">
        <v>31442.73</v>
      </c>
      <c r="E51">
        <v>31060.33</v>
      </c>
      <c r="F51">
        <v>40596.43</v>
      </c>
      <c r="G51">
        <v>33529.300000000003</v>
      </c>
      <c r="H51">
        <v>524.99</v>
      </c>
      <c r="I51">
        <v>8166.98</v>
      </c>
      <c r="J51">
        <v>2527.0100000000002</v>
      </c>
      <c r="K51">
        <v>968</v>
      </c>
      <c r="L51">
        <v>8126.8</v>
      </c>
      <c r="M51">
        <v>15543.63</v>
      </c>
      <c r="N51">
        <v>0</v>
      </c>
      <c r="O51">
        <v>2098</v>
      </c>
      <c r="P51">
        <v>15884.03</v>
      </c>
      <c r="Q51">
        <v>20220.03</v>
      </c>
      <c r="R51">
        <v>3659.01</v>
      </c>
      <c r="S51">
        <v>3226.99</v>
      </c>
      <c r="T51">
        <v>277.02</v>
      </c>
      <c r="U51">
        <v>6402.02</v>
      </c>
      <c r="V51">
        <v>1328.04</v>
      </c>
      <c r="W51">
        <v>541</v>
      </c>
      <c r="X51">
        <v>3785.99</v>
      </c>
      <c r="Y51">
        <v>4893.0200000000004</v>
      </c>
      <c r="Z51">
        <v>589</v>
      </c>
      <c r="AA51">
        <v>12543.98</v>
      </c>
      <c r="AB51">
        <v>960.01</v>
      </c>
      <c r="AC51">
        <v>6922.01</v>
      </c>
      <c r="AD51">
        <v>6489</v>
      </c>
      <c r="AE51">
        <v>1126.1099999999999</v>
      </c>
      <c r="AF51">
        <v>1248.8599999999999</v>
      </c>
    </row>
    <row r="52" spans="1:32" x14ac:dyDescent="0.35">
      <c r="A52" t="s">
        <v>172</v>
      </c>
      <c r="B52">
        <v>36485.82</v>
      </c>
      <c r="C52">
        <v>64958.32</v>
      </c>
      <c r="D52">
        <v>28850.76</v>
      </c>
      <c r="E52">
        <v>23932.240000000002</v>
      </c>
      <c r="F52">
        <v>38369.4</v>
      </c>
      <c r="G52">
        <v>32783.32</v>
      </c>
      <c r="H52">
        <v>388.99</v>
      </c>
      <c r="I52">
        <v>5853.99</v>
      </c>
      <c r="J52">
        <v>1131</v>
      </c>
      <c r="K52">
        <v>903.01</v>
      </c>
      <c r="L52">
        <v>6641.45</v>
      </c>
      <c r="M52">
        <v>13339.67</v>
      </c>
      <c r="N52">
        <v>0</v>
      </c>
      <c r="O52">
        <v>5015.01</v>
      </c>
      <c r="P52">
        <v>12274.03</v>
      </c>
      <c r="Q52">
        <v>18639.03</v>
      </c>
      <c r="R52">
        <v>5338.04</v>
      </c>
      <c r="S52">
        <v>2557.0100000000002</v>
      </c>
      <c r="T52">
        <v>262.02999999999997</v>
      </c>
      <c r="U52">
        <v>4735.01</v>
      </c>
      <c r="V52">
        <v>1145.03</v>
      </c>
      <c r="W52">
        <v>290</v>
      </c>
      <c r="X52">
        <v>2930.99</v>
      </c>
      <c r="Y52">
        <v>5218.01</v>
      </c>
      <c r="Z52">
        <v>528.97</v>
      </c>
      <c r="AA52">
        <v>10677.98</v>
      </c>
      <c r="AB52">
        <v>1628.01</v>
      </c>
      <c r="AC52">
        <v>6430.03</v>
      </c>
      <c r="AD52">
        <v>7439.02</v>
      </c>
      <c r="AE52">
        <v>717.08</v>
      </c>
      <c r="AF52">
        <v>1183.8800000000001</v>
      </c>
    </row>
    <row r="53" spans="1:32" x14ac:dyDescent="0.35">
      <c r="A53" t="s">
        <v>193</v>
      </c>
      <c r="B53">
        <v>45607.65</v>
      </c>
      <c r="C53">
        <v>94362.85</v>
      </c>
      <c r="D53">
        <v>56284.52</v>
      </c>
      <c r="E53">
        <v>64989.65</v>
      </c>
      <c r="F53">
        <v>40170.480000000003</v>
      </c>
      <c r="G53">
        <v>30582.36</v>
      </c>
      <c r="H53">
        <v>616.99</v>
      </c>
      <c r="I53">
        <v>4201</v>
      </c>
      <c r="J53">
        <v>1225.01</v>
      </c>
      <c r="K53">
        <v>1009.04</v>
      </c>
      <c r="L53">
        <v>11773.6</v>
      </c>
      <c r="M53">
        <v>20025.509999999998</v>
      </c>
      <c r="N53">
        <v>2049.9899999999998</v>
      </c>
      <c r="O53">
        <v>2098</v>
      </c>
      <c r="P53">
        <v>17732.990000000002</v>
      </c>
      <c r="Q53">
        <v>33067.06</v>
      </c>
      <c r="R53">
        <v>3792.02</v>
      </c>
      <c r="S53">
        <v>2326.9899999999998</v>
      </c>
      <c r="T53">
        <v>362.03</v>
      </c>
      <c r="U53">
        <v>7207.02</v>
      </c>
      <c r="V53">
        <v>2399.04</v>
      </c>
      <c r="W53">
        <v>1263.03</v>
      </c>
      <c r="X53">
        <v>5897.99</v>
      </c>
      <c r="Y53">
        <v>7856.03</v>
      </c>
      <c r="Z53">
        <v>745.99</v>
      </c>
      <c r="AA53">
        <v>45619.94</v>
      </c>
      <c r="AB53">
        <v>3233.97</v>
      </c>
      <c r="AC53">
        <v>19792.099999999999</v>
      </c>
      <c r="AD53">
        <v>10889.97</v>
      </c>
      <c r="AE53">
        <v>993.1</v>
      </c>
      <c r="AF53">
        <v>2190.77</v>
      </c>
    </row>
    <row r="54" spans="1:32" x14ac:dyDescent="0.35">
      <c r="A54" t="s">
        <v>194</v>
      </c>
      <c r="B54">
        <v>53180.58</v>
      </c>
      <c r="C54">
        <v>116185.56</v>
      </c>
      <c r="D54">
        <v>64765.46</v>
      </c>
      <c r="E54">
        <v>78334.78</v>
      </c>
      <c r="F54">
        <v>51725.599999999999</v>
      </c>
      <c r="G54">
        <v>48006</v>
      </c>
      <c r="H54">
        <v>654.99</v>
      </c>
      <c r="I54">
        <v>3979.99</v>
      </c>
      <c r="J54">
        <v>2606.02</v>
      </c>
      <c r="K54">
        <v>1097.02</v>
      </c>
      <c r="L54">
        <v>15340.44</v>
      </c>
      <c r="M54">
        <v>27627.3</v>
      </c>
      <c r="N54">
        <v>2594.0100000000002</v>
      </c>
      <c r="O54">
        <v>4780.99</v>
      </c>
      <c r="P54">
        <v>23244</v>
      </c>
      <c r="Q54">
        <v>32404.06</v>
      </c>
      <c r="R54">
        <v>3714.03</v>
      </c>
      <c r="S54">
        <v>4385.99</v>
      </c>
      <c r="T54">
        <v>532.03</v>
      </c>
      <c r="U54">
        <v>12467.03</v>
      </c>
      <c r="V54">
        <v>4090.05</v>
      </c>
      <c r="W54">
        <v>1597.02</v>
      </c>
      <c r="X54">
        <v>7384.98</v>
      </c>
      <c r="Y54">
        <v>9943.99</v>
      </c>
      <c r="Z54">
        <v>943.95</v>
      </c>
      <c r="AA54">
        <v>57527.96</v>
      </c>
      <c r="AB54">
        <v>5195.95</v>
      </c>
      <c r="AC54">
        <v>28121.13</v>
      </c>
      <c r="AD54">
        <v>15908.98</v>
      </c>
      <c r="AE54">
        <v>3318.34</v>
      </c>
      <c r="AF54">
        <v>6672.32</v>
      </c>
    </row>
    <row r="55" spans="1:32" x14ac:dyDescent="0.35">
      <c r="A55" t="s">
        <v>195</v>
      </c>
      <c r="B55">
        <v>48979.62</v>
      </c>
      <c r="C55">
        <v>100618.74</v>
      </c>
      <c r="D55">
        <v>53524.55</v>
      </c>
      <c r="E55">
        <v>63862.65</v>
      </c>
      <c r="F55">
        <v>39552.46</v>
      </c>
      <c r="G55">
        <v>29551.39</v>
      </c>
      <c r="H55">
        <v>426.99</v>
      </c>
      <c r="I55">
        <v>2917.99</v>
      </c>
      <c r="J55">
        <v>1322.03</v>
      </c>
      <c r="K55">
        <v>1186.02</v>
      </c>
      <c r="L55">
        <v>20230.52</v>
      </c>
      <c r="M55">
        <v>31618.23</v>
      </c>
      <c r="N55">
        <v>2198</v>
      </c>
      <c r="O55">
        <v>4189</v>
      </c>
      <c r="P55">
        <v>41901</v>
      </c>
      <c r="Q55">
        <v>37100.06</v>
      </c>
      <c r="R55">
        <v>2892.02</v>
      </c>
      <c r="S55">
        <v>2963</v>
      </c>
      <c r="T55">
        <v>345.03</v>
      </c>
      <c r="U55">
        <v>9550.02</v>
      </c>
      <c r="V55">
        <v>2949.03</v>
      </c>
      <c r="W55">
        <v>1355.03</v>
      </c>
      <c r="X55">
        <v>6738.98</v>
      </c>
      <c r="Y55">
        <v>10082</v>
      </c>
      <c r="Z55">
        <v>800.97</v>
      </c>
      <c r="AA55">
        <v>29261.95</v>
      </c>
      <c r="AB55">
        <v>2329.96</v>
      </c>
      <c r="AC55">
        <v>12564.05</v>
      </c>
      <c r="AD55">
        <v>7295.97</v>
      </c>
      <c r="AE55">
        <v>1160.1300000000001</v>
      </c>
      <c r="AF55">
        <v>2474.75</v>
      </c>
    </row>
    <row r="56" spans="1:32" x14ac:dyDescent="0.35">
      <c r="A56" t="s">
        <v>196</v>
      </c>
      <c r="B56">
        <v>72411.45</v>
      </c>
      <c r="C56">
        <v>144368.22</v>
      </c>
      <c r="D56">
        <v>77378.34</v>
      </c>
      <c r="E56">
        <v>81649.850000000006</v>
      </c>
      <c r="F56">
        <v>58312.7</v>
      </c>
      <c r="G56">
        <v>46728.04</v>
      </c>
      <c r="H56">
        <v>749.99</v>
      </c>
      <c r="I56">
        <v>4084</v>
      </c>
      <c r="J56">
        <v>1579.01</v>
      </c>
      <c r="K56">
        <v>1274</v>
      </c>
      <c r="L56">
        <v>19654.349999999999</v>
      </c>
      <c r="M56">
        <v>31293.22</v>
      </c>
      <c r="N56">
        <v>2955.99</v>
      </c>
      <c r="O56">
        <v>8920.9699999999993</v>
      </c>
      <c r="P56">
        <v>23965.99</v>
      </c>
      <c r="Q56">
        <v>30203.06</v>
      </c>
      <c r="R56">
        <v>4647.03</v>
      </c>
      <c r="S56">
        <v>4381.97</v>
      </c>
      <c r="T56">
        <v>483.03</v>
      </c>
      <c r="U56">
        <v>15018.06</v>
      </c>
      <c r="V56">
        <v>5914.08</v>
      </c>
      <c r="W56">
        <v>15432.25</v>
      </c>
      <c r="X56">
        <v>26988.94</v>
      </c>
      <c r="Y56">
        <v>34796.03</v>
      </c>
      <c r="Z56">
        <v>3304.88</v>
      </c>
      <c r="AA56">
        <v>24006</v>
      </c>
      <c r="AB56">
        <v>1608.98</v>
      </c>
      <c r="AC56">
        <v>12072.06</v>
      </c>
      <c r="AD56">
        <v>13595.97</v>
      </c>
      <c r="AE56">
        <v>5850.62</v>
      </c>
      <c r="AF56">
        <v>7785.19</v>
      </c>
    </row>
    <row r="57" spans="1:32" x14ac:dyDescent="0.35">
      <c r="A57" t="s">
        <v>197</v>
      </c>
      <c r="B57">
        <v>73619.429999999993</v>
      </c>
      <c r="C57">
        <v>140226.26</v>
      </c>
      <c r="D57">
        <v>72114.42</v>
      </c>
      <c r="E57">
        <v>80857.84</v>
      </c>
      <c r="F57">
        <v>54995.65</v>
      </c>
      <c r="G57">
        <v>36661.25</v>
      </c>
      <c r="H57">
        <v>1041.98</v>
      </c>
      <c r="I57">
        <v>4907</v>
      </c>
      <c r="J57">
        <v>1533.01</v>
      </c>
      <c r="K57">
        <v>1421.02</v>
      </c>
      <c r="L57">
        <v>24902.54</v>
      </c>
      <c r="M57">
        <v>31850.22</v>
      </c>
      <c r="N57">
        <v>2919.99</v>
      </c>
      <c r="O57">
        <v>14542.98</v>
      </c>
      <c r="P57">
        <v>20374.990000000002</v>
      </c>
      <c r="Q57">
        <v>34907.06</v>
      </c>
      <c r="R57">
        <v>5545.03</v>
      </c>
      <c r="S57">
        <v>5142.9799999999996</v>
      </c>
      <c r="T57">
        <v>557.04999999999995</v>
      </c>
      <c r="U57">
        <v>19063.07</v>
      </c>
      <c r="V57">
        <v>9443.16</v>
      </c>
      <c r="W57">
        <v>6027.1</v>
      </c>
      <c r="X57">
        <v>30893.91</v>
      </c>
      <c r="Y57">
        <v>25176.02</v>
      </c>
      <c r="Z57">
        <v>2368.9299999999998</v>
      </c>
      <c r="AA57">
        <v>24819.95</v>
      </c>
      <c r="AB57">
        <v>2560.98</v>
      </c>
      <c r="AC57">
        <v>11887.05</v>
      </c>
      <c r="AD57">
        <v>17073.009999999998</v>
      </c>
      <c r="AE57">
        <v>4748.49</v>
      </c>
      <c r="AF57">
        <v>6462.32</v>
      </c>
    </row>
    <row r="58" spans="1:32" x14ac:dyDescent="0.35">
      <c r="A58" t="s">
        <v>198</v>
      </c>
      <c r="B58">
        <v>19690.849999999999</v>
      </c>
      <c r="C58">
        <v>39045.51</v>
      </c>
      <c r="D58">
        <v>21118.83</v>
      </c>
      <c r="E58">
        <v>22434.240000000002</v>
      </c>
      <c r="F58">
        <v>16239.19</v>
      </c>
      <c r="G58">
        <v>11346.78</v>
      </c>
      <c r="H58">
        <v>263</v>
      </c>
      <c r="I58">
        <v>1484</v>
      </c>
      <c r="J58">
        <v>1244</v>
      </c>
      <c r="K58">
        <v>576.99</v>
      </c>
      <c r="L58">
        <v>7312.61</v>
      </c>
      <c r="M58">
        <v>11890.72</v>
      </c>
      <c r="N58">
        <v>929</v>
      </c>
      <c r="O58">
        <v>2366.9899999999998</v>
      </c>
      <c r="P58">
        <v>6903.01</v>
      </c>
      <c r="Q58">
        <v>9850.02</v>
      </c>
      <c r="R58">
        <v>1612.01</v>
      </c>
      <c r="S58">
        <v>1804</v>
      </c>
      <c r="T58">
        <v>163.01</v>
      </c>
      <c r="U58">
        <v>5082.0200000000004</v>
      </c>
      <c r="V58">
        <v>2345.04</v>
      </c>
      <c r="W58">
        <v>2167.0300000000002</v>
      </c>
      <c r="X58">
        <v>13954.97</v>
      </c>
      <c r="Y58">
        <v>22860.02</v>
      </c>
      <c r="Z58">
        <v>1713.94</v>
      </c>
      <c r="AA58">
        <v>7752.01</v>
      </c>
      <c r="AB58">
        <v>789.98</v>
      </c>
      <c r="AC58">
        <v>3867.03</v>
      </c>
      <c r="AD58">
        <v>3814.97</v>
      </c>
      <c r="AE58">
        <v>1537.16</v>
      </c>
      <c r="AF58">
        <v>2430.75</v>
      </c>
    </row>
    <row r="59" spans="1:32" x14ac:dyDescent="0.35">
      <c r="A59" t="s">
        <v>173</v>
      </c>
      <c r="B59">
        <v>47219.78</v>
      </c>
      <c r="C59">
        <v>94289.04</v>
      </c>
      <c r="D59">
        <v>42625.66</v>
      </c>
      <c r="E59">
        <v>47156.46</v>
      </c>
      <c r="F59">
        <v>52590.559999999998</v>
      </c>
      <c r="G59">
        <v>38673.21</v>
      </c>
      <c r="H59">
        <v>590.99</v>
      </c>
      <c r="I59">
        <v>8251.98</v>
      </c>
      <c r="J59">
        <v>1387</v>
      </c>
      <c r="K59">
        <v>1281.03</v>
      </c>
      <c r="L59">
        <v>5868.28</v>
      </c>
      <c r="M59">
        <v>11722.7</v>
      </c>
      <c r="N59">
        <v>0</v>
      </c>
      <c r="O59">
        <v>1383</v>
      </c>
      <c r="P59">
        <v>20873.04</v>
      </c>
      <c r="Q59">
        <v>24247.040000000001</v>
      </c>
      <c r="R59">
        <v>2532.02</v>
      </c>
      <c r="S59">
        <v>2788</v>
      </c>
      <c r="T59">
        <v>267.02999999999997</v>
      </c>
      <c r="U59">
        <v>6329.01</v>
      </c>
      <c r="V59">
        <v>1742.04</v>
      </c>
      <c r="W59">
        <v>392.01</v>
      </c>
      <c r="X59">
        <v>5265.96</v>
      </c>
      <c r="Y59">
        <v>12086</v>
      </c>
      <c r="Z59">
        <v>714.95</v>
      </c>
      <c r="AA59">
        <v>14418.01</v>
      </c>
      <c r="AB59">
        <v>1198</v>
      </c>
      <c r="AC59">
        <v>7596.02</v>
      </c>
      <c r="AD59">
        <v>7133</v>
      </c>
      <c r="AE59">
        <v>629.05999999999995</v>
      </c>
      <c r="AF59">
        <v>1145.8800000000001</v>
      </c>
    </row>
    <row r="60" spans="1:32" x14ac:dyDescent="0.35">
      <c r="A60" t="s">
        <v>174</v>
      </c>
      <c r="B60">
        <v>50720.76</v>
      </c>
      <c r="C60">
        <v>112800.86</v>
      </c>
      <c r="D60">
        <v>40562.67</v>
      </c>
      <c r="E60">
        <v>43617.42</v>
      </c>
      <c r="F60">
        <v>68765.73</v>
      </c>
      <c r="G60">
        <v>46962.02</v>
      </c>
      <c r="H60">
        <v>598.99</v>
      </c>
      <c r="I60">
        <v>11664.98</v>
      </c>
      <c r="J60">
        <v>1633.03</v>
      </c>
      <c r="K60">
        <v>1700.04</v>
      </c>
      <c r="L60">
        <v>8616.89</v>
      </c>
      <c r="M60">
        <v>14232.66</v>
      </c>
      <c r="N60">
        <v>0</v>
      </c>
      <c r="O60">
        <v>1931.99</v>
      </c>
      <c r="P60">
        <v>22116.04</v>
      </c>
      <c r="Q60">
        <v>28348.04</v>
      </c>
      <c r="R60">
        <v>3022.01</v>
      </c>
      <c r="S60">
        <v>3301.01</v>
      </c>
      <c r="T60">
        <v>300.02</v>
      </c>
      <c r="U60">
        <v>6704.01</v>
      </c>
      <c r="V60">
        <v>1944.05</v>
      </c>
      <c r="W60">
        <v>445</v>
      </c>
      <c r="X60">
        <v>4866.9799999999996</v>
      </c>
      <c r="Y60">
        <v>7179.98</v>
      </c>
      <c r="Z60">
        <v>813</v>
      </c>
      <c r="AA60">
        <v>17035</v>
      </c>
      <c r="AB60">
        <v>1099.99</v>
      </c>
      <c r="AC60">
        <v>8974.02</v>
      </c>
      <c r="AD60">
        <v>9901.02</v>
      </c>
      <c r="AE60">
        <v>1504.16</v>
      </c>
      <c r="AF60">
        <v>2307.7600000000002</v>
      </c>
    </row>
    <row r="61" spans="1:32" x14ac:dyDescent="0.35">
      <c r="A61" t="s">
        <v>175</v>
      </c>
      <c r="B61">
        <v>66380.679999999993</v>
      </c>
      <c r="C61">
        <v>145726.51</v>
      </c>
      <c r="D61">
        <v>65319.49</v>
      </c>
      <c r="E61">
        <v>62988.6</v>
      </c>
      <c r="F61">
        <v>102358.1</v>
      </c>
      <c r="G61">
        <v>62034.71</v>
      </c>
      <c r="H61">
        <v>890.98</v>
      </c>
      <c r="I61">
        <v>11623.98</v>
      </c>
      <c r="J61">
        <v>1546.03</v>
      </c>
      <c r="K61">
        <v>1428.04</v>
      </c>
      <c r="L61">
        <v>18876.189999999999</v>
      </c>
      <c r="M61">
        <v>34682.129999999997</v>
      </c>
      <c r="N61">
        <v>1000</v>
      </c>
      <c r="O61">
        <v>3825.99</v>
      </c>
      <c r="P61">
        <v>23004.05</v>
      </c>
      <c r="Q61">
        <v>31727.05</v>
      </c>
      <c r="R61">
        <v>5033.03</v>
      </c>
      <c r="S61">
        <v>5630.98</v>
      </c>
      <c r="T61">
        <v>558.04</v>
      </c>
      <c r="U61">
        <v>10932.03</v>
      </c>
      <c r="V61">
        <v>3615.08</v>
      </c>
      <c r="W61">
        <v>622</v>
      </c>
      <c r="X61">
        <v>5364.98</v>
      </c>
      <c r="Y61">
        <v>7818</v>
      </c>
      <c r="Z61">
        <v>1137.94</v>
      </c>
      <c r="AA61">
        <v>22453.99</v>
      </c>
      <c r="AB61">
        <v>2367.9699999999998</v>
      </c>
      <c r="AC61">
        <v>12911.04</v>
      </c>
      <c r="AD61">
        <v>15721</v>
      </c>
      <c r="AE61">
        <v>941.09</v>
      </c>
      <c r="AF61">
        <v>1636.83</v>
      </c>
    </row>
    <row r="62" spans="1:32" x14ac:dyDescent="0.35">
      <c r="A62" t="s">
        <v>176</v>
      </c>
      <c r="B62">
        <v>39145.81</v>
      </c>
      <c r="C62">
        <v>81512.179999999993</v>
      </c>
      <c r="D62">
        <v>44030.64</v>
      </c>
      <c r="E62">
        <v>66023.62</v>
      </c>
      <c r="F62">
        <v>45757.49</v>
      </c>
      <c r="G62">
        <v>30648.38</v>
      </c>
      <c r="H62">
        <v>563.99</v>
      </c>
      <c r="I62">
        <v>10795.98</v>
      </c>
      <c r="J62">
        <v>1253</v>
      </c>
      <c r="K62">
        <v>1051.03</v>
      </c>
      <c r="L62">
        <v>22314.98</v>
      </c>
      <c r="M62">
        <v>36625.1</v>
      </c>
      <c r="N62">
        <v>0</v>
      </c>
      <c r="O62">
        <v>1027.99</v>
      </c>
      <c r="P62">
        <v>17041.03</v>
      </c>
      <c r="Q62">
        <v>28576.04</v>
      </c>
      <c r="R62">
        <v>1666.01</v>
      </c>
      <c r="S62">
        <v>3901</v>
      </c>
      <c r="T62">
        <v>420.02</v>
      </c>
      <c r="U62">
        <v>6822</v>
      </c>
      <c r="V62">
        <v>1964.03</v>
      </c>
      <c r="W62">
        <v>675.01</v>
      </c>
      <c r="X62">
        <v>2962.98</v>
      </c>
      <c r="Y62">
        <v>4519</v>
      </c>
      <c r="Z62">
        <v>765.96</v>
      </c>
      <c r="AA62">
        <v>18033.97</v>
      </c>
      <c r="AB62">
        <v>1559.01</v>
      </c>
      <c r="AC62">
        <v>9447.02</v>
      </c>
      <c r="AD62">
        <v>6176.02</v>
      </c>
      <c r="AE62">
        <v>551.04999999999995</v>
      </c>
      <c r="AF62">
        <v>733.93</v>
      </c>
    </row>
    <row r="63" spans="1:32" x14ac:dyDescent="0.35">
      <c r="A63" t="s">
        <v>177</v>
      </c>
      <c r="B63">
        <v>73259.67</v>
      </c>
      <c r="C63">
        <v>153966.42000000001</v>
      </c>
      <c r="D63">
        <v>71510.44</v>
      </c>
      <c r="E63">
        <v>82788.789999999994</v>
      </c>
      <c r="F63">
        <v>81705.850000000006</v>
      </c>
      <c r="G63">
        <v>55156.87</v>
      </c>
      <c r="H63">
        <v>608.99</v>
      </c>
      <c r="I63">
        <v>8444.99</v>
      </c>
      <c r="J63">
        <v>1905.01</v>
      </c>
      <c r="K63">
        <v>1740.07</v>
      </c>
      <c r="L63">
        <v>16602.68</v>
      </c>
      <c r="M63">
        <v>27924.3</v>
      </c>
      <c r="N63">
        <v>881.01</v>
      </c>
      <c r="O63">
        <v>1847</v>
      </c>
      <c r="P63">
        <v>24568.04</v>
      </c>
      <c r="Q63">
        <v>39477.06</v>
      </c>
      <c r="R63">
        <v>4069.01</v>
      </c>
      <c r="S63">
        <v>6164.99</v>
      </c>
      <c r="T63">
        <v>626.04</v>
      </c>
      <c r="U63">
        <v>13529.02</v>
      </c>
      <c r="V63">
        <v>4826.07</v>
      </c>
      <c r="W63">
        <v>635.02</v>
      </c>
      <c r="X63">
        <v>5254.96</v>
      </c>
      <c r="Y63">
        <v>7120.99</v>
      </c>
      <c r="Z63">
        <v>1162.96</v>
      </c>
      <c r="AA63">
        <v>28107.98</v>
      </c>
      <c r="AB63">
        <v>2495.9899999999998</v>
      </c>
      <c r="AC63">
        <v>14780.03</v>
      </c>
      <c r="AD63">
        <v>14196.01</v>
      </c>
      <c r="AE63">
        <v>2088.21</v>
      </c>
      <c r="AF63">
        <v>2651.73</v>
      </c>
    </row>
    <row r="64" spans="1:32" x14ac:dyDescent="0.35">
      <c r="A64" t="s">
        <v>178</v>
      </c>
      <c r="B64">
        <v>51362.743209709639</v>
      </c>
      <c r="C64">
        <v>104315.1862641621</v>
      </c>
      <c r="D64">
        <v>47510.715081090508</v>
      </c>
      <c r="E64">
        <v>62383.513698479903</v>
      </c>
      <c r="F64">
        <v>55422.982493340111</v>
      </c>
      <c r="G64">
        <v>34208.81218887616</v>
      </c>
      <c r="H64">
        <v>600.32363478199318</v>
      </c>
      <c r="I64">
        <v>4723.2539048768467</v>
      </c>
      <c r="J64">
        <v>1472.7987838488298</v>
      </c>
      <c r="K64">
        <v>915.85379651567757</v>
      </c>
      <c r="L64">
        <v>15308.183865557272</v>
      </c>
      <c r="M64">
        <v>22930.734428858217</v>
      </c>
      <c r="N64">
        <v>0</v>
      </c>
      <c r="O64">
        <v>2252.0368400588218</v>
      </c>
      <c r="P64">
        <v>18643.215173019587</v>
      </c>
      <c r="Q64">
        <v>22857.212015413075</v>
      </c>
      <c r="R64">
        <v>1834.8839645799644</v>
      </c>
      <c r="S64">
        <v>6191.79635085054</v>
      </c>
      <c r="T64">
        <v>398.12640990268795</v>
      </c>
      <c r="U64">
        <v>11128.968291621062</v>
      </c>
      <c r="V64">
        <v>4688.4196968937649</v>
      </c>
      <c r="W64">
        <v>459.53625984246747</v>
      </c>
      <c r="X64">
        <v>10027.762627338869</v>
      </c>
      <c r="Y64">
        <v>11066.489063259916</v>
      </c>
      <c r="Z64">
        <v>2499.730293419374</v>
      </c>
      <c r="AA64">
        <v>19278.425955310478</v>
      </c>
      <c r="AB64">
        <v>2166.2959840566955</v>
      </c>
      <c r="AC64">
        <v>12215.287361245437</v>
      </c>
      <c r="AD64">
        <v>9844.6130438460568</v>
      </c>
      <c r="AE64">
        <v>751.81538184033207</v>
      </c>
      <c r="AF64">
        <v>1410.1607369102546</v>
      </c>
    </row>
    <row r="65" spans="1:32" x14ac:dyDescent="0.35">
      <c r="A65" t="s">
        <v>179</v>
      </c>
      <c r="B65">
        <v>40444.327895449773</v>
      </c>
      <c r="C65">
        <v>82756.725387687169</v>
      </c>
      <c r="D65">
        <v>37228.001725876595</v>
      </c>
      <c r="E65">
        <v>52350.458779385845</v>
      </c>
      <c r="F65">
        <v>44256.672732996238</v>
      </c>
      <c r="G65">
        <v>28636.494359009703</v>
      </c>
      <c r="H65">
        <v>385.45216048588878</v>
      </c>
      <c r="I65">
        <v>3510.219558796648</v>
      </c>
      <c r="J65">
        <v>1161.0510851217841</v>
      </c>
      <c r="K65">
        <v>1105.0985026836402</v>
      </c>
      <c r="L65">
        <v>10478.878037963452</v>
      </c>
      <c r="M65">
        <v>15664.483112741136</v>
      </c>
      <c r="N65">
        <v>0</v>
      </c>
      <c r="O65">
        <v>1783.5760640415833</v>
      </c>
      <c r="P65">
        <v>17236.596681319665</v>
      </c>
      <c r="Q65">
        <v>17238.463322935615</v>
      </c>
      <c r="R65">
        <v>1424.2475529709345</v>
      </c>
      <c r="S65">
        <v>3457.029605950112</v>
      </c>
      <c r="T65">
        <v>280.95756282492817</v>
      </c>
      <c r="U65">
        <v>8583.779470576852</v>
      </c>
      <c r="V65">
        <v>3782.8052339740339</v>
      </c>
      <c r="W65">
        <v>356.5285486467215</v>
      </c>
      <c r="X65">
        <v>6162.6706290232187</v>
      </c>
      <c r="Y65">
        <v>9316.4176384216244</v>
      </c>
      <c r="Z65">
        <v>1479.294814225342</v>
      </c>
      <c r="AA65">
        <v>13933.546342269387</v>
      </c>
      <c r="AB65">
        <v>1035.0341096289037</v>
      </c>
      <c r="AC65">
        <v>7028.8670044893161</v>
      </c>
      <c r="AD65">
        <v>7293.87411470594</v>
      </c>
      <c r="AE65">
        <v>1068.7549904210659</v>
      </c>
      <c r="AF65">
        <v>1342.9086445558514</v>
      </c>
    </row>
    <row r="66" spans="1:32" x14ac:dyDescent="0.35">
      <c r="A66" t="s">
        <v>180</v>
      </c>
      <c r="B66">
        <v>63261.71</v>
      </c>
      <c r="C66">
        <v>126545.69</v>
      </c>
      <c r="D66">
        <v>65423.48</v>
      </c>
      <c r="E66">
        <v>84008.83</v>
      </c>
      <c r="F66">
        <v>65022.7</v>
      </c>
      <c r="G66">
        <v>48154.01</v>
      </c>
      <c r="H66">
        <v>598.99</v>
      </c>
      <c r="I66">
        <v>6210.99</v>
      </c>
      <c r="J66">
        <v>1394.02</v>
      </c>
      <c r="K66">
        <v>1343.04</v>
      </c>
      <c r="L66">
        <v>15585.48</v>
      </c>
      <c r="M66">
        <v>24739.39</v>
      </c>
      <c r="N66">
        <v>0</v>
      </c>
      <c r="O66">
        <v>2638.99</v>
      </c>
      <c r="P66">
        <v>32471.06</v>
      </c>
      <c r="Q66">
        <v>28820.05</v>
      </c>
      <c r="R66">
        <v>2373</v>
      </c>
      <c r="S66">
        <v>5434.99</v>
      </c>
      <c r="T66">
        <v>478.03</v>
      </c>
      <c r="U66">
        <v>13360.03</v>
      </c>
      <c r="V66">
        <v>5371.11</v>
      </c>
      <c r="W66">
        <v>598.01</v>
      </c>
      <c r="X66">
        <v>11175.95</v>
      </c>
      <c r="Y66">
        <v>32263</v>
      </c>
      <c r="Z66">
        <v>11683.61</v>
      </c>
      <c r="AA66">
        <v>22833.98</v>
      </c>
      <c r="AB66">
        <v>2008.99</v>
      </c>
      <c r="AC66">
        <v>11269.03</v>
      </c>
      <c r="AD66">
        <v>12912.01</v>
      </c>
      <c r="AE66">
        <v>716.07</v>
      </c>
      <c r="AF66">
        <v>1038.8900000000001</v>
      </c>
    </row>
    <row r="67" spans="1:32" x14ac:dyDescent="0.35">
      <c r="A67" t="s">
        <v>199</v>
      </c>
      <c r="B67">
        <v>63116.055606665213</v>
      </c>
      <c r="C67">
        <v>118795.7045039385</v>
      </c>
      <c r="D67">
        <v>65098.130796396901</v>
      </c>
      <c r="E67">
        <v>81821.069575839632</v>
      </c>
      <c r="F67">
        <v>45767.805038285886</v>
      </c>
      <c r="G67">
        <v>32248.332898058059</v>
      </c>
      <c r="H67">
        <v>784.36842837720212</v>
      </c>
      <c r="I67">
        <v>4350.5890305242128</v>
      </c>
      <c r="J67">
        <v>1177.0479497319923</v>
      </c>
      <c r="K67">
        <v>827.64026353245765</v>
      </c>
      <c r="L67">
        <v>21878.519027627288</v>
      </c>
      <c r="M67">
        <v>32897.500481235285</v>
      </c>
      <c r="N67">
        <v>2424.2944332902525</v>
      </c>
      <c r="O67">
        <v>4662.1822659814134</v>
      </c>
      <c r="P67">
        <v>17099.804493818814</v>
      </c>
      <c r="Q67">
        <v>24063.868278363032</v>
      </c>
      <c r="R67">
        <v>4053.4407531500578</v>
      </c>
      <c r="S67">
        <v>4307.3532177083162</v>
      </c>
      <c r="T67">
        <v>244.97892439717359</v>
      </c>
      <c r="U67">
        <v>14055.970851474283</v>
      </c>
      <c r="V67">
        <v>4647.872391670965</v>
      </c>
      <c r="W67">
        <v>6194.149319834899</v>
      </c>
      <c r="X67">
        <v>11657.684547201385</v>
      </c>
      <c r="Y67">
        <v>17755.40206457167</v>
      </c>
      <c r="Z67">
        <v>1323.7939546965897</v>
      </c>
      <c r="AA67">
        <v>25662.26953157975</v>
      </c>
      <c r="AB67">
        <v>1522.826385241086</v>
      </c>
      <c r="AC67">
        <v>13103.179975423076</v>
      </c>
      <c r="AD67">
        <v>8404.0027669197516</v>
      </c>
      <c r="AE67">
        <v>2175.9834425023519</v>
      </c>
      <c r="AF67">
        <v>2650.9740092929451</v>
      </c>
    </row>
    <row r="68" spans="1:32" x14ac:dyDescent="0.35">
      <c r="A68" t="s">
        <v>200</v>
      </c>
      <c r="B68">
        <v>29774.77</v>
      </c>
      <c r="C68">
        <v>59941.25</v>
      </c>
      <c r="D68">
        <v>31595.74</v>
      </c>
      <c r="E68">
        <v>30038.29</v>
      </c>
      <c r="F68">
        <v>25884.29</v>
      </c>
      <c r="G68">
        <v>21071.56</v>
      </c>
      <c r="H68">
        <v>537.99</v>
      </c>
      <c r="I68">
        <v>2872</v>
      </c>
      <c r="J68">
        <v>1124.02</v>
      </c>
      <c r="K68">
        <v>951.02</v>
      </c>
      <c r="L68">
        <v>6757.49</v>
      </c>
      <c r="M68">
        <v>13288.66</v>
      </c>
      <c r="N68">
        <v>1143</v>
      </c>
      <c r="O68">
        <v>2403.98</v>
      </c>
      <c r="P68">
        <v>8394</v>
      </c>
      <c r="Q68">
        <v>11961.02</v>
      </c>
      <c r="R68">
        <v>1691</v>
      </c>
      <c r="S68">
        <v>1789.99</v>
      </c>
      <c r="T68">
        <v>276.01</v>
      </c>
      <c r="U68">
        <v>7324.03</v>
      </c>
      <c r="V68">
        <v>2221.02</v>
      </c>
      <c r="W68">
        <v>988.01</v>
      </c>
      <c r="X68">
        <v>4210.9799999999996</v>
      </c>
      <c r="Y68">
        <v>5946.99</v>
      </c>
      <c r="Z68">
        <v>552.97</v>
      </c>
      <c r="AA68">
        <v>9976.9699999999993</v>
      </c>
      <c r="AB68">
        <v>818.01</v>
      </c>
      <c r="AC68">
        <v>4911.0200000000004</v>
      </c>
      <c r="AD68">
        <v>8582</v>
      </c>
      <c r="AE68">
        <v>941.11</v>
      </c>
      <c r="AF68">
        <v>1483.86</v>
      </c>
    </row>
    <row r="69" spans="1:32" x14ac:dyDescent="0.35">
      <c r="A69" t="s">
        <v>116</v>
      </c>
      <c r="B69">
        <v>38181.71</v>
      </c>
      <c r="C69">
        <v>72728.11</v>
      </c>
      <c r="D69">
        <v>38671.660000000003</v>
      </c>
      <c r="E69">
        <v>47803.47</v>
      </c>
      <c r="F69">
        <v>30686.38</v>
      </c>
      <c r="G69">
        <v>22702.55</v>
      </c>
      <c r="H69">
        <v>562.99</v>
      </c>
      <c r="I69">
        <v>3030</v>
      </c>
      <c r="J69">
        <v>559.01</v>
      </c>
      <c r="K69">
        <v>384.99</v>
      </c>
      <c r="L69">
        <v>12839.85</v>
      </c>
      <c r="M69">
        <v>20944.48</v>
      </c>
      <c r="N69">
        <v>58754.86</v>
      </c>
      <c r="O69">
        <v>4828.99</v>
      </c>
      <c r="P69">
        <v>11047</v>
      </c>
      <c r="Q69">
        <v>18413.03</v>
      </c>
      <c r="R69">
        <v>2776.01</v>
      </c>
      <c r="S69">
        <v>2666.99</v>
      </c>
      <c r="T69">
        <v>252.01</v>
      </c>
      <c r="U69">
        <v>8727.02</v>
      </c>
      <c r="V69">
        <v>3257.06</v>
      </c>
      <c r="W69">
        <v>1084.01</v>
      </c>
      <c r="X69">
        <v>15909.94</v>
      </c>
      <c r="Y69">
        <v>39322.019999999997</v>
      </c>
      <c r="Z69">
        <v>4605.82</v>
      </c>
      <c r="AA69">
        <v>15385</v>
      </c>
      <c r="AB69">
        <v>887.01</v>
      </c>
      <c r="AC69">
        <v>8440.0300000000007</v>
      </c>
      <c r="AD69">
        <v>13888.01</v>
      </c>
      <c r="AE69">
        <v>1348.13</v>
      </c>
      <c r="AF69">
        <v>1936.81</v>
      </c>
    </row>
    <row r="70" spans="1:32" x14ac:dyDescent="0.35">
      <c r="A70" t="s">
        <v>117</v>
      </c>
      <c r="B70">
        <v>55027.57</v>
      </c>
      <c r="C70">
        <v>103629.7</v>
      </c>
      <c r="D70">
        <v>53834.53</v>
      </c>
      <c r="E70">
        <v>61278.62</v>
      </c>
      <c r="F70">
        <v>50181.59</v>
      </c>
      <c r="G70">
        <v>32809.32</v>
      </c>
      <c r="H70">
        <v>673.99</v>
      </c>
      <c r="I70">
        <v>3550.99</v>
      </c>
      <c r="J70">
        <v>843</v>
      </c>
      <c r="K70">
        <v>481.02</v>
      </c>
      <c r="L70">
        <v>13971.13</v>
      </c>
      <c r="M70">
        <v>24924.38</v>
      </c>
      <c r="N70">
        <v>2202.98</v>
      </c>
      <c r="O70">
        <v>7502.99</v>
      </c>
      <c r="P70">
        <v>16799.990000000002</v>
      </c>
      <c r="Q70">
        <v>22789.040000000001</v>
      </c>
      <c r="R70">
        <v>2956.01</v>
      </c>
      <c r="S70">
        <v>2750.98</v>
      </c>
      <c r="T70">
        <v>273.02</v>
      </c>
      <c r="U70">
        <v>11600.05</v>
      </c>
      <c r="V70">
        <v>4244.04</v>
      </c>
      <c r="W70">
        <v>1445.03</v>
      </c>
      <c r="X70">
        <v>11799.98</v>
      </c>
      <c r="Y70">
        <v>46102.03</v>
      </c>
      <c r="Z70">
        <v>6047.82</v>
      </c>
      <c r="AA70">
        <v>16312.01</v>
      </c>
      <c r="AB70">
        <v>1613.97</v>
      </c>
      <c r="AC70">
        <v>9238.06</v>
      </c>
      <c r="AD70">
        <v>10645.01</v>
      </c>
      <c r="AE70">
        <v>1536.16</v>
      </c>
      <c r="AF70">
        <v>1732.83</v>
      </c>
    </row>
    <row r="71" spans="1:32" x14ac:dyDescent="0.35">
      <c r="A71" t="s">
        <v>118</v>
      </c>
      <c r="B71">
        <v>57196.098855628501</v>
      </c>
      <c r="C71">
        <v>111699.55169496403</v>
      </c>
      <c r="D71">
        <v>56937.836156634919</v>
      </c>
      <c r="E71">
        <v>68469.843849866258</v>
      </c>
      <c r="F71">
        <v>49033.45499059499</v>
      </c>
      <c r="G71">
        <v>32878.179161356471</v>
      </c>
      <c r="H71">
        <v>605.92010408531007</v>
      </c>
      <c r="I71">
        <v>3654.8311495210278</v>
      </c>
      <c r="J71">
        <v>2526.8133434576503</v>
      </c>
      <c r="K71">
        <v>1430.4965107084431</v>
      </c>
      <c r="L71">
        <v>15812.06947184684</v>
      </c>
      <c r="M71">
        <v>27599.225263263819</v>
      </c>
      <c r="N71">
        <v>2251.5505869633353</v>
      </c>
      <c r="O71">
        <v>10752.723245266066</v>
      </c>
      <c r="P71">
        <v>13217.221920922872</v>
      </c>
      <c r="Q71">
        <v>23395.782664523398</v>
      </c>
      <c r="R71">
        <v>3634.4786489688436</v>
      </c>
      <c r="S71">
        <v>3500.7886564713576</v>
      </c>
      <c r="T71">
        <v>345.46019579450319</v>
      </c>
      <c r="U71">
        <v>17713.640860388892</v>
      </c>
      <c r="V71">
        <v>7491.011346811435</v>
      </c>
      <c r="W71">
        <v>2693.3255655601615</v>
      </c>
      <c r="X71">
        <v>11420.912713867741</v>
      </c>
      <c r="Y71">
        <v>12229.644296744351</v>
      </c>
      <c r="Z71">
        <v>819.96679742739639</v>
      </c>
      <c r="AA71">
        <v>23251.876781375904</v>
      </c>
      <c r="AB71">
        <v>2065.8071205994952</v>
      </c>
      <c r="AC71">
        <v>12089.249418143972</v>
      </c>
      <c r="AD71">
        <v>12968.065182109573</v>
      </c>
      <c r="AE71">
        <v>4162.6809685304543</v>
      </c>
      <c r="AF71">
        <v>5375.8009944876057</v>
      </c>
    </row>
    <row r="72" spans="1:32" x14ac:dyDescent="0.35">
      <c r="A72" t="s">
        <v>119</v>
      </c>
      <c r="B72">
        <v>27043.8</v>
      </c>
      <c r="C72">
        <v>52467.37</v>
      </c>
      <c r="D72">
        <v>25869.79</v>
      </c>
      <c r="E72">
        <v>25172.27</v>
      </c>
      <c r="F72">
        <v>19175.21</v>
      </c>
      <c r="G72">
        <v>15059.68</v>
      </c>
      <c r="H72">
        <v>574.99</v>
      </c>
      <c r="I72">
        <v>3915</v>
      </c>
      <c r="J72">
        <v>1668.03</v>
      </c>
      <c r="K72">
        <v>1038.05</v>
      </c>
      <c r="L72">
        <v>3971.85</v>
      </c>
      <c r="M72">
        <v>8581.81</v>
      </c>
      <c r="N72">
        <v>1051</v>
      </c>
      <c r="O72">
        <v>1219</v>
      </c>
      <c r="P72">
        <v>13337</v>
      </c>
      <c r="Q72">
        <v>21070.04</v>
      </c>
      <c r="R72">
        <v>2478</v>
      </c>
      <c r="S72">
        <v>2228.9899999999998</v>
      </c>
      <c r="T72">
        <v>314.02</v>
      </c>
      <c r="U72">
        <v>4081.02</v>
      </c>
      <c r="V72">
        <v>1277.01</v>
      </c>
      <c r="W72">
        <v>647.01</v>
      </c>
      <c r="X72">
        <v>3574.98</v>
      </c>
      <c r="Y72">
        <v>5684.01</v>
      </c>
      <c r="Z72">
        <v>552.97</v>
      </c>
      <c r="AA72">
        <v>13680.01</v>
      </c>
      <c r="AB72">
        <v>1564.99</v>
      </c>
      <c r="AC72">
        <v>7429.03</v>
      </c>
      <c r="AD72">
        <v>6869.99</v>
      </c>
      <c r="AE72">
        <v>773.09</v>
      </c>
      <c r="AF72">
        <v>1936.81</v>
      </c>
    </row>
    <row r="73" spans="1:32" x14ac:dyDescent="0.35">
      <c r="A73" t="s">
        <v>120</v>
      </c>
      <c r="B73">
        <v>43494.67</v>
      </c>
      <c r="C73">
        <v>86291.92</v>
      </c>
      <c r="D73">
        <v>45487.62</v>
      </c>
      <c r="E73">
        <v>55083.56</v>
      </c>
      <c r="F73">
        <v>32519.39</v>
      </c>
      <c r="G73">
        <v>24411.51</v>
      </c>
      <c r="H73">
        <v>760.99</v>
      </c>
      <c r="I73">
        <v>3738.99</v>
      </c>
      <c r="J73">
        <v>2099.04</v>
      </c>
      <c r="K73">
        <v>1585.01</v>
      </c>
      <c r="L73">
        <v>13179.95</v>
      </c>
      <c r="M73">
        <v>20602.5</v>
      </c>
      <c r="N73">
        <v>15716.95</v>
      </c>
      <c r="O73">
        <v>5124.99</v>
      </c>
      <c r="P73">
        <v>41447.99</v>
      </c>
      <c r="Q73">
        <v>25067.040000000001</v>
      </c>
      <c r="R73">
        <v>4827.03</v>
      </c>
      <c r="S73">
        <v>5702.98</v>
      </c>
      <c r="T73">
        <v>650.04999999999995</v>
      </c>
      <c r="U73">
        <v>10776.04</v>
      </c>
      <c r="V73">
        <v>4561.07</v>
      </c>
      <c r="W73">
        <v>17701.29</v>
      </c>
      <c r="X73">
        <v>28310.92</v>
      </c>
      <c r="Y73">
        <v>70010.02</v>
      </c>
      <c r="Z73">
        <v>872.97</v>
      </c>
      <c r="AA73">
        <v>28588.99</v>
      </c>
      <c r="AB73">
        <v>4387.9799999999996</v>
      </c>
      <c r="AC73">
        <v>12795.06</v>
      </c>
      <c r="AD73">
        <v>26535.99</v>
      </c>
      <c r="AE73">
        <v>2044.22</v>
      </c>
      <c r="AF73">
        <v>3172.66</v>
      </c>
    </row>
    <row r="74" spans="1:32" x14ac:dyDescent="0.35">
      <c r="A74" t="s">
        <v>121</v>
      </c>
      <c r="B74">
        <v>30375.78</v>
      </c>
      <c r="C74">
        <v>60648.26</v>
      </c>
      <c r="D74">
        <v>31663.73</v>
      </c>
      <c r="E74">
        <v>36263.39</v>
      </c>
      <c r="F74">
        <v>24516.28</v>
      </c>
      <c r="G74">
        <v>17702.63</v>
      </c>
      <c r="H74">
        <v>411.99</v>
      </c>
      <c r="I74">
        <v>2343</v>
      </c>
      <c r="J74">
        <v>1412.03</v>
      </c>
      <c r="K74">
        <v>879</v>
      </c>
      <c r="L74">
        <v>8911.99</v>
      </c>
      <c r="M74">
        <v>14455.65</v>
      </c>
      <c r="N74">
        <v>1612.01</v>
      </c>
      <c r="O74">
        <v>3242.99</v>
      </c>
      <c r="P74">
        <v>29722.98</v>
      </c>
      <c r="Q74">
        <v>23393.040000000001</v>
      </c>
      <c r="R74">
        <v>2730.02</v>
      </c>
      <c r="S74">
        <v>2667.99</v>
      </c>
      <c r="T74">
        <v>336.02</v>
      </c>
      <c r="U74">
        <v>7910.03</v>
      </c>
      <c r="V74">
        <v>2712.06</v>
      </c>
      <c r="W74">
        <v>7210.12</v>
      </c>
      <c r="X74">
        <v>37702.89</v>
      </c>
      <c r="Y74">
        <v>29384</v>
      </c>
      <c r="Z74">
        <v>586.95000000000005</v>
      </c>
      <c r="AA74">
        <v>18699</v>
      </c>
      <c r="AB74">
        <v>1331</v>
      </c>
      <c r="AC74">
        <v>8667.0400000000009</v>
      </c>
      <c r="AD74">
        <v>10767.01</v>
      </c>
      <c r="AE74">
        <v>3558.38</v>
      </c>
      <c r="AF74">
        <v>4736.5200000000004</v>
      </c>
    </row>
    <row r="75" spans="1:32" x14ac:dyDescent="0.35">
      <c r="A75" t="s">
        <v>122</v>
      </c>
      <c r="B75">
        <v>68137.47</v>
      </c>
      <c r="C75">
        <v>136151.31</v>
      </c>
      <c r="D75">
        <v>73697.37</v>
      </c>
      <c r="E75">
        <v>86152.89</v>
      </c>
      <c r="F75">
        <v>58573.69</v>
      </c>
      <c r="G75">
        <v>49650.98</v>
      </c>
      <c r="H75">
        <v>782.99</v>
      </c>
      <c r="I75">
        <v>4933.99</v>
      </c>
      <c r="J75">
        <v>1823</v>
      </c>
      <c r="K75">
        <v>1799.04</v>
      </c>
      <c r="L75">
        <v>20317.48</v>
      </c>
      <c r="M75">
        <v>35883.11</v>
      </c>
      <c r="N75">
        <v>2926</v>
      </c>
      <c r="O75">
        <v>21323.96</v>
      </c>
      <c r="P75">
        <v>22229.99</v>
      </c>
      <c r="Q75">
        <v>32242.06</v>
      </c>
      <c r="R75">
        <v>5096.03</v>
      </c>
      <c r="S75">
        <v>5335.98</v>
      </c>
      <c r="T75">
        <v>621.04</v>
      </c>
      <c r="U75">
        <v>13454.04</v>
      </c>
      <c r="V75">
        <v>5222.07</v>
      </c>
      <c r="W75">
        <v>1802.04</v>
      </c>
      <c r="X75">
        <v>10057.99</v>
      </c>
      <c r="Y75">
        <v>14477.01</v>
      </c>
      <c r="Z75">
        <v>1064.97</v>
      </c>
      <c r="AA75">
        <v>46436.93</v>
      </c>
      <c r="AB75">
        <v>3847.95</v>
      </c>
      <c r="AC75">
        <v>22901.11</v>
      </c>
      <c r="AD75">
        <v>19573.990000000002</v>
      </c>
      <c r="AE75">
        <v>4812.5200000000004</v>
      </c>
      <c r="AF75">
        <v>9322.0400000000009</v>
      </c>
    </row>
    <row r="76" spans="1:32" x14ac:dyDescent="0.35">
      <c r="A76" t="s">
        <v>123</v>
      </c>
      <c r="B76">
        <v>32822.75</v>
      </c>
      <c r="C76">
        <v>63495.22</v>
      </c>
      <c r="D76">
        <v>33585.71</v>
      </c>
      <c r="E76">
        <v>41136.42</v>
      </c>
      <c r="F76">
        <v>27693.34</v>
      </c>
      <c r="G76">
        <v>18783.599999999999</v>
      </c>
      <c r="H76">
        <v>454</v>
      </c>
      <c r="I76">
        <v>2397</v>
      </c>
      <c r="J76">
        <v>1798.02</v>
      </c>
      <c r="K76">
        <v>1376.04</v>
      </c>
      <c r="L76">
        <v>13230.95</v>
      </c>
      <c r="M76">
        <v>18721.52</v>
      </c>
      <c r="N76">
        <v>1531.99</v>
      </c>
      <c r="O76">
        <v>2842</v>
      </c>
      <c r="P76">
        <v>21207.99</v>
      </c>
      <c r="Q76">
        <v>19064.03</v>
      </c>
      <c r="R76">
        <v>3138.01</v>
      </c>
      <c r="S76">
        <v>2921.99</v>
      </c>
      <c r="T76">
        <v>388.02</v>
      </c>
      <c r="U76">
        <v>11559.04</v>
      </c>
      <c r="V76">
        <v>3186.05</v>
      </c>
      <c r="W76">
        <v>5135.08</v>
      </c>
      <c r="X76">
        <v>13007.97</v>
      </c>
      <c r="Y76">
        <v>18228.03</v>
      </c>
      <c r="Z76">
        <v>1553.94</v>
      </c>
      <c r="AA76">
        <v>15570.97</v>
      </c>
      <c r="AB76">
        <v>723.01</v>
      </c>
      <c r="AC76">
        <v>7855.03</v>
      </c>
      <c r="AD76">
        <v>9275.01</v>
      </c>
      <c r="AE76">
        <v>3448.36</v>
      </c>
      <c r="AF76">
        <v>4816.5</v>
      </c>
    </row>
    <row r="77" spans="1:32" x14ac:dyDescent="0.35">
      <c r="A77" t="s">
        <v>124</v>
      </c>
      <c r="B77">
        <v>36840.699999999997</v>
      </c>
      <c r="C77">
        <v>69885.119999999995</v>
      </c>
      <c r="D77">
        <v>34552.71</v>
      </c>
      <c r="E77">
        <v>40881.440000000002</v>
      </c>
      <c r="F77">
        <v>37030.410000000003</v>
      </c>
      <c r="G77">
        <v>25363.48</v>
      </c>
      <c r="H77">
        <v>388.99</v>
      </c>
      <c r="I77">
        <v>2878.99</v>
      </c>
      <c r="J77">
        <v>964.02</v>
      </c>
      <c r="K77">
        <v>691</v>
      </c>
      <c r="L77">
        <v>7007.53</v>
      </c>
      <c r="M77">
        <v>14844.63</v>
      </c>
      <c r="N77">
        <v>1432.01</v>
      </c>
      <c r="O77">
        <v>1419.99</v>
      </c>
      <c r="P77">
        <v>15353.99</v>
      </c>
      <c r="Q77">
        <v>20403.04</v>
      </c>
      <c r="R77">
        <v>3266.02</v>
      </c>
      <c r="S77">
        <v>5273.98</v>
      </c>
      <c r="T77">
        <v>435.04</v>
      </c>
      <c r="U77">
        <v>6148.01</v>
      </c>
      <c r="V77">
        <v>2190.02</v>
      </c>
      <c r="W77">
        <v>884.01</v>
      </c>
      <c r="X77">
        <v>3379.99</v>
      </c>
      <c r="Y77">
        <v>5498.98</v>
      </c>
      <c r="Z77">
        <v>525</v>
      </c>
      <c r="AA77">
        <v>19392.98</v>
      </c>
      <c r="AB77">
        <v>925.01</v>
      </c>
      <c r="AC77">
        <v>9890.0400000000009</v>
      </c>
      <c r="AD77">
        <v>7479.99</v>
      </c>
      <c r="AE77">
        <v>776.09</v>
      </c>
      <c r="AF77">
        <v>1184.8900000000001</v>
      </c>
    </row>
    <row r="78" spans="1:32" x14ac:dyDescent="0.35">
      <c r="A78" t="s">
        <v>125</v>
      </c>
      <c r="B78">
        <v>49844.62</v>
      </c>
      <c r="C78">
        <v>94478.84</v>
      </c>
      <c r="D78">
        <v>48001.62</v>
      </c>
      <c r="E78">
        <v>47001.46</v>
      </c>
      <c r="F78">
        <v>61404.73</v>
      </c>
      <c r="G78">
        <v>40486.18</v>
      </c>
      <c r="H78">
        <v>1056.99</v>
      </c>
      <c r="I78">
        <v>7846.99</v>
      </c>
      <c r="J78">
        <v>1617.01</v>
      </c>
      <c r="K78">
        <v>901.04</v>
      </c>
      <c r="L78">
        <v>12533.82</v>
      </c>
      <c r="M78">
        <v>28509.31</v>
      </c>
      <c r="N78">
        <v>2132.9899999999998</v>
      </c>
      <c r="O78">
        <v>2114</v>
      </c>
      <c r="P78">
        <v>19749</v>
      </c>
      <c r="Q78">
        <v>30889.05</v>
      </c>
      <c r="R78">
        <v>5682.04</v>
      </c>
      <c r="S78">
        <v>6229.98</v>
      </c>
      <c r="T78">
        <v>261.02</v>
      </c>
      <c r="U78">
        <v>9396.0300000000007</v>
      </c>
      <c r="V78">
        <v>3632.04</v>
      </c>
      <c r="W78">
        <v>1316.01</v>
      </c>
      <c r="X78">
        <v>7236.98</v>
      </c>
      <c r="Y78">
        <v>9427.02</v>
      </c>
      <c r="Z78">
        <v>776.97</v>
      </c>
      <c r="AA78">
        <v>32458.95</v>
      </c>
      <c r="AB78">
        <v>2796.99</v>
      </c>
      <c r="AC78">
        <v>15488.08</v>
      </c>
      <c r="AD78">
        <v>11375.99</v>
      </c>
      <c r="AE78">
        <v>1559.16</v>
      </c>
      <c r="AF78">
        <v>3550.63</v>
      </c>
    </row>
    <row r="79" spans="1:32" x14ac:dyDescent="0.35">
      <c r="A79" t="s">
        <v>126</v>
      </c>
      <c r="B79">
        <v>60657.53</v>
      </c>
      <c r="C79">
        <v>129682.41</v>
      </c>
      <c r="D79">
        <v>74449.399999999994</v>
      </c>
      <c r="E79">
        <v>74164.740000000005</v>
      </c>
      <c r="F79">
        <v>63158.74</v>
      </c>
      <c r="G79">
        <v>42727.12</v>
      </c>
      <c r="H79">
        <v>1293.98</v>
      </c>
      <c r="I79">
        <v>9480.99</v>
      </c>
      <c r="J79">
        <v>2272.02</v>
      </c>
      <c r="K79">
        <v>1491.01</v>
      </c>
      <c r="L79">
        <v>13507.03</v>
      </c>
      <c r="M79">
        <v>25595.37</v>
      </c>
      <c r="N79">
        <v>2576.98</v>
      </c>
      <c r="O79">
        <v>3486.99</v>
      </c>
      <c r="P79">
        <v>21027.99</v>
      </c>
      <c r="Q79">
        <v>38016.07</v>
      </c>
      <c r="R79">
        <v>6474.05</v>
      </c>
      <c r="S79">
        <v>6066.97</v>
      </c>
      <c r="T79">
        <v>523.04</v>
      </c>
      <c r="U79">
        <v>8494.02</v>
      </c>
      <c r="V79">
        <v>3280.05</v>
      </c>
      <c r="W79">
        <v>1588.03</v>
      </c>
      <c r="X79">
        <v>7376.99</v>
      </c>
      <c r="Y79">
        <v>16390.009999999998</v>
      </c>
      <c r="Z79">
        <v>937.99</v>
      </c>
      <c r="AA79">
        <v>27030.97</v>
      </c>
      <c r="AB79">
        <v>2309.9899999999998</v>
      </c>
      <c r="AC79">
        <v>14442.07</v>
      </c>
      <c r="AD79">
        <v>12449.99</v>
      </c>
      <c r="AE79">
        <v>2757.29</v>
      </c>
      <c r="AF79">
        <v>4281.5600000000004</v>
      </c>
    </row>
    <row r="80" spans="1:32" x14ac:dyDescent="0.35">
      <c r="A80" t="s">
        <v>127</v>
      </c>
      <c r="B80">
        <v>41569.68</v>
      </c>
      <c r="C80">
        <v>79931</v>
      </c>
      <c r="D80">
        <v>40112.67</v>
      </c>
      <c r="E80">
        <v>39591.39</v>
      </c>
      <c r="F80">
        <v>48625.55</v>
      </c>
      <c r="G80">
        <v>32200.34</v>
      </c>
      <c r="H80">
        <v>1243.98</v>
      </c>
      <c r="I80">
        <v>9409.99</v>
      </c>
      <c r="J80">
        <v>2395.0300000000002</v>
      </c>
      <c r="K80">
        <v>1462.06</v>
      </c>
      <c r="L80">
        <v>10948.41</v>
      </c>
      <c r="M80">
        <v>23762.43</v>
      </c>
      <c r="N80">
        <v>1872</v>
      </c>
      <c r="O80">
        <v>1848.98</v>
      </c>
      <c r="P80">
        <v>24478</v>
      </c>
      <c r="Q80">
        <v>38892.07</v>
      </c>
      <c r="R80">
        <v>5373.02</v>
      </c>
      <c r="S80">
        <v>5970.96</v>
      </c>
      <c r="T80">
        <v>263.02</v>
      </c>
      <c r="U80">
        <v>7197.03</v>
      </c>
      <c r="V80">
        <v>3107.03</v>
      </c>
      <c r="W80">
        <v>1152.02</v>
      </c>
      <c r="X80">
        <v>4405.9799999999996</v>
      </c>
      <c r="Y80">
        <v>7809.99</v>
      </c>
      <c r="Z80">
        <v>680.97</v>
      </c>
      <c r="AA80">
        <v>24639.99</v>
      </c>
      <c r="AB80">
        <v>1603</v>
      </c>
      <c r="AC80">
        <v>12990.07</v>
      </c>
      <c r="AD80">
        <v>10822.01</v>
      </c>
      <c r="AE80">
        <v>1062.1099999999999</v>
      </c>
      <c r="AF80">
        <v>1460.85</v>
      </c>
    </row>
    <row r="81" spans="1:32" x14ac:dyDescent="0.35">
      <c r="A81" t="s">
        <v>106</v>
      </c>
      <c r="B81">
        <v>46538.78</v>
      </c>
      <c r="C81">
        <v>109284.73</v>
      </c>
      <c r="D81">
        <v>62422.66</v>
      </c>
      <c r="E81">
        <v>94321.2</v>
      </c>
      <c r="F81">
        <v>45085.4</v>
      </c>
      <c r="G81">
        <v>29441.37</v>
      </c>
      <c r="H81">
        <v>336.99</v>
      </c>
      <c r="I81">
        <v>3928.99</v>
      </c>
      <c r="J81">
        <v>1286.01</v>
      </c>
      <c r="K81">
        <v>933.03</v>
      </c>
      <c r="L81">
        <v>9510.08</v>
      </c>
      <c r="M81">
        <v>17012.57</v>
      </c>
      <c r="N81">
        <v>0</v>
      </c>
      <c r="O81">
        <v>3337.99</v>
      </c>
      <c r="P81">
        <v>16486.009999999998</v>
      </c>
      <c r="Q81">
        <v>30802.97</v>
      </c>
      <c r="R81">
        <v>2219.0100000000002</v>
      </c>
      <c r="S81">
        <v>2468.98</v>
      </c>
      <c r="T81">
        <v>360.03</v>
      </c>
      <c r="U81">
        <v>6403.02</v>
      </c>
      <c r="V81">
        <v>1983.02</v>
      </c>
      <c r="W81">
        <v>839.02</v>
      </c>
      <c r="X81">
        <v>7046.97</v>
      </c>
      <c r="Y81">
        <v>8093.99</v>
      </c>
      <c r="Z81">
        <v>834.96</v>
      </c>
      <c r="AA81">
        <v>21309.01</v>
      </c>
      <c r="AB81">
        <v>1932.97</v>
      </c>
      <c r="AC81">
        <v>10154.049999999999</v>
      </c>
      <c r="AD81">
        <v>9569.0300000000007</v>
      </c>
      <c r="AE81">
        <v>1410.14</v>
      </c>
      <c r="AF81">
        <v>1952.81</v>
      </c>
    </row>
    <row r="82" spans="1:32" x14ac:dyDescent="0.35">
      <c r="A82" t="s">
        <v>107</v>
      </c>
      <c r="B82">
        <v>35685.765725979385</v>
      </c>
      <c r="C82">
        <v>79937.918967486141</v>
      </c>
      <c r="D82">
        <v>45740.030167824167</v>
      </c>
      <c r="E82">
        <v>59892.753729264485</v>
      </c>
      <c r="F82">
        <v>47391.604373094837</v>
      </c>
      <c r="G82">
        <v>30569.033432028085</v>
      </c>
      <c r="H82">
        <v>560.77612388552711</v>
      </c>
      <c r="I82">
        <v>4539.740527462156</v>
      </c>
      <c r="J82">
        <v>1341.7055390469234</v>
      </c>
      <c r="K82">
        <v>1078.6494519232165</v>
      </c>
      <c r="L82">
        <v>7607.4424194757248</v>
      </c>
      <c r="M82">
        <v>16192.204868089169</v>
      </c>
      <c r="N82">
        <v>0</v>
      </c>
      <c r="O82">
        <v>2995.7534945790326</v>
      </c>
      <c r="P82">
        <v>15269.12915082845</v>
      </c>
      <c r="Q82">
        <v>25644.16353123555</v>
      </c>
      <c r="R82">
        <v>2186.5436632931637</v>
      </c>
      <c r="S82">
        <v>2244.1841407833317</v>
      </c>
      <c r="T82">
        <v>429.78266194796879</v>
      </c>
      <c r="U82">
        <v>4669.7382000995576</v>
      </c>
      <c r="V82">
        <v>2197.0885478821997</v>
      </c>
      <c r="W82">
        <v>666.66521346648369</v>
      </c>
      <c r="X82">
        <v>5912.8710804235234</v>
      </c>
      <c r="Y82">
        <v>9291.2487520935938</v>
      </c>
      <c r="Z82">
        <v>664.54785095456998</v>
      </c>
      <c r="AA82">
        <v>13418.00925179886</v>
      </c>
      <c r="AB82">
        <v>1308.1736446131995</v>
      </c>
      <c r="AC82">
        <v>6564.9139141666419</v>
      </c>
      <c r="AD82">
        <v>6744.1035782318222</v>
      </c>
      <c r="AE82">
        <v>1210.7959330504309</v>
      </c>
      <c r="AF82">
        <v>1613.0004723803543</v>
      </c>
    </row>
    <row r="83" spans="1:32" x14ac:dyDescent="0.35">
      <c r="A83" t="s">
        <v>108</v>
      </c>
      <c r="B83">
        <v>40824.715555920768</v>
      </c>
      <c r="C83">
        <v>86359.188663685374</v>
      </c>
      <c r="D83">
        <v>47805.369428699851</v>
      </c>
      <c r="E83">
        <v>61971.084496629825</v>
      </c>
      <c r="F83">
        <v>47667.98891639847</v>
      </c>
      <c r="G83">
        <v>31381.432827835375</v>
      </c>
      <c r="H83">
        <v>650.02870776198779</v>
      </c>
      <c r="I83">
        <v>4535.8771016311248</v>
      </c>
      <c r="J83">
        <v>1504.3209241136176</v>
      </c>
      <c r="K83">
        <v>1317.3534197246661</v>
      </c>
      <c r="L83">
        <v>9834.2548762561128</v>
      </c>
      <c r="M83">
        <v>18205.425033535623</v>
      </c>
      <c r="N83">
        <v>0</v>
      </c>
      <c r="O83">
        <v>1269.3867295827285</v>
      </c>
      <c r="P83">
        <v>21194.326043265501</v>
      </c>
      <c r="Q83">
        <v>27531.681693287523</v>
      </c>
      <c r="R83">
        <v>2641.3893865268724</v>
      </c>
      <c r="S83">
        <v>3799.5505369897492</v>
      </c>
      <c r="T83">
        <v>324.08915188245362</v>
      </c>
      <c r="U83">
        <v>4732.4417790826556</v>
      </c>
      <c r="V83">
        <v>1646.2076015892392</v>
      </c>
      <c r="W83">
        <v>3067.1165320520759</v>
      </c>
      <c r="X83">
        <v>6133.1688421161934</v>
      </c>
      <c r="Y83">
        <v>5631.7189464928442</v>
      </c>
      <c r="Z83">
        <v>720.01808174482687</v>
      </c>
      <c r="AA83">
        <v>15573.143853211997</v>
      </c>
      <c r="AB83">
        <v>1576.1702896790146</v>
      </c>
      <c r="AC83">
        <v>7803.3837577400946</v>
      </c>
      <c r="AD83">
        <v>8824.4040855385156</v>
      </c>
      <c r="AE83">
        <v>864.896085889304</v>
      </c>
      <c r="AF83">
        <v>1151.3635523596122</v>
      </c>
    </row>
    <row r="84" spans="1:32" x14ac:dyDescent="0.35">
      <c r="A84" t="s">
        <v>109</v>
      </c>
      <c r="B84">
        <v>37408.839999999997</v>
      </c>
      <c r="C84">
        <v>81933.06</v>
      </c>
      <c r="D84">
        <v>46431.76</v>
      </c>
      <c r="E84">
        <v>53344.69</v>
      </c>
      <c r="F84">
        <v>31162.26</v>
      </c>
      <c r="G84">
        <v>21211.55</v>
      </c>
      <c r="H84">
        <v>397.99</v>
      </c>
      <c r="I84">
        <v>3331</v>
      </c>
      <c r="J84">
        <v>1034.02</v>
      </c>
      <c r="K84">
        <v>923.02</v>
      </c>
      <c r="L84">
        <v>7462.66</v>
      </c>
      <c r="M84">
        <v>17140.560000000001</v>
      </c>
      <c r="N84">
        <v>0</v>
      </c>
      <c r="O84">
        <v>2486.9899999999998</v>
      </c>
      <c r="P84">
        <v>16166.01</v>
      </c>
      <c r="Q84">
        <v>26115.97</v>
      </c>
      <c r="R84">
        <v>2278</v>
      </c>
      <c r="S84">
        <v>2345.98</v>
      </c>
      <c r="T84">
        <v>275.02</v>
      </c>
      <c r="U84">
        <v>5124.03</v>
      </c>
      <c r="V84">
        <v>1570.01</v>
      </c>
      <c r="W84">
        <v>620.01</v>
      </c>
      <c r="X84">
        <v>4490.99</v>
      </c>
      <c r="Y84">
        <v>5790.01</v>
      </c>
      <c r="Z84">
        <v>616.01</v>
      </c>
      <c r="AA84">
        <v>14634.01</v>
      </c>
      <c r="AB84">
        <v>1198</v>
      </c>
      <c r="AC84">
        <v>6668.03</v>
      </c>
      <c r="AD84">
        <v>7158.97</v>
      </c>
      <c r="AE84">
        <v>861.08</v>
      </c>
      <c r="AF84">
        <v>1221.8800000000001</v>
      </c>
    </row>
    <row r="85" spans="1:32" x14ac:dyDescent="0.35">
      <c r="A85" t="s">
        <v>110</v>
      </c>
      <c r="B85">
        <v>40698.800000000003</v>
      </c>
      <c r="C85">
        <v>98396.86</v>
      </c>
      <c r="D85">
        <v>54167.71</v>
      </c>
      <c r="E85">
        <v>72007.89</v>
      </c>
      <c r="F85">
        <v>41919.35</v>
      </c>
      <c r="G85">
        <v>29910.36</v>
      </c>
      <c r="H85">
        <v>314</v>
      </c>
      <c r="I85">
        <v>4343.99</v>
      </c>
      <c r="J85">
        <v>2333.02</v>
      </c>
      <c r="K85">
        <v>1918.06</v>
      </c>
      <c r="L85">
        <v>11070.46</v>
      </c>
      <c r="M85">
        <v>19798.509999999998</v>
      </c>
      <c r="N85">
        <v>0</v>
      </c>
      <c r="O85">
        <v>1343.99</v>
      </c>
      <c r="P85">
        <v>22318.01</v>
      </c>
      <c r="Q85">
        <v>31045.97</v>
      </c>
      <c r="R85">
        <v>3252.01</v>
      </c>
      <c r="S85">
        <v>4284.97</v>
      </c>
      <c r="T85">
        <v>679.05</v>
      </c>
      <c r="U85">
        <v>5364.01</v>
      </c>
      <c r="V85">
        <v>1619.01</v>
      </c>
      <c r="W85">
        <v>789.02</v>
      </c>
      <c r="X85">
        <v>11809.98</v>
      </c>
      <c r="Y85">
        <v>6429.01</v>
      </c>
      <c r="Z85">
        <v>785.99</v>
      </c>
      <c r="AA85">
        <v>19628.990000000002</v>
      </c>
      <c r="AB85">
        <v>1998.01</v>
      </c>
      <c r="AC85">
        <v>9426.0499999999993</v>
      </c>
      <c r="AD85">
        <v>9834.98</v>
      </c>
      <c r="AE85">
        <v>1408.15</v>
      </c>
      <c r="AF85">
        <v>2000.78</v>
      </c>
    </row>
    <row r="86" spans="1:32" x14ac:dyDescent="0.35">
      <c r="A86" t="s">
        <v>155</v>
      </c>
      <c r="B86">
        <v>48452.69</v>
      </c>
      <c r="C86">
        <v>83659.850000000006</v>
      </c>
      <c r="D86">
        <v>42825.82</v>
      </c>
      <c r="E86">
        <v>53039.69</v>
      </c>
      <c r="F86">
        <v>31012.32</v>
      </c>
      <c r="G86">
        <v>19904.560000000001</v>
      </c>
      <c r="H86">
        <v>471</v>
      </c>
      <c r="I86">
        <v>2979.99</v>
      </c>
      <c r="J86">
        <v>554.02</v>
      </c>
      <c r="K86">
        <v>411.02</v>
      </c>
      <c r="L86">
        <v>6442.42</v>
      </c>
      <c r="M86">
        <v>11854.7</v>
      </c>
      <c r="N86">
        <v>0</v>
      </c>
      <c r="O86">
        <v>11103.96</v>
      </c>
      <c r="P86">
        <v>11496.01</v>
      </c>
      <c r="Q86">
        <v>18682.990000000002</v>
      </c>
      <c r="R86">
        <v>4560.01</v>
      </c>
      <c r="S86">
        <v>1168.99</v>
      </c>
      <c r="T86">
        <v>0</v>
      </c>
      <c r="U86">
        <v>5851.02</v>
      </c>
      <c r="V86">
        <v>1565.01</v>
      </c>
      <c r="W86">
        <v>746.02</v>
      </c>
      <c r="X86">
        <v>4900.97</v>
      </c>
      <c r="Y86">
        <v>6715.01</v>
      </c>
      <c r="Z86">
        <v>787.98</v>
      </c>
      <c r="AA86">
        <v>17952.96</v>
      </c>
      <c r="AB86">
        <v>1557.97</v>
      </c>
      <c r="AC86">
        <v>9229.0499999999993</v>
      </c>
      <c r="AD86">
        <v>8637.9599999999991</v>
      </c>
      <c r="AE86">
        <v>1501.16</v>
      </c>
      <c r="AF86">
        <v>2320.7600000000002</v>
      </c>
    </row>
    <row r="87" spans="1:32" x14ac:dyDescent="0.35">
      <c r="A87" t="s">
        <v>156</v>
      </c>
      <c r="B87">
        <v>77503.490000000005</v>
      </c>
      <c r="C87">
        <v>152635.89000000001</v>
      </c>
      <c r="D87">
        <v>75193.649999999994</v>
      </c>
      <c r="E87">
        <v>106105.33</v>
      </c>
      <c r="F87">
        <v>43878.46</v>
      </c>
      <c r="G87">
        <v>35642.21</v>
      </c>
      <c r="H87">
        <v>955.98</v>
      </c>
      <c r="I87">
        <v>5016.99</v>
      </c>
      <c r="J87">
        <v>4196.0200000000004</v>
      </c>
      <c r="K87">
        <v>1444.01</v>
      </c>
      <c r="L87">
        <v>23459.15</v>
      </c>
      <c r="M87">
        <v>42914.99</v>
      </c>
      <c r="N87">
        <v>992.99</v>
      </c>
      <c r="O87">
        <v>8225.9599999999991</v>
      </c>
      <c r="P87">
        <v>23977.03</v>
      </c>
      <c r="Q87">
        <v>44364.98</v>
      </c>
      <c r="R87">
        <v>4148</v>
      </c>
      <c r="S87">
        <v>4785</v>
      </c>
      <c r="T87">
        <v>545.04</v>
      </c>
      <c r="U87">
        <v>8442.02</v>
      </c>
      <c r="V87">
        <v>2753.06</v>
      </c>
      <c r="W87">
        <v>1412.02</v>
      </c>
      <c r="X87">
        <v>11994.94</v>
      </c>
      <c r="Y87">
        <v>9436.01</v>
      </c>
      <c r="Z87">
        <v>1493.97</v>
      </c>
      <c r="AA87">
        <v>32957.910000000003</v>
      </c>
      <c r="AB87">
        <v>3091.97</v>
      </c>
      <c r="AC87">
        <v>19013.09</v>
      </c>
      <c r="AD87">
        <v>12021.97</v>
      </c>
      <c r="AE87">
        <v>2454.2600000000002</v>
      </c>
      <c r="AF87">
        <v>3284.67</v>
      </c>
    </row>
    <row r="88" spans="1:32" x14ac:dyDescent="0.35">
      <c r="A88" t="s">
        <v>157</v>
      </c>
      <c r="B88">
        <v>76917.52</v>
      </c>
      <c r="C88">
        <v>155278.87</v>
      </c>
      <c r="D88">
        <v>75868.67</v>
      </c>
      <c r="E88">
        <v>106639.37</v>
      </c>
      <c r="F88">
        <v>59763.63</v>
      </c>
      <c r="G88">
        <v>43037.06</v>
      </c>
      <c r="H88">
        <v>586.99</v>
      </c>
      <c r="I88">
        <v>3683.99</v>
      </c>
      <c r="J88">
        <v>2531.02</v>
      </c>
      <c r="K88">
        <v>1989.06</v>
      </c>
      <c r="L88">
        <v>15624.48</v>
      </c>
      <c r="M88">
        <v>35346.15</v>
      </c>
      <c r="N88">
        <v>994.99</v>
      </c>
      <c r="O88">
        <v>8251.98</v>
      </c>
      <c r="P88">
        <v>21347.03</v>
      </c>
      <c r="Q88">
        <v>33033.980000000003</v>
      </c>
      <c r="R88">
        <v>4200.0200000000004</v>
      </c>
      <c r="S88">
        <v>4957.01</v>
      </c>
      <c r="T88">
        <v>455.04</v>
      </c>
      <c r="U88">
        <v>9178.0300000000007</v>
      </c>
      <c r="V88">
        <v>3729.06</v>
      </c>
      <c r="W88">
        <v>1786.02</v>
      </c>
      <c r="X88">
        <v>10237.94</v>
      </c>
      <c r="Y88">
        <v>14360.01</v>
      </c>
      <c r="Z88">
        <v>1496.98</v>
      </c>
      <c r="AA88">
        <v>28229.919999999998</v>
      </c>
      <c r="AB88">
        <v>2283.9899999999998</v>
      </c>
      <c r="AC88">
        <v>23035.11</v>
      </c>
      <c r="AD88">
        <v>15956.96</v>
      </c>
      <c r="AE88">
        <v>1259.1300000000001</v>
      </c>
      <c r="AF88">
        <v>2318.7399999999998</v>
      </c>
    </row>
    <row r="89" spans="1:32" x14ac:dyDescent="0.35">
      <c r="A89" t="s">
        <v>158</v>
      </c>
      <c r="B89">
        <v>85782.44</v>
      </c>
      <c r="C89">
        <v>166393.68</v>
      </c>
      <c r="D89">
        <v>79830.64</v>
      </c>
      <c r="E89">
        <v>107565.38</v>
      </c>
      <c r="F89">
        <v>62272.65</v>
      </c>
      <c r="G89">
        <v>49710.92</v>
      </c>
      <c r="H89">
        <v>822.99</v>
      </c>
      <c r="I89">
        <v>5432.99</v>
      </c>
      <c r="J89">
        <v>2173.02</v>
      </c>
      <c r="K89">
        <v>2427.0700000000002</v>
      </c>
      <c r="L89">
        <v>21390.75</v>
      </c>
      <c r="M89">
        <v>45266.93</v>
      </c>
      <c r="N89">
        <v>983</v>
      </c>
      <c r="O89">
        <v>10064.959999999999</v>
      </c>
      <c r="P89">
        <v>22609.040000000001</v>
      </c>
      <c r="Q89">
        <v>35809.980000000003</v>
      </c>
      <c r="R89">
        <v>5509.01</v>
      </c>
      <c r="S89">
        <v>6438.01</v>
      </c>
      <c r="T89">
        <v>433.03</v>
      </c>
      <c r="U89">
        <v>11594.01</v>
      </c>
      <c r="V89">
        <v>4275.09</v>
      </c>
      <c r="W89">
        <v>2004.03</v>
      </c>
      <c r="X89">
        <v>12209.96</v>
      </c>
      <c r="Y89">
        <v>15489</v>
      </c>
      <c r="Z89">
        <v>1655.96</v>
      </c>
      <c r="AA89">
        <v>39135.870000000003</v>
      </c>
      <c r="AB89">
        <v>4225.96</v>
      </c>
      <c r="AC89">
        <v>23583.11</v>
      </c>
      <c r="AD89">
        <v>14170.99</v>
      </c>
      <c r="AE89">
        <v>3959.4</v>
      </c>
      <c r="AF89">
        <v>6068.36</v>
      </c>
    </row>
    <row r="90" spans="1:32" x14ac:dyDescent="0.35">
      <c r="A90" t="s">
        <v>181</v>
      </c>
      <c r="B90">
        <v>46304.79</v>
      </c>
      <c r="C90">
        <v>95926</v>
      </c>
      <c r="D90">
        <v>46829.62</v>
      </c>
      <c r="E90">
        <v>52070.52</v>
      </c>
      <c r="F90">
        <v>47395.51</v>
      </c>
      <c r="G90">
        <v>40742.160000000003</v>
      </c>
      <c r="H90">
        <v>686.99</v>
      </c>
      <c r="I90">
        <v>6070.99</v>
      </c>
      <c r="J90">
        <v>1202.99</v>
      </c>
      <c r="K90">
        <v>1035.01</v>
      </c>
      <c r="L90">
        <v>8100.83</v>
      </c>
      <c r="M90">
        <v>17642.55</v>
      </c>
      <c r="N90">
        <v>0</v>
      </c>
      <c r="O90">
        <v>5810.01</v>
      </c>
      <c r="P90">
        <v>14910.02</v>
      </c>
      <c r="Q90">
        <v>22299.040000000001</v>
      </c>
      <c r="R90">
        <v>4621.03</v>
      </c>
      <c r="S90">
        <v>4394.99</v>
      </c>
      <c r="T90">
        <v>0</v>
      </c>
      <c r="U90">
        <v>6736.01</v>
      </c>
      <c r="V90">
        <v>1952.06</v>
      </c>
      <c r="W90">
        <v>406</v>
      </c>
      <c r="X90">
        <v>6970.95</v>
      </c>
      <c r="Y90">
        <v>10437.01</v>
      </c>
      <c r="Z90">
        <v>743.95</v>
      </c>
      <c r="AA90">
        <v>16775.990000000002</v>
      </c>
      <c r="AB90">
        <v>1745</v>
      </c>
      <c r="AC90">
        <v>8672.01</v>
      </c>
      <c r="AD90">
        <v>9141.9699999999993</v>
      </c>
      <c r="AE90">
        <v>1827.19</v>
      </c>
      <c r="AF90">
        <v>2279.77</v>
      </c>
    </row>
    <row r="91" spans="1:32" x14ac:dyDescent="0.35">
      <c r="A91" t="s">
        <v>182</v>
      </c>
      <c r="B91">
        <v>34447.83</v>
      </c>
      <c r="C91">
        <v>71449.27</v>
      </c>
      <c r="D91">
        <v>34205.72</v>
      </c>
      <c r="E91">
        <v>41962.400000000001</v>
      </c>
      <c r="F91">
        <v>34977.370000000003</v>
      </c>
      <c r="G91">
        <v>26330.45</v>
      </c>
      <c r="H91">
        <v>332</v>
      </c>
      <c r="I91">
        <v>4333.99</v>
      </c>
      <c r="J91">
        <v>997</v>
      </c>
      <c r="K91">
        <v>776</v>
      </c>
      <c r="L91">
        <v>5733.28</v>
      </c>
      <c r="M91">
        <v>11982.69</v>
      </c>
      <c r="N91">
        <v>0</v>
      </c>
      <c r="O91">
        <v>1495.99</v>
      </c>
      <c r="P91">
        <v>12201.03</v>
      </c>
      <c r="Q91">
        <v>17411.03</v>
      </c>
      <c r="R91">
        <v>2479.02</v>
      </c>
      <c r="S91">
        <v>2398.0100000000002</v>
      </c>
      <c r="T91">
        <v>265.02</v>
      </c>
      <c r="U91">
        <v>3605</v>
      </c>
      <c r="V91">
        <v>1258.02</v>
      </c>
      <c r="W91">
        <v>290</v>
      </c>
      <c r="X91">
        <v>4278.9799999999996</v>
      </c>
      <c r="Y91">
        <v>6371.98</v>
      </c>
      <c r="Z91">
        <v>531.98</v>
      </c>
      <c r="AA91">
        <v>10123.99</v>
      </c>
      <c r="AB91">
        <v>1026.98</v>
      </c>
      <c r="AC91">
        <v>5753.01</v>
      </c>
      <c r="AD91">
        <v>4431.0200000000004</v>
      </c>
      <c r="AE91">
        <v>747.09</v>
      </c>
      <c r="AF91">
        <v>1094.8800000000001</v>
      </c>
    </row>
    <row r="92" spans="1:32" x14ac:dyDescent="0.35">
      <c r="A92" t="s">
        <v>183</v>
      </c>
      <c r="B92">
        <v>80572.63</v>
      </c>
      <c r="C92">
        <v>142146.56</v>
      </c>
      <c r="D92">
        <v>53975.55</v>
      </c>
      <c r="E92">
        <v>54612.53</v>
      </c>
      <c r="F92">
        <v>63994.68</v>
      </c>
      <c r="G92">
        <v>59691.76</v>
      </c>
      <c r="H92">
        <v>757.99</v>
      </c>
      <c r="I92">
        <v>6076.98</v>
      </c>
      <c r="J92">
        <v>1746.02</v>
      </c>
      <c r="K92">
        <v>1317.01</v>
      </c>
      <c r="L92">
        <v>9253.0300000000007</v>
      </c>
      <c r="M92">
        <v>22865.43</v>
      </c>
      <c r="N92">
        <v>988.01</v>
      </c>
      <c r="O92">
        <v>1206.01</v>
      </c>
      <c r="P92">
        <v>25162.04</v>
      </c>
      <c r="Q92">
        <v>35313.050000000003</v>
      </c>
      <c r="R92">
        <v>8579.0400000000009</v>
      </c>
      <c r="S92">
        <v>11718.99</v>
      </c>
      <c r="T92">
        <v>537.04999999999995</v>
      </c>
      <c r="U92">
        <v>10913.03</v>
      </c>
      <c r="V92">
        <v>4022.06</v>
      </c>
      <c r="W92">
        <v>562.01</v>
      </c>
      <c r="X92">
        <v>5295.98</v>
      </c>
      <c r="Y92">
        <v>8336</v>
      </c>
      <c r="Z92">
        <v>1027.98</v>
      </c>
      <c r="AA92">
        <v>23071</v>
      </c>
      <c r="AB92">
        <v>2465.98</v>
      </c>
      <c r="AC92">
        <v>12842.04</v>
      </c>
      <c r="AD92">
        <v>10932.01</v>
      </c>
      <c r="AE92">
        <v>3140.32</v>
      </c>
      <c r="AF92">
        <v>6229.34</v>
      </c>
    </row>
    <row r="93" spans="1:32" x14ac:dyDescent="0.35">
      <c r="A93" t="s">
        <v>184</v>
      </c>
      <c r="B93">
        <v>50035.75</v>
      </c>
      <c r="C93">
        <v>78655.17</v>
      </c>
      <c r="D93">
        <v>28284.79</v>
      </c>
      <c r="E93">
        <v>28883.3</v>
      </c>
      <c r="F93">
        <v>33321.339999999997</v>
      </c>
      <c r="G93">
        <v>32400.32</v>
      </c>
      <c r="H93">
        <v>359.99</v>
      </c>
      <c r="I93">
        <v>4260</v>
      </c>
      <c r="J93">
        <v>752.02</v>
      </c>
      <c r="K93">
        <v>613.02</v>
      </c>
      <c r="L93">
        <v>6822.53</v>
      </c>
      <c r="M93">
        <v>11842.72</v>
      </c>
      <c r="N93">
        <v>0</v>
      </c>
      <c r="O93">
        <v>1020.99</v>
      </c>
      <c r="P93">
        <v>15936.02</v>
      </c>
      <c r="Q93">
        <v>24021.040000000001</v>
      </c>
      <c r="R93">
        <v>3094.01</v>
      </c>
      <c r="S93">
        <v>3111</v>
      </c>
      <c r="T93">
        <v>266.01</v>
      </c>
      <c r="U93">
        <v>6066.02</v>
      </c>
      <c r="V93">
        <v>1663.02</v>
      </c>
      <c r="W93">
        <v>311.01</v>
      </c>
      <c r="X93">
        <v>3505.98</v>
      </c>
      <c r="Y93">
        <v>5431</v>
      </c>
      <c r="Z93">
        <v>566.98</v>
      </c>
      <c r="AA93">
        <v>9257.9699999999993</v>
      </c>
      <c r="AB93">
        <v>1262.99</v>
      </c>
      <c r="AC93">
        <v>5296.01</v>
      </c>
      <c r="AD93">
        <v>5303.97</v>
      </c>
      <c r="AE93">
        <v>1097.1099999999999</v>
      </c>
      <c r="AF93">
        <v>1689.82</v>
      </c>
    </row>
    <row r="94" spans="1:32" x14ac:dyDescent="0.35">
      <c r="A94" t="s">
        <v>185</v>
      </c>
      <c r="B94">
        <v>35867.83</v>
      </c>
      <c r="C94">
        <v>66902.320000000007</v>
      </c>
      <c r="D94">
        <v>27925.78</v>
      </c>
      <c r="E94">
        <v>41297.379999999997</v>
      </c>
      <c r="F94">
        <v>30510.33</v>
      </c>
      <c r="G94">
        <v>26500.45</v>
      </c>
      <c r="H94">
        <v>403</v>
      </c>
      <c r="I94">
        <v>2810</v>
      </c>
      <c r="J94">
        <v>1002.02</v>
      </c>
      <c r="K94">
        <v>911.05</v>
      </c>
      <c r="L94">
        <v>6799.53</v>
      </c>
      <c r="M94">
        <v>13119.7</v>
      </c>
      <c r="N94">
        <v>0</v>
      </c>
      <c r="O94">
        <v>1027</v>
      </c>
      <c r="P94">
        <v>14180.03</v>
      </c>
      <c r="Q94">
        <v>21693.040000000001</v>
      </c>
      <c r="R94">
        <v>2608.0100000000002</v>
      </c>
      <c r="S94">
        <v>2664</v>
      </c>
      <c r="T94">
        <v>0</v>
      </c>
      <c r="U94">
        <v>4620.0200000000004</v>
      </c>
      <c r="V94">
        <v>2170.04</v>
      </c>
      <c r="W94">
        <v>278</v>
      </c>
      <c r="X94">
        <v>1876.98</v>
      </c>
      <c r="Y94">
        <v>2959.98</v>
      </c>
      <c r="Z94">
        <v>533.96</v>
      </c>
      <c r="AA94">
        <v>8613.02</v>
      </c>
      <c r="AB94">
        <v>852.01</v>
      </c>
      <c r="AC94">
        <v>4733</v>
      </c>
      <c r="AD94">
        <v>4024</v>
      </c>
      <c r="AE94">
        <v>707.07</v>
      </c>
      <c r="AF94">
        <v>941.91</v>
      </c>
    </row>
    <row r="95" spans="1:32" x14ac:dyDescent="0.35">
      <c r="A95" t="s">
        <v>186</v>
      </c>
      <c r="B95">
        <v>43696.79</v>
      </c>
      <c r="C95">
        <v>92306.06</v>
      </c>
      <c r="D95">
        <v>36468.730000000003</v>
      </c>
      <c r="E95">
        <v>40420.39</v>
      </c>
      <c r="F95">
        <v>42968.46</v>
      </c>
      <c r="G95">
        <v>37707.230000000003</v>
      </c>
      <c r="H95">
        <v>421.99</v>
      </c>
      <c r="I95">
        <v>2893.99</v>
      </c>
      <c r="J95">
        <v>1493.02</v>
      </c>
      <c r="K95">
        <v>560.01</v>
      </c>
      <c r="L95">
        <v>7928.79</v>
      </c>
      <c r="M95">
        <v>16218.58</v>
      </c>
      <c r="N95">
        <v>0</v>
      </c>
      <c r="O95">
        <v>1002.01</v>
      </c>
      <c r="P95">
        <v>17400.03</v>
      </c>
      <c r="Q95">
        <v>15112.03</v>
      </c>
      <c r="R95">
        <v>3663.03</v>
      </c>
      <c r="S95">
        <v>6176.01</v>
      </c>
      <c r="T95">
        <v>417.02</v>
      </c>
      <c r="U95">
        <v>6666.01</v>
      </c>
      <c r="V95">
        <v>1836.05</v>
      </c>
      <c r="W95">
        <v>856.01</v>
      </c>
      <c r="X95">
        <v>7308.96</v>
      </c>
      <c r="Y95">
        <v>7976.99</v>
      </c>
      <c r="Z95">
        <v>654.98</v>
      </c>
      <c r="AA95">
        <v>10775.01</v>
      </c>
      <c r="AB95">
        <v>909</v>
      </c>
      <c r="AC95">
        <v>5823</v>
      </c>
      <c r="AD95">
        <v>9062.98</v>
      </c>
      <c r="AE95">
        <v>2639.27</v>
      </c>
      <c r="AF95">
        <v>4444.53</v>
      </c>
    </row>
    <row r="96" spans="1:32" x14ac:dyDescent="0.35">
      <c r="A96" t="s">
        <v>187</v>
      </c>
      <c r="B96">
        <v>40158.800000000003</v>
      </c>
      <c r="C96">
        <v>87154.11</v>
      </c>
      <c r="D96">
        <v>33680.730000000003</v>
      </c>
      <c r="E96">
        <v>37670.39</v>
      </c>
      <c r="F96">
        <v>38602.43</v>
      </c>
      <c r="G96">
        <v>34218.29</v>
      </c>
      <c r="H96">
        <v>278</v>
      </c>
      <c r="I96">
        <v>1944</v>
      </c>
      <c r="J96">
        <v>1976.03</v>
      </c>
      <c r="K96">
        <v>878.04</v>
      </c>
      <c r="L96">
        <v>6102.32</v>
      </c>
      <c r="M96">
        <v>15521.61</v>
      </c>
      <c r="N96">
        <v>0</v>
      </c>
      <c r="O96">
        <v>1015</v>
      </c>
      <c r="P96">
        <v>16168.04</v>
      </c>
      <c r="Q96">
        <v>17585.03</v>
      </c>
      <c r="R96">
        <v>3253.03</v>
      </c>
      <c r="S96">
        <v>5383.99</v>
      </c>
      <c r="T96">
        <v>264.01</v>
      </c>
      <c r="U96">
        <v>6777.02</v>
      </c>
      <c r="V96">
        <v>1632.02</v>
      </c>
      <c r="W96">
        <v>332</v>
      </c>
      <c r="X96">
        <v>6825.96</v>
      </c>
      <c r="Y96">
        <v>3966.01</v>
      </c>
      <c r="Z96">
        <v>605</v>
      </c>
      <c r="AA96">
        <v>9788.9699999999993</v>
      </c>
      <c r="AB96">
        <v>1263.98</v>
      </c>
      <c r="AC96">
        <v>5035.01</v>
      </c>
      <c r="AD96">
        <v>8729.9699999999993</v>
      </c>
      <c r="AE96">
        <v>981.1</v>
      </c>
      <c r="AF96">
        <v>1662.83</v>
      </c>
    </row>
    <row r="97" spans="1:32" x14ac:dyDescent="0.35">
      <c r="A97" t="s">
        <v>188</v>
      </c>
      <c r="B97">
        <v>46942.77</v>
      </c>
      <c r="C97">
        <v>99275.99</v>
      </c>
      <c r="D97">
        <v>43366.64</v>
      </c>
      <c r="E97">
        <v>44516.44</v>
      </c>
      <c r="F97">
        <v>55947.59</v>
      </c>
      <c r="G97">
        <v>45080.06</v>
      </c>
      <c r="H97">
        <v>515.99</v>
      </c>
      <c r="I97">
        <v>3163</v>
      </c>
      <c r="J97">
        <v>1747</v>
      </c>
      <c r="K97">
        <v>2078.06</v>
      </c>
      <c r="L97">
        <v>11110.47</v>
      </c>
      <c r="M97">
        <v>23348.42</v>
      </c>
      <c r="N97">
        <v>0</v>
      </c>
      <c r="O97">
        <v>1289.01</v>
      </c>
      <c r="P97">
        <v>22753.040000000001</v>
      </c>
      <c r="Q97">
        <v>20936.03</v>
      </c>
      <c r="R97">
        <v>4439.0200000000004</v>
      </c>
      <c r="S97">
        <v>5887.01</v>
      </c>
      <c r="T97">
        <v>405.02</v>
      </c>
      <c r="U97">
        <v>8852.02</v>
      </c>
      <c r="V97">
        <v>2320.02</v>
      </c>
      <c r="W97">
        <v>434.02</v>
      </c>
      <c r="X97">
        <v>12073.94</v>
      </c>
      <c r="Y97">
        <v>10593.01</v>
      </c>
      <c r="Z97">
        <v>791.95</v>
      </c>
      <c r="AA97">
        <v>14218.99</v>
      </c>
      <c r="AB97">
        <v>1712.97</v>
      </c>
      <c r="AC97">
        <v>6668.01</v>
      </c>
      <c r="AD97">
        <v>13089.98</v>
      </c>
      <c r="AE97">
        <v>2612.2800000000002</v>
      </c>
      <c r="AF97">
        <v>4847.49</v>
      </c>
    </row>
    <row r="98" spans="1:32" x14ac:dyDescent="0.35">
      <c r="A98" t="s">
        <v>189</v>
      </c>
      <c r="B98">
        <v>46191.78</v>
      </c>
      <c r="C98">
        <v>71491.259999999995</v>
      </c>
      <c r="D98">
        <v>26529.77</v>
      </c>
      <c r="E98">
        <v>23089.21</v>
      </c>
      <c r="F98">
        <v>32197.32</v>
      </c>
      <c r="G98">
        <v>28170.42</v>
      </c>
      <c r="H98">
        <v>453</v>
      </c>
      <c r="I98">
        <v>3230.99</v>
      </c>
      <c r="J98">
        <v>1410</v>
      </c>
      <c r="K98">
        <v>1186.02</v>
      </c>
      <c r="L98">
        <v>5365.18</v>
      </c>
      <c r="M98">
        <v>11019.74</v>
      </c>
      <c r="N98">
        <v>0</v>
      </c>
      <c r="O98">
        <v>1018.01</v>
      </c>
      <c r="P98">
        <v>14003.03</v>
      </c>
      <c r="Q98">
        <v>31481.05</v>
      </c>
      <c r="R98">
        <v>4520.0200000000004</v>
      </c>
      <c r="S98">
        <v>5511</v>
      </c>
      <c r="T98">
        <v>353.03</v>
      </c>
      <c r="U98">
        <v>7665.01</v>
      </c>
      <c r="V98">
        <v>2227.0500000000002</v>
      </c>
      <c r="W98">
        <v>301</v>
      </c>
      <c r="X98">
        <v>2018.99</v>
      </c>
      <c r="Y98">
        <v>3184.01</v>
      </c>
      <c r="Z98">
        <v>547.98</v>
      </c>
      <c r="AA98">
        <v>12161</v>
      </c>
      <c r="AB98">
        <v>1060.99</v>
      </c>
      <c r="AC98">
        <v>7601.02</v>
      </c>
      <c r="AD98">
        <v>7323.02</v>
      </c>
      <c r="AE98">
        <v>935.09</v>
      </c>
      <c r="AF98">
        <v>1321.86</v>
      </c>
    </row>
    <row r="99" spans="1:32" x14ac:dyDescent="0.35">
      <c r="A99" t="s">
        <v>190</v>
      </c>
      <c r="B99">
        <v>47227.326952256226</v>
      </c>
      <c r="C99">
        <v>77241.060956356814</v>
      </c>
      <c r="D99">
        <v>29019.299742404852</v>
      </c>
      <c r="E99">
        <v>25628.871755412838</v>
      </c>
      <c r="F99">
        <v>35270.564309612419</v>
      </c>
      <c r="G99">
        <v>31766.147372924905</v>
      </c>
      <c r="H99">
        <v>500.59196229239558</v>
      </c>
      <c r="I99">
        <v>4750.468988511886</v>
      </c>
      <c r="J99">
        <v>1390.9287445502857</v>
      </c>
      <c r="K99">
        <v>1075.1570157237145</v>
      </c>
      <c r="L99">
        <v>5687.8525281691236</v>
      </c>
      <c r="M99">
        <v>12583.774183785723</v>
      </c>
      <c r="N99">
        <v>0</v>
      </c>
      <c r="O99">
        <v>3028.509455817973</v>
      </c>
      <c r="P99">
        <v>21027.6587051918</v>
      </c>
      <c r="Q99">
        <v>25784.555944074214</v>
      </c>
      <c r="R99">
        <v>6195.2664711672496</v>
      </c>
      <c r="S99">
        <v>9263.1007486269664</v>
      </c>
      <c r="T99">
        <v>481.3473877456085</v>
      </c>
      <c r="U99">
        <v>11202.045872578265</v>
      </c>
      <c r="V99">
        <v>3212.5743698652595</v>
      </c>
      <c r="W99">
        <v>346.33002402549863</v>
      </c>
      <c r="X99">
        <v>6780.9604330525572</v>
      </c>
      <c r="Y99">
        <v>9722.7045794942405</v>
      </c>
      <c r="Z99">
        <v>2899.0766346072646</v>
      </c>
      <c r="AA99">
        <v>13111.228197313987</v>
      </c>
      <c r="AB99">
        <v>973.07639983962986</v>
      </c>
      <c r="AC99">
        <v>6960.1961240089777</v>
      </c>
      <c r="AD99">
        <v>11152.990286938124</v>
      </c>
      <c r="AE99">
        <v>2054.8464781320317</v>
      </c>
      <c r="AF99">
        <v>2892.3992895348724</v>
      </c>
    </row>
    <row r="100" spans="1:32" x14ac:dyDescent="0.35">
      <c r="A100" t="s">
        <v>191</v>
      </c>
      <c r="B100">
        <v>28597.269667367498</v>
      </c>
      <c r="C100">
        <v>46942.869520835637</v>
      </c>
      <c r="D100">
        <v>19149.09775751493</v>
      </c>
      <c r="E100">
        <v>17654.186325392286</v>
      </c>
      <c r="F100">
        <v>25960.745020468377</v>
      </c>
      <c r="G100">
        <v>22423.195741703963</v>
      </c>
      <c r="H100">
        <v>246.02561303345934</v>
      </c>
      <c r="I100">
        <v>1882.5580872663581</v>
      </c>
      <c r="J100">
        <v>685.07938798339137</v>
      </c>
      <c r="K100">
        <v>952.85312150599623</v>
      </c>
      <c r="L100">
        <v>4466.1260607744071</v>
      </c>
      <c r="M100">
        <v>9517.3037478574424</v>
      </c>
      <c r="N100">
        <v>0</v>
      </c>
      <c r="O100">
        <v>2781.0409075494908</v>
      </c>
      <c r="P100">
        <v>13565.430932830472</v>
      </c>
      <c r="Q100">
        <v>9740.4530566513804</v>
      </c>
      <c r="R100">
        <v>5225.0131326678365</v>
      </c>
      <c r="S100">
        <v>7325.038832250345</v>
      </c>
      <c r="T100">
        <v>373.82300605780102</v>
      </c>
      <c r="U100">
        <v>6574.7286753748222</v>
      </c>
      <c r="V100">
        <v>2839.543351665292</v>
      </c>
      <c r="W100">
        <v>350.7020354627781</v>
      </c>
      <c r="X100">
        <v>1667.8225825866571</v>
      </c>
      <c r="Y100">
        <v>5513.1349514230969</v>
      </c>
      <c r="Z100">
        <v>743.44590634613587</v>
      </c>
      <c r="AA100">
        <v>9280.9832335922638</v>
      </c>
      <c r="AB100">
        <v>1289.9218039371412</v>
      </c>
      <c r="AC100">
        <v>5957.652941645928</v>
      </c>
      <c r="AD100">
        <v>9104.2661620426497</v>
      </c>
      <c r="AE100">
        <v>1816.1583568979358</v>
      </c>
      <c r="AF100">
        <v>2072.6638454921017</v>
      </c>
    </row>
    <row r="101" spans="1:32" x14ac:dyDescent="0.35">
      <c r="A101" t="s">
        <v>192</v>
      </c>
      <c r="B101">
        <v>48029.514468475922</v>
      </c>
      <c r="C101">
        <v>72852.308394896201</v>
      </c>
      <c r="D101">
        <v>24809.096742770642</v>
      </c>
      <c r="E101">
        <v>23446.243160155849</v>
      </c>
      <c r="F101">
        <v>34368.543625096201</v>
      </c>
      <c r="G101">
        <v>31571.95434400595</v>
      </c>
      <c r="H101">
        <v>395.04879556881883</v>
      </c>
      <c r="I101">
        <v>3534.9203688522562</v>
      </c>
      <c r="J101">
        <v>1555.3912988813643</v>
      </c>
      <c r="K101">
        <v>1094.5226247502869</v>
      </c>
      <c r="L101">
        <v>5166.9899913325526</v>
      </c>
      <c r="M101">
        <v>11397.870135234401</v>
      </c>
      <c r="N101">
        <v>0</v>
      </c>
      <c r="O101">
        <v>1959.0534534355359</v>
      </c>
      <c r="P101">
        <v>18708.73381296765</v>
      </c>
      <c r="Q101">
        <v>27821.840318398077</v>
      </c>
      <c r="R101">
        <v>10503.376042710379</v>
      </c>
      <c r="S101">
        <v>14557.440179881585</v>
      </c>
      <c r="T101">
        <v>690.84967651317618</v>
      </c>
      <c r="U101">
        <v>9434.7798443796637</v>
      </c>
      <c r="V101">
        <v>2274.2721699872241</v>
      </c>
      <c r="W101">
        <v>343.22832377849375</v>
      </c>
      <c r="X101">
        <v>5777.8368899015732</v>
      </c>
      <c r="Y101">
        <v>13175.848763684622</v>
      </c>
      <c r="Z101">
        <v>3184.0609112358625</v>
      </c>
      <c r="AA101">
        <v>15121.917416544495</v>
      </c>
      <c r="AB101">
        <v>1395.6232040177124</v>
      </c>
      <c r="AC101">
        <v>8421.2638100868626</v>
      </c>
      <c r="AD101">
        <v>11678.732558991127</v>
      </c>
      <c r="AE101">
        <v>1706.6539715890538</v>
      </c>
      <c r="AF101">
        <v>2196.298604435608</v>
      </c>
    </row>
    <row r="102" spans="1:32" x14ac:dyDescent="0.35">
      <c r="A102" t="s">
        <v>159</v>
      </c>
      <c r="B102">
        <v>71653.55</v>
      </c>
      <c r="C102">
        <v>149110.94</v>
      </c>
      <c r="D102">
        <v>79653.63</v>
      </c>
      <c r="E102">
        <v>85683.08</v>
      </c>
      <c r="F102">
        <v>51923.54</v>
      </c>
      <c r="G102">
        <v>34465.230000000003</v>
      </c>
      <c r="H102">
        <v>628.99</v>
      </c>
      <c r="I102">
        <v>3482</v>
      </c>
      <c r="J102">
        <v>1533.01</v>
      </c>
      <c r="K102">
        <v>2314.0700000000002</v>
      </c>
      <c r="L102">
        <v>15276.35</v>
      </c>
      <c r="M102">
        <v>28249.31</v>
      </c>
      <c r="N102">
        <v>0</v>
      </c>
      <c r="O102">
        <v>12675.95</v>
      </c>
      <c r="P102">
        <v>16753.03</v>
      </c>
      <c r="Q102">
        <v>23921.99</v>
      </c>
      <c r="R102">
        <v>4598.0200000000004</v>
      </c>
      <c r="S102">
        <v>4313.99</v>
      </c>
      <c r="T102">
        <v>308.02999999999997</v>
      </c>
      <c r="U102">
        <v>12831.02</v>
      </c>
      <c r="V102">
        <v>3893.09</v>
      </c>
      <c r="W102">
        <v>1257.02</v>
      </c>
      <c r="X102">
        <v>8533.9599999999991</v>
      </c>
      <c r="Y102">
        <v>9319.99</v>
      </c>
      <c r="Z102">
        <v>1328.98</v>
      </c>
      <c r="AA102">
        <v>26738.91</v>
      </c>
      <c r="AB102">
        <v>2451.9899999999998</v>
      </c>
      <c r="AC102">
        <v>14096.07</v>
      </c>
      <c r="AD102">
        <v>2148</v>
      </c>
      <c r="AE102">
        <v>3431.36</v>
      </c>
      <c r="AF102">
        <v>4564.5200000000004</v>
      </c>
    </row>
    <row r="103" spans="1:32" x14ac:dyDescent="0.35">
      <c r="A103" t="s">
        <v>160</v>
      </c>
      <c r="B103">
        <v>23232.85</v>
      </c>
      <c r="C103">
        <v>51426.29</v>
      </c>
      <c r="D103">
        <v>20994.9</v>
      </c>
      <c r="E103">
        <v>22620.31</v>
      </c>
      <c r="F103">
        <v>16177.15</v>
      </c>
      <c r="G103">
        <v>12104.72</v>
      </c>
      <c r="H103">
        <v>262</v>
      </c>
      <c r="I103">
        <v>1476</v>
      </c>
      <c r="J103">
        <v>824.99</v>
      </c>
      <c r="K103">
        <v>653</v>
      </c>
      <c r="L103">
        <v>8237.7900000000009</v>
      </c>
      <c r="M103">
        <v>14994.64</v>
      </c>
      <c r="N103">
        <v>0</v>
      </c>
      <c r="O103">
        <v>7470.96</v>
      </c>
      <c r="P103">
        <v>12454.02</v>
      </c>
      <c r="Q103">
        <v>9550</v>
      </c>
      <c r="R103">
        <v>2312.0100000000002</v>
      </c>
      <c r="S103">
        <v>4628</v>
      </c>
      <c r="T103">
        <v>385.03</v>
      </c>
      <c r="U103">
        <v>4309.01</v>
      </c>
      <c r="V103">
        <v>1681.02</v>
      </c>
      <c r="W103">
        <v>1076.01</v>
      </c>
      <c r="X103">
        <v>7466.98</v>
      </c>
      <c r="Y103">
        <v>12081.01</v>
      </c>
      <c r="Z103">
        <v>537.99</v>
      </c>
      <c r="AA103">
        <v>15977.95</v>
      </c>
      <c r="AB103">
        <v>1413</v>
      </c>
      <c r="AC103">
        <v>7606.02</v>
      </c>
      <c r="AD103">
        <v>8091</v>
      </c>
      <c r="AE103">
        <v>1247.1400000000001</v>
      </c>
      <c r="AF103">
        <v>2452.75</v>
      </c>
    </row>
    <row r="104" spans="1:32" x14ac:dyDescent="0.35">
      <c r="A104" t="s">
        <v>161</v>
      </c>
      <c r="B104">
        <v>66109.59</v>
      </c>
      <c r="C104">
        <v>119273.35</v>
      </c>
      <c r="D104">
        <v>60890.73</v>
      </c>
      <c r="E104">
        <v>68048.88</v>
      </c>
      <c r="F104">
        <v>44754.48</v>
      </c>
      <c r="G104">
        <v>34220.26</v>
      </c>
      <c r="H104">
        <v>708.99</v>
      </c>
      <c r="I104">
        <v>4832.99</v>
      </c>
      <c r="J104">
        <v>2758.03</v>
      </c>
      <c r="K104">
        <v>708.03</v>
      </c>
      <c r="L104">
        <v>18171.02</v>
      </c>
      <c r="M104">
        <v>34687.18</v>
      </c>
      <c r="N104">
        <v>0</v>
      </c>
      <c r="O104">
        <v>23597.93</v>
      </c>
      <c r="P104">
        <v>28138.05</v>
      </c>
      <c r="Q104">
        <v>31528.98</v>
      </c>
      <c r="R104">
        <v>4816</v>
      </c>
      <c r="S104">
        <v>6416.99</v>
      </c>
      <c r="T104">
        <v>356.02</v>
      </c>
      <c r="U104">
        <v>14273.04</v>
      </c>
      <c r="V104">
        <v>4131.09</v>
      </c>
      <c r="W104">
        <v>1629.03</v>
      </c>
      <c r="X104">
        <v>26029.91</v>
      </c>
      <c r="Y104">
        <v>31647.99</v>
      </c>
      <c r="Z104">
        <v>2370.91</v>
      </c>
      <c r="AA104">
        <v>30133.919999999998</v>
      </c>
      <c r="AB104">
        <v>2618.96</v>
      </c>
      <c r="AC104">
        <v>17396.09</v>
      </c>
      <c r="AD104">
        <v>18934.97</v>
      </c>
      <c r="AE104">
        <v>3051.32</v>
      </c>
      <c r="AF104">
        <v>4526.5200000000004</v>
      </c>
    </row>
    <row r="105" spans="1:32" x14ac:dyDescent="0.35">
      <c r="A105" t="s">
        <v>162</v>
      </c>
      <c r="B105">
        <v>16678.88</v>
      </c>
      <c r="C105">
        <v>22528.67</v>
      </c>
      <c r="D105">
        <v>16597.93</v>
      </c>
      <c r="E105">
        <v>16122.18</v>
      </c>
      <c r="F105">
        <v>13400.14</v>
      </c>
      <c r="G105">
        <v>10789.77</v>
      </c>
      <c r="H105">
        <v>204</v>
      </c>
      <c r="I105">
        <v>1050</v>
      </c>
      <c r="J105">
        <v>654</v>
      </c>
      <c r="K105">
        <v>647.99</v>
      </c>
      <c r="L105">
        <v>9534.1</v>
      </c>
      <c r="M105">
        <v>16496.580000000002</v>
      </c>
      <c r="N105">
        <v>0</v>
      </c>
      <c r="O105">
        <v>4241</v>
      </c>
      <c r="P105">
        <v>5717.01</v>
      </c>
      <c r="Q105">
        <v>6643</v>
      </c>
      <c r="R105">
        <v>1238.01</v>
      </c>
      <c r="S105">
        <v>1547.01</v>
      </c>
      <c r="T105">
        <v>221.02</v>
      </c>
      <c r="U105">
        <v>2258.0100000000002</v>
      </c>
      <c r="V105">
        <v>842</v>
      </c>
      <c r="W105">
        <v>830.01</v>
      </c>
      <c r="X105">
        <v>4946.97</v>
      </c>
      <c r="Y105">
        <v>5309.01</v>
      </c>
      <c r="Z105">
        <v>385.99</v>
      </c>
      <c r="AA105">
        <v>11880.97</v>
      </c>
      <c r="AB105">
        <v>965.99</v>
      </c>
      <c r="AC105">
        <v>6822.04</v>
      </c>
      <c r="AD105">
        <v>5584.98</v>
      </c>
      <c r="AE105">
        <v>1812.2</v>
      </c>
      <c r="AF105">
        <v>2679.73</v>
      </c>
    </row>
    <row r="106" spans="1:32" x14ac:dyDescent="0.35">
      <c r="A106" t="s">
        <v>111</v>
      </c>
      <c r="B106">
        <v>37709.066783253373</v>
      </c>
      <c r="C106">
        <v>77804.287871688153</v>
      </c>
      <c r="D106">
        <v>41817.558399150796</v>
      </c>
      <c r="E106">
        <v>43530.384313893053</v>
      </c>
      <c r="F106">
        <v>45831.612639147956</v>
      </c>
      <c r="G106">
        <v>37336.818200416514</v>
      </c>
      <c r="H106">
        <v>1066.8256279926495</v>
      </c>
      <c r="I106">
        <v>7869.9251399441582</v>
      </c>
      <c r="J106">
        <v>3196.6331033370075</v>
      </c>
      <c r="K106">
        <v>1400.273598594297</v>
      </c>
      <c r="L106">
        <v>15951.277826265799</v>
      </c>
      <c r="M106">
        <v>32044.804952935006</v>
      </c>
      <c r="N106">
        <v>0</v>
      </c>
      <c r="O106">
        <v>1105.0869342705896</v>
      </c>
      <c r="P106">
        <v>18188.358159293566</v>
      </c>
      <c r="Q106">
        <v>34072.330602091453</v>
      </c>
      <c r="R106">
        <v>4643.934181405677</v>
      </c>
      <c r="S106">
        <v>9349.5747698864616</v>
      </c>
      <c r="T106">
        <v>585.43132496620467</v>
      </c>
      <c r="U106">
        <v>9882.0854720997104</v>
      </c>
      <c r="V106">
        <v>5163.6878463386565</v>
      </c>
      <c r="W106">
        <v>790.3381720420922</v>
      </c>
      <c r="X106">
        <v>8145.4516507344788</v>
      </c>
      <c r="Y106">
        <v>15936.951898928006</v>
      </c>
      <c r="Z106">
        <v>1575.6853125886767</v>
      </c>
      <c r="AA106">
        <v>22743.032301988816</v>
      </c>
      <c r="AB106">
        <v>2184.6695995435057</v>
      </c>
      <c r="AC106">
        <v>12709.068466757633</v>
      </c>
      <c r="AD106">
        <v>9505.5420527303668</v>
      </c>
      <c r="AE106">
        <v>2377.1135762249128</v>
      </c>
      <c r="AF106">
        <v>3532.591298030698</v>
      </c>
    </row>
    <row r="107" spans="1:32" x14ac:dyDescent="0.35">
      <c r="A107" t="s">
        <v>112</v>
      </c>
      <c r="B107">
        <v>33863.65850005488</v>
      </c>
      <c r="C107">
        <v>84157.854680250064</v>
      </c>
      <c r="D107">
        <v>49537.108709767017</v>
      </c>
      <c r="E107">
        <v>49102.83007543772</v>
      </c>
      <c r="F107">
        <v>39838.509309034242</v>
      </c>
      <c r="G107">
        <v>26228.187216638784</v>
      </c>
      <c r="H107">
        <v>745.37428505336084</v>
      </c>
      <c r="I107">
        <v>4957.6159486881998</v>
      </c>
      <c r="J107">
        <v>1473.3630904157835</v>
      </c>
      <c r="K107">
        <v>950.18096953971872</v>
      </c>
      <c r="L107">
        <v>6895.3085467506526</v>
      </c>
      <c r="M107">
        <v>16908.955774391659</v>
      </c>
      <c r="N107">
        <v>0</v>
      </c>
      <c r="O107">
        <v>1828.6493950539191</v>
      </c>
      <c r="P107">
        <v>10116.956703542986</v>
      </c>
      <c r="Q107">
        <v>23210.311625693947</v>
      </c>
      <c r="R107">
        <v>2876.0887106385271</v>
      </c>
      <c r="S107">
        <v>3620.428877053027</v>
      </c>
      <c r="T107">
        <v>377.85261632177952</v>
      </c>
      <c r="U107">
        <v>6414.6276780519056</v>
      </c>
      <c r="V107">
        <v>3189.4266582131913</v>
      </c>
      <c r="W107">
        <v>652.21145837029474</v>
      </c>
      <c r="X107">
        <v>2704.0564198451561</v>
      </c>
      <c r="Y107">
        <v>4734.3999046704475</v>
      </c>
      <c r="Z107">
        <v>648.08522261325822</v>
      </c>
      <c r="AA107">
        <v>24225.017502779185</v>
      </c>
      <c r="AB107">
        <v>2192.1267384157004</v>
      </c>
      <c r="AC107">
        <v>11594.466507312614</v>
      </c>
      <c r="AD107">
        <v>8248.345278316081</v>
      </c>
      <c r="AE107">
        <v>1891.3108412898093</v>
      </c>
      <c r="AF107">
        <v>2891.1295054948214</v>
      </c>
    </row>
    <row r="108" spans="1:32" x14ac:dyDescent="0.35">
      <c r="A108" t="s">
        <v>113</v>
      </c>
      <c r="B108">
        <v>27893.86</v>
      </c>
      <c r="C108">
        <v>56033.35</v>
      </c>
      <c r="D108">
        <v>32910.839999999997</v>
      </c>
      <c r="E108">
        <v>29525.38</v>
      </c>
      <c r="F108">
        <v>29166.240000000002</v>
      </c>
      <c r="G108">
        <v>22985.51</v>
      </c>
      <c r="H108">
        <v>597.99</v>
      </c>
      <c r="I108">
        <v>4200.99</v>
      </c>
      <c r="J108">
        <v>1314</v>
      </c>
      <c r="K108">
        <v>831.04</v>
      </c>
      <c r="L108">
        <v>8004.76</v>
      </c>
      <c r="M108">
        <v>18870.54</v>
      </c>
      <c r="N108">
        <v>0</v>
      </c>
      <c r="O108">
        <v>898.01</v>
      </c>
      <c r="P108">
        <v>19693.009999999998</v>
      </c>
      <c r="Q108">
        <v>22531.97</v>
      </c>
      <c r="R108">
        <v>2645.01</v>
      </c>
      <c r="S108">
        <v>4096.99</v>
      </c>
      <c r="T108">
        <v>264.01</v>
      </c>
      <c r="U108">
        <v>7218.03</v>
      </c>
      <c r="V108">
        <v>2973.06</v>
      </c>
      <c r="W108">
        <v>586.01</v>
      </c>
      <c r="X108">
        <v>11968.97</v>
      </c>
      <c r="Y108">
        <v>33851</v>
      </c>
      <c r="Z108">
        <v>3335.91</v>
      </c>
      <c r="AA108">
        <v>15014</v>
      </c>
      <c r="AB108">
        <v>1580.01</v>
      </c>
      <c r="AC108">
        <v>9115.06</v>
      </c>
      <c r="AD108">
        <v>6817.99</v>
      </c>
      <c r="AE108">
        <v>1723.17</v>
      </c>
      <c r="AF108">
        <v>2292.77</v>
      </c>
    </row>
    <row r="109" spans="1:32" x14ac:dyDescent="0.35">
      <c r="A109" t="s">
        <v>114</v>
      </c>
      <c r="B109">
        <v>35130.022719761415</v>
      </c>
      <c r="C109">
        <v>73642.271233614505</v>
      </c>
      <c r="D109">
        <v>42940.565458887351</v>
      </c>
      <c r="E109">
        <v>45381.091228761317</v>
      </c>
      <c r="F109">
        <v>39835.76879136153</v>
      </c>
      <c r="G109">
        <v>33209.42840579577</v>
      </c>
      <c r="H109">
        <v>646.17007769211295</v>
      </c>
      <c r="I109">
        <v>4869.685003343091</v>
      </c>
      <c r="J109">
        <v>1796.4577228868513</v>
      </c>
      <c r="K109">
        <v>1356.6175294886011</v>
      </c>
      <c r="L109">
        <v>10478.428431967435</v>
      </c>
      <c r="M109">
        <v>24705.069559664309</v>
      </c>
      <c r="N109">
        <v>0</v>
      </c>
      <c r="O109">
        <v>1117.1806615909409</v>
      </c>
      <c r="P109">
        <v>30053.229302233714</v>
      </c>
      <c r="Q109">
        <v>30107.668004843839</v>
      </c>
      <c r="R109">
        <v>3066.4443387831516</v>
      </c>
      <c r="S109">
        <v>4896.9432811426905</v>
      </c>
      <c r="T109">
        <v>425.31087931228041</v>
      </c>
      <c r="U109">
        <v>8962.8448304129797</v>
      </c>
      <c r="V109">
        <v>3738.9481900296082</v>
      </c>
      <c r="W109">
        <v>2548.7414246870808</v>
      </c>
      <c r="X109">
        <v>14153.644218816185</v>
      </c>
      <c r="Y109">
        <v>37891.98401827542</v>
      </c>
      <c r="Z109">
        <v>13957.600660703753</v>
      </c>
      <c r="AA109">
        <v>19086.652897147498</v>
      </c>
      <c r="AB109">
        <v>1844.1524103184249</v>
      </c>
      <c r="AC109">
        <v>11411.360263290679</v>
      </c>
      <c r="AD109">
        <v>10130.629934902143</v>
      </c>
      <c r="AE109">
        <v>1235.0792819201617</v>
      </c>
      <c r="AF109">
        <v>1767.0682195113461</v>
      </c>
    </row>
    <row r="110" spans="1:32" x14ac:dyDescent="0.35">
      <c r="A110" t="s">
        <v>115</v>
      </c>
      <c r="B110">
        <v>24606.922839246017</v>
      </c>
      <c r="C110">
        <v>52324.268240290519</v>
      </c>
      <c r="D110">
        <v>30182.118398008522</v>
      </c>
      <c r="E110">
        <v>29071.651064713413</v>
      </c>
      <c r="F110">
        <v>30087.162173901324</v>
      </c>
      <c r="G110">
        <v>24479.712545640279</v>
      </c>
      <c r="H110">
        <v>697.01866010690776</v>
      </c>
      <c r="I110">
        <v>4601.1916525687784</v>
      </c>
      <c r="J110">
        <v>1654.8092907238336</v>
      </c>
      <c r="K110">
        <v>762.00366015035445</v>
      </c>
      <c r="L110">
        <v>9377.9797759809499</v>
      </c>
      <c r="M110">
        <v>19495.043443947048</v>
      </c>
      <c r="N110">
        <v>0</v>
      </c>
      <c r="O110">
        <v>1229.6825948892576</v>
      </c>
      <c r="P110">
        <v>15433.059883073662</v>
      </c>
      <c r="Q110">
        <v>22072.548421470437</v>
      </c>
      <c r="R110">
        <v>3002.2055422101362</v>
      </c>
      <c r="S110">
        <v>6071.3339665883541</v>
      </c>
      <c r="T110">
        <v>503.28117754178447</v>
      </c>
      <c r="U110">
        <v>8909.2050754333541</v>
      </c>
      <c r="V110">
        <v>3453.7625151896268</v>
      </c>
      <c r="W110">
        <v>1168.8371545675479</v>
      </c>
      <c r="X110">
        <v>4075.6299035835273</v>
      </c>
      <c r="Y110">
        <v>8650.4724468450713</v>
      </c>
      <c r="Z110">
        <v>640.19102775041358</v>
      </c>
      <c r="AA110">
        <v>18304.361995063569</v>
      </c>
      <c r="AB110">
        <v>1748.1523040571219</v>
      </c>
      <c r="AC110">
        <v>9060.4106110535686</v>
      </c>
      <c r="AD110">
        <v>7327.4366926428174</v>
      </c>
      <c r="AE110">
        <v>1997.9463245207685</v>
      </c>
      <c r="AF110">
        <v>3017.0896944449109</v>
      </c>
    </row>
    <row r="111" spans="1:32" x14ac:dyDescent="0.35">
      <c r="A111" t="s">
        <v>128</v>
      </c>
      <c r="B111">
        <v>42033.68</v>
      </c>
      <c r="C111">
        <v>82084</v>
      </c>
      <c r="D111">
        <v>38997.69</v>
      </c>
      <c r="E111">
        <v>39881.43</v>
      </c>
      <c r="F111">
        <v>42760.52</v>
      </c>
      <c r="G111">
        <v>35045.269999999997</v>
      </c>
      <c r="H111">
        <v>539.99</v>
      </c>
      <c r="I111">
        <v>3453</v>
      </c>
      <c r="J111">
        <v>1114.01</v>
      </c>
      <c r="K111">
        <v>732.04</v>
      </c>
      <c r="L111">
        <v>6944.51</v>
      </c>
      <c r="M111">
        <v>12326.7</v>
      </c>
      <c r="N111">
        <v>1682.01</v>
      </c>
      <c r="O111">
        <v>21415.96</v>
      </c>
      <c r="P111">
        <v>20609</v>
      </c>
      <c r="Q111">
        <v>28135.05</v>
      </c>
      <c r="R111">
        <v>2570.0100000000002</v>
      </c>
      <c r="S111">
        <v>2574.98</v>
      </c>
      <c r="T111">
        <v>254.01</v>
      </c>
      <c r="U111">
        <v>5464.03</v>
      </c>
      <c r="V111">
        <v>1838.03</v>
      </c>
      <c r="W111">
        <v>1034.01</v>
      </c>
      <c r="X111">
        <v>5374.98</v>
      </c>
      <c r="Y111">
        <v>8775.99</v>
      </c>
      <c r="Z111">
        <v>610.95000000000005</v>
      </c>
      <c r="AA111">
        <v>18109.98</v>
      </c>
      <c r="AB111">
        <v>1904.99</v>
      </c>
      <c r="AC111">
        <v>9796.06</v>
      </c>
      <c r="AD111">
        <v>9319.99</v>
      </c>
      <c r="AE111">
        <v>1915.21</v>
      </c>
      <c r="AF111">
        <v>2980.68</v>
      </c>
    </row>
    <row r="112" spans="1:32" x14ac:dyDescent="0.35">
      <c r="A112" t="s">
        <v>129</v>
      </c>
      <c r="B112">
        <v>35972.71</v>
      </c>
      <c r="C112">
        <v>69013.149999999994</v>
      </c>
      <c r="D112">
        <v>34884.69</v>
      </c>
      <c r="E112">
        <v>38560.400000000001</v>
      </c>
      <c r="F112">
        <v>33468.410000000003</v>
      </c>
      <c r="G112">
        <v>27156.44</v>
      </c>
      <c r="H112">
        <v>610.99</v>
      </c>
      <c r="I112">
        <v>4155.99</v>
      </c>
      <c r="J112">
        <v>1403.02</v>
      </c>
      <c r="K112">
        <v>1224.02</v>
      </c>
      <c r="L112">
        <v>6010.37</v>
      </c>
      <c r="M112">
        <v>10233.76</v>
      </c>
      <c r="N112">
        <v>1381.01</v>
      </c>
      <c r="O112">
        <v>15148.96</v>
      </c>
      <c r="P112">
        <v>12941.99</v>
      </c>
      <c r="Q112">
        <v>19728.03</v>
      </c>
      <c r="R112">
        <v>2836.01</v>
      </c>
      <c r="S112">
        <v>1883</v>
      </c>
      <c r="T112">
        <v>275.02</v>
      </c>
      <c r="U112">
        <v>4499.03</v>
      </c>
      <c r="V112">
        <v>1563.03</v>
      </c>
      <c r="W112">
        <v>850.02</v>
      </c>
      <c r="X112">
        <v>3998</v>
      </c>
      <c r="Y112">
        <v>8964.98</v>
      </c>
      <c r="Z112">
        <v>517</v>
      </c>
      <c r="AA112">
        <v>11989.98</v>
      </c>
      <c r="AB112">
        <v>885.97</v>
      </c>
      <c r="AC112">
        <v>7869.04</v>
      </c>
      <c r="AD112">
        <v>5571</v>
      </c>
      <c r="AE112">
        <v>1004.11</v>
      </c>
      <c r="AF112">
        <v>481.95</v>
      </c>
    </row>
    <row r="113" spans="1:32" x14ac:dyDescent="0.35">
      <c r="A113" t="s">
        <v>130</v>
      </c>
      <c r="B113">
        <v>58594.54</v>
      </c>
      <c r="C113">
        <v>112018.64</v>
      </c>
      <c r="D113">
        <v>62524.49</v>
      </c>
      <c r="E113">
        <v>71525.72</v>
      </c>
      <c r="F113">
        <v>50953.59</v>
      </c>
      <c r="G113">
        <v>36415.25</v>
      </c>
      <c r="H113">
        <v>604.99</v>
      </c>
      <c r="I113">
        <v>3719.99</v>
      </c>
      <c r="J113">
        <v>2403.02</v>
      </c>
      <c r="K113">
        <v>1382.06</v>
      </c>
      <c r="L113">
        <v>19431.310000000001</v>
      </c>
      <c r="M113">
        <v>29099.31</v>
      </c>
      <c r="N113">
        <v>2357</v>
      </c>
      <c r="O113">
        <v>9949.98</v>
      </c>
      <c r="P113">
        <v>16116.99</v>
      </c>
      <c r="Q113">
        <v>28899.05</v>
      </c>
      <c r="R113">
        <v>3647.01</v>
      </c>
      <c r="S113">
        <v>4639.99</v>
      </c>
      <c r="T113">
        <v>477.04</v>
      </c>
      <c r="U113">
        <v>11020.03</v>
      </c>
      <c r="V113">
        <v>4067.06</v>
      </c>
      <c r="W113">
        <v>1724.02</v>
      </c>
      <c r="X113">
        <v>12130.97</v>
      </c>
      <c r="Y113">
        <v>17454</v>
      </c>
      <c r="Z113">
        <v>858.96</v>
      </c>
      <c r="AA113">
        <v>25402</v>
      </c>
      <c r="AB113">
        <v>1387.99</v>
      </c>
      <c r="AC113">
        <v>12789.07</v>
      </c>
      <c r="AD113">
        <v>12808.97</v>
      </c>
      <c r="AE113">
        <v>1193.1199999999999</v>
      </c>
      <c r="AF113">
        <v>491.96</v>
      </c>
    </row>
    <row r="114" spans="1:32" x14ac:dyDescent="0.35">
      <c r="A114" t="s">
        <v>131</v>
      </c>
      <c r="B114">
        <v>46090.63</v>
      </c>
      <c r="C114">
        <v>90955.89</v>
      </c>
      <c r="D114">
        <v>51271.59</v>
      </c>
      <c r="E114">
        <v>54376.53</v>
      </c>
      <c r="F114">
        <v>44788.51</v>
      </c>
      <c r="G114">
        <v>30017.39</v>
      </c>
      <c r="H114">
        <v>551.99</v>
      </c>
      <c r="I114">
        <v>2887</v>
      </c>
      <c r="J114">
        <v>1658.01</v>
      </c>
      <c r="K114">
        <v>1004.03</v>
      </c>
      <c r="L114">
        <v>20675.599999999999</v>
      </c>
      <c r="M114">
        <v>28140.32</v>
      </c>
      <c r="N114">
        <v>33333.919999999998</v>
      </c>
      <c r="O114">
        <v>9420.99</v>
      </c>
      <c r="P114">
        <v>24371.99</v>
      </c>
      <c r="Q114">
        <v>22025.040000000001</v>
      </c>
      <c r="R114">
        <v>3460.02</v>
      </c>
      <c r="S114">
        <v>3821.97</v>
      </c>
      <c r="T114">
        <v>261.02</v>
      </c>
      <c r="U114">
        <v>12184.04</v>
      </c>
      <c r="V114">
        <v>4252.05</v>
      </c>
      <c r="W114">
        <v>3203.05</v>
      </c>
      <c r="X114">
        <v>19371.96</v>
      </c>
      <c r="Y114">
        <v>22737.99</v>
      </c>
      <c r="Z114">
        <v>2466.91</v>
      </c>
      <c r="AA114">
        <v>21799.98</v>
      </c>
      <c r="AB114">
        <v>2115.9899999999998</v>
      </c>
      <c r="AC114">
        <v>10385.040000000001</v>
      </c>
      <c r="AD114">
        <v>8705.98</v>
      </c>
      <c r="AE114">
        <v>1529.15</v>
      </c>
      <c r="AF114">
        <v>475.96</v>
      </c>
    </row>
    <row r="115" spans="1:32" x14ac:dyDescent="0.35">
      <c r="A115" t="s">
        <v>132</v>
      </c>
      <c r="B115">
        <v>25795.79</v>
      </c>
      <c r="C115">
        <v>48632.41</v>
      </c>
      <c r="D115">
        <v>25798.77</v>
      </c>
      <c r="E115">
        <v>31640.31</v>
      </c>
      <c r="F115">
        <v>23166.28</v>
      </c>
      <c r="G115">
        <v>14498.7</v>
      </c>
      <c r="H115">
        <v>369.99</v>
      </c>
      <c r="I115">
        <v>1818</v>
      </c>
      <c r="J115">
        <v>1208.02</v>
      </c>
      <c r="K115">
        <v>647.99</v>
      </c>
      <c r="L115">
        <v>9180.0300000000007</v>
      </c>
      <c r="M115">
        <v>12642.7</v>
      </c>
      <c r="N115">
        <v>1117.99</v>
      </c>
      <c r="O115">
        <v>5400</v>
      </c>
      <c r="P115">
        <v>15159</v>
      </c>
      <c r="Q115">
        <v>13519.02</v>
      </c>
      <c r="R115">
        <v>1959.01</v>
      </c>
      <c r="S115">
        <v>2078</v>
      </c>
      <c r="T115">
        <v>0</v>
      </c>
      <c r="U115">
        <v>6640.02</v>
      </c>
      <c r="V115">
        <v>2322.0500000000002</v>
      </c>
      <c r="W115">
        <v>4632.08</v>
      </c>
      <c r="X115">
        <v>6568.99</v>
      </c>
      <c r="Y115">
        <v>11373</v>
      </c>
      <c r="Z115">
        <v>549</v>
      </c>
      <c r="AA115">
        <v>12388.98</v>
      </c>
      <c r="AB115">
        <v>1037.01</v>
      </c>
      <c r="AC115">
        <v>5733.03</v>
      </c>
      <c r="AD115">
        <v>5905.99</v>
      </c>
      <c r="AE115">
        <v>800.08</v>
      </c>
      <c r="AF115">
        <v>490.95</v>
      </c>
    </row>
  </sheetData>
  <sortState xmlns:xlrd2="http://schemas.microsoft.com/office/spreadsheetml/2017/richdata2" columnSort="1" ref="B1:AF116">
    <sortCondition ref="B1:AF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CA98-A2D8-43EA-87D4-A6B35A633185}">
  <dimension ref="A1:F3504"/>
  <sheetViews>
    <sheetView workbookViewId="0"/>
  </sheetViews>
  <sheetFormatPr defaultRowHeight="14.5" x14ac:dyDescent="0.35"/>
  <cols>
    <col min="1" max="1" width="9.1796875" bestFit="1" customWidth="1"/>
    <col min="2" max="2" width="16.7265625" bestFit="1" customWidth="1"/>
    <col min="3" max="3" width="8.54296875" bestFit="1" customWidth="1"/>
    <col min="4" max="4" width="7" bestFit="1" customWidth="1"/>
    <col min="5" max="5" width="12" bestFit="1" customWidth="1"/>
    <col min="6" max="6" width="7" bestFit="1" customWidth="1"/>
    <col min="7" max="7" width="6.81640625" bestFit="1" customWidth="1"/>
    <col min="8" max="8" width="11.81640625" bestFit="1" customWidth="1"/>
    <col min="9" max="9" width="9.81640625" bestFit="1" customWidth="1"/>
    <col min="10" max="10" width="16.453125" customWidth="1"/>
    <col min="11" max="11" width="5.54296875" bestFit="1" customWidth="1"/>
    <col min="12" max="49" width="9.1796875" bestFit="1" customWidth="1"/>
    <col min="50" max="51" width="13.1796875" bestFit="1" customWidth="1"/>
  </cols>
  <sheetData>
    <row r="1" spans="1:6" x14ac:dyDescent="0.35">
      <c r="A1" t="s">
        <v>84</v>
      </c>
      <c r="B1" t="s">
        <v>3</v>
      </c>
      <c r="C1" t="s">
        <v>232</v>
      </c>
      <c r="D1" t="s">
        <v>10</v>
      </c>
      <c r="E1" t="s">
        <v>233</v>
      </c>
      <c r="F1" t="s">
        <v>85</v>
      </c>
    </row>
    <row r="2" spans="1:6" x14ac:dyDescent="0.35">
      <c r="A2">
        <v>502</v>
      </c>
      <c r="B2" t="s">
        <v>88</v>
      </c>
      <c r="C2">
        <v>202602</v>
      </c>
      <c r="D2">
        <v>45018</v>
      </c>
      <c r="E2">
        <v>144.64079167202158</v>
      </c>
      <c r="F2">
        <v>311.24</v>
      </c>
    </row>
    <row r="3" spans="1:6" x14ac:dyDescent="0.35">
      <c r="A3">
        <v>502</v>
      </c>
      <c r="B3" t="s">
        <v>89</v>
      </c>
      <c r="C3">
        <v>202602</v>
      </c>
      <c r="D3">
        <v>34083</v>
      </c>
      <c r="E3">
        <v>109.50713275928544</v>
      </c>
      <c r="F3">
        <v>311.24</v>
      </c>
    </row>
    <row r="4" spans="1:6" x14ac:dyDescent="0.35">
      <c r="A4">
        <v>520</v>
      </c>
      <c r="B4" t="s">
        <v>88</v>
      </c>
      <c r="C4">
        <v>202602</v>
      </c>
      <c r="D4">
        <v>1058</v>
      </c>
      <c r="E4">
        <v>15.558823529411764</v>
      </c>
      <c r="F4">
        <v>68</v>
      </c>
    </row>
    <row r="5" spans="1:6" x14ac:dyDescent="0.35">
      <c r="A5">
        <v>504</v>
      </c>
      <c r="B5" t="s">
        <v>88</v>
      </c>
      <c r="C5">
        <v>202602</v>
      </c>
      <c r="D5">
        <v>94481</v>
      </c>
      <c r="E5">
        <v>216.4463586172138</v>
      </c>
      <c r="F5">
        <v>436.51</v>
      </c>
    </row>
    <row r="6" spans="1:6" x14ac:dyDescent="0.35">
      <c r="A6">
        <v>521</v>
      </c>
      <c r="B6" t="s">
        <v>88</v>
      </c>
      <c r="C6">
        <v>202602</v>
      </c>
      <c r="D6">
        <v>7776</v>
      </c>
      <c r="E6">
        <v>67.034482758620683</v>
      </c>
      <c r="F6">
        <v>116</v>
      </c>
    </row>
    <row r="7" spans="1:6" x14ac:dyDescent="0.35">
      <c r="A7">
        <v>505</v>
      </c>
      <c r="B7" t="s">
        <v>88</v>
      </c>
      <c r="C7">
        <v>202602</v>
      </c>
      <c r="D7">
        <v>84672</v>
      </c>
      <c r="E7">
        <v>227.50282121554088</v>
      </c>
      <c r="F7">
        <v>372.18</v>
      </c>
    </row>
    <row r="8" spans="1:6" x14ac:dyDescent="0.35">
      <c r="A8">
        <v>594</v>
      </c>
      <c r="B8" t="s">
        <v>88</v>
      </c>
      <c r="C8">
        <v>202602</v>
      </c>
      <c r="D8">
        <v>23279</v>
      </c>
      <c r="E8">
        <v>137.94962962962964</v>
      </c>
      <c r="F8">
        <v>168.75</v>
      </c>
    </row>
    <row r="9" spans="1:6" x14ac:dyDescent="0.35">
      <c r="A9">
        <v>506</v>
      </c>
      <c r="B9" t="s">
        <v>88</v>
      </c>
      <c r="C9">
        <v>202602</v>
      </c>
      <c r="D9">
        <v>128610</v>
      </c>
      <c r="E9">
        <v>271.50668158500287</v>
      </c>
      <c r="F9">
        <v>473.69</v>
      </c>
    </row>
    <row r="10" spans="1:6" x14ac:dyDescent="0.35">
      <c r="A10">
        <v>595</v>
      </c>
      <c r="B10" t="s">
        <v>88</v>
      </c>
      <c r="C10">
        <v>202602</v>
      </c>
      <c r="D10">
        <v>40952</v>
      </c>
      <c r="E10">
        <v>546.02666666666664</v>
      </c>
      <c r="F10">
        <v>75</v>
      </c>
    </row>
    <row r="11" spans="1:6" x14ac:dyDescent="0.35">
      <c r="A11">
        <v>508</v>
      </c>
      <c r="B11" t="s">
        <v>88</v>
      </c>
      <c r="C11">
        <v>202602</v>
      </c>
      <c r="D11">
        <v>56602</v>
      </c>
      <c r="E11">
        <v>139.86162589572524</v>
      </c>
      <c r="F11">
        <v>404.7</v>
      </c>
    </row>
    <row r="12" spans="1:6" x14ac:dyDescent="0.35">
      <c r="A12">
        <v>617</v>
      </c>
      <c r="B12" t="s">
        <v>88</v>
      </c>
      <c r="C12">
        <v>202602</v>
      </c>
      <c r="D12">
        <v>2690</v>
      </c>
      <c r="E12">
        <v>5.9777777777777779</v>
      </c>
      <c r="F12">
        <v>450</v>
      </c>
    </row>
    <row r="13" spans="1:6" x14ac:dyDescent="0.35">
      <c r="A13">
        <v>507</v>
      </c>
      <c r="B13" t="s">
        <v>88</v>
      </c>
      <c r="C13">
        <v>202602</v>
      </c>
      <c r="D13">
        <v>44290</v>
      </c>
      <c r="E13">
        <v>164.03703703703704</v>
      </c>
      <c r="F13">
        <v>270</v>
      </c>
    </row>
    <row r="14" spans="1:6" x14ac:dyDescent="0.35">
      <c r="A14">
        <v>615</v>
      </c>
      <c r="B14" t="s">
        <v>88</v>
      </c>
      <c r="C14">
        <v>202602</v>
      </c>
      <c r="D14">
        <v>7630</v>
      </c>
      <c r="E14">
        <v>28.188266587852816</v>
      </c>
      <c r="F14">
        <v>270.68</v>
      </c>
    </row>
    <row r="15" spans="1:6" x14ac:dyDescent="0.35">
      <c r="A15">
        <v>751</v>
      </c>
      <c r="B15" t="s">
        <v>88</v>
      </c>
      <c r="C15">
        <v>202602</v>
      </c>
      <c r="D15">
        <v>0</v>
      </c>
      <c r="E15">
        <v>0</v>
      </c>
      <c r="F15">
        <v>203.01</v>
      </c>
    </row>
    <row r="16" spans="1:6" x14ac:dyDescent="0.35">
      <c r="A16">
        <v>752</v>
      </c>
      <c r="B16" t="s">
        <v>88</v>
      </c>
      <c r="C16">
        <v>202602</v>
      </c>
      <c r="D16">
        <v>6655</v>
      </c>
      <c r="E16">
        <v>19.241889781992715</v>
      </c>
      <c r="F16">
        <v>345.86</v>
      </c>
    </row>
    <row r="17" spans="1:6" x14ac:dyDescent="0.35">
      <c r="A17">
        <v>784</v>
      </c>
      <c r="B17" t="s">
        <v>88</v>
      </c>
      <c r="C17">
        <v>202602</v>
      </c>
      <c r="D17">
        <v>824</v>
      </c>
      <c r="E17">
        <v>2.4436536180308424</v>
      </c>
      <c r="F17">
        <v>337.2</v>
      </c>
    </row>
    <row r="18" spans="1:6" x14ac:dyDescent="0.35">
      <c r="A18">
        <v>753</v>
      </c>
      <c r="B18" t="s">
        <v>88</v>
      </c>
      <c r="C18">
        <v>202602</v>
      </c>
      <c r="D18">
        <v>9725</v>
      </c>
      <c r="E18">
        <v>19.89891962678016</v>
      </c>
      <c r="F18">
        <v>488.72</v>
      </c>
    </row>
    <row r="19" spans="1:6" x14ac:dyDescent="0.35">
      <c r="A19">
        <v>785</v>
      </c>
      <c r="B19" t="s">
        <v>88</v>
      </c>
      <c r="C19">
        <v>202602</v>
      </c>
      <c r="D19">
        <v>960</v>
      </c>
      <c r="E19">
        <v>1.7075773745997864</v>
      </c>
      <c r="F19">
        <v>562.20000000000005</v>
      </c>
    </row>
    <row r="20" spans="1:6" x14ac:dyDescent="0.35">
      <c r="A20">
        <v>754</v>
      </c>
      <c r="B20" t="s">
        <v>88</v>
      </c>
      <c r="C20">
        <v>202602</v>
      </c>
      <c r="D20">
        <v>0</v>
      </c>
      <c r="E20">
        <v>0</v>
      </c>
      <c r="F20">
        <v>601.51</v>
      </c>
    </row>
    <row r="21" spans="1:6" x14ac:dyDescent="0.35">
      <c r="A21">
        <v>758</v>
      </c>
      <c r="B21" t="s">
        <v>88</v>
      </c>
      <c r="C21">
        <v>202602</v>
      </c>
      <c r="D21">
        <v>19408</v>
      </c>
      <c r="E21">
        <v>28.76665629122386</v>
      </c>
      <c r="F21">
        <v>674.67</v>
      </c>
    </row>
    <row r="22" spans="1:6" x14ac:dyDescent="0.35">
      <c r="A22">
        <v>757</v>
      </c>
      <c r="B22" t="s">
        <v>88</v>
      </c>
      <c r="C22">
        <v>202602</v>
      </c>
      <c r="D22">
        <v>34097</v>
      </c>
      <c r="E22">
        <v>68.916242218449355</v>
      </c>
      <c r="F22">
        <v>494.76</v>
      </c>
    </row>
    <row r="23" spans="1:6" x14ac:dyDescent="0.35">
      <c r="A23">
        <v>580</v>
      </c>
      <c r="B23" t="s">
        <v>88</v>
      </c>
      <c r="C23">
        <v>202602</v>
      </c>
      <c r="D23">
        <v>0</v>
      </c>
      <c r="E23">
        <v>0</v>
      </c>
      <c r="F23">
        <v>270.68</v>
      </c>
    </row>
    <row r="24" spans="1:6" x14ac:dyDescent="0.35">
      <c r="A24">
        <v>797</v>
      </c>
      <c r="B24" t="s">
        <v>88</v>
      </c>
      <c r="C24">
        <v>202602</v>
      </c>
      <c r="D24">
        <v>2209</v>
      </c>
      <c r="E24">
        <v>4.9110715873721649</v>
      </c>
      <c r="F24">
        <v>449.8</v>
      </c>
    </row>
    <row r="25" spans="1:6" x14ac:dyDescent="0.35">
      <c r="A25">
        <v>582</v>
      </c>
      <c r="B25" t="s">
        <v>88</v>
      </c>
      <c r="C25">
        <v>202602</v>
      </c>
      <c r="D25">
        <v>2376</v>
      </c>
      <c r="E25">
        <v>7.9002493765586035</v>
      </c>
      <c r="F25">
        <v>300.75</v>
      </c>
    </row>
    <row r="26" spans="1:6" x14ac:dyDescent="0.35">
      <c r="A26">
        <v>613</v>
      </c>
      <c r="B26" t="s">
        <v>88</v>
      </c>
      <c r="C26">
        <v>202602</v>
      </c>
      <c r="D26">
        <v>16083</v>
      </c>
      <c r="E26">
        <v>54.984615384615381</v>
      </c>
      <c r="F26">
        <v>292.5</v>
      </c>
    </row>
    <row r="27" spans="1:6" x14ac:dyDescent="0.35">
      <c r="A27">
        <v>614</v>
      </c>
      <c r="B27" t="s">
        <v>88</v>
      </c>
      <c r="C27">
        <v>202602</v>
      </c>
      <c r="D27">
        <v>31776</v>
      </c>
      <c r="E27">
        <v>56.520811099252931</v>
      </c>
      <c r="F27">
        <v>562.20000000000005</v>
      </c>
    </row>
    <row r="28" spans="1:6" x14ac:dyDescent="0.35">
      <c r="A28">
        <v>767</v>
      </c>
      <c r="B28" t="s">
        <v>88</v>
      </c>
      <c r="C28">
        <v>202602</v>
      </c>
      <c r="D28">
        <v>13240</v>
      </c>
      <c r="E28">
        <v>22.074024674891632</v>
      </c>
      <c r="F28">
        <v>599.79999999999995</v>
      </c>
    </row>
    <row r="29" spans="1:6" x14ac:dyDescent="0.35">
      <c r="A29">
        <v>603</v>
      </c>
      <c r="B29" t="s">
        <v>88</v>
      </c>
      <c r="C29">
        <v>202602</v>
      </c>
      <c r="D29">
        <v>3035</v>
      </c>
      <c r="E29">
        <v>13.455399893598155</v>
      </c>
      <c r="F29">
        <v>225.56</v>
      </c>
    </row>
    <row r="30" spans="1:6" x14ac:dyDescent="0.35">
      <c r="A30">
        <v>807</v>
      </c>
      <c r="B30" t="s">
        <v>88</v>
      </c>
      <c r="C30">
        <v>202602</v>
      </c>
      <c r="D30">
        <v>928</v>
      </c>
      <c r="E30">
        <v>4.6399999999999997</v>
      </c>
      <c r="F30">
        <v>200</v>
      </c>
    </row>
    <row r="31" spans="1:6" x14ac:dyDescent="0.35">
      <c r="A31">
        <v>606</v>
      </c>
      <c r="B31" t="s">
        <v>88</v>
      </c>
      <c r="C31">
        <v>202602</v>
      </c>
      <c r="D31">
        <v>3893</v>
      </c>
      <c r="E31">
        <v>14.837824446392499</v>
      </c>
      <c r="F31">
        <v>262.37</v>
      </c>
    </row>
    <row r="32" spans="1:6" x14ac:dyDescent="0.35">
      <c r="A32">
        <v>808</v>
      </c>
      <c r="B32" t="s">
        <v>88</v>
      </c>
      <c r="C32">
        <v>202602</v>
      </c>
      <c r="D32">
        <v>1326</v>
      </c>
      <c r="E32">
        <v>4.4988803691389023</v>
      </c>
      <c r="F32">
        <v>294.74</v>
      </c>
    </row>
    <row r="33" spans="1:6" x14ac:dyDescent="0.35">
      <c r="A33">
        <v>772</v>
      </c>
      <c r="B33" t="s">
        <v>88</v>
      </c>
      <c r="C33">
        <v>202602</v>
      </c>
      <c r="D33">
        <v>492</v>
      </c>
      <c r="E33">
        <v>2.4308300395256914</v>
      </c>
      <c r="F33">
        <v>202.4</v>
      </c>
    </row>
    <row r="34" spans="1:6" x14ac:dyDescent="0.35">
      <c r="A34">
        <v>504</v>
      </c>
      <c r="B34" t="s">
        <v>89</v>
      </c>
      <c r="C34">
        <v>202602</v>
      </c>
      <c r="D34">
        <v>69559</v>
      </c>
      <c r="E34">
        <v>159.35259215138257</v>
      </c>
      <c r="F34">
        <v>436.51</v>
      </c>
    </row>
    <row r="35" spans="1:6" x14ac:dyDescent="0.35">
      <c r="A35">
        <v>505</v>
      </c>
      <c r="B35" t="s">
        <v>89</v>
      </c>
      <c r="C35">
        <v>202602</v>
      </c>
      <c r="D35">
        <v>62044</v>
      </c>
      <c r="E35">
        <v>166.70428287387824</v>
      </c>
      <c r="F35">
        <v>372.18</v>
      </c>
    </row>
    <row r="36" spans="1:6" x14ac:dyDescent="0.35">
      <c r="A36">
        <v>506</v>
      </c>
      <c r="B36" t="s">
        <v>89</v>
      </c>
      <c r="C36">
        <v>202602</v>
      </c>
      <c r="D36">
        <v>80839</v>
      </c>
      <c r="E36">
        <v>170.65802529080202</v>
      </c>
      <c r="F36">
        <v>473.69</v>
      </c>
    </row>
    <row r="37" spans="1:6" x14ac:dyDescent="0.35">
      <c r="A37">
        <v>508</v>
      </c>
      <c r="B37" t="s">
        <v>89</v>
      </c>
      <c r="C37">
        <v>202602</v>
      </c>
      <c r="D37">
        <v>49750</v>
      </c>
      <c r="E37">
        <v>122.93056585124783</v>
      </c>
      <c r="F37">
        <v>404.7</v>
      </c>
    </row>
    <row r="38" spans="1:6" x14ac:dyDescent="0.35">
      <c r="A38">
        <v>507</v>
      </c>
      <c r="B38" t="s">
        <v>89</v>
      </c>
      <c r="C38">
        <v>202602</v>
      </c>
      <c r="D38">
        <v>36728</v>
      </c>
      <c r="E38">
        <v>136.02962962962962</v>
      </c>
      <c r="F38">
        <v>270</v>
      </c>
    </row>
    <row r="39" spans="1:6" x14ac:dyDescent="0.35">
      <c r="A39">
        <v>520</v>
      </c>
      <c r="B39" t="s">
        <v>89</v>
      </c>
      <c r="C39">
        <v>202602</v>
      </c>
      <c r="D39">
        <v>839</v>
      </c>
      <c r="E39">
        <v>12.338235294117647</v>
      </c>
      <c r="F39">
        <v>68</v>
      </c>
    </row>
    <row r="40" spans="1:6" x14ac:dyDescent="0.35">
      <c r="A40">
        <v>521</v>
      </c>
      <c r="B40" t="s">
        <v>89</v>
      </c>
      <c r="C40">
        <v>202602</v>
      </c>
      <c r="D40">
        <v>6189</v>
      </c>
      <c r="E40">
        <v>53.353448275862071</v>
      </c>
      <c r="F40">
        <v>116</v>
      </c>
    </row>
    <row r="41" spans="1:6" x14ac:dyDescent="0.35">
      <c r="A41">
        <v>784</v>
      </c>
      <c r="B41" t="s">
        <v>89</v>
      </c>
      <c r="C41">
        <v>202602</v>
      </c>
      <c r="D41">
        <v>1248</v>
      </c>
      <c r="E41">
        <v>3.7010676156583631</v>
      </c>
      <c r="F41">
        <v>337.2</v>
      </c>
    </row>
    <row r="42" spans="1:6" x14ac:dyDescent="0.35">
      <c r="A42">
        <v>785</v>
      </c>
      <c r="B42" t="s">
        <v>89</v>
      </c>
      <c r="C42">
        <v>202602</v>
      </c>
      <c r="D42">
        <v>1642</v>
      </c>
      <c r="E42">
        <v>2.9206688011383846</v>
      </c>
      <c r="F42">
        <v>562.20000000000005</v>
      </c>
    </row>
    <row r="43" spans="1:6" x14ac:dyDescent="0.35">
      <c r="A43">
        <v>758</v>
      </c>
      <c r="B43" t="s">
        <v>89</v>
      </c>
      <c r="C43">
        <v>202602</v>
      </c>
      <c r="D43">
        <v>14645</v>
      </c>
      <c r="E43">
        <v>21.706908562704729</v>
      </c>
      <c r="F43">
        <v>674.67</v>
      </c>
    </row>
    <row r="44" spans="1:6" x14ac:dyDescent="0.35">
      <c r="A44">
        <v>757</v>
      </c>
      <c r="B44" t="s">
        <v>89</v>
      </c>
      <c r="C44">
        <v>202602</v>
      </c>
      <c r="D44">
        <v>24682</v>
      </c>
      <c r="E44">
        <v>49.886813808715338</v>
      </c>
      <c r="F44">
        <v>494.76</v>
      </c>
    </row>
    <row r="45" spans="1:6" x14ac:dyDescent="0.35">
      <c r="A45">
        <v>580</v>
      </c>
      <c r="B45" t="s">
        <v>89</v>
      </c>
      <c r="C45">
        <v>202602</v>
      </c>
      <c r="D45">
        <v>0</v>
      </c>
      <c r="E45">
        <v>0</v>
      </c>
      <c r="F45">
        <v>270.68</v>
      </c>
    </row>
    <row r="46" spans="1:6" x14ac:dyDescent="0.35">
      <c r="A46">
        <v>582</v>
      </c>
      <c r="B46" t="s">
        <v>89</v>
      </c>
      <c r="C46">
        <v>202602</v>
      </c>
      <c r="D46">
        <v>2283</v>
      </c>
      <c r="E46">
        <v>7.5910224438902745</v>
      </c>
      <c r="F46">
        <v>300.75</v>
      </c>
    </row>
    <row r="47" spans="1:6" x14ac:dyDescent="0.35">
      <c r="A47">
        <v>594</v>
      </c>
      <c r="B47" t="s">
        <v>89</v>
      </c>
      <c r="C47">
        <v>202602</v>
      </c>
      <c r="D47">
        <v>20239</v>
      </c>
      <c r="E47">
        <v>119.93481481481481</v>
      </c>
      <c r="F47">
        <v>168.75</v>
      </c>
    </row>
    <row r="48" spans="1:6" x14ac:dyDescent="0.35">
      <c r="A48">
        <v>595</v>
      </c>
      <c r="B48" t="s">
        <v>89</v>
      </c>
      <c r="C48">
        <v>202602</v>
      </c>
      <c r="D48">
        <v>36064</v>
      </c>
      <c r="E48">
        <v>480.85333333333335</v>
      </c>
      <c r="F48">
        <v>75</v>
      </c>
    </row>
    <row r="49" spans="1:6" x14ac:dyDescent="0.35">
      <c r="A49">
        <v>603</v>
      </c>
      <c r="B49" t="s">
        <v>89</v>
      </c>
      <c r="C49">
        <v>202602</v>
      </c>
      <c r="D49">
        <v>3599</v>
      </c>
      <c r="E49">
        <v>15.955843234616067</v>
      </c>
      <c r="F49">
        <v>225.56</v>
      </c>
    </row>
    <row r="50" spans="1:6" x14ac:dyDescent="0.35">
      <c r="A50">
        <v>606</v>
      </c>
      <c r="B50" t="s">
        <v>89</v>
      </c>
      <c r="C50">
        <v>202602</v>
      </c>
      <c r="D50">
        <v>3860</v>
      </c>
      <c r="E50">
        <v>14.712047871326751</v>
      </c>
      <c r="F50">
        <v>262.37</v>
      </c>
    </row>
    <row r="51" spans="1:6" x14ac:dyDescent="0.35">
      <c r="A51">
        <v>772</v>
      </c>
      <c r="B51" t="s">
        <v>89</v>
      </c>
      <c r="C51">
        <v>202602</v>
      </c>
      <c r="D51">
        <v>515</v>
      </c>
      <c r="E51">
        <v>2.5444664031620552</v>
      </c>
      <c r="F51">
        <v>202.4</v>
      </c>
    </row>
    <row r="52" spans="1:6" x14ac:dyDescent="0.35">
      <c r="A52">
        <v>615</v>
      </c>
      <c r="B52" t="s">
        <v>89</v>
      </c>
      <c r="C52">
        <v>202602</v>
      </c>
      <c r="D52">
        <v>4972</v>
      </c>
      <c r="E52">
        <v>18.368553273237772</v>
      </c>
      <c r="F52">
        <v>270.68</v>
      </c>
    </row>
    <row r="53" spans="1:6" x14ac:dyDescent="0.35">
      <c r="A53">
        <v>617</v>
      </c>
      <c r="B53" t="s">
        <v>89</v>
      </c>
      <c r="C53">
        <v>202602</v>
      </c>
      <c r="D53">
        <v>1653</v>
      </c>
      <c r="E53">
        <v>3.6733333333333333</v>
      </c>
      <c r="F53">
        <v>450</v>
      </c>
    </row>
    <row r="54" spans="1:6" x14ac:dyDescent="0.35">
      <c r="A54">
        <v>751</v>
      </c>
      <c r="B54" t="s">
        <v>89</v>
      </c>
      <c r="C54">
        <v>202602</v>
      </c>
      <c r="D54">
        <v>0</v>
      </c>
      <c r="E54">
        <v>0</v>
      </c>
      <c r="F54">
        <v>203.01</v>
      </c>
    </row>
    <row r="55" spans="1:6" x14ac:dyDescent="0.35">
      <c r="A55">
        <v>752</v>
      </c>
      <c r="B55" t="s">
        <v>89</v>
      </c>
      <c r="C55">
        <v>202602</v>
      </c>
      <c r="D55">
        <v>11809</v>
      </c>
      <c r="E55">
        <v>34.143873243508935</v>
      </c>
      <c r="F55">
        <v>345.86</v>
      </c>
    </row>
    <row r="56" spans="1:6" x14ac:dyDescent="0.35">
      <c r="A56">
        <v>753</v>
      </c>
      <c r="B56" t="s">
        <v>89</v>
      </c>
      <c r="C56">
        <v>202602</v>
      </c>
      <c r="D56">
        <v>14060</v>
      </c>
      <c r="E56">
        <v>28.769029301031264</v>
      </c>
      <c r="F56">
        <v>488.72</v>
      </c>
    </row>
    <row r="57" spans="1:6" x14ac:dyDescent="0.35">
      <c r="A57">
        <v>754</v>
      </c>
      <c r="B57" t="s">
        <v>89</v>
      </c>
      <c r="C57">
        <v>202602</v>
      </c>
      <c r="D57">
        <v>0</v>
      </c>
      <c r="E57">
        <v>0</v>
      </c>
      <c r="F57">
        <v>601.51</v>
      </c>
    </row>
    <row r="58" spans="1:6" x14ac:dyDescent="0.35">
      <c r="A58">
        <v>614</v>
      </c>
      <c r="B58" t="s">
        <v>89</v>
      </c>
      <c r="C58">
        <v>202602</v>
      </c>
      <c r="D58">
        <v>25570</v>
      </c>
      <c r="E58">
        <v>45.482034863038059</v>
      </c>
      <c r="F58">
        <v>562.20000000000005</v>
      </c>
    </row>
    <row r="59" spans="1:6" x14ac:dyDescent="0.35">
      <c r="A59">
        <v>797</v>
      </c>
      <c r="B59" t="s">
        <v>89</v>
      </c>
      <c r="C59">
        <v>202602</v>
      </c>
      <c r="D59">
        <v>2117</v>
      </c>
      <c r="E59">
        <v>4.7065362383281455</v>
      </c>
      <c r="F59">
        <v>449.8</v>
      </c>
    </row>
    <row r="60" spans="1:6" x14ac:dyDescent="0.35">
      <c r="A60">
        <v>613</v>
      </c>
      <c r="B60" t="s">
        <v>89</v>
      </c>
      <c r="C60">
        <v>202602</v>
      </c>
      <c r="D60">
        <v>12516</v>
      </c>
      <c r="E60">
        <v>42.789743589743587</v>
      </c>
      <c r="F60">
        <v>292.5</v>
      </c>
    </row>
    <row r="61" spans="1:6" x14ac:dyDescent="0.35">
      <c r="A61">
        <v>767</v>
      </c>
      <c r="B61" t="s">
        <v>89</v>
      </c>
      <c r="C61">
        <v>202602</v>
      </c>
      <c r="D61">
        <v>10735</v>
      </c>
      <c r="E61">
        <v>17.897632544181395</v>
      </c>
      <c r="F61">
        <v>599.79999999999995</v>
      </c>
    </row>
    <row r="62" spans="1:6" x14ac:dyDescent="0.35">
      <c r="A62">
        <v>807</v>
      </c>
      <c r="B62" t="s">
        <v>89</v>
      </c>
      <c r="C62">
        <v>202602</v>
      </c>
      <c r="D62">
        <v>1261</v>
      </c>
      <c r="E62">
        <v>6.3049999999999997</v>
      </c>
      <c r="F62">
        <v>200</v>
      </c>
    </row>
    <row r="63" spans="1:6" x14ac:dyDescent="0.35">
      <c r="A63">
        <v>808</v>
      </c>
      <c r="B63" t="s">
        <v>89</v>
      </c>
      <c r="C63">
        <v>202602</v>
      </c>
      <c r="D63">
        <v>1847</v>
      </c>
      <c r="E63">
        <v>6.2665400013571277</v>
      </c>
      <c r="F63">
        <v>294.74</v>
      </c>
    </row>
    <row r="64" spans="1:6" x14ac:dyDescent="0.35">
      <c r="A64">
        <v>502</v>
      </c>
      <c r="B64" t="s">
        <v>90</v>
      </c>
      <c r="C64">
        <v>202602</v>
      </c>
      <c r="D64">
        <v>25626</v>
      </c>
      <c r="E64">
        <v>82.335175427322966</v>
      </c>
      <c r="F64">
        <v>311.24</v>
      </c>
    </row>
    <row r="65" spans="1:6" x14ac:dyDescent="0.35">
      <c r="A65">
        <v>504</v>
      </c>
      <c r="B65" t="s">
        <v>90</v>
      </c>
      <c r="C65">
        <v>202602</v>
      </c>
      <c r="D65">
        <v>51396</v>
      </c>
      <c r="E65">
        <v>117.74300703305767</v>
      </c>
      <c r="F65">
        <v>436.51</v>
      </c>
    </row>
    <row r="66" spans="1:6" x14ac:dyDescent="0.35">
      <c r="A66">
        <v>505</v>
      </c>
      <c r="B66" t="s">
        <v>90</v>
      </c>
      <c r="C66">
        <v>202602</v>
      </c>
      <c r="D66">
        <v>42248</v>
      </c>
      <c r="E66">
        <v>113.51496587672631</v>
      </c>
      <c r="F66">
        <v>372.18</v>
      </c>
    </row>
    <row r="67" spans="1:6" x14ac:dyDescent="0.35">
      <c r="A67">
        <v>506</v>
      </c>
      <c r="B67" t="s">
        <v>90</v>
      </c>
      <c r="C67">
        <v>202602</v>
      </c>
      <c r="D67">
        <v>43055</v>
      </c>
      <c r="E67">
        <v>90.892777977158062</v>
      </c>
      <c r="F67">
        <v>473.69</v>
      </c>
    </row>
    <row r="68" spans="1:6" x14ac:dyDescent="0.35">
      <c r="A68">
        <v>508</v>
      </c>
      <c r="B68" t="s">
        <v>90</v>
      </c>
      <c r="C68">
        <v>202602</v>
      </c>
      <c r="D68">
        <v>33596</v>
      </c>
      <c r="E68">
        <v>83.014578700271812</v>
      </c>
      <c r="F68">
        <v>404.7</v>
      </c>
    </row>
    <row r="69" spans="1:6" x14ac:dyDescent="0.35">
      <c r="A69">
        <v>507</v>
      </c>
      <c r="B69" t="s">
        <v>90</v>
      </c>
      <c r="C69">
        <v>202602</v>
      </c>
      <c r="D69">
        <v>24538</v>
      </c>
      <c r="E69">
        <v>90.881481481481487</v>
      </c>
      <c r="F69">
        <v>270</v>
      </c>
    </row>
    <row r="70" spans="1:6" x14ac:dyDescent="0.35">
      <c r="A70">
        <v>520</v>
      </c>
      <c r="B70" t="s">
        <v>90</v>
      </c>
      <c r="C70">
        <v>202602</v>
      </c>
      <c r="D70">
        <v>715</v>
      </c>
      <c r="E70">
        <v>10.514705882352942</v>
      </c>
      <c r="F70">
        <v>68</v>
      </c>
    </row>
    <row r="71" spans="1:6" x14ac:dyDescent="0.35">
      <c r="A71">
        <v>521</v>
      </c>
      <c r="B71" t="s">
        <v>90</v>
      </c>
      <c r="C71">
        <v>202602</v>
      </c>
      <c r="D71">
        <v>6056</v>
      </c>
      <c r="E71">
        <v>52.206896551724135</v>
      </c>
      <c r="F71">
        <v>116</v>
      </c>
    </row>
    <row r="72" spans="1:6" x14ac:dyDescent="0.35">
      <c r="A72">
        <v>784</v>
      </c>
      <c r="B72" t="s">
        <v>90</v>
      </c>
      <c r="C72">
        <v>202602</v>
      </c>
      <c r="D72">
        <v>724</v>
      </c>
      <c r="E72">
        <v>2.1470937129300118</v>
      </c>
      <c r="F72">
        <v>337.2</v>
      </c>
    </row>
    <row r="73" spans="1:6" x14ac:dyDescent="0.35">
      <c r="A73">
        <v>785</v>
      </c>
      <c r="B73" t="s">
        <v>90</v>
      </c>
      <c r="C73">
        <v>202602</v>
      </c>
      <c r="D73">
        <v>751</v>
      </c>
      <c r="E73">
        <v>1.3358235503379579</v>
      </c>
      <c r="F73">
        <v>562.20000000000005</v>
      </c>
    </row>
    <row r="74" spans="1:6" x14ac:dyDescent="0.35">
      <c r="A74">
        <v>758</v>
      </c>
      <c r="B74" t="s">
        <v>90</v>
      </c>
      <c r="C74">
        <v>202602</v>
      </c>
      <c r="D74">
        <v>8165</v>
      </c>
      <c r="E74">
        <v>12.102212933730565</v>
      </c>
      <c r="F74">
        <v>674.67</v>
      </c>
    </row>
    <row r="75" spans="1:6" x14ac:dyDescent="0.35">
      <c r="A75">
        <v>757</v>
      </c>
      <c r="B75" t="s">
        <v>90</v>
      </c>
      <c r="C75">
        <v>202602</v>
      </c>
      <c r="D75">
        <v>19325</v>
      </c>
      <c r="E75">
        <v>39.059341903144961</v>
      </c>
      <c r="F75">
        <v>494.76</v>
      </c>
    </row>
    <row r="76" spans="1:6" x14ac:dyDescent="0.35">
      <c r="A76">
        <v>580</v>
      </c>
      <c r="B76" t="s">
        <v>90</v>
      </c>
      <c r="C76">
        <v>202602</v>
      </c>
      <c r="D76">
        <v>0</v>
      </c>
      <c r="E76">
        <v>0</v>
      </c>
      <c r="F76">
        <v>270.68</v>
      </c>
    </row>
    <row r="77" spans="1:6" x14ac:dyDescent="0.35">
      <c r="A77">
        <v>582</v>
      </c>
      <c r="B77" t="s">
        <v>90</v>
      </c>
      <c r="C77">
        <v>202602</v>
      </c>
      <c r="D77">
        <v>1882</v>
      </c>
      <c r="E77">
        <v>6.2576891105569405</v>
      </c>
      <c r="F77">
        <v>300.75</v>
      </c>
    </row>
    <row r="78" spans="1:6" x14ac:dyDescent="0.35">
      <c r="A78">
        <v>594</v>
      </c>
      <c r="B78" t="s">
        <v>90</v>
      </c>
      <c r="C78">
        <v>202602</v>
      </c>
      <c r="D78">
        <v>11212</v>
      </c>
      <c r="E78">
        <v>66.441481481481475</v>
      </c>
      <c r="F78">
        <v>168.75</v>
      </c>
    </row>
    <row r="79" spans="1:6" x14ac:dyDescent="0.35">
      <c r="A79">
        <v>595</v>
      </c>
      <c r="B79" t="s">
        <v>90</v>
      </c>
      <c r="C79">
        <v>202602</v>
      </c>
      <c r="D79">
        <v>28849</v>
      </c>
      <c r="E79">
        <v>384.65333333333331</v>
      </c>
      <c r="F79">
        <v>75</v>
      </c>
    </row>
    <row r="80" spans="1:6" x14ac:dyDescent="0.35">
      <c r="A80">
        <v>603</v>
      </c>
      <c r="B80" t="s">
        <v>90</v>
      </c>
      <c r="C80">
        <v>202602</v>
      </c>
      <c r="D80">
        <v>3968</v>
      </c>
      <c r="E80">
        <v>17.591771590707573</v>
      </c>
      <c r="F80">
        <v>225.56</v>
      </c>
    </row>
    <row r="81" spans="1:6" x14ac:dyDescent="0.35">
      <c r="A81">
        <v>606</v>
      </c>
      <c r="B81" t="s">
        <v>90</v>
      </c>
      <c r="C81">
        <v>202602</v>
      </c>
      <c r="D81">
        <v>5361</v>
      </c>
      <c r="E81">
        <v>20.432976331135418</v>
      </c>
      <c r="F81">
        <v>262.37</v>
      </c>
    </row>
    <row r="82" spans="1:6" x14ac:dyDescent="0.35">
      <c r="A82">
        <v>772</v>
      </c>
      <c r="B82" t="s">
        <v>90</v>
      </c>
      <c r="C82">
        <v>202602</v>
      </c>
      <c r="D82">
        <v>858</v>
      </c>
      <c r="E82">
        <v>4.2391304347826084</v>
      </c>
      <c r="F82">
        <v>202.4</v>
      </c>
    </row>
    <row r="83" spans="1:6" x14ac:dyDescent="0.35">
      <c r="A83">
        <v>615</v>
      </c>
      <c r="B83" t="s">
        <v>90</v>
      </c>
      <c r="C83">
        <v>202602</v>
      </c>
      <c r="D83">
        <v>5023</v>
      </c>
      <c r="E83">
        <v>18.556967637062215</v>
      </c>
      <c r="F83">
        <v>270.68</v>
      </c>
    </row>
    <row r="84" spans="1:6" x14ac:dyDescent="0.35">
      <c r="A84">
        <v>617</v>
      </c>
      <c r="B84" t="s">
        <v>90</v>
      </c>
      <c r="C84">
        <v>202602</v>
      </c>
      <c r="D84">
        <v>1676</v>
      </c>
      <c r="E84">
        <v>3.7244444444444444</v>
      </c>
      <c r="F84">
        <v>450</v>
      </c>
    </row>
    <row r="85" spans="1:6" x14ac:dyDescent="0.35">
      <c r="A85">
        <v>751</v>
      </c>
      <c r="B85" t="s">
        <v>90</v>
      </c>
      <c r="C85">
        <v>202602</v>
      </c>
      <c r="D85">
        <v>0</v>
      </c>
      <c r="E85">
        <v>0</v>
      </c>
      <c r="F85">
        <v>203.01</v>
      </c>
    </row>
    <row r="86" spans="1:6" x14ac:dyDescent="0.35">
      <c r="A86">
        <v>752</v>
      </c>
      <c r="B86" t="s">
        <v>90</v>
      </c>
      <c r="C86">
        <v>202602</v>
      </c>
      <c r="D86">
        <v>3351</v>
      </c>
      <c r="E86">
        <v>9.6888914589718382</v>
      </c>
      <c r="F86">
        <v>345.86</v>
      </c>
    </row>
    <row r="87" spans="1:6" x14ac:dyDescent="0.35">
      <c r="A87">
        <v>753</v>
      </c>
      <c r="B87" t="s">
        <v>90</v>
      </c>
      <c r="C87">
        <v>202602</v>
      </c>
      <c r="D87">
        <v>7455</v>
      </c>
      <c r="E87">
        <v>15.254133246030445</v>
      </c>
      <c r="F87">
        <v>488.72</v>
      </c>
    </row>
    <row r="88" spans="1:6" x14ac:dyDescent="0.35">
      <c r="A88">
        <v>754</v>
      </c>
      <c r="B88" t="s">
        <v>90</v>
      </c>
      <c r="C88">
        <v>202602</v>
      </c>
      <c r="D88">
        <v>0</v>
      </c>
      <c r="E88">
        <v>0</v>
      </c>
      <c r="F88">
        <v>601.51</v>
      </c>
    </row>
    <row r="89" spans="1:6" x14ac:dyDescent="0.35">
      <c r="A89">
        <v>614</v>
      </c>
      <c r="B89" t="s">
        <v>90</v>
      </c>
      <c r="C89">
        <v>202602</v>
      </c>
      <c r="D89">
        <v>18166</v>
      </c>
      <c r="E89">
        <v>32.312344361437205</v>
      </c>
      <c r="F89">
        <v>562.20000000000005</v>
      </c>
    </row>
    <row r="90" spans="1:6" x14ac:dyDescent="0.35">
      <c r="A90">
        <v>797</v>
      </c>
      <c r="B90" t="s">
        <v>90</v>
      </c>
      <c r="C90">
        <v>202602</v>
      </c>
      <c r="D90">
        <v>1468</v>
      </c>
      <c r="E90">
        <v>3.2636727434415294</v>
      </c>
      <c r="F90">
        <v>449.8</v>
      </c>
    </row>
    <row r="91" spans="1:6" x14ac:dyDescent="0.35">
      <c r="A91">
        <v>613</v>
      </c>
      <c r="B91" t="s">
        <v>90</v>
      </c>
      <c r="C91">
        <v>202602</v>
      </c>
      <c r="D91">
        <v>9850</v>
      </c>
      <c r="E91">
        <v>33.675213675213676</v>
      </c>
      <c r="F91">
        <v>292.5</v>
      </c>
    </row>
    <row r="92" spans="1:6" x14ac:dyDescent="0.35">
      <c r="A92">
        <v>767</v>
      </c>
      <c r="B92" t="s">
        <v>90</v>
      </c>
      <c r="C92">
        <v>202602</v>
      </c>
      <c r="D92">
        <v>7929</v>
      </c>
      <c r="E92">
        <v>13.219406468822942</v>
      </c>
      <c r="F92">
        <v>599.79999999999995</v>
      </c>
    </row>
    <row r="93" spans="1:6" x14ac:dyDescent="0.35">
      <c r="A93">
        <v>807</v>
      </c>
      <c r="B93" t="s">
        <v>90</v>
      </c>
      <c r="C93">
        <v>202602</v>
      </c>
      <c r="D93">
        <v>679</v>
      </c>
      <c r="E93">
        <v>3.395</v>
      </c>
      <c r="F93">
        <v>200</v>
      </c>
    </row>
    <row r="94" spans="1:6" x14ac:dyDescent="0.35">
      <c r="A94">
        <v>808</v>
      </c>
      <c r="B94" t="s">
        <v>90</v>
      </c>
      <c r="C94">
        <v>202602</v>
      </c>
      <c r="D94">
        <v>1166</v>
      </c>
      <c r="E94">
        <v>3.9560290425459725</v>
      </c>
      <c r="F94">
        <v>294.74</v>
      </c>
    </row>
    <row r="95" spans="1:6" x14ac:dyDescent="0.35">
      <c r="A95">
        <v>502</v>
      </c>
      <c r="B95" t="s">
        <v>91</v>
      </c>
      <c r="C95">
        <v>202602</v>
      </c>
      <c r="D95">
        <v>24440</v>
      </c>
      <c r="E95">
        <v>78.524611232489391</v>
      </c>
      <c r="F95">
        <v>311.24</v>
      </c>
    </row>
    <row r="96" spans="1:6" x14ac:dyDescent="0.35">
      <c r="A96">
        <v>504</v>
      </c>
      <c r="B96" t="s">
        <v>91</v>
      </c>
      <c r="C96">
        <v>202602</v>
      </c>
      <c r="D96">
        <v>52244</v>
      </c>
      <c r="E96">
        <v>119.68568875856224</v>
      </c>
      <c r="F96">
        <v>436.51</v>
      </c>
    </row>
    <row r="97" spans="1:6" x14ac:dyDescent="0.35">
      <c r="A97">
        <v>505</v>
      </c>
      <c r="B97" t="s">
        <v>91</v>
      </c>
      <c r="C97">
        <v>202602</v>
      </c>
      <c r="D97">
        <v>43114</v>
      </c>
      <c r="E97">
        <v>115.84179697995593</v>
      </c>
      <c r="F97">
        <v>372.18</v>
      </c>
    </row>
    <row r="98" spans="1:6" x14ac:dyDescent="0.35">
      <c r="A98">
        <v>506</v>
      </c>
      <c r="B98" t="s">
        <v>91</v>
      </c>
      <c r="C98">
        <v>202602</v>
      </c>
      <c r="D98">
        <v>46422</v>
      </c>
      <c r="E98">
        <v>98.000802212417398</v>
      </c>
      <c r="F98">
        <v>473.69</v>
      </c>
    </row>
    <row r="99" spans="1:6" x14ac:dyDescent="0.35">
      <c r="A99">
        <v>508</v>
      </c>
      <c r="B99" t="s">
        <v>91</v>
      </c>
      <c r="C99">
        <v>202602</v>
      </c>
      <c r="D99">
        <v>31519</v>
      </c>
      <c r="E99">
        <v>77.882382011366445</v>
      </c>
      <c r="F99">
        <v>404.7</v>
      </c>
    </row>
    <row r="100" spans="1:6" x14ac:dyDescent="0.35">
      <c r="A100">
        <v>507</v>
      </c>
      <c r="B100" t="s">
        <v>91</v>
      </c>
      <c r="C100">
        <v>202602</v>
      </c>
      <c r="D100">
        <v>32879</v>
      </c>
      <c r="E100">
        <v>121.77407407407408</v>
      </c>
      <c r="F100">
        <v>270</v>
      </c>
    </row>
    <row r="101" spans="1:6" x14ac:dyDescent="0.35">
      <c r="A101">
        <v>520</v>
      </c>
      <c r="B101" t="s">
        <v>91</v>
      </c>
      <c r="C101">
        <v>202602</v>
      </c>
      <c r="D101">
        <v>1046</v>
      </c>
      <c r="E101">
        <v>15.382352941176471</v>
      </c>
      <c r="F101">
        <v>68</v>
      </c>
    </row>
    <row r="102" spans="1:6" x14ac:dyDescent="0.35">
      <c r="A102">
        <v>521</v>
      </c>
      <c r="B102" t="s">
        <v>91</v>
      </c>
      <c r="C102">
        <v>202602</v>
      </c>
      <c r="D102">
        <v>6786</v>
      </c>
      <c r="E102">
        <v>58.5</v>
      </c>
      <c r="F102">
        <v>116</v>
      </c>
    </row>
    <row r="103" spans="1:6" x14ac:dyDescent="0.35">
      <c r="A103">
        <v>784</v>
      </c>
      <c r="B103" t="s">
        <v>91</v>
      </c>
      <c r="C103">
        <v>202602</v>
      </c>
      <c r="D103">
        <v>526</v>
      </c>
      <c r="E103">
        <v>1.5599051008303677</v>
      </c>
      <c r="F103">
        <v>337.2</v>
      </c>
    </row>
    <row r="104" spans="1:6" x14ac:dyDescent="0.35">
      <c r="A104">
        <v>785</v>
      </c>
      <c r="B104" t="s">
        <v>91</v>
      </c>
      <c r="C104">
        <v>202602</v>
      </c>
      <c r="D104">
        <v>620</v>
      </c>
      <c r="E104">
        <v>1.1028103877623621</v>
      </c>
      <c r="F104">
        <v>562.20000000000005</v>
      </c>
    </row>
    <row r="105" spans="1:6" x14ac:dyDescent="0.35">
      <c r="A105">
        <v>758</v>
      </c>
      <c r="B105" t="s">
        <v>91</v>
      </c>
      <c r="C105">
        <v>202602</v>
      </c>
      <c r="D105">
        <v>4754</v>
      </c>
      <c r="E105">
        <v>7.046407873478886</v>
      </c>
      <c r="F105">
        <v>674.67</v>
      </c>
    </row>
    <row r="106" spans="1:6" x14ac:dyDescent="0.35">
      <c r="A106">
        <v>757</v>
      </c>
      <c r="B106" t="s">
        <v>91</v>
      </c>
      <c r="C106">
        <v>202602</v>
      </c>
      <c r="D106">
        <v>11705</v>
      </c>
      <c r="E106">
        <v>23.657935160481852</v>
      </c>
      <c r="F106">
        <v>494.76</v>
      </c>
    </row>
    <row r="107" spans="1:6" x14ac:dyDescent="0.35">
      <c r="A107">
        <v>580</v>
      </c>
      <c r="B107" t="s">
        <v>91</v>
      </c>
      <c r="C107">
        <v>202602</v>
      </c>
      <c r="D107">
        <v>0</v>
      </c>
      <c r="E107">
        <v>0</v>
      </c>
      <c r="F107">
        <v>270.68</v>
      </c>
    </row>
    <row r="108" spans="1:6" x14ac:dyDescent="0.35">
      <c r="A108">
        <v>582</v>
      </c>
      <c r="B108" t="s">
        <v>91</v>
      </c>
      <c r="C108">
        <v>202602</v>
      </c>
      <c r="D108">
        <v>2536</v>
      </c>
      <c r="E108">
        <v>8.4322527015793849</v>
      </c>
      <c r="F108">
        <v>300.75</v>
      </c>
    </row>
    <row r="109" spans="1:6" x14ac:dyDescent="0.35">
      <c r="A109">
        <v>594</v>
      </c>
      <c r="B109" t="s">
        <v>91</v>
      </c>
      <c r="C109">
        <v>202602</v>
      </c>
      <c r="D109">
        <v>8748</v>
      </c>
      <c r="E109">
        <v>51.84</v>
      </c>
      <c r="F109">
        <v>168.75</v>
      </c>
    </row>
    <row r="110" spans="1:6" x14ac:dyDescent="0.35">
      <c r="A110">
        <v>595</v>
      </c>
      <c r="B110" t="s">
        <v>91</v>
      </c>
      <c r="C110">
        <v>202602</v>
      </c>
      <c r="D110">
        <v>22850</v>
      </c>
      <c r="E110">
        <v>304.66666666666669</v>
      </c>
      <c r="F110">
        <v>75</v>
      </c>
    </row>
    <row r="111" spans="1:6" x14ac:dyDescent="0.35">
      <c r="A111">
        <v>603</v>
      </c>
      <c r="B111" t="s">
        <v>91</v>
      </c>
      <c r="C111">
        <v>202602</v>
      </c>
      <c r="D111">
        <v>2953</v>
      </c>
      <c r="E111">
        <v>13.091860258911154</v>
      </c>
      <c r="F111">
        <v>225.56</v>
      </c>
    </row>
    <row r="112" spans="1:6" x14ac:dyDescent="0.35">
      <c r="A112">
        <v>606</v>
      </c>
      <c r="B112" t="s">
        <v>91</v>
      </c>
      <c r="C112">
        <v>202602</v>
      </c>
      <c r="D112">
        <v>2816</v>
      </c>
      <c r="E112">
        <v>10.732934405610397</v>
      </c>
      <c r="F112">
        <v>262.37</v>
      </c>
    </row>
    <row r="113" spans="1:6" x14ac:dyDescent="0.35">
      <c r="A113">
        <v>772</v>
      </c>
      <c r="B113" t="s">
        <v>91</v>
      </c>
      <c r="C113">
        <v>202602</v>
      </c>
      <c r="D113">
        <v>325</v>
      </c>
      <c r="E113">
        <v>1.6057312252964426</v>
      </c>
      <c r="F113">
        <v>202.4</v>
      </c>
    </row>
    <row r="114" spans="1:6" x14ac:dyDescent="0.35">
      <c r="A114">
        <v>615</v>
      </c>
      <c r="B114" t="s">
        <v>91</v>
      </c>
      <c r="C114">
        <v>202602</v>
      </c>
      <c r="D114">
        <v>5028</v>
      </c>
      <c r="E114">
        <v>18.57543963351559</v>
      </c>
      <c r="F114">
        <v>270.68</v>
      </c>
    </row>
    <row r="115" spans="1:6" x14ac:dyDescent="0.35">
      <c r="A115">
        <v>617</v>
      </c>
      <c r="B115" t="s">
        <v>91</v>
      </c>
      <c r="C115">
        <v>202602</v>
      </c>
      <c r="D115">
        <v>2130</v>
      </c>
      <c r="E115">
        <v>4.7333333333333334</v>
      </c>
      <c r="F115">
        <v>450</v>
      </c>
    </row>
    <row r="116" spans="1:6" x14ac:dyDescent="0.35">
      <c r="A116">
        <v>751</v>
      </c>
      <c r="B116" t="s">
        <v>91</v>
      </c>
      <c r="C116">
        <v>202602</v>
      </c>
      <c r="D116">
        <v>0</v>
      </c>
      <c r="E116">
        <v>0</v>
      </c>
      <c r="F116">
        <v>203.01</v>
      </c>
    </row>
    <row r="117" spans="1:6" x14ac:dyDescent="0.35">
      <c r="A117">
        <v>752</v>
      </c>
      <c r="B117" t="s">
        <v>91</v>
      </c>
      <c r="C117">
        <v>202602</v>
      </c>
      <c r="D117">
        <v>3213</v>
      </c>
      <c r="E117">
        <v>9.2898860810732664</v>
      </c>
      <c r="F117">
        <v>345.86</v>
      </c>
    </row>
    <row r="118" spans="1:6" x14ac:dyDescent="0.35">
      <c r="A118">
        <v>753</v>
      </c>
      <c r="B118" t="s">
        <v>91</v>
      </c>
      <c r="C118">
        <v>202602</v>
      </c>
      <c r="D118">
        <v>5330</v>
      </c>
      <c r="E118">
        <v>10.906040268456374</v>
      </c>
      <c r="F118">
        <v>488.72</v>
      </c>
    </row>
    <row r="119" spans="1:6" x14ac:dyDescent="0.35">
      <c r="A119">
        <v>754</v>
      </c>
      <c r="B119" t="s">
        <v>91</v>
      </c>
      <c r="C119">
        <v>202602</v>
      </c>
      <c r="D119">
        <v>0</v>
      </c>
      <c r="E119">
        <v>0</v>
      </c>
      <c r="F119">
        <v>601.51</v>
      </c>
    </row>
    <row r="120" spans="1:6" x14ac:dyDescent="0.35">
      <c r="A120">
        <v>614</v>
      </c>
      <c r="B120" t="s">
        <v>91</v>
      </c>
      <c r="C120">
        <v>202602</v>
      </c>
      <c r="D120">
        <v>13199</v>
      </c>
      <c r="E120">
        <v>23.477410174315189</v>
      </c>
      <c r="F120">
        <v>562.20000000000005</v>
      </c>
    </row>
    <row r="121" spans="1:6" x14ac:dyDescent="0.35">
      <c r="A121">
        <v>797</v>
      </c>
      <c r="B121" t="s">
        <v>91</v>
      </c>
      <c r="C121">
        <v>202602</v>
      </c>
      <c r="D121">
        <v>964</v>
      </c>
      <c r="E121">
        <v>2.1431747443308136</v>
      </c>
      <c r="F121">
        <v>449.8</v>
      </c>
    </row>
    <row r="122" spans="1:6" x14ac:dyDescent="0.35">
      <c r="A122">
        <v>613</v>
      </c>
      <c r="B122" t="s">
        <v>91</v>
      </c>
      <c r="C122">
        <v>202602</v>
      </c>
      <c r="D122">
        <v>6375</v>
      </c>
      <c r="E122">
        <v>21.794871794871796</v>
      </c>
      <c r="F122">
        <v>292.5</v>
      </c>
    </row>
    <row r="123" spans="1:6" x14ac:dyDescent="0.35">
      <c r="A123">
        <v>767</v>
      </c>
      <c r="B123" t="s">
        <v>91</v>
      </c>
      <c r="C123">
        <v>202602</v>
      </c>
      <c r="D123">
        <v>5795</v>
      </c>
      <c r="E123">
        <v>9.6615538512837613</v>
      </c>
      <c r="F123">
        <v>599.79999999999995</v>
      </c>
    </row>
    <row r="124" spans="1:6" x14ac:dyDescent="0.35">
      <c r="A124">
        <v>807</v>
      </c>
      <c r="B124" t="s">
        <v>91</v>
      </c>
      <c r="C124">
        <v>202602</v>
      </c>
      <c r="D124">
        <v>1064</v>
      </c>
      <c r="E124">
        <v>5.32</v>
      </c>
      <c r="F124">
        <v>200</v>
      </c>
    </row>
    <row r="125" spans="1:6" x14ac:dyDescent="0.35">
      <c r="A125">
        <v>808</v>
      </c>
      <c r="B125" t="s">
        <v>91</v>
      </c>
      <c r="C125">
        <v>202602</v>
      </c>
      <c r="D125">
        <v>1454</v>
      </c>
      <c r="E125">
        <v>4.9331614304132456</v>
      </c>
      <c r="F125">
        <v>294.74</v>
      </c>
    </row>
    <row r="126" spans="1:6" x14ac:dyDescent="0.35">
      <c r="A126">
        <v>502</v>
      </c>
      <c r="B126" t="s">
        <v>133</v>
      </c>
      <c r="C126">
        <v>202602</v>
      </c>
      <c r="D126">
        <v>12218</v>
      </c>
      <c r="E126">
        <v>39.255879706978533</v>
      </c>
      <c r="F126">
        <v>311.24</v>
      </c>
    </row>
    <row r="127" spans="1:6" x14ac:dyDescent="0.35">
      <c r="A127">
        <v>504</v>
      </c>
      <c r="B127" t="s">
        <v>133</v>
      </c>
      <c r="C127">
        <v>202602</v>
      </c>
      <c r="D127">
        <v>23746</v>
      </c>
      <c r="E127">
        <v>54.399670110650391</v>
      </c>
      <c r="F127">
        <v>436.51</v>
      </c>
    </row>
    <row r="128" spans="1:6" x14ac:dyDescent="0.35">
      <c r="A128">
        <v>505</v>
      </c>
      <c r="B128" t="s">
        <v>133</v>
      </c>
      <c r="C128">
        <v>202602</v>
      </c>
      <c r="D128">
        <v>12531</v>
      </c>
      <c r="E128">
        <v>33.669192326293725</v>
      </c>
      <c r="F128">
        <v>372.18</v>
      </c>
    </row>
    <row r="129" spans="1:6" x14ac:dyDescent="0.35">
      <c r="A129">
        <v>506</v>
      </c>
      <c r="B129" t="s">
        <v>133</v>
      </c>
      <c r="C129">
        <v>202602</v>
      </c>
      <c r="D129">
        <v>12309</v>
      </c>
      <c r="E129">
        <v>25.985349067955838</v>
      </c>
      <c r="F129">
        <v>473.69</v>
      </c>
    </row>
    <row r="130" spans="1:6" x14ac:dyDescent="0.35">
      <c r="A130">
        <v>508</v>
      </c>
      <c r="B130" t="s">
        <v>133</v>
      </c>
      <c r="C130">
        <v>202602</v>
      </c>
      <c r="D130">
        <v>12253</v>
      </c>
      <c r="E130">
        <v>30.276748208549545</v>
      </c>
      <c r="F130">
        <v>404.7</v>
      </c>
    </row>
    <row r="131" spans="1:6" x14ac:dyDescent="0.35">
      <c r="A131">
        <v>507</v>
      </c>
      <c r="B131" t="s">
        <v>133</v>
      </c>
      <c r="C131">
        <v>202602</v>
      </c>
      <c r="D131">
        <v>9118</v>
      </c>
      <c r="E131">
        <v>33.770370370370372</v>
      </c>
      <c r="F131">
        <v>270</v>
      </c>
    </row>
    <row r="132" spans="1:6" x14ac:dyDescent="0.35">
      <c r="A132">
        <v>520</v>
      </c>
      <c r="B132" t="s">
        <v>133</v>
      </c>
      <c r="C132">
        <v>202602</v>
      </c>
      <c r="D132">
        <v>163</v>
      </c>
      <c r="E132">
        <v>2.3970588235294117</v>
      </c>
      <c r="F132">
        <v>68</v>
      </c>
    </row>
    <row r="133" spans="1:6" x14ac:dyDescent="0.35">
      <c r="A133">
        <v>521</v>
      </c>
      <c r="B133" t="s">
        <v>133</v>
      </c>
      <c r="C133">
        <v>202602</v>
      </c>
      <c r="D133">
        <v>949</v>
      </c>
      <c r="E133">
        <v>8.181034482758621</v>
      </c>
      <c r="F133">
        <v>116</v>
      </c>
    </row>
    <row r="134" spans="1:6" x14ac:dyDescent="0.35">
      <c r="A134">
        <v>784</v>
      </c>
      <c r="B134" t="s">
        <v>133</v>
      </c>
      <c r="C134">
        <v>202602</v>
      </c>
      <c r="D134">
        <v>446</v>
      </c>
      <c r="E134">
        <v>1.3226571767497035</v>
      </c>
      <c r="F134">
        <v>337.2</v>
      </c>
    </row>
    <row r="135" spans="1:6" x14ac:dyDescent="0.35">
      <c r="A135">
        <v>785</v>
      </c>
      <c r="B135" t="s">
        <v>133</v>
      </c>
      <c r="C135">
        <v>202602</v>
      </c>
      <c r="D135">
        <v>663</v>
      </c>
      <c r="E135">
        <v>1.1792956243329775</v>
      </c>
      <c r="F135">
        <v>562.20000000000005</v>
      </c>
    </row>
    <row r="136" spans="1:6" x14ac:dyDescent="0.35">
      <c r="A136">
        <v>758</v>
      </c>
      <c r="B136" t="s">
        <v>133</v>
      </c>
      <c r="C136">
        <v>202602</v>
      </c>
      <c r="D136">
        <v>7786</v>
      </c>
      <c r="E136">
        <v>11.540456815924824</v>
      </c>
      <c r="F136">
        <v>674.67</v>
      </c>
    </row>
    <row r="137" spans="1:6" x14ac:dyDescent="0.35">
      <c r="A137">
        <v>757</v>
      </c>
      <c r="B137" t="s">
        <v>133</v>
      </c>
      <c r="C137">
        <v>202602</v>
      </c>
      <c r="D137">
        <v>13754</v>
      </c>
      <c r="E137">
        <v>27.799337052308189</v>
      </c>
      <c r="F137">
        <v>494.76</v>
      </c>
    </row>
    <row r="138" spans="1:6" x14ac:dyDescent="0.35">
      <c r="A138">
        <v>580</v>
      </c>
      <c r="B138" t="s">
        <v>133</v>
      </c>
      <c r="C138">
        <v>202602</v>
      </c>
      <c r="D138">
        <v>0</v>
      </c>
      <c r="E138">
        <v>0</v>
      </c>
      <c r="F138">
        <v>270.68</v>
      </c>
    </row>
    <row r="139" spans="1:6" x14ac:dyDescent="0.35">
      <c r="A139">
        <v>582</v>
      </c>
      <c r="B139" t="s">
        <v>133</v>
      </c>
      <c r="C139">
        <v>202602</v>
      </c>
      <c r="D139">
        <v>0</v>
      </c>
      <c r="E139">
        <v>0</v>
      </c>
      <c r="F139">
        <v>300.75</v>
      </c>
    </row>
    <row r="140" spans="1:6" x14ac:dyDescent="0.35">
      <c r="A140">
        <v>594</v>
      </c>
      <c r="B140" t="s">
        <v>133</v>
      </c>
      <c r="C140">
        <v>202602</v>
      </c>
      <c r="D140">
        <v>10002</v>
      </c>
      <c r="E140">
        <v>59.271111111111111</v>
      </c>
      <c r="F140">
        <v>168.75</v>
      </c>
    </row>
    <row r="141" spans="1:6" x14ac:dyDescent="0.35">
      <c r="A141">
        <v>595</v>
      </c>
      <c r="B141" t="s">
        <v>133</v>
      </c>
      <c r="C141">
        <v>202602</v>
      </c>
      <c r="D141">
        <v>6936</v>
      </c>
      <c r="E141">
        <v>92.48</v>
      </c>
      <c r="F141">
        <v>75</v>
      </c>
    </row>
    <row r="142" spans="1:6" x14ac:dyDescent="0.35">
      <c r="A142">
        <v>603</v>
      </c>
      <c r="B142" t="s">
        <v>133</v>
      </c>
      <c r="C142">
        <v>202602</v>
      </c>
      <c r="D142">
        <v>1715</v>
      </c>
      <c r="E142">
        <v>7.603298457173258</v>
      </c>
      <c r="F142">
        <v>225.56</v>
      </c>
    </row>
    <row r="143" spans="1:6" x14ac:dyDescent="0.35">
      <c r="A143">
        <v>606</v>
      </c>
      <c r="B143" t="s">
        <v>133</v>
      </c>
      <c r="C143">
        <v>202602</v>
      </c>
      <c r="D143">
        <v>1849</v>
      </c>
      <c r="E143">
        <v>7.0472996150474518</v>
      </c>
      <c r="F143">
        <v>262.37</v>
      </c>
    </row>
    <row r="144" spans="1:6" x14ac:dyDescent="0.35">
      <c r="A144">
        <v>772</v>
      </c>
      <c r="B144" t="s">
        <v>133</v>
      </c>
      <c r="C144">
        <v>202602</v>
      </c>
      <c r="D144">
        <v>364</v>
      </c>
      <c r="E144">
        <v>1.7984189723320159</v>
      </c>
      <c r="F144">
        <v>202.4</v>
      </c>
    </row>
    <row r="145" spans="1:6" x14ac:dyDescent="0.35">
      <c r="A145">
        <v>615</v>
      </c>
      <c r="B145" t="s">
        <v>133</v>
      </c>
      <c r="C145">
        <v>202602</v>
      </c>
      <c r="D145">
        <v>2653</v>
      </c>
      <c r="E145">
        <v>9.8012413181616669</v>
      </c>
      <c r="F145">
        <v>270.68</v>
      </c>
    </row>
    <row r="146" spans="1:6" x14ac:dyDescent="0.35">
      <c r="A146">
        <v>617</v>
      </c>
      <c r="B146" t="s">
        <v>133</v>
      </c>
      <c r="C146">
        <v>202602</v>
      </c>
      <c r="D146">
        <v>755</v>
      </c>
      <c r="E146">
        <v>1.6777777777777778</v>
      </c>
      <c r="F146">
        <v>450</v>
      </c>
    </row>
    <row r="147" spans="1:6" x14ac:dyDescent="0.35">
      <c r="A147">
        <v>751</v>
      </c>
      <c r="B147" t="s">
        <v>133</v>
      </c>
      <c r="C147">
        <v>202602</v>
      </c>
      <c r="D147">
        <v>1590</v>
      </c>
      <c r="E147">
        <v>7.8321264962317132</v>
      </c>
      <c r="F147">
        <v>203.01</v>
      </c>
    </row>
    <row r="148" spans="1:6" x14ac:dyDescent="0.35">
      <c r="A148">
        <v>752</v>
      </c>
      <c r="B148" t="s">
        <v>133</v>
      </c>
      <c r="C148">
        <v>202602</v>
      </c>
      <c r="D148">
        <v>5975</v>
      </c>
      <c r="E148">
        <v>17.275776325680912</v>
      </c>
      <c r="F148">
        <v>345.86</v>
      </c>
    </row>
    <row r="149" spans="1:6" x14ac:dyDescent="0.35">
      <c r="A149">
        <v>753</v>
      </c>
      <c r="B149" t="s">
        <v>133</v>
      </c>
      <c r="C149">
        <v>202602</v>
      </c>
      <c r="D149">
        <v>9201</v>
      </c>
      <c r="E149">
        <v>18.826731052545423</v>
      </c>
      <c r="F149">
        <v>488.72</v>
      </c>
    </row>
    <row r="150" spans="1:6" x14ac:dyDescent="0.35">
      <c r="A150">
        <v>754</v>
      </c>
      <c r="B150" t="s">
        <v>133</v>
      </c>
      <c r="C150">
        <v>202602</v>
      </c>
      <c r="D150">
        <v>0</v>
      </c>
      <c r="E150">
        <v>0</v>
      </c>
      <c r="F150">
        <v>601.51</v>
      </c>
    </row>
    <row r="151" spans="1:6" x14ac:dyDescent="0.35">
      <c r="A151">
        <v>614</v>
      </c>
      <c r="B151" t="s">
        <v>133</v>
      </c>
      <c r="C151">
        <v>202602</v>
      </c>
      <c r="D151">
        <v>5722</v>
      </c>
      <c r="E151">
        <v>10.177872643187477</v>
      </c>
      <c r="F151">
        <v>562.20000000000005</v>
      </c>
    </row>
    <row r="152" spans="1:6" x14ac:dyDescent="0.35">
      <c r="A152">
        <v>797</v>
      </c>
      <c r="B152" t="s">
        <v>133</v>
      </c>
      <c r="C152">
        <v>202602</v>
      </c>
      <c r="D152">
        <v>738</v>
      </c>
      <c r="E152">
        <v>1.6407292129835482</v>
      </c>
      <c r="F152">
        <v>449.8</v>
      </c>
    </row>
    <row r="153" spans="1:6" x14ac:dyDescent="0.35">
      <c r="A153">
        <v>613</v>
      </c>
      <c r="B153" t="s">
        <v>133</v>
      </c>
      <c r="C153">
        <v>202602</v>
      </c>
      <c r="D153">
        <v>3116</v>
      </c>
      <c r="E153">
        <v>10.652991452991452</v>
      </c>
      <c r="F153">
        <v>292.5</v>
      </c>
    </row>
    <row r="154" spans="1:6" x14ac:dyDescent="0.35">
      <c r="A154">
        <v>767</v>
      </c>
      <c r="B154" t="s">
        <v>133</v>
      </c>
      <c r="C154">
        <v>202602</v>
      </c>
      <c r="D154">
        <v>4038</v>
      </c>
      <c r="E154">
        <v>6.732244081360454</v>
      </c>
      <c r="F154">
        <v>599.79999999999995</v>
      </c>
    </row>
    <row r="155" spans="1:6" x14ac:dyDescent="0.35">
      <c r="A155">
        <v>807</v>
      </c>
      <c r="B155" t="s">
        <v>133</v>
      </c>
      <c r="C155">
        <v>202602</v>
      </c>
      <c r="D155">
        <v>1294</v>
      </c>
      <c r="E155">
        <v>6.47</v>
      </c>
      <c r="F155">
        <v>200</v>
      </c>
    </row>
    <row r="156" spans="1:6" x14ac:dyDescent="0.35">
      <c r="A156">
        <v>808</v>
      </c>
      <c r="B156" t="s">
        <v>133</v>
      </c>
      <c r="C156">
        <v>202602</v>
      </c>
      <c r="D156">
        <v>1597</v>
      </c>
      <c r="E156">
        <v>5.418334803555676</v>
      </c>
      <c r="F156">
        <v>294.74</v>
      </c>
    </row>
    <row r="157" spans="1:6" x14ac:dyDescent="0.35">
      <c r="A157">
        <v>502</v>
      </c>
      <c r="B157" t="s">
        <v>134</v>
      </c>
      <c r="C157">
        <v>202602</v>
      </c>
      <c r="D157">
        <v>10001</v>
      </c>
      <c r="E157">
        <v>32.132759285438887</v>
      </c>
      <c r="F157">
        <v>311.24</v>
      </c>
    </row>
    <row r="158" spans="1:6" x14ac:dyDescent="0.35">
      <c r="A158">
        <v>504</v>
      </c>
      <c r="B158" t="s">
        <v>134</v>
      </c>
      <c r="C158">
        <v>202602</v>
      </c>
      <c r="D158">
        <v>18708</v>
      </c>
      <c r="E158">
        <v>42.858124670683374</v>
      </c>
      <c r="F158">
        <v>436.51</v>
      </c>
    </row>
    <row r="159" spans="1:6" x14ac:dyDescent="0.35">
      <c r="A159">
        <v>505</v>
      </c>
      <c r="B159" t="s">
        <v>134</v>
      </c>
      <c r="C159">
        <v>202602</v>
      </c>
      <c r="D159">
        <v>9887</v>
      </c>
      <c r="E159">
        <v>26.565102907195442</v>
      </c>
      <c r="F159">
        <v>372.18</v>
      </c>
    </row>
    <row r="160" spans="1:6" x14ac:dyDescent="0.35">
      <c r="A160">
        <v>506</v>
      </c>
      <c r="B160" t="s">
        <v>134</v>
      </c>
      <c r="C160">
        <v>202602</v>
      </c>
      <c r="D160">
        <v>11725</v>
      </c>
      <c r="E160">
        <v>24.752475247524753</v>
      </c>
      <c r="F160">
        <v>473.69</v>
      </c>
    </row>
    <row r="161" spans="1:6" x14ac:dyDescent="0.35">
      <c r="A161">
        <v>508</v>
      </c>
      <c r="B161" t="s">
        <v>134</v>
      </c>
      <c r="C161">
        <v>202602</v>
      </c>
      <c r="D161">
        <v>11418</v>
      </c>
      <c r="E161">
        <v>28.213491475166791</v>
      </c>
      <c r="F161">
        <v>404.7</v>
      </c>
    </row>
    <row r="162" spans="1:6" x14ac:dyDescent="0.35">
      <c r="A162">
        <v>507</v>
      </c>
      <c r="B162" t="s">
        <v>134</v>
      </c>
      <c r="C162">
        <v>202602</v>
      </c>
      <c r="D162">
        <v>6703</v>
      </c>
      <c r="E162">
        <v>24.825925925925926</v>
      </c>
      <c r="F162">
        <v>270</v>
      </c>
    </row>
    <row r="163" spans="1:6" x14ac:dyDescent="0.35">
      <c r="A163">
        <v>520</v>
      </c>
      <c r="B163" t="s">
        <v>134</v>
      </c>
      <c r="C163">
        <v>202602</v>
      </c>
      <c r="D163">
        <v>236</v>
      </c>
      <c r="E163">
        <v>3.4705882352941178</v>
      </c>
      <c r="F163">
        <v>68</v>
      </c>
    </row>
    <row r="164" spans="1:6" x14ac:dyDescent="0.35">
      <c r="A164">
        <v>521</v>
      </c>
      <c r="B164" t="s">
        <v>134</v>
      </c>
      <c r="C164">
        <v>202602</v>
      </c>
      <c r="D164">
        <v>858</v>
      </c>
      <c r="E164">
        <v>7.3965517241379306</v>
      </c>
      <c r="F164">
        <v>116</v>
      </c>
    </row>
    <row r="165" spans="1:6" x14ac:dyDescent="0.35">
      <c r="A165">
        <v>784</v>
      </c>
      <c r="B165" t="s">
        <v>134</v>
      </c>
      <c r="C165">
        <v>202602</v>
      </c>
      <c r="D165">
        <v>144</v>
      </c>
      <c r="E165">
        <v>0.42704626334519574</v>
      </c>
      <c r="F165">
        <v>337.2</v>
      </c>
    </row>
    <row r="166" spans="1:6" x14ac:dyDescent="0.35">
      <c r="A166">
        <v>785</v>
      </c>
      <c r="B166" t="s">
        <v>134</v>
      </c>
      <c r="C166">
        <v>202602</v>
      </c>
      <c r="D166">
        <v>0</v>
      </c>
      <c r="E166">
        <v>0</v>
      </c>
      <c r="F166">
        <v>562.20000000000005</v>
      </c>
    </row>
    <row r="167" spans="1:6" x14ac:dyDescent="0.35">
      <c r="A167">
        <v>758</v>
      </c>
      <c r="B167" t="s">
        <v>134</v>
      </c>
      <c r="C167">
        <v>202602</v>
      </c>
      <c r="D167">
        <v>6774</v>
      </c>
      <c r="E167">
        <v>10.0404642269554</v>
      </c>
      <c r="F167">
        <v>674.67</v>
      </c>
    </row>
    <row r="168" spans="1:6" x14ac:dyDescent="0.35">
      <c r="A168">
        <v>757</v>
      </c>
      <c r="B168" t="s">
        <v>134</v>
      </c>
      <c r="C168">
        <v>202602</v>
      </c>
      <c r="D168">
        <v>7355</v>
      </c>
      <c r="E168">
        <v>14.865793516048186</v>
      </c>
      <c r="F168">
        <v>494.76</v>
      </c>
    </row>
    <row r="169" spans="1:6" x14ac:dyDescent="0.35">
      <c r="A169">
        <v>580</v>
      </c>
      <c r="B169" t="s">
        <v>134</v>
      </c>
      <c r="C169">
        <v>202602</v>
      </c>
      <c r="D169">
        <v>0</v>
      </c>
      <c r="E169">
        <v>0</v>
      </c>
      <c r="F169">
        <v>270.68</v>
      </c>
    </row>
    <row r="170" spans="1:6" x14ac:dyDescent="0.35">
      <c r="A170">
        <v>582</v>
      </c>
      <c r="B170" t="s">
        <v>134</v>
      </c>
      <c r="C170">
        <v>202602</v>
      </c>
      <c r="D170">
        <v>0</v>
      </c>
      <c r="E170">
        <v>0</v>
      </c>
      <c r="F170">
        <v>300.75</v>
      </c>
    </row>
    <row r="171" spans="1:6" x14ac:dyDescent="0.35">
      <c r="A171">
        <v>594</v>
      </c>
      <c r="B171" t="s">
        <v>134</v>
      </c>
      <c r="C171">
        <v>202602</v>
      </c>
      <c r="D171">
        <v>8534</v>
      </c>
      <c r="E171">
        <v>50.571851851851854</v>
      </c>
      <c r="F171">
        <v>168.75</v>
      </c>
    </row>
    <row r="172" spans="1:6" x14ac:dyDescent="0.35">
      <c r="A172">
        <v>595</v>
      </c>
      <c r="B172" t="s">
        <v>134</v>
      </c>
      <c r="C172">
        <v>202602</v>
      </c>
      <c r="D172">
        <v>6306</v>
      </c>
      <c r="E172">
        <v>84.08</v>
      </c>
      <c r="F172">
        <v>75</v>
      </c>
    </row>
    <row r="173" spans="1:6" x14ac:dyDescent="0.35">
      <c r="A173">
        <v>603</v>
      </c>
      <c r="B173" t="s">
        <v>134</v>
      </c>
      <c r="C173">
        <v>202602</v>
      </c>
      <c r="D173">
        <v>2257</v>
      </c>
      <c r="E173">
        <v>10.006206774250753</v>
      </c>
      <c r="F173">
        <v>225.56</v>
      </c>
    </row>
    <row r="174" spans="1:6" x14ac:dyDescent="0.35">
      <c r="A174">
        <v>606</v>
      </c>
      <c r="B174" t="s">
        <v>134</v>
      </c>
      <c r="C174">
        <v>202602</v>
      </c>
      <c r="D174">
        <v>2471</v>
      </c>
      <c r="E174">
        <v>9.4179974844684988</v>
      </c>
      <c r="F174">
        <v>262.37</v>
      </c>
    </row>
    <row r="175" spans="1:6" x14ac:dyDescent="0.35">
      <c r="A175">
        <v>772</v>
      </c>
      <c r="B175" t="s">
        <v>134</v>
      </c>
      <c r="C175">
        <v>202602</v>
      </c>
      <c r="D175">
        <v>0</v>
      </c>
      <c r="E175">
        <v>0</v>
      </c>
      <c r="F175">
        <v>202.4</v>
      </c>
    </row>
    <row r="176" spans="1:6" x14ac:dyDescent="0.35">
      <c r="A176">
        <v>615</v>
      </c>
      <c r="B176" t="s">
        <v>134</v>
      </c>
      <c r="C176">
        <v>202602</v>
      </c>
      <c r="D176">
        <v>2151</v>
      </c>
      <c r="E176">
        <v>7.9466528742426483</v>
      </c>
      <c r="F176">
        <v>270.68</v>
      </c>
    </row>
    <row r="177" spans="1:6" x14ac:dyDescent="0.35">
      <c r="A177">
        <v>617</v>
      </c>
      <c r="B177" t="s">
        <v>134</v>
      </c>
      <c r="C177">
        <v>202602</v>
      </c>
      <c r="D177">
        <v>713</v>
      </c>
      <c r="E177">
        <v>1.5844444444444445</v>
      </c>
      <c r="F177">
        <v>450</v>
      </c>
    </row>
    <row r="178" spans="1:6" x14ac:dyDescent="0.35">
      <c r="A178">
        <v>751</v>
      </c>
      <c r="B178" t="s">
        <v>134</v>
      </c>
      <c r="C178">
        <v>202602</v>
      </c>
      <c r="D178">
        <v>865</v>
      </c>
      <c r="E178">
        <v>4.2608738485788882</v>
      </c>
      <c r="F178">
        <v>203.01</v>
      </c>
    </row>
    <row r="179" spans="1:6" x14ac:dyDescent="0.35">
      <c r="A179">
        <v>752</v>
      </c>
      <c r="B179" t="s">
        <v>134</v>
      </c>
      <c r="C179">
        <v>202602</v>
      </c>
      <c r="D179">
        <v>4116</v>
      </c>
      <c r="E179">
        <v>11.900769097322616</v>
      </c>
      <c r="F179">
        <v>345.86</v>
      </c>
    </row>
    <row r="180" spans="1:6" x14ac:dyDescent="0.35">
      <c r="A180">
        <v>753</v>
      </c>
      <c r="B180" t="s">
        <v>134</v>
      </c>
      <c r="C180">
        <v>202602</v>
      </c>
      <c r="D180">
        <v>8254</v>
      </c>
      <c r="E180">
        <v>16.889016205598296</v>
      </c>
      <c r="F180">
        <v>488.72</v>
      </c>
    </row>
    <row r="181" spans="1:6" x14ac:dyDescent="0.35">
      <c r="A181">
        <v>754</v>
      </c>
      <c r="B181" t="s">
        <v>134</v>
      </c>
      <c r="C181">
        <v>202602</v>
      </c>
      <c r="D181">
        <v>0</v>
      </c>
      <c r="E181">
        <v>0</v>
      </c>
      <c r="F181">
        <v>601.51</v>
      </c>
    </row>
    <row r="182" spans="1:6" x14ac:dyDescent="0.35">
      <c r="A182">
        <v>614</v>
      </c>
      <c r="B182" t="s">
        <v>134</v>
      </c>
      <c r="C182">
        <v>202602</v>
      </c>
      <c r="D182">
        <v>5123</v>
      </c>
      <c r="E182">
        <v>9.1124155104944844</v>
      </c>
      <c r="F182">
        <v>562.20000000000005</v>
      </c>
    </row>
    <row r="183" spans="1:6" x14ac:dyDescent="0.35">
      <c r="A183">
        <v>797</v>
      </c>
      <c r="B183" t="s">
        <v>134</v>
      </c>
      <c r="C183">
        <v>202602</v>
      </c>
      <c r="D183">
        <v>534</v>
      </c>
      <c r="E183">
        <v>1.1871943085815917</v>
      </c>
      <c r="F183">
        <v>449.8</v>
      </c>
    </row>
    <row r="184" spans="1:6" x14ac:dyDescent="0.35">
      <c r="A184">
        <v>613</v>
      </c>
      <c r="B184" t="s">
        <v>134</v>
      </c>
      <c r="C184">
        <v>202602</v>
      </c>
      <c r="D184">
        <v>2562</v>
      </c>
      <c r="E184">
        <v>8.7589743589743598</v>
      </c>
      <c r="F184">
        <v>292.5</v>
      </c>
    </row>
    <row r="185" spans="1:6" x14ac:dyDescent="0.35">
      <c r="A185">
        <v>767</v>
      </c>
      <c r="B185" t="s">
        <v>134</v>
      </c>
      <c r="C185">
        <v>202602</v>
      </c>
      <c r="D185">
        <v>3979</v>
      </c>
      <c r="E185">
        <v>6.6338779593197739</v>
      </c>
      <c r="F185">
        <v>599.79999999999995</v>
      </c>
    </row>
    <row r="186" spans="1:6" x14ac:dyDescent="0.35">
      <c r="A186">
        <v>807</v>
      </c>
      <c r="B186" t="s">
        <v>134</v>
      </c>
      <c r="C186">
        <v>202602</v>
      </c>
      <c r="D186">
        <v>1111</v>
      </c>
      <c r="E186">
        <v>5.5549999999999997</v>
      </c>
      <c r="F186">
        <v>200</v>
      </c>
    </row>
    <row r="187" spans="1:6" x14ac:dyDescent="0.35">
      <c r="A187">
        <v>808</v>
      </c>
      <c r="B187" t="s">
        <v>134</v>
      </c>
      <c r="C187">
        <v>202602</v>
      </c>
      <c r="D187">
        <v>1518</v>
      </c>
      <c r="E187">
        <v>5.1503019610504168</v>
      </c>
      <c r="F187">
        <v>294.74</v>
      </c>
    </row>
    <row r="188" spans="1:6" x14ac:dyDescent="0.35">
      <c r="A188">
        <v>502</v>
      </c>
      <c r="B188" t="s">
        <v>135</v>
      </c>
      <c r="C188">
        <v>202602</v>
      </c>
      <c r="D188">
        <v>9576</v>
      </c>
      <c r="E188">
        <v>30.76725356637964</v>
      </c>
      <c r="F188">
        <v>311.24</v>
      </c>
    </row>
    <row r="189" spans="1:6" x14ac:dyDescent="0.35">
      <c r="A189">
        <v>504</v>
      </c>
      <c r="B189" t="s">
        <v>135</v>
      </c>
      <c r="C189">
        <v>202602</v>
      </c>
      <c r="D189">
        <v>17601</v>
      </c>
      <c r="E189">
        <v>40.322100295525878</v>
      </c>
      <c r="F189">
        <v>436.51</v>
      </c>
    </row>
    <row r="190" spans="1:6" x14ac:dyDescent="0.35">
      <c r="A190">
        <v>505</v>
      </c>
      <c r="B190" t="s">
        <v>135</v>
      </c>
      <c r="C190">
        <v>202602</v>
      </c>
      <c r="D190">
        <v>9701</v>
      </c>
      <c r="E190">
        <v>26.065344725670375</v>
      </c>
      <c r="F190">
        <v>372.18</v>
      </c>
    </row>
    <row r="191" spans="1:6" x14ac:dyDescent="0.35">
      <c r="A191">
        <v>506</v>
      </c>
      <c r="B191" t="s">
        <v>135</v>
      </c>
      <c r="C191">
        <v>202602</v>
      </c>
      <c r="D191">
        <v>10136</v>
      </c>
      <c r="E191">
        <v>21.397960691591546</v>
      </c>
      <c r="F191">
        <v>473.69</v>
      </c>
    </row>
    <row r="192" spans="1:6" x14ac:dyDescent="0.35">
      <c r="A192">
        <v>508</v>
      </c>
      <c r="B192" t="s">
        <v>135</v>
      </c>
      <c r="C192">
        <v>202602</v>
      </c>
      <c r="D192">
        <v>8887</v>
      </c>
      <c r="E192">
        <v>21.959476155176674</v>
      </c>
      <c r="F192">
        <v>404.7</v>
      </c>
    </row>
    <row r="193" spans="1:6" x14ac:dyDescent="0.35">
      <c r="A193">
        <v>507</v>
      </c>
      <c r="B193" t="s">
        <v>135</v>
      </c>
      <c r="C193">
        <v>202602</v>
      </c>
      <c r="D193">
        <v>6260</v>
      </c>
      <c r="E193">
        <v>23.185185185185187</v>
      </c>
      <c r="F193">
        <v>270</v>
      </c>
    </row>
    <row r="194" spans="1:6" x14ac:dyDescent="0.35">
      <c r="A194">
        <v>520</v>
      </c>
      <c r="B194" t="s">
        <v>135</v>
      </c>
      <c r="C194">
        <v>202602</v>
      </c>
      <c r="D194">
        <v>234</v>
      </c>
      <c r="E194">
        <v>3.4411764705882355</v>
      </c>
      <c r="F194">
        <v>68</v>
      </c>
    </row>
    <row r="195" spans="1:6" x14ac:dyDescent="0.35">
      <c r="A195">
        <v>521</v>
      </c>
      <c r="B195" t="s">
        <v>135</v>
      </c>
      <c r="C195">
        <v>202602</v>
      </c>
      <c r="D195">
        <v>1014</v>
      </c>
      <c r="E195">
        <v>8.7413793103448274</v>
      </c>
      <c r="F195">
        <v>116</v>
      </c>
    </row>
    <row r="196" spans="1:6" x14ac:dyDescent="0.35">
      <c r="A196">
        <v>784</v>
      </c>
      <c r="B196" t="s">
        <v>135</v>
      </c>
      <c r="C196">
        <v>202602</v>
      </c>
      <c r="D196">
        <v>112</v>
      </c>
      <c r="E196">
        <v>0.33214709371293</v>
      </c>
      <c r="F196">
        <v>337.2</v>
      </c>
    </row>
    <row r="197" spans="1:6" x14ac:dyDescent="0.35">
      <c r="A197">
        <v>785</v>
      </c>
      <c r="B197" t="s">
        <v>135</v>
      </c>
      <c r="C197">
        <v>202602</v>
      </c>
      <c r="D197">
        <v>0</v>
      </c>
      <c r="E197">
        <v>0</v>
      </c>
      <c r="F197">
        <v>562.20000000000005</v>
      </c>
    </row>
    <row r="198" spans="1:6" x14ac:dyDescent="0.35">
      <c r="A198">
        <v>758</v>
      </c>
      <c r="B198" t="s">
        <v>135</v>
      </c>
      <c r="C198">
        <v>202602</v>
      </c>
      <c r="D198">
        <v>3767</v>
      </c>
      <c r="E198">
        <v>5.5834704373990247</v>
      </c>
      <c r="F198">
        <v>674.67</v>
      </c>
    </row>
    <row r="199" spans="1:6" x14ac:dyDescent="0.35">
      <c r="A199">
        <v>757</v>
      </c>
      <c r="B199" t="s">
        <v>135</v>
      </c>
      <c r="C199">
        <v>202602</v>
      </c>
      <c r="D199">
        <v>6157</v>
      </c>
      <c r="E199">
        <v>12.444417495351281</v>
      </c>
      <c r="F199">
        <v>494.76</v>
      </c>
    </row>
    <row r="200" spans="1:6" x14ac:dyDescent="0.35">
      <c r="A200">
        <v>580</v>
      </c>
      <c r="B200" t="s">
        <v>135</v>
      </c>
      <c r="C200">
        <v>202602</v>
      </c>
      <c r="D200">
        <v>0</v>
      </c>
      <c r="E200">
        <v>0</v>
      </c>
      <c r="F200">
        <v>270.68</v>
      </c>
    </row>
    <row r="201" spans="1:6" x14ac:dyDescent="0.35">
      <c r="A201">
        <v>582</v>
      </c>
      <c r="B201" t="s">
        <v>135</v>
      </c>
      <c r="C201">
        <v>202602</v>
      </c>
      <c r="D201">
        <v>1660</v>
      </c>
      <c r="E201">
        <v>5.5195344970906071</v>
      </c>
      <c r="F201">
        <v>300.75</v>
      </c>
    </row>
    <row r="202" spans="1:6" x14ac:dyDescent="0.35">
      <c r="A202">
        <v>594</v>
      </c>
      <c r="B202" t="s">
        <v>135</v>
      </c>
      <c r="C202">
        <v>202602</v>
      </c>
      <c r="D202">
        <v>7834</v>
      </c>
      <c r="E202">
        <v>46.423703703703701</v>
      </c>
      <c r="F202">
        <v>168.75</v>
      </c>
    </row>
    <row r="203" spans="1:6" x14ac:dyDescent="0.35">
      <c r="A203">
        <v>595</v>
      </c>
      <c r="B203" t="s">
        <v>135</v>
      </c>
      <c r="C203">
        <v>202602</v>
      </c>
      <c r="D203">
        <v>5265</v>
      </c>
      <c r="E203">
        <v>70.2</v>
      </c>
      <c r="F203">
        <v>75</v>
      </c>
    </row>
    <row r="204" spans="1:6" x14ac:dyDescent="0.35">
      <c r="A204">
        <v>603</v>
      </c>
      <c r="B204" t="s">
        <v>135</v>
      </c>
      <c r="C204">
        <v>202602</v>
      </c>
      <c r="D204">
        <v>1151</v>
      </c>
      <c r="E204">
        <v>5.1028551161553466</v>
      </c>
      <c r="F204">
        <v>225.56</v>
      </c>
    </row>
    <row r="205" spans="1:6" x14ac:dyDescent="0.35">
      <c r="A205">
        <v>606</v>
      </c>
      <c r="B205" t="s">
        <v>135</v>
      </c>
      <c r="C205">
        <v>202602</v>
      </c>
      <c r="D205">
        <v>1121</v>
      </c>
      <c r="E205">
        <v>4.2725921408697642</v>
      </c>
      <c r="F205">
        <v>262.37</v>
      </c>
    </row>
    <row r="206" spans="1:6" x14ac:dyDescent="0.35">
      <c r="A206">
        <v>772</v>
      </c>
      <c r="B206" t="s">
        <v>135</v>
      </c>
      <c r="C206">
        <v>202602</v>
      </c>
      <c r="D206">
        <v>207</v>
      </c>
      <c r="E206">
        <v>1.0227272727272727</v>
      </c>
      <c r="F206">
        <v>202.4</v>
      </c>
    </row>
    <row r="207" spans="1:6" x14ac:dyDescent="0.35">
      <c r="A207">
        <v>615</v>
      </c>
      <c r="B207" t="s">
        <v>135</v>
      </c>
      <c r="C207">
        <v>202602</v>
      </c>
      <c r="D207">
        <v>1841</v>
      </c>
      <c r="E207">
        <v>6.8013890941332935</v>
      </c>
      <c r="F207">
        <v>270.68</v>
      </c>
    </row>
    <row r="208" spans="1:6" x14ac:dyDescent="0.35">
      <c r="A208">
        <v>617</v>
      </c>
      <c r="B208" t="s">
        <v>135</v>
      </c>
      <c r="C208">
        <v>202602</v>
      </c>
      <c r="D208">
        <v>559</v>
      </c>
      <c r="E208">
        <v>1.2422222222222221</v>
      </c>
      <c r="F208">
        <v>450</v>
      </c>
    </row>
    <row r="209" spans="1:6" x14ac:dyDescent="0.35">
      <c r="A209">
        <v>751</v>
      </c>
      <c r="B209" t="s">
        <v>135</v>
      </c>
      <c r="C209">
        <v>202602</v>
      </c>
      <c r="D209">
        <v>1967</v>
      </c>
      <c r="E209">
        <v>9.6891778730111824</v>
      </c>
      <c r="F209">
        <v>203.01</v>
      </c>
    </row>
    <row r="210" spans="1:6" x14ac:dyDescent="0.35">
      <c r="A210">
        <v>752</v>
      </c>
      <c r="B210" t="s">
        <v>135</v>
      </c>
      <c r="C210">
        <v>202602</v>
      </c>
      <c r="D210">
        <v>9187</v>
      </c>
      <c r="E210">
        <v>26.56277106343607</v>
      </c>
      <c r="F210">
        <v>345.86</v>
      </c>
    </row>
    <row r="211" spans="1:6" x14ac:dyDescent="0.35">
      <c r="A211">
        <v>753</v>
      </c>
      <c r="B211" t="s">
        <v>135</v>
      </c>
      <c r="C211">
        <v>202602</v>
      </c>
      <c r="D211">
        <v>10523</v>
      </c>
      <c r="E211">
        <v>21.531756424946799</v>
      </c>
      <c r="F211">
        <v>488.72</v>
      </c>
    </row>
    <row r="212" spans="1:6" x14ac:dyDescent="0.35">
      <c r="A212">
        <v>754</v>
      </c>
      <c r="B212" t="s">
        <v>135</v>
      </c>
      <c r="C212">
        <v>202602</v>
      </c>
      <c r="D212">
        <v>482</v>
      </c>
      <c r="E212">
        <v>0.80131668633937925</v>
      </c>
      <c r="F212">
        <v>601.51</v>
      </c>
    </row>
    <row r="213" spans="1:6" x14ac:dyDescent="0.35">
      <c r="A213">
        <v>614</v>
      </c>
      <c r="B213" t="s">
        <v>135</v>
      </c>
      <c r="C213">
        <v>202602</v>
      </c>
      <c r="D213">
        <v>3850</v>
      </c>
      <c r="E213">
        <v>6.8480967627178932</v>
      </c>
      <c r="F213">
        <v>562.20000000000005</v>
      </c>
    </row>
    <row r="214" spans="1:6" x14ac:dyDescent="0.35">
      <c r="A214">
        <v>797</v>
      </c>
      <c r="B214" t="s">
        <v>135</v>
      </c>
      <c r="C214">
        <v>202602</v>
      </c>
      <c r="D214">
        <v>376</v>
      </c>
      <c r="E214">
        <v>0.83592707870164518</v>
      </c>
      <c r="F214">
        <v>449.8</v>
      </c>
    </row>
    <row r="215" spans="1:6" x14ac:dyDescent="0.35">
      <c r="A215">
        <v>613</v>
      </c>
      <c r="B215" t="s">
        <v>135</v>
      </c>
      <c r="C215">
        <v>202602</v>
      </c>
      <c r="D215">
        <v>1964</v>
      </c>
      <c r="E215">
        <v>6.7145299145299147</v>
      </c>
      <c r="F215">
        <v>292.5</v>
      </c>
    </row>
    <row r="216" spans="1:6" x14ac:dyDescent="0.35">
      <c r="A216">
        <v>767</v>
      </c>
      <c r="B216" t="s">
        <v>135</v>
      </c>
      <c r="C216">
        <v>202602</v>
      </c>
      <c r="D216">
        <v>4199</v>
      </c>
      <c r="E216">
        <v>7.0006668889629884</v>
      </c>
      <c r="F216">
        <v>599.79999999999995</v>
      </c>
    </row>
    <row r="217" spans="1:6" x14ac:dyDescent="0.35">
      <c r="A217">
        <v>807</v>
      </c>
      <c r="B217" t="s">
        <v>135</v>
      </c>
      <c r="C217">
        <v>202602</v>
      </c>
      <c r="D217">
        <v>783</v>
      </c>
      <c r="E217">
        <v>3.915</v>
      </c>
      <c r="F217">
        <v>200</v>
      </c>
    </row>
    <row r="218" spans="1:6" x14ac:dyDescent="0.35">
      <c r="A218">
        <v>808</v>
      </c>
      <c r="B218" t="s">
        <v>135</v>
      </c>
      <c r="C218">
        <v>202602</v>
      </c>
      <c r="D218">
        <v>1070</v>
      </c>
      <c r="E218">
        <v>3.6303182465902148</v>
      </c>
      <c r="F218">
        <v>294.74</v>
      </c>
    </row>
    <row r="219" spans="1:6" x14ac:dyDescent="0.35">
      <c r="A219">
        <v>502</v>
      </c>
      <c r="B219" t="s">
        <v>136</v>
      </c>
      <c r="C219">
        <v>202602</v>
      </c>
      <c r="D219">
        <v>15380</v>
      </c>
      <c r="E219">
        <v>49.415242256779329</v>
      </c>
      <c r="F219">
        <v>311.24</v>
      </c>
    </row>
    <row r="220" spans="1:6" x14ac:dyDescent="0.35">
      <c r="A220">
        <v>504</v>
      </c>
      <c r="B220" t="s">
        <v>136</v>
      </c>
      <c r="C220">
        <v>202602</v>
      </c>
      <c r="D220">
        <v>27283</v>
      </c>
      <c r="E220">
        <v>62.502577260543859</v>
      </c>
      <c r="F220">
        <v>436.51</v>
      </c>
    </row>
    <row r="221" spans="1:6" x14ac:dyDescent="0.35">
      <c r="A221">
        <v>505</v>
      </c>
      <c r="B221" t="s">
        <v>136</v>
      </c>
      <c r="C221">
        <v>202602</v>
      </c>
      <c r="D221">
        <v>14452</v>
      </c>
      <c r="E221">
        <v>38.830673330109086</v>
      </c>
      <c r="F221">
        <v>372.18</v>
      </c>
    </row>
    <row r="222" spans="1:6" x14ac:dyDescent="0.35">
      <c r="A222">
        <v>506</v>
      </c>
      <c r="B222" t="s">
        <v>136</v>
      </c>
      <c r="C222">
        <v>202602</v>
      </c>
      <c r="D222">
        <v>16086</v>
      </c>
      <c r="E222">
        <v>33.958918279887691</v>
      </c>
      <c r="F222">
        <v>473.69</v>
      </c>
    </row>
    <row r="223" spans="1:6" x14ac:dyDescent="0.35">
      <c r="A223">
        <v>508</v>
      </c>
      <c r="B223" t="s">
        <v>136</v>
      </c>
      <c r="C223">
        <v>202602</v>
      </c>
      <c r="D223">
        <v>11188</v>
      </c>
      <c r="E223">
        <v>27.645169261181124</v>
      </c>
      <c r="F223">
        <v>404.7</v>
      </c>
    </row>
    <row r="224" spans="1:6" x14ac:dyDescent="0.35">
      <c r="A224">
        <v>507</v>
      </c>
      <c r="B224" t="s">
        <v>136</v>
      </c>
      <c r="C224">
        <v>202602</v>
      </c>
      <c r="D224">
        <v>8758</v>
      </c>
      <c r="E224">
        <v>32.437037037037037</v>
      </c>
      <c r="F224">
        <v>270</v>
      </c>
    </row>
    <row r="225" spans="1:6" x14ac:dyDescent="0.35">
      <c r="A225">
        <v>520</v>
      </c>
      <c r="B225" t="s">
        <v>136</v>
      </c>
      <c r="C225">
        <v>202602</v>
      </c>
      <c r="D225">
        <v>196</v>
      </c>
      <c r="E225">
        <v>2.8823529411764706</v>
      </c>
      <c r="F225">
        <v>68</v>
      </c>
    </row>
    <row r="226" spans="1:6" x14ac:dyDescent="0.35">
      <c r="A226">
        <v>521</v>
      </c>
      <c r="B226" t="s">
        <v>136</v>
      </c>
      <c r="C226">
        <v>202602</v>
      </c>
      <c r="D226">
        <v>1054</v>
      </c>
      <c r="E226">
        <v>9.0862068965517242</v>
      </c>
      <c r="F226">
        <v>116</v>
      </c>
    </row>
    <row r="227" spans="1:6" x14ac:dyDescent="0.35">
      <c r="A227">
        <v>784</v>
      </c>
      <c r="B227" t="s">
        <v>136</v>
      </c>
      <c r="C227">
        <v>202602</v>
      </c>
      <c r="D227">
        <v>974</v>
      </c>
      <c r="E227">
        <v>2.8884934756820879</v>
      </c>
      <c r="F227">
        <v>337.2</v>
      </c>
    </row>
    <row r="228" spans="1:6" x14ac:dyDescent="0.35">
      <c r="A228">
        <v>785</v>
      </c>
      <c r="B228" t="s">
        <v>136</v>
      </c>
      <c r="C228">
        <v>202602</v>
      </c>
      <c r="D228">
        <v>1290</v>
      </c>
      <c r="E228">
        <v>2.2945570971184628</v>
      </c>
      <c r="F228">
        <v>562.20000000000005</v>
      </c>
    </row>
    <row r="229" spans="1:6" x14ac:dyDescent="0.35">
      <c r="A229">
        <v>758</v>
      </c>
      <c r="B229" t="s">
        <v>136</v>
      </c>
      <c r="C229">
        <v>202602</v>
      </c>
      <c r="D229">
        <v>5348</v>
      </c>
      <c r="E229">
        <v>7.9268383061348517</v>
      </c>
      <c r="F229">
        <v>674.67</v>
      </c>
    </row>
    <row r="230" spans="1:6" x14ac:dyDescent="0.35">
      <c r="A230">
        <v>757</v>
      </c>
      <c r="B230" t="s">
        <v>136</v>
      </c>
      <c r="C230">
        <v>202602</v>
      </c>
      <c r="D230">
        <v>7723</v>
      </c>
      <c r="E230">
        <v>15.6095884873474</v>
      </c>
      <c r="F230">
        <v>494.76</v>
      </c>
    </row>
    <row r="231" spans="1:6" x14ac:dyDescent="0.35">
      <c r="A231">
        <v>580</v>
      </c>
      <c r="B231" t="s">
        <v>136</v>
      </c>
      <c r="C231">
        <v>202602</v>
      </c>
      <c r="D231">
        <v>0</v>
      </c>
      <c r="E231">
        <v>0</v>
      </c>
      <c r="F231">
        <v>270.68</v>
      </c>
    </row>
    <row r="232" spans="1:6" x14ac:dyDescent="0.35">
      <c r="A232">
        <v>582</v>
      </c>
      <c r="B232" t="s">
        <v>136</v>
      </c>
      <c r="C232">
        <v>202602</v>
      </c>
      <c r="D232">
        <v>1182</v>
      </c>
      <c r="E232">
        <v>3.9301745635910224</v>
      </c>
      <c r="F232">
        <v>300.75</v>
      </c>
    </row>
    <row r="233" spans="1:6" x14ac:dyDescent="0.35">
      <c r="A233">
        <v>594</v>
      </c>
      <c r="B233" t="s">
        <v>136</v>
      </c>
      <c r="C233">
        <v>202602</v>
      </c>
      <c r="D233">
        <v>13328</v>
      </c>
      <c r="E233">
        <v>78.980740740740742</v>
      </c>
      <c r="F233">
        <v>168.75</v>
      </c>
    </row>
    <row r="234" spans="1:6" x14ac:dyDescent="0.35">
      <c r="A234">
        <v>595</v>
      </c>
      <c r="B234" t="s">
        <v>136</v>
      </c>
      <c r="C234">
        <v>202602</v>
      </c>
      <c r="D234">
        <v>8656</v>
      </c>
      <c r="E234">
        <v>115.41333333333333</v>
      </c>
      <c r="F234">
        <v>75</v>
      </c>
    </row>
    <row r="235" spans="1:6" x14ac:dyDescent="0.35">
      <c r="A235">
        <v>603</v>
      </c>
      <c r="B235" t="s">
        <v>136</v>
      </c>
      <c r="C235">
        <v>202602</v>
      </c>
      <c r="D235">
        <v>2835</v>
      </c>
      <c r="E235">
        <v>12.568717857776202</v>
      </c>
      <c r="F235">
        <v>225.56</v>
      </c>
    </row>
    <row r="236" spans="1:6" x14ac:dyDescent="0.35">
      <c r="A236">
        <v>606</v>
      </c>
      <c r="B236" t="s">
        <v>136</v>
      </c>
      <c r="C236">
        <v>202602</v>
      </c>
      <c r="D236">
        <v>2777</v>
      </c>
      <c r="E236">
        <v>10.584289362350878</v>
      </c>
      <c r="F236">
        <v>262.37</v>
      </c>
    </row>
    <row r="237" spans="1:6" x14ac:dyDescent="0.35">
      <c r="A237">
        <v>772</v>
      </c>
      <c r="B237" t="s">
        <v>136</v>
      </c>
      <c r="C237">
        <v>202602</v>
      </c>
      <c r="D237">
        <v>0</v>
      </c>
      <c r="E237">
        <v>0</v>
      </c>
      <c r="F237">
        <v>202.4</v>
      </c>
    </row>
    <row r="238" spans="1:6" x14ac:dyDescent="0.35">
      <c r="A238">
        <v>615</v>
      </c>
      <c r="B238" t="s">
        <v>136</v>
      </c>
      <c r="C238">
        <v>202602</v>
      </c>
      <c r="D238">
        <v>2492</v>
      </c>
      <c r="E238">
        <v>9.2064430323629374</v>
      </c>
      <c r="F238">
        <v>270.68</v>
      </c>
    </row>
    <row r="239" spans="1:6" x14ac:dyDescent="0.35">
      <c r="A239">
        <v>617</v>
      </c>
      <c r="B239" t="s">
        <v>136</v>
      </c>
      <c r="C239">
        <v>202602</v>
      </c>
      <c r="D239">
        <v>948</v>
      </c>
      <c r="E239">
        <v>2.1066666666666665</v>
      </c>
      <c r="F239">
        <v>450</v>
      </c>
    </row>
    <row r="240" spans="1:6" x14ac:dyDescent="0.35">
      <c r="A240">
        <v>751</v>
      </c>
      <c r="B240" t="s">
        <v>136</v>
      </c>
      <c r="C240">
        <v>202602</v>
      </c>
      <c r="D240">
        <v>2529</v>
      </c>
      <c r="E240">
        <v>12.457514408157234</v>
      </c>
      <c r="F240">
        <v>203.01</v>
      </c>
    </row>
    <row r="241" spans="1:6" x14ac:dyDescent="0.35">
      <c r="A241">
        <v>752</v>
      </c>
      <c r="B241" t="s">
        <v>136</v>
      </c>
      <c r="C241">
        <v>202602</v>
      </c>
      <c r="D241">
        <v>10456</v>
      </c>
      <c r="E241">
        <v>30.231885734112069</v>
      </c>
      <c r="F241">
        <v>345.86</v>
      </c>
    </row>
    <row r="242" spans="1:6" x14ac:dyDescent="0.35">
      <c r="A242">
        <v>753</v>
      </c>
      <c r="B242" t="s">
        <v>136</v>
      </c>
      <c r="C242">
        <v>202602</v>
      </c>
      <c r="D242">
        <v>17093</v>
      </c>
      <c r="E242">
        <v>34.975036830905218</v>
      </c>
      <c r="F242">
        <v>488.72</v>
      </c>
    </row>
    <row r="243" spans="1:6" x14ac:dyDescent="0.35">
      <c r="A243">
        <v>754</v>
      </c>
      <c r="B243" t="s">
        <v>136</v>
      </c>
      <c r="C243">
        <v>202602</v>
      </c>
      <c r="D243">
        <v>6966</v>
      </c>
      <c r="E243">
        <v>11.580854848630945</v>
      </c>
      <c r="F243">
        <v>601.51</v>
      </c>
    </row>
    <row r="244" spans="1:6" x14ac:dyDescent="0.35">
      <c r="A244">
        <v>614</v>
      </c>
      <c r="B244" t="s">
        <v>136</v>
      </c>
      <c r="C244">
        <v>202602</v>
      </c>
      <c r="D244">
        <v>6813</v>
      </c>
      <c r="E244">
        <v>12.118463180362859</v>
      </c>
      <c r="F244">
        <v>562.20000000000005</v>
      </c>
    </row>
    <row r="245" spans="1:6" x14ac:dyDescent="0.35">
      <c r="A245">
        <v>797</v>
      </c>
      <c r="B245" t="s">
        <v>136</v>
      </c>
      <c r="C245">
        <v>202602</v>
      </c>
      <c r="D245">
        <v>427</v>
      </c>
      <c r="E245">
        <v>0.94931080480213426</v>
      </c>
      <c r="F245">
        <v>449.8</v>
      </c>
    </row>
    <row r="246" spans="1:6" x14ac:dyDescent="0.35">
      <c r="A246">
        <v>613</v>
      </c>
      <c r="B246" t="s">
        <v>136</v>
      </c>
      <c r="C246">
        <v>202602</v>
      </c>
      <c r="D246">
        <v>3620</v>
      </c>
      <c r="E246">
        <v>12.376068376068377</v>
      </c>
      <c r="F246">
        <v>292.5</v>
      </c>
    </row>
    <row r="247" spans="1:6" x14ac:dyDescent="0.35">
      <c r="A247">
        <v>767</v>
      </c>
      <c r="B247" t="s">
        <v>136</v>
      </c>
      <c r="C247">
        <v>202602</v>
      </c>
      <c r="D247">
        <v>8827</v>
      </c>
      <c r="E247">
        <v>14.716572190730245</v>
      </c>
      <c r="F247">
        <v>599.79999999999995</v>
      </c>
    </row>
    <row r="248" spans="1:6" x14ac:dyDescent="0.35">
      <c r="A248">
        <v>807</v>
      </c>
      <c r="B248" t="s">
        <v>136</v>
      </c>
      <c r="C248">
        <v>202602</v>
      </c>
      <c r="D248">
        <v>900</v>
      </c>
      <c r="E248">
        <v>4.5</v>
      </c>
      <c r="F248">
        <v>200</v>
      </c>
    </row>
    <row r="249" spans="1:6" x14ac:dyDescent="0.35">
      <c r="A249">
        <v>808</v>
      </c>
      <c r="B249" t="s">
        <v>136</v>
      </c>
      <c r="C249">
        <v>202602</v>
      </c>
      <c r="D249">
        <v>1082</v>
      </c>
      <c r="E249">
        <v>3.6710320960846845</v>
      </c>
      <c r="F249">
        <v>294.74</v>
      </c>
    </row>
    <row r="250" spans="1:6" x14ac:dyDescent="0.35">
      <c r="A250">
        <v>502</v>
      </c>
      <c r="B250" t="s">
        <v>163</v>
      </c>
      <c r="C250">
        <v>202602</v>
      </c>
      <c r="D250">
        <v>34376</v>
      </c>
      <c r="E250">
        <v>110.44852846677804</v>
      </c>
      <c r="F250">
        <v>311.24</v>
      </c>
    </row>
    <row r="251" spans="1:6" x14ac:dyDescent="0.35">
      <c r="A251">
        <v>504</v>
      </c>
      <c r="B251" t="s">
        <v>163</v>
      </c>
      <c r="C251">
        <v>202602</v>
      </c>
      <c r="D251">
        <v>65672</v>
      </c>
      <c r="E251">
        <v>150.44787061006622</v>
      </c>
      <c r="F251">
        <v>436.51</v>
      </c>
    </row>
    <row r="252" spans="1:6" x14ac:dyDescent="0.35">
      <c r="A252">
        <v>505</v>
      </c>
      <c r="B252" t="s">
        <v>163</v>
      </c>
      <c r="C252">
        <v>202602</v>
      </c>
      <c r="D252">
        <v>24927</v>
      </c>
      <c r="E252">
        <v>66.975656940190234</v>
      </c>
      <c r="F252">
        <v>372.18</v>
      </c>
    </row>
    <row r="253" spans="1:6" x14ac:dyDescent="0.35">
      <c r="A253">
        <v>506</v>
      </c>
      <c r="B253" t="s">
        <v>163</v>
      </c>
      <c r="C253">
        <v>202602</v>
      </c>
      <c r="D253">
        <v>23106</v>
      </c>
      <c r="E253">
        <v>48.77873714876818</v>
      </c>
      <c r="F253">
        <v>473.69</v>
      </c>
    </row>
    <row r="254" spans="1:6" x14ac:dyDescent="0.35">
      <c r="A254">
        <v>508</v>
      </c>
      <c r="B254" t="s">
        <v>163</v>
      </c>
      <c r="C254">
        <v>202602</v>
      </c>
      <c r="D254">
        <v>30242</v>
      </c>
      <c r="E254">
        <v>74.726958240672104</v>
      </c>
      <c r="F254">
        <v>404.7</v>
      </c>
    </row>
    <row r="255" spans="1:6" x14ac:dyDescent="0.35">
      <c r="A255">
        <v>507</v>
      </c>
      <c r="B255" t="s">
        <v>163</v>
      </c>
      <c r="C255">
        <v>202602</v>
      </c>
      <c r="D255">
        <v>22003</v>
      </c>
      <c r="E255">
        <v>81.492592592592587</v>
      </c>
      <c r="F255">
        <v>270</v>
      </c>
    </row>
    <row r="256" spans="1:6" x14ac:dyDescent="0.35">
      <c r="A256">
        <v>520</v>
      </c>
      <c r="B256" t="s">
        <v>163</v>
      </c>
      <c r="C256">
        <v>202602</v>
      </c>
      <c r="D256">
        <v>271</v>
      </c>
      <c r="E256">
        <v>3.9852941176470589</v>
      </c>
      <c r="F256">
        <v>68</v>
      </c>
    </row>
    <row r="257" spans="1:6" x14ac:dyDescent="0.35">
      <c r="A257">
        <v>521</v>
      </c>
      <c r="B257" t="s">
        <v>163</v>
      </c>
      <c r="C257">
        <v>202602</v>
      </c>
      <c r="D257">
        <v>2312</v>
      </c>
      <c r="E257">
        <v>19.931034482758619</v>
      </c>
      <c r="F257">
        <v>116</v>
      </c>
    </row>
    <row r="258" spans="1:6" x14ac:dyDescent="0.35">
      <c r="A258">
        <v>784</v>
      </c>
      <c r="B258" t="s">
        <v>163</v>
      </c>
      <c r="C258">
        <v>202602</v>
      </c>
      <c r="D258">
        <v>557</v>
      </c>
      <c r="E258">
        <v>1.6518386714116251</v>
      </c>
      <c r="F258">
        <v>337.2</v>
      </c>
    </row>
    <row r="259" spans="1:6" x14ac:dyDescent="0.35">
      <c r="A259">
        <v>785</v>
      </c>
      <c r="B259" t="s">
        <v>163</v>
      </c>
      <c r="C259">
        <v>202602</v>
      </c>
      <c r="D259">
        <v>834</v>
      </c>
      <c r="E259">
        <v>1.4834578441835644</v>
      </c>
      <c r="F259">
        <v>562.20000000000005</v>
      </c>
    </row>
    <row r="260" spans="1:6" x14ac:dyDescent="0.35">
      <c r="A260">
        <v>758</v>
      </c>
      <c r="B260" t="s">
        <v>163</v>
      </c>
      <c r="C260">
        <v>202602</v>
      </c>
      <c r="D260">
        <v>4710</v>
      </c>
      <c r="E260">
        <v>6.9811908043932593</v>
      </c>
      <c r="F260">
        <v>674.67</v>
      </c>
    </row>
    <row r="261" spans="1:6" x14ac:dyDescent="0.35">
      <c r="A261">
        <v>757</v>
      </c>
      <c r="B261" t="s">
        <v>163</v>
      </c>
      <c r="C261">
        <v>202602</v>
      </c>
      <c r="D261">
        <v>12224</v>
      </c>
      <c r="E261">
        <v>24.706928611852213</v>
      </c>
      <c r="F261">
        <v>494.76</v>
      </c>
    </row>
    <row r="262" spans="1:6" x14ac:dyDescent="0.35">
      <c r="A262">
        <v>580</v>
      </c>
      <c r="B262" t="s">
        <v>163</v>
      </c>
      <c r="C262">
        <v>202602</v>
      </c>
      <c r="D262">
        <v>0</v>
      </c>
      <c r="E262">
        <v>0</v>
      </c>
      <c r="F262">
        <v>270.68</v>
      </c>
    </row>
    <row r="263" spans="1:6" x14ac:dyDescent="0.35">
      <c r="A263">
        <v>582</v>
      </c>
      <c r="B263" t="s">
        <v>163</v>
      </c>
      <c r="C263">
        <v>202602</v>
      </c>
      <c r="D263">
        <v>1416</v>
      </c>
      <c r="E263">
        <v>4.7082294264339151</v>
      </c>
      <c r="F263">
        <v>300.75</v>
      </c>
    </row>
    <row r="264" spans="1:6" x14ac:dyDescent="0.35">
      <c r="A264">
        <v>594</v>
      </c>
      <c r="B264" t="s">
        <v>163</v>
      </c>
      <c r="C264">
        <v>202602</v>
      </c>
      <c r="D264">
        <v>18138</v>
      </c>
      <c r="E264">
        <v>107.48444444444445</v>
      </c>
      <c r="F264">
        <v>168.75</v>
      </c>
    </row>
    <row r="265" spans="1:6" x14ac:dyDescent="0.35">
      <c r="A265">
        <v>595</v>
      </c>
      <c r="B265" t="s">
        <v>163</v>
      </c>
      <c r="C265">
        <v>202602</v>
      </c>
      <c r="D265">
        <v>18978</v>
      </c>
      <c r="E265">
        <v>253.04</v>
      </c>
      <c r="F265">
        <v>75</v>
      </c>
    </row>
    <row r="266" spans="1:6" x14ac:dyDescent="0.35">
      <c r="A266">
        <v>603</v>
      </c>
      <c r="B266" t="s">
        <v>163</v>
      </c>
      <c r="C266">
        <v>202602</v>
      </c>
      <c r="D266">
        <v>3257</v>
      </c>
      <c r="E266">
        <v>14.439616953360526</v>
      </c>
      <c r="F266">
        <v>225.56</v>
      </c>
    </row>
    <row r="267" spans="1:6" x14ac:dyDescent="0.35">
      <c r="A267">
        <v>606</v>
      </c>
      <c r="B267" t="s">
        <v>163</v>
      </c>
      <c r="C267">
        <v>202602</v>
      </c>
      <c r="D267">
        <v>8503</v>
      </c>
      <c r="E267">
        <v>32.408430841940771</v>
      </c>
      <c r="F267">
        <v>262.37</v>
      </c>
    </row>
    <row r="268" spans="1:6" x14ac:dyDescent="0.35">
      <c r="A268">
        <v>772</v>
      </c>
      <c r="B268" t="s">
        <v>163</v>
      </c>
      <c r="C268">
        <v>202602</v>
      </c>
      <c r="D268">
        <v>319</v>
      </c>
      <c r="E268">
        <v>1.576086956521739</v>
      </c>
      <c r="F268">
        <v>202.4</v>
      </c>
    </row>
    <row r="269" spans="1:6" x14ac:dyDescent="0.35">
      <c r="A269">
        <v>615</v>
      </c>
      <c r="B269" t="s">
        <v>163</v>
      </c>
      <c r="C269">
        <v>202602</v>
      </c>
      <c r="D269">
        <v>4882</v>
      </c>
      <c r="E269">
        <v>18.03605733707699</v>
      </c>
      <c r="F269">
        <v>270.68</v>
      </c>
    </row>
    <row r="270" spans="1:6" x14ac:dyDescent="0.35">
      <c r="A270">
        <v>617</v>
      </c>
      <c r="B270" t="s">
        <v>163</v>
      </c>
      <c r="C270">
        <v>202602</v>
      </c>
      <c r="D270">
        <v>1344</v>
      </c>
      <c r="E270">
        <v>2.9866666666666668</v>
      </c>
      <c r="F270">
        <v>450</v>
      </c>
    </row>
    <row r="271" spans="1:6" x14ac:dyDescent="0.35">
      <c r="A271">
        <v>751</v>
      </c>
      <c r="B271" t="s">
        <v>163</v>
      </c>
      <c r="C271">
        <v>202602</v>
      </c>
      <c r="D271">
        <v>339</v>
      </c>
      <c r="E271">
        <v>1.6698684793852521</v>
      </c>
      <c r="F271">
        <v>203.01</v>
      </c>
    </row>
    <row r="272" spans="1:6" x14ac:dyDescent="0.35">
      <c r="A272">
        <v>752</v>
      </c>
      <c r="B272" t="s">
        <v>163</v>
      </c>
      <c r="C272">
        <v>202602</v>
      </c>
      <c r="D272">
        <v>2903</v>
      </c>
      <c r="E272">
        <v>8.393569652460533</v>
      </c>
      <c r="F272">
        <v>345.86</v>
      </c>
    </row>
    <row r="273" spans="1:6" x14ac:dyDescent="0.35">
      <c r="A273">
        <v>753</v>
      </c>
      <c r="B273" t="s">
        <v>163</v>
      </c>
      <c r="C273">
        <v>202602</v>
      </c>
      <c r="D273">
        <v>6827</v>
      </c>
      <c r="E273">
        <v>13.969143886069732</v>
      </c>
      <c r="F273">
        <v>488.72</v>
      </c>
    </row>
    <row r="274" spans="1:6" x14ac:dyDescent="0.35">
      <c r="A274">
        <v>754</v>
      </c>
      <c r="B274" t="s">
        <v>163</v>
      </c>
      <c r="C274">
        <v>202602</v>
      </c>
      <c r="D274">
        <v>1018</v>
      </c>
      <c r="E274">
        <v>1.6924074412727967</v>
      </c>
      <c r="F274">
        <v>601.51</v>
      </c>
    </row>
    <row r="275" spans="1:6" x14ac:dyDescent="0.35">
      <c r="A275">
        <v>614</v>
      </c>
      <c r="B275" t="s">
        <v>163</v>
      </c>
      <c r="C275">
        <v>202602</v>
      </c>
      <c r="D275">
        <v>12441</v>
      </c>
      <c r="E275">
        <v>22.129135538954106</v>
      </c>
      <c r="F275">
        <v>562.20000000000005</v>
      </c>
    </row>
    <row r="276" spans="1:6" x14ac:dyDescent="0.35">
      <c r="A276">
        <v>797</v>
      </c>
      <c r="B276" t="s">
        <v>163</v>
      </c>
      <c r="C276">
        <v>202602</v>
      </c>
      <c r="D276">
        <v>1110</v>
      </c>
      <c r="E276">
        <v>2.4677634504224097</v>
      </c>
      <c r="F276">
        <v>449.8</v>
      </c>
    </row>
    <row r="277" spans="1:6" x14ac:dyDescent="0.35">
      <c r="A277">
        <v>613</v>
      </c>
      <c r="B277" t="s">
        <v>163</v>
      </c>
      <c r="C277">
        <v>202602</v>
      </c>
      <c r="D277">
        <v>7444</v>
      </c>
      <c r="E277">
        <v>25.449572649572648</v>
      </c>
      <c r="F277">
        <v>292.5</v>
      </c>
    </row>
    <row r="278" spans="1:6" x14ac:dyDescent="0.35">
      <c r="A278">
        <v>767</v>
      </c>
      <c r="B278" t="s">
        <v>163</v>
      </c>
      <c r="C278">
        <v>202602</v>
      </c>
      <c r="D278">
        <v>7512</v>
      </c>
      <c r="E278">
        <v>12.524174724908304</v>
      </c>
      <c r="F278">
        <v>599.79999999999995</v>
      </c>
    </row>
    <row r="279" spans="1:6" x14ac:dyDescent="0.35">
      <c r="A279">
        <v>807</v>
      </c>
      <c r="B279" t="s">
        <v>163</v>
      </c>
      <c r="C279">
        <v>202602</v>
      </c>
      <c r="D279">
        <v>673</v>
      </c>
      <c r="E279">
        <v>3.3650000000000002</v>
      </c>
      <c r="F279">
        <v>200</v>
      </c>
    </row>
    <row r="280" spans="1:6" x14ac:dyDescent="0.35">
      <c r="A280">
        <v>808</v>
      </c>
      <c r="B280" t="s">
        <v>163</v>
      </c>
      <c r="C280">
        <v>202602</v>
      </c>
      <c r="D280">
        <v>1283</v>
      </c>
      <c r="E280">
        <v>4.3529890751170521</v>
      </c>
      <c r="F280">
        <v>294.74</v>
      </c>
    </row>
    <row r="281" spans="1:6" x14ac:dyDescent="0.35">
      <c r="A281">
        <v>502</v>
      </c>
      <c r="B281" t="s">
        <v>164</v>
      </c>
      <c r="C281">
        <v>202602</v>
      </c>
      <c r="D281">
        <v>38958</v>
      </c>
      <c r="E281">
        <v>125.17028659555326</v>
      </c>
      <c r="F281">
        <v>311.24</v>
      </c>
    </row>
    <row r="282" spans="1:6" x14ac:dyDescent="0.35">
      <c r="A282">
        <v>504</v>
      </c>
      <c r="B282" t="s">
        <v>164</v>
      </c>
      <c r="C282">
        <v>202602</v>
      </c>
      <c r="D282">
        <v>74529</v>
      </c>
      <c r="E282">
        <v>170.73835650958742</v>
      </c>
      <c r="F282">
        <v>436.51</v>
      </c>
    </row>
    <row r="283" spans="1:6" x14ac:dyDescent="0.35">
      <c r="A283">
        <v>505</v>
      </c>
      <c r="B283" t="s">
        <v>164</v>
      </c>
      <c r="C283">
        <v>202602</v>
      </c>
      <c r="D283">
        <v>28947</v>
      </c>
      <c r="E283">
        <v>77.776882153796549</v>
      </c>
      <c r="F283">
        <v>372.18</v>
      </c>
    </row>
    <row r="284" spans="1:6" x14ac:dyDescent="0.35">
      <c r="A284">
        <v>506</v>
      </c>
      <c r="B284" t="s">
        <v>164</v>
      </c>
      <c r="C284">
        <v>202602</v>
      </c>
      <c r="D284">
        <v>25864</v>
      </c>
      <c r="E284">
        <v>54.601110430872509</v>
      </c>
      <c r="F284">
        <v>473.69</v>
      </c>
    </row>
    <row r="285" spans="1:6" x14ac:dyDescent="0.35">
      <c r="A285">
        <v>508</v>
      </c>
      <c r="B285" t="s">
        <v>164</v>
      </c>
      <c r="C285">
        <v>202602</v>
      </c>
      <c r="D285">
        <v>33079</v>
      </c>
      <c r="E285">
        <v>81.737089201877936</v>
      </c>
      <c r="F285">
        <v>404.7</v>
      </c>
    </row>
    <row r="286" spans="1:6" x14ac:dyDescent="0.35">
      <c r="A286">
        <v>507</v>
      </c>
      <c r="B286" t="s">
        <v>164</v>
      </c>
      <c r="C286">
        <v>202602</v>
      </c>
      <c r="D286">
        <v>23724</v>
      </c>
      <c r="E286">
        <v>87.86666666666666</v>
      </c>
      <c r="F286">
        <v>270</v>
      </c>
    </row>
    <row r="287" spans="1:6" x14ac:dyDescent="0.35">
      <c r="A287">
        <v>520</v>
      </c>
      <c r="B287" t="s">
        <v>164</v>
      </c>
      <c r="C287">
        <v>202602</v>
      </c>
      <c r="D287">
        <v>254</v>
      </c>
      <c r="E287">
        <v>3.7352941176470589</v>
      </c>
      <c r="F287">
        <v>68</v>
      </c>
    </row>
    <row r="288" spans="1:6" x14ac:dyDescent="0.35">
      <c r="A288">
        <v>521</v>
      </c>
      <c r="B288" t="s">
        <v>164</v>
      </c>
      <c r="C288">
        <v>202602</v>
      </c>
      <c r="D288">
        <v>2294</v>
      </c>
      <c r="E288">
        <v>19.775862068965516</v>
      </c>
      <c r="F288">
        <v>116</v>
      </c>
    </row>
    <row r="289" spans="1:6" x14ac:dyDescent="0.35">
      <c r="A289">
        <v>784</v>
      </c>
      <c r="B289" t="s">
        <v>164</v>
      </c>
      <c r="C289">
        <v>202602</v>
      </c>
      <c r="D289">
        <v>505</v>
      </c>
      <c r="E289">
        <v>1.4976275207591934</v>
      </c>
      <c r="F289">
        <v>337.2</v>
      </c>
    </row>
    <row r="290" spans="1:6" x14ac:dyDescent="0.35">
      <c r="A290">
        <v>785</v>
      </c>
      <c r="B290" t="s">
        <v>164</v>
      </c>
      <c r="C290">
        <v>202602</v>
      </c>
      <c r="D290">
        <v>546</v>
      </c>
      <c r="E290">
        <v>0.97118463180362857</v>
      </c>
      <c r="F290">
        <v>562.20000000000005</v>
      </c>
    </row>
    <row r="291" spans="1:6" x14ac:dyDescent="0.35">
      <c r="A291">
        <v>758</v>
      </c>
      <c r="B291" t="s">
        <v>164</v>
      </c>
      <c r="C291">
        <v>202602</v>
      </c>
      <c r="D291">
        <v>5016</v>
      </c>
      <c r="E291">
        <v>7.4347458757614842</v>
      </c>
      <c r="F291">
        <v>674.67</v>
      </c>
    </row>
    <row r="292" spans="1:6" x14ac:dyDescent="0.35">
      <c r="A292">
        <v>757</v>
      </c>
      <c r="B292" t="s">
        <v>164</v>
      </c>
      <c r="C292">
        <v>202602</v>
      </c>
      <c r="D292">
        <v>13042</v>
      </c>
      <c r="E292">
        <v>26.360255477403186</v>
      </c>
      <c r="F292">
        <v>494.76</v>
      </c>
    </row>
    <row r="293" spans="1:6" x14ac:dyDescent="0.35">
      <c r="A293">
        <v>580</v>
      </c>
      <c r="B293" t="s">
        <v>164</v>
      </c>
      <c r="C293">
        <v>202602</v>
      </c>
      <c r="D293">
        <v>0</v>
      </c>
      <c r="E293">
        <v>0</v>
      </c>
      <c r="F293">
        <v>270.68</v>
      </c>
    </row>
    <row r="294" spans="1:6" x14ac:dyDescent="0.35">
      <c r="A294">
        <v>582</v>
      </c>
      <c r="B294" t="s">
        <v>164</v>
      </c>
      <c r="C294">
        <v>202602</v>
      </c>
      <c r="D294">
        <v>1420</v>
      </c>
      <c r="E294">
        <v>4.721529509559435</v>
      </c>
      <c r="F294">
        <v>300.75</v>
      </c>
    </row>
    <row r="295" spans="1:6" x14ac:dyDescent="0.35">
      <c r="A295">
        <v>594</v>
      </c>
      <c r="B295" t="s">
        <v>164</v>
      </c>
      <c r="C295">
        <v>202602</v>
      </c>
      <c r="D295">
        <v>18868</v>
      </c>
      <c r="E295">
        <v>111.81037037037036</v>
      </c>
      <c r="F295">
        <v>168.75</v>
      </c>
    </row>
    <row r="296" spans="1:6" x14ac:dyDescent="0.35">
      <c r="A296">
        <v>595</v>
      </c>
      <c r="B296" t="s">
        <v>164</v>
      </c>
      <c r="C296">
        <v>202602</v>
      </c>
      <c r="D296">
        <v>22735</v>
      </c>
      <c r="E296">
        <v>303.13333333333333</v>
      </c>
      <c r="F296">
        <v>75</v>
      </c>
    </row>
    <row r="297" spans="1:6" x14ac:dyDescent="0.35">
      <c r="A297">
        <v>603</v>
      </c>
      <c r="B297" t="s">
        <v>164</v>
      </c>
      <c r="C297">
        <v>202602</v>
      </c>
      <c r="D297">
        <v>3864</v>
      </c>
      <c r="E297">
        <v>17.130696932080156</v>
      </c>
      <c r="F297">
        <v>225.56</v>
      </c>
    </row>
    <row r="298" spans="1:6" x14ac:dyDescent="0.35">
      <c r="A298">
        <v>606</v>
      </c>
      <c r="B298" t="s">
        <v>164</v>
      </c>
      <c r="C298">
        <v>202602</v>
      </c>
      <c r="D298">
        <v>9583</v>
      </c>
      <c r="E298">
        <v>36.524755116819755</v>
      </c>
      <c r="F298">
        <v>262.37</v>
      </c>
    </row>
    <row r="299" spans="1:6" x14ac:dyDescent="0.35">
      <c r="A299">
        <v>772</v>
      </c>
      <c r="B299" t="s">
        <v>164</v>
      </c>
      <c r="C299">
        <v>202602</v>
      </c>
      <c r="D299">
        <v>248</v>
      </c>
      <c r="E299">
        <v>1.2252964426877471</v>
      </c>
      <c r="F299">
        <v>202.4</v>
      </c>
    </row>
    <row r="300" spans="1:6" x14ac:dyDescent="0.35">
      <c r="A300">
        <v>615</v>
      </c>
      <c r="B300" t="s">
        <v>164</v>
      </c>
      <c r="C300">
        <v>202602</v>
      </c>
      <c r="D300">
        <v>5480</v>
      </c>
      <c r="E300">
        <v>20.24530811290084</v>
      </c>
      <c r="F300">
        <v>270.68</v>
      </c>
    </row>
    <row r="301" spans="1:6" x14ac:dyDescent="0.35">
      <c r="A301">
        <v>617</v>
      </c>
      <c r="B301" t="s">
        <v>164</v>
      </c>
      <c r="C301">
        <v>202602</v>
      </c>
      <c r="D301">
        <v>1179</v>
      </c>
      <c r="E301">
        <v>2.62</v>
      </c>
      <c r="F301">
        <v>450</v>
      </c>
    </row>
    <row r="302" spans="1:6" x14ac:dyDescent="0.35">
      <c r="A302">
        <v>751</v>
      </c>
      <c r="B302" t="s">
        <v>164</v>
      </c>
      <c r="C302">
        <v>202602</v>
      </c>
      <c r="D302">
        <v>367</v>
      </c>
      <c r="E302">
        <v>1.8077927195704646</v>
      </c>
      <c r="F302">
        <v>203.01</v>
      </c>
    </row>
    <row r="303" spans="1:6" x14ac:dyDescent="0.35">
      <c r="A303">
        <v>752</v>
      </c>
      <c r="B303" t="s">
        <v>164</v>
      </c>
      <c r="C303">
        <v>202602</v>
      </c>
      <c r="D303">
        <v>3031</v>
      </c>
      <c r="E303">
        <v>8.7636615971780483</v>
      </c>
      <c r="F303">
        <v>345.86</v>
      </c>
    </row>
    <row r="304" spans="1:6" x14ac:dyDescent="0.35">
      <c r="A304">
        <v>753</v>
      </c>
      <c r="B304" t="s">
        <v>164</v>
      </c>
      <c r="C304">
        <v>202602</v>
      </c>
      <c r="D304">
        <v>6416</v>
      </c>
      <c r="E304">
        <v>13.128171550171876</v>
      </c>
      <c r="F304">
        <v>488.72</v>
      </c>
    </row>
    <row r="305" spans="1:6" x14ac:dyDescent="0.35">
      <c r="A305">
        <v>754</v>
      </c>
      <c r="B305" t="s">
        <v>164</v>
      </c>
      <c r="C305">
        <v>202602</v>
      </c>
      <c r="D305">
        <v>1083</v>
      </c>
      <c r="E305">
        <v>1.8004688201359911</v>
      </c>
      <c r="F305">
        <v>601.51</v>
      </c>
    </row>
    <row r="306" spans="1:6" x14ac:dyDescent="0.35">
      <c r="A306">
        <v>614</v>
      </c>
      <c r="B306" t="s">
        <v>164</v>
      </c>
      <c r="C306">
        <v>202602</v>
      </c>
      <c r="D306">
        <v>13763</v>
      </c>
      <c r="E306">
        <v>24.480611881892564</v>
      </c>
      <c r="F306">
        <v>562.20000000000005</v>
      </c>
    </row>
    <row r="307" spans="1:6" x14ac:dyDescent="0.35">
      <c r="A307">
        <v>797</v>
      </c>
      <c r="B307" t="s">
        <v>164</v>
      </c>
      <c r="C307">
        <v>202602</v>
      </c>
      <c r="D307">
        <v>999</v>
      </c>
      <c r="E307">
        <v>2.2209871053801691</v>
      </c>
      <c r="F307">
        <v>449.8</v>
      </c>
    </row>
    <row r="308" spans="1:6" x14ac:dyDescent="0.35">
      <c r="A308">
        <v>613</v>
      </c>
      <c r="B308" t="s">
        <v>164</v>
      </c>
      <c r="C308">
        <v>202602</v>
      </c>
      <c r="D308">
        <v>9186</v>
      </c>
      <c r="E308">
        <v>31.405128205128204</v>
      </c>
      <c r="F308">
        <v>292.5</v>
      </c>
    </row>
    <row r="309" spans="1:6" x14ac:dyDescent="0.35">
      <c r="A309">
        <v>767</v>
      </c>
      <c r="B309" t="s">
        <v>164</v>
      </c>
      <c r="C309">
        <v>202602</v>
      </c>
      <c r="D309">
        <v>8525</v>
      </c>
      <c r="E309">
        <v>14.213071023674559</v>
      </c>
      <c r="F309">
        <v>599.79999999999995</v>
      </c>
    </row>
    <row r="310" spans="1:6" x14ac:dyDescent="0.35">
      <c r="A310">
        <v>807</v>
      </c>
      <c r="B310" t="s">
        <v>164</v>
      </c>
      <c r="C310">
        <v>202602</v>
      </c>
      <c r="D310">
        <v>714</v>
      </c>
      <c r="E310">
        <v>3.57</v>
      </c>
      <c r="F310">
        <v>200</v>
      </c>
    </row>
    <row r="311" spans="1:6" x14ac:dyDescent="0.35">
      <c r="A311">
        <v>808</v>
      </c>
      <c r="B311" t="s">
        <v>164</v>
      </c>
      <c r="C311">
        <v>202602</v>
      </c>
      <c r="D311">
        <v>1218</v>
      </c>
      <c r="E311">
        <v>4.1324557236886745</v>
      </c>
      <c r="F311">
        <v>294.74</v>
      </c>
    </row>
    <row r="312" spans="1:6" x14ac:dyDescent="0.35">
      <c r="A312">
        <v>502</v>
      </c>
      <c r="B312" t="s">
        <v>165</v>
      </c>
      <c r="C312">
        <v>202602</v>
      </c>
      <c r="D312">
        <v>55859</v>
      </c>
      <c r="E312">
        <v>179.47243284924815</v>
      </c>
      <c r="F312">
        <v>311.24</v>
      </c>
    </row>
    <row r="313" spans="1:6" x14ac:dyDescent="0.35">
      <c r="A313">
        <v>504</v>
      </c>
      <c r="B313" t="s">
        <v>165</v>
      </c>
      <c r="C313">
        <v>202602</v>
      </c>
      <c r="D313">
        <v>94799</v>
      </c>
      <c r="E313">
        <v>217.17486426427803</v>
      </c>
      <c r="F313">
        <v>436.51</v>
      </c>
    </row>
    <row r="314" spans="1:6" x14ac:dyDescent="0.35">
      <c r="A314">
        <v>505</v>
      </c>
      <c r="B314" t="s">
        <v>165</v>
      </c>
      <c r="C314">
        <v>202602</v>
      </c>
      <c r="D314">
        <v>36786</v>
      </c>
      <c r="E314">
        <v>98.839271320328876</v>
      </c>
      <c r="F314">
        <v>372.18</v>
      </c>
    </row>
    <row r="315" spans="1:6" x14ac:dyDescent="0.35">
      <c r="A315">
        <v>506</v>
      </c>
      <c r="B315" t="s">
        <v>165</v>
      </c>
      <c r="C315">
        <v>202602</v>
      </c>
      <c r="D315">
        <v>32119</v>
      </c>
      <c r="E315">
        <v>67.805949038400641</v>
      </c>
      <c r="F315">
        <v>473.69</v>
      </c>
    </row>
    <row r="316" spans="1:6" x14ac:dyDescent="0.35">
      <c r="A316">
        <v>508</v>
      </c>
      <c r="B316" t="s">
        <v>165</v>
      </c>
      <c r="C316">
        <v>202602</v>
      </c>
      <c r="D316">
        <v>46157</v>
      </c>
      <c r="E316">
        <v>114.0523844823326</v>
      </c>
      <c r="F316">
        <v>404.7</v>
      </c>
    </row>
    <row r="317" spans="1:6" x14ac:dyDescent="0.35">
      <c r="A317">
        <v>507</v>
      </c>
      <c r="B317" t="s">
        <v>165</v>
      </c>
      <c r="C317">
        <v>202602</v>
      </c>
      <c r="D317">
        <v>36871</v>
      </c>
      <c r="E317">
        <v>136.55925925925925</v>
      </c>
      <c r="F317">
        <v>270</v>
      </c>
    </row>
    <row r="318" spans="1:6" x14ac:dyDescent="0.35">
      <c r="A318">
        <v>520</v>
      </c>
      <c r="B318" t="s">
        <v>165</v>
      </c>
      <c r="C318">
        <v>202602</v>
      </c>
      <c r="D318">
        <v>438</v>
      </c>
      <c r="E318">
        <v>6.4411764705882355</v>
      </c>
      <c r="F318">
        <v>68</v>
      </c>
    </row>
    <row r="319" spans="1:6" x14ac:dyDescent="0.35">
      <c r="A319">
        <v>521</v>
      </c>
      <c r="B319" t="s">
        <v>165</v>
      </c>
      <c r="C319">
        <v>202602</v>
      </c>
      <c r="D319">
        <v>3361</v>
      </c>
      <c r="E319">
        <v>28.974137931034484</v>
      </c>
      <c r="F319">
        <v>116</v>
      </c>
    </row>
    <row r="320" spans="1:6" x14ac:dyDescent="0.35">
      <c r="A320">
        <v>784</v>
      </c>
      <c r="B320" t="s">
        <v>165</v>
      </c>
      <c r="C320">
        <v>202602</v>
      </c>
      <c r="D320">
        <v>1016</v>
      </c>
      <c r="E320">
        <v>3.0130486358244366</v>
      </c>
      <c r="F320">
        <v>337.2</v>
      </c>
    </row>
    <row r="321" spans="1:6" x14ac:dyDescent="0.35">
      <c r="A321">
        <v>785</v>
      </c>
      <c r="B321" t="s">
        <v>165</v>
      </c>
      <c r="C321">
        <v>202602</v>
      </c>
      <c r="D321">
        <v>720</v>
      </c>
      <c r="E321">
        <v>1.2806830309498398</v>
      </c>
      <c r="F321">
        <v>562.20000000000005</v>
      </c>
    </row>
    <row r="322" spans="1:6" x14ac:dyDescent="0.35">
      <c r="A322">
        <v>758</v>
      </c>
      <c r="B322" t="s">
        <v>165</v>
      </c>
      <c r="C322">
        <v>202602</v>
      </c>
      <c r="D322">
        <v>8395</v>
      </c>
      <c r="E322">
        <v>12.443120340314525</v>
      </c>
      <c r="F322">
        <v>674.67</v>
      </c>
    </row>
    <row r="323" spans="1:6" x14ac:dyDescent="0.35">
      <c r="A323">
        <v>757</v>
      </c>
      <c r="B323" t="s">
        <v>165</v>
      </c>
      <c r="C323">
        <v>202602</v>
      </c>
      <c r="D323">
        <v>16839</v>
      </c>
      <c r="E323">
        <v>34.034683482900803</v>
      </c>
      <c r="F323">
        <v>494.76</v>
      </c>
    </row>
    <row r="324" spans="1:6" x14ac:dyDescent="0.35">
      <c r="A324">
        <v>580</v>
      </c>
      <c r="B324" t="s">
        <v>165</v>
      </c>
      <c r="C324">
        <v>202602</v>
      </c>
      <c r="D324">
        <v>0</v>
      </c>
      <c r="E324">
        <v>0</v>
      </c>
      <c r="F324">
        <v>270.68</v>
      </c>
    </row>
    <row r="325" spans="1:6" x14ac:dyDescent="0.35">
      <c r="A325">
        <v>582</v>
      </c>
      <c r="B325" t="s">
        <v>165</v>
      </c>
      <c r="C325">
        <v>202602</v>
      </c>
      <c r="D325">
        <v>2169</v>
      </c>
      <c r="E325">
        <v>7.2119700748129674</v>
      </c>
      <c r="F325">
        <v>300.75</v>
      </c>
    </row>
    <row r="326" spans="1:6" x14ac:dyDescent="0.35">
      <c r="A326">
        <v>594</v>
      </c>
      <c r="B326" t="s">
        <v>165</v>
      </c>
      <c r="C326">
        <v>202602</v>
      </c>
      <c r="D326">
        <v>20965</v>
      </c>
      <c r="E326">
        <v>124.23703703703704</v>
      </c>
      <c r="F326">
        <v>168.75</v>
      </c>
    </row>
    <row r="327" spans="1:6" x14ac:dyDescent="0.35">
      <c r="A327">
        <v>595</v>
      </c>
      <c r="B327" t="s">
        <v>165</v>
      </c>
      <c r="C327">
        <v>202602</v>
      </c>
      <c r="D327">
        <v>30940</v>
      </c>
      <c r="E327">
        <v>412.53333333333336</v>
      </c>
      <c r="F327">
        <v>75</v>
      </c>
    </row>
    <row r="328" spans="1:6" x14ac:dyDescent="0.35">
      <c r="A328">
        <v>603</v>
      </c>
      <c r="B328" t="s">
        <v>165</v>
      </c>
      <c r="C328">
        <v>202602</v>
      </c>
      <c r="D328">
        <v>5388</v>
      </c>
      <c r="E328">
        <v>23.887214045043446</v>
      </c>
      <c r="F328">
        <v>225.56</v>
      </c>
    </row>
    <row r="329" spans="1:6" x14ac:dyDescent="0.35">
      <c r="A329">
        <v>606</v>
      </c>
      <c r="B329" t="s">
        <v>165</v>
      </c>
      <c r="C329">
        <v>202602</v>
      </c>
      <c r="D329">
        <v>11761</v>
      </c>
      <c r="E329">
        <v>44.826009071159049</v>
      </c>
      <c r="F329">
        <v>262.37</v>
      </c>
    </row>
    <row r="330" spans="1:6" x14ac:dyDescent="0.35">
      <c r="A330">
        <v>772</v>
      </c>
      <c r="B330" t="s">
        <v>165</v>
      </c>
      <c r="C330">
        <v>202602</v>
      </c>
      <c r="D330">
        <v>330</v>
      </c>
      <c r="E330">
        <v>1.6304347826086956</v>
      </c>
      <c r="F330">
        <v>202.4</v>
      </c>
    </row>
    <row r="331" spans="1:6" x14ac:dyDescent="0.35">
      <c r="A331">
        <v>615</v>
      </c>
      <c r="B331" t="s">
        <v>165</v>
      </c>
      <c r="C331">
        <v>202602</v>
      </c>
      <c r="D331">
        <v>8004</v>
      </c>
      <c r="E331">
        <v>29.56997192256539</v>
      </c>
      <c r="F331">
        <v>270.68</v>
      </c>
    </row>
    <row r="332" spans="1:6" x14ac:dyDescent="0.35">
      <c r="A332">
        <v>617</v>
      </c>
      <c r="B332" t="s">
        <v>165</v>
      </c>
      <c r="C332">
        <v>202602</v>
      </c>
      <c r="D332">
        <v>1738</v>
      </c>
      <c r="E332">
        <v>3.862222222222222</v>
      </c>
      <c r="F332">
        <v>450</v>
      </c>
    </row>
    <row r="333" spans="1:6" x14ac:dyDescent="0.35">
      <c r="A333">
        <v>751</v>
      </c>
      <c r="B333" t="s">
        <v>165</v>
      </c>
      <c r="C333">
        <v>202602</v>
      </c>
      <c r="D333">
        <v>446</v>
      </c>
      <c r="E333">
        <v>2.1969361115216</v>
      </c>
      <c r="F333">
        <v>203.01</v>
      </c>
    </row>
    <row r="334" spans="1:6" x14ac:dyDescent="0.35">
      <c r="A334">
        <v>752</v>
      </c>
      <c r="B334" t="s">
        <v>165</v>
      </c>
      <c r="C334">
        <v>202602</v>
      </c>
      <c r="D334">
        <v>3883</v>
      </c>
      <c r="E334">
        <v>11.227086104204012</v>
      </c>
      <c r="F334">
        <v>345.86</v>
      </c>
    </row>
    <row r="335" spans="1:6" x14ac:dyDescent="0.35">
      <c r="A335">
        <v>753</v>
      </c>
      <c r="B335" t="s">
        <v>165</v>
      </c>
      <c r="C335">
        <v>202602</v>
      </c>
      <c r="D335">
        <v>9374</v>
      </c>
      <c r="E335">
        <v>19.180716974954983</v>
      </c>
      <c r="F335">
        <v>488.72</v>
      </c>
    </row>
    <row r="336" spans="1:6" x14ac:dyDescent="0.35">
      <c r="A336">
        <v>754</v>
      </c>
      <c r="B336" t="s">
        <v>165</v>
      </c>
      <c r="C336">
        <v>202602</v>
      </c>
      <c r="D336">
        <v>1250</v>
      </c>
      <c r="E336">
        <v>2.0781034396768132</v>
      </c>
      <c r="F336">
        <v>601.51</v>
      </c>
    </row>
    <row r="337" spans="1:6" x14ac:dyDescent="0.35">
      <c r="A337">
        <v>614</v>
      </c>
      <c r="B337" t="s">
        <v>165</v>
      </c>
      <c r="C337">
        <v>202602</v>
      </c>
      <c r="D337">
        <v>17586</v>
      </c>
      <c r="E337">
        <v>31.280683030949838</v>
      </c>
      <c r="F337">
        <v>562.20000000000005</v>
      </c>
    </row>
    <row r="338" spans="1:6" x14ac:dyDescent="0.35">
      <c r="A338">
        <v>797</v>
      </c>
      <c r="B338" t="s">
        <v>165</v>
      </c>
      <c r="C338">
        <v>202602</v>
      </c>
      <c r="D338">
        <v>1578</v>
      </c>
      <c r="E338">
        <v>3.5082258781680746</v>
      </c>
      <c r="F338">
        <v>449.8</v>
      </c>
    </row>
    <row r="339" spans="1:6" x14ac:dyDescent="0.35">
      <c r="A339">
        <v>613</v>
      </c>
      <c r="B339" t="s">
        <v>165</v>
      </c>
      <c r="C339">
        <v>202602</v>
      </c>
      <c r="D339">
        <v>11296</v>
      </c>
      <c r="E339">
        <v>38.618803418803417</v>
      </c>
      <c r="F339">
        <v>292.5</v>
      </c>
    </row>
    <row r="340" spans="1:6" x14ac:dyDescent="0.35">
      <c r="A340">
        <v>767</v>
      </c>
      <c r="B340" t="s">
        <v>165</v>
      </c>
      <c r="C340">
        <v>202602</v>
      </c>
      <c r="D340">
        <v>8989</v>
      </c>
      <c r="E340">
        <v>14.986662220740248</v>
      </c>
      <c r="F340">
        <v>599.79999999999995</v>
      </c>
    </row>
    <row r="341" spans="1:6" x14ac:dyDescent="0.35">
      <c r="A341">
        <v>807</v>
      </c>
      <c r="B341" t="s">
        <v>165</v>
      </c>
      <c r="C341">
        <v>202602</v>
      </c>
      <c r="D341">
        <v>1216</v>
      </c>
      <c r="E341">
        <v>6.08</v>
      </c>
      <c r="F341">
        <v>200</v>
      </c>
    </row>
    <row r="342" spans="1:6" x14ac:dyDescent="0.35">
      <c r="A342">
        <v>808</v>
      </c>
      <c r="B342" t="s">
        <v>165</v>
      </c>
      <c r="C342">
        <v>202602</v>
      </c>
      <c r="D342">
        <v>2542</v>
      </c>
      <c r="E342">
        <v>8.624550451245165</v>
      </c>
      <c r="F342">
        <v>294.74</v>
      </c>
    </row>
    <row r="343" spans="1:6" x14ac:dyDescent="0.35">
      <c r="A343">
        <v>502</v>
      </c>
      <c r="B343" t="s">
        <v>166</v>
      </c>
      <c r="C343">
        <v>202602</v>
      </c>
      <c r="D343">
        <v>63572</v>
      </c>
      <c r="E343">
        <v>204.25395193419868</v>
      </c>
      <c r="F343">
        <v>311.24</v>
      </c>
    </row>
    <row r="344" spans="1:6" x14ac:dyDescent="0.35">
      <c r="A344">
        <v>504</v>
      </c>
      <c r="B344" t="s">
        <v>166</v>
      </c>
      <c r="C344">
        <v>202602</v>
      </c>
      <c r="D344">
        <v>123370</v>
      </c>
      <c r="E344">
        <v>282.62811848525809</v>
      </c>
      <c r="F344">
        <v>436.51</v>
      </c>
    </row>
    <row r="345" spans="1:6" x14ac:dyDescent="0.35">
      <c r="A345">
        <v>505</v>
      </c>
      <c r="B345" t="s">
        <v>166</v>
      </c>
      <c r="C345">
        <v>202602</v>
      </c>
      <c r="D345">
        <v>50360</v>
      </c>
      <c r="E345">
        <v>135.31087108388414</v>
      </c>
      <c r="F345">
        <v>372.18</v>
      </c>
    </row>
    <row r="346" spans="1:6" x14ac:dyDescent="0.35">
      <c r="A346">
        <v>506</v>
      </c>
      <c r="B346" t="s">
        <v>166</v>
      </c>
      <c r="C346">
        <v>202602</v>
      </c>
      <c r="D346">
        <v>38580</v>
      </c>
      <c r="E346">
        <v>81.445671219573981</v>
      </c>
      <c r="F346">
        <v>473.69</v>
      </c>
    </row>
    <row r="347" spans="1:6" x14ac:dyDescent="0.35">
      <c r="A347">
        <v>508</v>
      </c>
      <c r="B347" t="s">
        <v>166</v>
      </c>
      <c r="C347">
        <v>202602</v>
      </c>
      <c r="D347">
        <v>51856</v>
      </c>
      <c r="E347">
        <v>128.13442055843836</v>
      </c>
      <c r="F347">
        <v>404.7</v>
      </c>
    </row>
    <row r="348" spans="1:6" x14ac:dyDescent="0.35">
      <c r="A348">
        <v>507</v>
      </c>
      <c r="B348" t="s">
        <v>166</v>
      </c>
      <c r="C348">
        <v>202602</v>
      </c>
      <c r="D348">
        <v>46287</v>
      </c>
      <c r="E348">
        <v>171.43333333333334</v>
      </c>
      <c r="F348">
        <v>270</v>
      </c>
    </row>
    <row r="349" spans="1:6" x14ac:dyDescent="0.35">
      <c r="A349">
        <v>520</v>
      </c>
      <c r="B349" t="s">
        <v>166</v>
      </c>
      <c r="C349">
        <v>202602</v>
      </c>
      <c r="D349">
        <v>445</v>
      </c>
      <c r="E349">
        <v>6.5441176470588234</v>
      </c>
      <c r="F349">
        <v>68</v>
      </c>
    </row>
    <row r="350" spans="1:6" x14ac:dyDescent="0.35">
      <c r="A350">
        <v>521</v>
      </c>
      <c r="B350" t="s">
        <v>166</v>
      </c>
      <c r="C350">
        <v>202602</v>
      </c>
      <c r="D350">
        <v>3545</v>
      </c>
      <c r="E350">
        <v>30.560344827586206</v>
      </c>
      <c r="F350">
        <v>116</v>
      </c>
    </row>
    <row r="351" spans="1:6" x14ac:dyDescent="0.35">
      <c r="A351">
        <v>784</v>
      </c>
      <c r="B351" t="s">
        <v>166</v>
      </c>
      <c r="C351">
        <v>202602</v>
      </c>
      <c r="D351">
        <v>867</v>
      </c>
      <c r="E351">
        <v>2.5711743772241995</v>
      </c>
      <c r="F351">
        <v>337.2</v>
      </c>
    </row>
    <row r="352" spans="1:6" x14ac:dyDescent="0.35">
      <c r="A352">
        <v>785</v>
      </c>
      <c r="B352" t="s">
        <v>166</v>
      </c>
      <c r="C352">
        <v>202602</v>
      </c>
      <c r="D352">
        <v>1127</v>
      </c>
      <c r="E352">
        <v>2.0046246887228745</v>
      </c>
      <c r="F352">
        <v>562.20000000000005</v>
      </c>
    </row>
    <row r="353" spans="1:6" x14ac:dyDescent="0.35">
      <c r="A353">
        <v>758</v>
      </c>
      <c r="B353" t="s">
        <v>166</v>
      </c>
      <c r="C353">
        <v>202602</v>
      </c>
      <c r="D353">
        <v>8324</v>
      </c>
      <c r="E353">
        <v>12.337883706108173</v>
      </c>
      <c r="F353">
        <v>674.67</v>
      </c>
    </row>
    <row r="354" spans="1:6" x14ac:dyDescent="0.35">
      <c r="A354">
        <v>757</v>
      </c>
      <c r="B354" t="s">
        <v>166</v>
      </c>
      <c r="C354">
        <v>202602</v>
      </c>
      <c r="D354">
        <v>19587</v>
      </c>
      <c r="E354">
        <v>39.588891583798208</v>
      </c>
      <c r="F354">
        <v>494.76</v>
      </c>
    </row>
    <row r="355" spans="1:6" x14ac:dyDescent="0.35">
      <c r="A355">
        <v>580</v>
      </c>
      <c r="B355" t="s">
        <v>166</v>
      </c>
      <c r="C355">
        <v>202602</v>
      </c>
      <c r="D355">
        <v>0</v>
      </c>
      <c r="E355">
        <v>0</v>
      </c>
      <c r="F355">
        <v>270.68</v>
      </c>
    </row>
    <row r="356" spans="1:6" x14ac:dyDescent="0.35">
      <c r="A356">
        <v>582</v>
      </c>
      <c r="B356" t="s">
        <v>166</v>
      </c>
      <c r="C356">
        <v>202602</v>
      </c>
      <c r="D356">
        <v>980</v>
      </c>
      <c r="E356">
        <v>3.2585203657522861</v>
      </c>
      <c r="F356">
        <v>300.75</v>
      </c>
    </row>
    <row r="357" spans="1:6" x14ac:dyDescent="0.35">
      <c r="A357">
        <v>594</v>
      </c>
      <c r="B357" t="s">
        <v>166</v>
      </c>
      <c r="C357">
        <v>202602</v>
      </c>
      <c r="D357">
        <v>19011</v>
      </c>
      <c r="E357">
        <v>112.65777777777778</v>
      </c>
      <c r="F357">
        <v>168.75</v>
      </c>
    </row>
    <row r="358" spans="1:6" x14ac:dyDescent="0.35">
      <c r="A358">
        <v>595</v>
      </c>
      <c r="B358" t="s">
        <v>166</v>
      </c>
      <c r="C358">
        <v>202602</v>
      </c>
      <c r="D358">
        <v>32088</v>
      </c>
      <c r="E358">
        <v>427.84</v>
      </c>
      <c r="F358">
        <v>75</v>
      </c>
    </row>
    <row r="359" spans="1:6" x14ac:dyDescent="0.35">
      <c r="A359">
        <v>603</v>
      </c>
      <c r="B359" t="s">
        <v>166</v>
      </c>
      <c r="C359">
        <v>202602</v>
      </c>
      <c r="D359">
        <v>5577</v>
      </c>
      <c r="E359">
        <v>24.725128568895194</v>
      </c>
      <c r="F359">
        <v>225.56</v>
      </c>
    </row>
    <row r="360" spans="1:6" x14ac:dyDescent="0.35">
      <c r="A360">
        <v>606</v>
      </c>
      <c r="B360" t="s">
        <v>166</v>
      </c>
      <c r="C360">
        <v>202602</v>
      </c>
      <c r="D360">
        <v>6561</v>
      </c>
      <c r="E360">
        <v>25.006669969889849</v>
      </c>
      <c r="F360">
        <v>262.37</v>
      </c>
    </row>
    <row r="361" spans="1:6" x14ac:dyDescent="0.35">
      <c r="A361">
        <v>772</v>
      </c>
      <c r="B361" t="s">
        <v>166</v>
      </c>
      <c r="C361">
        <v>202602</v>
      </c>
      <c r="D361">
        <v>383</v>
      </c>
      <c r="E361">
        <v>1.8922924901185769</v>
      </c>
      <c r="F361">
        <v>202.4</v>
      </c>
    </row>
    <row r="362" spans="1:6" x14ac:dyDescent="0.35">
      <c r="A362">
        <v>615</v>
      </c>
      <c r="B362" t="s">
        <v>166</v>
      </c>
      <c r="C362">
        <v>202602</v>
      </c>
      <c r="D362">
        <v>5809</v>
      </c>
      <c r="E362">
        <v>21.460765479533027</v>
      </c>
      <c r="F362">
        <v>270.68</v>
      </c>
    </row>
    <row r="363" spans="1:6" x14ac:dyDescent="0.35">
      <c r="A363">
        <v>617</v>
      </c>
      <c r="B363" t="s">
        <v>166</v>
      </c>
      <c r="C363">
        <v>202602</v>
      </c>
      <c r="D363">
        <v>1583</v>
      </c>
      <c r="E363">
        <v>3.5177777777777779</v>
      </c>
      <c r="F363">
        <v>450</v>
      </c>
    </row>
    <row r="364" spans="1:6" x14ac:dyDescent="0.35">
      <c r="A364">
        <v>751</v>
      </c>
      <c r="B364" t="s">
        <v>166</v>
      </c>
      <c r="C364">
        <v>202602</v>
      </c>
      <c r="D364">
        <v>400</v>
      </c>
      <c r="E364">
        <v>1.9703462883601794</v>
      </c>
      <c r="F364">
        <v>203.01</v>
      </c>
    </row>
    <row r="365" spans="1:6" x14ac:dyDescent="0.35">
      <c r="A365">
        <v>752</v>
      </c>
      <c r="B365" t="s">
        <v>166</v>
      </c>
      <c r="C365">
        <v>202602</v>
      </c>
      <c r="D365">
        <v>2739</v>
      </c>
      <c r="E365">
        <v>7.9193893482912161</v>
      </c>
      <c r="F365">
        <v>345.86</v>
      </c>
    </row>
    <row r="366" spans="1:6" x14ac:dyDescent="0.35">
      <c r="A366">
        <v>753</v>
      </c>
      <c r="B366" t="s">
        <v>166</v>
      </c>
      <c r="C366">
        <v>202602</v>
      </c>
      <c r="D366">
        <v>4617</v>
      </c>
      <c r="E366">
        <v>9.4471271893926989</v>
      </c>
      <c r="F366">
        <v>488.72</v>
      </c>
    </row>
    <row r="367" spans="1:6" x14ac:dyDescent="0.35">
      <c r="A367">
        <v>754</v>
      </c>
      <c r="B367" t="s">
        <v>166</v>
      </c>
      <c r="C367">
        <v>202602</v>
      </c>
      <c r="D367">
        <v>952</v>
      </c>
      <c r="E367">
        <v>1.5826835796578611</v>
      </c>
      <c r="F367">
        <v>601.51</v>
      </c>
    </row>
    <row r="368" spans="1:6" x14ac:dyDescent="0.35">
      <c r="A368">
        <v>614</v>
      </c>
      <c r="B368" t="s">
        <v>166</v>
      </c>
      <c r="C368">
        <v>202602</v>
      </c>
      <c r="D368">
        <v>17403</v>
      </c>
      <c r="E368">
        <v>30.955176093916752</v>
      </c>
      <c r="F368">
        <v>562.20000000000005</v>
      </c>
    </row>
    <row r="369" spans="1:6" x14ac:dyDescent="0.35">
      <c r="A369">
        <v>797</v>
      </c>
      <c r="B369" t="s">
        <v>166</v>
      </c>
      <c r="C369">
        <v>202602</v>
      </c>
      <c r="D369">
        <v>1485</v>
      </c>
      <c r="E369">
        <v>3.301467318808359</v>
      </c>
      <c r="F369">
        <v>449.8</v>
      </c>
    </row>
    <row r="370" spans="1:6" x14ac:dyDescent="0.35">
      <c r="A370">
        <v>613</v>
      </c>
      <c r="B370" t="s">
        <v>166</v>
      </c>
      <c r="C370">
        <v>202602</v>
      </c>
      <c r="D370">
        <v>8592</v>
      </c>
      <c r="E370">
        <v>29.374358974358973</v>
      </c>
      <c r="F370">
        <v>292.5</v>
      </c>
    </row>
    <row r="371" spans="1:6" x14ac:dyDescent="0.35">
      <c r="A371">
        <v>767</v>
      </c>
      <c r="B371" t="s">
        <v>166</v>
      </c>
      <c r="C371">
        <v>202602</v>
      </c>
      <c r="D371">
        <v>8852</v>
      </c>
      <c r="E371">
        <v>14.758252750916974</v>
      </c>
      <c r="F371">
        <v>599.79999999999995</v>
      </c>
    </row>
    <row r="372" spans="1:6" x14ac:dyDescent="0.35">
      <c r="A372">
        <v>807</v>
      </c>
      <c r="B372" t="s">
        <v>166</v>
      </c>
      <c r="C372">
        <v>202602</v>
      </c>
      <c r="D372">
        <v>1719</v>
      </c>
      <c r="E372">
        <v>8.5950000000000006</v>
      </c>
      <c r="F372">
        <v>200</v>
      </c>
    </row>
    <row r="373" spans="1:6" x14ac:dyDescent="0.35">
      <c r="A373">
        <v>808</v>
      </c>
      <c r="B373" t="s">
        <v>166</v>
      </c>
      <c r="C373">
        <v>202602</v>
      </c>
      <c r="D373">
        <v>3778</v>
      </c>
      <c r="E373">
        <v>12.818076949175545</v>
      </c>
      <c r="F373">
        <v>294.74</v>
      </c>
    </row>
    <row r="374" spans="1:6" x14ac:dyDescent="0.35">
      <c r="A374">
        <v>502</v>
      </c>
      <c r="B374" t="s">
        <v>137</v>
      </c>
      <c r="C374">
        <v>202602</v>
      </c>
      <c r="D374">
        <v>53658</v>
      </c>
      <c r="E374">
        <v>172.4007197018378</v>
      </c>
      <c r="F374">
        <v>311.24</v>
      </c>
    </row>
    <row r="375" spans="1:6" x14ac:dyDescent="0.35">
      <c r="A375">
        <v>504</v>
      </c>
      <c r="B375" t="s">
        <v>137</v>
      </c>
      <c r="C375">
        <v>202602</v>
      </c>
      <c r="D375">
        <v>116310</v>
      </c>
      <c r="E375">
        <v>266.45437676112806</v>
      </c>
      <c r="F375">
        <v>436.51</v>
      </c>
    </row>
    <row r="376" spans="1:6" x14ac:dyDescent="0.35">
      <c r="A376">
        <v>505</v>
      </c>
      <c r="B376" t="s">
        <v>137</v>
      </c>
      <c r="C376">
        <v>202602</v>
      </c>
      <c r="D376">
        <v>54336</v>
      </c>
      <c r="E376">
        <v>145.99387393196841</v>
      </c>
      <c r="F376">
        <v>372.18</v>
      </c>
    </row>
    <row r="377" spans="1:6" x14ac:dyDescent="0.35">
      <c r="A377">
        <v>506</v>
      </c>
      <c r="B377" t="s">
        <v>137</v>
      </c>
      <c r="C377">
        <v>202602</v>
      </c>
      <c r="D377">
        <v>54938</v>
      </c>
      <c r="E377">
        <v>115.97880470349807</v>
      </c>
      <c r="F377">
        <v>473.69</v>
      </c>
    </row>
    <row r="378" spans="1:6" x14ac:dyDescent="0.35">
      <c r="A378">
        <v>508</v>
      </c>
      <c r="B378" t="s">
        <v>137</v>
      </c>
      <c r="C378">
        <v>202602</v>
      </c>
      <c r="D378">
        <v>62155</v>
      </c>
      <c r="E378">
        <v>153.58290091425746</v>
      </c>
      <c r="F378">
        <v>404.7</v>
      </c>
    </row>
    <row r="379" spans="1:6" x14ac:dyDescent="0.35">
      <c r="A379">
        <v>507</v>
      </c>
      <c r="B379" t="s">
        <v>137</v>
      </c>
      <c r="C379">
        <v>202602</v>
      </c>
      <c r="D379">
        <v>43588</v>
      </c>
      <c r="E379">
        <v>161.43703703703704</v>
      </c>
      <c r="F379">
        <v>270</v>
      </c>
    </row>
    <row r="380" spans="1:6" x14ac:dyDescent="0.35">
      <c r="A380">
        <v>520</v>
      </c>
      <c r="B380" t="s">
        <v>137</v>
      </c>
      <c r="C380">
        <v>202602</v>
      </c>
      <c r="D380">
        <v>919</v>
      </c>
      <c r="E380">
        <v>13.514705882352942</v>
      </c>
      <c r="F380">
        <v>68</v>
      </c>
    </row>
    <row r="381" spans="1:6" x14ac:dyDescent="0.35">
      <c r="A381">
        <v>521</v>
      </c>
      <c r="B381" t="s">
        <v>137</v>
      </c>
      <c r="C381">
        <v>202602</v>
      </c>
      <c r="D381">
        <v>4667</v>
      </c>
      <c r="E381">
        <v>40.232758620689658</v>
      </c>
      <c r="F381">
        <v>116</v>
      </c>
    </row>
    <row r="382" spans="1:6" x14ac:dyDescent="0.35">
      <c r="A382">
        <v>784</v>
      </c>
      <c r="B382" t="s">
        <v>137</v>
      </c>
      <c r="C382">
        <v>202602</v>
      </c>
      <c r="D382">
        <v>1169</v>
      </c>
      <c r="E382">
        <v>3.4667852906287071</v>
      </c>
      <c r="F382">
        <v>337.2</v>
      </c>
    </row>
    <row r="383" spans="1:6" x14ac:dyDescent="0.35">
      <c r="A383">
        <v>785</v>
      </c>
      <c r="B383" t="s">
        <v>137</v>
      </c>
      <c r="C383">
        <v>202602</v>
      </c>
      <c r="D383">
        <v>1292</v>
      </c>
      <c r="E383">
        <v>2.2981145499822127</v>
      </c>
      <c r="F383">
        <v>562.20000000000005</v>
      </c>
    </row>
    <row r="384" spans="1:6" x14ac:dyDescent="0.35">
      <c r="A384">
        <v>758</v>
      </c>
      <c r="B384" t="s">
        <v>137</v>
      </c>
      <c r="C384">
        <v>202602</v>
      </c>
      <c r="D384">
        <v>11014</v>
      </c>
      <c r="E384">
        <v>16.325018157024918</v>
      </c>
      <c r="F384">
        <v>674.67</v>
      </c>
    </row>
    <row r="385" spans="1:6" x14ac:dyDescent="0.35">
      <c r="A385">
        <v>757</v>
      </c>
      <c r="B385" t="s">
        <v>137</v>
      </c>
      <c r="C385">
        <v>202602</v>
      </c>
      <c r="D385">
        <v>25142</v>
      </c>
      <c r="E385">
        <v>50.816557522839361</v>
      </c>
      <c r="F385">
        <v>494.76</v>
      </c>
    </row>
    <row r="386" spans="1:6" x14ac:dyDescent="0.35">
      <c r="A386">
        <v>580</v>
      </c>
      <c r="B386" t="s">
        <v>137</v>
      </c>
      <c r="C386">
        <v>202602</v>
      </c>
      <c r="D386">
        <v>0</v>
      </c>
      <c r="E386">
        <v>0</v>
      </c>
      <c r="F386">
        <v>270.68</v>
      </c>
    </row>
    <row r="387" spans="1:6" x14ac:dyDescent="0.35">
      <c r="A387">
        <v>582</v>
      </c>
      <c r="B387" t="s">
        <v>137</v>
      </c>
      <c r="C387">
        <v>202602</v>
      </c>
      <c r="D387">
        <v>3638</v>
      </c>
      <c r="E387">
        <v>12.096425602660016</v>
      </c>
      <c r="F387">
        <v>300.75</v>
      </c>
    </row>
    <row r="388" spans="1:6" x14ac:dyDescent="0.35">
      <c r="A388">
        <v>594</v>
      </c>
      <c r="B388" t="s">
        <v>137</v>
      </c>
      <c r="C388">
        <v>202602</v>
      </c>
      <c r="D388">
        <v>30756</v>
      </c>
      <c r="E388">
        <v>182.25777777777779</v>
      </c>
      <c r="F388">
        <v>168.75</v>
      </c>
    </row>
    <row r="389" spans="1:6" x14ac:dyDescent="0.35">
      <c r="A389">
        <v>595</v>
      </c>
      <c r="B389" t="s">
        <v>137</v>
      </c>
      <c r="C389">
        <v>202602</v>
      </c>
      <c r="D389">
        <v>39579</v>
      </c>
      <c r="E389">
        <v>527.72</v>
      </c>
      <c r="F389">
        <v>75</v>
      </c>
    </row>
    <row r="390" spans="1:6" x14ac:dyDescent="0.35">
      <c r="A390">
        <v>603</v>
      </c>
      <c r="B390" t="s">
        <v>137</v>
      </c>
      <c r="C390">
        <v>202602</v>
      </c>
      <c r="D390">
        <v>3373</v>
      </c>
      <c r="E390">
        <v>14.953892534137259</v>
      </c>
      <c r="F390">
        <v>225.56</v>
      </c>
    </row>
    <row r="391" spans="1:6" x14ac:dyDescent="0.35">
      <c r="A391">
        <v>606</v>
      </c>
      <c r="B391" t="s">
        <v>137</v>
      </c>
      <c r="C391">
        <v>202602</v>
      </c>
      <c r="D391">
        <v>4473</v>
      </c>
      <c r="E391">
        <v>17.04844303845714</v>
      </c>
      <c r="F391">
        <v>262.37</v>
      </c>
    </row>
    <row r="392" spans="1:6" x14ac:dyDescent="0.35">
      <c r="A392">
        <v>772</v>
      </c>
      <c r="B392" t="s">
        <v>137</v>
      </c>
      <c r="C392">
        <v>202602</v>
      </c>
      <c r="D392">
        <v>576</v>
      </c>
      <c r="E392">
        <v>2.8458498023715415</v>
      </c>
      <c r="F392">
        <v>202.4</v>
      </c>
    </row>
    <row r="393" spans="1:6" x14ac:dyDescent="0.35">
      <c r="A393">
        <v>615</v>
      </c>
      <c r="B393" t="s">
        <v>137</v>
      </c>
      <c r="C393">
        <v>202602</v>
      </c>
      <c r="D393">
        <v>7512</v>
      </c>
      <c r="E393">
        <v>27.752327471553127</v>
      </c>
      <c r="F393">
        <v>270.68</v>
      </c>
    </row>
    <row r="394" spans="1:6" x14ac:dyDescent="0.35">
      <c r="A394">
        <v>617</v>
      </c>
      <c r="B394" t="s">
        <v>137</v>
      </c>
      <c r="C394">
        <v>202602</v>
      </c>
      <c r="D394">
        <v>3047</v>
      </c>
      <c r="E394">
        <v>6.7711111111111109</v>
      </c>
      <c r="F394">
        <v>450</v>
      </c>
    </row>
    <row r="395" spans="1:6" x14ac:dyDescent="0.35">
      <c r="A395">
        <v>751</v>
      </c>
      <c r="B395" t="s">
        <v>137</v>
      </c>
      <c r="C395">
        <v>202602</v>
      </c>
      <c r="D395">
        <v>1143</v>
      </c>
      <c r="E395">
        <v>5.6302645189892129</v>
      </c>
      <c r="F395">
        <v>203.01</v>
      </c>
    </row>
    <row r="396" spans="1:6" x14ac:dyDescent="0.35">
      <c r="A396">
        <v>752</v>
      </c>
      <c r="B396" t="s">
        <v>137</v>
      </c>
      <c r="C396">
        <v>202602</v>
      </c>
      <c r="D396">
        <v>4716</v>
      </c>
      <c r="E396">
        <v>13.63557508818597</v>
      </c>
      <c r="F396">
        <v>345.86</v>
      </c>
    </row>
    <row r="397" spans="1:6" x14ac:dyDescent="0.35">
      <c r="A397">
        <v>753</v>
      </c>
      <c r="B397" t="s">
        <v>137</v>
      </c>
      <c r="C397">
        <v>202602</v>
      </c>
      <c r="D397">
        <v>7009</v>
      </c>
      <c r="E397">
        <v>14.341545261090195</v>
      </c>
      <c r="F397">
        <v>488.72</v>
      </c>
    </row>
    <row r="398" spans="1:6" x14ac:dyDescent="0.35">
      <c r="A398">
        <v>754</v>
      </c>
      <c r="B398" t="s">
        <v>137</v>
      </c>
      <c r="C398">
        <v>202602</v>
      </c>
      <c r="D398">
        <v>1332</v>
      </c>
      <c r="E398">
        <v>2.2144270253196123</v>
      </c>
      <c r="F398">
        <v>601.51</v>
      </c>
    </row>
    <row r="399" spans="1:6" x14ac:dyDescent="0.35">
      <c r="A399">
        <v>614</v>
      </c>
      <c r="B399" t="s">
        <v>137</v>
      </c>
      <c r="C399">
        <v>202602</v>
      </c>
      <c r="D399">
        <v>19956</v>
      </c>
      <c r="E399">
        <v>35.496264674493062</v>
      </c>
      <c r="F399">
        <v>562.20000000000005</v>
      </c>
    </row>
    <row r="400" spans="1:6" x14ac:dyDescent="0.35">
      <c r="A400">
        <v>797</v>
      </c>
      <c r="B400" t="s">
        <v>137</v>
      </c>
      <c r="C400">
        <v>202602</v>
      </c>
      <c r="D400">
        <v>1568</v>
      </c>
      <c r="E400">
        <v>3.4859937750111158</v>
      </c>
      <c r="F400">
        <v>449.8</v>
      </c>
    </row>
    <row r="401" spans="1:6" x14ac:dyDescent="0.35">
      <c r="A401">
        <v>613</v>
      </c>
      <c r="B401" t="s">
        <v>137</v>
      </c>
      <c r="C401">
        <v>202602</v>
      </c>
      <c r="D401">
        <v>10943</v>
      </c>
      <c r="E401">
        <v>37.411965811965814</v>
      </c>
      <c r="F401">
        <v>292.5</v>
      </c>
    </row>
    <row r="402" spans="1:6" x14ac:dyDescent="0.35">
      <c r="A402">
        <v>767</v>
      </c>
      <c r="B402" t="s">
        <v>137</v>
      </c>
      <c r="C402">
        <v>202602</v>
      </c>
      <c r="D402">
        <v>9476</v>
      </c>
      <c r="E402">
        <v>15.798599533177727</v>
      </c>
      <c r="F402">
        <v>599.79999999999995</v>
      </c>
    </row>
    <row r="403" spans="1:6" x14ac:dyDescent="0.35">
      <c r="A403">
        <v>807</v>
      </c>
      <c r="B403" t="s">
        <v>137</v>
      </c>
      <c r="C403">
        <v>202602</v>
      </c>
      <c r="D403">
        <v>1378</v>
      </c>
      <c r="E403">
        <v>6.89</v>
      </c>
      <c r="F403">
        <v>200</v>
      </c>
    </row>
    <row r="404" spans="1:6" x14ac:dyDescent="0.35">
      <c r="A404">
        <v>808</v>
      </c>
      <c r="B404" t="s">
        <v>137</v>
      </c>
      <c r="C404">
        <v>202602</v>
      </c>
      <c r="D404">
        <v>2315</v>
      </c>
      <c r="E404">
        <v>7.8543801316414461</v>
      </c>
      <c r="F404">
        <v>294.74</v>
      </c>
    </row>
    <row r="405" spans="1:6" x14ac:dyDescent="0.35">
      <c r="A405">
        <v>502</v>
      </c>
      <c r="B405" t="s">
        <v>138</v>
      </c>
      <c r="C405">
        <v>202602</v>
      </c>
      <c r="D405">
        <v>49023</v>
      </c>
      <c r="E405">
        <v>157.50867497750932</v>
      </c>
      <c r="F405">
        <v>311.24</v>
      </c>
    </row>
    <row r="406" spans="1:6" x14ac:dyDescent="0.35">
      <c r="A406">
        <v>504</v>
      </c>
      <c r="B406" t="s">
        <v>138</v>
      </c>
      <c r="C406">
        <v>202602</v>
      </c>
      <c r="D406">
        <v>111055</v>
      </c>
      <c r="E406">
        <v>254.41570639847885</v>
      </c>
      <c r="F406">
        <v>436.51</v>
      </c>
    </row>
    <row r="407" spans="1:6" x14ac:dyDescent="0.35">
      <c r="A407">
        <v>505</v>
      </c>
      <c r="B407" t="s">
        <v>138</v>
      </c>
      <c r="C407">
        <v>202602</v>
      </c>
      <c r="D407">
        <v>50130</v>
      </c>
      <c r="E407">
        <v>134.69289053683701</v>
      </c>
      <c r="F407">
        <v>372.18</v>
      </c>
    </row>
    <row r="408" spans="1:6" x14ac:dyDescent="0.35">
      <c r="A408">
        <v>506</v>
      </c>
      <c r="B408" t="s">
        <v>138</v>
      </c>
      <c r="C408">
        <v>202602</v>
      </c>
      <c r="D408">
        <v>49010</v>
      </c>
      <c r="E408">
        <v>103.46429099199899</v>
      </c>
      <c r="F408">
        <v>473.69</v>
      </c>
    </row>
    <row r="409" spans="1:6" x14ac:dyDescent="0.35">
      <c r="A409">
        <v>508</v>
      </c>
      <c r="B409" t="s">
        <v>138</v>
      </c>
      <c r="C409">
        <v>202602</v>
      </c>
      <c r="D409">
        <v>69876</v>
      </c>
      <c r="E409">
        <v>172.66123054114158</v>
      </c>
      <c r="F409">
        <v>404.7</v>
      </c>
    </row>
    <row r="410" spans="1:6" x14ac:dyDescent="0.35">
      <c r="A410">
        <v>507</v>
      </c>
      <c r="B410" t="s">
        <v>138</v>
      </c>
      <c r="C410">
        <v>202602</v>
      </c>
      <c r="D410">
        <v>47755</v>
      </c>
      <c r="E410">
        <v>176.87037037037038</v>
      </c>
      <c r="F410">
        <v>270</v>
      </c>
    </row>
    <row r="411" spans="1:6" x14ac:dyDescent="0.35">
      <c r="A411">
        <v>520</v>
      </c>
      <c r="B411" t="s">
        <v>138</v>
      </c>
      <c r="C411">
        <v>202602</v>
      </c>
      <c r="D411">
        <v>481</v>
      </c>
      <c r="E411">
        <v>7.0735294117647056</v>
      </c>
      <c r="F411">
        <v>68</v>
      </c>
    </row>
    <row r="412" spans="1:6" x14ac:dyDescent="0.35">
      <c r="A412">
        <v>521</v>
      </c>
      <c r="B412" t="s">
        <v>138</v>
      </c>
      <c r="C412">
        <v>202602</v>
      </c>
      <c r="D412">
        <v>2896</v>
      </c>
      <c r="E412">
        <v>24.96551724137931</v>
      </c>
      <c r="F412">
        <v>116</v>
      </c>
    </row>
    <row r="413" spans="1:6" x14ac:dyDescent="0.35">
      <c r="A413">
        <v>784</v>
      </c>
      <c r="B413" t="s">
        <v>138</v>
      </c>
      <c r="C413">
        <v>202602</v>
      </c>
      <c r="D413">
        <v>947</v>
      </c>
      <c r="E413">
        <v>2.8084223013048635</v>
      </c>
      <c r="F413">
        <v>337.2</v>
      </c>
    </row>
    <row r="414" spans="1:6" x14ac:dyDescent="0.35">
      <c r="A414">
        <v>785</v>
      </c>
      <c r="B414" t="s">
        <v>138</v>
      </c>
      <c r="C414">
        <v>202602</v>
      </c>
      <c r="D414">
        <v>878</v>
      </c>
      <c r="E414">
        <v>1.5617218071860546</v>
      </c>
      <c r="F414">
        <v>562.20000000000005</v>
      </c>
    </row>
    <row r="415" spans="1:6" x14ac:dyDescent="0.35">
      <c r="A415">
        <v>758</v>
      </c>
      <c r="B415" t="s">
        <v>138</v>
      </c>
      <c r="C415">
        <v>202602</v>
      </c>
      <c r="D415">
        <v>11051</v>
      </c>
      <c r="E415">
        <v>16.379859783301466</v>
      </c>
      <c r="F415">
        <v>674.67</v>
      </c>
    </row>
    <row r="416" spans="1:6" x14ac:dyDescent="0.35">
      <c r="A416">
        <v>757</v>
      </c>
      <c r="B416" t="s">
        <v>138</v>
      </c>
      <c r="C416">
        <v>202602</v>
      </c>
      <c r="D416">
        <v>19948</v>
      </c>
      <c r="E416">
        <v>40.318538281186839</v>
      </c>
      <c r="F416">
        <v>494.76</v>
      </c>
    </row>
    <row r="417" spans="1:6" x14ac:dyDescent="0.35">
      <c r="A417">
        <v>580</v>
      </c>
      <c r="B417" t="s">
        <v>138</v>
      </c>
      <c r="C417">
        <v>202602</v>
      </c>
      <c r="D417">
        <v>0</v>
      </c>
      <c r="E417">
        <v>0</v>
      </c>
      <c r="F417">
        <v>270.68</v>
      </c>
    </row>
    <row r="418" spans="1:6" x14ac:dyDescent="0.35">
      <c r="A418">
        <v>582</v>
      </c>
      <c r="B418" t="s">
        <v>138</v>
      </c>
      <c r="C418">
        <v>202602</v>
      </c>
      <c r="D418">
        <v>3783</v>
      </c>
      <c r="E418">
        <v>12.5785536159601</v>
      </c>
      <c r="F418">
        <v>300.75</v>
      </c>
    </row>
    <row r="419" spans="1:6" x14ac:dyDescent="0.35">
      <c r="A419">
        <v>594</v>
      </c>
      <c r="B419" t="s">
        <v>138</v>
      </c>
      <c r="C419">
        <v>202602</v>
      </c>
      <c r="D419">
        <v>28844</v>
      </c>
      <c r="E419">
        <v>170.9274074074074</v>
      </c>
      <c r="F419">
        <v>168.75</v>
      </c>
    </row>
    <row r="420" spans="1:6" x14ac:dyDescent="0.35">
      <c r="A420">
        <v>595</v>
      </c>
      <c r="B420" t="s">
        <v>138</v>
      </c>
      <c r="C420">
        <v>202602</v>
      </c>
      <c r="D420">
        <v>25636</v>
      </c>
      <c r="E420">
        <v>341.81333333333333</v>
      </c>
      <c r="F420">
        <v>75</v>
      </c>
    </row>
    <row r="421" spans="1:6" x14ac:dyDescent="0.35">
      <c r="A421">
        <v>603</v>
      </c>
      <c r="B421" t="s">
        <v>138</v>
      </c>
      <c r="C421">
        <v>202602</v>
      </c>
      <c r="D421">
        <v>3006</v>
      </c>
      <c r="E421">
        <v>13.326830998403972</v>
      </c>
      <c r="F421">
        <v>225.56</v>
      </c>
    </row>
    <row r="422" spans="1:6" x14ac:dyDescent="0.35">
      <c r="A422">
        <v>606</v>
      </c>
      <c r="B422" t="s">
        <v>138</v>
      </c>
      <c r="C422">
        <v>202602</v>
      </c>
      <c r="D422">
        <v>3489</v>
      </c>
      <c r="E422">
        <v>13.298014254678508</v>
      </c>
      <c r="F422">
        <v>262.37</v>
      </c>
    </row>
    <row r="423" spans="1:6" x14ac:dyDescent="0.35">
      <c r="A423">
        <v>772</v>
      </c>
      <c r="B423" t="s">
        <v>138</v>
      </c>
      <c r="C423">
        <v>202602</v>
      </c>
      <c r="D423">
        <v>389</v>
      </c>
      <c r="E423">
        <v>1.9219367588932805</v>
      </c>
      <c r="F423">
        <v>202.4</v>
      </c>
    </row>
    <row r="424" spans="1:6" x14ac:dyDescent="0.35">
      <c r="A424">
        <v>615</v>
      </c>
      <c r="B424" t="s">
        <v>138</v>
      </c>
      <c r="C424">
        <v>202602</v>
      </c>
      <c r="D424">
        <v>6498</v>
      </c>
      <c r="E424">
        <v>24.006206590808333</v>
      </c>
      <c r="F424">
        <v>270.68</v>
      </c>
    </row>
    <row r="425" spans="1:6" x14ac:dyDescent="0.35">
      <c r="A425">
        <v>617</v>
      </c>
      <c r="B425" t="s">
        <v>138</v>
      </c>
      <c r="C425">
        <v>202602</v>
      </c>
      <c r="D425">
        <v>2348</v>
      </c>
      <c r="E425">
        <v>5.2177777777777781</v>
      </c>
      <c r="F425">
        <v>450</v>
      </c>
    </row>
    <row r="426" spans="1:6" x14ac:dyDescent="0.35">
      <c r="A426">
        <v>751</v>
      </c>
      <c r="B426" t="s">
        <v>138</v>
      </c>
      <c r="C426">
        <v>202602</v>
      </c>
      <c r="D426">
        <v>3582</v>
      </c>
      <c r="E426">
        <v>17.644451012265407</v>
      </c>
      <c r="F426">
        <v>203.01</v>
      </c>
    </row>
    <row r="427" spans="1:6" x14ac:dyDescent="0.35">
      <c r="A427">
        <v>752</v>
      </c>
      <c r="B427" t="s">
        <v>138</v>
      </c>
      <c r="C427">
        <v>202602</v>
      </c>
      <c r="D427">
        <v>4438</v>
      </c>
      <c r="E427">
        <v>12.831781645752617</v>
      </c>
      <c r="F427">
        <v>345.86</v>
      </c>
    </row>
    <row r="428" spans="1:6" x14ac:dyDescent="0.35">
      <c r="A428">
        <v>753</v>
      </c>
      <c r="B428" t="s">
        <v>138</v>
      </c>
      <c r="C428">
        <v>202602</v>
      </c>
      <c r="D428">
        <v>6593</v>
      </c>
      <c r="E428">
        <v>13.490342118186282</v>
      </c>
      <c r="F428">
        <v>488.72</v>
      </c>
    </row>
    <row r="429" spans="1:6" x14ac:dyDescent="0.35">
      <c r="A429">
        <v>754</v>
      </c>
      <c r="B429" t="s">
        <v>138</v>
      </c>
      <c r="C429">
        <v>202602</v>
      </c>
      <c r="D429">
        <v>1253</v>
      </c>
      <c r="E429">
        <v>2.0830908879320376</v>
      </c>
      <c r="F429">
        <v>601.51</v>
      </c>
    </row>
    <row r="430" spans="1:6" x14ac:dyDescent="0.35">
      <c r="A430">
        <v>614</v>
      </c>
      <c r="B430" t="s">
        <v>138</v>
      </c>
      <c r="C430">
        <v>202602</v>
      </c>
      <c r="D430">
        <v>19882</v>
      </c>
      <c r="E430">
        <v>35.364638918534325</v>
      </c>
      <c r="F430">
        <v>562.20000000000005</v>
      </c>
    </row>
    <row r="431" spans="1:6" x14ac:dyDescent="0.35">
      <c r="A431">
        <v>797</v>
      </c>
      <c r="B431" t="s">
        <v>138</v>
      </c>
      <c r="C431">
        <v>202602</v>
      </c>
      <c r="D431">
        <v>1359</v>
      </c>
      <c r="E431">
        <v>3.0213428190306804</v>
      </c>
      <c r="F431">
        <v>449.8</v>
      </c>
    </row>
    <row r="432" spans="1:6" x14ac:dyDescent="0.35">
      <c r="A432">
        <v>613</v>
      </c>
      <c r="B432" t="s">
        <v>138</v>
      </c>
      <c r="C432">
        <v>202602</v>
      </c>
      <c r="D432">
        <v>10465</v>
      </c>
      <c r="E432">
        <v>35.777777777777779</v>
      </c>
      <c r="F432">
        <v>292.5</v>
      </c>
    </row>
    <row r="433" spans="1:6" x14ac:dyDescent="0.35">
      <c r="A433">
        <v>767</v>
      </c>
      <c r="B433" t="s">
        <v>138</v>
      </c>
      <c r="C433">
        <v>202602</v>
      </c>
      <c r="D433">
        <v>11823</v>
      </c>
      <c r="E433">
        <v>19.711570523507838</v>
      </c>
      <c r="F433">
        <v>599.79999999999995</v>
      </c>
    </row>
    <row r="434" spans="1:6" x14ac:dyDescent="0.35">
      <c r="A434">
        <v>807</v>
      </c>
      <c r="B434" t="s">
        <v>138</v>
      </c>
      <c r="C434">
        <v>202602</v>
      </c>
      <c r="D434">
        <v>1030</v>
      </c>
      <c r="E434">
        <v>5.15</v>
      </c>
      <c r="F434">
        <v>200</v>
      </c>
    </row>
    <row r="435" spans="1:6" x14ac:dyDescent="0.35">
      <c r="A435">
        <v>808</v>
      </c>
      <c r="B435" t="s">
        <v>138</v>
      </c>
      <c r="C435">
        <v>202602</v>
      </c>
      <c r="D435">
        <v>1565</v>
      </c>
      <c r="E435">
        <v>5.3097645382370899</v>
      </c>
      <c r="F435">
        <v>294.74</v>
      </c>
    </row>
    <row r="436" spans="1:6" x14ac:dyDescent="0.35">
      <c r="A436">
        <v>502</v>
      </c>
      <c r="B436" t="s">
        <v>139</v>
      </c>
      <c r="C436">
        <v>202602</v>
      </c>
      <c r="D436">
        <v>26627</v>
      </c>
      <c r="E436">
        <v>85.551343015036622</v>
      </c>
      <c r="F436">
        <v>311.24</v>
      </c>
    </row>
    <row r="437" spans="1:6" x14ac:dyDescent="0.35">
      <c r="A437">
        <v>504</v>
      </c>
      <c r="B437" t="s">
        <v>139</v>
      </c>
      <c r="C437">
        <v>202602</v>
      </c>
      <c r="D437">
        <v>61412</v>
      </c>
      <c r="E437">
        <v>140.68864401731921</v>
      </c>
      <c r="F437">
        <v>436.51</v>
      </c>
    </row>
    <row r="438" spans="1:6" x14ac:dyDescent="0.35">
      <c r="A438">
        <v>505</v>
      </c>
      <c r="B438" t="s">
        <v>139</v>
      </c>
      <c r="C438">
        <v>202602</v>
      </c>
      <c r="D438">
        <v>26349</v>
      </c>
      <c r="E438">
        <v>70.796388844107682</v>
      </c>
      <c r="F438">
        <v>372.18</v>
      </c>
    </row>
    <row r="439" spans="1:6" x14ac:dyDescent="0.35">
      <c r="A439">
        <v>506</v>
      </c>
      <c r="B439" t="s">
        <v>139</v>
      </c>
      <c r="C439">
        <v>202602</v>
      </c>
      <c r="D439">
        <v>23685</v>
      </c>
      <c r="E439">
        <v>50.001055542654477</v>
      </c>
      <c r="F439">
        <v>473.69</v>
      </c>
    </row>
    <row r="440" spans="1:6" x14ac:dyDescent="0.35">
      <c r="A440">
        <v>508</v>
      </c>
      <c r="B440" t="s">
        <v>139</v>
      </c>
      <c r="C440">
        <v>202602</v>
      </c>
      <c r="D440">
        <v>31465</v>
      </c>
      <c r="E440">
        <v>77.748949839387208</v>
      </c>
      <c r="F440">
        <v>404.7</v>
      </c>
    </row>
    <row r="441" spans="1:6" x14ac:dyDescent="0.35">
      <c r="A441">
        <v>507</v>
      </c>
      <c r="B441" t="s">
        <v>139</v>
      </c>
      <c r="C441">
        <v>202602</v>
      </c>
      <c r="D441">
        <v>20801</v>
      </c>
      <c r="E441">
        <v>77.040740740740745</v>
      </c>
      <c r="F441">
        <v>270</v>
      </c>
    </row>
    <row r="442" spans="1:6" x14ac:dyDescent="0.35">
      <c r="A442">
        <v>520</v>
      </c>
      <c r="B442" t="s">
        <v>139</v>
      </c>
      <c r="C442">
        <v>202602</v>
      </c>
      <c r="D442">
        <v>131</v>
      </c>
      <c r="E442">
        <v>1.9264705882352942</v>
      </c>
      <c r="F442">
        <v>68</v>
      </c>
    </row>
    <row r="443" spans="1:6" x14ac:dyDescent="0.35">
      <c r="A443">
        <v>521</v>
      </c>
      <c r="B443" t="s">
        <v>139</v>
      </c>
      <c r="C443">
        <v>202602</v>
      </c>
      <c r="D443">
        <v>2670</v>
      </c>
      <c r="E443">
        <v>23.017241379310345</v>
      </c>
      <c r="F443">
        <v>116</v>
      </c>
    </row>
    <row r="444" spans="1:6" x14ac:dyDescent="0.35">
      <c r="A444">
        <v>784</v>
      </c>
      <c r="B444" t="s">
        <v>139</v>
      </c>
      <c r="C444">
        <v>202602</v>
      </c>
      <c r="D444">
        <v>171</v>
      </c>
      <c r="E444">
        <v>0.50711743772241991</v>
      </c>
      <c r="F444">
        <v>337.2</v>
      </c>
    </row>
    <row r="445" spans="1:6" x14ac:dyDescent="0.35">
      <c r="A445">
        <v>785</v>
      </c>
      <c r="B445" t="s">
        <v>139</v>
      </c>
      <c r="C445">
        <v>202602</v>
      </c>
      <c r="D445">
        <v>281</v>
      </c>
      <c r="E445">
        <v>0.49982212735681247</v>
      </c>
      <c r="F445">
        <v>562.20000000000005</v>
      </c>
    </row>
    <row r="446" spans="1:6" x14ac:dyDescent="0.35">
      <c r="A446">
        <v>758</v>
      </c>
      <c r="B446" t="s">
        <v>139</v>
      </c>
      <c r="C446">
        <v>202602</v>
      </c>
      <c r="D446">
        <v>5082</v>
      </c>
      <c r="E446">
        <v>7.5325714793899241</v>
      </c>
      <c r="F446">
        <v>674.67</v>
      </c>
    </row>
    <row r="447" spans="1:6" x14ac:dyDescent="0.35">
      <c r="A447">
        <v>757</v>
      </c>
      <c r="B447" t="s">
        <v>139</v>
      </c>
      <c r="C447">
        <v>202602</v>
      </c>
      <c r="D447">
        <v>10411</v>
      </c>
      <c r="E447">
        <v>21.042525669011237</v>
      </c>
      <c r="F447">
        <v>494.76</v>
      </c>
    </row>
    <row r="448" spans="1:6" x14ac:dyDescent="0.35">
      <c r="A448">
        <v>580</v>
      </c>
      <c r="B448" t="s">
        <v>139</v>
      </c>
      <c r="C448">
        <v>202602</v>
      </c>
      <c r="D448">
        <v>0</v>
      </c>
      <c r="E448">
        <v>0</v>
      </c>
      <c r="F448">
        <v>270.68</v>
      </c>
    </row>
    <row r="449" spans="1:6" x14ac:dyDescent="0.35">
      <c r="A449">
        <v>582</v>
      </c>
      <c r="B449" t="s">
        <v>139</v>
      </c>
      <c r="C449">
        <v>202602</v>
      </c>
      <c r="D449">
        <v>1064</v>
      </c>
      <c r="E449">
        <v>3.5378221113881962</v>
      </c>
      <c r="F449">
        <v>300.75</v>
      </c>
    </row>
    <row r="450" spans="1:6" x14ac:dyDescent="0.35">
      <c r="A450">
        <v>594</v>
      </c>
      <c r="B450" t="s">
        <v>139</v>
      </c>
      <c r="C450">
        <v>202602</v>
      </c>
      <c r="D450">
        <v>14738</v>
      </c>
      <c r="E450">
        <v>87.336296296296297</v>
      </c>
      <c r="F450">
        <v>168.75</v>
      </c>
    </row>
    <row r="451" spans="1:6" x14ac:dyDescent="0.35">
      <c r="A451">
        <v>595</v>
      </c>
      <c r="B451" t="s">
        <v>139</v>
      </c>
      <c r="C451">
        <v>202602</v>
      </c>
      <c r="D451">
        <v>18665</v>
      </c>
      <c r="E451">
        <v>248.86666666666667</v>
      </c>
      <c r="F451">
        <v>75</v>
      </c>
    </row>
    <row r="452" spans="1:6" x14ac:dyDescent="0.35">
      <c r="A452">
        <v>603</v>
      </c>
      <c r="B452" t="s">
        <v>139</v>
      </c>
      <c r="C452">
        <v>202602</v>
      </c>
      <c r="D452">
        <v>818</v>
      </c>
      <c r="E452">
        <v>3.6265295265117929</v>
      </c>
      <c r="F452">
        <v>225.56</v>
      </c>
    </row>
    <row r="453" spans="1:6" x14ac:dyDescent="0.35">
      <c r="A453">
        <v>606</v>
      </c>
      <c r="B453" t="s">
        <v>139</v>
      </c>
      <c r="C453">
        <v>202602</v>
      </c>
      <c r="D453">
        <v>2358</v>
      </c>
      <c r="E453">
        <v>8.9873080001524563</v>
      </c>
      <c r="F453">
        <v>262.37</v>
      </c>
    </row>
    <row r="454" spans="1:6" x14ac:dyDescent="0.35">
      <c r="A454">
        <v>772</v>
      </c>
      <c r="B454" t="s">
        <v>139</v>
      </c>
      <c r="C454">
        <v>202602</v>
      </c>
      <c r="D454">
        <v>346</v>
      </c>
      <c r="E454">
        <v>1.709486166007905</v>
      </c>
      <c r="F454">
        <v>202.4</v>
      </c>
    </row>
    <row r="455" spans="1:6" x14ac:dyDescent="0.35">
      <c r="A455">
        <v>615</v>
      </c>
      <c r="B455" t="s">
        <v>139</v>
      </c>
      <c r="C455">
        <v>202602</v>
      </c>
      <c r="D455">
        <v>2101</v>
      </c>
      <c r="E455">
        <v>7.7619329097088814</v>
      </c>
      <c r="F455">
        <v>270.68</v>
      </c>
    </row>
    <row r="456" spans="1:6" x14ac:dyDescent="0.35">
      <c r="A456">
        <v>617</v>
      </c>
      <c r="B456" t="s">
        <v>139</v>
      </c>
      <c r="C456">
        <v>202602</v>
      </c>
      <c r="D456">
        <v>816</v>
      </c>
      <c r="E456">
        <v>1.8133333333333332</v>
      </c>
      <c r="F456">
        <v>450</v>
      </c>
    </row>
    <row r="457" spans="1:6" x14ac:dyDescent="0.35">
      <c r="A457">
        <v>751</v>
      </c>
      <c r="B457" t="s">
        <v>139</v>
      </c>
      <c r="C457">
        <v>202602</v>
      </c>
      <c r="D457">
        <v>460</v>
      </c>
      <c r="E457">
        <v>2.2658982316142064</v>
      </c>
      <c r="F457">
        <v>203.01</v>
      </c>
    </row>
    <row r="458" spans="1:6" x14ac:dyDescent="0.35">
      <c r="A458">
        <v>752</v>
      </c>
      <c r="B458" t="s">
        <v>139</v>
      </c>
      <c r="C458">
        <v>202602</v>
      </c>
      <c r="D458">
        <v>2256</v>
      </c>
      <c r="E458">
        <v>6.5228705256462147</v>
      </c>
      <c r="F458">
        <v>345.86</v>
      </c>
    </row>
    <row r="459" spans="1:6" x14ac:dyDescent="0.35">
      <c r="A459">
        <v>753</v>
      </c>
      <c r="B459" t="s">
        <v>139</v>
      </c>
      <c r="C459">
        <v>202602</v>
      </c>
      <c r="D459">
        <v>3353</v>
      </c>
      <c r="E459">
        <v>6.8607791782615806</v>
      </c>
      <c r="F459">
        <v>488.72</v>
      </c>
    </row>
    <row r="460" spans="1:6" x14ac:dyDescent="0.35">
      <c r="A460">
        <v>754</v>
      </c>
      <c r="B460" t="s">
        <v>139</v>
      </c>
      <c r="C460">
        <v>202602</v>
      </c>
      <c r="D460">
        <v>637</v>
      </c>
      <c r="E460">
        <v>1.059001512859304</v>
      </c>
      <c r="F460">
        <v>601.51</v>
      </c>
    </row>
    <row r="461" spans="1:6" x14ac:dyDescent="0.35">
      <c r="A461">
        <v>614</v>
      </c>
      <c r="B461" t="s">
        <v>139</v>
      </c>
      <c r="C461">
        <v>202602</v>
      </c>
      <c r="D461">
        <v>10664</v>
      </c>
      <c r="E461">
        <v>18.968338669512626</v>
      </c>
      <c r="F461">
        <v>562.20000000000005</v>
      </c>
    </row>
    <row r="462" spans="1:6" x14ac:dyDescent="0.35">
      <c r="A462">
        <v>797</v>
      </c>
      <c r="B462" t="s">
        <v>139</v>
      </c>
      <c r="C462">
        <v>202602</v>
      </c>
      <c r="D462">
        <v>785</v>
      </c>
      <c r="E462">
        <v>1.7452200978212538</v>
      </c>
      <c r="F462">
        <v>449.8</v>
      </c>
    </row>
    <row r="463" spans="1:6" x14ac:dyDescent="0.35">
      <c r="A463">
        <v>613</v>
      </c>
      <c r="B463" t="s">
        <v>139</v>
      </c>
      <c r="C463">
        <v>202602</v>
      </c>
      <c r="D463">
        <v>4867</v>
      </c>
      <c r="E463">
        <v>16.639316239316241</v>
      </c>
      <c r="F463">
        <v>292.5</v>
      </c>
    </row>
    <row r="464" spans="1:6" x14ac:dyDescent="0.35">
      <c r="A464">
        <v>767</v>
      </c>
      <c r="B464" t="s">
        <v>139</v>
      </c>
      <c r="C464">
        <v>202602</v>
      </c>
      <c r="D464">
        <v>4991</v>
      </c>
      <c r="E464">
        <v>8.3211070356785601</v>
      </c>
      <c r="F464">
        <v>599.79999999999995</v>
      </c>
    </row>
    <row r="465" spans="1:6" x14ac:dyDescent="0.35">
      <c r="A465">
        <v>807</v>
      </c>
      <c r="B465" t="s">
        <v>139</v>
      </c>
      <c r="C465">
        <v>202602</v>
      </c>
      <c r="D465">
        <v>821</v>
      </c>
      <c r="E465">
        <v>4.1050000000000004</v>
      </c>
      <c r="F465">
        <v>200</v>
      </c>
    </row>
    <row r="466" spans="1:6" x14ac:dyDescent="0.35">
      <c r="A466">
        <v>808</v>
      </c>
      <c r="B466" t="s">
        <v>139</v>
      </c>
      <c r="C466">
        <v>202602</v>
      </c>
      <c r="D466">
        <v>1387</v>
      </c>
      <c r="E466">
        <v>4.7058424374024561</v>
      </c>
      <c r="F466">
        <v>294.74</v>
      </c>
    </row>
    <row r="467" spans="1:6" x14ac:dyDescent="0.35">
      <c r="A467">
        <v>502</v>
      </c>
      <c r="B467" t="s">
        <v>140</v>
      </c>
      <c r="C467">
        <v>202602</v>
      </c>
      <c r="D467">
        <v>42403</v>
      </c>
      <c r="E467">
        <v>136.23891530651588</v>
      </c>
      <c r="F467">
        <v>311.24</v>
      </c>
    </row>
    <row r="468" spans="1:6" x14ac:dyDescent="0.35">
      <c r="A468">
        <v>504</v>
      </c>
      <c r="B468" t="s">
        <v>140</v>
      </c>
      <c r="C468">
        <v>202602</v>
      </c>
      <c r="D468">
        <v>88229</v>
      </c>
      <c r="E468">
        <v>202.12366268814003</v>
      </c>
      <c r="F468">
        <v>436.51</v>
      </c>
    </row>
    <row r="469" spans="1:6" x14ac:dyDescent="0.35">
      <c r="A469">
        <v>505</v>
      </c>
      <c r="B469" t="s">
        <v>140</v>
      </c>
      <c r="C469">
        <v>202602</v>
      </c>
      <c r="D469">
        <v>42803</v>
      </c>
      <c r="E469">
        <v>115.00617980547047</v>
      </c>
      <c r="F469">
        <v>372.18</v>
      </c>
    </row>
    <row r="470" spans="1:6" x14ac:dyDescent="0.35">
      <c r="A470">
        <v>506</v>
      </c>
      <c r="B470" t="s">
        <v>140</v>
      </c>
      <c r="C470">
        <v>202602</v>
      </c>
      <c r="D470">
        <v>43619</v>
      </c>
      <c r="E470">
        <v>92.083430091409994</v>
      </c>
      <c r="F470">
        <v>473.69</v>
      </c>
    </row>
    <row r="471" spans="1:6" x14ac:dyDescent="0.35">
      <c r="A471">
        <v>508</v>
      </c>
      <c r="B471" t="s">
        <v>140</v>
      </c>
      <c r="C471">
        <v>202602</v>
      </c>
      <c r="D471">
        <v>36522</v>
      </c>
      <c r="E471">
        <v>90.244625648628613</v>
      </c>
      <c r="F471">
        <v>404.7</v>
      </c>
    </row>
    <row r="472" spans="1:6" x14ac:dyDescent="0.35">
      <c r="A472">
        <v>507</v>
      </c>
      <c r="B472" t="s">
        <v>140</v>
      </c>
      <c r="C472">
        <v>202602</v>
      </c>
      <c r="D472">
        <v>26466</v>
      </c>
      <c r="E472">
        <v>98.022222222222226</v>
      </c>
      <c r="F472">
        <v>270</v>
      </c>
    </row>
    <row r="473" spans="1:6" x14ac:dyDescent="0.35">
      <c r="A473">
        <v>520</v>
      </c>
      <c r="B473" t="s">
        <v>140</v>
      </c>
      <c r="C473">
        <v>202602</v>
      </c>
      <c r="D473">
        <v>212</v>
      </c>
      <c r="E473">
        <v>3.1176470588235294</v>
      </c>
      <c r="F473">
        <v>68</v>
      </c>
    </row>
    <row r="474" spans="1:6" x14ac:dyDescent="0.35">
      <c r="A474">
        <v>521</v>
      </c>
      <c r="B474" t="s">
        <v>140</v>
      </c>
      <c r="C474">
        <v>202602</v>
      </c>
      <c r="D474">
        <v>3713</v>
      </c>
      <c r="E474">
        <v>32.008620689655174</v>
      </c>
      <c r="F474">
        <v>116</v>
      </c>
    </row>
    <row r="475" spans="1:6" x14ac:dyDescent="0.35">
      <c r="A475">
        <v>784</v>
      </c>
      <c r="B475" t="s">
        <v>140</v>
      </c>
      <c r="C475">
        <v>202602</v>
      </c>
      <c r="D475">
        <v>245</v>
      </c>
      <c r="E475">
        <v>0.72657176749703445</v>
      </c>
      <c r="F475">
        <v>337.2</v>
      </c>
    </row>
    <row r="476" spans="1:6" x14ac:dyDescent="0.35">
      <c r="A476">
        <v>785</v>
      </c>
      <c r="B476" t="s">
        <v>140</v>
      </c>
      <c r="C476">
        <v>202602</v>
      </c>
      <c r="D476">
        <v>320</v>
      </c>
      <c r="E476">
        <v>0.56919245819992881</v>
      </c>
      <c r="F476">
        <v>562.20000000000005</v>
      </c>
    </row>
    <row r="477" spans="1:6" x14ac:dyDescent="0.35">
      <c r="A477">
        <v>758</v>
      </c>
      <c r="B477" t="s">
        <v>140</v>
      </c>
      <c r="C477">
        <v>202602</v>
      </c>
      <c r="D477">
        <v>6466</v>
      </c>
      <c r="E477">
        <v>9.5839447433560121</v>
      </c>
      <c r="F477">
        <v>674.67</v>
      </c>
    </row>
    <row r="478" spans="1:6" x14ac:dyDescent="0.35">
      <c r="A478">
        <v>757</v>
      </c>
      <c r="B478" t="s">
        <v>140</v>
      </c>
      <c r="C478">
        <v>202602</v>
      </c>
      <c r="D478">
        <v>12757</v>
      </c>
      <c r="E478">
        <v>25.784218611043737</v>
      </c>
      <c r="F478">
        <v>494.76</v>
      </c>
    </row>
    <row r="479" spans="1:6" x14ac:dyDescent="0.35">
      <c r="A479">
        <v>580</v>
      </c>
      <c r="B479" t="s">
        <v>140</v>
      </c>
      <c r="C479">
        <v>202602</v>
      </c>
      <c r="D479">
        <v>0</v>
      </c>
      <c r="E479">
        <v>0</v>
      </c>
      <c r="F479">
        <v>270.68</v>
      </c>
    </row>
    <row r="480" spans="1:6" x14ac:dyDescent="0.35">
      <c r="A480">
        <v>582</v>
      </c>
      <c r="B480" t="s">
        <v>140</v>
      </c>
      <c r="C480">
        <v>202602</v>
      </c>
      <c r="D480">
        <v>1704</v>
      </c>
      <c r="E480">
        <v>5.6658354114713214</v>
      </c>
      <c r="F480">
        <v>300.75</v>
      </c>
    </row>
    <row r="481" spans="1:6" x14ac:dyDescent="0.35">
      <c r="A481">
        <v>594</v>
      </c>
      <c r="B481" t="s">
        <v>140</v>
      </c>
      <c r="C481">
        <v>202602</v>
      </c>
      <c r="D481">
        <v>13220</v>
      </c>
      <c r="E481">
        <v>78.340740740740742</v>
      </c>
      <c r="F481">
        <v>168.75</v>
      </c>
    </row>
    <row r="482" spans="1:6" x14ac:dyDescent="0.35">
      <c r="A482">
        <v>595</v>
      </c>
      <c r="B482" t="s">
        <v>140</v>
      </c>
      <c r="C482">
        <v>202602</v>
      </c>
      <c r="D482">
        <v>29605</v>
      </c>
      <c r="E482">
        <v>394.73333333333335</v>
      </c>
      <c r="F482">
        <v>75</v>
      </c>
    </row>
    <row r="483" spans="1:6" x14ac:dyDescent="0.35">
      <c r="A483">
        <v>603</v>
      </c>
      <c r="B483" t="s">
        <v>140</v>
      </c>
      <c r="C483">
        <v>202602</v>
      </c>
      <c r="D483">
        <v>2358</v>
      </c>
      <c r="E483">
        <v>10.45398120234084</v>
      </c>
      <c r="F483">
        <v>225.56</v>
      </c>
    </row>
    <row r="484" spans="1:6" x14ac:dyDescent="0.35">
      <c r="A484">
        <v>606</v>
      </c>
      <c r="B484" t="s">
        <v>140</v>
      </c>
      <c r="C484">
        <v>202602</v>
      </c>
      <c r="D484">
        <v>2299</v>
      </c>
      <c r="E484">
        <v>8.7624347295803631</v>
      </c>
      <c r="F484">
        <v>262.37</v>
      </c>
    </row>
    <row r="485" spans="1:6" x14ac:dyDescent="0.35">
      <c r="A485">
        <v>772</v>
      </c>
      <c r="B485" t="s">
        <v>140</v>
      </c>
      <c r="C485">
        <v>202602</v>
      </c>
      <c r="D485">
        <v>366</v>
      </c>
      <c r="E485">
        <v>1.808300395256917</v>
      </c>
      <c r="F485">
        <v>202.4</v>
      </c>
    </row>
    <row r="486" spans="1:6" x14ac:dyDescent="0.35">
      <c r="A486">
        <v>615</v>
      </c>
      <c r="B486" t="s">
        <v>140</v>
      </c>
      <c r="C486">
        <v>202602</v>
      </c>
      <c r="D486">
        <v>5849</v>
      </c>
      <c r="E486">
        <v>21.60854145116004</v>
      </c>
      <c r="F486">
        <v>270.68</v>
      </c>
    </row>
    <row r="487" spans="1:6" x14ac:dyDescent="0.35">
      <c r="A487">
        <v>617</v>
      </c>
      <c r="B487" t="s">
        <v>140</v>
      </c>
      <c r="C487">
        <v>202602</v>
      </c>
      <c r="D487">
        <v>1907</v>
      </c>
      <c r="E487">
        <v>4.2377777777777776</v>
      </c>
      <c r="F487">
        <v>450</v>
      </c>
    </row>
    <row r="488" spans="1:6" x14ac:dyDescent="0.35">
      <c r="A488">
        <v>751</v>
      </c>
      <c r="B488" t="s">
        <v>140</v>
      </c>
      <c r="C488">
        <v>202602</v>
      </c>
      <c r="D488">
        <v>1418</v>
      </c>
      <c r="E488">
        <v>6.9848775922368356</v>
      </c>
      <c r="F488">
        <v>203.01</v>
      </c>
    </row>
    <row r="489" spans="1:6" x14ac:dyDescent="0.35">
      <c r="A489">
        <v>752</v>
      </c>
      <c r="B489" t="s">
        <v>140</v>
      </c>
      <c r="C489">
        <v>202602</v>
      </c>
      <c r="D489">
        <v>4909</v>
      </c>
      <c r="E489">
        <v>14.193604348580349</v>
      </c>
      <c r="F489">
        <v>345.86</v>
      </c>
    </row>
    <row r="490" spans="1:6" x14ac:dyDescent="0.35">
      <c r="A490">
        <v>753</v>
      </c>
      <c r="B490" t="s">
        <v>140</v>
      </c>
      <c r="C490">
        <v>202602</v>
      </c>
      <c r="D490">
        <v>4822</v>
      </c>
      <c r="E490">
        <v>9.8665902766410216</v>
      </c>
      <c r="F490">
        <v>488.72</v>
      </c>
    </row>
    <row r="491" spans="1:6" x14ac:dyDescent="0.35">
      <c r="A491">
        <v>754</v>
      </c>
      <c r="B491" t="s">
        <v>140</v>
      </c>
      <c r="C491">
        <v>202602</v>
      </c>
      <c r="D491">
        <v>916</v>
      </c>
      <c r="E491">
        <v>1.5228342005951689</v>
      </c>
      <c r="F491">
        <v>601.51</v>
      </c>
    </row>
    <row r="492" spans="1:6" x14ac:dyDescent="0.35">
      <c r="A492">
        <v>614</v>
      </c>
      <c r="B492" t="s">
        <v>140</v>
      </c>
      <c r="C492">
        <v>202602</v>
      </c>
      <c r="D492">
        <v>14729</v>
      </c>
      <c r="E492">
        <v>26.198861615083597</v>
      </c>
      <c r="F492">
        <v>562.20000000000005</v>
      </c>
    </row>
    <row r="493" spans="1:6" x14ac:dyDescent="0.35">
      <c r="A493">
        <v>797</v>
      </c>
      <c r="B493" t="s">
        <v>140</v>
      </c>
      <c r="C493">
        <v>202602</v>
      </c>
      <c r="D493">
        <v>641</v>
      </c>
      <c r="E493">
        <v>1.4250778123610492</v>
      </c>
      <c r="F493">
        <v>449.8</v>
      </c>
    </row>
    <row r="494" spans="1:6" x14ac:dyDescent="0.35">
      <c r="A494">
        <v>613</v>
      </c>
      <c r="B494" t="s">
        <v>140</v>
      </c>
      <c r="C494">
        <v>202602</v>
      </c>
      <c r="D494">
        <v>7065</v>
      </c>
      <c r="E494">
        <v>24.153846153846153</v>
      </c>
      <c r="F494">
        <v>292.5</v>
      </c>
    </row>
    <row r="495" spans="1:6" x14ac:dyDescent="0.35">
      <c r="A495">
        <v>767</v>
      </c>
      <c r="B495" t="s">
        <v>140</v>
      </c>
      <c r="C495">
        <v>202602</v>
      </c>
      <c r="D495">
        <v>4445</v>
      </c>
      <c r="E495">
        <v>7.410803601200401</v>
      </c>
      <c r="F495">
        <v>599.79999999999995</v>
      </c>
    </row>
    <row r="496" spans="1:6" x14ac:dyDescent="0.35">
      <c r="A496">
        <v>807</v>
      </c>
      <c r="B496" t="s">
        <v>140</v>
      </c>
      <c r="C496">
        <v>202602</v>
      </c>
      <c r="D496">
        <v>2001</v>
      </c>
      <c r="E496">
        <v>10.005000000000001</v>
      </c>
      <c r="F496">
        <v>200</v>
      </c>
    </row>
    <row r="497" spans="1:6" x14ac:dyDescent="0.35">
      <c r="A497">
        <v>808</v>
      </c>
      <c r="B497" t="s">
        <v>140</v>
      </c>
      <c r="C497">
        <v>202602</v>
      </c>
      <c r="D497">
        <v>2907</v>
      </c>
      <c r="E497">
        <v>9.8629300400352857</v>
      </c>
      <c r="F497">
        <v>294.74</v>
      </c>
    </row>
    <row r="498" spans="1:6" x14ac:dyDescent="0.35">
      <c r="A498">
        <v>502</v>
      </c>
      <c r="B498" t="s">
        <v>141</v>
      </c>
      <c r="C498">
        <v>202602</v>
      </c>
      <c r="D498">
        <v>15493</v>
      </c>
      <c r="E498">
        <v>49.778306130317439</v>
      </c>
      <c r="F498">
        <v>311.24</v>
      </c>
    </row>
    <row r="499" spans="1:6" x14ac:dyDescent="0.35">
      <c r="A499">
        <v>504</v>
      </c>
      <c r="B499" t="s">
        <v>141</v>
      </c>
      <c r="C499">
        <v>202602</v>
      </c>
      <c r="D499">
        <v>30505</v>
      </c>
      <c r="E499">
        <v>69.883851458156741</v>
      </c>
      <c r="F499">
        <v>436.51</v>
      </c>
    </row>
    <row r="500" spans="1:6" x14ac:dyDescent="0.35">
      <c r="A500">
        <v>505</v>
      </c>
      <c r="B500" t="s">
        <v>141</v>
      </c>
      <c r="C500">
        <v>202602</v>
      </c>
      <c r="D500">
        <v>8401</v>
      </c>
      <c r="E500">
        <v>22.572411198882261</v>
      </c>
      <c r="F500">
        <v>372.18</v>
      </c>
    </row>
    <row r="501" spans="1:6" x14ac:dyDescent="0.35">
      <c r="A501">
        <v>506</v>
      </c>
      <c r="B501" t="s">
        <v>141</v>
      </c>
      <c r="C501">
        <v>202602</v>
      </c>
      <c r="D501">
        <v>13914</v>
      </c>
      <c r="E501">
        <v>29.37364098883236</v>
      </c>
      <c r="F501">
        <v>473.69</v>
      </c>
    </row>
    <row r="502" spans="1:6" x14ac:dyDescent="0.35">
      <c r="A502">
        <v>508</v>
      </c>
      <c r="B502" t="s">
        <v>141</v>
      </c>
      <c r="C502">
        <v>202602</v>
      </c>
      <c r="D502">
        <v>12579</v>
      </c>
      <c r="E502">
        <v>31.082283172720533</v>
      </c>
      <c r="F502">
        <v>404.7</v>
      </c>
    </row>
    <row r="503" spans="1:6" x14ac:dyDescent="0.35">
      <c r="A503">
        <v>507</v>
      </c>
      <c r="B503" t="s">
        <v>141</v>
      </c>
      <c r="C503">
        <v>202602</v>
      </c>
      <c r="D503">
        <v>9127</v>
      </c>
      <c r="E503">
        <v>33.803703703703704</v>
      </c>
      <c r="F503">
        <v>270</v>
      </c>
    </row>
    <row r="504" spans="1:6" x14ac:dyDescent="0.35">
      <c r="A504">
        <v>520</v>
      </c>
      <c r="B504" t="s">
        <v>141</v>
      </c>
      <c r="C504">
        <v>202602</v>
      </c>
      <c r="D504">
        <v>339</v>
      </c>
      <c r="E504">
        <v>4.9852941176470589</v>
      </c>
      <c r="F504">
        <v>68</v>
      </c>
    </row>
    <row r="505" spans="1:6" x14ac:dyDescent="0.35">
      <c r="A505">
        <v>521</v>
      </c>
      <c r="B505" t="s">
        <v>141</v>
      </c>
      <c r="C505">
        <v>202602</v>
      </c>
      <c r="D505">
        <v>1189</v>
      </c>
      <c r="E505">
        <v>10.25</v>
      </c>
      <c r="F505">
        <v>116</v>
      </c>
    </row>
    <row r="506" spans="1:6" x14ac:dyDescent="0.35">
      <c r="A506">
        <v>784</v>
      </c>
      <c r="B506" t="s">
        <v>141</v>
      </c>
      <c r="C506">
        <v>202602</v>
      </c>
      <c r="D506">
        <v>443</v>
      </c>
      <c r="E506">
        <v>1.3137603795966786</v>
      </c>
      <c r="F506">
        <v>337.2</v>
      </c>
    </row>
    <row r="507" spans="1:6" x14ac:dyDescent="0.35">
      <c r="A507">
        <v>785</v>
      </c>
      <c r="B507" t="s">
        <v>141</v>
      </c>
      <c r="C507">
        <v>202602</v>
      </c>
      <c r="D507">
        <v>559</v>
      </c>
      <c r="E507">
        <v>0.99430807541800059</v>
      </c>
      <c r="F507">
        <v>562.20000000000005</v>
      </c>
    </row>
    <row r="508" spans="1:6" x14ac:dyDescent="0.35">
      <c r="A508">
        <v>758</v>
      </c>
      <c r="B508" t="s">
        <v>141</v>
      </c>
      <c r="C508">
        <v>202602</v>
      </c>
      <c r="D508">
        <v>4472</v>
      </c>
      <c r="E508">
        <v>6.6284257488846405</v>
      </c>
      <c r="F508">
        <v>674.67</v>
      </c>
    </row>
    <row r="509" spans="1:6" x14ac:dyDescent="0.35">
      <c r="A509">
        <v>757</v>
      </c>
      <c r="B509" t="s">
        <v>141</v>
      </c>
      <c r="C509">
        <v>202602</v>
      </c>
      <c r="D509">
        <v>7706</v>
      </c>
      <c r="E509">
        <v>15.575228393564556</v>
      </c>
      <c r="F509">
        <v>494.76</v>
      </c>
    </row>
    <row r="510" spans="1:6" x14ac:dyDescent="0.35">
      <c r="A510">
        <v>580</v>
      </c>
      <c r="B510" t="s">
        <v>141</v>
      </c>
      <c r="C510">
        <v>202602</v>
      </c>
      <c r="D510">
        <v>0</v>
      </c>
      <c r="E510">
        <v>0</v>
      </c>
      <c r="F510">
        <v>270.68</v>
      </c>
    </row>
    <row r="511" spans="1:6" x14ac:dyDescent="0.35">
      <c r="A511">
        <v>582</v>
      </c>
      <c r="B511" t="s">
        <v>141</v>
      </c>
      <c r="C511">
        <v>202602</v>
      </c>
      <c r="D511">
        <v>1236</v>
      </c>
      <c r="E511">
        <v>4.109725685785536</v>
      </c>
      <c r="F511">
        <v>300.75</v>
      </c>
    </row>
    <row r="512" spans="1:6" x14ac:dyDescent="0.35">
      <c r="A512">
        <v>594</v>
      </c>
      <c r="B512" t="s">
        <v>141</v>
      </c>
      <c r="C512">
        <v>202602</v>
      </c>
      <c r="D512">
        <v>9275</v>
      </c>
      <c r="E512">
        <v>54.962962962962962</v>
      </c>
      <c r="F512">
        <v>168.75</v>
      </c>
    </row>
    <row r="513" spans="1:6" x14ac:dyDescent="0.35">
      <c r="A513">
        <v>595</v>
      </c>
      <c r="B513" t="s">
        <v>141</v>
      </c>
      <c r="C513">
        <v>202602</v>
      </c>
      <c r="D513">
        <v>7626</v>
      </c>
      <c r="E513">
        <v>101.68</v>
      </c>
      <c r="F513">
        <v>75</v>
      </c>
    </row>
    <row r="514" spans="1:6" x14ac:dyDescent="0.35">
      <c r="A514">
        <v>603</v>
      </c>
      <c r="B514" t="s">
        <v>141</v>
      </c>
      <c r="C514">
        <v>202602</v>
      </c>
      <c r="D514">
        <v>1361</v>
      </c>
      <c r="E514">
        <v>6.0338712537683987</v>
      </c>
      <c r="F514">
        <v>225.56</v>
      </c>
    </row>
    <row r="515" spans="1:6" x14ac:dyDescent="0.35">
      <c r="A515">
        <v>606</v>
      </c>
      <c r="B515" t="s">
        <v>141</v>
      </c>
      <c r="C515">
        <v>202602</v>
      </c>
      <c r="D515">
        <v>1423</v>
      </c>
      <c r="E515">
        <v>5.4236383732896289</v>
      </c>
      <c r="F515">
        <v>262.37</v>
      </c>
    </row>
    <row r="516" spans="1:6" x14ac:dyDescent="0.35">
      <c r="A516">
        <v>772</v>
      </c>
      <c r="B516" t="s">
        <v>141</v>
      </c>
      <c r="C516">
        <v>202602</v>
      </c>
      <c r="D516">
        <v>321</v>
      </c>
      <c r="E516">
        <v>1.5859683794466404</v>
      </c>
      <c r="F516">
        <v>202.4</v>
      </c>
    </row>
    <row r="517" spans="1:6" x14ac:dyDescent="0.35">
      <c r="A517">
        <v>615</v>
      </c>
      <c r="B517" t="s">
        <v>141</v>
      </c>
      <c r="C517">
        <v>202602</v>
      </c>
      <c r="D517">
        <v>2311</v>
      </c>
      <c r="E517">
        <v>8.5377567607507014</v>
      </c>
      <c r="F517">
        <v>270.68</v>
      </c>
    </row>
    <row r="518" spans="1:6" x14ac:dyDescent="0.35">
      <c r="A518">
        <v>617</v>
      </c>
      <c r="B518" t="s">
        <v>141</v>
      </c>
      <c r="C518">
        <v>202602</v>
      </c>
      <c r="D518">
        <v>1165</v>
      </c>
      <c r="E518">
        <v>2.588888888888889</v>
      </c>
      <c r="F518">
        <v>450</v>
      </c>
    </row>
    <row r="519" spans="1:6" x14ac:dyDescent="0.35">
      <c r="A519">
        <v>751</v>
      </c>
      <c r="B519" t="s">
        <v>141</v>
      </c>
      <c r="C519">
        <v>202602</v>
      </c>
      <c r="D519">
        <v>3104</v>
      </c>
      <c r="E519">
        <v>15.289887197674991</v>
      </c>
      <c r="F519">
        <v>203.01</v>
      </c>
    </row>
    <row r="520" spans="1:6" x14ac:dyDescent="0.35">
      <c r="A520">
        <v>752</v>
      </c>
      <c r="B520" t="s">
        <v>141</v>
      </c>
      <c r="C520">
        <v>202602</v>
      </c>
      <c r="D520">
        <v>5250</v>
      </c>
      <c r="E520">
        <v>15.179552420054357</v>
      </c>
      <c r="F520">
        <v>345.86</v>
      </c>
    </row>
    <row r="521" spans="1:6" x14ac:dyDescent="0.35">
      <c r="A521">
        <v>753</v>
      </c>
      <c r="B521" t="s">
        <v>141</v>
      </c>
      <c r="C521">
        <v>202602</v>
      </c>
      <c r="D521">
        <v>10431</v>
      </c>
      <c r="E521">
        <v>21.343509576035355</v>
      </c>
      <c r="F521">
        <v>488.72</v>
      </c>
    </row>
    <row r="522" spans="1:6" x14ac:dyDescent="0.35">
      <c r="A522">
        <v>754</v>
      </c>
      <c r="B522" t="s">
        <v>141</v>
      </c>
      <c r="C522">
        <v>202602</v>
      </c>
      <c r="D522">
        <v>2518</v>
      </c>
      <c r="E522">
        <v>4.1861315688849725</v>
      </c>
      <c r="F522">
        <v>601.51</v>
      </c>
    </row>
    <row r="523" spans="1:6" x14ac:dyDescent="0.35">
      <c r="A523">
        <v>614</v>
      </c>
      <c r="B523" t="s">
        <v>141</v>
      </c>
      <c r="C523">
        <v>202602</v>
      </c>
      <c r="D523">
        <v>10920</v>
      </c>
      <c r="E523">
        <v>19.42369263607257</v>
      </c>
      <c r="F523">
        <v>562.20000000000005</v>
      </c>
    </row>
    <row r="524" spans="1:6" x14ac:dyDescent="0.35">
      <c r="A524">
        <v>797</v>
      </c>
      <c r="B524" t="s">
        <v>141</v>
      </c>
      <c r="C524">
        <v>202602</v>
      </c>
      <c r="D524">
        <v>915</v>
      </c>
      <c r="E524">
        <v>2.0342374388617164</v>
      </c>
      <c r="F524">
        <v>449.8</v>
      </c>
    </row>
    <row r="525" spans="1:6" x14ac:dyDescent="0.35">
      <c r="A525">
        <v>613</v>
      </c>
      <c r="B525" t="s">
        <v>141</v>
      </c>
      <c r="C525">
        <v>202602</v>
      </c>
      <c r="D525">
        <v>7066</v>
      </c>
      <c r="E525">
        <v>24.157264957264957</v>
      </c>
      <c r="F525">
        <v>292.5</v>
      </c>
    </row>
    <row r="526" spans="1:6" x14ac:dyDescent="0.35">
      <c r="A526">
        <v>767</v>
      </c>
      <c r="B526" t="s">
        <v>141</v>
      </c>
      <c r="C526">
        <v>202602</v>
      </c>
      <c r="D526">
        <v>4304</v>
      </c>
      <c r="E526">
        <v>7.1757252417472497</v>
      </c>
      <c r="F526">
        <v>599.79999999999995</v>
      </c>
    </row>
    <row r="527" spans="1:6" x14ac:dyDescent="0.35">
      <c r="A527">
        <v>807</v>
      </c>
      <c r="B527" t="s">
        <v>141</v>
      </c>
      <c r="C527">
        <v>202602</v>
      </c>
      <c r="D527">
        <v>3900</v>
      </c>
      <c r="E527">
        <v>19.5</v>
      </c>
      <c r="F527">
        <v>200</v>
      </c>
    </row>
    <row r="528" spans="1:6" x14ac:dyDescent="0.35">
      <c r="A528">
        <v>808</v>
      </c>
      <c r="B528" t="s">
        <v>141</v>
      </c>
      <c r="C528">
        <v>202602</v>
      </c>
      <c r="D528">
        <v>4634</v>
      </c>
      <c r="E528">
        <v>15.722331546447716</v>
      </c>
      <c r="F528">
        <v>294.74</v>
      </c>
    </row>
    <row r="529" spans="1:6" x14ac:dyDescent="0.35">
      <c r="A529">
        <v>502</v>
      </c>
      <c r="B529" t="s">
        <v>142</v>
      </c>
      <c r="C529">
        <v>202602</v>
      </c>
      <c r="D529">
        <v>8069</v>
      </c>
      <c r="E529">
        <v>25.925330934327206</v>
      </c>
      <c r="F529">
        <v>311.24</v>
      </c>
    </row>
    <row r="530" spans="1:6" x14ac:dyDescent="0.35">
      <c r="A530">
        <v>504</v>
      </c>
      <c r="B530" t="s">
        <v>142</v>
      </c>
      <c r="C530">
        <v>202602</v>
      </c>
      <c r="D530">
        <v>17937</v>
      </c>
      <c r="E530">
        <v>41.09184211129184</v>
      </c>
      <c r="F530">
        <v>436.51</v>
      </c>
    </row>
    <row r="531" spans="1:6" x14ac:dyDescent="0.35">
      <c r="A531">
        <v>505</v>
      </c>
      <c r="B531" t="s">
        <v>142</v>
      </c>
      <c r="C531">
        <v>202602</v>
      </c>
      <c r="D531">
        <v>9424</v>
      </c>
      <c r="E531">
        <v>25.321081197270139</v>
      </c>
      <c r="F531">
        <v>372.18</v>
      </c>
    </row>
    <row r="532" spans="1:6" x14ac:dyDescent="0.35">
      <c r="A532">
        <v>506</v>
      </c>
      <c r="B532" t="s">
        <v>142</v>
      </c>
      <c r="C532">
        <v>202602</v>
      </c>
      <c r="D532">
        <v>8238</v>
      </c>
      <c r="E532">
        <v>17.391120775190526</v>
      </c>
      <c r="F532">
        <v>473.69</v>
      </c>
    </row>
    <row r="533" spans="1:6" x14ac:dyDescent="0.35">
      <c r="A533">
        <v>508</v>
      </c>
      <c r="B533" t="s">
        <v>142</v>
      </c>
      <c r="C533">
        <v>202602</v>
      </c>
      <c r="D533">
        <v>8777</v>
      </c>
      <c r="E533">
        <v>21.687669878922659</v>
      </c>
      <c r="F533">
        <v>404.7</v>
      </c>
    </row>
    <row r="534" spans="1:6" x14ac:dyDescent="0.35">
      <c r="A534">
        <v>507</v>
      </c>
      <c r="B534" t="s">
        <v>142</v>
      </c>
      <c r="C534">
        <v>202602</v>
      </c>
      <c r="D534">
        <v>5887</v>
      </c>
      <c r="E534">
        <v>21.803703703703704</v>
      </c>
      <c r="F534">
        <v>270</v>
      </c>
    </row>
    <row r="535" spans="1:6" x14ac:dyDescent="0.35">
      <c r="A535">
        <v>520</v>
      </c>
      <c r="B535" t="s">
        <v>142</v>
      </c>
      <c r="C535">
        <v>202602</v>
      </c>
      <c r="D535">
        <v>125</v>
      </c>
      <c r="E535">
        <v>1.838235294117647</v>
      </c>
      <c r="F535">
        <v>68</v>
      </c>
    </row>
    <row r="536" spans="1:6" x14ac:dyDescent="0.35">
      <c r="A536">
        <v>521</v>
      </c>
      <c r="B536" t="s">
        <v>142</v>
      </c>
      <c r="C536">
        <v>202602</v>
      </c>
      <c r="D536">
        <v>588</v>
      </c>
      <c r="E536">
        <v>5.068965517241379</v>
      </c>
      <c r="F536">
        <v>116</v>
      </c>
    </row>
    <row r="537" spans="1:6" x14ac:dyDescent="0.35">
      <c r="A537">
        <v>784</v>
      </c>
      <c r="B537" t="s">
        <v>142</v>
      </c>
      <c r="C537">
        <v>202602</v>
      </c>
      <c r="D537">
        <v>448</v>
      </c>
      <c r="E537">
        <v>1.32858837485172</v>
      </c>
      <c r="F537">
        <v>337.2</v>
      </c>
    </row>
    <row r="538" spans="1:6" x14ac:dyDescent="0.35">
      <c r="A538">
        <v>785</v>
      </c>
      <c r="B538" t="s">
        <v>142</v>
      </c>
      <c r="C538">
        <v>202602</v>
      </c>
      <c r="D538">
        <v>699</v>
      </c>
      <c r="E538">
        <v>1.2433297758804696</v>
      </c>
      <c r="F538">
        <v>562.20000000000005</v>
      </c>
    </row>
    <row r="539" spans="1:6" x14ac:dyDescent="0.35">
      <c r="A539">
        <v>758</v>
      </c>
      <c r="B539" t="s">
        <v>142</v>
      </c>
      <c r="C539">
        <v>202602</v>
      </c>
      <c r="D539">
        <v>3095</v>
      </c>
      <c r="E539">
        <v>4.5874279277276298</v>
      </c>
      <c r="F539">
        <v>674.67</v>
      </c>
    </row>
    <row r="540" spans="1:6" x14ac:dyDescent="0.35">
      <c r="A540">
        <v>757</v>
      </c>
      <c r="B540" t="s">
        <v>142</v>
      </c>
      <c r="C540">
        <v>202602</v>
      </c>
      <c r="D540">
        <v>6109</v>
      </c>
      <c r="E540">
        <v>12.347400759964428</v>
      </c>
      <c r="F540">
        <v>494.76</v>
      </c>
    </row>
    <row r="541" spans="1:6" x14ac:dyDescent="0.35">
      <c r="A541">
        <v>580</v>
      </c>
      <c r="B541" t="s">
        <v>142</v>
      </c>
      <c r="C541">
        <v>202602</v>
      </c>
      <c r="D541">
        <v>0</v>
      </c>
      <c r="E541">
        <v>0</v>
      </c>
      <c r="F541">
        <v>270.68</v>
      </c>
    </row>
    <row r="542" spans="1:6" x14ac:dyDescent="0.35">
      <c r="A542">
        <v>582</v>
      </c>
      <c r="B542" t="s">
        <v>142</v>
      </c>
      <c r="C542">
        <v>202602</v>
      </c>
      <c r="D542">
        <v>937</v>
      </c>
      <c r="E542">
        <v>3.1155444721529508</v>
      </c>
      <c r="F542">
        <v>300.75</v>
      </c>
    </row>
    <row r="543" spans="1:6" x14ac:dyDescent="0.35">
      <c r="A543">
        <v>594</v>
      </c>
      <c r="B543" t="s">
        <v>142</v>
      </c>
      <c r="C543">
        <v>202602</v>
      </c>
      <c r="D543">
        <v>4320</v>
      </c>
      <c r="E543">
        <v>25.6</v>
      </c>
      <c r="F543">
        <v>168.75</v>
      </c>
    </row>
    <row r="544" spans="1:6" x14ac:dyDescent="0.35">
      <c r="A544">
        <v>595</v>
      </c>
      <c r="B544" t="s">
        <v>142</v>
      </c>
      <c r="C544">
        <v>202602</v>
      </c>
      <c r="D544">
        <v>3851</v>
      </c>
      <c r="E544">
        <v>51.346666666666664</v>
      </c>
      <c r="F544">
        <v>75</v>
      </c>
    </row>
    <row r="545" spans="1:6" x14ac:dyDescent="0.35">
      <c r="A545">
        <v>603</v>
      </c>
      <c r="B545" t="s">
        <v>142</v>
      </c>
      <c r="C545">
        <v>202602</v>
      </c>
      <c r="D545">
        <v>1293</v>
      </c>
      <c r="E545">
        <v>5.7323993615889339</v>
      </c>
      <c r="F545">
        <v>225.56</v>
      </c>
    </row>
    <row r="546" spans="1:6" x14ac:dyDescent="0.35">
      <c r="A546">
        <v>606</v>
      </c>
      <c r="B546" t="s">
        <v>142</v>
      </c>
      <c r="C546">
        <v>202602</v>
      </c>
      <c r="D546">
        <v>1352</v>
      </c>
      <c r="E546">
        <v>5.1530281663299915</v>
      </c>
      <c r="F546">
        <v>262.37</v>
      </c>
    </row>
    <row r="547" spans="1:6" x14ac:dyDescent="0.35">
      <c r="A547">
        <v>772</v>
      </c>
      <c r="B547" t="s">
        <v>142</v>
      </c>
      <c r="C547">
        <v>202602</v>
      </c>
      <c r="D547">
        <v>0</v>
      </c>
      <c r="E547">
        <v>0</v>
      </c>
      <c r="F547">
        <v>202.4</v>
      </c>
    </row>
    <row r="548" spans="1:6" x14ac:dyDescent="0.35">
      <c r="A548">
        <v>615</v>
      </c>
      <c r="B548" t="s">
        <v>142</v>
      </c>
      <c r="C548">
        <v>202602</v>
      </c>
      <c r="D548">
        <v>1955</v>
      </c>
      <c r="E548">
        <v>7.2225506132702817</v>
      </c>
      <c r="F548">
        <v>270.68</v>
      </c>
    </row>
    <row r="549" spans="1:6" x14ac:dyDescent="0.35">
      <c r="A549">
        <v>617</v>
      </c>
      <c r="B549" t="s">
        <v>142</v>
      </c>
      <c r="C549">
        <v>202602</v>
      </c>
      <c r="D549">
        <v>503</v>
      </c>
      <c r="E549">
        <v>1.1177777777777778</v>
      </c>
      <c r="F549">
        <v>450</v>
      </c>
    </row>
    <row r="550" spans="1:6" x14ac:dyDescent="0.35">
      <c r="A550">
        <v>751</v>
      </c>
      <c r="B550" t="s">
        <v>142</v>
      </c>
      <c r="C550">
        <v>202602</v>
      </c>
      <c r="D550">
        <v>2454</v>
      </c>
      <c r="E550">
        <v>12.0880744790897</v>
      </c>
      <c r="F550">
        <v>203.01</v>
      </c>
    </row>
    <row r="551" spans="1:6" x14ac:dyDescent="0.35">
      <c r="A551">
        <v>752</v>
      </c>
      <c r="B551" t="s">
        <v>142</v>
      </c>
      <c r="C551">
        <v>202602</v>
      </c>
      <c r="D551">
        <v>10846</v>
      </c>
      <c r="E551">
        <v>31.359509628173249</v>
      </c>
      <c r="F551">
        <v>345.86</v>
      </c>
    </row>
    <row r="552" spans="1:6" x14ac:dyDescent="0.35">
      <c r="A552">
        <v>753</v>
      </c>
      <c r="B552" t="s">
        <v>142</v>
      </c>
      <c r="C552">
        <v>202602</v>
      </c>
      <c r="D552">
        <v>16058</v>
      </c>
      <c r="E552">
        <v>32.857259780651496</v>
      </c>
      <c r="F552">
        <v>488.72</v>
      </c>
    </row>
    <row r="553" spans="1:6" x14ac:dyDescent="0.35">
      <c r="A553">
        <v>754</v>
      </c>
      <c r="B553" t="s">
        <v>142</v>
      </c>
      <c r="C553">
        <v>202602</v>
      </c>
      <c r="D553">
        <v>2250</v>
      </c>
      <c r="E553">
        <v>3.7405861914182639</v>
      </c>
      <c r="F553">
        <v>601.51</v>
      </c>
    </row>
    <row r="554" spans="1:6" x14ac:dyDescent="0.35">
      <c r="A554">
        <v>614</v>
      </c>
      <c r="B554" t="s">
        <v>142</v>
      </c>
      <c r="C554">
        <v>202602</v>
      </c>
      <c r="D554">
        <v>5860</v>
      </c>
      <c r="E554">
        <v>10.423336890786196</v>
      </c>
      <c r="F554">
        <v>562.20000000000005</v>
      </c>
    </row>
    <row r="555" spans="1:6" x14ac:dyDescent="0.35">
      <c r="A555">
        <v>797</v>
      </c>
      <c r="B555" t="s">
        <v>142</v>
      </c>
      <c r="C555">
        <v>202602</v>
      </c>
      <c r="D555">
        <v>528</v>
      </c>
      <c r="E555">
        <v>1.1738550466874167</v>
      </c>
      <c r="F555">
        <v>449.8</v>
      </c>
    </row>
    <row r="556" spans="1:6" x14ac:dyDescent="0.35">
      <c r="A556">
        <v>613</v>
      </c>
      <c r="B556" t="s">
        <v>142</v>
      </c>
      <c r="C556">
        <v>202602</v>
      </c>
      <c r="D556">
        <v>2637</v>
      </c>
      <c r="E556">
        <v>9.0153846153846153</v>
      </c>
      <c r="F556">
        <v>292.5</v>
      </c>
    </row>
    <row r="557" spans="1:6" x14ac:dyDescent="0.35">
      <c r="A557">
        <v>767</v>
      </c>
      <c r="B557" t="s">
        <v>142</v>
      </c>
      <c r="C557">
        <v>202602</v>
      </c>
      <c r="D557">
        <v>4112</v>
      </c>
      <c r="E557">
        <v>6.8556185395131717</v>
      </c>
      <c r="F557">
        <v>599.79999999999995</v>
      </c>
    </row>
    <row r="558" spans="1:6" x14ac:dyDescent="0.35">
      <c r="A558">
        <v>807</v>
      </c>
      <c r="B558" t="s">
        <v>142</v>
      </c>
      <c r="C558">
        <v>202602</v>
      </c>
      <c r="D558">
        <v>970</v>
      </c>
      <c r="E558">
        <v>4.8499999999999996</v>
      </c>
      <c r="F558">
        <v>200</v>
      </c>
    </row>
    <row r="559" spans="1:6" x14ac:dyDescent="0.35">
      <c r="A559">
        <v>808</v>
      </c>
      <c r="B559" t="s">
        <v>142</v>
      </c>
      <c r="C559">
        <v>202602</v>
      </c>
      <c r="D559">
        <v>1326</v>
      </c>
      <c r="E559">
        <v>4.4988803691389023</v>
      </c>
      <c r="F559">
        <v>294.74</v>
      </c>
    </row>
    <row r="560" spans="1:6" x14ac:dyDescent="0.35">
      <c r="A560">
        <v>502</v>
      </c>
      <c r="B560" t="s">
        <v>143</v>
      </c>
      <c r="C560">
        <v>202602</v>
      </c>
      <c r="D560">
        <v>15404</v>
      </c>
      <c r="E560">
        <v>49.492353167973263</v>
      </c>
      <c r="F560">
        <v>311.24</v>
      </c>
    </row>
    <row r="561" spans="1:6" x14ac:dyDescent="0.35">
      <c r="A561">
        <v>504</v>
      </c>
      <c r="B561" t="s">
        <v>143</v>
      </c>
      <c r="C561">
        <v>202602</v>
      </c>
      <c r="D561">
        <v>31266</v>
      </c>
      <c r="E561">
        <v>71.627225034936203</v>
      </c>
      <c r="F561">
        <v>436.51</v>
      </c>
    </row>
    <row r="562" spans="1:6" x14ac:dyDescent="0.35">
      <c r="A562">
        <v>505</v>
      </c>
      <c r="B562" t="s">
        <v>143</v>
      </c>
      <c r="C562">
        <v>202602</v>
      </c>
      <c r="D562">
        <v>15264</v>
      </c>
      <c r="E562">
        <v>41.012413348379816</v>
      </c>
      <c r="F562">
        <v>372.18</v>
      </c>
    </row>
    <row r="563" spans="1:6" x14ac:dyDescent="0.35">
      <c r="A563">
        <v>506</v>
      </c>
      <c r="B563" t="s">
        <v>143</v>
      </c>
      <c r="C563">
        <v>202602</v>
      </c>
      <c r="D563">
        <v>13836</v>
      </c>
      <c r="E563">
        <v>29.208976334733688</v>
      </c>
      <c r="F563">
        <v>473.69</v>
      </c>
    </row>
    <row r="564" spans="1:6" x14ac:dyDescent="0.35">
      <c r="A564">
        <v>508</v>
      </c>
      <c r="B564" t="s">
        <v>143</v>
      </c>
      <c r="C564">
        <v>202602</v>
      </c>
      <c r="D564">
        <v>17013</v>
      </c>
      <c r="E564">
        <v>42.038547071905114</v>
      </c>
      <c r="F564">
        <v>404.7</v>
      </c>
    </row>
    <row r="565" spans="1:6" x14ac:dyDescent="0.35">
      <c r="A565">
        <v>507</v>
      </c>
      <c r="B565" t="s">
        <v>143</v>
      </c>
      <c r="C565">
        <v>202602</v>
      </c>
      <c r="D565">
        <v>11297</v>
      </c>
      <c r="E565">
        <v>41.840740740740742</v>
      </c>
      <c r="F565">
        <v>270</v>
      </c>
    </row>
    <row r="566" spans="1:6" x14ac:dyDescent="0.35">
      <c r="A566">
        <v>520</v>
      </c>
      <c r="B566" t="s">
        <v>143</v>
      </c>
      <c r="C566">
        <v>202602</v>
      </c>
      <c r="D566">
        <v>251</v>
      </c>
      <c r="E566">
        <v>3.6911764705882355</v>
      </c>
      <c r="F566">
        <v>68</v>
      </c>
    </row>
    <row r="567" spans="1:6" x14ac:dyDescent="0.35">
      <c r="A567">
        <v>521</v>
      </c>
      <c r="B567" t="s">
        <v>143</v>
      </c>
      <c r="C567">
        <v>202602</v>
      </c>
      <c r="D567">
        <v>1151</v>
      </c>
      <c r="E567">
        <v>9.9224137931034484</v>
      </c>
      <c r="F567">
        <v>116</v>
      </c>
    </row>
    <row r="568" spans="1:6" x14ac:dyDescent="0.35">
      <c r="A568">
        <v>784</v>
      </c>
      <c r="B568" t="s">
        <v>143</v>
      </c>
      <c r="C568">
        <v>202602</v>
      </c>
      <c r="D568">
        <v>669</v>
      </c>
      <c r="E568">
        <v>1.9839857651245552</v>
      </c>
      <c r="F568">
        <v>337.2</v>
      </c>
    </row>
    <row r="569" spans="1:6" x14ac:dyDescent="0.35">
      <c r="A569">
        <v>785</v>
      </c>
      <c r="B569" t="s">
        <v>143</v>
      </c>
      <c r="C569">
        <v>202602</v>
      </c>
      <c r="D569">
        <v>937</v>
      </c>
      <c r="E569">
        <v>1.6666666666666665</v>
      </c>
      <c r="F569">
        <v>562.20000000000005</v>
      </c>
    </row>
    <row r="570" spans="1:6" x14ac:dyDescent="0.35">
      <c r="A570">
        <v>758</v>
      </c>
      <c r="B570" t="s">
        <v>143</v>
      </c>
      <c r="C570">
        <v>202602</v>
      </c>
      <c r="D570">
        <v>5349</v>
      </c>
      <c r="E570">
        <v>7.9283205122504343</v>
      </c>
      <c r="F570">
        <v>674.67</v>
      </c>
    </row>
    <row r="571" spans="1:6" x14ac:dyDescent="0.35">
      <c r="A571">
        <v>757</v>
      </c>
      <c r="B571" t="s">
        <v>143</v>
      </c>
      <c r="C571">
        <v>202602</v>
      </c>
      <c r="D571">
        <v>9533</v>
      </c>
      <c r="E571">
        <v>19.267927884226697</v>
      </c>
      <c r="F571">
        <v>494.76</v>
      </c>
    </row>
    <row r="572" spans="1:6" x14ac:dyDescent="0.35">
      <c r="A572">
        <v>580</v>
      </c>
      <c r="B572" t="s">
        <v>143</v>
      </c>
      <c r="C572">
        <v>202602</v>
      </c>
      <c r="D572">
        <v>0</v>
      </c>
      <c r="E572">
        <v>0</v>
      </c>
      <c r="F572">
        <v>270.68</v>
      </c>
    </row>
    <row r="573" spans="1:6" x14ac:dyDescent="0.35">
      <c r="A573">
        <v>582</v>
      </c>
      <c r="B573" t="s">
        <v>143</v>
      </c>
      <c r="C573">
        <v>202602</v>
      </c>
      <c r="D573">
        <v>1407</v>
      </c>
      <c r="E573">
        <v>4.6783042394014966</v>
      </c>
      <c r="F573">
        <v>300.75</v>
      </c>
    </row>
    <row r="574" spans="1:6" x14ac:dyDescent="0.35">
      <c r="A574">
        <v>594</v>
      </c>
      <c r="B574" t="s">
        <v>143</v>
      </c>
      <c r="C574">
        <v>202602</v>
      </c>
      <c r="D574">
        <v>6634</v>
      </c>
      <c r="E574">
        <v>39.312592592592594</v>
      </c>
      <c r="F574">
        <v>168.75</v>
      </c>
    </row>
    <row r="575" spans="1:6" x14ac:dyDescent="0.35">
      <c r="A575">
        <v>595</v>
      </c>
      <c r="B575" t="s">
        <v>143</v>
      </c>
      <c r="C575">
        <v>202602</v>
      </c>
      <c r="D575">
        <v>6116</v>
      </c>
      <c r="E575">
        <v>81.546666666666667</v>
      </c>
      <c r="F575">
        <v>75</v>
      </c>
    </row>
    <row r="576" spans="1:6" x14ac:dyDescent="0.35">
      <c r="A576">
        <v>603</v>
      </c>
      <c r="B576" t="s">
        <v>143</v>
      </c>
      <c r="C576">
        <v>202602</v>
      </c>
      <c r="D576">
        <v>2476</v>
      </c>
      <c r="E576">
        <v>10.977123603475793</v>
      </c>
      <c r="F576">
        <v>225.56</v>
      </c>
    </row>
    <row r="577" spans="1:6" x14ac:dyDescent="0.35">
      <c r="A577">
        <v>606</v>
      </c>
      <c r="B577" t="s">
        <v>143</v>
      </c>
      <c r="C577">
        <v>202602</v>
      </c>
      <c r="D577">
        <v>2581</v>
      </c>
      <c r="E577">
        <v>9.8372527346876542</v>
      </c>
      <c r="F577">
        <v>262.37</v>
      </c>
    </row>
    <row r="578" spans="1:6" x14ac:dyDescent="0.35">
      <c r="A578">
        <v>772</v>
      </c>
      <c r="B578" t="s">
        <v>143</v>
      </c>
      <c r="C578">
        <v>202602</v>
      </c>
      <c r="D578">
        <v>195</v>
      </c>
      <c r="E578">
        <v>0.9634387351778656</v>
      </c>
      <c r="F578">
        <v>202.4</v>
      </c>
    </row>
    <row r="579" spans="1:6" x14ac:dyDescent="0.35">
      <c r="A579">
        <v>615</v>
      </c>
      <c r="B579" t="s">
        <v>143</v>
      </c>
      <c r="C579">
        <v>202602</v>
      </c>
      <c r="D579">
        <v>2638</v>
      </c>
      <c r="E579">
        <v>9.7458253288015371</v>
      </c>
      <c r="F579">
        <v>270.68</v>
      </c>
    </row>
    <row r="580" spans="1:6" x14ac:dyDescent="0.35">
      <c r="A580">
        <v>617</v>
      </c>
      <c r="B580" t="s">
        <v>143</v>
      </c>
      <c r="C580">
        <v>202602</v>
      </c>
      <c r="D580">
        <v>759</v>
      </c>
      <c r="E580">
        <v>1.6866666666666668</v>
      </c>
      <c r="F580">
        <v>450</v>
      </c>
    </row>
    <row r="581" spans="1:6" x14ac:dyDescent="0.35">
      <c r="A581">
        <v>751</v>
      </c>
      <c r="B581" t="s">
        <v>143</v>
      </c>
      <c r="C581">
        <v>202602</v>
      </c>
      <c r="D581">
        <v>5323</v>
      </c>
      <c r="E581">
        <v>26.220383232353086</v>
      </c>
      <c r="F581">
        <v>203.01</v>
      </c>
    </row>
    <row r="582" spans="1:6" x14ac:dyDescent="0.35">
      <c r="A582">
        <v>752</v>
      </c>
      <c r="B582" t="s">
        <v>143</v>
      </c>
      <c r="C582">
        <v>202602</v>
      </c>
      <c r="D582">
        <v>17001</v>
      </c>
      <c r="E582">
        <v>49.155727751113169</v>
      </c>
      <c r="F582">
        <v>345.86</v>
      </c>
    </row>
    <row r="583" spans="1:6" x14ac:dyDescent="0.35">
      <c r="A583">
        <v>753</v>
      </c>
      <c r="B583" t="s">
        <v>143</v>
      </c>
      <c r="C583">
        <v>202602</v>
      </c>
      <c r="D583">
        <v>19560</v>
      </c>
      <c r="E583">
        <v>40.022917007693565</v>
      </c>
      <c r="F583">
        <v>488.72</v>
      </c>
    </row>
    <row r="584" spans="1:6" x14ac:dyDescent="0.35">
      <c r="A584">
        <v>754</v>
      </c>
      <c r="B584" t="s">
        <v>143</v>
      </c>
      <c r="C584">
        <v>202602</v>
      </c>
      <c r="D584">
        <v>3562</v>
      </c>
      <c r="E584">
        <v>5.9217635617030471</v>
      </c>
      <c r="F584">
        <v>601.51</v>
      </c>
    </row>
    <row r="585" spans="1:6" x14ac:dyDescent="0.35">
      <c r="A585">
        <v>614</v>
      </c>
      <c r="B585" t="s">
        <v>143</v>
      </c>
      <c r="C585">
        <v>202602</v>
      </c>
      <c r="D585">
        <v>8340</v>
      </c>
      <c r="E585">
        <v>14.834578441835644</v>
      </c>
      <c r="F585">
        <v>562.20000000000005</v>
      </c>
    </row>
    <row r="586" spans="1:6" x14ac:dyDescent="0.35">
      <c r="A586">
        <v>797</v>
      </c>
      <c r="B586" t="s">
        <v>143</v>
      </c>
      <c r="C586">
        <v>202602</v>
      </c>
      <c r="D586">
        <v>867</v>
      </c>
      <c r="E586">
        <v>1.9275233437083148</v>
      </c>
      <c r="F586">
        <v>449.8</v>
      </c>
    </row>
    <row r="587" spans="1:6" x14ac:dyDescent="0.35">
      <c r="A587">
        <v>613</v>
      </c>
      <c r="B587" t="s">
        <v>143</v>
      </c>
      <c r="C587">
        <v>202602</v>
      </c>
      <c r="D587">
        <v>4748</v>
      </c>
      <c r="E587">
        <v>16.232478632478632</v>
      </c>
      <c r="F587">
        <v>292.5</v>
      </c>
    </row>
    <row r="588" spans="1:6" x14ac:dyDescent="0.35">
      <c r="A588">
        <v>767</v>
      </c>
      <c r="B588" t="s">
        <v>143</v>
      </c>
      <c r="C588">
        <v>202602</v>
      </c>
      <c r="D588">
        <v>4317</v>
      </c>
      <c r="E588">
        <v>7.1973991330443488</v>
      </c>
      <c r="F588">
        <v>599.79999999999995</v>
      </c>
    </row>
    <row r="589" spans="1:6" x14ac:dyDescent="0.35">
      <c r="A589">
        <v>807</v>
      </c>
      <c r="B589" t="s">
        <v>143</v>
      </c>
      <c r="C589">
        <v>202602</v>
      </c>
      <c r="D589">
        <v>906</v>
      </c>
      <c r="E589">
        <v>4.53</v>
      </c>
      <c r="F589">
        <v>200</v>
      </c>
    </row>
    <row r="590" spans="1:6" x14ac:dyDescent="0.35">
      <c r="A590">
        <v>808</v>
      </c>
      <c r="B590" t="s">
        <v>143</v>
      </c>
      <c r="C590">
        <v>202602</v>
      </c>
      <c r="D590">
        <v>1238</v>
      </c>
      <c r="E590">
        <v>4.2003121395127909</v>
      </c>
      <c r="F590">
        <v>294.74</v>
      </c>
    </row>
    <row r="591" spans="1:6" x14ac:dyDescent="0.35">
      <c r="A591">
        <v>502</v>
      </c>
      <c r="B591" t="s">
        <v>144</v>
      </c>
      <c r="C591">
        <v>202602</v>
      </c>
      <c r="D591">
        <v>10081</v>
      </c>
      <c r="E591">
        <v>32.389795656085333</v>
      </c>
      <c r="F591">
        <v>311.24</v>
      </c>
    </row>
    <row r="592" spans="1:6" x14ac:dyDescent="0.35">
      <c r="A592">
        <v>504</v>
      </c>
      <c r="B592" t="s">
        <v>144</v>
      </c>
      <c r="C592">
        <v>202602</v>
      </c>
      <c r="D592">
        <v>20487</v>
      </c>
      <c r="E592">
        <v>46.933632677372799</v>
      </c>
      <c r="F592">
        <v>436.51</v>
      </c>
    </row>
    <row r="593" spans="1:6" x14ac:dyDescent="0.35">
      <c r="A593">
        <v>505</v>
      </c>
      <c r="B593" t="s">
        <v>144</v>
      </c>
      <c r="C593">
        <v>202602</v>
      </c>
      <c r="D593">
        <v>15928</v>
      </c>
      <c r="E593">
        <v>42.796496318985433</v>
      </c>
      <c r="F593">
        <v>372.18</v>
      </c>
    </row>
    <row r="594" spans="1:6" x14ac:dyDescent="0.35">
      <c r="A594">
        <v>506</v>
      </c>
      <c r="B594" t="s">
        <v>144</v>
      </c>
      <c r="C594">
        <v>202602</v>
      </c>
      <c r="D594">
        <v>10058</v>
      </c>
      <c r="E594">
        <v>21.233296037492874</v>
      </c>
      <c r="F594">
        <v>473.69</v>
      </c>
    </row>
    <row r="595" spans="1:6" x14ac:dyDescent="0.35">
      <c r="A595">
        <v>508</v>
      </c>
      <c r="B595" t="s">
        <v>144</v>
      </c>
      <c r="C595">
        <v>202602</v>
      </c>
      <c r="D595">
        <v>9473</v>
      </c>
      <c r="E595">
        <v>23.407462317766246</v>
      </c>
      <c r="F595">
        <v>404.7</v>
      </c>
    </row>
    <row r="596" spans="1:6" x14ac:dyDescent="0.35">
      <c r="A596">
        <v>507</v>
      </c>
      <c r="B596" t="s">
        <v>144</v>
      </c>
      <c r="C596">
        <v>202602</v>
      </c>
      <c r="D596">
        <v>7170</v>
      </c>
      <c r="E596">
        <v>26.555555555555557</v>
      </c>
      <c r="F596">
        <v>270</v>
      </c>
    </row>
    <row r="597" spans="1:6" x14ac:dyDescent="0.35">
      <c r="A597">
        <v>520</v>
      </c>
      <c r="B597" t="s">
        <v>144</v>
      </c>
      <c r="C597">
        <v>202602</v>
      </c>
      <c r="D597">
        <v>157</v>
      </c>
      <c r="E597">
        <v>2.3088235294117645</v>
      </c>
      <c r="F597">
        <v>68</v>
      </c>
    </row>
    <row r="598" spans="1:6" x14ac:dyDescent="0.35">
      <c r="A598">
        <v>521</v>
      </c>
      <c r="B598" t="s">
        <v>144</v>
      </c>
      <c r="C598">
        <v>202602</v>
      </c>
      <c r="D598">
        <v>638</v>
      </c>
      <c r="E598">
        <v>5.5</v>
      </c>
      <c r="F598">
        <v>116</v>
      </c>
    </row>
    <row r="599" spans="1:6" x14ac:dyDescent="0.35">
      <c r="A599">
        <v>784</v>
      </c>
      <c r="B599" t="s">
        <v>144</v>
      </c>
      <c r="C599">
        <v>202602</v>
      </c>
      <c r="D599">
        <v>550</v>
      </c>
      <c r="E599">
        <v>1.631079478054567</v>
      </c>
      <c r="F599">
        <v>337.2</v>
      </c>
    </row>
    <row r="600" spans="1:6" x14ac:dyDescent="0.35">
      <c r="A600">
        <v>785</v>
      </c>
      <c r="B600" t="s">
        <v>144</v>
      </c>
      <c r="C600">
        <v>202602</v>
      </c>
      <c r="D600">
        <v>500</v>
      </c>
      <c r="E600">
        <v>0.88936321593738876</v>
      </c>
      <c r="F600">
        <v>562.20000000000005</v>
      </c>
    </row>
    <row r="601" spans="1:6" x14ac:dyDescent="0.35">
      <c r="A601">
        <v>758</v>
      </c>
      <c r="B601" t="s">
        <v>144</v>
      </c>
      <c r="C601">
        <v>202602</v>
      </c>
      <c r="D601">
        <v>3580</v>
      </c>
      <c r="E601">
        <v>5.3062978937851097</v>
      </c>
      <c r="F601">
        <v>674.67</v>
      </c>
    </row>
    <row r="602" spans="1:6" x14ac:dyDescent="0.35">
      <c r="A602">
        <v>757</v>
      </c>
      <c r="B602" t="s">
        <v>144</v>
      </c>
      <c r="C602">
        <v>202602</v>
      </c>
      <c r="D602">
        <v>7944</v>
      </c>
      <c r="E602">
        <v>16.056269706524375</v>
      </c>
      <c r="F602">
        <v>494.76</v>
      </c>
    </row>
    <row r="603" spans="1:6" x14ac:dyDescent="0.35">
      <c r="A603">
        <v>580</v>
      </c>
      <c r="B603" t="s">
        <v>144</v>
      </c>
      <c r="C603">
        <v>202602</v>
      </c>
      <c r="D603">
        <v>0</v>
      </c>
      <c r="E603">
        <v>0</v>
      </c>
      <c r="F603">
        <v>270.68</v>
      </c>
    </row>
    <row r="604" spans="1:6" x14ac:dyDescent="0.35">
      <c r="A604">
        <v>582</v>
      </c>
      <c r="B604" t="s">
        <v>144</v>
      </c>
      <c r="C604">
        <v>202602</v>
      </c>
      <c r="D604">
        <v>0</v>
      </c>
      <c r="E604">
        <v>0</v>
      </c>
      <c r="F604">
        <v>300.75</v>
      </c>
    </row>
    <row r="605" spans="1:6" x14ac:dyDescent="0.35">
      <c r="A605">
        <v>594</v>
      </c>
      <c r="B605" t="s">
        <v>144</v>
      </c>
      <c r="C605">
        <v>202602</v>
      </c>
      <c r="D605">
        <v>2572</v>
      </c>
      <c r="E605">
        <v>15.241481481481481</v>
      </c>
      <c r="F605">
        <v>168.75</v>
      </c>
    </row>
    <row r="606" spans="1:6" x14ac:dyDescent="0.35">
      <c r="A606">
        <v>595</v>
      </c>
      <c r="B606" t="s">
        <v>144</v>
      </c>
      <c r="C606">
        <v>202602</v>
      </c>
      <c r="D606">
        <v>4178</v>
      </c>
      <c r="E606">
        <v>55.706666666666663</v>
      </c>
      <c r="F606">
        <v>75</v>
      </c>
    </row>
    <row r="607" spans="1:6" x14ac:dyDescent="0.35">
      <c r="A607">
        <v>603</v>
      </c>
      <c r="B607" t="s">
        <v>144</v>
      </c>
      <c r="C607">
        <v>202602</v>
      </c>
      <c r="D607">
        <v>1576</v>
      </c>
      <c r="E607">
        <v>6.9870544422769996</v>
      </c>
      <c r="F607">
        <v>225.56</v>
      </c>
    </row>
    <row r="608" spans="1:6" x14ac:dyDescent="0.35">
      <c r="A608">
        <v>606</v>
      </c>
      <c r="B608" t="s">
        <v>144</v>
      </c>
      <c r="C608">
        <v>202602</v>
      </c>
      <c r="D608">
        <v>1335</v>
      </c>
      <c r="E608">
        <v>5.0882341731143041</v>
      </c>
      <c r="F608">
        <v>262.37</v>
      </c>
    </row>
    <row r="609" spans="1:6" x14ac:dyDescent="0.35">
      <c r="A609">
        <v>772</v>
      </c>
      <c r="B609" t="s">
        <v>144</v>
      </c>
      <c r="C609">
        <v>202602</v>
      </c>
      <c r="D609">
        <v>263</v>
      </c>
      <c r="E609">
        <v>1.2994071146245059</v>
      </c>
      <c r="F609">
        <v>202.4</v>
      </c>
    </row>
    <row r="610" spans="1:6" x14ac:dyDescent="0.35">
      <c r="A610">
        <v>615</v>
      </c>
      <c r="B610" t="s">
        <v>144</v>
      </c>
      <c r="C610">
        <v>202602</v>
      </c>
      <c r="D610">
        <v>1794</v>
      </c>
      <c r="E610">
        <v>6.6277523274715531</v>
      </c>
      <c r="F610">
        <v>270.68</v>
      </c>
    </row>
    <row r="611" spans="1:6" x14ac:dyDescent="0.35">
      <c r="A611">
        <v>617</v>
      </c>
      <c r="B611" t="s">
        <v>144</v>
      </c>
      <c r="C611">
        <v>202602</v>
      </c>
      <c r="D611">
        <v>725</v>
      </c>
      <c r="E611">
        <v>1.6111111111111112</v>
      </c>
      <c r="F611">
        <v>450</v>
      </c>
    </row>
    <row r="612" spans="1:6" x14ac:dyDescent="0.35">
      <c r="A612">
        <v>751</v>
      </c>
      <c r="B612" t="s">
        <v>144</v>
      </c>
      <c r="C612">
        <v>202602</v>
      </c>
      <c r="D612">
        <v>596</v>
      </c>
      <c r="E612">
        <v>2.9358159696566672</v>
      </c>
      <c r="F612">
        <v>203.01</v>
      </c>
    </row>
    <row r="613" spans="1:6" x14ac:dyDescent="0.35">
      <c r="A613">
        <v>752</v>
      </c>
      <c r="B613" t="s">
        <v>144</v>
      </c>
      <c r="C613">
        <v>202602</v>
      </c>
      <c r="D613">
        <v>9662</v>
      </c>
      <c r="E613">
        <v>27.936159139536226</v>
      </c>
      <c r="F613">
        <v>345.86</v>
      </c>
    </row>
    <row r="614" spans="1:6" x14ac:dyDescent="0.35">
      <c r="A614">
        <v>753</v>
      </c>
      <c r="B614" t="s">
        <v>144</v>
      </c>
      <c r="C614">
        <v>202602</v>
      </c>
      <c r="D614">
        <v>9684</v>
      </c>
      <c r="E614">
        <v>19.815027009330496</v>
      </c>
      <c r="F614">
        <v>488.72</v>
      </c>
    </row>
    <row r="615" spans="1:6" x14ac:dyDescent="0.35">
      <c r="A615">
        <v>754</v>
      </c>
      <c r="B615" t="s">
        <v>144</v>
      </c>
      <c r="C615">
        <v>202602</v>
      </c>
      <c r="D615">
        <v>4468</v>
      </c>
      <c r="E615">
        <v>7.4279729347808017</v>
      </c>
      <c r="F615">
        <v>601.51</v>
      </c>
    </row>
    <row r="616" spans="1:6" x14ac:dyDescent="0.35">
      <c r="A616">
        <v>614</v>
      </c>
      <c r="B616" t="s">
        <v>144</v>
      </c>
      <c r="C616">
        <v>202602</v>
      </c>
      <c r="D616">
        <v>7652</v>
      </c>
      <c r="E616">
        <v>13.610814656705797</v>
      </c>
      <c r="F616">
        <v>562.20000000000005</v>
      </c>
    </row>
    <row r="617" spans="1:6" x14ac:dyDescent="0.35">
      <c r="A617">
        <v>797</v>
      </c>
      <c r="B617" t="s">
        <v>144</v>
      </c>
      <c r="C617">
        <v>202602</v>
      </c>
      <c r="D617">
        <v>928</v>
      </c>
      <c r="E617">
        <v>2.0631391729657627</v>
      </c>
      <c r="F617">
        <v>449.8</v>
      </c>
    </row>
    <row r="618" spans="1:6" x14ac:dyDescent="0.35">
      <c r="A618">
        <v>613</v>
      </c>
      <c r="B618" t="s">
        <v>144</v>
      </c>
      <c r="C618">
        <v>202602</v>
      </c>
      <c r="D618">
        <v>2813</v>
      </c>
      <c r="E618">
        <v>9.6170940170940167</v>
      </c>
      <c r="F618">
        <v>292.5</v>
      </c>
    </row>
    <row r="619" spans="1:6" x14ac:dyDescent="0.35">
      <c r="A619">
        <v>767</v>
      </c>
      <c r="B619" t="s">
        <v>144</v>
      </c>
      <c r="C619">
        <v>202602</v>
      </c>
      <c r="D619">
        <v>3754</v>
      </c>
      <c r="E619">
        <v>6.2587529176392138</v>
      </c>
      <c r="F619">
        <v>599.79999999999995</v>
      </c>
    </row>
    <row r="620" spans="1:6" x14ac:dyDescent="0.35">
      <c r="A620">
        <v>807</v>
      </c>
      <c r="B620" t="s">
        <v>144</v>
      </c>
      <c r="C620">
        <v>202602</v>
      </c>
      <c r="D620">
        <v>1500</v>
      </c>
      <c r="E620">
        <v>7.5</v>
      </c>
      <c r="F620">
        <v>200</v>
      </c>
    </row>
    <row r="621" spans="1:6" x14ac:dyDescent="0.35">
      <c r="A621">
        <v>808</v>
      </c>
      <c r="B621" t="s">
        <v>144</v>
      </c>
      <c r="C621">
        <v>202602</v>
      </c>
      <c r="D621">
        <v>1840</v>
      </c>
      <c r="E621">
        <v>6.2427902558186874</v>
      </c>
      <c r="F621">
        <v>294.74</v>
      </c>
    </row>
    <row r="622" spans="1:6" x14ac:dyDescent="0.35">
      <c r="A622">
        <v>502</v>
      </c>
      <c r="B622" t="s">
        <v>145</v>
      </c>
      <c r="C622">
        <v>202602</v>
      </c>
      <c r="D622">
        <v>12460</v>
      </c>
      <c r="E622">
        <v>40.033414728184034</v>
      </c>
      <c r="F622">
        <v>311.24</v>
      </c>
    </row>
    <row r="623" spans="1:6" x14ac:dyDescent="0.35">
      <c r="A623">
        <v>504</v>
      </c>
      <c r="B623" t="s">
        <v>145</v>
      </c>
      <c r="C623">
        <v>202602</v>
      </c>
      <c r="D623">
        <v>28228</v>
      </c>
      <c r="E623">
        <v>64.667476117385633</v>
      </c>
      <c r="F623">
        <v>436.51</v>
      </c>
    </row>
    <row r="624" spans="1:6" x14ac:dyDescent="0.35">
      <c r="A624">
        <v>505</v>
      </c>
      <c r="B624" t="s">
        <v>145</v>
      </c>
      <c r="C624">
        <v>202602</v>
      </c>
      <c r="D624">
        <v>13968</v>
      </c>
      <c r="E624">
        <v>37.530227309366438</v>
      </c>
      <c r="F624">
        <v>372.18</v>
      </c>
    </row>
    <row r="625" spans="1:6" x14ac:dyDescent="0.35">
      <c r="A625">
        <v>506</v>
      </c>
      <c r="B625" t="s">
        <v>145</v>
      </c>
      <c r="C625">
        <v>202602</v>
      </c>
      <c r="D625">
        <v>12921</v>
      </c>
      <c r="E625">
        <v>27.277333277037727</v>
      </c>
      <c r="F625">
        <v>473.69</v>
      </c>
    </row>
    <row r="626" spans="1:6" x14ac:dyDescent="0.35">
      <c r="A626">
        <v>508</v>
      </c>
      <c r="B626" t="s">
        <v>145</v>
      </c>
      <c r="C626">
        <v>202602</v>
      </c>
      <c r="D626">
        <v>10892</v>
      </c>
      <c r="E626">
        <v>26.913763281443046</v>
      </c>
      <c r="F626">
        <v>404.7</v>
      </c>
    </row>
    <row r="627" spans="1:6" x14ac:dyDescent="0.35">
      <c r="A627">
        <v>507</v>
      </c>
      <c r="B627" t="s">
        <v>145</v>
      </c>
      <c r="C627">
        <v>202602</v>
      </c>
      <c r="D627">
        <v>8615</v>
      </c>
      <c r="E627">
        <v>31.907407407407408</v>
      </c>
      <c r="F627">
        <v>270</v>
      </c>
    </row>
    <row r="628" spans="1:6" x14ac:dyDescent="0.35">
      <c r="A628">
        <v>520</v>
      </c>
      <c r="B628" t="s">
        <v>145</v>
      </c>
      <c r="C628">
        <v>202602</v>
      </c>
      <c r="D628">
        <v>131</v>
      </c>
      <c r="E628">
        <v>1.9264705882352942</v>
      </c>
      <c r="F628">
        <v>68</v>
      </c>
    </row>
    <row r="629" spans="1:6" x14ac:dyDescent="0.35">
      <c r="A629">
        <v>521</v>
      </c>
      <c r="B629" t="s">
        <v>145</v>
      </c>
      <c r="C629">
        <v>202602</v>
      </c>
      <c r="D629">
        <v>711</v>
      </c>
      <c r="E629">
        <v>6.1293103448275863</v>
      </c>
      <c r="F629">
        <v>116</v>
      </c>
    </row>
    <row r="630" spans="1:6" x14ac:dyDescent="0.35">
      <c r="A630">
        <v>784</v>
      </c>
      <c r="B630" t="s">
        <v>145</v>
      </c>
      <c r="C630">
        <v>202602</v>
      </c>
      <c r="D630">
        <v>428</v>
      </c>
      <c r="E630">
        <v>1.2692763938315541</v>
      </c>
      <c r="F630">
        <v>337.2</v>
      </c>
    </row>
    <row r="631" spans="1:6" x14ac:dyDescent="0.35">
      <c r="A631">
        <v>785</v>
      </c>
      <c r="B631" t="s">
        <v>145</v>
      </c>
      <c r="C631">
        <v>202602</v>
      </c>
      <c r="D631">
        <v>406</v>
      </c>
      <c r="E631">
        <v>0.72216293134115972</v>
      </c>
      <c r="F631">
        <v>562.20000000000005</v>
      </c>
    </row>
    <row r="632" spans="1:6" x14ac:dyDescent="0.35">
      <c r="A632">
        <v>758</v>
      </c>
      <c r="B632" t="s">
        <v>145</v>
      </c>
      <c r="C632">
        <v>202602</v>
      </c>
      <c r="D632">
        <v>4345</v>
      </c>
      <c r="E632">
        <v>6.4401855722056709</v>
      </c>
      <c r="F632">
        <v>674.67</v>
      </c>
    </row>
    <row r="633" spans="1:6" x14ac:dyDescent="0.35">
      <c r="A633">
        <v>757</v>
      </c>
      <c r="B633" t="s">
        <v>145</v>
      </c>
      <c r="C633">
        <v>202602</v>
      </c>
      <c r="D633">
        <v>6971</v>
      </c>
      <c r="E633">
        <v>14.089659632953351</v>
      </c>
      <c r="F633">
        <v>494.76</v>
      </c>
    </row>
    <row r="634" spans="1:6" x14ac:dyDescent="0.35">
      <c r="A634">
        <v>580</v>
      </c>
      <c r="B634" t="s">
        <v>145</v>
      </c>
      <c r="C634">
        <v>202602</v>
      </c>
      <c r="D634">
        <v>0</v>
      </c>
      <c r="E634">
        <v>0</v>
      </c>
      <c r="F634">
        <v>270.68</v>
      </c>
    </row>
    <row r="635" spans="1:6" x14ac:dyDescent="0.35">
      <c r="A635">
        <v>582</v>
      </c>
      <c r="B635" t="s">
        <v>145</v>
      </c>
      <c r="C635">
        <v>202602</v>
      </c>
      <c r="D635">
        <v>0</v>
      </c>
      <c r="E635">
        <v>0</v>
      </c>
      <c r="F635">
        <v>300.75</v>
      </c>
    </row>
    <row r="636" spans="1:6" x14ac:dyDescent="0.35">
      <c r="A636">
        <v>594</v>
      </c>
      <c r="B636" t="s">
        <v>145</v>
      </c>
      <c r="C636">
        <v>202602</v>
      </c>
      <c r="D636">
        <v>2899</v>
      </c>
      <c r="E636">
        <v>17.179259259259258</v>
      </c>
      <c r="F636">
        <v>168.75</v>
      </c>
    </row>
    <row r="637" spans="1:6" x14ac:dyDescent="0.35">
      <c r="A637">
        <v>595</v>
      </c>
      <c r="B637" t="s">
        <v>145</v>
      </c>
      <c r="C637">
        <v>202602</v>
      </c>
      <c r="D637">
        <v>4994</v>
      </c>
      <c r="E637">
        <v>66.586666666666673</v>
      </c>
      <c r="F637">
        <v>75</v>
      </c>
    </row>
    <row r="638" spans="1:6" x14ac:dyDescent="0.35">
      <c r="A638">
        <v>603</v>
      </c>
      <c r="B638" t="s">
        <v>145</v>
      </c>
      <c r="C638">
        <v>202602</v>
      </c>
      <c r="D638">
        <v>2256</v>
      </c>
      <c r="E638">
        <v>10.001773364071644</v>
      </c>
      <c r="F638">
        <v>225.56</v>
      </c>
    </row>
    <row r="639" spans="1:6" x14ac:dyDescent="0.35">
      <c r="A639">
        <v>606</v>
      </c>
      <c r="B639" t="s">
        <v>145</v>
      </c>
      <c r="C639">
        <v>202602</v>
      </c>
      <c r="D639">
        <v>2154</v>
      </c>
      <c r="E639">
        <v>8.2097800815642028</v>
      </c>
      <c r="F639">
        <v>262.37</v>
      </c>
    </row>
    <row r="640" spans="1:6" x14ac:dyDescent="0.35">
      <c r="A640">
        <v>772</v>
      </c>
      <c r="B640" t="s">
        <v>145</v>
      </c>
      <c r="C640">
        <v>202602</v>
      </c>
      <c r="D640">
        <v>306</v>
      </c>
      <c r="E640">
        <v>1.5118577075098814</v>
      </c>
      <c r="F640">
        <v>202.4</v>
      </c>
    </row>
    <row r="641" spans="1:6" x14ac:dyDescent="0.35">
      <c r="A641">
        <v>615</v>
      </c>
      <c r="B641" t="s">
        <v>145</v>
      </c>
      <c r="C641">
        <v>202602</v>
      </c>
      <c r="D641">
        <v>2351</v>
      </c>
      <c r="E641">
        <v>8.6855327323777143</v>
      </c>
      <c r="F641">
        <v>270.68</v>
      </c>
    </row>
    <row r="642" spans="1:6" x14ac:dyDescent="0.35">
      <c r="A642">
        <v>617</v>
      </c>
      <c r="B642" t="s">
        <v>145</v>
      </c>
      <c r="C642">
        <v>202602</v>
      </c>
      <c r="D642">
        <v>806</v>
      </c>
      <c r="E642">
        <v>1.7911111111111111</v>
      </c>
      <c r="F642">
        <v>450</v>
      </c>
    </row>
    <row r="643" spans="1:6" x14ac:dyDescent="0.35">
      <c r="A643">
        <v>751</v>
      </c>
      <c r="B643" t="s">
        <v>145</v>
      </c>
      <c r="C643">
        <v>202602</v>
      </c>
      <c r="D643">
        <v>504</v>
      </c>
      <c r="E643">
        <v>2.4826363233338262</v>
      </c>
      <c r="F643">
        <v>203.01</v>
      </c>
    </row>
    <row r="644" spans="1:6" x14ac:dyDescent="0.35">
      <c r="A644">
        <v>752</v>
      </c>
      <c r="B644" t="s">
        <v>145</v>
      </c>
      <c r="C644">
        <v>202602</v>
      </c>
      <c r="D644">
        <v>3100</v>
      </c>
      <c r="E644">
        <v>8.9631642861273342</v>
      </c>
      <c r="F644">
        <v>345.86</v>
      </c>
    </row>
    <row r="645" spans="1:6" x14ac:dyDescent="0.35">
      <c r="A645">
        <v>753</v>
      </c>
      <c r="B645" t="s">
        <v>145</v>
      </c>
      <c r="C645">
        <v>202602</v>
      </c>
      <c r="D645">
        <v>4492</v>
      </c>
      <c r="E645">
        <v>9.1913570142412837</v>
      </c>
      <c r="F645">
        <v>488.72</v>
      </c>
    </row>
    <row r="646" spans="1:6" x14ac:dyDescent="0.35">
      <c r="A646">
        <v>754</v>
      </c>
      <c r="B646" t="s">
        <v>145</v>
      </c>
      <c r="C646">
        <v>202602</v>
      </c>
      <c r="D646">
        <v>2169</v>
      </c>
      <c r="E646">
        <v>3.6059250885272065</v>
      </c>
      <c r="F646">
        <v>601.51</v>
      </c>
    </row>
    <row r="647" spans="1:6" x14ac:dyDescent="0.35">
      <c r="A647">
        <v>614</v>
      </c>
      <c r="B647" t="s">
        <v>145</v>
      </c>
      <c r="C647">
        <v>202602</v>
      </c>
      <c r="D647">
        <v>7018</v>
      </c>
      <c r="E647">
        <v>12.483102098897188</v>
      </c>
      <c r="F647">
        <v>562.20000000000005</v>
      </c>
    </row>
    <row r="648" spans="1:6" x14ac:dyDescent="0.35">
      <c r="A648">
        <v>797</v>
      </c>
      <c r="B648" t="s">
        <v>145</v>
      </c>
      <c r="C648">
        <v>202602</v>
      </c>
      <c r="D648">
        <v>649</v>
      </c>
      <c r="E648">
        <v>1.4428634948866161</v>
      </c>
      <c r="F648">
        <v>449.8</v>
      </c>
    </row>
    <row r="649" spans="1:6" x14ac:dyDescent="0.35">
      <c r="A649">
        <v>613</v>
      </c>
      <c r="B649" t="s">
        <v>145</v>
      </c>
      <c r="C649">
        <v>202602</v>
      </c>
      <c r="D649">
        <v>3765</v>
      </c>
      <c r="E649">
        <v>12.871794871794872</v>
      </c>
      <c r="F649">
        <v>292.5</v>
      </c>
    </row>
    <row r="650" spans="1:6" x14ac:dyDescent="0.35">
      <c r="A650">
        <v>767</v>
      </c>
      <c r="B650" t="s">
        <v>145</v>
      </c>
      <c r="C650">
        <v>202602</v>
      </c>
      <c r="D650">
        <v>6386</v>
      </c>
      <c r="E650">
        <v>10.646882294098033</v>
      </c>
      <c r="F650">
        <v>599.79999999999995</v>
      </c>
    </row>
    <row r="651" spans="1:6" x14ac:dyDescent="0.35">
      <c r="A651">
        <v>807</v>
      </c>
      <c r="B651" t="s">
        <v>145</v>
      </c>
      <c r="C651">
        <v>202602</v>
      </c>
      <c r="D651">
        <v>2355</v>
      </c>
      <c r="E651">
        <v>11.775</v>
      </c>
      <c r="F651">
        <v>200</v>
      </c>
    </row>
    <row r="652" spans="1:6" x14ac:dyDescent="0.35">
      <c r="A652">
        <v>808</v>
      </c>
      <c r="B652" t="s">
        <v>145</v>
      </c>
      <c r="C652">
        <v>202602</v>
      </c>
      <c r="D652">
        <v>3217</v>
      </c>
      <c r="E652">
        <v>10.914704485309086</v>
      </c>
      <c r="F652">
        <v>294.74</v>
      </c>
    </row>
    <row r="653" spans="1:6" x14ac:dyDescent="0.35">
      <c r="A653">
        <v>502</v>
      </c>
      <c r="B653" t="s">
        <v>92</v>
      </c>
      <c r="C653">
        <v>202602</v>
      </c>
      <c r="D653">
        <v>51386</v>
      </c>
      <c r="E653">
        <v>165.10088677547873</v>
      </c>
      <c r="F653">
        <v>311.24</v>
      </c>
    </row>
    <row r="654" spans="1:6" x14ac:dyDescent="0.35">
      <c r="A654">
        <v>504</v>
      </c>
      <c r="B654" t="s">
        <v>92</v>
      </c>
      <c r="C654">
        <v>202602</v>
      </c>
      <c r="D654">
        <v>97543</v>
      </c>
      <c r="E654">
        <v>223.46108909303339</v>
      </c>
      <c r="F654">
        <v>436.51</v>
      </c>
    </row>
    <row r="655" spans="1:6" x14ac:dyDescent="0.35">
      <c r="A655">
        <v>505</v>
      </c>
      <c r="B655" t="s">
        <v>92</v>
      </c>
      <c r="C655">
        <v>202602</v>
      </c>
      <c r="D655">
        <v>43030</v>
      </c>
      <c r="E655">
        <v>115.61609973668655</v>
      </c>
      <c r="F655">
        <v>372.18</v>
      </c>
    </row>
    <row r="656" spans="1:6" x14ac:dyDescent="0.35">
      <c r="A656">
        <v>506</v>
      </c>
      <c r="B656" t="s">
        <v>92</v>
      </c>
      <c r="C656">
        <v>202602</v>
      </c>
      <c r="D656">
        <v>44598</v>
      </c>
      <c r="E656">
        <v>94.15018260887922</v>
      </c>
      <c r="F656">
        <v>473.69</v>
      </c>
    </row>
    <row r="657" spans="1:6" x14ac:dyDescent="0.35">
      <c r="A657">
        <v>508</v>
      </c>
      <c r="B657" t="s">
        <v>92</v>
      </c>
      <c r="C657">
        <v>202602</v>
      </c>
      <c r="D657">
        <v>43815</v>
      </c>
      <c r="E657">
        <v>108.26538176426983</v>
      </c>
      <c r="F657">
        <v>404.7</v>
      </c>
    </row>
    <row r="658" spans="1:6" x14ac:dyDescent="0.35">
      <c r="A658">
        <v>507</v>
      </c>
      <c r="B658" t="s">
        <v>92</v>
      </c>
      <c r="C658">
        <v>202602</v>
      </c>
      <c r="D658">
        <v>29892</v>
      </c>
      <c r="E658">
        <v>110.71111111111111</v>
      </c>
      <c r="F658">
        <v>270</v>
      </c>
    </row>
    <row r="659" spans="1:6" x14ac:dyDescent="0.35">
      <c r="A659">
        <v>520</v>
      </c>
      <c r="B659" t="s">
        <v>92</v>
      </c>
      <c r="C659">
        <v>202602</v>
      </c>
      <c r="D659">
        <v>707</v>
      </c>
      <c r="E659">
        <v>10.397058823529411</v>
      </c>
      <c r="F659">
        <v>68</v>
      </c>
    </row>
    <row r="660" spans="1:6" x14ac:dyDescent="0.35">
      <c r="A660">
        <v>521</v>
      </c>
      <c r="B660" t="s">
        <v>92</v>
      </c>
      <c r="C660">
        <v>202602</v>
      </c>
      <c r="D660">
        <v>4551</v>
      </c>
      <c r="E660">
        <v>39.232758620689658</v>
      </c>
      <c r="F660">
        <v>116</v>
      </c>
    </row>
    <row r="661" spans="1:6" x14ac:dyDescent="0.35">
      <c r="A661">
        <v>784</v>
      </c>
      <c r="B661" t="s">
        <v>92</v>
      </c>
      <c r="C661">
        <v>202602</v>
      </c>
      <c r="D661">
        <v>1029</v>
      </c>
      <c r="E661">
        <v>3.0516014234875444</v>
      </c>
      <c r="F661">
        <v>337.2</v>
      </c>
    </row>
    <row r="662" spans="1:6" x14ac:dyDescent="0.35">
      <c r="A662">
        <v>785</v>
      </c>
      <c r="B662" t="s">
        <v>92</v>
      </c>
      <c r="C662">
        <v>202602</v>
      </c>
      <c r="D662">
        <v>1384</v>
      </c>
      <c r="E662">
        <v>2.4617573817146923</v>
      </c>
      <c r="F662">
        <v>562.20000000000005</v>
      </c>
    </row>
    <row r="663" spans="1:6" x14ac:dyDescent="0.35">
      <c r="A663">
        <v>758</v>
      </c>
      <c r="B663" t="s">
        <v>92</v>
      </c>
      <c r="C663">
        <v>202602</v>
      </c>
      <c r="D663">
        <v>15417</v>
      </c>
      <c r="E663">
        <v>22.851171683934368</v>
      </c>
      <c r="F663">
        <v>674.67</v>
      </c>
    </row>
    <row r="664" spans="1:6" x14ac:dyDescent="0.35">
      <c r="A664">
        <v>757</v>
      </c>
      <c r="B664" t="s">
        <v>92</v>
      </c>
      <c r="C664">
        <v>202602</v>
      </c>
      <c r="D664">
        <v>31280</v>
      </c>
      <c r="E664">
        <v>63.222572560433342</v>
      </c>
      <c r="F664">
        <v>494.76</v>
      </c>
    </row>
    <row r="665" spans="1:6" x14ac:dyDescent="0.35">
      <c r="A665">
        <v>580</v>
      </c>
      <c r="B665" t="s">
        <v>92</v>
      </c>
      <c r="C665">
        <v>202602</v>
      </c>
      <c r="D665">
        <v>0</v>
      </c>
      <c r="E665">
        <v>0</v>
      </c>
      <c r="F665">
        <v>270.68</v>
      </c>
    </row>
    <row r="666" spans="1:6" x14ac:dyDescent="0.35">
      <c r="A666">
        <v>582</v>
      </c>
      <c r="B666" t="s">
        <v>92</v>
      </c>
      <c r="C666">
        <v>202602</v>
      </c>
      <c r="D666">
        <v>3555</v>
      </c>
      <c r="E666">
        <v>11.820448877805486</v>
      </c>
      <c r="F666">
        <v>300.75</v>
      </c>
    </row>
    <row r="667" spans="1:6" x14ac:dyDescent="0.35">
      <c r="A667">
        <v>594</v>
      </c>
      <c r="B667" t="s">
        <v>92</v>
      </c>
      <c r="C667">
        <v>202602</v>
      </c>
      <c r="D667">
        <v>27150</v>
      </c>
      <c r="E667">
        <v>160.88888888888889</v>
      </c>
      <c r="F667">
        <v>168.75</v>
      </c>
    </row>
    <row r="668" spans="1:6" x14ac:dyDescent="0.35">
      <c r="A668">
        <v>595</v>
      </c>
      <c r="B668" t="s">
        <v>92</v>
      </c>
      <c r="C668">
        <v>202602</v>
      </c>
      <c r="D668">
        <v>26540</v>
      </c>
      <c r="E668">
        <v>353.86666666666667</v>
      </c>
      <c r="F668">
        <v>75</v>
      </c>
    </row>
    <row r="669" spans="1:6" x14ac:dyDescent="0.35">
      <c r="A669">
        <v>603</v>
      </c>
      <c r="B669" t="s">
        <v>92</v>
      </c>
      <c r="C669">
        <v>202602</v>
      </c>
      <c r="D669">
        <v>4186</v>
      </c>
      <c r="E669">
        <v>18.558255009753502</v>
      </c>
      <c r="F669">
        <v>225.56</v>
      </c>
    </row>
    <row r="670" spans="1:6" x14ac:dyDescent="0.35">
      <c r="A670">
        <v>606</v>
      </c>
      <c r="B670" t="s">
        <v>92</v>
      </c>
      <c r="C670">
        <v>202602</v>
      </c>
      <c r="D670">
        <v>4245</v>
      </c>
      <c r="E670">
        <v>16.179441247093798</v>
      </c>
      <c r="F670">
        <v>262.37</v>
      </c>
    </row>
    <row r="671" spans="1:6" x14ac:dyDescent="0.35">
      <c r="A671">
        <v>772</v>
      </c>
      <c r="B671" t="s">
        <v>92</v>
      </c>
      <c r="C671">
        <v>202602</v>
      </c>
      <c r="D671">
        <v>398</v>
      </c>
      <c r="E671">
        <v>1.9664031620553359</v>
      </c>
      <c r="F671">
        <v>202.4</v>
      </c>
    </row>
    <row r="672" spans="1:6" x14ac:dyDescent="0.35">
      <c r="A672">
        <v>615</v>
      </c>
      <c r="B672" t="s">
        <v>92</v>
      </c>
      <c r="C672">
        <v>202602</v>
      </c>
      <c r="D672">
        <v>6761</v>
      </c>
      <c r="E672">
        <v>24.977833604255949</v>
      </c>
      <c r="F672">
        <v>270.68</v>
      </c>
    </row>
    <row r="673" spans="1:6" x14ac:dyDescent="0.35">
      <c r="A673">
        <v>617</v>
      </c>
      <c r="B673" t="s">
        <v>92</v>
      </c>
      <c r="C673">
        <v>202602</v>
      </c>
      <c r="D673">
        <v>2231</v>
      </c>
      <c r="E673">
        <v>4.9577777777777774</v>
      </c>
      <c r="F673">
        <v>450</v>
      </c>
    </row>
    <row r="674" spans="1:6" x14ac:dyDescent="0.35">
      <c r="A674">
        <v>751</v>
      </c>
      <c r="B674" t="s">
        <v>92</v>
      </c>
      <c r="C674">
        <v>202602</v>
      </c>
      <c r="D674">
        <v>8617</v>
      </c>
      <c r="E674">
        <v>42.446184916999165</v>
      </c>
      <c r="F674">
        <v>203.01</v>
      </c>
    </row>
    <row r="675" spans="1:6" x14ac:dyDescent="0.35">
      <c r="A675">
        <v>752</v>
      </c>
      <c r="B675" t="s">
        <v>92</v>
      </c>
      <c r="C675">
        <v>202602</v>
      </c>
      <c r="D675">
        <v>14351</v>
      </c>
      <c r="E675">
        <v>41.493667958133344</v>
      </c>
      <c r="F675">
        <v>345.86</v>
      </c>
    </row>
    <row r="676" spans="1:6" x14ac:dyDescent="0.35">
      <c r="A676">
        <v>753</v>
      </c>
      <c r="B676" t="s">
        <v>92</v>
      </c>
      <c r="C676">
        <v>202602</v>
      </c>
      <c r="D676">
        <v>37815</v>
      </c>
      <c r="E676">
        <v>77.375593386806344</v>
      </c>
      <c r="F676">
        <v>488.72</v>
      </c>
    </row>
    <row r="677" spans="1:6" x14ac:dyDescent="0.35">
      <c r="A677">
        <v>754</v>
      </c>
      <c r="B677" t="s">
        <v>92</v>
      </c>
      <c r="C677">
        <v>202602</v>
      </c>
      <c r="D677">
        <v>6553</v>
      </c>
      <c r="E677">
        <v>10.894249472161727</v>
      </c>
      <c r="F677">
        <v>601.51</v>
      </c>
    </row>
    <row r="678" spans="1:6" x14ac:dyDescent="0.35">
      <c r="A678">
        <v>614</v>
      </c>
      <c r="B678" t="s">
        <v>92</v>
      </c>
      <c r="C678">
        <v>202602</v>
      </c>
      <c r="D678">
        <v>21286</v>
      </c>
      <c r="E678">
        <v>37.861970828886513</v>
      </c>
      <c r="F678">
        <v>562.20000000000005</v>
      </c>
    </row>
    <row r="679" spans="1:6" x14ac:dyDescent="0.35">
      <c r="A679">
        <v>797</v>
      </c>
      <c r="B679" t="s">
        <v>92</v>
      </c>
      <c r="C679">
        <v>202602</v>
      </c>
      <c r="D679">
        <v>1123</v>
      </c>
      <c r="E679">
        <v>2.496665184526456</v>
      </c>
      <c r="F679">
        <v>449.8</v>
      </c>
    </row>
    <row r="680" spans="1:6" x14ac:dyDescent="0.35">
      <c r="A680">
        <v>613</v>
      </c>
      <c r="B680" t="s">
        <v>92</v>
      </c>
      <c r="C680">
        <v>202602</v>
      </c>
      <c r="D680">
        <v>10343</v>
      </c>
      <c r="E680">
        <v>35.360683760683763</v>
      </c>
      <c r="F680">
        <v>292.5</v>
      </c>
    </row>
    <row r="681" spans="1:6" x14ac:dyDescent="0.35">
      <c r="A681">
        <v>767</v>
      </c>
      <c r="B681" t="s">
        <v>92</v>
      </c>
      <c r="C681">
        <v>202602</v>
      </c>
      <c r="D681">
        <v>13059</v>
      </c>
      <c r="E681">
        <v>21.772257419139716</v>
      </c>
      <c r="F681">
        <v>599.79999999999995</v>
      </c>
    </row>
    <row r="682" spans="1:6" x14ac:dyDescent="0.35">
      <c r="A682">
        <v>807</v>
      </c>
      <c r="B682" t="s">
        <v>92</v>
      </c>
      <c r="C682">
        <v>202602</v>
      </c>
      <c r="D682">
        <v>435</v>
      </c>
      <c r="E682">
        <v>2.1749999999999998</v>
      </c>
      <c r="F682">
        <v>200</v>
      </c>
    </row>
    <row r="683" spans="1:6" x14ac:dyDescent="0.35">
      <c r="A683">
        <v>808</v>
      </c>
      <c r="B683" t="s">
        <v>92</v>
      </c>
      <c r="C683">
        <v>202602</v>
      </c>
      <c r="D683">
        <v>1191</v>
      </c>
      <c r="E683">
        <v>4.0408495623261178</v>
      </c>
      <c r="F683">
        <v>294.74</v>
      </c>
    </row>
    <row r="684" spans="1:6" x14ac:dyDescent="0.35">
      <c r="A684">
        <v>502</v>
      </c>
      <c r="B684" t="s">
        <v>93</v>
      </c>
      <c r="C684">
        <v>202602</v>
      </c>
      <c r="D684">
        <v>57402</v>
      </c>
      <c r="E684">
        <v>184.43002184809151</v>
      </c>
      <c r="F684">
        <v>311.24</v>
      </c>
    </row>
    <row r="685" spans="1:6" x14ac:dyDescent="0.35">
      <c r="A685">
        <v>504</v>
      </c>
      <c r="B685" t="s">
        <v>93</v>
      </c>
      <c r="C685">
        <v>202602</v>
      </c>
      <c r="D685">
        <v>121688</v>
      </c>
      <c r="E685">
        <v>278.77482760990586</v>
      </c>
      <c r="F685">
        <v>436.51</v>
      </c>
    </row>
    <row r="686" spans="1:6" x14ac:dyDescent="0.35">
      <c r="A686">
        <v>505</v>
      </c>
      <c r="B686" t="s">
        <v>93</v>
      </c>
      <c r="C686">
        <v>202602</v>
      </c>
      <c r="D686">
        <v>49805</v>
      </c>
      <c r="E686">
        <v>133.81965715513999</v>
      </c>
      <c r="F686">
        <v>372.18</v>
      </c>
    </row>
    <row r="687" spans="1:6" x14ac:dyDescent="0.35">
      <c r="A687">
        <v>506</v>
      </c>
      <c r="B687" t="s">
        <v>93</v>
      </c>
      <c r="C687">
        <v>202602</v>
      </c>
      <c r="D687">
        <v>54434</v>
      </c>
      <c r="E687">
        <v>114.91481770778357</v>
      </c>
      <c r="F687">
        <v>473.69</v>
      </c>
    </row>
    <row r="688" spans="1:6" x14ac:dyDescent="0.35">
      <c r="A688">
        <v>508</v>
      </c>
      <c r="B688" t="s">
        <v>93</v>
      </c>
      <c r="C688">
        <v>202602</v>
      </c>
      <c r="D688">
        <v>44936</v>
      </c>
      <c r="E688">
        <v>111.03533481591303</v>
      </c>
      <c r="F688">
        <v>404.7</v>
      </c>
    </row>
    <row r="689" spans="1:6" x14ac:dyDescent="0.35">
      <c r="A689">
        <v>507</v>
      </c>
      <c r="B689" t="s">
        <v>93</v>
      </c>
      <c r="C689">
        <v>202602</v>
      </c>
      <c r="D689">
        <v>31248</v>
      </c>
      <c r="E689">
        <v>115.73333333333333</v>
      </c>
      <c r="F689">
        <v>270</v>
      </c>
    </row>
    <row r="690" spans="1:6" x14ac:dyDescent="0.35">
      <c r="A690">
        <v>520</v>
      </c>
      <c r="B690" t="s">
        <v>93</v>
      </c>
      <c r="C690">
        <v>202602</v>
      </c>
      <c r="D690">
        <v>986</v>
      </c>
      <c r="E690">
        <v>14.5</v>
      </c>
      <c r="F690">
        <v>68</v>
      </c>
    </row>
    <row r="691" spans="1:6" x14ac:dyDescent="0.35">
      <c r="A691">
        <v>521</v>
      </c>
      <c r="B691" t="s">
        <v>93</v>
      </c>
      <c r="C691">
        <v>202602</v>
      </c>
      <c r="D691">
        <v>6873</v>
      </c>
      <c r="E691">
        <v>59.25</v>
      </c>
      <c r="F691">
        <v>116</v>
      </c>
    </row>
    <row r="692" spans="1:6" x14ac:dyDescent="0.35">
      <c r="A692">
        <v>784</v>
      </c>
      <c r="B692" t="s">
        <v>93</v>
      </c>
      <c r="C692">
        <v>202602</v>
      </c>
      <c r="D692">
        <v>945</v>
      </c>
      <c r="E692">
        <v>2.802491103202847</v>
      </c>
      <c r="F692">
        <v>337.2</v>
      </c>
    </row>
    <row r="693" spans="1:6" x14ac:dyDescent="0.35">
      <c r="A693">
        <v>785</v>
      </c>
      <c r="B693" t="s">
        <v>93</v>
      </c>
      <c r="C693">
        <v>202602</v>
      </c>
      <c r="D693">
        <v>1401</v>
      </c>
      <c r="E693">
        <v>2.4919957310565635</v>
      </c>
      <c r="F693">
        <v>562.20000000000005</v>
      </c>
    </row>
    <row r="694" spans="1:6" x14ac:dyDescent="0.35">
      <c r="A694">
        <v>758</v>
      </c>
      <c r="B694" t="s">
        <v>93</v>
      </c>
      <c r="C694">
        <v>202602</v>
      </c>
      <c r="D694">
        <v>12806</v>
      </c>
      <c r="E694">
        <v>18.981131516148636</v>
      </c>
      <c r="F694">
        <v>674.67</v>
      </c>
    </row>
    <row r="695" spans="1:6" x14ac:dyDescent="0.35">
      <c r="A695">
        <v>757</v>
      </c>
      <c r="B695" t="s">
        <v>93</v>
      </c>
      <c r="C695">
        <v>202602</v>
      </c>
      <c r="D695">
        <v>29339</v>
      </c>
      <c r="E695">
        <v>59.299458323227427</v>
      </c>
      <c r="F695">
        <v>494.76</v>
      </c>
    </row>
    <row r="696" spans="1:6" x14ac:dyDescent="0.35">
      <c r="A696">
        <v>580</v>
      </c>
      <c r="B696" t="s">
        <v>93</v>
      </c>
      <c r="C696">
        <v>202602</v>
      </c>
      <c r="D696">
        <v>0</v>
      </c>
      <c r="E696">
        <v>0</v>
      </c>
      <c r="F696">
        <v>270.68</v>
      </c>
    </row>
    <row r="697" spans="1:6" x14ac:dyDescent="0.35">
      <c r="A697">
        <v>582</v>
      </c>
      <c r="B697" t="s">
        <v>93</v>
      </c>
      <c r="C697">
        <v>202602</v>
      </c>
      <c r="D697">
        <v>4509</v>
      </c>
      <c r="E697">
        <v>14.992518703241895</v>
      </c>
      <c r="F697">
        <v>300.75</v>
      </c>
    </row>
    <row r="698" spans="1:6" x14ac:dyDescent="0.35">
      <c r="A698">
        <v>594</v>
      </c>
      <c r="B698" t="s">
        <v>93</v>
      </c>
      <c r="C698">
        <v>202602</v>
      </c>
      <c r="D698">
        <v>26170</v>
      </c>
      <c r="E698">
        <v>155.08148148148149</v>
      </c>
      <c r="F698">
        <v>168.75</v>
      </c>
    </row>
    <row r="699" spans="1:6" x14ac:dyDescent="0.35">
      <c r="A699">
        <v>595</v>
      </c>
      <c r="B699" t="s">
        <v>93</v>
      </c>
      <c r="C699">
        <v>202602</v>
      </c>
      <c r="D699">
        <v>34335</v>
      </c>
      <c r="E699">
        <v>457.8</v>
      </c>
      <c r="F699">
        <v>75</v>
      </c>
    </row>
    <row r="700" spans="1:6" x14ac:dyDescent="0.35">
      <c r="A700">
        <v>603</v>
      </c>
      <c r="B700" t="s">
        <v>93</v>
      </c>
      <c r="C700">
        <v>202602</v>
      </c>
      <c r="D700">
        <v>4989</v>
      </c>
      <c r="E700">
        <v>22.11828338357865</v>
      </c>
      <c r="F700">
        <v>225.56</v>
      </c>
    </row>
    <row r="701" spans="1:6" x14ac:dyDescent="0.35">
      <c r="A701">
        <v>606</v>
      </c>
      <c r="B701" t="s">
        <v>93</v>
      </c>
      <c r="C701">
        <v>202602</v>
      </c>
      <c r="D701">
        <v>4601</v>
      </c>
      <c r="E701">
        <v>17.536303693257612</v>
      </c>
      <c r="F701">
        <v>262.37</v>
      </c>
    </row>
    <row r="702" spans="1:6" x14ac:dyDescent="0.35">
      <c r="A702">
        <v>772</v>
      </c>
      <c r="B702" t="s">
        <v>93</v>
      </c>
      <c r="C702">
        <v>202602</v>
      </c>
      <c r="D702">
        <v>409</v>
      </c>
      <c r="E702">
        <v>2.0207509881422925</v>
      </c>
      <c r="F702">
        <v>202.4</v>
      </c>
    </row>
    <row r="703" spans="1:6" x14ac:dyDescent="0.35">
      <c r="A703">
        <v>615</v>
      </c>
      <c r="B703" t="s">
        <v>93</v>
      </c>
      <c r="C703">
        <v>202602</v>
      </c>
      <c r="D703">
        <v>5943</v>
      </c>
      <c r="E703">
        <v>21.955814984483524</v>
      </c>
      <c r="F703">
        <v>270.68</v>
      </c>
    </row>
    <row r="704" spans="1:6" x14ac:dyDescent="0.35">
      <c r="A704">
        <v>617</v>
      </c>
      <c r="B704" t="s">
        <v>93</v>
      </c>
      <c r="C704">
        <v>202602</v>
      </c>
      <c r="D704">
        <v>2209</v>
      </c>
      <c r="E704">
        <v>4.9088888888888889</v>
      </c>
      <c r="F704">
        <v>450</v>
      </c>
    </row>
    <row r="705" spans="1:6" x14ac:dyDescent="0.35">
      <c r="A705">
        <v>751</v>
      </c>
      <c r="B705" t="s">
        <v>93</v>
      </c>
      <c r="C705">
        <v>202602</v>
      </c>
      <c r="D705">
        <v>977</v>
      </c>
      <c r="E705">
        <v>4.8125708093197384</v>
      </c>
      <c r="F705">
        <v>203.01</v>
      </c>
    </row>
    <row r="706" spans="1:6" x14ac:dyDescent="0.35">
      <c r="A706">
        <v>752</v>
      </c>
      <c r="B706" t="s">
        <v>93</v>
      </c>
      <c r="C706">
        <v>202602</v>
      </c>
      <c r="D706">
        <v>3701</v>
      </c>
      <c r="E706">
        <v>10.700861620308794</v>
      </c>
      <c r="F706">
        <v>345.86</v>
      </c>
    </row>
    <row r="707" spans="1:6" x14ac:dyDescent="0.35">
      <c r="A707">
        <v>753</v>
      </c>
      <c r="B707" t="s">
        <v>93</v>
      </c>
      <c r="C707">
        <v>202602</v>
      </c>
      <c r="D707">
        <v>7171</v>
      </c>
      <c r="E707">
        <v>14.673023408086429</v>
      </c>
      <c r="F707">
        <v>488.72</v>
      </c>
    </row>
    <row r="708" spans="1:6" x14ac:dyDescent="0.35">
      <c r="A708">
        <v>754</v>
      </c>
      <c r="B708" t="s">
        <v>93</v>
      </c>
      <c r="C708">
        <v>202602</v>
      </c>
      <c r="D708">
        <v>1015</v>
      </c>
      <c r="E708">
        <v>1.6874199930175724</v>
      </c>
      <c r="F708">
        <v>601.51</v>
      </c>
    </row>
    <row r="709" spans="1:6" x14ac:dyDescent="0.35">
      <c r="A709">
        <v>614</v>
      </c>
      <c r="B709" t="s">
        <v>93</v>
      </c>
      <c r="C709">
        <v>202602</v>
      </c>
      <c r="D709">
        <v>29344</v>
      </c>
      <c r="E709">
        <v>52.194948416933471</v>
      </c>
      <c r="F709">
        <v>562.20000000000005</v>
      </c>
    </row>
    <row r="710" spans="1:6" x14ac:dyDescent="0.35">
      <c r="A710">
        <v>797</v>
      </c>
      <c r="B710" t="s">
        <v>93</v>
      </c>
      <c r="C710">
        <v>202602</v>
      </c>
      <c r="D710">
        <v>1558</v>
      </c>
      <c r="E710">
        <v>3.4637616718541575</v>
      </c>
      <c r="F710">
        <v>449.8</v>
      </c>
    </row>
    <row r="711" spans="1:6" x14ac:dyDescent="0.35">
      <c r="A711">
        <v>613</v>
      </c>
      <c r="B711" t="s">
        <v>93</v>
      </c>
      <c r="C711">
        <v>202602</v>
      </c>
      <c r="D711">
        <v>15079</v>
      </c>
      <c r="E711">
        <v>51.552136752136754</v>
      </c>
      <c r="F711">
        <v>292.5</v>
      </c>
    </row>
    <row r="712" spans="1:6" x14ac:dyDescent="0.35">
      <c r="A712">
        <v>767</v>
      </c>
      <c r="B712" t="s">
        <v>93</v>
      </c>
      <c r="C712">
        <v>202602</v>
      </c>
      <c r="D712">
        <v>10396</v>
      </c>
      <c r="E712">
        <v>17.332444148049351</v>
      </c>
      <c r="F712">
        <v>599.79999999999995</v>
      </c>
    </row>
    <row r="713" spans="1:6" x14ac:dyDescent="0.35">
      <c r="A713">
        <v>807</v>
      </c>
      <c r="B713" t="s">
        <v>93</v>
      </c>
      <c r="C713">
        <v>202602</v>
      </c>
      <c r="D713">
        <v>671</v>
      </c>
      <c r="E713">
        <v>3.355</v>
      </c>
      <c r="F713">
        <v>200</v>
      </c>
    </row>
    <row r="714" spans="1:6" x14ac:dyDescent="0.35">
      <c r="A714">
        <v>808</v>
      </c>
      <c r="B714" t="s">
        <v>93</v>
      </c>
      <c r="C714">
        <v>202602</v>
      </c>
      <c r="D714">
        <v>1007</v>
      </c>
      <c r="E714">
        <v>3.4165705367442492</v>
      </c>
      <c r="F714">
        <v>294.74</v>
      </c>
    </row>
    <row r="715" spans="1:6" x14ac:dyDescent="0.35">
      <c r="A715">
        <v>502</v>
      </c>
      <c r="B715" t="s">
        <v>94</v>
      </c>
      <c r="C715">
        <v>202602</v>
      </c>
      <c r="D715">
        <v>71730</v>
      </c>
      <c r="E715">
        <v>230.46523583087006</v>
      </c>
      <c r="F715">
        <v>311.24</v>
      </c>
    </row>
    <row r="716" spans="1:6" x14ac:dyDescent="0.35">
      <c r="A716">
        <v>504</v>
      </c>
      <c r="B716" t="s">
        <v>94</v>
      </c>
      <c r="C716">
        <v>202602</v>
      </c>
      <c r="D716">
        <v>152523</v>
      </c>
      <c r="E716">
        <v>349.4146754942613</v>
      </c>
      <c r="F716">
        <v>436.51</v>
      </c>
    </row>
    <row r="717" spans="1:6" x14ac:dyDescent="0.35">
      <c r="A717">
        <v>505</v>
      </c>
      <c r="B717" t="s">
        <v>94</v>
      </c>
      <c r="C717">
        <v>202602</v>
      </c>
      <c r="D717">
        <v>72235</v>
      </c>
      <c r="E717">
        <v>194.08619485195337</v>
      </c>
      <c r="F717">
        <v>372.18</v>
      </c>
    </row>
    <row r="718" spans="1:6" x14ac:dyDescent="0.35">
      <c r="A718">
        <v>506</v>
      </c>
      <c r="B718" t="s">
        <v>94</v>
      </c>
      <c r="C718">
        <v>202602</v>
      </c>
      <c r="D718">
        <v>70185</v>
      </c>
      <c r="E718">
        <v>148.16652240917057</v>
      </c>
      <c r="F718">
        <v>473.69</v>
      </c>
    </row>
    <row r="719" spans="1:6" x14ac:dyDescent="0.35">
      <c r="A719">
        <v>508</v>
      </c>
      <c r="B719" t="s">
        <v>94</v>
      </c>
      <c r="C719">
        <v>202602</v>
      </c>
      <c r="D719">
        <v>126256</v>
      </c>
      <c r="E719">
        <v>311.97430195206329</v>
      </c>
      <c r="F719">
        <v>404.7</v>
      </c>
    </row>
    <row r="720" spans="1:6" x14ac:dyDescent="0.35">
      <c r="A720">
        <v>507</v>
      </c>
      <c r="B720" t="s">
        <v>94</v>
      </c>
      <c r="C720">
        <v>202602</v>
      </c>
      <c r="D720">
        <v>72673</v>
      </c>
      <c r="E720">
        <v>269.15925925925927</v>
      </c>
      <c r="F720">
        <v>270</v>
      </c>
    </row>
    <row r="721" spans="1:6" x14ac:dyDescent="0.35">
      <c r="A721">
        <v>520</v>
      </c>
      <c r="B721" t="s">
        <v>94</v>
      </c>
      <c r="C721">
        <v>202602</v>
      </c>
      <c r="D721">
        <v>1124</v>
      </c>
      <c r="E721">
        <v>16.529411764705884</v>
      </c>
      <c r="F721">
        <v>68</v>
      </c>
    </row>
    <row r="722" spans="1:6" x14ac:dyDescent="0.35">
      <c r="A722">
        <v>521</v>
      </c>
      <c r="B722" t="s">
        <v>94</v>
      </c>
      <c r="C722">
        <v>202602</v>
      </c>
      <c r="D722">
        <v>8069</v>
      </c>
      <c r="E722">
        <v>69.560344827586206</v>
      </c>
      <c r="F722">
        <v>116</v>
      </c>
    </row>
    <row r="723" spans="1:6" x14ac:dyDescent="0.35">
      <c r="A723">
        <v>784</v>
      </c>
      <c r="B723" t="s">
        <v>94</v>
      </c>
      <c r="C723">
        <v>202602</v>
      </c>
      <c r="D723">
        <v>1115</v>
      </c>
      <c r="E723">
        <v>3.3066429418742587</v>
      </c>
      <c r="F723">
        <v>337.2</v>
      </c>
    </row>
    <row r="724" spans="1:6" x14ac:dyDescent="0.35">
      <c r="A724">
        <v>785</v>
      </c>
      <c r="B724" t="s">
        <v>94</v>
      </c>
      <c r="C724">
        <v>202602</v>
      </c>
      <c r="D724">
        <v>543</v>
      </c>
      <c r="E724">
        <v>0.96584845250800422</v>
      </c>
      <c r="F724">
        <v>562.20000000000005</v>
      </c>
    </row>
    <row r="725" spans="1:6" x14ac:dyDescent="0.35">
      <c r="A725">
        <v>758</v>
      </c>
      <c r="B725" t="s">
        <v>94</v>
      </c>
      <c r="C725">
        <v>202602</v>
      </c>
      <c r="D725">
        <v>16162</v>
      </c>
      <c r="E725">
        <v>23.955415240043283</v>
      </c>
      <c r="F725">
        <v>674.67</v>
      </c>
    </row>
    <row r="726" spans="1:6" x14ac:dyDescent="0.35">
      <c r="A726">
        <v>757</v>
      </c>
      <c r="B726" t="s">
        <v>94</v>
      </c>
      <c r="C726">
        <v>202602</v>
      </c>
      <c r="D726">
        <v>36446</v>
      </c>
      <c r="E726">
        <v>73.663998706443536</v>
      </c>
      <c r="F726">
        <v>494.76</v>
      </c>
    </row>
    <row r="727" spans="1:6" x14ac:dyDescent="0.35">
      <c r="A727">
        <v>580</v>
      </c>
      <c r="B727" t="s">
        <v>94</v>
      </c>
      <c r="C727">
        <v>202602</v>
      </c>
      <c r="D727">
        <v>1015</v>
      </c>
      <c r="E727">
        <v>3.7498152800354663</v>
      </c>
      <c r="F727">
        <v>270.68</v>
      </c>
    </row>
    <row r="728" spans="1:6" x14ac:dyDescent="0.35">
      <c r="A728">
        <v>582</v>
      </c>
      <c r="B728" t="s">
        <v>94</v>
      </c>
      <c r="C728">
        <v>202602</v>
      </c>
      <c r="D728">
        <v>10125</v>
      </c>
      <c r="E728">
        <v>33.665835411471321</v>
      </c>
      <c r="F728">
        <v>300.75</v>
      </c>
    </row>
    <row r="729" spans="1:6" x14ac:dyDescent="0.35">
      <c r="A729">
        <v>594</v>
      </c>
      <c r="B729" t="s">
        <v>94</v>
      </c>
      <c r="C729">
        <v>202602</v>
      </c>
      <c r="D729">
        <v>24932</v>
      </c>
      <c r="E729">
        <v>147.74518518518519</v>
      </c>
      <c r="F729">
        <v>168.75</v>
      </c>
    </row>
    <row r="730" spans="1:6" x14ac:dyDescent="0.35">
      <c r="A730">
        <v>595</v>
      </c>
      <c r="B730" t="s">
        <v>94</v>
      </c>
      <c r="C730">
        <v>202602</v>
      </c>
      <c r="D730">
        <v>46322</v>
      </c>
      <c r="E730">
        <v>617.62666666666667</v>
      </c>
      <c r="F730">
        <v>75</v>
      </c>
    </row>
    <row r="731" spans="1:6" x14ac:dyDescent="0.35">
      <c r="A731">
        <v>603</v>
      </c>
      <c r="B731" t="s">
        <v>94</v>
      </c>
      <c r="C731">
        <v>202602</v>
      </c>
      <c r="D731">
        <v>7024</v>
      </c>
      <c r="E731">
        <v>31.140273098067034</v>
      </c>
      <c r="F731">
        <v>225.56</v>
      </c>
    </row>
    <row r="732" spans="1:6" x14ac:dyDescent="0.35">
      <c r="A732">
        <v>606</v>
      </c>
      <c r="B732" t="s">
        <v>94</v>
      </c>
      <c r="C732">
        <v>202602</v>
      </c>
      <c r="D732">
        <v>5501</v>
      </c>
      <c r="E732">
        <v>20.966573922323438</v>
      </c>
      <c r="F732">
        <v>262.37</v>
      </c>
    </row>
    <row r="733" spans="1:6" x14ac:dyDescent="0.35">
      <c r="A733">
        <v>772</v>
      </c>
      <c r="B733" t="s">
        <v>94</v>
      </c>
      <c r="C733">
        <v>202602</v>
      </c>
      <c r="D733">
        <v>430</v>
      </c>
      <c r="E733">
        <v>2.1245059288537549</v>
      </c>
      <c r="F733">
        <v>202.4</v>
      </c>
    </row>
    <row r="734" spans="1:6" x14ac:dyDescent="0.35">
      <c r="A734">
        <v>615</v>
      </c>
      <c r="B734" t="s">
        <v>94</v>
      </c>
      <c r="C734">
        <v>202602</v>
      </c>
      <c r="D734">
        <v>8458</v>
      </c>
      <c r="E734">
        <v>31.247229200531994</v>
      </c>
      <c r="F734">
        <v>270.68</v>
      </c>
    </row>
    <row r="735" spans="1:6" x14ac:dyDescent="0.35">
      <c r="A735">
        <v>617</v>
      </c>
      <c r="B735" t="s">
        <v>94</v>
      </c>
      <c r="C735">
        <v>202602</v>
      </c>
      <c r="D735">
        <v>2542</v>
      </c>
      <c r="E735">
        <v>5.6488888888888891</v>
      </c>
      <c r="F735">
        <v>450</v>
      </c>
    </row>
    <row r="736" spans="1:6" x14ac:dyDescent="0.35">
      <c r="A736">
        <v>751</v>
      </c>
      <c r="B736" t="s">
        <v>94</v>
      </c>
      <c r="C736">
        <v>202602</v>
      </c>
      <c r="D736">
        <v>2067</v>
      </c>
      <c r="E736">
        <v>10.181764445101226</v>
      </c>
      <c r="F736">
        <v>203.01</v>
      </c>
    </row>
    <row r="737" spans="1:6" x14ac:dyDescent="0.35">
      <c r="A737">
        <v>752</v>
      </c>
      <c r="B737" t="s">
        <v>94</v>
      </c>
      <c r="C737">
        <v>202602</v>
      </c>
      <c r="D737">
        <v>6602</v>
      </c>
      <c r="E737">
        <v>19.088648586133118</v>
      </c>
      <c r="F737">
        <v>345.86</v>
      </c>
    </row>
    <row r="738" spans="1:6" x14ac:dyDescent="0.35">
      <c r="A738">
        <v>753</v>
      </c>
      <c r="B738" t="s">
        <v>94</v>
      </c>
      <c r="C738">
        <v>202602</v>
      </c>
      <c r="D738">
        <v>9999</v>
      </c>
      <c r="E738">
        <v>20.459567850712062</v>
      </c>
      <c r="F738">
        <v>488.72</v>
      </c>
    </row>
    <row r="739" spans="1:6" x14ac:dyDescent="0.35">
      <c r="A739">
        <v>754</v>
      </c>
      <c r="B739" t="s">
        <v>94</v>
      </c>
      <c r="C739">
        <v>202602</v>
      </c>
      <c r="D739">
        <v>1455</v>
      </c>
      <c r="E739">
        <v>2.4189124037838106</v>
      </c>
      <c r="F739">
        <v>601.51</v>
      </c>
    </row>
    <row r="740" spans="1:6" x14ac:dyDescent="0.35">
      <c r="A740">
        <v>614</v>
      </c>
      <c r="B740" t="s">
        <v>94</v>
      </c>
      <c r="C740">
        <v>202602</v>
      </c>
      <c r="D740">
        <v>33726</v>
      </c>
      <c r="E740">
        <v>59.98932764140875</v>
      </c>
      <c r="F740">
        <v>562.20000000000005</v>
      </c>
    </row>
    <row r="741" spans="1:6" x14ac:dyDescent="0.35">
      <c r="A741">
        <v>797</v>
      </c>
      <c r="B741" t="s">
        <v>94</v>
      </c>
      <c r="C741">
        <v>202602</v>
      </c>
      <c r="D741">
        <v>2507</v>
      </c>
      <c r="E741">
        <v>5.5735882614495331</v>
      </c>
      <c r="F741">
        <v>449.8</v>
      </c>
    </row>
    <row r="742" spans="1:6" x14ac:dyDescent="0.35">
      <c r="A742">
        <v>613</v>
      </c>
      <c r="B742" t="s">
        <v>94</v>
      </c>
      <c r="C742">
        <v>202602</v>
      </c>
      <c r="D742">
        <v>14244</v>
      </c>
      <c r="E742">
        <v>48.697435897435895</v>
      </c>
      <c r="F742">
        <v>292.5</v>
      </c>
    </row>
    <row r="743" spans="1:6" x14ac:dyDescent="0.35">
      <c r="A743">
        <v>767</v>
      </c>
      <c r="B743" t="s">
        <v>94</v>
      </c>
      <c r="C743">
        <v>202602</v>
      </c>
      <c r="D743">
        <v>10140</v>
      </c>
      <c r="E743">
        <v>16.905635211737248</v>
      </c>
      <c r="F743">
        <v>599.79999999999995</v>
      </c>
    </row>
    <row r="744" spans="1:6" x14ac:dyDescent="0.35">
      <c r="A744">
        <v>807</v>
      </c>
      <c r="B744" t="s">
        <v>94</v>
      </c>
      <c r="C744">
        <v>202602</v>
      </c>
      <c r="D744">
        <v>331</v>
      </c>
      <c r="E744">
        <v>1.655</v>
      </c>
      <c r="F744">
        <v>200</v>
      </c>
    </row>
    <row r="745" spans="1:6" x14ac:dyDescent="0.35">
      <c r="A745">
        <v>808</v>
      </c>
      <c r="B745" t="s">
        <v>94</v>
      </c>
      <c r="C745">
        <v>202602</v>
      </c>
      <c r="D745">
        <v>562</v>
      </c>
      <c r="E745">
        <v>1.9067652846576644</v>
      </c>
      <c r="F745">
        <v>294.74</v>
      </c>
    </row>
    <row r="746" spans="1:6" x14ac:dyDescent="0.35">
      <c r="A746">
        <v>502</v>
      </c>
      <c r="B746" t="s">
        <v>95</v>
      </c>
      <c r="C746">
        <v>202602</v>
      </c>
      <c r="D746">
        <v>37595</v>
      </c>
      <c r="E746">
        <v>120.79102943066444</v>
      </c>
      <c r="F746">
        <v>311.24</v>
      </c>
    </row>
    <row r="747" spans="1:6" x14ac:dyDescent="0.35">
      <c r="A747">
        <v>504</v>
      </c>
      <c r="B747" t="s">
        <v>95</v>
      </c>
      <c r="C747">
        <v>202602</v>
      </c>
      <c r="D747">
        <v>69793</v>
      </c>
      <c r="E747">
        <v>159.88866234450529</v>
      </c>
      <c r="F747">
        <v>436.51</v>
      </c>
    </row>
    <row r="748" spans="1:6" x14ac:dyDescent="0.35">
      <c r="A748">
        <v>505</v>
      </c>
      <c r="B748" t="s">
        <v>95</v>
      </c>
      <c r="C748">
        <v>202602</v>
      </c>
      <c r="D748">
        <v>31688</v>
      </c>
      <c r="E748">
        <v>85.141598151432106</v>
      </c>
      <c r="F748">
        <v>372.18</v>
      </c>
    </row>
    <row r="749" spans="1:6" x14ac:dyDescent="0.35">
      <c r="A749">
        <v>506</v>
      </c>
      <c r="B749" t="s">
        <v>95</v>
      </c>
      <c r="C749">
        <v>202602</v>
      </c>
      <c r="D749">
        <v>34064</v>
      </c>
      <c r="E749">
        <v>71.912009964322664</v>
      </c>
      <c r="F749">
        <v>473.69</v>
      </c>
    </row>
    <row r="750" spans="1:6" x14ac:dyDescent="0.35">
      <c r="A750">
        <v>508</v>
      </c>
      <c r="B750" t="s">
        <v>95</v>
      </c>
      <c r="C750">
        <v>202602</v>
      </c>
      <c r="D750">
        <v>35603</v>
      </c>
      <c r="E750">
        <v>87.973807758833701</v>
      </c>
      <c r="F750">
        <v>404.7</v>
      </c>
    </row>
    <row r="751" spans="1:6" x14ac:dyDescent="0.35">
      <c r="A751">
        <v>507</v>
      </c>
      <c r="B751" t="s">
        <v>95</v>
      </c>
      <c r="C751">
        <v>202602</v>
      </c>
      <c r="D751">
        <v>24008</v>
      </c>
      <c r="E751">
        <v>88.918518518518525</v>
      </c>
      <c r="F751">
        <v>270</v>
      </c>
    </row>
    <row r="752" spans="1:6" x14ac:dyDescent="0.35">
      <c r="A752">
        <v>520</v>
      </c>
      <c r="B752" t="s">
        <v>95</v>
      </c>
      <c r="C752">
        <v>202602</v>
      </c>
      <c r="D752">
        <v>970</v>
      </c>
      <c r="E752">
        <v>14.264705882352942</v>
      </c>
      <c r="F752">
        <v>68</v>
      </c>
    </row>
    <row r="753" spans="1:6" x14ac:dyDescent="0.35">
      <c r="A753">
        <v>521</v>
      </c>
      <c r="B753" t="s">
        <v>95</v>
      </c>
      <c r="C753">
        <v>202602</v>
      </c>
      <c r="D753">
        <v>6766</v>
      </c>
      <c r="E753">
        <v>58.327586206896555</v>
      </c>
      <c r="F753">
        <v>116</v>
      </c>
    </row>
    <row r="754" spans="1:6" x14ac:dyDescent="0.35">
      <c r="A754">
        <v>784</v>
      </c>
      <c r="B754" t="s">
        <v>95</v>
      </c>
      <c r="C754">
        <v>202602</v>
      </c>
      <c r="D754">
        <v>1106</v>
      </c>
      <c r="E754">
        <v>3.2799525504151839</v>
      </c>
      <c r="F754">
        <v>337.2</v>
      </c>
    </row>
    <row r="755" spans="1:6" x14ac:dyDescent="0.35">
      <c r="A755">
        <v>785</v>
      </c>
      <c r="B755" t="s">
        <v>95</v>
      </c>
      <c r="C755">
        <v>202602</v>
      </c>
      <c r="D755">
        <v>317</v>
      </c>
      <c r="E755">
        <v>0.56385627890430445</v>
      </c>
      <c r="F755">
        <v>562.20000000000005</v>
      </c>
    </row>
    <row r="756" spans="1:6" x14ac:dyDescent="0.35">
      <c r="A756">
        <v>758</v>
      </c>
      <c r="B756" t="s">
        <v>95</v>
      </c>
      <c r="C756">
        <v>202602</v>
      </c>
      <c r="D756">
        <v>6797</v>
      </c>
      <c r="E756">
        <v>10.074554967613796</v>
      </c>
      <c r="F756">
        <v>674.67</v>
      </c>
    </row>
    <row r="757" spans="1:6" x14ac:dyDescent="0.35">
      <c r="A757">
        <v>757</v>
      </c>
      <c r="B757" t="s">
        <v>95</v>
      </c>
      <c r="C757">
        <v>202602</v>
      </c>
      <c r="D757">
        <v>13873</v>
      </c>
      <c r="E757">
        <v>28.039857708788098</v>
      </c>
      <c r="F757">
        <v>494.76</v>
      </c>
    </row>
    <row r="758" spans="1:6" x14ac:dyDescent="0.35">
      <c r="A758">
        <v>580</v>
      </c>
      <c r="B758" t="s">
        <v>95</v>
      </c>
      <c r="C758">
        <v>202602</v>
      </c>
      <c r="D758">
        <v>0</v>
      </c>
      <c r="E758">
        <v>0</v>
      </c>
      <c r="F758">
        <v>270.68</v>
      </c>
    </row>
    <row r="759" spans="1:6" x14ac:dyDescent="0.35">
      <c r="A759">
        <v>582</v>
      </c>
      <c r="B759" t="s">
        <v>95</v>
      </c>
      <c r="C759">
        <v>202602</v>
      </c>
      <c r="D759">
        <v>1124</v>
      </c>
      <c r="E759">
        <v>3.7373233582709893</v>
      </c>
      <c r="F759">
        <v>300.75</v>
      </c>
    </row>
    <row r="760" spans="1:6" x14ac:dyDescent="0.35">
      <c r="A760">
        <v>594</v>
      </c>
      <c r="B760" t="s">
        <v>95</v>
      </c>
      <c r="C760">
        <v>202602</v>
      </c>
      <c r="D760">
        <v>21407</v>
      </c>
      <c r="E760">
        <v>126.85629629629629</v>
      </c>
      <c r="F760">
        <v>168.75</v>
      </c>
    </row>
    <row r="761" spans="1:6" x14ac:dyDescent="0.35">
      <c r="A761">
        <v>595</v>
      </c>
      <c r="B761" t="s">
        <v>95</v>
      </c>
      <c r="C761">
        <v>202602</v>
      </c>
      <c r="D761">
        <v>27989</v>
      </c>
      <c r="E761">
        <v>373.18666666666667</v>
      </c>
      <c r="F761">
        <v>75</v>
      </c>
    </row>
    <row r="762" spans="1:6" x14ac:dyDescent="0.35">
      <c r="A762">
        <v>603</v>
      </c>
      <c r="B762" t="s">
        <v>95</v>
      </c>
      <c r="C762">
        <v>202602</v>
      </c>
      <c r="D762">
        <v>2521</v>
      </c>
      <c r="E762">
        <v>11.176627061535733</v>
      </c>
      <c r="F762">
        <v>225.56</v>
      </c>
    </row>
    <row r="763" spans="1:6" x14ac:dyDescent="0.35">
      <c r="A763">
        <v>606</v>
      </c>
      <c r="B763" t="s">
        <v>95</v>
      </c>
      <c r="C763">
        <v>202602</v>
      </c>
      <c r="D763">
        <v>2687</v>
      </c>
      <c r="E763">
        <v>10.241262339444296</v>
      </c>
      <c r="F763">
        <v>262.37</v>
      </c>
    </row>
    <row r="764" spans="1:6" x14ac:dyDescent="0.35">
      <c r="A764">
        <v>772</v>
      </c>
      <c r="B764" t="s">
        <v>95</v>
      </c>
      <c r="C764">
        <v>202602</v>
      </c>
      <c r="D764">
        <v>291</v>
      </c>
      <c r="E764">
        <v>1.4377470355731226</v>
      </c>
      <c r="F764">
        <v>202.4</v>
      </c>
    </row>
    <row r="765" spans="1:6" x14ac:dyDescent="0.35">
      <c r="A765">
        <v>615</v>
      </c>
      <c r="B765" t="s">
        <v>95</v>
      </c>
      <c r="C765">
        <v>202602</v>
      </c>
      <c r="D765">
        <v>4638</v>
      </c>
      <c r="E765">
        <v>17.134623910152207</v>
      </c>
      <c r="F765">
        <v>270.68</v>
      </c>
    </row>
    <row r="766" spans="1:6" x14ac:dyDescent="0.35">
      <c r="A766">
        <v>617</v>
      </c>
      <c r="B766" t="s">
        <v>95</v>
      </c>
      <c r="C766">
        <v>202602</v>
      </c>
      <c r="D766">
        <v>1565</v>
      </c>
      <c r="E766">
        <v>3.4777777777777779</v>
      </c>
      <c r="F766">
        <v>450</v>
      </c>
    </row>
    <row r="767" spans="1:6" x14ac:dyDescent="0.35">
      <c r="A767">
        <v>751</v>
      </c>
      <c r="B767" t="s">
        <v>95</v>
      </c>
      <c r="C767">
        <v>202602</v>
      </c>
      <c r="D767">
        <v>1664</v>
      </c>
      <c r="E767">
        <v>8.1966405595783467</v>
      </c>
      <c r="F767">
        <v>203.01</v>
      </c>
    </row>
    <row r="768" spans="1:6" x14ac:dyDescent="0.35">
      <c r="A768">
        <v>752</v>
      </c>
      <c r="B768" t="s">
        <v>95</v>
      </c>
      <c r="C768">
        <v>202602</v>
      </c>
      <c r="D768">
        <v>3381</v>
      </c>
      <c r="E768">
        <v>9.7756317585150061</v>
      </c>
      <c r="F768">
        <v>345.86</v>
      </c>
    </row>
    <row r="769" spans="1:6" x14ac:dyDescent="0.35">
      <c r="A769">
        <v>753</v>
      </c>
      <c r="B769" t="s">
        <v>95</v>
      </c>
      <c r="C769">
        <v>202602</v>
      </c>
      <c r="D769">
        <v>13600</v>
      </c>
      <c r="E769">
        <v>27.827795056474052</v>
      </c>
      <c r="F769">
        <v>488.72</v>
      </c>
    </row>
    <row r="770" spans="1:6" x14ac:dyDescent="0.35">
      <c r="A770">
        <v>754</v>
      </c>
      <c r="B770" t="s">
        <v>95</v>
      </c>
      <c r="C770">
        <v>202602</v>
      </c>
      <c r="D770">
        <v>3573</v>
      </c>
      <c r="E770">
        <v>5.9400508719722032</v>
      </c>
      <c r="F770">
        <v>601.51</v>
      </c>
    </row>
    <row r="771" spans="1:6" x14ac:dyDescent="0.35">
      <c r="A771">
        <v>614</v>
      </c>
      <c r="B771" t="s">
        <v>95</v>
      </c>
      <c r="C771">
        <v>202602</v>
      </c>
      <c r="D771">
        <v>11393</v>
      </c>
      <c r="E771">
        <v>20.26503023834934</v>
      </c>
      <c r="F771">
        <v>562.20000000000005</v>
      </c>
    </row>
    <row r="772" spans="1:6" x14ac:dyDescent="0.35">
      <c r="A772">
        <v>797</v>
      </c>
      <c r="B772" t="s">
        <v>95</v>
      </c>
      <c r="C772">
        <v>202602</v>
      </c>
      <c r="D772">
        <v>524</v>
      </c>
      <c r="E772">
        <v>1.1649622054246331</v>
      </c>
      <c r="F772">
        <v>449.8</v>
      </c>
    </row>
    <row r="773" spans="1:6" x14ac:dyDescent="0.35">
      <c r="A773">
        <v>613</v>
      </c>
      <c r="B773" t="s">
        <v>95</v>
      </c>
      <c r="C773">
        <v>202602</v>
      </c>
      <c r="D773">
        <v>5907</v>
      </c>
      <c r="E773">
        <v>20.194871794871794</v>
      </c>
      <c r="F773">
        <v>292.5</v>
      </c>
    </row>
    <row r="774" spans="1:6" x14ac:dyDescent="0.35">
      <c r="A774">
        <v>767</v>
      </c>
      <c r="B774" t="s">
        <v>95</v>
      </c>
      <c r="C774">
        <v>202602</v>
      </c>
      <c r="D774">
        <v>7474</v>
      </c>
      <c r="E774">
        <v>12.460820273424476</v>
      </c>
      <c r="F774">
        <v>599.79999999999995</v>
      </c>
    </row>
    <row r="775" spans="1:6" x14ac:dyDescent="0.35">
      <c r="A775">
        <v>807</v>
      </c>
      <c r="B775" t="s">
        <v>95</v>
      </c>
      <c r="C775">
        <v>202602</v>
      </c>
      <c r="D775">
        <v>382</v>
      </c>
      <c r="E775">
        <v>1.91</v>
      </c>
      <c r="F775">
        <v>200</v>
      </c>
    </row>
    <row r="776" spans="1:6" x14ac:dyDescent="0.35">
      <c r="A776">
        <v>808</v>
      </c>
      <c r="B776" t="s">
        <v>95</v>
      </c>
      <c r="C776">
        <v>202602</v>
      </c>
      <c r="D776">
        <v>1433</v>
      </c>
      <c r="E776">
        <v>4.8619121937979237</v>
      </c>
      <c r="F776">
        <v>294.74</v>
      </c>
    </row>
    <row r="777" spans="1:6" x14ac:dyDescent="0.35">
      <c r="A777">
        <v>502</v>
      </c>
      <c r="B777" t="s">
        <v>96</v>
      </c>
      <c r="C777">
        <v>202602</v>
      </c>
      <c r="D777">
        <v>51416</v>
      </c>
      <c r="E777">
        <v>165.19727541447114</v>
      </c>
      <c r="F777">
        <v>311.24</v>
      </c>
    </row>
    <row r="778" spans="1:6" x14ac:dyDescent="0.35">
      <c r="A778">
        <v>504</v>
      </c>
      <c r="B778" t="s">
        <v>96</v>
      </c>
      <c r="C778">
        <v>202602</v>
      </c>
      <c r="D778">
        <v>93796</v>
      </c>
      <c r="E778">
        <v>214.87709330828619</v>
      </c>
      <c r="F778">
        <v>436.51</v>
      </c>
    </row>
    <row r="779" spans="1:6" x14ac:dyDescent="0.35">
      <c r="A779">
        <v>505</v>
      </c>
      <c r="B779" t="s">
        <v>96</v>
      </c>
      <c r="C779">
        <v>202602</v>
      </c>
      <c r="D779">
        <v>39452</v>
      </c>
      <c r="E779">
        <v>106.00247192218819</v>
      </c>
      <c r="F779">
        <v>372.18</v>
      </c>
    </row>
    <row r="780" spans="1:6" x14ac:dyDescent="0.35">
      <c r="A780">
        <v>506</v>
      </c>
      <c r="B780" t="s">
        <v>96</v>
      </c>
      <c r="C780">
        <v>202602</v>
      </c>
      <c r="D780">
        <v>44059</v>
      </c>
      <c r="E780">
        <v>93.01230762735122</v>
      </c>
      <c r="F780">
        <v>473.69</v>
      </c>
    </row>
    <row r="781" spans="1:6" x14ac:dyDescent="0.35">
      <c r="A781">
        <v>508</v>
      </c>
      <c r="B781" t="s">
        <v>96</v>
      </c>
      <c r="C781">
        <v>202602</v>
      </c>
      <c r="D781">
        <v>40419</v>
      </c>
      <c r="E781">
        <v>99.873980726464055</v>
      </c>
      <c r="F781">
        <v>404.7</v>
      </c>
    </row>
    <row r="782" spans="1:6" x14ac:dyDescent="0.35">
      <c r="A782">
        <v>507</v>
      </c>
      <c r="B782" t="s">
        <v>96</v>
      </c>
      <c r="C782">
        <v>202602</v>
      </c>
      <c r="D782">
        <v>30415</v>
      </c>
      <c r="E782">
        <v>112.64814814814815</v>
      </c>
      <c r="F782">
        <v>270</v>
      </c>
    </row>
    <row r="783" spans="1:6" x14ac:dyDescent="0.35">
      <c r="A783">
        <v>520</v>
      </c>
      <c r="B783" t="s">
        <v>96</v>
      </c>
      <c r="C783">
        <v>202602</v>
      </c>
      <c r="D783">
        <v>848</v>
      </c>
      <c r="E783">
        <v>12.470588235294118</v>
      </c>
      <c r="F783">
        <v>68</v>
      </c>
    </row>
    <row r="784" spans="1:6" x14ac:dyDescent="0.35">
      <c r="A784">
        <v>521</v>
      </c>
      <c r="B784" t="s">
        <v>96</v>
      </c>
      <c r="C784">
        <v>202602</v>
      </c>
      <c r="D784">
        <v>5488</v>
      </c>
      <c r="E784">
        <v>47.310344827586206</v>
      </c>
      <c r="F784">
        <v>116</v>
      </c>
    </row>
    <row r="785" spans="1:6" x14ac:dyDescent="0.35">
      <c r="A785">
        <v>784</v>
      </c>
      <c r="B785" t="s">
        <v>96</v>
      </c>
      <c r="C785">
        <v>202602</v>
      </c>
      <c r="D785">
        <v>802</v>
      </c>
      <c r="E785">
        <v>2.3784104389086598</v>
      </c>
      <c r="F785">
        <v>337.2</v>
      </c>
    </row>
    <row r="786" spans="1:6" x14ac:dyDescent="0.35">
      <c r="A786">
        <v>785</v>
      </c>
      <c r="B786" t="s">
        <v>96</v>
      </c>
      <c r="C786">
        <v>202602</v>
      </c>
      <c r="D786">
        <v>630</v>
      </c>
      <c r="E786">
        <v>1.1205976520811098</v>
      </c>
      <c r="F786">
        <v>562.20000000000005</v>
      </c>
    </row>
    <row r="787" spans="1:6" x14ac:dyDescent="0.35">
      <c r="A787">
        <v>758</v>
      </c>
      <c r="B787" t="s">
        <v>96</v>
      </c>
      <c r="C787">
        <v>202602</v>
      </c>
      <c r="D787">
        <v>8591</v>
      </c>
      <c r="E787">
        <v>12.733632738968682</v>
      </c>
      <c r="F787">
        <v>674.67</v>
      </c>
    </row>
    <row r="788" spans="1:6" x14ac:dyDescent="0.35">
      <c r="A788">
        <v>757</v>
      </c>
      <c r="B788" t="s">
        <v>96</v>
      </c>
      <c r="C788">
        <v>202602</v>
      </c>
      <c r="D788">
        <v>18133</v>
      </c>
      <c r="E788">
        <v>36.650092974371411</v>
      </c>
      <c r="F788">
        <v>494.76</v>
      </c>
    </row>
    <row r="789" spans="1:6" x14ac:dyDescent="0.35">
      <c r="A789">
        <v>580</v>
      </c>
      <c r="B789" t="s">
        <v>96</v>
      </c>
      <c r="C789">
        <v>202602</v>
      </c>
      <c r="D789">
        <v>0</v>
      </c>
      <c r="E789">
        <v>0</v>
      </c>
      <c r="F789">
        <v>270.68</v>
      </c>
    </row>
    <row r="790" spans="1:6" x14ac:dyDescent="0.35">
      <c r="A790">
        <v>582</v>
      </c>
      <c r="B790" t="s">
        <v>96</v>
      </c>
      <c r="C790">
        <v>202602</v>
      </c>
      <c r="D790">
        <v>15183</v>
      </c>
      <c r="E790">
        <v>50.483790523690772</v>
      </c>
      <c r="F790">
        <v>300.75</v>
      </c>
    </row>
    <row r="791" spans="1:6" x14ac:dyDescent="0.35">
      <c r="A791">
        <v>594</v>
      </c>
      <c r="B791" t="s">
        <v>96</v>
      </c>
      <c r="C791">
        <v>202602</v>
      </c>
      <c r="D791">
        <v>22030</v>
      </c>
      <c r="E791">
        <v>130.54814814814816</v>
      </c>
      <c r="F791">
        <v>168.75</v>
      </c>
    </row>
    <row r="792" spans="1:6" x14ac:dyDescent="0.35">
      <c r="A792">
        <v>595</v>
      </c>
      <c r="B792" t="s">
        <v>96</v>
      </c>
      <c r="C792">
        <v>202602</v>
      </c>
      <c r="D792">
        <v>25103</v>
      </c>
      <c r="E792">
        <v>334.70666666666665</v>
      </c>
      <c r="F792">
        <v>75</v>
      </c>
    </row>
    <row r="793" spans="1:6" x14ac:dyDescent="0.35">
      <c r="A793">
        <v>603</v>
      </c>
      <c r="B793" t="s">
        <v>96</v>
      </c>
      <c r="C793">
        <v>202602</v>
      </c>
      <c r="D793">
        <v>4120</v>
      </c>
      <c r="E793">
        <v>18.265649937932256</v>
      </c>
      <c r="F793">
        <v>225.56</v>
      </c>
    </row>
    <row r="794" spans="1:6" x14ac:dyDescent="0.35">
      <c r="A794">
        <v>606</v>
      </c>
      <c r="B794" t="s">
        <v>96</v>
      </c>
      <c r="C794">
        <v>202602</v>
      </c>
      <c r="D794">
        <v>2975</v>
      </c>
      <c r="E794">
        <v>11.338948812745359</v>
      </c>
      <c r="F794">
        <v>262.37</v>
      </c>
    </row>
    <row r="795" spans="1:6" x14ac:dyDescent="0.35">
      <c r="A795">
        <v>772</v>
      </c>
      <c r="B795" t="s">
        <v>96</v>
      </c>
      <c r="C795">
        <v>202602</v>
      </c>
      <c r="D795">
        <v>0</v>
      </c>
      <c r="E795">
        <v>0</v>
      </c>
      <c r="F795">
        <v>202.4</v>
      </c>
    </row>
    <row r="796" spans="1:6" x14ac:dyDescent="0.35">
      <c r="A796">
        <v>615</v>
      </c>
      <c r="B796" t="s">
        <v>96</v>
      </c>
      <c r="C796">
        <v>202602</v>
      </c>
      <c r="D796">
        <v>5655</v>
      </c>
      <c r="E796">
        <v>20.891827988769027</v>
      </c>
      <c r="F796">
        <v>270.68</v>
      </c>
    </row>
    <row r="797" spans="1:6" x14ac:dyDescent="0.35">
      <c r="A797">
        <v>617</v>
      </c>
      <c r="B797" t="s">
        <v>96</v>
      </c>
      <c r="C797">
        <v>202602</v>
      </c>
      <c r="D797">
        <v>1463</v>
      </c>
      <c r="E797">
        <v>3.2511111111111113</v>
      </c>
      <c r="F797">
        <v>450</v>
      </c>
    </row>
    <row r="798" spans="1:6" x14ac:dyDescent="0.35">
      <c r="A798">
        <v>751</v>
      </c>
      <c r="B798" t="s">
        <v>96</v>
      </c>
      <c r="C798">
        <v>202602</v>
      </c>
      <c r="D798">
        <v>1514</v>
      </c>
      <c r="E798">
        <v>7.457760701443279</v>
      </c>
      <c r="F798">
        <v>203.01</v>
      </c>
    </row>
    <row r="799" spans="1:6" x14ac:dyDescent="0.35">
      <c r="A799">
        <v>752</v>
      </c>
      <c r="B799" t="s">
        <v>96</v>
      </c>
      <c r="C799">
        <v>202602</v>
      </c>
      <c r="D799">
        <v>5674</v>
      </c>
      <c r="E799">
        <v>16.405481986931129</v>
      </c>
      <c r="F799">
        <v>345.86</v>
      </c>
    </row>
    <row r="800" spans="1:6" x14ac:dyDescent="0.35">
      <c r="A800">
        <v>753</v>
      </c>
      <c r="B800" t="s">
        <v>96</v>
      </c>
      <c r="C800">
        <v>202602</v>
      </c>
      <c r="D800">
        <v>4964</v>
      </c>
      <c r="E800">
        <v>10.15714519561303</v>
      </c>
      <c r="F800">
        <v>488.72</v>
      </c>
    </row>
    <row r="801" spans="1:6" x14ac:dyDescent="0.35">
      <c r="A801">
        <v>754</v>
      </c>
      <c r="B801" t="s">
        <v>96</v>
      </c>
      <c r="C801">
        <v>202602</v>
      </c>
      <c r="D801">
        <v>816</v>
      </c>
      <c r="E801">
        <v>1.3565859254210237</v>
      </c>
      <c r="F801">
        <v>601.51</v>
      </c>
    </row>
    <row r="802" spans="1:6" x14ac:dyDescent="0.35">
      <c r="A802">
        <v>614</v>
      </c>
      <c r="B802" t="s">
        <v>96</v>
      </c>
      <c r="C802">
        <v>202602</v>
      </c>
      <c r="D802">
        <v>18020</v>
      </c>
      <c r="E802">
        <v>32.052650302383491</v>
      </c>
      <c r="F802">
        <v>562.20000000000005</v>
      </c>
    </row>
    <row r="803" spans="1:6" x14ac:dyDescent="0.35">
      <c r="A803">
        <v>797</v>
      </c>
      <c r="B803" t="s">
        <v>96</v>
      </c>
      <c r="C803">
        <v>202602</v>
      </c>
      <c r="D803">
        <v>442</v>
      </c>
      <c r="E803">
        <v>0.98265895953757221</v>
      </c>
      <c r="F803">
        <v>449.8</v>
      </c>
    </row>
    <row r="804" spans="1:6" x14ac:dyDescent="0.35">
      <c r="A804">
        <v>613</v>
      </c>
      <c r="B804" t="s">
        <v>96</v>
      </c>
      <c r="C804">
        <v>202602</v>
      </c>
      <c r="D804">
        <v>8534</v>
      </c>
      <c r="E804">
        <v>29.176068376068375</v>
      </c>
      <c r="F804">
        <v>292.5</v>
      </c>
    </row>
    <row r="805" spans="1:6" x14ac:dyDescent="0.35">
      <c r="A805">
        <v>767</v>
      </c>
      <c r="B805" t="s">
        <v>96</v>
      </c>
      <c r="C805">
        <v>202602</v>
      </c>
      <c r="D805">
        <v>7836</v>
      </c>
      <c r="E805">
        <v>13.064354784928311</v>
      </c>
      <c r="F805">
        <v>599.79999999999995</v>
      </c>
    </row>
    <row r="806" spans="1:6" x14ac:dyDescent="0.35">
      <c r="A806">
        <v>807</v>
      </c>
      <c r="B806" t="s">
        <v>96</v>
      </c>
      <c r="C806">
        <v>202602</v>
      </c>
      <c r="D806">
        <v>1201</v>
      </c>
      <c r="E806">
        <v>6.0049999999999999</v>
      </c>
      <c r="F806">
        <v>200</v>
      </c>
    </row>
    <row r="807" spans="1:6" x14ac:dyDescent="0.35">
      <c r="A807">
        <v>808</v>
      </c>
      <c r="B807" t="s">
        <v>96</v>
      </c>
      <c r="C807">
        <v>202602</v>
      </c>
      <c r="D807">
        <v>1965</v>
      </c>
      <c r="E807">
        <v>6.6668928547194133</v>
      </c>
      <c r="F807">
        <v>294.74</v>
      </c>
    </row>
    <row r="808" spans="1:6" x14ac:dyDescent="0.35">
      <c r="A808">
        <v>502</v>
      </c>
      <c r="B808" t="s">
        <v>97</v>
      </c>
      <c r="C808">
        <v>202602</v>
      </c>
      <c r="D808">
        <v>36436</v>
      </c>
      <c r="E808">
        <v>117.06721501092404</v>
      </c>
      <c r="F808">
        <v>311.24</v>
      </c>
    </row>
    <row r="809" spans="1:6" x14ac:dyDescent="0.35">
      <c r="A809">
        <v>504</v>
      </c>
      <c r="B809" t="s">
        <v>97</v>
      </c>
      <c r="C809">
        <v>202602</v>
      </c>
      <c r="D809">
        <v>69726</v>
      </c>
      <c r="E809">
        <v>159.73517216100433</v>
      </c>
      <c r="F809">
        <v>436.51</v>
      </c>
    </row>
    <row r="810" spans="1:6" x14ac:dyDescent="0.35">
      <c r="A810">
        <v>505</v>
      </c>
      <c r="B810" t="s">
        <v>97</v>
      </c>
      <c r="C810">
        <v>202602</v>
      </c>
      <c r="D810">
        <v>29614</v>
      </c>
      <c r="E810">
        <v>79.569025740233215</v>
      </c>
      <c r="F810">
        <v>372.18</v>
      </c>
    </row>
    <row r="811" spans="1:6" x14ac:dyDescent="0.35">
      <c r="A811">
        <v>506</v>
      </c>
      <c r="B811" t="s">
        <v>97</v>
      </c>
      <c r="C811">
        <v>202602</v>
      </c>
      <c r="D811">
        <v>31648</v>
      </c>
      <c r="E811">
        <v>66.811627857881732</v>
      </c>
      <c r="F811">
        <v>473.69</v>
      </c>
    </row>
    <row r="812" spans="1:6" x14ac:dyDescent="0.35">
      <c r="A812">
        <v>508</v>
      </c>
      <c r="B812" t="s">
        <v>97</v>
      </c>
      <c r="C812">
        <v>202602</v>
      </c>
      <c r="D812">
        <v>31328</v>
      </c>
      <c r="E812">
        <v>77.410427477143571</v>
      </c>
      <c r="F812">
        <v>404.7</v>
      </c>
    </row>
    <row r="813" spans="1:6" x14ac:dyDescent="0.35">
      <c r="A813">
        <v>507</v>
      </c>
      <c r="B813" t="s">
        <v>97</v>
      </c>
      <c r="C813">
        <v>202602</v>
      </c>
      <c r="D813">
        <v>21453</v>
      </c>
      <c r="E813">
        <v>79.455555555555549</v>
      </c>
      <c r="F813">
        <v>270</v>
      </c>
    </row>
    <row r="814" spans="1:6" x14ac:dyDescent="0.35">
      <c r="A814">
        <v>520</v>
      </c>
      <c r="B814" t="s">
        <v>97</v>
      </c>
      <c r="C814">
        <v>202602</v>
      </c>
      <c r="D814">
        <v>613</v>
      </c>
      <c r="E814">
        <v>9.014705882352942</v>
      </c>
      <c r="F814">
        <v>68</v>
      </c>
    </row>
    <row r="815" spans="1:6" x14ac:dyDescent="0.35">
      <c r="A815">
        <v>521</v>
      </c>
      <c r="B815" t="s">
        <v>97</v>
      </c>
      <c r="C815">
        <v>202602</v>
      </c>
      <c r="D815">
        <v>3936</v>
      </c>
      <c r="E815">
        <v>33.931034482758619</v>
      </c>
      <c r="F815">
        <v>116</v>
      </c>
    </row>
    <row r="816" spans="1:6" x14ac:dyDescent="0.35">
      <c r="A816">
        <v>784</v>
      </c>
      <c r="B816" t="s">
        <v>97</v>
      </c>
      <c r="C816">
        <v>202602</v>
      </c>
      <c r="D816">
        <v>1258</v>
      </c>
      <c r="E816">
        <v>3.7307236061684463</v>
      </c>
      <c r="F816">
        <v>337.2</v>
      </c>
    </row>
    <row r="817" spans="1:6" x14ac:dyDescent="0.35">
      <c r="A817">
        <v>785</v>
      </c>
      <c r="B817" t="s">
        <v>97</v>
      </c>
      <c r="C817">
        <v>202602</v>
      </c>
      <c r="D817">
        <v>245</v>
      </c>
      <c r="E817">
        <v>0.43578797580932049</v>
      </c>
      <c r="F817">
        <v>562.20000000000005</v>
      </c>
    </row>
    <row r="818" spans="1:6" x14ac:dyDescent="0.35">
      <c r="A818">
        <v>758</v>
      </c>
      <c r="B818" t="s">
        <v>97</v>
      </c>
      <c r="C818">
        <v>202602</v>
      </c>
      <c r="D818">
        <v>6387</v>
      </c>
      <c r="E818">
        <v>9.4668504602250003</v>
      </c>
      <c r="F818">
        <v>674.67</v>
      </c>
    </row>
    <row r="819" spans="1:6" x14ac:dyDescent="0.35">
      <c r="A819">
        <v>757</v>
      </c>
      <c r="B819" t="s">
        <v>97</v>
      </c>
      <c r="C819">
        <v>202602</v>
      </c>
      <c r="D819">
        <v>15540</v>
      </c>
      <c r="E819">
        <v>31.409168081494059</v>
      </c>
      <c r="F819">
        <v>494.76</v>
      </c>
    </row>
    <row r="820" spans="1:6" x14ac:dyDescent="0.35">
      <c r="A820">
        <v>580</v>
      </c>
      <c r="B820" t="s">
        <v>97</v>
      </c>
      <c r="C820">
        <v>202602</v>
      </c>
      <c r="D820">
        <v>0</v>
      </c>
      <c r="E820">
        <v>0</v>
      </c>
      <c r="F820">
        <v>270.68</v>
      </c>
    </row>
    <row r="821" spans="1:6" x14ac:dyDescent="0.35">
      <c r="A821">
        <v>582</v>
      </c>
      <c r="B821" t="s">
        <v>97</v>
      </c>
      <c r="C821">
        <v>202602</v>
      </c>
      <c r="D821">
        <v>1396</v>
      </c>
      <c r="E821">
        <v>4.6417290108063174</v>
      </c>
      <c r="F821">
        <v>300.75</v>
      </c>
    </row>
    <row r="822" spans="1:6" x14ac:dyDescent="0.35">
      <c r="A822">
        <v>594</v>
      </c>
      <c r="B822" t="s">
        <v>97</v>
      </c>
      <c r="C822">
        <v>202602</v>
      </c>
      <c r="D822">
        <v>14532</v>
      </c>
      <c r="E822">
        <v>86.115555555555559</v>
      </c>
      <c r="F822">
        <v>168.75</v>
      </c>
    </row>
    <row r="823" spans="1:6" x14ac:dyDescent="0.35">
      <c r="A823">
        <v>595</v>
      </c>
      <c r="B823" t="s">
        <v>97</v>
      </c>
      <c r="C823">
        <v>202602</v>
      </c>
      <c r="D823">
        <v>18828</v>
      </c>
      <c r="E823">
        <v>251.04</v>
      </c>
      <c r="F823">
        <v>75</v>
      </c>
    </row>
    <row r="824" spans="1:6" x14ac:dyDescent="0.35">
      <c r="A824">
        <v>603</v>
      </c>
      <c r="B824" t="s">
        <v>97</v>
      </c>
      <c r="C824">
        <v>202602</v>
      </c>
      <c r="D824">
        <v>3805</v>
      </c>
      <c r="E824">
        <v>16.869125731512678</v>
      </c>
      <c r="F824">
        <v>225.56</v>
      </c>
    </row>
    <row r="825" spans="1:6" x14ac:dyDescent="0.35">
      <c r="A825">
        <v>606</v>
      </c>
      <c r="B825" t="s">
        <v>97</v>
      </c>
      <c r="C825">
        <v>202602</v>
      </c>
      <c r="D825">
        <v>3734</v>
      </c>
      <c r="E825">
        <v>14.231810039257537</v>
      </c>
      <c r="F825">
        <v>262.37</v>
      </c>
    </row>
    <row r="826" spans="1:6" x14ac:dyDescent="0.35">
      <c r="A826">
        <v>772</v>
      </c>
      <c r="B826" t="s">
        <v>97</v>
      </c>
      <c r="C826">
        <v>202602</v>
      </c>
      <c r="D826">
        <v>301</v>
      </c>
      <c r="E826">
        <v>1.4871541501976284</v>
      </c>
      <c r="F826">
        <v>202.4</v>
      </c>
    </row>
    <row r="827" spans="1:6" x14ac:dyDescent="0.35">
      <c r="A827">
        <v>615</v>
      </c>
      <c r="B827" t="s">
        <v>97</v>
      </c>
      <c r="C827">
        <v>202602</v>
      </c>
      <c r="D827">
        <v>3690</v>
      </c>
      <c r="E827">
        <v>13.632333382591991</v>
      </c>
      <c r="F827">
        <v>270.68</v>
      </c>
    </row>
    <row r="828" spans="1:6" x14ac:dyDescent="0.35">
      <c r="A828">
        <v>617</v>
      </c>
      <c r="B828" t="s">
        <v>97</v>
      </c>
      <c r="C828">
        <v>202602</v>
      </c>
      <c r="D828">
        <v>1103</v>
      </c>
      <c r="E828">
        <v>2.451111111111111</v>
      </c>
      <c r="F828">
        <v>450</v>
      </c>
    </row>
    <row r="829" spans="1:6" x14ac:dyDescent="0.35">
      <c r="A829">
        <v>751</v>
      </c>
      <c r="B829" t="s">
        <v>97</v>
      </c>
      <c r="C829">
        <v>202602</v>
      </c>
      <c r="D829">
        <v>5142</v>
      </c>
      <c r="E829">
        <v>25.328801536870106</v>
      </c>
      <c r="F829">
        <v>203.01</v>
      </c>
    </row>
    <row r="830" spans="1:6" x14ac:dyDescent="0.35">
      <c r="A830">
        <v>752</v>
      </c>
      <c r="B830" t="s">
        <v>97</v>
      </c>
      <c r="C830">
        <v>202602</v>
      </c>
      <c r="D830">
        <v>10814</v>
      </c>
      <c r="E830">
        <v>31.266986641993871</v>
      </c>
      <c r="F830">
        <v>345.86</v>
      </c>
    </row>
    <row r="831" spans="1:6" x14ac:dyDescent="0.35">
      <c r="A831">
        <v>753</v>
      </c>
      <c r="B831" t="s">
        <v>97</v>
      </c>
      <c r="C831">
        <v>202602</v>
      </c>
      <c r="D831">
        <v>15831</v>
      </c>
      <c r="E831">
        <v>32.392781142576524</v>
      </c>
      <c r="F831">
        <v>488.72</v>
      </c>
    </row>
    <row r="832" spans="1:6" x14ac:dyDescent="0.35">
      <c r="A832">
        <v>754</v>
      </c>
      <c r="B832" t="s">
        <v>97</v>
      </c>
      <c r="C832">
        <v>202602</v>
      </c>
      <c r="D832">
        <v>658</v>
      </c>
      <c r="E832">
        <v>1.0939136506458746</v>
      </c>
      <c r="F832">
        <v>601.51</v>
      </c>
    </row>
    <row r="833" spans="1:6" x14ac:dyDescent="0.35">
      <c r="A833">
        <v>614</v>
      </c>
      <c r="B833" t="s">
        <v>97</v>
      </c>
      <c r="C833">
        <v>202602</v>
      </c>
      <c r="D833">
        <v>15968</v>
      </c>
      <c r="E833">
        <v>28.402703664176446</v>
      </c>
      <c r="F833">
        <v>562.20000000000005</v>
      </c>
    </row>
    <row r="834" spans="1:6" x14ac:dyDescent="0.35">
      <c r="A834">
        <v>797</v>
      </c>
      <c r="B834" t="s">
        <v>97</v>
      </c>
      <c r="C834">
        <v>202602</v>
      </c>
      <c r="D834">
        <v>1044</v>
      </c>
      <c r="E834">
        <v>2.3210315695864829</v>
      </c>
      <c r="F834">
        <v>449.8</v>
      </c>
    </row>
    <row r="835" spans="1:6" x14ac:dyDescent="0.35">
      <c r="A835">
        <v>613</v>
      </c>
      <c r="B835" t="s">
        <v>97</v>
      </c>
      <c r="C835">
        <v>202602</v>
      </c>
      <c r="D835">
        <v>8154</v>
      </c>
      <c r="E835">
        <v>27.876923076923077</v>
      </c>
      <c r="F835">
        <v>292.5</v>
      </c>
    </row>
    <row r="836" spans="1:6" x14ac:dyDescent="0.35">
      <c r="A836">
        <v>767</v>
      </c>
      <c r="B836" t="s">
        <v>97</v>
      </c>
      <c r="C836">
        <v>202602</v>
      </c>
      <c r="D836">
        <v>8877</v>
      </c>
      <c r="E836">
        <v>14.799933311103702</v>
      </c>
      <c r="F836">
        <v>599.79999999999995</v>
      </c>
    </row>
    <row r="837" spans="1:6" x14ac:dyDescent="0.35">
      <c r="A837">
        <v>807</v>
      </c>
      <c r="B837" t="s">
        <v>97</v>
      </c>
      <c r="C837">
        <v>202602</v>
      </c>
      <c r="D837">
        <v>174</v>
      </c>
      <c r="E837">
        <v>0.87</v>
      </c>
      <c r="F837">
        <v>200</v>
      </c>
    </row>
    <row r="838" spans="1:6" x14ac:dyDescent="0.35">
      <c r="A838">
        <v>808</v>
      </c>
      <c r="B838" t="s">
        <v>97</v>
      </c>
      <c r="C838">
        <v>202602</v>
      </c>
      <c r="D838">
        <v>349</v>
      </c>
      <c r="E838">
        <v>1.1840944561308271</v>
      </c>
      <c r="F838">
        <v>294.74</v>
      </c>
    </row>
    <row r="839" spans="1:6" x14ac:dyDescent="0.35">
      <c r="A839">
        <v>502</v>
      </c>
      <c r="B839" t="s">
        <v>98</v>
      </c>
      <c r="C839">
        <v>202602</v>
      </c>
      <c r="D839">
        <v>32427</v>
      </c>
      <c r="E839">
        <v>104.186479886904</v>
      </c>
      <c r="F839">
        <v>311.24</v>
      </c>
    </row>
    <row r="840" spans="1:6" x14ac:dyDescent="0.35">
      <c r="A840">
        <v>504</v>
      </c>
      <c r="B840" t="s">
        <v>98</v>
      </c>
      <c r="C840">
        <v>202602</v>
      </c>
      <c r="D840">
        <v>68130</v>
      </c>
      <c r="E840">
        <v>156.07889853611601</v>
      </c>
      <c r="F840">
        <v>436.51</v>
      </c>
    </row>
    <row r="841" spans="1:6" x14ac:dyDescent="0.35">
      <c r="A841">
        <v>505</v>
      </c>
      <c r="B841" t="s">
        <v>98</v>
      </c>
      <c r="C841">
        <v>202602</v>
      </c>
      <c r="D841">
        <v>23887</v>
      </c>
      <c r="E841">
        <v>64.18131011875974</v>
      </c>
      <c r="F841">
        <v>372.18</v>
      </c>
    </row>
    <row r="842" spans="1:6" x14ac:dyDescent="0.35">
      <c r="A842">
        <v>506</v>
      </c>
      <c r="B842" t="s">
        <v>98</v>
      </c>
      <c r="C842">
        <v>202602</v>
      </c>
      <c r="D842">
        <v>24435</v>
      </c>
      <c r="E842">
        <v>51.584369524372477</v>
      </c>
      <c r="F842">
        <v>473.69</v>
      </c>
    </row>
    <row r="843" spans="1:6" x14ac:dyDescent="0.35">
      <c r="A843">
        <v>508</v>
      </c>
      <c r="B843" t="s">
        <v>98</v>
      </c>
      <c r="C843">
        <v>202602</v>
      </c>
      <c r="D843">
        <v>35457</v>
      </c>
      <c r="E843">
        <v>87.613046701260188</v>
      </c>
      <c r="F843">
        <v>404.7</v>
      </c>
    </row>
    <row r="844" spans="1:6" x14ac:dyDescent="0.35">
      <c r="A844">
        <v>507</v>
      </c>
      <c r="B844" t="s">
        <v>98</v>
      </c>
      <c r="C844">
        <v>202602</v>
      </c>
      <c r="D844">
        <v>38769</v>
      </c>
      <c r="E844">
        <v>143.5888888888889</v>
      </c>
      <c r="F844">
        <v>270</v>
      </c>
    </row>
    <row r="845" spans="1:6" x14ac:dyDescent="0.35">
      <c r="A845">
        <v>520</v>
      </c>
      <c r="B845" t="s">
        <v>98</v>
      </c>
      <c r="C845">
        <v>202602</v>
      </c>
      <c r="D845">
        <v>390</v>
      </c>
      <c r="E845">
        <v>5.7352941176470589</v>
      </c>
      <c r="F845">
        <v>68</v>
      </c>
    </row>
    <row r="846" spans="1:6" x14ac:dyDescent="0.35">
      <c r="A846">
        <v>521</v>
      </c>
      <c r="B846" t="s">
        <v>98</v>
      </c>
      <c r="C846">
        <v>202602</v>
      </c>
      <c r="D846">
        <v>2761</v>
      </c>
      <c r="E846">
        <v>23.801724137931036</v>
      </c>
      <c r="F846">
        <v>116</v>
      </c>
    </row>
    <row r="847" spans="1:6" x14ac:dyDescent="0.35">
      <c r="A847">
        <v>784</v>
      </c>
      <c r="B847" t="s">
        <v>98</v>
      </c>
      <c r="C847">
        <v>202602</v>
      </c>
      <c r="D847">
        <v>201</v>
      </c>
      <c r="E847">
        <v>0.59608540925266906</v>
      </c>
      <c r="F847">
        <v>337.2</v>
      </c>
    </row>
    <row r="848" spans="1:6" x14ac:dyDescent="0.35">
      <c r="A848">
        <v>785</v>
      </c>
      <c r="B848" t="s">
        <v>98</v>
      </c>
      <c r="C848">
        <v>202602</v>
      </c>
      <c r="D848">
        <v>290</v>
      </c>
      <c r="E848">
        <v>0.51583066524368548</v>
      </c>
      <c r="F848">
        <v>562.20000000000005</v>
      </c>
    </row>
    <row r="849" spans="1:6" x14ac:dyDescent="0.35">
      <c r="A849">
        <v>758</v>
      </c>
      <c r="B849" t="s">
        <v>98</v>
      </c>
      <c r="C849">
        <v>202602</v>
      </c>
      <c r="D849">
        <v>4818</v>
      </c>
      <c r="E849">
        <v>7.1412690648761625</v>
      </c>
      <c r="F849">
        <v>674.67</v>
      </c>
    </row>
    <row r="850" spans="1:6" x14ac:dyDescent="0.35">
      <c r="A850">
        <v>757</v>
      </c>
      <c r="B850" t="s">
        <v>98</v>
      </c>
      <c r="C850">
        <v>202602</v>
      </c>
      <c r="D850">
        <v>11038</v>
      </c>
      <c r="E850">
        <v>22.30980677500202</v>
      </c>
      <c r="F850">
        <v>494.76</v>
      </c>
    </row>
    <row r="851" spans="1:6" x14ac:dyDescent="0.35">
      <c r="A851">
        <v>580</v>
      </c>
      <c r="B851" t="s">
        <v>98</v>
      </c>
      <c r="C851">
        <v>202602</v>
      </c>
      <c r="D851">
        <v>0</v>
      </c>
      <c r="E851">
        <v>0</v>
      </c>
      <c r="F851">
        <v>270.68</v>
      </c>
    </row>
    <row r="852" spans="1:6" x14ac:dyDescent="0.35">
      <c r="A852">
        <v>582</v>
      </c>
      <c r="B852" t="s">
        <v>98</v>
      </c>
      <c r="C852">
        <v>202602</v>
      </c>
      <c r="D852">
        <v>1030</v>
      </c>
      <c r="E852">
        <v>3.4247714048212803</v>
      </c>
      <c r="F852">
        <v>300.75</v>
      </c>
    </row>
    <row r="853" spans="1:6" x14ac:dyDescent="0.35">
      <c r="A853">
        <v>594</v>
      </c>
      <c r="B853" t="s">
        <v>98</v>
      </c>
      <c r="C853">
        <v>202602</v>
      </c>
      <c r="D853">
        <v>19417</v>
      </c>
      <c r="E853">
        <v>115.06370370370371</v>
      </c>
      <c r="F853">
        <v>168.75</v>
      </c>
    </row>
    <row r="854" spans="1:6" x14ac:dyDescent="0.35">
      <c r="A854">
        <v>595</v>
      </c>
      <c r="B854" t="s">
        <v>98</v>
      </c>
      <c r="C854">
        <v>202602</v>
      </c>
      <c r="D854">
        <v>32874</v>
      </c>
      <c r="E854">
        <v>438.32</v>
      </c>
      <c r="F854">
        <v>75</v>
      </c>
    </row>
    <row r="855" spans="1:6" x14ac:dyDescent="0.35">
      <c r="A855">
        <v>603</v>
      </c>
      <c r="B855" t="s">
        <v>98</v>
      </c>
      <c r="C855">
        <v>202602</v>
      </c>
      <c r="D855">
        <v>2062</v>
      </c>
      <c r="E855">
        <v>9.1416917893243479</v>
      </c>
      <c r="F855">
        <v>225.56</v>
      </c>
    </row>
    <row r="856" spans="1:6" x14ac:dyDescent="0.35">
      <c r="A856">
        <v>606</v>
      </c>
      <c r="B856" t="s">
        <v>98</v>
      </c>
      <c r="C856">
        <v>202602</v>
      </c>
      <c r="D856">
        <v>2146</v>
      </c>
      <c r="E856">
        <v>8.1792887906391734</v>
      </c>
      <c r="F856">
        <v>262.37</v>
      </c>
    </row>
    <row r="857" spans="1:6" x14ac:dyDescent="0.35">
      <c r="A857">
        <v>772</v>
      </c>
      <c r="B857" t="s">
        <v>98</v>
      </c>
      <c r="C857">
        <v>202602</v>
      </c>
      <c r="D857">
        <v>0</v>
      </c>
      <c r="E857">
        <v>0</v>
      </c>
      <c r="F857">
        <v>202.4</v>
      </c>
    </row>
    <row r="858" spans="1:6" x14ac:dyDescent="0.35">
      <c r="A858">
        <v>615</v>
      </c>
      <c r="B858" t="s">
        <v>98</v>
      </c>
      <c r="C858">
        <v>202602</v>
      </c>
      <c r="D858">
        <v>4215</v>
      </c>
      <c r="E858">
        <v>15.571893010196542</v>
      </c>
      <c r="F858">
        <v>270.68</v>
      </c>
    </row>
    <row r="859" spans="1:6" x14ac:dyDescent="0.35">
      <c r="A859">
        <v>617</v>
      </c>
      <c r="B859" t="s">
        <v>98</v>
      </c>
      <c r="C859">
        <v>202602</v>
      </c>
      <c r="D859">
        <v>662</v>
      </c>
      <c r="E859">
        <v>1.471111111111111</v>
      </c>
      <c r="F859">
        <v>450</v>
      </c>
    </row>
    <row r="860" spans="1:6" x14ac:dyDescent="0.35">
      <c r="A860">
        <v>751</v>
      </c>
      <c r="B860" t="s">
        <v>98</v>
      </c>
      <c r="C860">
        <v>202602</v>
      </c>
      <c r="D860">
        <v>473</v>
      </c>
      <c r="E860">
        <v>2.3299344859859121</v>
      </c>
      <c r="F860">
        <v>203.01</v>
      </c>
    </row>
    <row r="861" spans="1:6" x14ac:dyDescent="0.35">
      <c r="A861">
        <v>752</v>
      </c>
      <c r="B861" t="s">
        <v>98</v>
      </c>
      <c r="C861">
        <v>202602</v>
      </c>
      <c r="D861">
        <v>1996</v>
      </c>
      <c r="E861">
        <v>5.7711212629387614</v>
      </c>
      <c r="F861">
        <v>345.86</v>
      </c>
    </row>
    <row r="862" spans="1:6" x14ac:dyDescent="0.35">
      <c r="A862">
        <v>753</v>
      </c>
      <c r="B862" t="s">
        <v>98</v>
      </c>
      <c r="C862">
        <v>202602</v>
      </c>
      <c r="D862">
        <v>3737</v>
      </c>
      <c r="E862">
        <v>7.6465051563267306</v>
      </c>
      <c r="F862">
        <v>488.72</v>
      </c>
    </row>
    <row r="863" spans="1:6" x14ac:dyDescent="0.35">
      <c r="A863">
        <v>754</v>
      </c>
      <c r="B863" t="s">
        <v>98</v>
      </c>
      <c r="C863">
        <v>202602</v>
      </c>
      <c r="D863">
        <v>626</v>
      </c>
      <c r="E863">
        <v>1.0407142025901481</v>
      </c>
      <c r="F863">
        <v>601.51</v>
      </c>
    </row>
    <row r="864" spans="1:6" x14ac:dyDescent="0.35">
      <c r="A864">
        <v>614</v>
      </c>
      <c r="B864" t="s">
        <v>98</v>
      </c>
      <c r="C864">
        <v>202602</v>
      </c>
      <c r="D864">
        <v>16752</v>
      </c>
      <c r="E864">
        <v>29.797225186766273</v>
      </c>
      <c r="F864">
        <v>562.20000000000005</v>
      </c>
    </row>
    <row r="865" spans="1:6" x14ac:dyDescent="0.35">
      <c r="A865">
        <v>797</v>
      </c>
      <c r="B865" t="s">
        <v>98</v>
      </c>
      <c r="C865">
        <v>202602</v>
      </c>
      <c r="D865">
        <v>1232</v>
      </c>
      <c r="E865">
        <v>2.7389951089373055</v>
      </c>
      <c r="F865">
        <v>449.8</v>
      </c>
    </row>
    <row r="866" spans="1:6" x14ac:dyDescent="0.35">
      <c r="A866">
        <v>613</v>
      </c>
      <c r="B866" t="s">
        <v>98</v>
      </c>
      <c r="C866">
        <v>202602</v>
      </c>
      <c r="D866">
        <v>8974</v>
      </c>
      <c r="E866">
        <v>30.680341880341881</v>
      </c>
      <c r="F866">
        <v>292.5</v>
      </c>
    </row>
    <row r="867" spans="1:6" x14ac:dyDescent="0.35">
      <c r="A867">
        <v>767</v>
      </c>
      <c r="B867" t="s">
        <v>98</v>
      </c>
      <c r="C867">
        <v>202602</v>
      </c>
      <c r="D867">
        <v>5545</v>
      </c>
      <c r="E867">
        <v>9.2447482494164728</v>
      </c>
      <c r="F867">
        <v>599.79999999999995</v>
      </c>
    </row>
    <row r="868" spans="1:6" x14ac:dyDescent="0.35">
      <c r="A868">
        <v>807</v>
      </c>
      <c r="B868" t="s">
        <v>98</v>
      </c>
      <c r="C868">
        <v>202602</v>
      </c>
      <c r="D868">
        <v>194</v>
      </c>
      <c r="E868">
        <v>0.97</v>
      </c>
      <c r="F868">
        <v>200</v>
      </c>
    </row>
    <row r="869" spans="1:6" x14ac:dyDescent="0.35">
      <c r="A869">
        <v>808</v>
      </c>
      <c r="B869" t="s">
        <v>98</v>
      </c>
      <c r="C869">
        <v>202602</v>
      </c>
      <c r="D869">
        <v>529</v>
      </c>
      <c r="E869">
        <v>1.7948021985478726</v>
      </c>
      <c r="F869">
        <v>294.74</v>
      </c>
    </row>
    <row r="870" spans="1:6" x14ac:dyDescent="0.35">
      <c r="A870">
        <v>502</v>
      </c>
      <c r="B870" t="s">
        <v>99</v>
      </c>
      <c r="C870">
        <v>202602</v>
      </c>
      <c r="D870">
        <v>80226</v>
      </c>
      <c r="E870">
        <v>257.76249839352266</v>
      </c>
      <c r="F870">
        <v>311.24</v>
      </c>
    </row>
    <row r="871" spans="1:6" x14ac:dyDescent="0.35">
      <c r="A871">
        <v>504</v>
      </c>
      <c r="B871" t="s">
        <v>99</v>
      </c>
      <c r="C871">
        <v>202602</v>
      </c>
      <c r="D871">
        <v>151799</v>
      </c>
      <c r="E871">
        <v>347.75606515314655</v>
      </c>
      <c r="F871">
        <v>436.51</v>
      </c>
    </row>
    <row r="872" spans="1:6" x14ac:dyDescent="0.35">
      <c r="A872">
        <v>505</v>
      </c>
      <c r="B872" t="s">
        <v>99</v>
      </c>
      <c r="C872">
        <v>202602</v>
      </c>
      <c r="D872">
        <v>64342</v>
      </c>
      <c r="E872">
        <v>172.87871460046213</v>
      </c>
      <c r="F872">
        <v>372.18</v>
      </c>
    </row>
    <row r="873" spans="1:6" x14ac:dyDescent="0.35">
      <c r="A873">
        <v>506</v>
      </c>
      <c r="B873" t="s">
        <v>99</v>
      </c>
      <c r="C873">
        <v>202602</v>
      </c>
      <c r="D873">
        <v>71396</v>
      </c>
      <c r="E873">
        <v>150.72304671831787</v>
      </c>
      <c r="F873">
        <v>473.69</v>
      </c>
    </row>
    <row r="874" spans="1:6" x14ac:dyDescent="0.35">
      <c r="A874">
        <v>508</v>
      </c>
      <c r="B874" t="s">
        <v>99</v>
      </c>
      <c r="C874">
        <v>202602</v>
      </c>
      <c r="D874">
        <v>64606</v>
      </c>
      <c r="E874">
        <v>159.63923894242649</v>
      </c>
      <c r="F874">
        <v>404.7</v>
      </c>
    </row>
    <row r="875" spans="1:6" x14ac:dyDescent="0.35">
      <c r="A875">
        <v>507</v>
      </c>
      <c r="B875" t="s">
        <v>99</v>
      </c>
      <c r="C875">
        <v>202602</v>
      </c>
      <c r="D875">
        <v>49549</v>
      </c>
      <c r="E875">
        <v>183.51481481481483</v>
      </c>
      <c r="F875">
        <v>270</v>
      </c>
    </row>
    <row r="876" spans="1:6" x14ac:dyDescent="0.35">
      <c r="A876">
        <v>520</v>
      </c>
      <c r="B876" t="s">
        <v>99</v>
      </c>
      <c r="C876">
        <v>202602</v>
      </c>
      <c r="D876">
        <v>1485</v>
      </c>
      <c r="E876">
        <v>21.838235294117649</v>
      </c>
      <c r="F876">
        <v>68</v>
      </c>
    </row>
    <row r="877" spans="1:6" x14ac:dyDescent="0.35">
      <c r="A877">
        <v>521</v>
      </c>
      <c r="B877" t="s">
        <v>99</v>
      </c>
      <c r="C877">
        <v>202602</v>
      </c>
      <c r="D877">
        <v>10524</v>
      </c>
      <c r="E877">
        <v>90.724137931034477</v>
      </c>
      <c r="F877">
        <v>116</v>
      </c>
    </row>
    <row r="878" spans="1:6" x14ac:dyDescent="0.35">
      <c r="A878">
        <v>784</v>
      </c>
      <c r="B878" t="s">
        <v>99</v>
      </c>
      <c r="C878">
        <v>202602</v>
      </c>
      <c r="D878">
        <v>1218</v>
      </c>
      <c r="E878">
        <v>3.6120996441281141</v>
      </c>
      <c r="F878">
        <v>337.2</v>
      </c>
    </row>
    <row r="879" spans="1:6" x14ac:dyDescent="0.35">
      <c r="A879">
        <v>785</v>
      </c>
      <c r="B879" t="s">
        <v>99</v>
      </c>
      <c r="C879">
        <v>202602</v>
      </c>
      <c r="D879">
        <v>1267</v>
      </c>
      <c r="E879">
        <v>2.2536463891853433</v>
      </c>
      <c r="F879">
        <v>562.20000000000005</v>
      </c>
    </row>
    <row r="880" spans="1:6" x14ac:dyDescent="0.35">
      <c r="A880">
        <v>758</v>
      </c>
      <c r="B880" t="s">
        <v>99</v>
      </c>
      <c r="C880">
        <v>202602</v>
      </c>
      <c r="D880">
        <v>12357</v>
      </c>
      <c r="E880">
        <v>18.315620970252123</v>
      </c>
      <c r="F880">
        <v>674.67</v>
      </c>
    </row>
    <row r="881" spans="1:6" x14ac:dyDescent="0.35">
      <c r="A881">
        <v>757</v>
      </c>
      <c r="B881" t="s">
        <v>99</v>
      </c>
      <c r="C881">
        <v>202602</v>
      </c>
      <c r="D881">
        <v>28973</v>
      </c>
      <c r="E881">
        <v>58.559705715902659</v>
      </c>
      <c r="F881">
        <v>494.76</v>
      </c>
    </row>
    <row r="882" spans="1:6" x14ac:dyDescent="0.35">
      <c r="A882">
        <v>580</v>
      </c>
      <c r="B882" t="s">
        <v>99</v>
      </c>
      <c r="C882">
        <v>202602</v>
      </c>
      <c r="D882">
        <v>899</v>
      </c>
      <c r="E882">
        <v>3.3212649623171271</v>
      </c>
      <c r="F882">
        <v>270.68</v>
      </c>
    </row>
    <row r="883" spans="1:6" x14ac:dyDescent="0.35">
      <c r="A883">
        <v>582</v>
      </c>
      <c r="B883" t="s">
        <v>99</v>
      </c>
      <c r="C883">
        <v>202602</v>
      </c>
      <c r="D883">
        <v>3715</v>
      </c>
      <c r="E883">
        <v>12.352452202826267</v>
      </c>
      <c r="F883">
        <v>300.75</v>
      </c>
    </row>
    <row r="884" spans="1:6" x14ac:dyDescent="0.35">
      <c r="A884">
        <v>594</v>
      </c>
      <c r="B884" t="s">
        <v>99</v>
      </c>
      <c r="C884">
        <v>202602</v>
      </c>
      <c r="D884">
        <v>35907</v>
      </c>
      <c r="E884">
        <v>212.78222222222223</v>
      </c>
      <c r="F884">
        <v>168.75</v>
      </c>
    </row>
    <row r="885" spans="1:6" x14ac:dyDescent="0.35">
      <c r="A885">
        <v>595</v>
      </c>
      <c r="B885" t="s">
        <v>99</v>
      </c>
      <c r="C885">
        <v>202602</v>
      </c>
      <c r="D885">
        <v>48974</v>
      </c>
      <c r="E885">
        <v>652.98666666666668</v>
      </c>
      <c r="F885">
        <v>75</v>
      </c>
    </row>
    <row r="886" spans="1:6" x14ac:dyDescent="0.35">
      <c r="A886">
        <v>603</v>
      </c>
      <c r="B886" t="s">
        <v>99</v>
      </c>
      <c r="C886">
        <v>202602</v>
      </c>
      <c r="D886">
        <v>8627</v>
      </c>
      <c r="E886">
        <v>38.247029615179997</v>
      </c>
      <c r="F886">
        <v>225.56</v>
      </c>
    </row>
    <row r="887" spans="1:6" x14ac:dyDescent="0.35">
      <c r="A887">
        <v>606</v>
      </c>
      <c r="B887" t="s">
        <v>99</v>
      </c>
      <c r="C887">
        <v>202602</v>
      </c>
      <c r="D887">
        <v>4911</v>
      </c>
      <c r="E887">
        <v>18.717841216602508</v>
      </c>
      <c r="F887">
        <v>262.37</v>
      </c>
    </row>
    <row r="888" spans="1:6" x14ac:dyDescent="0.35">
      <c r="A888">
        <v>772</v>
      </c>
      <c r="B888" t="s">
        <v>99</v>
      </c>
      <c r="C888">
        <v>202602</v>
      </c>
      <c r="D888">
        <v>312</v>
      </c>
      <c r="E888">
        <v>1.541501976284585</v>
      </c>
      <c r="F888">
        <v>202.4</v>
      </c>
    </row>
    <row r="889" spans="1:6" x14ac:dyDescent="0.35">
      <c r="A889">
        <v>615</v>
      </c>
      <c r="B889" t="s">
        <v>99</v>
      </c>
      <c r="C889">
        <v>202602</v>
      </c>
      <c r="D889">
        <v>11789</v>
      </c>
      <c r="E889">
        <v>43.553273237771535</v>
      </c>
      <c r="F889">
        <v>270.68</v>
      </c>
    </row>
    <row r="890" spans="1:6" x14ac:dyDescent="0.35">
      <c r="A890">
        <v>617</v>
      </c>
      <c r="B890" t="s">
        <v>99</v>
      </c>
      <c r="C890">
        <v>202602</v>
      </c>
      <c r="D890">
        <v>7456</v>
      </c>
      <c r="E890">
        <v>16.568888888888889</v>
      </c>
      <c r="F890">
        <v>450</v>
      </c>
    </row>
    <row r="891" spans="1:6" x14ac:dyDescent="0.35">
      <c r="A891">
        <v>751</v>
      </c>
      <c r="B891" t="s">
        <v>99</v>
      </c>
      <c r="C891">
        <v>202602</v>
      </c>
      <c r="D891">
        <v>4843</v>
      </c>
      <c r="E891">
        <v>23.855967686320874</v>
      </c>
      <c r="F891">
        <v>203.01</v>
      </c>
    </row>
    <row r="892" spans="1:6" x14ac:dyDescent="0.35">
      <c r="A892">
        <v>752</v>
      </c>
      <c r="B892" t="s">
        <v>99</v>
      </c>
      <c r="C892">
        <v>202602</v>
      </c>
      <c r="D892">
        <v>16580</v>
      </c>
      <c r="E892">
        <v>47.93847221419071</v>
      </c>
      <c r="F892">
        <v>345.86</v>
      </c>
    </row>
    <row r="893" spans="1:6" x14ac:dyDescent="0.35">
      <c r="A893">
        <v>753</v>
      </c>
      <c r="B893" t="s">
        <v>99</v>
      </c>
      <c r="C893">
        <v>202602</v>
      </c>
      <c r="D893">
        <v>32634</v>
      </c>
      <c r="E893">
        <v>66.774431167130459</v>
      </c>
      <c r="F893">
        <v>488.72</v>
      </c>
    </row>
    <row r="894" spans="1:6" x14ac:dyDescent="0.35">
      <c r="A894">
        <v>754</v>
      </c>
      <c r="B894" t="s">
        <v>99</v>
      </c>
      <c r="C894">
        <v>202602</v>
      </c>
      <c r="D894">
        <v>5149</v>
      </c>
      <c r="E894">
        <v>8.5601236887167289</v>
      </c>
      <c r="F894">
        <v>601.51</v>
      </c>
    </row>
    <row r="895" spans="1:6" x14ac:dyDescent="0.35">
      <c r="A895">
        <v>614</v>
      </c>
      <c r="B895" t="s">
        <v>99</v>
      </c>
      <c r="C895">
        <v>202602</v>
      </c>
      <c r="D895">
        <v>34213</v>
      </c>
      <c r="E895">
        <v>60.855567413731762</v>
      </c>
      <c r="F895">
        <v>562.20000000000005</v>
      </c>
    </row>
    <row r="896" spans="1:6" x14ac:dyDescent="0.35">
      <c r="A896">
        <v>797</v>
      </c>
      <c r="B896" t="s">
        <v>99</v>
      </c>
      <c r="C896">
        <v>202602</v>
      </c>
      <c r="D896">
        <v>2392</v>
      </c>
      <c r="E896">
        <v>5.3179190751445082</v>
      </c>
      <c r="F896">
        <v>449.8</v>
      </c>
    </row>
    <row r="897" spans="1:6" x14ac:dyDescent="0.35">
      <c r="A897">
        <v>613</v>
      </c>
      <c r="B897" t="s">
        <v>99</v>
      </c>
      <c r="C897">
        <v>202602</v>
      </c>
      <c r="D897">
        <v>16339</v>
      </c>
      <c r="E897">
        <v>55.85982905982906</v>
      </c>
      <c r="F897">
        <v>292.5</v>
      </c>
    </row>
    <row r="898" spans="1:6" x14ac:dyDescent="0.35">
      <c r="A898">
        <v>767</v>
      </c>
      <c r="B898" t="s">
        <v>99</v>
      </c>
      <c r="C898">
        <v>202602</v>
      </c>
      <c r="D898">
        <v>15109</v>
      </c>
      <c r="E898">
        <v>25.190063354451485</v>
      </c>
      <c r="F898">
        <v>599.79999999999995</v>
      </c>
    </row>
    <row r="899" spans="1:6" x14ac:dyDescent="0.35">
      <c r="A899">
        <v>807</v>
      </c>
      <c r="B899" t="s">
        <v>99</v>
      </c>
      <c r="C899">
        <v>202602</v>
      </c>
      <c r="D899">
        <v>427</v>
      </c>
      <c r="E899">
        <v>2.1349999999999998</v>
      </c>
      <c r="F899">
        <v>200</v>
      </c>
    </row>
    <row r="900" spans="1:6" x14ac:dyDescent="0.35">
      <c r="A900">
        <v>808</v>
      </c>
      <c r="B900" t="s">
        <v>99</v>
      </c>
      <c r="C900">
        <v>202602</v>
      </c>
      <c r="D900">
        <v>619</v>
      </c>
      <c r="E900">
        <v>2.1001560697563955</v>
      </c>
      <c r="F900">
        <v>294.74</v>
      </c>
    </row>
    <row r="901" spans="1:6" x14ac:dyDescent="0.35">
      <c r="A901">
        <v>502</v>
      </c>
      <c r="B901" t="s">
        <v>100</v>
      </c>
      <c r="C901">
        <v>202602</v>
      </c>
      <c r="D901">
        <v>46826</v>
      </c>
      <c r="E901">
        <v>150.44981364863128</v>
      </c>
      <c r="F901">
        <v>311.24</v>
      </c>
    </row>
    <row r="902" spans="1:6" x14ac:dyDescent="0.35">
      <c r="A902">
        <v>504</v>
      </c>
      <c r="B902" t="s">
        <v>100</v>
      </c>
      <c r="C902">
        <v>202602</v>
      </c>
      <c r="D902">
        <v>95075</v>
      </c>
      <c r="E902">
        <v>217.80715218437149</v>
      </c>
      <c r="F902">
        <v>436.51</v>
      </c>
    </row>
    <row r="903" spans="1:6" x14ac:dyDescent="0.35">
      <c r="A903">
        <v>505</v>
      </c>
      <c r="B903" t="s">
        <v>100</v>
      </c>
      <c r="C903">
        <v>202602</v>
      </c>
      <c r="D903">
        <v>41333</v>
      </c>
      <c r="E903">
        <v>111.05647804825622</v>
      </c>
      <c r="F903">
        <v>372.18</v>
      </c>
    </row>
    <row r="904" spans="1:6" x14ac:dyDescent="0.35">
      <c r="A904">
        <v>506</v>
      </c>
      <c r="B904" t="s">
        <v>100</v>
      </c>
      <c r="C904">
        <v>202602</v>
      </c>
      <c r="D904">
        <v>55697</v>
      </c>
      <c r="E904">
        <v>117.58111845299669</v>
      </c>
      <c r="F904">
        <v>473.69</v>
      </c>
    </row>
    <row r="905" spans="1:6" x14ac:dyDescent="0.35">
      <c r="A905">
        <v>508</v>
      </c>
      <c r="B905" t="s">
        <v>100</v>
      </c>
      <c r="C905">
        <v>202602</v>
      </c>
      <c r="D905">
        <v>28089</v>
      </c>
      <c r="E905">
        <v>69.406968124536689</v>
      </c>
      <c r="F905">
        <v>404.7</v>
      </c>
    </row>
    <row r="906" spans="1:6" x14ac:dyDescent="0.35">
      <c r="A906">
        <v>507</v>
      </c>
      <c r="B906" t="s">
        <v>100</v>
      </c>
      <c r="C906">
        <v>202602</v>
      </c>
      <c r="D906">
        <v>20718</v>
      </c>
      <c r="E906">
        <v>76.733333333333334</v>
      </c>
      <c r="F906">
        <v>270</v>
      </c>
    </row>
    <row r="907" spans="1:6" x14ac:dyDescent="0.35">
      <c r="A907">
        <v>520</v>
      </c>
      <c r="B907" t="s">
        <v>100</v>
      </c>
      <c r="C907">
        <v>202602</v>
      </c>
      <c r="D907">
        <v>929</v>
      </c>
      <c r="E907">
        <v>13.661764705882353</v>
      </c>
      <c r="F907">
        <v>68</v>
      </c>
    </row>
    <row r="908" spans="1:6" x14ac:dyDescent="0.35">
      <c r="A908">
        <v>521</v>
      </c>
      <c r="B908" t="s">
        <v>100</v>
      </c>
      <c r="C908">
        <v>202602</v>
      </c>
      <c r="D908">
        <v>6105</v>
      </c>
      <c r="E908">
        <v>52.629310344827587</v>
      </c>
      <c r="F908">
        <v>116</v>
      </c>
    </row>
    <row r="909" spans="1:6" x14ac:dyDescent="0.35">
      <c r="A909">
        <v>784</v>
      </c>
      <c r="B909" t="s">
        <v>100</v>
      </c>
      <c r="C909">
        <v>202602</v>
      </c>
      <c r="D909">
        <v>268</v>
      </c>
      <c r="E909">
        <v>0.79478054567022538</v>
      </c>
      <c r="F909">
        <v>337.2</v>
      </c>
    </row>
    <row r="910" spans="1:6" x14ac:dyDescent="0.35">
      <c r="A910">
        <v>785</v>
      </c>
      <c r="B910" t="s">
        <v>100</v>
      </c>
      <c r="C910">
        <v>202602</v>
      </c>
      <c r="D910">
        <v>282</v>
      </c>
      <c r="E910">
        <v>0.50160085378868724</v>
      </c>
      <c r="F910">
        <v>562.20000000000005</v>
      </c>
    </row>
    <row r="911" spans="1:6" x14ac:dyDescent="0.35">
      <c r="A911">
        <v>758</v>
      </c>
      <c r="B911" t="s">
        <v>100</v>
      </c>
      <c r="C911">
        <v>202602</v>
      </c>
      <c r="D911">
        <v>8102</v>
      </c>
      <c r="E911">
        <v>12.008833948448872</v>
      </c>
      <c r="F911">
        <v>674.67</v>
      </c>
    </row>
    <row r="912" spans="1:6" x14ac:dyDescent="0.35">
      <c r="A912">
        <v>757</v>
      </c>
      <c r="B912" t="s">
        <v>100</v>
      </c>
      <c r="C912">
        <v>202602</v>
      </c>
      <c r="D912">
        <v>20263</v>
      </c>
      <c r="E912">
        <v>40.955210607163067</v>
      </c>
      <c r="F912">
        <v>494.76</v>
      </c>
    </row>
    <row r="913" spans="1:6" x14ac:dyDescent="0.35">
      <c r="A913">
        <v>580</v>
      </c>
      <c r="B913" t="s">
        <v>100</v>
      </c>
      <c r="C913">
        <v>202602</v>
      </c>
      <c r="D913">
        <v>0</v>
      </c>
      <c r="E913">
        <v>0</v>
      </c>
      <c r="F913">
        <v>270.68</v>
      </c>
    </row>
    <row r="914" spans="1:6" x14ac:dyDescent="0.35">
      <c r="A914">
        <v>582</v>
      </c>
      <c r="B914" t="s">
        <v>100</v>
      </c>
      <c r="C914">
        <v>202602</v>
      </c>
      <c r="D914">
        <v>1744</v>
      </c>
      <c r="E914">
        <v>5.7988362427265168</v>
      </c>
      <c r="F914">
        <v>300.75</v>
      </c>
    </row>
    <row r="915" spans="1:6" x14ac:dyDescent="0.35">
      <c r="A915">
        <v>594</v>
      </c>
      <c r="B915" t="s">
        <v>100</v>
      </c>
      <c r="C915">
        <v>202602</v>
      </c>
      <c r="D915">
        <v>18674</v>
      </c>
      <c r="E915">
        <v>110.66074074074074</v>
      </c>
      <c r="F915">
        <v>168.75</v>
      </c>
    </row>
    <row r="916" spans="1:6" x14ac:dyDescent="0.35">
      <c r="A916">
        <v>595</v>
      </c>
      <c r="B916" t="s">
        <v>100</v>
      </c>
      <c r="C916">
        <v>202602</v>
      </c>
      <c r="D916">
        <v>29068</v>
      </c>
      <c r="E916">
        <v>387.57333333333332</v>
      </c>
      <c r="F916">
        <v>75</v>
      </c>
    </row>
    <row r="917" spans="1:6" x14ac:dyDescent="0.35">
      <c r="A917">
        <v>603</v>
      </c>
      <c r="B917" t="s">
        <v>100</v>
      </c>
      <c r="C917">
        <v>202602</v>
      </c>
      <c r="D917">
        <v>2457</v>
      </c>
      <c r="E917">
        <v>10.892888810072709</v>
      </c>
      <c r="F917">
        <v>225.56</v>
      </c>
    </row>
    <row r="918" spans="1:6" x14ac:dyDescent="0.35">
      <c r="A918">
        <v>606</v>
      </c>
      <c r="B918" t="s">
        <v>100</v>
      </c>
      <c r="C918">
        <v>202602</v>
      </c>
      <c r="D918">
        <v>3338</v>
      </c>
      <c r="E918">
        <v>12.722491138468575</v>
      </c>
      <c r="F918">
        <v>262.37</v>
      </c>
    </row>
    <row r="919" spans="1:6" x14ac:dyDescent="0.35">
      <c r="A919">
        <v>772</v>
      </c>
      <c r="B919" t="s">
        <v>100</v>
      </c>
      <c r="C919">
        <v>202602</v>
      </c>
      <c r="D919">
        <v>0</v>
      </c>
      <c r="E919">
        <v>0</v>
      </c>
      <c r="F919">
        <v>202.4</v>
      </c>
    </row>
    <row r="920" spans="1:6" x14ac:dyDescent="0.35">
      <c r="A920">
        <v>615</v>
      </c>
      <c r="B920" t="s">
        <v>100</v>
      </c>
      <c r="C920">
        <v>202602</v>
      </c>
      <c r="D920">
        <v>3440</v>
      </c>
      <c r="E920">
        <v>12.708733559923155</v>
      </c>
      <c r="F920">
        <v>270.68</v>
      </c>
    </row>
    <row r="921" spans="1:6" x14ac:dyDescent="0.35">
      <c r="A921">
        <v>617</v>
      </c>
      <c r="B921" t="s">
        <v>100</v>
      </c>
      <c r="C921">
        <v>202602</v>
      </c>
      <c r="D921">
        <v>802</v>
      </c>
      <c r="E921">
        <v>1.7822222222222222</v>
      </c>
      <c r="F921">
        <v>450</v>
      </c>
    </row>
    <row r="922" spans="1:6" x14ac:dyDescent="0.35">
      <c r="A922">
        <v>751</v>
      </c>
      <c r="B922" t="s">
        <v>100</v>
      </c>
      <c r="C922">
        <v>202602</v>
      </c>
      <c r="D922">
        <v>572</v>
      </c>
      <c r="E922">
        <v>2.8175951923550566</v>
      </c>
      <c r="F922">
        <v>203.01</v>
      </c>
    </row>
    <row r="923" spans="1:6" x14ac:dyDescent="0.35">
      <c r="A923">
        <v>752</v>
      </c>
      <c r="B923" t="s">
        <v>100</v>
      </c>
      <c r="C923">
        <v>202602</v>
      </c>
      <c r="D923">
        <v>2418</v>
      </c>
      <c r="E923">
        <v>6.9912681431793207</v>
      </c>
      <c r="F923">
        <v>345.86</v>
      </c>
    </row>
    <row r="924" spans="1:6" x14ac:dyDescent="0.35">
      <c r="A924">
        <v>753</v>
      </c>
      <c r="B924" t="s">
        <v>100</v>
      </c>
      <c r="C924">
        <v>202602</v>
      </c>
      <c r="D924">
        <v>4527</v>
      </c>
      <c r="E924">
        <v>9.26297266328368</v>
      </c>
      <c r="F924">
        <v>488.72</v>
      </c>
    </row>
    <row r="925" spans="1:6" x14ac:dyDescent="0.35">
      <c r="A925">
        <v>754</v>
      </c>
      <c r="B925" t="s">
        <v>100</v>
      </c>
      <c r="C925">
        <v>202602</v>
      </c>
      <c r="D925">
        <v>744</v>
      </c>
      <c r="E925">
        <v>1.2368871672956394</v>
      </c>
      <c r="F925">
        <v>601.51</v>
      </c>
    </row>
    <row r="926" spans="1:6" x14ac:dyDescent="0.35">
      <c r="A926">
        <v>614</v>
      </c>
      <c r="B926" t="s">
        <v>100</v>
      </c>
      <c r="C926">
        <v>202602</v>
      </c>
      <c r="D926">
        <v>13087</v>
      </c>
      <c r="E926">
        <v>23.278192813945214</v>
      </c>
      <c r="F926">
        <v>562.20000000000005</v>
      </c>
    </row>
    <row r="927" spans="1:6" x14ac:dyDescent="0.35">
      <c r="A927">
        <v>797</v>
      </c>
      <c r="B927" t="s">
        <v>100</v>
      </c>
      <c r="C927">
        <v>202602</v>
      </c>
      <c r="D927">
        <v>973</v>
      </c>
      <c r="E927">
        <v>2.1631836371720765</v>
      </c>
      <c r="F927">
        <v>449.8</v>
      </c>
    </row>
    <row r="928" spans="1:6" x14ac:dyDescent="0.35">
      <c r="A928">
        <v>613</v>
      </c>
      <c r="B928" t="s">
        <v>100</v>
      </c>
      <c r="C928">
        <v>202602</v>
      </c>
      <c r="D928">
        <v>6277</v>
      </c>
      <c r="E928">
        <v>21.459829059829058</v>
      </c>
      <c r="F928">
        <v>292.5</v>
      </c>
    </row>
    <row r="929" spans="1:6" x14ac:dyDescent="0.35">
      <c r="A929">
        <v>767</v>
      </c>
      <c r="B929" t="s">
        <v>100</v>
      </c>
      <c r="C929">
        <v>202602</v>
      </c>
      <c r="D929">
        <v>4349</v>
      </c>
      <c r="E929">
        <v>7.250750250083362</v>
      </c>
      <c r="F929">
        <v>599.79999999999995</v>
      </c>
    </row>
    <row r="930" spans="1:6" x14ac:dyDescent="0.35">
      <c r="A930">
        <v>807</v>
      </c>
      <c r="B930" t="s">
        <v>100</v>
      </c>
      <c r="C930">
        <v>202602</v>
      </c>
      <c r="D930">
        <v>190</v>
      </c>
      <c r="E930">
        <v>0.95</v>
      </c>
      <c r="F930">
        <v>200</v>
      </c>
    </row>
    <row r="931" spans="1:6" x14ac:dyDescent="0.35">
      <c r="A931">
        <v>808</v>
      </c>
      <c r="B931" t="s">
        <v>100</v>
      </c>
      <c r="C931">
        <v>202602</v>
      </c>
      <c r="D931">
        <v>382</v>
      </c>
      <c r="E931">
        <v>1.2960575422406189</v>
      </c>
      <c r="F931">
        <v>294.74</v>
      </c>
    </row>
    <row r="932" spans="1:6" x14ac:dyDescent="0.35">
      <c r="A932">
        <v>502</v>
      </c>
      <c r="B932" t="s">
        <v>101</v>
      </c>
      <c r="C932">
        <v>202602</v>
      </c>
      <c r="D932">
        <v>44237</v>
      </c>
      <c r="E932">
        <v>142.13147410358565</v>
      </c>
      <c r="F932">
        <v>311.24</v>
      </c>
    </row>
    <row r="933" spans="1:6" x14ac:dyDescent="0.35">
      <c r="A933">
        <v>504</v>
      </c>
      <c r="B933" t="s">
        <v>101</v>
      </c>
      <c r="C933">
        <v>202602</v>
      </c>
      <c r="D933">
        <v>105457</v>
      </c>
      <c r="E933">
        <v>241.59125793223524</v>
      </c>
      <c r="F933">
        <v>436.51</v>
      </c>
    </row>
    <row r="934" spans="1:6" x14ac:dyDescent="0.35">
      <c r="A934">
        <v>505</v>
      </c>
      <c r="B934" t="s">
        <v>101</v>
      </c>
      <c r="C934">
        <v>202602</v>
      </c>
      <c r="D934">
        <v>58254</v>
      </c>
      <c r="E934">
        <v>156.52103820731904</v>
      </c>
      <c r="F934">
        <v>372.18</v>
      </c>
    </row>
    <row r="935" spans="1:6" x14ac:dyDescent="0.35">
      <c r="A935">
        <v>506</v>
      </c>
      <c r="B935" t="s">
        <v>101</v>
      </c>
      <c r="C935">
        <v>202602</v>
      </c>
      <c r="D935">
        <v>56041</v>
      </c>
      <c r="E935">
        <v>118.307331799278</v>
      </c>
      <c r="F935">
        <v>473.69</v>
      </c>
    </row>
    <row r="936" spans="1:6" x14ac:dyDescent="0.35">
      <c r="A936">
        <v>508</v>
      </c>
      <c r="B936" t="s">
        <v>101</v>
      </c>
      <c r="C936">
        <v>202602</v>
      </c>
      <c r="D936">
        <v>52279</v>
      </c>
      <c r="E936">
        <v>129.17963923894243</v>
      </c>
      <c r="F936">
        <v>404.7</v>
      </c>
    </row>
    <row r="937" spans="1:6" x14ac:dyDescent="0.35">
      <c r="A937">
        <v>507</v>
      </c>
      <c r="B937" t="s">
        <v>101</v>
      </c>
      <c r="C937">
        <v>202602</v>
      </c>
      <c r="D937">
        <v>36185</v>
      </c>
      <c r="E937">
        <v>134.0185185185185</v>
      </c>
      <c r="F937">
        <v>270</v>
      </c>
    </row>
    <row r="938" spans="1:6" x14ac:dyDescent="0.35">
      <c r="A938">
        <v>520</v>
      </c>
      <c r="B938" t="s">
        <v>101</v>
      </c>
      <c r="C938">
        <v>202602</v>
      </c>
      <c r="D938">
        <v>454</v>
      </c>
      <c r="E938">
        <v>6.6764705882352944</v>
      </c>
      <c r="F938">
        <v>68</v>
      </c>
    </row>
    <row r="939" spans="1:6" x14ac:dyDescent="0.35">
      <c r="A939">
        <v>521</v>
      </c>
      <c r="B939" t="s">
        <v>101</v>
      </c>
      <c r="C939">
        <v>202602</v>
      </c>
      <c r="D939">
        <v>3922</v>
      </c>
      <c r="E939">
        <v>33.810344827586206</v>
      </c>
      <c r="F939">
        <v>116</v>
      </c>
    </row>
    <row r="940" spans="1:6" x14ac:dyDescent="0.35">
      <c r="A940">
        <v>784</v>
      </c>
      <c r="B940" t="s">
        <v>101</v>
      </c>
      <c r="C940">
        <v>202602</v>
      </c>
      <c r="D940">
        <v>690</v>
      </c>
      <c r="E940">
        <v>2.0462633451957295</v>
      </c>
      <c r="F940">
        <v>337.2</v>
      </c>
    </row>
    <row r="941" spans="1:6" x14ac:dyDescent="0.35">
      <c r="A941">
        <v>785</v>
      </c>
      <c r="B941" t="s">
        <v>101</v>
      </c>
      <c r="C941">
        <v>202602</v>
      </c>
      <c r="D941">
        <v>312</v>
      </c>
      <c r="E941">
        <v>0.55496264674493057</v>
      </c>
      <c r="F941">
        <v>562.20000000000005</v>
      </c>
    </row>
    <row r="942" spans="1:6" x14ac:dyDescent="0.35">
      <c r="A942">
        <v>758</v>
      </c>
      <c r="B942" t="s">
        <v>101</v>
      </c>
      <c r="C942">
        <v>202602</v>
      </c>
      <c r="D942">
        <v>9523</v>
      </c>
      <c r="E942">
        <v>14.115048838691509</v>
      </c>
      <c r="F942">
        <v>674.67</v>
      </c>
    </row>
    <row r="943" spans="1:6" x14ac:dyDescent="0.35">
      <c r="A943">
        <v>757</v>
      </c>
      <c r="B943" t="s">
        <v>101</v>
      </c>
      <c r="C943">
        <v>202602</v>
      </c>
      <c r="D943">
        <v>18746</v>
      </c>
      <c r="E943">
        <v>37.88907753254103</v>
      </c>
      <c r="F943">
        <v>494.76</v>
      </c>
    </row>
    <row r="944" spans="1:6" x14ac:dyDescent="0.35">
      <c r="A944">
        <v>580</v>
      </c>
      <c r="B944" t="s">
        <v>101</v>
      </c>
      <c r="C944">
        <v>202602</v>
      </c>
      <c r="D944">
        <v>0</v>
      </c>
      <c r="E944">
        <v>0</v>
      </c>
      <c r="F944">
        <v>270.68</v>
      </c>
    </row>
    <row r="945" spans="1:6" x14ac:dyDescent="0.35">
      <c r="A945">
        <v>582</v>
      </c>
      <c r="B945" t="s">
        <v>101</v>
      </c>
      <c r="C945">
        <v>202602</v>
      </c>
      <c r="D945">
        <v>2683</v>
      </c>
      <c r="E945">
        <v>8.921030756442228</v>
      </c>
      <c r="F945">
        <v>300.75</v>
      </c>
    </row>
    <row r="946" spans="1:6" x14ac:dyDescent="0.35">
      <c r="A946">
        <v>594</v>
      </c>
      <c r="B946" t="s">
        <v>101</v>
      </c>
      <c r="C946">
        <v>202602</v>
      </c>
      <c r="D946">
        <v>12002</v>
      </c>
      <c r="E946">
        <v>71.122962962962958</v>
      </c>
      <c r="F946">
        <v>168.75</v>
      </c>
    </row>
    <row r="947" spans="1:6" x14ac:dyDescent="0.35">
      <c r="A947">
        <v>595</v>
      </c>
      <c r="B947" t="s">
        <v>101</v>
      </c>
      <c r="C947">
        <v>202602</v>
      </c>
      <c r="D947">
        <v>19499</v>
      </c>
      <c r="E947">
        <v>259.98666666666668</v>
      </c>
      <c r="F947">
        <v>75</v>
      </c>
    </row>
    <row r="948" spans="1:6" x14ac:dyDescent="0.35">
      <c r="A948">
        <v>603</v>
      </c>
      <c r="B948" t="s">
        <v>101</v>
      </c>
      <c r="C948">
        <v>202602</v>
      </c>
      <c r="D948">
        <v>2469</v>
      </c>
      <c r="E948">
        <v>10.946089732222026</v>
      </c>
      <c r="F948">
        <v>225.56</v>
      </c>
    </row>
    <row r="949" spans="1:6" x14ac:dyDescent="0.35">
      <c r="A949">
        <v>606</v>
      </c>
      <c r="B949" t="s">
        <v>101</v>
      </c>
      <c r="C949">
        <v>202602</v>
      </c>
      <c r="D949">
        <v>2576</v>
      </c>
      <c r="E949">
        <v>9.8181956778595119</v>
      </c>
      <c r="F949">
        <v>262.37</v>
      </c>
    </row>
    <row r="950" spans="1:6" x14ac:dyDescent="0.35">
      <c r="A950">
        <v>772</v>
      </c>
      <c r="B950" t="s">
        <v>101</v>
      </c>
      <c r="C950">
        <v>202602</v>
      </c>
      <c r="D950">
        <v>440</v>
      </c>
      <c r="E950">
        <v>2.1739130434782608</v>
      </c>
      <c r="F950">
        <v>202.4</v>
      </c>
    </row>
    <row r="951" spans="1:6" x14ac:dyDescent="0.35">
      <c r="A951">
        <v>615</v>
      </c>
      <c r="B951" t="s">
        <v>101</v>
      </c>
      <c r="C951">
        <v>202602</v>
      </c>
      <c r="D951">
        <v>3428</v>
      </c>
      <c r="E951">
        <v>12.664400768435053</v>
      </c>
      <c r="F951">
        <v>270.68</v>
      </c>
    </row>
    <row r="952" spans="1:6" x14ac:dyDescent="0.35">
      <c r="A952">
        <v>617</v>
      </c>
      <c r="B952" t="s">
        <v>101</v>
      </c>
      <c r="C952">
        <v>202602</v>
      </c>
      <c r="D952">
        <v>1325</v>
      </c>
      <c r="E952">
        <v>2.9444444444444446</v>
      </c>
      <c r="F952">
        <v>450</v>
      </c>
    </row>
    <row r="953" spans="1:6" x14ac:dyDescent="0.35">
      <c r="A953">
        <v>751</v>
      </c>
      <c r="B953" t="s">
        <v>101</v>
      </c>
      <c r="C953">
        <v>202602</v>
      </c>
      <c r="D953">
        <v>645</v>
      </c>
      <c r="E953">
        <v>3.1771833899807893</v>
      </c>
      <c r="F953">
        <v>203.01</v>
      </c>
    </row>
    <row r="954" spans="1:6" x14ac:dyDescent="0.35">
      <c r="A954">
        <v>752</v>
      </c>
      <c r="B954" t="s">
        <v>101</v>
      </c>
      <c r="C954">
        <v>202602</v>
      </c>
      <c r="D954">
        <v>3290</v>
      </c>
      <c r="E954">
        <v>9.5125195165673961</v>
      </c>
      <c r="F954">
        <v>345.86</v>
      </c>
    </row>
    <row r="955" spans="1:6" x14ac:dyDescent="0.35">
      <c r="A955">
        <v>753</v>
      </c>
      <c r="B955" t="s">
        <v>101</v>
      </c>
      <c r="C955">
        <v>202602</v>
      </c>
      <c r="D955">
        <v>5342</v>
      </c>
      <c r="E955">
        <v>10.930594205270911</v>
      </c>
      <c r="F955">
        <v>488.72</v>
      </c>
    </row>
    <row r="956" spans="1:6" x14ac:dyDescent="0.35">
      <c r="A956">
        <v>754</v>
      </c>
      <c r="B956" t="s">
        <v>101</v>
      </c>
      <c r="C956">
        <v>202602</v>
      </c>
      <c r="D956">
        <v>837</v>
      </c>
      <c r="E956">
        <v>1.3914980632075942</v>
      </c>
      <c r="F956">
        <v>601.51</v>
      </c>
    </row>
    <row r="957" spans="1:6" x14ac:dyDescent="0.35">
      <c r="A957">
        <v>614</v>
      </c>
      <c r="B957" t="s">
        <v>101</v>
      </c>
      <c r="C957">
        <v>202602</v>
      </c>
      <c r="D957">
        <v>15651</v>
      </c>
      <c r="E957">
        <v>27.838847385272143</v>
      </c>
      <c r="F957">
        <v>562.20000000000005</v>
      </c>
    </row>
    <row r="958" spans="1:6" x14ac:dyDescent="0.35">
      <c r="A958">
        <v>797</v>
      </c>
      <c r="B958" t="s">
        <v>101</v>
      </c>
      <c r="C958">
        <v>202602</v>
      </c>
      <c r="D958">
        <v>454</v>
      </c>
      <c r="E958">
        <v>1.0093374833259225</v>
      </c>
      <c r="F958">
        <v>449.8</v>
      </c>
    </row>
    <row r="959" spans="1:6" x14ac:dyDescent="0.35">
      <c r="A959">
        <v>613</v>
      </c>
      <c r="B959" t="s">
        <v>101</v>
      </c>
      <c r="C959">
        <v>202602</v>
      </c>
      <c r="D959">
        <v>7392</v>
      </c>
      <c r="E959">
        <v>25.271794871794871</v>
      </c>
      <c r="F959">
        <v>292.5</v>
      </c>
    </row>
    <row r="960" spans="1:6" x14ac:dyDescent="0.35">
      <c r="A960">
        <v>767</v>
      </c>
      <c r="B960" t="s">
        <v>101</v>
      </c>
      <c r="C960">
        <v>202602</v>
      </c>
      <c r="D960">
        <v>6139</v>
      </c>
      <c r="E960">
        <v>10.235078359453151</v>
      </c>
      <c r="F960">
        <v>599.79999999999995</v>
      </c>
    </row>
    <row r="961" spans="1:6" x14ac:dyDescent="0.35">
      <c r="A961">
        <v>807</v>
      </c>
      <c r="B961" t="s">
        <v>101</v>
      </c>
      <c r="C961">
        <v>202602</v>
      </c>
      <c r="D961">
        <v>558</v>
      </c>
      <c r="E961">
        <v>2.79</v>
      </c>
      <c r="F961">
        <v>200</v>
      </c>
    </row>
    <row r="962" spans="1:6" x14ac:dyDescent="0.35">
      <c r="A962">
        <v>808</v>
      </c>
      <c r="B962" t="s">
        <v>101</v>
      </c>
      <c r="C962">
        <v>202602</v>
      </c>
      <c r="D962">
        <v>822</v>
      </c>
      <c r="E962">
        <v>2.7888986903711745</v>
      </c>
      <c r="F962">
        <v>294.74</v>
      </c>
    </row>
    <row r="963" spans="1:6" x14ac:dyDescent="0.35">
      <c r="A963">
        <v>502</v>
      </c>
      <c r="B963" t="s">
        <v>102</v>
      </c>
      <c r="C963">
        <v>202602</v>
      </c>
      <c r="D963">
        <v>72170</v>
      </c>
      <c r="E963">
        <v>231.8789358694255</v>
      </c>
      <c r="F963">
        <v>311.24</v>
      </c>
    </row>
    <row r="964" spans="1:6" x14ac:dyDescent="0.35">
      <c r="A964">
        <v>504</v>
      </c>
      <c r="B964" t="s">
        <v>102</v>
      </c>
      <c r="C964">
        <v>202602</v>
      </c>
      <c r="D964">
        <v>150334</v>
      </c>
      <c r="E964">
        <v>344.39989920047651</v>
      </c>
      <c r="F964">
        <v>436.51</v>
      </c>
    </row>
    <row r="965" spans="1:6" x14ac:dyDescent="0.35">
      <c r="A965">
        <v>505</v>
      </c>
      <c r="B965" t="s">
        <v>102</v>
      </c>
      <c r="C965">
        <v>202602</v>
      </c>
      <c r="D965">
        <v>68329</v>
      </c>
      <c r="E965">
        <v>183.5912730399269</v>
      </c>
      <c r="F965">
        <v>372.18</v>
      </c>
    </row>
    <row r="966" spans="1:6" x14ac:dyDescent="0.35">
      <c r="A966">
        <v>506</v>
      </c>
      <c r="B966" t="s">
        <v>102</v>
      </c>
      <c r="C966">
        <v>202602</v>
      </c>
      <c r="D966">
        <v>67393</v>
      </c>
      <c r="E966">
        <v>142.27237222656169</v>
      </c>
      <c r="F966">
        <v>473.69</v>
      </c>
    </row>
    <row r="967" spans="1:6" x14ac:dyDescent="0.35">
      <c r="A967">
        <v>508</v>
      </c>
      <c r="B967" t="s">
        <v>102</v>
      </c>
      <c r="C967">
        <v>202602</v>
      </c>
      <c r="D967">
        <v>90518</v>
      </c>
      <c r="E967">
        <v>223.66691376328146</v>
      </c>
      <c r="F967">
        <v>404.7</v>
      </c>
    </row>
    <row r="968" spans="1:6" x14ac:dyDescent="0.35">
      <c r="A968">
        <v>507</v>
      </c>
      <c r="B968" t="s">
        <v>102</v>
      </c>
      <c r="C968">
        <v>202602</v>
      </c>
      <c r="D968">
        <v>66204</v>
      </c>
      <c r="E968">
        <v>245.2</v>
      </c>
      <c r="F968">
        <v>270</v>
      </c>
    </row>
    <row r="969" spans="1:6" x14ac:dyDescent="0.35">
      <c r="A969">
        <v>520</v>
      </c>
      <c r="B969" t="s">
        <v>102</v>
      </c>
      <c r="C969">
        <v>202602</v>
      </c>
      <c r="D969">
        <v>683</v>
      </c>
      <c r="E969">
        <v>10.044117647058824</v>
      </c>
      <c r="F969">
        <v>68</v>
      </c>
    </row>
    <row r="970" spans="1:6" x14ac:dyDescent="0.35">
      <c r="A970">
        <v>521</v>
      </c>
      <c r="B970" t="s">
        <v>102</v>
      </c>
      <c r="C970">
        <v>202602</v>
      </c>
      <c r="D970">
        <v>7901</v>
      </c>
      <c r="E970">
        <v>68.112068965517238</v>
      </c>
      <c r="F970">
        <v>116</v>
      </c>
    </row>
    <row r="971" spans="1:6" x14ac:dyDescent="0.35">
      <c r="A971">
        <v>784</v>
      </c>
      <c r="B971" t="s">
        <v>102</v>
      </c>
      <c r="C971">
        <v>202602</v>
      </c>
      <c r="D971">
        <v>679</v>
      </c>
      <c r="E971">
        <v>2.0136417556346382</v>
      </c>
      <c r="F971">
        <v>337.2</v>
      </c>
    </row>
    <row r="972" spans="1:6" x14ac:dyDescent="0.35">
      <c r="A972">
        <v>785</v>
      </c>
      <c r="B972" t="s">
        <v>102</v>
      </c>
      <c r="C972">
        <v>202602</v>
      </c>
      <c r="D972">
        <v>1129</v>
      </c>
      <c r="E972">
        <v>2.0081821415866239</v>
      </c>
      <c r="F972">
        <v>562.20000000000005</v>
      </c>
    </row>
    <row r="973" spans="1:6" x14ac:dyDescent="0.35">
      <c r="A973">
        <v>758</v>
      </c>
      <c r="B973" t="s">
        <v>102</v>
      </c>
      <c r="C973">
        <v>202602</v>
      </c>
      <c r="D973">
        <v>17959</v>
      </c>
      <c r="E973">
        <v>26.618939629744915</v>
      </c>
      <c r="F973">
        <v>674.67</v>
      </c>
    </row>
    <row r="974" spans="1:6" x14ac:dyDescent="0.35">
      <c r="A974">
        <v>757</v>
      </c>
      <c r="B974" t="s">
        <v>102</v>
      </c>
      <c r="C974">
        <v>202602</v>
      </c>
      <c r="D974">
        <v>51516</v>
      </c>
      <c r="E974">
        <v>104.12321125394131</v>
      </c>
      <c r="F974">
        <v>494.76</v>
      </c>
    </row>
    <row r="975" spans="1:6" x14ac:dyDescent="0.35">
      <c r="A975">
        <v>580</v>
      </c>
      <c r="B975" t="s">
        <v>102</v>
      </c>
      <c r="C975">
        <v>202602</v>
      </c>
      <c r="D975">
        <v>1057</v>
      </c>
      <c r="E975">
        <v>3.9049800502438301</v>
      </c>
      <c r="F975">
        <v>270.68</v>
      </c>
    </row>
    <row r="976" spans="1:6" x14ac:dyDescent="0.35">
      <c r="A976">
        <v>582</v>
      </c>
      <c r="B976" t="s">
        <v>102</v>
      </c>
      <c r="C976">
        <v>202602</v>
      </c>
      <c r="D976">
        <v>1675</v>
      </c>
      <c r="E976">
        <v>5.5694098088113053</v>
      </c>
      <c r="F976">
        <v>300.75</v>
      </c>
    </row>
    <row r="977" spans="1:6" x14ac:dyDescent="0.35">
      <c r="A977">
        <v>594</v>
      </c>
      <c r="B977" t="s">
        <v>102</v>
      </c>
      <c r="C977">
        <v>202602</v>
      </c>
      <c r="D977">
        <v>31499</v>
      </c>
      <c r="E977">
        <v>186.66074074074075</v>
      </c>
      <c r="F977">
        <v>168.75</v>
      </c>
    </row>
    <row r="978" spans="1:6" x14ac:dyDescent="0.35">
      <c r="A978">
        <v>595</v>
      </c>
      <c r="B978" t="s">
        <v>102</v>
      </c>
      <c r="C978">
        <v>202602</v>
      </c>
      <c r="D978">
        <v>39897</v>
      </c>
      <c r="E978">
        <v>531.96</v>
      </c>
      <c r="F978">
        <v>75</v>
      </c>
    </row>
    <row r="979" spans="1:6" x14ac:dyDescent="0.35">
      <c r="A979">
        <v>603</v>
      </c>
      <c r="B979" t="s">
        <v>102</v>
      </c>
      <c r="C979">
        <v>202602</v>
      </c>
      <c r="D979">
        <v>3632</v>
      </c>
      <c r="E979">
        <v>16.10214577052669</v>
      </c>
      <c r="F979">
        <v>225.56</v>
      </c>
    </row>
    <row r="980" spans="1:6" x14ac:dyDescent="0.35">
      <c r="A980">
        <v>606</v>
      </c>
      <c r="B980" t="s">
        <v>102</v>
      </c>
      <c r="C980">
        <v>202602</v>
      </c>
      <c r="D980">
        <v>3739</v>
      </c>
      <c r="E980">
        <v>14.250867096085681</v>
      </c>
      <c r="F980">
        <v>262.37</v>
      </c>
    </row>
    <row r="981" spans="1:6" x14ac:dyDescent="0.35">
      <c r="A981">
        <v>772</v>
      </c>
      <c r="B981" t="s">
        <v>102</v>
      </c>
      <c r="C981">
        <v>202602</v>
      </c>
      <c r="D981">
        <v>510</v>
      </c>
      <c r="E981">
        <v>2.5197628458498023</v>
      </c>
      <c r="F981">
        <v>202.4</v>
      </c>
    </row>
    <row r="982" spans="1:6" x14ac:dyDescent="0.35">
      <c r="A982">
        <v>615</v>
      </c>
      <c r="B982" t="s">
        <v>102</v>
      </c>
      <c r="C982">
        <v>202602</v>
      </c>
      <c r="D982">
        <v>8904</v>
      </c>
      <c r="E982">
        <v>32.89493128417319</v>
      </c>
      <c r="F982">
        <v>270.68</v>
      </c>
    </row>
    <row r="983" spans="1:6" x14ac:dyDescent="0.35">
      <c r="A983">
        <v>617</v>
      </c>
      <c r="B983" t="s">
        <v>102</v>
      </c>
      <c r="C983">
        <v>202602</v>
      </c>
      <c r="D983">
        <v>3381</v>
      </c>
      <c r="E983">
        <v>7.5133333333333336</v>
      </c>
      <c r="F983">
        <v>450</v>
      </c>
    </row>
    <row r="984" spans="1:6" x14ac:dyDescent="0.35">
      <c r="A984">
        <v>751</v>
      </c>
      <c r="B984" t="s">
        <v>102</v>
      </c>
      <c r="C984">
        <v>202602</v>
      </c>
      <c r="D984">
        <v>1667</v>
      </c>
      <c r="E984">
        <v>8.2114181567410469</v>
      </c>
      <c r="F984">
        <v>203.01</v>
      </c>
    </row>
    <row r="985" spans="1:6" x14ac:dyDescent="0.35">
      <c r="A985">
        <v>752</v>
      </c>
      <c r="B985" t="s">
        <v>102</v>
      </c>
      <c r="C985">
        <v>202602</v>
      </c>
      <c r="D985">
        <v>8040</v>
      </c>
      <c r="E985">
        <v>23.246400277568959</v>
      </c>
      <c r="F985">
        <v>345.86</v>
      </c>
    </row>
    <row r="986" spans="1:6" x14ac:dyDescent="0.35">
      <c r="A986">
        <v>753</v>
      </c>
      <c r="B986" t="s">
        <v>102</v>
      </c>
      <c r="C986">
        <v>202602</v>
      </c>
      <c r="D986">
        <v>21056</v>
      </c>
      <c r="E986">
        <v>43.083974463905712</v>
      </c>
      <c r="F986">
        <v>488.72</v>
      </c>
    </row>
    <row r="987" spans="1:6" x14ac:dyDescent="0.35">
      <c r="A987">
        <v>754</v>
      </c>
      <c r="B987" t="s">
        <v>102</v>
      </c>
      <c r="C987">
        <v>202602</v>
      </c>
      <c r="D987">
        <v>1387</v>
      </c>
      <c r="E987">
        <v>2.3058635766653923</v>
      </c>
      <c r="F987">
        <v>601.51</v>
      </c>
    </row>
    <row r="988" spans="1:6" x14ac:dyDescent="0.35">
      <c r="A988">
        <v>614</v>
      </c>
      <c r="B988" t="s">
        <v>102</v>
      </c>
      <c r="C988">
        <v>202602</v>
      </c>
      <c r="D988">
        <v>26533</v>
      </c>
      <c r="E988">
        <v>47.194948416933471</v>
      </c>
      <c r="F988">
        <v>562.20000000000005</v>
      </c>
    </row>
    <row r="989" spans="1:6" x14ac:dyDescent="0.35">
      <c r="A989">
        <v>797</v>
      </c>
      <c r="B989" t="s">
        <v>102</v>
      </c>
      <c r="C989">
        <v>202602</v>
      </c>
      <c r="D989">
        <v>1761</v>
      </c>
      <c r="E989">
        <v>3.915073365940418</v>
      </c>
      <c r="F989">
        <v>449.8</v>
      </c>
    </row>
    <row r="990" spans="1:6" x14ac:dyDescent="0.35">
      <c r="A990">
        <v>613</v>
      </c>
      <c r="B990" t="s">
        <v>102</v>
      </c>
      <c r="C990">
        <v>202602</v>
      </c>
      <c r="D990">
        <v>11092</v>
      </c>
      <c r="E990">
        <v>37.921367521367522</v>
      </c>
      <c r="F990">
        <v>292.5</v>
      </c>
    </row>
    <row r="991" spans="1:6" x14ac:dyDescent="0.35">
      <c r="A991">
        <v>767</v>
      </c>
      <c r="B991" t="s">
        <v>102</v>
      </c>
      <c r="C991">
        <v>202602</v>
      </c>
      <c r="D991">
        <v>8844</v>
      </c>
      <c r="E991">
        <v>14.74491497165722</v>
      </c>
      <c r="F991">
        <v>599.79999999999995</v>
      </c>
    </row>
    <row r="992" spans="1:6" x14ac:dyDescent="0.35">
      <c r="A992">
        <v>807</v>
      </c>
      <c r="B992" t="s">
        <v>102</v>
      </c>
      <c r="C992">
        <v>202602</v>
      </c>
      <c r="D992">
        <v>935</v>
      </c>
      <c r="E992">
        <v>4.6749999999999998</v>
      </c>
      <c r="F992">
        <v>200</v>
      </c>
    </row>
    <row r="993" spans="1:6" x14ac:dyDescent="0.35">
      <c r="A993">
        <v>808</v>
      </c>
      <c r="B993" t="s">
        <v>102</v>
      </c>
      <c r="C993">
        <v>202602</v>
      </c>
      <c r="D993">
        <v>1484</v>
      </c>
      <c r="E993">
        <v>5.0349460541494198</v>
      </c>
      <c r="F993">
        <v>294.74</v>
      </c>
    </row>
    <row r="994" spans="1:6" x14ac:dyDescent="0.35">
      <c r="A994">
        <v>502</v>
      </c>
      <c r="B994" t="s">
        <v>103</v>
      </c>
      <c r="C994">
        <v>202602</v>
      </c>
      <c r="D994">
        <v>61724</v>
      </c>
      <c r="E994">
        <v>198.31641177226578</v>
      </c>
      <c r="F994">
        <v>311.24</v>
      </c>
    </row>
    <row r="995" spans="1:6" x14ac:dyDescent="0.35">
      <c r="A995">
        <v>504</v>
      </c>
      <c r="B995" t="s">
        <v>103</v>
      </c>
      <c r="C995">
        <v>202602</v>
      </c>
      <c r="D995">
        <v>128838</v>
      </c>
      <c r="E995">
        <v>295.1547501775446</v>
      </c>
      <c r="F995">
        <v>436.51</v>
      </c>
    </row>
    <row r="996" spans="1:6" x14ac:dyDescent="0.35">
      <c r="A996">
        <v>505</v>
      </c>
      <c r="B996" t="s">
        <v>103</v>
      </c>
      <c r="C996">
        <v>202602</v>
      </c>
      <c r="D996">
        <v>59040</v>
      </c>
      <c r="E996">
        <v>158.632919555054</v>
      </c>
      <c r="F996">
        <v>372.18</v>
      </c>
    </row>
    <row r="997" spans="1:6" x14ac:dyDescent="0.35">
      <c r="A997">
        <v>506</v>
      </c>
      <c r="B997" t="s">
        <v>103</v>
      </c>
      <c r="C997">
        <v>202602</v>
      </c>
      <c r="D997">
        <v>60652</v>
      </c>
      <c r="E997">
        <v>128.04154615888029</v>
      </c>
      <c r="F997">
        <v>473.69</v>
      </c>
    </row>
    <row r="998" spans="1:6" x14ac:dyDescent="0.35">
      <c r="A998">
        <v>508</v>
      </c>
      <c r="B998" t="s">
        <v>103</v>
      </c>
      <c r="C998">
        <v>202602</v>
      </c>
      <c r="D998">
        <v>74616</v>
      </c>
      <c r="E998">
        <v>184.3736100815419</v>
      </c>
      <c r="F998">
        <v>404.7</v>
      </c>
    </row>
    <row r="999" spans="1:6" x14ac:dyDescent="0.35">
      <c r="A999">
        <v>507</v>
      </c>
      <c r="B999" t="s">
        <v>103</v>
      </c>
      <c r="C999">
        <v>202602</v>
      </c>
      <c r="D999">
        <v>52618</v>
      </c>
      <c r="E999">
        <v>194.88148148148147</v>
      </c>
      <c r="F999">
        <v>270</v>
      </c>
    </row>
    <row r="1000" spans="1:6" x14ac:dyDescent="0.35">
      <c r="A1000">
        <v>520</v>
      </c>
      <c r="B1000" t="s">
        <v>103</v>
      </c>
      <c r="C1000">
        <v>202602</v>
      </c>
      <c r="D1000">
        <v>625</v>
      </c>
      <c r="E1000">
        <v>9.1911764705882355</v>
      </c>
      <c r="F1000">
        <v>68</v>
      </c>
    </row>
    <row r="1001" spans="1:6" x14ac:dyDescent="0.35">
      <c r="A1001">
        <v>521</v>
      </c>
      <c r="B1001" t="s">
        <v>103</v>
      </c>
      <c r="C1001">
        <v>202602</v>
      </c>
      <c r="D1001">
        <v>6505</v>
      </c>
      <c r="E1001">
        <v>56.077586206896555</v>
      </c>
      <c r="F1001">
        <v>116</v>
      </c>
    </row>
    <row r="1002" spans="1:6" x14ac:dyDescent="0.35">
      <c r="A1002">
        <v>784</v>
      </c>
      <c r="B1002" t="s">
        <v>103</v>
      </c>
      <c r="C1002">
        <v>202602</v>
      </c>
      <c r="D1002">
        <v>1017</v>
      </c>
      <c r="E1002">
        <v>3.0160142348754451</v>
      </c>
      <c r="F1002">
        <v>337.2</v>
      </c>
    </row>
    <row r="1003" spans="1:6" x14ac:dyDescent="0.35">
      <c r="A1003">
        <v>785</v>
      </c>
      <c r="B1003" t="s">
        <v>103</v>
      </c>
      <c r="C1003">
        <v>202602</v>
      </c>
      <c r="D1003">
        <v>1387</v>
      </c>
      <c r="E1003">
        <v>2.4670935610103166</v>
      </c>
      <c r="F1003">
        <v>562.20000000000005</v>
      </c>
    </row>
    <row r="1004" spans="1:6" x14ac:dyDescent="0.35">
      <c r="A1004">
        <v>758</v>
      </c>
      <c r="B1004" t="s">
        <v>103</v>
      </c>
      <c r="C1004">
        <v>202602</v>
      </c>
      <c r="D1004">
        <v>14394</v>
      </c>
      <c r="E1004">
        <v>21.33487482769354</v>
      </c>
      <c r="F1004">
        <v>674.67</v>
      </c>
    </row>
    <row r="1005" spans="1:6" x14ac:dyDescent="0.35">
      <c r="A1005">
        <v>757</v>
      </c>
      <c r="B1005" t="s">
        <v>103</v>
      </c>
      <c r="C1005">
        <v>202602</v>
      </c>
      <c r="D1005">
        <v>38391</v>
      </c>
      <c r="E1005">
        <v>77.595197671598356</v>
      </c>
      <c r="F1005">
        <v>494.76</v>
      </c>
    </row>
    <row r="1006" spans="1:6" x14ac:dyDescent="0.35">
      <c r="A1006">
        <v>580</v>
      </c>
      <c r="B1006" t="s">
        <v>103</v>
      </c>
      <c r="C1006">
        <v>202602</v>
      </c>
      <c r="D1006">
        <v>0</v>
      </c>
      <c r="E1006">
        <v>0</v>
      </c>
      <c r="F1006">
        <v>270.68</v>
      </c>
    </row>
    <row r="1007" spans="1:6" x14ac:dyDescent="0.35">
      <c r="A1007">
        <v>582</v>
      </c>
      <c r="B1007" t="s">
        <v>103</v>
      </c>
      <c r="C1007">
        <v>202602</v>
      </c>
      <c r="D1007">
        <v>1465</v>
      </c>
      <c r="E1007">
        <v>4.8711554447215297</v>
      </c>
      <c r="F1007">
        <v>300.75</v>
      </c>
    </row>
    <row r="1008" spans="1:6" x14ac:dyDescent="0.35">
      <c r="A1008">
        <v>594</v>
      </c>
      <c r="B1008" t="s">
        <v>103</v>
      </c>
      <c r="C1008">
        <v>202602</v>
      </c>
      <c r="D1008">
        <v>30174</v>
      </c>
      <c r="E1008">
        <v>178.8088888888889</v>
      </c>
      <c r="F1008">
        <v>168.75</v>
      </c>
    </row>
    <row r="1009" spans="1:6" x14ac:dyDescent="0.35">
      <c r="A1009">
        <v>595</v>
      </c>
      <c r="B1009" t="s">
        <v>103</v>
      </c>
      <c r="C1009">
        <v>202602</v>
      </c>
      <c r="D1009">
        <v>38245</v>
      </c>
      <c r="E1009">
        <v>509.93333333333334</v>
      </c>
      <c r="F1009">
        <v>75</v>
      </c>
    </row>
    <row r="1010" spans="1:6" x14ac:dyDescent="0.35">
      <c r="A1010">
        <v>603</v>
      </c>
      <c r="B1010" t="s">
        <v>103</v>
      </c>
      <c r="C1010">
        <v>202602</v>
      </c>
      <c r="D1010">
        <v>3365</v>
      </c>
      <c r="E1010">
        <v>14.918425252704379</v>
      </c>
      <c r="F1010">
        <v>225.56</v>
      </c>
    </row>
    <row r="1011" spans="1:6" x14ac:dyDescent="0.35">
      <c r="A1011">
        <v>606</v>
      </c>
      <c r="B1011" t="s">
        <v>103</v>
      </c>
      <c r="C1011">
        <v>202602</v>
      </c>
      <c r="D1011">
        <v>4340</v>
      </c>
      <c r="E1011">
        <v>16.541525326828523</v>
      </c>
      <c r="F1011">
        <v>262.37</v>
      </c>
    </row>
    <row r="1012" spans="1:6" x14ac:dyDescent="0.35">
      <c r="A1012">
        <v>772</v>
      </c>
      <c r="B1012" t="s">
        <v>103</v>
      </c>
      <c r="C1012">
        <v>202602</v>
      </c>
      <c r="D1012">
        <v>566</v>
      </c>
      <c r="E1012">
        <v>2.7964426877470356</v>
      </c>
      <c r="F1012">
        <v>202.4</v>
      </c>
    </row>
    <row r="1013" spans="1:6" x14ac:dyDescent="0.35">
      <c r="A1013">
        <v>615</v>
      </c>
      <c r="B1013" t="s">
        <v>103</v>
      </c>
      <c r="C1013">
        <v>202602</v>
      </c>
      <c r="D1013">
        <v>9191</v>
      </c>
      <c r="E1013">
        <v>33.955223880597011</v>
      </c>
      <c r="F1013">
        <v>270.68</v>
      </c>
    </row>
    <row r="1014" spans="1:6" x14ac:dyDescent="0.35">
      <c r="A1014">
        <v>617</v>
      </c>
      <c r="B1014" t="s">
        <v>103</v>
      </c>
      <c r="C1014">
        <v>202602</v>
      </c>
      <c r="D1014">
        <v>3444</v>
      </c>
      <c r="E1014">
        <v>7.6533333333333333</v>
      </c>
      <c r="F1014">
        <v>450</v>
      </c>
    </row>
    <row r="1015" spans="1:6" x14ac:dyDescent="0.35">
      <c r="A1015">
        <v>751</v>
      </c>
      <c r="B1015" t="s">
        <v>103</v>
      </c>
      <c r="C1015">
        <v>202602</v>
      </c>
      <c r="D1015">
        <v>2873</v>
      </c>
      <c r="E1015">
        <v>14.152012216146989</v>
      </c>
      <c r="F1015">
        <v>203.01</v>
      </c>
    </row>
    <row r="1016" spans="1:6" x14ac:dyDescent="0.35">
      <c r="A1016">
        <v>752</v>
      </c>
      <c r="B1016" t="s">
        <v>103</v>
      </c>
      <c r="C1016">
        <v>202602</v>
      </c>
      <c r="D1016">
        <v>9685</v>
      </c>
      <c r="E1016">
        <v>28.002660035852657</v>
      </c>
      <c r="F1016">
        <v>345.86</v>
      </c>
    </row>
    <row r="1017" spans="1:6" x14ac:dyDescent="0.35">
      <c r="A1017">
        <v>753</v>
      </c>
      <c r="B1017" t="s">
        <v>103</v>
      </c>
      <c r="C1017">
        <v>202602</v>
      </c>
      <c r="D1017">
        <v>19495</v>
      </c>
      <c r="E1017">
        <v>39.889916516614825</v>
      </c>
      <c r="F1017">
        <v>488.72</v>
      </c>
    </row>
    <row r="1018" spans="1:6" x14ac:dyDescent="0.35">
      <c r="A1018">
        <v>754</v>
      </c>
      <c r="B1018" t="s">
        <v>103</v>
      </c>
      <c r="C1018">
        <v>202602</v>
      </c>
      <c r="D1018">
        <v>1212</v>
      </c>
      <c r="E1018">
        <v>2.0149290951106384</v>
      </c>
      <c r="F1018">
        <v>601.51</v>
      </c>
    </row>
    <row r="1019" spans="1:6" x14ac:dyDescent="0.35">
      <c r="A1019">
        <v>614</v>
      </c>
      <c r="B1019" t="s">
        <v>103</v>
      </c>
      <c r="C1019">
        <v>202602</v>
      </c>
      <c r="D1019">
        <v>22429</v>
      </c>
      <c r="E1019">
        <v>39.895055140519382</v>
      </c>
      <c r="F1019">
        <v>562.20000000000005</v>
      </c>
    </row>
    <row r="1020" spans="1:6" x14ac:dyDescent="0.35">
      <c r="A1020">
        <v>797</v>
      </c>
      <c r="B1020" t="s">
        <v>103</v>
      </c>
      <c r="C1020">
        <v>202602</v>
      </c>
      <c r="D1020">
        <v>2089</v>
      </c>
      <c r="E1020">
        <v>4.6442863494886613</v>
      </c>
      <c r="F1020">
        <v>449.8</v>
      </c>
    </row>
    <row r="1021" spans="1:6" x14ac:dyDescent="0.35">
      <c r="A1021">
        <v>613</v>
      </c>
      <c r="B1021" t="s">
        <v>103</v>
      </c>
      <c r="C1021">
        <v>202602</v>
      </c>
      <c r="D1021">
        <v>10785</v>
      </c>
      <c r="E1021">
        <v>36.871794871794869</v>
      </c>
      <c r="F1021">
        <v>292.5</v>
      </c>
    </row>
    <row r="1022" spans="1:6" x14ac:dyDescent="0.35">
      <c r="A1022">
        <v>767</v>
      </c>
      <c r="B1022" t="s">
        <v>103</v>
      </c>
      <c r="C1022">
        <v>202602</v>
      </c>
      <c r="D1022">
        <v>9198</v>
      </c>
      <c r="E1022">
        <v>15.335111703901301</v>
      </c>
      <c r="F1022">
        <v>599.79999999999995</v>
      </c>
    </row>
    <row r="1023" spans="1:6" x14ac:dyDescent="0.35">
      <c r="A1023">
        <v>807</v>
      </c>
      <c r="B1023" t="s">
        <v>103</v>
      </c>
      <c r="C1023">
        <v>202602</v>
      </c>
      <c r="D1023">
        <v>2107</v>
      </c>
      <c r="E1023">
        <v>10.535</v>
      </c>
      <c r="F1023">
        <v>200</v>
      </c>
    </row>
    <row r="1024" spans="1:6" x14ac:dyDescent="0.35">
      <c r="A1024">
        <v>808</v>
      </c>
      <c r="B1024" t="s">
        <v>103</v>
      </c>
      <c r="C1024">
        <v>202602</v>
      </c>
      <c r="D1024">
        <v>3164</v>
      </c>
      <c r="E1024">
        <v>10.734884983375178</v>
      </c>
      <c r="F1024">
        <v>294.74</v>
      </c>
    </row>
    <row r="1025" spans="1:6" x14ac:dyDescent="0.35">
      <c r="A1025">
        <v>502</v>
      </c>
      <c r="B1025" t="s">
        <v>104</v>
      </c>
      <c r="C1025">
        <v>202602</v>
      </c>
      <c r="D1025">
        <v>93137</v>
      </c>
      <c r="E1025">
        <v>299.24495566122607</v>
      </c>
      <c r="F1025">
        <v>311.24</v>
      </c>
    </row>
    <row r="1026" spans="1:6" x14ac:dyDescent="0.35">
      <c r="A1026">
        <v>504</v>
      </c>
      <c r="B1026" t="s">
        <v>104</v>
      </c>
      <c r="C1026">
        <v>202602</v>
      </c>
      <c r="D1026">
        <v>204746</v>
      </c>
      <c r="E1026">
        <v>469.05225538933814</v>
      </c>
      <c r="F1026">
        <v>436.51</v>
      </c>
    </row>
    <row r="1027" spans="1:6" x14ac:dyDescent="0.35">
      <c r="A1027">
        <v>505</v>
      </c>
      <c r="B1027" t="s">
        <v>104</v>
      </c>
      <c r="C1027">
        <v>202602</v>
      </c>
      <c r="D1027">
        <v>89437</v>
      </c>
      <c r="E1027">
        <v>240.30576602719114</v>
      </c>
      <c r="F1027">
        <v>372.18</v>
      </c>
    </row>
    <row r="1028" spans="1:6" x14ac:dyDescent="0.35">
      <c r="A1028">
        <v>506</v>
      </c>
      <c r="B1028" t="s">
        <v>104</v>
      </c>
      <c r="C1028">
        <v>202602</v>
      </c>
      <c r="D1028">
        <v>87590</v>
      </c>
      <c r="E1028">
        <v>184.90996221157297</v>
      </c>
      <c r="F1028">
        <v>473.69</v>
      </c>
    </row>
    <row r="1029" spans="1:6" x14ac:dyDescent="0.35">
      <c r="A1029">
        <v>508</v>
      </c>
      <c r="B1029" t="s">
        <v>104</v>
      </c>
      <c r="C1029">
        <v>202602</v>
      </c>
      <c r="D1029">
        <v>133879</v>
      </c>
      <c r="E1029">
        <v>330.81047689646653</v>
      </c>
      <c r="F1029">
        <v>404.7</v>
      </c>
    </row>
    <row r="1030" spans="1:6" x14ac:dyDescent="0.35">
      <c r="A1030">
        <v>507</v>
      </c>
      <c r="B1030" t="s">
        <v>104</v>
      </c>
      <c r="C1030">
        <v>202602</v>
      </c>
      <c r="D1030">
        <v>95051</v>
      </c>
      <c r="E1030">
        <v>352.04074074074072</v>
      </c>
      <c r="F1030">
        <v>270</v>
      </c>
    </row>
    <row r="1031" spans="1:6" x14ac:dyDescent="0.35">
      <c r="A1031">
        <v>520</v>
      </c>
      <c r="B1031" t="s">
        <v>104</v>
      </c>
      <c r="C1031">
        <v>202602</v>
      </c>
      <c r="D1031">
        <v>835</v>
      </c>
      <c r="E1031">
        <v>12.279411764705882</v>
      </c>
      <c r="F1031">
        <v>68</v>
      </c>
    </row>
    <row r="1032" spans="1:6" x14ac:dyDescent="0.35">
      <c r="A1032">
        <v>521</v>
      </c>
      <c r="B1032" t="s">
        <v>104</v>
      </c>
      <c r="C1032">
        <v>202602</v>
      </c>
      <c r="D1032">
        <v>8231</v>
      </c>
      <c r="E1032">
        <v>70.956896551724142</v>
      </c>
      <c r="F1032">
        <v>116</v>
      </c>
    </row>
    <row r="1033" spans="1:6" x14ac:dyDescent="0.35">
      <c r="A1033">
        <v>784</v>
      </c>
      <c r="B1033" t="s">
        <v>104</v>
      </c>
      <c r="C1033">
        <v>202602</v>
      </c>
      <c r="D1033">
        <v>1033</v>
      </c>
      <c r="E1033">
        <v>3.0634638196915778</v>
      </c>
      <c r="F1033">
        <v>337.2</v>
      </c>
    </row>
    <row r="1034" spans="1:6" x14ac:dyDescent="0.35">
      <c r="A1034">
        <v>785</v>
      </c>
      <c r="B1034" t="s">
        <v>104</v>
      </c>
      <c r="C1034">
        <v>202602</v>
      </c>
      <c r="D1034">
        <v>1535</v>
      </c>
      <c r="E1034">
        <v>2.7303450729277836</v>
      </c>
      <c r="F1034">
        <v>562.20000000000005</v>
      </c>
    </row>
    <row r="1035" spans="1:6" x14ac:dyDescent="0.35">
      <c r="A1035">
        <v>758</v>
      </c>
      <c r="B1035" t="s">
        <v>104</v>
      </c>
      <c r="C1035">
        <v>202602</v>
      </c>
      <c r="D1035">
        <v>26195</v>
      </c>
      <c r="E1035">
        <v>38.826389197681834</v>
      </c>
      <c r="F1035">
        <v>674.67</v>
      </c>
    </row>
    <row r="1036" spans="1:6" x14ac:dyDescent="0.35">
      <c r="A1036">
        <v>757</v>
      </c>
      <c r="B1036" t="s">
        <v>104</v>
      </c>
      <c r="C1036">
        <v>202602</v>
      </c>
      <c r="D1036">
        <v>65835</v>
      </c>
      <c r="E1036">
        <v>133.06451612903226</v>
      </c>
      <c r="F1036">
        <v>494.76</v>
      </c>
    </row>
    <row r="1037" spans="1:6" x14ac:dyDescent="0.35">
      <c r="A1037">
        <v>580</v>
      </c>
      <c r="B1037" t="s">
        <v>104</v>
      </c>
      <c r="C1037">
        <v>202602</v>
      </c>
      <c r="D1037">
        <v>1055</v>
      </c>
      <c r="E1037">
        <v>3.8975912516624796</v>
      </c>
      <c r="F1037">
        <v>270.68</v>
      </c>
    </row>
    <row r="1038" spans="1:6" x14ac:dyDescent="0.35">
      <c r="A1038">
        <v>582</v>
      </c>
      <c r="B1038" t="s">
        <v>104</v>
      </c>
      <c r="C1038">
        <v>202602</v>
      </c>
      <c r="D1038">
        <v>2842</v>
      </c>
      <c r="E1038">
        <v>9.449709060681629</v>
      </c>
      <c r="F1038">
        <v>300.75</v>
      </c>
    </row>
    <row r="1039" spans="1:6" x14ac:dyDescent="0.35">
      <c r="A1039">
        <v>594</v>
      </c>
      <c r="B1039" t="s">
        <v>104</v>
      </c>
      <c r="C1039">
        <v>202602</v>
      </c>
      <c r="D1039">
        <v>38396</v>
      </c>
      <c r="E1039">
        <v>227.53185185185185</v>
      </c>
      <c r="F1039">
        <v>168.75</v>
      </c>
    </row>
    <row r="1040" spans="1:6" x14ac:dyDescent="0.35">
      <c r="A1040">
        <v>595</v>
      </c>
      <c r="B1040" t="s">
        <v>104</v>
      </c>
      <c r="C1040">
        <v>202602</v>
      </c>
      <c r="D1040">
        <v>53314</v>
      </c>
      <c r="E1040">
        <v>710.85333333333335</v>
      </c>
      <c r="F1040">
        <v>75</v>
      </c>
    </row>
    <row r="1041" spans="1:6" x14ac:dyDescent="0.35">
      <c r="A1041">
        <v>603</v>
      </c>
      <c r="B1041" t="s">
        <v>104</v>
      </c>
      <c r="C1041">
        <v>202602</v>
      </c>
      <c r="D1041">
        <v>4510</v>
      </c>
      <c r="E1041">
        <v>19.994679907785066</v>
      </c>
      <c r="F1041">
        <v>225.56</v>
      </c>
    </row>
    <row r="1042" spans="1:6" x14ac:dyDescent="0.35">
      <c r="A1042">
        <v>606</v>
      </c>
      <c r="B1042" t="s">
        <v>104</v>
      </c>
      <c r="C1042">
        <v>202602</v>
      </c>
      <c r="D1042">
        <v>4061</v>
      </c>
      <c r="E1042">
        <v>15.478141555818119</v>
      </c>
      <c r="F1042">
        <v>262.37</v>
      </c>
    </row>
    <row r="1043" spans="1:6" x14ac:dyDescent="0.35">
      <c r="A1043">
        <v>772</v>
      </c>
      <c r="B1043" t="s">
        <v>104</v>
      </c>
      <c r="C1043">
        <v>202602</v>
      </c>
      <c r="D1043">
        <v>486</v>
      </c>
      <c r="E1043">
        <v>2.4011857707509883</v>
      </c>
      <c r="F1043">
        <v>202.4</v>
      </c>
    </row>
    <row r="1044" spans="1:6" x14ac:dyDescent="0.35">
      <c r="A1044">
        <v>615</v>
      </c>
      <c r="B1044" t="s">
        <v>104</v>
      </c>
      <c r="C1044">
        <v>202602</v>
      </c>
      <c r="D1044">
        <v>12080</v>
      </c>
      <c r="E1044">
        <v>44.628343431358061</v>
      </c>
      <c r="F1044">
        <v>270.68</v>
      </c>
    </row>
    <row r="1045" spans="1:6" x14ac:dyDescent="0.35">
      <c r="A1045">
        <v>617</v>
      </c>
      <c r="B1045" t="s">
        <v>104</v>
      </c>
      <c r="C1045">
        <v>202602</v>
      </c>
      <c r="D1045">
        <v>4831</v>
      </c>
      <c r="E1045">
        <v>10.735555555555555</v>
      </c>
      <c r="F1045">
        <v>450</v>
      </c>
    </row>
    <row r="1046" spans="1:6" x14ac:dyDescent="0.35">
      <c r="A1046">
        <v>751</v>
      </c>
      <c r="B1046" t="s">
        <v>104</v>
      </c>
      <c r="C1046">
        <v>202602</v>
      </c>
      <c r="D1046">
        <v>3204</v>
      </c>
      <c r="E1046">
        <v>15.782473769765037</v>
      </c>
      <c r="F1046">
        <v>203.01</v>
      </c>
    </row>
    <row r="1047" spans="1:6" x14ac:dyDescent="0.35">
      <c r="A1047">
        <v>752</v>
      </c>
      <c r="B1047" t="s">
        <v>104</v>
      </c>
      <c r="C1047">
        <v>202602</v>
      </c>
      <c r="D1047">
        <v>9811</v>
      </c>
      <c r="E1047">
        <v>28.366969293933959</v>
      </c>
      <c r="F1047">
        <v>345.86</v>
      </c>
    </row>
    <row r="1048" spans="1:6" x14ac:dyDescent="0.35">
      <c r="A1048">
        <v>753</v>
      </c>
      <c r="B1048" t="s">
        <v>104</v>
      </c>
      <c r="C1048">
        <v>202602</v>
      </c>
      <c r="D1048">
        <v>21539</v>
      </c>
      <c r="E1048">
        <v>44.072270420690785</v>
      </c>
      <c r="F1048">
        <v>488.72</v>
      </c>
    </row>
    <row r="1049" spans="1:6" x14ac:dyDescent="0.35">
      <c r="A1049">
        <v>754</v>
      </c>
      <c r="B1049" t="s">
        <v>104</v>
      </c>
      <c r="C1049">
        <v>202602</v>
      </c>
      <c r="D1049">
        <v>1865</v>
      </c>
      <c r="E1049">
        <v>3.1005303319978057</v>
      </c>
      <c r="F1049">
        <v>601.51</v>
      </c>
    </row>
    <row r="1050" spans="1:6" x14ac:dyDescent="0.35">
      <c r="A1050">
        <v>614</v>
      </c>
      <c r="B1050" t="s">
        <v>104</v>
      </c>
      <c r="C1050">
        <v>202602</v>
      </c>
      <c r="D1050">
        <v>36713</v>
      </c>
      <c r="E1050">
        <v>65.302383493418702</v>
      </c>
      <c r="F1050">
        <v>562.20000000000005</v>
      </c>
    </row>
    <row r="1051" spans="1:6" x14ac:dyDescent="0.35">
      <c r="A1051">
        <v>797</v>
      </c>
      <c r="B1051" t="s">
        <v>104</v>
      </c>
      <c r="C1051">
        <v>202602</v>
      </c>
      <c r="D1051">
        <v>2658</v>
      </c>
      <c r="E1051">
        <v>5.9092930191196089</v>
      </c>
      <c r="F1051">
        <v>449.8</v>
      </c>
    </row>
    <row r="1052" spans="1:6" x14ac:dyDescent="0.35">
      <c r="A1052">
        <v>613</v>
      </c>
      <c r="B1052" t="s">
        <v>104</v>
      </c>
      <c r="C1052">
        <v>202602</v>
      </c>
      <c r="D1052">
        <v>15976</v>
      </c>
      <c r="E1052">
        <v>54.618803418803417</v>
      </c>
      <c r="F1052">
        <v>292.5</v>
      </c>
    </row>
    <row r="1053" spans="1:6" x14ac:dyDescent="0.35">
      <c r="A1053">
        <v>767</v>
      </c>
      <c r="B1053" t="s">
        <v>104</v>
      </c>
      <c r="C1053">
        <v>202602</v>
      </c>
      <c r="D1053">
        <v>14639</v>
      </c>
      <c r="E1053">
        <v>24.406468822940983</v>
      </c>
      <c r="F1053">
        <v>599.79999999999995</v>
      </c>
    </row>
    <row r="1054" spans="1:6" x14ac:dyDescent="0.35">
      <c r="A1054">
        <v>807</v>
      </c>
      <c r="B1054" t="s">
        <v>104</v>
      </c>
      <c r="C1054">
        <v>202602</v>
      </c>
      <c r="D1054">
        <v>1593</v>
      </c>
      <c r="E1054">
        <v>7.9649999999999999</v>
      </c>
      <c r="F1054">
        <v>200</v>
      </c>
    </row>
    <row r="1055" spans="1:6" x14ac:dyDescent="0.35">
      <c r="A1055">
        <v>808</v>
      </c>
      <c r="B1055" t="s">
        <v>104</v>
      </c>
      <c r="C1055">
        <v>202602</v>
      </c>
      <c r="D1055">
        <v>2209</v>
      </c>
      <c r="E1055">
        <v>7.4947411277736311</v>
      </c>
      <c r="F1055">
        <v>294.74</v>
      </c>
    </row>
    <row r="1056" spans="1:6" x14ac:dyDescent="0.35">
      <c r="A1056">
        <v>502</v>
      </c>
      <c r="B1056" t="s">
        <v>105</v>
      </c>
      <c r="C1056">
        <v>202602</v>
      </c>
      <c r="D1056">
        <v>30012</v>
      </c>
      <c r="E1056">
        <v>96.42719444801439</v>
      </c>
      <c r="F1056">
        <v>311.24</v>
      </c>
    </row>
    <row r="1057" spans="1:6" x14ac:dyDescent="0.35">
      <c r="A1057">
        <v>504</v>
      </c>
      <c r="B1057" t="s">
        <v>105</v>
      </c>
      <c r="C1057">
        <v>202602</v>
      </c>
      <c r="D1057">
        <v>68640</v>
      </c>
      <c r="E1057">
        <v>157.2472566493322</v>
      </c>
      <c r="F1057">
        <v>436.51</v>
      </c>
    </row>
    <row r="1058" spans="1:6" x14ac:dyDescent="0.35">
      <c r="A1058">
        <v>505</v>
      </c>
      <c r="B1058" t="s">
        <v>105</v>
      </c>
      <c r="C1058">
        <v>202602</v>
      </c>
      <c r="D1058">
        <v>36629</v>
      </c>
      <c r="E1058">
        <v>98.417432425170617</v>
      </c>
      <c r="F1058">
        <v>372.18</v>
      </c>
    </row>
    <row r="1059" spans="1:6" x14ac:dyDescent="0.35">
      <c r="A1059">
        <v>506</v>
      </c>
      <c r="B1059" t="s">
        <v>105</v>
      </c>
      <c r="C1059">
        <v>202602</v>
      </c>
      <c r="D1059">
        <v>35689</v>
      </c>
      <c r="E1059">
        <v>75.342523591378324</v>
      </c>
      <c r="F1059">
        <v>473.69</v>
      </c>
    </row>
    <row r="1060" spans="1:6" x14ac:dyDescent="0.35">
      <c r="A1060">
        <v>508</v>
      </c>
      <c r="B1060" t="s">
        <v>105</v>
      </c>
      <c r="C1060">
        <v>202602</v>
      </c>
      <c r="D1060">
        <v>34469</v>
      </c>
      <c r="E1060">
        <v>85.17173214726958</v>
      </c>
      <c r="F1060">
        <v>404.7</v>
      </c>
    </row>
    <row r="1061" spans="1:6" x14ac:dyDescent="0.35">
      <c r="A1061">
        <v>507</v>
      </c>
      <c r="B1061" t="s">
        <v>105</v>
      </c>
      <c r="C1061">
        <v>202602</v>
      </c>
      <c r="D1061">
        <v>25149</v>
      </c>
      <c r="E1061">
        <v>93.144444444444446</v>
      </c>
      <c r="F1061">
        <v>270</v>
      </c>
    </row>
    <row r="1062" spans="1:6" x14ac:dyDescent="0.35">
      <c r="A1062">
        <v>520</v>
      </c>
      <c r="B1062" t="s">
        <v>105</v>
      </c>
      <c r="C1062">
        <v>202602</v>
      </c>
      <c r="D1062">
        <v>300</v>
      </c>
      <c r="E1062">
        <v>4.4117647058823533</v>
      </c>
      <c r="F1062">
        <v>68</v>
      </c>
    </row>
    <row r="1063" spans="1:6" x14ac:dyDescent="0.35">
      <c r="A1063">
        <v>521</v>
      </c>
      <c r="B1063" t="s">
        <v>105</v>
      </c>
      <c r="C1063">
        <v>202602</v>
      </c>
      <c r="D1063">
        <v>2970</v>
      </c>
      <c r="E1063">
        <v>25.603448275862068</v>
      </c>
      <c r="F1063">
        <v>116</v>
      </c>
    </row>
    <row r="1064" spans="1:6" x14ac:dyDescent="0.35">
      <c r="A1064">
        <v>784</v>
      </c>
      <c r="B1064" t="s">
        <v>105</v>
      </c>
      <c r="C1064">
        <v>202602</v>
      </c>
      <c r="D1064">
        <v>350</v>
      </c>
      <c r="E1064">
        <v>1.0379596678529064</v>
      </c>
      <c r="F1064">
        <v>337.2</v>
      </c>
    </row>
    <row r="1065" spans="1:6" x14ac:dyDescent="0.35">
      <c r="A1065">
        <v>785</v>
      </c>
      <c r="B1065" t="s">
        <v>105</v>
      </c>
      <c r="C1065">
        <v>202602</v>
      </c>
      <c r="D1065">
        <v>647</v>
      </c>
      <c r="E1065">
        <v>1.150836001422981</v>
      </c>
      <c r="F1065">
        <v>562.20000000000005</v>
      </c>
    </row>
    <row r="1066" spans="1:6" x14ac:dyDescent="0.35">
      <c r="A1066">
        <v>758</v>
      </c>
      <c r="B1066" t="s">
        <v>105</v>
      </c>
      <c r="C1066">
        <v>202602</v>
      </c>
      <c r="D1066">
        <v>4704</v>
      </c>
      <c r="E1066">
        <v>6.9722975676997647</v>
      </c>
      <c r="F1066">
        <v>674.67</v>
      </c>
    </row>
    <row r="1067" spans="1:6" x14ac:dyDescent="0.35">
      <c r="A1067">
        <v>757</v>
      </c>
      <c r="B1067" t="s">
        <v>105</v>
      </c>
      <c r="C1067">
        <v>202602</v>
      </c>
      <c r="D1067">
        <v>13565</v>
      </c>
      <c r="E1067">
        <v>27.417333656722452</v>
      </c>
      <c r="F1067">
        <v>494.76</v>
      </c>
    </row>
    <row r="1068" spans="1:6" x14ac:dyDescent="0.35">
      <c r="A1068">
        <v>580</v>
      </c>
      <c r="B1068" t="s">
        <v>105</v>
      </c>
      <c r="C1068">
        <v>202602</v>
      </c>
      <c r="D1068">
        <v>0</v>
      </c>
      <c r="E1068">
        <v>0</v>
      </c>
      <c r="F1068">
        <v>270.68</v>
      </c>
    </row>
    <row r="1069" spans="1:6" x14ac:dyDescent="0.35">
      <c r="A1069">
        <v>582</v>
      </c>
      <c r="B1069" t="s">
        <v>105</v>
      </c>
      <c r="C1069">
        <v>202602</v>
      </c>
      <c r="D1069">
        <v>1291</v>
      </c>
      <c r="E1069">
        <v>4.2926018287614296</v>
      </c>
      <c r="F1069">
        <v>300.75</v>
      </c>
    </row>
    <row r="1070" spans="1:6" x14ac:dyDescent="0.35">
      <c r="A1070">
        <v>594</v>
      </c>
      <c r="B1070" t="s">
        <v>105</v>
      </c>
      <c r="C1070">
        <v>202602</v>
      </c>
      <c r="D1070">
        <v>10653</v>
      </c>
      <c r="E1070">
        <v>63.128888888888888</v>
      </c>
      <c r="F1070">
        <v>168.75</v>
      </c>
    </row>
    <row r="1071" spans="1:6" x14ac:dyDescent="0.35">
      <c r="A1071">
        <v>595</v>
      </c>
      <c r="B1071" t="s">
        <v>105</v>
      </c>
      <c r="C1071">
        <v>202602</v>
      </c>
      <c r="D1071">
        <v>17657</v>
      </c>
      <c r="E1071">
        <v>235.42666666666668</v>
      </c>
      <c r="F1071">
        <v>75</v>
      </c>
    </row>
    <row r="1072" spans="1:6" x14ac:dyDescent="0.35">
      <c r="A1072">
        <v>603</v>
      </c>
      <c r="B1072" t="s">
        <v>105</v>
      </c>
      <c r="C1072">
        <v>202602</v>
      </c>
      <c r="D1072">
        <v>1361</v>
      </c>
      <c r="E1072">
        <v>6.0338712537683987</v>
      </c>
      <c r="F1072">
        <v>225.56</v>
      </c>
    </row>
    <row r="1073" spans="1:6" x14ac:dyDescent="0.35">
      <c r="A1073">
        <v>606</v>
      </c>
      <c r="B1073" t="s">
        <v>105</v>
      </c>
      <c r="C1073">
        <v>202602</v>
      </c>
      <c r="D1073">
        <v>1178</v>
      </c>
      <c r="E1073">
        <v>4.4898425887105997</v>
      </c>
      <c r="F1073">
        <v>262.37</v>
      </c>
    </row>
    <row r="1074" spans="1:6" x14ac:dyDescent="0.35">
      <c r="A1074">
        <v>772</v>
      </c>
      <c r="B1074" t="s">
        <v>105</v>
      </c>
      <c r="C1074">
        <v>202602</v>
      </c>
      <c r="D1074">
        <v>0</v>
      </c>
      <c r="E1074">
        <v>0</v>
      </c>
      <c r="F1074">
        <v>202.4</v>
      </c>
    </row>
    <row r="1075" spans="1:6" x14ac:dyDescent="0.35">
      <c r="A1075">
        <v>615</v>
      </c>
      <c r="B1075" t="s">
        <v>105</v>
      </c>
      <c r="C1075">
        <v>202602</v>
      </c>
      <c r="D1075">
        <v>2936</v>
      </c>
      <c r="E1075">
        <v>10.846756317422786</v>
      </c>
      <c r="F1075">
        <v>270.68</v>
      </c>
    </row>
    <row r="1076" spans="1:6" x14ac:dyDescent="0.35">
      <c r="A1076">
        <v>617</v>
      </c>
      <c r="B1076" t="s">
        <v>105</v>
      </c>
      <c r="C1076">
        <v>202602</v>
      </c>
      <c r="D1076">
        <v>1210</v>
      </c>
      <c r="E1076">
        <v>2.6888888888888891</v>
      </c>
      <c r="F1076">
        <v>450</v>
      </c>
    </row>
    <row r="1077" spans="1:6" x14ac:dyDescent="0.35">
      <c r="A1077">
        <v>751</v>
      </c>
      <c r="B1077" t="s">
        <v>105</v>
      </c>
      <c r="C1077">
        <v>202602</v>
      </c>
      <c r="D1077">
        <v>444</v>
      </c>
      <c r="E1077">
        <v>2.1870843800797992</v>
      </c>
      <c r="F1077">
        <v>203.01</v>
      </c>
    </row>
    <row r="1078" spans="1:6" x14ac:dyDescent="0.35">
      <c r="A1078">
        <v>752</v>
      </c>
      <c r="B1078" t="s">
        <v>105</v>
      </c>
      <c r="C1078">
        <v>202602</v>
      </c>
      <c r="D1078">
        <v>1871</v>
      </c>
      <c r="E1078">
        <v>5.4097033481755625</v>
      </c>
      <c r="F1078">
        <v>345.86</v>
      </c>
    </row>
    <row r="1079" spans="1:6" x14ac:dyDescent="0.35">
      <c r="A1079">
        <v>753</v>
      </c>
      <c r="B1079" t="s">
        <v>105</v>
      </c>
      <c r="C1079">
        <v>202602</v>
      </c>
      <c r="D1079">
        <v>6010</v>
      </c>
      <c r="E1079">
        <v>12.297430021280078</v>
      </c>
      <c r="F1079">
        <v>488.72</v>
      </c>
    </row>
    <row r="1080" spans="1:6" x14ac:dyDescent="0.35">
      <c r="A1080">
        <v>754</v>
      </c>
      <c r="B1080" t="s">
        <v>105</v>
      </c>
      <c r="C1080">
        <v>202602</v>
      </c>
      <c r="D1080">
        <v>584</v>
      </c>
      <c r="E1080">
        <v>0.97088992701700716</v>
      </c>
      <c r="F1080">
        <v>601.51</v>
      </c>
    </row>
    <row r="1081" spans="1:6" x14ac:dyDescent="0.35">
      <c r="A1081">
        <v>614</v>
      </c>
      <c r="B1081" t="s">
        <v>105</v>
      </c>
      <c r="C1081">
        <v>202602</v>
      </c>
      <c r="D1081">
        <v>10674</v>
      </c>
      <c r="E1081">
        <v>18.986125933831374</v>
      </c>
      <c r="F1081">
        <v>562.20000000000005</v>
      </c>
    </row>
    <row r="1082" spans="1:6" x14ac:dyDescent="0.35">
      <c r="A1082">
        <v>797</v>
      </c>
      <c r="B1082" t="s">
        <v>105</v>
      </c>
      <c r="C1082">
        <v>202602</v>
      </c>
      <c r="D1082">
        <v>788</v>
      </c>
      <c r="E1082">
        <v>1.7518897287683415</v>
      </c>
      <c r="F1082">
        <v>449.8</v>
      </c>
    </row>
    <row r="1083" spans="1:6" x14ac:dyDescent="0.35">
      <c r="A1083">
        <v>613</v>
      </c>
      <c r="B1083" t="s">
        <v>105</v>
      </c>
      <c r="C1083">
        <v>202602</v>
      </c>
      <c r="D1083">
        <v>5354</v>
      </c>
      <c r="E1083">
        <v>18.304273504273503</v>
      </c>
      <c r="F1083">
        <v>292.5</v>
      </c>
    </row>
    <row r="1084" spans="1:6" x14ac:dyDescent="0.35">
      <c r="A1084">
        <v>767</v>
      </c>
      <c r="B1084" t="s">
        <v>105</v>
      </c>
      <c r="C1084">
        <v>202602</v>
      </c>
      <c r="D1084">
        <v>4651</v>
      </c>
      <c r="E1084">
        <v>7.7542514171390469</v>
      </c>
      <c r="F1084">
        <v>599.79999999999995</v>
      </c>
    </row>
    <row r="1085" spans="1:6" x14ac:dyDescent="0.35">
      <c r="A1085">
        <v>807</v>
      </c>
      <c r="B1085" t="s">
        <v>105</v>
      </c>
      <c r="C1085">
        <v>202602</v>
      </c>
      <c r="D1085">
        <v>675</v>
      </c>
      <c r="E1085">
        <v>3.375</v>
      </c>
      <c r="F1085">
        <v>200</v>
      </c>
    </row>
    <row r="1086" spans="1:6" x14ac:dyDescent="0.35">
      <c r="A1086">
        <v>808</v>
      </c>
      <c r="B1086" t="s">
        <v>105</v>
      </c>
      <c r="C1086">
        <v>202602</v>
      </c>
      <c r="D1086">
        <v>1455</v>
      </c>
      <c r="E1086">
        <v>4.9365542512044511</v>
      </c>
      <c r="F1086">
        <v>294.74</v>
      </c>
    </row>
    <row r="1087" spans="1:6" x14ac:dyDescent="0.35">
      <c r="A1087">
        <v>502</v>
      </c>
      <c r="B1087" t="s">
        <v>146</v>
      </c>
      <c r="C1087">
        <v>202602</v>
      </c>
      <c r="D1087">
        <v>21812</v>
      </c>
      <c r="E1087">
        <v>70.080966456753629</v>
      </c>
      <c r="F1087">
        <v>311.24</v>
      </c>
    </row>
    <row r="1088" spans="1:6" x14ac:dyDescent="0.35">
      <c r="A1088">
        <v>504</v>
      </c>
      <c r="B1088" t="s">
        <v>146</v>
      </c>
      <c r="C1088">
        <v>202602</v>
      </c>
      <c r="D1088">
        <v>43337</v>
      </c>
      <c r="E1088">
        <v>99.280657945980622</v>
      </c>
      <c r="F1088">
        <v>436.51</v>
      </c>
    </row>
    <row r="1089" spans="1:6" x14ac:dyDescent="0.35">
      <c r="A1089">
        <v>505</v>
      </c>
      <c r="B1089" t="s">
        <v>146</v>
      </c>
      <c r="C1089">
        <v>202602</v>
      </c>
      <c r="D1089">
        <v>21054</v>
      </c>
      <c r="E1089">
        <v>56.569401902305337</v>
      </c>
      <c r="F1089">
        <v>372.18</v>
      </c>
    </row>
    <row r="1090" spans="1:6" x14ac:dyDescent="0.35">
      <c r="A1090">
        <v>506</v>
      </c>
      <c r="B1090" t="s">
        <v>146</v>
      </c>
      <c r="C1090">
        <v>202602</v>
      </c>
      <c r="D1090">
        <v>21132</v>
      </c>
      <c r="E1090">
        <v>44.611454748886402</v>
      </c>
      <c r="F1090">
        <v>473.69</v>
      </c>
    </row>
    <row r="1091" spans="1:6" x14ac:dyDescent="0.35">
      <c r="A1091">
        <v>508</v>
      </c>
      <c r="B1091" t="s">
        <v>146</v>
      </c>
      <c r="C1091">
        <v>202602</v>
      </c>
      <c r="D1091">
        <v>16864</v>
      </c>
      <c r="E1091">
        <v>41.67037311588831</v>
      </c>
      <c r="F1091">
        <v>404.7</v>
      </c>
    </row>
    <row r="1092" spans="1:6" x14ac:dyDescent="0.35">
      <c r="A1092">
        <v>507</v>
      </c>
      <c r="B1092" t="s">
        <v>146</v>
      </c>
      <c r="C1092">
        <v>202602</v>
      </c>
      <c r="D1092">
        <v>11536</v>
      </c>
      <c r="E1092">
        <v>42.725925925925928</v>
      </c>
      <c r="F1092">
        <v>270</v>
      </c>
    </row>
    <row r="1093" spans="1:6" x14ac:dyDescent="0.35">
      <c r="A1093">
        <v>520</v>
      </c>
      <c r="B1093" t="s">
        <v>146</v>
      </c>
      <c r="C1093">
        <v>202602</v>
      </c>
      <c r="D1093">
        <v>330</v>
      </c>
      <c r="E1093">
        <v>4.8529411764705879</v>
      </c>
      <c r="F1093">
        <v>68</v>
      </c>
    </row>
    <row r="1094" spans="1:6" x14ac:dyDescent="0.35">
      <c r="A1094">
        <v>521</v>
      </c>
      <c r="B1094" t="s">
        <v>146</v>
      </c>
      <c r="C1094">
        <v>202602</v>
      </c>
      <c r="D1094">
        <v>1649</v>
      </c>
      <c r="E1094">
        <v>14.21551724137931</v>
      </c>
      <c r="F1094">
        <v>116</v>
      </c>
    </row>
    <row r="1095" spans="1:6" x14ac:dyDescent="0.35">
      <c r="A1095">
        <v>784</v>
      </c>
      <c r="B1095" t="s">
        <v>146</v>
      </c>
      <c r="C1095">
        <v>202602</v>
      </c>
      <c r="D1095">
        <v>377</v>
      </c>
      <c r="E1095">
        <v>1.1180308422301306</v>
      </c>
      <c r="F1095">
        <v>337.2</v>
      </c>
    </row>
    <row r="1096" spans="1:6" x14ac:dyDescent="0.35">
      <c r="A1096">
        <v>785</v>
      </c>
      <c r="B1096" t="s">
        <v>146</v>
      </c>
      <c r="C1096">
        <v>202602</v>
      </c>
      <c r="D1096">
        <v>518</v>
      </c>
      <c r="E1096">
        <v>0.92138029171113478</v>
      </c>
      <c r="F1096">
        <v>562.20000000000005</v>
      </c>
    </row>
    <row r="1097" spans="1:6" x14ac:dyDescent="0.35">
      <c r="A1097">
        <v>758</v>
      </c>
      <c r="B1097" t="s">
        <v>146</v>
      </c>
      <c r="C1097">
        <v>202602</v>
      </c>
      <c r="D1097">
        <v>5143</v>
      </c>
      <c r="E1097">
        <v>7.6229860524404529</v>
      </c>
      <c r="F1097">
        <v>674.67</v>
      </c>
    </row>
    <row r="1098" spans="1:6" x14ac:dyDescent="0.35">
      <c r="A1098">
        <v>757</v>
      </c>
      <c r="B1098" t="s">
        <v>146</v>
      </c>
      <c r="C1098">
        <v>202602</v>
      </c>
      <c r="D1098">
        <v>9076</v>
      </c>
      <c r="E1098">
        <v>18.344247716064356</v>
      </c>
      <c r="F1098">
        <v>494.76</v>
      </c>
    </row>
    <row r="1099" spans="1:6" x14ac:dyDescent="0.35">
      <c r="A1099">
        <v>580</v>
      </c>
      <c r="B1099" t="s">
        <v>146</v>
      </c>
      <c r="C1099">
        <v>202602</v>
      </c>
      <c r="D1099">
        <v>0</v>
      </c>
      <c r="E1099">
        <v>0</v>
      </c>
      <c r="F1099">
        <v>270.68</v>
      </c>
    </row>
    <row r="1100" spans="1:6" x14ac:dyDescent="0.35">
      <c r="A1100">
        <v>582</v>
      </c>
      <c r="B1100" t="s">
        <v>146</v>
      </c>
      <c r="C1100">
        <v>202602</v>
      </c>
      <c r="D1100">
        <v>1134</v>
      </c>
      <c r="E1100">
        <v>3.7705735660847881</v>
      </c>
      <c r="F1100">
        <v>300.75</v>
      </c>
    </row>
    <row r="1101" spans="1:6" x14ac:dyDescent="0.35">
      <c r="A1101">
        <v>594</v>
      </c>
      <c r="B1101" t="s">
        <v>146</v>
      </c>
      <c r="C1101">
        <v>202602</v>
      </c>
      <c r="D1101">
        <v>7048</v>
      </c>
      <c r="E1101">
        <v>41.765925925925927</v>
      </c>
      <c r="F1101">
        <v>168.75</v>
      </c>
    </row>
    <row r="1102" spans="1:6" x14ac:dyDescent="0.35">
      <c r="A1102">
        <v>595</v>
      </c>
      <c r="B1102" t="s">
        <v>146</v>
      </c>
      <c r="C1102">
        <v>202602</v>
      </c>
      <c r="D1102">
        <v>6482</v>
      </c>
      <c r="E1102">
        <v>86.426666666666662</v>
      </c>
      <c r="F1102">
        <v>75</v>
      </c>
    </row>
    <row r="1103" spans="1:6" x14ac:dyDescent="0.35">
      <c r="A1103">
        <v>603</v>
      </c>
      <c r="B1103" t="s">
        <v>146</v>
      </c>
      <c r="C1103">
        <v>202602</v>
      </c>
      <c r="D1103">
        <v>1534</v>
      </c>
      <c r="E1103">
        <v>6.8008512147543891</v>
      </c>
      <c r="F1103">
        <v>225.56</v>
      </c>
    </row>
    <row r="1104" spans="1:6" x14ac:dyDescent="0.35">
      <c r="A1104">
        <v>606</v>
      </c>
      <c r="B1104" t="s">
        <v>146</v>
      </c>
      <c r="C1104">
        <v>202602</v>
      </c>
      <c r="D1104">
        <v>1681</v>
      </c>
      <c r="E1104">
        <v>6.4069825056218317</v>
      </c>
      <c r="F1104">
        <v>262.37</v>
      </c>
    </row>
    <row r="1105" spans="1:6" x14ac:dyDescent="0.35">
      <c r="A1105">
        <v>772</v>
      </c>
      <c r="B1105" t="s">
        <v>146</v>
      </c>
      <c r="C1105">
        <v>202602</v>
      </c>
      <c r="D1105">
        <v>265</v>
      </c>
      <c r="E1105">
        <v>1.309288537549407</v>
      </c>
      <c r="F1105">
        <v>202.4</v>
      </c>
    </row>
    <row r="1106" spans="1:6" x14ac:dyDescent="0.35">
      <c r="A1106">
        <v>615</v>
      </c>
      <c r="B1106" t="s">
        <v>146</v>
      </c>
      <c r="C1106">
        <v>202602</v>
      </c>
      <c r="D1106">
        <v>2396</v>
      </c>
      <c r="E1106">
        <v>8.8517807004581055</v>
      </c>
      <c r="F1106">
        <v>270.68</v>
      </c>
    </row>
    <row r="1107" spans="1:6" x14ac:dyDescent="0.35">
      <c r="A1107">
        <v>617</v>
      </c>
      <c r="B1107" t="s">
        <v>146</v>
      </c>
      <c r="C1107">
        <v>202602</v>
      </c>
      <c r="D1107">
        <v>968</v>
      </c>
      <c r="E1107">
        <v>2.1511111111111112</v>
      </c>
      <c r="F1107">
        <v>450</v>
      </c>
    </row>
    <row r="1108" spans="1:6" x14ac:dyDescent="0.35">
      <c r="A1108">
        <v>751</v>
      </c>
      <c r="B1108" t="s">
        <v>146</v>
      </c>
      <c r="C1108">
        <v>202602</v>
      </c>
      <c r="D1108">
        <v>663</v>
      </c>
      <c r="E1108">
        <v>3.2658489729569973</v>
      </c>
      <c r="F1108">
        <v>203.01</v>
      </c>
    </row>
    <row r="1109" spans="1:6" x14ac:dyDescent="0.35">
      <c r="A1109">
        <v>752</v>
      </c>
      <c r="B1109" t="s">
        <v>146</v>
      </c>
      <c r="C1109">
        <v>202602</v>
      </c>
      <c r="D1109">
        <v>3648</v>
      </c>
      <c r="E1109">
        <v>10.5476204244492</v>
      </c>
      <c r="F1109">
        <v>345.86</v>
      </c>
    </row>
    <row r="1110" spans="1:6" x14ac:dyDescent="0.35">
      <c r="A1110">
        <v>753</v>
      </c>
      <c r="B1110" t="s">
        <v>146</v>
      </c>
      <c r="C1110">
        <v>202602</v>
      </c>
      <c r="D1110">
        <v>3438</v>
      </c>
      <c r="E1110">
        <v>7.0347028973645438</v>
      </c>
      <c r="F1110">
        <v>488.72</v>
      </c>
    </row>
    <row r="1111" spans="1:6" x14ac:dyDescent="0.35">
      <c r="A1111">
        <v>754</v>
      </c>
      <c r="B1111" t="s">
        <v>146</v>
      </c>
      <c r="C1111">
        <v>202602</v>
      </c>
      <c r="D1111">
        <v>619</v>
      </c>
      <c r="E1111">
        <v>1.0290768233279579</v>
      </c>
      <c r="F1111">
        <v>601.51</v>
      </c>
    </row>
    <row r="1112" spans="1:6" x14ac:dyDescent="0.35">
      <c r="A1112">
        <v>614</v>
      </c>
      <c r="B1112" t="s">
        <v>146</v>
      </c>
      <c r="C1112">
        <v>202602</v>
      </c>
      <c r="D1112">
        <v>6663</v>
      </c>
      <c r="E1112">
        <v>11.851654215581643</v>
      </c>
      <c r="F1112">
        <v>562.20000000000005</v>
      </c>
    </row>
    <row r="1113" spans="1:6" x14ac:dyDescent="0.35">
      <c r="A1113">
        <v>797</v>
      </c>
      <c r="B1113" t="s">
        <v>146</v>
      </c>
      <c r="C1113">
        <v>202602</v>
      </c>
      <c r="D1113">
        <v>638</v>
      </c>
      <c r="E1113">
        <v>1.4184081814139617</v>
      </c>
      <c r="F1113">
        <v>449.8</v>
      </c>
    </row>
    <row r="1114" spans="1:6" x14ac:dyDescent="0.35">
      <c r="A1114">
        <v>613</v>
      </c>
      <c r="B1114" t="s">
        <v>146</v>
      </c>
      <c r="C1114">
        <v>202602</v>
      </c>
      <c r="D1114">
        <v>3692</v>
      </c>
      <c r="E1114">
        <v>12.622222222222222</v>
      </c>
      <c r="F1114">
        <v>292.5</v>
      </c>
    </row>
    <row r="1115" spans="1:6" x14ac:dyDescent="0.35">
      <c r="A1115">
        <v>767</v>
      </c>
      <c r="B1115" t="s">
        <v>146</v>
      </c>
      <c r="C1115">
        <v>202602</v>
      </c>
      <c r="D1115">
        <v>4181</v>
      </c>
      <c r="E1115">
        <v>6.9706568856285438</v>
      </c>
      <c r="F1115">
        <v>599.79999999999995</v>
      </c>
    </row>
    <row r="1116" spans="1:6" x14ac:dyDescent="0.35">
      <c r="A1116">
        <v>807</v>
      </c>
      <c r="B1116" t="s">
        <v>146</v>
      </c>
      <c r="C1116">
        <v>202602</v>
      </c>
      <c r="D1116">
        <v>1068</v>
      </c>
      <c r="E1116">
        <v>5.34</v>
      </c>
      <c r="F1116">
        <v>200</v>
      </c>
    </row>
    <row r="1117" spans="1:6" x14ac:dyDescent="0.35">
      <c r="A1117">
        <v>808</v>
      </c>
      <c r="B1117" t="s">
        <v>146</v>
      </c>
      <c r="C1117">
        <v>202602</v>
      </c>
      <c r="D1117">
        <v>1459</v>
      </c>
      <c r="E1117">
        <v>4.950125534369274</v>
      </c>
      <c r="F1117">
        <v>294.74</v>
      </c>
    </row>
    <row r="1118" spans="1:6" x14ac:dyDescent="0.35">
      <c r="A1118">
        <v>502</v>
      </c>
      <c r="B1118" t="s">
        <v>147</v>
      </c>
      <c r="C1118">
        <v>202602</v>
      </c>
      <c r="D1118">
        <v>19079</v>
      </c>
      <c r="E1118">
        <v>61.299961444544401</v>
      </c>
      <c r="F1118">
        <v>311.24</v>
      </c>
    </row>
    <row r="1119" spans="1:6" x14ac:dyDescent="0.35">
      <c r="A1119">
        <v>504</v>
      </c>
      <c r="B1119" t="s">
        <v>147</v>
      </c>
      <c r="C1119">
        <v>202602</v>
      </c>
      <c r="D1119">
        <v>36855</v>
      </c>
      <c r="E1119">
        <v>84.43105541682894</v>
      </c>
      <c r="F1119">
        <v>436.51</v>
      </c>
    </row>
    <row r="1120" spans="1:6" x14ac:dyDescent="0.35">
      <c r="A1120">
        <v>505</v>
      </c>
      <c r="B1120" t="s">
        <v>147</v>
      </c>
      <c r="C1120">
        <v>202602</v>
      </c>
      <c r="D1120">
        <v>16819</v>
      </c>
      <c r="E1120">
        <v>45.190499220807133</v>
      </c>
      <c r="F1120">
        <v>372.18</v>
      </c>
    </row>
    <row r="1121" spans="1:6" x14ac:dyDescent="0.35">
      <c r="A1121">
        <v>506</v>
      </c>
      <c r="B1121" t="s">
        <v>147</v>
      </c>
      <c r="C1121">
        <v>202602</v>
      </c>
      <c r="D1121">
        <v>16392</v>
      </c>
      <c r="E1121">
        <v>34.604910384428635</v>
      </c>
      <c r="F1121">
        <v>473.69</v>
      </c>
    </row>
    <row r="1122" spans="1:6" x14ac:dyDescent="0.35">
      <c r="A1122">
        <v>508</v>
      </c>
      <c r="B1122" t="s">
        <v>147</v>
      </c>
      <c r="C1122">
        <v>202602</v>
      </c>
      <c r="D1122">
        <v>16611</v>
      </c>
      <c r="E1122">
        <v>41.045218680504078</v>
      </c>
      <c r="F1122">
        <v>404.7</v>
      </c>
    </row>
    <row r="1123" spans="1:6" x14ac:dyDescent="0.35">
      <c r="A1123">
        <v>507</v>
      </c>
      <c r="B1123" t="s">
        <v>147</v>
      </c>
      <c r="C1123">
        <v>202602</v>
      </c>
      <c r="D1123">
        <v>11317</v>
      </c>
      <c r="E1123">
        <v>41.914814814814818</v>
      </c>
      <c r="F1123">
        <v>270</v>
      </c>
    </row>
    <row r="1124" spans="1:6" x14ac:dyDescent="0.35">
      <c r="A1124">
        <v>520</v>
      </c>
      <c r="B1124" t="s">
        <v>147</v>
      </c>
      <c r="C1124">
        <v>202602</v>
      </c>
      <c r="D1124">
        <v>174</v>
      </c>
      <c r="E1124">
        <v>2.5588235294117645</v>
      </c>
      <c r="F1124">
        <v>68</v>
      </c>
    </row>
    <row r="1125" spans="1:6" x14ac:dyDescent="0.35">
      <c r="A1125">
        <v>521</v>
      </c>
      <c r="B1125" t="s">
        <v>147</v>
      </c>
      <c r="C1125">
        <v>202602</v>
      </c>
      <c r="D1125">
        <v>916</v>
      </c>
      <c r="E1125">
        <v>7.8965517241379306</v>
      </c>
      <c r="F1125">
        <v>116</v>
      </c>
    </row>
    <row r="1126" spans="1:6" x14ac:dyDescent="0.35">
      <c r="A1126">
        <v>784</v>
      </c>
      <c r="B1126" t="s">
        <v>147</v>
      </c>
      <c r="C1126">
        <v>202602</v>
      </c>
      <c r="D1126">
        <v>459</v>
      </c>
      <c r="E1126">
        <v>1.3612099644128115</v>
      </c>
      <c r="F1126">
        <v>337.2</v>
      </c>
    </row>
    <row r="1127" spans="1:6" x14ac:dyDescent="0.35">
      <c r="A1127">
        <v>785</v>
      </c>
      <c r="B1127" t="s">
        <v>147</v>
      </c>
      <c r="C1127">
        <v>202602</v>
      </c>
      <c r="D1127">
        <v>721</v>
      </c>
      <c r="E1127">
        <v>1.2824617573817145</v>
      </c>
      <c r="F1127">
        <v>562.20000000000005</v>
      </c>
    </row>
    <row r="1128" spans="1:6" x14ac:dyDescent="0.35">
      <c r="A1128">
        <v>758</v>
      </c>
      <c r="B1128" t="s">
        <v>147</v>
      </c>
      <c r="C1128">
        <v>202602</v>
      </c>
      <c r="D1128">
        <v>3537</v>
      </c>
      <c r="E1128">
        <v>5.2425630308150657</v>
      </c>
      <c r="F1128">
        <v>674.67</v>
      </c>
    </row>
    <row r="1129" spans="1:6" x14ac:dyDescent="0.35">
      <c r="A1129">
        <v>757</v>
      </c>
      <c r="B1129" t="s">
        <v>147</v>
      </c>
      <c r="C1129">
        <v>202602</v>
      </c>
      <c r="D1129">
        <v>4557</v>
      </c>
      <c r="E1129">
        <v>9.2105263157894743</v>
      </c>
      <c r="F1129">
        <v>494.76</v>
      </c>
    </row>
    <row r="1130" spans="1:6" x14ac:dyDescent="0.35">
      <c r="A1130">
        <v>580</v>
      </c>
      <c r="B1130" t="s">
        <v>147</v>
      </c>
      <c r="C1130">
        <v>202602</v>
      </c>
      <c r="D1130">
        <v>0</v>
      </c>
      <c r="E1130">
        <v>0</v>
      </c>
      <c r="F1130">
        <v>270.68</v>
      </c>
    </row>
    <row r="1131" spans="1:6" x14ac:dyDescent="0.35">
      <c r="A1131">
        <v>582</v>
      </c>
      <c r="B1131" t="s">
        <v>147</v>
      </c>
      <c r="C1131">
        <v>202602</v>
      </c>
      <c r="D1131">
        <v>1027</v>
      </c>
      <c r="E1131">
        <v>3.4147963424771404</v>
      </c>
      <c r="F1131">
        <v>300.75</v>
      </c>
    </row>
    <row r="1132" spans="1:6" x14ac:dyDescent="0.35">
      <c r="A1132">
        <v>594</v>
      </c>
      <c r="B1132" t="s">
        <v>147</v>
      </c>
      <c r="C1132">
        <v>202602</v>
      </c>
      <c r="D1132">
        <v>7536</v>
      </c>
      <c r="E1132">
        <v>44.657777777777781</v>
      </c>
      <c r="F1132">
        <v>168.75</v>
      </c>
    </row>
    <row r="1133" spans="1:6" x14ac:dyDescent="0.35">
      <c r="A1133">
        <v>595</v>
      </c>
      <c r="B1133" t="s">
        <v>147</v>
      </c>
      <c r="C1133">
        <v>202602</v>
      </c>
      <c r="D1133">
        <v>5628</v>
      </c>
      <c r="E1133">
        <v>75.040000000000006</v>
      </c>
      <c r="F1133">
        <v>75</v>
      </c>
    </row>
    <row r="1134" spans="1:6" x14ac:dyDescent="0.35">
      <c r="A1134">
        <v>603</v>
      </c>
      <c r="B1134" t="s">
        <v>147</v>
      </c>
      <c r="C1134">
        <v>202602</v>
      </c>
      <c r="D1134">
        <v>1720</v>
      </c>
      <c r="E1134">
        <v>7.6254655080688067</v>
      </c>
      <c r="F1134">
        <v>225.56</v>
      </c>
    </row>
    <row r="1135" spans="1:6" x14ac:dyDescent="0.35">
      <c r="A1135">
        <v>606</v>
      </c>
      <c r="B1135" t="s">
        <v>147</v>
      </c>
      <c r="C1135">
        <v>202602</v>
      </c>
      <c r="D1135">
        <v>1994</v>
      </c>
      <c r="E1135">
        <v>7.5999542630636121</v>
      </c>
      <c r="F1135">
        <v>262.37</v>
      </c>
    </row>
    <row r="1136" spans="1:6" x14ac:dyDescent="0.35">
      <c r="A1136">
        <v>772</v>
      </c>
      <c r="B1136" t="s">
        <v>147</v>
      </c>
      <c r="C1136">
        <v>202602</v>
      </c>
      <c r="D1136">
        <v>319</v>
      </c>
      <c r="E1136">
        <v>1.576086956521739</v>
      </c>
      <c r="F1136">
        <v>202.4</v>
      </c>
    </row>
    <row r="1137" spans="1:6" x14ac:dyDescent="0.35">
      <c r="A1137">
        <v>615</v>
      </c>
      <c r="B1137" t="s">
        <v>147</v>
      </c>
      <c r="C1137">
        <v>202602</v>
      </c>
      <c r="D1137">
        <v>1722</v>
      </c>
      <c r="E1137">
        <v>6.3617555785429287</v>
      </c>
      <c r="F1137">
        <v>270.68</v>
      </c>
    </row>
    <row r="1138" spans="1:6" x14ac:dyDescent="0.35">
      <c r="A1138">
        <v>617</v>
      </c>
      <c r="B1138" t="s">
        <v>147</v>
      </c>
      <c r="C1138">
        <v>202602</v>
      </c>
      <c r="D1138">
        <v>618</v>
      </c>
      <c r="E1138">
        <v>1.3733333333333333</v>
      </c>
      <c r="F1138">
        <v>450</v>
      </c>
    </row>
    <row r="1139" spans="1:6" x14ac:dyDescent="0.35">
      <c r="A1139">
        <v>751</v>
      </c>
      <c r="B1139" t="s">
        <v>147</v>
      </c>
      <c r="C1139">
        <v>202602</v>
      </c>
      <c r="D1139">
        <v>818</v>
      </c>
      <c r="E1139">
        <v>4.0293581596965664</v>
      </c>
      <c r="F1139">
        <v>203.01</v>
      </c>
    </row>
    <row r="1140" spans="1:6" x14ac:dyDescent="0.35">
      <c r="A1140">
        <v>752</v>
      </c>
      <c r="B1140" t="s">
        <v>147</v>
      </c>
      <c r="C1140">
        <v>202602</v>
      </c>
      <c r="D1140">
        <v>2805</v>
      </c>
      <c r="E1140">
        <v>8.1102180072861856</v>
      </c>
      <c r="F1140">
        <v>345.86</v>
      </c>
    </row>
    <row r="1141" spans="1:6" x14ac:dyDescent="0.35">
      <c r="A1141">
        <v>753</v>
      </c>
      <c r="B1141" t="s">
        <v>147</v>
      </c>
      <c r="C1141">
        <v>202602</v>
      </c>
      <c r="D1141">
        <v>3454</v>
      </c>
      <c r="E1141">
        <v>7.0674414797839251</v>
      </c>
      <c r="F1141">
        <v>488.72</v>
      </c>
    </row>
    <row r="1142" spans="1:6" x14ac:dyDescent="0.35">
      <c r="A1142">
        <v>754</v>
      </c>
      <c r="B1142" t="s">
        <v>147</v>
      </c>
      <c r="C1142">
        <v>202602</v>
      </c>
      <c r="D1142">
        <v>624</v>
      </c>
      <c r="E1142">
        <v>1.0373892370866653</v>
      </c>
      <c r="F1142">
        <v>601.51</v>
      </c>
    </row>
    <row r="1143" spans="1:6" x14ac:dyDescent="0.35">
      <c r="A1143">
        <v>614</v>
      </c>
      <c r="B1143" t="s">
        <v>147</v>
      </c>
      <c r="C1143">
        <v>202602</v>
      </c>
      <c r="D1143">
        <v>7922</v>
      </c>
      <c r="E1143">
        <v>14.091070793311987</v>
      </c>
      <c r="F1143">
        <v>562.20000000000005</v>
      </c>
    </row>
    <row r="1144" spans="1:6" x14ac:dyDescent="0.35">
      <c r="A1144">
        <v>797</v>
      </c>
      <c r="B1144" t="s">
        <v>147</v>
      </c>
      <c r="C1144">
        <v>202602</v>
      </c>
      <c r="D1144">
        <v>718</v>
      </c>
      <c r="E1144">
        <v>1.5962650066696309</v>
      </c>
      <c r="F1144">
        <v>449.8</v>
      </c>
    </row>
    <row r="1145" spans="1:6" x14ac:dyDescent="0.35">
      <c r="A1145">
        <v>613</v>
      </c>
      <c r="B1145" t="s">
        <v>147</v>
      </c>
      <c r="C1145">
        <v>202602</v>
      </c>
      <c r="D1145">
        <v>4202</v>
      </c>
      <c r="E1145">
        <v>14.365811965811966</v>
      </c>
      <c r="F1145">
        <v>292.5</v>
      </c>
    </row>
    <row r="1146" spans="1:6" x14ac:dyDescent="0.35">
      <c r="A1146">
        <v>767</v>
      </c>
      <c r="B1146" t="s">
        <v>147</v>
      </c>
      <c r="C1146">
        <v>202602</v>
      </c>
      <c r="D1146">
        <v>4900</v>
      </c>
      <c r="E1146">
        <v>8.1693897965988675</v>
      </c>
      <c r="F1146">
        <v>599.79999999999995</v>
      </c>
    </row>
    <row r="1147" spans="1:6" x14ac:dyDescent="0.35">
      <c r="A1147">
        <v>807</v>
      </c>
      <c r="B1147" t="s">
        <v>147</v>
      </c>
      <c r="C1147">
        <v>202602</v>
      </c>
      <c r="D1147">
        <v>483</v>
      </c>
      <c r="E1147">
        <v>2.415</v>
      </c>
      <c r="F1147">
        <v>200</v>
      </c>
    </row>
    <row r="1148" spans="1:6" x14ac:dyDescent="0.35">
      <c r="A1148">
        <v>808</v>
      </c>
      <c r="B1148" t="s">
        <v>147</v>
      </c>
      <c r="C1148">
        <v>202602</v>
      </c>
      <c r="D1148">
        <v>629</v>
      </c>
      <c r="E1148">
        <v>2.1340842776684537</v>
      </c>
      <c r="F1148">
        <v>294.74</v>
      </c>
    </row>
    <row r="1149" spans="1:6" x14ac:dyDescent="0.35">
      <c r="A1149">
        <v>502</v>
      </c>
      <c r="B1149" t="s">
        <v>148</v>
      </c>
      <c r="C1149">
        <v>202602</v>
      </c>
      <c r="D1149">
        <v>33373</v>
      </c>
      <c r="E1149">
        <v>107.22593496979822</v>
      </c>
      <c r="F1149">
        <v>311.24</v>
      </c>
    </row>
    <row r="1150" spans="1:6" x14ac:dyDescent="0.35">
      <c r="A1150">
        <v>504</v>
      </c>
      <c r="B1150" t="s">
        <v>148</v>
      </c>
      <c r="C1150">
        <v>202602</v>
      </c>
      <c r="D1150">
        <v>65294</v>
      </c>
      <c r="E1150">
        <v>149.58191106732951</v>
      </c>
      <c r="F1150">
        <v>436.51</v>
      </c>
    </row>
    <row r="1151" spans="1:6" x14ac:dyDescent="0.35">
      <c r="A1151">
        <v>505</v>
      </c>
      <c r="B1151" t="s">
        <v>148</v>
      </c>
      <c r="C1151">
        <v>202602</v>
      </c>
      <c r="D1151">
        <v>31887</v>
      </c>
      <c r="E1151">
        <v>85.676285668225049</v>
      </c>
      <c r="F1151">
        <v>372.18</v>
      </c>
    </row>
    <row r="1152" spans="1:6" x14ac:dyDescent="0.35">
      <c r="A1152">
        <v>506</v>
      </c>
      <c r="B1152" t="s">
        <v>148</v>
      </c>
      <c r="C1152">
        <v>202602</v>
      </c>
      <c r="D1152">
        <v>33110</v>
      </c>
      <c r="E1152">
        <v>69.898034579577356</v>
      </c>
      <c r="F1152">
        <v>473.69</v>
      </c>
    </row>
    <row r="1153" spans="1:6" x14ac:dyDescent="0.35">
      <c r="A1153">
        <v>508</v>
      </c>
      <c r="B1153" t="s">
        <v>148</v>
      </c>
      <c r="C1153">
        <v>202602</v>
      </c>
      <c r="D1153">
        <v>29506</v>
      </c>
      <c r="E1153">
        <v>72.908327155917959</v>
      </c>
      <c r="F1153">
        <v>404.7</v>
      </c>
    </row>
    <row r="1154" spans="1:6" x14ac:dyDescent="0.35">
      <c r="A1154">
        <v>507</v>
      </c>
      <c r="B1154" t="s">
        <v>148</v>
      </c>
      <c r="C1154">
        <v>202602</v>
      </c>
      <c r="D1154">
        <v>19459</v>
      </c>
      <c r="E1154">
        <v>72.07037037037037</v>
      </c>
      <c r="F1154">
        <v>270</v>
      </c>
    </row>
    <row r="1155" spans="1:6" x14ac:dyDescent="0.35">
      <c r="A1155">
        <v>520</v>
      </c>
      <c r="B1155" t="s">
        <v>148</v>
      </c>
      <c r="C1155">
        <v>202602</v>
      </c>
      <c r="D1155">
        <v>533</v>
      </c>
      <c r="E1155">
        <v>7.8382352941176467</v>
      </c>
      <c r="F1155">
        <v>68</v>
      </c>
    </row>
    <row r="1156" spans="1:6" x14ac:dyDescent="0.35">
      <c r="A1156">
        <v>521</v>
      </c>
      <c r="B1156" t="s">
        <v>148</v>
      </c>
      <c r="C1156">
        <v>202602</v>
      </c>
      <c r="D1156">
        <v>2904</v>
      </c>
      <c r="E1156">
        <v>25.03448275862069</v>
      </c>
      <c r="F1156">
        <v>116</v>
      </c>
    </row>
    <row r="1157" spans="1:6" x14ac:dyDescent="0.35">
      <c r="A1157">
        <v>784</v>
      </c>
      <c r="B1157" t="s">
        <v>148</v>
      </c>
      <c r="C1157">
        <v>202602</v>
      </c>
      <c r="D1157">
        <v>734</v>
      </c>
      <c r="E1157">
        <v>2.1767497034400951</v>
      </c>
      <c r="F1157">
        <v>337.2</v>
      </c>
    </row>
    <row r="1158" spans="1:6" x14ac:dyDescent="0.35">
      <c r="A1158">
        <v>785</v>
      </c>
      <c r="B1158" t="s">
        <v>148</v>
      </c>
      <c r="C1158">
        <v>202602</v>
      </c>
      <c r="D1158">
        <v>1007</v>
      </c>
      <c r="E1158">
        <v>1.7911775168979009</v>
      </c>
      <c r="F1158">
        <v>562.20000000000005</v>
      </c>
    </row>
    <row r="1159" spans="1:6" x14ac:dyDescent="0.35">
      <c r="A1159">
        <v>758</v>
      </c>
      <c r="B1159" t="s">
        <v>148</v>
      </c>
      <c r="C1159">
        <v>202602</v>
      </c>
      <c r="D1159">
        <v>9099</v>
      </c>
      <c r="E1159">
        <v>13.486593445684557</v>
      </c>
      <c r="F1159">
        <v>674.67</v>
      </c>
    </row>
    <row r="1160" spans="1:6" x14ac:dyDescent="0.35">
      <c r="A1160">
        <v>757</v>
      </c>
      <c r="B1160" t="s">
        <v>148</v>
      </c>
      <c r="C1160">
        <v>202602</v>
      </c>
      <c r="D1160">
        <v>15032</v>
      </c>
      <c r="E1160">
        <v>30.382407631983185</v>
      </c>
      <c r="F1160">
        <v>494.76</v>
      </c>
    </row>
    <row r="1161" spans="1:6" x14ac:dyDescent="0.35">
      <c r="A1161">
        <v>580</v>
      </c>
      <c r="B1161" t="s">
        <v>148</v>
      </c>
      <c r="C1161">
        <v>202602</v>
      </c>
      <c r="D1161">
        <v>0</v>
      </c>
      <c r="E1161">
        <v>0</v>
      </c>
      <c r="F1161">
        <v>270.68</v>
      </c>
    </row>
    <row r="1162" spans="1:6" x14ac:dyDescent="0.35">
      <c r="A1162">
        <v>582</v>
      </c>
      <c r="B1162" t="s">
        <v>148</v>
      </c>
      <c r="C1162">
        <v>202602</v>
      </c>
      <c r="D1162">
        <v>1341</v>
      </c>
      <c r="E1162">
        <v>4.4588528678304238</v>
      </c>
      <c r="F1162">
        <v>300.75</v>
      </c>
    </row>
    <row r="1163" spans="1:6" x14ac:dyDescent="0.35">
      <c r="A1163">
        <v>594</v>
      </c>
      <c r="B1163" t="s">
        <v>148</v>
      </c>
      <c r="C1163">
        <v>202602</v>
      </c>
      <c r="D1163">
        <v>9720</v>
      </c>
      <c r="E1163">
        <v>57.6</v>
      </c>
      <c r="F1163">
        <v>168.75</v>
      </c>
    </row>
    <row r="1164" spans="1:6" x14ac:dyDescent="0.35">
      <c r="A1164">
        <v>595</v>
      </c>
      <c r="B1164" t="s">
        <v>148</v>
      </c>
      <c r="C1164">
        <v>202602</v>
      </c>
      <c r="D1164">
        <v>13732</v>
      </c>
      <c r="E1164">
        <v>183.09333333333333</v>
      </c>
      <c r="F1164">
        <v>75</v>
      </c>
    </row>
    <row r="1165" spans="1:6" x14ac:dyDescent="0.35">
      <c r="A1165">
        <v>603</v>
      </c>
      <c r="B1165" t="s">
        <v>148</v>
      </c>
      <c r="C1165">
        <v>202602</v>
      </c>
      <c r="D1165">
        <v>2884</v>
      </c>
      <c r="E1165">
        <v>12.78595495655258</v>
      </c>
      <c r="F1165">
        <v>225.56</v>
      </c>
    </row>
    <row r="1166" spans="1:6" x14ac:dyDescent="0.35">
      <c r="A1166">
        <v>606</v>
      </c>
      <c r="B1166" t="s">
        <v>148</v>
      </c>
      <c r="C1166">
        <v>202602</v>
      </c>
      <c r="D1166">
        <v>3957</v>
      </c>
      <c r="E1166">
        <v>15.081754773792735</v>
      </c>
      <c r="F1166">
        <v>262.37</v>
      </c>
    </row>
    <row r="1167" spans="1:6" x14ac:dyDescent="0.35">
      <c r="A1167">
        <v>772</v>
      </c>
      <c r="B1167" t="s">
        <v>148</v>
      </c>
      <c r="C1167">
        <v>202602</v>
      </c>
      <c r="D1167">
        <v>263</v>
      </c>
      <c r="E1167">
        <v>1.2994071146245059</v>
      </c>
      <c r="F1167">
        <v>202.4</v>
      </c>
    </row>
    <row r="1168" spans="1:6" x14ac:dyDescent="0.35">
      <c r="A1168">
        <v>615</v>
      </c>
      <c r="B1168" t="s">
        <v>148</v>
      </c>
      <c r="C1168">
        <v>202602</v>
      </c>
      <c r="D1168">
        <v>3991</v>
      </c>
      <c r="E1168">
        <v>14.744347569085267</v>
      </c>
      <c r="F1168">
        <v>270.68</v>
      </c>
    </row>
    <row r="1169" spans="1:6" x14ac:dyDescent="0.35">
      <c r="A1169">
        <v>617</v>
      </c>
      <c r="B1169" t="s">
        <v>148</v>
      </c>
      <c r="C1169">
        <v>202602</v>
      </c>
      <c r="D1169">
        <v>1236</v>
      </c>
      <c r="E1169">
        <v>2.7466666666666666</v>
      </c>
      <c r="F1169">
        <v>450</v>
      </c>
    </row>
    <row r="1170" spans="1:6" x14ac:dyDescent="0.35">
      <c r="A1170">
        <v>751</v>
      </c>
      <c r="B1170" t="s">
        <v>148</v>
      </c>
      <c r="C1170">
        <v>202602</v>
      </c>
      <c r="D1170">
        <v>731</v>
      </c>
      <c r="E1170">
        <v>3.6008078419782277</v>
      </c>
      <c r="F1170">
        <v>203.01</v>
      </c>
    </row>
    <row r="1171" spans="1:6" x14ac:dyDescent="0.35">
      <c r="A1171">
        <v>752</v>
      </c>
      <c r="B1171" t="s">
        <v>148</v>
      </c>
      <c r="C1171">
        <v>202602</v>
      </c>
      <c r="D1171">
        <v>6176</v>
      </c>
      <c r="E1171">
        <v>17.856936332620133</v>
      </c>
      <c r="F1171">
        <v>345.86</v>
      </c>
    </row>
    <row r="1172" spans="1:6" x14ac:dyDescent="0.35">
      <c r="A1172">
        <v>753</v>
      </c>
      <c r="B1172" t="s">
        <v>148</v>
      </c>
      <c r="C1172">
        <v>202602</v>
      </c>
      <c r="D1172">
        <v>5234</v>
      </c>
      <c r="E1172">
        <v>10.709608773940088</v>
      </c>
      <c r="F1172">
        <v>488.72</v>
      </c>
    </row>
    <row r="1173" spans="1:6" x14ac:dyDescent="0.35">
      <c r="A1173">
        <v>754</v>
      </c>
      <c r="B1173" t="s">
        <v>148</v>
      </c>
      <c r="C1173">
        <v>202602</v>
      </c>
      <c r="D1173">
        <v>753</v>
      </c>
      <c r="E1173">
        <v>1.2518495120613125</v>
      </c>
      <c r="F1173">
        <v>601.51</v>
      </c>
    </row>
    <row r="1174" spans="1:6" x14ac:dyDescent="0.35">
      <c r="A1174">
        <v>614</v>
      </c>
      <c r="B1174" t="s">
        <v>148</v>
      </c>
      <c r="C1174">
        <v>202602</v>
      </c>
      <c r="D1174">
        <v>12099</v>
      </c>
      <c r="E1174">
        <v>21.520811099252935</v>
      </c>
      <c r="F1174">
        <v>562.20000000000005</v>
      </c>
    </row>
    <row r="1175" spans="1:6" x14ac:dyDescent="0.35">
      <c r="A1175">
        <v>797</v>
      </c>
      <c r="B1175" t="s">
        <v>148</v>
      </c>
      <c r="C1175">
        <v>202602</v>
      </c>
      <c r="D1175">
        <v>742</v>
      </c>
      <c r="E1175">
        <v>1.6496220542463316</v>
      </c>
      <c r="F1175">
        <v>449.8</v>
      </c>
    </row>
    <row r="1176" spans="1:6" x14ac:dyDescent="0.35">
      <c r="A1176">
        <v>613</v>
      </c>
      <c r="B1176" t="s">
        <v>148</v>
      </c>
      <c r="C1176">
        <v>202602</v>
      </c>
      <c r="D1176">
        <v>5944</v>
      </c>
      <c r="E1176">
        <v>20.32136752136752</v>
      </c>
      <c r="F1176">
        <v>292.5</v>
      </c>
    </row>
    <row r="1177" spans="1:6" x14ac:dyDescent="0.35">
      <c r="A1177">
        <v>767</v>
      </c>
      <c r="B1177" t="s">
        <v>148</v>
      </c>
      <c r="C1177">
        <v>202602</v>
      </c>
      <c r="D1177">
        <v>9856</v>
      </c>
      <c r="E1177">
        <v>16.432144048016006</v>
      </c>
      <c r="F1177">
        <v>599.79999999999995</v>
      </c>
    </row>
    <row r="1178" spans="1:6" x14ac:dyDescent="0.35">
      <c r="A1178">
        <v>807</v>
      </c>
      <c r="B1178" t="s">
        <v>148</v>
      </c>
      <c r="C1178">
        <v>202602</v>
      </c>
      <c r="D1178">
        <v>2659</v>
      </c>
      <c r="E1178">
        <v>13.295</v>
      </c>
      <c r="F1178">
        <v>200</v>
      </c>
    </row>
    <row r="1179" spans="1:6" x14ac:dyDescent="0.35">
      <c r="A1179">
        <v>808</v>
      </c>
      <c r="B1179" t="s">
        <v>148</v>
      </c>
      <c r="C1179">
        <v>202602</v>
      </c>
      <c r="D1179">
        <v>3634</v>
      </c>
      <c r="E1179">
        <v>12.329510755241907</v>
      </c>
      <c r="F1179">
        <v>294.74</v>
      </c>
    </row>
    <row r="1180" spans="1:6" x14ac:dyDescent="0.35">
      <c r="A1180">
        <v>502</v>
      </c>
      <c r="B1180" t="s">
        <v>149</v>
      </c>
      <c r="C1180">
        <v>202602</v>
      </c>
      <c r="D1180">
        <v>41739</v>
      </c>
      <c r="E1180">
        <v>134.10551343015035</v>
      </c>
      <c r="F1180">
        <v>311.24</v>
      </c>
    </row>
    <row r="1181" spans="1:6" x14ac:dyDescent="0.35">
      <c r="A1181">
        <v>504</v>
      </c>
      <c r="B1181" t="s">
        <v>149</v>
      </c>
      <c r="C1181">
        <v>202602</v>
      </c>
      <c r="D1181">
        <v>78386</v>
      </c>
      <c r="E1181">
        <v>179.57435110306753</v>
      </c>
      <c r="F1181">
        <v>436.51</v>
      </c>
    </row>
    <row r="1182" spans="1:6" x14ac:dyDescent="0.35">
      <c r="A1182">
        <v>505</v>
      </c>
      <c r="B1182" t="s">
        <v>149</v>
      </c>
      <c r="C1182">
        <v>202602</v>
      </c>
      <c r="D1182">
        <v>33570</v>
      </c>
      <c r="E1182">
        <v>90.198291149443818</v>
      </c>
      <c r="F1182">
        <v>372.18</v>
      </c>
    </row>
    <row r="1183" spans="1:6" x14ac:dyDescent="0.35">
      <c r="A1183">
        <v>506</v>
      </c>
      <c r="B1183" t="s">
        <v>149</v>
      </c>
      <c r="C1183">
        <v>202602</v>
      </c>
      <c r="D1183">
        <v>36862</v>
      </c>
      <c r="E1183">
        <v>77.818826658785284</v>
      </c>
      <c r="F1183">
        <v>473.69</v>
      </c>
    </row>
    <row r="1184" spans="1:6" x14ac:dyDescent="0.35">
      <c r="A1184">
        <v>508</v>
      </c>
      <c r="B1184" t="s">
        <v>149</v>
      </c>
      <c r="C1184">
        <v>202602</v>
      </c>
      <c r="D1184">
        <v>28129</v>
      </c>
      <c r="E1184">
        <v>69.505806770447251</v>
      </c>
      <c r="F1184">
        <v>404.7</v>
      </c>
    </row>
    <row r="1185" spans="1:6" x14ac:dyDescent="0.35">
      <c r="A1185">
        <v>507</v>
      </c>
      <c r="B1185" t="s">
        <v>149</v>
      </c>
      <c r="C1185">
        <v>202602</v>
      </c>
      <c r="D1185">
        <v>19922</v>
      </c>
      <c r="E1185">
        <v>73.785185185185185</v>
      </c>
      <c r="F1185">
        <v>270</v>
      </c>
    </row>
    <row r="1186" spans="1:6" x14ac:dyDescent="0.35">
      <c r="A1186">
        <v>520</v>
      </c>
      <c r="B1186" t="s">
        <v>149</v>
      </c>
      <c r="C1186">
        <v>202602</v>
      </c>
      <c r="D1186">
        <v>499</v>
      </c>
      <c r="E1186">
        <v>7.3382352941176467</v>
      </c>
      <c r="F1186">
        <v>68</v>
      </c>
    </row>
    <row r="1187" spans="1:6" x14ac:dyDescent="0.35">
      <c r="A1187">
        <v>521</v>
      </c>
      <c r="B1187" t="s">
        <v>149</v>
      </c>
      <c r="C1187">
        <v>202602</v>
      </c>
      <c r="D1187">
        <v>2616</v>
      </c>
      <c r="E1187">
        <v>22.551724137931036</v>
      </c>
      <c r="F1187">
        <v>116</v>
      </c>
    </row>
    <row r="1188" spans="1:6" x14ac:dyDescent="0.35">
      <c r="A1188">
        <v>784</v>
      </c>
      <c r="B1188" t="s">
        <v>149</v>
      </c>
      <c r="C1188">
        <v>202602</v>
      </c>
      <c r="D1188">
        <v>667</v>
      </c>
      <c r="E1188">
        <v>1.9780545670225387</v>
      </c>
      <c r="F1188">
        <v>337.2</v>
      </c>
    </row>
    <row r="1189" spans="1:6" x14ac:dyDescent="0.35">
      <c r="A1189">
        <v>785</v>
      </c>
      <c r="B1189" t="s">
        <v>149</v>
      </c>
      <c r="C1189">
        <v>202602</v>
      </c>
      <c r="D1189">
        <v>1013</v>
      </c>
      <c r="E1189">
        <v>1.8018498754891497</v>
      </c>
      <c r="F1189">
        <v>562.20000000000005</v>
      </c>
    </row>
    <row r="1190" spans="1:6" x14ac:dyDescent="0.35">
      <c r="A1190">
        <v>758</v>
      </c>
      <c r="B1190" t="s">
        <v>149</v>
      </c>
      <c r="C1190">
        <v>202602</v>
      </c>
      <c r="D1190">
        <v>8677</v>
      </c>
      <c r="E1190">
        <v>12.861102464908772</v>
      </c>
      <c r="F1190">
        <v>674.67</v>
      </c>
    </row>
    <row r="1191" spans="1:6" x14ac:dyDescent="0.35">
      <c r="A1191">
        <v>757</v>
      </c>
      <c r="B1191" t="s">
        <v>149</v>
      </c>
      <c r="C1191">
        <v>202602</v>
      </c>
      <c r="D1191">
        <v>13158</v>
      </c>
      <c r="E1191">
        <v>26.594712587921418</v>
      </c>
      <c r="F1191">
        <v>494.76</v>
      </c>
    </row>
    <row r="1192" spans="1:6" x14ac:dyDescent="0.35">
      <c r="A1192">
        <v>580</v>
      </c>
      <c r="B1192" t="s">
        <v>149</v>
      </c>
      <c r="C1192">
        <v>202602</v>
      </c>
      <c r="D1192">
        <v>0</v>
      </c>
      <c r="E1192">
        <v>0</v>
      </c>
      <c r="F1192">
        <v>270.68</v>
      </c>
    </row>
    <row r="1193" spans="1:6" x14ac:dyDescent="0.35">
      <c r="A1193">
        <v>582</v>
      </c>
      <c r="B1193" t="s">
        <v>149</v>
      </c>
      <c r="C1193">
        <v>202602</v>
      </c>
      <c r="D1193">
        <v>2969</v>
      </c>
      <c r="E1193">
        <v>9.8719866999168744</v>
      </c>
      <c r="F1193">
        <v>300.75</v>
      </c>
    </row>
    <row r="1194" spans="1:6" x14ac:dyDescent="0.35">
      <c r="A1194">
        <v>594</v>
      </c>
      <c r="B1194" t="s">
        <v>149</v>
      </c>
      <c r="C1194">
        <v>202602</v>
      </c>
      <c r="D1194">
        <v>15986</v>
      </c>
      <c r="E1194">
        <v>94.731851851851857</v>
      </c>
      <c r="F1194">
        <v>168.75</v>
      </c>
    </row>
    <row r="1195" spans="1:6" x14ac:dyDescent="0.35">
      <c r="A1195">
        <v>595</v>
      </c>
      <c r="B1195" t="s">
        <v>149</v>
      </c>
      <c r="C1195">
        <v>202602</v>
      </c>
      <c r="D1195">
        <v>15184</v>
      </c>
      <c r="E1195">
        <v>202.45333333333335</v>
      </c>
      <c r="F1195">
        <v>75</v>
      </c>
    </row>
    <row r="1196" spans="1:6" x14ac:dyDescent="0.35">
      <c r="A1196">
        <v>603</v>
      </c>
      <c r="B1196" t="s">
        <v>149</v>
      </c>
      <c r="C1196">
        <v>202602</v>
      </c>
      <c r="D1196">
        <v>2537</v>
      </c>
      <c r="E1196">
        <v>11.24756162440149</v>
      </c>
      <c r="F1196">
        <v>225.56</v>
      </c>
    </row>
    <row r="1197" spans="1:6" x14ac:dyDescent="0.35">
      <c r="A1197">
        <v>606</v>
      </c>
      <c r="B1197" t="s">
        <v>149</v>
      </c>
      <c r="C1197">
        <v>202602</v>
      </c>
      <c r="D1197">
        <v>2368</v>
      </c>
      <c r="E1197">
        <v>9.0254221138087427</v>
      </c>
      <c r="F1197">
        <v>262.37</v>
      </c>
    </row>
    <row r="1198" spans="1:6" x14ac:dyDescent="0.35">
      <c r="A1198">
        <v>772</v>
      </c>
      <c r="B1198" t="s">
        <v>149</v>
      </c>
      <c r="C1198">
        <v>202602</v>
      </c>
      <c r="D1198">
        <v>633</v>
      </c>
      <c r="E1198">
        <v>3.1274703557312251</v>
      </c>
      <c r="F1198">
        <v>202.4</v>
      </c>
    </row>
    <row r="1199" spans="1:6" x14ac:dyDescent="0.35">
      <c r="A1199">
        <v>615</v>
      </c>
      <c r="B1199" t="s">
        <v>149</v>
      </c>
      <c r="C1199">
        <v>202602</v>
      </c>
      <c r="D1199">
        <v>4877</v>
      </c>
      <c r="E1199">
        <v>18.017585340623615</v>
      </c>
      <c r="F1199">
        <v>270.68</v>
      </c>
    </row>
    <row r="1200" spans="1:6" x14ac:dyDescent="0.35">
      <c r="A1200">
        <v>617</v>
      </c>
      <c r="B1200" t="s">
        <v>149</v>
      </c>
      <c r="C1200">
        <v>202602</v>
      </c>
      <c r="D1200">
        <v>2068</v>
      </c>
      <c r="E1200">
        <v>4.5955555555555554</v>
      </c>
      <c r="F1200">
        <v>450</v>
      </c>
    </row>
    <row r="1201" spans="1:6" x14ac:dyDescent="0.35">
      <c r="A1201">
        <v>751</v>
      </c>
      <c r="B1201" t="s">
        <v>149</v>
      </c>
      <c r="C1201">
        <v>202602</v>
      </c>
      <c r="D1201">
        <v>1174</v>
      </c>
      <c r="E1201">
        <v>5.7829663563371261</v>
      </c>
      <c r="F1201">
        <v>203.01</v>
      </c>
    </row>
    <row r="1202" spans="1:6" x14ac:dyDescent="0.35">
      <c r="A1202">
        <v>752</v>
      </c>
      <c r="B1202" t="s">
        <v>149</v>
      </c>
      <c r="C1202">
        <v>202602</v>
      </c>
      <c r="D1202">
        <v>6185</v>
      </c>
      <c r="E1202">
        <v>17.882958422483085</v>
      </c>
      <c r="F1202">
        <v>345.86</v>
      </c>
    </row>
    <row r="1203" spans="1:6" x14ac:dyDescent="0.35">
      <c r="A1203">
        <v>753</v>
      </c>
      <c r="B1203" t="s">
        <v>149</v>
      </c>
      <c r="C1203">
        <v>202602</v>
      </c>
      <c r="D1203">
        <v>7763</v>
      </c>
      <c r="E1203">
        <v>15.884350957603536</v>
      </c>
      <c r="F1203">
        <v>488.72</v>
      </c>
    </row>
    <row r="1204" spans="1:6" x14ac:dyDescent="0.35">
      <c r="A1204">
        <v>754</v>
      </c>
      <c r="B1204" t="s">
        <v>149</v>
      </c>
      <c r="C1204">
        <v>202602</v>
      </c>
      <c r="D1204">
        <v>1487</v>
      </c>
      <c r="E1204">
        <v>2.4721118518395371</v>
      </c>
      <c r="F1204">
        <v>601.51</v>
      </c>
    </row>
    <row r="1205" spans="1:6" x14ac:dyDescent="0.35">
      <c r="A1205">
        <v>614</v>
      </c>
      <c r="B1205" t="s">
        <v>149</v>
      </c>
      <c r="C1205">
        <v>202602</v>
      </c>
      <c r="D1205">
        <v>11214</v>
      </c>
      <c r="E1205">
        <v>19.946638207043755</v>
      </c>
      <c r="F1205">
        <v>562.20000000000005</v>
      </c>
    </row>
    <row r="1206" spans="1:6" x14ac:dyDescent="0.35">
      <c r="A1206">
        <v>797</v>
      </c>
      <c r="B1206" t="s">
        <v>149</v>
      </c>
      <c r="C1206">
        <v>202602</v>
      </c>
      <c r="D1206">
        <v>0</v>
      </c>
      <c r="E1206">
        <v>0</v>
      </c>
      <c r="F1206">
        <v>449.8</v>
      </c>
    </row>
    <row r="1207" spans="1:6" x14ac:dyDescent="0.35">
      <c r="A1207">
        <v>613</v>
      </c>
      <c r="B1207" t="s">
        <v>149</v>
      </c>
      <c r="C1207">
        <v>202602</v>
      </c>
      <c r="D1207">
        <v>7928</v>
      </c>
      <c r="E1207">
        <v>27.104273504273504</v>
      </c>
      <c r="F1207">
        <v>292.5</v>
      </c>
    </row>
    <row r="1208" spans="1:6" x14ac:dyDescent="0.35">
      <c r="A1208">
        <v>767</v>
      </c>
      <c r="B1208" t="s">
        <v>149</v>
      </c>
      <c r="C1208">
        <v>202602</v>
      </c>
      <c r="D1208">
        <v>8064</v>
      </c>
      <c r="E1208">
        <v>13.444481493831278</v>
      </c>
      <c r="F1208">
        <v>599.79999999999995</v>
      </c>
    </row>
    <row r="1209" spans="1:6" x14ac:dyDescent="0.35">
      <c r="A1209">
        <v>807</v>
      </c>
      <c r="B1209" t="s">
        <v>149</v>
      </c>
      <c r="C1209">
        <v>202602</v>
      </c>
      <c r="D1209">
        <v>2197</v>
      </c>
      <c r="E1209">
        <v>10.984999999999999</v>
      </c>
      <c r="F1209">
        <v>200</v>
      </c>
    </row>
    <row r="1210" spans="1:6" x14ac:dyDescent="0.35">
      <c r="A1210">
        <v>808</v>
      </c>
      <c r="B1210" t="s">
        <v>149</v>
      </c>
      <c r="C1210">
        <v>202602</v>
      </c>
      <c r="D1210">
        <v>2962</v>
      </c>
      <c r="E1210">
        <v>10.049535183551605</v>
      </c>
      <c r="F1210">
        <v>294.74</v>
      </c>
    </row>
    <row r="1211" spans="1:6" x14ac:dyDescent="0.35">
      <c r="A1211">
        <v>502</v>
      </c>
      <c r="B1211" t="s">
        <v>167</v>
      </c>
      <c r="C1211">
        <v>202602</v>
      </c>
      <c r="D1211">
        <v>59370</v>
      </c>
      <c r="E1211">
        <v>190.75311656599408</v>
      </c>
      <c r="F1211">
        <v>311.24</v>
      </c>
    </row>
    <row r="1212" spans="1:6" x14ac:dyDescent="0.35">
      <c r="A1212">
        <v>504</v>
      </c>
      <c r="B1212" t="s">
        <v>167</v>
      </c>
      <c r="C1212">
        <v>202602</v>
      </c>
      <c r="D1212">
        <v>88988</v>
      </c>
      <c r="E1212">
        <v>203.86245446839706</v>
      </c>
      <c r="F1212">
        <v>436.51</v>
      </c>
    </row>
    <row r="1213" spans="1:6" x14ac:dyDescent="0.35">
      <c r="A1213">
        <v>505</v>
      </c>
      <c r="B1213" t="s">
        <v>167</v>
      </c>
      <c r="C1213">
        <v>202602</v>
      </c>
      <c r="D1213">
        <v>33559</v>
      </c>
      <c r="E1213">
        <v>90.168735558063304</v>
      </c>
      <c r="F1213">
        <v>372.18</v>
      </c>
    </row>
    <row r="1214" spans="1:6" x14ac:dyDescent="0.35">
      <c r="A1214">
        <v>506</v>
      </c>
      <c r="B1214" t="s">
        <v>167</v>
      </c>
      <c r="C1214">
        <v>202602</v>
      </c>
      <c r="D1214">
        <v>33956</v>
      </c>
      <c r="E1214">
        <v>71.684012750955262</v>
      </c>
      <c r="F1214">
        <v>473.69</v>
      </c>
    </row>
    <row r="1215" spans="1:6" x14ac:dyDescent="0.35">
      <c r="A1215">
        <v>508</v>
      </c>
      <c r="B1215" t="s">
        <v>167</v>
      </c>
      <c r="C1215">
        <v>202602</v>
      </c>
      <c r="D1215">
        <v>54009</v>
      </c>
      <c r="E1215">
        <v>133.45441067457375</v>
      </c>
      <c r="F1215">
        <v>404.7</v>
      </c>
    </row>
    <row r="1216" spans="1:6" x14ac:dyDescent="0.35">
      <c r="A1216">
        <v>507</v>
      </c>
      <c r="B1216" t="s">
        <v>167</v>
      </c>
      <c r="C1216">
        <v>202602</v>
      </c>
      <c r="D1216">
        <v>51259</v>
      </c>
      <c r="E1216">
        <v>189.84814814814814</v>
      </c>
      <c r="F1216">
        <v>270</v>
      </c>
    </row>
    <row r="1217" spans="1:6" x14ac:dyDescent="0.35">
      <c r="A1217">
        <v>520</v>
      </c>
      <c r="B1217" t="s">
        <v>167</v>
      </c>
      <c r="C1217">
        <v>202602</v>
      </c>
      <c r="D1217">
        <v>536</v>
      </c>
      <c r="E1217">
        <v>7.882352941176471</v>
      </c>
      <c r="F1217">
        <v>68</v>
      </c>
    </row>
    <row r="1218" spans="1:6" x14ac:dyDescent="0.35">
      <c r="A1218">
        <v>521</v>
      </c>
      <c r="B1218" t="s">
        <v>167</v>
      </c>
      <c r="C1218">
        <v>202602</v>
      </c>
      <c r="D1218">
        <v>4046</v>
      </c>
      <c r="E1218">
        <v>34.879310344827587</v>
      </c>
      <c r="F1218">
        <v>116</v>
      </c>
    </row>
    <row r="1219" spans="1:6" x14ac:dyDescent="0.35">
      <c r="A1219">
        <v>784</v>
      </c>
      <c r="B1219" t="s">
        <v>167</v>
      </c>
      <c r="C1219">
        <v>202602</v>
      </c>
      <c r="D1219">
        <v>1094</v>
      </c>
      <c r="E1219">
        <v>3.2443653618030845</v>
      </c>
      <c r="F1219">
        <v>337.2</v>
      </c>
    </row>
    <row r="1220" spans="1:6" x14ac:dyDescent="0.35">
      <c r="A1220">
        <v>785</v>
      </c>
      <c r="B1220" t="s">
        <v>167</v>
      </c>
      <c r="C1220">
        <v>202602</v>
      </c>
      <c r="D1220">
        <v>1534</v>
      </c>
      <c r="E1220">
        <v>2.7285663464959087</v>
      </c>
      <c r="F1220">
        <v>562.20000000000005</v>
      </c>
    </row>
    <row r="1221" spans="1:6" x14ac:dyDescent="0.35">
      <c r="A1221">
        <v>758</v>
      </c>
      <c r="B1221" t="s">
        <v>167</v>
      </c>
      <c r="C1221">
        <v>202602</v>
      </c>
      <c r="D1221">
        <v>10818</v>
      </c>
      <c r="E1221">
        <v>16.034505758370759</v>
      </c>
      <c r="F1221">
        <v>674.67</v>
      </c>
    </row>
    <row r="1222" spans="1:6" x14ac:dyDescent="0.35">
      <c r="A1222">
        <v>757</v>
      </c>
      <c r="B1222" t="s">
        <v>167</v>
      </c>
      <c r="C1222">
        <v>202602</v>
      </c>
      <c r="D1222">
        <v>24230</v>
      </c>
      <c r="E1222">
        <v>48.973239550489126</v>
      </c>
      <c r="F1222">
        <v>494.76</v>
      </c>
    </row>
    <row r="1223" spans="1:6" x14ac:dyDescent="0.35">
      <c r="A1223">
        <v>580</v>
      </c>
      <c r="B1223" t="s">
        <v>167</v>
      </c>
      <c r="C1223">
        <v>202602</v>
      </c>
      <c r="D1223">
        <v>0</v>
      </c>
      <c r="E1223">
        <v>0</v>
      </c>
      <c r="F1223">
        <v>270.68</v>
      </c>
    </row>
    <row r="1224" spans="1:6" x14ac:dyDescent="0.35">
      <c r="A1224">
        <v>582</v>
      </c>
      <c r="B1224" t="s">
        <v>167</v>
      </c>
      <c r="C1224">
        <v>202602</v>
      </c>
      <c r="D1224">
        <v>2020</v>
      </c>
      <c r="E1224">
        <v>6.7165419783873652</v>
      </c>
      <c r="F1224">
        <v>300.75</v>
      </c>
    </row>
    <row r="1225" spans="1:6" x14ac:dyDescent="0.35">
      <c r="A1225">
        <v>594</v>
      </c>
      <c r="B1225" t="s">
        <v>167</v>
      </c>
      <c r="C1225">
        <v>202602</v>
      </c>
      <c r="D1225">
        <v>27219</v>
      </c>
      <c r="E1225">
        <v>161.29777777777778</v>
      </c>
      <c r="F1225">
        <v>168.75</v>
      </c>
    </row>
    <row r="1226" spans="1:6" x14ac:dyDescent="0.35">
      <c r="A1226">
        <v>595</v>
      </c>
      <c r="B1226" t="s">
        <v>167</v>
      </c>
      <c r="C1226">
        <v>202602</v>
      </c>
      <c r="D1226">
        <v>42556</v>
      </c>
      <c r="E1226">
        <v>567.4133333333333</v>
      </c>
      <c r="F1226">
        <v>75</v>
      </c>
    </row>
    <row r="1227" spans="1:6" x14ac:dyDescent="0.35">
      <c r="A1227">
        <v>603</v>
      </c>
      <c r="B1227" t="s">
        <v>167</v>
      </c>
      <c r="C1227">
        <v>202602</v>
      </c>
      <c r="D1227">
        <v>5430</v>
      </c>
      <c r="E1227">
        <v>24.073417272566058</v>
      </c>
      <c r="F1227">
        <v>225.56</v>
      </c>
    </row>
    <row r="1228" spans="1:6" x14ac:dyDescent="0.35">
      <c r="A1228">
        <v>606</v>
      </c>
      <c r="B1228" t="s">
        <v>167</v>
      </c>
      <c r="C1228">
        <v>202602</v>
      </c>
      <c r="D1228">
        <v>6181</v>
      </c>
      <c r="E1228">
        <v>23.558333650950946</v>
      </c>
      <c r="F1228">
        <v>262.37</v>
      </c>
    </row>
    <row r="1229" spans="1:6" x14ac:dyDescent="0.35">
      <c r="A1229">
        <v>772</v>
      </c>
      <c r="B1229" t="s">
        <v>167</v>
      </c>
      <c r="C1229">
        <v>202602</v>
      </c>
      <c r="D1229">
        <v>439</v>
      </c>
      <c r="E1229">
        <v>2.1689723320158101</v>
      </c>
      <c r="F1229">
        <v>202.4</v>
      </c>
    </row>
    <row r="1230" spans="1:6" x14ac:dyDescent="0.35">
      <c r="A1230">
        <v>615</v>
      </c>
      <c r="B1230" t="s">
        <v>167</v>
      </c>
      <c r="C1230">
        <v>202602</v>
      </c>
      <c r="D1230">
        <v>8569</v>
      </c>
      <c r="E1230">
        <v>31.657307521796955</v>
      </c>
      <c r="F1230">
        <v>270.68</v>
      </c>
    </row>
    <row r="1231" spans="1:6" x14ac:dyDescent="0.35">
      <c r="A1231">
        <v>617</v>
      </c>
      <c r="B1231" t="s">
        <v>167</v>
      </c>
      <c r="C1231">
        <v>202602</v>
      </c>
      <c r="D1231">
        <v>2146</v>
      </c>
      <c r="E1231">
        <v>4.7688888888888892</v>
      </c>
      <c r="F1231">
        <v>450</v>
      </c>
    </row>
    <row r="1232" spans="1:6" x14ac:dyDescent="0.35">
      <c r="A1232">
        <v>751</v>
      </c>
      <c r="B1232" t="s">
        <v>167</v>
      </c>
      <c r="C1232">
        <v>202602</v>
      </c>
      <c r="D1232">
        <v>397</v>
      </c>
      <c r="E1232">
        <v>1.9555686911974781</v>
      </c>
      <c r="F1232">
        <v>203.01</v>
      </c>
    </row>
    <row r="1233" spans="1:6" x14ac:dyDescent="0.35">
      <c r="A1233">
        <v>752</v>
      </c>
      <c r="B1233" t="s">
        <v>167</v>
      </c>
      <c r="C1233">
        <v>202602</v>
      </c>
      <c r="D1233">
        <v>7079</v>
      </c>
      <c r="E1233">
        <v>20.467819348869483</v>
      </c>
      <c r="F1233">
        <v>345.86</v>
      </c>
    </row>
    <row r="1234" spans="1:6" x14ac:dyDescent="0.35">
      <c r="A1234">
        <v>753</v>
      </c>
      <c r="B1234" t="s">
        <v>167</v>
      </c>
      <c r="C1234">
        <v>202602</v>
      </c>
      <c r="D1234">
        <v>8090</v>
      </c>
      <c r="E1234">
        <v>16.553445735799638</v>
      </c>
      <c r="F1234">
        <v>488.72</v>
      </c>
    </row>
    <row r="1235" spans="1:6" x14ac:dyDescent="0.35">
      <c r="A1235">
        <v>754</v>
      </c>
      <c r="B1235" t="s">
        <v>167</v>
      </c>
      <c r="C1235">
        <v>202602</v>
      </c>
      <c r="D1235">
        <v>4341</v>
      </c>
      <c r="E1235">
        <v>7.2168376253096378</v>
      </c>
      <c r="F1235">
        <v>601.51</v>
      </c>
    </row>
    <row r="1236" spans="1:6" x14ac:dyDescent="0.35">
      <c r="A1236">
        <v>614</v>
      </c>
      <c r="B1236" t="s">
        <v>167</v>
      </c>
      <c r="C1236">
        <v>202602</v>
      </c>
      <c r="D1236">
        <v>19381</v>
      </c>
      <c r="E1236">
        <v>34.473496976165066</v>
      </c>
      <c r="F1236">
        <v>562.20000000000005</v>
      </c>
    </row>
    <row r="1237" spans="1:6" x14ac:dyDescent="0.35">
      <c r="A1237">
        <v>797</v>
      </c>
      <c r="B1237" t="s">
        <v>167</v>
      </c>
      <c r="C1237">
        <v>202602</v>
      </c>
      <c r="D1237">
        <v>1702</v>
      </c>
      <c r="E1237">
        <v>3.783903957314362</v>
      </c>
      <c r="F1237">
        <v>449.8</v>
      </c>
    </row>
    <row r="1238" spans="1:6" x14ac:dyDescent="0.35">
      <c r="A1238">
        <v>613</v>
      </c>
      <c r="B1238" t="s">
        <v>167</v>
      </c>
      <c r="C1238">
        <v>202602</v>
      </c>
      <c r="D1238">
        <v>9399</v>
      </c>
      <c r="E1238">
        <v>32.133333333333333</v>
      </c>
      <c r="F1238">
        <v>292.5</v>
      </c>
    </row>
    <row r="1239" spans="1:6" x14ac:dyDescent="0.35">
      <c r="A1239">
        <v>767</v>
      </c>
      <c r="B1239" t="s">
        <v>167</v>
      </c>
      <c r="C1239">
        <v>202602</v>
      </c>
      <c r="D1239">
        <v>7512</v>
      </c>
      <c r="E1239">
        <v>12.524174724908304</v>
      </c>
      <c r="F1239">
        <v>599.79999999999995</v>
      </c>
    </row>
    <row r="1240" spans="1:6" x14ac:dyDescent="0.35">
      <c r="A1240">
        <v>807</v>
      </c>
      <c r="B1240" t="s">
        <v>167</v>
      </c>
      <c r="C1240">
        <v>202602</v>
      </c>
      <c r="D1240">
        <v>2535</v>
      </c>
      <c r="E1240">
        <v>12.675000000000001</v>
      </c>
      <c r="F1240">
        <v>200</v>
      </c>
    </row>
    <row r="1241" spans="1:6" x14ac:dyDescent="0.35">
      <c r="A1241">
        <v>808</v>
      </c>
      <c r="B1241" t="s">
        <v>167</v>
      </c>
      <c r="C1241">
        <v>202602</v>
      </c>
      <c r="D1241">
        <v>3994</v>
      </c>
      <c r="E1241">
        <v>13.550926240075999</v>
      </c>
      <c r="F1241">
        <v>294.74</v>
      </c>
    </row>
    <row r="1242" spans="1:6" x14ac:dyDescent="0.35">
      <c r="A1242">
        <v>502</v>
      </c>
      <c r="B1242" t="s">
        <v>168</v>
      </c>
      <c r="C1242">
        <v>202602</v>
      </c>
      <c r="D1242">
        <v>46653</v>
      </c>
      <c r="E1242">
        <v>149.89397249710834</v>
      </c>
      <c r="F1242">
        <v>311.24</v>
      </c>
    </row>
    <row r="1243" spans="1:6" x14ac:dyDescent="0.35">
      <c r="A1243">
        <v>504</v>
      </c>
      <c r="B1243" t="s">
        <v>168</v>
      </c>
      <c r="C1243">
        <v>202602</v>
      </c>
      <c r="D1243">
        <v>68445</v>
      </c>
      <c r="E1243">
        <v>156.80053148839662</v>
      </c>
      <c r="F1243">
        <v>436.51</v>
      </c>
    </row>
    <row r="1244" spans="1:6" x14ac:dyDescent="0.35">
      <c r="A1244">
        <v>505</v>
      </c>
      <c r="B1244" t="s">
        <v>168</v>
      </c>
      <c r="C1244">
        <v>202602</v>
      </c>
      <c r="D1244">
        <v>25535</v>
      </c>
      <c r="E1244">
        <v>68.60927508194959</v>
      </c>
      <c r="F1244">
        <v>372.18</v>
      </c>
    </row>
    <row r="1245" spans="1:6" x14ac:dyDescent="0.35">
      <c r="A1245">
        <v>506</v>
      </c>
      <c r="B1245" t="s">
        <v>168</v>
      </c>
      <c r="C1245">
        <v>202602</v>
      </c>
      <c r="D1245">
        <v>23904</v>
      </c>
      <c r="E1245">
        <v>50.463383225316136</v>
      </c>
      <c r="F1245">
        <v>473.69</v>
      </c>
    </row>
    <row r="1246" spans="1:6" x14ac:dyDescent="0.35">
      <c r="A1246">
        <v>508</v>
      </c>
      <c r="B1246" t="s">
        <v>168</v>
      </c>
      <c r="C1246">
        <v>202602</v>
      </c>
      <c r="D1246">
        <v>39522</v>
      </c>
      <c r="E1246">
        <v>97.657524091919939</v>
      </c>
      <c r="F1246">
        <v>404.7</v>
      </c>
    </row>
    <row r="1247" spans="1:6" x14ac:dyDescent="0.35">
      <c r="A1247">
        <v>507</v>
      </c>
      <c r="B1247" t="s">
        <v>168</v>
      </c>
      <c r="C1247">
        <v>202602</v>
      </c>
      <c r="D1247">
        <v>41601</v>
      </c>
      <c r="E1247">
        <v>154.07777777777778</v>
      </c>
      <c r="F1247">
        <v>270</v>
      </c>
    </row>
    <row r="1248" spans="1:6" x14ac:dyDescent="0.35">
      <c r="A1248">
        <v>520</v>
      </c>
      <c r="B1248" t="s">
        <v>168</v>
      </c>
      <c r="C1248">
        <v>202602</v>
      </c>
      <c r="D1248">
        <v>409</v>
      </c>
      <c r="E1248">
        <v>6.0147058823529411</v>
      </c>
      <c r="F1248">
        <v>68</v>
      </c>
    </row>
    <row r="1249" spans="1:6" x14ac:dyDescent="0.35">
      <c r="A1249">
        <v>521</v>
      </c>
      <c r="B1249" t="s">
        <v>168</v>
      </c>
      <c r="C1249">
        <v>202602</v>
      </c>
      <c r="D1249">
        <v>3311</v>
      </c>
      <c r="E1249">
        <v>28.543103448275861</v>
      </c>
      <c r="F1249">
        <v>116</v>
      </c>
    </row>
    <row r="1250" spans="1:6" x14ac:dyDescent="0.35">
      <c r="A1250">
        <v>784</v>
      </c>
      <c r="B1250" t="s">
        <v>168</v>
      </c>
      <c r="C1250">
        <v>202602</v>
      </c>
      <c r="D1250">
        <v>601</v>
      </c>
      <c r="E1250">
        <v>1.7823250296559905</v>
      </c>
      <c r="F1250">
        <v>337.2</v>
      </c>
    </row>
    <row r="1251" spans="1:6" x14ac:dyDescent="0.35">
      <c r="A1251">
        <v>785</v>
      </c>
      <c r="B1251" t="s">
        <v>168</v>
      </c>
      <c r="C1251">
        <v>202602</v>
      </c>
      <c r="D1251">
        <v>851</v>
      </c>
      <c r="E1251">
        <v>1.5136961935254356</v>
      </c>
      <c r="F1251">
        <v>562.20000000000005</v>
      </c>
    </row>
    <row r="1252" spans="1:6" x14ac:dyDescent="0.35">
      <c r="A1252">
        <v>758</v>
      </c>
      <c r="B1252" t="s">
        <v>168</v>
      </c>
      <c r="C1252">
        <v>202602</v>
      </c>
      <c r="D1252">
        <v>7902</v>
      </c>
      <c r="E1252">
        <v>11.712392725332386</v>
      </c>
      <c r="F1252">
        <v>674.67</v>
      </c>
    </row>
    <row r="1253" spans="1:6" x14ac:dyDescent="0.35">
      <c r="A1253">
        <v>757</v>
      </c>
      <c r="B1253" t="s">
        <v>168</v>
      </c>
      <c r="C1253">
        <v>202602</v>
      </c>
      <c r="D1253">
        <v>24039</v>
      </c>
      <c r="E1253">
        <v>48.587193790928936</v>
      </c>
      <c r="F1253">
        <v>494.76</v>
      </c>
    </row>
    <row r="1254" spans="1:6" x14ac:dyDescent="0.35">
      <c r="A1254">
        <v>580</v>
      </c>
      <c r="B1254" t="s">
        <v>168</v>
      </c>
      <c r="C1254">
        <v>202602</v>
      </c>
      <c r="D1254">
        <v>0</v>
      </c>
      <c r="E1254">
        <v>0</v>
      </c>
      <c r="F1254">
        <v>270.68</v>
      </c>
    </row>
    <row r="1255" spans="1:6" x14ac:dyDescent="0.35">
      <c r="A1255">
        <v>582</v>
      </c>
      <c r="B1255" t="s">
        <v>168</v>
      </c>
      <c r="C1255">
        <v>202602</v>
      </c>
      <c r="D1255">
        <v>4159</v>
      </c>
      <c r="E1255">
        <v>13.828761429758936</v>
      </c>
      <c r="F1255">
        <v>300.75</v>
      </c>
    </row>
    <row r="1256" spans="1:6" x14ac:dyDescent="0.35">
      <c r="A1256">
        <v>594</v>
      </c>
      <c r="B1256" t="s">
        <v>168</v>
      </c>
      <c r="C1256">
        <v>202602</v>
      </c>
      <c r="D1256">
        <v>16907</v>
      </c>
      <c r="E1256">
        <v>100.18962962962964</v>
      </c>
      <c r="F1256">
        <v>168.75</v>
      </c>
    </row>
    <row r="1257" spans="1:6" x14ac:dyDescent="0.35">
      <c r="A1257">
        <v>595</v>
      </c>
      <c r="B1257" t="s">
        <v>168</v>
      </c>
      <c r="C1257">
        <v>202602</v>
      </c>
      <c r="D1257">
        <v>33035</v>
      </c>
      <c r="E1257">
        <v>440.46666666666664</v>
      </c>
      <c r="F1257">
        <v>75</v>
      </c>
    </row>
    <row r="1258" spans="1:6" x14ac:dyDescent="0.35">
      <c r="A1258">
        <v>603</v>
      </c>
      <c r="B1258" t="s">
        <v>168</v>
      </c>
      <c r="C1258">
        <v>202602</v>
      </c>
      <c r="D1258">
        <v>3656</v>
      </c>
      <c r="E1258">
        <v>16.208547614825324</v>
      </c>
      <c r="F1258">
        <v>225.56</v>
      </c>
    </row>
    <row r="1259" spans="1:6" x14ac:dyDescent="0.35">
      <c r="A1259">
        <v>606</v>
      </c>
      <c r="B1259" t="s">
        <v>168</v>
      </c>
      <c r="C1259">
        <v>202602</v>
      </c>
      <c r="D1259">
        <v>3349</v>
      </c>
      <c r="E1259">
        <v>12.76441666349049</v>
      </c>
      <c r="F1259">
        <v>262.37</v>
      </c>
    </row>
    <row r="1260" spans="1:6" x14ac:dyDescent="0.35">
      <c r="A1260">
        <v>772</v>
      </c>
      <c r="B1260" t="s">
        <v>168</v>
      </c>
      <c r="C1260">
        <v>202602</v>
      </c>
      <c r="D1260">
        <v>280</v>
      </c>
      <c r="E1260">
        <v>1.383399209486166</v>
      </c>
      <c r="F1260">
        <v>202.4</v>
      </c>
    </row>
    <row r="1261" spans="1:6" x14ac:dyDescent="0.35">
      <c r="A1261">
        <v>615</v>
      </c>
      <c r="B1261" t="s">
        <v>168</v>
      </c>
      <c r="C1261">
        <v>202602</v>
      </c>
      <c r="D1261">
        <v>7458</v>
      </c>
      <c r="E1261">
        <v>27.552829909856655</v>
      </c>
      <c r="F1261">
        <v>270.68</v>
      </c>
    </row>
    <row r="1262" spans="1:6" x14ac:dyDescent="0.35">
      <c r="A1262">
        <v>617</v>
      </c>
      <c r="B1262" t="s">
        <v>168</v>
      </c>
      <c r="C1262">
        <v>202602</v>
      </c>
      <c r="D1262">
        <v>1675</v>
      </c>
      <c r="E1262">
        <v>3.7222222222222223</v>
      </c>
      <c r="F1262">
        <v>450</v>
      </c>
    </row>
    <row r="1263" spans="1:6" x14ac:dyDescent="0.35">
      <c r="A1263">
        <v>751</v>
      </c>
      <c r="B1263" t="s">
        <v>168</v>
      </c>
      <c r="C1263">
        <v>202602</v>
      </c>
      <c r="D1263">
        <v>322</v>
      </c>
      <c r="E1263">
        <v>1.5861287621299445</v>
      </c>
      <c r="F1263">
        <v>203.01</v>
      </c>
    </row>
    <row r="1264" spans="1:6" x14ac:dyDescent="0.35">
      <c r="A1264">
        <v>752</v>
      </c>
      <c r="B1264" t="s">
        <v>168</v>
      </c>
      <c r="C1264">
        <v>202602</v>
      </c>
      <c r="D1264">
        <v>11330</v>
      </c>
      <c r="E1264">
        <v>32.758919794136354</v>
      </c>
      <c r="F1264">
        <v>345.86</v>
      </c>
    </row>
    <row r="1265" spans="1:6" x14ac:dyDescent="0.35">
      <c r="A1265">
        <v>753</v>
      </c>
      <c r="B1265" t="s">
        <v>168</v>
      </c>
      <c r="C1265">
        <v>202602</v>
      </c>
      <c r="D1265">
        <v>11484</v>
      </c>
      <c r="E1265">
        <v>23.498117531510886</v>
      </c>
      <c r="F1265">
        <v>488.72</v>
      </c>
    </row>
    <row r="1266" spans="1:6" x14ac:dyDescent="0.35">
      <c r="A1266">
        <v>754</v>
      </c>
      <c r="B1266" t="s">
        <v>168</v>
      </c>
      <c r="C1266">
        <v>202602</v>
      </c>
      <c r="D1266">
        <v>10293</v>
      </c>
      <c r="E1266">
        <v>17.111934963674752</v>
      </c>
      <c r="F1266">
        <v>601.51</v>
      </c>
    </row>
    <row r="1267" spans="1:6" x14ac:dyDescent="0.35">
      <c r="A1267">
        <v>614</v>
      </c>
      <c r="B1267" t="s">
        <v>168</v>
      </c>
      <c r="C1267">
        <v>202602</v>
      </c>
      <c r="D1267">
        <v>15707</v>
      </c>
      <c r="E1267">
        <v>27.938456065457132</v>
      </c>
      <c r="F1267">
        <v>562.20000000000005</v>
      </c>
    </row>
    <row r="1268" spans="1:6" x14ac:dyDescent="0.35">
      <c r="A1268">
        <v>797</v>
      </c>
      <c r="B1268" t="s">
        <v>168</v>
      </c>
      <c r="C1268">
        <v>202602</v>
      </c>
      <c r="D1268">
        <v>1433</v>
      </c>
      <c r="E1268">
        <v>3.1858603823921743</v>
      </c>
      <c r="F1268">
        <v>449.8</v>
      </c>
    </row>
    <row r="1269" spans="1:6" x14ac:dyDescent="0.35">
      <c r="A1269">
        <v>613</v>
      </c>
      <c r="B1269" t="s">
        <v>168</v>
      </c>
      <c r="C1269">
        <v>202602</v>
      </c>
      <c r="D1269">
        <v>7250</v>
      </c>
      <c r="E1269">
        <v>24.786324786324787</v>
      </c>
      <c r="F1269">
        <v>292.5</v>
      </c>
    </row>
    <row r="1270" spans="1:6" x14ac:dyDescent="0.35">
      <c r="A1270">
        <v>767</v>
      </c>
      <c r="B1270" t="s">
        <v>168</v>
      </c>
      <c r="C1270">
        <v>202602</v>
      </c>
      <c r="D1270">
        <v>6241</v>
      </c>
      <c r="E1270">
        <v>10.405135045015006</v>
      </c>
      <c r="F1270">
        <v>599.79999999999995</v>
      </c>
    </row>
    <row r="1271" spans="1:6" x14ac:dyDescent="0.35">
      <c r="A1271">
        <v>807</v>
      </c>
      <c r="B1271" t="s">
        <v>168</v>
      </c>
      <c r="C1271">
        <v>202602</v>
      </c>
      <c r="D1271">
        <v>3869</v>
      </c>
      <c r="E1271">
        <v>19.344999999999999</v>
      </c>
      <c r="F1271">
        <v>200</v>
      </c>
    </row>
    <row r="1272" spans="1:6" x14ac:dyDescent="0.35">
      <c r="A1272">
        <v>808</v>
      </c>
      <c r="B1272" t="s">
        <v>168</v>
      </c>
      <c r="C1272">
        <v>202602</v>
      </c>
      <c r="D1272">
        <v>5453</v>
      </c>
      <c r="E1272">
        <v>18.501051774445273</v>
      </c>
      <c r="F1272">
        <v>294.74</v>
      </c>
    </row>
    <row r="1273" spans="1:6" x14ac:dyDescent="0.35">
      <c r="A1273">
        <v>502</v>
      </c>
      <c r="B1273" t="s">
        <v>169</v>
      </c>
      <c r="C1273">
        <v>202602</v>
      </c>
      <c r="D1273">
        <v>61657</v>
      </c>
      <c r="E1273">
        <v>198.10114381184937</v>
      </c>
      <c r="F1273">
        <v>311.24</v>
      </c>
    </row>
    <row r="1274" spans="1:6" x14ac:dyDescent="0.35">
      <c r="A1274">
        <v>504</v>
      </c>
      <c r="B1274" t="s">
        <v>169</v>
      </c>
      <c r="C1274">
        <v>202602</v>
      </c>
      <c r="D1274">
        <v>107682</v>
      </c>
      <c r="E1274">
        <v>246.68850656342352</v>
      </c>
      <c r="F1274">
        <v>436.51</v>
      </c>
    </row>
    <row r="1275" spans="1:6" x14ac:dyDescent="0.35">
      <c r="A1275">
        <v>505</v>
      </c>
      <c r="B1275" t="s">
        <v>169</v>
      </c>
      <c r="C1275">
        <v>202602</v>
      </c>
      <c r="D1275">
        <v>40005</v>
      </c>
      <c r="E1275">
        <v>107.48831210704498</v>
      </c>
      <c r="F1275">
        <v>372.18</v>
      </c>
    </row>
    <row r="1276" spans="1:6" x14ac:dyDescent="0.35">
      <c r="A1276">
        <v>506</v>
      </c>
      <c r="B1276" t="s">
        <v>169</v>
      </c>
      <c r="C1276">
        <v>202602</v>
      </c>
      <c r="D1276">
        <v>38966</v>
      </c>
      <c r="E1276">
        <v>82.260550148831513</v>
      </c>
      <c r="F1276">
        <v>473.69</v>
      </c>
    </row>
    <row r="1277" spans="1:6" x14ac:dyDescent="0.35">
      <c r="A1277">
        <v>508</v>
      </c>
      <c r="B1277" t="s">
        <v>169</v>
      </c>
      <c r="C1277">
        <v>202602</v>
      </c>
      <c r="D1277">
        <v>47722</v>
      </c>
      <c r="E1277">
        <v>117.9194465035829</v>
      </c>
      <c r="F1277">
        <v>404.7</v>
      </c>
    </row>
    <row r="1278" spans="1:6" x14ac:dyDescent="0.35">
      <c r="A1278">
        <v>507</v>
      </c>
      <c r="B1278" t="s">
        <v>169</v>
      </c>
      <c r="C1278">
        <v>202602</v>
      </c>
      <c r="D1278">
        <v>44412</v>
      </c>
      <c r="E1278">
        <v>164.48888888888888</v>
      </c>
      <c r="F1278">
        <v>270</v>
      </c>
    </row>
    <row r="1279" spans="1:6" x14ac:dyDescent="0.35">
      <c r="A1279">
        <v>520</v>
      </c>
      <c r="B1279" t="s">
        <v>169</v>
      </c>
      <c r="C1279">
        <v>202602</v>
      </c>
      <c r="D1279">
        <v>332</v>
      </c>
      <c r="E1279">
        <v>4.882352941176471</v>
      </c>
      <c r="F1279">
        <v>68</v>
      </c>
    </row>
    <row r="1280" spans="1:6" x14ac:dyDescent="0.35">
      <c r="A1280">
        <v>521</v>
      </c>
      <c r="B1280" t="s">
        <v>169</v>
      </c>
      <c r="C1280">
        <v>202602</v>
      </c>
      <c r="D1280">
        <v>3008</v>
      </c>
      <c r="E1280">
        <v>25.931034482758619</v>
      </c>
      <c r="F1280">
        <v>116</v>
      </c>
    </row>
    <row r="1281" spans="1:6" x14ac:dyDescent="0.35">
      <c r="A1281">
        <v>784</v>
      </c>
      <c r="B1281" t="s">
        <v>169</v>
      </c>
      <c r="C1281">
        <v>202602</v>
      </c>
      <c r="D1281">
        <v>605</v>
      </c>
      <c r="E1281">
        <v>1.7941874258600239</v>
      </c>
      <c r="F1281">
        <v>337.2</v>
      </c>
    </row>
    <row r="1282" spans="1:6" x14ac:dyDescent="0.35">
      <c r="A1282">
        <v>785</v>
      </c>
      <c r="B1282" t="s">
        <v>169</v>
      </c>
      <c r="C1282">
        <v>202602</v>
      </c>
      <c r="D1282">
        <v>337</v>
      </c>
      <c r="E1282">
        <v>0.5994308075418</v>
      </c>
      <c r="F1282">
        <v>562.20000000000005</v>
      </c>
    </row>
    <row r="1283" spans="1:6" x14ac:dyDescent="0.35">
      <c r="A1283">
        <v>758</v>
      </c>
      <c r="B1283" t="s">
        <v>169</v>
      </c>
      <c r="C1283">
        <v>202602</v>
      </c>
      <c r="D1283">
        <v>5269</v>
      </c>
      <c r="E1283">
        <v>7.8097440230038391</v>
      </c>
      <c r="F1283">
        <v>674.67</v>
      </c>
    </row>
    <row r="1284" spans="1:6" x14ac:dyDescent="0.35">
      <c r="A1284">
        <v>757</v>
      </c>
      <c r="B1284" t="s">
        <v>169</v>
      </c>
      <c r="C1284">
        <v>202602</v>
      </c>
      <c r="D1284">
        <v>13910</v>
      </c>
      <c r="E1284">
        <v>28.114641442315467</v>
      </c>
      <c r="F1284">
        <v>494.76</v>
      </c>
    </row>
    <row r="1285" spans="1:6" x14ac:dyDescent="0.35">
      <c r="A1285">
        <v>580</v>
      </c>
      <c r="B1285" t="s">
        <v>169</v>
      </c>
      <c r="C1285">
        <v>202602</v>
      </c>
      <c r="D1285">
        <v>0</v>
      </c>
      <c r="E1285">
        <v>0</v>
      </c>
      <c r="F1285">
        <v>270.68</v>
      </c>
    </row>
    <row r="1286" spans="1:6" x14ac:dyDescent="0.35">
      <c r="A1286">
        <v>582</v>
      </c>
      <c r="B1286" t="s">
        <v>169</v>
      </c>
      <c r="C1286">
        <v>202602</v>
      </c>
      <c r="D1286">
        <v>874</v>
      </c>
      <c r="E1286">
        <v>2.9060681629260183</v>
      </c>
      <c r="F1286">
        <v>300.75</v>
      </c>
    </row>
    <row r="1287" spans="1:6" x14ac:dyDescent="0.35">
      <c r="A1287">
        <v>594</v>
      </c>
      <c r="B1287" t="s">
        <v>169</v>
      </c>
      <c r="C1287">
        <v>202602</v>
      </c>
      <c r="D1287">
        <v>18215</v>
      </c>
      <c r="E1287">
        <v>107.94074074074074</v>
      </c>
      <c r="F1287">
        <v>168.75</v>
      </c>
    </row>
    <row r="1288" spans="1:6" x14ac:dyDescent="0.35">
      <c r="A1288">
        <v>595</v>
      </c>
      <c r="B1288" t="s">
        <v>169</v>
      </c>
      <c r="C1288">
        <v>202602</v>
      </c>
      <c r="D1288">
        <v>33937</v>
      </c>
      <c r="E1288">
        <v>452.49333333333334</v>
      </c>
      <c r="F1288">
        <v>75</v>
      </c>
    </row>
    <row r="1289" spans="1:6" x14ac:dyDescent="0.35">
      <c r="A1289">
        <v>603</v>
      </c>
      <c r="B1289" t="s">
        <v>169</v>
      </c>
      <c r="C1289">
        <v>202602</v>
      </c>
      <c r="D1289">
        <v>5414</v>
      </c>
      <c r="E1289">
        <v>24.002482709700303</v>
      </c>
      <c r="F1289">
        <v>225.56</v>
      </c>
    </row>
    <row r="1290" spans="1:6" x14ac:dyDescent="0.35">
      <c r="A1290">
        <v>606</v>
      </c>
      <c r="B1290" t="s">
        <v>169</v>
      </c>
      <c r="C1290">
        <v>202602</v>
      </c>
      <c r="D1290">
        <v>5402</v>
      </c>
      <c r="E1290">
        <v>20.589244197126195</v>
      </c>
      <c r="F1290">
        <v>262.37</v>
      </c>
    </row>
    <row r="1291" spans="1:6" x14ac:dyDescent="0.35">
      <c r="A1291">
        <v>772</v>
      </c>
      <c r="B1291" t="s">
        <v>169</v>
      </c>
      <c r="C1291">
        <v>202602</v>
      </c>
      <c r="D1291">
        <v>353</v>
      </c>
      <c r="E1291">
        <v>1.7440711462450593</v>
      </c>
      <c r="F1291">
        <v>202.4</v>
      </c>
    </row>
    <row r="1292" spans="1:6" x14ac:dyDescent="0.35">
      <c r="A1292">
        <v>615</v>
      </c>
      <c r="B1292" t="s">
        <v>169</v>
      </c>
      <c r="C1292">
        <v>202602</v>
      </c>
      <c r="D1292">
        <v>5352</v>
      </c>
      <c r="E1292">
        <v>19.772425003694398</v>
      </c>
      <c r="F1292">
        <v>270.68</v>
      </c>
    </row>
    <row r="1293" spans="1:6" x14ac:dyDescent="0.35">
      <c r="A1293">
        <v>617</v>
      </c>
      <c r="B1293" t="s">
        <v>169</v>
      </c>
      <c r="C1293">
        <v>202602</v>
      </c>
      <c r="D1293">
        <v>1439</v>
      </c>
      <c r="E1293">
        <v>3.1977777777777776</v>
      </c>
      <c r="F1293">
        <v>450</v>
      </c>
    </row>
    <row r="1294" spans="1:6" x14ac:dyDescent="0.35">
      <c r="A1294">
        <v>751</v>
      </c>
      <c r="B1294" t="s">
        <v>169</v>
      </c>
      <c r="C1294">
        <v>202602</v>
      </c>
      <c r="D1294">
        <v>356</v>
      </c>
      <c r="E1294">
        <v>1.7536081966405597</v>
      </c>
      <c r="F1294">
        <v>203.01</v>
      </c>
    </row>
    <row r="1295" spans="1:6" x14ac:dyDescent="0.35">
      <c r="A1295">
        <v>752</v>
      </c>
      <c r="B1295" t="s">
        <v>169</v>
      </c>
      <c r="C1295">
        <v>202602</v>
      </c>
      <c r="D1295">
        <v>2438</v>
      </c>
      <c r="E1295">
        <v>7.0490950095414329</v>
      </c>
      <c r="F1295">
        <v>345.86</v>
      </c>
    </row>
    <row r="1296" spans="1:6" x14ac:dyDescent="0.35">
      <c r="A1296">
        <v>753</v>
      </c>
      <c r="B1296" t="s">
        <v>169</v>
      </c>
      <c r="C1296">
        <v>202602</v>
      </c>
      <c r="D1296">
        <v>4110</v>
      </c>
      <c r="E1296">
        <v>8.4097233589785549</v>
      </c>
      <c r="F1296">
        <v>488.72</v>
      </c>
    </row>
    <row r="1297" spans="1:6" x14ac:dyDescent="0.35">
      <c r="A1297">
        <v>754</v>
      </c>
      <c r="B1297" t="s">
        <v>169</v>
      </c>
      <c r="C1297">
        <v>202602</v>
      </c>
      <c r="D1297">
        <v>849</v>
      </c>
      <c r="E1297">
        <v>1.4114478562284916</v>
      </c>
      <c r="F1297">
        <v>601.51</v>
      </c>
    </row>
    <row r="1298" spans="1:6" x14ac:dyDescent="0.35">
      <c r="A1298">
        <v>614</v>
      </c>
      <c r="B1298" t="s">
        <v>169</v>
      </c>
      <c r="C1298">
        <v>202602</v>
      </c>
      <c r="D1298">
        <v>13182</v>
      </c>
      <c r="E1298">
        <v>23.447171824973317</v>
      </c>
      <c r="F1298">
        <v>562.20000000000005</v>
      </c>
    </row>
    <row r="1299" spans="1:6" x14ac:dyDescent="0.35">
      <c r="A1299">
        <v>797</v>
      </c>
      <c r="B1299" t="s">
        <v>169</v>
      </c>
      <c r="C1299">
        <v>202602</v>
      </c>
      <c r="D1299">
        <v>814</v>
      </c>
      <c r="E1299">
        <v>1.8096931969764338</v>
      </c>
      <c r="F1299">
        <v>449.8</v>
      </c>
    </row>
    <row r="1300" spans="1:6" x14ac:dyDescent="0.35">
      <c r="A1300">
        <v>613</v>
      </c>
      <c r="B1300" t="s">
        <v>169</v>
      </c>
      <c r="C1300">
        <v>202602</v>
      </c>
      <c r="D1300">
        <v>6799</v>
      </c>
      <c r="E1300">
        <v>23.244444444444444</v>
      </c>
      <c r="F1300">
        <v>292.5</v>
      </c>
    </row>
    <row r="1301" spans="1:6" x14ac:dyDescent="0.35">
      <c r="A1301">
        <v>767</v>
      </c>
      <c r="B1301" t="s">
        <v>169</v>
      </c>
      <c r="C1301">
        <v>202602</v>
      </c>
      <c r="D1301">
        <v>5388</v>
      </c>
      <c r="E1301">
        <v>8.9829943314438161</v>
      </c>
      <c r="F1301">
        <v>599.79999999999995</v>
      </c>
    </row>
    <row r="1302" spans="1:6" x14ac:dyDescent="0.35">
      <c r="A1302">
        <v>807</v>
      </c>
      <c r="B1302" t="s">
        <v>169</v>
      </c>
      <c r="C1302">
        <v>202602</v>
      </c>
      <c r="D1302">
        <v>1463</v>
      </c>
      <c r="E1302">
        <v>7.3150000000000004</v>
      </c>
      <c r="F1302">
        <v>200</v>
      </c>
    </row>
    <row r="1303" spans="1:6" x14ac:dyDescent="0.35">
      <c r="A1303">
        <v>808</v>
      </c>
      <c r="B1303" t="s">
        <v>169</v>
      </c>
      <c r="C1303">
        <v>202602</v>
      </c>
      <c r="D1303">
        <v>2984</v>
      </c>
      <c r="E1303">
        <v>10.124177240958133</v>
      </c>
      <c r="F1303">
        <v>294.74</v>
      </c>
    </row>
    <row r="1304" spans="1:6" x14ac:dyDescent="0.35">
      <c r="A1304">
        <v>502</v>
      </c>
      <c r="B1304" t="s">
        <v>150</v>
      </c>
      <c r="C1304">
        <v>202602</v>
      </c>
      <c r="D1304">
        <v>42648</v>
      </c>
      <c r="E1304">
        <v>137.0260891916206</v>
      </c>
      <c r="F1304">
        <v>311.24</v>
      </c>
    </row>
    <row r="1305" spans="1:6" x14ac:dyDescent="0.35">
      <c r="A1305">
        <v>504</v>
      </c>
      <c r="B1305" t="s">
        <v>150</v>
      </c>
      <c r="C1305">
        <v>202602</v>
      </c>
      <c r="D1305">
        <v>65010</v>
      </c>
      <c r="E1305">
        <v>148.93129596114636</v>
      </c>
      <c r="F1305">
        <v>436.51</v>
      </c>
    </row>
    <row r="1306" spans="1:6" x14ac:dyDescent="0.35">
      <c r="A1306">
        <v>505</v>
      </c>
      <c r="B1306" t="s">
        <v>150</v>
      </c>
      <c r="C1306">
        <v>202602</v>
      </c>
      <c r="D1306">
        <v>78180</v>
      </c>
      <c r="E1306">
        <v>210.05964855714976</v>
      </c>
      <c r="F1306">
        <v>372.18</v>
      </c>
    </row>
    <row r="1307" spans="1:6" x14ac:dyDescent="0.35">
      <c r="A1307">
        <v>506</v>
      </c>
      <c r="B1307" t="s">
        <v>150</v>
      </c>
      <c r="C1307">
        <v>202602</v>
      </c>
      <c r="D1307">
        <v>24334</v>
      </c>
      <c r="E1307">
        <v>51.371149908167787</v>
      </c>
      <c r="F1307">
        <v>473.69</v>
      </c>
    </row>
    <row r="1308" spans="1:6" x14ac:dyDescent="0.35">
      <c r="A1308">
        <v>508</v>
      </c>
      <c r="B1308" t="s">
        <v>150</v>
      </c>
      <c r="C1308">
        <v>202602</v>
      </c>
      <c r="D1308">
        <v>27796</v>
      </c>
      <c r="E1308">
        <v>68.68297504324191</v>
      </c>
      <c r="F1308">
        <v>404.7</v>
      </c>
    </row>
    <row r="1309" spans="1:6" x14ac:dyDescent="0.35">
      <c r="A1309">
        <v>507</v>
      </c>
      <c r="B1309" t="s">
        <v>150</v>
      </c>
      <c r="C1309">
        <v>202602</v>
      </c>
      <c r="D1309">
        <v>22841</v>
      </c>
      <c r="E1309">
        <v>84.596296296296302</v>
      </c>
      <c r="F1309">
        <v>270</v>
      </c>
    </row>
    <row r="1310" spans="1:6" x14ac:dyDescent="0.35">
      <c r="A1310">
        <v>520</v>
      </c>
      <c r="B1310" t="s">
        <v>150</v>
      </c>
      <c r="C1310">
        <v>202602</v>
      </c>
      <c r="D1310">
        <v>371</v>
      </c>
      <c r="E1310">
        <v>5.4558823529411766</v>
      </c>
      <c r="F1310">
        <v>68</v>
      </c>
    </row>
    <row r="1311" spans="1:6" x14ac:dyDescent="0.35">
      <c r="A1311">
        <v>521</v>
      </c>
      <c r="B1311" t="s">
        <v>150</v>
      </c>
      <c r="C1311">
        <v>202602</v>
      </c>
      <c r="D1311">
        <v>1854</v>
      </c>
      <c r="E1311">
        <v>15.982758620689655</v>
      </c>
      <c r="F1311">
        <v>116</v>
      </c>
    </row>
    <row r="1312" spans="1:6" x14ac:dyDescent="0.35">
      <c r="A1312">
        <v>784</v>
      </c>
      <c r="B1312" t="s">
        <v>150</v>
      </c>
      <c r="C1312">
        <v>202602</v>
      </c>
      <c r="D1312">
        <v>586</v>
      </c>
      <c r="E1312">
        <v>1.737841043890866</v>
      </c>
      <c r="F1312">
        <v>337.2</v>
      </c>
    </row>
    <row r="1313" spans="1:6" x14ac:dyDescent="0.35">
      <c r="A1313">
        <v>785</v>
      </c>
      <c r="B1313" t="s">
        <v>150</v>
      </c>
      <c r="C1313">
        <v>202602</v>
      </c>
      <c r="D1313">
        <v>834</v>
      </c>
      <c r="E1313">
        <v>1.4834578441835644</v>
      </c>
      <c r="F1313">
        <v>562.20000000000005</v>
      </c>
    </row>
    <row r="1314" spans="1:6" x14ac:dyDescent="0.35">
      <c r="A1314">
        <v>758</v>
      </c>
      <c r="B1314" t="s">
        <v>150</v>
      </c>
      <c r="C1314">
        <v>202602</v>
      </c>
      <c r="D1314">
        <v>6168</v>
      </c>
      <c r="E1314">
        <v>9.1422473209124462</v>
      </c>
      <c r="F1314">
        <v>674.67</v>
      </c>
    </row>
    <row r="1315" spans="1:6" x14ac:dyDescent="0.35">
      <c r="A1315">
        <v>757</v>
      </c>
      <c r="B1315" t="s">
        <v>150</v>
      </c>
      <c r="C1315">
        <v>202602</v>
      </c>
      <c r="D1315">
        <v>12268</v>
      </c>
      <c r="E1315">
        <v>24.79586061929016</v>
      </c>
      <c r="F1315">
        <v>494.76</v>
      </c>
    </row>
    <row r="1316" spans="1:6" x14ac:dyDescent="0.35">
      <c r="A1316">
        <v>580</v>
      </c>
      <c r="B1316" t="s">
        <v>150</v>
      </c>
      <c r="C1316">
        <v>202602</v>
      </c>
      <c r="D1316">
        <v>0</v>
      </c>
      <c r="E1316">
        <v>0</v>
      </c>
      <c r="F1316">
        <v>270.68</v>
      </c>
    </row>
    <row r="1317" spans="1:6" x14ac:dyDescent="0.35">
      <c r="A1317">
        <v>582</v>
      </c>
      <c r="B1317" t="s">
        <v>150</v>
      </c>
      <c r="C1317">
        <v>202602</v>
      </c>
      <c r="D1317">
        <v>2622</v>
      </c>
      <c r="E1317">
        <v>8.7182044887780545</v>
      </c>
      <c r="F1317">
        <v>300.75</v>
      </c>
    </row>
    <row r="1318" spans="1:6" x14ac:dyDescent="0.35">
      <c r="A1318">
        <v>594</v>
      </c>
      <c r="B1318" t="s">
        <v>150</v>
      </c>
      <c r="C1318">
        <v>202602</v>
      </c>
      <c r="D1318">
        <v>28382</v>
      </c>
      <c r="E1318">
        <v>168.18962962962962</v>
      </c>
      <c r="F1318">
        <v>168.75</v>
      </c>
    </row>
    <row r="1319" spans="1:6" x14ac:dyDescent="0.35">
      <c r="A1319">
        <v>595</v>
      </c>
      <c r="B1319" t="s">
        <v>150</v>
      </c>
      <c r="C1319">
        <v>202602</v>
      </c>
      <c r="D1319">
        <v>22072</v>
      </c>
      <c r="E1319">
        <v>294.29333333333335</v>
      </c>
      <c r="F1319">
        <v>75</v>
      </c>
    </row>
    <row r="1320" spans="1:6" x14ac:dyDescent="0.35">
      <c r="A1320">
        <v>603</v>
      </c>
      <c r="B1320" t="s">
        <v>150</v>
      </c>
      <c r="C1320">
        <v>202602</v>
      </c>
      <c r="D1320">
        <v>1901</v>
      </c>
      <c r="E1320">
        <v>8.4279127504876747</v>
      </c>
      <c r="F1320">
        <v>225.56</v>
      </c>
    </row>
    <row r="1321" spans="1:6" x14ac:dyDescent="0.35">
      <c r="A1321">
        <v>606</v>
      </c>
      <c r="B1321" t="s">
        <v>150</v>
      </c>
      <c r="C1321">
        <v>202602</v>
      </c>
      <c r="D1321">
        <v>2121</v>
      </c>
      <c r="E1321">
        <v>8.0840035064984566</v>
      </c>
      <c r="F1321">
        <v>262.37</v>
      </c>
    </row>
    <row r="1322" spans="1:6" x14ac:dyDescent="0.35">
      <c r="A1322">
        <v>772</v>
      </c>
      <c r="B1322" t="s">
        <v>150</v>
      </c>
      <c r="C1322">
        <v>202602</v>
      </c>
      <c r="D1322">
        <v>313</v>
      </c>
      <c r="E1322">
        <v>1.5464426877470356</v>
      </c>
      <c r="F1322">
        <v>202.4</v>
      </c>
    </row>
    <row r="1323" spans="1:6" x14ac:dyDescent="0.35">
      <c r="A1323">
        <v>615</v>
      </c>
      <c r="B1323" t="s">
        <v>150</v>
      </c>
      <c r="C1323">
        <v>202602</v>
      </c>
      <c r="D1323">
        <v>4513</v>
      </c>
      <c r="E1323">
        <v>16.67282399881779</v>
      </c>
      <c r="F1323">
        <v>270.68</v>
      </c>
    </row>
    <row r="1324" spans="1:6" x14ac:dyDescent="0.35">
      <c r="A1324">
        <v>617</v>
      </c>
      <c r="B1324" t="s">
        <v>150</v>
      </c>
      <c r="C1324">
        <v>202602</v>
      </c>
      <c r="D1324">
        <v>1604</v>
      </c>
      <c r="E1324">
        <v>3.5644444444444443</v>
      </c>
      <c r="F1324">
        <v>450</v>
      </c>
    </row>
    <row r="1325" spans="1:6" x14ac:dyDescent="0.35">
      <c r="A1325">
        <v>751</v>
      </c>
      <c r="B1325" t="s">
        <v>150</v>
      </c>
      <c r="C1325">
        <v>202602</v>
      </c>
      <c r="D1325">
        <v>2122</v>
      </c>
      <c r="E1325">
        <v>10.452687059750751</v>
      </c>
      <c r="F1325">
        <v>203.01</v>
      </c>
    </row>
    <row r="1326" spans="1:6" x14ac:dyDescent="0.35">
      <c r="A1326">
        <v>752</v>
      </c>
      <c r="B1326" t="s">
        <v>150</v>
      </c>
      <c r="C1326">
        <v>202602</v>
      </c>
      <c r="D1326">
        <v>25384</v>
      </c>
      <c r="E1326">
        <v>73.393858786792336</v>
      </c>
      <c r="F1326">
        <v>345.86</v>
      </c>
    </row>
    <row r="1327" spans="1:6" x14ac:dyDescent="0.35">
      <c r="A1327">
        <v>753</v>
      </c>
      <c r="B1327" t="s">
        <v>150</v>
      </c>
      <c r="C1327">
        <v>202602</v>
      </c>
      <c r="D1327">
        <v>26708</v>
      </c>
      <c r="E1327">
        <v>54.648878703552136</v>
      </c>
      <c r="F1327">
        <v>488.72</v>
      </c>
    </row>
    <row r="1328" spans="1:6" x14ac:dyDescent="0.35">
      <c r="A1328">
        <v>754</v>
      </c>
      <c r="B1328" t="s">
        <v>150</v>
      </c>
      <c r="C1328">
        <v>202602</v>
      </c>
      <c r="D1328">
        <v>9991</v>
      </c>
      <c r="E1328">
        <v>16.609865172648835</v>
      </c>
      <c r="F1328">
        <v>601.51</v>
      </c>
    </row>
    <row r="1329" spans="1:6" x14ac:dyDescent="0.35">
      <c r="A1329">
        <v>614</v>
      </c>
      <c r="B1329" t="s">
        <v>150</v>
      </c>
      <c r="C1329">
        <v>202602</v>
      </c>
      <c r="D1329">
        <v>18085</v>
      </c>
      <c r="E1329">
        <v>32.168267520455352</v>
      </c>
      <c r="F1329">
        <v>562.20000000000005</v>
      </c>
    </row>
    <row r="1330" spans="1:6" x14ac:dyDescent="0.35">
      <c r="A1330">
        <v>797</v>
      </c>
      <c r="B1330" t="s">
        <v>150</v>
      </c>
      <c r="C1330">
        <v>202602</v>
      </c>
      <c r="D1330">
        <v>991</v>
      </c>
      <c r="E1330">
        <v>2.203201422854602</v>
      </c>
      <c r="F1330">
        <v>449.8</v>
      </c>
    </row>
    <row r="1331" spans="1:6" x14ac:dyDescent="0.35">
      <c r="A1331">
        <v>613</v>
      </c>
      <c r="B1331" t="s">
        <v>150</v>
      </c>
      <c r="C1331">
        <v>202602</v>
      </c>
      <c r="D1331">
        <v>19018</v>
      </c>
      <c r="E1331">
        <v>65.018803418803415</v>
      </c>
      <c r="F1331">
        <v>292.5</v>
      </c>
    </row>
    <row r="1332" spans="1:6" x14ac:dyDescent="0.35">
      <c r="A1332">
        <v>767</v>
      </c>
      <c r="B1332" t="s">
        <v>150</v>
      </c>
      <c r="C1332">
        <v>202602</v>
      </c>
      <c r="D1332">
        <v>11165</v>
      </c>
      <c r="E1332">
        <v>18.614538179393133</v>
      </c>
      <c r="F1332">
        <v>599.79999999999995</v>
      </c>
    </row>
    <row r="1333" spans="1:6" x14ac:dyDescent="0.35">
      <c r="A1333">
        <v>807</v>
      </c>
      <c r="B1333" t="s">
        <v>150</v>
      </c>
      <c r="C1333">
        <v>202602</v>
      </c>
      <c r="D1333">
        <v>784</v>
      </c>
      <c r="E1333">
        <v>3.92</v>
      </c>
      <c r="F1333">
        <v>200</v>
      </c>
    </row>
    <row r="1334" spans="1:6" x14ac:dyDescent="0.35">
      <c r="A1334">
        <v>808</v>
      </c>
      <c r="B1334" t="s">
        <v>150</v>
      </c>
      <c r="C1334">
        <v>202602</v>
      </c>
      <c r="D1334">
        <v>1072</v>
      </c>
      <c r="E1334">
        <v>3.6371038881726268</v>
      </c>
      <c r="F1334">
        <v>294.74</v>
      </c>
    </row>
    <row r="1335" spans="1:6" x14ac:dyDescent="0.35">
      <c r="A1335">
        <v>502</v>
      </c>
      <c r="B1335" t="s">
        <v>151</v>
      </c>
      <c r="C1335">
        <v>202602</v>
      </c>
      <c r="D1335">
        <v>39590</v>
      </c>
      <c r="E1335">
        <v>127.2008739236602</v>
      </c>
      <c r="F1335">
        <v>311.24</v>
      </c>
    </row>
    <row r="1336" spans="1:6" x14ac:dyDescent="0.35">
      <c r="A1336">
        <v>504</v>
      </c>
      <c r="B1336" t="s">
        <v>151</v>
      </c>
      <c r="C1336">
        <v>202602</v>
      </c>
      <c r="D1336">
        <v>78688</v>
      </c>
      <c r="E1336">
        <v>180.2662023779524</v>
      </c>
      <c r="F1336">
        <v>436.51</v>
      </c>
    </row>
    <row r="1337" spans="1:6" x14ac:dyDescent="0.35">
      <c r="A1337">
        <v>505</v>
      </c>
      <c r="B1337" t="s">
        <v>151</v>
      </c>
      <c r="C1337">
        <v>202602</v>
      </c>
      <c r="D1337">
        <v>39355</v>
      </c>
      <c r="E1337">
        <v>105.74184534365092</v>
      </c>
      <c r="F1337">
        <v>372.18</v>
      </c>
    </row>
    <row r="1338" spans="1:6" x14ac:dyDescent="0.35">
      <c r="A1338">
        <v>506</v>
      </c>
      <c r="B1338" t="s">
        <v>151</v>
      </c>
      <c r="C1338">
        <v>202602</v>
      </c>
      <c r="D1338">
        <v>38811</v>
      </c>
      <c r="E1338">
        <v>81.933331925943122</v>
      </c>
      <c r="F1338">
        <v>473.69</v>
      </c>
    </row>
    <row r="1339" spans="1:6" x14ac:dyDescent="0.35">
      <c r="A1339">
        <v>508</v>
      </c>
      <c r="B1339" t="s">
        <v>151</v>
      </c>
      <c r="C1339">
        <v>202602</v>
      </c>
      <c r="D1339">
        <v>29631</v>
      </c>
      <c r="E1339">
        <v>73.217197924388444</v>
      </c>
      <c r="F1339">
        <v>404.7</v>
      </c>
    </row>
    <row r="1340" spans="1:6" x14ac:dyDescent="0.35">
      <c r="A1340">
        <v>507</v>
      </c>
      <c r="B1340" t="s">
        <v>151</v>
      </c>
      <c r="C1340">
        <v>202602</v>
      </c>
      <c r="D1340">
        <v>21017</v>
      </c>
      <c r="E1340">
        <v>77.840740740740742</v>
      </c>
      <c r="F1340">
        <v>270</v>
      </c>
    </row>
    <row r="1341" spans="1:6" x14ac:dyDescent="0.35">
      <c r="A1341">
        <v>520</v>
      </c>
      <c r="B1341" t="s">
        <v>151</v>
      </c>
      <c r="C1341">
        <v>202602</v>
      </c>
      <c r="D1341">
        <v>779</v>
      </c>
      <c r="E1341">
        <v>11.455882352941176</v>
      </c>
      <c r="F1341">
        <v>68</v>
      </c>
    </row>
    <row r="1342" spans="1:6" x14ac:dyDescent="0.35">
      <c r="A1342">
        <v>521</v>
      </c>
      <c r="B1342" t="s">
        <v>151</v>
      </c>
      <c r="C1342">
        <v>202602</v>
      </c>
      <c r="D1342">
        <v>3470</v>
      </c>
      <c r="E1342">
        <v>29.913793103448278</v>
      </c>
      <c r="F1342">
        <v>116</v>
      </c>
    </row>
    <row r="1343" spans="1:6" x14ac:dyDescent="0.35">
      <c r="A1343">
        <v>784</v>
      </c>
      <c r="B1343" t="s">
        <v>151</v>
      </c>
      <c r="C1343">
        <v>202602</v>
      </c>
      <c r="D1343">
        <v>873</v>
      </c>
      <c r="E1343">
        <v>2.5889679715302494</v>
      </c>
      <c r="F1343">
        <v>337.2</v>
      </c>
    </row>
    <row r="1344" spans="1:6" x14ac:dyDescent="0.35">
      <c r="A1344">
        <v>785</v>
      </c>
      <c r="B1344" t="s">
        <v>151</v>
      </c>
      <c r="C1344">
        <v>202602</v>
      </c>
      <c r="D1344">
        <v>1253</v>
      </c>
      <c r="E1344">
        <v>2.228744219139096</v>
      </c>
      <c r="F1344">
        <v>562.20000000000005</v>
      </c>
    </row>
    <row r="1345" spans="1:6" x14ac:dyDescent="0.35">
      <c r="A1345">
        <v>758</v>
      </c>
      <c r="B1345" t="s">
        <v>151</v>
      </c>
      <c r="C1345">
        <v>202602</v>
      </c>
      <c r="D1345">
        <v>9936</v>
      </c>
      <c r="E1345">
        <v>14.727199964427054</v>
      </c>
      <c r="F1345">
        <v>674.67</v>
      </c>
    </row>
    <row r="1346" spans="1:6" x14ac:dyDescent="0.35">
      <c r="A1346">
        <v>757</v>
      </c>
      <c r="B1346" t="s">
        <v>151</v>
      </c>
      <c r="C1346">
        <v>202602</v>
      </c>
      <c r="D1346">
        <v>19039</v>
      </c>
      <c r="E1346">
        <v>38.481283854798285</v>
      </c>
      <c r="F1346">
        <v>494.76</v>
      </c>
    </row>
    <row r="1347" spans="1:6" x14ac:dyDescent="0.35">
      <c r="A1347">
        <v>580</v>
      </c>
      <c r="B1347" t="s">
        <v>151</v>
      </c>
      <c r="C1347">
        <v>202602</v>
      </c>
      <c r="D1347">
        <v>0</v>
      </c>
      <c r="E1347">
        <v>0</v>
      </c>
      <c r="F1347">
        <v>270.68</v>
      </c>
    </row>
    <row r="1348" spans="1:6" x14ac:dyDescent="0.35">
      <c r="A1348">
        <v>582</v>
      </c>
      <c r="B1348" t="s">
        <v>151</v>
      </c>
      <c r="C1348">
        <v>202602</v>
      </c>
      <c r="D1348">
        <v>3190</v>
      </c>
      <c r="E1348">
        <v>10.606816292601829</v>
      </c>
      <c r="F1348">
        <v>300.75</v>
      </c>
    </row>
    <row r="1349" spans="1:6" x14ac:dyDescent="0.35">
      <c r="A1349">
        <v>594</v>
      </c>
      <c r="B1349" t="s">
        <v>151</v>
      </c>
      <c r="C1349">
        <v>202602</v>
      </c>
      <c r="D1349">
        <v>10857</v>
      </c>
      <c r="E1349">
        <v>64.337777777777774</v>
      </c>
      <c r="F1349">
        <v>168.75</v>
      </c>
    </row>
    <row r="1350" spans="1:6" x14ac:dyDescent="0.35">
      <c r="A1350">
        <v>595</v>
      </c>
      <c r="B1350" t="s">
        <v>151</v>
      </c>
      <c r="C1350">
        <v>202602</v>
      </c>
      <c r="D1350">
        <v>18003</v>
      </c>
      <c r="E1350">
        <v>240.04</v>
      </c>
      <c r="F1350">
        <v>75</v>
      </c>
    </row>
    <row r="1351" spans="1:6" x14ac:dyDescent="0.35">
      <c r="A1351">
        <v>603</v>
      </c>
      <c r="B1351" t="s">
        <v>151</v>
      </c>
      <c r="C1351">
        <v>202602</v>
      </c>
      <c r="D1351">
        <v>3753</v>
      </c>
      <c r="E1351">
        <v>16.63858840219897</v>
      </c>
      <c r="F1351">
        <v>225.56</v>
      </c>
    </row>
    <row r="1352" spans="1:6" x14ac:dyDescent="0.35">
      <c r="A1352">
        <v>606</v>
      </c>
      <c r="B1352" t="s">
        <v>151</v>
      </c>
      <c r="C1352">
        <v>202602</v>
      </c>
      <c r="D1352">
        <v>3897</v>
      </c>
      <c r="E1352">
        <v>14.853070091855013</v>
      </c>
      <c r="F1352">
        <v>262.37</v>
      </c>
    </row>
    <row r="1353" spans="1:6" x14ac:dyDescent="0.35">
      <c r="A1353">
        <v>772</v>
      </c>
      <c r="B1353" t="s">
        <v>151</v>
      </c>
      <c r="C1353">
        <v>202602</v>
      </c>
      <c r="D1353">
        <v>375</v>
      </c>
      <c r="E1353">
        <v>1.8527667984189722</v>
      </c>
      <c r="F1353">
        <v>202.4</v>
      </c>
    </row>
    <row r="1354" spans="1:6" x14ac:dyDescent="0.35">
      <c r="A1354">
        <v>615</v>
      </c>
      <c r="B1354" t="s">
        <v>151</v>
      </c>
      <c r="C1354">
        <v>202602</v>
      </c>
      <c r="D1354">
        <v>8750</v>
      </c>
      <c r="E1354">
        <v>32.325993793409189</v>
      </c>
      <c r="F1354">
        <v>270.68</v>
      </c>
    </row>
    <row r="1355" spans="1:6" x14ac:dyDescent="0.35">
      <c r="A1355">
        <v>617</v>
      </c>
      <c r="B1355" t="s">
        <v>151</v>
      </c>
      <c r="C1355">
        <v>202602</v>
      </c>
      <c r="D1355">
        <v>2904</v>
      </c>
      <c r="E1355">
        <v>6.4533333333333331</v>
      </c>
      <c r="F1355">
        <v>450</v>
      </c>
    </row>
    <row r="1356" spans="1:6" x14ac:dyDescent="0.35">
      <c r="A1356">
        <v>751</v>
      </c>
      <c r="B1356" t="s">
        <v>151</v>
      </c>
      <c r="C1356">
        <v>202602</v>
      </c>
      <c r="D1356">
        <v>1082</v>
      </c>
      <c r="E1356">
        <v>5.3297867100142851</v>
      </c>
      <c r="F1356">
        <v>203.01</v>
      </c>
    </row>
    <row r="1357" spans="1:6" x14ac:dyDescent="0.35">
      <c r="A1357">
        <v>752</v>
      </c>
      <c r="B1357" t="s">
        <v>151</v>
      </c>
      <c r="C1357">
        <v>202602</v>
      </c>
      <c r="D1357">
        <v>12541</v>
      </c>
      <c r="E1357">
        <v>36.260336552362226</v>
      </c>
      <c r="F1357">
        <v>345.86</v>
      </c>
    </row>
    <row r="1358" spans="1:6" x14ac:dyDescent="0.35">
      <c r="A1358">
        <v>753</v>
      </c>
      <c r="B1358" t="s">
        <v>151</v>
      </c>
      <c r="C1358">
        <v>202602</v>
      </c>
      <c r="D1358">
        <v>15965</v>
      </c>
      <c r="E1358">
        <v>32.666966770338846</v>
      </c>
      <c r="F1358">
        <v>488.72</v>
      </c>
    </row>
    <row r="1359" spans="1:6" x14ac:dyDescent="0.35">
      <c r="A1359">
        <v>754</v>
      </c>
      <c r="B1359" t="s">
        <v>151</v>
      </c>
      <c r="C1359">
        <v>202602</v>
      </c>
      <c r="D1359">
        <v>10237</v>
      </c>
      <c r="E1359">
        <v>17.018835929577232</v>
      </c>
      <c r="F1359">
        <v>601.51</v>
      </c>
    </row>
    <row r="1360" spans="1:6" x14ac:dyDescent="0.35">
      <c r="A1360">
        <v>614</v>
      </c>
      <c r="B1360" t="s">
        <v>151</v>
      </c>
      <c r="C1360">
        <v>202602</v>
      </c>
      <c r="D1360">
        <v>18952</v>
      </c>
      <c r="E1360">
        <v>33.710423336890784</v>
      </c>
      <c r="F1360">
        <v>562.20000000000005</v>
      </c>
    </row>
    <row r="1361" spans="1:6" x14ac:dyDescent="0.35">
      <c r="A1361">
        <v>797</v>
      </c>
      <c r="B1361" t="s">
        <v>151</v>
      </c>
      <c r="C1361">
        <v>202602</v>
      </c>
      <c r="D1361">
        <v>1848</v>
      </c>
      <c r="E1361">
        <v>4.1084926634059578</v>
      </c>
      <c r="F1361">
        <v>449.8</v>
      </c>
    </row>
    <row r="1362" spans="1:6" x14ac:dyDescent="0.35">
      <c r="A1362">
        <v>613</v>
      </c>
      <c r="B1362" t="s">
        <v>151</v>
      </c>
      <c r="C1362">
        <v>202602</v>
      </c>
      <c r="D1362">
        <v>9496</v>
      </c>
      <c r="E1362">
        <v>32.464957264957263</v>
      </c>
      <c r="F1362">
        <v>292.5</v>
      </c>
    </row>
    <row r="1363" spans="1:6" x14ac:dyDescent="0.35">
      <c r="A1363">
        <v>767</v>
      </c>
      <c r="B1363" t="s">
        <v>151</v>
      </c>
      <c r="C1363">
        <v>202602</v>
      </c>
      <c r="D1363">
        <v>8158</v>
      </c>
      <c r="E1363">
        <v>13.601200400133379</v>
      </c>
      <c r="F1363">
        <v>599.79999999999995</v>
      </c>
    </row>
    <row r="1364" spans="1:6" x14ac:dyDescent="0.35">
      <c r="A1364">
        <v>807</v>
      </c>
      <c r="B1364" t="s">
        <v>151</v>
      </c>
      <c r="C1364">
        <v>202602</v>
      </c>
      <c r="D1364">
        <v>2412</v>
      </c>
      <c r="E1364">
        <v>12.06</v>
      </c>
      <c r="F1364">
        <v>200</v>
      </c>
    </row>
    <row r="1365" spans="1:6" x14ac:dyDescent="0.35">
      <c r="A1365">
        <v>808</v>
      </c>
      <c r="B1365" t="s">
        <v>151</v>
      </c>
      <c r="C1365">
        <v>202602</v>
      </c>
      <c r="D1365">
        <v>3294</v>
      </c>
      <c r="E1365">
        <v>11.175951686231933</v>
      </c>
      <c r="F1365">
        <v>294.74</v>
      </c>
    </row>
    <row r="1366" spans="1:6" x14ac:dyDescent="0.35">
      <c r="A1366">
        <v>502</v>
      </c>
      <c r="B1366" t="s">
        <v>152</v>
      </c>
      <c r="C1366">
        <v>202602</v>
      </c>
      <c r="D1366">
        <v>55098</v>
      </c>
      <c r="E1366">
        <v>177.02737437347383</v>
      </c>
      <c r="F1366">
        <v>311.24</v>
      </c>
    </row>
    <row r="1367" spans="1:6" x14ac:dyDescent="0.35">
      <c r="A1367">
        <v>504</v>
      </c>
      <c r="B1367" t="s">
        <v>152</v>
      </c>
      <c r="C1367">
        <v>202602</v>
      </c>
      <c r="D1367">
        <v>89468</v>
      </c>
      <c r="E1367">
        <v>204.96208563377701</v>
      </c>
      <c r="F1367">
        <v>436.51</v>
      </c>
    </row>
    <row r="1368" spans="1:6" x14ac:dyDescent="0.35">
      <c r="A1368">
        <v>505</v>
      </c>
      <c r="B1368" t="s">
        <v>152</v>
      </c>
      <c r="C1368">
        <v>202602</v>
      </c>
      <c r="D1368">
        <v>37092</v>
      </c>
      <c r="E1368">
        <v>99.661454135095923</v>
      </c>
      <c r="F1368">
        <v>372.18</v>
      </c>
    </row>
    <row r="1369" spans="1:6" x14ac:dyDescent="0.35">
      <c r="A1369">
        <v>506</v>
      </c>
      <c r="B1369" t="s">
        <v>152</v>
      </c>
      <c r="C1369">
        <v>202602</v>
      </c>
      <c r="D1369">
        <v>36920</v>
      </c>
      <c r="E1369">
        <v>77.941269606704807</v>
      </c>
      <c r="F1369">
        <v>473.69</v>
      </c>
    </row>
    <row r="1370" spans="1:6" x14ac:dyDescent="0.35">
      <c r="A1370">
        <v>508</v>
      </c>
      <c r="B1370" t="s">
        <v>152</v>
      </c>
      <c r="C1370">
        <v>202602</v>
      </c>
      <c r="D1370">
        <v>28441</v>
      </c>
      <c r="E1370">
        <v>70.276748208549549</v>
      </c>
      <c r="F1370">
        <v>404.7</v>
      </c>
    </row>
    <row r="1371" spans="1:6" x14ac:dyDescent="0.35">
      <c r="A1371">
        <v>507</v>
      </c>
      <c r="B1371" t="s">
        <v>152</v>
      </c>
      <c r="C1371">
        <v>202602</v>
      </c>
      <c r="D1371">
        <v>21036</v>
      </c>
      <c r="E1371">
        <v>77.911111111111111</v>
      </c>
      <c r="F1371">
        <v>270</v>
      </c>
    </row>
    <row r="1372" spans="1:6" x14ac:dyDescent="0.35">
      <c r="A1372">
        <v>520</v>
      </c>
      <c r="B1372" t="s">
        <v>152</v>
      </c>
      <c r="C1372">
        <v>202602</v>
      </c>
      <c r="D1372">
        <v>394</v>
      </c>
      <c r="E1372">
        <v>5.7941176470588234</v>
      </c>
      <c r="F1372">
        <v>68</v>
      </c>
    </row>
    <row r="1373" spans="1:6" x14ac:dyDescent="0.35">
      <c r="A1373">
        <v>521</v>
      </c>
      <c r="B1373" t="s">
        <v>152</v>
      </c>
      <c r="C1373">
        <v>202602</v>
      </c>
      <c r="D1373">
        <v>2371</v>
      </c>
      <c r="E1373">
        <v>20.439655172413794</v>
      </c>
      <c r="F1373">
        <v>116</v>
      </c>
    </row>
    <row r="1374" spans="1:6" x14ac:dyDescent="0.35">
      <c r="A1374">
        <v>784</v>
      </c>
      <c r="B1374" t="s">
        <v>152</v>
      </c>
      <c r="C1374">
        <v>202602</v>
      </c>
      <c r="D1374">
        <v>411</v>
      </c>
      <c r="E1374">
        <v>1.2188612099644129</v>
      </c>
      <c r="F1374">
        <v>337.2</v>
      </c>
    </row>
    <row r="1375" spans="1:6" x14ac:dyDescent="0.35">
      <c r="A1375">
        <v>785</v>
      </c>
      <c r="B1375" t="s">
        <v>152</v>
      </c>
      <c r="C1375">
        <v>202602</v>
      </c>
      <c r="D1375">
        <v>672</v>
      </c>
      <c r="E1375">
        <v>1.1953041622198506</v>
      </c>
      <c r="F1375">
        <v>562.20000000000005</v>
      </c>
    </row>
    <row r="1376" spans="1:6" x14ac:dyDescent="0.35">
      <c r="A1376">
        <v>758</v>
      </c>
      <c r="B1376" t="s">
        <v>152</v>
      </c>
      <c r="C1376">
        <v>202602</v>
      </c>
      <c r="D1376">
        <v>13824</v>
      </c>
      <c r="E1376">
        <v>20.490017341811555</v>
      </c>
      <c r="F1376">
        <v>674.67</v>
      </c>
    </row>
    <row r="1377" spans="1:6" x14ac:dyDescent="0.35">
      <c r="A1377">
        <v>757</v>
      </c>
      <c r="B1377" t="s">
        <v>152</v>
      </c>
      <c r="C1377">
        <v>202602</v>
      </c>
      <c r="D1377">
        <v>21803</v>
      </c>
      <c r="E1377">
        <v>44.06783086749131</v>
      </c>
      <c r="F1377">
        <v>494.76</v>
      </c>
    </row>
    <row r="1378" spans="1:6" x14ac:dyDescent="0.35">
      <c r="A1378">
        <v>580</v>
      </c>
      <c r="B1378" t="s">
        <v>152</v>
      </c>
      <c r="C1378">
        <v>202602</v>
      </c>
      <c r="D1378">
        <v>0</v>
      </c>
      <c r="E1378">
        <v>0</v>
      </c>
      <c r="F1378">
        <v>270.68</v>
      </c>
    </row>
    <row r="1379" spans="1:6" x14ac:dyDescent="0.35">
      <c r="A1379">
        <v>582</v>
      </c>
      <c r="B1379" t="s">
        <v>152</v>
      </c>
      <c r="C1379">
        <v>202602</v>
      </c>
      <c r="D1379">
        <v>6276</v>
      </c>
      <c r="E1379">
        <v>20.867830423940148</v>
      </c>
      <c r="F1379">
        <v>300.75</v>
      </c>
    </row>
    <row r="1380" spans="1:6" x14ac:dyDescent="0.35">
      <c r="A1380">
        <v>594</v>
      </c>
      <c r="B1380" t="s">
        <v>152</v>
      </c>
      <c r="C1380">
        <v>202602</v>
      </c>
      <c r="D1380">
        <v>15934</v>
      </c>
      <c r="E1380">
        <v>94.423703703703708</v>
      </c>
      <c r="F1380">
        <v>168.75</v>
      </c>
    </row>
    <row r="1381" spans="1:6" x14ac:dyDescent="0.35">
      <c r="A1381">
        <v>595</v>
      </c>
      <c r="B1381" t="s">
        <v>152</v>
      </c>
      <c r="C1381">
        <v>202602</v>
      </c>
      <c r="D1381">
        <v>13862</v>
      </c>
      <c r="E1381">
        <v>184.82666666666665</v>
      </c>
      <c r="F1381">
        <v>75</v>
      </c>
    </row>
    <row r="1382" spans="1:6" x14ac:dyDescent="0.35">
      <c r="A1382">
        <v>603</v>
      </c>
      <c r="B1382" t="s">
        <v>152</v>
      </c>
      <c r="C1382">
        <v>202602</v>
      </c>
      <c r="D1382">
        <v>2334</v>
      </c>
      <c r="E1382">
        <v>10.347579358042205</v>
      </c>
      <c r="F1382">
        <v>225.56</v>
      </c>
    </row>
    <row r="1383" spans="1:6" x14ac:dyDescent="0.35">
      <c r="A1383">
        <v>606</v>
      </c>
      <c r="B1383" t="s">
        <v>152</v>
      </c>
      <c r="C1383">
        <v>202602</v>
      </c>
      <c r="D1383">
        <v>2266</v>
      </c>
      <c r="E1383">
        <v>8.6366581545146168</v>
      </c>
      <c r="F1383">
        <v>262.37</v>
      </c>
    </row>
    <row r="1384" spans="1:6" x14ac:dyDescent="0.35">
      <c r="A1384">
        <v>772</v>
      </c>
      <c r="B1384" t="s">
        <v>152</v>
      </c>
      <c r="C1384">
        <v>202602</v>
      </c>
      <c r="D1384">
        <v>499</v>
      </c>
      <c r="E1384">
        <v>2.4654150197628457</v>
      </c>
      <c r="F1384">
        <v>202.4</v>
      </c>
    </row>
    <row r="1385" spans="1:6" x14ac:dyDescent="0.35">
      <c r="A1385">
        <v>615</v>
      </c>
      <c r="B1385" t="s">
        <v>152</v>
      </c>
      <c r="C1385">
        <v>202602</v>
      </c>
      <c r="D1385">
        <v>7400</v>
      </c>
      <c r="E1385">
        <v>27.338554750997488</v>
      </c>
      <c r="F1385">
        <v>270.68</v>
      </c>
    </row>
    <row r="1386" spans="1:6" x14ac:dyDescent="0.35">
      <c r="A1386">
        <v>617</v>
      </c>
      <c r="B1386" t="s">
        <v>152</v>
      </c>
      <c r="C1386">
        <v>202602</v>
      </c>
      <c r="D1386">
        <v>2186</v>
      </c>
      <c r="E1386">
        <v>4.8577777777777778</v>
      </c>
      <c r="F1386">
        <v>450</v>
      </c>
    </row>
    <row r="1387" spans="1:6" x14ac:dyDescent="0.35">
      <c r="A1387">
        <v>751</v>
      </c>
      <c r="B1387" t="s">
        <v>152</v>
      </c>
      <c r="C1387">
        <v>202602</v>
      </c>
      <c r="D1387">
        <v>717</v>
      </c>
      <c r="E1387">
        <v>3.5318457218856216</v>
      </c>
      <c r="F1387">
        <v>203.01</v>
      </c>
    </row>
    <row r="1388" spans="1:6" x14ac:dyDescent="0.35">
      <c r="A1388">
        <v>752</v>
      </c>
      <c r="B1388" t="s">
        <v>152</v>
      </c>
      <c r="C1388">
        <v>202602</v>
      </c>
      <c r="D1388">
        <v>1096</v>
      </c>
      <c r="E1388">
        <v>3.1689122766437285</v>
      </c>
      <c r="F1388">
        <v>345.86</v>
      </c>
    </row>
    <row r="1389" spans="1:6" x14ac:dyDescent="0.35">
      <c r="A1389">
        <v>753</v>
      </c>
      <c r="B1389" t="s">
        <v>152</v>
      </c>
      <c r="C1389">
        <v>202602</v>
      </c>
      <c r="D1389">
        <v>5328</v>
      </c>
      <c r="E1389">
        <v>10.901947945653953</v>
      </c>
      <c r="F1389">
        <v>488.72</v>
      </c>
    </row>
    <row r="1390" spans="1:6" x14ac:dyDescent="0.35">
      <c r="A1390">
        <v>754</v>
      </c>
      <c r="B1390" t="s">
        <v>152</v>
      </c>
      <c r="C1390">
        <v>202602</v>
      </c>
      <c r="D1390">
        <v>2021</v>
      </c>
      <c r="E1390">
        <v>3.3598776412694717</v>
      </c>
      <c r="F1390">
        <v>601.51</v>
      </c>
    </row>
    <row r="1391" spans="1:6" x14ac:dyDescent="0.35">
      <c r="A1391">
        <v>614</v>
      </c>
      <c r="B1391" t="s">
        <v>152</v>
      </c>
      <c r="C1391">
        <v>202602</v>
      </c>
      <c r="D1391">
        <v>29223</v>
      </c>
      <c r="E1391">
        <v>51.979722518676624</v>
      </c>
      <c r="F1391">
        <v>562.20000000000005</v>
      </c>
    </row>
    <row r="1392" spans="1:6" x14ac:dyDescent="0.35">
      <c r="A1392">
        <v>797</v>
      </c>
      <c r="B1392" t="s">
        <v>152</v>
      </c>
      <c r="C1392">
        <v>202602</v>
      </c>
      <c r="D1392">
        <v>2649</v>
      </c>
      <c r="E1392">
        <v>5.889284126278346</v>
      </c>
      <c r="F1392">
        <v>449.8</v>
      </c>
    </row>
    <row r="1393" spans="1:6" x14ac:dyDescent="0.35">
      <c r="A1393">
        <v>613</v>
      </c>
      <c r="B1393" t="s">
        <v>152</v>
      </c>
      <c r="C1393">
        <v>202602</v>
      </c>
      <c r="D1393">
        <v>8201</v>
      </c>
      <c r="E1393">
        <v>28.037606837606837</v>
      </c>
      <c r="F1393">
        <v>292.5</v>
      </c>
    </row>
    <row r="1394" spans="1:6" x14ac:dyDescent="0.35">
      <c r="A1394">
        <v>767</v>
      </c>
      <c r="B1394" t="s">
        <v>152</v>
      </c>
      <c r="C1394">
        <v>202602</v>
      </c>
      <c r="D1394">
        <v>7986</v>
      </c>
      <c r="E1394">
        <v>13.314438146048683</v>
      </c>
      <c r="F1394">
        <v>599.79999999999995</v>
      </c>
    </row>
    <row r="1395" spans="1:6" x14ac:dyDescent="0.35">
      <c r="A1395">
        <v>807</v>
      </c>
      <c r="B1395" t="s">
        <v>152</v>
      </c>
      <c r="C1395">
        <v>202602</v>
      </c>
      <c r="D1395">
        <v>2494</v>
      </c>
      <c r="E1395">
        <v>12.47</v>
      </c>
      <c r="F1395">
        <v>200</v>
      </c>
    </row>
    <row r="1396" spans="1:6" x14ac:dyDescent="0.35">
      <c r="A1396">
        <v>808</v>
      </c>
      <c r="B1396" t="s">
        <v>152</v>
      </c>
      <c r="C1396">
        <v>202602</v>
      </c>
      <c r="D1396">
        <v>3408</v>
      </c>
      <c r="E1396">
        <v>11.562733256429395</v>
      </c>
      <c r="F1396">
        <v>294.74</v>
      </c>
    </row>
    <row r="1397" spans="1:6" x14ac:dyDescent="0.35">
      <c r="A1397">
        <v>502</v>
      </c>
      <c r="B1397" t="s">
        <v>153</v>
      </c>
      <c r="C1397">
        <v>202602</v>
      </c>
      <c r="D1397">
        <v>27597</v>
      </c>
      <c r="E1397">
        <v>88.667909009124784</v>
      </c>
      <c r="F1397">
        <v>311.24</v>
      </c>
    </row>
    <row r="1398" spans="1:6" x14ac:dyDescent="0.35">
      <c r="A1398">
        <v>504</v>
      </c>
      <c r="B1398" t="s">
        <v>153</v>
      </c>
      <c r="C1398">
        <v>202602</v>
      </c>
      <c r="D1398">
        <v>76510</v>
      </c>
      <c r="E1398">
        <v>175.27662596504089</v>
      </c>
      <c r="F1398">
        <v>436.51</v>
      </c>
    </row>
    <row r="1399" spans="1:6" x14ac:dyDescent="0.35">
      <c r="A1399">
        <v>505</v>
      </c>
      <c r="B1399" t="s">
        <v>153</v>
      </c>
      <c r="C1399">
        <v>202602</v>
      </c>
      <c r="D1399">
        <v>26373</v>
      </c>
      <c r="E1399">
        <v>70.860873770756086</v>
      </c>
      <c r="F1399">
        <v>372.18</v>
      </c>
    </row>
    <row r="1400" spans="1:6" x14ac:dyDescent="0.35">
      <c r="A1400">
        <v>506</v>
      </c>
      <c r="B1400" t="s">
        <v>153</v>
      </c>
      <c r="C1400">
        <v>202602</v>
      </c>
      <c r="D1400">
        <v>51253</v>
      </c>
      <c r="E1400">
        <v>108.19945533999029</v>
      </c>
      <c r="F1400">
        <v>473.69</v>
      </c>
    </row>
    <row r="1401" spans="1:6" x14ac:dyDescent="0.35">
      <c r="A1401">
        <v>508</v>
      </c>
      <c r="B1401" t="s">
        <v>153</v>
      </c>
      <c r="C1401">
        <v>202602</v>
      </c>
      <c r="D1401">
        <v>33852</v>
      </c>
      <c r="E1401">
        <v>83.647146034099336</v>
      </c>
      <c r="F1401">
        <v>404.7</v>
      </c>
    </row>
    <row r="1402" spans="1:6" x14ac:dyDescent="0.35">
      <c r="A1402">
        <v>507</v>
      </c>
      <c r="B1402" t="s">
        <v>153</v>
      </c>
      <c r="C1402">
        <v>202602</v>
      </c>
      <c r="D1402">
        <v>23297</v>
      </c>
      <c r="E1402">
        <v>86.285185185185185</v>
      </c>
      <c r="F1402">
        <v>270</v>
      </c>
    </row>
    <row r="1403" spans="1:6" x14ac:dyDescent="0.35">
      <c r="A1403">
        <v>520</v>
      </c>
      <c r="B1403" t="s">
        <v>153</v>
      </c>
      <c r="C1403">
        <v>202602</v>
      </c>
      <c r="D1403">
        <v>610</v>
      </c>
      <c r="E1403">
        <v>8.9705882352941178</v>
      </c>
      <c r="F1403">
        <v>68</v>
      </c>
    </row>
    <row r="1404" spans="1:6" x14ac:dyDescent="0.35">
      <c r="A1404">
        <v>521</v>
      </c>
      <c r="B1404" t="s">
        <v>153</v>
      </c>
      <c r="C1404">
        <v>202602</v>
      </c>
      <c r="D1404">
        <v>3072</v>
      </c>
      <c r="E1404">
        <v>26.482758620689655</v>
      </c>
      <c r="F1404">
        <v>116</v>
      </c>
    </row>
    <row r="1405" spans="1:6" x14ac:dyDescent="0.35">
      <c r="A1405">
        <v>784</v>
      </c>
      <c r="B1405" t="s">
        <v>153</v>
      </c>
      <c r="C1405">
        <v>202602</v>
      </c>
      <c r="D1405">
        <v>585</v>
      </c>
      <c r="E1405">
        <v>1.7348754448398578</v>
      </c>
      <c r="F1405">
        <v>337.2</v>
      </c>
    </row>
    <row r="1406" spans="1:6" x14ac:dyDescent="0.35">
      <c r="A1406">
        <v>785</v>
      </c>
      <c r="B1406" t="s">
        <v>153</v>
      </c>
      <c r="C1406">
        <v>202602</v>
      </c>
      <c r="D1406">
        <v>833</v>
      </c>
      <c r="E1406">
        <v>1.4816791177516897</v>
      </c>
      <c r="F1406">
        <v>562.20000000000005</v>
      </c>
    </row>
    <row r="1407" spans="1:6" x14ac:dyDescent="0.35">
      <c r="A1407">
        <v>758</v>
      </c>
      <c r="B1407" t="s">
        <v>153</v>
      </c>
      <c r="C1407">
        <v>202602</v>
      </c>
      <c r="D1407">
        <v>18318</v>
      </c>
      <c r="E1407">
        <v>27.151051625239006</v>
      </c>
      <c r="F1407">
        <v>674.67</v>
      </c>
    </row>
    <row r="1408" spans="1:6" x14ac:dyDescent="0.35">
      <c r="A1408">
        <v>757</v>
      </c>
      <c r="B1408" t="s">
        <v>153</v>
      </c>
      <c r="C1408">
        <v>202602</v>
      </c>
      <c r="D1408">
        <v>33812</v>
      </c>
      <c r="E1408">
        <v>68.34020535208991</v>
      </c>
      <c r="F1408">
        <v>494.76</v>
      </c>
    </row>
    <row r="1409" spans="1:6" x14ac:dyDescent="0.35">
      <c r="A1409">
        <v>580</v>
      </c>
      <c r="B1409" t="s">
        <v>153</v>
      </c>
      <c r="C1409">
        <v>202602</v>
      </c>
      <c r="D1409">
        <v>0</v>
      </c>
      <c r="E1409">
        <v>0</v>
      </c>
      <c r="F1409">
        <v>270.68</v>
      </c>
    </row>
    <row r="1410" spans="1:6" x14ac:dyDescent="0.35">
      <c r="A1410">
        <v>582</v>
      </c>
      <c r="B1410" t="s">
        <v>153</v>
      </c>
      <c r="C1410">
        <v>202602</v>
      </c>
      <c r="D1410">
        <v>7005</v>
      </c>
      <c r="E1410">
        <v>23.291770573566083</v>
      </c>
      <c r="F1410">
        <v>300.75</v>
      </c>
    </row>
    <row r="1411" spans="1:6" x14ac:dyDescent="0.35">
      <c r="A1411">
        <v>594</v>
      </c>
      <c r="B1411" t="s">
        <v>153</v>
      </c>
      <c r="C1411">
        <v>202602</v>
      </c>
      <c r="D1411">
        <v>26939</v>
      </c>
      <c r="E1411">
        <v>159.63851851851851</v>
      </c>
      <c r="F1411">
        <v>168.75</v>
      </c>
    </row>
    <row r="1412" spans="1:6" x14ac:dyDescent="0.35">
      <c r="A1412">
        <v>595</v>
      </c>
      <c r="B1412" t="s">
        <v>153</v>
      </c>
      <c r="C1412">
        <v>202602</v>
      </c>
      <c r="D1412">
        <v>13200</v>
      </c>
      <c r="E1412">
        <v>176</v>
      </c>
      <c r="F1412">
        <v>75</v>
      </c>
    </row>
    <row r="1413" spans="1:6" x14ac:dyDescent="0.35">
      <c r="A1413">
        <v>603</v>
      </c>
      <c r="B1413" t="s">
        <v>153</v>
      </c>
      <c r="C1413">
        <v>202602</v>
      </c>
      <c r="D1413">
        <v>3697</v>
      </c>
      <c r="E1413">
        <v>16.390317432168825</v>
      </c>
      <c r="F1413">
        <v>225.56</v>
      </c>
    </row>
    <row r="1414" spans="1:6" x14ac:dyDescent="0.35">
      <c r="A1414">
        <v>606</v>
      </c>
      <c r="B1414" t="s">
        <v>153</v>
      </c>
      <c r="C1414">
        <v>202602</v>
      </c>
      <c r="D1414">
        <v>3382</v>
      </c>
      <c r="E1414">
        <v>12.890193238556238</v>
      </c>
      <c r="F1414">
        <v>262.37</v>
      </c>
    </row>
    <row r="1415" spans="1:6" x14ac:dyDescent="0.35">
      <c r="A1415">
        <v>772</v>
      </c>
      <c r="B1415" t="s">
        <v>153</v>
      </c>
      <c r="C1415">
        <v>202602</v>
      </c>
      <c r="D1415">
        <v>489</v>
      </c>
      <c r="E1415">
        <v>2.4160079051383399</v>
      </c>
      <c r="F1415">
        <v>202.4</v>
      </c>
    </row>
    <row r="1416" spans="1:6" x14ac:dyDescent="0.35">
      <c r="A1416">
        <v>615</v>
      </c>
      <c r="B1416" t="s">
        <v>153</v>
      </c>
      <c r="C1416">
        <v>202602</v>
      </c>
      <c r="D1416">
        <v>9972</v>
      </c>
      <c r="E1416">
        <v>36.840549726614455</v>
      </c>
      <c r="F1416">
        <v>270.68</v>
      </c>
    </row>
    <row r="1417" spans="1:6" x14ac:dyDescent="0.35">
      <c r="A1417">
        <v>617</v>
      </c>
      <c r="B1417" t="s">
        <v>153</v>
      </c>
      <c r="C1417">
        <v>202602</v>
      </c>
      <c r="D1417">
        <v>3536</v>
      </c>
      <c r="E1417">
        <v>7.8577777777777778</v>
      </c>
      <c r="F1417">
        <v>450</v>
      </c>
    </row>
    <row r="1418" spans="1:6" x14ac:dyDescent="0.35">
      <c r="A1418">
        <v>751</v>
      </c>
      <c r="B1418" t="s">
        <v>153</v>
      </c>
      <c r="C1418">
        <v>202602</v>
      </c>
      <c r="D1418">
        <v>2178</v>
      </c>
      <c r="E1418">
        <v>10.728535540121177</v>
      </c>
      <c r="F1418">
        <v>203.01</v>
      </c>
    </row>
    <row r="1419" spans="1:6" x14ac:dyDescent="0.35">
      <c r="A1419">
        <v>752</v>
      </c>
      <c r="B1419" t="s">
        <v>153</v>
      </c>
      <c r="C1419">
        <v>202602</v>
      </c>
      <c r="D1419">
        <v>6603</v>
      </c>
      <c r="E1419">
        <v>19.091539929451223</v>
      </c>
      <c r="F1419">
        <v>345.86</v>
      </c>
    </row>
    <row r="1420" spans="1:6" x14ac:dyDescent="0.35">
      <c r="A1420">
        <v>753</v>
      </c>
      <c r="B1420" t="s">
        <v>153</v>
      </c>
      <c r="C1420">
        <v>202602</v>
      </c>
      <c r="D1420">
        <v>9186</v>
      </c>
      <c r="E1420">
        <v>18.796038631527253</v>
      </c>
      <c r="F1420">
        <v>488.72</v>
      </c>
    </row>
    <row r="1421" spans="1:6" x14ac:dyDescent="0.35">
      <c r="A1421">
        <v>754</v>
      </c>
      <c r="B1421" t="s">
        <v>153</v>
      </c>
      <c r="C1421">
        <v>202602</v>
      </c>
      <c r="D1421">
        <v>1200</v>
      </c>
      <c r="E1421">
        <v>1.9949793020897408</v>
      </c>
      <c r="F1421">
        <v>601.51</v>
      </c>
    </row>
    <row r="1422" spans="1:6" x14ac:dyDescent="0.35">
      <c r="A1422">
        <v>614</v>
      </c>
      <c r="B1422" t="s">
        <v>153</v>
      </c>
      <c r="C1422">
        <v>202602</v>
      </c>
      <c r="D1422">
        <v>23507</v>
      </c>
      <c r="E1422">
        <v>41.812522234080397</v>
      </c>
      <c r="F1422">
        <v>562.20000000000005</v>
      </c>
    </row>
    <row r="1423" spans="1:6" x14ac:dyDescent="0.35">
      <c r="A1423">
        <v>797</v>
      </c>
      <c r="B1423" t="s">
        <v>153</v>
      </c>
      <c r="C1423">
        <v>202602</v>
      </c>
      <c r="D1423">
        <v>1300</v>
      </c>
      <c r="E1423">
        <v>2.8901734104046244</v>
      </c>
      <c r="F1423">
        <v>449.8</v>
      </c>
    </row>
    <row r="1424" spans="1:6" x14ac:dyDescent="0.35">
      <c r="A1424">
        <v>613</v>
      </c>
      <c r="B1424" t="s">
        <v>153</v>
      </c>
      <c r="C1424">
        <v>202602</v>
      </c>
      <c r="D1424">
        <v>5955</v>
      </c>
      <c r="E1424">
        <v>20.358974358974358</v>
      </c>
      <c r="F1424">
        <v>292.5</v>
      </c>
    </row>
    <row r="1425" spans="1:6" x14ac:dyDescent="0.35">
      <c r="A1425">
        <v>767</v>
      </c>
      <c r="B1425" t="s">
        <v>153</v>
      </c>
      <c r="C1425">
        <v>202602</v>
      </c>
      <c r="D1425">
        <v>8845</v>
      </c>
      <c r="E1425">
        <v>14.74658219406469</v>
      </c>
      <c r="F1425">
        <v>599.79999999999995</v>
      </c>
    </row>
    <row r="1426" spans="1:6" x14ac:dyDescent="0.35">
      <c r="A1426">
        <v>807</v>
      </c>
      <c r="B1426" t="s">
        <v>153</v>
      </c>
      <c r="C1426">
        <v>202602</v>
      </c>
      <c r="D1426">
        <v>4045</v>
      </c>
      <c r="E1426">
        <v>20.225000000000001</v>
      </c>
      <c r="F1426">
        <v>200</v>
      </c>
    </row>
    <row r="1427" spans="1:6" x14ac:dyDescent="0.35">
      <c r="A1427">
        <v>808</v>
      </c>
      <c r="B1427" t="s">
        <v>153</v>
      </c>
      <c r="C1427">
        <v>202602</v>
      </c>
      <c r="D1427">
        <v>5527</v>
      </c>
      <c r="E1427">
        <v>18.752120512994502</v>
      </c>
      <c r="F1427">
        <v>294.74</v>
      </c>
    </row>
    <row r="1428" spans="1:6" x14ac:dyDescent="0.35">
      <c r="A1428">
        <v>502</v>
      </c>
      <c r="B1428" t="s">
        <v>154</v>
      </c>
      <c r="C1428">
        <v>202602</v>
      </c>
      <c r="D1428">
        <v>37517</v>
      </c>
      <c r="E1428">
        <v>120.54041896928415</v>
      </c>
      <c r="F1428">
        <v>311.24</v>
      </c>
    </row>
    <row r="1429" spans="1:6" x14ac:dyDescent="0.35">
      <c r="A1429">
        <v>504</v>
      </c>
      <c r="B1429" t="s">
        <v>154</v>
      </c>
      <c r="C1429">
        <v>202602</v>
      </c>
      <c r="D1429">
        <v>97766</v>
      </c>
      <c r="E1429">
        <v>223.9719594052828</v>
      </c>
      <c r="F1429">
        <v>436.51</v>
      </c>
    </row>
    <row r="1430" spans="1:6" x14ac:dyDescent="0.35">
      <c r="A1430">
        <v>505</v>
      </c>
      <c r="B1430" t="s">
        <v>154</v>
      </c>
      <c r="C1430">
        <v>202602</v>
      </c>
      <c r="D1430">
        <v>18565</v>
      </c>
      <c r="E1430">
        <v>49.881777634477942</v>
      </c>
      <c r="F1430">
        <v>372.18</v>
      </c>
    </row>
    <row r="1431" spans="1:6" x14ac:dyDescent="0.35">
      <c r="A1431">
        <v>506</v>
      </c>
      <c r="B1431" t="s">
        <v>154</v>
      </c>
      <c r="C1431">
        <v>202602</v>
      </c>
      <c r="D1431">
        <v>58192</v>
      </c>
      <c r="E1431">
        <v>122.84827629884524</v>
      </c>
      <c r="F1431">
        <v>473.69</v>
      </c>
    </row>
    <row r="1432" spans="1:6" x14ac:dyDescent="0.35">
      <c r="A1432">
        <v>508</v>
      </c>
      <c r="B1432" t="s">
        <v>154</v>
      </c>
      <c r="C1432">
        <v>202602</v>
      </c>
      <c r="D1432">
        <v>35970</v>
      </c>
      <c r="E1432">
        <v>88.880652335063019</v>
      </c>
      <c r="F1432">
        <v>404.7</v>
      </c>
    </row>
    <row r="1433" spans="1:6" x14ac:dyDescent="0.35">
      <c r="A1433">
        <v>507</v>
      </c>
      <c r="B1433" t="s">
        <v>154</v>
      </c>
      <c r="C1433">
        <v>202602</v>
      </c>
      <c r="D1433">
        <v>20684</v>
      </c>
      <c r="E1433">
        <v>76.607407407407408</v>
      </c>
      <c r="F1433">
        <v>270</v>
      </c>
    </row>
    <row r="1434" spans="1:6" x14ac:dyDescent="0.35">
      <c r="A1434">
        <v>520</v>
      </c>
      <c r="B1434" t="s">
        <v>154</v>
      </c>
      <c r="C1434">
        <v>202602</v>
      </c>
      <c r="D1434">
        <v>724</v>
      </c>
      <c r="E1434">
        <v>10.647058823529411</v>
      </c>
      <c r="F1434">
        <v>68</v>
      </c>
    </row>
    <row r="1435" spans="1:6" x14ac:dyDescent="0.35">
      <c r="A1435">
        <v>521</v>
      </c>
      <c r="B1435" t="s">
        <v>154</v>
      </c>
      <c r="C1435">
        <v>202602</v>
      </c>
      <c r="D1435">
        <v>3697</v>
      </c>
      <c r="E1435">
        <v>31.870689655172413</v>
      </c>
      <c r="F1435">
        <v>116</v>
      </c>
    </row>
    <row r="1436" spans="1:6" x14ac:dyDescent="0.35">
      <c r="A1436">
        <v>784</v>
      </c>
      <c r="B1436" t="s">
        <v>154</v>
      </c>
      <c r="C1436">
        <v>202602</v>
      </c>
      <c r="D1436">
        <v>877</v>
      </c>
      <c r="E1436">
        <v>2.6008303677342823</v>
      </c>
      <c r="F1436">
        <v>337.2</v>
      </c>
    </row>
    <row r="1437" spans="1:6" x14ac:dyDescent="0.35">
      <c r="A1437">
        <v>785</v>
      </c>
      <c r="B1437" t="s">
        <v>154</v>
      </c>
      <c r="C1437">
        <v>202602</v>
      </c>
      <c r="D1437">
        <v>1347</v>
      </c>
      <c r="E1437">
        <v>2.3959445037353255</v>
      </c>
      <c r="F1437">
        <v>562.20000000000005</v>
      </c>
    </row>
    <row r="1438" spans="1:6" x14ac:dyDescent="0.35">
      <c r="A1438">
        <v>758</v>
      </c>
      <c r="B1438" t="s">
        <v>154</v>
      </c>
      <c r="C1438">
        <v>202602</v>
      </c>
      <c r="D1438">
        <v>15686</v>
      </c>
      <c r="E1438">
        <v>23.249885129026044</v>
      </c>
      <c r="F1438">
        <v>674.67</v>
      </c>
    </row>
    <row r="1439" spans="1:6" x14ac:dyDescent="0.35">
      <c r="A1439">
        <v>757</v>
      </c>
      <c r="B1439" t="s">
        <v>154</v>
      </c>
      <c r="C1439">
        <v>202602</v>
      </c>
      <c r="D1439">
        <v>30427</v>
      </c>
      <c r="E1439">
        <v>61.498504325329456</v>
      </c>
      <c r="F1439">
        <v>494.76</v>
      </c>
    </row>
    <row r="1440" spans="1:6" x14ac:dyDescent="0.35">
      <c r="A1440">
        <v>580</v>
      </c>
      <c r="B1440" t="s">
        <v>154</v>
      </c>
      <c r="C1440">
        <v>202602</v>
      </c>
      <c r="D1440">
        <v>0</v>
      </c>
      <c r="E1440">
        <v>0</v>
      </c>
      <c r="F1440">
        <v>270.68</v>
      </c>
    </row>
    <row r="1441" spans="1:6" x14ac:dyDescent="0.35">
      <c r="A1441">
        <v>582</v>
      </c>
      <c r="B1441" t="s">
        <v>154</v>
      </c>
      <c r="C1441">
        <v>202602</v>
      </c>
      <c r="D1441">
        <v>6590</v>
      </c>
      <c r="E1441">
        <v>21.911886949293432</v>
      </c>
      <c r="F1441">
        <v>300.75</v>
      </c>
    </row>
    <row r="1442" spans="1:6" x14ac:dyDescent="0.35">
      <c r="A1442">
        <v>594</v>
      </c>
      <c r="B1442" t="s">
        <v>154</v>
      </c>
      <c r="C1442">
        <v>202602</v>
      </c>
      <c r="D1442">
        <v>16759</v>
      </c>
      <c r="E1442">
        <v>99.312592592592594</v>
      </c>
      <c r="F1442">
        <v>168.75</v>
      </c>
    </row>
    <row r="1443" spans="1:6" x14ac:dyDescent="0.35">
      <c r="A1443">
        <v>595</v>
      </c>
      <c r="B1443" t="s">
        <v>154</v>
      </c>
      <c r="C1443">
        <v>202602</v>
      </c>
      <c r="D1443">
        <v>26939</v>
      </c>
      <c r="E1443">
        <v>359.18666666666667</v>
      </c>
      <c r="F1443">
        <v>75</v>
      </c>
    </row>
    <row r="1444" spans="1:6" x14ac:dyDescent="0.35">
      <c r="A1444">
        <v>603</v>
      </c>
      <c r="B1444" t="s">
        <v>154</v>
      </c>
      <c r="C1444">
        <v>202602</v>
      </c>
      <c r="D1444">
        <v>3840</v>
      </c>
      <c r="E1444">
        <v>17.024295087781521</v>
      </c>
      <c r="F1444">
        <v>225.56</v>
      </c>
    </row>
    <row r="1445" spans="1:6" x14ac:dyDescent="0.35">
      <c r="A1445">
        <v>606</v>
      </c>
      <c r="B1445" t="s">
        <v>154</v>
      </c>
      <c r="C1445">
        <v>202602</v>
      </c>
      <c r="D1445">
        <v>4015</v>
      </c>
      <c r="E1445">
        <v>15.3028166329992</v>
      </c>
      <c r="F1445">
        <v>262.37</v>
      </c>
    </row>
    <row r="1446" spans="1:6" x14ac:dyDescent="0.35">
      <c r="A1446">
        <v>772</v>
      </c>
      <c r="B1446" t="s">
        <v>154</v>
      </c>
      <c r="C1446">
        <v>202602</v>
      </c>
      <c r="D1446">
        <v>549</v>
      </c>
      <c r="E1446">
        <v>2.7124505928853755</v>
      </c>
      <c r="F1446">
        <v>202.4</v>
      </c>
    </row>
    <row r="1447" spans="1:6" x14ac:dyDescent="0.35">
      <c r="A1447">
        <v>615</v>
      </c>
      <c r="B1447" t="s">
        <v>154</v>
      </c>
      <c r="C1447">
        <v>202602</v>
      </c>
      <c r="D1447">
        <v>10649</v>
      </c>
      <c r="E1447">
        <v>39.341658046401655</v>
      </c>
      <c r="F1447">
        <v>270.68</v>
      </c>
    </row>
    <row r="1448" spans="1:6" x14ac:dyDescent="0.35">
      <c r="A1448">
        <v>617</v>
      </c>
      <c r="B1448" t="s">
        <v>154</v>
      </c>
      <c r="C1448">
        <v>202602</v>
      </c>
      <c r="D1448">
        <v>4646</v>
      </c>
      <c r="E1448">
        <v>10.324444444444444</v>
      </c>
      <c r="F1448">
        <v>450</v>
      </c>
    </row>
    <row r="1449" spans="1:6" x14ac:dyDescent="0.35">
      <c r="A1449">
        <v>751</v>
      </c>
      <c r="B1449" t="s">
        <v>154</v>
      </c>
      <c r="C1449">
        <v>202602</v>
      </c>
      <c r="D1449">
        <v>1315</v>
      </c>
      <c r="E1449">
        <v>6.4775134229840896</v>
      </c>
      <c r="F1449">
        <v>203.01</v>
      </c>
    </row>
    <row r="1450" spans="1:6" x14ac:dyDescent="0.35">
      <c r="A1450">
        <v>752</v>
      </c>
      <c r="B1450" t="s">
        <v>154</v>
      </c>
      <c r="C1450">
        <v>202602</v>
      </c>
      <c r="D1450">
        <v>12937</v>
      </c>
      <c r="E1450">
        <v>37.405308506332041</v>
      </c>
      <c r="F1450">
        <v>345.86</v>
      </c>
    </row>
    <row r="1451" spans="1:6" x14ac:dyDescent="0.35">
      <c r="A1451">
        <v>753</v>
      </c>
      <c r="B1451" t="s">
        <v>154</v>
      </c>
      <c r="C1451">
        <v>202602</v>
      </c>
      <c r="D1451">
        <v>15417</v>
      </c>
      <c r="E1451">
        <v>31.545670322475036</v>
      </c>
      <c r="F1451">
        <v>488.72</v>
      </c>
    </row>
    <row r="1452" spans="1:6" x14ac:dyDescent="0.35">
      <c r="A1452">
        <v>754</v>
      </c>
      <c r="B1452" t="s">
        <v>154</v>
      </c>
      <c r="C1452">
        <v>202602</v>
      </c>
      <c r="D1452">
        <v>1383</v>
      </c>
      <c r="E1452">
        <v>2.2992136456584262</v>
      </c>
      <c r="F1452">
        <v>601.51</v>
      </c>
    </row>
    <row r="1453" spans="1:6" x14ac:dyDescent="0.35">
      <c r="A1453">
        <v>614</v>
      </c>
      <c r="B1453" t="s">
        <v>154</v>
      </c>
      <c r="C1453">
        <v>202602</v>
      </c>
      <c r="D1453">
        <v>13995</v>
      </c>
      <c r="E1453">
        <v>24.893276414087513</v>
      </c>
      <c r="F1453">
        <v>562.20000000000005</v>
      </c>
    </row>
    <row r="1454" spans="1:6" x14ac:dyDescent="0.35">
      <c r="A1454">
        <v>797</v>
      </c>
      <c r="B1454" t="s">
        <v>154</v>
      </c>
      <c r="C1454">
        <v>202602</v>
      </c>
      <c r="D1454">
        <v>944</v>
      </c>
      <c r="E1454">
        <v>2.0987105380168964</v>
      </c>
      <c r="F1454">
        <v>449.8</v>
      </c>
    </row>
    <row r="1455" spans="1:6" x14ac:dyDescent="0.35">
      <c r="A1455">
        <v>613</v>
      </c>
      <c r="B1455" t="s">
        <v>154</v>
      </c>
      <c r="C1455">
        <v>202602</v>
      </c>
      <c r="D1455">
        <v>10850</v>
      </c>
      <c r="E1455">
        <v>37.094017094017097</v>
      </c>
      <c r="F1455">
        <v>292.5</v>
      </c>
    </row>
    <row r="1456" spans="1:6" x14ac:dyDescent="0.35">
      <c r="A1456">
        <v>767</v>
      </c>
      <c r="B1456" t="s">
        <v>154</v>
      </c>
      <c r="C1456">
        <v>202602</v>
      </c>
      <c r="D1456">
        <v>12137</v>
      </c>
      <c r="E1456">
        <v>20.235078359453151</v>
      </c>
      <c r="F1456">
        <v>599.79999999999995</v>
      </c>
    </row>
    <row r="1457" spans="1:6" x14ac:dyDescent="0.35">
      <c r="A1457">
        <v>807</v>
      </c>
      <c r="B1457" t="s">
        <v>154</v>
      </c>
      <c r="C1457">
        <v>202602</v>
      </c>
      <c r="D1457">
        <v>2463</v>
      </c>
      <c r="E1457">
        <v>12.315</v>
      </c>
      <c r="F1457">
        <v>200</v>
      </c>
    </row>
    <row r="1458" spans="1:6" x14ac:dyDescent="0.35">
      <c r="A1458">
        <v>808</v>
      </c>
      <c r="B1458" t="s">
        <v>154</v>
      </c>
      <c r="C1458">
        <v>202602</v>
      </c>
      <c r="D1458">
        <v>3364</v>
      </c>
      <c r="E1458">
        <v>11.41344914161634</v>
      </c>
      <c r="F1458">
        <v>294.74</v>
      </c>
    </row>
    <row r="1459" spans="1:6" x14ac:dyDescent="0.35">
      <c r="A1459">
        <v>502</v>
      </c>
      <c r="B1459" t="s">
        <v>170</v>
      </c>
      <c r="C1459">
        <v>202602</v>
      </c>
      <c r="D1459">
        <v>34093</v>
      </c>
      <c r="E1459">
        <v>109.53926230561625</v>
      </c>
      <c r="F1459">
        <v>311.24</v>
      </c>
    </row>
    <row r="1460" spans="1:6" x14ac:dyDescent="0.35">
      <c r="A1460">
        <v>504</v>
      </c>
      <c r="B1460" t="s">
        <v>170</v>
      </c>
      <c r="C1460">
        <v>202602</v>
      </c>
      <c r="D1460">
        <v>58025</v>
      </c>
      <c r="E1460">
        <v>132.92937160660696</v>
      </c>
      <c r="F1460">
        <v>436.51</v>
      </c>
    </row>
    <row r="1461" spans="1:6" x14ac:dyDescent="0.35">
      <c r="A1461">
        <v>505</v>
      </c>
      <c r="B1461" t="s">
        <v>170</v>
      </c>
      <c r="C1461">
        <v>202602</v>
      </c>
      <c r="D1461">
        <v>22483</v>
      </c>
      <c r="E1461">
        <v>60.408941909828577</v>
      </c>
      <c r="F1461">
        <v>372.18</v>
      </c>
    </row>
    <row r="1462" spans="1:6" x14ac:dyDescent="0.35">
      <c r="A1462">
        <v>506</v>
      </c>
      <c r="B1462" t="s">
        <v>170</v>
      </c>
      <c r="C1462">
        <v>202602</v>
      </c>
      <c r="D1462">
        <v>16627</v>
      </c>
      <c r="E1462">
        <v>35.101015432033606</v>
      </c>
      <c r="F1462">
        <v>473.69</v>
      </c>
    </row>
    <row r="1463" spans="1:6" x14ac:dyDescent="0.35">
      <c r="A1463">
        <v>508</v>
      </c>
      <c r="B1463" t="s">
        <v>170</v>
      </c>
      <c r="C1463">
        <v>202602</v>
      </c>
      <c r="D1463">
        <v>36065</v>
      </c>
      <c r="E1463">
        <v>89.115394119100571</v>
      </c>
      <c r="F1463">
        <v>404.7</v>
      </c>
    </row>
    <row r="1464" spans="1:6" x14ac:dyDescent="0.35">
      <c r="A1464">
        <v>507</v>
      </c>
      <c r="B1464" t="s">
        <v>170</v>
      </c>
      <c r="C1464">
        <v>202602</v>
      </c>
      <c r="D1464">
        <v>29532</v>
      </c>
      <c r="E1464">
        <v>109.37777777777778</v>
      </c>
      <c r="F1464">
        <v>270</v>
      </c>
    </row>
    <row r="1465" spans="1:6" x14ac:dyDescent="0.35">
      <c r="A1465">
        <v>520</v>
      </c>
      <c r="B1465" t="s">
        <v>170</v>
      </c>
      <c r="C1465">
        <v>202602</v>
      </c>
      <c r="D1465">
        <v>308</v>
      </c>
      <c r="E1465">
        <v>4.5294117647058822</v>
      </c>
      <c r="F1465">
        <v>68</v>
      </c>
    </row>
    <row r="1466" spans="1:6" x14ac:dyDescent="0.35">
      <c r="A1466">
        <v>521</v>
      </c>
      <c r="B1466" t="s">
        <v>170</v>
      </c>
      <c r="C1466">
        <v>202602</v>
      </c>
      <c r="D1466">
        <v>3364</v>
      </c>
      <c r="E1466">
        <v>29</v>
      </c>
      <c r="F1466">
        <v>116</v>
      </c>
    </row>
    <row r="1467" spans="1:6" x14ac:dyDescent="0.35">
      <c r="A1467">
        <v>784</v>
      </c>
      <c r="B1467" t="s">
        <v>170</v>
      </c>
      <c r="C1467">
        <v>202602</v>
      </c>
      <c r="D1467">
        <v>160</v>
      </c>
      <c r="E1467">
        <v>0.47449584816132861</v>
      </c>
      <c r="F1467">
        <v>337.2</v>
      </c>
    </row>
    <row r="1468" spans="1:6" x14ac:dyDescent="0.35">
      <c r="A1468">
        <v>785</v>
      </c>
      <c r="B1468" t="s">
        <v>170</v>
      </c>
      <c r="C1468">
        <v>202602</v>
      </c>
      <c r="D1468">
        <v>272</v>
      </c>
      <c r="E1468">
        <v>0.48381358946993946</v>
      </c>
      <c r="F1468">
        <v>562.20000000000005</v>
      </c>
    </row>
    <row r="1469" spans="1:6" x14ac:dyDescent="0.35">
      <c r="A1469">
        <v>758</v>
      </c>
      <c r="B1469" t="s">
        <v>170</v>
      </c>
      <c r="C1469">
        <v>202602</v>
      </c>
      <c r="D1469">
        <v>5302</v>
      </c>
      <c r="E1469">
        <v>7.8586568248180599</v>
      </c>
      <c r="F1469">
        <v>674.67</v>
      </c>
    </row>
    <row r="1470" spans="1:6" x14ac:dyDescent="0.35">
      <c r="A1470">
        <v>757</v>
      </c>
      <c r="B1470" t="s">
        <v>170</v>
      </c>
      <c r="C1470">
        <v>202602</v>
      </c>
      <c r="D1470">
        <v>10731</v>
      </c>
      <c r="E1470">
        <v>21.689303904923598</v>
      </c>
      <c r="F1470">
        <v>494.76</v>
      </c>
    </row>
    <row r="1471" spans="1:6" x14ac:dyDescent="0.35">
      <c r="A1471">
        <v>580</v>
      </c>
      <c r="B1471" t="s">
        <v>170</v>
      </c>
      <c r="C1471">
        <v>202602</v>
      </c>
      <c r="D1471">
        <v>0</v>
      </c>
      <c r="E1471">
        <v>0</v>
      </c>
      <c r="F1471">
        <v>270.68</v>
      </c>
    </row>
    <row r="1472" spans="1:6" x14ac:dyDescent="0.35">
      <c r="A1472">
        <v>582</v>
      </c>
      <c r="B1472" t="s">
        <v>170</v>
      </c>
      <c r="C1472">
        <v>202602</v>
      </c>
      <c r="D1472">
        <v>1251</v>
      </c>
      <c r="E1472">
        <v>4.1596009975062342</v>
      </c>
      <c r="F1472">
        <v>300.75</v>
      </c>
    </row>
    <row r="1473" spans="1:6" x14ac:dyDescent="0.35">
      <c r="A1473">
        <v>594</v>
      </c>
      <c r="B1473" t="s">
        <v>170</v>
      </c>
      <c r="C1473">
        <v>202602</v>
      </c>
      <c r="D1473">
        <v>14729</v>
      </c>
      <c r="E1473">
        <v>87.282962962962969</v>
      </c>
      <c r="F1473">
        <v>168.75</v>
      </c>
    </row>
    <row r="1474" spans="1:6" x14ac:dyDescent="0.35">
      <c r="A1474">
        <v>595</v>
      </c>
      <c r="B1474" t="s">
        <v>170</v>
      </c>
      <c r="C1474">
        <v>202602</v>
      </c>
      <c r="D1474">
        <v>16322</v>
      </c>
      <c r="E1474">
        <v>217.62666666666667</v>
      </c>
      <c r="F1474">
        <v>75</v>
      </c>
    </row>
    <row r="1475" spans="1:6" x14ac:dyDescent="0.35">
      <c r="A1475">
        <v>603</v>
      </c>
      <c r="B1475" t="s">
        <v>170</v>
      </c>
      <c r="C1475">
        <v>202602</v>
      </c>
      <c r="D1475">
        <v>4211</v>
      </c>
      <c r="E1475">
        <v>18.669090264231247</v>
      </c>
      <c r="F1475">
        <v>225.56</v>
      </c>
    </row>
    <row r="1476" spans="1:6" x14ac:dyDescent="0.35">
      <c r="A1476">
        <v>606</v>
      </c>
      <c r="B1476" t="s">
        <v>170</v>
      </c>
      <c r="C1476">
        <v>202602</v>
      </c>
      <c r="D1476">
        <v>2541</v>
      </c>
      <c r="E1476">
        <v>9.6847962800625069</v>
      </c>
      <c r="F1476">
        <v>262.37</v>
      </c>
    </row>
    <row r="1477" spans="1:6" x14ac:dyDescent="0.35">
      <c r="A1477">
        <v>772</v>
      </c>
      <c r="B1477" t="s">
        <v>170</v>
      </c>
      <c r="C1477">
        <v>202602</v>
      </c>
      <c r="D1477">
        <v>249</v>
      </c>
      <c r="E1477">
        <v>1.2302371541501975</v>
      </c>
      <c r="F1477">
        <v>202.4</v>
      </c>
    </row>
    <row r="1478" spans="1:6" x14ac:dyDescent="0.35">
      <c r="A1478">
        <v>615</v>
      </c>
      <c r="B1478" t="s">
        <v>170</v>
      </c>
      <c r="C1478">
        <v>202602</v>
      </c>
      <c r="D1478">
        <v>3759</v>
      </c>
      <c r="E1478">
        <v>13.887246933648589</v>
      </c>
      <c r="F1478">
        <v>270.68</v>
      </c>
    </row>
    <row r="1479" spans="1:6" x14ac:dyDescent="0.35">
      <c r="A1479">
        <v>617</v>
      </c>
      <c r="B1479" t="s">
        <v>170</v>
      </c>
      <c r="C1479">
        <v>202602</v>
      </c>
      <c r="D1479">
        <v>859</v>
      </c>
      <c r="E1479">
        <v>1.9088888888888889</v>
      </c>
      <c r="F1479">
        <v>450</v>
      </c>
    </row>
    <row r="1480" spans="1:6" x14ac:dyDescent="0.35">
      <c r="A1480">
        <v>751</v>
      </c>
      <c r="B1480" t="s">
        <v>170</v>
      </c>
      <c r="C1480">
        <v>202602</v>
      </c>
      <c r="D1480">
        <v>219</v>
      </c>
      <c r="E1480">
        <v>1.0787645928771983</v>
      </c>
      <c r="F1480">
        <v>203.01</v>
      </c>
    </row>
    <row r="1481" spans="1:6" x14ac:dyDescent="0.35">
      <c r="A1481">
        <v>752</v>
      </c>
      <c r="B1481" t="s">
        <v>170</v>
      </c>
      <c r="C1481">
        <v>202602</v>
      </c>
      <c r="D1481">
        <v>2177</v>
      </c>
      <c r="E1481">
        <v>6.2944544035158732</v>
      </c>
      <c r="F1481">
        <v>345.86</v>
      </c>
    </row>
    <row r="1482" spans="1:6" x14ac:dyDescent="0.35">
      <c r="A1482">
        <v>753</v>
      </c>
      <c r="B1482" t="s">
        <v>170</v>
      </c>
      <c r="C1482">
        <v>202602</v>
      </c>
      <c r="D1482">
        <v>5260</v>
      </c>
      <c r="E1482">
        <v>10.762808970371582</v>
      </c>
      <c r="F1482">
        <v>488.72</v>
      </c>
    </row>
    <row r="1483" spans="1:6" x14ac:dyDescent="0.35">
      <c r="A1483">
        <v>754</v>
      </c>
      <c r="B1483" t="s">
        <v>170</v>
      </c>
      <c r="C1483">
        <v>202602</v>
      </c>
      <c r="D1483">
        <v>585</v>
      </c>
      <c r="E1483">
        <v>0.97255240976874868</v>
      </c>
      <c r="F1483">
        <v>601.51</v>
      </c>
    </row>
    <row r="1484" spans="1:6" x14ac:dyDescent="0.35">
      <c r="A1484">
        <v>614</v>
      </c>
      <c r="B1484" t="s">
        <v>170</v>
      </c>
      <c r="C1484">
        <v>202602</v>
      </c>
      <c r="D1484">
        <v>9084</v>
      </c>
      <c r="E1484">
        <v>16.157950907150479</v>
      </c>
      <c r="F1484">
        <v>562.20000000000005</v>
      </c>
    </row>
    <row r="1485" spans="1:6" x14ac:dyDescent="0.35">
      <c r="A1485">
        <v>797</v>
      </c>
      <c r="B1485" t="s">
        <v>170</v>
      </c>
      <c r="C1485">
        <v>202602</v>
      </c>
      <c r="D1485">
        <v>597</v>
      </c>
      <c r="E1485">
        <v>1.3272565584704312</v>
      </c>
      <c r="F1485">
        <v>449.8</v>
      </c>
    </row>
    <row r="1486" spans="1:6" x14ac:dyDescent="0.35">
      <c r="A1486">
        <v>613</v>
      </c>
      <c r="B1486" t="s">
        <v>170</v>
      </c>
      <c r="C1486">
        <v>202602</v>
      </c>
      <c r="D1486">
        <v>5327</v>
      </c>
      <c r="E1486">
        <v>18.211965811965811</v>
      </c>
      <c r="F1486">
        <v>292.5</v>
      </c>
    </row>
    <row r="1487" spans="1:6" x14ac:dyDescent="0.35">
      <c r="A1487">
        <v>767</v>
      </c>
      <c r="B1487" t="s">
        <v>170</v>
      </c>
      <c r="C1487">
        <v>202602</v>
      </c>
      <c r="D1487">
        <v>4852</v>
      </c>
      <c r="E1487">
        <v>8.089363121040348</v>
      </c>
      <c r="F1487">
        <v>599.79999999999995</v>
      </c>
    </row>
    <row r="1488" spans="1:6" x14ac:dyDescent="0.35">
      <c r="A1488">
        <v>807</v>
      </c>
      <c r="B1488" t="s">
        <v>170</v>
      </c>
      <c r="C1488">
        <v>202602</v>
      </c>
      <c r="D1488">
        <v>650</v>
      </c>
      <c r="E1488">
        <v>3.25</v>
      </c>
      <c r="F1488">
        <v>200</v>
      </c>
    </row>
    <row r="1489" spans="1:6" x14ac:dyDescent="0.35">
      <c r="A1489">
        <v>808</v>
      </c>
      <c r="B1489" t="s">
        <v>170</v>
      </c>
      <c r="C1489">
        <v>202602</v>
      </c>
      <c r="D1489">
        <v>784</v>
      </c>
      <c r="E1489">
        <v>2.6599715003053537</v>
      </c>
      <c r="F1489">
        <v>294.74</v>
      </c>
    </row>
    <row r="1490" spans="1:6" x14ac:dyDescent="0.35">
      <c r="A1490">
        <v>502</v>
      </c>
      <c r="B1490" t="s">
        <v>171</v>
      </c>
      <c r="C1490">
        <v>202602</v>
      </c>
      <c r="D1490">
        <v>38332</v>
      </c>
      <c r="E1490">
        <v>123.15897699524483</v>
      </c>
      <c r="F1490">
        <v>311.24</v>
      </c>
    </row>
    <row r="1491" spans="1:6" x14ac:dyDescent="0.35">
      <c r="A1491">
        <v>504</v>
      </c>
      <c r="B1491" t="s">
        <v>171</v>
      </c>
      <c r="C1491">
        <v>202602</v>
      </c>
      <c r="D1491">
        <v>71623</v>
      </c>
      <c r="E1491">
        <v>164.08100616251633</v>
      </c>
      <c r="F1491">
        <v>436.51</v>
      </c>
    </row>
    <row r="1492" spans="1:6" x14ac:dyDescent="0.35">
      <c r="A1492">
        <v>505</v>
      </c>
      <c r="B1492" t="s">
        <v>171</v>
      </c>
      <c r="C1492">
        <v>202602</v>
      </c>
      <c r="D1492">
        <v>30400</v>
      </c>
      <c r="E1492">
        <v>81.68090708796818</v>
      </c>
      <c r="F1492">
        <v>372.18</v>
      </c>
    </row>
    <row r="1493" spans="1:6" x14ac:dyDescent="0.35">
      <c r="A1493">
        <v>506</v>
      </c>
      <c r="B1493" t="s">
        <v>171</v>
      </c>
      <c r="C1493">
        <v>202602</v>
      </c>
      <c r="D1493">
        <v>30236</v>
      </c>
      <c r="E1493">
        <v>63.830775401633979</v>
      </c>
      <c r="F1493">
        <v>473.69</v>
      </c>
    </row>
    <row r="1494" spans="1:6" x14ac:dyDescent="0.35">
      <c r="A1494">
        <v>508</v>
      </c>
      <c r="B1494" t="s">
        <v>171</v>
      </c>
      <c r="C1494">
        <v>202602</v>
      </c>
      <c r="D1494">
        <v>39171</v>
      </c>
      <c r="E1494">
        <v>96.790214974054862</v>
      </c>
      <c r="F1494">
        <v>404.7</v>
      </c>
    </row>
    <row r="1495" spans="1:6" x14ac:dyDescent="0.35">
      <c r="A1495">
        <v>507</v>
      </c>
      <c r="B1495" t="s">
        <v>171</v>
      </c>
      <c r="C1495">
        <v>202602</v>
      </c>
      <c r="D1495">
        <v>32414</v>
      </c>
      <c r="E1495">
        <v>120.05185185185185</v>
      </c>
      <c r="F1495">
        <v>270</v>
      </c>
    </row>
    <row r="1496" spans="1:6" x14ac:dyDescent="0.35">
      <c r="A1496">
        <v>520</v>
      </c>
      <c r="B1496" t="s">
        <v>171</v>
      </c>
      <c r="C1496">
        <v>202602</v>
      </c>
      <c r="D1496">
        <v>484</v>
      </c>
      <c r="E1496">
        <v>7.117647058823529</v>
      </c>
      <c r="F1496">
        <v>68</v>
      </c>
    </row>
    <row r="1497" spans="1:6" x14ac:dyDescent="0.35">
      <c r="A1497">
        <v>521</v>
      </c>
      <c r="B1497" t="s">
        <v>171</v>
      </c>
      <c r="C1497">
        <v>202602</v>
      </c>
      <c r="D1497">
        <v>7335</v>
      </c>
      <c r="E1497">
        <v>63.232758620689658</v>
      </c>
      <c r="F1497">
        <v>116</v>
      </c>
    </row>
    <row r="1498" spans="1:6" x14ac:dyDescent="0.35">
      <c r="A1498">
        <v>784</v>
      </c>
      <c r="B1498" t="s">
        <v>171</v>
      </c>
      <c r="C1498">
        <v>202602</v>
      </c>
      <c r="D1498">
        <v>1075</v>
      </c>
      <c r="E1498">
        <v>3.1880189798339265</v>
      </c>
      <c r="F1498">
        <v>337.2</v>
      </c>
    </row>
    <row r="1499" spans="1:6" x14ac:dyDescent="0.35">
      <c r="A1499">
        <v>785</v>
      </c>
      <c r="B1499" t="s">
        <v>171</v>
      </c>
      <c r="C1499">
        <v>202602</v>
      </c>
      <c r="D1499">
        <v>725</v>
      </c>
      <c r="E1499">
        <v>1.2895766631092136</v>
      </c>
      <c r="F1499">
        <v>562.20000000000005</v>
      </c>
    </row>
    <row r="1500" spans="1:6" x14ac:dyDescent="0.35">
      <c r="A1500">
        <v>758</v>
      </c>
      <c r="B1500" t="s">
        <v>171</v>
      </c>
      <c r="C1500">
        <v>202602</v>
      </c>
      <c r="D1500">
        <v>7810</v>
      </c>
      <c r="E1500">
        <v>11.576029762698802</v>
      </c>
      <c r="F1500">
        <v>674.67</v>
      </c>
    </row>
    <row r="1501" spans="1:6" x14ac:dyDescent="0.35">
      <c r="A1501">
        <v>757</v>
      </c>
      <c r="B1501" t="s">
        <v>171</v>
      </c>
      <c r="C1501">
        <v>202602</v>
      </c>
      <c r="D1501">
        <v>14939</v>
      </c>
      <c r="E1501">
        <v>30.194437707171154</v>
      </c>
      <c r="F1501">
        <v>494.76</v>
      </c>
    </row>
    <row r="1502" spans="1:6" x14ac:dyDescent="0.35">
      <c r="A1502">
        <v>580</v>
      </c>
      <c r="B1502" t="s">
        <v>171</v>
      </c>
      <c r="C1502">
        <v>202602</v>
      </c>
      <c r="D1502">
        <v>0</v>
      </c>
      <c r="E1502">
        <v>0</v>
      </c>
      <c r="F1502">
        <v>270.68</v>
      </c>
    </row>
    <row r="1503" spans="1:6" x14ac:dyDescent="0.35">
      <c r="A1503">
        <v>582</v>
      </c>
      <c r="B1503" t="s">
        <v>171</v>
      </c>
      <c r="C1503">
        <v>202602</v>
      </c>
      <c r="D1503">
        <v>2004</v>
      </c>
      <c r="E1503">
        <v>6.6633416458852865</v>
      </c>
      <c r="F1503">
        <v>300.75</v>
      </c>
    </row>
    <row r="1504" spans="1:6" x14ac:dyDescent="0.35">
      <c r="A1504">
        <v>594</v>
      </c>
      <c r="B1504" t="s">
        <v>171</v>
      </c>
      <c r="C1504">
        <v>202602</v>
      </c>
      <c r="D1504">
        <v>15261</v>
      </c>
      <c r="E1504">
        <v>90.435555555555553</v>
      </c>
      <c r="F1504">
        <v>168.75</v>
      </c>
    </row>
    <row r="1505" spans="1:6" x14ac:dyDescent="0.35">
      <c r="A1505">
        <v>595</v>
      </c>
      <c r="B1505" t="s">
        <v>171</v>
      </c>
      <c r="C1505">
        <v>202602</v>
      </c>
      <c r="D1505">
        <v>19314</v>
      </c>
      <c r="E1505">
        <v>257.52</v>
      </c>
      <c r="F1505">
        <v>75</v>
      </c>
    </row>
    <row r="1506" spans="1:6" x14ac:dyDescent="0.35">
      <c r="A1506">
        <v>603</v>
      </c>
      <c r="B1506" t="s">
        <v>171</v>
      </c>
      <c r="C1506">
        <v>202602</v>
      </c>
      <c r="D1506">
        <v>3533</v>
      </c>
      <c r="E1506">
        <v>15.663238162794821</v>
      </c>
      <c r="F1506">
        <v>225.56</v>
      </c>
    </row>
    <row r="1507" spans="1:6" x14ac:dyDescent="0.35">
      <c r="A1507">
        <v>606</v>
      </c>
      <c r="B1507" t="s">
        <v>171</v>
      </c>
      <c r="C1507">
        <v>202602</v>
      </c>
      <c r="D1507">
        <v>3114</v>
      </c>
      <c r="E1507">
        <v>11.868734992567747</v>
      </c>
      <c r="F1507">
        <v>262.37</v>
      </c>
    </row>
    <row r="1508" spans="1:6" x14ac:dyDescent="0.35">
      <c r="A1508">
        <v>772</v>
      </c>
      <c r="B1508" t="s">
        <v>171</v>
      </c>
      <c r="C1508">
        <v>202602</v>
      </c>
      <c r="D1508">
        <v>263</v>
      </c>
      <c r="E1508">
        <v>1.2994071146245059</v>
      </c>
      <c r="F1508">
        <v>202.4</v>
      </c>
    </row>
    <row r="1509" spans="1:6" x14ac:dyDescent="0.35">
      <c r="A1509">
        <v>615</v>
      </c>
      <c r="B1509" t="s">
        <v>171</v>
      </c>
      <c r="C1509">
        <v>202602</v>
      </c>
      <c r="D1509">
        <v>5177</v>
      </c>
      <c r="E1509">
        <v>19.125905127826215</v>
      </c>
      <c r="F1509">
        <v>270.68</v>
      </c>
    </row>
    <row r="1510" spans="1:6" x14ac:dyDescent="0.35">
      <c r="A1510">
        <v>617</v>
      </c>
      <c r="B1510" t="s">
        <v>171</v>
      </c>
      <c r="C1510">
        <v>202602</v>
      </c>
      <c r="D1510">
        <v>1062</v>
      </c>
      <c r="E1510">
        <v>2.36</v>
      </c>
      <c r="F1510">
        <v>450</v>
      </c>
    </row>
    <row r="1511" spans="1:6" x14ac:dyDescent="0.35">
      <c r="A1511">
        <v>751</v>
      </c>
      <c r="B1511" t="s">
        <v>171</v>
      </c>
      <c r="C1511">
        <v>202602</v>
      </c>
      <c r="D1511">
        <v>462</v>
      </c>
      <c r="E1511">
        <v>2.2757499630560072</v>
      </c>
      <c r="F1511">
        <v>203.01</v>
      </c>
    </row>
    <row r="1512" spans="1:6" x14ac:dyDescent="0.35">
      <c r="A1512">
        <v>752</v>
      </c>
      <c r="B1512" t="s">
        <v>171</v>
      </c>
      <c r="C1512">
        <v>202602</v>
      </c>
      <c r="D1512">
        <v>3289</v>
      </c>
      <c r="E1512">
        <v>9.5096281732492915</v>
      </c>
      <c r="F1512">
        <v>345.86</v>
      </c>
    </row>
    <row r="1513" spans="1:6" x14ac:dyDescent="0.35">
      <c r="A1513">
        <v>753</v>
      </c>
      <c r="B1513" t="s">
        <v>171</v>
      </c>
      <c r="C1513">
        <v>202602</v>
      </c>
      <c r="D1513">
        <v>4544</v>
      </c>
      <c r="E1513">
        <v>9.297757407104271</v>
      </c>
      <c r="F1513">
        <v>488.72</v>
      </c>
    </row>
    <row r="1514" spans="1:6" x14ac:dyDescent="0.35">
      <c r="A1514">
        <v>754</v>
      </c>
      <c r="B1514" t="s">
        <v>171</v>
      </c>
      <c r="C1514">
        <v>202602</v>
      </c>
      <c r="D1514">
        <v>657</v>
      </c>
      <c r="E1514">
        <v>1.0922511678941331</v>
      </c>
      <c r="F1514">
        <v>601.51</v>
      </c>
    </row>
    <row r="1515" spans="1:6" x14ac:dyDescent="0.35">
      <c r="A1515">
        <v>614</v>
      </c>
      <c r="B1515" t="s">
        <v>171</v>
      </c>
      <c r="C1515">
        <v>202602</v>
      </c>
      <c r="D1515">
        <v>11956</v>
      </c>
      <c r="E1515">
        <v>21.266453219494839</v>
      </c>
      <c r="F1515">
        <v>562.20000000000005</v>
      </c>
    </row>
    <row r="1516" spans="1:6" x14ac:dyDescent="0.35">
      <c r="A1516">
        <v>797</v>
      </c>
      <c r="B1516" t="s">
        <v>171</v>
      </c>
      <c r="C1516">
        <v>202602</v>
      </c>
      <c r="D1516">
        <v>751</v>
      </c>
      <c r="E1516">
        <v>1.6696309470875945</v>
      </c>
      <c r="F1516">
        <v>449.8</v>
      </c>
    </row>
    <row r="1517" spans="1:6" x14ac:dyDescent="0.35">
      <c r="A1517">
        <v>613</v>
      </c>
      <c r="B1517" t="s">
        <v>171</v>
      </c>
      <c r="C1517">
        <v>202602</v>
      </c>
      <c r="D1517">
        <v>6343</v>
      </c>
      <c r="E1517">
        <v>21.685470085470087</v>
      </c>
      <c r="F1517">
        <v>292.5</v>
      </c>
    </row>
    <row r="1518" spans="1:6" x14ac:dyDescent="0.35">
      <c r="A1518">
        <v>767</v>
      </c>
      <c r="B1518" t="s">
        <v>171</v>
      </c>
      <c r="C1518">
        <v>202602</v>
      </c>
      <c r="D1518">
        <v>5601</v>
      </c>
      <c r="E1518">
        <v>9.3381127042347458</v>
      </c>
      <c r="F1518">
        <v>599.79999999999995</v>
      </c>
    </row>
    <row r="1519" spans="1:6" x14ac:dyDescent="0.35">
      <c r="A1519">
        <v>807</v>
      </c>
      <c r="B1519" t="s">
        <v>171</v>
      </c>
      <c r="C1519">
        <v>202602</v>
      </c>
      <c r="D1519">
        <v>856</v>
      </c>
      <c r="E1519">
        <v>4.28</v>
      </c>
      <c r="F1519">
        <v>200</v>
      </c>
    </row>
    <row r="1520" spans="1:6" x14ac:dyDescent="0.35">
      <c r="A1520">
        <v>808</v>
      </c>
      <c r="B1520" t="s">
        <v>171</v>
      </c>
      <c r="C1520">
        <v>202602</v>
      </c>
      <c r="D1520">
        <v>974</v>
      </c>
      <c r="E1520">
        <v>3.3046074506344576</v>
      </c>
      <c r="F1520">
        <v>294.74</v>
      </c>
    </row>
    <row r="1521" spans="1:6" x14ac:dyDescent="0.35">
      <c r="A1521">
        <v>502</v>
      </c>
      <c r="B1521" t="s">
        <v>172</v>
      </c>
      <c r="C1521">
        <v>202602</v>
      </c>
      <c r="D1521">
        <v>35328</v>
      </c>
      <c r="E1521">
        <v>113.50726127747076</v>
      </c>
      <c r="F1521">
        <v>311.24</v>
      </c>
    </row>
    <row r="1522" spans="1:6" x14ac:dyDescent="0.35">
      <c r="A1522">
        <v>504</v>
      </c>
      <c r="B1522" t="s">
        <v>172</v>
      </c>
      <c r="C1522">
        <v>202602</v>
      </c>
      <c r="D1522">
        <v>63688</v>
      </c>
      <c r="E1522">
        <v>145.90272845982909</v>
      </c>
      <c r="F1522">
        <v>436.51</v>
      </c>
    </row>
    <row r="1523" spans="1:6" x14ac:dyDescent="0.35">
      <c r="A1523">
        <v>505</v>
      </c>
      <c r="B1523" t="s">
        <v>172</v>
      </c>
      <c r="C1523">
        <v>202602</v>
      </c>
      <c r="D1523">
        <v>27841</v>
      </c>
      <c r="E1523">
        <v>74.805201784082968</v>
      </c>
      <c r="F1523">
        <v>372.18</v>
      </c>
    </row>
    <row r="1524" spans="1:6" x14ac:dyDescent="0.35">
      <c r="A1524">
        <v>506</v>
      </c>
      <c r="B1524" t="s">
        <v>172</v>
      </c>
      <c r="C1524">
        <v>202602</v>
      </c>
      <c r="D1524">
        <v>23253</v>
      </c>
      <c r="E1524">
        <v>49.089066689184911</v>
      </c>
      <c r="F1524">
        <v>473.69</v>
      </c>
    </row>
    <row r="1525" spans="1:6" x14ac:dyDescent="0.35">
      <c r="A1525">
        <v>508</v>
      </c>
      <c r="B1525" t="s">
        <v>172</v>
      </c>
      <c r="C1525">
        <v>202602</v>
      </c>
      <c r="D1525">
        <v>36952</v>
      </c>
      <c r="E1525">
        <v>91.307141092167043</v>
      </c>
      <c r="F1525">
        <v>404.7</v>
      </c>
    </row>
    <row r="1526" spans="1:6" x14ac:dyDescent="0.35">
      <c r="A1526">
        <v>507</v>
      </c>
      <c r="B1526" t="s">
        <v>172</v>
      </c>
      <c r="C1526">
        <v>202602</v>
      </c>
      <c r="D1526">
        <v>31633</v>
      </c>
      <c r="E1526">
        <v>117.15925925925926</v>
      </c>
      <c r="F1526">
        <v>270</v>
      </c>
    </row>
    <row r="1527" spans="1:6" x14ac:dyDescent="0.35">
      <c r="A1527">
        <v>520</v>
      </c>
      <c r="B1527" t="s">
        <v>172</v>
      </c>
      <c r="C1527">
        <v>202602</v>
      </c>
      <c r="D1527">
        <v>358</v>
      </c>
      <c r="E1527">
        <v>5.2647058823529411</v>
      </c>
      <c r="F1527">
        <v>68</v>
      </c>
    </row>
    <row r="1528" spans="1:6" x14ac:dyDescent="0.35">
      <c r="A1528">
        <v>521</v>
      </c>
      <c r="B1528" t="s">
        <v>172</v>
      </c>
      <c r="C1528">
        <v>202602</v>
      </c>
      <c r="D1528">
        <v>5248</v>
      </c>
      <c r="E1528">
        <v>45.241379310344826</v>
      </c>
      <c r="F1528">
        <v>116</v>
      </c>
    </row>
    <row r="1529" spans="1:6" x14ac:dyDescent="0.35">
      <c r="A1529">
        <v>784</v>
      </c>
      <c r="B1529" t="s">
        <v>172</v>
      </c>
      <c r="C1529">
        <v>202602</v>
      </c>
      <c r="D1529">
        <v>480</v>
      </c>
      <c r="E1529">
        <v>1.4234875444839858</v>
      </c>
      <c r="F1529">
        <v>337.2</v>
      </c>
    </row>
    <row r="1530" spans="1:6" x14ac:dyDescent="0.35">
      <c r="A1530">
        <v>785</v>
      </c>
      <c r="B1530" t="s">
        <v>172</v>
      </c>
      <c r="C1530">
        <v>202602</v>
      </c>
      <c r="D1530">
        <v>675</v>
      </c>
      <c r="E1530">
        <v>1.2006403415154747</v>
      </c>
      <c r="F1530">
        <v>562.20000000000005</v>
      </c>
    </row>
    <row r="1531" spans="1:6" x14ac:dyDescent="0.35">
      <c r="A1531">
        <v>758</v>
      </c>
      <c r="B1531" t="s">
        <v>172</v>
      </c>
      <c r="C1531">
        <v>202602</v>
      </c>
      <c r="D1531">
        <v>6370</v>
      </c>
      <c r="E1531">
        <v>9.4416529562600982</v>
      </c>
      <c r="F1531">
        <v>674.67</v>
      </c>
    </row>
    <row r="1532" spans="1:6" x14ac:dyDescent="0.35">
      <c r="A1532">
        <v>757</v>
      </c>
      <c r="B1532" t="s">
        <v>172</v>
      </c>
      <c r="C1532">
        <v>202602</v>
      </c>
      <c r="D1532">
        <v>12796</v>
      </c>
      <c r="E1532">
        <v>25.863044708545559</v>
      </c>
      <c r="F1532">
        <v>494.76</v>
      </c>
    </row>
    <row r="1533" spans="1:6" x14ac:dyDescent="0.35">
      <c r="A1533">
        <v>580</v>
      </c>
      <c r="B1533" t="s">
        <v>172</v>
      </c>
      <c r="C1533">
        <v>202602</v>
      </c>
      <c r="D1533">
        <v>0</v>
      </c>
      <c r="E1533">
        <v>0</v>
      </c>
      <c r="F1533">
        <v>270.68</v>
      </c>
    </row>
    <row r="1534" spans="1:6" x14ac:dyDescent="0.35">
      <c r="A1534">
        <v>582</v>
      </c>
      <c r="B1534" t="s">
        <v>172</v>
      </c>
      <c r="C1534">
        <v>202602</v>
      </c>
      <c r="D1534">
        <v>4780</v>
      </c>
      <c r="E1534">
        <v>15.893599334995844</v>
      </c>
      <c r="F1534">
        <v>300.75</v>
      </c>
    </row>
    <row r="1535" spans="1:6" x14ac:dyDescent="0.35">
      <c r="A1535">
        <v>594</v>
      </c>
      <c r="B1535" t="s">
        <v>172</v>
      </c>
      <c r="C1535">
        <v>202602</v>
      </c>
      <c r="D1535">
        <v>11770</v>
      </c>
      <c r="E1535">
        <v>69.748148148148147</v>
      </c>
      <c r="F1535">
        <v>168.75</v>
      </c>
    </row>
    <row r="1536" spans="1:6" x14ac:dyDescent="0.35">
      <c r="A1536">
        <v>595</v>
      </c>
      <c r="B1536" t="s">
        <v>172</v>
      </c>
      <c r="C1536">
        <v>202602</v>
      </c>
      <c r="D1536">
        <v>17770</v>
      </c>
      <c r="E1536">
        <v>236.93333333333334</v>
      </c>
      <c r="F1536">
        <v>75</v>
      </c>
    </row>
    <row r="1537" spans="1:6" x14ac:dyDescent="0.35">
      <c r="A1537">
        <v>603</v>
      </c>
      <c r="B1537" t="s">
        <v>172</v>
      </c>
      <c r="C1537">
        <v>202602</v>
      </c>
      <c r="D1537">
        <v>5144</v>
      </c>
      <c r="E1537">
        <v>22.805461961340662</v>
      </c>
      <c r="F1537">
        <v>225.56</v>
      </c>
    </row>
    <row r="1538" spans="1:6" x14ac:dyDescent="0.35">
      <c r="A1538">
        <v>606</v>
      </c>
      <c r="B1538" t="s">
        <v>172</v>
      </c>
      <c r="C1538">
        <v>202602</v>
      </c>
      <c r="D1538">
        <v>2463</v>
      </c>
      <c r="E1538">
        <v>9.3875061935434694</v>
      </c>
      <c r="F1538">
        <v>262.37</v>
      </c>
    </row>
    <row r="1539" spans="1:6" x14ac:dyDescent="0.35">
      <c r="A1539">
        <v>772</v>
      </c>
      <c r="B1539" t="s">
        <v>172</v>
      </c>
      <c r="C1539">
        <v>202602</v>
      </c>
      <c r="D1539">
        <v>248</v>
      </c>
      <c r="E1539">
        <v>1.2252964426877471</v>
      </c>
      <c r="F1539">
        <v>202.4</v>
      </c>
    </row>
    <row r="1540" spans="1:6" x14ac:dyDescent="0.35">
      <c r="A1540">
        <v>615</v>
      </c>
      <c r="B1540" t="s">
        <v>172</v>
      </c>
      <c r="C1540">
        <v>202602</v>
      </c>
      <c r="D1540">
        <v>3822</v>
      </c>
      <c r="E1540">
        <v>14.119994088961134</v>
      </c>
      <c r="F1540">
        <v>270.68</v>
      </c>
    </row>
    <row r="1541" spans="1:6" x14ac:dyDescent="0.35">
      <c r="A1541">
        <v>617</v>
      </c>
      <c r="B1541" t="s">
        <v>172</v>
      </c>
      <c r="C1541">
        <v>202602</v>
      </c>
      <c r="D1541">
        <v>914</v>
      </c>
      <c r="E1541">
        <v>2.0311111111111111</v>
      </c>
      <c r="F1541">
        <v>450</v>
      </c>
    </row>
    <row r="1542" spans="1:6" x14ac:dyDescent="0.35">
      <c r="A1542">
        <v>751</v>
      </c>
      <c r="B1542" t="s">
        <v>172</v>
      </c>
      <c r="C1542">
        <v>202602</v>
      </c>
      <c r="D1542">
        <v>247</v>
      </c>
      <c r="E1542">
        <v>1.2166888330624108</v>
      </c>
      <c r="F1542">
        <v>203.01</v>
      </c>
    </row>
    <row r="1543" spans="1:6" x14ac:dyDescent="0.35">
      <c r="A1543">
        <v>752</v>
      </c>
      <c r="B1543" t="s">
        <v>172</v>
      </c>
      <c r="C1543">
        <v>202602</v>
      </c>
      <c r="D1543">
        <v>2541</v>
      </c>
      <c r="E1543">
        <v>7.3469033713063086</v>
      </c>
      <c r="F1543">
        <v>345.86</v>
      </c>
    </row>
    <row r="1544" spans="1:6" x14ac:dyDescent="0.35">
      <c r="A1544">
        <v>753</v>
      </c>
      <c r="B1544" t="s">
        <v>172</v>
      </c>
      <c r="C1544">
        <v>202602</v>
      </c>
      <c r="D1544">
        <v>4837</v>
      </c>
      <c r="E1544">
        <v>9.8972826976591914</v>
      </c>
      <c r="F1544">
        <v>488.72</v>
      </c>
    </row>
    <row r="1545" spans="1:6" x14ac:dyDescent="0.35">
      <c r="A1545">
        <v>754</v>
      </c>
      <c r="B1545" t="s">
        <v>172</v>
      </c>
      <c r="C1545">
        <v>202602</v>
      </c>
      <c r="D1545">
        <v>589</v>
      </c>
      <c r="E1545">
        <v>0.97920234077571444</v>
      </c>
      <c r="F1545">
        <v>601.51</v>
      </c>
    </row>
    <row r="1546" spans="1:6" x14ac:dyDescent="0.35">
      <c r="A1546">
        <v>614</v>
      </c>
      <c r="B1546" t="s">
        <v>172</v>
      </c>
      <c r="C1546">
        <v>202602</v>
      </c>
      <c r="D1546">
        <v>10158</v>
      </c>
      <c r="E1546">
        <v>18.068303094983989</v>
      </c>
      <c r="F1546">
        <v>562.20000000000005</v>
      </c>
    </row>
    <row r="1547" spans="1:6" x14ac:dyDescent="0.35">
      <c r="A1547">
        <v>797</v>
      </c>
      <c r="B1547" t="s">
        <v>172</v>
      </c>
      <c r="C1547">
        <v>202602</v>
      </c>
      <c r="D1547">
        <v>1271</v>
      </c>
      <c r="E1547">
        <v>2.8257003112494443</v>
      </c>
      <c r="F1547">
        <v>449.8</v>
      </c>
    </row>
    <row r="1548" spans="1:6" x14ac:dyDescent="0.35">
      <c r="A1548">
        <v>613</v>
      </c>
      <c r="B1548" t="s">
        <v>172</v>
      </c>
      <c r="C1548">
        <v>202602</v>
      </c>
      <c r="D1548">
        <v>5881</v>
      </c>
      <c r="E1548">
        <v>20.105982905982906</v>
      </c>
      <c r="F1548">
        <v>292.5</v>
      </c>
    </row>
    <row r="1549" spans="1:6" x14ac:dyDescent="0.35">
      <c r="A1549">
        <v>767</v>
      </c>
      <c r="B1549" t="s">
        <v>172</v>
      </c>
      <c r="C1549">
        <v>202602</v>
      </c>
      <c r="D1549">
        <v>6409</v>
      </c>
      <c r="E1549">
        <v>10.685228409469824</v>
      </c>
      <c r="F1549">
        <v>599.79999999999995</v>
      </c>
    </row>
    <row r="1550" spans="1:6" x14ac:dyDescent="0.35">
      <c r="A1550">
        <v>807</v>
      </c>
      <c r="B1550" t="s">
        <v>172</v>
      </c>
      <c r="C1550">
        <v>202602</v>
      </c>
      <c r="D1550">
        <v>544</v>
      </c>
      <c r="E1550">
        <v>2.72</v>
      </c>
      <c r="F1550">
        <v>200</v>
      </c>
    </row>
    <row r="1551" spans="1:6" x14ac:dyDescent="0.35">
      <c r="A1551">
        <v>808</v>
      </c>
      <c r="B1551" t="s">
        <v>172</v>
      </c>
      <c r="C1551">
        <v>202602</v>
      </c>
      <c r="D1551">
        <v>922</v>
      </c>
      <c r="E1551">
        <v>3.1281807694917552</v>
      </c>
      <c r="F1551">
        <v>294.74</v>
      </c>
    </row>
    <row r="1552" spans="1:6" x14ac:dyDescent="0.35">
      <c r="A1552">
        <v>502</v>
      </c>
      <c r="B1552" t="s">
        <v>193</v>
      </c>
      <c r="C1552">
        <v>202602</v>
      </c>
      <c r="D1552">
        <v>44183</v>
      </c>
      <c r="E1552">
        <v>141.95797455339931</v>
      </c>
      <c r="F1552">
        <v>311.24</v>
      </c>
    </row>
    <row r="1553" spans="1:6" x14ac:dyDescent="0.35">
      <c r="A1553">
        <v>504</v>
      </c>
      <c r="B1553" t="s">
        <v>193</v>
      </c>
      <c r="C1553">
        <v>202602</v>
      </c>
      <c r="D1553">
        <v>92566</v>
      </c>
      <c r="E1553">
        <v>212.05928844700009</v>
      </c>
      <c r="F1553">
        <v>436.51</v>
      </c>
    </row>
    <row r="1554" spans="1:6" x14ac:dyDescent="0.35">
      <c r="A1554">
        <v>505</v>
      </c>
      <c r="B1554" t="s">
        <v>193</v>
      </c>
      <c r="C1554">
        <v>202602</v>
      </c>
      <c r="D1554">
        <v>54343</v>
      </c>
      <c r="E1554">
        <v>146.01268203557419</v>
      </c>
      <c r="F1554">
        <v>372.18</v>
      </c>
    </row>
    <row r="1555" spans="1:6" x14ac:dyDescent="0.35">
      <c r="A1555">
        <v>506</v>
      </c>
      <c r="B1555" t="s">
        <v>193</v>
      </c>
      <c r="C1555">
        <v>202602</v>
      </c>
      <c r="D1555">
        <v>63177</v>
      </c>
      <c r="E1555">
        <v>133.37203656399754</v>
      </c>
      <c r="F1555">
        <v>473.69</v>
      </c>
    </row>
    <row r="1556" spans="1:6" x14ac:dyDescent="0.35">
      <c r="A1556">
        <v>508</v>
      </c>
      <c r="B1556" t="s">
        <v>193</v>
      </c>
      <c r="C1556">
        <v>202602</v>
      </c>
      <c r="D1556">
        <v>38706</v>
      </c>
      <c r="E1556">
        <v>95.6412157153447</v>
      </c>
      <c r="F1556">
        <v>404.7</v>
      </c>
    </row>
    <row r="1557" spans="1:6" x14ac:dyDescent="0.35">
      <c r="A1557">
        <v>507</v>
      </c>
      <c r="B1557" t="s">
        <v>193</v>
      </c>
      <c r="C1557">
        <v>202602</v>
      </c>
      <c r="D1557">
        <v>29524</v>
      </c>
      <c r="E1557">
        <v>109.34814814814816</v>
      </c>
      <c r="F1557">
        <v>270</v>
      </c>
    </row>
    <row r="1558" spans="1:6" x14ac:dyDescent="0.35">
      <c r="A1558">
        <v>520</v>
      </c>
      <c r="B1558" t="s">
        <v>193</v>
      </c>
      <c r="C1558">
        <v>202602</v>
      </c>
      <c r="D1558">
        <v>568</v>
      </c>
      <c r="E1558">
        <v>8.3529411764705888</v>
      </c>
      <c r="F1558">
        <v>68</v>
      </c>
    </row>
    <row r="1559" spans="1:6" x14ac:dyDescent="0.35">
      <c r="A1559">
        <v>521</v>
      </c>
      <c r="B1559" t="s">
        <v>193</v>
      </c>
      <c r="C1559">
        <v>202602</v>
      </c>
      <c r="D1559">
        <v>3768</v>
      </c>
      <c r="E1559">
        <v>32.482758620689658</v>
      </c>
      <c r="F1559">
        <v>116</v>
      </c>
    </row>
    <row r="1560" spans="1:6" x14ac:dyDescent="0.35">
      <c r="A1560">
        <v>784</v>
      </c>
      <c r="B1560" t="s">
        <v>193</v>
      </c>
      <c r="C1560">
        <v>202602</v>
      </c>
      <c r="D1560">
        <v>521</v>
      </c>
      <c r="E1560">
        <v>1.5450771055753263</v>
      </c>
      <c r="F1560">
        <v>337.2</v>
      </c>
    </row>
    <row r="1561" spans="1:6" x14ac:dyDescent="0.35">
      <c r="A1561">
        <v>785</v>
      </c>
      <c r="B1561" t="s">
        <v>193</v>
      </c>
      <c r="C1561">
        <v>202602</v>
      </c>
      <c r="D1561">
        <v>755</v>
      </c>
      <c r="E1561">
        <v>1.3429384560654569</v>
      </c>
      <c r="F1561">
        <v>562.20000000000005</v>
      </c>
    </row>
    <row r="1562" spans="1:6" x14ac:dyDescent="0.35">
      <c r="A1562">
        <v>758</v>
      </c>
      <c r="B1562" t="s">
        <v>193</v>
      </c>
      <c r="C1562">
        <v>202602</v>
      </c>
      <c r="D1562">
        <v>11299</v>
      </c>
      <c r="E1562">
        <v>16.747446899965912</v>
      </c>
      <c r="F1562">
        <v>674.67</v>
      </c>
    </row>
    <row r="1563" spans="1:6" x14ac:dyDescent="0.35">
      <c r="A1563">
        <v>757</v>
      </c>
      <c r="B1563" t="s">
        <v>193</v>
      </c>
      <c r="C1563">
        <v>202602</v>
      </c>
      <c r="D1563">
        <v>19220</v>
      </c>
      <c r="E1563">
        <v>38.847117794486216</v>
      </c>
      <c r="F1563">
        <v>494.76</v>
      </c>
    </row>
    <row r="1564" spans="1:6" x14ac:dyDescent="0.35">
      <c r="A1564">
        <v>580</v>
      </c>
      <c r="B1564" t="s">
        <v>193</v>
      </c>
      <c r="C1564">
        <v>202602</v>
      </c>
      <c r="D1564">
        <v>2050</v>
      </c>
      <c r="E1564">
        <v>7.573518545884439</v>
      </c>
      <c r="F1564">
        <v>270.68</v>
      </c>
    </row>
    <row r="1565" spans="1:6" x14ac:dyDescent="0.35">
      <c r="A1565">
        <v>582</v>
      </c>
      <c r="B1565" t="s">
        <v>193</v>
      </c>
      <c r="C1565">
        <v>202602</v>
      </c>
      <c r="D1565">
        <v>2001</v>
      </c>
      <c r="E1565">
        <v>6.6533665835411471</v>
      </c>
      <c r="F1565">
        <v>300.75</v>
      </c>
    </row>
    <row r="1566" spans="1:6" x14ac:dyDescent="0.35">
      <c r="A1566">
        <v>594</v>
      </c>
      <c r="B1566" t="s">
        <v>193</v>
      </c>
      <c r="C1566">
        <v>202602</v>
      </c>
      <c r="D1566">
        <v>17014</v>
      </c>
      <c r="E1566">
        <v>100.8237037037037</v>
      </c>
      <c r="F1566">
        <v>168.75</v>
      </c>
    </row>
    <row r="1567" spans="1:6" x14ac:dyDescent="0.35">
      <c r="A1567">
        <v>595</v>
      </c>
      <c r="B1567" t="s">
        <v>193</v>
      </c>
      <c r="C1567">
        <v>202602</v>
      </c>
      <c r="D1567">
        <v>31542</v>
      </c>
      <c r="E1567">
        <v>420.56</v>
      </c>
      <c r="F1567">
        <v>75</v>
      </c>
    </row>
    <row r="1568" spans="1:6" x14ac:dyDescent="0.35">
      <c r="A1568">
        <v>603</v>
      </c>
      <c r="B1568" t="s">
        <v>193</v>
      </c>
      <c r="C1568">
        <v>202602</v>
      </c>
      <c r="D1568">
        <v>3656</v>
      </c>
      <c r="E1568">
        <v>16.208547614825324</v>
      </c>
      <c r="F1568">
        <v>225.56</v>
      </c>
    </row>
    <row r="1569" spans="1:6" x14ac:dyDescent="0.35">
      <c r="A1569">
        <v>606</v>
      </c>
      <c r="B1569" t="s">
        <v>193</v>
      </c>
      <c r="C1569">
        <v>202602</v>
      </c>
      <c r="D1569">
        <v>2242</v>
      </c>
      <c r="E1569">
        <v>8.5451842817395285</v>
      </c>
      <c r="F1569">
        <v>262.37</v>
      </c>
    </row>
    <row r="1570" spans="1:6" x14ac:dyDescent="0.35">
      <c r="A1570">
        <v>772</v>
      </c>
      <c r="B1570" t="s">
        <v>193</v>
      </c>
      <c r="C1570">
        <v>202602</v>
      </c>
      <c r="D1570">
        <v>343</v>
      </c>
      <c r="E1570">
        <v>1.6946640316205532</v>
      </c>
      <c r="F1570">
        <v>202.4</v>
      </c>
    </row>
    <row r="1571" spans="1:6" x14ac:dyDescent="0.35">
      <c r="A1571">
        <v>615</v>
      </c>
      <c r="B1571" t="s">
        <v>193</v>
      </c>
      <c r="C1571">
        <v>202602</v>
      </c>
      <c r="D1571">
        <v>5820</v>
      </c>
      <c r="E1571">
        <v>21.501403871730457</v>
      </c>
      <c r="F1571">
        <v>270.68</v>
      </c>
    </row>
    <row r="1572" spans="1:6" x14ac:dyDescent="0.35">
      <c r="A1572">
        <v>617</v>
      </c>
      <c r="B1572" t="s">
        <v>193</v>
      </c>
      <c r="C1572">
        <v>202602</v>
      </c>
      <c r="D1572">
        <v>1916</v>
      </c>
      <c r="E1572">
        <v>4.2577777777777781</v>
      </c>
      <c r="F1572">
        <v>450</v>
      </c>
    </row>
    <row r="1573" spans="1:6" x14ac:dyDescent="0.35">
      <c r="A1573">
        <v>751</v>
      </c>
      <c r="B1573" t="s">
        <v>193</v>
      </c>
      <c r="C1573">
        <v>202602</v>
      </c>
      <c r="D1573">
        <v>1077</v>
      </c>
      <c r="E1573">
        <v>5.3051573814097832</v>
      </c>
      <c r="F1573">
        <v>203.01</v>
      </c>
    </row>
    <row r="1574" spans="1:6" x14ac:dyDescent="0.35">
      <c r="A1574">
        <v>752</v>
      </c>
      <c r="B1574" t="s">
        <v>193</v>
      </c>
      <c r="C1574">
        <v>202602</v>
      </c>
      <c r="D1574">
        <v>5116</v>
      </c>
      <c r="E1574">
        <v>14.792112415428207</v>
      </c>
      <c r="F1574">
        <v>345.86</v>
      </c>
    </row>
    <row r="1575" spans="1:6" x14ac:dyDescent="0.35">
      <c r="A1575">
        <v>753</v>
      </c>
      <c r="B1575" t="s">
        <v>193</v>
      </c>
      <c r="C1575">
        <v>202602</v>
      </c>
      <c r="D1575">
        <v>7286</v>
      </c>
      <c r="E1575">
        <v>14.908331969225731</v>
      </c>
      <c r="F1575">
        <v>488.72</v>
      </c>
    </row>
    <row r="1576" spans="1:6" x14ac:dyDescent="0.35">
      <c r="A1576">
        <v>754</v>
      </c>
      <c r="B1576" t="s">
        <v>193</v>
      </c>
      <c r="C1576">
        <v>202602</v>
      </c>
      <c r="D1576">
        <v>830</v>
      </c>
      <c r="E1576">
        <v>1.3798606839454042</v>
      </c>
      <c r="F1576">
        <v>601.51</v>
      </c>
    </row>
    <row r="1577" spans="1:6" x14ac:dyDescent="0.35">
      <c r="A1577">
        <v>614</v>
      </c>
      <c r="B1577" t="s">
        <v>193</v>
      </c>
      <c r="C1577">
        <v>202602</v>
      </c>
      <c r="D1577">
        <v>43423</v>
      </c>
      <c r="E1577">
        <v>77.237637851298459</v>
      </c>
      <c r="F1577">
        <v>562.20000000000005</v>
      </c>
    </row>
    <row r="1578" spans="1:6" x14ac:dyDescent="0.35">
      <c r="A1578">
        <v>797</v>
      </c>
      <c r="B1578" t="s">
        <v>193</v>
      </c>
      <c r="C1578">
        <v>202602</v>
      </c>
      <c r="D1578">
        <v>2527</v>
      </c>
      <c r="E1578">
        <v>5.6180524677634507</v>
      </c>
      <c r="F1578">
        <v>449.8</v>
      </c>
    </row>
    <row r="1579" spans="1:6" x14ac:dyDescent="0.35">
      <c r="A1579">
        <v>613</v>
      </c>
      <c r="B1579" t="s">
        <v>193</v>
      </c>
      <c r="C1579">
        <v>202602</v>
      </c>
      <c r="D1579">
        <v>18113</v>
      </c>
      <c r="E1579">
        <v>61.924786324786325</v>
      </c>
      <c r="F1579">
        <v>292.5</v>
      </c>
    </row>
    <row r="1580" spans="1:6" x14ac:dyDescent="0.35">
      <c r="A1580">
        <v>767</v>
      </c>
      <c r="B1580" t="s">
        <v>193</v>
      </c>
      <c r="C1580">
        <v>202602</v>
      </c>
      <c r="D1580">
        <v>9386</v>
      </c>
      <c r="E1580">
        <v>15.648549516505502</v>
      </c>
      <c r="F1580">
        <v>599.79999999999995</v>
      </c>
    </row>
    <row r="1581" spans="1:6" x14ac:dyDescent="0.35">
      <c r="A1581">
        <v>807</v>
      </c>
      <c r="B1581" t="s">
        <v>193</v>
      </c>
      <c r="C1581">
        <v>202602</v>
      </c>
      <c r="D1581">
        <v>753</v>
      </c>
      <c r="E1581">
        <v>3.7650000000000001</v>
      </c>
      <c r="F1581">
        <v>200</v>
      </c>
    </row>
    <row r="1582" spans="1:6" x14ac:dyDescent="0.35">
      <c r="A1582">
        <v>808</v>
      </c>
      <c r="B1582" t="s">
        <v>193</v>
      </c>
      <c r="C1582">
        <v>202602</v>
      </c>
      <c r="D1582">
        <v>1706</v>
      </c>
      <c r="E1582">
        <v>5.7881522697971093</v>
      </c>
      <c r="F1582">
        <v>294.74</v>
      </c>
    </row>
    <row r="1583" spans="1:6" x14ac:dyDescent="0.35">
      <c r="A1583">
        <v>502</v>
      </c>
      <c r="B1583" t="s">
        <v>194</v>
      </c>
      <c r="C1583">
        <v>202602</v>
      </c>
      <c r="D1583">
        <v>51743</v>
      </c>
      <c r="E1583">
        <v>166.24791157948849</v>
      </c>
      <c r="F1583">
        <v>311.24</v>
      </c>
    </row>
    <row r="1584" spans="1:6" x14ac:dyDescent="0.35">
      <c r="A1584">
        <v>504</v>
      </c>
      <c r="B1584" t="s">
        <v>194</v>
      </c>
      <c r="C1584">
        <v>202602</v>
      </c>
      <c r="D1584">
        <v>114468</v>
      </c>
      <c r="E1584">
        <v>262.2345421639825</v>
      </c>
      <c r="F1584">
        <v>436.51</v>
      </c>
    </row>
    <row r="1585" spans="1:6" x14ac:dyDescent="0.35">
      <c r="A1585">
        <v>505</v>
      </c>
      <c r="B1585" t="s">
        <v>194</v>
      </c>
      <c r="C1585">
        <v>202602</v>
      </c>
      <c r="D1585">
        <v>62803</v>
      </c>
      <c r="E1585">
        <v>168.74361867913376</v>
      </c>
      <c r="F1585">
        <v>372.18</v>
      </c>
    </row>
    <row r="1586" spans="1:6" x14ac:dyDescent="0.35">
      <c r="A1586">
        <v>506</v>
      </c>
      <c r="B1586" t="s">
        <v>194</v>
      </c>
      <c r="C1586">
        <v>202602</v>
      </c>
      <c r="D1586">
        <v>76481</v>
      </c>
      <c r="E1586">
        <v>161.45791551436594</v>
      </c>
      <c r="F1586">
        <v>473.69</v>
      </c>
    </row>
    <row r="1587" spans="1:6" x14ac:dyDescent="0.35">
      <c r="A1587">
        <v>508</v>
      </c>
      <c r="B1587" t="s">
        <v>194</v>
      </c>
      <c r="C1587">
        <v>202602</v>
      </c>
      <c r="D1587">
        <v>50057</v>
      </c>
      <c r="E1587">
        <v>123.68915245861132</v>
      </c>
      <c r="F1587">
        <v>404.7</v>
      </c>
    </row>
    <row r="1588" spans="1:6" x14ac:dyDescent="0.35">
      <c r="A1588">
        <v>507</v>
      </c>
      <c r="B1588" t="s">
        <v>194</v>
      </c>
      <c r="C1588">
        <v>202602</v>
      </c>
      <c r="D1588">
        <v>46547</v>
      </c>
      <c r="E1588">
        <v>172.3962962962963</v>
      </c>
      <c r="F1588">
        <v>270</v>
      </c>
    </row>
    <row r="1589" spans="1:6" x14ac:dyDescent="0.35">
      <c r="A1589">
        <v>520</v>
      </c>
      <c r="B1589" t="s">
        <v>194</v>
      </c>
      <c r="C1589">
        <v>202602</v>
      </c>
      <c r="D1589">
        <v>606</v>
      </c>
      <c r="E1589">
        <v>8.9117647058823533</v>
      </c>
      <c r="F1589">
        <v>68</v>
      </c>
    </row>
    <row r="1590" spans="1:6" x14ac:dyDescent="0.35">
      <c r="A1590">
        <v>521</v>
      </c>
      <c r="B1590" t="s">
        <v>194</v>
      </c>
      <c r="C1590">
        <v>202602</v>
      </c>
      <c r="D1590">
        <v>3585</v>
      </c>
      <c r="E1590">
        <v>30.905172413793103</v>
      </c>
      <c r="F1590">
        <v>116</v>
      </c>
    </row>
    <row r="1591" spans="1:6" x14ac:dyDescent="0.35">
      <c r="A1591">
        <v>784</v>
      </c>
      <c r="B1591" t="s">
        <v>194</v>
      </c>
      <c r="C1591">
        <v>202602</v>
      </c>
      <c r="D1591">
        <v>1112</v>
      </c>
      <c r="E1591">
        <v>3.2977461447212337</v>
      </c>
      <c r="F1591">
        <v>337.2</v>
      </c>
    </row>
    <row r="1592" spans="1:6" x14ac:dyDescent="0.35">
      <c r="A1592">
        <v>785</v>
      </c>
      <c r="B1592" t="s">
        <v>194</v>
      </c>
      <c r="C1592">
        <v>202602</v>
      </c>
      <c r="D1592">
        <v>824</v>
      </c>
      <c r="E1592">
        <v>1.4656705798648166</v>
      </c>
      <c r="F1592">
        <v>562.20000000000005</v>
      </c>
    </row>
    <row r="1593" spans="1:6" x14ac:dyDescent="0.35">
      <c r="A1593">
        <v>758</v>
      </c>
      <c r="B1593" t="s">
        <v>194</v>
      </c>
      <c r="C1593">
        <v>202602</v>
      </c>
      <c r="D1593">
        <v>14786</v>
      </c>
      <c r="E1593">
        <v>21.915899625001853</v>
      </c>
      <c r="F1593">
        <v>674.67</v>
      </c>
    </row>
    <row r="1594" spans="1:6" x14ac:dyDescent="0.35">
      <c r="A1594">
        <v>757</v>
      </c>
      <c r="B1594" t="s">
        <v>194</v>
      </c>
      <c r="C1594">
        <v>202602</v>
      </c>
      <c r="D1594">
        <v>26631</v>
      </c>
      <c r="E1594">
        <v>53.826097501819063</v>
      </c>
      <c r="F1594">
        <v>494.76</v>
      </c>
    </row>
    <row r="1595" spans="1:6" x14ac:dyDescent="0.35">
      <c r="A1595">
        <v>580</v>
      </c>
      <c r="B1595" t="s">
        <v>194</v>
      </c>
      <c r="C1595">
        <v>202602</v>
      </c>
      <c r="D1595">
        <v>2606</v>
      </c>
      <c r="E1595">
        <v>9.6276045514999264</v>
      </c>
      <c r="F1595">
        <v>270.68</v>
      </c>
    </row>
    <row r="1596" spans="1:6" x14ac:dyDescent="0.35">
      <c r="A1596">
        <v>582</v>
      </c>
      <c r="B1596" t="s">
        <v>194</v>
      </c>
      <c r="C1596">
        <v>202602</v>
      </c>
      <c r="D1596">
        <v>4579</v>
      </c>
      <c r="E1596">
        <v>15.225270157938487</v>
      </c>
      <c r="F1596">
        <v>300.75</v>
      </c>
    </row>
    <row r="1597" spans="1:6" x14ac:dyDescent="0.35">
      <c r="A1597">
        <v>594</v>
      </c>
      <c r="B1597" t="s">
        <v>194</v>
      </c>
      <c r="C1597">
        <v>202602</v>
      </c>
      <c r="D1597">
        <v>22398</v>
      </c>
      <c r="E1597">
        <v>132.72888888888889</v>
      </c>
      <c r="F1597">
        <v>168.75</v>
      </c>
    </row>
    <row r="1598" spans="1:6" x14ac:dyDescent="0.35">
      <c r="A1598">
        <v>595</v>
      </c>
      <c r="B1598" t="s">
        <v>194</v>
      </c>
      <c r="C1598">
        <v>202602</v>
      </c>
      <c r="D1598">
        <v>31044</v>
      </c>
      <c r="E1598">
        <v>413.92</v>
      </c>
      <c r="F1598">
        <v>75</v>
      </c>
    </row>
    <row r="1599" spans="1:6" x14ac:dyDescent="0.35">
      <c r="A1599">
        <v>603</v>
      </c>
      <c r="B1599" t="s">
        <v>194</v>
      </c>
      <c r="C1599">
        <v>202602</v>
      </c>
      <c r="D1599">
        <v>3597</v>
      </c>
      <c r="E1599">
        <v>15.946976414257847</v>
      </c>
      <c r="F1599">
        <v>225.56</v>
      </c>
    </row>
    <row r="1600" spans="1:6" x14ac:dyDescent="0.35">
      <c r="A1600">
        <v>606</v>
      </c>
      <c r="B1600" t="s">
        <v>194</v>
      </c>
      <c r="C1600">
        <v>202602</v>
      </c>
      <c r="D1600">
        <v>4245</v>
      </c>
      <c r="E1600">
        <v>16.179441247093798</v>
      </c>
      <c r="F1600">
        <v>262.37</v>
      </c>
    </row>
    <row r="1601" spans="1:6" x14ac:dyDescent="0.35">
      <c r="A1601">
        <v>772</v>
      </c>
      <c r="B1601" t="s">
        <v>194</v>
      </c>
      <c r="C1601">
        <v>202602</v>
      </c>
      <c r="D1601">
        <v>506</v>
      </c>
      <c r="E1601">
        <v>2.5</v>
      </c>
      <c r="F1601">
        <v>202.4</v>
      </c>
    </row>
    <row r="1602" spans="1:6" x14ac:dyDescent="0.35">
      <c r="A1602">
        <v>615</v>
      </c>
      <c r="B1602" t="s">
        <v>194</v>
      </c>
      <c r="C1602">
        <v>202602</v>
      </c>
      <c r="D1602">
        <v>10112</v>
      </c>
      <c r="E1602">
        <v>37.357765627309</v>
      </c>
      <c r="F1602">
        <v>270.68</v>
      </c>
    </row>
    <row r="1603" spans="1:6" x14ac:dyDescent="0.35">
      <c r="A1603">
        <v>617</v>
      </c>
      <c r="B1603" t="s">
        <v>194</v>
      </c>
      <c r="C1603">
        <v>202602</v>
      </c>
      <c r="D1603">
        <v>3281</v>
      </c>
      <c r="E1603">
        <v>7.2911111111111113</v>
      </c>
      <c r="F1603">
        <v>450</v>
      </c>
    </row>
    <row r="1604" spans="1:6" x14ac:dyDescent="0.35">
      <c r="A1604">
        <v>751</v>
      </c>
      <c r="B1604" t="s">
        <v>194</v>
      </c>
      <c r="C1604">
        <v>202602</v>
      </c>
      <c r="D1604">
        <v>1368</v>
      </c>
      <c r="E1604">
        <v>6.7385843061918136</v>
      </c>
      <c r="F1604">
        <v>203.01</v>
      </c>
    </row>
    <row r="1605" spans="1:6" x14ac:dyDescent="0.35">
      <c r="A1605">
        <v>752</v>
      </c>
      <c r="B1605" t="s">
        <v>194</v>
      </c>
      <c r="C1605">
        <v>202602</v>
      </c>
      <c r="D1605">
        <v>6434</v>
      </c>
      <c r="E1605">
        <v>18.602902908691377</v>
      </c>
      <c r="F1605">
        <v>345.86</v>
      </c>
    </row>
    <row r="1606" spans="1:6" x14ac:dyDescent="0.35">
      <c r="A1606">
        <v>753</v>
      </c>
      <c r="B1606" t="s">
        <v>194</v>
      </c>
      <c r="C1606">
        <v>202602</v>
      </c>
      <c r="D1606">
        <v>9263</v>
      </c>
      <c r="E1606">
        <v>18.953593059420527</v>
      </c>
      <c r="F1606">
        <v>488.72</v>
      </c>
    </row>
    <row r="1607" spans="1:6" x14ac:dyDescent="0.35">
      <c r="A1607">
        <v>754</v>
      </c>
      <c r="B1607" t="s">
        <v>194</v>
      </c>
      <c r="C1607">
        <v>202602</v>
      </c>
      <c r="D1607">
        <v>1055</v>
      </c>
      <c r="E1607">
        <v>1.7539193030872304</v>
      </c>
      <c r="F1607">
        <v>601.51</v>
      </c>
    </row>
    <row r="1608" spans="1:6" x14ac:dyDescent="0.35">
      <c r="A1608">
        <v>614</v>
      </c>
      <c r="B1608" t="s">
        <v>194</v>
      </c>
      <c r="C1608">
        <v>202602</v>
      </c>
      <c r="D1608">
        <v>54995</v>
      </c>
      <c r="E1608">
        <v>97.821060120953391</v>
      </c>
      <c r="F1608">
        <v>562.20000000000005</v>
      </c>
    </row>
    <row r="1609" spans="1:6" x14ac:dyDescent="0.35">
      <c r="A1609">
        <v>797</v>
      </c>
      <c r="B1609" t="s">
        <v>194</v>
      </c>
      <c r="C1609">
        <v>202602</v>
      </c>
      <c r="D1609">
        <v>4077</v>
      </c>
      <c r="E1609">
        <v>9.0640284570920411</v>
      </c>
      <c r="F1609">
        <v>449.8</v>
      </c>
    </row>
    <row r="1610" spans="1:6" x14ac:dyDescent="0.35">
      <c r="A1610">
        <v>613</v>
      </c>
      <c r="B1610" t="s">
        <v>194</v>
      </c>
      <c r="C1610">
        <v>202602</v>
      </c>
      <c r="D1610">
        <v>25847</v>
      </c>
      <c r="E1610">
        <v>88.365811965811972</v>
      </c>
      <c r="F1610">
        <v>292.5</v>
      </c>
    </row>
    <row r="1611" spans="1:6" x14ac:dyDescent="0.35">
      <c r="A1611">
        <v>767</v>
      </c>
      <c r="B1611" t="s">
        <v>194</v>
      </c>
      <c r="C1611">
        <v>202602</v>
      </c>
      <c r="D1611">
        <v>13772</v>
      </c>
      <c r="E1611">
        <v>22.960986995665223</v>
      </c>
      <c r="F1611">
        <v>599.79999999999995</v>
      </c>
    </row>
    <row r="1612" spans="1:6" x14ac:dyDescent="0.35">
      <c r="A1612">
        <v>807</v>
      </c>
      <c r="B1612" t="s">
        <v>194</v>
      </c>
      <c r="C1612">
        <v>202602</v>
      </c>
      <c r="D1612">
        <v>2529</v>
      </c>
      <c r="E1612">
        <v>12.645</v>
      </c>
      <c r="F1612">
        <v>200</v>
      </c>
    </row>
    <row r="1613" spans="1:6" x14ac:dyDescent="0.35">
      <c r="A1613">
        <v>808</v>
      </c>
      <c r="B1613" t="s">
        <v>194</v>
      </c>
      <c r="C1613">
        <v>202602</v>
      </c>
      <c r="D1613">
        <v>5220</v>
      </c>
      <c r="E1613">
        <v>17.710524530094318</v>
      </c>
      <c r="F1613">
        <v>294.74</v>
      </c>
    </row>
    <row r="1614" spans="1:6" x14ac:dyDescent="0.35">
      <c r="A1614">
        <v>502</v>
      </c>
      <c r="B1614" t="s">
        <v>195</v>
      </c>
      <c r="C1614">
        <v>202602</v>
      </c>
      <c r="D1614">
        <v>47401</v>
      </c>
      <c r="E1614">
        <v>152.29726256265261</v>
      </c>
      <c r="F1614">
        <v>311.24</v>
      </c>
    </row>
    <row r="1615" spans="1:6" x14ac:dyDescent="0.35">
      <c r="A1615">
        <v>504</v>
      </c>
      <c r="B1615" t="s">
        <v>195</v>
      </c>
      <c r="C1615">
        <v>202602</v>
      </c>
      <c r="D1615">
        <v>98602</v>
      </c>
      <c r="E1615">
        <v>225.88715035165288</v>
      </c>
      <c r="F1615">
        <v>436.51</v>
      </c>
    </row>
    <row r="1616" spans="1:6" x14ac:dyDescent="0.35">
      <c r="A1616">
        <v>505</v>
      </c>
      <c r="B1616" t="s">
        <v>195</v>
      </c>
      <c r="C1616">
        <v>202602</v>
      </c>
      <c r="D1616">
        <v>51626</v>
      </c>
      <c r="E1616">
        <v>138.71245096458702</v>
      </c>
      <c r="F1616">
        <v>372.18</v>
      </c>
    </row>
    <row r="1617" spans="1:6" x14ac:dyDescent="0.35">
      <c r="A1617">
        <v>506</v>
      </c>
      <c r="B1617" t="s">
        <v>195</v>
      </c>
      <c r="C1617">
        <v>202602</v>
      </c>
      <c r="D1617">
        <v>62019</v>
      </c>
      <c r="E1617">
        <v>130.92739977622495</v>
      </c>
      <c r="F1617">
        <v>473.69</v>
      </c>
    </row>
    <row r="1618" spans="1:6" x14ac:dyDescent="0.35">
      <c r="A1618">
        <v>508</v>
      </c>
      <c r="B1618" t="s">
        <v>195</v>
      </c>
      <c r="C1618">
        <v>202602</v>
      </c>
      <c r="D1618">
        <v>38072</v>
      </c>
      <c r="E1618">
        <v>94.074623177662474</v>
      </c>
      <c r="F1618">
        <v>404.7</v>
      </c>
    </row>
    <row r="1619" spans="1:6" x14ac:dyDescent="0.35">
      <c r="A1619">
        <v>507</v>
      </c>
      <c r="B1619" t="s">
        <v>195</v>
      </c>
      <c r="C1619">
        <v>202602</v>
      </c>
      <c r="D1619">
        <v>28500</v>
      </c>
      <c r="E1619">
        <v>105.55555555555556</v>
      </c>
      <c r="F1619">
        <v>270</v>
      </c>
    </row>
    <row r="1620" spans="1:6" x14ac:dyDescent="0.35">
      <c r="A1620">
        <v>520</v>
      </c>
      <c r="B1620" t="s">
        <v>195</v>
      </c>
      <c r="C1620">
        <v>202602</v>
      </c>
      <c r="D1620">
        <v>393</v>
      </c>
      <c r="E1620">
        <v>5.7794117647058822</v>
      </c>
      <c r="F1620">
        <v>68</v>
      </c>
    </row>
    <row r="1621" spans="1:6" x14ac:dyDescent="0.35">
      <c r="A1621">
        <v>521</v>
      </c>
      <c r="B1621" t="s">
        <v>195</v>
      </c>
      <c r="C1621">
        <v>202602</v>
      </c>
      <c r="D1621">
        <v>2615</v>
      </c>
      <c r="E1621">
        <v>22.543103448275861</v>
      </c>
      <c r="F1621">
        <v>116</v>
      </c>
    </row>
    <row r="1622" spans="1:6" x14ac:dyDescent="0.35">
      <c r="A1622">
        <v>784</v>
      </c>
      <c r="B1622" t="s">
        <v>195</v>
      </c>
      <c r="C1622">
        <v>202602</v>
      </c>
      <c r="D1622">
        <v>561</v>
      </c>
      <c r="E1622">
        <v>1.6637010676156585</v>
      </c>
      <c r="F1622">
        <v>337.2</v>
      </c>
    </row>
    <row r="1623" spans="1:6" x14ac:dyDescent="0.35">
      <c r="A1623">
        <v>785</v>
      </c>
      <c r="B1623" t="s">
        <v>195</v>
      </c>
      <c r="C1623">
        <v>202602</v>
      </c>
      <c r="D1623">
        <v>886</v>
      </c>
      <c r="E1623">
        <v>1.5759516186410529</v>
      </c>
      <c r="F1623">
        <v>562.20000000000005</v>
      </c>
    </row>
    <row r="1624" spans="1:6" x14ac:dyDescent="0.35">
      <c r="A1624">
        <v>758</v>
      </c>
      <c r="B1624" t="s">
        <v>195</v>
      </c>
      <c r="C1624">
        <v>202602</v>
      </c>
      <c r="D1624">
        <v>19395</v>
      </c>
      <c r="E1624">
        <v>28.747387611721287</v>
      </c>
      <c r="F1624">
        <v>674.67</v>
      </c>
    </row>
    <row r="1625" spans="1:6" x14ac:dyDescent="0.35">
      <c r="A1625">
        <v>757</v>
      </c>
      <c r="B1625" t="s">
        <v>195</v>
      </c>
      <c r="C1625">
        <v>202602</v>
      </c>
      <c r="D1625">
        <v>30315</v>
      </c>
      <c r="E1625">
        <v>61.272131942760126</v>
      </c>
      <c r="F1625">
        <v>494.76</v>
      </c>
    </row>
    <row r="1626" spans="1:6" x14ac:dyDescent="0.35">
      <c r="A1626">
        <v>580</v>
      </c>
      <c r="B1626" t="s">
        <v>195</v>
      </c>
      <c r="C1626">
        <v>202602</v>
      </c>
      <c r="D1626">
        <v>2196</v>
      </c>
      <c r="E1626">
        <v>8.1129008423230378</v>
      </c>
      <c r="F1626">
        <v>270.68</v>
      </c>
    </row>
    <row r="1627" spans="1:6" x14ac:dyDescent="0.35">
      <c r="A1627">
        <v>582</v>
      </c>
      <c r="B1627" t="s">
        <v>195</v>
      </c>
      <c r="C1627">
        <v>202602</v>
      </c>
      <c r="D1627">
        <v>3991</v>
      </c>
      <c r="E1627">
        <v>13.270157938487115</v>
      </c>
      <c r="F1627">
        <v>300.75</v>
      </c>
    </row>
    <row r="1628" spans="1:6" x14ac:dyDescent="0.35">
      <c r="A1628">
        <v>594</v>
      </c>
      <c r="B1628" t="s">
        <v>195</v>
      </c>
      <c r="C1628">
        <v>202602</v>
      </c>
      <c r="D1628">
        <v>40161</v>
      </c>
      <c r="E1628">
        <v>237.99111111111111</v>
      </c>
      <c r="F1628">
        <v>168.75</v>
      </c>
    </row>
    <row r="1629" spans="1:6" x14ac:dyDescent="0.35">
      <c r="A1629">
        <v>595</v>
      </c>
      <c r="B1629" t="s">
        <v>195</v>
      </c>
      <c r="C1629">
        <v>202602</v>
      </c>
      <c r="D1629">
        <v>35353</v>
      </c>
      <c r="E1629">
        <v>471.37333333333333</v>
      </c>
      <c r="F1629">
        <v>75</v>
      </c>
    </row>
    <row r="1630" spans="1:6" x14ac:dyDescent="0.35">
      <c r="A1630">
        <v>603</v>
      </c>
      <c r="B1630" t="s">
        <v>195</v>
      </c>
      <c r="C1630">
        <v>202602</v>
      </c>
      <c r="D1630">
        <v>2786</v>
      </c>
      <c r="E1630">
        <v>12.351480758999822</v>
      </c>
      <c r="F1630">
        <v>225.56</v>
      </c>
    </row>
    <row r="1631" spans="1:6" x14ac:dyDescent="0.35">
      <c r="A1631">
        <v>606</v>
      </c>
      <c r="B1631" t="s">
        <v>195</v>
      </c>
      <c r="C1631">
        <v>202602</v>
      </c>
      <c r="D1631">
        <v>2852</v>
      </c>
      <c r="E1631">
        <v>10.87014521477303</v>
      </c>
      <c r="F1631">
        <v>262.37</v>
      </c>
    </row>
    <row r="1632" spans="1:6" x14ac:dyDescent="0.35">
      <c r="A1632">
        <v>772</v>
      </c>
      <c r="B1632" t="s">
        <v>195</v>
      </c>
      <c r="C1632">
        <v>202602</v>
      </c>
      <c r="D1632">
        <v>326</v>
      </c>
      <c r="E1632">
        <v>1.6106719367588933</v>
      </c>
      <c r="F1632">
        <v>202.4</v>
      </c>
    </row>
    <row r="1633" spans="1:6" x14ac:dyDescent="0.35">
      <c r="A1633">
        <v>615</v>
      </c>
      <c r="B1633" t="s">
        <v>195</v>
      </c>
      <c r="C1633">
        <v>202602</v>
      </c>
      <c r="D1633">
        <v>7704</v>
      </c>
      <c r="E1633">
        <v>28.46165213536279</v>
      </c>
      <c r="F1633">
        <v>270.68</v>
      </c>
    </row>
    <row r="1634" spans="1:6" x14ac:dyDescent="0.35">
      <c r="A1634">
        <v>617</v>
      </c>
      <c r="B1634" t="s">
        <v>195</v>
      </c>
      <c r="C1634">
        <v>202602</v>
      </c>
      <c r="D1634">
        <v>2353</v>
      </c>
      <c r="E1634">
        <v>5.2288888888888891</v>
      </c>
      <c r="F1634">
        <v>450</v>
      </c>
    </row>
    <row r="1635" spans="1:6" x14ac:dyDescent="0.35">
      <c r="A1635">
        <v>751</v>
      </c>
      <c r="B1635" t="s">
        <v>195</v>
      </c>
      <c r="C1635">
        <v>202602</v>
      </c>
      <c r="D1635">
        <v>1154</v>
      </c>
      <c r="E1635">
        <v>5.6844490419191178</v>
      </c>
      <c r="F1635">
        <v>203.01</v>
      </c>
    </row>
    <row r="1636" spans="1:6" x14ac:dyDescent="0.35">
      <c r="A1636">
        <v>752</v>
      </c>
      <c r="B1636" t="s">
        <v>195</v>
      </c>
      <c r="C1636">
        <v>202602</v>
      </c>
      <c r="D1636">
        <v>5840</v>
      </c>
      <c r="E1636">
        <v>16.885444977736658</v>
      </c>
      <c r="F1636">
        <v>345.86</v>
      </c>
    </row>
    <row r="1637" spans="1:6" x14ac:dyDescent="0.35">
      <c r="A1637">
        <v>753</v>
      </c>
      <c r="B1637" t="s">
        <v>195</v>
      </c>
      <c r="C1637">
        <v>202602</v>
      </c>
      <c r="D1637">
        <v>9341</v>
      </c>
      <c r="E1637">
        <v>19.113193648715008</v>
      </c>
      <c r="F1637">
        <v>488.72</v>
      </c>
    </row>
    <row r="1638" spans="1:6" x14ac:dyDescent="0.35">
      <c r="A1638">
        <v>754</v>
      </c>
      <c r="B1638" t="s">
        <v>195</v>
      </c>
      <c r="C1638">
        <v>202602</v>
      </c>
      <c r="D1638">
        <v>891</v>
      </c>
      <c r="E1638">
        <v>1.4812721318016326</v>
      </c>
      <c r="F1638">
        <v>601.51</v>
      </c>
    </row>
    <row r="1639" spans="1:6" x14ac:dyDescent="0.35">
      <c r="A1639">
        <v>614</v>
      </c>
      <c r="B1639" t="s">
        <v>195</v>
      </c>
      <c r="C1639">
        <v>202602</v>
      </c>
      <c r="D1639">
        <v>27824</v>
      </c>
      <c r="E1639">
        <v>49.491284240483807</v>
      </c>
      <c r="F1639">
        <v>562.20000000000005</v>
      </c>
    </row>
    <row r="1640" spans="1:6" x14ac:dyDescent="0.35">
      <c r="A1640">
        <v>797</v>
      </c>
      <c r="B1640" t="s">
        <v>195</v>
      </c>
      <c r="C1640">
        <v>202602</v>
      </c>
      <c r="D1640">
        <v>1818</v>
      </c>
      <c r="E1640">
        <v>4.0417963539350819</v>
      </c>
      <c r="F1640">
        <v>449.8</v>
      </c>
    </row>
    <row r="1641" spans="1:6" x14ac:dyDescent="0.35">
      <c r="A1641">
        <v>613</v>
      </c>
      <c r="B1641" t="s">
        <v>195</v>
      </c>
      <c r="C1641">
        <v>202602</v>
      </c>
      <c r="D1641">
        <v>11486</v>
      </c>
      <c r="E1641">
        <v>39.268376068376071</v>
      </c>
      <c r="F1641">
        <v>292.5</v>
      </c>
    </row>
    <row r="1642" spans="1:6" x14ac:dyDescent="0.35">
      <c r="A1642">
        <v>767</v>
      </c>
      <c r="B1642" t="s">
        <v>195</v>
      </c>
      <c r="C1642">
        <v>202602</v>
      </c>
      <c r="D1642">
        <v>6282</v>
      </c>
      <c r="E1642">
        <v>10.473491163721242</v>
      </c>
      <c r="F1642">
        <v>599.79999999999995</v>
      </c>
    </row>
    <row r="1643" spans="1:6" x14ac:dyDescent="0.35">
      <c r="A1643">
        <v>807</v>
      </c>
      <c r="B1643" t="s">
        <v>195</v>
      </c>
      <c r="C1643">
        <v>202602</v>
      </c>
      <c r="D1643">
        <v>879</v>
      </c>
      <c r="E1643">
        <v>4.3949999999999996</v>
      </c>
      <c r="F1643">
        <v>200</v>
      </c>
    </row>
    <row r="1644" spans="1:6" x14ac:dyDescent="0.35">
      <c r="A1644">
        <v>808</v>
      </c>
      <c r="B1644" t="s">
        <v>195</v>
      </c>
      <c r="C1644">
        <v>202602</v>
      </c>
      <c r="D1644">
        <v>1926</v>
      </c>
      <c r="E1644">
        <v>6.5345728438623869</v>
      </c>
      <c r="F1644">
        <v>294.74</v>
      </c>
    </row>
    <row r="1645" spans="1:6" x14ac:dyDescent="0.35">
      <c r="A1645">
        <v>502</v>
      </c>
      <c r="B1645" t="s">
        <v>196</v>
      </c>
      <c r="C1645">
        <v>202602</v>
      </c>
      <c r="D1645">
        <v>70542</v>
      </c>
      <c r="E1645">
        <v>226.64824572677034</v>
      </c>
      <c r="F1645">
        <v>311.24</v>
      </c>
    </row>
    <row r="1646" spans="1:6" x14ac:dyDescent="0.35">
      <c r="A1646">
        <v>504</v>
      </c>
      <c r="B1646" t="s">
        <v>196</v>
      </c>
      <c r="C1646">
        <v>202602</v>
      </c>
      <c r="D1646">
        <v>142412</v>
      </c>
      <c r="E1646">
        <v>326.25140317518498</v>
      </c>
      <c r="F1646">
        <v>436.51</v>
      </c>
    </row>
    <row r="1647" spans="1:6" x14ac:dyDescent="0.35">
      <c r="A1647">
        <v>505</v>
      </c>
      <c r="B1647" t="s">
        <v>196</v>
      </c>
      <c r="C1647">
        <v>202602</v>
      </c>
      <c r="D1647">
        <v>75128</v>
      </c>
      <c r="E1647">
        <v>201.85931538502874</v>
      </c>
      <c r="F1647">
        <v>372.18</v>
      </c>
    </row>
    <row r="1648" spans="1:6" x14ac:dyDescent="0.35">
      <c r="A1648">
        <v>506</v>
      </c>
      <c r="B1648" t="s">
        <v>196</v>
      </c>
      <c r="C1648">
        <v>202602</v>
      </c>
      <c r="D1648">
        <v>79817</v>
      </c>
      <c r="E1648">
        <v>168.5004961050476</v>
      </c>
      <c r="F1648">
        <v>473.69</v>
      </c>
    </row>
    <row r="1649" spans="1:6" x14ac:dyDescent="0.35">
      <c r="A1649">
        <v>508</v>
      </c>
      <c r="B1649" t="s">
        <v>196</v>
      </c>
      <c r="C1649">
        <v>202602</v>
      </c>
      <c r="D1649">
        <v>56502</v>
      </c>
      <c r="E1649">
        <v>139.61452928094886</v>
      </c>
      <c r="F1649">
        <v>404.7</v>
      </c>
    </row>
    <row r="1650" spans="1:6" x14ac:dyDescent="0.35">
      <c r="A1650">
        <v>507</v>
      </c>
      <c r="B1650" t="s">
        <v>196</v>
      </c>
      <c r="C1650">
        <v>202602</v>
      </c>
      <c r="D1650">
        <v>45364</v>
      </c>
      <c r="E1650">
        <v>168.01481481481483</v>
      </c>
      <c r="F1650">
        <v>270</v>
      </c>
    </row>
    <row r="1651" spans="1:6" x14ac:dyDescent="0.35">
      <c r="A1651">
        <v>520</v>
      </c>
      <c r="B1651" t="s">
        <v>196</v>
      </c>
      <c r="C1651">
        <v>202602</v>
      </c>
      <c r="D1651">
        <v>694</v>
      </c>
      <c r="E1651">
        <v>10.205882352941176</v>
      </c>
      <c r="F1651">
        <v>68</v>
      </c>
    </row>
    <row r="1652" spans="1:6" x14ac:dyDescent="0.35">
      <c r="A1652">
        <v>521</v>
      </c>
      <c r="B1652" t="s">
        <v>196</v>
      </c>
      <c r="C1652">
        <v>202602</v>
      </c>
      <c r="D1652">
        <v>3684</v>
      </c>
      <c r="E1652">
        <v>31.758620689655171</v>
      </c>
      <c r="F1652">
        <v>116</v>
      </c>
    </row>
    <row r="1653" spans="1:6" x14ac:dyDescent="0.35">
      <c r="A1653">
        <v>784</v>
      </c>
      <c r="B1653" t="s">
        <v>196</v>
      </c>
      <c r="C1653">
        <v>202602</v>
      </c>
      <c r="D1653">
        <v>675</v>
      </c>
      <c r="E1653">
        <v>2.0017793594306053</v>
      </c>
      <c r="F1653">
        <v>337.2</v>
      </c>
    </row>
    <row r="1654" spans="1:6" x14ac:dyDescent="0.35">
      <c r="A1654">
        <v>785</v>
      </c>
      <c r="B1654" t="s">
        <v>196</v>
      </c>
      <c r="C1654">
        <v>202602</v>
      </c>
      <c r="D1654">
        <v>958</v>
      </c>
      <c r="E1654">
        <v>1.7040199217360368</v>
      </c>
      <c r="F1654">
        <v>562.20000000000005</v>
      </c>
    </row>
    <row r="1655" spans="1:6" x14ac:dyDescent="0.35">
      <c r="A1655">
        <v>758</v>
      </c>
      <c r="B1655" t="s">
        <v>196</v>
      </c>
      <c r="C1655">
        <v>202602</v>
      </c>
      <c r="D1655">
        <v>18968</v>
      </c>
      <c r="E1655">
        <v>28.11448560036759</v>
      </c>
      <c r="F1655">
        <v>674.67</v>
      </c>
    </row>
    <row r="1656" spans="1:6" x14ac:dyDescent="0.35">
      <c r="A1656">
        <v>757</v>
      </c>
      <c r="B1656" t="s">
        <v>196</v>
      </c>
      <c r="C1656">
        <v>202602</v>
      </c>
      <c r="D1656">
        <v>30202</v>
      </c>
      <c r="E1656">
        <v>61.043738378203578</v>
      </c>
      <c r="F1656">
        <v>494.76</v>
      </c>
    </row>
    <row r="1657" spans="1:6" x14ac:dyDescent="0.35">
      <c r="A1657">
        <v>580</v>
      </c>
      <c r="B1657" t="s">
        <v>196</v>
      </c>
      <c r="C1657">
        <v>202602</v>
      </c>
      <c r="D1657">
        <v>2973</v>
      </c>
      <c r="E1657">
        <v>10.983449091177775</v>
      </c>
      <c r="F1657">
        <v>270.68</v>
      </c>
    </row>
    <row r="1658" spans="1:6" x14ac:dyDescent="0.35">
      <c r="A1658">
        <v>582</v>
      </c>
      <c r="B1658" t="s">
        <v>196</v>
      </c>
      <c r="C1658">
        <v>202602</v>
      </c>
      <c r="D1658">
        <v>8555</v>
      </c>
      <c r="E1658">
        <v>28.445552784704905</v>
      </c>
      <c r="F1658">
        <v>300.75</v>
      </c>
    </row>
    <row r="1659" spans="1:6" x14ac:dyDescent="0.35">
      <c r="A1659">
        <v>594</v>
      </c>
      <c r="B1659" t="s">
        <v>196</v>
      </c>
      <c r="C1659">
        <v>202602</v>
      </c>
      <c r="D1659">
        <v>23123</v>
      </c>
      <c r="E1659">
        <v>137.02518518518519</v>
      </c>
      <c r="F1659">
        <v>168.75</v>
      </c>
    </row>
    <row r="1660" spans="1:6" x14ac:dyDescent="0.35">
      <c r="A1660">
        <v>595</v>
      </c>
      <c r="B1660" t="s">
        <v>196</v>
      </c>
      <c r="C1660">
        <v>202602</v>
      </c>
      <c r="D1660">
        <v>28972</v>
      </c>
      <c r="E1660">
        <v>386.29333333333335</v>
      </c>
      <c r="F1660">
        <v>75</v>
      </c>
    </row>
    <row r="1661" spans="1:6" x14ac:dyDescent="0.35">
      <c r="A1661">
        <v>603</v>
      </c>
      <c r="B1661" t="s">
        <v>196</v>
      </c>
      <c r="C1661">
        <v>202602</v>
      </c>
      <c r="D1661">
        <v>4506</v>
      </c>
      <c r="E1661">
        <v>19.97694626706863</v>
      </c>
      <c r="F1661">
        <v>225.56</v>
      </c>
    </row>
    <row r="1662" spans="1:6" x14ac:dyDescent="0.35">
      <c r="A1662">
        <v>606</v>
      </c>
      <c r="B1662" t="s">
        <v>196</v>
      </c>
      <c r="C1662">
        <v>202602</v>
      </c>
      <c r="D1662">
        <v>4246</v>
      </c>
      <c r="E1662">
        <v>16.183252658459427</v>
      </c>
      <c r="F1662">
        <v>262.37</v>
      </c>
    </row>
    <row r="1663" spans="1:6" x14ac:dyDescent="0.35">
      <c r="A1663">
        <v>772</v>
      </c>
      <c r="B1663" t="s">
        <v>196</v>
      </c>
      <c r="C1663">
        <v>202602</v>
      </c>
      <c r="D1663">
        <v>460</v>
      </c>
      <c r="E1663">
        <v>2.2727272727272725</v>
      </c>
      <c r="F1663">
        <v>202.4</v>
      </c>
    </row>
    <row r="1664" spans="1:6" x14ac:dyDescent="0.35">
      <c r="A1664">
        <v>615</v>
      </c>
      <c r="B1664" t="s">
        <v>196</v>
      </c>
      <c r="C1664">
        <v>202602</v>
      </c>
      <c r="D1664">
        <v>12196</v>
      </c>
      <c r="E1664">
        <v>45.056893749076401</v>
      </c>
      <c r="F1664">
        <v>270.68</v>
      </c>
    </row>
    <row r="1665" spans="1:6" x14ac:dyDescent="0.35">
      <c r="A1665">
        <v>617</v>
      </c>
      <c r="B1665" t="s">
        <v>196</v>
      </c>
      <c r="C1665">
        <v>202602</v>
      </c>
      <c r="D1665">
        <v>4750</v>
      </c>
      <c r="E1665">
        <v>10.555555555555555</v>
      </c>
      <c r="F1665">
        <v>450</v>
      </c>
    </row>
    <row r="1666" spans="1:6" x14ac:dyDescent="0.35">
      <c r="A1666">
        <v>751</v>
      </c>
      <c r="B1666" t="s">
        <v>196</v>
      </c>
      <c r="C1666">
        <v>202602</v>
      </c>
      <c r="D1666">
        <v>13235</v>
      </c>
      <c r="E1666">
        <v>65.193832816117435</v>
      </c>
      <c r="F1666">
        <v>203.01</v>
      </c>
    </row>
    <row r="1667" spans="1:6" x14ac:dyDescent="0.35">
      <c r="A1667">
        <v>752</v>
      </c>
      <c r="B1667" t="s">
        <v>196</v>
      </c>
      <c r="C1667">
        <v>202602</v>
      </c>
      <c r="D1667">
        <v>23544</v>
      </c>
      <c r="E1667">
        <v>68.073787081478045</v>
      </c>
      <c r="F1667">
        <v>345.86</v>
      </c>
    </row>
    <row r="1668" spans="1:6" x14ac:dyDescent="0.35">
      <c r="A1668">
        <v>753</v>
      </c>
      <c r="B1668" t="s">
        <v>196</v>
      </c>
      <c r="C1668">
        <v>202602</v>
      </c>
      <c r="D1668">
        <v>32453</v>
      </c>
      <c r="E1668">
        <v>66.40407595351121</v>
      </c>
      <c r="F1668">
        <v>488.72</v>
      </c>
    </row>
    <row r="1669" spans="1:6" x14ac:dyDescent="0.35">
      <c r="A1669">
        <v>754</v>
      </c>
      <c r="B1669" t="s">
        <v>196</v>
      </c>
      <c r="C1669">
        <v>202602</v>
      </c>
      <c r="D1669">
        <v>3700</v>
      </c>
      <c r="E1669">
        <v>6.1511861814433679</v>
      </c>
      <c r="F1669">
        <v>601.51</v>
      </c>
    </row>
    <row r="1670" spans="1:6" x14ac:dyDescent="0.35">
      <c r="A1670">
        <v>614</v>
      </c>
      <c r="B1670" t="s">
        <v>196</v>
      </c>
      <c r="C1670">
        <v>202602</v>
      </c>
      <c r="D1670">
        <v>22978</v>
      </c>
      <c r="E1670">
        <v>40.871575951618638</v>
      </c>
      <c r="F1670">
        <v>562.20000000000005</v>
      </c>
    </row>
    <row r="1671" spans="1:6" x14ac:dyDescent="0.35">
      <c r="A1671">
        <v>797</v>
      </c>
      <c r="B1671" t="s">
        <v>196</v>
      </c>
      <c r="C1671">
        <v>202602</v>
      </c>
      <c r="D1671">
        <v>1264</v>
      </c>
      <c r="E1671">
        <v>2.810137839039573</v>
      </c>
      <c r="F1671">
        <v>449.8</v>
      </c>
    </row>
    <row r="1672" spans="1:6" x14ac:dyDescent="0.35">
      <c r="A1672">
        <v>613</v>
      </c>
      <c r="B1672" t="s">
        <v>196</v>
      </c>
      <c r="C1672">
        <v>202602</v>
      </c>
      <c r="D1672">
        <v>11110</v>
      </c>
      <c r="E1672">
        <v>37.982905982905983</v>
      </c>
      <c r="F1672">
        <v>292.5</v>
      </c>
    </row>
    <row r="1673" spans="1:6" x14ac:dyDescent="0.35">
      <c r="A1673">
        <v>767</v>
      </c>
      <c r="B1673" t="s">
        <v>196</v>
      </c>
      <c r="C1673">
        <v>202602</v>
      </c>
      <c r="D1673">
        <v>11784</v>
      </c>
      <c r="E1673">
        <v>19.64654884961654</v>
      </c>
      <c r="F1673">
        <v>599.79999999999995</v>
      </c>
    </row>
    <row r="1674" spans="1:6" x14ac:dyDescent="0.35">
      <c r="A1674">
        <v>807</v>
      </c>
      <c r="B1674" t="s">
        <v>196</v>
      </c>
      <c r="C1674">
        <v>202602</v>
      </c>
      <c r="D1674">
        <v>4464</v>
      </c>
      <c r="E1674">
        <v>22.32</v>
      </c>
      <c r="F1674">
        <v>200</v>
      </c>
    </row>
    <row r="1675" spans="1:6" x14ac:dyDescent="0.35">
      <c r="A1675">
        <v>808</v>
      </c>
      <c r="B1675" t="s">
        <v>196</v>
      </c>
      <c r="C1675">
        <v>202602</v>
      </c>
      <c r="D1675">
        <v>6098</v>
      </c>
      <c r="E1675">
        <v>20.689421184773021</v>
      </c>
      <c r="F1675">
        <v>294.74</v>
      </c>
    </row>
    <row r="1676" spans="1:6" x14ac:dyDescent="0.35">
      <c r="A1676">
        <v>502</v>
      </c>
      <c r="B1676" t="s">
        <v>197</v>
      </c>
      <c r="C1676">
        <v>202602</v>
      </c>
      <c r="D1676">
        <v>71806</v>
      </c>
      <c r="E1676">
        <v>230.70942038298418</v>
      </c>
      <c r="F1676">
        <v>311.24</v>
      </c>
    </row>
    <row r="1677" spans="1:6" x14ac:dyDescent="0.35">
      <c r="A1677">
        <v>504</v>
      </c>
      <c r="B1677" t="s">
        <v>197</v>
      </c>
      <c r="C1677">
        <v>202602</v>
      </c>
      <c r="D1677">
        <v>138493</v>
      </c>
      <c r="E1677">
        <v>317.27337288950997</v>
      </c>
      <c r="F1677">
        <v>436.51</v>
      </c>
    </row>
    <row r="1678" spans="1:6" x14ac:dyDescent="0.35">
      <c r="A1678">
        <v>505</v>
      </c>
      <c r="B1678" t="s">
        <v>197</v>
      </c>
      <c r="C1678">
        <v>202602</v>
      </c>
      <c r="D1678">
        <v>70101</v>
      </c>
      <c r="E1678">
        <v>188.35241012413348</v>
      </c>
      <c r="F1678">
        <v>372.18</v>
      </c>
    </row>
    <row r="1679" spans="1:6" x14ac:dyDescent="0.35">
      <c r="A1679">
        <v>506</v>
      </c>
      <c r="B1679" t="s">
        <v>197</v>
      </c>
      <c r="C1679">
        <v>202602</v>
      </c>
      <c r="D1679">
        <v>79138</v>
      </c>
      <c r="E1679">
        <v>167.06706918026558</v>
      </c>
      <c r="F1679">
        <v>473.69</v>
      </c>
    </row>
    <row r="1680" spans="1:6" x14ac:dyDescent="0.35">
      <c r="A1680">
        <v>508</v>
      </c>
      <c r="B1680" t="s">
        <v>197</v>
      </c>
      <c r="C1680">
        <v>202602</v>
      </c>
      <c r="D1680">
        <v>53352</v>
      </c>
      <c r="E1680">
        <v>131.83098591549296</v>
      </c>
      <c r="F1680">
        <v>404.7</v>
      </c>
    </row>
    <row r="1681" spans="1:6" x14ac:dyDescent="0.35">
      <c r="A1681">
        <v>507</v>
      </c>
      <c r="B1681" t="s">
        <v>197</v>
      </c>
      <c r="C1681">
        <v>202602</v>
      </c>
      <c r="D1681">
        <v>35634</v>
      </c>
      <c r="E1681">
        <v>131.97777777777779</v>
      </c>
      <c r="F1681">
        <v>270</v>
      </c>
    </row>
    <row r="1682" spans="1:6" x14ac:dyDescent="0.35">
      <c r="A1682">
        <v>520</v>
      </c>
      <c r="B1682" t="s">
        <v>197</v>
      </c>
      <c r="C1682">
        <v>202602</v>
      </c>
      <c r="D1682">
        <v>966</v>
      </c>
      <c r="E1682">
        <v>14.205882352941176</v>
      </c>
      <c r="F1682">
        <v>68</v>
      </c>
    </row>
    <row r="1683" spans="1:6" x14ac:dyDescent="0.35">
      <c r="A1683">
        <v>521</v>
      </c>
      <c r="B1683" t="s">
        <v>197</v>
      </c>
      <c r="C1683">
        <v>202602</v>
      </c>
      <c r="D1683">
        <v>4431</v>
      </c>
      <c r="E1683">
        <v>38.198275862068968</v>
      </c>
      <c r="F1683">
        <v>116</v>
      </c>
    </row>
    <row r="1684" spans="1:6" x14ac:dyDescent="0.35">
      <c r="A1684">
        <v>784</v>
      </c>
      <c r="B1684" t="s">
        <v>197</v>
      </c>
      <c r="C1684">
        <v>202602</v>
      </c>
      <c r="D1684">
        <v>656</v>
      </c>
      <c r="E1684">
        <v>1.9454329774614474</v>
      </c>
      <c r="F1684">
        <v>337.2</v>
      </c>
    </row>
    <row r="1685" spans="1:6" x14ac:dyDescent="0.35">
      <c r="A1685">
        <v>785</v>
      </c>
      <c r="B1685" t="s">
        <v>197</v>
      </c>
      <c r="C1685">
        <v>202602</v>
      </c>
      <c r="D1685">
        <v>1070</v>
      </c>
      <c r="E1685">
        <v>1.903237282106012</v>
      </c>
      <c r="F1685">
        <v>562.20000000000005</v>
      </c>
    </row>
    <row r="1686" spans="1:6" x14ac:dyDescent="0.35">
      <c r="A1686">
        <v>758</v>
      </c>
      <c r="B1686" t="s">
        <v>197</v>
      </c>
      <c r="C1686">
        <v>202602</v>
      </c>
      <c r="D1686">
        <v>24062</v>
      </c>
      <c r="E1686">
        <v>35.6648435531445</v>
      </c>
      <c r="F1686">
        <v>674.67</v>
      </c>
    </row>
    <row r="1687" spans="1:6" x14ac:dyDescent="0.35">
      <c r="A1687">
        <v>757</v>
      </c>
      <c r="B1687" t="s">
        <v>197</v>
      </c>
      <c r="C1687">
        <v>202602</v>
      </c>
      <c r="D1687">
        <v>30777</v>
      </c>
      <c r="E1687">
        <v>62.205918020858597</v>
      </c>
      <c r="F1687">
        <v>494.76</v>
      </c>
    </row>
    <row r="1688" spans="1:6" x14ac:dyDescent="0.35">
      <c r="A1688">
        <v>580</v>
      </c>
      <c r="B1688" t="s">
        <v>197</v>
      </c>
      <c r="C1688">
        <v>202602</v>
      </c>
      <c r="D1688">
        <v>2940</v>
      </c>
      <c r="E1688">
        <v>10.861533914585488</v>
      </c>
      <c r="F1688">
        <v>270.68</v>
      </c>
    </row>
    <row r="1689" spans="1:6" x14ac:dyDescent="0.35">
      <c r="A1689">
        <v>582</v>
      </c>
      <c r="B1689" t="s">
        <v>197</v>
      </c>
      <c r="C1689">
        <v>202602</v>
      </c>
      <c r="D1689">
        <v>13964</v>
      </c>
      <c r="E1689">
        <v>46.430590191188692</v>
      </c>
      <c r="F1689">
        <v>300.75</v>
      </c>
    </row>
    <row r="1690" spans="1:6" x14ac:dyDescent="0.35">
      <c r="A1690">
        <v>594</v>
      </c>
      <c r="B1690" t="s">
        <v>197</v>
      </c>
      <c r="C1690">
        <v>202602</v>
      </c>
      <c r="D1690">
        <v>19682</v>
      </c>
      <c r="E1690">
        <v>116.63407407407408</v>
      </c>
      <c r="F1690">
        <v>168.75</v>
      </c>
    </row>
    <row r="1691" spans="1:6" x14ac:dyDescent="0.35">
      <c r="A1691">
        <v>595</v>
      </c>
      <c r="B1691" t="s">
        <v>197</v>
      </c>
      <c r="C1691">
        <v>202602</v>
      </c>
      <c r="D1691">
        <v>33524</v>
      </c>
      <c r="E1691">
        <v>446.98666666666668</v>
      </c>
      <c r="F1691">
        <v>75</v>
      </c>
    </row>
    <row r="1692" spans="1:6" x14ac:dyDescent="0.35">
      <c r="A1692">
        <v>603</v>
      </c>
      <c r="B1692" t="s">
        <v>197</v>
      </c>
      <c r="C1692">
        <v>202602</v>
      </c>
      <c r="D1692">
        <v>5383</v>
      </c>
      <c r="E1692">
        <v>23.8650469941479</v>
      </c>
      <c r="F1692">
        <v>225.56</v>
      </c>
    </row>
    <row r="1693" spans="1:6" x14ac:dyDescent="0.35">
      <c r="A1693">
        <v>606</v>
      </c>
      <c r="B1693" t="s">
        <v>197</v>
      </c>
      <c r="C1693">
        <v>202602</v>
      </c>
      <c r="D1693">
        <v>4990</v>
      </c>
      <c r="E1693">
        <v>19.018942714487174</v>
      </c>
      <c r="F1693">
        <v>262.37</v>
      </c>
    </row>
    <row r="1694" spans="1:6" x14ac:dyDescent="0.35">
      <c r="A1694">
        <v>772</v>
      </c>
      <c r="B1694" t="s">
        <v>197</v>
      </c>
      <c r="C1694">
        <v>202602</v>
      </c>
      <c r="D1694">
        <v>531</v>
      </c>
      <c r="E1694">
        <v>2.6235177865612647</v>
      </c>
      <c r="F1694">
        <v>202.4</v>
      </c>
    </row>
    <row r="1695" spans="1:6" x14ac:dyDescent="0.35">
      <c r="A1695">
        <v>615</v>
      </c>
      <c r="B1695" t="s">
        <v>197</v>
      </c>
      <c r="C1695">
        <v>202602</v>
      </c>
      <c r="D1695">
        <v>15499</v>
      </c>
      <c r="E1695">
        <v>57.259494606177036</v>
      </c>
      <c r="F1695">
        <v>270.68</v>
      </c>
    </row>
    <row r="1696" spans="1:6" x14ac:dyDescent="0.35">
      <c r="A1696">
        <v>617</v>
      </c>
      <c r="B1696" t="s">
        <v>197</v>
      </c>
      <c r="C1696">
        <v>202602</v>
      </c>
      <c r="D1696">
        <v>7593</v>
      </c>
      <c r="E1696">
        <v>16.873333333333335</v>
      </c>
      <c r="F1696">
        <v>450</v>
      </c>
    </row>
    <row r="1697" spans="1:6" x14ac:dyDescent="0.35">
      <c r="A1697">
        <v>751</v>
      </c>
      <c r="B1697" t="s">
        <v>197</v>
      </c>
      <c r="C1697">
        <v>202602</v>
      </c>
      <c r="D1697">
        <v>5175</v>
      </c>
      <c r="E1697">
        <v>25.491355105659821</v>
      </c>
      <c r="F1697">
        <v>203.01</v>
      </c>
    </row>
    <row r="1698" spans="1:6" x14ac:dyDescent="0.35">
      <c r="A1698">
        <v>752</v>
      </c>
      <c r="B1698" t="s">
        <v>197</v>
      </c>
      <c r="C1698">
        <v>202602</v>
      </c>
      <c r="D1698">
        <v>26982</v>
      </c>
      <c r="E1698">
        <v>78.014225409125075</v>
      </c>
      <c r="F1698">
        <v>345.86</v>
      </c>
    </row>
    <row r="1699" spans="1:6" x14ac:dyDescent="0.35">
      <c r="A1699">
        <v>753</v>
      </c>
      <c r="B1699" t="s">
        <v>197</v>
      </c>
      <c r="C1699">
        <v>202602</v>
      </c>
      <c r="D1699">
        <v>23509</v>
      </c>
      <c r="E1699">
        <v>48.103208381077096</v>
      </c>
      <c r="F1699">
        <v>488.72</v>
      </c>
    </row>
    <row r="1700" spans="1:6" x14ac:dyDescent="0.35">
      <c r="A1700">
        <v>754</v>
      </c>
      <c r="B1700" t="s">
        <v>197</v>
      </c>
      <c r="C1700">
        <v>202602</v>
      </c>
      <c r="D1700">
        <v>2655</v>
      </c>
      <c r="E1700">
        <v>4.4138917058735521</v>
      </c>
      <c r="F1700">
        <v>601.51</v>
      </c>
    </row>
    <row r="1701" spans="1:6" x14ac:dyDescent="0.35">
      <c r="A1701">
        <v>614</v>
      </c>
      <c r="B1701" t="s">
        <v>197</v>
      </c>
      <c r="C1701">
        <v>202602</v>
      </c>
      <c r="D1701">
        <v>23786</v>
      </c>
      <c r="E1701">
        <v>42.30878690857346</v>
      </c>
      <c r="F1701">
        <v>562.20000000000005</v>
      </c>
    </row>
    <row r="1702" spans="1:6" x14ac:dyDescent="0.35">
      <c r="A1702">
        <v>797</v>
      </c>
      <c r="B1702" t="s">
        <v>197</v>
      </c>
      <c r="C1702">
        <v>202602</v>
      </c>
      <c r="D1702">
        <v>2014</v>
      </c>
      <c r="E1702">
        <v>4.4775455758114715</v>
      </c>
      <c r="F1702">
        <v>449.8</v>
      </c>
    </row>
    <row r="1703" spans="1:6" x14ac:dyDescent="0.35">
      <c r="A1703">
        <v>613</v>
      </c>
      <c r="B1703" t="s">
        <v>197</v>
      </c>
      <c r="C1703">
        <v>202602</v>
      </c>
      <c r="D1703">
        <v>10953</v>
      </c>
      <c r="E1703">
        <v>37.446153846153848</v>
      </c>
      <c r="F1703">
        <v>292.5</v>
      </c>
    </row>
    <row r="1704" spans="1:6" x14ac:dyDescent="0.35">
      <c r="A1704">
        <v>767</v>
      </c>
      <c r="B1704" t="s">
        <v>197</v>
      </c>
      <c r="C1704">
        <v>202602</v>
      </c>
      <c r="D1704">
        <v>14816</v>
      </c>
      <c r="E1704">
        <v>24.701567189063024</v>
      </c>
      <c r="F1704">
        <v>599.79999999999995</v>
      </c>
    </row>
    <row r="1705" spans="1:6" x14ac:dyDescent="0.35">
      <c r="A1705">
        <v>807</v>
      </c>
      <c r="B1705" t="s">
        <v>197</v>
      </c>
      <c r="C1705">
        <v>202602</v>
      </c>
      <c r="D1705">
        <v>3627</v>
      </c>
      <c r="E1705">
        <v>18.135000000000002</v>
      </c>
      <c r="F1705">
        <v>200</v>
      </c>
    </row>
    <row r="1706" spans="1:6" x14ac:dyDescent="0.35">
      <c r="A1706">
        <v>808</v>
      </c>
      <c r="B1706" t="s">
        <v>197</v>
      </c>
      <c r="C1706">
        <v>202602</v>
      </c>
      <c r="D1706">
        <v>5068</v>
      </c>
      <c r="E1706">
        <v>17.194815769831038</v>
      </c>
      <c r="F1706">
        <v>294.74</v>
      </c>
    </row>
    <row r="1707" spans="1:6" x14ac:dyDescent="0.35">
      <c r="A1707">
        <v>502</v>
      </c>
      <c r="B1707" t="s">
        <v>198</v>
      </c>
      <c r="C1707">
        <v>202602</v>
      </c>
      <c r="D1707">
        <v>19289</v>
      </c>
      <c r="E1707">
        <v>61.974681917491324</v>
      </c>
      <c r="F1707">
        <v>311.24</v>
      </c>
    </row>
    <row r="1708" spans="1:6" x14ac:dyDescent="0.35">
      <c r="A1708">
        <v>504</v>
      </c>
      <c r="B1708" t="s">
        <v>198</v>
      </c>
      <c r="C1708">
        <v>202602</v>
      </c>
      <c r="D1708">
        <v>38731</v>
      </c>
      <c r="E1708">
        <v>88.728780554855561</v>
      </c>
      <c r="F1708">
        <v>436.51</v>
      </c>
    </row>
    <row r="1709" spans="1:6" x14ac:dyDescent="0.35">
      <c r="A1709">
        <v>505</v>
      </c>
      <c r="B1709" t="s">
        <v>198</v>
      </c>
      <c r="C1709">
        <v>202602</v>
      </c>
      <c r="D1709">
        <v>20619</v>
      </c>
      <c r="E1709">
        <v>55.400612606803158</v>
      </c>
      <c r="F1709">
        <v>372.18</v>
      </c>
    </row>
    <row r="1710" spans="1:6" x14ac:dyDescent="0.35">
      <c r="A1710">
        <v>506</v>
      </c>
      <c r="B1710" t="s">
        <v>198</v>
      </c>
      <c r="C1710">
        <v>202602</v>
      </c>
      <c r="D1710">
        <v>22053</v>
      </c>
      <c r="E1710">
        <v>46.555764318436111</v>
      </c>
      <c r="F1710">
        <v>473.69</v>
      </c>
    </row>
    <row r="1711" spans="1:6" x14ac:dyDescent="0.35">
      <c r="A1711">
        <v>508</v>
      </c>
      <c r="B1711" t="s">
        <v>198</v>
      </c>
      <c r="C1711">
        <v>202602</v>
      </c>
      <c r="D1711">
        <v>15823</v>
      </c>
      <c r="E1711">
        <v>39.098097356066226</v>
      </c>
      <c r="F1711">
        <v>404.7</v>
      </c>
    </row>
    <row r="1712" spans="1:6" x14ac:dyDescent="0.35">
      <c r="A1712">
        <v>507</v>
      </c>
      <c r="B1712" t="s">
        <v>198</v>
      </c>
      <c r="C1712">
        <v>202602</v>
      </c>
      <c r="D1712">
        <v>11077</v>
      </c>
      <c r="E1712">
        <v>41.025925925925925</v>
      </c>
      <c r="F1712">
        <v>270</v>
      </c>
    </row>
    <row r="1713" spans="1:6" x14ac:dyDescent="0.35">
      <c r="A1713">
        <v>520</v>
      </c>
      <c r="B1713" t="s">
        <v>198</v>
      </c>
      <c r="C1713">
        <v>202602</v>
      </c>
      <c r="D1713">
        <v>245</v>
      </c>
      <c r="E1713">
        <v>3.6029411764705883</v>
      </c>
      <c r="F1713">
        <v>68</v>
      </c>
    </row>
    <row r="1714" spans="1:6" x14ac:dyDescent="0.35">
      <c r="A1714">
        <v>521</v>
      </c>
      <c r="B1714" t="s">
        <v>198</v>
      </c>
      <c r="C1714">
        <v>202602</v>
      </c>
      <c r="D1714">
        <v>1346</v>
      </c>
      <c r="E1714">
        <v>11.603448275862069</v>
      </c>
      <c r="F1714">
        <v>116</v>
      </c>
    </row>
    <row r="1715" spans="1:6" x14ac:dyDescent="0.35">
      <c r="A1715">
        <v>784</v>
      </c>
      <c r="B1715" t="s">
        <v>198</v>
      </c>
      <c r="C1715">
        <v>202602</v>
      </c>
      <c r="D1715">
        <v>534</v>
      </c>
      <c r="E1715">
        <v>1.5836298932384343</v>
      </c>
      <c r="F1715">
        <v>337.2</v>
      </c>
    </row>
    <row r="1716" spans="1:6" x14ac:dyDescent="0.35">
      <c r="A1716">
        <v>785</v>
      </c>
      <c r="B1716" t="s">
        <v>198</v>
      </c>
      <c r="C1716">
        <v>202602</v>
      </c>
      <c r="D1716">
        <v>436</v>
      </c>
      <c r="E1716">
        <v>0.77552472429740305</v>
      </c>
      <c r="F1716">
        <v>562.20000000000005</v>
      </c>
    </row>
    <row r="1717" spans="1:6" x14ac:dyDescent="0.35">
      <c r="A1717">
        <v>758</v>
      </c>
      <c r="B1717" t="s">
        <v>198</v>
      </c>
      <c r="C1717">
        <v>202602</v>
      </c>
      <c r="D1717">
        <v>7097</v>
      </c>
      <c r="E1717">
        <v>10.519216802288527</v>
      </c>
      <c r="F1717">
        <v>674.67</v>
      </c>
    </row>
    <row r="1718" spans="1:6" x14ac:dyDescent="0.35">
      <c r="A1718">
        <v>757</v>
      </c>
      <c r="B1718" t="s">
        <v>198</v>
      </c>
      <c r="C1718">
        <v>202602</v>
      </c>
      <c r="D1718">
        <v>11540</v>
      </c>
      <c r="E1718">
        <v>23.32444013258954</v>
      </c>
      <c r="F1718">
        <v>494.76</v>
      </c>
    </row>
    <row r="1719" spans="1:6" x14ac:dyDescent="0.35">
      <c r="A1719">
        <v>580</v>
      </c>
      <c r="B1719" t="s">
        <v>198</v>
      </c>
      <c r="C1719">
        <v>202602</v>
      </c>
      <c r="D1719">
        <v>940</v>
      </c>
      <c r="E1719">
        <v>3.4727353332348159</v>
      </c>
      <c r="F1719">
        <v>270.68</v>
      </c>
    </row>
    <row r="1720" spans="1:6" x14ac:dyDescent="0.35">
      <c r="A1720">
        <v>582</v>
      </c>
      <c r="B1720" t="s">
        <v>198</v>
      </c>
      <c r="C1720">
        <v>202602</v>
      </c>
      <c r="D1720">
        <v>2283</v>
      </c>
      <c r="E1720">
        <v>7.5910224438902745</v>
      </c>
      <c r="F1720">
        <v>300.75</v>
      </c>
    </row>
    <row r="1721" spans="1:6" x14ac:dyDescent="0.35">
      <c r="A1721">
        <v>594</v>
      </c>
      <c r="B1721" t="s">
        <v>198</v>
      </c>
      <c r="C1721">
        <v>202602</v>
      </c>
      <c r="D1721">
        <v>6697</v>
      </c>
      <c r="E1721">
        <v>39.685925925925929</v>
      </c>
      <c r="F1721">
        <v>168.75</v>
      </c>
    </row>
    <row r="1722" spans="1:6" x14ac:dyDescent="0.35">
      <c r="A1722">
        <v>595</v>
      </c>
      <c r="B1722" t="s">
        <v>198</v>
      </c>
      <c r="C1722">
        <v>202602</v>
      </c>
      <c r="D1722">
        <v>9501</v>
      </c>
      <c r="E1722">
        <v>126.68</v>
      </c>
      <c r="F1722">
        <v>75</v>
      </c>
    </row>
    <row r="1723" spans="1:6" x14ac:dyDescent="0.35">
      <c r="A1723">
        <v>603</v>
      </c>
      <c r="B1723" t="s">
        <v>198</v>
      </c>
      <c r="C1723">
        <v>202602</v>
      </c>
      <c r="D1723">
        <v>1572</v>
      </c>
      <c r="E1723">
        <v>6.9693208015605599</v>
      </c>
      <c r="F1723">
        <v>225.56</v>
      </c>
    </row>
    <row r="1724" spans="1:6" x14ac:dyDescent="0.35">
      <c r="A1724">
        <v>606</v>
      </c>
      <c r="B1724" t="s">
        <v>198</v>
      </c>
      <c r="C1724">
        <v>202602</v>
      </c>
      <c r="D1724">
        <v>1758</v>
      </c>
      <c r="E1724">
        <v>6.7004611807752408</v>
      </c>
      <c r="F1724">
        <v>262.37</v>
      </c>
    </row>
    <row r="1725" spans="1:6" x14ac:dyDescent="0.35">
      <c r="A1725">
        <v>772</v>
      </c>
      <c r="B1725" t="s">
        <v>198</v>
      </c>
      <c r="C1725">
        <v>202602</v>
      </c>
      <c r="D1725">
        <v>156</v>
      </c>
      <c r="E1725">
        <v>0.77075098814229248</v>
      </c>
      <c r="F1725">
        <v>202.4</v>
      </c>
    </row>
    <row r="1726" spans="1:6" x14ac:dyDescent="0.35">
      <c r="A1726">
        <v>615</v>
      </c>
      <c r="B1726" t="s">
        <v>198</v>
      </c>
      <c r="C1726">
        <v>202602</v>
      </c>
      <c r="D1726">
        <v>4150</v>
      </c>
      <c r="E1726">
        <v>15.331757056302644</v>
      </c>
      <c r="F1726">
        <v>270.68</v>
      </c>
    </row>
    <row r="1727" spans="1:6" x14ac:dyDescent="0.35">
      <c r="A1727">
        <v>617</v>
      </c>
      <c r="B1727" t="s">
        <v>198</v>
      </c>
      <c r="C1727">
        <v>202602</v>
      </c>
      <c r="D1727">
        <v>1894</v>
      </c>
      <c r="E1727">
        <v>4.2088888888888887</v>
      </c>
      <c r="F1727">
        <v>450</v>
      </c>
    </row>
    <row r="1728" spans="1:6" x14ac:dyDescent="0.35">
      <c r="A1728">
        <v>751</v>
      </c>
      <c r="B1728" t="s">
        <v>198</v>
      </c>
      <c r="C1728">
        <v>202602</v>
      </c>
      <c r="D1728">
        <v>1869</v>
      </c>
      <c r="E1728">
        <v>9.2064430323629374</v>
      </c>
      <c r="F1728">
        <v>203.01</v>
      </c>
    </row>
    <row r="1729" spans="1:6" x14ac:dyDescent="0.35">
      <c r="A1729">
        <v>752</v>
      </c>
      <c r="B1729" t="s">
        <v>198</v>
      </c>
      <c r="C1729">
        <v>202602</v>
      </c>
      <c r="D1729">
        <v>12241</v>
      </c>
      <c r="E1729">
        <v>35.392933556930551</v>
      </c>
      <c r="F1729">
        <v>345.86</v>
      </c>
    </row>
    <row r="1730" spans="1:6" x14ac:dyDescent="0.35">
      <c r="A1730">
        <v>753</v>
      </c>
      <c r="B1730" t="s">
        <v>198</v>
      </c>
      <c r="C1730">
        <v>202602</v>
      </c>
      <c r="D1730">
        <v>21440</v>
      </c>
      <c r="E1730">
        <v>43.869700441970863</v>
      </c>
      <c r="F1730">
        <v>488.72</v>
      </c>
    </row>
    <row r="1731" spans="1:6" x14ac:dyDescent="0.35">
      <c r="A1731">
        <v>754</v>
      </c>
      <c r="B1731" t="s">
        <v>198</v>
      </c>
      <c r="C1731">
        <v>202602</v>
      </c>
      <c r="D1731">
        <v>1929</v>
      </c>
      <c r="E1731">
        <v>3.2069292281092583</v>
      </c>
      <c r="F1731">
        <v>601.51</v>
      </c>
    </row>
    <row r="1732" spans="1:6" x14ac:dyDescent="0.35">
      <c r="A1732">
        <v>614</v>
      </c>
      <c r="B1732" t="s">
        <v>198</v>
      </c>
      <c r="C1732">
        <v>202602</v>
      </c>
      <c r="D1732">
        <v>7461</v>
      </c>
      <c r="E1732">
        <v>13.271077908217714</v>
      </c>
      <c r="F1732">
        <v>562.20000000000005</v>
      </c>
    </row>
    <row r="1733" spans="1:6" x14ac:dyDescent="0.35">
      <c r="A1733">
        <v>797</v>
      </c>
      <c r="B1733" t="s">
        <v>198</v>
      </c>
      <c r="C1733">
        <v>202602</v>
      </c>
      <c r="D1733">
        <v>624</v>
      </c>
      <c r="E1733">
        <v>1.3872832369942196</v>
      </c>
      <c r="F1733">
        <v>449.8</v>
      </c>
    </row>
    <row r="1734" spans="1:6" x14ac:dyDescent="0.35">
      <c r="A1734">
        <v>613</v>
      </c>
      <c r="B1734" t="s">
        <v>198</v>
      </c>
      <c r="C1734">
        <v>202602</v>
      </c>
      <c r="D1734">
        <v>3579</v>
      </c>
      <c r="E1734">
        <v>12.235897435897435</v>
      </c>
      <c r="F1734">
        <v>292.5</v>
      </c>
    </row>
    <row r="1735" spans="1:6" x14ac:dyDescent="0.35">
      <c r="A1735">
        <v>767</v>
      </c>
      <c r="B1735" t="s">
        <v>198</v>
      </c>
      <c r="C1735">
        <v>202602</v>
      </c>
      <c r="D1735">
        <v>3325</v>
      </c>
      <c r="E1735">
        <v>5.5435145048349455</v>
      </c>
      <c r="F1735">
        <v>599.79999999999995</v>
      </c>
    </row>
    <row r="1736" spans="1:6" x14ac:dyDescent="0.35">
      <c r="A1736">
        <v>807</v>
      </c>
      <c r="B1736" t="s">
        <v>198</v>
      </c>
      <c r="C1736">
        <v>202602</v>
      </c>
      <c r="D1736">
        <v>1179</v>
      </c>
      <c r="E1736">
        <v>5.8949999999999996</v>
      </c>
      <c r="F1736">
        <v>200</v>
      </c>
    </row>
    <row r="1737" spans="1:6" x14ac:dyDescent="0.35">
      <c r="A1737">
        <v>808</v>
      </c>
      <c r="B1737" t="s">
        <v>198</v>
      </c>
      <c r="C1737">
        <v>202602</v>
      </c>
      <c r="D1737">
        <v>1915</v>
      </c>
      <c r="E1737">
        <v>6.4972518151591228</v>
      </c>
      <c r="F1737">
        <v>294.74</v>
      </c>
    </row>
    <row r="1738" spans="1:6" x14ac:dyDescent="0.35">
      <c r="A1738">
        <v>502</v>
      </c>
      <c r="B1738" t="s">
        <v>173</v>
      </c>
      <c r="C1738">
        <v>202602</v>
      </c>
      <c r="D1738">
        <v>45646</v>
      </c>
      <c r="E1738">
        <v>146.65852718159618</v>
      </c>
      <c r="F1738">
        <v>311.24</v>
      </c>
    </row>
    <row r="1739" spans="1:6" x14ac:dyDescent="0.35">
      <c r="A1739">
        <v>504</v>
      </c>
      <c r="B1739" t="s">
        <v>173</v>
      </c>
      <c r="C1739">
        <v>202602</v>
      </c>
      <c r="D1739">
        <v>92295</v>
      </c>
      <c r="E1739">
        <v>211.43845501821264</v>
      </c>
      <c r="F1739">
        <v>436.51</v>
      </c>
    </row>
    <row r="1740" spans="1:6" x14ac:dyDescent="0.35">
      <c r="A1740">
        <v>505</v>
      </c>
      <c r="B1740" t="s">
        <v>173</v>
      </c>
      <c r="C1740">
        <v>202602</v>
      </c>
      <c r="D1740">
        <v>41067</v>
      </c>
      <c r="E1740">
        <v>110.3417701112365</v>
      </c>
      <c r="F1740">
        <v>372.18</v>
      </c>
    </row>
    <row r="1741" spans="1:6" x14ac:dyDescent="0.35">
      <c r="A1741">
        <v>506</v>
      </c>
      <c r="B1741" t="s">
        <v>173</v>
      </c>
      <c r="C1741">
        <v>202602</v>
      </c>
      <c r="D1741">
        <v>45743</v>
      </c>
      <c r="E1741">
        <v>96.567375287635372</v>
      </c>
      <c r="F1741">
        <v>473.69</v>
      </c>
    </row>
    <row r="1742" spans="1:6" x14ac:dyDescent="0.35">
      <c r="A1742">
        <v>508</v>
      </c>
      <c r="B1742" t="s">
        <v>173</v>
      </c>
      <c r="C1742">
        <v>202602</v>
      </c>
      <c r="D1742">
        <v>50565</v>
      </c>
      <c r="E1742">
        <v>124.94440326167532</v>
      </c>
      <c r="F1742">
        <v>404.7</v>
      </c>
    </row>
    <row r="1743" spans="1:6" x14ac:dyDescent="0.35">
      <c r="A1743">
        <v>507</v>
      </c>
      <c r="B1743" t="s">
        <v>173</v>
      </c>
      <c r="C1743">
        <v>202602</v>
      </c>
      <c r="D1743">
        <v>37255</v>
      </c>
      <c r="E1743">
        <v>137.9814814814815</v>
      </c>
      <c r="F1743">
        <v>270</v>
      </c>
    </row>
    <row r="1744" spans="1:6" x14ac:dyDescent="0.35">
      <c r="A1744">
        <v>520</v>
      </c>
      <c r="B1744" t="s">
        <v>173</v>
      </c>
      <c r="C1744">
        <v>202602</v>
      </c>
      <c r="D1744">
        <v>543</v>
      </c>
      <c r="E1744">
        <v>7.9852941176470589</v>
      </c>
      <c r="F1744">
        <v>68</v>
      </c>
    </row>
    <row r="1745" spans="1:6" x14ac:dyDescent="0.35">
      <c r="A1745">
        <v>521</v>
      </c>
      <c r="B1745" t="s">
        <v>173</v>
      </c>
      <c r="C1745">
        <v>202602</v>
      </c>
      <c r="D1745">
        <v>7386</v>
      </c>
      <c r="E1745">
        <v>63.672413793103445</v>
      </c>
      <c r="F1745">
        <v>116</v>
      </c>
    </row>
    <row r="1746" spans="1:6" x14ac:dyDescent="0.35">
      <c r="A1746">
        <v>784</v>
      </c>
      <c r="B1746" t="s">
        <v>173</v>
      </c>
      <c r="C1746">
        <v>202602</v>
      </c>
      <c r="D1746">
        <v>588</v>
      </c>
      <c r="E1746">
        <v>1.7437722419928827</v>
      </c>
      <c r="F1746">
        <v>337.2</v>
      </c>
    </row>
    <row r="1747" spans="1:6" x14ac:dyDescent="0.35">
      <c r="A1747">
        <v>785</v>
      </c>
      <c r="B1747" t="s">
        <v>173</v>
      </c>
      <c r="C1747">
        <v>202602</v>
      </c>
      <c r="D1747">
        <v>956</v>
      </c>
      <c r="E1747">
        <v>1.7004624688722874</v>
      </c>
      <c r="F1747">
        <v>562.20000000000005</v>
      </c>
    </row>
    <row r="1748" spans="1:6" x14ac:dyDescent="0.35">
      <c r="A1748">
        <v>758</v>
      </c>
      <c r="B1748" t="s">
        <v>173</v>
      </c>
      <c r="C1748">
        <v>202602</v>
      </c>
      <c r="D1748">
        <v>5620</v>
      </c>
      <c r="E1748">
        <v>8.3299983695732731</v>
      </c>
      <c r="F1748">
        <v>674.67</v>
      </c>
    </row>
    <row r="1749" spans="1:6" x14ac:dyDescent="0.35">
      <c r="A1749">
        <v>757</v>
      </c>
      <c r="B1749" t="s">
        <v>173</v>
      </c>
      <c r="C1749">
        <v>202602</v>
      </c>
      <c r="D1749">
        <v>11227</v>
      </c>
      <c r="E1749">
        <v>22.691810170587761</v>
      </c>
      <c r="F1749">
        <v>494.76</v>
      </c>
    </row>
    <row r="1750" spans="1:6" x14ac:dyDescent="0.35">
      <c r="A1750">
        <v>580</v>
      </c>
      <c r="B1750" t="s">
        <v>173</v>
      </c>
      <c r="C1750">
        <v>202602</v>
      </c>
      <c r="D1750">
        <v>0</v>
      </c>
      <c r="E1750">
        <v>0</v>
      </c>
      <c r="F1750">
        <v>270.68</v>
      </c>
    </row>
    <row r="1751" spans="1:6" x14ac:dyDescent="0.35">
      <c r="A1751">
        <v>582</v>
      </c>
      <c r="B1751" t="s">
        <v>173</v>
      </c>
      <c r="C1751">
        <v>202602</v>
      </c>
      <c r="D1751">
        <v>1316</v>
      </c>
      <c r="E1751">
        <v>4.3757273482959267</v>
      </c>
      <c r="F1751">
        <v>300.75</v>
      </c>
    </row>
    <row r="1752" spans="1:6" x14ac:dyDescent="0.35">
      <c r="A1752">
        <v>594</v>
      </c>
      <c r="B1752" t="s">
        <v>173</v>
      </c>
      <c r="C1752">
        <v>202602</v>
      </c>
      <c r="D1752">
        <v>19983</v>
      </c>
      <c r="E1752">
        <v>118.41777777777777</v>
      </c>
      <c r="F1752">
        <v>168.75</v>
      </c>
    </row>
    <row r="1753" spans="1:6" x14ac:dyDescent="0.35">
      <c r="A1753">
        <v>595</v>
      </c>
      <c r="B1753" t="s">
        <v>173</v>
      </c>
      <c r="C1753">
        <v>202602</v>
      </c>
      <c r="D1753">
        <v>23079</v>
      </c>
      <c r="E1753">
        <v>307.72000000000003</v>
      </c>
      <c r="F1753">
        <v>75</v>
      </c>
    </row>
    <row r="1754" spans="1:6" x14ac:dyDescent="0.35">
      <c r="A1754">
        <v>603</v>
      </c>
      <c r="B1754" t="s">
        <v>173</v>
      </c>
      <c r="C1754">
        <v>202602</v>
      </c>
      <c r="D1754">
        <v>2436</v>
      </c>
      <c r="E1754">
        <v>10.799787196311403</v>
      </c>
      <c r="F1754">
        <v>225.56</v>
      </c>
    </row>
    <row r="1755" spans="1:6" x14ac:dyDescent="0.35">
      <c r="A1755">
        <v>606</v>
      </c>
      <c r="B1755" t="s">
        <v>173</v>
      </c>
      <c r="C1755">
        <v>202602</v>
      </c>
      <c r="D1755">
        <v>2681</v>
      </c>
      <c r="E1755">
        <v>10.218393871250523</v>
      </c>
      <c r="F1755">
        <v>262.37</v>
      </c>
    </row>
    <row r="1756" spans="1:6" x14ac:dyDescent="0.35">
      <c r="A1756">
        <v>772</v>
      </c>
      <c r="B1756" t="s">
        <v>173</v>
      </c>
      <c r="C1756">
        <v>202602</v>
      </c>
      <c r="D1756">
        <v>252</v>
      </c>
      <c r="E1756">
        <v>1.2450592885375493</v>
      </c>
      <c r="F1756">
        <v>202.4</v>
      </c>
    </row>
    <row r="1757" spans="1:6" x14ac:dyDescent="0.35">
      <c r="A1757">
        <v>615</v>
      </c>
      <c r="B1757" t="s">
        <v>173</v>
      </c>
      <c r="C1757">
        <v>202602</v>
      </c>
      <c r="D1757">
        <v>5100</v>
      </c>
      <c r="E1757">
        <v>18.841436382444215</v>
      </c>
      <c r="F1757">
        <v>270.68</v>
      </c>
    </row>
    <row r="1758" spans="1:6" x14ac:dyDescent="0.35">
      <c r="A1758">
        <v>617</v>
      </c>
      <c r="B1758" t="s">
        <v>173</v>
      </c>
      <c r="C1758">
        <v>202602</v>
      </c>
      <c r="D1758">
        <v>1388</v>
      </c>
      <c r="E1758">
        <v>3.0844444444444443</v>
      </c>
      <c r="F1758">
        <v>450</v>
      </c>
    </row>
    <row r="1759" spans="1:6" x14ac:dyDescent="0.35">
      <c r="A1759">
        <v>751</v>
      </c>
      <c r="B1759" t="s">
        <v>173</v>
      </c>
      <c r="C1759">
        <v>202602</v>
      </c>
      <c r="D1759">
        <v>334</v>
      </c>
      <c r="E1759">
        <v>1.6452391507807498</v>
      </c>
      <c r="F1759">
        <v>203.01</v>
      </c>
    </row>
    <row r="1760" spans="1:6" x14ac:dyDescent="0.35">
      <c r="A1760">
        <v>752</v>
      </c>
      <c r="B1760" t="s">
        <v>173</v>
      </c>
      <c r="C1760">
        <v>202602</v>
      </c>
      <c r="D1760">
        <v>4558</v>
      </c>
      <c r="E1760">
        <v>13.178742843925287</v>
      </c>
      <c r="F1760">
        <v>345.86</v>
      </c>
    </row>
    <row r="1761" spans="1:6" x14ac:dyDescent="0.35">
      <c r="A1761">
        <v>753</v>
      </c>
      <c r="B1761" t="s">
        <v>173</v>
      </c>
      <c r="C1761">
        <v>202602</v>
      </c>
      <c r="D1761">
        <v>11185</v>
      </c>
      <c r="E1761">
        <v>22.886315272548696</v>
      </c>
      <c r="F1761">
        <v>488.72</v>
      </c>
    </row>
    <row r="1762" spans="1:6" x14ac:dyDescent="0.35">
      <c r="A1762">
        <v>754</v>
      </c>
      <c r="B1762" t="s">
        <v>173</v>
      </c>
      <c r="C1762">
        <v>202602</v>
      </c>
      <c r="D1762">
        <v>794</v>
      </c>
      <c r="E1762">
        <v>1.3200113048827118</v>
      </c>
      <c r="F1762">
        <v>601.51</v>
      </c>
    </row>
    <row r="1763" spans="1:6" x14ac:dyDescent="0.35">
      <c r="A1763">
        <v>614</v>
      </c>
      <c r="B1763" t="s">
        <v>173</v>
      </c>
      <c r="C1763">
        <v>202602</v>
      </c>
      <c r="D1763">
        <v>13694</v>
      </c>
      <c r="E1763">
        <v>24.357879758093205</v>
      </c>
      <c r="F1763">
        <v>562.20000000000005</v>
      </c>
    </row>
    <row r="1764" spans="1:6" x14ac:dyDescent="0.35">
      <c r="A1764">
        <v>797</v>
      </c>
      <c r="B1764" t="s">
        <v>173</v>
      </c>
      <c r="C1764">
        <v>202602</v>
      </c>
      <c r="D1764">
        <v>934</v>
      </c>
      <c r="E1764">
        <v>2.0764784348599377</v>
      </c>
      <c r="F1764">
        <v>449.8</v>
      </c>
    </row>
    <row r="1765" spans="1:6" x14ac:dyDescent="0.35">
      <c r="A1765">
        <v>613</v>
      </c>
      <c r="B1765" t="s">
        <v>173</v>
      </c>
      <c r="C1765">
        <v>202602</v>
      </c>
      <c r="D1765">
        <v>6937</v>
      </c>
      <c r="E1765">
        <v>23.716239316239317</v>
      </c>
      <c r="F1765">
        <v>292.5</v>
      </c>
    </row>
    <row r="1766" spans="1:6" x14ac:dyDescent="0.35">
      <c r="A1766">
        <v>767</v>
      </c>
      <c r="B1766" t="s">
        <v>173</v>
      </c>
      <c r="C1766">
        <v>202602</v>
      </c>
      <c r="D1766">
        <v>6135</v>
      </c>
      <c r="E1766">
        <v>10.228409469823275</v>
      </c>
      <c r="F1766">
        <v>599.79999999999995</v>
      </c>
    </row>
    <row r="1767" spans="1:6" x14ac:dyDescent="0.35">
      <c r="A1767">
        <v>807</v>
      </c>
      <c r="B1767" t="s">
        <v>173</v>
      </c>
      <c r="C1767">
        <v>202602</v>
      </c>
      <c r="D1767">
        <v>476</v>
      </c>
      <c r="E1767">
        <v>2.38</v>
      </c>
      <c r="F1767">
        <v>200</v>
      </c>
    </row>
    <row r="1768" spans="1:6" x14ac:dyDescent="0.35">
      <c r="A1768">
        <v>808</v>
      </c>
      <c r="B1768" t="s">
        <v>173</v>
      </c>
      <c r="C1768">
        <v>202602</v>
      </c>
      <c r="D1768">
        <v>891</v>
      </c>
      <c r="E1768">
        <v>3.0230033249643751</v>
      </c>
      <c r="F1768">
        <v>294.74</v>
      </c>
    </row>
    <row r="1769" spans="1:6" x14ac:dyDescent="0.35">
      <c r="A1769">
        <v>502</v>
      </c>
      <c r="B1769" t="s">
        <v>174</v>
      </c>
      <c r="C1769">
        <v>202602</v>
      </c>
      <c r="D1769">
        <v>49065</v>
      </c>
      <c r="E1769">
        <v>157.64361907209869</v>
      </c>
      <c r="F1769">
        <v>311.24</v>
      </c>
    </row>
    <row r="1770" spans="1:6" x14ac:dyDescent="0.35">
      <c r="A1770">
        <v>504</v>
      </c>
      <c r="B1770" t="s">
        <v>174</v>
      </c>
      <c r="C1770">
        <v>202602</v>
      </c>
      <c r="D1770">
        <v>110493</v>
      </c>
      <c r="E1770">
        <v>253.12822157567982</v>
      </c>
      <c r="F1770">
        <v>436.51</v>
      </c>
    </row>
    <row r="1771" spans="1:6" x14ac:dyDescent="0.35">
      <c r="A1771">
        <v>505</v>
      </c>
      <c r="B1771" t="s">
        <v>174</v>
      </c>
      <c r="C1771">
        <v>202602</v>
      </c>
      <c r="D1771">
        <v>39107</v>
      </c>
      <c r="E1771">
        <v>105.07550110161749</v>
      </c>
      <c r="F1771">
        <v>372.18</v>
      </c>
    </row>
    <row r="1772" spans="1:6" x14ac:dyDescent="0.35">
      <c r="A1772">
        <v>506</v>
      </c>
      <c r="B1772" t="s">
        <v>174</v>
      </c>
      <c r="C1772">
        <v>202602</v>
      </c>
      <c r="D1772">
        <v>42340</v>
      </c>
      <c r="E1772">
        <v>89.383351981253568</v>
      </c>
      <c r="F1772">
        <v>473.69</v>
      </c>
    </row>
    <row r="1773" spans="1:6" x14ac:dyDescent="0.35">
      <c r="A1773">
        <v>508</v>
      </c>
      <c r="B1773" t="s">
        <v>174</v>
      </c>
      <c r="C1773">
        <v>202602</v>
      </c>
      <c r="D1773">
        <v>66164</v>
      </c>
      <c r="E1773">
        <v>163.48900420064246</v>
      </c>
      <c r="F1773">
        <v>404.7</v>
      </c>
    </row>
    <row r="1774" spans="1:6" x14ac:dyDescent="0.35">
      <c r="A1774">
        <v>507</v>
      </c>
      <c r="B1774" t="s">
        <v>174</v>
      </c>
      <c r="C1774">
        <v>202602</v>
      </c>
      <c r="D1774">
        <v>45272</v>
      </c>
      <c r="E1774">
        <v>167.67407407407407</v>
      </c>
      <c r="F1774">
        <v>270</v>
      </c>
    </row>
    <row r="1775" spans="1:6" x14ac:dyDescent="0.35">
      <c r="A1775">
        <v>520</v>
      </c>
      <c r="B1775" t="s">
        <v>174</v>
      </c>
      <c r="C1775">
        <v>202602</v>
      </c>
      <c r="D1775">
        <v>551</v>
      </c>
      <c r="E1775">
        <v>8.1029411764705888</v>
      </c>
      <c r="F1775">
        <v>68</v>
      </c>
    </row>
    <row r="1776" spans="1:6" x14ac:dyDescent="0.35">
      <c r="A1776">
        <v>521</v>
      </c>
      <c r="B1776" t="s">
        <v>174</v>
      </c>
      <c r="C1776">
        <v>202602</v>
      </c>
      <c r="D1776">
        <v>10448</v>
      </c>
      <c r="E1776">
        <v>90.068965517241381</v>
      </c>
      <c r="F1776">
        <v>116</v>
      </c>
    </row>
    <row r="1777" spans="1:6" x14ac:dyDescent="0.35">
      <c r="A1777">
        <v>784</v>
      </c>
      <c r="B1777" t="s">
        <v>174</v>
      </c>
      <c r="C1777">
        <v>202602</v>
      </c>
      <c r="D1777">
        <v>693</v>
      </c>
      <c r="E1777">
        <v>2.0551601423487544</v>
      </c>
      <c r="F1777">
        <v>337.2</v>
      </c>
    </row>
    <row r="1778" spans="1:6" x14ac:dyDescent="0.35">
      <c r="A1778">
        <v>785</v>
      </c>
      <c r="B1778" t="s">
        <v>174</v>
      </c>
      <c r="C1778">
        <v>202602</v>
      </c>
      <c r="D1778">
        <v>1269</v>
      </c>
      <c r="E1778">
        <v>2.2572038420490927</v>
      </c>
      <c r="F1778">
        <v>562.20000000000005</v>
      </c>
    </row>
    <row r="1779" spans="1:6" x14ac:dyDescent="0.35">
      <c r="A1779">
        <v>758</v>
      </c>
      <c r="B1779" t="s">
        <v>174</v>
      </c>
      <c r="C1779">
        <v>202602</v>
      </c>
      <c r="D1779">
        <v>8258</v>
      </c>
      <c r="E1779">
        <v>12.240058102479731</v>
      </c>
      <c r="F1779">
        <v>674.67</v>
      </c>
    </row>
    <row r="1780" spans="1:6" x14ac:dyDescent="0.35">
      <c r="A1780">
        <v>757</v>
      </c>
      <c r="B1780" t="s">
        <v>174</v>
      </c>
      <c r="C1780">
        <v>202602</v>
      </c>
      <c r="D1780">
        <v>13640</v>
      </c>
      <c r="E1780">
        <v>27.56892230576441</v>
      </c>
      <c r="F1780">
        <v>494.76</v>
      </c>
    </row>
    <row r="1781" spans="1:6" x14ac:dyDescent="0.35">
      <c r="A1781">
        <v>580</v>
      </c>
      <c r="B1781" t="s">
        <v>174</v>
      </c>
      <c r="C1781">
        <v>202602</v>
      </c>
      <c r="D1781">
        <v>0</v>
      </c>
      <c r="E1781">
        <v>0</v>
      </c>
      <c r="F1781">
        <v>270.68</v>
      </c>
    </row>
    <row r="1782" spans="1:6" x14ac:dyDescent="0.35">
      <c r="A1782">
        <v>582</v>
      </c>
      <c r="B1782" t="s">
        <v>174</v>
      </c>
      <c r="C1782">
        <v>202602</v>
      </c>
      <c r="D1782">
        <v>1840</v>
      </c>
      <c r="E1782">
        <v>6.1180382377389861</v>
      </c>
      <c r="F1782">
        <v>300.75</v>
      </c>
    </row>
    <row r="1783" spans="1:6" x14ac:dyDescent="0.35">
      <c r="A1783">
        <v>594</v>
      </c>
      <c r="B1783" t="s">
        <v>174</v>
      </c>
      <c r="C1783">
        <v>202602</v>
      </c>
      <c r="D1783">
        <v>21188</v>
      </c>
      <c r="E1783">
        <v>125.55851851851853</v>
      </c>
      <c r="F1783">
        <v>168.75</v>
      </c>
    </row>
    <row r="1784" spans="1:6" x14ac:dyDescent="0.35">
      <c r="A1784">
        <v>595</v>
      </c>
      <c r="B1784" t="s">
        <v>174</v>
      </c>
      <c r="C1784">
        <v>202602</v>
      </c>
      <c r="D1784">
        <v>27002</v>
      </c>
      <c r="E1784">
        <v>360.02666666666664</v>
      </c>
      <c r="F1784">
        <v>75</v>
      </c>
    </row>
    <row r="1785" spans="1:6" x14ac:dyDescent="0.35">
      <c r="A1785">
        <v>603</v>
      </c>
      <c r="B1785" t="s">
        <v>174</v>
      </c>
      <c r="C1785">
        <v>202602</v>
      </c>
      <c r="D1785">
        <v>2910</v>
      </c>
      <c r="E1785">
        <v>12.901223621209434</v>
      </c>
      <c r="F1785">
        <v>225.56</v>
      </c>
    </row>
    <row r="1786" spans="1:6" x14ac:dyDescent="0.35">
      <c r="A1786">
        <v>606</v>
      </c>
      <c r="B1786" t="s">
        <v>174</v>
      </c>
      <c r="C1786">
        <v>202602</v>
      </c>
      <c r="D1786">
        <v>3176</v>
      </c>
      <c r="E1786">
        <v>12.105042497236727</v>
      </c>
      <c r="F1786">
        <v>262.37</v>
      </c>
    </row>
    <row r="1787" spans="1:6" x14ac:dyDescent="0.35">
      <c r="A1787">
        <v>772</v>
      </c>
      <c r="B1787" t="s">
        <v>174</v>
      </c>
      <c r="C1787">
        <v>202602</v>
      </c>
      <c r="D1787">
        <v>284</v>
      </c>
      <c r="E1787">
        <v>1.4031620553359683</v>
      </c>
      <c r="F1787">
        <v>202.4</v>
      </c>
    </row>
    <row r="1788" spans="1:6" x14ac:dyDescent="0.35">
      <c r="A1788">
        <v>615</v>
      </c>
      <c r="B1788" t="s">
        <v>174</v>
      </c>
      <c r="C1788">
        <v>202602</v>
      </c>
      <c r="D1788">
        <v>5406</v>
      </c>
      <c r="E1788">
        <v>19.971922565390866</v>
      </c>
      <c r="F1788">
        <v>270.68</v>
      </c>
    </row>
    <row r="1789" spans="1:6" x14ac:dyDescent="0.35">
      <c r="A1789">
        <v>617</v>
      </c>
      <c r="B1789" t="s">
        <v>174</v>
      </c>
      <c r="C1789">
        <v>202602</v>
      </c>
      <c r="D1789">
        <v>1550</v>
      </c>
      <c r="E1789">
        <v>3.4444444444444446</v>
      </c>
      <c r="F1789">
        <v>450</v>
      </c>
    </row>
    <row r="1790" spans="1:6" x14ac:dyDescent="0.35">
      <c r="A1790">
        <v>751</v>
      </c>
      <c r="B1790" t="s">
        <v>174</v>
      </c>
      <c r="C1790">
        <v>202602</v>
      </c>
      <c r="D1790">
        <v>379</v>
      </c>
      <c r="E1790">
        <v>1.8669031082212699</v>
      </c>
      <c r="F1790">
        <v>203.01</v>
      </c>
    </row>
    <row r="1791" spans="1:6" x14ac:dyDescent="0.35">
      <c r="A1791">
        <v>752</v>
      </c>
      <c r="B1791" t="s">
        <v>174</v>
      </c>
      <c r="C1791">
        <v>202602</v>
      </c>
      <c r="D1791">
        <v>4216</v>
      </c>
      <c r="E1791">
        <v>12.189903429133174</v>
      </c>
      <c r="F1791">
        <v>345.86</v>
      </c>
    </row>
    <row r="1792" spans="1:6" x14ac:dyDescent="0.35">
      <c r="A1792">
        <v>753</v>
      </c>
      <c r="B1792" t="s">
        <v>174</v>
      </c>
      <c r="C1792">
        <v>202602</v>
      </c>
      <c r="D1792">
        <v>6650</v>
      </c>
      <c r="E1792">
        <v>13.606973318055328</v>
      </c>
      <c r="F1792">
        <v>488.72</v>
      </c>
    </row>
    <row r="1793" spans="1:6" x14ac:dyDescent="0.35">
      <c r="A1793">
        <v>754</v>
      </c>
      <c r="B1793" t="s">
        <v>174</v>
      </c>
      <c r="C1793">
        <v>202602</v>
      </c>
      <c r="D1793">
        <v>904</v>
      </c>
      <c r="E1793">
        <v>1.5028844075742713</v>
      </c>
      <c r="F1793">
        <v>601.51</v>
      </c>
    </row>
    <row r="1794" spans="1:6" x14ac:dyDescent="0.35">
      <c r="A1794">
        <v>614</v>
      </c>
      <c r="B1794" t="s">
        <v>174</v>
      </c>
      <c r="C1794">
        <v>202602</v>
      </c>
      <c r="D1794">
        <v>16191</v>
      </c>
      <c r="E1794">
        <v>28.799359658484523</v>
      </c>
      <c r="F1794">
        <v>562.20000000000005</v>
      </c>
    </row>
    <row r="1795" spans="1:6" x14ac:dyDescent="0.35">
      <c r="A1795">
        <v>797</v>
      </c>
      <c r="B1795" t="s">
        <v>174</v>
      </c>
      <c r="C1795">
        <v>202602</v>
      </c>
      <c r="D1795">
        <v>858</v>
      </c>
      <c r="E1795">
        <v>1.9075144508670521</v>
      </c>
      <c r="F1795">
        <v>449.8</v>
      </c>
    </row>
    <row r="1796" spans="1:6" x14ac:dyDescent="0.35">
      <c r="A1796">
        <v>613</v>
      </c>
      <c r="B1796" t="s">
        <v>174</v>
      </c>
      <c r="C1796">
        <v>202602</v>
      </c>
      <c r="D1796">
        <v>8201</v>
      </c>
      <c r="E1796">
        <v>28.037606837606837</v>
      </c>
      <c r="F1796">
        <v>292.5</v>
      </c>
    </row>
    <row r="1797" spans="1:6" x14ac:dyDescent="0.35">
      <c r="A1797">
        <v>767</v>
      </c>
      <c r="B1797" t="s">
        <v>174</v>
      </c>
      <c r="C1797">
        <v>202602</v>
      </c>
      <c r="D1797">
        <v>8522</v>
      </c>
      <c r="E1797">
        <v>14.208069356452151</v>
      </c>
      <c r="F1797">
        <v>599.79999999999995</v>
      </c>
    </row>
    <row r="1798" spans="1:6" x14ac:dyDescent="0.35">
      <c r="A1798">
        <v>807</v>
      </c>
      <c r="B1798" t="s">
        <v>174</v>
      </c>
      <c r="C1798">
        <v>202602</v>
      </c>
      <c r="D1798">
        <v>1140</v>
      </c>
      <c r="E1798">
        <v>5.7</v>
      </c>
      <c r="F1798">
        <v>200</v>
      </c>
    </row>
    <row r="1799" spans="1:6" x14ac:dyDescent="0.35">
      <c r="A1799">
        <v>808</v>
      </c>
      <c r="B1799" t="s">
        <v>174</v>
      </c>
      <c r="C1799">
        <v>202602</v>
      </c>
      <c r="D1799">
        <v>1795</v>
      </c>
      <c r="E1799">
        <v>6.0901133202144262</v>
      </c>
      <c r="F1799">
        <v>294.74</v>
      </c>
    </row>
    <row r="1800" spans="1:6" x14ac:dyDescent="0.35">
      <c r="A1800">
        <v>502</v>
      </c>
      <c r="B1800" t="s">
        <v>175</v>
      </c>
      <c r="C1800">
        <v>202602</v>
      </c>
      <c r="D1800">
        <v>64145</v>
      </c>
      <c r="E1800">
        <v>206.09497493895387</v>
      </c>
      <c r="F1800">
        <v>311.24</v>
      </c>
    </row>
    <row r="1801" spans="1:6" x14ac:dyDescent="0.35">
      <c r="A1801">
        <v>504</v>
      </c>
      <c r="B1801" t="s">
        <v>175</v>
      </c>
      <c r="C1801">
        <v>202602</v>
      </c>
      <c r="D1801">
        <v>142591</v>
      </c>
      <c r="E1801">
        <v>326.66147396394126</v>
      </c>
      <c r="F1801">
        <v>436.51</v>
      </c>
    </row>
    <row r="1802" spans="1:6" x14ac:dyDescent="0.35">
      <c r="A1802">
        <v>505</v>
      </c>
      <c r="B1802" t="s">
        <v>175</v>
      </c>
      <c r="C1802">
        <v>202602</v>
      </c>
      <c r="D1802">
        <v>62907</v>
      </c>
      <c r="E1802">
        <v>169.02305336127679</v>
      </c>
      <c r="F1802">
        <v>372.18</v>
      </c>
    </row>
    <row r="1803" spans="1:6" x14ac:dyDescent="0.35">
      <c r="A1803">
        <v>506</v>
      </c>
      <c r="B1803" t="s">
        <v>175</v>
      </c>
      <c r="C1803">
        <v>202602</v>
      </c>
      <c r="D1803">
        <v>61077</v>
      </c>
      <c r="E1803">
        <v>128.93875741518715</v>
      </c>
      <c r="F1803">
        <v>473.69</v>
      </c>
    </row>
    <row r="1804" spans="1:6" x14ac:dyDescent="0.35">
      <c r="A1804">
        <v>508</v>
      </c>
      <c r="B1804" t="s">
        <v>175</v>
      </c>
      <c r="C1804">
        <v>202602</v>
      </c>
      <c r="D1804">
        <v>98379</v>
      </c>
      <c r="E1804">
        <v>243.0911786508525</v>
      </c>
      <c r="F1804">
        <v>404.7</v>
      </c>
    </row>
    <row r="1805" spans="1:6" x14ac:dyDescent="0.35">
      <c r="A1805">
        <v>507</v>
      </c>
      <c r="B1805" t="s">
        <v>175</v>
      </c>
      <c r="C1805">
        <v>202602</v>
      </c>
      <c r="D1805">
        <v>59738</v>
      </c>
      <c r="E1805">
        <v>221.25185185185185</v>
      </c>
      <c r="F1805">
        <v>270</v>
      </c>
    </row>
    <row r="1806" spans="1:6" x14ac:dyDescent="0.35">
      <c r="A1806">
        <v>520</v>
      </c>
      <c r="B1806" t="s">
        <v>175</v>
      </c>
      <c r="C1806">
        <v>202602</v>
      </c>
      <c r="D1806">
        <v>818</v>
      </c>
      <c r="E1806">
        <v>12.029411764705882</v>
      </c>
      <c r="F1806">
        <v>68</v>
      </c>
    </row>
    <row r="1807" spans="1:6" x14ac:dyDescent="0.35">
      <c r="A1807">
        <v>521</v>
      </c>
      <c r="B1807" t="s">
        <v>175</v>
      </c>
      <c r="C1807">
        <v>202602</v>
      </c>
      <c r="D1807">
        <v>10400</v>
      </c>
      <c r="E1807">
        <v>89.65517241379311</v>
      </c>
      <c r="F1807">
        <v>116</v>
      </c>
    </row>
    <row r="1808" spans="1:6" x14ac:dyDescent="0.35">
      <c r="A1808">
        <v>784</v>
      </c>
      <c r="B1808" t="s">
        <v>175</v>
      </c>
      <c r="C1808">
        <v>202602</v>
      </c>
      <c r="D1808">
        <v>655</v>
      </c>
      <c r="E1808">
        <v>1.9424673784104389</v>
      </c>
      <c r="F1808">
        <v>337.2</v>
      </c>
    </row>
    <row r="1809" spans="1:6" x14ac:dyDescent="0.35">
      <c r="A1809">
        <v>785</v>
      </c>
      <c r="B1809" t="s">
        <v>175</v>
      </c>
      <c r="C1809">
        <v>202602</v>
      </c>
      <c r="D1809">
        <v>1065</v>
      </c>
      <c r="E1809">
        <v>1.894343649946638</v>
      </c>
      <c r="F1809">
        <v>562.20000000000005</v>
      </c>
    </row>
    <row r="1810" spans="1:6" x14ac:dyDescent="0.35">
      <c r="A1810">
        <v>758</v>
      </c>
      <c r="B1810" t="s">
        <v>175</v>
      </c>
      <c r="C1810">
        <v>202602</v>
      </c>
      <c r="D1810">
        <v>18070</v>
      </c>
      <c r="E1810">
        <v>26.783464508574564</v>
      </c>
      <c r="F1810">
        <v>674.67</v>
      </c>
    </row>
    <row r="1811" spans="1:6" x14ac:dyDescent="0.35">
      <c r="A1811">
        <v>757</v>
      </c>
      <c r="B1811" t="s">
        <v>175</v>
      </c>
      <c r="C1811">
        <v>202602</v>
      </c>
      <c r="D1811">
        <v>33202</v>
      </c>
      <c r="E1811">
        <v>67.107284339881957</v>
      </c>
      <c r="F1811">
        <v>494.76</v>
      </c>
    </row>
    <row r="1812" spans="1:6" x14ac:dyDescent="0.35">
      <c r="A1812">
        <v>580</v>
      </c>
      <c r="B1812" t="s">
        <v>175</v>
      </c>
      <c r="C1812">
        <v>202602</v>
      </c>
      <c r="D1812">
        <v>998</v>
      </c>
      <c r="E1812">
        <v>3.6870104920939855</v>
      </c>
      <c r="F1812">
        <v>270.68</v>
      </c>
    </row>
    <row r="1813" spans="1:6" x14ac:dyDescent="0.35">
      <c r="A1813">
        <v>582</v>
      </c>
      <c r="B1813" t="s">
        <v>175</v>
      </c>
      <c r="C1813">
        <v>202602</v>
      </c>
      <c r="D1813">
        <v>3640</v>
      </c>
      <c r="E1813">
        <v>12.103075644222777</v>
      </c>
      <c r="F1813">
        <v>300.75</v>
      </c>
    </row>
    <row r="1814" spans="1:6" x14ac:dyDescent="0.35">
      <c r="A1814">
        <v>594</v>
      </c>
      <c r="B1814" t="s">
        <v>175</v>
      </c>
      <c r="C1814">
        <v>202602</v>
      </c>
      <c r="D1814">
        <v>22015</v>
      </c>
      <c r="E1814">
        <v>130.45925925925926</v>
      </c>
      <c r="F1814">
        <v>168.75</v>
      </c>
    </row>
    <row r="1815" spans="1:6" x14ac:dyDescent="0.35">
      <c r="A1815">
        <v>595</v>
      </c>
      <c r="B1815" t="s">
        <v>175</v>
      </c>
      <c r="C1815">
        <v>202602</v>
      </c>
      <c r="D1815">
        <v>30188</v>
      </c>
      <c r="E1815">
        <v>402.50666666666666</v>
      </c>
      <c r="F1815">
        <v>75</v>
      </c>
    </row>
    <row r="1816" spans="1:6" x14ac:dyDescent="0.35">
      <c r="A1816">
        <v>603</v>
      </c>
      <c r="B1816" t="s">
        <v>175</v>
      </c>
      <c r="C1816">
        <v>202602</v>
      </c>
      <c r="D1816">
        <v>4841</v>
      </c>
      <c r="E1816">
        <v>21.462138677070403</v>
      </c>
      <c r="F1816">
        <v>225.56</v>
      </c>
    </row>
    <row r="1817" spans="1:6" x14ac:dyDescent="0.35">
      <c r="A1817">
        <v>606</v>
      </c>
      <c r="B1817" t="s">
        <v>175</v>
      </c>
      <c r="C1817">
        <v>202602</v>
      </c>
      <c r="D1817">
        <v>5412</v>
      </c>
      <c r="E1817">
        <v>20.627358310782483</v>
      </c>
      <c r="F1817">
        <v>262.37</v>
      </c>
    </row>
    <row r="1818" spans="1:6" x14ac:dyDescent="0.35">
      <c r="A1818">
        <v>772</v>
      </c>
      <c r="B1818" t="s">
        <v>175</v>
      </c>
      <c r="C1818">
        <v>202602</v>
      </c>
      <c r="D1818">
        <v>527</v>
      </c>
      <c r="E1818">
        <v>2.6037549407114624</v>
      </c>
      <c r="F1818">
        <v>202.4</v>
      </c>
    </row>
    <row r="1819" spans="1:6" x14ac:dyDescent="0.35">
      <c r="A1819">
        <v>615</v>
      </c>
      <c r="B1819" t="s">
        <v>175</v>
      </c>
      <c r="C1819">
        <v>202602</v>
      </c>
      <c r="D1819">
        <v>8806</v>
      </c>
      <c r="E1819">
        <v>32.53288015368701</v>
      </c>
      <c r="F1819">
        <v>270.68</v>
      </c>
    </row>
    <row r="1820" spans="1:6" x14ac:dyDescent="0.35">
      <c r="A1820">
        <v>617</v>
      </c>
      <c r="B1820" t="s">
        <v>175</v>
      </c>
      <c r="C1820">
        <v>202602</v>
      </c>
      <c r="D1820">
        <v>2880</v>
      </c>
      <c r="E1820">
        <v>6.4</v>
      </c>
      <c r="F1820">
        <v>450</v>
      </c>
    </row>
    <row r="1821" spans="1:6" x14ac:dyDescent="0.35">
      <c r="A1821">
        <v>751</v>
      </c>
      <c r="B1821" t="s">
        <v>175</v>
      </c>
      <c r="C1821">
        <v>202602</v>
      </c>
      <c r="D1821">
        <v>529</v>
      </c>
      <c r="E1821">
        <v>2.6057829663563372</v>
      </c>
      <c r="F1821">
        <v>203.01</v>
      </c>
    </row>
    <row r="1822" spans="1:6" x14ac:dyDescent="0.35">
      <c r="A1822">
        <v>752</v>
      </c>
      <c r="B1822" t="s">
        <v>175</v>
      </c>
      <c r="C1822">
        <v>202602</v>
      </c>
      <c r="D1822">
        <v>4642</v>
      </c>
      <c r="E1822">
        <v>13.421615682646157</v>
      </c>
      <c r="F1822">
        <v>345.86</v>
      </c>
    </row>
    <row r="1823" spans="1:6" x14ac:dyDescent="0.35">
      <c r="A1823">
        <v>753</v>
      </c>
      <c r="B1823" t="s">
        <v>175</v>
      </c>
      <c r="C1823">
        <v>202602</v>
      </c>
      <c r="D1823">
        <v>7233</v>
      </c>
      <c r="E1823">
        <v>14.799885414961532</v>
      </c>
      <c r="F1823">
        <v>488.72</v>
      </c>
    </row>
    <row r="1824" spans="1:6" x14ac:dyDescent="0.35">
      <c r="A1824">
        <v>754</v>
      </c>
      <c r="B1824" t="s">
        <v>175</v>
      </c>
      <c r="C1824">
        <v>202602</v>
      </c>
      <c r="D1824">
        <v>1264</v>
      </c>
      <c r="E1824">
        <v>2.1013781982011936</v>
      </c>
      <c r="F1824">
        <v>601.51</v>
      </c>
    </row>
    <row r="1825" spans="1:6" x14ac:dyDescent="0.35">
      <c r="A1825">
        <v>614</v>
      </c>
      <c r="B1825" t="s">
        <v>175</v>
      </c>
      <c r="C1825">
        <v>202602</v>
      </c>
      <c r="D1825">
        <v>21319</v>
      </c>
      <c r="E1825">
        <v>37.920668801138383</v>
      </c>
      <c r="F1825">
        <v>562.20000000000005</v>
      </c>
    </row>
    <row r="1826" spans="1:6" x14ac:dyDescent="0.35">
      <c r="A1826">
        <v>797</v>
      </c>
      <c r="B1826" t="s">
        <v>175</v>
      </c>
      <c r="C1826">
        <v>202602</v>
      </c>
      <c r="D1826">
        <v>1845</v>
      </c>
      <c r="E1826">
        <v>4.1018230324588707</v>
      </c>
      <c r="F1826">
        <v>449.8</v>
      </c>
    </row>
    <row r="1827" spans="1:6" x14ac:dyDescent="0.35">
      <c r="A1827">
        <v>613</v>
      </c>
      <c r="B1827" t="s">
        <v>175</v>
      </c>
      <c r="C1827">
        <v>202602</v>
      </c>
      <c r="D1827">
        <v>11786</v>
      </c>
      <c r="E1827">
        <v>40.294017094017093</v>
      </c>
      <c r="F1827">
        <v>292.5</v>
      </c>
    </row>
    <row r="1828" spans="1:6" x14ac:dyDescent="0.35">
      <c r="A1828">
        <v>767</v>
      </c>
      <c r="B1828" t="s">
        <v>175</v>
      </c>
      <c r="C1828">
        <v>202602</v>
      </c>
      <c r="D1828">
        <v>13516</v>
      </c>
      <c r="E1828">
        <v>22.53417805935312</v>
      </c>
      <c r="F1828">
        <v>599.79999999999995</v>
      </c>
    </row>
    <row r="1829" spans="1:6" x14ac:dyDescent="0.35">
      <c r="A1829">
        <v>807</v>
      </c>
      <c r="B1829" t="s">
        <v>175</v>
      </c>
      <c r="C1829">
        <v>202602</v>
      </c>
      <c r="D1829">
        <v>712</v>
      </c>
      <c r="E1829">
        <v>3.56</v>
      </c>
      <c r="F1829">
        <v>200</v>
      </c>
    </row>
    <row r="1830" spans="1:6" x14ac:dyDescent="0.35">
      <c r="A1830">
        <v>808</v>
      </c>
      <c r="B1830" t="s">
        <v>175</v>
      </c>
      <c r="C1830">
        <v>202602</v>
      </c>
      <c r="D1830">
        <v>1272</v>
      </c>
      <c r="E1830">
        <v>4.315668046413788</v>
      </c>
      <c r="F1830">
        <v>294.74</v>
      </c>
    </row>
    <row r="1831" spans="1:6" x14ac:dyDescent="0.35">
      <c r="A1831">
        <v>502</v>
      </c>
      <c r="B1831" t="s">
        <v>176</v>
      </c>
      <c r="C1831">
        <v>202602</v>
      </c>
      <c r="D1831">
        <v>37826</v>
      </c>
      <c r="E1831">
        <v>121.53322195090605</v>
      </c>
      <c r="F1831">
        <v>311.24</v>
      </c>
    </row>
    <row r="1832" spans="1:6" x14ac:dyDescent="0.35">
      <c r="A1832">
        <v>504</v>
      </c>
      <c r="B1832" t="s">
        <v>176</v>
      </c>
      <c r="C1832">
        <v>202602</v>
      </c>
      <c r="D1832">
        <v>79756</v>
      </c>
      <c r="E1832">
        <v>182.71288172092278</v>
      </c>
      <c r="F1832">
        <v>436.51</v>
      </c>
    </row>
    <row r="1833" spans="1:6" x14ac:dyDescent="0.35">
      <c r="A1833">
        <v>505</v>
      </c>
      <c r="B1833" t="s">
        <v>176</v>
      </c>
      <c r="C1833">
        <v>202602</v>
      </c>
      <c r="D1833">
        <v>42403</v>
      </c>
      <c r="E1833">
        <v>113.93143102799721</v>
      </c>
      <c r="F1833">
        <v>372.18</v>
      </c>
    </row>
    <row r="1834" spans="1:6" x14ac:dyDescent="0.35">
      <c r="A1834">
        <v>506</v>
      </c>
      <c r="B1834" t="s">
        <v>176</v>
      </c>
      <c r="C1834">
        <v>202602</v>
      </c>
      <c r="D1834">
        <v>64018</v>
      </c>
      <c r="E1834">
        <v>135.14745930883066</v>
      </c>
      <c r="F1834">
        <v>473.69</v>
      </c>
    </row>
    <row r="1835" spans="1:6" x14ac:dyDescent="0.35">
      <c r="A1835">
        <v>508</v>
      </c>
      <c r="B1835" t="s">
        <v>176</v>
      </c>
      <c r="C1835">
        <v>202602</v>
      </c>
      <c r="D1835">
        <v>43977</v>
      </c>
      <c r="E1835">
        <v>108.66567828020756</v>
      </c>
      <c r="F1835">
        <v>404.7</v>
      </c>
    </row>
    <row r="1836" spans="1:6" x14ac:dyDescent="0.35">
      <c r="A1836">
        <v>507</v>
      </c>
      <c r="B1836" t="s">
        <v>176</v>
      </c>
      <c r="C1836">
        <v>202602</v>
      </c>
      <c r="D1836">
        <v>29513</v>
      </c>
      <c r="E1836">
        <v>109.30740740740741</v>
      </c>
      <c r="F1836">
        <v>270</v>
      </c>
    </row>
    <row r="1837" spans="1:6" x14ac:dyDescent="0.35">
      <c r="A1837">
        <v>520</v>
      </c>
      <c r="B1837" t="s">
        <v>176</v>
      </c>
      <c r="C1837">
        <v>202602</v>
      </c>
      <c r="D1837">
        <v>518</v>
      </c>
      <c r="E1837">
        <v>7.617647058823529</v>
      </c>
      <c r="F1837">
        <v>68</v>
      </c>
    </row>
    <row r="1838" spans="1:6" x14ac:dyDescent="0.35">
      <c r="A1838">
        <v>521</v>
      </c>
      <c r="B1838" t="s">
        <v>176</v>
      </c>
      <c r="C1838">
        <v>202602</v>
      </c>
      <c r="D1838">
        <v>9659</v>
      </c>
      <c r="E1838">
        <v>83.267241379310349</v>
      </c>
      <c r="F1838">
        <v>116</v>
      </c>
    </row>
    <row r="1839" spans="1:6" x14ac:dyDescent="0.35">
      <c r="A1839">
        <v>784</v>
      </c>
      <c r="B1839" t="s">
        <v>176</v>
      </c>
      <c r="C1839">
        <v>202602</v>
      </c>
      <c r="D1839">
        <v>531</v>
      </c>
      <c r="E1839">
        <v>1.5747330960854093</v>
      </c>
      <c r="F1839">
        <v>337.2</v>
      </c>
    </row>
    <row r="1840" spans="1:6" x14ac:dyDescent="0.35">
      <c r="A1840">
        <v>785</v>
      </c>
      <c r="B1840" t="s">
        <v>176</v>
      </c>
      <c r="C1840">
        <v>202602</v>
      </c>
      <c r="D1840">
        <v>784</v>
      </c>
      <c r="E1840">
        <v>1.3945215225898255</v>
      </c>
      <c r="F1840">
        <v>562.20000000000005</v>
      </c>
    </row>
    <row r="1841" spans="1:6" x14ac:dyDescent="0.35">
      <c r="A1841">
        <v>758</v>
      </c>
      <c r="B1841" t="s">
        <v>176</v>
      </c>
      <c r="C1841">
        <v>202602</v>
      </c>
      <c r="D1841">
        <v>21361</v>
      </c>
      <c r="E1841">
        <v>31.66140483495635</v>
      </c>
      <c r="F1841">
        <v>674.67</v>
      </c>
    </row>
    <row r="1842" spans="1:6" x14ac:dyDescent="0.35">
      <c r="A1842">
        <v>757</v>
      </c>
      <c r="B1842" t="s">
        <v>176</v>
      </c>
      <c r="C1842">
        <v>202602</v>
      </c>
      <c r="D1842">
        <v>35062</v>
      </c>
      <c r="E1842">
        <v>70.866682836122564</v>
      </c>
      <c r="F1842">
        <v>494.76</v>
      </c>
    </row>
    <row r="1843" spans="1:6" x14ac:dyDescent="0.35">
      <c r="A1843">
        <v>580</v>
      </c>
      <c r="B1843" t="s">
        <v>176</v>
      </c>
      <c r="C1843">
        <v>202602</v>
      </c>
      <c r="D1843">
        <v>0</v>
      </c>
      <c r="E1843">
        <v>0</v>
      </c>
      <c r="F1843">
        <v>270.68</v>
      </c>
    </row>
    <row r="1844" spans="1:6" x14ac:dyDescent="0.35">
      <c r="A1844">
        <v>582</v>
      </c>
      <c r="B1844" t="s">
        <v>176</v>
      </c>
      <c r="C1844">
        <v>202602</v>
      </c>
      <c r="D1844">
        <v>978</v>
      </c>
      <c r="E1844">
        <v>3.2518703241895262</v>
      </c>
      <c r="F1844">
        <v>300.75</v>
      </c>
    </row>
    <row r="1845" spans="1:6" x14ac:dyDescent="0.35">
      <c r="A1845">
        <v>594</v>
      </c>
      <c r="B1845" t="s">
        <v>176</v>
      </c>
      <c r="C1845">
        <v>202602</v>
      </c>
      <c r="D1845">
        <v>16308</v>
      </c>
      <c r="E1845">
        <v>96.64</v>
      </c>
      <c r="F1845">
        <v>168.75</v>
      </c>
    </row>
    <row r="1846" spans="1:6" x14ac:dyDescent="0.35">
      <c r="A1846">
        <v>595</v>
      </c>
      <c r="B1846" t="s">
        <v>176</v>
      </c>
      <c r="C1846">
        <v>202602</v>
      </c>
      <c r="D1846">
        <v>27189</v>
      </c>
      <c r="E1846">
        <v>362.52</v>
      </c>
      <c r="F1846">
        <v>75</v>
      </c>
    </row>
    <row r="1847" spans="1:6" x14ac:dyDescent="0.35">
      <c r="A1847">
        <v>603</v>
      </c>
      <c r="B1847" t="s">
        <v>176</v>
      </c>
      <c r="C1847">
        <v>202602</v>
      </c>
      <c r="D1847">
        <v>1602</v>
      </c>
      <c r="E1847">
        <v>7.102323106933853</v>
      </c>
      <c r="F1847">
        <v>225.56</v>
      </c>
    </row>
    <row r="1848" spans="1:6" x14ac:dyDescent="0.35">
      <c r="A1848">
        <v>606</v>
      </c>
      <c r="B1848" t="s">
        <v>176</v>
      </c>
      <c r="C1848">
        <v>202602</v>
      </c>
      <c r="D1848">
        <v>3749</v>
      </c>
      <c r="E1848">
        <v>14.288981209741968</v>
      </c>
      <c r="F1848">
        <v>262.37</v>
      </c>
    </row>
    <row r="1849" spans="1:6" x14ac:dyDescent="0.35">
      <c r="A1849">
        <v>772</v>
      </c>
      <c r="B1849" t="s">
        <v>176</v>
      </c>
      <c r="C1849">
        <v>202602</v>
      </c>
      <c r="D1849">
        <v>397</v>
      </c>
      <c r="E1849">
        <v>1.9614624505928853</v>
      </c>
      <c r="F1849">
        <v>202.4</v>
      </c>
    </row>
    <row r="1850" spans="1:6" x14ac:dyDescent="0.35">
      <c r="A1850">
        <v>615</v>
      </c>
      <c r="B1850" t="s">
        <v>176</v>
      </c>
      <c r="C1850">
        <v>202602</v>
      </c>
      <c r="D1850">
        <v>5495</v>
      </c>
      <c r="E1850">
        <v>20.300724102260972</v>
      </c>
      <c r="F1850">
        <v>270.68</v>
      </c>
    </row>
    <row r="1851" spans="1:6" x14ac:dyDescent="0.35">
      <c r="A1851">
        <v>617</v>
      </c>
      <c r="B1851" t="s">
        <v>176</v>
      </c>
      <c r="C1851">
        <v>202602</v>
      </c>
      <c r="D1851">
        <v>1565</v>
      </c>
      <c r="E1851">
        <v>3.4777777777777779</v>
      </c>
      <c r="F1851">
        <v>450</v>
      </c>
    </row>
    <row r="1852" spans="1:6" x14ac:dyDescent="0.35">
      <c r="A1852">
        <v>751</v>
      </c>
      <c r="B1852" t="s">
        <v>176</v>
      </c>
      <c r="C1852">
        <v>202602</v>
      </c>
      <c r="D1852">
        <v>574</v>
      </c>
      <c r="E1852">
        <v>2.8274469237968574</v>
      </c>
      <c r="F1852">
        <v>203.01</v>
      </c>
    </row>
    <row r="1853" spans="1:6" x14ac:dyDescent="0.35">
      <c r="A1853">
        <v>752</v>
      </c>
      <c r="B1853" t="s">
        <v>176</v>
      </c>
      <c r="C1853">
        <v>202602</v>
      </c>
      <c r="D1853">
        <v>2564</v>
      </c>
      <c r="E1853">
        <v>7.4134042676227372</v>
      </c>
      <c r="F1853">
        <v>345.86</v>
      </c>
    </row>
    <row r="1854" spans="1:6" x14ac:dyDescent="0.35">
      <c r="A1854">
        <v>753</v>
      </c>
      <c r="B1854" t="s">
        <v>176</v>
      </c>
      <c r="C1854">
        <v>202602</v>
      </c>
      <c r="D1854">
        <v>4181</v>
      </c>
      <c r="E1854">
        <v>8.5550008184645598</v>
      </c>
      <c r="F1854">
        <v>488.72</v>
      </c>
    </row>
    <row r="1855" spans="1:6" x14ac:dyDescent="0.35">
      <c r="A1855">
        <v>754</v>
      </c>
      <c r="B1855" t="s">
        <v>176</v>
      </c>
      <c r="C1855">
        <v>202602</v>
      </c>
      <c r="D1855">
        <v>851</v>
      </c>
      <c r="E1855">
        <v>1.4147728217319746</v>
      </c>
      <c r="F1855">
        <v>601.51</v>
      </c>
    </row>
    <row r="1856" spans="1:6" x14ac:dyDescent="0.35">
      <c r="A1856">
        <v>614</v>
      </c>
      <c r="B1856" t="s">
        <v>176</v>
      </c>
      <c r="C1856">
        <v>202602</v>
      </c>
      <c r="D1856">
        <v>17122</v>
      </c>
      <c r="E1856">
        <v>30.45535396655994</v>
      </c>
      <c r="F1856">
        <v>562.20000000000005</v>
      </c>
    </row>
    <row r="1857" spans="1:6" x14ac:dyDescent="0.35">
      <c r="A1857">
        <v>797</v>
      </c>
      <c r="B1857" t="s">
        <v>176</v>
      </c>
      <c r="C1857">
        <v>202602</v>
      </c>
      <c r="D1857">
        <v>1215</v>
      </c>
      <c r="E1857">
        <v>2.7012005335704758</v>
      </c>
      <c r="F1857">
        <v>449.8</v>
      </c>
    </row>
    <row r="1858" spans="1:6" x14ac:dyDescent="0.35">
      <c r="A1858">
        <v>613</v>
      </c>
      <c r="B1858" t="s">
        <v>176</v>
      </c>
      <c r="C1858">
        <v>202602</v>
      </c>
      <c r="D1858">
        <v>8623</v>
      </c>
      <c r="E1858">
        <v>29.480341880341879</v>
      </c>
      <c r="F1858">
        <v>292.5</v>
      </c>
    </row>
    <row r="1859" spans="1:6" x14ac:dyDescent="0.35">
      <c r="A1859">
        <v>767</v>
      </c>
      <c r="B1859" t="s">
        <v>176</v>
      </c>
      <c r="C1859">
        <v>202602</v>
      </c>
      <c r="D1859">
        <v>5310</v>
      </c>
      <c r="E1859">
        <v>8.8529509836612217</v>
      </c>
      <c r="F1859">
        <v>599.79999999999995</v>
      </c>
    </row>
    <row r="1860" spans="1:6" x14ac:dyDescent="0.35">
      <c r="A1860">
        <v>807</v>
      </c>
      <c r="B1860" t="s">
        <v>176</v>
      </c>
      <c r="C1860">
        <v>202602</v>
      </c>
      <c r="D1860">
        <v>417</v>
      </c>
      <c r="E1860">
        <v>2.085</v>
      </c>
      <c r="F1860">
        <v>200</v>
      </c>
    </row>
    <row r="1861" spans="1:6" x14ac:dyDescent="0.35">
      <c r="A1861">
        <v>808</v>
      </c>
      <c r="B1861" t="s">
        <v>176</v>
      </c>
      <c r="C1861">
        <v>202602</v>
      </c>
      <c r="D1861">
        <v>570</v>
      </c>
      <c r="E1861">
        <v>1.9339078509873109</v>
      </c>
      <c r="F1861">
        <v>294.74</v>
      </c>
    </row>
    <row r="1862" spans="1:6" x14ac:dyDescent="0.35">
      <c r="A1862">
        <v>502</v>
      </c>
      <c r="B1862" t="s">
        <v>177</v>
      </c>
      <c r="C1862">
        <v>202602</v>
      </c>
      <c r="D1862">
        <v>70850</v>
      </c>
      <c r="E1862">
        <v>227.63783575375916</v>
      </c>
      <c r="F1862">
        <v>311.24</v>
      </c>
    </row>
    <row r="1863" spans="1:6" x14ac:dyDescent="0.35">
      <c r="A1863">
        <v>504</v>
      </c>
      <c r="B1863" t="s">
        <v>177</v>
      </c>
      <c r="C1863">
        <v>202602</v>
      </c>
      <c r="D1863">
        <v>150777</v>
      </c>
      <c r="E1863">
        <v>345.41476713019176</v>
      </c>
      <c r="F1863">
        <v>436.51</v>
      </c>
    </row>
    <row r="1864" spans="1:6" x14ac:dyDescent="0.35">
      <c r="A1864">
        <v>505</v>
      </c>
      <c r="B1864" t="s">
        <v>177</v>
      </c>
      <c r="C1864">
        <v>202602</v>
      </c>
      <c r="D1864">
        <v>68926</v>
      </c>
      <c r="E1864">
        <v>185.19533559030577</v>
      </c>
      <c r="F1864">
        <v>372.18</v>
      </c>
    </row>
    <row r="1865" spans="1:6" x14ac:dyDescent="0.35">
      <c r="A1865">
        <v>506</v>
      </c>
      <c r="B1865" t="s">
        <v>177</v>
      </c>
      <c r="C1865">
        <v>202602</v>
      </c>
      <c r="D1865">
        <v>80343</v>
      </c>
      <c r="E1865">
        <v>169.61092697755916</v>
      </c>
      <c r="F1865">
        <v>473.69</v>
      </c>
    </row>
    <row r="1866" spans="1:6" x14ac:dyDescent="0.35">
      <c r="A1866">
        <v>508</v>
      </c>
      <c r="B1866" t="s">
        <v>177</v>
      </c>
      <c r="C1866">
        <v>202602</v>
      </c>
      <c r="D1866">
        <v>78594</v>
      </c>
      <c r="E1866">
        <v>194.20311341734617</v>
      </c>
      <c r="F1866">
        <v>404.7</v>
      </c>
    </row>
    <row r="1867" spans="1:6" x14ac:dyDescent="0.35">
      <c r="A1867">
        <v>507</v>
      </c>
      <c r="B1867" t="s">
        <v>177</v>
      </c>
      <c r="C1867">
        <v>202602</v>
      </c>
      <c r="D1867">
        <v>53158</v>
      </c>
      <c r="E1867">
        <v>196.88148148148147</v>
      </c>
      <c r="F1867">
        <v>270</v>
      </c>
    </row>
    <row r="1868" spans="1:6" x14ac:dyDescent="0.35">
      <c r="A1868">
        <v>520</v>
      </c>
      <c r="B1868" t="s">
        <v>177</v>
      </c>
      <c r="C1868">
        <v>202602</v>
      </c>
      <c r="D1868">
        <v>560</v>
      </c>
      <c r="E1868">
        <v>8.235294117647058</v>
      </c>
      <c r="F1868">
        <v>68</v>
      </c>
    </row>
    <row r="1869" spans="1:6" x14ac:dyDescent="0.35">
      <c r="A1869">
        <v>521</v>
      </c>
      <c r="B1869" t="s">
        <v>177</v>
      </c>
      <c r="C1869">
        <v>202602</v>
      </c>
      <c r="D1869">
        <v>7562</v>
      </c>
      <c r="E1869">
        <v>65.189655172413794</v>
      </c>
      <c r="F1869">
        <v>116</v>
      </c>
    </row>
    <row r="1870" spans="1:6" x14ac:dyDescent="0.35">
      <c r="A1870">
        <v>784</v>
      </c>
      <c r="B1870" t="s">
        <v>177</v>
      </c>
      <c r="C1870">
        <v>202602</v>
      </c>
      <c r="D1870">
        <v>808</v>
      </c>
      <c r="E1870">
        <v>2.3962040332147096</v>
      </c>
      <c r="F1870">
        <v>337.2</v>
      </c>
    </row>
    <row r="1871" spans="1:6" x14ac:dyDescent="0.35">
      <c r="A1871">
        <v>785</v>
      </c>
      <c r="B1871" t="s">
        <v>177</v>
      </c>
      <c r="C1871">
        <v>202602</v>
      </c>
      <c r="D1871">
        <v>1299</v>
      </c>
      <c r="E1871">
        <v>2.3105656350053358</v>
      </c>
      <c r="F1871">
        <v>562.20000000000005</v>
      </c>
    </row>
    <row r="1872" spans="1:6" x14ac:dyDescent="0.35">
      <c r="A1872">
        <v>758</v>
      </c>
      <c r="B1872" t="s">
        <v>177</v>
      </c>
      <c r="C1872">
        <v>202602</v>
      </c>
      <c r="D1872">
        <v>15906</v>
      </c>
      <c r="E1872">
        <v>23.575970474454181</v>
      </c>
      <c r="F1872">
        <v>674.67</v>
      </c>
    </row>
    <row r="1873" spans="1:6" x14ac:dyDescent="0.35">
      <c r="A1873">
        <v>757</v>
      </c>
      <c r="B1873" t="s">
        <v>177</v>
      </c>
      <c r="C1873">
        <v>202602</v>
      </c>
      <c r="D1873">
        <v>26755</v>
      </c>
      <c r="E1873">
        <v>54.076724068235102</v>
      </c>
      <c r="F1873">
        <v>494.76</v>
      </c>
    </row>
    <row r="1874" spans="1:6" x14ac:dyDescent="0.35">
      <c r="A1874">
        <v>580</v>
      </c>
      <c r="B1874" t="s">
        <v>177</v>
      </c>
      <c r="C1874">
        <v>202602</v>
      </c>
      <c r="D1874">
        <v>880</v>
      </c>
      <c r="E1874">
        <v>3.2510713757942957</v>
      </c>
      <c r="F1874">
        <v>270.68</v>
      </c>
    </row>
    <row r="1875" spans="1:6" x14ac:dyDescent="0.35">
      <c r="A1875">
        <v>582</v>
      </c>
      <c r="B1875" t="s">
        <v>177</v>
      </c>
      <c r="C1875">
        <v>202602</v>
      </c>
      <c r="D1875">
        <v>1758</v>
      </c>
      <c r="E1875">
        <v>5.8453865336658355</v>
      </c>
      <c r="F1875">
        <v>300.75</v>
      </c>
    </row>
    <row r="1876" spans="1:6" x14ac:dyDescent="0.35">
      <c r="A1876">
        <v>594</v>
      </c>
      <c r="B1876" t="s">
        <v>177</v>
      </c>
      <c r="C1876">
        <v>202602</v>
      </c>
      <c r="D1876">
        <v>23531</v>
      </c>
      <c r="E1876">
        <v>139.44296296296295</v>
      </c>
      <c r="F1876">
        <v>168.75</v>
      </c>
    </row>
    <row r="1877" spans="1:6" x14ac:dyDescent="0.35">
      <c r="A1877">
        <v>595</v>
      </c>
      <c r="B1877" t="s">
        <v>177</v>
      </c>
      <c r="C1877">
        <v>202602</v>
      </c>
      <c r="D1877">
        <v>37592</v>
      </c>
      <c r="E1877">
        <v>501.22666666666669</v>
      </c>
      <c r="F1877">
        <v>75</v>
      </c>
    </row>
    <row r="1878" spans="1:6" x14ac:dyDescent="0.35">
      <c r="A1878">
        <v>603</v>
      </c>
      <c r="B1878" t="s">
        <v>177</v>
      </c>
      <c r="C1878">
        <v>202602</v>
      </c>
      <c r="D1878">
        <v>3917</v>
      </c>
      <c r="E1878">
        <v>17.365667671572975</v>
      </c>
      <c r="F1878">
        <v>225.56</v>
      </c>
    </row>
    <row r="1879" spans="1:6" x14ac:dyDescent="0.35">
      <c r="A1879">
        <v>606</v>
      </c>
      <c r="B1879" t="s">
        <v>177</v>
      </c>
      <c r="C1879">
        <v>202602</v>
      </c>
      <c r="D1879">
        <v>5930</v>
      </c>
      <c r="E1879">
        <v>22.601669398178146</v>
      </c>
      <c r="F1879">
        <v>262.37</v>
      </c>
    </row>
    <row r="1880" spans="1:6" x14ac:dyDescent="0.35">
      <c r="A1880">
        <v>772</v>
      </c>
      <c r="B1880" t="s">
        <v>177</v>
      </c>
      <c r="C1880">
        <v>202602</v>
      </c>
      <c r="D1880">
        <v>592</v>
      </c>
      <c r="E1880">
        <v>2.924901185770751</v>
      </c>
      <c r="F1880">
        <v>202.4</v>
      </c>
    </row>
    <row r="1881" spans="1:6" x14ac:dyDescent="0.35">
      <c r="A1881">
        <v>615</v>
      </c>
      <c r="B1881" t="s">
        <v>177</v>
      </c>
      <c r="C1881">
        <v>202602</v>
      </c>
      <c r="D1881">
        <v>10907</v>
      </c>
      <c r="E1881">
        <v>40.294813063395893</v>
      </c>
      <c r="F1881">
        <v>270.68</v>
      </c>
    </row>
    <row r="1882" spans="1:6" x14ac:dyDescent="0.35">
      <c r="A1882">
        <v>617</v>
      </c>
      <c r="B1882" t="s">
        <v>177</v>
      </c>
      <c r="C1882">
        <v>202602</v>
      </c>
      <c r="D1882">
        <v>3848</v>
      </c>
      <c r="E1882">
        <v>8.551111111111112</v>
      </c>
      <c r="F1882">
        <v>450</v>
      </c>
    </row>
    <row r="1883" spans="1:6" x14ac:dyDescent="0.35">
      <c r="A1883">
        <v>751</v>
      </c>
      <c r="B1883" t="s">
        <v>177</v>
      </c>
      <c r="C1883">
        <v>202602</v>
      </c>
      <c r="D1883">
        <v>541</v>
      </c>
      <c r="E1883">
        <v>2.6648933550071425</v>
      </c>
      <c r="F1883">
        <v>203.01</v>
      </c>
    </row>
    <row r="1884" spans="1:6" x14ac:dyDescent="0.35">
      <c r="A1884">
        <v>752</v>
      </c>
      <c r="B1884" t="s">
        <v>177</v>
      </c>
      <c r="C1884">
        <v>202602</v>
      </c>
      <c r="D1884">
        <v>4551</v>
      </c>
      <c r="E1884">
        <v>13.158503440698547</v>
      </c>
      <c r="F1884">
        <v>345.86</v>
      </c>
    </row>
    <row r="1885" spans="1:6" x14ac:dyDescent="0.35">
      <c r="A1885">
        <v>753</v>
      </c>
      <c r="B1885" t="s">
        <v>177</v>
      </c>
      <c r="C1885">
        <v>202602</v>
      </c>
      <c r="D1885">
        <v>6593</v>
      </c>
      <c r="E1885">
        <v>13.490342118186282</v>
      </c>
      <c r="F1885">
        <v>488.72</v>
      </c>
    </row>
    <row r="1886" spans="1:6" x14ac:dyDescent="0.35">
      <c r="A1886">
        <v>754</v>
      </c>
      <c r="B1886" t="s">
        <v>177</v>
      </c>
      <c r="C1886">
        <v>202602</v>
      </c>
      <c r="D1886">
        <v>1292</v>
      </c>
      <c r="E1886">
        <v>2.1479277152499545</v>
      </c>
      <c r="F1886">
        <v>601.51</v>
      </c>
    </row>
    <row r="1887" spans="1:6" x14ac:dyDescent="0.35">
      <c r="A1887">
        <v>614</v>
      </c>
      <c r="B1887" t="s">
        <v>177</v>
      </c>
      <c r="C1887">
        <v>202602</v>
      </c>
      <c r="D1887">
        <v>26709</v>
      </c>
      <c r="E1887">
        <v>47.508004268943431</v>
      </c>
      <c r="F1887">
        <v>562.20000000000005</v>
      </c>
    </row>
    <row r="1888" spans="1:6" x14ac:dyDescent="0.35">
      <c r="A1888">
        <v>797</v>
      </c>
      <c r="B1888" t="s">
        <v>177</v>
      </c>
      <c r="C1888">
        <v>202602</v>
      </c>
      <c r="D1888">
        <v>1947</v>
      </c>
      <c r="E1888">
        <v>4.3285904846598484</v>
      </c>
      <c r="F1888">
        <v>449.8</v>
      </c>
    </row>
    <row r="1889" spans="1:6" x14ac:dyDescent="0.35">
      <c r="A1889">
        <v>613</v>
      </c>
      <c r="B1889" t="s">
        <v>177</v>
      </c>
      <c r="C1889">
        <v>202602</v>
      </c>
      <c r="D1889">
        <v>13503</v>
      </c>
      <c r="E1889">
        <v>46.164102564102564</v>
      </c>
      <c r="F1889">
        <v>292.5</v>
      </c>
    </row>
    <row r="1890" spans="1:6" x14ac:dyDescent="0.35">
      <c r="A1890">
        <v>767</v>
      </c>
      <c r="B1890" t="s">
        <v>177</v>
      </c>
      <c r="C1890">
        <v>202602</v>
      </c>
      <c r="D1890">
        <v>12215</v>
      </c>
      <c r="E1890">
        <v>20.365121707235748</v>
      </c>
      <c r="F1890">
        <v>599.79999999999995</v>
      </c>
    </row>
    <row r="1891" spans="1:6" x14ac:dyDescent="0.35">
      <c r="A1891">
        <v>807</v>
      </c>
      <c r="B1891" t="s">
        <v>177</v>
      </c>
      <c r="C1891">
        <v>202602</v>
      </c>
      <c r="D1891">
        <v>1582</v>
      </c>
      <c r="E1891">
        <v>7.91</v>
      </c>
      <c r="F1891">
        <v>200</v>
      </c>
    </row>
    <row r="1892" spans="1:6" x14ac:dyDescent="0.35">
      <c r="A1892">
        <v>808</v>
      </c>
      <c r="B1892" t="s">
        <v>177</v>
      </c>
      <c r="C1892">
        <v>202602</v>
      </c>
      <c r="D1892">
        <v>2062</v>
      </c>
      <c r="E1892">
        <v>6.9959964714663769</v>
      </c>
      <c r="F1892">
        <v>294.74</v>
      </c>
    </row>
    <row r="1893" spans="1:6" x14ac:dyDescent="0.35">
      <c r="A1893">
        <v>502</v>
      </c>
      <c r="B1893" t="s">
        <v>178</v>
      </c>
      <c r="C1893">
        <v>202602</v>
      </c>
      <c r="D1893">
        <v>49757</v>
      </c>
      <c r="E1893">
        <v>159.86698367819045</v>
      </c>
      <c r="F1893">
        <v>311.24</v>
      </c>
    </row>
    <row r="1894" spans="1:6" x14ac:dyDescent="0.35">
      <c r="A1894">
        <v>504</v>
      </c>
      <c r="B1894" t="s">
        <v>178</v>
      </c>
      <c r="C1894">
        <v>202602</v>
      </c>
      <c r="D1894">
        <v>102325</v>
      </c>
      <c r="E1894">
        <v>234.41616457813109</v>
      </c>
      <c r="F1894">
        <v>436.51</v>
      </c>
    </row>
    <row r="1895" spans="1:6" x14ac:dyDescent="0.35">
      <c r="A1895">
        <v>505</v>
      </c>
      <c r="B1895" t="s">
        <v>178</v>
      </c>
      <c r="C1895">
        <v>202602</v>
      </c>
      <c r="D1895">
        <v>45870</v>
      </c>
      <c r="E1895">
        <v>123.24681605674674</v>
      </c>
      <c r="F1895">
        <v>372.18</v>
      </c>
    </row>
    <row r="1896" spans="1:6" x14ac:dyDescent="0.35">
      <c r="A1896">
        <v>506</v>
      </c>
      <c r="B1896" t="s">
        <v>178</v>
      </c>
      <c r="C1896">
        <v>202602</v>
      </c>
      <c r="D1896">
        <v>60642</v>
      </c>
      <c r="E1896">
        <v>128.0204353057907</v>
      </c>
      <c r="F1896">
        <v>473.69</v>
      </c>
    </row>
    <row r="1897" spans="1:6" x14ac:dyDescent="0.35">
      <c r="A1897">
        <v>508</v>
      </c>
      <c r="B1897" t="s">
        <v>178</v>
      </c>
      <c r="C1897">
        <v>202602</v>
      </c>
      <c r="D1897">
        <v>53401</v>
      </c>
      <c r="E1897">
        <v>131.9520632567334</v>
      </c>
      <c r="F1897">
        <v>404.7</v>
      </c>
    </row>
    <row r="1898" spans="1:6" x14ac:dyDescent="0.35">
      <c r="A1898">
        <v>507</v>
      </c>
      <c r="B1898" t="s">
        <v>178</v>
      </c>
      <c r="C1898">
        <v>202602</v>
      </c>
      <c r="D1898">
        <v>33024</v>
      </c>
      <c r="E1898">
        <v>122.31111111111112</v>
      </c>
      <c r="F1898">
        <v>270</v>
      </c>
    </row>
    <row r="1899" spans="1:6" x14ac:dyDescent="0.35">
      <c r="A1899">
        <v>520</v>
      </c>
      <c r="B1899" t="s">
        <v>178</v>
      </c>
      <c r="C1899">
        <v>202602</v>
      </c>
      <c r="D1899">
        <v>553</v>
      </c>
      <c r="E1899">
        <v>8.132352941176471</v>
      </c>
      <c r="F1899">
        <v>68</v>
      </c>
    </row>
    <row r="1900" spans="1:6" x14ac:dyDescent="0.35">
      <c r="A1900">
        <v>521</v>
      </c>
      <c r="B1900" t="s">
        <v>178</v>
      </c>
      <c r="C1900">
        <v>202602</v>
      </c>
      <c r="D1900">
        <v>4236</v>
      </c>
      <c r="E1900">
        <v>36.517241379310342</v>
      </c>
      <c r="F1900">
        <v>116</v>
      </c>
    </row>
    <row r="1901" spans="1:6" x14ac:dyDescent="0.35">
      <c r="A1901">
        <v>784</v>
      </c>
      <c r="B1901" t="s">
        <v>178</v>
      </c>
      <c r="C1901">
        <v>202602</v>
      </c>
      <c r="D1901">
        <v>626</v>
      </c>
      <c r="E1901">
        <v>1.8564650059311982</v>
      </c>
      <c r="F1901">
        <v>337.2</v>
      </c>
    </row>
    <row r="1902" spans="1:6" x14ac:dyDescent="0.35">
      <c r="A1902">
        <v>785</v>
      </c>
      <c r="B1902" t="s">
        <v>178</v>
      </c>
      <c r="C1902">
        <v>202602</v>
      </c>
      <c r="D1902">
        <v>685</v>
      </c>
      <c r="E1902">
        <v>1.2184276058342225</v>
      </c>
      <c r="F1902">
        <v>562.20000000000005</v>
      </c>
    </row>
    <row r="1903" spans="1:6" x14ac:dyDescent="0.35">
      <c r="A1903">
        <v>758</v>
      </c>
      <c r="B1903" t="s">
        <v>178</v>
      </c>
      <c r="C1903">
        <v>202602</v>
      </c>
      <c r="D1903">
        <v>14691</v>
      </c>
      <c r="E1903">
        <v>21.775090044021525</v>
      </c>
      <c r="F1903">
        <v>674.67</v>
      </c>
    </row>
    <row r="1904" spans="1:6" x14ac:dyDescent="0.35">
      <c r="A1904">
        <v>757</v>
      </c>
      <c r="B1904" t="s">
        <v>178</v>
      </c>
      <c r="C1904">
        <v>202602</v>
      </c>
      <c r="D1904">
        <v>22007</v>
      </c>
      <c r="E1904">
        <v>44.480151992885439</v>
      </c>
      <c r="F1904">
        <v>494.76</v>
      </c>
    </row>
    <row r="1905" spans="1:6" x14ac:dyDescent="0.35">
      <c r="A1905">
        <v>580</v>
      </c>
      <c r="B1905" t="s">
        <v>178</v>
      </c>
      <c r="C1905">
        <v>202602</v>
      </c>
      <c r="D1905">
        <v>0</v>
      </c>
      <c r="E1905">
        <v>0</v>
      </c>
      <c r="F1905">
        <v>270.68</v>
      </c>
    </row>
    <row r="1906" spans="1:6" x14ac:dyDescent="0.35">
      <c r="A1906">
        <v>582</v>
      </c>
      <c r="B1906" t="s">
        <v>178</v>
      </c>
      <c r="C1906">
        <v>202602</v>
      </c>
      <c r="D1906">
        <v>2148</v>
      </c>
      <c r="E1906">
        <v>7.1421446384039902</v>
      </c>
      <c r="F1906">
        <v>300.75</v>
      </c>
    </row>
    <row r="1907" spans="1:6" x14ac:dyDescent="0.35">
      <c r="A1907">
        <v>594</v>
      </c>
      <c r="B1907" t="s">
        <v>178</v>
      </c>
      <c r="C1907">
        <v>202602</v>
      </c>
      <c r="D1907">
        <v>17886</v>
      </c>
      <c r="E1907">
        <v>105.99111111111111</v>
      </c>
      <c r="F1907">
        <v>168.75</v>
      </c>
    </row>
    <row r="1908" spans="1:6" x14ac:dyDescent="0.35">
      <c r="A1908">
        <v>595</v>
      </c>
      <c r="B1908" t="s">
        <v>178</v>
      </c>
      <c r="C1908">
        <v>202602</v>
      </c>
      <c r="D1908">
        <v>21802</v>
      </c>
      <c r="E1908">
        <v>290.69333333333333</v>
      </c>
      <c r="F1908">
        <v>75</v>
      </c>
    </row>
    <row r="1909" spans="1:6" x14ac:dyDescent="0.35">
      <c r="A1909">
        <v>603</v>
      </c>
      <c r="B1909" t="s">
        <v>178</v>
      </c>
      <c r="C1909">
        <v>202602</v>
      </c>
      <c r="D1909">
        <v>1769</v>
      </c>
      <c r="E1909">
        <v>7.8427026068451848</v>
      </c>
      <c r="F1909">
        <v>225.56</v>
      </c>
    </row>
    <row r="1910" spans="1:6" x14ac:dyDescent="0.35">
      <c r="A1910">
        <v>606</v>
      </c>
      <c r="B1910" t="s">
        <v>178</v>
      </c>
      <c r="C1910">
        <v>202602</v>
      </c>
      <c r="D1910">
        <v>5966</v>
      </c>
      <c r="E1910">
        <v>22.738880207340777</v>
      </c>
      <c r="F1910">
        <v>262.37</v>
      </c>
    </row>
    <row r="1911" spans="1:6" x14ac:dyDescent="0.35">
      <c r="A1911">
        <v>772</v>
      </c>
      <c r="B1911" t="s">
        <v>178</v>
      </c>
      <c r="C1911">
        <v>202602</v>
      </c>
      <c r="D1911">
        <v>377</v>
      </c>
      <c r="E1911">
        <v>1.8626482213438735</v>
      </c>
      <c r="F1911">
        <v>202.4</v>
      </c>
    </row>
    <row r="1912" spans="1:6" x14ac:dyDescent="0.35">
      <c r="A1912">
        <v>615</v>
      </c>
      <c r="B1912" t="s">
        <v>178</v>
      </c>
      <c r="C1912">
        <v>202602</v>
      </c>
      <c r="D1912">
        <v>8987</v>
      </c>
      <c r="E1912">
        <v>33.201566425299248</v>
      </c>
      <c r="F1912">
        <v>270.68</v>
      </c>
    </row>
    <row r="1913" spans="1:6" x14ac:dyDescent="0.35">
      <c r="A1913">
        <v>617</v>
      </c>
      <c r="B1913" t="s">
        <v>178</v>
      </c>
      <c r="C1913">
        <v>202602</v>
      </c>
      <c r="D1913">
        <v>3744</v>
      </c>
      <c r="E1913">
        <v>8.32</v>
      </c>
      <c r="F1913">
        <v>450</v>
      </c>
    </row>
    <row r="1914" spans="1:6" x14ac:dyDescent="0.35">
      <c r="A1914">
        <v>751</v>
      </c>
      <c r="B1914" t="s">
        <v>178</v>
      </c>
      <c r="C1914">
        <v>202602</v>
      </c>
      <c r="D1914">
        <v>392</v>
      </c>
      <c r="E1914">
        <v>1.9309393625929758</v>
      </c>
      <c r="F1914">
        <v>203.01</v>
      </c>
    </row>
    <row r="1915" spans="1:6" x14ac:dyDescent="0.35">
      <c r="A1915">
        <v>752</v>
      </c>
      <c r="B1915" t="s">
        <v>178</v>
      </c>
      <c r="C1915">
        <v>202602</v>
      </c>
      <c r="D1915">
        <v>8699</v>
      </c>
      <c r="E1915">
        <v>25.151795524200544</v>
      </c>
      <c r="F1915">
        <v>345.86</v>
      </c>
    </row>
    <row r="1916" spans="1:6" x14ac:dyDescent="0.35">
      <c r="A1916">
        <v>753</v>
      </c>
      <c r="B1916" t="s">
        <v>178</v>
      </c>
      <c r="C1916">
        <v>202602</v>
      </c>
      <c r="D1916">
        <v>10264</v>
      </c>
      <c r="E1916">
        <v>21.001800622033066</v>
      </c>
      <c r="F1916">
        <v>488.72</v>
      </c>
    </row>
    <row r="1917" spans="1:6" x14ac:dyDescent="0.35">
      <c r="A1917">
        <v>754</v>
      </c>
      <c r="B1917" t="s">
        <v>178</v>
      </c>
      <c r="C1917">
        <v>202602</v>
      </c>
      <c r="D1917">
        <v>2783</v>
      </c>
      <c r="E1917">
        <v>4.6266894980964572</v>
      </c>
      <c r="F1917">
        <v>601.51</v>
      </c>
    </row>
    <row r="1918" spans="1:6" x14ac:dyDescent="0.35">
      <c r="A1918">
        <v>614</v>
      </c>
      <c r="B1918" t="s">
        <v>178</v>
      </c>
      <c r="C1918">
        <v>202602</v>
      </c>
      <c r="D1918">
        <v>18349</v>
      </c>
      <c r="E1918">
        <v>32.637851298470295</v>
      </c>
      <c r="F1918">
        <v>562.20000000000005</v>
      </c>
    </row>
    <row r="1919" spans="1:6" x14ac:dyDescent="0.35">
      <c r="A1919">
        <v>797</v>
      </c>
      <c r="B1919" t="s">
        <v>178</v>
      </c>
      <c r="C1919">
        <v>202602</v>
      </c>
      <c r="D1919">
        <v>1692</v>
      </c>
      <c r="E1919">
        <v>3.7616718541574032</v>
      </c>
      <c r="F1919">
        <v>449.8</v>
      </c>
    </row>
    <row r="1920" spans="1:6" x14ac:dyDescent="0.35">
      <c r="A1920">
        <v>613</v>
      </c>
      <c r="B1920" t="s">
        <v>178</v>
      </c>
      <c r="C1920">
        <v>202602</v>
      </c>
      <c r="D1920">
        <v>11178</v>
      </c>
      <c r="E1920">
        <v>38.215384615384615</v>
      </c>
      <c r="F1920">
        <v>292.5</v>
      </c>
    </row>
    <row r="1921" spans="1:6" x14ac:dyDescent="0.35">
      <c r="A1921">
        <v>767</v>
      </c>
      <c r="B1921" t="s">
        <v>178</v>
      </c>
      <c r="C1921">
        <v>202602</v>
      </c>
      <c r="D1921">
        <v>8485</v>
      </c>
      <c r="E1921">
        <v>14.146382127375793</v>
      </c>
      <c r="F1921">
        <v>599.79999999999995</v>
      </c>
    </row>
    <row r="1922" spans="1:6" x14ac:dyDescent="0.35">
      <c r="A1922">
        <v>807</v>
      </c>
      <c r="B1922" t="s">
        <v>178</v>
      </c>
      <c r="C1922">
        <v>202602</v>
      </c>
      <c r="D1922">
        <v>570</v>
      </c>
      <c r="E1922">
        <v>2.85</v>
      </c>
      <c r="F1922">
        <v>200</v>
      </c>
    </row>
    <row r="1923" spans="1:6" x14ac:dyDescent="0.35">
      <c r="A1923">
        <v>808</v>
      </c>
      <c r="B1923" t="s">
        <v>178</v>
      </c>
      <c r="C1923">
        <v>202602</v>
      </c>
      <c r="D1923">
        <v>1098</v>
      </c>
      <c r="E1923">
        <v>3.7253172287439775</v>
      </c>
      <c r="F1923">
        <v>294.74</v>
      </c>
    </row>
    <row r="1924" spans="1:6" x14ac:dyDescent="0.35">
      <c r="A1924">
        <v>502</v>
      </c>
      <c r="B1924" t="s">
        <v>179</v>
      </c>
      <c r="C1924">
        <v>202602</v>
      </c>
      <c r="D1924">
        <v>39159</v>
      </c>
      <c r="E1924">
        <v>125.81609047680246</v>
      </c>
      <c r="F1924">
        <v>311.24</v>
      </c>
    </row>
    <row r="1925" spans="1:6" x14ac:dyDescent="0.35">
      <c r="A1925">
        <v>504</v>
      </c>
      <c r="B1925" t="s">
        <v>179</v>
      </c>
      <c r="C1925">
        <v>202602</v>
      </c>
      <c r="D1925">
        <v>81136</v>
      </c>
      <c r="E1925">
        <v>185.87432132139011</v>
      </c>
      <c r="F1925">
        <v>436.51</v>
      </c>
    </row>
    <row r="1926" spans="1:6" x14ac:dyDescent="0.35">
      <c r="A1926">
        <v>505</v>
      </c>
      <c r="B1926" t="s">
        <v>179</v>
      </c>
      <c r="C1926">
        <v>202602</v>
      </c>
      <c r="D1926">
        <v>35924</v>
      </c>
      <c r="E1926">
        <v>96.52318770487399</v>
      </c>
      <c r="F1926">
        <v>372.18</v>
      </c>
    </row>
    <row r="1927" spans="1:6" x14ac:dyDescent="0.35">
      <c r="A1927">
        <v>506</v>
      </c>
      <c r="B1927" t="s">
        <v>179</v>
      </c>
      <c r="C1927">
        <v>202602</v>
      </c>
      <c r="D1927">
        <v>50862</v>
      </c>
      <c r="E1927">
        <v>107.37402098418796</v>
      </c>
      <c r="F1927">
        <v>473.69</v>
      </c>
    </row>
    <row r="1928" spans="1:6" x14ac:dyDescent="0.35">
      <c r="A1928">
        <v>508</v>
      </c>
      <c r="B1928" t="s">
        <v>179</v>
      </c>
      <c r="C1928">
        <v>202602</v>
      </c>
      <c r="D1928">
        <v>42620</v>
      </c>
      <c r="E1928">
        <v>105.31257721769212</v>
      </c>
      <c r="F1928">
        <v>404.7</v>
      </c>
    </row>
    <row r="1929" spans="1:6" x14ac:dyDescent="0.35">
      <c r="A1929">
        <v>507</v>
      </c>
      <c r="B1929" t="s">
        <v>179</v>
      </c>
      <c r="C1929">
        <v>202602</v>
      </c>
      <c r="D1929">
        <v>27630</v>
      </c>
      <c r="E1929">
        <v>102.33333333333333</v>
      </c>
      <c r="F1929">
        <v>270</v>
      </c>
    </row>
    <row r="1930" spans="1:6" x14ac:dyDescent="0.35">
      <c r="A1930">
        <v>520</v>
      </c>
      <c r="B1930" t="s">
        <v>179</v>
      </c>
      <c r="C1930">
        <v>202602</v>
      </c>
      <c r="D1930">
        <v>355</v>
      </c>
      <c r="E1930">
        <v>5.2205882352941178</v>
      </c>
      <c r="F1930">
        <v>68</v>
      </c>
    </row>
    <row r="1931" spans="1:6" x14ac:dyDescent="0.35">
      <c r="A1931">
        <v>521</v>
      </c>
      <c r="B1931" t="s">
        <v>179</v>
      </c>
      <c r="C1931">
        <v>202602</v>
      </c>
      <c r="D1931">
        <v>3147</v>
      </c>
      <c r="E1931">
        <v>27.129310344827587</v>
      </c>
      <c r="F1931">
        <v>116</v>
      </c>
    </row>
    <row r="1932" spans="1:6" x14ac:dyDescent="0.35">
      <c r="A1932">
        <v>784</v>
      </c>
      <c r="B1932" t="s">
        <v>179</v>
      </c>
      <c r="C1932">
        <v>202602</v>
      </c>
      <c r="D1932">
        <v>493</v>
      </c>
      <c r="E1932">
        <v>1.4620403321470938</v>
      </c>
      <c r="F1932">
        <v>337.2</v>
      </c>
    </row>
    <row r="1933" spans="1:6" x14ac:dyDescent="0.35">
      <c r="A1933">
        <v>785</v>
      </c>
      <c r="B1933" t="s">
        <v>179</v>
      </c>
      <c r="C1933">
        <v>202602</v>
      </c>
      <c r="D1933">
        <v>826</v>
      </c>
      <c r="E1933">
        <v>1.4692280327285663</v>
      </c>
      <c r="F1933">
        <v>562.20000000000005</v>
      </c>
    </row>
    <row r="1934" spans="1:6" x14ac:dyDescent="0.35">
      <c r="A1934">
        <v>758</v>
      </c>
      <c r="B1934" t="s">
        <v>179</v>
      </c>
      <c r="C1934">
        <v>202602</v>
      </c>
      <c r="D1934">
        <v>10051</v>
      </c>
      <c r="E1934">
        <v>14.897653667719034</v>
      </c>
      <c r="F1934">
        <v>674.67</v>
      </c>
    </row>
    <row r="1935" spans="1:6" x14ac:dyDescent="0.35">
      <c r="A1935">
        <v>757</v>
      </c>
      <c r="B1935" t="s">
        <v>179</v>
      </c>
      <c r="C1935">
        <v>202602</v>
      </c>
      <c r="D1935">
        <v>15026</v>
      </c>
      <c r="E1935">
        <v>30.370280540059827</v>
      </c>
      <c r="F1935">
        <v>494.76</v>
      </c>
    </row>
    <row r="1936" spans="1:6" x14ac:dyDescent="0.35">
      <c r="A1936">
        <v>580</v>
      </c>
      <c r="B1936" t="s">
        <v>179</v>
      </c>
      <c r="C1936">
        <v>202602</v>
      </c>
      <c r="D1936">
        <v>0</v>
      </c>
      <c r="E1936">
        <v>0</v>
      </c>
      <c r="F1936">
        <v>270.68</v>
      </c>
    </row>
    <row r="1937" spans="1:6" x14ac:dyDescent="0.35">
      <c r="A1937">
        <v>582</v>
      </c>
      <c r="B1937" t="s">
        <v>179</v>
      </c>
      <c r="C1937">
        <v>202602</v>
      </c>
      <c r="D1937">
        <v>1700</v>
      </c>
      <c r="E1937">
        <v>5.6525353283458024</v>
      </c>
      <c r="F1937">
        <v>300.75</v>
      </c>
    </row>
    <row r="1938" spans="1:6" x14ac:dyDescent="0.35">
      <c r="A1938">
        <v>594</v>
      </c>
      <c r="B1938" t="s">
        <v>179</v>
      </c>
      <c r="C1938">
        <v>202602</v>
      </c>
      <c r="D1938">
        <v>16528</v>
      </c>
      <c r="E1938">
        <v>97.943703703703704</v>
      </c>
      <c r="F1938">
        <v>168.75</v>
      </c>
    </row>
    <row r="1939" spans="1:6" x14ac:dyDescent="0.35">
      <c r="A1939">
        <v>595</v>
      </c>
      <c r="B1939" t="s">
        <v>179</v>
      </c>
      <c r="C1939">
        <v>202602</v>
      </c>
      <c r="D1939">
        <v>16434</v>
      </c>
      <c r="E1939">
        <v>219.12</v>
      </c>
      <c r="F1939">
        <v>75</v>
      </c>
    </row>
    <row r="1940" spans="1:6" x14ac:dyDescent="0.35">
      <c r="A1940">
        <v>603</v>
      </c>
      <c r="B1940" t="s">
        <v>179</v>
      </c>
      <c r="C1940">
        <v>202602</v>
      </c>
      <c r="D1940">
        <v>1373</v>
      </c>
      <c r="E1940">
        <v>6.087072175917716</v>
      </c>
      <c r="F1940">
        <v>225.56</v>
      </c>
    </row>
    <row r="1941" spans="1:6" x14ac:dyDescent="0.35">
      <c r="A1941">
        <v>606</v>
      </c>
      <c r="B1941" t="s">
        <v>179</v>
      </c>
      <c r="C1941">
        <v>202602</v>
      </c>
      <c r="D1941">
        <v>3329</v>
      </c>
      <c r="E1941">
        <v>12.688188436177917</v>
      </c>
      <c r="F1941">
        <v>262.37</v>
      </c>
    </row>
    <row r="1942" spans="1:6" x14ac:dyDescent="0.35">
      <c r="A1942">
        <v>772</v>
      </c>
      <c r="B1942" t="s">
        <v>179</v>
      </c>
      <c r="C1942">
        <v>202602</v>
      </c>
      <c r="D1942">
        <v>266</v>
      </c>
      <c r="E1942">
        <v>1.3142292490118577</v>
      </c>
      <c r="F1942">
        <v>202.4</v>
      </c>
    </row>
    <row r="1943" spans="1:6" x14ac:dyDescent="0.35">
      <c r="A1943">
        <v>615</v>
      </c>
      <c r="B1943" t="s">
        <v>179</v>
      </c>
      <c r="C1943">
        <v>202602</v>
      </c>
      <c r="D1943">
        <v>6928</v>
      </c>
      <c r="E1943">
        <v>25.594798285798728</v>
      </c>
      <c r="F1943">
        <v>270.68</v>
      </c>
    </row>
    <row r="1944" spans="1:6" x14ac:dyDescent="0.35">
      <c r="A1944">
        <v>617</v>
      </c>
      <c r="B1944" t="s">
        <v>179</v>
      </c>
      <c r="C1944">
        <v>202602</v>
      </c>
      <c r="D1944">
        <v>3019</v>
      </c>
      <c r="E1944">
        <v>6.7088888888888887</v>
      </c>
      <c r="F1944">
        <v>450</v>
      </c>
    </row>
    <row r="1945" spans="1:6" x14ac:dyDescent="0.35">
      <c r="A1945">
        <v>751</v>
      </c>
      <c r="B1945" t="s">
        <v>179</v>
      </c>
      <c r="C1945">
        <v>202602</v>
      </c>
      <c r="D1945">
        <v>304</v>
      </c>
      <c r="E1945">
        <v>1.4974631791537363</v>
      </c>
      <c r="F1945">
        <v>203.01</v>
      </c>
    </row>
    <row r="1946" spans="1:6" x14ac:dyDescent="0.35">
      <c r="A1946">
        <v>752</v>
      </c>
      <c r="B1946" t="s">
        <v>179</v>
      </c>
      <c r="C1946">
        <v>202602</v>
      </c>
      <c r="D1946">
        <v>5343</v>
      </c>
      <c r="E1946">
        <v>15.448447348638176</v>
      </c>
      <c r="F1946">
        <v>345.86</v>
      </c>
    </row>
    <row r="1947" spans="1:6" x14ac:dyDescent="0.35">
      <c r="A1947">
        <v>753</v>
      </c>
      <c r="B1947" t="s">
        <v>179</v>
      </c>
      <c r="C1947">
        <v>202602</v>
      </c>
      <c r="D1947">
        <v>8636</v>
      </c>
      <c r="E1947">
        <v>17.670649860861023</v>
      </c>
      <c r="F1947">
        <v>488.72</v>
      </c>
    </row>
    <row r="1948" spans="1:6" x14ac:dyDescent="0.35">
      <c r="A1948">
        <v>754</v>
      </c>
      <c r="B1948" t="s">
        <v>179</v>
      </c>
      <c r="C1948">
        <v>202602</v>
      </c>
      <c r="D1948">
        <v>1646</v>
      </c>
      <c r="E1948">
        <v>2.7364466093664279</v>
      </c>
      <c r="F1948">
        <v>601.51</v>
      </c>
    </row>
    <row r="1949" spans="1:6" x14ac:dyDescent="0.35">
      <c r="A1949">
        <v>614</v>
      </c>
      <c r="B1949" t="s">
        <v>179</v>
      </c>
      <c r="C1949">
        <v>202602</v>
      </c>
      <c r="D1949">
        <v>13255</v>
      </c>
      <c r="E1949">
        <v>23.577018854500174</v>
      </c>
      <c r="F1949">
        <v>562.20000000000005</v>
      </c>
    </row>
    <row r="1950" spans="1:6" x14ac:dyDescent="0.35">
      <c r="A1950">
        <v>797</v>
      </c>
      <c r="B1950" t="s">
        <v>179</v>
      </c>
      <c r="C1950">
        <v>202602</v>
      </c>
      <c r="D1950">
        <v>808</v>
      </c>
      <c r="E1950">
        <v>1.7963539350822588</v>
      </c>
      <c r="F1950">
        <v>449.8</v>
      </c>
    </row>
    <row r="1951" spans="1:6" x14ac:dyDescent="0.35">
      <c r="A1951">
        <v>613</v>
      </c>
      <c r="B1951" t="s">
        <v>179</v>
      </c>
      <c r="C1951">
        <v>202602</v>
      </c>
      <c r="D1951">
        <v>6429</v>
      </c>
      <c r="E1951">
        <v>21.97948717948718</v>
      </c>
      <c r="F1951">
        <v>292.5</v>
      </c>
    </row>
    <row r="1952" spans="1:6" x14ac:dyDescent="0.35">
      <c r="A1952">
        <v>767</v>
      </c>
      <c r="B1952" t="s">
        <v>179</v>
      </c>
      <c r="C1952">
        <v>202602</v>
      </c>
      <c r="D1952">
        <v>6283</v>
      </c>
      <c r="E1952">
        <v>10.47515838612871</v>
      </c>
      <c r="F1952">
        <v>599.79999999999995</v>
      </c>
    </row>
    <row r="1953" spans="1:6" x14ac:dyDescent="0.35">
      <c r="A1953">
        <v>807</v>
      </c>
      <c r="B1953" t="s">
        <v>179</v>
      </c>
      <c r="C1953">
        <v>202602</v>
      </c>
      <c r="D1953">
        <v>810</v>
      </c>
      <c r="E1953">
        <v>4.05</v>
      </c>
      <c r="F1953">
        <v>200</v>
      </c>
    </row>
    <row r="1954" spans="1:6" x14ac:dyDescent="0.35">
      <c r="A1954">
        <v>808</v>
      </c>
      <c r="B1954" t="s">
        <v>179</v>
      </c>
      <c r="C1954">
        <v>202602</v>
      </c>
      <c r="D1954">
        <v>1045</v>
      </c>
      <c r="E1954">
        <v>3.5454977268100696</v>
      </c>
      <c r="F1954">
        <v>294.74</v>
      </c>
    </row>
    <row r="1955" spans="1:6" x14ac:dyDescent="0.35">
      <c r="A1955">
        <v>502</v>
      </c>
      <c r="B1955" t="s">
        <v>180</v>
      </c>
      <c r="C1955">
        <v>202602</v>
      </c>
      <c r="D1955">
        <v>61119</v>
      </c>
      <c r="E1955">
        <v>196.37257421925202</v>
      </c>
      <c r="F1955">
        <v>311.24</v>
      </c>
    </row>
    <row r="1956" spans="1:6" x14ac:dyDescent="0.35">
      <c r="A1956">
        <v>504</v>
      </c>
      <c r="B1956" t="s">
        <v>180</v>
      </c>
      <c r="C1956">
        <v>202602</v>
      </c>
      <c r="D1956">
        <v>123798</v>
      </c>
      <c r="E1956">
        <v>283.60862294105522</v>
      </c>
      <c r="F1956">
        <v>436.51</v>
      </c>
    </row>
    <row r="1957" spans="1:6" x14ac:dyDescent="0.35">
      <c r="A1957">
        <v>505</v>
      </c>
      <c r="B1957" t="s">
        <v>180</v>
      </c>
      <c r="C1957">
        <v>202602</v>
      </c>
      <c r="D1957">
        <v>62995</v>
      </c>
      <c r="E1957">
        <v>169.25949809232091</v>
      </c>
      <c r="F1957">
        <v>372.18</v>
      </c>
    </row>
    <row r="1958" spans="1:6" x14ac:dyDescent="0.35">
      <c r="A1958">
        <v>506</v>
      </c>
      <c r="B1958" t="s">
        <v>180</v>
      </c>
      <c r="C1958">
        <v>202602</v>
      </c>
      <c r="D1958">
        <v>81444</v>
      </c>
      <c r="E1958">
        <v>171.9352319027212</v>
      </c>
      <c r="F1958">
        <v>473.69</v>
      </c>
    </row>
    <row r="1959" spans="1:6" x14ac:dyDescent="0.35">
      <c r="A1959">
        <v>508</v>
      </c>
      <c r="B1959" t="s">
        <v>180</v>
      </c>
      <c r="C1959">
        <v>202602</v>
      </c>
      <c r="D1959">
        <v>62482</v>
      </c>
      <c r="E1959">
        <v>154.39090684457622</v>
      </c>
      <c r="F1959">
        <v>404.7</v>
      </c>
    </row>
    <row r="1960" spans="1:6" x14ac:dyDescent="0.35">
      <c r="A1960">
        <v>507</v>
      </c>
      <c r="B1960" t="s">
        <v>180</v>
      </c>
      <c r="C1960">
        <v>202602</v>
      </c>
      <c r="D1960">
        <v>46362</v>
      </c>
      <c r="E1960">
        <v>171.71111111111111</v>
      </c>
      <c r="F1960">
        <v>270</v>
      </c>
    </row>
    <row r="1961" spans="1:6" x14ac:dyDescent="0.35">
      <c r="A1961">
        <v>520</v>
      </c>
      <c r="B1961" t="s">
        <v>180</v>
      </c>
      <c r="C1961">
        <v>202602</v>
      </c>
      <c r="D1961">
        <v>550</v>
      </c>
      <c r="E1961">
        <v>8.0882352941176467</v>
      </c>
      <c r="F1961">
        <v>68</v>
      </c>
    </row>
    <row r="1962" spans="1:6" x14ac:dyDescent="0.35">
      <c r="A1962">
        <v>521</v>
      </c>
      <c r="B1962" t="s">
        <v>180</v>
      </c>
      <c r="C1962">
        <v>202602</v>
      </c>
      <c r="D1962">
        <v>5556</v>
      </c>
      <c r="E1962">
        <v>47.896551724137929</v>
      </c>
      <c r="F1962">
        <v>116</v>
      </c>
    </row>
    <row r="1963" spans="1:6" x14ac:dyDescent="0.35">
      <c r="A1963">
        <v>784</v>
      </c>
      <c r="B1963" t="s">
        <v>180</v>
      </c>
      <c r="C1963">
        <v>202602</v>
      </c>
      <c r="D1963">
        <v>591</v>
      </c>
      <c r="E1963">
        <v>1.7526690391459074</v>
      </c>
      <c r="F1963">
        <v>337.2</v>
      </c>
    </row>
    <row r="1964" spans="1:6" x14ac:dyDescent="0.35">
      <c r="A1964">
        <v>785</v>
      </c>
      <c r="B1964" t="s">
        <v>180</v>
      </c>
      <c r="C1964">
        <v>202602</v>
      </c>
      <c r="D1964">
        <v>1002</v>
      </c>
      <c r="E1964">
        <v>1.7822838847385272</v>
      </c>
      <c r="F1964">
        <v>562.20000000000005</v>
      </c>
    </row>
    <row r="1965" spans="1:6" x14ac:dyDescent="0.35">
      <c r="A1965">
        <v>758</v>
      </c>
      <c r="B1965" t="s">
        <v>180</v>
      </c>
      <c r="C1965">
        <v>202602</v>
      </c>
      <c r="D1965">
        <v>14917</v>
      </c>
      <c r="E1965">
        <v>22.110068626143153</v>
      </c>
      <c r="F1965">
        <v>674.67</v>
      </c>
    </row>
    <row r="1966" spans="1:6" x14ac:dyDescent="0.35">
      <c r="A1966">
        <v>757</v>
      </c>
      <c r="B1966" t="s">
        <v>180</v>
      </c>
      <c r="C1966">
        <v>202602</v>
      </c>
      <c r="D1966">
        <v>23679</v>
      </c>
      <c r="E1966">
        <v>47.859568275527529</v>
      </c>
      <c r="F1966">
        <v>494.76</v>
      </c>
    </row>
    <row r="1967" spans="1:6" x14ac:dyDescent="0.35">
      <c r="A1967">
        <v>580</v>
      </c>
      <c r="B1967" t="s">
        <v>180</v>
      </c>
      <c r="C1967">
        <v>202602</v>
      </c>
      <c r="D1967">
        <v>0</v>
      </c>
      <c r="E1967">
        <v>0</v>
      </c>
      <c r="F1967">
        <v>270.68</v>
      </c>
    </row>
    <row r="1968" spans="1:6" x14ac:dyDescent="0.35">
      <c r="A1968">
        <v>582</v>
      </c>
      <c r="B1968" t="s">
        <v>180</v>
      </c>
      <c r="C1968">
        <v>202602</v>
      </c>
      <c r="D1968">
        <v>2510</v>
      </c>
      <c r="E1968">
        <v>8.3458021612635083</v>
      </c>
      <c r="F1968">
        <v>300.75</v>
      </c>
    </row>
    <row r="1969" spans="1:6" x14ac:dyDescent="0.35">
      <c r="A1969">
        <v>594</v>
      </c>
      <c r="B1969" t="s">
        <v>180</v>
      </c>
      <c r="C1969">
        <v>202602</v>
      </c>
      <c r="D1969">
        <v>31069</v>
      </c>
      <c r="E1969">
        <v>184.11259259259259</v>
      </c>
      <c r="F1969">
        <v>168.75</v>
      </c>
    </row>
    <row r="1970" spans="1:6" x14ac:dyDescent="0.35">
      <c r="A1970">
        <v>595</v>
      </c>
      <c r="B1970" t="s">
        <v>180</v>
      </c>
      <c r="C1970">
        <v>202602</v>
      </c>
      <c r="D1970">
        <v>27416</v>
      </c>
      <c r="E1970">
        <v>365.54666666666668</v>
      </c>
      <c r="F1970">
        <v>75</v>
      </c>
    </row>
    <row r="1971" spans="1:6" x14ac:dyDescent="0.35">
      <c r="A1971">
        <v>603</v>
      </c>
      <c r="B1971" t="s">
        <v>180</v>
      </c>
      <c r="C1971">
        <v>202602</v>
      </c>
      <c r="D1971">
        <v>2282</v>
      </c>
      <c r="E1971">
        <v>10.117042028728498</v>
      </c>
      <c r="F1971">
        <v>225.56</v>
      </c>
    </row>
    <row r="1972" spans="1:6" x14ac:dyDescent="0.35">
      <c r="A1972">
        <v>606</v>
      </c>
      <c r="B1972" t="s">
        <v>180</v>
      </c>
      <c r="C1972">
        <v>202602</v>
      </c>
      <c r="D1972">
        <v>5223</v>
      </c>
      <c r="E1972">
        <v>19.907001562678659</v>
      </c>
      <c r="F1972">
        <v>262.37</v>
      </c>
    </row>
    <row r="1973" spans="1:6" x14ac:dyDescent="0.35">
      <c r="A1973">
        <v>772</v>
      </c>
      <c r="B1973" t="s">
        <v>180</v>
      </c>
      <c r="C1973">
        <v>202602</v>
      </c>
      <c r="D1973">
        <v>451</v>
      </c>
      <c r="E1973">
        <v>2.2282608695652173</v>
      </c>
      <c r="F1973">
        <v>202.4</v>
      </c>
    </row>
    <row r="1974" spans="1:6" x14ac:dyDescent="0.35">
      <c r="A1974">
        <v>615</v>
      </c>
      <c r="B1974" t="s">
        <v>180</v>
      </c>
      <c r="C1974">
        <v>202602</v>
      </c>
      <c r="D1974">
        <v>10760</v>
      </c>
      <c r="E1974">
        <v>39.751736367666616</v>
      </c>
      <c r="F1974">
        <v>270.68</v>
      </c>
    </row>
    <row r="1975" spans="1:6" x14ac:dyDescent="0.35">
      <c r="A1975">
        <v>617</v>
      </c>
      <c r="B1975" t="s">
        <v>180</v>
      </c>
      <c r="C1975">
        <v>202602</v>
      </c>
      <c r="D1975">
        <v>4278</v>
      </c>
      <c r="E1975">
        <v>9.5066666666666659</v>
      </c>
      <c r="F1975">
        <v>450</v>
      </c>
    </row>
    <row r="1976" spans="1:6" x14ac:dyDescent="0.35">
      <c r="A1976">
        <v>751</v>
      </c>
      <c r="B1976" t="s">
        <v>180</v>
      </c>
      <c r="C1976">
        <v>202602</v>
      </c>
      <c r="D1976">
        <v>509</v>
      </c>
      <c r="E1976">
        <v>2.5072656519383281</v>
      </c>
      <c r="F1976">
        <v>203.01</v>
      </c>
    </row>
    <row r="1977" spans="1:6" x14ac:dyDescent="0.35">
      <c r="A1977">
        <v>752</v>
      </c>
      <c r="B1977" t="s">
        <v>180</v>
      </c>
      <c r="C1977">
        <v>202602</v>
      </c>
      <c r="D1977">
        <v>9669</v>
      </c>
      <c r="E1977">
        <v>27.956398542762965</v>
      </c>
      <c r="F1977">
        <v>345.86</v>
      </c>
    </row>
    <row r="1978" spans="1:6" x14ac:dyDescent="0.35">
      <c r="A1978">
        <v>753</v>
      </c>
      <c r="B1978" t="s">
        <v>180</v>
      </c>
      <c r="C1978">
        <v>202602</v>
      </c>
      <c r="D1978">
        <v>29842</v>
      </c>
      <c r="E1978">
        <v>61.061548534948436</v>
      </c>
      <c r="F1978">
        <v>488.72</v>
      </c>
    </row>
    <row r="1979" spans="1:6" x14ac:dyDescent="0.35">
      <c r="A1979">
        <v>754</v>
      </c>
      <c r="B1979" t="s">
        <v>180</v>
      </c>
      <c r="C1979">
        <v>202602</v>
      </c>
      <c r="D1979">
        <v>12971</v>
      </c>
      <c r="E1979">
        <v>21.564063772838356</v>
      </c>
      <c r="F1979">
        <v>601.51</v>
      </c>
    </row>
    <row r="1980" spans="1:6" x14ac:dyDescent="0.35">
      <c r="A1980">
        <v>614</v>
      </c>
      <c r="B1980" t="s">
        <v>180</v>
      </c>
      <c r="C1980">
        <v>202602</v>
      </c>
      <c r="D1980">
        <v>21675</v>
      </c>
      <c r="E1980">
        <v>38.553895410885801</v>
      </c>
      <c r="F1980">
        <v>562.20000000000005</v>
      </c>
    </row>
    <row r="1981" spans="1:6" x14ac:dyDescent="0.35">
      <c r="A1981">
        <v>797</v>
      </c>
      <c r="B1981" t="s">
        <v>180</v>
      </c>
      <c r="C1981">
        <v>202602</v>
      </c>
      <c r="D1981">
        <v>1565</v>
      </c>
      <c r="E1981">
        <v>3.4793241440640283</v>
      </c>
      <c r="F1981">
        <v>449.8</v>
      </c>
    </row>
    <row r="1982" spans="1:6" x14ac:dyDescent="0.35">
      <c r="A1982">
        <v>613</v>
      </c>
      <c r="B1982" t="s">
        <v>180</v>
      </c>
      <c r="C1982">
        <v>202602</v>
      </c>
      <c r="D1982">
        <v>10285</v>
      </c>
      <c r="E1982">
        <v>35.162393162393165</v>
      </c>
      <c r="F1982">
        <v>292.5</v>
      </c>
    </row>
    <row r="1983" spans="1:6" x14ac:dyDescent="0.35">
      <c r="A1983">
        <v>767</v>
      </c>
      <c r="B1983" t="s">
        <v>180</v>
      </c>
      <c r="C1983">
        <v>202602</v>
      </c>
      <c r="D1983">
        <v>11099</v>
      </c>
      <c r="E1983">
        <v>18.504501500500169</v>
      </c>
      <c r="F1983">
        <v>599.79999999999995</v>
      </c>
    </row>
    <row r="1984" spans="1:6" x14ac:dyDescent="0.35">
      <c r="A1984">
        <v>807</v>
      </c>
      <c r="B1984" t="s">
        <v>180</v>
      </c>
      <c r="C1984">
        <v>202602</v>
      </c>
      <c r="D1984">
        <v>542</v>
      </c>
      <c r="E1984">
        <v>2.71</v>
      </c>
      <c r="F1984">
        <v>200</v>
      </c>
    </row>
    <row r="1985" spans="1:6" x14ac:dyDescent="0.35">
      <c r="A1985">
        <v>808</v>
      </c>
      <c r="B1985" t="s">
        <v>180</v>
      </c>
      <c r="C1985">
        <v>202602</v>
      </c>
      <c r="D1985">
        <v>807</v>
      </c>
      <c r="E1985">
        <v>2.7380063785030875</v>
      </c>
      <c r="F1985">
        <v>294.74</v>
      </c>
    </row>
    <row r="1986" spans="1:6" x14ac:dyDescent="0.35">
      <c r="A1986">
        <v>502</v>
      </c>
      <c r="B1986" t="s">
        <v>199</v>
      </c>
      <c r="C1986">
        <v>202602</v>
      </c>
      <c r="D1986">
        <v>62698</v>
      </c>
      <c r="E1986">
        <v>201.44582958488627</v>
      </c>
      <c r="F1986">
        <v>311.24</v>
      </c>
    </row>
    <row r="1987" spans="1:6" x14ac:dyDescent="0.35">
      <c r="A1987">
        <v>504</v>
      </c>
      <c r="B1987" t="s">
        <v>199</v>
      </c>
      <c r="C1987">
        <v>202602</v>
      </c>
      <c r="D1987">
        <v>119495</v>
      </c>
      <c r="E1987">
        <v>273.75088772307623</v>
      </c>
      <c r="F1987">
        <v>436.51</v>
      </c>
    </row>
    <row r="1988" spans="1:6" x14ac:dyDescent="0.35">
      <c r="A1988">
        <v>505</v>
      </c>
      <c r="B1988" t="s">
        <v>199</v>
      </c>
      <c r="C1988">
        <v>202602</v>
      </c>
      <c r="D1988">
        <v>64450</v>
      </c>
      <c r="E1988">
        <v>173.16889677037992</v>
      </c>
      <c r="F1988">
        <v>372.18</v>
      </c>
    </row>
    <row r="1989" spans="1:6" x14ac:dyDescent="0.35">
      <c r="A1989">
        <v>506</v>
      </c>
      <c r="B1989" t="s">
        <v>199</v>
      </c>
      <c r="C1989">
        <v>202602</v>
      </c>
      <c r="D1989">
        <v>81560</v>
      </c>
      <c r="E1989">
        <v>172.18011779856025</v>
      </c>
      <c r="F1989">
        <v>473.69</v>
      </c>
    </row>
    <row r="1990" spans="1:6" x14ac:dyDescent="0.35">
      <c r="A1990">
        <v>508</v>
      </c>
      <c r="B1990" t="s">
        <v>199</v>
      </c>
      <c r="C1990">
        <v>202602</v>
      </c>
      <c r="D1990">
        <v>45220</v>
      </c>
      <c r="E1990">
        <v>111.73708920187794</v>
      </c>
      <c r="F1990">
        <v>404.7</v>
      </c>
    </row>
    <row r="1991" spans="1:6" x14ac:dyDescent="0.35">
      <c r="A1991">
        <v>507</v>
      </c>
      <c r="B1991" t="s">
        <v>199</v>
      </c>
      <c r="C1991">
        <v>202602</v>
      </c>
      <c r="D1991">
        <v>31924</v>
      </c>
      <c r="E1991">
        <v>118.23703703703704</v>
      </c>
      <c r="F1991">
        <v>270</v>
      </c>
    </row>
    <row r="1992" spans="1:6" x14ac:dyDescent="0.35">
      <c r="A1992">
        <v>520</v>
      </c>
      <c r="B1992" t="s">
        <v>199</v>
      </c>
      <c r="C1992">
        <v>202602</v>
      </c>
      <c r="D1992">
        <v>741</v>
      </c>
      <c r="E1992">
        <v>10.897058823529411</v>
      </c>
      <c r="F1992">
        <v>68</v>
      </c>
    </row>
    <row r="1993" spans="1:6" x14ac:dyDescent="0.35">
      <c r="A1993">
        <v>521</v>
      </c>
      <c r="B1993" t="s">
        <v>199</v>
      </c>
      <c r="C1993">
        <v>202602</v>
      </c>
      <c r="D1993">
        <v>4001</v>
      </c>
      <c r="E1993">
        <v>34.491379310344826</v>
      </c>
      <c r="F1993">
        <v>116</v>
      </c>
    </row>
    <row r="1994" spans="1:6" x14ac:dyDescent="0.35">
      <c r="A1994">
        <v>784</v>
      </c>
      <c r="B1994" t="s">
        <v>199</v>
      </c>
      <c r="C1994">
        <v>202602</v>
      </c>
      <c r="D1994">
        <v>513</v>
      </c>
      <c r="E1994">
        <v>1.5213523131672599</v>
      </c>
      <c r="F1994">
        <v>337.2</v>
      </c>
    </row>
    <row r="1995" spans="1:6" x14ac:dyDescent="0.35">
      <c r="A1995">
        <v>785</v>
      </c>
      <c r="B1995" t="s">
        <v>199</v>
      </c>
      <c r="C1995">
        <v>202602</v>
      </c>
      <c r="D1995">
        <v>635</v>
      </c>
      <c r="E1995">
        <v>1.1294912842404836</v>
      </c>
      <c r="F1995">
        <v>562.20000000000005</v>
      </c>
    </row>
    <row r="1996" spans="1:6" x14ac:dyDescent="0.35">
      <c r="A1996">
        <v>758</v>
      </c>
      <c r="B1996" t="s">
        <v>199</v>
      </c>
      <c r="C1996">
        <v>202602</v>
      </c>
      <c r="D1996">
        <v>21530</v>
      </c>
      <c r="E1996">
        <v>31.911897668489782</v>
      </c>
      <c r="F1996">
        <v>674.67</v>
      </c>
    </row>
    <row r="1997" spans="1:6" x14ac:dyDescent="0.35">
      <c r="A1997">
        <v>757</v>
      </c>
      <c r="B1997" t="s">
        <v>199</v>
      </c>
      <c r="C1997">
        <v>202602</v>
      </c>
      <c r="D1997">
        <v>32376</v>
      </c>
      <c r="E1997">
        <v>65.437788018433181</v>
      </c>
      <c r="F1997">
        <v>494.76</v>
      </c>
    </row>
    <row r="1998" spans="1:6" x14ac:dyDescent="0.35">
      <c r="A1998">
        <v>580</v>
      </c>
      <c r="B1998" t="s">
        <v>199</v>
      </c>
      <c r="C1998">
        <v>202602</v>
      </c>
      <c r="D1998">
        <v>2486</v>
      </c>
      <c r="E1998">
        <v>9.1842766366188862</v>
      </c>
      <c r="F1998">
        <v>270.68</v>
      </c>
    </row>
    <row r="1999" spans="1:6" x14ac:dyDescent="0.35">
      <c r="A1999">
        <v>582</v>
      </c>
      <c r="B1999" t="s">
        <v>199</v>
      </c>
      <c r="C1999">
        <v>202602</v>
      </c>
      <c r="D1999">
        <v>4559</v>
      </c>
      <c r="E1999">
        <v>15.15876974231089</v>
      </c>
      <c r="F1999">
        <v>300.75</v>
      </c>
    </row>
    <row r="2000" spans="1:6" x14ac:dyDescent="0.35">
      <c r="A2000">
        <v>594</v>
      </c>
      <c r="B2000" t="s">
        <v>199</v>
      </c>
      <c r="C2000">
        <v>202602</v>
      </c>
      <c r="D2000">
        <v>16823</v>
      </c>
      <c r="E2000">
        <v>99.691851851851851</v>
      </c>
      <c r="F2000">
        <v>168.75</v>
      </c>
    </row>
    <row r="2001" spans="1:6" x14ac:dyDescent="0.35">
      <c r="A2001">
        <v>595</v>
      </c>
      <c r="B2001" t="s">
        <v>199</v>
      </c>
      <c r="C2001">
        <v>202602</v>
      </c>
      <c r="D2001">
        <v>23537</v>
      </c>
      <c r="E2001">
        <v>313.82666666666665</v>
      </c>
      <c r="F2001">
        <v>75</v>
      </c>
    </row>
    <row r="2002" spans="1:6" x14ac:dyDescent="0.35">
      <c r="A2002">
        <v>603</v>
      </c>
      <c r="B2002" t="s">
        <v>199</v>
      </c>
      <c r="C2002">
        <v>202602</v>
      </c>
      <c r="D2002">
        <v>4008</v>
      </c>
      <c r="E2002">
        <v>17.769107997871963</v>
      </c>
      <c r="F2002">
        <v>225.56</v>
      </c>
    </row>
    <row r="2003" spans="1:6" x14ac:dyDescent="0.35">
      <c r="A2003">
        <v>606</v>
      </c>
      <c r="B2003" t="s">
        <v>199</v>
      </c>
      <c r="C2003">
        <v>202602</v>
      </c>
      <c r="D2003">
        <v>4256</v>
      </c>
      <c r="E2003">
        <v>16.221366772115715</v>
      </c>
      <c r="F2003">
        <v>262.37</v>
      </c>
    </row>
    <row r="2004" spans="1:6" x14ac:dyDescent="0.35">
      <c r="A2004">
        <v>772</v>
      </c>
      <c r="B2004" t="s">
        <v>199</v>
      </c>
      <c r="C2004">
        <v>202602</v>
      </c>
      <c r="D2004">
        <v>238</v>
      </c>
      <c r="E2004">
        <v>1.175889328063241</v>
      </c>
      <c r="F2004">
        <v>202.4</v>
      </c>
    </row>
    <row r="2005" spans="1:6" x14ac:dyDescent="0.35">
      <c r="A2005">
        <v>615</v>
      </c>
      <c r="B2005" t="s">
        <v>199</v>
      </c>
      <c r="C2005">
        <v>202602</v>
      </c>
      <c r="D2005">
        <v>11639</v>
      </c>
      <c r="E2005">
        <v>42.99911334417024</v>
      </c>
      <c r="F2005">
        <v>270.68</v>
      </c>
    </row>
    <row r="2006" spans="1:6" x14ac:dyDescent="0.35">
      <c r="A2006">
        <v>617</v>
      </c>
      <c r="B2006" t="s">
        <v>199</v>
      </c>
      <c r="C2006">
        <v>202602</v>
      </c>
      <c r="D2006">
        <v>3806</v>
      </c>
      <c r="E2006">
        <v>8.4577777777777783</v>
      </c>
      <c r="F2006">
        <v>450</v>
      </c>
    </row>
    <row r="2007" spans="1:6" x14ac:dyDescent="0.35">
      <c r="A2007">
        <v>751</v>
      </c>
      <c r="B2007" t="s">
        <v>199</v>
      </c>
      <c r="C2007">
        <v>202602</v>
      </c>
      <c r="D2007">
        <v>5417</v>
      </c>
      <c r="E2007">
        <v>26.68341461011773</v>
      </c>
      <c r="F2007">
        <v>203.01</v>
      </c>
    </row>
    <row r="2008" spans="1:6" x14ac:dyDescent="0.35">
      <c r="A2008">
        <v>752</v>
      </c>
      <c r="B2008" t="s">
        <v>199</v>
      </c>
      <c r="C2008">
        <v>202602</v>
      </c>
      <c r="D2008">
        <v>10370</v>
      </c>
      <c r="E2008">
        <v>29.983230208754986</v>
      </c>
      <c r="F2008">
        <v>345.86</v>
      </c>
    </row>
    <row r="2009" spans="1:6" x14ac:dyDescent="0.35">
      <c r="A2009">
        <v>753</v>
      </c>
      <c r="B2009" t="s">
        <v>199</v>
      </c>
      <c r="C2009">
        <v>202602</v>
      </c>
      <c r="D2009">
        <v>16886</v>
      </c>
      <c r="E2009">
        <v>34.551481420854472</v>
      </c>
      <c r="F2009">
        <v>488.72</v>
      </c>
    </row>
    <row r="2010" spans="1:6" x14ac:dyDescent="0.35">
      <c r="A2010">
        <v>754</v>
      </c>
      <c r="B2010" t="s">
        <v>199</v>
      </c>
      <c r="C2010">
        <v>202602</v>
      </c>
      <c r="D2010">
        <v>1511</v>
      </c>
      <c r="E2010">
        <v>2.5120114378813319</v>
      </c>
      <c r="F2010">
        <v>601.51</v>
      </c>
    </row>
    <row r="2011" spans="1:6" x14ac:dyDescent="0.35">
      <c r="A2011">
        <v>614</v>
      </c>
      <c r="B2011" t="s">
        <v>199</v>
      </c>
      <c r="C2011">
        <v>202602</v>
      </c>
      <c r="D2011">
        <v>25047</v>
      </c>
      <c r="E2011">
        <v>44.551760939167551</v>
      </c>
      <c r="F2011">
        <v>562.20000000000005</v>
      </c>
    </row>
    <row r="2012" spans="1:6" x14ac:dyDescent="0.35">
      <c r="A2012">
        <v>797</v>
      </c>
      <c r="B2012" t="s">
        <v>199</v>
      </c>
      <c r="C2012">
        <v>202602</v>
      </c>
      <c r="D2012">
        <v>1220</v>
      </c>
      <c r="E2012">
        <v>2.712316585148955</v>
      </c>
      <c r="F2012">
        <v>449.8</v>
      </c>
    </row>
    <row r="2013" spans="1:6" x14ac:dyDescent="0.35">
      <c r="A2013">
        <v>613</v>
      </c>
      <c r="B2013" t="s">
        <v>199</v>
      </c>
      <c r="C2013">
        <v>202602</v>
      </c>
      <c r="D2013">
        <v>12296</v>
      </c>
      <c r="E2013">
        <v>42.037606837606837</v>
      </c>
      <c r="F2013">
        <v>292.5</v>
      </c>
    </row>
    <row r="2014" spans="1:6" x14ac:dyDescent="0.35">
      <c r="A2014">
        <v>767</v>
      </c>
      <c r="B2014" t="s">
        <v>199</v>
      </c>
      <c r="C2014">
        <v>202602</v>
      </c>
      <c r="D2014">
        <v>7428</v>
      </c>
      <c r="E2014">
        <v>12.384128042680894</v>
      </c>
      <c r="F2014">
        <v>599.79999999999995</v>
      </c>
    </row>
    <row r="2015" spans="1:6" x14ac:dyDescent="0.35">
      <c r="A2015">
        <v>807</v>
      </c>
      <c r="B2015" t="s">
        <v>199</v>
      </c>
      <c r="C2015">
        <v>202602</v>
      </c>
      <c r="D2015">
        <v>1693</v>
      </c>
      <c r="E2015">
        <v>8.4649999999999999</v>
      </c>
      <c r="F2015">
        <v>200</v>
      </c>
    </row>
    <row r="2016" spans="1:6" x14ac:dyDescent="0.35">
      <c r="A2016">
        <v>808</v>
      </c>
      <c r="B2016" t="s">
        <v>199</v>
      </c>
      <c r="C2016">
        <v>202602</v>
      </c>
      <c r="D2016">
        <v>2117</v>
      </c>
      <c r="E2016">
        <v>7.1826016149826968</v>
      </c>
      <c r="F2016">
        <v>294.74</v>
      </c>
    </row>
    <row r="2017" spans="1:6" x14ac:dyDescent="0.35">
      <c r="A2017">
        <v>502</v>
      </c>
      <c r="B2017" t="s">
        <v>200</v>
      </c>
      <c r="C2017">
        <v>202602</v>
      </c>
      <c r="D2017">
        <v>28923</v>
      </c>
      <c r="E2017">
        <v>92.928286852589636</v>
      </c>
      <c r="F2017">
        <v>311.24</v>
      </c>
    </row>
    <row r="2018" spans="1:6" x14ac:dyDescent="0.35">
      <c r="A2018">
        <v>504</v>
      </c>
      <c r="B2018" t="s">
        <v>200</v>
      </c>
      <c r="C2018">
        <v>202602</v>
      </c>
      <c r="D2018">
        <v>58960</v>
      </c>
      <c r="E2018">
        <v>135.07136148083663</v>
      </c>
      <c r="F2018">
        <v>436.51</v>
      </c>
    </row>
    <row r="2019" spans="1:6" x14ac:dyDescent="0.35">
      <c r="A2019">
        <v>505</v>
      </c>
      <c r="B2019" t="s">
        <v>200</v>
      </c>
      <c r="C2019">
        <v>202602</v>
      </c>
      <c r="D2019">
        <v>30589</v>
      </c>
      <c r="E2019">
        <v>82.188725885324303</v>
      </c>
      <c r="F2019">
        <v>372.18</v>
      </c>
    </row>
    <row r="2020" spans="1:6" x14ac:dyDescent="0.35">
      <c r="A2020">
        <v>506</v>
      </c>
      <c r="B2020" t="s">
        <v>200</v>
      </c>
      <c r="C2020">
        <v>202602</v>
      </c>
      <c r="D2020">
        <v>29280</v>
      </c>
      <c r="E2020">
        <v>61.81257784627077</v>
      </c>
      <c r="F2020">
        <v>473.69</v>
      </c>
    </row>
    <row r="2021" spans="1:6" x14ac:dyDescent="0.35">
      <c r="A2021">
        <v>508</v>
      </c>
      <c r="B2021" t="s">
        <v>200</v>
      </c>
      <c r="C2021">
        <v>202602</v>
      </c>
      <c r="D2021">
        <v>25009</v>
      </c>
      <c r="E2021">
        <v>61.79639238942427</v>
      </c>
      <c r="F2021">
        <v>404.7</v>
      </c>
    </row>
    <row r="2022" spans="1:6" x14ac:dyDescent="0.35">
      <c r="A2022">
        <v>507</v>
      </c>
      <c r="B2022" t="s">
        <v>200</v>
      </c>
      <c r="C2022">
        <v>202602</v>
      </c>
      <c r="D2022">
        <v>20398</v>
      </c>
      <c r="E2022">
        <v>75.548148148148144</v>
      </c>
      <c r="F2022">
        <v>270</v>
      </c>
    </row>
    <row r="2023" spans="1:6" x14ac:dyDescent="0.35">
      <c r="A2023">
        <v>520</v>
      </c>
      <c r="B2023" t="s">
        <v>200</v>
      </c>
      <c r="C2023">
        <v>202602</v>
      </c>
      <c r="D2023">
        <v>497</v>
      </c>
      <c r="E2023">
        <v>7.3088235294117645</v>
      </c>
      <c r="F2023">
        <v>68</v>
      </c>
    </row>
    <row r="2024" spans="1:6" x14ac:dyDescent="0.35">
      <c r="A2024">
        <v>521</v>
      </c>
      <c r="B2024" t="s">
        <v>200</v>
      </c>
      <c r="C2024">
        <v>202602</v>
      </c>
      <c r="D2024">
        <v>2583</v>
      </c>
      <c r="E2024">
        <v>22.267241379310345</v>
      </c>
      <c r="F2024">
        <v>116</v>
      </c>
    </row>
    <row r="2025" spans="1:6" x14ac:dyDescent="0.35">
      <c r="A2025">
        <v>784</v>
      </c>
      <c r="B2025" t="s">
        <v>200</v>
      </c>
      <c r="C2025">
        <v>202602</v>
      </c>
      <c r="D2025">
        <v>479</v>
      </c>
      <c r="E2025">
        <v>1.4205219454329776</v>
      </c>
      <c r="F2025">
        <v>337.2</v>
      </c>
    </row>
    <row r="2026" spans="1:6" x14ac:dyDescent="0.35">
      <c r="A2026">
        <v>785</v>
      </c>
      <c r="B2026" t="s">
        <v>200</v>
      </c>
      <c r="C2026">
        <v>202602</v>
      </c>
      <c r="D2026">
        <v>713</v>
      </c>
      <c r="E2026">
        <v>1.2682319459267164</v>
      </c>
      <c r="F2026">
        <v>562.20000000000005</v>
      </c>
    </row>
    <row r="2027" spans="1:6" x14ac:dyDescent="0.35">
      <c r="A2027">
        <v>758</v>
      </c>
      <c r="B2027" t="s">
        <v>200</v>
      </c>
      <c r="C2027">
        <v>202602</v>
      </c>
      <c r="D2027">
        <v>6503</v>
      </c>
      <c r="E2027">
        <v>9.6387863696325624</v>
      </c>
      <c r="F2027">
        <v>674.67</v>
      </c>
    </row>
    <row r="2028" spans="1:6" x14ac:dyDescent="0.35">
      <c r="A2028">
        <v>757</v>
      </c>
      <c r="B2028" t="s">
        <v>200</v>
      </c>
      <c r="C2028">
        <v>202602</v>
      </c>
      <c r="D2028">
        <v>12789</v>
      </c>
      <c r="E2028">
        <v>25.848896434634977</v>
      </c>
      <c r="F2028">
        <v>494.76</v>
      </c>
    </row>
    <row r="2029" spans="1:6" x14ac:dyDescent="0.35">
      <c r="A2029">
        <v>580</v>
      </c>
      <c r="B2029" t="s">
        <v>200</v>
      </c>
      <c r="C2029">
        <v>202602</v>
      </c>
      <c r="D2029">
        <v>1146</v>
      </c>
      <c r="E2029">
        <v>4.2337815871139348</v>
      </c>
      <c r="F2029">
        <v>270.68</v>
      </c>
    </row>
    <row r="2030" spans="1:6" x14ac:dyDescent="0.35">
      <c r="A2030">
        <v>582</v>
      </c>
      <c r="B2030" t="s">
        <v>200</v>
      </c>
      <c r="C2030">
        <v>202602</v>
      </c>
      <c r="D2030">
        <v>2299</v>
      </c>
      <c r="E2030">
        <v>7.6442227763923523</v>
      </c>
      <c r="F2030">
        <v>300.75</v>
      </c>
    </row>
    <row r="2031" spans="1:6" x14ac:dyDescent="0.35">
      <c r="A2031">
        <v>594</v>
      </c>
      <c r="B2031" t="s">
        <v>200</v>
      </c>
      <c r="C2031">
        <v>202602</v>
      </c>
      <c r="D2031">
        <v>8075</v>
      </c>
      <c r="E2031">
        <v>47.851851851851855</v>
      </c>
      <c r="F2031">
        <v>168.75</v>
      </c>
    </row>
    <row r="2032" spans="1:6" x14ac:dyDescent="0.35">
      <c r="A2032">
        <v>595</v>
      </c>
      <c r="B2032" t="s">
        <v>200</v>
      </c>
      <c r="C2032">
        <v>202602</v>
      </c>
      <c r="D2032">
        <v>11441</v>
      </c>
      <c r="E2032">
        <v>152.54666666666665</v>
      </c>
      <c r="F2032">
        <v>75</v>
      </c>
    </row>
    <row r="2033" spans="1:6" x14ac:dyDescent="0.35">
      <c r="A2033">
        <v>603</v>
      </c>
      <c r="B2033" t="s">
        <v>200</v>
      </c>
      <c r="C2033">
        <v>202602</v>
      </c>
      <c r="D2033">
        <v>1635</v>
      </c>
      <c r="E2033">
        <v>7.248625642844476</v>
      </c>
      <c r="F2033">
        <v>225.56</v>
      </c>
    </row>
    <row r="2034" spans="1:6" x14ac:dyDescent="0.35">
      <c r="A2034">
        <v>606</v>
      </c>
      <c r="B2034" t="s">
        <v>200</v>
      </c>
      <c r="C2034">
        <v>202602</v>
      </c>
      <c r="D2034">
        <v>1730</v>
      </c>
      <c r="E2034">
        <v>6.5937416625376377</v>
      </c>
      <c r="F2034">
        <v>262.37</v>
      </c>
    </row>
    <row r="2035" spans="1:6" x14ac:dyDescent="0.35">
      <c r="A2035">
        <v>772</v>
      </c>
      <c r="B2035" t="s">
        <v>200</v>
      </c>
      <c r="C2035">
        <v>202602</v>
      </c>
      <c r="D2035">
        <v>262</v>
      </c>
      <c r="E2035">
        <v>1.2944664031620552</v>
      </c>
      <c r="F2035">
        <v>202.4</v>
      </c>
    </row>
    <row r="2036" spans="1:6" x14ac:dyDescent="0.35">
      <c r="A2036">
        <v>615</v>
      </c>
      <c r="B2036" t="s">
        <v>200</v>
      </c>
      <c r="C2036">
        <v>202602</v>
      </c>
      <c r="D2036">
        <v>5931</v>
      </c>
      <c r="E2036">
        <v>21.911482192995418</v>
      </c>
      <c r="F2036">
        <v>270.68</v>
      </c>
    </row>
    <row r="2037" spans="1:6" x14ac:dyDescent="0.35">
      <c r="A2037">
        <v>617</v>
      </c>
      <c r="B2037" t="s">
        <v>200</v>
      </c>
      <c r="C2037">
        <v>202602</v>
      </c>
      <c r="D2037">
        <v>1779</v>
      </c>
      <c r="E2037">
        <v>3.9533333333333331</v>
      </c>
      <c r="F2037">
        <v>450</v>
      </c>
    </row>
    <row r="2038" spans="1:6" x14ac:dyDescent="0.35">
      <c r="A2038">
        <v>751</v>
      </c>
      <c r="B2038" t="s">
        <v>200</v>
      </c>
      <c r="C2038">
        <v>202602</v>
      </c>
      <c r="D2038">
        <v>845</v>
      </c>
      <c r="E2038">
        <v>4.162356534160879</v>
      </c>
      <c r="F2038">
        <v>203.01</v>
      </c>
    </row>
    <row r="2039" spans="1:6" x14ac:dyDescent="0.35">
      <c r="A2039">
        <v>752</v>
      </c>
      <c r="B2039" t="s">
        <v>200</v>
      </c>
      <c r="C2039">
        <v>202602</v>
      </c>
      <c r="D2039">
        <v>3663</v>
      </c>
      <c r="E2039">
        <v>10.590990574220783</v>
      </c>
      <c r="F2039">
        <v>345.86</v>
      </c>
    </row>
    <row r="2040" spans="1:6" x14ac:dyDescent="0.35">
      <c r="A2040">
        <v>753</v>
      </c>
      <c r="B2040" t="s">
        <v>200</v>
      </c>
      <c r="C2040">
        <v>202602</v>
      </c>
      <c r="D2040">
        <v>5531</v>
      </c>
      <c r="E2040">
        <v>11.317318710099853</v>
      </c>
      <c r="F2040">
        <v>488.72</v>
      </c>
    </row>
    <row r="2041" spans="1:6" x14ac:dyDescent="0.35">
      <c r="A2041">
        <v>754</v>
      </c>
      <c r="B2041" t="s">
        <v>200</v>
      </c>
      <c r="C2041">
        <v>202602</v>
      </c>
      <c r="D2041">
        <v>617</v>
      </c>
      <c r="E2041">
        <v>1.0257518578244751</v>
      </c>
      <c r="F2041">
        <v>601.51</v>
      </c>
    </row>
    <row r="2042" spans="1:6" x14ac:dyDescent="0.35">
      <c r="A2042">
        <v>614</v>
      </c>
      <c r="B2042" t="s">
        <v>200</v>
      </c>
      <c r="C2042">
        <v>202602</v>
      </c>
      <c r="D2042">
        <v>9522</v>
      </c>
      <c r="E2042">
        <v>16.937033084311633</v>
      </c>
      <c r="F2042">
        <v>562.20000000000005</v>
      </c>
    </row>
    <row r="2043" spans="1:6" x14ac:dyDescent="0.35">
      <c r="A2043">
        <v>797</v>
      </c>
      <c r="B2043" t="s">
        <v>200</v>
      </c>
      <c r="C2043">
        <v>202602</v>
      </c>
      <c r="D2043">
        <v>641</v>
      </c>
      <c r="E2043">
        <v>1.4250778123610492</v>
      </c>
      <c r="F2043">
        <v>449.8</v>
      </c>
    </row>
    <row r="2044" spans="1:6" x14ac:dyDescent="0.35">
      <c r="A2044">
        <v>613</v>
      </c>
      <c r="B2044" t="s">
        <v>200</v>
      </c>
      <c r="C2044">
        <v>202602</v>
      </c>
      <c r="D2044">
        <v>4507</v>
      </c>
      <c r="E2044">
        <v>15.408547008547009</v>
      </c>
      <c r="F2044">
        <v>292.5</v>
      </c>
    </row>
    <row r="2045" spans="1:6" x14ac:dyDescent="0.35">
      <c r="A2045">
        <v>767</v>
      </c>
      <c r="B2045" t="s">
        <v>200</v>
      </c>
      <c r="C2045">
        <v>202602</v>
      </c>
      <c r="D2045">
        <v>7417</v>
      </c>
      <c r="E2045">
        <v>12.365788596198733</v>
      </c>
      <c r="F2045">
        <v>599.79999999999995</v>
      </c>
    </row>
    <row r="2046" spans="1:6" x14ac:dyDescent="0.35">
      <c r="A2046">
        <v>807</v>
      </c>
      <c r="B2046" t="s">
        <v>200</v>
      </c>
      <c r="C2046">
        <v>202602</v>
      </c>
      <c r="D2046">
        <v>716</v>
      </c>
      <c r="E2046">
        <v>3.58</v>
      </c>
      <c r="F2046">
        <v>200</v>
      </c>
    </row>
    <row r="2047" spans="1:6" x14ac:dyDescent="0.35">
      <c r="A2047">
        <v>808</v>
      </c>
      <c r="B2047" t="s">
        <v>200</v>
      </c>
      <c r="C2047">
        <v>202602</v>
      </c>
      <c r="D2047">
        <v>1159</v>
      </c>
      <c r="E2047">
        <v>3.9322792970075318</v>
      </c>
      <c r="F2047">
        <v>294.74</v>
      </c>
    </row>
    <row r="2048" spans="1:6" x14ac:dyDescent="0.35">
      <c r="A2048">
        <v>502</v>
      </c>
      <c r="B2048" t="s">
        <v>116</v>
      </c>
      <c r="C2048">
        <v>202602</v>
      </c>
      <c r="D2048">
        <v>36917</v>
      </c>
      <c r="E2048">
        <v>118.61264618943581</v>
      </c>
      <c r="F2048">
        <v>311.24</v>
      </c>
    </row>
    <row r="2049" spans="1:6" x14ac:dyDescent="0.35">
      <c r="A2049">
        <v>504</v>
      </c>
      <c r="B2049" t="s">
        <v>116</v>
      </c>
      <c r="C2049">
        <v>202602</v>
      </c>
      <c r="D2049">
        <v>71203</v>
      </c>
      <c r="E2049">
        <v>163.11882889280886</v>
      </c>
      <c r="F2049">
        <v>436.51</v>
      </c>
    </row>
    <row r="2050" spans="1:6" x14ac:dyDescent="0.35">
      <c r="A2050">
        <v>505</v>
      </c>
      <c r="B2050" t="s">
        <v>116</v>
      </c>
      <c r="C2050">
        <v>202602</v>
      </c>
      <c r="D2050">
        <v>37265</v>
      </c>
      <c r="E2050">
        <v>100.1262829813531</v>
      </c>
      <c r="F2050">
        <v>372.18</v>
      </c>
    </row>
    <row r="2051" spans="1:6" x14ac:dyDescent="0.35">
      <c r="A2051">
        <v>506</v>
      </c>
      <c r="B2051" t="s">
        <v>116</v>
      </c>
      <c r="C2051">
        <v>202602</v>
      </c>
      <c r="D2051">
        <v>46379</v>
      </c>
      <c r="E2051">
        <v>97.910025544132239</v>
      </c>
      <c r="F2051">
        <v>473.69</v>
      </c>
    </row>
    <row r="2052" spans="1:6" x14ac:dyDescent="0.35">
      <c r="A2052">
        <v>508</v>
      </c>
      <c r="B2052" t="s">
        <v>116</v>
      </c>
      <c r="C2052">
        <v>202602</v>
      </c>
      <c r="D2052">
        <v>29510</v>
      </c>
      <c r="E2052">
        <v>72.91821102050902</v>
      </c>
      <c r="F2052">
        <v>404.7</v>
      </c>
    </row>
    <row r="2053" spans="1:6" x14ac:dyDescent="0.35">
      <c r="A2053">
        <v>507</v>
      </c>
      <c r="B2053" t="s">
        <v>116</v>
      </c>
      <c r="C2053">
        <v>202602</v>
      </c>
      <c r="D2053">
        <v>21874</v>
      </c>
      <c r="E2053">
        <v>81.014814814814812</v>
      </c>
      <c r="F2053">
        <v>270</v>
      </c>
    </row>
    <row r="2054" spans="1:6" x14ac:dyDescent="0.35">
      <c r="A2054">
        <v>520</v>
      </c>
      <c r="B2054" t="s">
        <v>116</v>
      </c>
      <c r="C2054">
        <v>202602</v>
      </c>
      <c r="D2054">
        <v>517</v>
      </c>
      <c r="E2054">
        <v>7.6029411764705879</v>
      </c>
      <c r="F2054">
        <v>68</v>
      </c>
    </row>
    <row r="2055" spans="1:6" x14ac:dyDescent="0.35">
      <c r="A2055">
        <v>521</v>
      </c>
      <c r="B2055" t="s">
        <v>116</v>
      </c>
      <c r="C2055">
        <v>202602</v>
      </c>
      <c r="D2055">
        <v>2712</v>
      </c>
      <c r="E2055">
        <v>23.379310344827587</v>
      </c>
      <c r="F2055">
        <v>116</v>
      </c>
    </row>
    <row r="2056" spans="1:6" x14ac:dyDescent="0.35">
      <c r="A2056">
        <v>784</v>
      </c>
      <c r="B2056" t="s">
        <v>116</v>
      </c>
      <c r="C2056">
        <v>202602</v>
      </c>
      <c r="D2056">
        <v>237</v>
      </c>
      <c r="E2056">
        <v>0.70284697508896798</v>
      </c>
      <c r="F2056">
        <v>337.2</v>
      </c>
    </row>
    <row r="2057" spans="1:6" x14ac:dyDescent="0.35">
      <c r="A2057">
        <v>785</v>
      </c>
      <c r="B2057" t="s">
        <v>116</v>
      </c>
      <c r="C2057">
        <v>202602</v>
      </c>
      <c r="D2057">
        <v>287</v>
      </c>
      <c r="E2057">
        <v>0.51049448594806113</v>
      </c>
      <c r="F2057">
        <v>562.20000000000005</v>
      </c>
    </row>
    <row r="2058" spans="1:6" x14ac:dyDescent="0.35">
      <c r="A2058">
        <v>758</v>
      </c>
      <c r="B2058" t="s">
        <v>116</v>
      </c>
      <c r="C2058">
        <v>202602</v>
      </c>
      <c r="D2058">
        <v>12298</v>
      </c>
      <c r="E2058">
        <v>18.228170809432761</v>
      </c>
      <c r="F2058">
        <v>674.67</v>
      </c>
    </row>
    <row r="2059" spans="1:6" x14ac:dyDescent="0.35">
      <c r="A2059">
        <v>757</v>
      </c>
      <c r="B2059" t="s">
        <v>116</v>
      </c>
      <c r="C2059">
        <v>202602</v>
      </c>
      <c r="D2059">
        <v>20062</v>
      </c>
      <c r="E2059">
        <v>40.548953027730619</v>
      </c>
      <c r="F2059">
        <v>494.76</v>
      </c>
    </row>
    <row r="2060" spans="1:6" x14ac:dyDescent="0.35">
      <c r="A2060">
        <v>580</v>
      </c>
      <c r="B2060" t="s">
        <v>116</v>
      </c>
      <c r="C2060">
        <v>202602</v>
      </c>
      <c r="D2060">
        <v>58650</v>
      </c>
      <c r="E2060">
        <v>216.67651839810847</v>
      </c>
      <c r="F2060">
        <v>270.68</v>
      </c>
    </row>
    <row r="2061" spans="1:6" x14ac:dyDescent="0.35">
      <c r="A2061">
        <v>582</v>
      </c>
      <c r="B2061" t="s">
        <v>116</v>
      </c>
      <c r="C2061">
        <v>202602</v>
      </c>
      <c r="D2061">
        <v>4596</v>
      </c>
      <c r="E2061">
        <v>15.281795511221945</v>
      </c>
      <c r="F2061">
        <v>300.75</v>
      </c>
    </row>
    <row r="2062" spans="1:6" x14ac:dyDescent="0.35">
      <c r="A2062">
        <v>594</v>
      </c>
      <c r="B2062" t="s">
        <v>116</v>
      </c>
      <c r="C2062">
        <v>202602</v>
      </c>
      <c r="D2062">
        <v>10578</v>
      </c>
      <c r="E2062">
        <v>62.684444444444445</v>
      </c>
      <c r="F2062">
        <v>168.75</v>
      </c>
    </row>
    <row r="2063" spans="1:6" x14ac:dyDescent="0.35">
      <c r="A2063">
        <v>595</v>
      </c>
      <c r="B2063" t="s">
        <v>116</v>
      </c>
      <c r="C2063">
        <v>202602</v>
      </c>
      <c r="D2063">
        <v>17530</v>
      </c>
      <c r="E2063">
        <v>233.73333333333332</v>
      </c>
      <c r="F2063">
        <v>75</v>
      </c>
    </row>
    <row r="2064" spans="1:6" x14ac:dyDescent="0.35">
      <c r="A2064">
        <v>603</v>
      </c>
      <c r="B2064" t="s">
        <v>116</v>
      </c>
      <c r="C2064">
        <v>202602</v>
      </c>
      <c r="D2064">
        <v>2671</v>
      </c>
      <c r="E2064">
        <v>11.8416385884022</v>
      </c>
      <c r="F2064">
        <v>225.56</v>
      </c>
    </row>
    <row r="2065" spans="1:6" x14ac:dyDescent="0.35">
      <c r="A2065">
        <v>606</v>
      </c>
      <c r="B2065" t="s">
        <v>116</v>
      </c>
      <c r="C2065">
        <v>202602</v>
      </c>
      <c r="D2065">
        <v>2565</v>
      </c>
      <c r="E2065">
        <v>9.7762701528375953</v>
      </c>
      <c r="F2065">
        <v>262.37</v>
      </c>
    </row>
    <row r="2066" spans="1:6" x14ac:dyDescent="0.35">
      <c r="A2066">
        <v>772</v>
      </c>
      <c r="B2066" t="s">
        <v>116</v>
      </c>
      <c r="C2066">
        <v>202602</v>
      </c>
      <c r="D2066">
        <v>238</v>
      </c>
      <c r="E2066">
        <v>1.175889328063241</v>
      </c>
      <c r="F2066">
        <v>202.4</v>
      </c>
    </row>
    <row r="2067" spans="1:6" x14ac:dyDescent="0.35">
      <c r="A2067">
        <v>615</v>
      </c>
      <c r="B2067" t="s">
        <v>116</v>
      </c>
      <c r="C2067">
        <v>202602</v>
      </c>
      <c r="D2067">
        <v>7034</v>
      </c>
      <c r="E2067">
        <v>25.986404610610315</v>
      </c>
      <c r="F2067">
        <v>270.68</v>
      </c>
    </row>
    <row r="2068" spans="1:6" x14ac:dyDescent="0.35">
      <c r="A2068">
        <v>617</v>
      </c>
      <c r="B2068" t="s">
        <v>116</v>
      </c>
      <c r="C2068">
        <v>202602</v>
      </c>
      <c r="D2068">
        <v>2596</v>
      </c>
      <c r="E2068">
        <v>5.7688888888888892</v>
      </c>
      <c r="F2068">
        <v>450</v>
      </c>
    </row>
    <row r="2069" spans="1:6" x14ac:dyDescent="0.35">
      <c r="A2069">
        <v>751</v>
      </c>
      <c r="B2069" t="s">
        <v>116</v>
      </c>
      <c r="C2069">
        <v>202602</v>
      </c>
      <c r="D2069">
        <v>923</v>
      </c>
      <c r="E2069">
        <v>4.546574060391114</v>
      </c>
      <c r="F2069">
        <v>203.01</v>
      </c>
    </row>
    <row r="2070" spans="1:6" x14ac:dyDescent="0.35">
      <c r="A2070">
        <v>752</v>
      </c>
      <c r="B2070" t="s">
        <v>116</v>
      </c>
      <c r="C2070">
        <v>202602</v>
      </c>
      <c r="D2070">
        <v>13775</v>
      </c>
      <c r="E2070">
        <v>39.828254206904525</v>
      </c>
      <c r="F2070">
        <v>345.86</v>
      </c>
    </row>
    <row r="2071" spans="1:6" x14ac:dyDescent="0.35">
      <c r="A2071">
        <v>753</v>
      </c>
      <c r="B2071" t="s">
        <v>116</v>
      </c>
      <c r="C2071">
        <v>202602</v>
      </c>
      <c r="D2071">
        <v>36399</v>
      </c>
      <c r="E2071">
        <v>74.478228842691109</v>
      </c>
      <c r="F2071">
        <v>488.72</v>
      </c>
    </row>
    <row r="2072" spans="1:6" x14ac:dyDescent="0.35">
      <c r="A2072">
        <v>754</v>
      </c>
      <c r="B2072" t="s">
        <v>116</v>
      </c>
      <c r="C2072">
        <v>202602</v>
      </c>
      <c r="D2072">
        <v>5117</v>
      </c>
      <c r="E2072">
        <v>8.5069242406610037</v>
      </c>
      <c r="F2072">
        <v>601.51</v>
      </c>
    </row>
    <row r="2073" spans="1:6" x14ac:dyDescent="0.35">
      <c r="A2073">
        <v>614</v>
      </c>
      <c r="B2073" t="s">
        <v>116</v>
      </c>
      <c r="C2073">
        <v>202602</v>
      </c>
      <c r="D2073">
        <v>14615</v>
      </c>
      <c r="E2073">
        <v>25.996086801849874</v>
      </c>
      <c r="F2073">
        <v>562.20000000000005</v>
      </c>
    </row>
    <row r="2074" spans="1:6" x14ac:dyDescent="0.35">
      <c r="A2074">
        <v>797</v>
      </c>
      <c r="B2074" t="s">
        <v>116</v>
      </c>
      <c r="C2074">
        <v>202602</v>
      </c>
      <c r="D2074">
        <v>692</v>
      </c>
      <c r="E2074">
        <v>1.5384615384615383</v>
      </c>
      <c r="F2074">
        <v>449.8</v>
      </c>
    </row>
    <row r="2075" spans="1:6" x14ac:dyDescent="0.35">
      <c r="A2075">
        <v>613</v>
      </c>
      <c r="B2075" t="s">
        <v>116</v>
      </c>
      <c r="C2075">
        <v>202602</v>
      </c>
      <c r="D2075">
        <v>7709</v>
      </c>
      <c r="E2075">
        <v>26.355555555555554</v>
      </c>
      <c r="F2075">
        <v>292.5</v>
      </c>
    </row>
    <row r="2076" spans="1:6" x14ac:dyDescent="0.35">
      <c r="A2076">
        <v>767</v>
      </c>
      <c r="B2076" t="s">
        <v>116</v>
      </c>
      <c r="C2076">
        <v>202602</v>
      </c>
      <c r="D2076">
        <v>11947</v>
      </c>
      <c r="E2076">
        <v>19.918306102034013</v>
      </c>
      <c r="F2076">
        <v>599.79999999999995</v>
      </c>
    </row>
    <row r="2077" spans="1:6" x14ac:dyDescent="0.35">
      <c r="A2077">
        <v>807</v>
      </c>
      <c r="B2077" t="s">
        <v>116</v>
      </c>
      <c r="C2077">
        <v>202602</v>
      </c>
      <c r="D2077">
        <v>1021</v>
      </c>
      <c r="E2077">
        <v>5.1050000000000004</v>
      </c>
      <c r="F2077">
        <v>200</v>
      </c>
    </row>
    <row r="2078" spans="1:6" x14ac:dyDescent="0.35">
      <c r="A2078">
        <v>808</v>
      </c>
      <c r="B2078" t="s">
        <v>116</v>
      </c>
      <c r="C2078">
        <v>202602</v>
      </c>
      <c r="D2078">
        <v>1506</v>
      </c>
      <c r="E2078">
        <v>5.1095881115559472</v>
      </c>
      <c r="F2078">
        <v>294.74</v>
      </c>
    </row>
    <row r="2079" spans="1:6" x14ac:dyDescent="0.35">
      <c r="A2079">
        <v>502</v>
      </c>
      <c r="B2079" t="s">
        <v>117</v>
      </c>
      <c r="C2079">
        <v>202602</v>
      </c>
      <c r="D2079">
        <v>53315</v>
      </c>
      <c r="E2079">
        <v>171.29867626269117</v>
      </c>
      <c r="F2079">
        <v>311.24</v>
      </c>
    </row>
    <row r="2080" spans="1:6" x14ac:dyDescent="0.35">
      <c r="A2080">
        <v>504</v>
      </c>
      <c r="B2080" t="s">
        <v>117</v>
      </c>
      <c r="C2080">
        <v>202602</v>
      </c>
      <c r="D2080">
        <v>101669</v>
      </c>
      <c r="E2080">
        <v>232.91333531877851</v>
      </c>
      <c r="F2080">
        <v>436.51</v>
      </c>
    </row>
    <row r="2081" spans="1:6" x14ac:dyDescent="0.35">
      <c r="A2081">
        <v>505</v>
      </c>
      <c r="B2081" t="s">
        <v>117</v>
      </c>
      <c r="C2081">
        <v>202602</v>
      </c>
      <c r="D2081">
        <v>51984</v>
      </c>
      <c r="E2081">
        <v>139.6743511204256</v>
      </c>
      <c r="F2081">
        <v>372.18</v>
      </c>
    </row>
    <row r="2082" spans="1:6" x14ac:dyDescent="0.35">
      <c r="A2082">
        <v>506</v>
      </c>
      <c r="B2082" t="s">
        <v>117</v>
      </c>
      <c r="C2082">
        <v>202602</v>
      </c>
      <c r="D2082">
        <v>59577</v>
      </c>
      <c r="E2082">
        <v>125.77212945175114</v>
      </c>
      <c r="F2082">
        <v>473.69</v>
      </c>
    </row>
    <row r="2083" spans="1:6" x14ac:dyDescent="0.35">
      <c r="A2083">
        <v>508</v>
      </c>
      <c r="B2083" t="s">
        <v>117</v>
      </c>
      <c r="C2083">
        <v>202602</v>
      </c>
      <c r="D2083">
        <v>48359</v>
      </c>
      <c r="E2083">
        <v>119.49345193970844</v>
      </c>
      <c r="F2083">
        <v>404.7</v>
      </c>
    </row>
    <row r="2084" spans="1:6" x14ac:dyDescent="0.35">
      <c r="A2084">
        <v>507</v>
      </c>
      <c r="B2084" t="s">
        <v>117</v>
      </c>
      <c r="C2084">
        <v>202602</v>
      </c>
      <c r="D2084">
        <v>31678</v>
      </c>
      <c r="E2084">
        <v>117.32592592592593</v>
      </c>
      <c r="F2084">
        <v>270</v>
      </c>
    </row>
    <row r="2085" spans="1:6" x14ac:dyDescent="0.35">
      <c r="A2085">
        <v>520</v>
      </c>
      <c r="B2085" t="s">
        <v>117</v>
      </c>
      <c r="C2085">
        <v>202602</v>
      </c>
      <c r="D2085">
        <v>621</v>
      </c>
      <c r="E2085">
        <v>9.132352941176471</v>
      </c>
      <c r="F2085">
        <v>68</v>
      </c>
    </row>
    <row r="2086" spans="1:6" x14ac:dyDescent="0.35">
      <c r="A2086">
        <v>521</v>
      </c>
      <c r="B2086" t="s">
        <v>117</v>
      </c>
      <c r="C2086">
        <v>202602</v>
      </c>
      <c r="D2086">
        <v>3185</v>
      </c>
      <c r="E2086">
        <v>27.456896551724139</v>
      </c>
      <c r="F2086">
        <v>116</v>
      </c>
    </row>
    <row r="2087" spans="1:6" x14ac:dyDescent="0.35">
      <c r="A2087">
        <v>784</v>
      </c>
      <c r="B2087" t="s">
        <v>117</v>
      </c>
      <c r="C2087">
        <v>202602</v>
      </c>
      <c r="D2087">
        <v>358</v>
      </c>
      <c r="E2087">
        <v>1.0616844602609727</v>
      </c>
      <c r="F2087">
        <v>337.2</v>
      </c>
    </row>
    <row r="2088" spans="1:6" x14ac:dyDescent="0.35">
      <c r="A2088">
        <v>785</v>
      </c>
      <c r="B2088" t="s">
        <v>117</v>
      </c>
      <c r="C2088">
        <v>202602</v>
      </c>
      <c r="D2088">
        <v>360</v>
      </c>
      <c r="E2088">
        <v>0.64034151547491991</v>
      </c>
      <c r="F2088">
        <v>562.20000000000005</v>
      </c>
    </row>
    <row r="2089" spans="1:6" x14ac:dyDescent="0.35">
      <c r="A2089">
        <v>758</v>
      </c>
      <c r="B2089" t="s">
        <v>117</v>
      </c>
      <c r="C2089">
        <v>202602</v>
      </c>
      <c r="D2089">
        <v>13410</v>
      </c>
      <c r="E2089">
        <v>19.876384009960425</v>
      </c>
      <c r="F2089">
        <v>674.67</v>
      </c>
    </row>
    <row r="2090" spans="1:6" x14ac:dyDescent="0.35">
      <c r="A2090">
        <v>757</v>
      </c>
      <c r="B2090" t="s">
        <v>117</v>
      </c>
      <c r="C2090">
        <v>202602</v>
      </c>
      <c r="D2090">
        <v>23924</v>
      </c>
      <c r="E2090">
        <v>48.354757862397932</v>
      </c>
      <c r="F2090">
        <v>494.76</v>
      </c>
    </row>
    <row r="2091" spans="1:6" x14ac:dyDescent="0.35">
      <c r="A2091">
        <v>580</v>
      </c>
      <c r="B2091" t="s">
        <v>117</v>
      </c>
      <c r="C2091">
        <v>202602</v>
      </c>
      <c r="D2091">
        <v>2204</v>
      </c>
      <c r="E2091">
        <v>8.14245603664844</v>
      </c>
      <c r="F2091">
        <v>270.68</v>
      </c>
    </row>
    <row r="2092" spans="1:6" x14ac:dyDescent="0.35">
      <c r="A2092">
        <v>582</v>
      </c>
      <c r="B2092" t="s">
        <v>117</v>
      </c>
      <c r="C2092">
        <v>202602</v>
      </c>
      <c r="D2092">
        <v>7156</v>
      </c>
      <c r="E2092">
        <v>23.793848711554446</v>
      </c>
      <c r="F2092">
        <v>300.75</v>
      </c>
    </row>
    <row r="2093" spans="1:6" x14ac:dyDescent="0.35">
      <c r="A2093">
        <v>594</v>
      </c>
      <c r="B2093" t="s">
        <v>117</v>
      </c>
      <c r="C2093">
        <v>202602</v>
      </c>
      <c r="D2093">
        <v>16121</v>
      </c>
      <c r="E2093">
        <v>95.531851851851854</v>
      </c>
      <c r="F2093">
        <v>168.75</v>
      </c>
    </row>
    <row r="2094" spans="1:6" x14ac:dyDescent="0.35">
      <c r="A2094">
        <v>595</v>
      </c>
      <c r="B2094" t="s">
        <v>117</v>
      </c>
      <c r="C2094">
        <v>202602</v>
      </c>
      <c r="D2094">
        <v>21741</v>
      </c>
      <c r="E2094">
        <v>289.88</v>
      </c>
      <c r="F2094">
        <v>75</v>
      </c>
    </row>
    <row r="2095" spans="1:6" x14ac:dyDescent="0.35">
      <c r="A2095">
        <v>603</v>
      </c>
      <c r="B2095" t="s">
        <v>117</v>
      </c>
      <c r="C2095">
        <v>202602</v>
      </c>
      <c r="D2095">
        <v>2851</v>
      </c>
      <c r="E2095">
        <v>12.639652420641958</v>
      </c>
      <c r="F2095">
        <v>225.56</v>
      </c>
    </row>
    <row r="2096" spans="1:6" x14ac:dyDescent="0.35">
      <c r="A2096">
        <v>606</v>
      </c>
      <c r="B2096" t="s">
        <v>117</v>
      </c>
      <c r="C2096">
        <v>202602</v>
      </c>
      <c r="D2096">
        <v>2651</v>
      </c>
      <c r="E2096">
        <v>10.104051530281662</v>
      </c>
      <c r="F2096">
        <v>262.37</v>
      </c>
    </row>
    <row r="2097" spans="1:6" x14ac:dyDescent="0.35">
      <c r="A2097">
        <v>772</v>
      </c>
      <c r="B2097" t="s">
        <v>117</v>
      </c>
      <c r="C2097">
        <v>202602</v>
      </c>
      <c r="D2097">
        <v>259</v>
      </c>
      <c r="E2097">
        <v>1.2796442687747036</v>
      </c>
      <c r="F2097">
        <v>202.4</v>
      </c>
    </row>
    <row r="2098" spans="1:6" x14ac:dyDescent="0.35">
      <c r="A2098">
        <v>615</v>
      </c>
      <c r="B2098" t="s">
        <v>117</v>
      </c>
      <c r="C2098">
        <v>202602</v>
      </c>
      <c r="D2098">
        <v>9369</v>
      </c>
      <c r="E2098">
        <v>34.612826954337223</v>
      </c>
      <c r="F2098">
        <v>270.68</v>
      </c>
    </row>
    <row r="2099" spans="1:6" x14ac:dyDescent="0.35">
      <c r="A2099">
        <v>617</v>
      </c>
      <c r="B2099" t="s">
        <v>117</v>
      </c>
      <c r="C2099">
        <v>202602</v>
      </c>
      <c r="D2099">
        <v>3390</v>
      </c>
      <c r="E2099">
        <v>7.5333333333333332</v>
      </c>
      <c r="F2099">
        <v>450</v>
      </c>
    </row>
    <row r="2100" spans="1:6" x14ac:dyDescent="0.35">
      <c r="A2100">
        <v>751</v>
      </c>
      <c r="B2100" t="s">
        <v>117</v>
      </c>
      <c r="C2100">
        <v>202602</v>
      </c>
      <c r="D2100">
        <v>1233</v>
      </c>
      <c r="E2100">
        <v>6.0735924338702532</v>
      </c>
      <c r="F2100">
        <v>203.01</v>
      </c>
    </row>
    <row r="2101" spans="1:6" x14ac:dyDescent="0.35">
      <c r="A2101">
        <v>752</v>
      </c>
      <c r="B2101" t="s">
        <v>117</v>
      </c>
      <c r="C2101">
        <v>202602</v>
      </c>
      <c r="D2101">
        <v>10238</v>
      </c>
      <c r="E2101">
        <v>29.601572890765048</v>
      </c>
      <c r="F2101">
        <v>345.86</v>
      </c>
    </row>
    <row r="2102" spans="1:6" x14ac:dyDescent="0.35">
      <c r="A2102">
        <v>753</v>
      </c>
      <c r="B2102" t="s">
        <v>117</v>
      </c>
      <c r="C2102">
        <v>202602</v>
      </c>
      <c r="D2102">
        <v>42764</v>
      </c>
      <c r="E2102">
        <v>87.502046161401211</v>
      </c>
      <c r="F2102">
        <v>488.72</v>
      </c>
    </row>
    <row r="2103" spans="1:6" x14ac:dyDescent="0.35">
      <c r="A2103">
        <v>754</v>
      </c>
      <c r="B2103" t="s">
        <v>117</v>
      </c>
      <c r="C2103">
        <v>202602</v>
      </c>
      <c r="D2103">
        <v>6734</v>
      </c>
      <c r="E2103">
        <v>11.19515885022693</v>
      </c>
      <c r="F2103">
        <v>601.51</v>
      </c>
    </row>
    <row r="2104" spans="1:6" x14ac:dyDescent="0.35">
      <c r="A2104">
        <v>614</v>
      </c>
      <c r="B2104" t="s">
        <v>117</v>
      </c>
      <c r="C2104">
        <v>202602</v>
      </c>
      <c r="D2104">
        <v>15528</v>
      </c>
      <c r="E2104">
        <v>27.620064034151547</v>
      </c>
      <c r="F2104">
        <v>562.20000000000005</v>
      </c>
    </row>
    <row r="2105" spans="1:6" x14ac:dyDescent="0.35">
      <c r="A2105">
        <v>797</v>
      </c>
      <c r="B2105" t="s">
        <v>117</v>
      </c>
      <c r="C2105">
        <v>202602</v>
      </c>
      <c r="D2105">
        <v>1261</v>
      </c>
      <c r="E2105">
        <v>2.8034682080924855</v>
      </c>
      <c r="F2105">
        <v>449.8</v>
      </c>
    </row>
    <row r="2106" spans="1:6" x14ac:dyDescent="0.35">
      <c r="A2106">
        <v>613</v>
      </c>
      <c r="B2106" t="s">
        <v>117</v>
      </c>
      <c r="C2106">
        <v>202602</v>
      </c>
      <c r="D2106">
        <v>8455</v>
      </c>
      <c r="E2106">
        <v>28.905982905982906</v>
      </c>
      <c r="F2106">
        <v>292.5</v>
      </c>
    </row>
    <row r="2107" spans="1:6" x14ac:dyDescent="0.35">
      <c r="A2107">
        <v>767</v>
      </c>
      <c r="B2107" t="s">
        <v>117</v>
      </c>
      <c r="C2107">
        <v>202602</v>
      </c>
      <c r="D2107">
        <v>9176</v>
      </c>
      <c r="E2107">
        <v>15.29843281093698</v>
      </c>
      <c r="F2107">
        <v>599.79999999999995</v>
      </c>
    </row>
    <row r="2108" spans="1:6" x14ac:dyDescent="0.35">
      <c r="A2108">
        <v>807</v>
      </c>
      <c r="B2108" t="s">
        <v>117</v>
      </c>
      <c r="C2108">
        <v>202602</v>
      </c>
      <c r="D2108">
        <v>1166</v>
      </c>
      <c r="E2108">
        <v>5.83</v>
      </c>
      <c r="F2108">
        <v>200</v>
      </c>
    </row>
    <row r="2109" spans="1:6" x14ac:dyDescent="0.35">
      <c r="A2109">
        <v>808</v>
      </c>
      <c r="B2109" t="s">
        <v>117</v>
      </c>
      <c r="C2109">
        <v>202602</v>
      </c>
      <c r="D2109">
        <v>1350</v>
      </c>
      <c r="E2109">
        <v>4.5803080681278416</v>
      </c>
      <c r="F2109">
        <v>294.74</v>
      </c>
    </row>
    <row r="2110" spans="1:6" x14ac:dyDescent="0.35">
      <c r="A2110">
        <v>502</v>
      </c>
      <c r="B2110" t="s">
        <v>118</v>
      </c>
      <c r="C2110">
        <v>202602</v>
      </c>
      <c r="D2110">
        <v>55775</v>
      </c>
      <c r="E2110">
        <v>179.20254466006941</v>
      </c>
      <c r="F2110">
        <v>311.24</v>
      </c>
    </row>
    <row r="2111" spans="1:6" x14ac:dyDescent="0.35">
      <c r="A2111">
        <v>504</v>
      </c>
      <c r="B2111" t="s">
        <v>118</v>
      </c>
      <c r="C2111">
        <v>202602</v>
      </c>
      <c r="D2111">
        <v>110295</v>
      </c>
      <c r="E2111">
        <v>252.67462371996061</v>
      </c>
      <c r="F2111">
        <v>436.51</v>
      </c>
    </row>
    <row r="2112" spans="1:6" x14ac:dyDescent="0.35">
      <c r="A2112">
        <v>505</v>
      </c>
      <c r="B2112" t="s">
        <v>118</v>
      </c>
      <c r="C2112">
        <v>202602</v>
      </c>
      <c r="D2112">
        <v>55336</v>
      </c>
      <c r="E2112">
        <v>148.68074587565155</v>
      </c>
      <c r="F2112">
        <v>372.18</v>
      </c>
    </row>
    <row r="2113" spans="1:6" x14ac:dyDescent="0.35">
      <c r="A2113">
        <v>506</v>
      </c>
      <c r="B2113" t="s">
        <v>118</v>
      </c>
      <c r="C2113">
        <v>202602</v>
      </c>
      <c r="D2113">
        <v>66999</v>
      </c>
      <c r="E2113">
        <v>141.44060461483249</v>
      </c>
      <c r="F2113">
        <v>473.69</v>
      </c>
    </row>
    <row r="2114" spans="1:6" x14ac:dyDescent="0.35">
      <c r="A2114">
        <v>508</v>
      </c>
      <c r="B2114" t="s">
        <v>118</v>
      </c>
      <c r="C2114">
        <v>202602</v>
      </c>
      <c r="D2114">
        <v>47558</v>
      </c>
      <c r="E2114">
        <v>117.51420805534964</v>
      </c>
      <c r="F2114">
        <v>404.7</v>
      </c>
    </row>
    <row r="2115" spans="1:6" x14ac:dyDescent="0.35">
      <c r="A2115">
        <v>507</v>
      </c>
      <c r="B2115" t="s">
        <v>118</v>
      </c>
      <c r="C2115">
        <v>202602</v>
      </c>
      <c r="D2115">
        <v>31950</v>
      </c>
      <c r="E2115">
        <v>118.33333333333333</v>
      </c>
      <c r="F2115">
        <v>270</v>
      </c>
    </row>
    <row r="2116" spans="1:6" x14ac:dyDescent="0.35">
      <c r="A2116">
        <v>520</v>
      </c>
      <c r="B2116" t="s">
        <v>118</v>
      </c>
      <c r="C2116">
        <v>202602</v>
      </c>
      <c r="D2116">
        <v>562</v>
      </c>
      <c r="E2116">
        <v>8.264705882352942</v>
      </c>
      <c r="F2116">
        <v>68</v>
      </c>
    </row>
    <row r="2117" spans="1:6" x14ac:dyDescent="0.35">
      <c r="A2117">
        <v>521</v>
      </c>
      <c r="B2117" t="s">
        <v>118</v>
      </c>
      <c r="C2117">
        <v>202602</v>
      </c>
      <c r="D2117">
        <v>3300</v>
      </c>
      <c r="E2117">
        <v>28.448275862068964</v>
      </c>
      <c r="F2117">
        <v>116</v>
      </c>
    </row>
    <row r="2118" spans="1:6" x14ac:dyDescent="0.35">
      <c r="A2118">
        <v>784</v>
      </c>
      <c r="B2118" t="s">
        <v>118</v>
      </c>
      <c r="C2118">
        <v>202602</v>
      </c>
      <c r="D2118">
        <v>1081</v>
      </c>
      <c r="E2118">
        <v>3.2058125741399763</v>
      </c>
      <c r="F2118">
        <v>337.2</v>
      </c>
    </row>
    <row r="2119" spans="1:6" x14ac:dyDescent="0.35">
      <c r="A2119">
        <v>785</v>
      </c>
      <c r="B2119" t="s">
        <v>118</v>
      </c>
      <c r="C2119">
        <v>202602</v>
      </c>
      <c r="D2119">
        <v>1077</v>
      </c>
      <c r="E2119">
        <v>1.9156883671291354</v>
      </c>
      <c r="F2119">
        <v>562.20000000000005</v>
      </c>
    </row>
    <row r="2120" spans="1:6" x14ac:dyDescent="0.35">
      <c r="A2120">
        <v>758</v>
      </c>
      <c r="B2120" t="s">
        <v>118</v>
      </c>
      <c r="C2120">
        <v>202602</v>
      </c>
      <c r="D2120">
        <v>15275</v>
      </c>
      <c r="E2120">
        <v>22.640698415521666</v>
      </c>
      <c r="F2120">
        <v>674.67</v>
      </c>
    </row>
    <row r="2121" spans="1:6" x14ac:dyDescent="0.35">
      <c r="A2121">
        <v>757</v>
      </c>
      <c r="B2121" t="s">
        <v>118</v>
      </c>
      <c r="C2121">
        <v>202602</v>
      </c>
      <c r="D2121">
        <v>26663</v>
      </c>
      <c r="E2121">
        <v>53.890775325410303</v>
      </c>
      <c r="F2121">
        <v>494.76</v>
      </c>
    </row>
    <row r="2122" spans="1:6" x14ac:dyDescent="0.35">
      <c r="A2122">
        <v>580</v>
      </c>
      <c r="B2122" t="s">
        <v>118</v>
      </c>
      <c r="C2122">
        <v>202602</v>
      </c>
      <c r="D2122">
        <v>2267</v>
      </c>
      <c r="E2122">
        <v>8.3752031919609866</v>
      </c>
      <c r="F2122">
        <v>270.68</v>
      </c>
    </row>
    <row r="2123" spans="1:6" x14ac:dyDescent="0.35">
      <c r="A2123">
        <v>582</v>
      </c>
      <c r="B2123" t="s">
        <v>118</v>
      </c>
      <c r="C2123">
        <v>202602</v>
      </c>
      <c r="D2123">
        <v>10322</v>
      </c>
      <c r="E2123">
        <v>34.320864505403158</v>
      </c>
      <c r="F2123">
        <v>300.75</v>
      </c>
    </row>
    <row r="2124" spans="1:6" x14ac:dyDescent="0.35">
      <c r="A2124">
        <v>594</v>
      </c>
      <c r="B2124" t="s">
        <v>118</v>
      </c>
      <c r="C2124">
        <v>202602</v>
      </c>
      <c r="D2124">
        <v>12765</v>
      </c>
      <c r="E2124">
        <v>75.644444444444446</v>
      </c>
      <c r="F2124">
        <v>168.75</v>
      </c>
    </row>
    <row r="2125" spans="1:6" x14ac:dyDescent="0.35">
      <c r="A2125">
        <v>595</v>
      </c>
      <c r="B2125" t="s">
        <v>118</v>
      </c>
      <c r="C2125">
        <v>202602</v>
      </c>
      <c r="D2125">
        <v>22464</v>
      </c>
      <c r="E2125">
        <v>299.52</v>
      </c>
      <c r="F2125">
        <v>75</v>
      </c>
    </row>
    <row r="2126" spans="1:6" x14ac:dyDescent="0.35">
      <c r="A2126">
        <v>603</v>
      </c>
      <c r="B2126" t="s">
        <v>118</v>
      </c>
      <c r="C2126">
        <v>202602</v>
      </c>
      <c r="D2126">
        <v>3528</v>
      </c>
      <c r="E2126">
        <v>15.641071111899272</v>
      </c>
      <c r="F2126">
        <v>225.56</v>
      </c>
    </row>
    <row r="2127" spans="1:6" x14ac:dyDescent="0.35">
      <c r="A2127">
        <v>606</v>
      </c>
      <c r="B2127" t="s">
        <v>118</v>
      </c>
      <c r="C2127">
        <v>202602</v>
      </c>
      <c r="D2127">
        <v>3396</v>
      </c>
      <c r="E2127">
        <v>12.943552997675038</v>
      </c>
      <c r="F2127">
        <v>262.37</v>
      </c>
    </row>
    <row r="2128" spans="1:6" x14ac:dyDescent="0.35">
      <c r="A2128">
        <v>772</v>
      </c>
      <c r="B2128" t="s">
        <v>118</v>
      </c>
      <c r="C2128">
        <v>202602</v>
      </c>
      <c r="D2128">
        <v>329</v>
      </c>
      <c r="E2128">
        <v>1.6254940711462451</v>
      </c>
      <c r="F2128">
        <v>202.4</v>
      </c>
    </row>
    <row r="2129" spans="1:6" x14ac:dyDescent="0.35">
      <c r="A2129">
        <v>615</v>
      </c>
      <c r="B2129" t="s">
        <v>118</v>
      </c>
      <c r="C2129">
        <v>202602</v>
      </c>
      <c r="D2129">
        <v>14399</v>
      </c>
      <c r="E2129">
        <v>53.195655386434161</v>
      </c>
      <c r="F2129">
        <v>270.68</v>
      </c>
    </row>
    <row r="2130" spans="1:6" x14ac:dyDescent="0.35">
      <c r="A2130">
        <v>617</v>
      </c>
      <c r="B2130" t="s">
        <v>118</v>
      </c>
      <c r="C2130">
        <v>202602</v>
      </c>
      <c r="D2130">
        <v>6022</v>
      </c>
      <c r="E2130">
        <v>13.382222222222222</v>
      </c>
      <c r="F2130">
        <v>450</v>
      </c>
    </row>
    <row r="2131" spans="1:6" x14ac:dyDescent="0.35">
      <c r="A2131">
        <v>751</v>
      </c>
      <c r="B2131" t="s">
        <v>118</v>
      </c>
      <c r="C2131">
        <v>202602</v>
      </c>
      <c r="D2131">
        <v>2312</v>
      </c>
      <c r="E2131">
        <v>11.388601546721837</v>
      </c>
      <c r="F2131">
        <v>203.01</v>
      </c>
    </row>
    <row r="2132" spans="1:6" x14ac:dyDescent="0.35">
      <c r="A2132">
        <v>752</v>
      </c>
      <c r="B2132" t="s">
        <v>118</v>
      </c>
      <c r="C2132">
        <v>202602</v>
      </c>
      <c r="D2132">
        <v>9973</v>
      </c>
      <c r="E2132">
        <v>28.835366911467066</v>
      </c>
      <c r="F2132">
        <v>345.86</v>
      </c>
    </row>
    <row r="2133" spans="1:6" x14ac:dyDescent="0.35">
      <c r="A2133">
        <v>753</v>
      </c>
      <c r="B2133" t="s">
        <v>118</v>
      </c>
      <c r="C2133">
        <v>202602</v>
      </c>
      <c r="D2133">
        <v>11418</v>
      </c>
      <c r="E2133">
        <v>23.363070879030936</v>
      </c>
      <c r="F2133">
        <v>488.72</v>
      </c>
    </row>
    <row r="2134" spans="1:6" x14ac:dyDescent="0.35">
      <c r="A2134">
        <v>754</v>
      </c>
      <c r="B2134" t="s">
        <v>118</v>
      </c>
      <c r="C2134">
        <v>202602</v>
      </c>
      <c r="D2134">
        <v>919</v>
      </c>
      <c r="E2134">
        <v>1.5278216488503933</v>
      </c>
      <c r="F2134">
        <v>601.51</v>
      </c>
    </row>
    <row r="2135" spans="1:6" x14ac:dyDescent="0.35">
      <c r="A2135">
        <v>614</v>
      </c>
      <c r="B2135" t="s">
        <v>118</v>
      </c>
      <c r="C2135">
        <v>202602</v>
      </c>
      <c r="D2135">
        <v>22278</v>
      </c>
      <c r="E2135">
        <v>39.626467449306297</v>
      </c>
      <c r="F2135">
        <v>562.20000000000005</v>
      </c>
    </row>
    <row r="2136" spans="1:6" x14ac:dyDescent="0.35">
      <c r="A2136">
        <v>797</v>
      </c>
      <c r="B2136" t="s">
        <v>118</v>
      </c>
      <c r="C2136">
        <v>202602</v>
      </c>
      <c r="D2136">
        <v>1625</v>
      </c>
      <c r="E2136">
        <v>3.6127167630057802</v>
      </c>
      <c r="F2136">
        <v>449.8</v>
      </c>
    </row>
    <row r="2137" spans="1:6" x14ac:dyDescent="0.35">
      <c r="A2137">
        <v>613</v>
      </c>
      <c r="B2137" t="s">
        <v>118</v>
      </c>
      <c r="C2137">
        <v>202602</v>
      </c>
      <c r="D2137">
        <v>11136</v>
      </c>
      <c r="E2137">
        <v>38.071794871794872</v>
      </c>
      <c r="F2137">
        <v>292.5</v>
      </c>
    </row>
    <row r="2138" spans="1:6" x14ac:dyDescent="0.35">
      <c r="A2138">
        <v>767</v>
      </c>
      <c r="B2138" t="s">
        <v>118</v>
      </c>
      <c r="C2138">
        <v>202602</v>
      </c>
      <c r="D2138">
        <v>11251</v>
      </c>
      <c r="E2138">
        <v>18.757919306435479</v>
      </c>
      <c r="F2138">
        <v>599.79999999999995</v>
      </c>
    </row>
    <row r="2139" spans="1:6" x14ac:dyDescent="0.35">
      <c r="A2139">
        <v>807</v>
      </c>
      <c r="B2139" t="s">
        <v>118</v>
      </c>
      <c r="C2139">
        <v>202602</v>
      </c>
      <c r="D2139">
        <v>3179</v>
      </c>
      <c r="E2139">
        <v>15.895</v>
      </c>
      <c r="F2139">
        <v>200</v>
      </c>
    </row>
    <row r="2140" spans="1:6" x14ac:dyDescent="0.35">
      <c r="A2140">
        <v>808</v>
      </c>
      <c r="B2140" t="s">
        <v>118</v>
      </c>
      <c r="C2140">
        <v>202602</v>
      </c>
      <c r="D2140">
        <v>4215</v>
      </c>
      <c r="E2140">
        <v>14.300739634932482</v>
      </c>
      <c r="F2140">
        <v>294.74</v>
      </c>
    </row>
    <row r="2141" spans="1:6" x14ac:dyDescent="0.35">
      <c r="A2141">
        <v>502</v>
      </c>
      <c r="B2141" t="s">
        <v>119</v>
      </c>
      <c r="C2141">
        <v>202602</v>
      </c>
      <c r="D2141">
        <v>26308</v>
      </c>
      <c r="E2141">
        <v>84.526410487083922</v>
      </c>
      <c r="F2141">
        <v>311.24</v>
      </c>
    </row>
    <row r="2142" spans="1:6" x14ac:dyDescent="0.35">
      <c r="A2142">
        <v>504</v>
      </c>
      <c r="B2142" t="s">
        <v>119</v>
      </c>
      <c r="C2142">
        <v>202602</v>
      </c>
      <c r="D2142">
        <v>51683</v>
      </c>
      <c r="E2142">
        <v>118.40049483402443</v>
      </c>
      <c r="F2142">
        <v>436.51</v>
      </c>
    </row>
    <row r="2143" spans="1:6" x14ac:dyDescent="0.35">
      <c r="A2143">
        <v>505</v>
      </c>
      <c r="B2143" t="s">
        <v>119</v>
      </c>
      <c r="C2143">
        <v>202602</v>
      </c>
      <c r="D2143">
        <v>25082</v>
      </c>
      <c r="E2143">
        <v>67.392122091461118</v>
      </c>
      <c r="F2143">
        <v>372.18</v>
      </c>
    </row>
    <row r="2144" spans="1:6" x14ac:dyDescent="0.35">
      <c r="A2144">
        <v>506</v>
      </c>
      <c r="B2144" t="s">
        <v>119</v>
      </c>
      <c r="C2144">
        <v>202602</v>
      </c>
      <c r="D2144">
        <v>24572</v>
      </c>
      <c r="E2144">
        <v>51.873588211699634</v>
      </c>
      <c r="F2144">
        <v>473.69</v>
      </c>
    </row>
    <row r="2145" spans="1:6" x14ac:dyDescent="0.35">
      <c r="A2145">
        <v>508</v>
      </c>
      <c r="B2145" t="s">
        <v>119</v>
      </c>
      <c r="C2145">
        <v>202602</v>
      </c>
      <c r="D2145">
        <v>18553</v>
      </c>
      <c r="E2145">
        <v>45.843834939461331</v>
      </c>
      <c r="F2145">
        <v>404.7</v>
      </c>
    </row>
    <row r="2146" spans="1:6" x14ac:dyDescent="0.35">
      <c r="A2146">
        <v>507</v>
      </c>
      <c r="B2146" t="s">
        <v>119</v>
      </c>
      <c r="C2146">
        <v>202602</v>
      </c>
      <c r="D2146">
        <v>14599</v>
      </c>
      <c r="E2146">
        <v>54.07037037037037</v>
      </c>
      <c r="F2146">
        <v>270</v>
      </c>
    </row>
    <row r="2147" spans="1:6" x14ac:dyDescent="0.35">
      <c r="A2147">
        <v>520</v>
      </c>
      <c r="B2147" t="s">
        <v>119</v>
      </c>
      <c r="C2147">
        <v>202602</v>
      </c>
      <c r="D2147">
        <v>532</v>
      </c>
      <c r="E2147">
        <v>7.8235294117647056</v>
      </c>
      <c r="F2147">
        <v>68</v>
      </c>
    </row>
    <row r="2148" spans="1:6" x14ac:dyDescent="0.35">
      <c r="A2148">
        <v>521</v>
      </c>
      <c r="B2148" t="s">
        <v>119</v>
      </c>
      <c r="C2148">
        <v>202602</v>
      </c>
      <c r="D2148">
        <v>3526</v>
      </c>
      <c r="E2148">
        <v>30.396551724137932</v>
      </c>
      <c r="F2148">
        <v>116</v>
      </c>
    </row>
    <row r="2149" spans="1:6" x14ac:dyDescent="0.35">
      <c r="A2149">
        <v>784</v>
      </c>
      <c r="B2149" t="s">
        <v>119</v>
      </c>
      <c r="C2149">
        <v>202602</v>
      </c>
      <c r="D2149">
        <v>712</v>
      </c>
      <c r="E2149">
        <v>2.1115065243179121</v>
      </c>
      <c r="F2149">
        <v>337.2</v>
      </c>
    </row>
    <row r="2150" spans="1:6" x14ac:dyDescent="0.35">
      <c r="A2150">
        <v>785</v>
      </c>
      <c r="B2150" t="s">
        <v>119</v>
      </c>
      <c r="C2150">
        <v>202602</v>
      </c>
      <c r="D2150">
        <v>779</v>
      </c>
      <c r="E2150">
        <v>1.3856278904304518</v>
      </c>
      <c r="F2150">
        <v>562.20000000000005</v>
      </c>
    </row>
    <row r="2151" spans="1:6" x14ac:dyDescent="0.35">
      <c r="A2151">
        <v>758</v>
      </c>
      <c r="B2151" t="s">
        <v>119</v>
      </c>
      <c r="C2151">
        <v>202602</v>
      </c>
      <c r="D2151">
        <v>3828</v>
      </c>
      <c r="E2151">
        <v>5.6738850104495535</v>
      </c>
      <c r="F2151">
        <v>674.67</v>
      </c>
    </row>
    <row r="2152" spans="1:6" x14ac:dyDescent="0.35">
      <c r="A2152">
        <v>757</v>
      </c>
      <c r="B2152" t="s">
        <v>119</v>
      </c>
      <c r="C2152">
        <v>202602</v>
      </c>
      <c r="D2152">
        <v>8271</v>
      </c>
      <c r="E2152">
        <v>16.717196216347322</v>
      </c>
      <c r="F2152">
        <v>494.76</v>
      </c>
    </row>
    <row r="2153" spans="1:6" x14ac:dyDescent="0.35">
      <c r="A2153">
        <v>580</v>
      </c>
      <c r="B2153" t="s">
        <v>119</v>
      </c>
      <c r="C2153">
        <v>202602</v>
      </c>
      <c r="D2153">
        <v>1056</v>
      </c>
      <c r="E2153">
        <v>3.901285650953155</v>
      </c>
      <c r="F2153">
        <v>270.68</v>
      </c>
    </row>
    <row r="2154" spans="1:6" x14ac:dyDescent="0.35">
      <c r="A2154">
        <v>582</v>
      </c>
      <c r="B2154" t="s">
        <v>119</v>
      </c>
      <c r="C2154">
        <v>202602</v>
      </c>
      <c r="D2154">
        <v>1167</v>
      </c>
      <c r="E2154">
        <v>3.8802992518703241</v>
      </c>
      <c r="F2154">
        <v>300.75</v>
      </c>
    </row>
    <row r="2155" spans="1:6" x14ac:dyDescent="0.35">
      <c r="A2155">
        <v>594</v>
      </c>
      <c r="B2155" t="s">
        <v>119</v>
      </c>
      <c r="C2155">
        <v>202602</v>
      </c>
      <c r="D2155">
        <v>12849</v>
      </c>
      <c r="E2155">
        <v>76.142222222222216</v>
      </c>
      <c r="F2155">
        <v>168.75</v>
      </c>
    </row>
    <row r="2156" spans="1:6" x14ac:dyDescent="0.35">
      <c r="A2156">
        <v>595</v>
      </c>
      <c r="B2156" t="s">
        <v>119</v>
      </c>
      <c r="C2156">
        <v>202602</v>
      </c>
      <c r="D2156">
        <v>20182</v>
      </c>
      <c r="E2156">
        <v>269.09333333333331</v>
      </c>
      <c r="F2156">
        <v>75</v>
      </c>
    </row>
    <row r="2157" spans="1:6" x14ac:dyDescent="0.35">
      <c r="A2157">
        <v>603</v>
      </c>
      <c r="B2157" t="s">
        <v>119</v>
      </c>
      <c r="C2157">
        <v>202602</v>
      </c>
      <c r="D2157">
        <v>2399</v>
      </c>
      <c r="E2157">
        <v>10.63575101968434</v>
      </c>
      <c r="F2157">
        <v>225.56</v>
      </c>
    </row>
    <row r="2158" spans="1:6" x14ac:dyDescent="0.35">
      <c r="A2158">
        <v>606</v>
      </c>
      <c r="B2158" t="s">
        <v>119</v>
      </c>
      <c r="C2158">
        <v>202602</v>
      </c>
      <c r="D2158">
        <v>2157</v>
      </c>
      <c r="E2158">
        <v>8.22121431566109</v>
      </c>
      <c r="F2158">
        <v>262.37</v>
      </c>
    </row>
    <row r="2159" spans="1:6" x14ac:dyDescent="0.35">
      <c r="A2159">
        <v>772</v>
      </c>
      <c r="B2159" t="s">
        <v>119</v>
      </c>
      <c r="C2159">
        <v>202602</v>
      </c>
      <c r="D2159">
        <v>299</v>
      </c>
      <c r="E2159">
        <v>1.4772727272727273</v>
      </c>
      <c r="F2159">
        <v>202.4</v>
      </c>
    </row>
    <row r="2160" spans="1:6" x14ac:dyDescent="0.35">
      <c r="A2160">
        <v>615</v>
      </c>
      <c r="B2160" t="s">
        <v>119</v>
      </c>
      <c r="C2160">
        <v>202602</v>
      </c>
      <c r="D2160">
        <v>3309</v>
      </c>
      <c r="E2160">
        <v>12.224767252844687</v>
      </c>
      <c r="F2160">
        <v>270.68</v>
      </c>
    </row>
    <row r="2161" spans="1:6" x14ac:dyDescent="0.35">
      <c r="A2161">
        <v>617</v>
      </c>
      <c r="B2161" t="s">
        <v>119</v>
      </c>
      <c r="C2161">
        <v>202602</v>
      </c>
      <c r="D2161">
        <v>1024</v>
      </c>
      <c r="E2161">
        <v>2.2755555555555556</v>
      </c>
      <c r="F2161">
        <v>450</v>
      </c>
    </row>
    <row r="2162" spans="1:6" x14ac:dyDescent="0.35">
      <c r="A2162">
        <v>751</v>
      </c>
      <c r="B2162" t="s">
        <v>119</v>
      </c>
      <c r="C2162">
        <v>202602</v>
      </c>
      <c r="D2162">
        <v>554</v>
      </c>
      <c r="E2162">
        <v>2.7289296093788487</v>
      </c>
      <c r="F2162">
        <v>203.01</v>
      </c>
    </row>
    <row r="2163" spans="1:6" x14ac:dyDescent="0.35">
      <c r="A2163">
        <v>752</v>
      </c>
      <c r="B2163" t="s">
        <v>119</v>
      </c>
      <c r="C2163">
        <v>202602</v>
      </c>
      <c r="D2163">
        <v>3114</v>
      </c>
      <c r="E2163">
        <v>9.0036430925808126</v>
      </c>
      <c r="F2163">
        <v>345.86</v>
      </c>
    </row>
    <row r="2164" spans="1:6" x14ac:dyDescent="0.35">
      <c r="A2164">
        <v>753</v>
      </c>
      <c r="B2164" t="s">
        <v>119</v>
      </c>
      <c r="C2164">
        <v>202602</v>
      </c>
      <c r="D2164">
        <v>5294</v>
      </c>
      <c r="E2164">
        <v>10.832378458012768</v>
      </c>
      <c r="F2164">
        <v>488.72</v>
      </c>
    </row>
    <row r="2165" spans="1:6" x14ac:dyDescent="0.35">
      <c r="A2165">
        <v>754</v>
      </c>
      <c r="B2165" t="s">
        <v>119</v>
      </c>
      <c r="C2165">
        <v>202602</v>
      </c>
      <c r="D2165">
        <v>618</v>
      </c>
      <c r="E2165">
        <v>1.0274143405762166</v>
      </c>
      <c r="F2165">
        <v>601.51</v>
      </c>
    </row>
    <row r="2166" spans="1:6" x14ac:dyDescent="0.35">
      <c r="A2166">
        <v>614</v>
      </c>
      <c r="B2166" t="s">
        <v>119</v>
      </c>
      <c r="C2166">
        <v>202602</v>
      </c>
      <c r="D2166">
        <v>13076</v>
      </c>
      <c r="E2166">
        <v>23.258626823194589</v>
      </c>
      <c r="F2166">
        <v>562.20000000000005</v>
      </c>
    </row>
    <row r="2167" spans="1:6" x14ac:dyDescent="0.35">
      <c r="A2167">
        <v>797</v>
      </c>
      <c r="B2167" t="s">
        <v>119</v>
      </c>
      <c r="C2167">
        <v>202602</v>
      </c>
      <c r="D2167">
        <v>1228</v>
      </c>
      <c r="E2167">
        <v>2.7301022676745221</v>
      </c>
      <c r="F2167">
        <v>449.8</v>
      </c>
    </row>
    <row r="2168" spans="1:6" x14ac:dyDescent="0.35">
      <c r="A2168">
        <v>613</v>
      </c>
      <c r="B2168" t="s">
        <v>119</v>
      </c>
      <c r="C2168">
        <v>202602</v>
      </c>
      <c r="D2168">
        <v>6827</v>
      </c>
      <c r="E2168">
        <v>23.340170940170939</v>
      </c>
      <c r="F2168">
        <v>292.5</v>
      </c>
    </row>
    <row r="2169" spans="1:6" x14ac:dyDescent="0.35">
      <c r="A2169">
        <v>767</v>
      </c>
      <c r="B2169" t="s">
        <v>119</v>
      </c>
      <c r="C2169">
        <v>202602</v>
      </c>
      <c r="D2169">
        <v>5946</v>
      </c>
      <c r="E2169">
        <v>9.9133044348116055</v>
      </c>
      <c r="F2169">
        <v>599.79999999999995</v>
      </c>
    </row>
    <row r="2170" spans="1:6" x14ac:dyDescent="0.35">
      <c r="A2170">
        <v>807</v>
      </c>
      <c r="B2170" t="s">
        <v>119</v>
      </c>
      <c r="C2170">
        <v>202602</v>
      </c>
      <c r="D2170">
        <v>589</v>
      </c>
      <c r="E2170">
        <v>2.9449999999999998</v>
      </c>
      <c r="F2170">
        <v>200</v>
      </c>
    </row>
    <row r="2171" spans="1:6" x14ac:dyDescent="0.35">
      <c r="A2171">
        <v>808</v>
      </c>
      <c r="B2171" t="s">
        <v>119</v>
      </c>
      <c r="C2171">
        <v>202602</v>
      </c>
      <c r="D2171">
        <v>1515</v>
      </c>
      <c r="E2171">
        <v>5.1401234986767994</v>
      </c>
      <c r="F2171">
        <v>294.74</v>
      </c>
    </row>
    <row r="2172" spans="1:6" x14ac:dyDescent="0.35">
      <c r="A2172">
        <v>502</v>
      </c>
      <c r="B2172" t="s">
        <v>120</v>
      </c>
      <c r="C2172">
        <v>202602</v>
      </c>
      <c r="D2172">
        <v>42713</v>
      </c>
      <c r="E2172">
        <v>137.23493124277084</v>
      </c>
      <c r="F2172">
        <v>311.24</v>
      </c>
    </row>
    <row r="2173" spans="1:6" x14ac:dyDescent="0.35">
      <c r="A2173">
        <v>504</v>
      </c>
      <c r="B2173" t="s">
        <v>120</v>
      </c>
      <c r="C2173">
        <v>202602</v>
      </c>
      <c r="D2173">
        <v>85808</v>
      </c>
      <c r="E2173">
        <v>196.57739799775493</v>
      </c>
      <c r="F2173">
        <v>436.51</v>
      </c>
    </row>
    <row r="2174" spans="1:6" x14ac:dyDescent="0.35">
      <c r="A2174">
        <v>505</v>
      </c>
      <c r="B2174" t="s">
        <v>120</v>
      </c>
      <c r="C2174">
        <v>202602</v>
      </c>
      <c r="D2174">
        <v>44520</v>
      </c>
      <c r="E2174">
        <v>119.61953893277446</v>
      </c>
      <c r="F2174">
        <v>372.18</v>
      </c>
    </row>
    <row r="2175" spans="1:6" x14ac:dyDescent="0.35">
      <c r="A2175">
        <v>506</v>
      </c>
      <c r="B2175" t="s">
        <v>120</v>
      </c>
      <c r="C2175">
        <v>202602</v>
      </c>
      <c r="D2175">
        <v>54281</v>
      </c>
      <c r="E2175">
        <v>114.5918216555131</v>
      </c>
      <c r="F2175">
        <v>473.69</v>
      </c>
    </row>
    <row r="2176" spans="1:6" x14ac:dyDescent="0.35">
      <c r="A2176">
        <v>508</v>
      </c>
      <c r="B2176" t="s">
        <v>120</v>
      </c>
      <c r="C2176">
        <v>202602</v>
      </c>
      <c r="D2176">
        <v>31763</v>
      </c>
      <c r="E2176">
        <v>78.485297751420802</v>
      </c>
      <c r="F2176">
        <v>404.7</v>
      </c>
    </row>
    <row r="2177" spans="1:6" x14ac:dyDescent="0.35">
      <c r="A2177">
        <v>507</v>
      </c>
      <c r="B2177" t="s">
        <v>120</v>
      </c>
      <c r="C2177">
        <v>202602</v>
      </c>
      <c r="D2177">
        <v>23890</v>
      </c>
      <c r="E2177">
        <v>88.481481481481481</v>
      </c>
      <c r="F2177">
        <v>270</v>
      </c>
    </row>
    <row r="2178" spans="1:6" x14ac:dyDescent="0.35">
      <c r="A2178">
        <v>520</v>
      </c>
      <c r="B2178" t="s">
        <v>120</v>
      </c>
      <c r="C2178">
        <v>202602</v>
      </c>
      <c r="D2178">
        <v>710</v>
      </c>
      <c r="E2178">
        <v>10.441176470588236</v>
      </c>
      <c r="F2178">
        <v>68</v>
      </c>
    </row>
    <row r="2179" spans="1:6" x14ac:dyDescent="0.35">
      <c r="A2179">
        <v>521</v>
      </c>
      <c r="B2179" t="s">
        <v>120</v>
      </c>
      <c r="C2179">
        <v>202602</v>
      </c>
      <c r="D2179">
        <v>3400</v>
      </c>
      <c r="E2179">
        <v>29.310344827586206</v>
      </c>
      <c r="F2179">
        <v>116</v>
      </c>
    </row>
    <row r="2180" spans="1:6" x14ac:dyDescent="0.35">
      <c r="A2180">
        <v>784</v>
      </c>
      <c r="B2180" t="s">
        <v>120</v>
      </c>
      <c r="C2180">
        <v>202602</v>
      </c>
      <c r="D2180">
        <v>904</v>
      </c>
      <c r="E2180">
        <v>2.6809015421115068</v>
      </c>
      <c r="F2180">
        <v>337.2</v>
      </c>
    </row>
    <row r="2181" spans="1:6" x14ac:dyDescent="0.35">
      <c r="A2181">
        <v>785</v>
      </c>
      <c r="B2181" t="s">
        <v>120</v>
      </c>
      <c r="C2181">
        <v>202602</v>
      </c>
      <c r="D2181">
        <v>1201</v>
      </c>
      <c r="E2181">
        <v>2.136250444681608</v>
      </c>
      <c r="F2181">
        <v>562.20000000000005</v>
      </c>
    </row>
    <row r="2182" spans="1:6" x14ac:dyDescent="0.35">
      <c r="A2182">
        <v>758</v>
      </c>
      <c r="B2182" t="s">
        <v>120</v>
      </c>
      <c r="C2182">
        <v>202602</v>
      </c>
      <c r="D2182">
        <v>12822</v>
      </c>
      <c r="E2182">
        <v>19.004846813997954</v>
      </c>
      <c r="F2182">
        <v>674.67</v>
      </c>
    </row>
    <row r="2183" spans="1:6" x14ac:dyDescent="0.35">
      <c r="A2183">
        <v>757</v>
      </c>
      <c r="B2183" t="s">
        <v>120</v>
      </c>
      <c r="C2183">
        <v>202602</v>
      </c>
      <c r="D2183">
        <v>20044</v>
      </c>
      <c r="E2183">
        <v>40.51257175196055</v>
      </c>
      <c r="F2183">
        <v>494.76</v>
      </c>
    </row>
    <row r="2184" spans="1:6" x14ac:dyDescent="0.35">
      <c r="A2184">
        <v>580</v>
      </c>
      <c r="B2184" t="s">
        <v>120</v>
      </c>
      <c r="C2184">
        <v>202602</v>
      </c>
      <c r="D2184">
        <v>15935</v>
      </c>
      <c r="E2184">
        <v>58.870252696911479</v>
      </c>
      <c r="F2184">
        <v>270.68</v>
      </c>
    </row>
    <row r="2185" spans="1:6" x14ac:dyDescent="0.35">
      <c r="A2185">
        <v>582</v>
      </c>
      <c r="B2185" t="s">
        <v>120</v>
      </c>
      <c r="C2185">
        <v>202602</v>
      </c>
      <c r="D2185">
        <v>4955</v>
      </c>
      <c r="E2185">
        <v>16.475477971737323</v>
      </c>
      <c r="F2185">
        <v>300.75</v>
      </c>
    </row>
    <row r="2186" spans="1:6" x14ac:dyDescent="0.35">
      <c r="A2186">
        <v>594</v>
      </c>
      <c r="B2186" t="s">
        <v>120</v>
      </c>
      <c r="C2186">
        <v>202602</v>
      </c>
      <c r="D2186">
        <v>40311</v>
      </c>
      <c r="E2186">
        <v>238.88</v>
      </c>
      <c r="F2186">
        <v>168.75</v>
      </c>
    </row>
    <row r="2187" spans="1:6" x14ac:dyDescent="0.35">
      <c r="A2187">
        <v>595</v>
      </c>
      <c r="B2187" t="s">
        <v>120</v>
      </c>
      <c r="C2187">
        <v>202602</v>
      </c>
      <c r="D2187">
        <v>24239</v>
      </c>
      <c r="E2187">
        <v>323.18666666666667</v>
      </c>
      <c r="F2187">
        <v>75</v>
      </c>
    </row>
    <row r="2188" spans="1:6" x14ac:dyDescent="0.35">
      <c r="A2188">
        <v>603</v>
      </c>
      <c r="B2188" t="s">
        <v>120</v>
      </c>
      <c r="C2188">
        <v>202602</v>
      </c>
      <c r="D2188">
        <v>4718</v>
      </c>
      <c r="E2188">
        <v>20.916829225039901</v>
      </c>
      <c r="F2188">
        <v>225.56</v>
      </c>
    </row>
    <row r="2189" spans="1:6" x14ac:dyDescent="0.35">
      <c r="A2189">
        <v>606</v>
      </c>
      <c r="B2189" t="s">
        <v>120</v>
      </c>
      <c r="C2189">
        <v>202602</v>
      </c>
      <c r="D2189">
        <v>5571</v>
      </c>
      <c r="E2189">
        <v>21.233372717917444</v>
      </c>
      <c r="F2189">
        <v>262.37</v>
      </c>
    </row>
    <row r="2190" spans="1:6" x14ac:dyDescent="0.35">
      <c r="A2190">
        <v>772</v>
      </c>
      <c r="B2190" t="s">
        <v>120</v>
      </c>
      <c r="C2190">
        <v>202602</v>
      </c>
      <c r="D2190">
        <v>624</v>
      </c>
      <c r="E2190">
        <v>3.0830039525691699</v>
      </c>
      <c r="F2190">
        <v>202.4</v>
      </c>
    </row>
    <row r="2191" spans="1:6" x14ac:dyDescent="0.35">
      <c r="A2191">
        <v>615</v>
      </c>
      <c r="B2191" t="s">
        <v>120</v>
      </c>
      <c r="C2191">
        <v>202602</v>
      </c>
      <c r="D2191">
        <v>8821</v>
      </c>
      <c r="E2191">
        <v>32.588296143047138</v>
      </c>
      <c r="F2191">
        <v>270.68</v>
      </c>
    </row>
    <row r="2192" spans="1:6" x14ac:dyDescent="0.35">
      <c r="A2192">
        <v>617</v>
      </c>
      <c r="B2192" t="s">
        <v>120</v>
      </c>
      <c r="C2192">
        <v>202602</v>
      </c>
      <c r="D2192">
        <v>3693</v>
      </c>
      <c r="E2192">
        <v>8.206666666666667</v>
      </c>
      <c r="F2192">
        <v>450</v>
      </c>
    </row>
    <row r="2193" spans="1:6" x14ac:dyDescent="0.35">
      <c r="A2193">
        <v>751</v>
      </c>
      <c r="B2193" t="s">
        <v>120</v>
      </c>
      <c r="C2193">
        <v>202602</v>
      </c>
      <c r="D2193">
        <v>15303</v>
      </c>
      <c r="E2193">
        <v>75.380523126939565</v>
      </c>
      <c r="F2193">
        <v>203.01</v>
      </c>
    </row>
    <row r="2194" spans="1:6" x14ac:dyDescent="0.35">
      <c r="A2194">
        <v>752</v>
      </c>
      <c r="B2194" t="s">
        <v>120</v>
      </c>
      <c r="C2194">
        <v>202602</v>
      </c>
      <c r="D2194">
        <v>24896</v>
      </c>
      <c r="E2194">
        <v>71.982883247556813</v>
      </c>
      <c r="F2194">
        <v>345.86</v>
      </c>
    </row>
    <row r="2195" spans="1:6" x14ac:dyDescent="0.35">
      <c r="A2195">
        <v>753</v>
      </c>
      <c r="B2195" t="s">
        <v>120</v>
      </c>
      <c r="C2195">
        <v>202602</v>
      </c>
      <c r="D2195">
        <v>65822</v>
      </c>
      <c r="E2195">
        <v>134.68243575053199</v>
      </c>
      <c r="F2195">
        <v>488.72</v>
      </c>
    </row>
    <row r="2196" spans="1:6" x14ac:dyDescent="0.35">
      <c r="A2196">
        <v>754</v>
      </c>
      <c r="B2196" t="s">
        <v>120</v>
      </c>
      <c r="C2196">
        <v>202602</v>
      </c>
      <c r="D2196">
        <v>985</v>
      </c>
      <c r="E2196">
        <v>1.6375455104653289</v>
      </c>
      <c r="F2196">
        <v>601.51</v>
      </c>
    </row>
    <row r="2197" spans="1:6" x14ac:dyDescent="0.35">
      <c r="A2197">
        <v>614</v>
      </c>
      <c r="B2197" t="s">
        <v>120</v>
      </c>
      <c r="C2197">
        <v>202602</v>
      </c>
      <c r="D2197">
        <v>27585</v>
      </c>
      <c r="E2197">
        <v>49.066168623265739</v>
      </c>
      <c r="F2197">
        <v>562.20000000000005</v>
      </c>
    </row>
    <row r="2198" spans="1:6" x14ac:dyDescent="0.35">
      <c r="A2198">
        <v>797</v>
      </c>
      <c r="B2198" t="s">
        <v>120</v>
      </c>
      <c r="C2198">
        <v>202602</v>
      </c>
      <c r="D2198">
        <v>3475</v>
      </c>
      <c r="E2198">
        <v>7.7256558470431305</v>
      </c>
      <c r="F2198">
        <v>449.8</v>
      </c>
    </row>
    <row r="2199" spans="1:6" x14ac:dyDescent="0.35">
      <c r="A2199">
        <v>613</v>
      </c>
      <c r="B2199" t="s">
        <v>120</v>
      </c>
      <c r="C2199">
        <v>202602</v>
      </c>
      <c r="D2199">
        <v>11870</v>
      </c>
      <c r="E2199">
        <v>40.581196581196579</v>
      </c>
      <c r="F2199">
        <v>292.5</v>
      </c>
    </row>
    <row r="2200" spans="1:6" x14ac:dyDescent="0.35">
      <c r="A2200">
        <v>767</v>
      </c>
      <c r="B2200" t="s">
        <v>120</v>
      </c>
      <c r="C2200">
        <v>202602</v>
      </c>
      <c r="D2200">
        <v>23185</v>
      </c>
      <c r="E2200">
        <v>38.654551517172393</v>
      </c>
      <c r="F2200">
        <v>599.79999999999995</v>
      </c>
    </row>
    <row r="2201" spans="1:6" x14ac:dyDescent="0.35">
      <c r="A2201">
        <v>807</v>
      </c>
      <c r="B2201" t="s">
        <v>120</v>
      </c>
      <c r="C2201">
        <v>202602</v>
      </c>
      <c r="D2201">
        <v>1572</v>
      </c>
      <c r="E2201">
        <v>7.86</v>
      </c>
      <c r="F2201">
        <v>200</v>
      </c>
    </row>
    <row r="2202" spans="1:6" x14ac:dyDescent="0.35">
      <c r="A2202">
        <v>808</v>
      </c>
      <c r="B2202" t="s">
        <v>120</v>
      </c>
      <c r="C2202">
        <v>202602</v>
      </c>
      <c r="D2202">
        <v>2505</v>
      </c>
      <c r="E2202">
        <v>8.4990160819705505</v>
      </c>
      <c r="F2202">
        <v>294.74</v>
      </c>
    </row>
    <row r="2203" spans="1:6" x14ac:dyDescent="0.35">
      <c r="A2203">
        <v>502</v>
      </c>
      <c r="B2203" t="s">
        <v>121</v>
      </c>
      <c r="C2203">
        <v>202602</v>
      </c>
      <c r="D2203">
        <v>29900</v>
      </c>
      <c r="E2203">
        <v>96.067343529109365</v>
      </c>
      <c r="F2203">
        <v>311.24</v>
      </c>
    </row>
    <row r="2204" spans="1:6" x14ac:dyDescent="0.35">
      <c r="A2204">
        <v>504</v>
      </c>
      <c r="B2204" t="s">
        <v>121</v>
      </c>
      <c r="C2204">
        <v>202602</v>
      </c>
      <c r="D2204">
        <v>60449</v>
      </c>
      <c r="E2204">
        <v>138.48250899177569</v>
      </c>
      <c r="F2204">
        <v>436.51</v>
      </c>
    </row>
    <row r="2205" spans="1:6" x14ac:dyDescent="0.35">
      <c r="A2205">
        <v>505</v>
      </c>
      <c r="B2205" t="s">
        <v>121</v>
      </c>
      <c r="C2205">
        <v>202602</v>
      </c>
      <c r="D2205">
        <v>31063</v>
      </c>
      <c r="E2205">
        <v>83.462303186630123</v>
      </c>
      <c r="F2205">
        <v>372.18</v>
      </c>
    </row>
    <row r="2206" spans="1:6" x14ac:dyDescent="0.35">
      <c r="A2206">
        <v>506</v>
      </c>
      <c r="B2206" t="s">
        <v>121</v>
      </c>
      <c r="C2206">
        <v>202602</v>
      </c>
      <c r="D2206">
        <v>35818</v>
      </c>
      <c r="E2206">
        <v>75.614853596233829</v>
      </c>
      <c r="F2206">
        <v>473.69</v>
      </c>
    </row>
    <row r="2207" spans="1:6" x14ac:dyDescent="0.35">
      <c r="A2207">
        <v>508</v>
      </c>
      <c r="B2207" t="s">
        <v>121</v>
      </c>
      <c r="C2207">
        <v>202602</v>
      </c>
      <c r="D2207">
        <v>24002</v>
      </c>
      <c r="E2207">
        <v>59.308129478626142</v>
      </c>
      <c r="F2207">
        <v>404.7</v>
      </c>
    </row>
    <row r="2208" spans="1:6" x14ac:dyDescent="0.35">
      <c r="A2208">
        <v>507</v>
      </c>
      <c r="B2208" t="s">
        <v>121</v>
      </c>
      <c r="C2208">
        <v>202602</v>
      </c>
      <c r="D2208">
        <v>17365</v>
      </c>
      <c r="E2208">
        <v>64.31481481481481</v>
      </c>
      <c r="F2208">
        <v>270</v>
      </c>
    </row>
    <row r="2209" spans="1:6" x14ac:dyDescent="0.35">
      <c r="A2209">
        <v>520</v>
      </c>
      <c r="B2209" t="s">
        <v>121</v>
      </c>
      <c r="C2209">
        <v>202602</v>
      </c>
      <c r="D2209">
        <v>385</v>
      </c>
      <c r="E2209">
        <v>5.6617647058823533</v>
      </c>
      <c r="F2209">
        <v>68</v>
      </c>
    </row>
    <row r="2210" spans="1:6" x14ac:dyDescent="0.35">
      <c r="A2210">
        <v>521</v>
      </c>
      <c r="B2210" t="s">
        <v>121</v>
      </c>
      <c r="C2210">
        <v>202602</v>
      </c>
      <c r="D2210">
        <v>2135</v>
      </c>
      <c r="E2210">
        <v>18.405172413793103</v>
      </c>
      <c r="F2210">
        <v>116</v>
      </c>
    </row>
    <row r="2211" spans="1:6" x14ac:dyDescent="0.35">
      <c r="A2211">
        <v>784</v>
      </c>
      <c r="B2211" t="s">
        <v>121</v>
      </c>
      <c r="C2211">
        <v>202602</v>
      </c>
      <c r="D2211">
        <v>610</v>
      </c>
      <c r="E2211">
        <v>1.8090154211150653</v>
      </c>
      <c r="F2211">
        <v>337.2</v>
      </c>
    </row>
    <row r="2212" spans="1:6" x14ac:dyDescent="0.35">
      <c r="A2212">
        <v>785</v>
      </c>
      <c r="B2212" t="s">
        <v>121</v>
      </c>
      <c r="C2212">
        <v>202602</v>
      </c>
      <c r="D2212">
        <v>668</v>
      </c>
      <c r="E2212">
        <v>1.1881892564923513</v>
      </c>
      <c r="F2212">
        <v>562.20000000000005</v>
      </c>
    </row>
    <row r="2213" spans="1:6" x14ac:dyDescent="0.35">
      <c r="A2213">
        <v>758</v>
      </c>
      <c r="B2213" t="s">
        <v>121</v>
      </c>
      <c r="C2213">
        <v>202602</v>
      </c>
      <c r="D2213">
        <v>8690</v>
      </c>
      <c r="E2213">
        <v>12.880371144411342</v>
      </c>
      <c r="F2213">
        <v>674.67</v>
      </c>
    </row>
    <row r="2214" spans="1:6" x14ac:dyDescent="0.35">
      <c r="A2214">
        <v>757</v>
      </c>
      <c r="B2214" t="s">
        <v>121</v>
      </c>
      <c r="C2214">
        <v>202602</v>
      </c>
      <c r="D2214">
        <v>14097</v>
      </c>
      <c r="E2214">
        <v>28.492602473926752</v>
      </c>
      <c r="F2214">
        <v>494.76</v>
      </c>
    </row>
    <row r="2215" spans="1:6" x14ac:dyDescent="0.35">
      <c r="A2215">
        <v>580</v>
      </c>
      <c r="B2215" t="s">
        <v>121</v>
      </c>
      <c r="C2215">
        <v>202602</v>
      </c>
      <c r="D2215">
        <v>1638</v>
      </c>
      <c r="E2215">
        <v>6.0514260381262002</v>
      </c>
      <c r="F2215">
        <v>270.68</v>
      </c>
    </row>
    <row r="2216" spans="1:6" x14ac:dyDescent="0.35">
      <c r="A2216">
        <v>582</v>
      </c>
      <c r="B2216" t="s">
        <v>121</v>
      </c>
      <c r="C2216">
        <v>202602</v>
      </c>
      <c r="D2216">
        <v>3142</v>
      </c>
      <c r="E2216">
        <v>10.447215295095594</v>
      </c>
      <c r="F2216">
        <v>300.75</v>
      </c>
    </row>
    <row r="2217" spans="1:6" x14ac:dyDescent="0.35">
      <c r="A2217">
        <v>594</v>
      </c>
      <c r="B2217" t="s">
        <v>121</v>
      </c>
      <c r="C2217">
        <v>202602</v>
      </c>
      <c r="D2217">
        <v>28975</v>
      </c>
      <c r="E2217">
        <v>171.7037037037037</v>
      </c>
      <c r="F2217">
        <v>168.75</v>
      </c>
    </row>
    <row r="2218" spans="1:6" x14ac:dyDescent="0.35">
      <c r="A2218">
        <v>595</v>
      </c>
      <c r="B2218" t="s">
        <v>121</v>
      </c>
      <c r="C2218">
        <v>202602</v>
      </c>
      <c r="D2218">
        <v>22673</v>
      </c>
      <c r="E2218">
        <v>302.30666666666667</v>
      </c>
      <c r="F2218">
        <v>75</v>
      </c>
    </row>
    <row r="2219" spans="1:6" x14ac:dyDescent="0.35">
      <c r="A2219">
        <v>603</v>
      </c>
      <c r="B2219" t="s">
        <v>121</v>
      </c>
      <c r="C2219">
        <v>202602</v>
      </c>
      <c r="D2219">
        <v>2675</v>
      </c>
      <c r="E2219">
        <v>11.859372229118637</v>
      </c>
      <c r="F2219">
        <v>225.56</v>
      </c>
    </row>
    <row r="2220" spans="1:6" x14ac:dyDescent="0.35">
      <c r="A2220">
        <v>606</v>
      </c>
      <c r="B2220" t="s">
        <v>121</v>
      </c>
      <c r="C2220">
        <v>202602</v>
      </c>
      <c r="D2220">
        <v>2612</v>
      </c>
      <c r="E2220">
        <v>9.9554064870221435</v>
      </c>
      <c r="F2220">
        <v>262.37</v>
      </c>
    </row>
    <row r="2221" spans="1:6" x14ac:dyDescent="0.35">
      <c r="A2221">
        <v>772</v>
      </c>
      <c r="B2221" t="s">
        <v>121</v>
      </c>
      <c r="C2221">
        <v>202602</v>
      </c>
      <c r="D2221">
        <v>323</v>
      </c>
      <c r="E2221">
        <v>1.5958498023715415</v>
      </c>
      <c r="F2221">
        <v>202.4</v>
      </c>
    </row>
    <row r="2222" spans="1:6" x14ac:dyDescent="0.35">
      <c r="A2222">
        <v>615</v>
      </c>
      <c r="B2222" t="s">
        <v>121</v>
      </c>
      <c r="C2222">
        <v>202602</v>
      </c>
      <c r="D2222">
        <v>6490</v>
      </c>
      <c r="E2222">
        <v>23.976651396482932</v>
      </c>
      <c r="F2222">
        <v>270.68</v>
      </c>
    </row>
    <row r="2223" spans="1:6" x14ac:dyDescent="0.35">
      <c r="A2223">
        <v>617</v>
      </c>
      <c r="B2223" t="s">
        <v>121</v>
      </c>
      <c r="C2223">
        <v>202602</v>
      </c>
      <c r="D2223">
        <v>2201</v>
      </c>
      <c r="E2223">
        <v>4.891111111111111</v>
      </c>
      <c r="F2223">
        <v>450</v>
      </c>
    </row>
    <row r="2224" spans="1:6" x14ac:dyDescent="0.35">
      <c r="A2224">
        <v>751</v>
      </c>
      <c r="B2224" t="s">
        <v>121</v>
      </c>
      <c r="C2224">
        <v>202602</v>
      </c>
      <c r="D2224">
        <v>6248</v>
      </c>
      <c r="E2224">
        <v>30.776809024186001</v>
      </c>
      <c r="F2224">
        <v>203.01</v>
      </c>
    </row>
    <row r="2225" spans="1:6" x14ac:dyDescent="0.35">
      <c r="A2225">
        <v>752</v>
      </c>
      <c r="B2225" t="s">
        <v>121</v>
      </c>
      <c r="C2225">
        <v>202602</v>
      </c>
      <c r="D2225">
        <v>33232</v>
      </c>
      <c r="E2225">
        <v>96.085121147285022</v>
      </c>
      <c r="F2225">
        <v>345.86</v>
      </c>
    </row>
    <row r="2226" spans="1:6" x14ac:dyDescent="0.35">
      <c r="A2226">
        <v>753</v>
      </c>
      <c r="B2226" t="s">
        <v>121</v>
      </c>
      <c r="C2226">
        <v>202602</v>
      </c>
      <c r="D2226">
        <v>27691</v>
      </c>
      <c r="E2226">
        <v>56.66025536094287</v>
      </c>
      <c r="F2226">
        <v>488.72</v>
      </c>
    </row>
    <row r="2227" spans="1:6" x14ac:dyDescent="0.35">
      <c r="A2227">
        <v>754</v>
      </c>
      <c r="B2227" t="s">
        <v>121</v>
      </c>
      <c r="C2227">
        <v>202602</v>
      </c>
      <c r="D2227">
        <v>664</v>
      </c>
      <c r="E2227">
        <v>1.1038885471563233</v>
      </c>
      <c r="F2227">
        <v>601.51</v>
      </c>
    </row>
    <row r="2228" spans="1:6" x14ac:dyDescent="0.35">
      <c r="A2228">
        <v>614</v>
      </c>
      <c r="B2228" t="s">
        <v>121</v>
      </c>
      <c r="C2228">
        <v>202602</v>
      </c>
      <c r="D2228">
        <v>18084</v>
      </c>
      <c r="E2228">
        <v>32.166488794023479</v>
      </c>
      <c r="F2228">
        <v>562.20000000000005</v>
      </c>
    </row>
    <row r="2229" spans="1:6" x14ac:dyDescent="0.35">
      <c r="A2229">
        <v>797</v>
      </c>
      <c r="B2229" t="s">
        <v>121</v>
      </c>
      <c r="C2229">
        <v>202602</v>
      </c>
      <c r="D2229">
        <v>1057</v>
      </c>
      <c r="E2229">
        <v>2.3499333036905292</v>
      </c>
      <c r="F2229">
        <v>449.8</v>
      </c>
    </row>
    <row r="2230" spans="1:6" x14ac:dyDescent="0.35">
      <c r="A2230">
        <v>613</v>
      </c>
      <c r="B2230" t="s">
        <v>121</v>
      </c>
      <c r="C2230">
        <v>202602</v>
      </c>
      <c r="D2230">
        <v>8059</v>
      </c>
      <c r="E2230">
        <v>27.552136752136754</v>
      </c>
      <c r="F2230">
        <v>292.5</v>
      </c>
    </row>
    <row r="2231" spans="1:6" x14ac:dyDescent="0.35">
      <c r="A2231">
        <v>767</v>
      </c>
      <c r="B2231" t="s">
        <v>121</v>
      </c>
      <c r="C2231">
        <v>202602</v>
      </c>
      <c r="D2231">
        <v>9429</v>
      </c>
      <c r="E2231">
        <v>15.720240080026677</v>
      </c>
      <c r="F2231">
        <v>599.79999999999995</v>
      </c>
    </row>
    <row r="2232" spans="1:6" x14ac:dyDescent="0.35">
      <c r="A2232">
        <v>807</v>
      </c>
      <c r="B2232" t="s">
        <v>121</v>
      </c>
      <c r="C2232">
        <v>202602</v>
      </c>
      <c r="D2232">
        <v>2743</v>
      </c>
      <c r="E2232">
        <v>13.715</v>
      </c>
      <c r="F2232">
        <v>200</v>
      </c>
    </row>
    <row r="2233" spans="1:6" x14ac:dyDescent="0.35">
      <c r="A2233">
        <v>808</v>
      </c>
      <c r="B2233" t="s">
        <v>121</v>
      </c>
      <c r="C2233">
        <v>202602</v>
      </c>
      <c r="D2233">
        <v>3749</v>
      </c>
      <c r="E2233">
        <v>12.719685146230576</v>
      </c>
      <c r="F2233">
        <v>294.74</v>
      </c>
    </row>
    <row r="2234" spans="1:6" x14ac:dyDescent="0.35">
      <c r="A2234">
        <v>502</v>
      </c>
      <c r="B2234" t="s">
        <v>122</v>
      </c>
      <c r="C2234">
        <v>202602</v>
      </c>
      <c r="D2234">
        <v>66252</v>
      </c>
      <c r="E2234">
        <v>212.86467035085465</v>
      </c>
      <c r="F2234">
        <v>311.24</v>
      </c>
    </row>
    <row r="2235" spans="1:6" x14ac:dyDescent="0.35">
      <c r="A2235">
        <v>504</v>
      </c>
      <c r="B2235" t="s">
        <v>122</v>
      </c>
      <c r="C2235">
        <v>202602</v>
      </c>
      <c r="D2235">
        <v>134051</v>
      </c>
      <c r="E2235">
        <v>307.09720281322308</v>
      </c>
      <c r="F2235">
        <v>436.51</v>
      </c>
    </row>
    <row r="2236" spans="1:6" x14ac:dyDescent="0.35">
      <c r="A2236">
        <v>505</v>
      </c>
      <c r="B2236" t="s">
        <v>122</v>
      </c>
      <c r="C2236">
        <v>202602</v>
      </c>
      <c r="D2236">
        <v>71418</v>
      </c>
      <c r="E2236">
        <v>191.8910204739642</v>
      </c>
      <c r="F2236">
        <v>372.18</v>
      </c>
    </row>
    <row r="2237" spans="1:6" x14ac:dyDescent="0.35">
      <c r="A2237">
        <v>506</v>
      </c>
      <c r="B2237" t="s">
        <v>122</v>
      </c>
      <c r="C2237">
        <v>202602</v>
      </c>
      <c r="D2237">
        <v>84059</v>
      </c>
      <c r="E2237">
        <v>177.45571998564463</v>
      </c>
      <c r="F2237">
        <v>473.69</v>
      </c>
    </row>
    <row r="2238" spans="1:6" x14ac:dyDescent="0.35">
      <c r="A2238">
        <v>508</v>
      </c>
      <c r="B2238" t="s">
        <v>122</v>
      </c>
      <c r="C2238">
        <v>202602</v>
      </c>
      <c r="D2238">
        <v>56647</v>
      </c>
      <c r="E2238">
        <v>139.9728193723746</v>
      </c>
      <c r="F2238">
        <v>404.7</v>
      </c>
    </row>
    <row r="2239" spans="1:6" x14ac:dyDescent="0.35">
      <c r="A2239">
        <v>507</v>
      </c>
      <c r="B2239" t="s">
        <v>122</v>
      </c>
      <c r="C2239">
        <v>202602</v>
      </c>
      <c r="D2239">
        <v>48110</v>
      </c>
      <c r="E2239">
        <v>178.18518518518519</v>
      </c>
      <c r="F2239">
        <v>270</v>
      </c>
    </row>
    <row r="2240" spans="1:6" x14ac:dyDescent="0.35">
      <c r="A2240">
        <v>520</v>
      </c>
      <c r="B2240" t="s">
        <v>122</v>
      </c>
      <c r="C2240">
        <v>202602</v>
      </c>
      <c r="D2240">
        <v>724</v>
      </c>
      <c r="E2240">
        <v>10.647058823529411</v>
      </c>
      <c r="F2240">
        <v>68</v>
      </c>
    </row>
    <row r="2241" spans="1:6" x14ac:dyDescent="0.35">
      <c r="A2241">
        <v>521</v>
      </c>
      <c r="B2241" t="s">
        <v>122</v>
      </c>
      <c r="C2241">
        <v>202602</v>
      </c>
      <c r="D2241">
        <v>4442</v>
      </c>
      <c r="E2241">
        <v>38.293103448275865</v>
      </c>
      <c r="F2241">
        <v>116</v>
      </c>
    </row>
    <row r="2242" spans="1:6" x14ac:dyDescent="0.35">
      <c r="A2242">
        <v>784</v>
      </c>
      <c r="B2242" t="s">
        <v>122</v>
      </c>
      <c r="C2242">
        <v>202602</v>
      </c>
      <c r="D2242">
        <v>777</v>
      </c>
      <c r="E2242">
        <v>2.3042704626334523</v>
      </c>
      <c r="F2242">
        <v>337.2</v>
      </c>
    </row>
    <row r="2243" spans="1:6" x14ac:dyDescent="0.35">
      <c r="A2243">
        <v>785</v>
      </c>
      <c r="B2243" t="s">
        <v>122</v>
      </c>
      <c r="C2243">
        <v>202602</v>
      </c>
      <c r="D2243">
        <v>1350</v>
      </c>
      <c r="E2243">
        <v>2.4012806830309494</v>
      </c>
      <c r="F2243">
        <v>562.20000000000005</v>
      </c>
    </row>
    <row r="2244" spans="1:6" x14ac:dyDescent="0.35">
      <c r="A2244">
        <v>758</v>
      </c>
      <c r="B2244" t="s">
        <v>122</v>
      </c>
      <c r="C2244">
        <v>202602</v>
      </c>
      <c r="D2244">
        <v>19570</v>
      </c>
      <c r="E2244">
        <v>29.006773681948214</v>
      </c>
      <c r="F2244">
        <v>674.67</v>
      </c>
    </row>
    <row r="2245" spans="1:6" x14ac:dyDescent="0.35">
      <c r="A2245">
        <v>757</v>
      </c>
      <c r="B2245" t="s">
        <v>122</v>
      </c>
      <c r="C2245">
        <v>202602</v>
      </c>
      <c r="D2245">
        <v>34566</v>
      </c>
      <c r="E2245">
        <v>69.864176570458412</v>
      </c>
      <c r="F2245">
        <v>494.76</v>
      </c>
    </row>
    <row r="2246" spans="1:6" x14ac:dyDescent="0.35">
      <c r="A2246">
        <v>580</v>
      </c>
      <c r="B2246" t="s">
        <v>122</v>
      </c>
      <c r="C2246">
        <v>202602</v>
      </c>
      <c r="D2246">
        <v>2937</v>
      </c>
      <c r="E2246">
        <v>10.850450716713462</v>
      </c>
      <c r="F2246">
        <v>270.68</v>
      </c>
    </row>
    <row r="2247" spans="1:6" x14ac:dyDescent="0.35">
      <c r="A2247">
        <v>582</v>
      </c>
      <c r="B2247" t="s">
        <v>122</v>
      </c>
      <c r="C2247">
        <v>202602</v>
      </c>
      <c r="D2247">
        <v>20411</v>
      </c>
      <c r="E2247">
        <v>67.866999168744812</v>
      </c>
      <c r="F2247">
        <v>300.75</v>
      </c>
    </row>
    <row r="2248" spans="1:6" x14ac:dyDescent="0.35">
      <c r="A2248">
        <v>594</v>
      </c>
      <c r="B2248" t="s">
        <v>122</v>
      </c>
      <c r="C2248">
        <v>202602</v>
      </c>
      <c r="D2248">
        <v>21407</v>
      </c>
      <c r="E2248">
        <v>126.85629629629629</v>
      </c>
      <c r="F2248">
        <v>168.75</v>
      </c>
    </row>
    <row r="2249" spans="1:6" x14ac:dyDescent="0.35">
      <c r="A2249">
        <v>595</v>
      </c>
      <c r="B2249" t="s">
        <v>122</v>
      </c>
      <c r="C2249">
        <v>202602</v>
      </c>
      <c r="D2249">
        <v>30869</v>
      </c>
      <c r="E2249">
        <v>411.58666666666664</v>
      </c>
      <c r="F2249">
        <v>75</v>
      </c>
    </row>
    <row r="2250" spans="1:6" x14ac:dyDescent="0.35">
      <c r="A2250">
        <v>603</v>
      </c>
      <c r="B2250" t="s">
        <v>122</v>
      </c>
      <c r="C2250">
        <v>202602</v>
      </c>
      <c r="D2250">
        <v>4932</v>
      </c>
      <c r="E2250">
        <v>21.86557900336939</v>
      </c>
      <c r="F2250">
        <v>225.56</v>
      </c>
    </row>
    <row r="2251" spans="1:6" x14ac:dyDescent="0.35">
      <c r="A2251">
        <v>606</v>
      </c>
      <c r="B2251" t="s">
        <v>122</v>
      </c>
      <c r="C2251">
        <v>202602</v>
      </c>
      <c r="D2251">
        <v>5161</v>
      </c>
      <c r="E2251">
        <v>19.67069405800968</v>
      </c>
      <c r="F2251">
        <v>262.37</v>
      </c>
    </row>
    <row r="2252" spans="1:6" x14ac:dyDescent="0.35">
      <c r="A2252">
        <v>772</v>
      </c>
      <c r="B2252" t="s">
        <v>122</v>
      </c>
      <c r="C2252">
        <v>202602</v>
      </c>
      <c r="D2252">
        <v>590</v>
      </c>
      <c r="E2252">
        <v>2.9150197628458496</v>
      </c>
      <c r="F2252">
        <v>202.4</v>
      </c>
    </row>
    <row r="2253" spans="1:6" x14ac:dyDescent="0.35">
      <c r="A2253">
        <v>615</v>
      </c>
      <c r="B2253" t="s">
        <v>122</v>
      </c>
      <c r="C2253">
        <v>202602</v>
      </c>
      <c r="D2253">
        <v>10905</v>
      </c>
      <c r="E2253">
        <v>40.28742426481454</v>
      </c>
      <c r="F2253">
        <v>270.68</v>
      </c>
    </row>
    <row r="2254" spans="1:6" x14ac:dyDescent="0.35">
      <c r="A2254">
        <v>617</v>
      </c>
      <c r="B2254" t="s">
        <v>122</v>
      </c>
      <c r="C2254">
        <v>202602</v>
      </c>
      <c r="D2254">
        <v>4186</v>
      </c>
      <c r="E2254">
        <v>9.3022222222222215</v>
      </c>
      <c r="F2254">
        <v>450</v>
      </c>
    </row>
    <row r="2255" spans="1:6" x14ac:dyDescent="0.35">
      <c r="A2255">
        <v>751</v>
      </c>
      <c r="B2255" t="s">
        <v>122</v>
      </c>
      <c r="C2255">
        <v>202602</v>
      </c>
      <c r="D2255">
        <v>1542</v>
      </c>
      <c r="E2255">
        <v>7.5956849416284919</v>
      </c>
      <c r="F2255">
        <v>203.01</v>
      </c>
    </row>
    <row r="2256" spans="1:6" x14ac:dyDescent="0.35">
      <c r="A2256">
        <v>752</v>
      </c>
      <c r="B2256" t="s">
        <v>122</v>
      </c>
      <c r="C2256">
        <v>202602</v>
      </c>
      <c r="D2256">
        <v>8757</v>
      </c>
      <c r="E2256">
        <v>25.319493436650667</v>
      </c>
      <c r="F2256">
        <v>345.86</v>
      </c>
    </row>
    <row r="2257" spans="1:6" x14ac:dyDescent="0.35">
      <c r="A2257">
        <v>753</v>
      </c>
      <c r="B2257" t="s">
        <v>122</v>
      </c>
      <c r="C2257">
        <v>202602</v>
      </c>
      <c r="D2257">
        <v>13477</v>
      </c>
      <c r="E2257">
        <v>27.576117204125058</v>
      </c>
      <c r="F2257">
        <v>488.72</v>
      </c>
    </row>
    <row r="2258" spans="1:6" x14ac:dyDescent="0.35">
      <c r="A2258">
        <v>754</v>
      </c>
      <c r="B2258" t="s">
        <v>122</v>
      </c>
      <c r="C2258">
        <v>202602</v>
      </c>
      <c r="D2258">
        <v>1190</v>
      </c>
      <c r="E2258">
        <v>1.9783544745723263</v>
      </c>
      <c r="F2258">
        <v>601.51</v>
      </c>
    </row>
    <row r="2259" spans="1:6" x14ac:dyDescent="0.35">
      <c r="A2259">
        <v>614</v>
      </c>
      <c r="B2259" t="s">
        <v>122</v>
      </c>
      <c r="C2259">
        <v>202602</v>
      </c>
      <c r="D2259">
        <v>44363</v>
      </c>
      <c r="E2259">
        <v>78.909640697260755</v>
      </c>
      <c r="F2259">
        <v>562.20000000000005</v>
      </c>
    </row>
    <row r="2260" spans="1:6" x14ac:dyDescent="0.35">
      <c r="A2260">
        <v>797</v>
      </c>
      <c r="B2260" t="s">
        <v>122</v>
      </c>
      <c r="C2260">
        <v>202602</v>
      </c>
      <c r="D2260">
        <v>3017</v>
      </c>
      <c r="E2260">
        <v>6.7074255224544244</v>
      </c>
      <c r="F2260">
        <v>449.8</v>
      </c>
    </row>
    <row r="2261" spans="1:6" x14ac:dyDescent="0.35">
      <c r="A2261">
        <v>613</v>
      </c>
      <c r="B2261" t="s">
        <v>122</v>
      </c>
      <c r="C2261">
        <v>202602</v>
      </c>
      <c r="D2261">
        <v>21035</v>
      </c>
      <c r="E2261">
        <v>71.914529914529908</v>
      </c>
      <c r="F2261">
        <v>292.5</v>
      </c>
    </row>
    <row r="2262" spans="1:6" x14ac:dyDescent="0.35">
      <c r="A2262">
        <v>767</v>
      </c>
      <c r="B2262" t="s">
        <v>122</v>
      </c>
      <c r="C2262">
        <v>202602</v>
      </c>
      <c r="D2262">
        <v>16933</v>
      </c>
      <c r="E2262">
        <v>28.231077025675226</v>
      </c>
      <c r="F2262">
        <v>599.79999999999995</v>
      </c>
    </row>
    <row r="2263" spans="1:6" x14ac:dyDescent="0.35">
      <c r="A2263">
        <v>807</v>
      </c>
      <c r="B2263" t="s">
        <v>122</v>
      </c>
      <c r="C2263">
        <v>202602</v>
      </c>
      <c r="D2263">
        <v>3665</v>
      </c>
      <c r="E2263">
        <v>18.324999999999999</v>
      </c>
      <c r="F2263">
        <v>200</v>
      </c>
    </row>
    <row r="2264" spans="1:6" x14ac:dyDescent="0.35">
      <c r="A2264">
        <v>808</v>
      </c>
      <c r="B2264" t="s">
        <v>122</v>
      </c>
      <c r="C2264">
        <v>202602</v>
      </c>
      <c r="D2264">
        <v>7288</v>
      </c>
      <c r="E2264">
        <v>24.726877926307932</v>
      </c>
      <c r="F2264">
        <v>294.74</v>
      </c>
    </row>
    <row r="2265" spans="1:6" x14ac:dyDescent="0.35">
      <c r="A2265">
        <v>502</v>
      </c>
      <c r="B2265" t="s">
        <v>123</v>
      </c>
      <c r="C2265">
        <v>202602</v>
      </c>
      <c r="D2265">
        <v>32134</v>
      </c>
      <c r="E2265">
        <v>103.24508417941138</v>
      </c>
      <c r="F2265">
        <v>311.24</v>
      </c>
    </row>
    <row r="2266" spans="1:6" x14ac:dyDescent="0.35">
      <c r="A2266">
        <v>504</v>
      </c>
      <c r="B2266" t="s">
        <v>123</v>
      </c>
      <c r="C2266">
        <v>202602</v>
      </c>
      <c r="D2266">
        <v>62945</v>
      </c>
      <c r="E2266">
        <v>144.20059105175139</v>
      </c>
      <c r="F2266">
        <v>436.51</v>
      </c>
    </row>
    <row r="2267" spans="1:6" x14ac:dyDescent="0.35">
      <c r="A2267">
        <v>505</v>
      </c>
      <c r="B2267" t="s">
        <v>123</v>
      </c>
      <c r="C2267">
        <v>202602</v>
      </c>
      <c r="D2267">
        <v>32770</v>
      </c>
      <c r="E2267">
        <v>88.048793594497283</v>
      </c>
      <c r="F2267">
        <v>372.18</v>
      </c>
    </row>
    <row r="2268" spans="1:6" x14ac:dyDescent="0.35">
      <c r="A2268">
        <v>506</v>
      </c>
      <c r="B2268" t="s">
        <v>123</v>
      </c>
      <c r="C2268">
        <v>202602</v>
      </c>
      <c r="D2268">
        <v>40412</v>
      </c>
      <c r="E2268">
        <v>85.313179505583818</v>
      </c>
      <c r="F2268">
        <v>473.69</v>
      </c>
    </row>
    <row r="2269" spans="1:6" x14ac:dyDescent="0.35">
      <c r="A2269">
        <v>508</v>
      </c>
      <c r="B2269" t="s">
        <v>123</v>
      </c>
      <c r="C2269">
        <v>202602</v>
      </c>
      <c r="D2269">
        <v>26966</v>
      </c>
      <c r="E2269">
        <v>66.632073140597981</v>
      </c>
      <c r="F2269">
        <v>404.7</v>
      </c>
    </row>
    <row r="2270" spans="1:6" x14ac:dyDescent="0.35">
      <c r="A2270">
        <v>507</v>
      </c>
      <c r="B2270" t="s">
        <v>123</v>
      </c>
      <c r="C2270">
        <v>202602</v>
      </c>
      <c r="D2270">
        <v>18326</v>
      </c>
      <c r="E2270">
        <v>67.874074074074073</v>
      </c>
      <c r="F2270">
        <v>270</v>
      </c>
    </row>
    <row r="2271" spans="1:6" x14ac:dyDescent="0.35">
      <c r="A2271">
        <v>520</v>
      </c>
      <c r="B2271" t="s">
        <v>123</v>
      </c>
      <c r="C2271">
        <v>202602</v>
      </c>
      <c r="D2271">
        <v>422</v>
      </c>
      <c r="E2271">
        <v>6.2058823529411766</v>
      </c>
      <c r="F2271">
        <v>68</v>
      </c>
    </row>
    <row r="2272" spans="1:6" x14ac:dyDescent="0.35">
      <c r="A2272">
        <v>521</v>
      </c>
      <c r="B2272" t="s">
        <v>123</v>
      </c>
      <c r="C2272">
        <v>202602</v>
      </c>
      <c r="D2272">
        <v>2173</v>
      </c>
      <c r="E2272">
        <v>18.732758620689655</v>
      </c>
      <c r="F2272">
        <v>116</v>
      </c>
    </row>
    <row r="2273" spans="1:6" x14ac:dyDescent="0.35">
      <c r="A2273">
        <v>784</v>
      </c>
      <c r="B2273" t="s">
        <v>123</v>
      </c>
      <c r="C2273">
        <v>202602</v>
      </c>
      <c r="D2273">
        <v>772</v>
      </c>
      <c r="E2273">
        <v>2.2894424673784104</v>
      </c>
      <c r="F2273">
        <v>337.2</v>
      </c>
    </row>
    <row r="2274" spans="1:6" x14ac:dyDescent="0.35">
      <c r="A2274">
        <v>785</v>
      </c>
      <c r="B2274" t="s">
        <v>123</v>
      </c>
      <c r="C2274">
        <v>202602</v>
      </c>
      <c r="D2274">
        <v>1040</v>
      </c>
      <c r="E2274">
        <v>1.8498754891497686</v>
      </c>
      <c r="F2274">
        <v>562.20000000000005</v>
      </c>
    </row>
    <row r="2275" spans="1:6" x14ac:dyDescent="0.35">
      <c r="A2275">
        <v>758</v>
      </c>
      <c r="B2275" t="s">
        <v>123</v>
      </c>
      <c r="C2275">
        <v>202602</v>
      </c>
      <c r="D2275">
        <v>12832</v>
      </c>
      <c r="E2275">
        <v>19.01966887515378</v>
      </c>
      <c r="F2275">
        <v>674.67</v>
      </c>
    </row>
    <row r="2276" spans="1:6" x14ac:dyDescent="0.35">
      <c r="A2276">
        <v>757</v>
      </c>
      <c r="B2276" t="s">
        <v>123</v>
      </c>
      <c r="C2276">
        <v>202602</v>
      </c>
      <c r="D2276">
        <v>18158</v>
      </c>
      <c r="E2276">
        <v>36.700622524052065</v>
      </c>
      <c r="F2276">
        <v>494.76</v>
      </c>
    </row>
    <row r="2277" spans="1:6" x14ac:dyDescent="0.35">
      <c r="A2277">
        <v>580</v>
      </c>
      <c r="B2277" t="s">
        <v>123</v>
      </c>
      <c r="C2277">
        <v>202602</v>
      </c>
      <c r="D2277">
        <v>1548</v>
      </c>
      <c r="E2277">
        <v>5.7189301019654204</v>
      </c>
      <c r="F2277">
        <v>270.68</v>
      </c>
    </row>
    <row r="2278" spans="1:6" x14ac:dyDescent="0.35">
      <c r="A2278">
        <v>582</v>
      </c>
      <c r="B2278" t="s">
        <v>123</v>
      </c>
      <c r="C2278">
        <v>202602</v>
      </c>
      <c r="D2278">
        <v>2739</v>
      </c>
      <c r="E2278">
        <v>9.1072319201995011</v>
      </c>
      <c r="F2278">
        <v>300.75</v>
      </c>
    </row>
    <row r="2279" spans="1:6" x14ac:dyDescent="0.35">
      <c r="A2279">
        <v>594</v>
      </c>
      <c r="B2279" t="s">
        <v>123</v>
      </c>
      <c r="C2279">
        <v>202602</v>
      </c>
      <c r="D2279">
        <v>20563</v>
      </c>
      <c r="E2279">
        <v>121.85481481481482</v>
      </c>
      <c r="F2279">
        <v>168.75</v>
      </c>
    </row>
    <row r="2280" spans="1:6" x14ac:dyDescent="0.35">
      <c r="A2280">
        <v>595</v>
      </c>
      <c r="B2280" t="s">
        <v>123</v>
      </c>
      <c r="C2280">
        <v>202602</v>
      </c>
      <c r="D2280">
        <v>18377</v>
      </c>
      <c r="E2280">
        <v>245.02666666666667</v>
      </c>
      <c r="F2280">
        <v>75</v>
      </c>
    </row>
    <row r="2281" spans="1:6" x14ac:dyDescent="0.35">
      <c r="A2281">
        <v>603</v>
      </c>
      <c r="B2281" t="s">
        <v>123</v>
      </c>
      <c r="C2281">
        <v>202602</v>
      </c>
      <c r="D2281">
        <v>3058</v>
      </c>
      <c r="E2281">
        <v>13.557368327717681</v>
      </c>
      <c r="F2281">
        <v>225.56</v>
      </c>
    </row>
    <row r="2282" spans="1:6" x14ac:dyDescent="0.35">
      <c r="A2282">
        <v>606</v>
      </c>
      <c r="B2282" t="s">
        <v>123</v>
      </c>
      <c r="C2282">
        <v>202602</v>
      </c>
      <c r="D2282">
        <v>2845</v>
      </c>
      <c r="E2282">
        <v>10.843465335213629</v>
      </c>
      <c r="F2282">
        <v>262.37</v>
      </c>
    </row>
    <row r="2283" spans="1:6" x14ac:dyDescent="0.35">
      <c r="A2283">
        <v>772</v>
      </c>
      <c r="B2283" t="s">
        <v>123</v>
      </c>
      <c r="C2283">
        <v>202602</v>
      </c>
      <c r="D2283">
        <v>371</v>
      </c>
      <c r="E2283">
        <v>1.8330039525691699</v>
      </c>
      <c r="F2283">
        <v>202.4</v>
      </c>
    </row>
    <row r="2284" spans="1:6" x14ac:dyDescent="0.35">
      <c r="A2284">
        <v>615</v>
      </c>
      <c r="B2284" t="s">
        <v>123</v>
      </c>
      <c r="C2284">
        <v>202602</v>
      </c>
      <c r="D2284">
        <v>9433</v>
      </c>
      <c r="E2284">
        <v>34.849268508940447</v>
      </c>
      <c r="F2284">
        <v>270.68</v>
      </c>
    </row>
    <row r="2285" spans="1:6" x14ac:dyDescent="0.35">
      <c r="A2285">
        <v>617</v>
      </c>
      <c r="B2285" t="s">
        <v>123</v>
      </c>
      <c r="C2285">
        <v>202602</v>
      </c>
      <c r="D2285">
        <v>2571</v>
      </c>
      <c r="E2285">
        <v>5.7133333333333329</v>
      </c>
      <c r="F2285">
        <v>450</v>
      </c>
    </row>
    <row r="2286" spans="1:6" x14ac:dyDescent="0.35">
      <c r="A2286">
        <v>751</v>
      </c>
      <c r="B2286" t="s">
        <v>123</v>
      </c>
      <c r="C2286">
        <v>202602</v>
      </c>
      <c r="D2286">
        <v>4426</v>
      </c>
      <c r="E2286">
        <v>21.801881680705385</v>
      </c>
      <c r="F2286">
        <v>203.01</v>
      </c>
    </row>
    <row r="2287" spans="1:6" x14ac:dyDescent="0.35">
      <c r="A2287">
        <v>752</v>
      </c>
      <c r="B2287" t="s">
        <v>123</v>
      </c>
      <c r="C2287">
        <v>202602</v>
      </c>
      <c r="D2287">
        <v>11404</v>
      </c>
      <c r="E2287">
        <v>32.972879199676171</v>
      </c>
      <c r="F2287">
        <v>345.86</v>
      </c>
    </row>
    <row r="2288" spans="1:6" x14ac:dyDescent="0.35">
      <c r="A2288">
        <v>753</v>
      </c>
      <c r="B2288" t="s">
        <v>123</v>
      </c>
      <c r="C2288">
        <v>202602</v>
      </c>
      <c r="D2288">
        <v>17085</v>
      </c>
      <c r="E2288">
        <v>34.958667539695526</v>
      </c>
      <c r="F2288">
        <v>488.72</v>
      </c>
    </row>
    <row r="2289" spans="1:6" x14ac:dyDescent="0.35">
      <c r="A2289">
        <v>754</v>
      </c>
      <c r="B2289" t="s">
        <v>123</v>
      </c>
      <c r="C2289">
        <v>202602</v>
      </c>
      <c r="D2289">
        <v>1748</v>
      </c>
      <c r="E2289">
        <v>2.9060198500440557</v>
      </c>
      <c r="F2289">
        <v>601.51</v>
      </c>
    </row>
    <row r="2290" spans="1:6" x14ac:dyDescent="0.35">
      <c r="A2290">
        <v>614</v>
      </c>
      <c r="B2290" t="s">
        <v>123</v>
      </c>
      <c r="C2290">
        <v>202602</v>
      </c>
      <c r="D2290">
        <v>14978</v>
      </c>
      <c r="E2290">
        <v>26.641764496620418</v>
      </c>
      <c r="F2290">
        <v>562.20000000000005</v>
      </c>
    </row>
    <row r="2291" spans="1:6" x14ac:dyDescent="0.35">
      <c r="A2291">
        <v>797</v>
      </c>
      <c r="B2291" t="s">
        <v>123</v>
      </c>
      <c r="C2291">
        <v>202602</v>
      </c>
      <c r="D2291">
        <v>571</v>
      </c>
      <c r="E2291">
        <v>1.2694530902623389</v>
      </c>
      <c r="F2291">
        <v>449.8</v>
      </c>
    </row>
    <row r="2292" spans="1:6" x14ac:dyDescent="0.35">
      <c r="A2292">
        <v>613</v>
      </c>
      <c r="B2292" t="s">
        <v>123</v>
      </c>
      <c r="C2292">
        <v>202602</v>
      </c>
      <c r="D2292">
        <v>7265</v>
      </c>
      <c r="E2292">
        <v>24.837606837606838</v>
      </c>
      <c r="F2292">
        <v>292.5</v>
      </c>
    </row>
    <row r="2293" spans="1:6" x14ac:dyDescent="0.35">
      <c r="A2293">
        <v>767</v>
      </c>
      <c r="B2293" t="s">
        <v>123</v>
      </c>
      <c r="C2293">
        <v>202602</v>
      </c>
      <c r="D2293">
        <v>8079</v>
      </c>
      <c r="E2293">
        <v>13.469489829943315</v>
      </c>
      <c r="F2293">
        <v>599.79999999999995</v>
      </c>
    </row>
    <row r="2294" spans="1:6" x14ac:dyDescent="0.35">
      <c r="A2294">
        <v>807</v>
      </c>
      <c r="B2294" t="s">
        <v>123</v>
      </c>
      <c r="C2294">
        <v>202602</v>
      </c>
      <c r="D2294">
        <v>2644</v>
      </c>
      <c r="E2294">
        <v>13.22</v>
      </c>
      <c r="F2294">
        <v>200</v>
      </c>
    </row>
    <row r="2295" spans="1:6" x14ac:dyDescent="0.35">
      <c r="A2295">
        <v>808</v>
      </c>
      <c r="B2295" t="s">
        <v>123</v>
      </c>
      <c r="C2295">
        <v>202602</v>
      </c>
      <c r="D2295">
        <v>3791</v>
      </c>
      <c r="E2295">
        <v>12.86218361946122</v>
      </c>
      <c r="F2295">
        <v>294.74</v>
      </c>
    </row>
    <row r="2296" spans="1:6" x14ac:dyDescent="0.35">
      <c r="A2296">
        <v>502</v>
      </c>
      <c r="B2296" t="s">
        <v>124</v>
      </c>
      <c r="C2296">
        <v>202602</v>
      </c>
      <c r="D2296">
        <v>35644</v>
      </c>
      <c r="E2296">
        <v>114.52255494152422</v>
      </c>
      <c r="F2296">
        <v>311.24</v>
      </c>
    </row>
    <row r="2297" spans="1:6" x14ac:dyDescent="0.35">
      <c r="A2297">
        <v>504</v>
      </c>
      <c r="B2297" t="s">
        <v>124</v>
      </c>
      <c r="C2297">
        <v>202602</v>
      </c>
      <c r="D2297">
        <v>68465</v>
      </c>
      <c r="E2297">
        <v>156.84634945362077</v>
      </c>
      <c r="F2297">
        <v>436.51</v>
      </c>
    </row>
    <row r="2298" spans="1:6" x14ac:dyDescent="0.35">
      <c r="A2298">
        <v>505</v>
      </c>
      <c r="B2298" t="s">
        <v>124</v>
      </c>
      <c r="C2298">
        <v>202602</v>
      </c>
      <c r="D2298">
        <v>33318</v>
      </c>
      <c r="E2298">
        <v>89.521199419635664</v>
      </c>
      <c r="F2298">
        <v>372.18</v>
      </c>
    </row>
    <row r="2299" spans="1:6" x14ac:dyDescent="0.35">
      <c r="A2299">
        <v>506</v>
      </c>
      <c r="B2299" t="s">
        <v>124</v>
      </c>
      <c r="C2299">
        <v>202602</v>
      </c>
      <c r="D2299">
        <v>39690</v>
      </c>
      <c r="E2299">
        <v>83.788975912516619</v>
      </c>
      <c r="F2299">
        <v>473.69</v>
      </c>
    </row>
    <row r="2300" spans="1:6" x14ac:dyDescent="0.35">
      <c r="A2300">
        <v>508</v>
      </c>
      <c r="B2300" t="s">
        <v>124</v>
      </c>
      <c r="C2300">
        <v>202602</v>
      </c>
      <c r="D2300">
        <v>35635</v>
      </c>
      <c r="E2300">
        <v>88.052878675562141</v>
      </c>
      <c r="F2300">
        <v>404.7</v>
      </c>
    </row>
    <row r="2301" spans="1:6" x14ac:dyDescent="0.35">
      <c r="A2301">
        <v>507</v>
      </c>
      <c r="B2301" t="s">
        <v>124</v>
      </c>
      <c r="C2301">
        <v>202602</v>
      </c>
      <c r="D2301">
        <v>24454</v>
      </c>
      <c r="E2301">
        <v>90.57037037037037</v>
      </c>
      <c r="F2301">
        <v>270</v>
      </c>
    </row>
    <row r="2302" spans="1:6" x14ac:dyDescent="0.35">
      <c r="A2302">
        <v>520</v>
      </c>
      <c r="B2302" t="s">
        <v>124</v>
      </c>
      <c r="C2302">
        <v>202602</v>
      </c>
      <c r="D2302">
        <v>358</v>
      </c>
      <c r="E2302">
        <v>5.2647058823529411</v>
      </c>
      <c r="F2302">
        <v>68</v>
      </c>
    </row>
    <row r="2303" spans="1:6" x14ac:dyDescent="0.35">
      <c r="A2303">
        <v>521</v>
      </c>
      <c r="B2303" t="s">
        <v>124</v>
      </c>
      <c r="C2303">
        <v>202602</v>
      </c>
      <c r="D2303">
        <v>2579</v>
      </c>
      <c r="E2303">
        <v>22.232758620689655</v>
      </c>
      <c r="F2303">
        <v>116</v>
      </c>
    </row>
    <row r="2304" spans="1:6" x14ac:dyDescent="0.35">
      <c r="A2304">
        <v>784</v>
      </c>
      <c r="B2304" t="s">
        <v>124</v>
      </c>
      <c r="C2304">
        <v>202602</v>
      </c>
      <c r="D2304">
        <v>409</v>
      </c>
      <c r="E2304">
        <v>1.2129300118623962</v>
      </c>
      <c r="F2304">
        <v>337.2</v>
      </c>
    </row>
    <row r="2305" spans="1:6" x14ac:dyDescent="0.35">
      <c r="A2305">
        <v>785</v>
      </c>
      <c r="B2305" t="s">
        <v>124</v>
      </c>
      <c r="C2305">
        <v>202602</v>
      </c>
      <c r="D2305">
        <v>516</v>
      </c>
      <c r="E2305">
        <v>0.91782283884738525</v>
      </c>
      <c r="F2305">
        <v>562.20000000000005</v>
      </c>
    </row>
    <row r="2306" spans="1:6" x14ac:dyDescent="0.35">
      <c r="A2306">
        <v>758</v>
      </c>
      <c r="B2306" t="s">
        <v>124</v>
      </c>
      <c r="C2306">
        <v>202602</v>
      </c>
      <c r="D2306">
        <v>6716</v>
      </c>
      <c r="E2306">
        <v>9.9544962722516193</v>
      </c>
      <c r="F2306">
        <v>674.67</v>
      </c>
    </row>
    <row r="2307" spans="1:6" x14ac:dyDescent="0.35">
      <c r="A2307">
        <v>757</v>
      </c>
      <c r="B2307" t="s">
        <v>124</v>
      </c>
      <c r="C2307">
        <v>202602</v>
      </c>
      <c r="D2307">
        <v>14229</v>
      </c>
      <c r="E2307">
        <v>28.759398496240603</v>
      </c>
      <c r="F2307">
        <v>494.76</v>
      </c>
    </row>
    <row r="2308" spans="1:6" x14ac:dyDescent="0.35">
      <c r="A2308">
        <v>580</v>
      </c>
      <c r="B2308" t="s">
        <v>124</v>
      </c>
      <c r="C2308">
        <v>202602</v>
      </c>
      <c r="D2308">
        <v>1430</v>
      </c>
      <c r="E2308">
        <v>5.2829909856657302</v>
      </c>
      <c r="F2308">
        <v>270.68</v>
      </c>
    </row>
    <row r="2309" spans="1:6" x14ac:dyDescent="0.35">
      <c r="A2309">
        <v>582</v>
      </c>
      <c r="B2309" t="s">
        <v>124</v>
      </c>
      <c r="C2309">
        <v>202602</v>
      </c>
      <c r="D2309">
        <v>1352</v>
      </c>
      <c r="E2309">
        <v>4.495428096425603</v>
      </c>
      <c r="F2309">
        <v>300.75</v>
      </c>
    </row>
    <row r="2310" spans="1:6" x14ac:dyDescent="0.35">
      <c r="A2310">
        <v>594</v>
      </c>
      <c r="B2310" t="s">
        <v>124</v>
      </c>
      <c r="C2310">
        <v>202602</v>
      </c>
      <c r="D2310">
        <v>14712</v>
      </c>
      <c r="E2310">
        <v>87.182222222222222</v>
      </c>
      <c r="F2310">
        <v>168.75</v>
      </c>
    </row>
    <row r="2311" spans="1:6" x14ac:dyDescent="0.35">
      <c r="A2311">
        <v>595</v>
      </c>
      <c r="B2311" t="s">
        <v>124</v>
      </c>
      <c r="C2311">
        <v>202602</v>
      </c>
      <c r="D2311">
        <v>19437</v>
      </c>
      <c r="E2311">
        <v>259.16000000000003</v>
      </c>
      <c r="F2311">
        <v>75</v>
      </c>
    </row>
    <row r="2312" spans="1:6" x14ac:dyDescent="0.35">
      <c r="A2312">
        <v>603</v>
      </c>
      <c r="B2312" t="s">
        <v>124</v>
      </c>
      <c r="C2312">
        <v>202602</v>
      </c>
      <c r="D2312">
        <v>3145</v>
      </c>
      <c r="E2312">
        <v>13.943075013300231</v>
      </c>
      <c r="F2312">
        <v>225.56</v>
      </c>
    </row>
    <row r="2313" spans="1:6" x14ac:dyDescent="0.35">
      <c r="A2313">
        <v>606</v>
      </c>
      <c r="B2313" t="s">
        <v>124</v>
      </c>
      <c r="C2313">
        <v>202602</v>
      </c>
      <c r="D2313">
        <v>5075</v>
      </c>
      <c r="E2313">
        <v>19.342912680565615</v>
      </c>
      <c r="F2313">
        <v>262.37</v>
      </c>
    </row>
    <row r="2314" spans="1:6" x14ac:dyDescent="0.35">
      <c r="A2314">
        <v>772</v>
      </c>
      <c r="B2314" t="s">
        <v>124</v>
      </c>
      <c r="C2314">
        <v>202602</v>
      </c>
      <c r="D2314">
        <v>411</v>
      </c>
      <c r="E2314">
        <v>2.0306324110671938</v>
      </c>
      <c r="F2314">
        <v>202.4</v>
      </c>
    </row>
    <row r="2315" spans="1:6" x14ac:dyDescent="0.35">
      <c r="A2315">
        <v>615</v>
      </c>
      <c r="B2315" t="s">
        <v>124</v>
      </c>
      <c r="C2315">
        <v>202602</v>
      </c>
      <c r="D2315">
        <v>4958</v>
      </c>
      <c r="E2315">
        <v>18.316831683168317</v>
      </c>
      <c r="F2315">
        <v>270.68</v>
      </c>
    </row>
    <row r="2316" spans="1:6" x14ac:dyDescent="0.35">
      <c r="A2316">
        <v>617</v>
      </c>
      <c r="B2316" t="s">
        <v>124</v>
      </c>
      <c r="C2316">
        <v>202602</v>
      </c>
      <c r="D2316">
        <v>1747</v>
      </c>
      <c r="E2316">
        <v>3.882222222222222</v>
      </c>
      <c r="F2316">
        <v>450</v>
      </c>
    </row>
    <row r="2317" spans="1:6" x14ac:dyDescent="0.35">
      <c r="A2317">
        <v>751</v>
      </c>
      <c r="B2317" t="s">
        <v>124</v>
      </c>
      <c r="C2317">
        <v>202602</v>
      </c>
      <c r="D2317">
        <v>753</v>
      </c>
      <c r="E2317">
        <v>3.7091768878380376</v>
      </c>
      <c r="F2317">
        <v>203.01</v>
      </c>
    </row>
    <row r="2318" spans="1:6" x14ac:dyDescent="0.35">
      <c r="A2318">
        <v>752</v>
      </c>
      <c r="B2318" t="s">
        <v>124</v>
      </c>
      <c r="C2318">
        <v>202602</v>
      </c>
      <c r="D2318">
        <v>2928</v>
      </c>
      <c r="E2318">
        <v>8.4658532354131726</v>
      </c>
      <c r="F2318">
        <v>345.86</v>
      </c>
    </row>
    <row r="2319" spans="1:6" x14ac:dyDescent="0.35">
      <c r="A2319">
        <v>753</v>
      </c>
      <c r="B2319" t="s">
        <v>124</v>
      </c>
      <c r="C2319">
        <v>202602</v>
      </c>
      <c r="D2319">
        <v>5094</v>
      </c>
      <c r="E2319">
        <v>10.423146177770501</v>
      </c>
      <c r="F2319">
        <v>488.72</v>
      </c>
    </row>
    <row r="2320" spans="1:6" x14ac:dyDescent="0.35">
      <c r="A2320">
        <v>754</v>
      </c>
      <c r="B2320" t="s">
        <v>124</v>
      </c>
      <c r="C2320">
        <v>202602</v>
      </c>
      <c r="D2320">
        <v>584</v>
      </c>
      <c r="E2320">
        <v>0.97088992701700716</v>
      </c>
      <c r="F2320">
        <v>601.51</v>
      </c>
    </row>
    <row r="2321" spans="1:6" x14ac:dyDescent="0.35">
      <c r="A2321">
        <v>614</v>
      </c>
      <c r="B2321" t="s">
        <v>124</v>
      </c>
      <c r="C2321">
        <v>202602</v>
      </c>
      <c r="D2321">
        <v>18435</v>
      </c>
      <c r="E2321">
        <v>32.790821771611526</v>
      </c>
      <c r="F2321">
        <v>562.20000000000005</v>
      </c>
    </row>
    <row r="2322" spans="1:6" x14ac:dyDescent="0.35">
      <c r="A2322">
        <v>797</v>
      </c>
      <c r="B2322" t="s">
        <v>124</v>
      </c>
      <c r="C2322">
        <v>202602</v>
      </c>
      <c r="D2322">
        <v>722</v>
      </c>
      <c r="E2322">
        <v>1.6051578479324144</v>
      </c>
      <c r="F2322">
        <v>449.8</v>
      </c>
    </row>
    <row r="2323" spans="1:6" x14ac:dyDescent="0.35">
      <c r="A2323">
        <v>613</v>
      </c>
      <c r="B2323" t="s">
        <v>124</v>
      </c>
      <c r="C2323">
        <v>202602</v>
      </c>
      <c r="D2323">
        <v>9039</v>
      </c>
      <c r="E2323">
        <v>30.902564102564103</v>
      </c>
      <c r="F2323">
        <v>292.5</v>
      </c>
    </row>
    <row r="2324" spans="1:6" x14ac:dyDescent="0.35">
      <c r="A2324">
        <v>767</v>
      </c>
      <c r="B2324" t="s">
        <v>124</v>
      </c>
      <c r="C2324">
        <v>202602</v>
      </c>
      <c r="D2324">
        <v>6439</v>
      </c>
      <c r="E2324">
        <v>10.735245081693899</v>
      </c>
      <c r="F2324">
        <v>599.79999999999995</v>
      </c>
    </row>
    <row r="2325" spans="1:6" x14ac:dyDescent="0.35">
      <c r="A2325">
        <v>807</v>
      </c>
      <c r="B2325" t="s">
        <v>124</v>
      </c>
      <c r="C2325">
        <v>202602</v>
      </c>
      <c r="D2325">
        <v>588</v>
      </c>
      <c r="E2325">
        <v>2.94</v>
      </c>
      <c r="F2325">
        <v>200</v>
      </c>
    </row>
    <row r="2326" spans="1:6" x14ac:dyDescent="0.35">
      <c r="A2326">
        <v>808</v>
      </c>
      <c r="B2326" t="s">
        <v>124</v>
      </c>
      <c r="C2326">
        <v>202602</v>
      </c>
      <c r="D2326">
        <v>922</v>
      </c>
      <c r="E2326">
        <v>3.1281807694917552</v>
      </c>
      <c r="F2326">
        <v>294.74</v>
      </c>
    </row>
    <row r="2327" spans="1:6" x14ac:dyDescent="0.35">
      <c r="A2327">
        <v>502</v>
      </c>
      <c r="B2327" t="s">
        <v>125</v>
      </c>
      <c r="C2327">
        <v>202602</v>
      </c>
      <c r="D2327">
        <v>48388</v>
      </c>
      <c r="E2327">
        <v>155.46844878550314</v>
      </c>
      <c r="F2327">
        <v>311.24</v>
      </c>
    </row>
    <row r="2328" spans="1:6" x14ac:dyDescent="0.35">
      <c r="A2328">
        <v>504</v>
      </c>
      <c r="B2328" t="s">
        <v>125</v>
      </c>
      <c r="C2328">
        <v>202602</v>
      </c>
      <c r="D2328">
        <v>92873</v>
      </c>
      <c r="E2328">
        <v>212.76259421319099</v>
      </c>
      <c r="F2328">
        <v>436.51</v>
      </c>
    </row>
    <row r="2329" spans="1:6" x14ac:dyDescent="0.35">
      <c r="A2329">
        <v>505</v>
      </c>
      <c r="B2329" t="s">
        <v>125</v>
      </c>
      <c r="C2329">
        <v>202602</v>
      </c>
      <c r="D2329">
        <v>46443</v>
      </c>
      <c r="E2329">
        <v>124.78639368047719</v>
      </c>
      <c r="F2329">
        <v>372.18</v>
      </c>
    </row>
    <row r="2330" spans="1:6" x14ac:dyDescent="0.35">
      <c r="A2330">
        <v>506</v>
      </c>
      <c r="B2330" t="s">
        <v>125</v>
      </c>
      <c r="C2330">
        <v>202602</v>
      </c>
      <c r="D2330">
        <v>45786</v>
      </c>
      <c r="E2330">
        <v>96.658151955920545</v>
      </c>
      <c r="F2330">
        <v>473.69</v>
      </c>
    </row>
    <row r="2331" spans="1:6" x14ac:dyDescent="0.35">
      <c r="A2331">
        <v>508</v>
      </c>
      <c r="B2331" t="s">
        <v>125</v>
      </c>
      <c r="C2331">
        <v>202602</v>
      </c>
      <c r="D2331">
        <v>59290</v>
      </c>
      <c r="E2331">
        <v>146.50358290091427</v>
      </c>
      <c r="F2331">
        <v>404.7</v>
      </c>
    </row>
    <row r="2332" spans="1:6" x14ac:dyDescent="0.35">
      <c r="A2332">
        <v>507</v>
      </c>
      <c r="B2332" t="s">
        <v>125</v>
      </c>
      <c r="C2332">
        <v>202602</v>
      </c>
      <c r="D2332">
        <v>39167</v>
      </c>
      <c r="E2332">
        <v>145.06296296296296</v>
      </c>
      <c r="F2332">
        <v>270</v>
      </c>
    </row>
    <row r="2333" spans="1:6" x14ac:dyDescent="0.35">
      <c r="A2333">
        <v>520</v>
      </c>
      <c r="B2333" t="s">
        <v>125</v>
      </c>
      <c r="C2333">
        <v>202602</v>
      </c>
      <c r="D2333">
        <v>975</v>
      </c>
      <c r="E2333">
        <v>14.338235294117647</v>
      </c>
      <c r="F2333">
        <v>68</v>
      </c>
    </row>
    <row r="2334" spans="1:6" x14ac:dyDescent="0.35">
      <c r="A2334">
        <v>521</v>
      </c>
      <c r="B2334" t="s">
        <v>125</v>
      </c>
      <c r="C2334">
        <v>202602</v>
      </c>
      <c r="D2334">
        <v>7053</v>
      </c>
      <c r="E2334">
        <v>60.801724137931032</v>
      </c>
      <c r="F2334">
        <v>116</v>
      </c>
    </row>
    <row r="2335" spans="1:6" x14ac:dyDescent="0.35">
      <c r="A2335">
        <v>784</v>
      </c>
      <c r="B2335" t="s">
        <v>125</v>
      </c>
      <c r="C2335">
        <v>202602</v>
      </c>
      <c r="D2335">
        <v>689</v>
      </c>
      <c r="E2335">
        <v>2.0432977461447215</v>
      </c>
      <c r="F2335">
        <v>337.2</v>
      </c>
    </row>
    <row r="2336" spans="1:6" x14ac:dyDescent="0.35">
      <c r="A2336">
        <v>785</v>
      </c>
      <c r="B2336" t="s">
        <v>125</v>
      </c>
      <c r="C2336">
        <v>202602</v>
      </c>
      <c r="D2336">
        <v>675</v>
      </c>
      <c r="E2336">
        <v>1.2006403415154747</v>
      </c>
      <c r="F2336">
        <v>562.20000000000005</v>
      </c>
    </row>
    <row r="2337" spans="1:6" x14ac:dyDescent="0.35">
      <c r="A2337">
        <v>758</v>
      </c>
      <c r="B2337" t="s">
        <v>125</v>
      </c>
      <c r="C2337">
        <v>202602</v>
      </c>
      <c r="D2337">
        <v>12054</v>
      </c>
      <c r="E2337">
        <v>17.866512517230646</v>
      </c>
      <c r="F2337">
        <v>674.67</v>
      </c>
    </row>
    <row r="2338" spans="1:6" x14ac:dyDescent="0.35">
      <c r="A2338">
        <v>757</v>
      </c>
      <c r="B2338" t="s">
        <v>125</v>
      </c>
      <c r="C2338">
        <v>202602</v>
      </c>
      <c r="D2338">
        <v>27419</v>
      </c>
      <c r="E2338">
        <v>55.418788907753253</v>
      </c>
      <c r="F2338">
        <v>494.76</v>
      </c>
    </row>
    <row r="2339" spans="1:6" x14ac:dyDescent="0.35">
      <c r="A2339">
        <v>580</v>
      </c>
      <c r="B2339" t="s">
        <v>125</v>
      </c>
      <c r="C2339">
        <v>202602</v>
      </c>
      <c r="D2339">
        <v>2138</v>
      </c>
      <c r="E2339">
        <v>7.8986256834638686</v>
      </c>
      <c r="F2339">
        <v>270.68</v>
      </c>
    </row>
    <row r="2340" spans="1:6" x14ac:dyDescent="0.35">
      <c r="A2340">
        <v>582</v>
      </c>
      <c r="B2340" t="s">
        <v>125</v>
      </c>
      <c r="C2340">
        <v>202602</v>
      </c>
      <c r="D2340">
        <v>2020</v>
      </c>
      <c r="E2340">
        <v>6.7165419783873652</v>
      </c>
      <c r="F2340">
        <v>300.75</v>
      </c>
    </row>
    <row r="2341" spans="1:6" x14ac:dyDescent="0.35">
      <c r="A2341">
        <v>594</v>
      </c>
      <c r="B2341" t="s">
        <v>125</v>
      </c>
      <c r="C2341">
        <v>202602</v>
      </c>
      <c r="D2341">
        <v>18987</v>
      </c>
      <c r="E2341">
        <v>112.51555555555555</v>
      </c>
      <c r="F2341">
        <v>168.75</v>
      </c>
    </row>
    <row r="2342" spans="1:6" x14ac:dyDescent="0.35">
      <c r="A2342">
        <v>595</v>
      </c>
      <c r="B2342" t="s">
        <v>125</v>
      </c>
      <c r="C2342">
        <v>202602</v>
      </c>
      <c r="D2342">
        <v>29526</v>
      </c>
      <c r="E2342">
        <v>393.68</v>
      </c>
      <c r="F2342">
        <v>75</v>
      </c>
    </row>
    <row r="2343" spans="1:6" x14ac:dyDescent="0.35">
      <c r="A2343">
        <v>603</v>
      </c>
      <c r="B2343" t="s">
        <v>125</v>
      </c>
      <c r="C2343">
        <v>202602</v>
      </c>
      <c r="D2343">
        <v>5490</v>
      </c>
      <c r="E2343">
        <v>24.339421883312642</v>
      </c>
      <c r="F2343">
        <v>225.56</v>
      </c>
    </row>
    <row r="2344" spans="1:6" x14ac:dyDescent="0.35">
      <c r="A2344">
        <v>606</v>
      </c>
      <c r="B2344" t="s">
        <v>125</v>
      </c>
      <c r="C2344">
        <v>202602</v>
      </c>
      <c r="D2344">
        <v>6016</v>
      </c>
      <c r="E2344">
        <v>22.929450775622211</v>
      </c>
      <c r="F2344">
        <v>262.37</v>
      </c>
    </row>
    <row r="2345" spans="1:6" x14ac:dyDescent="0.35">
      <c r="A2345">
        <v>772</v>
      </c>
      <c r="B2345" t="s">
        <v>125</v>
      </c>
      <c r="C2345">
        <v>202602</v>
      </c>
      <c r="D2345">
        <v>248</v>
      </c>
      <c r="E2345">
        <v>1.2252964426877471</v>
      </c>
      <c r="F2345">
        <v>202.4</v>
      </c>
    </row>
    <row r="2346" spans="1:6" x14ac:dyDescent="0.35">
      <c r="A2346">
        <v>615</v>
      </c>
      <c r="B2346" t="s">
        <v>125</v>
      </c>
      <c r="C2346">
        <v>202602</v>
      </c>
      <c r="D2346">
        <v>7604</v>
      </c>
      <c r="E2346">
        <v>28.092212206295255</v>
      </c>
      <c r="F2346">
        <v>270.68</v>
      </c>
    </row>
    <row r="2347" spans="1:6" x14ac:dyDescent="0.35">
      <c r="A2347">
        <v>617</v>
      </c>
      <c r="B2347" t="s">
        <v>125</v>
      </c>
      <c r="C2347">
        <v>202602</v>
      </c>
      <c r="D2347">
        <v>2907</v>
      </c>
      <c r="E2347">
        <v>6.46</v>
      </c>
      <c r="F2347">
        <v>450</v>
      </c>
    </row>
    <row r="2348" spans="1:6" x14ac:dyDescent="0.35">
      <c r="A2348">
        <v>751</v>
      </c>
      <c r="B2348" t="s">
        <v>125</v>
      </c>
      <c r="C2348">
        <v>202602</v>
      </c>
      <c r="D2348">
        <v>1125</v>
      </c>
      <c r="E2348">
        <v>5.5415989360130045</v>
      </c>
      <c r="F2348">
        <v>203.01</v>
      </c>
    </row>
    <row r="2349" spans="1:6" x14ac:dyDescent="0.35">
      <c r="A2349">
        <v>752</v>
      </c>
      <c r="B2349" t="s">
        <v>125</v>
      </c>
      <c r="C2349">
        <v>202602</v>
      </c>
      <c r="D2349">
        <v>6291</v>
      </c>
      <c r="E2349">
        <v>18.189440814202278</v>
      </c>
      <c r="F2349">
        <v>345.86</v>
      </c>
    </row>
    <row r="2350" spans="1:6" x14ac:dyDescent="0.35">
      <c r="A2350">
        <v>753</v>
      </c>
      <c r="B2350" t="s">
        <v>125</v>
      </c>
      <c r="C2350">
        <v>202602</v>
      </c>
      <c r="D2350">
        <v>8762</v>
      </c>
      <c r="E2350">
        <v>17.928466197413652</v>
      </c>
      <c r="F2350">
        <v>488.72</v>
      </c>
    </row>
    <row r="2351" spans="1:6" x14ac:dyDescent="0.35">
      <c r="A2351">
        <v>754</v>
      </c>
      <c r="B2351" t="s">
        <v>125</v>
      </c>
      <c r="C2351">
        <v>202602</v>
      </c>
      <c r="D2351">
        <v>867</v>
      </c>
      <c r="E2351">
        <v>1.4413725457598379</v>
      </c>
      <c r="F2351">
        <v>601.51</v>
      </c>
    </row>
    <row r="2352" spans="1:6" x14ac:dyDescent="0.35">
      <c r="A2352">
        <v>614</v>
      </c>
      <c r="B2352" t="s">
        <v>125</v>
      </c>
      <c r="C2352">
        <v>202602</v>
      </c>
      <c r="D2352">
        <v>30960</v>
      </c>
      <c r="E2352">
        <v>55.069370330843114</v>
      </c>
      <c r="F2352">
        <v>562.20000000000005</v>
      </c>
    </row>
    <row r="2353" spans="1:6" x14ac:dyDescent="0.35">
      <c r="A2353">
        <v>797</v>
      </c>
      <c r="B2353" t="s">
        <v>125</v>
      </c>
      <c r="C2353">
        <v>202602</v>
      </c>
      <c r="D2353">
        <v>2190</v>
      </c>
      <c r="E2353">
        <v>4.8688305913739436</v>
      </c>
      <c r="F2353">
        <v>449.8</v>
      </c>
    </row>
    <row r="2354" spans="1:6" x14ac:dyDescent="0.35">
      <c r="A2354">
        <v>613</v>
      </c>
      <c r="B2354" t="s">
        <v>125</v>
      </c>
      <c r="C2354">
        <v>202602</v>
      </c>
      <c r="D2354">
        <v>14203</v>
      </c>
      <c r="E2354">
        <v>48.557264957264955</v>
      </c>
      <c r="F2354">
        <v>292.5</v>
      </c>
    </row>
    <row r="2355" spans="1:6" x14ac:dyDescent="0.35">
      <c r="A2355">
        <v>767</v>
      </c>
      <c r="B2355" t="s">
        <v>125</v>
      </c>
      <c r="C2355">
        <v>202602</v>
      </c>
      <c r="D2355">
        <v>9826</v>
      </c>
      <c r="E2355">
        <v>16.382127375791931</v>
      </c>
      <c r="F2355">
        <v>599.79999999999995</v>
      </c>
    </row>
    <row r="2356" spans="1:6" x14ac:dyDescent="0.35">
      <c r="A2356">
        <v>807</v>
      </c>
      <c r="B2356" t="s">
        <v>125</v>
      </c>
      <c r="C2356">
        <v>202602</v>
      </c>
      <c r="D2356">
        <v>1185</v>
      </c>
      <c r="E2356">
        <v>5.9249999999999998</v>
      </c>
      <c r="F2356">
        <v>200</v>
      </c>
    </row>
    <row r="2357" spans="1:6" x14ac:dyDescent="0.35">
      <c r="A2357">
        <v>808</v>
      </c>
      <c r="B2357" t="s">
        <v>125</v>
      </c>
      <c r="C2357">
        <v>202602</v>
      </c>
      <c r="D2357">
        <v>2771</v>
      </c>
      <c r="E2357">
        <v>9.4015064124312957</v>
      </c>
      <c r="F2357">
        <v>294.74</v>
      </c>
    </row>
    <row r="2358" spans="1:6" x14ac:dyDescent="0.35">
      <c r="A2358">
        <v>502</v>
      </c>
      <c r="B2358" t="s">
        <v>126</v>
      </c>
      <c r="C2358">
        <v>202602</v>
      </c>
      <c r="D2358">
        <v>58766</v>
      </c>
      <c r="E2358">
        <v>188.81249196761343</v>
      </c>
      <c r="F2358">
        <v>311.24</v>
      </c>
    </row>
    <row r="2359" spans="1:6" x14ac:dyDescent="0.35">
      <c r="A2359">
        <v>504</v>
      </c>
      <c r="B2359" t="s">
        <v>126</v>
      </c>
      <c r="C2359">
        <v>202602</v>
      </c>
      <c r="D2359">
        <v>127220</v>
      </c>
      <c r="E2359">
        <v>291.44807679090974</v>
      </c>
      <c r="F2359">
        <v>436.51</v>
      </c>
    </row>
    <row r="2360" spans="1:6" x14ac:dyDescent="0.35">
      <c r="A2360">
        <v>505</v>
      </c>
      <c r="B2360" t="s">
        <v>126</v>
      </c>
      <c r="C2360">
        <v>202602</v>
      </c>
      <c r="D2360">
        <v>71886</v>
      </c>
      <c r="E2360">
        <v>193.14847654360793</v>
      </c>
      <c r="F2360">
        <v>372.18</v>
      </c>
    </row>
    <row r="2361" spans="1:6" x14ac:dyDescent="0.35">
      <c r="A2361">
        <v>506</v>
      </c>
      <c r="B2361" t="s">
        <v>126</v>
      </c>
      <c r="C2361">
        <v>202602</v>
      </c>
      <c r="D2361">
        <v>72100</v>
      </c>
      <c r="E2361">
        <v>152.20925077582385</v>
      </c>
      <c r="F2361">
        <v>473.69</v>
      </c>
    </row>
    <row r="2362" spans="1:6" x14ac:dyDescent="0.35">
      <c r="A2362">
        <v>508</v>
      </c>
      <c r="B2362" t="s">
        <v>126</v>
      </c>
      <c r="C2362">
        <v>202602</v>
      </c>
      <c r="D2362">
        <v>60860</v>
      </c>
      <c r="E2362">
        <v>150.3829997529034</v>
      </c>
      <c r="F2362">
        <v>404.7</v>
      </c>
    </row>
    <row r="2363" spans="1:6" x14ac:dyDescent="0.35">
      <c r="A2363">
        <v>507</v>
      </c>
      <c r="B2363" t="s">
        <v>126</v>
      </c>
      <c r="C2363">
        <v>202602</v>
      </c>
      <c r="D2363">
        <v>41251</v>
      </c>
      <c r="E2363">
        <v>152.78148148148148</v>
      </c>
      <c r="F2363">
        <v>270</v>
      </c>
    </row>
    <row r="2364" spans="1:6" x14ac:dyDescent="0.35">
      <c r="A2364">
        <v>520</v>
      </c>
      <c r="B2364" t="s">
        <v>126</v>
      </c>
      <c r="C2364">
        <v>202602</v>
      </c>
      <c r="D2364">
        <v>1192</v>
      </c>
      <c r="E2364">
        <v>17.529411764705884</v>
      </c>
      <c r="F2364">
        <v>68</v>
      </c>
    </row>
    <row r="2365" spans="1:6" x14ac:dyDescent="0.35">
      <c r="A2365">
        <v>521</v>
      </c>
      <c r="B2365" t="s">
        <v>126</v>
      </c>
      <c r="C2365">
        <v>202602</v>
      </c>
      <c r="D2365">
        <v>8504</v>
      </c>
      <c r="E2365">
        <v>73.310344827586206</v>
      </c>
      <c r="F2365">
        <v>116</v>
      </c>
    </row>
    <row r="2366" spans="1:6" x14ac:dyDescent="0.35">
      <c r="A2366">
        <v>784</v>
      </c>
      <c r="B2366" t="s">
        <v>126</v>
      </c>
      <c r="C2366">
        <v>202602</v>
      </c>
      <c r="D2366">
        <v>965</v>
      </c>
      <c r="E2366">
        <v>2.8618030842230131</v>
      </c>
      <c r="F2366">
        <v>337.2</v>
      </c>
    </row>
    <row r="2367" spans="1:6" x14ac:dyDescent="0.35">
      <c r="A2367">
        <v>785</v>
      </c>
      <c r="B2367" t="s">
        <v>126</v>
      </c>
      <c r="C2367">
        <v>202602</v>
      </c>
      <c r="D2367">
        <v>1115</v>
      </c>
      <c r="E2367">
        <v>1.9832799715403768</v>
      </c>
      <c r="F2367">
        <v>562.20000000000005</v>
      </c>
    </row>
    <row r="2368" spans="1:6" x14ac:dyDescent="0.35">
      <c r="A2368">
        <v>758</v>
      </c>
      <c r="B2368" t="s">
        <v>126</v>
      </c>
      <c r="C2368">
        <v>202602</v>
      </c>
      <c r="D2368">
        <v>12963</v>
      </c>
      <c r="E2368">
        <v>19.213837876295077</v>
      </c>
      <c r="F2368">
        <v>674.67</v>
      </c>
    </row>
    <row r="2369" spans="1:6" x14ac:dyDescent="0.35">
      <c r="A2369">
        <v>757</v>
      </c>
      <c r="B2369" t="s">
        <v>126</v>
      </c>
      <c r="C2369">
        <v>202602</v>
      </c>
      <c r="D2369">
        <v>24567</v>
      </c>
      <c r="E2369">
        <v>49.654377880184335</v>
      </c>
      <c r="F2369">
        <v>494.76</v>
      </c>
    </row>
    <row r="2370" spans="1:6" x14ac:dyDescent="0.35">
      <c r="A2370">
        <v>580</v>
      </c>
      <c r="B2370" t="s">
        <v>126</v>
      </c>
      <c r="C2370">
        <v>202602</v>
      </c>
      <c r="D2370">
        <v>2578</v>
      </c>
      <c r="E2370">
        <v>9.524161371361016</v>
      </c>
      <c r="F2370">
        <v>270.68</v>
      </c>
    </row>
    <row r="2371" spans="1:6" x14ac:dyDescent="0.35">
      <c r="A2371">
        <v>582</v>
      </c>
      <c r="B2371" t="s">
        <v>126</v>
      </c>
      <c r="C2371">
        <v>202602</v>
      </c>
      <c r="D2371">
        <v>3326</v>
      </c>
      <c r="E2371">
        <v>11.059019118869493</v>
      </c>
      <c r="F2371">
        <v>300.75</v>
      </c>
    </row>
    <row r="2372" spans="1:6" x14ac:dyDescent="0.35">
      <c r="A2372">
        <v>594</v>
      </c>
      <c r="B2372" t="s">
        <v>126</v>
      </c>
      <c r="C2372">
        <v>202602</v>
      </c>
      <c r="D2372">
        <v>20176</v>
      </c>
      <c r="E2372">
        <v>119.56148148148148</v>
      </c>
      <c r="F2372">
        <v>168.75</v>
      </c>
    </row>
    <row r="2373" spans="1:6" x14ac:dyDescent="0.35">
      <c r="A2373">
        <v>595</v>
      </c>
      <c r="B2373" t="s">
        <v>126</v>
      </c>
      <c r="C2373">
        <v>202602</v>
      </c>
      <c r="D2373">
        <v>36265</v>
      </c>
      <c r="E2373">
        <v>483.53333333333336</v>
      </c>
      <c r="F2373">
        <v>75</v>
      </c>
    </row>
    <row r="2374" spans="1:6" x14ac:dyDescent="0.35">
      <c r="A2374">
        <v>603</v>
      </c>
      <c r="B2374" t="s">
        <v>126</v>
      </c>
      <c r="C2374">
        <v>202602</v>
      </c>
      <c r="D2374">
        <v>6243</v>
      </c>
      <c r="E2374">
        <v>27.677779748182303</v>
      </c>
      <c r="F2374">
        <v>225.56</v>
      </c>
    </row>
    <row r="2375" spans="1:6" x14ac:dyDescent="0.35">
      <c r="A2375">
        <v>606</v>
      </c>
      <c r="B2375" t="s">
        <v>126</v>
      </c>
      <c r="C2375">
        <v>202602</v>
      </c>
      <c r="D2375">
        <v>5846</v>
      </c>
      <c r="E2375">
        <v>22.281510843465334</v>
      </c>
      <c r="F2375">
        <v>262.37</v>
      </c>
    </row>
    <row r="2376" spans="1:6" x14ac:dyDescent="0.35">
      <c r="A2376">
        <v>772</v>
      </c>
      <c r="B2376" t="s">
        <v>126</v>
      </c>
      <c r="C2376">
        <v>202602</v>
      </c>
      <c r="D2376">
        <v>495</v>
      </c>
      <c r="E2376">
        <v>2.4456521739130435</v>
      </c>
      <c r="F2376">
        <v>202.4</v>
      </c>
    </row>
    <row r="2377" spans="1:6" x14ac:dyDescent="0.35">
      <c r="A2377">
        <v>615</v>
      </c>
      <c r="B2377" t="s">
        <v>126</v>
      </c>
      <c r="C2377">
        <v>202602</v>
      </c>
      <c r="D2377">
        <v>6860</v>
      </c>
      <c r="E2377">
        <v>25.343579134032804</v>
      </c>
      <c r="F2377">
        <v>270.68</v>
      </c>
    </row>
    <row r="2378" spans="1:6" x14ac:dyDescent="0.35">
      <c r="A2378">
        <v>617</v>
      </c>
      <c r="B2378" t="s">
        <v>126</v>
      </c>
      <c r="C2378">
        <v>202602</v>
      </c>
      <c r="D2378">
        <v>2620</v>
      </c>
      <c r="E2378">
        <v>5.822222222222222</v>
      </c>
      <c r="F2378">
        <v>450</v>
      </c>
    </row>
    <row r="2379" spans="1:6" x14ac:dyDescent="0.35">
      <c r="A2379">
        <v>751</v>
      </c>
      <c r="B2379" t="s">
        <v>126</v>
      </c>
      <c r="C2379">
        <v>202602</v>
      </c>
      <c r="D2379">
        <v>1354</v>
      </c>
      <c r="E2379">
        <v>6.6696221860992075</v>
      </c>
      <c r="F2379">
        <v>203.01</v>
      </c>
    </row>
    <row r="2380" spans="1:6" x14ac:dyDescent="0.35">
      <c r="A2380">
        <v>752</v>
      </c>
      <c r="B2380" t="s">
        <v>126</v>
      </c>
      <c r="C2380">
        <v>202602</v>
      </c>
      <c r="D2380">
        <v>6400</v>
      </c>
      <c r="E2380">
        <v>18.504597235875789</v>
      </c>
      <c r="F2380">
        <v>345.86</v>
      </c>
    </row>
    <row r="2381" spans="1:6" x14ac:dyDescent="0.35">
      <c r="A2381">
        <v>753</v>
      </c>
      <c r="B2381" t="s">
        <v>126</v>
      </c>
      <c r="C2381">
        <v>202602</v>
      </c>
      <c r="D2381">
        <v>15202</v>
      </c>
      <c r="E2381">
        <v>31.105745621214599</v>
      </c>
      <c r="F2381">
        <v>488.72</v>
      </c>
    </row>
    <row r="2382" spans="1:6" x14ac:dyDescent="0.35">
      <c r="A2382">
        <v>754</v>
      </c>
      <c r="B2382" t="s">
        <v>126</v>
      </c>
      <c r="C2382">
        <v>202602</v>
      </c>
      <c r="D2382">
        <v>1044</v>
      </c>
      <c r="E2382">
        <v>1.7356319928180746</v>
      </c>
      <c r="F2382">
        <v>601.51</v>
      </c>
    </row>
    <row r="2383" spans="1:6" x14ac:dyDescent="0.35">
      <c r="A2383">
        <v>614</v>
      </c>
      <c r="B2383" t="s">
        <v>126</v>
      </c>
      <c r="C2383">
        <v>202602</v>
      </c>
      <c r="D2383">
        <v>25731</v>
      </c>
      <c r="E2383">
        <v>45.7684098185699</v>
      </c>
      <c r="F2383">
        <v>562.20000000000005</v>
      </c>
    </row>
    <row r="2384" spans="1:6" x14ac:dyDescent="0.35">
      <c r="A2384">
        <v>797</v>
      </c>
      <c r="B2384" t="s">
        <v>126</v>
      </c>
      <c r="C2384">
        <v>202602</v>
      </c>
      <c r="D2384">
        <v>1805</v>
      </c>
      <c r="E2384">
        <v>4.0128946198310356</v>
      </c>
      <c r="F2384">
        <v>449.8</v>
      </c>
    </row>
    <row r="2385" spans="1:6" x14ac:dyDescent="0.35">
      <c r="A2385">
        <v>613</v>
      </c>
      <c r="B2385" t="s">
        <v>126</v>
      </c>
      <c r="C2385">
        <v>202602</v>
      </c>
      <c r="D2385">
        <v>13217</v>
      </c>
      <c r="E2385">
        <v>45.186324786324789</v>
      </c>
      <c r="F2385">
        <v>292.5</v>
      </c>
    </row>
    <row r="2386" spans="1:6" x14ac:dyDescent="0.35">
      <c r="A2386">
        <v>767</v>
      </c>
      <c r="B2386" t="s">
        <v>126</v>
      </c>
      <c r="C2386">
        <v>202602</v>
      </c>
      <c r="D2386">
        <v>10732</v>
      </c>
      <c r="E2386">
        <v>17.892630876958989</v>
      </c>
      <c r="F2386">
        <v>599.79999999999995</v>
      </c>
    </row>
    <row r="2387" spans="1:6" x14ac:dyDescent="0.35">
      <c r="A2387">
        <v>807</v>
      </c>
      <c r="B2387" t="s">
        <v>126</v>
      </c>
      <c r="C2387">
        <v>202602</v>
      </c>
      <c r="D2387">
        <v>2092</v>
      </c>
      <c r="E2387">
        <v>10.46</v>
      </c>
      <c r="F2387">
        <v>200</v>
      </c>
    </row>
    <row r="2388" spans="1:6" x14ac:dyDescent="0.35">
      <c r="A2388">
        <v>808</v>
      </c>
      <c r="B2388" t="s">
        <v>126</v>
      </c>
      <c r="C2388">
        <v>202602</v>
      </c>
      <c r="D2388">
        <v>3335</v>
      </c>
      <c r="E2388">
        <v>11.315057338671371</v>
      </c>
      <c r="F2388">
        <v>294.74</v>
      </c>
    </row>
    <row r="2389" spans="1:6" x14ac:dyDescent="0.35">
      <c r="A2389">
        <v>502</v>
      </c>
      <c r="B2389" t="s">
        <v>127</v>
      </c>
      <c r="C2389">
        <v>202602</v>
      </c>
      <c r="D2389">
        <v>40376</v>
      </c>
      <c r="E2389">
        <v>129.72625626526153</v>
      </c>
      <c r="F2389">
        <v>311.24</v>
      </c>
    </row>
    <row r="2390" spans="1:6" x14ac:dyDescent="0.35">
      <c r="A2390">
        <v>504</v>
      </c>
      <c r="B2390" t="s">
        <v>127</v>
      </c>
      <c r="C2390">
        <v>202602</v>
      </c>
      <c r="D2390">
        <v>78613</v>
      </c>
      <c r="E2390">
        <v>180.09438500836177</v>
      </c>
      <c r="F2390">
        <v>436.51</v>
      </c>
    </row>
    <row r="2391" spans="1:6" x14ac:dyDescent="0.35">
      <c r="A2391">
        <v>505</v>
      </c>
      <c r="B2391" t="s">
        <v>127</v>
      </c>
      <c r="C2391">
        <v>202602</v>
      </c>
      <c r="D2391">
        <v>38830</v>
      </c>
      <c r="E2391">
        <v>104.33123757321727</v>
      </c>
      <c r="F2391">
        <v>372.18</v>
      </c>
    </row>
    <row r="2392" spans="1:6" x14ac:dyDescent="0.35">
      <c r="A2392">
        <v>506</v>
      </c>
      <c r="B2392" t="s">
        <v>127</v>
      </c>
      <c r="C2392">
        <v>202602</v>
      </c>
      <c r="D2392">
        <v>38587</v>
      </c>
      <c r="E2392">
        <v>81.460448816736687</v>
      </c>
      <c r="F2392">
        <v>473.69</v>
      </c>
    </row>
    <row r="2393" spans="1:6" x14ac:dyDescent="0.35">
      <c r="A2393">
        <v>508</v>
      </c>
      <c r="B2393" t="s">
        <v>127</v>
      </c>
      <c r="C2393">
        <v>202602</v>
      </c>
      <c r="D2393">
        <v>46975</v>
      </c>
      <c r="E2393">
        <v>116.07363479120336</v>
      </c>
      <c r="F2393">
        <v>404.7</v>
      </c>
    </row>
    <row r="2394" spans="1:6" x14ac:dyDescent="0.35">
      <c r="A2394">
        <v>507</v>
      </c>
      <c r="B2394" t="s">
        <v>127</v>
      </c>
      <c r="C2394">
        <v>202602</v>
      </c>
      <c r="D2394">
        <v>31167</v>
      </c>
      <c r="E2394">
        <v>115.43333333333334</v>
      </c>
      <c r="F2394">
        <v>270</v>
      </c>
    </row>
    <row r="2395" spans="1:6" x14ac:dyDescent="0.35">
      <c r="A2395">
        <v>520</v>
      </c>
      <c r="B2395" t="s">
        <v>127</v>
      </c>
      <c r="C2395">
        <v>202602</v>
      </c>
      <c r="D2395">
        <v>1148</v>
      </c>
      <c r="E2395">
        <v>16.882352941176471</v>
      </c>
      <c r="F2395">
        <v>68</v>
      </c>
    </row>
    <row r="2396" spans="1:6" x14ac:dyDescent="0.35">
      <c r="A2396">
        <v>521</v>
      </c>
      <c r="B2396" t="s">
        <v>127</v>
      </c>
      <c r="C2396">
        <v>202602</v>
      </c>
      <c r="D2396">
        <v>8462</v>
      </c>
      <c r="E2396">
        <v>72.948275862068968</v>
      </c>
      <c r="F2396">
        <v>116</v>
      </c>
    </row>
    <row r="2397" spans="1:6" x14ac:dyDescent="0.35">
      <c r="A2397">
        <v>784</v>
      </c>
      <c r="B2397" t="s">
        <v>127</v>
      </c>
      <c r="C2397">
        <v>202602</v>
      </c>
      <c r="D2397">
        <v>1020</v>
      </c>
      <c r="E2397">
        <v>3.02491103202847</v>
      </c>
      <c r="F2397">
        <v>337.2</v>
      </c>
    </row>
    <row r="2398" spans="1:6" x14ac:dyDescent="0.35">
      <c r="A2398">
        <v>785</v>
      </c>
      <c r="B2398" t="s">
        <v>127</v>
      </c>
      <c r="C2398">
        <v>202602</v>
      </c>
      <c r="D2398">
        <v>1096</v>
      </c>
      <c r="E2398">
        <v>1.9494841693347562</v>
      </c>
      <c r="F2398">
        <v>562.20000000000005</v>
      </c>
    </row>
    <row r="2399" spans="1:6" x14ac:dyDescent="0.35">
      <c r="A2399">
        <v>758</v>
      </c>
      <c r="B2399" t="s">
        <v>127</v>
      </c>
      <c r="C2399">
        <v>202602</v>
      </c>
      <c r="D2399">
        <v>10534</v>
      </c>
      <c r="E2399">
        <v>15.61355922154535</v>
      </c>
      <c r="F2399">
        <v>674.67</v>
      </c>
    </row>
    <row r="2400" spans="1:6" x14ac:dyDescent="0.35">
      <c r="A2400">
        <v>757</v>
      </c>
      <c r="B2400" t="s">
        <v>127</v>
      </c>
      <c r="C2400">
        <v>202602</v>
      </c>
      <c r="D2400">
        <v>22865</v>
      </c>
      <c r="E2400">
        <v>46.214326137925461</v>
      </c>
      <c r="F2400">
        <v>494.76</v>
      </c>
    </row>
    <row r="2401" spans="1:6" x14ac:dyDescent="0.35">
      <c r="A2401">
        <v>580</v>
      </c>
      <c r="B2401" t="s">
        <v>127</v>
      </c>
      <c r="C2401">
        <v>202602</v>
      </c>
      <c r="D2401">
        <v>1877</v>
      </c>
      <c r="E2401">
        <v>6.9343874685976061</v>
      </c>
      <c r="F2401">
        <v>270.68</v>
      </c>
    </row>
    <row r="2402" spans="1:6" x14ac:dyDescent="0.35">
      <c r="A2402">
        <v>582</v>
      </c>
      <c r="B2402" t="s">
        <v>127</v>
      </c>
      <c r="C2402">
        <v>202602</v>
      </c>
      <c r="D2402">
        <v>1768</v>
      </c>
      <c r="E2402">
        <v>5.8786367414796343</v>
      </c>
      <c r="F2402">
        <v>300.75</v>
      </c>
    </row>
    <row r="2403" spans="1:6" x14ac:dyDescent="0.35">
      <c r="A2403">
        <v>594</v>
      </c>
      <c r="B2403" t="s">
        <v>127</v>
      </c>
      <c r="C2403">
        <v>202602</v>
      </c>
      <c r="D2403">
        <v>23546</v>
      </c>
      <c r="E2403">
        <v>139.53185185185185</v>
      </c>
      <c r="F2403">
        <v>168.75</v>
      </c>
    </row>
    <row r="2404" spans="1:6" x14ac:dyDescent="0.35">
      <c r="A2404">
        <v>595</v>
      </c>
      <c r="B2404" t="s">
        <v>127</v>
      </c>
      <c r="C2404">
        <v>202602</v>
      </c>
      <c r="D2404">
        <v>37195</v>
      </c>
      <c r="E2404">
        <v>495.93333333333334</v>
      </c>
      <c r="F2404">
        <v>75</v>
      </c>
    </row>
    <row r="2405" spans="1:6" x14ac:dyDescent="0.35">
      <c r="A2405">
        <v>603</v>
      </c>
      <c r="B2405" t="s">
        <v>127</v>
      </c>
      <c r="C2405">
        <v>202602</v>
      </c>
      <c r="D2405">
        <v>5194</v>
      </c>
      <c r="E2405">
        <v>23.027132470296152</v>
      </c>
      <c r="F2405">
        <v>225.56</v>
      </c>
    </row>
    <row r="2406" spans="1:6" x14ac:dyDescent="0.35">
      <c r="A2406">
        <v>606</v>
      </c>
      <c r="B2406" t="s">
        <v>127</v>
      </c>
      <c r="C2406">
        <v>202602</v>
      </c>
      <c r="D2406">
        <v>5769</v>
      </c>
      <c r="E2406">
        <v>21.988032168311925</v>
      </c>
      <c r="F2406">
        <v>262.37</v>
      </c>
    </row>
    <row r="2407" spans="1:6" x14ac:dyDescent="0.35">
      <c r="A2407">
        <v>772</v>
      </c>
      <c r="B2407" t="s">
        <v>127</v>
      </c>
      <c r="C2407">
        <v>202602</v>
      </c>
      <c r="D2407">
        <v>250</v>
      </c>
      <c r="E2407">
        <v>1.2351778656126482</v>
      </c>
      <c r="F2407">
        <v>202.4</v>
      </c>
    </row>
    <row r="2408" spans="1:6" x14ac:dyDescent="0.35">
      <c r="A2408">
        <v>615</v>
      </c>
      <c r="B2408" t="s">
        <v>127</v>
      </c>
      <c r="C2408">
        <v>202602</v>
      </c>
      <c r="D2408">
        <v>5827</v>
      </c>
      <c r="E2408">
        <v>21.527264666765184</v>
      </c>
      <c r="F2408">
        <v>270.68</v>
      </c>
    </row>
    <row r="2409" spans="1:6" x14ac:dyDescent="0.35">
      <c r="A2409">
        <v>617</v>
      </c>
      <c r="B2409" t="s">
        <v>127</v>
      </c>
      <c r="C2409">
        <v>202602</v>
      </c>
      <c r="D2409">
        <v>2488</v>
      </c>
      <c r="E2409">
        <v>5.528888888888889</v>
      </c>
      <c r="F2409">
        <v>450</v>
      </c>
    </row>
    <row r="2410" spans="1:6" x14ac:dyDescent="0.35">
      <c r="A2410">
        <v>751</v>
      </c>
      <c r="B2410" t="s">
        <v>127</v>
      </c>
      <c r="C2410">
        <v>202602</v>
      </c>
      <c r="D2410">
        <v>985</v>
      </c>
      <c r="E2410">
        <v>4.8519777350869422</v>
      </c>
      <c r="F2410">
        <v>203.01</v>
      </c>
    </row>
    <row r="2411" spans="1:6" x14ac:dyDescent="0.35">
      <c r="A2411">
        <v>752</v>
      </c>
      <c r="B2411" t="s">
        <v>127</v>
      </c>
      <c r="C2411">
        <v>202602</v>
      </c>
      <c r="D2411">
        <v>3832</v>
      </c>
      <c r="E2411">
        <v>11.079627594980627</v>
      </c>
      <c r="F2411">
        <v>345.86</v>
      </c>
    </row>
    <row r="2412" spans="1:6" x14ac:dyDescent="0.35">
      <c r="A2412">
        <v>753</v>
      </c>
      <c r="B2412" t="s">
        <v>127</v>
      </c>
      <c r="C2412">
        <v>202602</v>
      </c>
      <c r="D2412">
        <v>7262</v>
      </c>
      <c r="E2412">
        <v>14.859224095596661</v>
      </c>
      <c r="F2412">
        <v>488.72</v>
      </c>
    </row>
    <row r="2413" spans="1:6" x14ac:dyDescent="0.35">
      <c r="A2413">
        <v>754</v>
      </c>
      <c r="B2413" t="s">
        <v>127</v>
      </c>
      <c r="C2413">
        <v>202602</v>
      </c>
      <c r="D2413">
        <v>760</v>
      </c>
      <c r="E2413">
        <v>1.2634868913235024</v>
      </c>
      <c r="F2413">
        <v>601.51</v>
      </c>
    </row>
    <row r="2414" spans="1:6" x14ac:dyDescent="0.35">
      <c r="A2414">
        <v>614</v>
      </c>
      <c r="B2414" t="s">
        <v>127</v>
      </c>
      <c r="C2414">
        <v>202602</v>
      </c>
      <c r="D2414">
        <v>23514</v>
      </c>
      <c r="E2414">
        <v>41.82497331910352</v>
      </c>
      <c r="F2414">
        <v>562.20000000000005</v>
      </c>
    </row>
    <row r="2415" spans="1:6" x14ac:dyDescent="0.35">
      <c r="A2415">
        <v>797</v>
      </c>
      <c r="B2415" t="s">
        <v>127</v>
      </c>
      <c r="C2415">
        <v>202602</v>
      </c>
      <c r="D2415">
        <v>1256</v>
      </c>
      <c r="E2415">
        <v>2.7923521565140064</v>
      </c>
      <c r="F2415">
        <v>449.8</v>
      </c>
    </row>
    <row r="2416" spans="1:6" x14ac:dyDescent="0.35">
      <c r="A2416">
        <v>613</v>
      </c>
      <c r="B2416" t="s">
        <v>127</v>
      </c>
      <c r="C2416">
        <v>202602</v>
      </c>
      <c r="D2416">
        <v>11919</v>
      </c>
      <c r="E2416">
        <v>40.748717948717946</v>
      </c>
      <c r="F2416">
        <v>292.5</v>
      </c>
    </row>
    <row r="2417" spans="1:6" x14ac:dyDescent="0.35">
      <c r="A2417">
        <v>767</v>
      </c>
      <c r="B2417" t="s">
        <v>127</v>
      </c>
      <c r="C2417">
        <v>202602</v>
      </c>
      <c r="D2417">
        <v>9352</v>
      </c>
      <c r="E2417">
        <v>15.591863954651553</v>
      </c>
      <c r="F2417">
        <v>599.79999999999995</v>
      </c>
    </row>
    <row r="2418" spans="1:6" x14ac:dyDescent="0.35">
      <c r="A2418">
        <v>807</v>
      </c>
      <c r="B2418" t="s">
        <v>127</v>
      </c>
      <c r="C2418">
        <v>202602</v>
      </c>
      <c r="D2418">
        <v>808</v>
      </c>
      <c r="E2418">
        <v>4.04</v>
      </c>
      <c r="F2418">
        <v>200</v>
      </c>
    </row>
    <row r="2419" spans="1:6" x14ac:dyDescent="0.35">
      <c r="A2419">
        <v>808</v>
      </c>
      <c r="B2419" t="s">
        <v>127</v>
      </c>
      <c r="C2419">
        <v>202602</v>
      </c>
      <c r="D2419">
        <v>1141</v>
      </c>
      <c r="E2419">
        <v>3.8712085227658273</v>
      </c>
      <c r="F2419">
        <v>294.74</v>
      </c>
    </row>
    <row r="2420" spans="1:6" x14ac:dyDescent="0.35">
      <c r="A2420">
        <v>502</v>
      </c>
      <c r="B2420" t="s">
        <v>106</v>
      </c>
      <c r="C2420">
        <v>202602</v>
      </c>
      <c r="D2420">
        <v>44932</v>
      </c>
      <c r="E2420">
        <v>144.36447757357666</v>
      </c>
      <c r="F2420">
        <v>311.24</v>
      </c>
    </row>
    <row r="2421" spans="1:6" x14ac:dyDescent="0.35">
      <c r="A2421">
        <v>504</v>
      </c>
      <c r="B2421" t="s">
        <v>106</v>
      </c>
      <c r="C2421">
        <v>202602</v>
      </c>
      <c r="D2421">
        <v>106839</v>
      </c>
      <c r="E2421">
        <v>244.75727932922499</v>
      </c>
      <c r="F2421">
        <v>436.51</v>
      </c>
    </row>
    <row r="2422" spans="1:6" x14ac:dyDescent="0.35">
      <c r="A2422">
        <v>505</v>
      </c>
      <c r="B2422" t="s">
        <v>106</v>
      </c>
      <c r="C2422">
        <v>202602</v>
      </c>
      <c r="D2422">
        <v>60065</v>
      </c>
      <c r="E2422">
        <v>161.38696329732926</v>
      </c>
      <c r="F2422">
        <v>372.18</v>
      </c>
    </row>
    <row r="2423" spans="1:6" x14ac:dyDescent="0.35">
      <c r="A2423">
        <v>506</v>
      </c>
      <c r="B2423" t="s">
        <v>106</v>
      </c>
      <c r="C2423">
        <v>202602</v>
      </c>
      <c r="D2423">
        <v>91379</v>
      </c>
      <c r="E2423">
        <v>192.90886444721232</v>
      </c>
      <c r="F2423">
        <v>473.69</v>
      </c>
    </row>
    <row r="2424" spans="1:6" x14ac:dyDescent="0.35">
      <c r="A2424">
        <v>508</v>
      </c>
      <c r="B2424" t="s">
        <v>106</v>
      </c>
      <c r="C2424">
        <v>202602</v>
      </c>
      <c r="D2424">
        <v>43295</v>
      </c>
      <c r="E2424">
        <v>106.98047936743266</v>
      </c>
      <c r="F2424">
        <v>404.7</v>
      </c>
    </row>
    <row r="2425" spans="1:6" x14ac:dyDescent="0.35">
      <c r="A2425">
        <v>507</v>
      </c>
      <c r="B2425" t="s">
        <v>106</v>
      </c>
      <c r="C2425">
        <v>202602</v>
      </c>
      <c r="D2425">
        <v>28326</v>
      </c>
      <c r="E2425">
        <v>104.91111111111111</v>
      </c>
      <c r="F2425">
        <v>270</v>
      </c>
    </row>
    <row r="2426" spans="1:6" x14ac:dyDescent="0.35">
      <c r="A2426">
        <v>520</v>
      </c>
      <c r="B2426" t="s">
        <v>106</v>
      </c>
      <c r="C2426">
        <v>202602</v>
      </c>
      <c r="D2426">
        <v>309</v>
      </c>
      <c r="E2426">
        <v>4.5441176470588234</v>
      </c>
      <c r="F2426">
        <v>68</v>
      </c>
    </row>
    <row r="2427" spans="1:6" x14ac:dyDescent="0.35">
      <c r="A2427">
        <v>521</v>
      </c>
      <c r="B2427" t="s">
        <v>106</v>
      </c>
      <c r="C2427">
        <v>202602</v>
      </c>
      <c r="D2427">
        <v>3512</v>
      </c>
      <c r="E2427">
        <v>30.275862068965516</v>
      </c>
      <c r="F2427">
        <v>116</v>
      </c>
    </row>
    <row r="2428" spans="1:6" x14ac:dyDescent="0.35">
      <c r="A2428">
        <v>784</v>
      </c>
      <c r="B2428" t="s">
        <v>106</v>
      </c>
      <c r="C2428">
        <v>202602</v>
      </c>
      <c r="D2428">
        <v>545</v>
      </c>
      <c r="E2428">
        <v>1.6162514827995256</v>
      </c>
      <c r="F2428">
        <v>337.2</v>
      </c>
    </row>
    <row r="2429" spans="1:6" x14ac:dyDescent="0.35">
      <c r="A2429">
        <v>785</v>
      </c>
      <c r="B2429" t="s">
        <v>106</v>
      </c>
      <c r="C2429">
        <v>202602</v>
      </c>
      <c r="D2429">
        <v>695</v>
      </c>
      <c r="E2429">
        <v>1.2362148701529703</v>
      </c>
      <c r="F2429">
        <v>562.20000000000005</v>
      </c>
    </row>
    <row r="2430" spans="1:6" x14ac:dyDescent="0.35">
      <c r="A2430">
        <v>758</v>
      </c>
      <c r="B2430" t="s">
        <v>106</v>
      </c>
      <c r="C2430">
        <v>202602</v>
      </c>
      <c r="D2430">
        <v>9096</v>
      </c>
      <c r="E2430">
        <v>13.482146827337811</v>
      </c>
      <c r="F2430">
        <v>674.67</v>
      </c>
    </row>
    <row r="2431" spans="1:6" x14ac:dyDescent="0.35">
      <c r="A2431">
        <v>757</v>
      </c>
      <c r="B2431" t="s">
        <v>106</v>
      </c>
      <c r="C2431">
        <v>202602</v>
      </c>
      <c r="D2431">
        <v>16273</v>
      </c>
      <c r="E2431">
        <v>32.890694478130811</v>
      </c>
      <c r="F2431">
        <v>494.76</v>
      </c>
    </row>
    <row r="2432" spans="1:6" x14ac:dyDescent="0.35">
      <c r="A2432">
        <v>580</v>
      </c>
      <c r="B2432" t="s">
        <v>106</v>
      </c>
      <c r="C2432">
        <v>202602</v>
      </c>
      <c r="D2432">
        <v>0</v>
      </c>
      <c r="E2432">
        <v>0</v>
      </c>
      <c r="F2432">
        <v>270.68</v>
      </c>
    </row>
    <row r="2433" spans="1:6" x14ac:dyDescent="0.35">
      <c r="A2433">
        <v>582</v>
      </c>
      <c r="B2433" t="s">
        <v>106</v>
      </c>
      <c r="C2433">
        <v>202602</v>
      </c>
      <c r="D2433">
        <v>3173</v>
      </c>
      <c r="E2433">
        <v>10.550290939318371</v>
      </c>
      <c r="F2433">
        <v>300.75</v>
      </c>
    </row>
    <row r="2434" spans="1:6" x14ac:dyDescent="0.35">
      <c r="A2434">
        <v>594</v>
      </c>
      <c r="B2434" t="s">
        <v>106</v>
      </c>
      <c r="C2434">
        <v>202602</v>
      </c>
      <c r="D2434">
        <v>15764</v>
      </c>
      <c r="E2434">
        <v>93.416296296296295</v>
      </c>
      <c r="F2434">
        <v>168.75</v>
      </c>
    </row>
    <row r="2435" spans="1:6" x14ac:dyDescent="0.35">
      <c r="A2435">
        <v>595</v>
      </c>
      <c r="B2435" t="s">
        <v>106</v>
      </c>
      <c r="C2435">
        <v>202602</v>
      </c>
      <c r="D2435">
        <v>29283</v>
      </c>
      <c r="E2435">
        <v>390.44</v>
      </c>
      <c r="F2435">
        <v>75</v>
      </c>
    </row>
    <row r="2436" spans="1:6" x14ac:dyDescent="0.35">
      <c r="A2436">
        <v>603</v>
      </c>
      <c r="B2436" t="s">
        <v>106</v>
      </c>
      <c r="C2436">
        <v>202602</v>
      </c>
      <c r="D2436">
        <v>2132</v>
      </c>
      <c r="E2436">
        <v>9.4520305018620316</v>
      </c>
      <c r="F2436">
        <v>225.56</v>
      </c>
    </row>
    <row r="2437" spans="1:6" x14ac:dyDescent="0.35">
      <c r="A2437">
        <v>606</v>
      </c>
      <c r="B2437" t="s">
        <v>106</v>
      </c>
      <c r="C2437">
        <v>202602</v>
      </c>
      <c r="D2437">
        <v>2371</v>
      </c>
      <c r="E2437">
        <v>9.0368563479056299</v>
      </c>
      <c r="F2437">
        <v>262.37</v>
      </c>
    </row>
    <row r="2438" spans="1:6" x14ac:dyDescent="0.35">
      <c r="A2438">
        <v>772</v>
      </c>
      <c r="B2438" t="s">
        <v>106</v>
      </c>
      <c r="C2438">
        <v>202602</v>
      </c>
      <c r="D2438">
        <v>340</v>
      </c>
      <c r="E2438">
        <v>1.6798418972332014</v>
      </c>
      <c r="F2438">
        <v>202.4</v>
      </c>
    </row>
    <row r="2439" spans="1:6" x14ac:dyDescent="0.35">
      <c r="A2439">
        <v>615</v>
      </c>
      <c r="B2439" t="s">
        <v>106</v>
      </c>
      <c r="C2439">
        <v>202602</v>
      </c>
      <c r="D2439">
        <v>5153</v>
      </c>
      <c r="E2439">
        <v>19.037239544850006</v>
      </c>
      <c r="F2439">
        <v>270.68</v>
      </c>
    </row>
    <row r="2440" spans="1:6" x14ac:dyDescent="0.35">
      <c r="A2440">
        <v>617</v>
      </c>
      <c r="B2440" t="s">
        <v>106</v>
      </c>
      <c r="C2440">
        <v>202602</v>
      </c>
      <c r="D2440">
        <v>1578</v>
      </c>
      <c r="E2440">
        <v>3.5066666666666668</v>
      </c>
      <c r="F2440">
        <v>450</v>
      </c>
    </row>
    <row r="2441" spans="1:6" x14ac:dyDescent="0.35">
      <c r="A2441">
        <v>751</v>
      </c>
      <c r="B2441" t="s">
        <v>106</v>
      </c>
      <c r="C2441">
        <v>202602</v>
      </c>
      <c r="D2441">
        <v>713</v>
      </c>
      <c r="E2441">
        <v>3.5121422590020197</v>
      </c>
      <c r="F2441">
        <v>203.01</v>
      </c>
    </row>
    <row r="2442" spans="1:6" x14ac:dyDescent="0.35">
      <c r="A2442">
        <v>752</v>
      </c>
      <c r="B2442" t="s">
        <v>106</v>
      </c>
      <c r="C2442">
        <v>202602</v>
      </c>
      <c r="D2442">
        <v>6092</v>
      </c>
      <c r="E2442">
        <v>17.614063493899266</v>
      </c>
      <c r="F2442">
        <v>345.86</v>
      </c>
    </row>
    <row r="2443" spans="1:6" x14ac:dyDescent="0.35">
      <c r="A2443">
        <v>753</v>
      </c>
      <c r="B2443" t="s">
        <v>106</v>
      </c>
      <c r="C2443">
        <v>202602</v>
      </c>
      <c r="D2443">
        <v>7482</v>
      </c>
      <c r="E2443">
        <v>15.309379603863151</v>
      </c>
      <c r="F2443">
        <v>488.72</v>
      </c>
    </row>
    <row r="2444" spans="1:6" x14ac:dyDescent="0.35">
      <c r="A2444">
        <v>754</v>
      </c>
      <c r="B2444" t="s">
        <v>106</v>
      </c>
      <c r="C2444">
        <v>202602</v>
      </c>
      <c r="D2444">
        <v>926</v>
      </c>
      <c r="E2444">
        <v>1.5394590281125833</v>
      </c>
      <c r="F2444">
        <v>601.51</v>
      </c>
    </row>
    <row r="2445" spans="1:6" x14ac:dyDescent="0.35">
      <c r="A2445">
        <v>614</v>
      </c>
      <c r="B2445" t="s">
        <v>106</v>
      </c>
      <c r="C2445">
        <v>202602</v>
      </c>
      <c r="D2445">
        <v>20214</v>
      </c>
      <c r="E2445">
        <v>35.955176093916755</v>
      </c>
      <c r="F2445">
        <v>562.20000000000005</v>
      </c>
    </row>
    <row r="2446" spans="1:6" x14ac:dyDescent="0.35">
      <c r="A2446">
        <v>797</v>
      </c>
      <c r="B2446" t="s">
        <v>106</v>
      </c>
      <c r="C2446">
        <v>202602</v>
      </c>
      <c r="D2446">
        <v>1505</v>
      </c>
      <c r="E2446">
        <v>3.3459315251222765</v>
      </c>
      <c r="F2446">
        <v>449.8</v>
      </c>
    </row>
    <row r="2447" spans="1:6" x14ac:dyDescent="0.35">
      <c r="A2447">
        <v>613</v>
      </c>
      <c r="B2447" t="s">
        <v>106</v>
      </c>
      <c r="C2447">
        <v>202602</v>
      </c>
      <c r="D2447">
        <v>9261</v>
      </c>
      <c r="E2447">
        <v>31.661538461538463</v>
      </c>
      <c r="F2447">
        <v>292.5</v>
      </c>
    </row>
    <row r="2448" spans="1:6" x14ac:dyDescent="0.35">
      <c r="A2448">
        <v>767</v>
      </c>
      <c r="B2448" t="s">
        <v>106</v>
      </c>
      <c r="C2448">
        <v>202602</v>
      </c>
      <c r="D2448">
        <v>8220</v>
      </c>
      <c r="E2448">
        <v>13.704568189396467</v>
      </c>
      <c r="F2448">
        <v>599.79999999999995</v>
      </c>
    </row>
    <row r="2449" spans="1:6" x14ac:dyDescent="0.35">
      <c r="A2449">
        <v>807</v>
      </c>
      <c r="B2449" t="s">
        <v>106</v>
      </c>
      <c r="C2449">
        <v>202602</v>
      </c>
      <c r="D2449">
        <v>1066</v>
      </c>
      <c r="E2449">
        <v>5.33</v>
      </c>
      <c r="F2449">
        <v>200</v>
      </c>
    </row>
    <row r="2450" spans="1:6" x14ac:dyDescent="0.35">
      <c r="A2450">
        <v>808</v>
      </c>
      <c r="B2450" t="s">
        <v>106</v>
      </c>
      <c r="C2450">
        <v>202602</v>
      </c>
      <c r="D2450">
        <v>1516</v>
      </c>
      <c r="E2450">
        <v>5.1435163194680058</v>
      </c>
      <c r="F2450">
        <v>294.74</v>
      </c>
    </row>
    <row r="2451" spans="1:6" x14ac:dyDescent="0.35">
      <c r="A2451">
        <v>502</v>
      </c>
      <c r="B2451" t="s">
        <v>107</v>
      </c>
      <c r="C2451">
        <v>202602</v>
      </c>
      <c r="D2451">
        <v>34504</v>
      </c>
      <c r="E2451">
        <v>110.85978665981236</v>
      </c>
      <c r="F2451">
        <v>311.24</v>
      </c>
    </row>
    <row r="2452" spans="1:6" x14ac:dyDescent="0.35">
      <c r="A2452">
        <v>504</v>
      </c>
      <c r="B2452" t="s">
        <v>107</v>
      </c>
      <c r="C2452">
        <v>202602</v>
      </c>
      <c r="D2452">
        <v>78264</v>
      </c>
      <c r="E2452">
        <v>179.29486151520013</v>
      </c>
      <c r="F2452">
        <v>436.51</v>
      </c>
    </row>
    <row r="2453" spans="1:6" x14ac:dyDescent="0.35">
      <c r="A2453">
        <v>505</v>
      </c>
      <c r="B2453" t="s">
        <v>107</v>
      </c>
      <c r="C2453">
        <v>202602</v>
      </c>
      <c r="D2453">
        <v>44077</v>
      </c>
      <c r="E2453">
        <v>118.42925466172282</v>
      </c>
      <c r="F2453">
        <v>372.18</v>
      </c>
    </row>
    <row r="2454" spans="1:6" x14ac:dyDescent="0.35">
      <c r="A2454">
        <v>506</v>
      </c>
      <c r="B2454" t="s">
        <v>107</v>
      </c>
      <c r="C2454">
        <v>202602</v>
      </c>
      <c r="D2454">
        <v>58109</v>
      </c>
      <c r="E2454">
        <v>122.67305621820178</v>
      </c>
      <c r="F2454">
        <v>473.69</v>
      </c>
    </row>
    <row r="2455" spans="1:6" x14ac:dyDescent="0.35">
      <c r="A2455">
        <v>508</v>
      </c>
      <c r="B2455" t="s">
        <v>107</v>
      </c>
      <c r="C2455">
        <v>202602</v>
      </c>
      <c r="D2455">
        <v>45576</v>
      </c>
      <c r="E2455">
        <v>112.61675315048184</v>
      </c>
      <c r="F2455">
        <v>404.7</v>
      </c>
    </row>
    <row r="2456" spans="1:6" x14ac:dyDescent="0.35">
      <c r="A2456">
        <v>507</v>
      </c>
      <c r="B2456" t="s">
        <v>107</v>
      </c>
      <c r="C2456">
        <v>202602</v>
      </c>
      <c r="D2456">
        <v>29454</v>
      </c>
      <c r="E2456">
        <v>109.08888888888889</v>
      </c>
      <c r="F2456">
        <v>270</v>
      </c>
    </row>
    <row r="2457" spans="1:6" x14ac:dyDescent="0.35">
      <c r="A2457">
        <v>520</v>
      </c>
      <c r="B2457" t="s">
        <v>107</v>
      </c>
      <c r="C2457">
        <v>202602</v>
      </c>
      <c r="D2457">
        <v>515</v>
      </c>
      <c r="E2457">
        <v>7.5735294117647056</v>
      </c>
      <c r="F2457">
        <v>68</v>
      </c>
    </row>
    <row r="2458" spans="1:6" x14ac:dyDescent="0.35">
      <c r="A2458">
        <v>521</v>
      </c>
      <c r="B2458" t="s">
        <v>107</v>
      </c>
      <c r="C2458">
        <v>202602</v>
      </c>
      <c r="D2458">
        <v>4064</v>
      </c>
      <c r="E2458">
        <v>35.03448275862069</v>
      </c>
      <c r="F2458">
        <v>116</v>
      </c>
    </row>
    <row r="2459" spans="1:6" x14ac:dyDescent="0.35">
      <c r="A2459">
        <v>784</v>
      </c>
      <c r="B2459" t="s">
        <v>107</v>
      </c>
      <c r="C2459">
        <v>202602</v>
      </c>
      <c r="D2459">
        <v>569</v>
      </c>
      <c r="E2459">
        <v>1.6874258600237249</v>
      </c>
      <c r="F2459">
        <v>337.2</v>
      </c>
    </row>
    <row r="2460" spans="1:6" x14ac:dyDescent="0.35">
      <c r="A2460">
        <v>785</v>
      </c>
      <c r="B2460" t="s">
        <v>107</v>
      </c>
      <c r="C2460">
        <v>202602</v>
      </c>
      <c r="D2460">
        <v>805</v>
      </c>
      <c r="E2460">
        <v>1.4318747776591958</v>
      </c>
      <c r="F2460">
        <v>562.20000000000005</v>
      </c>
    </row>
    <row r="2461" spans="1:6" x14ac:dyDescent="0.35">
      <c r="A2461">
        <v>758</v>
      </c>
      <c r="B2461" t="s">
        <v>107</v>
      </c>
      <c r="C2461">
        <v>202602</v>
      </c>
      <c r="D2461">
        <v>7287</v>
      </c>
      <c r="E2461">
        <v>10.80083596424919</v>
      </c>
      <c r="F2461">
        <v>674.67</v>
      </c>
    </row>
    <row r="2462" spans="1:6" x14ac:dyDescent="0.35">
      <c r="A2462">
        <v>757</v>
      </c>
      <c r="B2462" t="s">
        <v>107</v>
      </c>
      <c r="C2462">
        <v>202602</v>
      </c>
      <c r="D2462">
        <v>15510</v>
      </c>
      <c r="E2462">
        <v>31.348532621877276</v>
      </c>
      <c r="F2462">
        <v>494.76</v>
      </c>
    </row>
    <row r="2463" spans="1:6" x14ac:dyDescent="0.35">
      <c r="A2463">
        <v>580</v>
      </c>
      <c r="B2463" t="s">
        <v>107</v>
      </c>
      <c r="C2463">
        <v>202602</v>
      </c>
      <c r="D2463">
        <v>0</v>
      </c>
      <c r="E2463">
        <v>0</v>
      </c>
      <c r="F2463">
        <v>270.68</v>
      </c>
    </row>
    <row r="2464" spans="1:6" x14ac:dyDescent="0.35">
      <c r="A2464">
        <v>582</v>
      </c>
      <c r="B2464" t="s">
        <v>107</v>
      </c>
      <c r="C2464">
        <v>202602</v>
      </c>
      <c r="D2464">
        <v>2851</v>
      </c>
      <c r="E2464">
        <v>9.4796342477140474</v>
      </c>
      <c r="F2464">
        <v>300.75</v>
      </c>
    </row>
    <row r="2465" spans="1:6" x14ac:dyDescent="0.35">
      <c r="A2465">
        <v>594</v>
      </c>
      <c r="B2465" t="s">
        <v>107</v>
      </c>
      <c r="C2465">
        <v>202602</v>
      </c>
      <c r="D2465">
        <v>14621</v>
      </c>
      <c r="E2465">
        <v>86.642962962962969</v>
      </c>
      <c r="F2465">
        <v>168.75</v>
      </c>
    </row>
    <row r="2466" spans="1:6" x14ac:dyDescent="0.35">
      <c r="A2466">
        <v>595</v>
      </c>
      <c r="B2466" t="s">
        <v>107</v>
      </c>
      <c r="C2466">
        <v>202602</v>
      </c>
      <c r="D2466">
        <v>24414</v>
      </c>
      <c r="E2466">
        <v>325.52</v>
      </c>
      <c r="F2466">
        <v>75</v>
      </c>
    </row>
    <row r="2467" spans="1:6" x14ac:dyDescent="0.35">
      <c r="A2467">
        <v>603</v>
      </c>
      <c r="B2467" t="s">
        <v>107</v>
      </c>
      <c r="C2467">
        <v>202602</v>
      </c>
      <c r="D2467">
        <v>2104</v>
      </c>
      <c r="E2467">
        <v>9.3278950168469592</v>
      </c>
      <c r="F2467">
        <v>225.56</v>
      </c>
    </row>
    <row r="2468" spans="1:6" x14ac:dyDescent="0.35">
      <c r="A2468">
        <v>606</v>
      </c>
      <c r="B2468" t="s">
        <v>107</v>
      </c>
      <c r="C2468">
        <v>202602</v>
      </c>
      <c r="D2468">
        <v>2158</v>
      </c>
      <c r="E2468">
        <v>8.2250257270267184</v>
      </c>
      <c r="F2468">
        <v>262.37</v>
      </c>
    </row>
    <row r="2469" spans="1:6" x14ac:dyDescent="0.35">
      <c r="A2469">
        <v>772</v>
      </c>
      <c r="B2469" t="s">
        <v>107</v>
      </c>
      <c r="C2469">
        <v>202602</v>
      </c>
      <c r="D2469">
        <v>406</v>
      </c>
      <c r="E2469">
        <v>2.0059288537549405</v>
      </c>
      <c r="F2469">
        <v>202.4</v>
      </c>
    </row>
    <row r="2470" spans="1:6" x14ac:dyDescent="0.35">
      <c r="A2470">
        <v>615</v>
      </c>
      <c r="B2470" t="s">
        <v>107</v>
      </c>
      <c r="C2470">
        <v>202602</v>
      </c>
      <c r="D2470">
        <v>3764</v>
      </c>
      <c r="E2470">
        <v>13.905718930101965</v>
      </c>
      <c r="F2470">
        <v>270.68</v>
      </c>
    </row>
    <row r="2471" spans="1:6" x14ac:dyDescent="0.35">
      <c r="A2471">
        <v>617</v>
      </c>
      <c r="B2471" t="s">
        <v>107</v>
      </c>
      <c r="C2471">
        <v>202602</v>
      </c>
      <c r="D2471">
        <v>1751</v>
      </c>
      <c r="E2471">
        <v>3.891111111111111</v>
      </c>
      <c r="F2471">
        <v>450</v>
      </c>
    </row>
    <row r="2472" spans="1:6" x14ac:dyDescent="0.35">
      <c r="A2472">
        <v>751</v>
      </c>
      <c r="B2472" t="s">
        <v>107</v>
      </c>
      <c r="C2472">
        <v>202602</v>
      </c>
      <c r="D2472">
        <v>567</v>
      </c>
      <c r="E2472">
        <v>2.7929658637505543</v>
      </c>
      <c r="F2472">
        <v>203.01</v>
      </c>
    </row>
    <row r="2473" spans="1:6" x14ac:dyDescent="0.35">
      <c r="A2473">
        <v>752</v>
      </c>
      <c r="B2473" t="s">
        <v>107</v>
      </c>
      <c r="C2473">
        <v>202602</v>
      </c>
      <c r="D2473">
        <v>5119</v>
      </c>
      <c r="E2473">
        <v>14.800786445382524</v>
      </c>
      <c r="F2473">
        <v>345.86</v>
      </c>
    </row>
    <row r="2474" spans="1:6" x14ac:dyDescent="0.35">
      <c r="A2474">
        <v>753</v>
      </c>
      <c r="B2474" t="s">
        <v>107</v>
      </c>
      <c r="C2474">
        <v>202602</v>
      </c>
      <c r="D2474">
        <v>8601</v>
      </c>
      <c r="E2474">
        <v>17.599034211818626</v>
      </c>
      <c r="F2474">
        <v>488.72</v>
      </c>
    </row>
    <row r="2475" spans="1:6" x14ac:dyDescent="0.35">
      <c r="A2475">
        <v>754</v>
      </c>
      <c r="B2475" t="s">
        <v>107</v>
      </c>
      <c r="C2475">
        <v>202602</v>
      </c>
      <c r="D2475">
        <v>738</v>
      </c>
      <c r="E2475">
        <v>1.2269122707851907</v>
      </c>
      <c r="F2475">
        <v>601.51</v>
      </c>
    </row>
    <row r="2476" spans="1:6" x14ac:dyDescent="0.35">
      <c r="A2476">
        <v>614</v>
      </c>
      <c r="B2476" t="s">
        <v>107</v>
      </c>
      <c r="C2476">
        <v>202602</v>
      </c>
      <c r="D2476">
        <v>12747</v>
      </c>
      <c r="E2476">
        <v>22.673425827107788</v>
      </c>
      <c r="F2476">
        <v>562.20000000000005</v>
      </c>
    </row>
    <row r="2477" spans="1:6" x14ac:dyDescent="0.35">
      <c r="A2477">
        <v>797</v>
      </c>
      <c r="B2477" t="s">
        <v>107</v>
      </c>
      <c r="C2477">
        <v>202602</v>
      </c>
      <c r="D2477">
        <v>1020</v>
      </c>
      <c r="E2477">
        <v>2.267674522009782</v>
      </c>
      <c r="F2477">
        <v>449.8</v>
      </c>
    </row>
    <row r="2478" spans="1:6" x14ac:dyDescent="0.35">
      <c r="A2478">
        <v>613</v>
      </c>
      <c r="B2478" t="s">
        <v>107</v>
      </c>
      <c r="C2478">
        <v>202602</v>
      </c>
      <c r="D2478">
        <v>5996</v>
      </c>
      <c r="E2478">
        <v>20.499145299145297</v>
      </c>
      <c r="F2478">
        <v>292.5</v>
      </c>
    </row>
    <row r="2479" spans="1:6" x14ac:dyDescent="0.35">
      <c r="A2479">
        <v>767</v>
      </c>
      <c r="B2479" t="s">
        <v>107</v>
      </c>
      <c r="C2479">
        <v>202602</v>
      </c>
      <c r="D2479">
        <v>5802</v>
      </c>
      <c r="E2479">
        <v>9.6732244081360452</v>
      </c>
      <c r="F2479">
        <v>599.79999999999995</v>
      </c>
    </row>
    <row r="2480" spans="1:6" x14ac:dyDescent="0.35">
      <c r="A2480">
        <v>807</v>
      </c>
      <c r="B2480" t="s">
        <v>107</v>
      </c>
      <c r="C2480">
        <v>202602</v>
      </c>
      <c r="D2480">
        <v>917</v>
      </c>
      <c r="E2480">
        <v>4.585</v>
      </c>
      <c r="F2480">
        <v>200</v>
      </c>
    </row>
    <row r="2481" spans="1:6" x14ac:dyDescent="0.35">
      <c r="A2481">
        <v>808</v>
      </c>
      <c r="B2481" t="s">
        <v>107</v>
      </c>
      <c r="C2481">
        <v>202602</v>
      </c>
      <c r="D2481">
        <v>1254</v>
      </c>
      <c r="E2481">
        <v>4.2545972721720835</v>
      </c>
      <c r="F2481">
        <v>294.74</v>
      </c>
    </row>
    <row r="2482" spans="1:6" x14ac:dyDescent="0.35">
      <c r="A2482">
        <v>502</v>
      </c>
      <c r="B2482" t="s">
        <v>108</v>
      </c>
      <c r="C2482">
        <v>202602</v>
      </c>
      <c r="D2482">
        <v>39475</v>
      </c>
      <c r="E2482">
        <v>126.83138414085593</v>
      </c>
      <c r="F2482">
        <v>311.24</v>
      </c>
    </row>
    <row r="2483" spans="1:6" x14ac:dyDescent="0.35">
      <c r="A2483">
        <v>504</v>
      </c>
      <c r="B2483" t="s">
        <v>108</v>
      </c>
      <c r="C2483">
        <v>202602</v>
      </c>
      <c r="D2483">
        <v>84554</v>
      </c>
      <c r="E2483">
        <v>193.7046115781998</v>
      </c>
      <c r="F2483">
        <v>436.51</v>
      </c>
    </row>
    <row r="2484" spans="1:6" x14ac:dyDescent="0.35">
      <c r="A2484">
        <v>505</v>
      </c>
      <c r="B2484" t="s">
        <v>108</v>
      </c>
      <c r="C2484">
        <v>202602</v>
      </c>
      <c r="D2484">
        <v>46069</v>
      </c>
      <c r="E2484">
        <v>123.78150357353968</v>
      </c>
      <c r="F2484">
        <v>372.18</v>
      </c>
    </row>
    <row r="2485" spans="1:6" x14ac:dyDescent="0.35">
      <c r="A2485">
        <v>506</v>
      </c>
      <c r="B2485" t="s">
        <v>108</v>
      </c>
      <c r="C2485">
        <v>202602</v>
      </c>
      <c r="D2485">
        <v>60129</v>
      </c>
      <c r="E2485">
        <v>126.9374485422956</v>
      </c>
      <c r="F2485">
        <v>473.69</v>
      </c>
    </row>
    <row r="2486" spans="1:6" x14ac:dyDescent="0.35">
      <c r="A2486">
        <v>508</v>
      </c>
      <c r="B2486" t="s">
        <v>108</v>
      </c>
      <c r="C2486">
        <v>202602</v>
      </c>
      <c r="D2486">
        <v>45844</v>
      </c>
      <c r="E2486">
        <v>113.27897207808253</v>
      </c>
      <c r="F2486">
        <v>404.7</v>
      </c>
    </row>
    <row r="2487" spans="1:6" x14ac:dyDescent="0.35">
      <c r="A2487">
        <v>507</v>
      </c>
      <c r="B2487" t="s">
        <v>108</v>
      </c>
      <c r="C2487">
        <v>202602</v>
      </c>
      <c r="D2487">
        <v>30238</v>
      </c>
      <c r="E2487">
        <v>111.99259259259259</v>
      </c>
      <c r="F2487">
        <v>270</v>
      </c>
    </row>
    <row r="2488" spans="1:6" x14ac:dyDescent="0.35">
      <c r="A2488">
        <v>520</v>
      </c>
      <c r="B2488" t="s">
        <v>108</v>
      </c>
      <c r="C2488">
        <v>202602</v>
      </c>
      <c r="D2488">
        <v>597</v>
      </c>
      <c r="E2488">
        <v>8.7794117647058822</v>
      </c>
      <c r="F2488">
        <v>68</v>
      </c>
    </row>
    <row r="2489" spans="1:6" x14ac:dyDescent="0.35">
      <c r="A2489">
        <v>521</v>
      </c>
      <c r="B2489" t="s">
        <v>108</v>
      </c>
      <c r="C2489">
        <v>202602</v>
      </c>
      <c r="D2489">
        <v>4061</v>
      </c>
      <c r="E2489">
        <v>35.008620689655174</v>
      </c>
      <c r="F2489">
        <v>116</v>
      </c>
    </row>
    <row r="2490" spans="1:6" x14ac:dyDescent="0.35">
      <c r="A2490">
        <v>784</v>
      </c>
      <c r="B2490" t="s">
        <v>108</v>
      </c>
      <c r="C2490">
        <v>202602</v>
      </c>
      <c r="D2490">
        <v>638</v>
      </c>
      <c r="E2490">
        <v>1.8920521945432978</v>
      </c>
      <c r="F2490">
        <v>337.2</v>
      </c>
    </row>
    <row r="2491" spans="1:6" x14ac:dyDescent="0.35">
      <c r="A2491">
        <v>785</v>
      </c>
      <c r="B2491" t="s">
        <v>108</v>
      </c>
      <c r="C2491">
        <v>202602</v>
      </c>
      <c r="D2491">
        <v>983</v>
      </c>
      <c r="E2491">
        <v>1.7484880825329063</v>
      </c>
      <c r="F2491">
        <v>562.20000000000005</v>
      </c>
    </row>
    <row r="2492" spans="1:6" x14ac:dyDescent="0.35">
      <c r="A2492">
        <v>758</v>
      </c>
      <c r="B2492" t="s">
        <v>108</v>
      </c>
      <c r="C2492">
        <v>202602</v>
      </c>
      <c r="D2492">
        <v>9420</v>
      </c>
      <c r="E2492">
        <v>13.962381608786519</v>
      </c>
      <c r="F2492">
        <v>674.67</v>
      </c>
    </row>
    <row r="2493" spans="1:6" x14ac:dyDescent="0.35">
      <c r="A2493">
        <v>757</v>
      </c>
      <c r="B2493" t="s">
        <v>108</v>
      </c>
      <c r="C2493">
        <v>202602</v>
      </c>
      <c r="D2493">
        <v>17440</v>
      </c>
      <c r="E2493">
        <v>35.249413857223708</v>
      </c>
      <c r="F2493">
        <v>494.76</v>
      </c>
    </row>
    <row r="2494" spans="1:6" x14ac:dyDescent="0.35">
      <c r="A2494">
        <v>580</v>
      </c>
      <c r="B2494" t="s">
        <v>108</v>
      </c>
      <c r="C2494">
        <v>202602</v>
      </c>
      <c r="D2494">
        <v>0</v>
      </c>
      <c r="E2494">
        <v>0</v>
      </c>
      <c r="F2494">
        <v>270.68</v>
      </c>
    </row>
    <row r="2495" spans="1:6" x14ac:dyDescent="0.35">
      <c r="A2495">
        <v>582</v>
      </c>
      <c r="B2495" t="s">
        <v>108</v>
      </c>
      <c r="C2495">
        <v>202602</v>
      </c>
      <c r="D2495">
        <v>1208</v>
      </c>
      <c r="E2495">
        <v>4.0166251039068994</v>
      </c>
      <c r="F2495">
        <v>300.75</v>
      </c>
    </row>
    <row r="2496" spans="1:6" x14ac:dyDescent="0.35">
      <c r="A2496">
        <v>594</v>
      </c>
      <c r="B2496" t="s">
        <v>108</v>
      </c>
      <c r="C2496">
        <v>202602</v>
      </c>
      <c r="D2496">
        <v>20296</v>
      </c>
      <c r="E2496">
        <v>120.27259259259259</v>
      </c>
      <c r="F2496">
        <v>168.75</v>
      </c>
    </row>
    <row r="2497" spans="1:6" x14ac:dyDescent="0.35">
      <c r="A2497">
        <v>595</v>
      </c>
      <c r="B2497" t="s">
        <v>108</v>
      </c>
      <c r="C2497">
        <v>202602</v>
      </c>
      <c r="D2497">
        <v>26212</v>
      </c>
      <c r="E2497">
        <v>349.49333333333334</v>
      </c>
      <c r="F2497">
        <v>75</v>
      </c>
    </row>
    <row r="2498" spans="1:6" x14ac:dyDescent="0.35">
      <c r="A2498">
        <v>603</v>
      </c>
      <c r="B2498" t="s">
        <v>108</v>
      </c>
      <c r="C2498">
        <v>202602</v>
      </c>
      <c r="D2498">
        <v>2542</v>
      </c>
      <c r="E2498">
        <v>11.269728675297038</v>
      </c>
      <c r="F2498">
        <v>225.56</v>
      </c>
    </row>
    <row r="2499" spans="1:6" x14ac:dyDescent="0.35">
      <c r="A2499">
        <v>606</v>
      </c>
      <c r="B2499" t="s">
        <v>108</v>
      </c>
      <c r="C2499">
        <v>202602</v>
      </c>
      <c r="D2499">
        <v>3654</v>
      </c>
      <c r="E2499">
        <v>13.926897130007241</v>
      </c>
      <c r="F2499">
        <v>262.37</v>
      </c>
    </row>
    <row r="2500" spans="1:6" x14ac:dyDescent="0.35">
      <c r="A2500">
        <v>772</v>
      </c>
      <c r="B2500" t="s">
        <v>108</v>
      </c>
      <c r="C2500">
        <v>202602</v>
      </c>
      <c r="D2500">
        <v>306</v>
      </c>
      <c r="E2500">
        <v>1.5118577075098814</v>
      </c>
      <c r="F2500">
        <v>202.4</v>
      </c>
    </row>
    <row r="2501" spans="1:6" x14ac:dyDescent="0.35">
      <c r="A2501">
        <v>615</v>
      </c>
      <c r="B2501" t="s">
        <v>108</v>
      </c>
      <c r="C2501">
        <v>202602</v>
      </c>
      <c r="D2501">
        <v>3814</v>
      </c>
      <c r="E2501">
        <v>14.090438894635732</v>
      </c>
      <c r="F2501">
        <v>270.68</v>
      </c>
    </row>
    <row r="2502" spans="1:6" x14ac:dyDescent="0.35">
      <c r="A2502">
        <v>617</v>
      </c>
      <c r="B2502" t="s">
        <v>108</v>
      </c>
      <c r="C2502">
        <v>202602</v>
      </c>
      <c r="D2502">
        <v>1312</v>
      </c>
      <c r="E2502">
        <v>2.9155555555555557</v>
      </c>
      <c r="F2502">
        <v>450</v>
      </c>
    </row>
    <row r="2503" spans="1:6" x14ac:dyDescent="0.35">
      <c r="A2503">
        <v>751</v>
      </c>
      <c r="B2503" t="s">
        <v>108</v>
      </c>
      <c r="C2503">
        <v>202602</v>
      </c>
      <c r="D2503">
        <v>2611</v>
      </c>
      <c r="E2503">
        <v>12.861435397271071</v>
      </c>
      <c r="F2503">
        <v>203.01</v>
      </c>
    </row>
    <row r="2504" spans="1:6" x14ac:dyDescent="0.35">
      <c r="A2504">
        <v>752</v>
      </c>
      <c r="B2504" t="s">
        <v>108</v>
      </c>
      <c r="C2504">
        <v>202602</v>
      </c>
      <c r="D2504">
        <v>5310</v>
      </c>
      <c r="E2504">
        <v>15.353033019140693</v>
      </c>
      <c r="F2504">
        <v>345.86</v>
      </c>
    </row>
    <row r="2505" spans="1:6" x14ac:dyDescent="0.35">
      <c r="A2505">
        <v>753</v>
      </c>
      <c r="B2505" t="s">
        <v>108</v>
      </c>
      <c r="C2505">
        <v>202602</v>
      </c>
      <c r="D2505">
        <v>5213</v>
      </c>
      <c r="E2505">
        <v>10.666639384514649</v>
      </c>
      <c r="F2505">
        <v>488.72</v>
      </c>
    </row>
    <row r="2506" spans="1:6" x14ac:dyDescent="0.35">
      <c r="A2506">
        <v>754</v>
      </c>
      <c r="B2506" t="s">
        <v>108</v>
      </c>
      <c r="C2506">
        <v>202602</v>
      </c>
      <c r="D2506">
        <v>800</v>
      </c>
      <c r="E2506">
        <v>1.3299862013931605</v>
      </c>
      <c r="F2506">
        <v>601.51</v>
      </c>
    </row>
    <row r="2507" spans="1:6" x14ac:dyDescent="0.35">
      <c r="A2507">
        <v>614</v>
      </c>
      <c r="B2507" t="s">
        <v>108</v>
      </c>
      <c r="C2507">
        <v>202602</v>
      </c>
      <c r="D2507">
        <v>14795</v>
      </c>
      <c r="E2507">
        <v>26.316257559587335</v>
      </c>
      <c r="F2507">
        <v>562.20000000000005</v>
      </c>
    </row>
    <row r="2508" spans="1:6" x14ac:dyDescent="0.35">
      <c r="A2508">
        <v>797</v>
      </c>
      <c r="B2508" t="s">
        <v>108</v>
      </c>
      <c r="C2508">
        <v>202602</v>
      </c>
      <c r="D2508">
        <v>1229</v>
      </c>
      <c r="E2508">
        <v>2.732325477990218</v>
      </c>
      <c r="F2508">
        <v>449.8</v>
      </c>
    </row>
    <row r="2509" spans="1:6" x14ac:dyDescent="0.35">
      <c r="A2509">
        <v>613</v>
      </c>
      <c r="B2509" t="s">
        <v>108</v>
      </c>
      <c r="C2509">
        <v>202602</v>
      </c>
      <c r="D2509">
        <v>7128</v>
      </c>
      <c r="E2509">
        <v>24.369230769230768</v>
      </c>
      <c r="F2509">
        <v>292.5</v>
      </c>
    </row>
    <row r="2510" spans="1:6" x14ac:dyDescent="0.35">
      <c r="A2510">
        <v>767</v>
      </c>
      <c r="B2510" t="s">
        <v>108</v>
      </c>
      <c r="C2510">
        <v>202602</v>
      </c>
      <c r="D2510">
        <v>7592</v>
      </c>
      <c r="E2510">
        <v>12.657552517505836</v>
      </c>
      <c r="F2510">
        <v>599.79999999999995</v>
      </c>
    </row>
    <row r="2511" spans="1:6" x14ac:dyDescent="0.35">
      <c r="A2511">
        <v>807</v>
      </c>
      <c r="B2511" t="s">
        <v>108</v>
      </c>
      <c r="C2511">
        <v>202602</v>
      </c>
      <c r="D2511">
        <v>655</v>
      </c>
      <c r="E2511">
        <v>3.2749999999999999</v>
      </c>
      <c r="F2511">
        <v>200</v>
      </c>
    </row>
    <row r="2512" spans="1:6" x14ac:dyDescent="0.35">
      <c r="A2512">
        <v>808</v>
      </c>
      <c r="B2512" t="s">
        <v>108</v>
      </c>
      <c r="C2512">
        <v>202602</v>
      </c>
      <c r="D2512">
        <v>895</v>
      </c>
      <c r="E2512">
        <v>3.0365746081291984</v>
      </c>
      <c r="F2512">
        <v>294.74</v>
      </c>
    </row>
    <row r="2513" spans="1:6" x14ac:dyDescent="0.35">
      <c r="A2513">
        <v>502</v>
      </c>
      <c r="B2513" t="s">
        <v>109</v>
      </c>
      <c r="C2513">
        <v>202602</v>
      </c>
      <c r="D2513">
        <v>37076</v>
      </c>
      <c r="E2513">
        <v>119.12350597609561</v>
      </c>
      <c r="F2513">
        <v>311.24</v>
      </c>
    </row>
    <row r="2514" spans="1:6" x14ac:dyDescent="0.35">
      <c r="A2514">
        <v>504</v>
      </c>
      <c r="B2514" t="s">
        <v>109</v>
      </c>
      <c r="C2514">
        <v>202602</v>
      </c>
      <c r="D2514">
        <v>82226</v>
      </c>
      <c r="E2514">
        <v>188.37140042610707</v>
      </c>
      <c r="F2514">
        <v>436.51</v>
      </c>
    </row>
    <row r="2515" spans="1:6" x14ac:dyDescent="0.35">
      <c r="A2515">
        <v>505</v>
      </c>
      <c r="B2515" t="s">
        <v>109</v>
      </c>
      <c r="C2515">
        <v>202602</v>
      </c>
      <c r="D2515">
        <v>45864</v>
      </c>
      <c r="E2515">
        <v>123.23069482508464</v>
      </c>
      <c r="F2515">
        <v>372.18</v>
      </c>
    </row>
    <row r="2516" spans="1:6" x14ac:dyDescent="0.35">
      <c r="A2516">
        <v>506</v>
      </c>
      <c r="B2516" t="s">
        <v>109</v>
      </c>
      <c r="C2516">
        <v>202602</v>
      </c>
      <c r="D2516">
        <v>53052</v>
      </c>
      <c r="E2516">
        <v>111.99729781080454</v>
      </c>
      <c r="F2516">
        <v>473.69</v>
      </c>
    </row>
    <row r="2517" spans="1:6" x14ac:dyDescent="0.35">
      <c r="A2517">
        <v>508</v>
      </c>
      <c r="B2517" t="s">
        <v>109</v>
      </c>
      <c r="C2517">
        <v>202602</v>
      </c>
      <c r="D2517">
        <v>30719</v>
      </c>
      <c r="E2517">
        <v>75.905609093155419</v>
      </c>
      <c r="F2517">
        <v>404.7</v>
      </c>
    </row>
    <row r="2518" spans="1:6" x14ac:dyDescent="0.35">
      <c r="A2518">
        <v>507</v>
      </c>
      <c r="B2518" t="s">
        <v>109</v>
      </c>
      <c r="C2518">
        <v>202602</v>
      </c>
      <c r="D2518">
        <v>20950</v>
      </c>
      <c r="E2518">
        <v>77.592592592592595</v>
      </c>
      <c r="F2518">
        <v>270</v>
      </c>
    </row>
    <row r="2519" spans="1:6" x14ac:dyDescent="0.35">
      <c r="A2519">
        <v>520</v>
      </c>
      <c r="B2519" t="s">
        <v>109</v>
      </c>
      <c r="C2519">
        <v>202602</v>
      </c>
      <c r="D2519">
        <v>375</v>
      </c>
      <c r="E2519">
        <v>5.5147058823529411</v>
      </c>
      <c r="F2519">
        <v>68</v>
      </c>
    </row>
    <row r="2520" spans="1:6" x14ac:dyDescent="0.35">
      <c r="A2520">
        <v>521</v>
      </c>
      <c r="B2520" t="s">
        <v>109</v>
      </c>
      <c r="C2520">
        <v>202602</v>
      </c>
      <c r="D2520">
        <v>3057</v>
      </c>
      <c r="E2520">
        <v>26.353448275862068</v>
      </c>
      <c r="F2520">
        <v>116</v>
      </c>
    </row>
    <row r="2521" spans="1:6" x14ac:dyDescent="0.35">
      <c r="A2521">
        <v>784</v>
      </c>
      <c r="B2521" t="s">
        <v>109</v>
      </c>
      <c r="C2521">
        <v>202602</v>
      </c>
      <c r="D2521">
        <v>449</v>
      </c>
      <c r="E2521">
        <v>1.3315539739027284</v>
      </c>
      <c r="F2521">
        <v>337.2</v>
      </c>
    </row>
    <row r="2522" spans="1:6" x14ac:dyDescent="0.35">
      <c r="A2522">
        <v>785</v>
      </c>
      <c r="B2522" t="s">
        <v>109</v>
      </c>
      <c r="C2522">
        <v>202602</v>
      </c>
      <c r="D2522">
        <v>706</v>
      </c>
      <c r="E2522">
        <v>1.255780860903593</v>
      </c>
      <c r="F2522">
        <v>562.20000000000005</v>
      </c>
    </row>
    <row r="2523" spans="1:6" x14ac:dyDescent="0.35">
      <c r="A2523">
        <v>758</v>
      </c>
      <c r="B2523" t="s">
        <v>109</v>
      </c>
      <c r="C2523">
        <v>202602</v>
      </c>
      <c r="D2523">
        <v>7327</v>
      </c>
      <c r="E2523">
        <v>10.860124208872486</v>
      </c>
      <c r="F2523">
        <v>674.67</v>
      </c>
    </row>
    <row r="2524" spans="1:6" x14ac:dyDescent="0.35">
      <c r="A2524">
        <v>757</v>
      </c>
      <c r="B2524" t="s">
        <v>109</v>
      </c>
      <c r="C2524">
        <v>202602</v>
      </c>
      <c r="D2524">
        <v>16830</v>
      </c>
      <c r="E2524">
        <v>34.016492845015769</v>
      </c>
      <c r="F2524">
        <v>494.76</v>
      </c>
    </row>
    <row r="2525" spans="1:6" x14ac:dyDescent="0.35">
      <c r="A2525">
        <v>580</v>
      </c>
      <c r="B2525" t="s">
        <v>109</v>
      </c>
      <c r="C2525">
        <v>202602</v>
      </c>
      <c r="D2525">
        <v>0</v>
      </c>
      <c r="E2525">
        <v>0</v>
      </c>
      <c r="F2525">
        <v>270.68</v>
      </c>
    </row>
    <row r="2526" spans="1:6" x14ac:dyDescent="0.35">
      <c r="A2526">
        <v>582</v>
      </c>
      <c r="B2526" t="s">
        <v>109</v>
      </c>
      <c r="C2526">
        <v>202602</v>
      </c>
      <c r="D2526">
        <v>2426</v>
      </c>
      <c r="E2526">
        <v>8.0665004156275977</v>
      </c>
      <c r="F2526">
        <v>300.75</v>
      </c>
    </row>
    <row r="2527" spans="1:6" x14ac:dyDescent="0.35">
      <c r="A2527">
        <v>594</v>
      </c>
      <c r="B2527" t="s">
        <v>109</v>
      </c>
      <c r="C2527">
        <v>202602</v>
      </c>
      <c r="D2527">
        <v>15868</v>
      </c>
      <c r="E2527">
        <v>94.032592592592593</v>
      </c>
      <c r="F2527">
        <v>168.75</v>
      </c>
    </row>
    <row r="2528" spans="1:6" x14ac:dyDescent="0.35">
      <c r="A2528">
        <v>595</v>
      </c>
      <c r="B2528" t="s">
        <v>109</v>
      </c>
      <c r="C2528">
        <v>202602</v>
      </c>
      <c r="D2528">
        <v>25486</v>
      </c>
      <c r="E2528">
        <v>339.81333333333333</v>
      </c>
      <c r="F2528">
        <v>75</v>
      </c>
    </row>
    <row r="2529" spans="1:6" x14ac:dyDescent="0.35">
      <c r="A2529">
        <v>603</v>
      </c>
      <c r="B2529" t="s">
        <v>109</v>
      </c>
      <c r="C2529">
        <v>202602</v>
      </c>
      <c r="D2529">
        <v>2247</v>
      </c>
      <c r="E2529">
        <v>9.9618726724596556</v>
      </c>
      <c r="F2529">
        <v>225.56</v>
      </c>
    </row>
    <row r="2530" spans="1:6" x14ac:dyDescent="0.35">
      <c r="A2530">
        <v>606</v>
      </c>
      <c r="B2530" t="s">
        <v>109</v>
      </c>
      <c r="C2530">
        <v>202602</v>
      </c>
      <c r="D2530">
        <v>2313</v>
      </c>
      <c r="E2530">
        <v>8.815794488699165</v>
      </c>
      <c r="F2530">
        <v>262.37</v>
      </c>
    </row>
    <row r="2531" spans="1:6" x14ac:dyDescent="0.35">
      <c r="A2531">
        <v>772</v>
      </c>
      <c r="B2531" t="s">
        <v>109</v>
      </c>
      <c r="C2531">
        <v>202602</v>
      </c>
      <c r="D2531">
        <v>266</v>
      </c>
      <c r="E2531">
        <v>1.3142292490118577</v>
      </c>
      <c r="F2531">
        <v>202.4</v>
      </c>
    </row>
    <row r="2532" spans="1:6" x14ac:dyDescent="0.35">
      <c r="A2532">
        <v>615</v>
      </c>
      <c r="B2532" t="s">
        <v>109</v>
      </c>
      <c r="C2532">
        <v>202602</v>
      </c>
      <c r="D2532">
        <v>4233</v>
      </c>
      <c r="E2532">
        <v>15.638392197428697</v>
      </c>
      <c r="F2532">
        <v>270.68</v>
      </c>
    </row>
    <row r="2533" spans="1:6" x14ac:dyDescent="0.35">
      <c r="A2533">
        <v>617</v>
      </c>
      <c r="B2533" t="s">
        <v>109</v>
      </c>
      <c r="C2533">
        <v>202602</v>
      </c>
      <c r="D2533">
        <v>1283</v>
      </c>
      <c r="E2533">
        <v>2.8511111111111109</v>
      </c>
      <c r="F2533">
        <v>450</v>
      </c>
    </row>
    <row r="2534" spans="1:6" x14ac:dyDescent="0.35">
      <c r="A2534">
        <v>751</v>
      </c>
      <c r="B2534" t="s">
        <v>109</v>
      </c>
      <c r="C2534">
        <v>202602</v>
      </c>
      <c r="D2534">
        <v>541</v>
      </c>
      <c r="E2534">
        <v>2.6648933550071425</v>
      </c>
      <c r="F2534">
        <v>203.01</v>
      </c>
    </row>
    <row r="2535" spans="1:6" x14ac:dyDescent="0.35">
      <c r="A2535">
        <v>752</v>
      </c>
      <c r="B2535" t="s">
        <v>109</v>
      </c>
      <c r="C2535">
        <v>202602</v>
      </c>
      <c r="D2535">
        <v>3986</v>
      </c>
      <c r="E2535">
        <v>11.524894465968888</v>
      </c>
      <c r="F2535">
        <v>345.86</v>
      </c>
    </row>
    <row r="2536" spans="1:6" x14ac:dyDescent="0.35">
      <c r="A2536">
        <v>753</v>
      </c>
      <c r="B2536" t="s">
        <v>109</v>
      </c>
      <c r="C2536">
        <v>202602</v>
      </c>
      <c r="D2536">
        <v>5494</v>
      </c>
      <c r="E2536">
        <v>11.241610738255034</v>
      </c>
      <c r="F2536">
        <v>488.72</v>
      </c>
    </row>
    <row r="2537" spans="1:6" x14ac:dyDescent="0.35">
      <c r="A2537">
        <v>754</v>
      </c>
      <c r="B2537" t="s">
        <v>109</v>
      </c>
      <c r="C2537">
        <v>202602</v>
      </c>
      <c r="D2537">
        <v>702</v>
      </c>
      <c r="E2537">
        <v>1.1670628917224983</v>
      </c>
      <c r="F2537">
        <v>601.51</v>
      </c>
    </row>
    <row r="2538" spans="1:6" x14ac:dyDescent="0.35">
      <c r="A2538">
        <v>614</v>
      </c>
      <c r="B2538" t="s">
        <v>109</v>
      </c>
      <c r="C2538">
        <v>202602</v>
      </c>
      <c r="D2538">
        <v>14250</v>
      </c>
      <c r="E2538">
        <v>25.34685165421558</v>
      </c>
      <c r="F2538">
        <v>562.20000000000005</v>
      </c>
    </row>
    <row r="2539" spans="1:6" x14ac:dyDescent="0.35">
      <c r="A2539">
        <v>797</v>
      </c>
      <c r="B2539" t="s">
        <v>109</v>
      </c>
      <c r="C2539">
        <v>202602</v>
      </c>
      <c r="D2539">
        <v>958</v>
      </c>
      <c r="E2539">
        <v>2.1298354824366386</v>
      </c>
      <c r="F2539">
        <v>449.8</v>
      </c>
    </row>
    <row r="2540" spans="1:6" x14ac:dyDescent="0.35">
      <c r="A2540">
        <v>613</v>
      </c>
      <c r="B2540" t="s">
        <v>109</v>
      </c>
      <c r="C2540">
        <v>202602</v>
      </c>
      <c r="D2540">
        <v>6243</v>
      </c>
      <c r="E2540">
        <v>21.343589743589742</v>
      </c>
      <c r="F2540">
        <v>292.5</v>
      </c>
    </row>
    <row r="2541" spans="1:6" x14ac:dyDescent="0.35">
      <c r="A2541">
        <v>767</v>
      </c>
      <c r="B2541" t="s">
        <v>109</v>
      </c>
      <c r="C2541">
        <v>202602</v>
      </c>
      <c r="D2541">
        <v>6313</v>
      </c>
      <c r="E2541">
        <v>10.525175058352785</v>
      </c>
      <c r="F2541">
        <v>599.79999999999995</v>
      </c>
    </row>
    <row r="2542" spans="1:6" x14ac:dyDescent="0.35">
      <c r="A2542">
        <v>807</v>
      </c>
      <c r="B2542" t="s">
        <v>109</v>
      </c>
      <c r="C2542">
        <v>202602</v>
      </c>
      <c r="D2542">
        <v>668</v>
      </c>
      <c r="E2542">
        <v>3.34</v>
      </c>
      <c r="F2542">
        <v>200</v>
      </c>
    </row>
    <row r="2543" spans="1:6" x14ac:dyDescent="0.35">
      <c r="A2543">
        <v>808</v>
      </c>
      <c r="B2543" t="s">
        <v>109</v>
      </c>
      <c r="C2543">
        <v>202602</v>
      </c>
      <c r="D2543">
        <v>974</v>
      </c>
      <c r="E2543">
        <v>3.3046074506344576</v>
      </c>
      <c r="F2543">
        <v>294.74</v>
      </c>
    </row>
    <row r="2544" spans="1:6" x14ac:dyDescent="0.35">
      <c r="A2544">
        <v>502</v>
      </c>
      <c r="B2544" t="s">
        <v>110</v>
      </c>
      <c r="C2544">
        <v>202602</v>
      </c>
      <c r="D2544">
        <v>39427</v>
      </c>
      <c r="E2544">
        <v>126.67716231846806</v>
      </c>
      <c r="F2544">
        <v>311.24</v>
      </c>
    </row>
    <row r="2545" spans="1:6" x14ac:dyDescent="0.35">
      <c r="A2545">
        <v>504</v>
      </c>
      <c r="B2545" t="s">
        <v>110</v>
      </c>
      <c r="C2545">
        <v>202602</v>
      </c>
      <c r="D2545">
        <v>96523</v>
      </c>
      <c r="E2545">
        <v>221.12437286660099</v>
      </c>
      <c r="F2545">
        <v>436.51</v>
      </c>
    </row>
    <row r="2546" spans="1:6" x14ac:dyDescent="0.35">
      <c r="A2546">
        <v>505</v>
      </c>
      <c r="B2546" t="s">
        <v>110</v>
      </c>
      <c r="C2546">
        <v>202602</v>
      </c>
      <c r="D2546">
        <v>52299</v>
      </c>
      <c r="E2546">
        <v>140.52071578268578</v>
      </c>
      <c r="F2546">
        <v>372.18</v>
      </c>
    </row>
    <row r="2547" spans="1:6" x14ac:dyDescent="0.35">
      <c r="A2547">
        <v>506</v>
      </c>
      <c r="B2547" t="s">
        <v>110</v>
      </c>
      <c r="C2547">
        <v>202602</v>
      </c>
      <c r="D2547">
        <v>70000</v>
      </c>
      <c r="E2547">
        <v>147.77597162701346</v>
      </c>
      <c r="F2547">
        <v>473.69</v>
      </c>
    </row>
    <row r="2548" spans="1:6" x14ac:dyDescent="0.35">
      <c r="A2548">
        <v>508</v>
      </c>
      <c r="B2548" t="s">
        <v>110</v>
      </c>
      <c r="C2548">
        <v>202602</v>
      </c>
      <c r="D2548">
        <v>40392</v>
      </c>
      <c r="E2548">
        <v>99.807264640474429</v>
      </c>
      <c r="F2548">
        <v>404.7</v>
      </c>
    </row>
    <row r="2549" spans="1:6" x14ac:dyDescent="0.35">
      <c r="A2549">
        <v>507</v>
      </c>
      <c r="B2549" t="s">
        <v>110</v>
      </c>
      <c r="C2549">
        <v>202602</v>
      </c>
      <c r="D2549">
        <v>28876</v>
      </c>
      <c r="E2549">
        <v>106.94814814814815</v>
      </c>
      <c r="F2549">
        <v>270</v>
      </c>
    </row>
    <row r="2550" spans="1:6" x14ac:dyDescent="0.35">
      <c r="A2550">
        <v>520</v>
      </c>
      <c r="B2550" t="s">
        <v>110</v>
      </c>
      <c r="C2550">
        <v>202602</v>
      </c>
      <c r="D2550">
        <v>289</v>
      </c>
      <c r="E2550">
        <v>4.25</v>
      </c>
      <c r="F2550">
        <v>68</v>
      </c>
    </row>
    <row r="2551" spans="1:6" x14ac:dyDescent="0.35">
      <c r="A2551">
        <v>521</v>
      </c>
      <c r="B2551" t="s">
        <v>110</v>
      </c>
      <c r="C2551">
        <v>202602</v>
      </c>
      <c r="D2551">
        <v>3896</v>
      </c>
      <c r="E2551">
        <v>33.586206896551722</v>
      </c>
      <c r="F2551">
        <v>116</v>
      </c>
    </row>
    <row r="2552" spans="1:6" x14ac:dyDescent="0.35">
      <c r="A2552">
        <v>784</v>
      </c>
      <c r="B2552" t="s">
        <v>110</v>
      </c>
      <c r="C2552">
        <v>202602</v>
      </c>
      <c r="D2552">
        <v>991</v>
      </c>
      <c r="E2552">
        <v>2.9389086595492291</v>
      </c>
      <c r="F2552">
        <v>337.2</v>
      </c>
    </row>
    <row r="2553" spans="1:6" x14ac:dyDescent="0.35">
      <c r="A2553">
        <v>785</v>
      </c>
      <c r="B2553" t="s">
        <v>110</v>
      </c>
      <c r="C2553">
        <v>202602</v>
      </c>
      <c r="D2553">
        <v>1434</v>
      </c>
      <c r="E2553">
        <v>2.5506937033084309</v>
      </c>
      <c r="F2553">
        <v>562.20000000000005</v>
      </c>
    </row>
    <row r="2554" spans="1:6" x14ac:dyDescent="0.35">
      <c r="A2554">
        <v>758</v>
      </c>
      <c r="B2554" t="s">
        <v>110</v>
      </c>
      <c r="C2554">
        <v>202602</v>
      </c>
      <c r="D2554">
        <v>10624</v>
      </c>
      <c r="E2554">
        <v>15.746957771947768</v>
      </c>
      <c r="F2554">
        <v>674.67</v>
      </c>
    </row>
    <row r="2555" spans="1:6" x14ac:dyDescent="0.35">
      <c r="A2555">
        <v>757</v>
      </c>
      <c r="B2555" t="s">
        <v>110</v>
      </c>
      <c r="C2555">
        <v>202602</v>
      </c>
      <c r="D2555">
        <v>19002</v>
      </c>
      <c r="E2555">
        <v>38.406500121270923</v>
      </c>
      <c r="F2555">
        <v>494.76</v>
      </c>
    </row>
    <row r="2556" spans="1:6" x14ac:dyDescent="0.35">
      <c r="A2556">
        <v>580</v>
      </c>
      <c r="B2556" t="s">
        <v>110</v>
      </c>
      <c r="C2556">
        <v>202602</v>
      </c>
      <c r="D2556">
        <v>0</v>
      </c>
      <c r="E2556">
        <v>0</v>
      </c>
      <c r="F2556">
        <v>270.68</v>
      </c>
    </row>
    <row r="2557" spans="1:6" x14ac:dyDescent="0.35">
      <c r="A2557">
        <v>582</v>
      </c>
      <c r="B2557" t="s">
        <v>110</v>
      </c>
      <c r="C2557">
        <v>202602</v>
      </c>
      <c r="D2557">
        <v>1282</v>
      </c>
      <c r="E2557">
        <v>4.2626766417290112</v>
      </c>
      <c r="F2557">
        <v>300.75</v>
      </c>
    </row>
    <row r="2558" spans="1:6" x14ac:dyDescent="0.35">
      <c r="A2558">
        <v>594</v>
      </c>
      <c r="B2558" t="s">
        <v>110</v>
      </c>
      <c r="C2558">
        <v>202602</v>
      </c>
      <c r="D2558">
        <v>21413</v>
      </c>
      <c r="E2558">
        <v>126.89185185185185</v>
      </c>
      <c r="F2558">
        <v>168.75</v>
      </c>
    </row>
    <row r="2559" spans="1:6" x14ac:dyDescent="0.35">
      <c r="A2559">
        <v>595</v>
      </c>
      <c r="B2559" t="s">
        <v>110</v>
      </c>
      <c r="C2559">
        <v>202602</v>
      </c>
      <c r="D2559">
        <v>29614</v>
      </c>
      <c r="E2559">
        <v>394.85333333333335</v>
      </c>
      <c r="F2559">
        <v>75</v>
      </c>
    </row>
    <row r="2560" spans="1:6" x14ac:dyDescent="0.35">
      <c r="A2560">
        <v>603</v>
      </c>
      <c r="B2560" t="s">
        <v>110</v>
      </c>
      <c r="C2560">
        <v>202602</v>
      </c>
      <c r="D2560">
        <v>3136</v>
      </c>
      <c r="E2560">
        <v>13.903174321688242</v>
      </c>
      <c r="F2560">
        <v>225.56</v>
      </c>
    </row>
    <row r="2561" spans="1:6" x14ac:dyDescent="0.35">
      <c r="A2561">
        <v>606</v>
      </c>
      <c r="B2561" t="s">
        <v>110</v>
      </c>
      <c r="C2561">
        <v>202602</v>
      </c>
      <c r="D2561">
        <v>4129</v>
      </c>
      <c r="E2561">
        <v>15.737317528680871</v>
      </c>
      <c r="F2561">
        <v>262.37</v>
      </c>
    </row>
    <row r="2562" spans="1:6" x14ac:dyDescent="0.35">
      <c r="A2562">
        <v>772</v>
      </c>
      <c r="B2562" t="s">
        <v>110</v>
      </c>
      <c r="C2562">
        <v>202602</v>
      </c>
      <c r="D2562">
        <v>643</v>
      </c>
      <c r="E2562">
        <v>3.176877470355731</v>
      </c>
      <c r="F2562">
        <v>202.4</v>
      </c>
    </row>
    <row r="2563" spans="1:6" x14ac:dyDescent="0.35">
      <c r="A2563">
        <v>615</v>
      </c>
      <c r="B2563" t="s">
        <v>110</v>
      </c>
      <c r="C2563">
        <v>202602</v>
      </c>
      <c r="D2563">
        <v>4332</v>
      </c>
      <c r="E2563">
        <v>16.004137727205556</v>
      </c>
      <c r="F2563">
        <v>270.68</v>
      </c>
    </row>
    <row r="2564" spans="1:6" x14ac:dyDescent="0.35">
      <c r="A2564">
        <v>617</v>
      </c>
      <c r="B2564" t="s">
        <v>110</v>
      </c>
      <c r="C2564">
        <v>202602</v>
      </c>
      <c r="D2564">
        <v>1293</v>
      </c>
      <c r="E2564">
        <v>2.8733333333333335</v>
      </c>
      <c r="F2564">
        <v>450</v>
      </c>
    </row>
    <row r="2565" spans="1:6" x14ac:dyDescent="0.35">
      <c r="A2565">
        <v>751</v>
      </c>
      <c r="B2565" t="s">
        <v>110</v>
      </c>
      <c r="C2565">
        <v>202602</v>
      </c>
      <c r="D2565">
        <v>673</v>
      </c>
      <c r="E2565">
        <v>3.3151076301660019</v>
      </c>
      <c r="F2565">
        <v>203.01</v>
      </c>
    </row>
    <row r="2566" spans="1:6" x14ac:dyDescent="0.35">
      <c r="A2566">
        <v>752</v>
      </c>
      <c r="B2566" t="s">
        <v>110</v>
      </c>
      <c r="C2566">
        <v>202602</v>
      </c>
      <c r="D2566">
        <v>10245</v>
      </c>
      <c r="E2566">
        <v>29.621812293991788</v>
      </c>
      <c r="F2566">
        <v>345.86</v>
      </c>
    </row>
    <row r="2567" spans="1:6" x14ac:dyDescent="0.35">
      <c r="A2567">
        <v>753</v>
      </c>
      <c r="B2567" t="s">
        <v>110</v>
      </c>
      <c r="C2567">
        <v>202602</v>
      </c>
      <c r="D2567">
        <v>5963</v>
      </c>
      <c r="E2567">
        <v>12.201260435423146</v>
      </c>
      <c r="F2567">
        <v>488.72</v>
      </c>
    </row>
    <row r="2568" spans="1:6" x14ac:dyDescent="0.35">
      <c r="A2568">
        <v>754</v>
      </c>
      <c r="B2568" t="s">
        <v>110</v>
      </c>
      <c r="C2568">
        <v>202602</v>
      </c>
      <c r="D2568">
        <v>875</v>
      </c>
      <c r="E2568">
        <v>1.4546724077737694</v>
      </c>
      <c r="F2568">
        <v>601.51</v>
      </c>
    </row>
    <row r="2569" spans="1:6" x14ac:dyDescent="0.35">
      <c r="A2569">
        <v>614</v>
      </c>
      <c r="B2569" t="s">
        <v>110</v>
      </c>
      <c r="C2569">
        <v>202602</v>
      </c>
      <c r="D2569">
        <v>18684</v>
      </c>
      <c r="E2569">
        <v>33.233724653148343</v>
      </c>
      <c r="F2569">
        <v>562.20000000000005</v>
      </c>
    </row>
    <row r="2570" spans="1:6" x14ac:dyDescent="0.35">
      <c r="A2570">
        <v>797</v>
      </c>
      <c r="B2570" t="s">
        <v>110</v>
      </c>
      <c r="C2570">
        <v>202602</v>
      </c>
      <c r="D2570">
        <v>1561</v>
      </c>
      <c r="E2570">
        <v>3.470431302801245</v>
      </c>
      <c r="F2570">
        <v>449.8</v>
      </c>
    </row>
    <row r="2571" spans="1:6" x14ac:dyDescent="0.35">
      <c r="A2571">
        <v>613</v>
      </c>
      <c r="B2571" t="s">
        <v>110</v>
      </c>
      <c r="C2571">
        <v>202602</v>
      </c>
      <c r="D2571">
        <v>8626</v>
      </c>
      <c r="E2571">
        <v>29.490598290598289</v>
      </c>
      <c r="F2571">
        <v>292.5</v>
      </c>
    </row>
    <row r="2572" spans="1:6" x14ac:dyDescent="0.35">
      <c r="A2572">
        <v>767</v>
      </c>
      <c r="B2572" t="s">
        <v>110</v>
      </c>
      <c r="C2572">
        <v>202602</v>
      </c>
      <c r="D2572">
        <v>8477</v>
      </c>
      <c r="E2572">
        <v>14.133044348116039</v>
      </c>
      <c r="F2572">
        <v>599.79999999999995</v>
      </c>
    </row>
    <row r="2573" spans="1:6" x14ac:dyDescent="0.35">
      <c r="A2573">
        <v>807</v>
      </c>
      <c r="B2573" t="s">
        <v>110</v>
      </c>
      <c r="C2573">
        <v>202602</v>
      </c>
      <c r="D2573">
        <v>1068</v>
      </c>
      <c r="E2573">
        <v>5.34</v>
      </c>
      <c r="F2573">
        <v>200</v>
      </c>
    </row>
    <row r="2574" spans="1:6" x14ac:dyDescent="0.35">
      <c r="A2574">
        <v>808</v>
      </c>
      <c r="B2574" t="s">
        <v>110</v>
      </c>
      <c r="C2574">
        <v>202602</v>
      </c>
      <c r="D2574">
        <v>1558</v>
      </c>
      <c r="E2574">
        <v>5.2860147926986496</v>
      </c>
      <c r="F2574">
        <v>294.74</v>
      </c>
    </row>
    <row r="2575" spans="1:6" x14ac:dyDescent="0.35">
      <c r="A2575">
        <v>502</v>
      </c>
      <c r="B2575" t="s">
        <v>155</v>
      </c>
      <c r="C2575">
        <v>202602</v>
      </c>
      <c r="D2575">
        <v>46838</v>
      </c>
      <c r="E2575">
        <v>150.48836910422824</v>
      </c>
      <c r="F2575">
        <v>311.24</v>
      </c>
    </row>
    <row r="2576" spans="1:6" x14ac:dyDescent="0.35">
      <c r="A2576">
        <v>504</v>
      </c>
      <c r="B2576" t="s">
        <v>155</v>
      </c>
      <c r="C2576">
        <v>202602</v>
      </c>
      <c r="D2576">
        <v>81890</v>
      </c>
      <c r="E2576">
        <v>187.60165861034113</v>
      </c>
      <c r="F2576">
        <v>436.51</v>
      </c>
    </row>
    <row r="2577" spans="1:6" x14ac:dyDescent="0.35">
      <c r="A2577">
        <v>505</v>
      </c>
      <c r="B2577" t="s">
        <v>155</v>
      </c>
      <c r="C2577">
        <v>202602</v>
      </c>
      <c r="D2577">
        <v>41259</v>
      </c>
      <c r="E2577">
        <v>110.85764952442366</v>
      </c>
      <c r="F2577">
        <v>372.18</v>
      </c>
    </row>
    <row r="2578" spans="1:6" x14ac:dyDescent="0.35">
      <c r="A2578">
        <v>506</v>
      </c>
      <c r="B2578" t="s">
        <v>155</v>
      </c>
      <c r="C2578">
        <v>202602</v>
      </c>
      <c r="D2578">
        <v>51449</v>
      </c>
      <c r="E2578">
        <v>108.61322806054592</v>
      </c>
      <c r="F2578">
        <v>473.69</v>
      </c>
    </row>
    <row r="2579" spans="1:6" x14ac:dyDescent="0.35">
      <c r="A2579">
        <v>508</v>
      </c>
      <c r="B2579" t="s">
        <v>155</v>
      </c>
      <c r="C2579">
        <v>202602</v>
      </c>
      <c r="D2579">
        <v>29818</v>
      </c>
      <c r="E2579">
        <v>73.679268594020257</v>
      </c>
      <c r="F2579">
        <v>404.7</v>
      </c>
    </row>
    <row r="2580" spans="1:6" x14ac:dyDescent="0.35">
      <c r="A2580">
        <v>507</v>
      </c>
      <c r="B2580" t="s">
        <v>155</v>
      </c>
      <c r="C2580">
        <v>202602</v>
      </c>
      <c r="D2580">
        <v>19175</v>
      </c>
      <c r="E2580">
        <v>71.018518518518519</v>
      </c>
      <c r="F2580">
        <v>270</v>
      </c>
    </row>
    <row r="2581" spans="1:6" x14ac:dyDescent="0.35">
      <c r="A2581">
        <v>520</v>
      </c>
      <c r="B2581" t="s">
        <v>155</v>
      </c>
      <c r="C2581">
        <v>202602</v>
      </c>
      <c r="D2581">
        <v>433</v>
      </c>
      <c r="E2581">
        <v>6.367647058823529</v>
      </c>
      <c r="F2581">
        <v>68</v>
      </c>
    </row>
    <row r="2582" spans="1:6" x14ac:dyDescent="0.35">
      <c r="A2582">
        <v>521</v>
      </c>
      <c r="B2582" t="s">
        <v>155</v>
      </c>
      <c r="C2582">
        <v>202602</v>
      </c>
      <c r="D2582">
        <v>2667</v>
      </c>
      <c r="E2582">
        <v>22.991379310344829</v>
      </c>
      <c r="F2582">
        <v>116</v>
      </c>
    </row>
    <row r="2583" spans="1:6" x14ac:dyDescent="0.35">
      <c r="A2583">
        <v>784</v>
      </c>
      <c r="B2583" t="s">
        <v>155</v>
      </c>
      <c r="C2583">
        <v>202602</v>
      </c>
      <c r="D2583">
        <v>235</v>
      </c>
      <c r="E2583">
        <v>0.6969157769869514</v>
      </c>
      <c r="F2583">
        <v>337.2</v>
      </c>
    </row>
    <row r="2584" spans="1:6" x14ac:dyDescent="0.35">
      <c r="A2584">
        <v>785</v>
      </c>
      <c r="B2584" t="s">
        <v>155</v>
      </c>
      <c r="C2584">
        <v>202602</v>
      </c>
      <c r="D2584">
        <v>307</v>
      </c>
      <c r="E2584">
        <v>0.54606901458555668</v>
      </c>
      <c r="F2584">
        <v>562.20000000000005</v>
      </c>
    </row>
    <row r="2585" spans="1:6" x14ac:dyDescent="0.35">
      <c r="A2585">
        <v>758</v>
      </c>
      <c r="B2585" t="s">
        <v>155</v>
      </c>
      <c r="C2585">
        <v>202602</v>
      </c>
      <c r="D2585">
        <v>6169</v>
      </c>
      <c r="E2585">
        <v>9.1437295270280288</v>
      </c>
      <c r="F2585">
        <v>674.67</v>
      </c>
    </row>
    <row r="2586" spans="1:6" x14ac:dyDescent="0.35">
      <c r="A2586">
        <v>757</v>
      </c>
      <c r="B2586" t="s">
        <v>155</v>
      </c>
      <c r="C2586">
        <v>202602</v>
      </c>
      <c r="D2586">
        <v>11353</v>
      </c>
      <c r="E2586">
        <v>22.946479100978252</v>
      </c>
      <c r="F2586">
        <v>494.76</v>
      </c>
    </row>
    <row r="2587" spans="1:6" x14ac:dyDescent="0.35">
      <c r="A2587">
        <v>580</v>
      </c>
      <c r="B2587" t="s">
        <v>155</v>
      </c>
      <c r="C2587">
        <v>202602</v>
      </c>
      <c r="D2587">
        <v>0</v>
      </c>
      <c r="E2587">
        <v>0</v>
      </c>
      <c r="F2587">
        <v>270.68</v>
      </c>
    </row>
    <row r="2588" spans="1:6" x14ac:dyDescent="0.35">
      <c r="A2588">
        <v>582</v>
      </c>
      <c r="B2588" t="s">
        <v>155</v>
      </c>
      <c r="C2588">
        <v>202602</v>
      </c>
      <c r="D2588">
        <v>10567</v>
      </c>
      <c r="E2588">
        <v>35.135494596841234</v>
      </c>
      <c r="F2588">
        <v>300.75</v>
      </c>
    </row>
    <row r="2589" spans="1:6" x14ac:dyDescent="0.35">
      <c r="A2589">
        <v>594</v>
      </c>
      <c r="B2589" t="s">
        <v>155</v>
      </c>
      <c r="C2589">
        <v>202602</v>
      </c>
      <c r="D2589">
        <v>11006</v>
      </c>
      <c r="E2589">
        <v>65.220740740740737</v>
      </c>
      <c r="F2589">
        <v>168.75</v>
      </c>
    </row>
    <row r="2590" spans="1:6" x14ac:dyDescent="0.35">
      <c r="A2590">
        <v>595</v>
      </c>
      <c r="B2590" t="s">
        <v>155</v>
      </c>
      <c r="C2590">
        <v>202602</v>
      </c>
      <c r="D2590">
        <v>17783</v>
      </c>
      <c r="E2590">
        <v>237.10666666666665</v>
      </c>
      <c r="F2590">
        <v>75</v>
      </c>
    </row>
    <row r="2591" spans="1:6" x14ac:dyDescent="0.35">
      <c r="A2591">
        <v>603</v>
      </c>
      <c r="B2591" t="s">
        <v>155</v>
      </c>
      <c r="C2591">
        <v>202602</v>
      </c>
      <c r="D2591">
        <v>4387</v>
      </c>
      <c r="E2591">
        <v>19.449370455754565</v>
      </c>
      <c r="F2591">
        <v>225.56</v>
      </c>
    </row>
    <row r="2592" spans="1:6" x14ac:dyDescent="0.35">
      <c r="A2592">
        <v>606</v>
      </c>
      <c r="B2592" t="s">
        <v>155</v>
      </c>
      <c r="C2592">
        <v>202602</v>
      </c>
      <c r="D2592">
        <v>1124</v>
      </c>
      <c r="E2592">
        <v>4.2840263749666505</v>
      </c>
      <c r="F2592">
        <v>262.37</v>
      </c>
    </row>
    <row r="2593" spans="1:6" x14ac:dyDescent="0.35">
      <c r="A2593">
        <v>772</v>
      </c>
      <c r="B2593" t="s">
        <v>155</v>
      </c>
      <c r="C2593">
        <v>202602</v>
      </c>
      <c r="D2593">
        <v>0</v>
      </c>
      <c r="E2593">
        <v>0</v>
      </c>
      <c r="F2593">
        <v>202.4</v>
      </c>
    </row>
    <row r="2594" spans="1:6" x14ac:dyDescent="0.35">
      <c r="A2594">
        <v>615</v>
      </c>
      <c r="B2594" t="s">
        <v>155</v>
      </c>
      <c r="C2594">
        <v>202602</v>
      </c>
      <c r="D2594">
        <v>4715</v>
      </c>
      <c r="E2594">
        <v>17.419092655534211</v>
      </c>
      <c r="F2594">
        <v>270.68</v>
      </c>
    </row>
    <row r="2595" spans="1:6" x14ac:dyDescent="0.35">
      <c r="A2595">
        <v>617</v>
      </c>
      <c r="B2595" t="s">
        <v>155</v>
      </c>
      <c r="C2595">
        <v>202602</v>
      </c>
      <c r="D2595">
        <v>1247</v>
      </c>
      <c r="E2595">
        <v>2.7711111111111113</v>
      </c>
      <c r="F2595">
        <v>450</v>
      </c>
    </row>
    <row r="2596" spans="1:6" x14ac:dyDescent="0.35">
      <c r="A2596">
        <v>751</v>
      </c>
      <c r="B2596" t="s">
        <v>155</v>
      </c>
      <c r="C2596">
        <v>202602</v>
      </c>
      <c r="D2596">
        <v>635</v>
      </c>
      <c r="E2596">
        <v>3.1279247327717847</v>
      </c>
      <c r="F2596">
        <v>203.01</v>
      </c>
    </row>
    <row r="2597" spans="1:6" x14ac:dyDescent="0.35">
      <c r="A2597">
        <v>752</v>
      </c>
      <c r="B2597" t="s">
        <v>155</v>
      </c>
      <c r="C2597">
        <v>202602</v>
      </c>
      <c r="D2597">
        <v>4242</v>
      </c>
      <c r="E2597">
        <v>12.26507835540392</v>
      </c>
      <c r="F2597">
        <v>345.86</v>
      </c>
    </row>
    <row r="2598" spans="1:6" x14ac:dyDescent="0.35">
      <c r="A2598">
        <v>753</v>
      </c>
      <c r="B2598" t="s">
        <v>155</v>
      </c>
      <c r="C2598">
        <v>202602</v>
      </c>
      <c r="D2598">
        <v>6215</v>
      </c>
      <c r="E2598">
        <v>12.716893108528399</v>
      </c>
      <c r="F2598">
        <v>488.72</v>
      </c>
    </row>
    <row r="2599" spans="1:6" x14ac:dyDescent="0.35">
      <c r="A2599">
        <v>754</v>
      </c>
      <c r="B2599" t="s">
        <v>155</v>
      </c>
      <c r="C2599">
        <v>202602</v>
      </c>
      <c r="D2599">
        <v>875</v>
      </c>
      <c r="E2599">
        <v>1.4546724077737694</v>
      </c>
      <c r="F2599">
        <v>601.51</v>
      </c>
    </row>
    <row r="2600" spans="1:6" x14ac:dyDescent="0.35">
      <c r="A2600">
        <v>614</v>
      </c>
      <c r="B2600" t="s">
        <v>155</v>
      </c>
      <c r="C2600">
        <v>202602</v>
      </c>
      <c r="D2600">
        <v>17051</v>
      </c>
      <c r="E2600">
        <v>30.329064389896832</v>
      </c>
      <c r="F2600">
        <v>562.20000000000005</v>
      </c>
    </row>
    <row r="2601" spans="1:6" x14ac:dyDescent="0.35">
      <c r="A2601">
        <v>797</v>
      </c>
      <c r="B2601" t="s">
        <v>155</v>
      </c>
      <c r="C2601">
        <v>202602</v>
      </c>
      <c r="D2601">
        <v>1215</v>
      </c>
      <c r="E2601">
        <v>2.7012005335704758</v>
      </c>
      <c r="F2601">
        <v>449.8</v>
      </c>
    </row>
    <row r="2602" spans="1:6" x14ac:dyDescent="0.35">
      <c r="A2602">
        <v>613</v>
      </c>
      <c r="B2602" t="s">
        <v>155</v>
      </c>
      <c r="C2602">
        <v>202602</v>
      </c>
      <c r="D2602">
        <v>8428</v>
      </c>
      <c r="E2602">
        <v>28.813675213675214</v>
      </c>
      <c r="F2602">
        <v>292.5</v>
      </c>
    </row>
    <row r="2603" spans="1:6" x14ac:dyDescent="0.35">
      <c r="A2603">
        <v>767</v>
      </c>
      <c r="B2603" t="s">
        <v>155</v>
      </c>
      <c r="C2603">
        <v>202602</v>
      </c>
      <c r="D2603">
        <v>7429</v>
      </c>
      <c r="E2603">
        <v>12.385795265088364</v>
      </c>
      <c r="F2603">
        <v>599.79999999999995</v>
      </c>
    </row>
    <row r="2604" spans="1:6" x14ac:dyDescent="0.35">
      <c r="A2604">
        <v>807</v>
      </c>
      <c r="B2604" t="s">
        <v>155</v>
      </c>
      <c r="C2604">
        <v>202602</v>
      </c>
      <c r="D2604">
        <v>1136</v>
      </c>
      <c r="E2604">
        <v>5.68</v>
      </c>
      <c r="F2604">
        <v>200</v>
      </c>
    </row>
    <row r="2605" spans="1:6" x14ac:dyDescent="0.35">
      <c r="A2605">
        <v>808</v>
      </c>
      <c r="B2605" t="s">
        <v>155</v>
      </c>
      <c r="C2605">
        <v>202602</v>
      </c>
      <c r="D2605">
        <v>1804</v>
      </c>
      <c r="E2605">
        <v>6.1206487073352784</v>
      </c>
      <c r="F2605">
        <v>294.74</v>
      </c>
    </row>
    <row r="2606" spans="1:6" x14ac:dyDescent="0.35">
      <c r="A2606">
        <v>502</v>
      </c>
      <c r="B2606" t="s">
        <v>156</v>
      </c>
      <c r="C2606">
        <v>202602</v>
      </c>
      <c r="D2606">
        <v>75040</v>
      </c>
      <c r="E2606">
        <v>241.10011566636678</v>
      </c>
      <c r="F2606">
        <v>311.24</v>
      </c>
    </row>
    <row r="2607" spans="1:6" x14ac:dyDescent="0.35">
      <c r="A2607">
        <v>504</v>
      </c>
      <c r="B2607" t="s">
        <v>156</v>
      </c>
      <c r="C2607">
        <v>202602</v>
      </c>
      <c r="D2607">
        <v>149645</v>
      </c>
      <c r="E2607">
        <v>342.82147029850404</v>
      </c>
      <c r="F2607">
        <v>436.51</v>
      </c>
    </row>
    <row r="2608" spans="1:6" x14ac:dyDescent="0.35">
      <c r="A2608">
        <v>505</v>
      </c>
      <c r="B2608" t="s">
        <v>156</v>
      </c>
      <c r="C2608">
        <v>202602</v>
      </c>
      <c r="D2608">
        <v>72559</v>
      </c>
      <c r="E2608">
        <v>194.95674136170669</v>
      </c>
      <c r="F2608">
        <v>372.18</v>
      </c>
    </row>
    <row r="2609" spans="1:6" x14ac:dyDescent="0.35">
      <c r="A2609">
        <v>506</v>
      </c>
      <c r="B2609" t="s">
        <v>156</v>
      </c>
      <c r="C2609">
        <v>202602</v>
      </c>
      <c r="D2609">
        <v>103088</v>
      </c>
      <c r="E2609">
        <v>217.62756232979376</v>
      </c>
      <c r="F2609">
        <v>473.69</v>
      </c>
    </row>
    <row r="2610" spans="1:6" x14ac:dyDescent="0.35">
      <c r="A2610">
        <v>508</v>
      </c>
      <c r="B2610" t="s">
        <v>156</v>
      </c>
      <c r="C2610">
        <v>202602</v>
      </c>
      <c r="D2610">
        <v>42255</v>
      </c>
      <c r="E2610">
        <v>104.41067457375834</v>
      </c>
      <c r="F2610">
        <v>404.7</v>
      </c>
    </row>
    <row r="2611" spans="1:6" x14ac:dyDescent="0.35">
      <c r="A2611">
        <v>507</v>
      </c>
      <c r="B2611" t="s">
        <v>156</v>
      </c>
      <c r="C2611">
        <v>202602</v>
      </c>
      <c r="D2611">
        <v>34390</v>
      </c>
      <c r="E2611">
        <v>127.37037037037037</v>
      </c>
      <c r="F2611">
        <v>270</v>
      </c>
    </row>
    <row r="2612" spans="1:6" x14ac:dyDescent="0.35">
      <c r="A2612">
        <v>520</v>
      </c>
      <c r="B2612" t="s">
        <v>156</v>
      </c>
      <c r="C2612">
        <v>202602</v>
      </c>
      <c r="D2612">
        <v>880</v>
      </c>
      <c r="E2612">
        <v>12.941176470588236</v>
      </c>
      <c r="F2612">
        <v>68</v>
      </c>
    </row>
    <row r="2613" spans="1:6" x14ac:dyDescent="0.35">
      <c r="A2613">
        <v>521</v>
      </c>
      <c r="B2613" t="s">
        <v>156</v>
      </c>
      <c r="C2613">
        <v>202602</v>
      </c>
      <c r="D2613">
        <v>4497</v>
      </c>
      <c r="E2613">
        <v>38.767241379310342</v>
      </c>
      <c r="F2613">
        <v>116</v>
      </c>
    </row>
    <row r="2614" spans="1:6" x14ac:dyDescent="0.35">
      <c r="A2614">
        <v>784</v>
      </c>
      <c r="B2614" t="s">
        <v>156</v>
      </c>
      <c r="C2614">
        <v>202602</v>
      </c>
      <c r="D2614">
        <v>1782</v>
      </c>
      <c r="E2614">
        <v>5.2846975088967971</v>
      </c>
      <c r="F2614">
        <v>337.2</v>
      </c>
    </row>
    <row r="2615" spans="1:6" x14ac:dyDescent="0.35">
      <c r="A2615">
        <v>785</v>
      </c>
      <c r="B2615" t="s">
        <v>156</v>
      </c>
      <c r="C2615">
        <v>202602</v>
      </c>
      <c r="D2615">
        <v>1079</v>
      </c>
      <c r="E2615">
        <v>1.919245819992885</v>
      </c>
      <c r="F2615">
        <v>562.20000000000005</v>
      </c>
    </row>
    <row r="2616" spans="1:6" x14ac:dyDescent="0.35">
      <c r="A2616">
        <v>758</v>
      </c>
      <c r="B2616" t="s">
        <v>156</v>
      </c>
      <c r="C2616">
        <v>202602</v>
      </c>
      <c r="D2616">
        <v>22501</v>
      </c>
      <c r="E2616">
        <v>33.351119806720327</v>
      </c>
      <c r="F2616">
        <v>674.67</v>
      </c>
    </row>
    <row r="2617" spans="1:6" x14ac:dyDescent="0.35">
      <c r="A2617">
        <v>757</v>
      </c>
      <c r="B2617" t="s">
        <v>156</v>
      </c>
      <c r="C2617">
        <v>202602</v>
      </c>
      <c r="D2617">
        <v>41165</v>
      </c>
      <c r="E2617">
        <v>83.201956504163633</v>
      </c>
      <c r="F2617">
        <v>494.76</v>
      </c>
    </row>
    <row r="2618" spans="1:6" x14ac:dyDescent="0.35">
      <c r="A2618">
        <v>580</v>
      </c>
      <c r="B2618" t="s">
        <v>156</v>
      </c>
      <c r="C2618">
        <v>202602</v>
      </c>
      <c r="D2618">
        <v>993</v>
      </c>
      <c r="E2618">
        <v>3.6685384956406089</v>
      </c>
      <c r="F2618">
        <v>270.68</v>
      </c>
    </row>
    <row r="2619" spans="1:6" x14ac:dyDescent="0.35">
      <c r="A2619">
        <v>582</v>
      </c>
      <c r="B2619" t="s">
        <v>156</v>
      </c>
      <c r="C2619">
        <v>202602</v>
      </c>
      <c r="D2619">
        <v>7841</v>
      </c>
      <c r="E2619">
        <v>26.071487946799667</v>
      </c>
      <c r="F2619">
        <v>300.75</v>
      </c>
    </row>
    <row r="2620" spans="1:6" x14ac:dyDescent="0.35">
      <c r="A2620">
        <v>594</v>
      </c>
      <c r="B2620" t="s">
        <v>156</v>
      </c>
      <c r="C2620">
        <v>202602</v>
      </c>
      <c r="D2620">
        <v>22991</v>
      </c>
      <c r="E2620">
        <v>136.24296296296296</v>
      </c>
      <c r="F2620">
        <v>168.75</v>
      </c>
    </row>
    <row r="2621" spans="1:6" x14ac:dyDescent="0.35">
      <c r="A2621">
        <v>595</v>
      </c>
      <c r="B2621" t="s">
        <v>156</v>
      </c>
      <c r="C2621">
        <v>202602</v>
      </c>
      <c r="D2621">
        <v>42295</v>
      </c>
      <c r="E2621">
        <v>563.93333333333328</v>
      </c>
      <c r="F2621">
        <v>75</v>
      </c>
    </row>
    <row r="2622" spans="1:6" x14ac:dyDescent="0.35">
      <c r="A2622">
        <v>603</v>
      </c>
      <c r="B2622" t="s">
        <v>156</v>
      </c>
      <c r="C2622">
        <v>202602</v>
      </c>
      <c r="D2622">
        <v>3997</v>
      </c>
      <c r="E2622">
        <v>17.720340485901755</v>
      </c>
      <c r="F2622">
        <v>225.56</v>
      </c>
    </row>
    <row r="2623" spans="1:6" x14ac:dyDescent="0.35">
      <c r="A2623">
        <v>606</v>
      </c>
      <c r="B2623" t="s">
        <v>156</v>
      </c>
      <c r="C2623">
        <v>202602</v>
      </c>
      <c r="D2623">
        <v>4608</v>
      </c>
      <c r="E2623">
        <v>17.562983572817014</v>
      </c>
      <c r="F2623">
        <v>262.37</v>
      </c>
    </row>
    <row r="2624" spans="1:6" x14ac:dyDescent="0.35">
      <c r="A2624">
        <v>772</v>
      </c>
      <c r="B2624" t="s">
        <v>156</v>
      </c>
      <c r="C2624">
        <v>202602</v>
      </c>
      <c r="D2624">
        <v>516</v>
      </c>
      <c r="E2624">
        <v>2.5494071146245059</v>
      </c>
      <c r="F2624">
        <v>202.4</v>
      </c>
    </row>
    <row r="2625" spans="1:6" x14ac:dyDescent="0.35">
      <c r="A2625">
        <v>615</v>
      </c>
      <c r="B2625" t="s">
        <v>156</v>
      </c>
      <c r="C2625">
        <v>202602</v>
      </c>
      <c r="D2625">
        <v>6814</v>
      </c>
      <c r="E2625">
        <v>25.17363676666174</v>
      </c>
      <c r="F2625">
        <v>270.68</v>
      </c>
    </row>
    <row r="2626" spans="1:6" x14ac:dyDescent="0.35">
      <c r="A2626">
        <v>617</v>
      </c>
      <c r="B2626" t="s">
        <v>156</v>
      </c>
      <c r="C2626">
        <v>202602</v>
      </c>
      <c r="D2626">
        <v>2197</v>
      </c>
      <c r="E2626">
        <v>4.8822222222222225</v>
      </c>
      <c r="F2626">
        <v>450</v>
      </c>
    </row>
    <row r="2627" spans="1:6" x14ac:dyDescent="0.35">
      <c r="A2627">
        <v>751</v>
      </c>
      <c r="B2627" t="s">
        <v>156</v>
      </c>
      <c r="C2627">
        <v>202602</v>
      </c>
      <c r="D2627">
        <v>1204</v>
      </c>
      <c r="E2627">
        <v>5.9307423279641398</v>
      </c>
      <c r="F2627">
        <v>203.01</v>
      </c>
    </row>
    <row r="2628" spans="1:6" x14ac:dyDescent="0.35">
      <c r="A2628">
        <v>752</v>
      </c>
      <c r="B2628" t="s">
        <v>156</v>
      </c>
      <c r="C2628">
        <v>202602</v>
      </c>
      <c r="D2628">
        <v>10400</v>
      </c>
      <c r="E2628">
        <v>30.069970508298155</v>
      </c>
      <c r="F2628">
        <v>345.86</v>
      </c>
    </row>
    <row r="2629" spans="1:6" x14ac:dyDescent="0.35">
      <c r="A2629">
        <v>753</v>
      </c>
      <c r="B2629" t="s">
        <v>156</v>
      </c>
      <c r="C2629">
        <v>202602</v>
      </c>
      <c r="D2629">
        <v>8747</v>
      </c>
      <c r="E2629">
        <v>17.897773776395482</v>
      </c>
      <c r="F2629">
        <v>488.72</v>
      </c>
    </row>
    <row r="2630" spans="1:6" x14ac:dyDescent="0.35">
      <c r="A2630">
        <v>754</v>
      </c>
      <c r="B2630" t="s">
        <v>156</v>
      </c>
      <c r="C2630">
        <v>202602</v>
      </c>
      <c r="D2630">
        <v>1662</v>
      </c>
      <c r="E2630">
        <v>2.763046333394291</v>
      </c>
      <c r="F2630">
        <v>601.51</v>
      </c>
    </row>
    <row r="2631" spans="1:6" x14ac:dyDescent="0.35">
      <c r="A2631">
        <v>614</v>
      </c>
      <c r="B2631" t="s">
        <v>156</v>
      </c>
      <c r="C2631">
        <v>202602</v>
      </c>
      <c r="D2631">
        <v>31353</v>
      </c>
      <c r="E2631">
        <v>55.7684098185699</v>
      </c>
      <c r="F2631">
        <v>562.20000000000005</v>
      </c>
    </row>
    <row r="2632" spans="1:6" x14ac:dyDescent="0.35">
      <c r="A2632">
        <v>797</v>
      </c>
      <c r="B2632" t="s">
        <v>156</v>
      </c>
      <c r="C2632">
        <v>202602</v>
      </c>
      <c r="D2632">
        <v>2414</v>
      </c>
      <c r="E2632">
        <v>5.3668297020898175</v>
      </c>
      <c r="F2632">
        <v>449.8</v>
      </c>
    </row>
    <row r="2633" spans="1:6" x14ac:dyDescent="0.35">
      <c r="A2633">
        <v>613</v>
      </c>
      <c r="B2633" t="s">
        <v>156</v>
      </c>
      <c r="C2633">
        <v>202602</v>
      </c>
      <c r="D2633">
        <v>17390</v>
      </c>
      <c r="E2633">
        <v>59.452991452991455</v>
      </c>
      <c r="F2633">
        <v>292.5</v>
      </c>
    </row>
    <row r="2634" spans="1:6" x14ac:dyDescent="0.35">
      <c r="A2634">
        <v>767</v>
      </c>
      <c r="B2634" t="s">
        <v>156</v>
      </c>
      <c r="C2634">
        <v>202602</v>
      </c>
      <c r="D2634">
        <v>10356</v>
      </c>
      <c r="E2634">
        <v>17.265755251750583</v>
      </c>
      <c r="F2634">
        <v>599.79999999999995</v>
      </c>
    </row>
    <row r="2635" spans="1:6" x14ac:dyDescent="0.35">
      <c r="A2635">
        <v>807</v>
      </c>
      <c r="B2635" t="s">
        <v>156</v>
      </c>
      <c r="C2635">
        <v>202602</v>
      </c>
      <c r="D2635">
        <v>1861</v>
      </c>
      <c r="E2635">
        <v>9.3049999999999997</v>
      </c>
      <c r="F2635">
        <v>200</v>
      </c>
    </row>
    <row r="2636" spans="1:6" x14ac:dyDescent="0.35">
      <c r="A2636">
        <v>808</v>
      </c>
      <c r="B2636" t="s">
        <v>156</v>
      </c>
      <c r="C2636">
        <v>202602</v>
      </c>
      <c r="D2636">
        <v>2557</v>
      </c>
      <c r="E2636">
        <v>8.6754427631132529</v>
      </c>
      <c r="F2636">
        <v>294.74</v>
      </c>
    </row>
    <row r="2637" spans="1:6" x14ac:dyDescent="0.35">
      <c r="A2637">
        <v>502</v>
      </c>
      <c r="B2637" t="s">
        <v>157</v>
      </c>
      <c r="C2637">
        <v>202602</v>
      </c>
      <c r="D2637">
        <v>74388</v>
      </c>
      <c r="E2637">
        <v>239.00526924559824</v>
      </c>
      <c r="F2637">
        <v>311.24</v>
      </c>
    </row>
    <row r="2638" spans="1:6" x14ac:dyDescent="0.35">
      <c r="A2638">
        <v>504</v>
      </c>
      <c r="B2638" t="s">
        <v>157</v>
      </c>
      <c r="C2638">
        <v>202602</v>
      </c>
      <c r="D2638">
        <v>152062</v>
      </c>
      <c r="E2638">
        <v>348.35857139584431</v>
      </c>
      <c r="F2638">
        <v>436.51</v>
      </c>
    </row>
    <row r="2639" spans="1:6" x14ac:dyDescent="0.35">
      <c r="A2639">
        <v>505</v>
      </c>
      <c r="B2639" t="s">
        <v>157</v>
      </c>
      <c r="C2639">
        <v>202602</v>
      </c>
      <c r="D2639">
        <v>73127</v>
      </c>
      <c r="E2639">
        <v>196.48288462571873</v>
      </c>
      <c r="F2639">
        <v>372.18</v>
      </c>
    </row>
    <row r="2640" spans="1:6" x14ac:dyDescent="0.35">
      <c r="A2640">
        <v>506</v>
      </c>
      <c r="B2640" t="s">
        <v>157</v>
      </c>
      <c r="C2640">
        <v>202602</v>
      </c>
      <c r="D2640">
        <v>103488</v>
      </c>
      <c r="E2640">
        <v>218.47199645337668</v>
      </c>
      <c r="F2640">
        <v>473.69</v>
      </c>
    </row>
    <row r="2641" spans="1:6" x14ac:dyDescent="0.35">
      <c r="A2641">
        <v>508</v>
      </c>
      <c r="B2641" t="s">
        <v>157</v>
      </c>
      <c r="C2641">
        <v>202602</v>
      </c>
      <c r="D2641">
        <v>57487</v>
      </c>
      <c r="E2641">
        <v>142.04843093649617</v>
      </c>
      <c r="F2641">
        <v>404.7</v>
      </c>
    </row>
    <row r="2642" spans="1:6" x14ac:dyDescent="0.35">
      <c r="A2642">
        <v>507</v>
      </c>
      <c r="B2642" t="s">
        <v>157</v>
      </c>
      <c r="C2642">
        <v>202602</v>
      </c>
      <c r="D2642">
        <v>41477</v>
      </c>
      <c r="E2642">
        <v>153.61851851851853</v>
      </c>
      <c r="F2642">
        <v>270</v>
      </c>
    </row>
    <row r="2643" spans="1:6" x14ac:dyDescent="0.35">
      <c r="A2643">
        <v>520</v>
      </c>
      <c r="B2643" t="s">
        <v>157</v>
      </c>
      <c r="C2643">
        <v>202602</v>
      </c>
      <c r="D2643">
        <v>540</v>
      </c>
      <c r="E2643">
        <v>7.9411764705882355</v>
      </c>
      <c r="F2643">
        <v>68</v>
      </c>
    </row>
    <row r="2644" spans="1:6" x14ac:dyDescent="0.35">
      <c r="A2644">
        <v>521</v>
      </c>
      <c r="B2644" t="s">
        <v>157</v>
      </c>
      <c r="C2644">
        <v>202602</v>
      </c>
      <c r="D2644">
        <v>3299</v>
      </c>
      <c r="E2644">
        <v>28.439655172413794</v>
      </c>
      <c r="F2644">
        <v>116</v>
      </c>
    </row>
    <row r="2645" spans="1:6" x14ac:dyDescent="0.35">
      <c r="A2645">
        <v>784</v>
      </c>
      <c r="B2645" t="s">
        <v>157</v>
      </c>
      <c r="C2645">
        <v>202602</v>
      </c>
      <c r="D2645">
        <v>1074</v>
      </c>
      <c r="E2645">
        <v>3.1850533807829184</v>
      </c>
      <c r="F2645">
        <v>337.2</v>
      </c>
    </row>
    <row r="2646" spans="1:6" x14ac:dyDescent="0.35">
      <c r="A2646">
        <v>785</v>
      </c>
      <c r="B2646" t="s">
        <v>157</v>
      </c>
      <c r="C2646">
        <v>202602</v>
      </c>
      <c r="D2646">
        <v>1485</v>
      </c>
      <c r="E2646">
        <v>2.6414087513340445</v>
      </c>
      <c r="F2646">
        <v>562.20000000000005</v>
      </c>
    </row>
    <row r="2647" spans="1:6" x14ac:dyDescent="0.35">
      <c r="A2647">
        <v>758</v>
      </c>
      <c r="B2647" t="s">
        <v>157</v>
      </c>
      <c r="C2647">
        <v>202602</v>
      </c>
      <c r="D2647">
        <v>14969</v>
      </c>
      <c r="E2647">
        <v>22.187143344153441</v>
      </c>
      <c r="F2647">
        <v>674.67</v>
      </c>
    </row>
    <row r="2648" spans="1:6" x14ac:dyDescent="0.35">
      <c r="A2648">
        <v>757</v>
      </c>
      <c r="B2648" t="s">
        <v>157</v>
      </c>
      <c r="C2648">
        <v>202602</v>
      </c>
      <c r="D2648">
        <v>33866</v>
      </c>
      <c r="E2648">
        <v>68.449349179400116</v>
      </c>
      <c r="F2648">
        <v>494.76</v>
      </c>
    </row>
    <row r="2649" spans="1:6" x14ac:dyDescent="0.35">
      <c r="A2649">
        <v>580</v>
      </c>
      <c r="B2649" t="s">
        <v>157</v>
      </c>
      <c r="C2649">
        <v>202602</v>
      </c>
      <c r="D2649">
        <v>993</v>
      </c>
      <c r="E2649">
        <v>3.6685384956406089</v>
      </c>
      <c r="F2649">
        <v>270.68</v>
      </c>
    </row>
    <row r="2650" spans="1:6" x14ac:dyDescent="0.35">
      <c r="A2650">
        <v>582</v>
      </c>
      <c r="B2650" t="s">
        <v>157</v>
      </c>
      <c r="C2650">
        <v>202602</v>
      </c>
      <c r="D2650">
        <v>7856</v>
      </c>
      <c r="E2650">
        <v>26.121363258520365</v>
      </c>
      <c r="F2650">
        <v>300.75</v>
      </c>
    </row>
    <row r="2651" spans="1:6" x14ac:dyDescent="0.35">
      <c r="A2651">
        <v>594</v>
      </c>
      <c r="B2651" t="s">
        <v>157</v>
      </c>
      <c r="C2651">
        <v>202602</v>
      </c>
      <c r="D2651">
        <v>20446</v>
      </c>
      <c r="E2651">
        <v>121.16148148148149</v>
      </c>
      <c r="F2651">
        <v>168.75</v>
      </c>
    </row>
    <row r="2652" spans="1:6" x14ac:dyDescent="0.35">
      <c r="A2652">
        <v>595</v>
      </c>
      <c r="B2652" t="s">
        <v>157</v>
      </c>
      <c r="C2652">
        <v>202602</v>
      </c>
      <c r="D2652">
        <v>31457</v>
      </c>
      <c r="E2652">
        <v>419.42666666666668</v>
      </c>
      <c r="F2652">
        <v>75</v>
      </c>
    </row>
    <row r="2653" spans="1:6" x14ac:dyDescent="0.35">
      <c r="A2653">
        <v>603</v>
      </c>
      <c r="B2653" t="s">
        <v>157</v>
      </c>
      <c r="C2653">
        <v>202602</v>
      </c>
      <c r="D2653">
        <v>4043</v>
      </c>
      <c r="E2653">
        <v>17.924277354140806</v>
      </c>
      <c r="F2653">
        <v>225.56</v>
      </c>
    </row>
    <row r="2654" spans="1:6" x14ac:dyDescent="0.35">
      <c r="A2654">
        <v>606</v>
      </c>
      <c r="B2654" t="s">
        <v>157</v>
      </c>
      <c r="C2654">
        <v>202602</v>
      </c>
      <c r="D2654">
        <v>4768</v>
      </c>
      <c r="E2654">
        <v>18.172809391317603</v>
      </c>
      <c r="F2654">
        <v>262.37</v>
      </c>
    </row>
    <row r="2655" spans="1:6" x14ac:dyDescent="0.35">
      <c r="A2655">
        <v>772</v>
      </c>
      <c r="B2655" t="s">
        <v>157</v>
      </c>
      <c r="C2655">
        <v>202602</v>
      </c>
      <c r="D2655">
        <v>430</v>
      </c>
      <c r="E2655">
        <v>2.1245059288537549</v>
      </c>
      <c r="F2655">
        <v>202.4</v>
      </c>
    </row>
    <row r="2656" spans="1:6" x14ac:dyDescent="0.35">
      <c r="A2656">
        <v>615</v>
      </c>
      <c r="B2656" t="s">
        <v>157</v>
      </c>
      <c r="C2656">
        <v>202602</v>
      </c>
      <c r="D2656">
        <v>7399</v>
      </c>
      <c r="E2656">
        <v>27.334860351706812</v>
      </c>
      <c r="F2656">
        <v>270.68</v>
      </c>
    </row>
    <row r="2657" spans="1:6" x14ac:dyDescent="0.35">
      <c r="A2657">
        <v>617</v>
      </c>
      <c r="B2657" t="s">
        <v>157</v>
      </c>
      <c r="C2657">
        <v>202602</v>
      </c>
      <c r="D2657">
        <v>2973</v>
      </c>
      <c r="E2657">
        <v>6.6066666666666665</v>
      </c>
      <c r="F2657">
        <v>450</v>
      </c>
    </row>
    <row r="2658" spans="1:6" x14ac:dyDescent="0.35">
      <c r="A2658">
        <v>751</v>
      </c>
      <c r="B2658" t="s">
        <v>157</v>
      </c>
      <c r="C2658">
        <v>202602</v>
      </c>
      <c r="D2658">
        <v>1521</v>
      </c>
      <c r="E2658">
        <v>7.4922417614895824</v>
      </c>
      <c r="F2658">
        <v>203.01</v>
      </c>
    </row>
    <row r="2659" spans="1:6" x14ac:dyDescent="0.35">
      <c r="A2659">
        <v>752</v>
      </c>
      <c r="B2659" t="s">
        <v>157</v>
      </c>
      <c r="C2659">
        <v>202602</v>
      </c>
      <c r="D2659">
        <v>8866</v>
      </c>
      <c r="E2659">
        <v>25.634649858324178</v>
      </c>
      <c r="F2659">
        <v>345.86</v>
      </c>
    </row>
    <row r="2660" spans="1:6" x14ac:dyDescent="0.35">
      <c r="A2660">
        <v>753</v>
      </c>
      <c r="B2660" t="s">
        <v>157</v>
      </c>
      <c r="C2660">
        <v>202602</v>
      </c>
      <c r="D2660">
        <v>13296</v>
      </c>
      <c r="E2660">
        <v>27.20576199050581</v>
      </c>
      <c r="F2660">
        <v>488.72</v>
      </c>
    </row>
    <row r="2661" spans="1:6" x14ac:dyDescent="0.35">
      <c r="A2661">
        <v>754</v>
      </c>
      <c r="B2661" t="s">
        <v>157</v>
      </c>
      <c r="C2661">
        <v>202602</v>
      </c>
      <c r="D2661">
        <v>1664</v>
      </c>
      <c r="E2661">
        <v>2.766371298897774</v>
      </c>
      <c r="F2661">
        <v>601.51</v>
      </c>
    </row>
    <row r="2662" spans="1:6" x14ac:dyDescent="0.35">
      <c r="A2662">
        <v>614</v>
      </c>
      <c r="B2662" t="s">
        <v>157</v>
      </c>
      <c r="C2662">
        <v>202602</v>
      </c>
      <c r="D2662">
        <v>26825</v>
      </c>
      <c r="E2662">
        <v>47.714336535040907</v>
      </c>
      <c r="F2662">
        <v>562.20000000000005</v>
      </c>
    </row>
    <row r="2663" spans="1:6" x14ac:dyDescent="0.35">
      <c r="A2663">
        <v>797</v>
      </c>
      <c r="B2663" t="s">
        <v>157</v>
      </c>
      <c r="C2663">
        <v>202602</v>
      </c>
      <c r="D2663">
        <v>1781</v>
      </c>
      <c r="E2663">
        <v>3.9595375722543351</v>
      </c>
      <c r="F2663">
        <v>449.8</v>
      </c>
    </row>
    <row r="2664" spans="1:6" x14ac:dyDescent="0.35">
      <c r="A2664">
        <v>613</v>
      </c>
      <c r="B2664" t="s">
        <v>157</v>
      </c>
      <c r="C2664">
        <v>202602</v>
      </c>
      <c r="D2664">
        <v>21045</v>
      </c>
      <c r="E2664">
        <v>71.948717948717942</v>
      </c>
      <c r="F2664">
        <v>292.5</v>
      </c>
    </row>
    <row r="2665" spans="1:6" x14ac:dyDescent="0.35">
      <c r="A2665">
        <v>767</v>
      </c>
      <c r="B2665" t="s">
        <v>157</v>
      </c>
      <c r="C2665">
        <v>202602</v>
      </c>
      <c r="D2665">
        <v>13730</v>
      </c>
      <c r="E2665">
        <v>22.89096365455152</v>
      </c>
      <c r="F2665">
        <v>599.79999999999995</v>
      </c>
    </row>
    <row r="2666" spans="1:6" x14ac:dyDescent="0.35">
      <c r="A2666">
        <v>807</v>
      </c>
      <c r="B2666" t="s">
        <v>157</v>
      </c>
      <c r="C2666">
        <v>202602</v>
      </c>
      <c r="D2666">
        <v>954</v>
      </c>
      <c r="E2666">
        <v>4.7699999999999996</v>
      </c>
      <c r="F2666">
        <v>200</v>
      </c>
    </row>
    <row r="2667" spans="1:6" x14ac:dyDescent="0.35">
      <c r="A2667">
        <v>808</v>
      </c>
      <c r="B2667" t="s">
        <v>157</v>
      </c>
      <c r="C2667">
        <v>202602</v>
      </c>
      <c r="D2667">
        <v>1803</v>
      </c>
      <c r="E2667">
        <v>6.1172558865440729</v>
      </c>
      <c r="F2667">
        <v>294.74</v>
      </c>
    </row>
    <row r="2668" spans="1:6" x14ac:dyDescent="0.35">
      <c r="A2668">
        <v>502</v>
      </c>
      <c r="B2668" t="s">
        <v>158</v>
      </c>
      <c r="C2668">
        <v>202602</v>
      </c>
      <c r="D2668">
        <v>83110</v>
      </c>
      <c r="E2668">
        <v>267.02865955532707</v>
      </c>
      <c r="F2668">
        <v>311.24</v>
      </c>
    </row>
    <row r="2669" spans="1:6" x14ac:dyDescent="0.35">
      <c r="A2669">
        <v>504</v>
      </c>
      <c r="B2669" t="s">
        <v>158</v>
      </c>
      <c r="C2669">
        <v>202602</v>
      </c>
      <c r="D2669">
        <v>163240</v>
      </c>
      <c r="E2669">
        <v>373.96623215962978</v>
      </c>
      <c r="F2669">
        <v>436.51</v>
      </c>
    </row>
    <row r="2670" spans="1:6" x14ac:dyDescent="0.35">
      <c r="A2670">
        <v>505</v>
      </c>
      <c r="B2670" t="s">
        <v>158</v>
      </c>
      <c r="C2670">
        <v>202602</v>
      </c>
      <c r="D2670">
        <v>77084</v>
      </c>
      <c r="E2670">
        <v>207.11483690687302</v>
      </c>
      <c r="F2670">
        <v>372.18</v>
      </c>
    </row>
    <row r="2671" spans="1:6" x14ac:dyDescent="0.35">
      <c r="A2671">
        <v>506</v>
      </c>
      <c r="B2671" t="s">
        <v>158</v>
      </c>
      <c r="C2671">
        <v>202602</v>
      </c>
      <c r="D2671">
        <v>104575</v>
      </c>
      <c r="E2671">
        <v>220.7667461842133</v>
      </c>
      <c r="F2671">
        <v>473.69</v>
      </c>
    </row>
    <row r="2672" spans="1:6" x14ac:dyDescent="0.35">
      <c r="A2672">
        <v>508</v>
      </c>
      <c r="B2672" t="s">
        <v>158</v>
      </c>
      <c r="C2672">
        <v>202602</v>
      </c>
      <c r="D2672">
        <v>60009</v>
      </c>
      <c r="E2672">
        <v>148.28020756115643</v>
      </c>
      <c r="F2672">
        <v>404.7</v>
      </c>
    </row>
    <row r="2673" spans="1:6" x14ac:dyDescent="0.35">
      <c r="A2673">
        <v>507</v>
      </c>
      <c r="B2673" t="s">
        <v>158</v>
      </c>
      <c r="C2673">
        <v>202602</v>
      </c>
      <c r="D2673">
        <v>47996</v>
      </c>
      <c r="E2673">
        <v>177.76296296296297</v>
      </c>
      <c r="F2673">
        <v>270</v>
      </c>
    </row>
    <row r="2674" spans="1:6" x14ac:dyDescent="0.35">
      <c r="A2674">
        <v>520</v>
      </c>
      <c r="B2674" t="s">
        <v>158</v>
      </c>
      <c r="C2674">
        <v>202602</v>
      </c>
      <c r="D2674">
        <v>758</v>
      </c>
      <c r="E2674">
        <v>11.147058823529411</v>
      </c>
      <c r="F2674">
        <v>68</v>
      </c>
    </row>
    <row r="2675" spans="1:6" x14ac:dyDescent="0.35">
      <c r="A2675">
        <v>521</v>
      </c>
      <c r="B2675" t="s">
        <v>158</v>
      </c>
      <c r="C2675">
        <v>202602</v>
      </c>
      <c r="D2675">
        <v>4873</v>
      </c>
      <c r="E2675">
        <v>42.008620689655174</v>
      </c>
      <c r="F2675">
        <v>116</v>
      </c>
    </row>
    <row r="2676" spans="1:6" x14ac:dyDescent="0.35">
      <c r="A2676">
        <v>784</v>
      </c>
      <c r="B2676" t="s">
        <v>158</v>
      </c>
      <c r="C2676">
        <v>202602</v>
      </c>
      <c r="D2676">
        <v>923</v>
      </c>
      <c r="E2676">
        <v>2.7372479240806644</v>
      </c>
      <c r="F2676">
        <v>337.2</v>
      </c>
    </row>
    <row r="2677" spans="1:6" x14ac:dyDescent="0.35">
      <c r="A2677">
        <v>785</v>
      </c>
      <c r="B2677" t="s">
        <v>158</v>
      </c>
      <c r="C2677">
        <v>202602</v>
      </c>
      <c r="D2677">
        <v>1815</v>
      </c>
      <c r="E2677">
        <v>3.2283884738527213</v>
      </c>
      <c r="F2677">
        <v>562.20000000000005</v>
      </c>
    </row>
    <row r="2678" spans="1:6" x14ac:dyDescent="0.35">
      <c r="A2678">
        <v>758</v>
      </c>
      <c r="B2678" t="s">
        <v>158</v>
      </c>
      <c r="C2678">
        <v>202602</v>
      </c>
      <c r="D2678">
        <v>20531</v>
      </c>
      <c r="E2678">
        <v>30.431173759022933</v>
      </c>
      <c r="F2678">
        <v>674.67</v>
      </c>
    </row>
    <row r="2679" spans="1:6" x14ac:dyDescent="0.35">
      <c r="A2679">
        <v>757</v>
      </c>
      <c r="B2679" t="s">
        <v>158</v>
      </c>
      <c r="C2679">
        <v>202602</v>
      </c>
      <c r="D2679">
        <v>43449</v>
      </c>
      <c r="E2679">
        <v>87.818336162988118</v>
      </c>
      <c r="F2679">
        <v>494.76</v>
      </c>
    </row>
    <row r="2680" spans="1:6" x14ac:dyDescent="0.35">
      <c r="A2680">
        <v>580</v>
      </c>
      <c r="B2680" t="s">
        <v>158</v>
      </c>
      <c r="C2680">
        <v>202602</v>
      </c>
      <c r="D2680">
        <v>983</v>
      </c>
      <c r="E2680">
        <v>3.6315945027338552</v>
      </c>
      <c r="F2680">
        <v>270.68</v>
      </c>
    </row>
    <row r="2681" spans="1:6" x14ac:dyDescent="0.35">
      <c r="A2681">
        <v>582</v>
      </c>
      <c r="B2681" t="s">
        <v>158</v>
      </c>
      <c r="C2681">
        <v>202602</v>
      </c>
      <c r="D2681">
        <v>9600</v>
      </c>
      <c r="E2681">
        <v>31.920199501246884</v>
      </c>
      <c r="F2681">
        <v>300.75</v>
      </c>
    </row>
    <row r="2682" spans="1:6" x14ac:dyDescent="0.35">
      <c r="A2682">
        <v>594</v>
      </c>
      <c r="B2682" t="s">
        <v>158</v>
      </c>
      <c r="C2682">
        <v>202602</v>
      </c>
      <c r="D2682">
        <v>21694</v>
      </c>
      <c r="E2682">
        <v>128.55703703703705</v>
      </c>
      <c r="F2682">
        <v>168.75</v>
      </c>
    </row>
    <row r="2683" spans="1:6" x14ac:dyDescent="0.35">
      <c r="A2683">
        <v>595</v>
      </c>
      <c r="B2683" t="s">
        <v>158</v>
      </c>
      <c r="C2683">
        <v>202602</v>
      </c>
      <c r="D2683">
        <v>34162</v>
      </c>
      <c r="E2683">
        <v>455.49333333333334</v>
      </c>
      <c r="F2683">
        <v>75</v>
      </c>
    </row>
    <row r="2684" spans="1:6" x14ac:dyDescent="0.35">
      <c r="A2684">
        <v>603</v>
      </c>
      <c r="B2684" t="s">
        <v>158</v>
      </c>
      <c r="C2684">
        <v>202602</v>
      </c>
      <c r="D2684">
        <v>5312</v>
      </c>
      <c r="E2684">
        <v>23.550274871431103</v>
      </c>
      <c r="F2684">
        <v>225.56</v>
      </c>
    </row>
    <row r="2685" spans="1:6" x14ac:dyDescent="0.35">
      <c r="A2685">
        <v>606</v>
      </c>
      <c r="B2685" t="s">
        <v>158</v>
      </c>
      <c r="C2685">
        <v>202602</v>
      </c>
      <c r="D2685">
        <v>6204</v>
      </c>
      <c r="E2685">
        <v>23.645996112360407</v>
      </c>
      <c r="F2685">
        <v>262.37</v>
      </c>
    </row>
    <row r="2686" spans="1:6" x14ac:dyDescent="0.35">
      <c r="A2686">
        <v>772</v>
      </c>
      <c r="B2686" t="s">
        <v>158</v>
      </c>
      <c r="C2686">
        <v>202602</v>
      </c>
      <c r="D2686">
        <v>410</v>
      </c>
      <c r="E2686">
        <v>2.0256916996047432</v>
      </c>
      <c r="F2686">
        <v>202.4</v>
      </c>
    </row>
    <row r="2687" spans="1:6" x14ac:dyDescent="0.35">
      <c r="A2687">
        <v>615</v>
      </c>
      <c r="B2687" t="s">
        <v>158</v>
      </c>
      <c r="C2687">
        <v>202602</v>
      </c>
      <c r="D2687">
        <v>9364</v>
      </c>
      <c r="E2687">
        <v>34.594354957883844</v>
      </c>
      <c r="F2687">
        <v>270.68</v>
      </c>
    </row>
    <row r="2688" spans="1:6" x14ac:dyDescent="0.35">
      <c r="A2688">
        <v>617</v>
      </c>
      <c r="B2688" t="s">
        <v>158</v>
      </c>
      <c r="C2688">
        <v>202602</v>
      </c>
      <c r="D2688">
        <v>3415</v>
      </c>
      <c r="E2688">
        <v>7.5888888888888886</v>
      </c>
      <c r="F2688">
        <v>450</v>
      </c>
    </row>
    <row r="2689" spans="1:6" x14ac:dyDescent="0.35">
      <c r="A2689">
        <v>751</v>
      </c>
      <c r="B2689" t="s">
        <v>158</v>
      </c>
      <c r="C2689">
        <v>202602</v>
      </c>
      <c r="D2689">
        <v>1709</v>
      </c>
      <c r="E2689">
        <v>8.418304517018866</v>
      </c>
      <c r="F2689">
        <v>203.01</v>
      </c>
    </row>
    <row r="2690" spans="1:6" x14ac:dyDescent="0.35">
      <c r="A2690">
        <v>752</v>
      </c>
      <c r="B2690" t="s">
        <v>158</v>
      </c>
      <c r="C2690">
        <v>202602</v>
      </c>
      <c r="D2690">
        <v>10593</v>
      </c>
      <c r="E2690">
        <v>30.627999768692533</v>
      </c>
      <c r="F2690">
        <v>345.86</v>
      </c>
    </row>
    <row r="2691" spans="1:6" x14ac:dyDescent="0.35">
      <c r="A2691">
        <v>753</v>
      </c>
      <c r="B2691" t="s">
        <v>158</v>
      </c>
      <c r="C2691">
        <v>202602</v>
      </c>
      <c r="D2691">
        <v>14367</v>
      </c>
      <c r="E2691">
        <v>29.397200851203142</v>
      </c>
      <c r="F2691">
        <v>488.72</v>
      </c>
    </row>
    <row r="2692" spans="1:6" x14ac:dyDescent="0.35">
      <c r="A2692">
        <v>754</v>
      </c>
      <c r="B2692" t="s">
        <v>158</v>
      </c>
      <c r="C2692">
        <v>202602</v>
      </c>
      <c r="D2692">
        <v>1844</v>
      </c>
      <c r="E2692">
        <v>3.0656181942112353</v>
      </c>
      <c r="F2692">
        <v>601.51</v>
      </c>
    </row>
    <row r="2693" spans="1:6" x14ac:dyDescent="0.35">
      <c r="A2693">
        <v>614</v>
      </c>
      <c r="B2693" t="s">
        <v>158</v>
      </c>
      <c r="C2693">
        <v>202602</v>
      </c>
      <c r="D2693">
        <v>37254</v>
      </c>
      <c r="E2693">
        <v>66.264674493062955</v>
      </c>
      <c r="F2693">
        <v>562.20000000000005</v>
      </c>
    </row>
    <row r="2694" spans="1:6" x14ac:dyDescent="0.35">
      <c r="A2694">
        <v>797</v>
      </c>
      <c r="B2694" t="s">
        <v>158</v>
      </c>
      <c r="C2694">
        <v>202602</v>
      </c>
      <c r="D2694">
        <v>3302</v>
      </c>
      <c r="E2694">
        <v>7.3410404624277454</v>
      </c>
      <c r="F2694">
        <v>449.8</v>
      </c>
    </row>
    <row r="2695" spans="1:6" x14ac:dyDescent="0.35">
      <c r="A2695">
        <v>613</v>
      </c>
      <c r="B2695" t="s">
        <v>158</v>
      </c>
      <c r="C2695">
        <v>202602</v>
      </c>
      <c r="D2695">
        <v>21584</v>
      </c>
      <c r="E2695">
        <v>73.791452991452985</v>
      </c>
      <c r="F2695">
        <v>292.5</v>
      </c>
    </row>
    <row r="2696" spans="1:6" x14ac:dyDescent="0.35">
      <c r="A2696">
        <v>767</v>
      </c>
      <c r="B2696" t="s">
        <v>158</v>
      </c>
      <c r="C2696">
        <v>202602</v>
      </c>
      <c r="D2696">
        <v>12215</v>
      </c>
      <c r="E2696">
        <v>20.365121707235748</v>
      </c>
      <c r="F2696">
        <v>599.79999999999995</v>
      </c>
    </row>
    <row r="2697" spans="1:6" x14ac:dyDescent="0.35">
      <c r="A2697">
        <v>807</v>
      </c>
      <c r="B2697" t="s">
        <v>158</v>
      </c>
      <c r="C2697">
        <v>202602</v>
      </c>
      <c r="D2697">
        <v>3004</v>
      </c>
      <c r="E2697">
        <v>15.02</v>
      </c>
      <c r="F2697">
        <v>200</v>
      </c>
    </row>
    <row r="2698" spans="1:6" x14ac:dyDescent="0.35">
      <c r="A2698">
        <v>808</v>
      </c>
      <c r="B2698" t="s">
        <v>158</v>
      </c>
      <c r="C2698">
        <v>202602</v>
      </c>
      <c r="D2698">
        <v>4727</v>
      </c>
      <c r="E2698">
        <v>16.037863880029857</v>
      </c>
      <c r="F2698">
        <v>294.74</v>
      </c>
    </row>
    <row r="2699" spans="1:6" x14ac:dyDescent="0.35">
      <c r="A2699">
        <v>502</v>
      </c>
      <c r="B2699" t="s">
        <v>181</v>
      </c>
      <c r="C2699">
        <v>202602</v>
      </c>
      <c r="D2699">
        <v>44813</v>
      </c>
      <c r="E2699">
        <v>143.98213597224006</v>
      </c>
      <c r="F2699">
        <v>311.24</v>
      </c>
    </row>
    <row r="2700" spans="1:6" x14ac:dyDescent="0.35">
      <c r="A2700">
        <v>504</v>
      </c>
      <c r="B2700" t="s">
        <v>181</v>
      </c>
      <c r="C2700">
        <v>202602</v>
      </c>
      <c r="D2700">
        <v>94004</v>
      </c>
      <c r="E2700">
        <v>215.35360014661748</v>
      </c>
      <c r="F2700">
        <v>436.51</v>
      </c>
    </row>
    <row r="2701" spans="1:6" x14ac:dyDescent="0.35">
      <c r="A2701">
        <v>505</v>
      </c>
      <c r="B2701" t="s">
        <v>181</v>
      </c>
      <c r="C2701">
        <v>202602</v>
      </c>
      <c r="D2701">
        <v>45169</v>
      </c>
      <c r="E2701">
        <v>121.36331882422483</v>
      </c>
      <c r="F2701">
        <v>372.18</v>
      </c>
    </row>
    <row r="2702" spans="1:6" x14ac:dyDescent="0.35">
      <c r="A2702">
        <v>506</v>
      </c>
      <c r="B2702" t="s">
        <v>181</v>
      </c>
      <c r="C2702">
        <v>202602</v>
      </c>
      <c r="D2702">
        <v>50567</v>
      </c>
      <c r="E2702">
        <v>106.75125081804556</v>
      </c>
      <c r="F2702">
        <v>473.69</v>
      </c>
    </row>
    <row r="2703" spans="1:6" x14ac:dyDescent="0.35">
      <c r="A2703">
        <v>508</v>
      </c>
      <c r="B2703" t="s">
        <v>181</v>
      </c>
      <c r="C2703">
        <v>202602</v>
      </c>
      <c r="D2703">
        <v>45622</v>
      </c>
      <c r="E2703">
        <v>112.73041759327897</v>
      </c>
      <c r="F2703">
        <v>404.7</v>
      </c>
    </row>
    <row r="2704" spans="1:6" x14ac:dyDescent="0.35">
      <c r="A2704">
        <v>507</v>
      </c>
      <c r="B2704" t="s">
        <v>181</v>
      </c>
      <c r="C2704">
        <v>202602</v>
      </c>
      <c r="D2704">
        <v>39293</v>
      </c>
      <c r="E2704">
        <v>145.52962962962962</v>
      </c>
      <c r="F2704">
        <v>270</v>
      </c>
    </row>
    <row r="2705" spans="1:6" x14ac:dyDescent="0.35">
      <c r="A2705">
        <v>520</v>
      </c>
      <c r="B2705" t="s">
        <v>181</v>
      </c>
      <c r="C2705">
        <v>202602</v>
      </c>
      <c r="D2705">
        <v>632</v>
      </c>
      <c r="E2705">
        <v>9.2941176470588243</v>
      </c>
      <c r="F2705">
        <v>68</v>
      </c>
    </row>
    <row r="2706" spans="1:6" x14ac:dyDescent="0.35">
      <c r="A2706">
        <v>521</v>
      </c>
      <c r="B2706" t="s">
        <v>181</v>
      </c>
      <c r="C2706">
        <v>202602</v>
      </c>
      <c r="D2706">
        <v>5440</v>
      </c>
      <c r="E2706">
        <v>46.896551724137929</v>
      </c>
      <c r="F2706">
        <v>116</v>
      </c>
    </row>
    <row r="2707" spans="1:6" x14ac:dyDescent="0.35">
      <c r="A2707">
        <v>784</v>
      </c>
      <c r="B2707" t="s">
        <v>181</v>
      </c>
      <c r="C2707">
        <v>202602</v>
      </c>
      <c r="D2707">
        <v>511</v>
      </c>
      <c r="E2707">
        <v>1.5154211150652432</v>
      </c>
      <c r="F2707">
        <v>337.2</v>
      </c>
    </row>
    <row r="2708" spans="1:6" x14ac:dyDescent="0.35">
      <c r="A2708">
        <v>785</v>
      </c>
      <c r="B2708" t="s">
        <v>181</v>
      </c>
      <c r="C2708">
        <v>202602</v>
      </c>
      <c r="D2708">
        <v>773</v>
      </c>
      <c r="E2708">
        <v>1.374955531839203</v>
      </c>
      <c r="F2708">
        <v>562.20000000000005</v>
      </c>
    </row>
    <row r="2709" spans="1:6" x14ac:dyDescent="0.35">
      <c r="A2709">
        <v>758</v>
      </c>
      <c r="B2709" t="s">
        <v>181</v>
      </c>
      <c r="C2709">
        <v>202602</v>
      </c>
      <c r="D2709">
        <v>7767</v>
      </c>
      <c r="E2709">
        <v>11.512294899728756</v>
      </c>
      <c r="F2709">
        <v>674.67</v>
      </c>
    </row>
    <row r="2710" spans="1:6" x14ac:dyDescent="0.35">
      <c r="A2710">
        <v>757</v>
      </c>
      <c r="B2710" t="s">
        <v>181</v>
      </c>
      <c r="C2710">
        <v>202602</v>
      </c>
      <c r="D2710">
        <v>16916</v>
      </c>
      <c r="E2710">
        <v>34.190314495917214</v>
      </c>
      <c r="F2710">
        <v>494.76</v>
      </c>
    </row>
    <row r="2711" spans="1:6" x14ac:dyDescent="0.35">
      <c r="A2711">
        <v>580</v>
      </c>
      <c r="B2711" t="s">
        <v>181</v>
      </c>
      <c r="C2711">
        <v>202602</v>
      </c>
      <c r="D2711">
        <v>0</v>
      </c>
      <c r="E2711">
        <v>0</v>
      </c>
      <c r="F2711">
        <v>270.68</v>
      </c>
    </row>
    <row r="2712" spans="1:6" x14ac:dyDescent="0.35">
      <c r="A2712">
        <v>582</v>
      </c>
      <c r="B2712" t="s">
        <v>181</v>
      </c>
      <c r="C2712">
        <v>202602</v>
      </c>
      <c r="D2712">
        <v>5535</v>
      </c>
      <c r="E2712">
        <v>18.403990024937656</v>
      </c>
      <c r="F2712">
        <v>300.75</v>
      </c>
    </row>
    <row r="2713" spans="1:6" x14ac:dyDescent="0.35">
      <c r="A2713">
        <v>594</v>
      </c>
      <c r="B2713" t="s">
        <v>181</v>
      </c>
      <c r="C2713">
        <v>202602</v>
      </c>
      <c r="D2713">
        <v>14291</v>
      </c>
      <c r="E2713">
        <v>84.687407407407406</v>
      </c>
      <c r="F2713">
        <v>168.75</v>
      </c>
    </row>
    <row r="2714" spans="1:6" x14ac:dyDescent="0.35">
      <c r="A2714">
        <v>595</v>
      </c>
      <c r="B2714" t="s">
        <v>181</v>
      </c>
      <c r="C2714">
        <v>202602</v>
      </c>
      <c r="D2714">
        <v>21249</v>
      </c>
      <c r="E2714">
        <v>283.32</v>
      </c>
      <c r="F2714">
        <v>75</v>
      </c>
    </row>
    <row r="2715" spans="1:6" x14ac:dyDescent="0.35">
      <c r="A2715">
        <v>603</v>
      </c>
      <c r="B2715" t="s">
        <v>181</v>
      </c>
      <c r="C2715">
        <v>202602</v>
      </c>
      <c r="D2715">
        <v>4451</v>
      </c>
      <c r="E2715">
        <v>19.733108707217593</v>
      </c>
      <c r="F2715">
        <v>225.56</v>
      </c>
    </row>
    <row r="2716" spans="1:6" x14ac:dyDescent="0.35">
      <c r="A2716">
        <v>606</v>
      </c>
      <c r="B2716" t="s">
        <v>181</v>
      </c>
      <c r="C2716">
        <v>202602</v>
      </c>
      <c r="D2716">
        <v>4231</v>
      </c>
      <c r="E2716">
        <v>16.126081487974997</v>
      </c>
      <c r="F2716">
        <v>262.37</v>
      </c>
    </row>
    <row r="2717" spans="1:6" x14ac:dyDescent="0.35">
      <c r="A2717">
        <v>772</v>
      </c>
      <c r="B2717" t="s">
        <v>181</v>
      </c>
      <c r="C2717">
        <v>202602</v>
      </c>
      <c r="D2717">
        <v>0</v>
      </c>
      <c r="E2717">
        <v>0</v>
      </c>
      <c r="F2717">
        <v>202.4</v>
      </c>
    </row>
    <row r="2718" spans="1:6" x14ac:dyDescent="0.35">
      <c r="A2718">
        <v>615</v>
      </c>
      <c r="B2718" t="s">
        <v>181</v>
      </c>
      <c r="C2718">
        <v>202602</v>
      </c>
      <c r="D2718">
        <v>5434</v>
      </c>
      <c r="E2718">
        <v>20.075365745529776</v>
      </c>
      <c r="F2718">
        <v>270.68</v>
      </c>
    </row>
    <row r="2719" spans="1:6" x14ac:dyDescent="0.35">
      <c r="A2719">
        <v>617</v>
      </c>
      <c r="B2719" t="s">
        <v>181</v>
      </c>
      <c r="C2719">
        <v>202602</v>
      </c>
      <c r="D2719">
        <v>1557</v>
      </c>
      <c r="E2719">
        <v>3.46</v>
      </c>
      <c r="F2719">
        <v>450</v>
      </c>
    </row>
    <row r="2720" spans="1:6" x14ac:dyDescent="0.35">
      <c r="A2720">
        <v>751</v>
      </c>
      <c r="B2720" t="s">
        <v>181</v>
      </c>
      <c r="C2720">
        <v>202602</v>
      </c>
      <c r="D2720">
        <v>346</v>
      </c>
      <c r="E2720">
        <v>1.7043495394315551</v>
      </c>
      <c r="F2720">
        <v>203.01</v>
      </c>
    </row>
    <row r="2721" spans="1:6" x14ac:dyDescent="0.35">
      <c r="A2721">
        <v>752</v>
      </c>
      <c r="B2721" t="s">
        <v>181</v>
      </c>
      <c r="C2721">
        <v>202602</v>
      </c>
      <c r="D2721">
        <v>6041</v>
      </c>
      <c r="E2721">
        <v>17.466604984675879</v>
      </c>
      <c r="F2721">
        <v>345.86</v>
      </c>
    </row>
    <row r="2722" spans="1:6" x14ac:dyDescent="0.35">
      <c r="A2722">
        <v>753</v>
      </c>
      <c r="B2722" t="s">
        <v>181</v>
      </c>
      <c r="C2722">
        <v>202602</v>
      </c>
      <c r="D2722">
        <v>9670</v>
      </c>
      <c r="E2722">
        <v>19.786380749713537</v>
      </c>
      <c r="F2722">
        <v>488.72</v>
      </c>
    </row>
    <row r="2723" spans="1:6" x14ac:dyDescent="0.35">
      <c r="A2723">
        <v>754</v>
      </c>
      <c r="B2723" t="s">
        <v>181</v>
      </c>
      <c r="C2723">
        <v>202602</v>
      </c>
      <c r="D2723">
        <v>827</v>
      </c>
      <c r="E2723">
        <v>1.3748732356901798</v>
      </c>
      <c r="F2723">
        <v>601.51</v>
      </c>
    </row>
    <row r="2724" spans="1:6" x14ac:dyDescent="0.35">
      <c r="A2724">
        <v>614</v>
      </c>
      <c r="B2724" t="s">
        <v>181</v>
      </c>
      <c r="C2724">
        <v>202602</v>
      </c>
      <c r="D2724">
        <v>15952</v>
      </c>
      <c r="E2724">
        <v>28.374244041266451</v>
      </c>
      <c r="F2724">
        <v>562.20000000000005</v>
      </c>
    </row>
    <row r="2725" spans="1:6" x14ac:dyDescent="0.35">
      <c r="A2725">
        <v>797</v>
      </c>
      <c r="B2725" t="s">
        <v>181</v>
      </c>
      <c r="C2725">
        <v>202602</v>
      </c>
      <c r="D2725">
        <v>1362</v>
      </c>
      <c r="E2725">
        <v>3.0280124499777679</v>
      </c>
      <c r="F2725">
        <v>449.8</v>
      </c>
    </row>
    <row r="2726" spans="1:6" x14ac:dyDescent="0.35">
      <c r="A2726">
        <v>613</v>
      </c>
      <c r="B2726" t="s">
        <v>181</v>
      </c>
      <c r="C2726">
        <v>202602</v>
      </c>
      <c r="D2726">
        <v>7928</v>
      </c>
      <c r="E2726">
        <v>27.104273504273504</v>
      </c>
      <c r="F2726">
        <v>292.5</v>
      </c>
    </row>
    <row r="2727" spans="1:6" x14ac:dyDescent="0.35">
      <c r="A2727">
        <v>767</v>
      </c>
      <c r="B2727" t="s">
        <v>181</v>
      </c>
      <c r="C2727">
        <v>202602</v>
      </c>
      <c r="D2727">
        <v>7872</v>
      </c>
      <c r="E2727">
        <v>13.1243747915972</v>
      </c>
      <c r="F2727">
        <v>599.79999999999995</v>
      </c>
    </row>
    <row r="2728" spans="1:6" x14ac:dyDescent="0.35">
      <c r="A2728">
        <v>807</v>
      </c>
      <c r="B2728" t="s">
        <v>181</v>
      </c>
      <c r="C2728">
        <v>202602</v>
      </c>
      <c r="D2728">
        <v>1385</v>
      </c>
      <c r="E2728">
        <v>6.9249999999999998</v>
      </c>
      <c r="F2728">
        <v>200</v>
      </c>
    </row>
    <row r="2729" spans="1:6" x14ac:dyDescent="0.35">
      <c r="A2729">
        <v>808</v>
      </c>
      <c r="B2729" t="s">
        <v>181</v>
      </c>
      <c r="C2729">
        <v>202602</v>
      </c>
      <c r="D2729">
        <v>1774</v>
      </c>
      <c r="E2729">
        <v>6.0188640835991043</v>
      </c>
      <c r="F2729">
        <v>294.74</v>
      </c>
    </row>
    <row r="2730" spans="1:6" x14ac:dyDescent="0.35">
      <c r="A2730">
        <v>502</v>
      </c>
      <c r="B2730" t="s">
        <v>182</v>
      </c>
      <c r="C2730">
        <v>202602</v>
      </c>
      <c r="D2730">
        <v>33254</v>
      </c>
      <c r="E2730">
        <v>106.84359336846164</v>
      </c>
      <c r="F2730">
        <v>311.24</v>
      </c>
    </row>
    <row r="2731" spans="1:6" x14ac:dyDescent="0.35">
      <c r="A2731">
        <v>504</v>
      </c>
      <c r="B2731" t="s">
        <v>182</v>
      </c>
      <c r="C2731">
        <v>202602</v>
      </c>
      <c r="D2731">
        <v>69841</v>
      </c>
      <c r="E2731">
        <v>159.99862546104328</v>
      </c>
      <c r="F2731">
        <v>436.51</v>
      </c>
    </row>
    <row r="2732" spans="1:6" x14ac:dyDescent="0.35">
      <c r="A2732">
        <v>505</v>
      </c>
      <c r="B2732" t="s">
        <v>182</v>
      </c>
      <c r="C2732">
        <v>202602</v>
      </c>
      <c r="D2732">
        <v>32909</v>
      </c>
      <c r="E2732">
        <v>88.42226879466925</v>
      </c>
      <c r="F2732">
        <v>372.18</v>
      </c>
    </row>
    <row r="2733" spans="1:6" x14ac:dyDescent="0.35">
      <c r="A2733">
        <v>506</v>
      </c>
      <c r="B2733" t="s">
        <v>182</v>
      </c>
      <c r="C2733">
        <v>202602</v>
      </c>
      <c r="D2733">
        <v>40648</v>
      </c>
      <c r="E2733">
        <v>85.811395638497757</v>
      </c>
      <c r="F2733">
        <v>473.69</v>
      </c>
    </row>
    <row r="2734" spans="1:6" x14ac:dyDescent="0.35">
      <c r="A2734">
        <v>508</v>
      </c>
      <c r="B2734" t="s">
        <v>182</v>
      </c>
      <c r="C2734">
        <v>202602</v>
      </c>
      <c r="D2734">
        <v>33584</v>
      </c>
      <c r="E2734">
        <v>82.984927106498645</v>
      </c>
      <c r="F2734">
        <v>404.7</v>
      </c>
    </row>
    <row r="2735" spans="1:6" x14ac:dyDescent="0.35">
      <c r="A2735">
        <v>507</v>
      </c>
      <c r="B2735" t="s">
        <v>182</v>
      </c>
      <c r="C2735">
        <v>202602</v>
      </c>
      <c r="D2735">
        <v>25330</v>
      </c>
      <c r="E2735">
        <v>93.81481481481481</v>
      </c>
      <c r="F2735">
        <v>270</v>
      </c>
    </row>
    <row r="2736" spans="1:6" x14ac:dyDescent="0.35">
      <c r="A2736">
        <v>520</v>
      </c>
      <c r="B2736" t="s">
        <v>182</v>
      </c>
      <c r="C2736">
        <v>202602</v>
      </c>
      <c r="D2736">
        <v>305</v>
      </c>
      <c r="E2736">
        <v>4.4852941176470589</v>
      </c>
      <c r="F2736">
        <v>68</v>
      </c>
    </row>
    <row r="2737" spans="1:6" x14ac:dyDescent="0.35">
      <c r="A2737">
        <v>521</v>
      </c>
      <c r="B2737" t="s">
        <v>182</v>
      </c>
      <c r="C2737">
        <v>202602</v>
      </c>
      <c r="D2737">
        <v>3874</v>
      </c>
      <c r="E2737">
        <v>33.396551724137929</v>
      </c>
      <c r="F2737">
        <v>116</v>
      </c>
    </row>
    <row r="2738" spans="1:6" x14ac:dyDescent="0.35">
      <c r="A2738">
        <v>784</v>
      </c>
      <c r="B2738" t="s">
        <v>182</v>
      </c>
      <c r="C2738">
        <v>202602</v>
      </c>
      <c r="D2738">
        <v>422</v>
      </c>
      <c r="E2738">
        <v>1.2514827995255042</v>
      </c>
      <c r="F2738">
        <v>337.2</v>
      </c>
    </row>
    <row r="2739" spans="1:6" x14ac:dyDescent="0.35">
      <c r="A2739">
        <v>785</v>
      </c>
      <c r="B2739" t="s">
        <v>182</v>
      </c>
      <c r="C2739">
        <v>202602</v>
      </c>
      <c r="D2739">
        <v>578</v>
      </c>
      <c r="E2739">
        <v>1.0281038776236213</v>
      </c>
      <c r="F2739">
        <v>562.20000000000005</v>
      </c>
    </row>
    <row r="2740" spans="1:6" x14ac:dyDescent="0.35">
      <c r="A2740">
        <v>758</v>
      </c>
      <c r="B2740" t="s">
        <v>182</v>
      </c>
      <c r="C2740">
        <v>202602</v>
      </c>
      <c r="D2740">
        <v>5483</v>
      </c>
      <c r="E2740">
        <v>8.1269361317384803</v>
      </c>
      <c r="F2740">
        <v>674.67</v>
      </c>
    </row>
    <row r="2741" spans="1:6" x14ac:dyDescent="0.35">
      <c r="A2741">
        <v>757</v>
      </c>
      <c r="B2741" t="s">
        <v>182</v>
      </c>
      <c r="C2741">
        <v>202602</v>
      </c>
      <c r="D2741">
        <v>11460</v>
      </c>
      <c r="E2741">
        <v>23.162745573611449</v>
      </c>
      <c r="F2741">
        <v>494.76</v>
      </c>
    </row>
    <row r="2742" spans="1:6" x14ac:dyDescent="0.35">
      <c r="A2742">
        <v>580</v>
      </c>
      <c r="B2742" t="s">
        <v>182</v>
      </c>
      <c r="C2742">
        <v>202602</v>
      </c>
      <c r="D2742">
        <v>0</v>
      </c>
      <c r="E2742">
        <v>0</v>
      </c>
      <c r="F2742">
        <v>270.68</v>
      </c>
    </row>
    <row r="2743" spans="1:6" x14ac:dyDescent="0.35">
      <c r="A2743">
        <v>582</v>
      </c>
      <c r="B2743" t="s">
        <v>182</v>
      </c>
      <c r="C2743">
        <v>202602</v>
      </c>
      <c r="D2743">
        <v>1422</v>
      </c>
      <c r="E2743">
        <v>4.7281795511221949</v>
      </c>
      <c r="F2743">
        <v>300.75</v>
      </c>
    </row>
    <row r="2744" spans="1:6" x14ac:dyDescent="0.35">
      <c r="A2744">
        <v>594</v>
      </c>
      <c r="B2744" t="s">
        <v>182</v>
      </c>
      <c r="C2744">
        <v>202602</v>
      </c>
      <c r="D2744">
        <v>11665</v>
      </c>
      <c r="E2744">
        <v>69.125925925925927</v>
      </c>
      <c r="F2744">
        <v>168.75</v>
      </c>
    </row>
    <row r="2745" spans="1:6" x14ac:dyDescent="0.35">
      <c r="A2745">
        <v>595</v>
      </c>
      <c r="B2745" t="s">
        <v>182</v>
      </c>
      <c r="C2745">
        <v>202602</v>
      </c>
      <c r="D2745">
        <v>16550</v>
      </c>
      <c r="E2745">
        <v>220.66666666666666</v>
      </c>
      <c r="F2745">
        <v>75</v>
      </c>
    </row>
    <row r="2746" spans="1:6" x14ac:dyDescent="0.35">
      <c r="A2746">
        <v>603</v>
      </c>
      <c r="B2746" t="s">
        <v>182</v>
      </c>
      <c r="C2746">
        <v>202602</v>
      </c>
      <c r="D2746">
        <v>2382</v>
      </c>
      <c r="E2746">
        <v>10.560383046639474</v>
      </c>
      <c r="F2746">
        <v>225.56</v>
      </c>
    </row>
    <row r="2747" spans="1:6" x14ac:dyDescent="0.35">
      <c r="A2747">
        <v>606</v>
      </c>
      <c r="B2747" t="s">
        <v>182</v>
      </c>
      <c r="C2747">
        <v>202602</v>
      </c>
      <c r="D2747">
        <v>2303</v>
      </c>
      <c r="E2747">
        <v>8.7776803750428787</v>
      </c>
      <c r="F2747">
        <v>262.37</v>
      </c>
    </row>
    <row r="2748" spans="1:6" x14ac:dyDescent="0.35">
      <c r="A2748">
        <v>772</v>
      </c>
      <c r="B2748" t="s">
        <v>182</v>
      </c>
      <c r="C2748">
        <v>202602</v>
      </c>
      <c r="D2748">
        <v>250</v>
      </c>
      <c r="E2748">
        <v>1.2351778656126482</v>
      </c>
      <c r="F2748">
        <v>202.4</v>
      </c>
    </row>
    <row r="2749" spans="1:6" x14ac:dyDescent="0.35">
      <c r="A2749">
        <v>615</v>
      </c>
      <c r="B2749" t="s">
        <v>182</v>
      </c>
      <c r="C2749">
        <v>202602</v>
      </c>
      <c r="D2749">
        <v>2901</v>
      </c>
      <c r="E2749">
        <v>10.71745234224915</v>
      </c>
      <c r="F2749">
        <v>270.68</v>
      </c>
    </row>
    <row r="2750" spans="1:6" x14ac:dyDescent="0.35">
      <c r="A2750">
        <v>617</v>
      </c>
      <c r="B2750" t="s">
        <v>182</v>
      </c>
      <c r="C2750">
        <v>202602</v>
      </c>
      <c r="D2750">
        <v>1001</v>
      </c>
      <c r="E2750">
        <v>2.2244444444444444</v>
      </c>
      <c r="F2750">
        <v>450</v>
      </c>
    </row>
    <row r="2751" spans="1:6" x14ac:dyDescent="0.35">
      <c r="A2751">
        <v>751</v>
      </c>
      <c r="B2751" t="s">
        <v>182</v>
      </c>
      <c r="C2751">
        <v>202602</v>
      </c>
      <c r="D2751">
        <v>246</v>
      </c>
      <c r="E2751">
        <v>1.2117629673415102</v>
      </c>
      <c r="F2751">
        <v>203.01</v>
      </c>
    </row>
    <row r="2752" spans="1:6" x14ac:dyDescent="0.35">
      <c r="A2752">
        <v>752</v>
      </c>
      <c r="B2752" t="s">
        <v>182</v>
      </c>
      <c r="C2752">
        <v>202602</v>
      </c>
      <c r="D2752">
        <v>3699</v>
      </c>
      <c r="E2752">
        <v>10.695078933672583</v>
      </c>
      <c r="F2752">
        <v>345.86</v>
      </c>
    </row>
    <row r="2753" spans="1:6" x14ac:dyDescent="0.35">
      <c r="A2753">
        <v>753</v>
      </c>
      <c r="B2753" t="s">
        <v>182</v>
      </c>
      <c r="C2753">
        <v>202602</v>
      </c>
      <c r="D2753">
        <v>5889</v>
      </c>
      <c r="E2753">
        <v>12.049844491733507</v>
      </c>
      <c r="F2753">
        <v>488.72</v>
      </c>
    </row>
    <row r="2754" spans="1:6" x14ac:dyDescent="0.35">
      <c r="A2754">
        <v>754</v>
      </c>
      <c r="B2754" t="s">
        <v>182</v>
      </c>
      <c r="C2754">
        <v>202602</v>
      </c>
      <c r="D2754">
        <v>590</v>
      </c>
      <c r="E2754">
        <v>0.98086482352745596</v>
      </c>
      <c r="F2754">
        <v>601.51</v>
      </c>
    </row>
    <row r="2755" spans="1:6" x14ac:dyDescent="0.35">
      <c r="A2755">
        <v>614</v>
      </c>
      <c r="B2755" t="s">
        <v>182</v>
      </c>
      <c r="C2755">
        <v>202602</v>
      </c>
      <c r="D2755">
        <v>9602</v>
      </c>
      <c r="E2755">
        <v>17.079331198861613</v>
      </c>
      <c r="F2755">
        <v>562.20000000000005</v>
      </c>
    </row>
    <row r="2756" spans="1:6" x14ac:dyDescent="0.35">
      <c r="A2756">
        <v>797</v>
      </c>
      <c r="B2756" t="s">
        <v>182</v>
      </c>
      <c r="C2756">
        <v>202602</v>
      </c>
      <c r="D2756">
        <v>800</v>
      </c>
      <c r="E2756">
        <v>1.7785682525566917</v>
      </c>
      <c r="F2756">
        <v>449.8</v>
      </c>
    </row>
    <row r="2757" spans="1:6" x14ac:dyDescent="0.35">
      <c r="A2757">
        <v>613</v>
      </c>
      <c r="B2757" t="s">
        <v>182</v>
      </c>
      <c r="C2757">
        <v>202602</v>
      </c>
      <c r="D2757">
        <v>5246</v>
      </c>
      <c r="E2757">
        <v>17.935042735042735</v>
      </c>
      <c r="F2757">
        <v>292.5</v>
      </c>
    </row>
    <row r="2758" spans="1:6" x14ac:dyDescent="0.35">
      <c r="A2758">
        <v>767</v>
      </c>
      <c r="B2758" t="s">
        <v>182</v>
      </c>
      <c r="C2758">
        <v>202602</v>
      </c>
      <c r="D2758">
        <v>3806</v>
      </c>
      <c r="E2758">
        <v>6.3454484828276101</v>
      </c>
      <c r="F2758">
        <v>599.79999999999995</v>
      </c>
    </row>
    <row r="2759" spans="1:6" x14ac:dyDescent="0.35">
      <c r="A2759">
        <v>807</v>
      </c>
      <c r="B2759" t="s">
        <v>182</v>
      </c>
      <c r="C2759">
        <v>202602</v>
      </c>
      <c r="D2759">
        <v>565</v>
      </c>
      <c r="E2759">
        <v>2.8250000000000002</v>
      </c>
      <c r="F2759">
        <v>200</v>
      </c>
    </row>
    <row r="2760" spans="1:6" x14ac:dyDescent="0.35">
      <c r="A2760">
        <v>808</v>
      </c>
      <c r="B2760" t="s">
        <v>182</v>
      </c>
      <c r="C2760">
        <v>202602</v>
      </c>
      <c r="D2760">
        <v>850</v>
      </c>
      <c r="E2760">
        <v>2.8838976725249372</v>
      </c>
      <c r="F2760">
        <v>294.74</v>
      </c>
    </row>
    <row r="2761" spans="1:6" x14ac:dyDescent="0.35">
      <c r="A2761">
        <v>502</v>
      </c>
      <c r="B2761" t="s">
        <v>183</v>
      </c>
      <c r="C2761">
        <v>202602</v>
      </c>
      <c r="D2761">
        <v>77992</v>
      </c>
      <c r="E2761">
        <v>250.58475774322065</v>
      </c>
      <c r="F2761">
        <v>311.24</v>
      </c>
    </row>
    <row r="2762" spans="1:6" x14ac:dyDescent="0.35">
      <c r="A2762">
        <v>504</v>
      </c>
      <c r="B2762" t="s">
        <v>183</v>
      </c>
      <c r="C2762">
        <v>202602</v>
      </c>
      <c r="D2762">
        <v>139325</v>
      </c>
      <c r="E2762">
        <v>319.17940024283524</v>
      </c>
      <c r="F2762">
        <v>436.51</v>
      </c>
    </row>
    <row r="2763" spans="1:6" x14ac:dyDescent="0.35">
      <c r="A2763">
        <v>505</v>
      </c>
      <c r="B2763" t="s">
        <v>183</v>
      </c>
      <c r="C2763">
        <v>202602</v>
      </c>
      <c r="D2763">
        <v>52071</v>
      </c>
      <c r="E2763">
        <v>139.90810897952602</v>
      </c>
      <c r="F2763">
        <v>372.18</v>
      </c>
    </row>
    <row r="2764" spans="1:6" x14ac:dyDescent="0.35">
      <c r="A2764">
        <v>506</v>
      </c>
      <c r="B2764" t="s">
        <v>183</v>
      </c>
      <c r="C2764">
        <v>202602</v>
      </c>
      <c r="D2764">
        <v>53046</v>
      </c>
      <c r="E2764">
        <v>111.98463129895079</v>
      </c>
      <c r="F2764">
        <v>473.69</v>
      </c>
    </row>
    <row r="2765" spans="1:6" x14ac:dyDescent="0.35">
      <c r="A2765">
        <v>508</v>
      </c>
      <c r="B2765" t="s">
        <v>183</v>
      </c>
      <c r="C2765">
        <v>202602</v>
      </c>
      <c r="D2765">
        <v>61612</v>
      </c>
      <c r="E2765">
        <v>152.24116629602176</v>
      </c>
      <c r="F2765">
        <v>404.7</v>
      </c>
    </row>
    <row r="2766" spans="1:6" x14ac:dyDescent="0.35">
      <c r="A2766">
        <v>507</v>
      </c>
      <c r="B2766" t="s">
        <v>183</v>
      </c>
      <c r="C2766">
        <v>202602</v>
      </c>
      <c r="D2766">
        <v>57579</v>
      </c>
      <c r="E2766">
        <v>213.25555555555556</v>
      </c>
      <c r="F2766">
        <v>270</v>
      </c>
    </row>
    <row r="2767" spans="1:6" x14ac:dyDescent="0.35">
      <c r="A2767">
        <v>520</v>
      </c>
      <c r="B2767" t="s">
        <v>183</v>
      </c>
      <c r="C2767">
        <v>202602</v>
      </c>
      <c r="D2767">
        <v>697</v>
      </c>
      <c r="E2767">
        <v>10.25</v>
      </c>
      <c r="F2767">
        <v>68</v>
      </c>
    </row>
    <row r="2768" spans="1:6" x14ac:dyDescent="0.35">
      <c r="A2768">
        <v>521</v>
      </c>
      <c r="B2768" t="s">
        <v>183</v>
      </c>
      <c r="C2768">
        <v>202602</v>
      </c>
      <c r="D2768">
        <v>5446</v>
      </c>
      <c r="E2768">
        <v>46.948275862068968</v>
      </c>
      <c r="F2768">
        <v>116</v>
      </c>
    </row>
    <row r="2769" spans="1:6" x14ac:dyDescent="0.35">
      <c r="A2769">
        <v>784</v>
      </c>
      <c r="B2769" t="s">
        <v>183</v>
      </c>
      <c r="C2769">
        <v>202602</v>
      </c>
      <c r="D2769">
        <v>741</v>
      </c>
      <c r="E2769">
        <v>2.197508896797153</v>
      </c>
      <c r="F2769">
        <v>337.2</v>
      </c>
    </row>
    <row r="2770" spans="1:6" x14ac:dyDescent="0.35">
      <c r="A2770">
        <v>785</v>
      </c>
      <c r="B2770" t="s">
        <v>183</v>
      </c>
      <c r="C2770">
        <v>202602</v>
      </c>
      <c r="D2770">
        <v>984</v>
      </c>
      <c r="E2770">
        <v>1.750266808964781</v>
      </c>
      <c r="F2770">
        <v>562.20000000000005</v>
      </c>
    </row>
    <row r="2771" spans="1:6" x14ac:dyDescent="0.35">
      <c r="A2771">
        <v>758</v>
      </c>
      <c r="B2771" t="s">
        <v>183</v>
      </c>
      <c r="C2771">
        <v>202602</v>
      </c>
      <c r="D2771">
        <v>8873</v>
      </c>
      <c r="E2771">
        <v>13.151614863562928</v>
      </c>
      <c r="F2771">
        <v>674.67</v>
      </c>
    </row>
    <row r="2772" spans="1:6" x14ac:dyDescent="0.35">
      <c r="A2772">
        <v>757</v>
      </c>
      <c r="B2772" t="s">
        <v>183</v>
      </c>
      <c r="C2772">
        <v>202602</v>
      </c>
      <c r="D2772">
        <v>21927</v>
      </c>
      <c r="E2772">
        <v>44.318457433907348</v>
      </c>
      <c r="F2772">
        <v>494.76</v>
      </c>
    </row>
    <row r="2773" spans="1:6" x14ac:dyDescent="0.35">
      <c r="A2773">
        <v>580</v>
      </c>
      <c r="B2773" t="s">
        <v>183</v>
      </c>
      <c r="C2773">
        <v>202602</v>
      </c>
      <c r="D2773">
        <v>987</v>
      </c>
      <c r="E2773">
        <v>3.6463720998965568</v>
      </c>
      <c r="F2773">
        <v>270.68</v>
      </c>
    </row>
    <row r="2774" spans="1:6" x14ac:dyDescent="0.35">
      <c r="A2774">
        <v>582</v>
      </c>
      <c r="B2774" t="s">
        <v>183</v>
      </c>
      <c r="C2774">
        <v>202602</v>
      </c>
      <c r="D2774">
        <v>1149</v>
      </c>
      <c r="E2774">
        <v>3.8204488778054864</v>
      </c>
      <c r="F2774">
        <v>300.75</v>
      </c>
    </row>
    <row r="2775" spans="1:6" x14ac:dyDescent="0.35">
      <c r="A2775">
        <v>594</v>
      </c>
      <c r="B2775" t="s">
        <v>183</v>
      </c>
      <c r="C2775">
        <v>202602</v>
      </c>
      <c r="D2775">
        <v>24122</v>
      </c>
      <c r="E2775">
        <v>142.94518518518518</v>
      </c>
      <c r="F2775">
        <v>168.75</v>
      </c>
    </row>
    <row r="2776" spans="1:6" x14ac:dyDescent="0.35">
      <c r="A2776">
        <v>595</v>
      </c>
      <c r="B2776" t="s">
        <v>183</v>
      </c>
      <c r="C2776">
        <v>202602</v>
      </c>
      <c r="D2776">
        <v>33657</v>
      </c>
      <c r="E2776">
        <v>448.76</v>
      </c>
      <c r="F2776">
        <v>75</v>
      </c>
    </row>
    <row r="2777" spans="1:6" x14ac:dyDescent="0.35">
      <c r="A2777">
        <v>603</v>
      </c>
      <c r="B2777" t="s">
        <v>183</v>
      </c>
      <c r="C2777">
        <v>202602</v>
      </c>
      <c r="D2777">
        <v>8265</v>
      </c>
      <c r="E2777">
        <v>36.642135130342261</v>
      </c>
      <c r="F2777">
        <v>225.56</v>
      </c>
    </row>
    <row r="2778" spans="1:6" x14ac:dyDescent="0.35">
      <c r="A2778">
        <v>606</v>
      </c>
      <c r="B2778" t="s">
        <v>183</v>
      </c>
      <c r="C2778">
        <v>202602</v>
      </c>
      <c r="D2778">
        <v>11283</v>
      </c>
      <c r="E2778">
        <v>43.004154438388532</v>
      </c>
      <c r="F2778">
        <v>262.37</v>
      </c>
    </row>
    <row r="2779" spans="1:6" x14ac:dyDescent="0.35">
      <c r="A2779">
        <v>772</v>
      </c>
      <c r="B2779" t="s">
        <v>183</v>
      </c>
      <c r="C2779">
        <v>202602</v>
      </c>
      <c r="D2779">
        <v>508</v>
      </c>
      <c r="E2779">
        <v>2.5098814229249009</v>
      </c>
      <c r="F2779">
        <v>202.4</v>
      </c>
    </row>
    <row r="2780" spans="1:6" x14ac:dyDescent="0.35">
      <c r="A2780">
        <v>615</v>
      </c>
      <c r="B2780" t="s">
        <v>183</v>
      </c>
      <c r="C2780">
        <v>202602</v>
      </c>
      <c r="D2780">
        <v>8806</v>
      </c>
      <c r="E2780">
        <v>32.53288015368701</v>
      </c>
      <c r="F2780">
        <v>270.68</v>
      </c>
    </row>
    <row r="2781" spans="1:6" x14ac:dyDescent="0.35">
      <c r="A2781">
        <v>617</v>
      </c>
      <c r="B2781" t="s">
        <v>183</v>
      </c>
      <c r="C2781">
        <v>202602</v>
      </c>
      <c r="D2781">
        <v>3210</v>
      </c>
      <c r="E2781">
        <v>7.1333333333333337</v>
      </c>
      <c r="F2781">
        <v>450</v>
      </c>
    </row>
    <row r="2782" spans="1:6" x14ac:dyDescent="0.35">
      <c r="A2782">
        <v>751</v>
      </c>
      <c r="B2782" t="s">
        <v>183</v>
      </c>
      <c r="C2782">
        <v>202602</v>
      </c>
      <c r="D2782">
        <v>479</v>
      </c>
      <c r="E2782">
        <v>2.3594896803113148</v>
      </c>
      <c r="F2782">
        <v>203.01</v>
      </c>
    </row>
    <row r="2783" spans="1:6" x14ac:dyDescent="0.35">
      <c r="A2783">
        <v>752</v>
      </c>
      <c r="B2783" t="s">
        <v>183</v>
      </c>
      <c r="C2783">
        <v>202602</v>
      </c>
      <c r="D2783">
        <v>4590</v>
      </c>
      <c r="E2783">
        <v>13.271265830104666</v>
      </c>
      <c r="F2783">
        <v>345.86</v>
      </c>
    </row>
    <row r="2784" spans="1:6" x14ac:dyDescent="0.35">
      <c r="A2784">
        <v>753</v>
      </c>
      <c r="B2784" t="s">
        <v>183</v>
      </c>
      <c r="C2784">
        <v>202602</v>
      </c>
      <c r="D2784">
        <v>7725</v>
      </c>
      <c r="E2784">
        <v>15.806596824357504</v>
      </c>
      <c r="F2784">
        <v>488.72</v>
      </c>
    </row>
    <row r="2785" spans="1:6" x14ac:dyDescent="0.35">
      <c r="A2785">
        <v>754</v>
      </c>
      <c r="B2785" t="s">
        <v>183</v>
      </c>
      <c r="C2785">
        <v>202602</v>
      </c>
      <c r="D2785">
        <v>1143</v>
      </c>
      <c r="E2785">
        <v>1.9002177852404782</v>
      </c>
      <c r="F2785">
        <v>601.51</v>
      </c>
    </row>
    <row r="2786" spans="1:6" x14ac:dyDescent="0.35">
      <c r="A2786">
        <v>614</v>
      </c>
      <c r="B2786" t="s">
        <v>183</v>
      </c>
      <c r="C2786">
        <v>202602</v>
      </c>
      <c r="D2786">
        <v>21942</v>
      </c>
      <c r="E2786">
        <v>39.028815368196369</v>
      </c>
      <c r="F2786">
        <v>562.20000000000005</v>
      </c>
    </row>
    <row r="2787" spans="1:6" x14ac:dyDescent="0.35">
      <c r="A2787">
        <v>797</v>
      </c>
      <c r="B2787" t="s">
        <v>183</v>
      </c>
      <c r="C2787">
        <v>202602</v>
      </c>
      <c r="D2787">
        <v>1925</v>
      </c>
      <c r="E2787">
        <v>4.2796798577145401</v>
      </c>
      <c r="F2787">
        <v>449.8</v>
      </c>
    </row>
    <row r="2788" spans="1:6" x14ac:dyDescent="0.35">
      <c r="A2788">
        <v>613</v>
      </c>
      <c r="B2788" t="s">
        <v>183</v>
      </c>
      <c r="C2788">
        <v>202602</v>
      </c>
      <c r="D2788">
        <v>11743</v>
      </c>
      <c r="E2788">
        <v>40.147008547008546</v>
      </c>
      <c r="F2788">
        <v>292.5</v>
      </c>
    </row>
    <row r="2789" spans="1:6" x14ac:dyDescent="0.35">
      <c r="A2789">
        <v>767</v>
      </c>
      <c r="B2789" t="s">
        <v>183</v>
      </c>
      <c r="C2789">
        <v>202602</v>
      </c>
      <c r="D2789">
        <v>9415</v>
      </c>
      <c r="E2789">
        <v>15.696898966322108</v>
      </c>
      <c r="F2789">
        <v>599.79999999999995</v>
      </c>
    </row>
    <row r="2790" spans="1:6" x14ac:dyDescent="0.35">
      <c r="A2790">
        <v>807</v>
      </c>
      <c r="B2790" t="s">
        <v>183</v>
      </c>
      <c r="C2790">
        <v>202602</v>
      </c>
      <c r="D2790">
        <v>2381</v>
      </c>
      <c r="E2790">
        <v>11.904999999999999</v>
      </c>
      <c r="F2790">
        <v>200</v>
      </c>
    </row>
    <row r="2791" spans="1:6" x14ac:dyDescent="0.35">
      <c r="A2791">
        <v>808</v>
      </c>
      <c r="B2791" t="s">
        <v>183</v>
      </c>
      <c r="C2791">
        <v>202602</v>
      </c>
      <c r="D2791">
        <v>4848</v>
      </c>
      <c r="E2791">
        <v>16.448395195765759</v>
      </c>
      <c r="F2791">
        <v>294.74</v>
      </c>
    </row>
    <row r="2792" spans="1:6" x14ac:dyDescent="0.35">
      <c r="A2792">
        <v>502</v>
      </c>
      <c r="B2792" t="s">
        <v>184</v>
      </c>
      <c r="C2792">
        <v>202602</v>
      </c>
      <c r="D2792">
        <v>48343</v>
      </c>
      <c r="E2792">
        <v>155.32386582701452</v>
      </c>
      <c r="F2792">
        <v>311.24</v>
      </c>
    </row>
    <row r="2793" spans="1:6" x14ac:dyDescent="0.35">
      <c r="A2793">
        <v>504</v>
      </c>
      <c r="B2793" t="s">
        <v>184</v>
      </c>
      <c r="C2793">
        <v>202602</v>
      </c>
      <c r="D2793">
        <v>76950</v>
      </c>
      <c r="E2793">
        <v>176.28462119997252</v>
      </c>
      <c r="F2793">
        <v>436.51</v>
      </c>
    </row>
    <row r="2794" spans="1:6" x14ac:dyDescent="0.35">
      <c r="A2794">
        <v>505</v>
      </c>
      <c r="B2794" t="s">
        <v>184</v>
      </c>
      <c r="C2794">
        <v>202602</v>
      </c>
      <c r="D2794">
        <v>27236</v>
      </c>
      <c r="E2794">
        <v>73.179644258154653</v>
      </c>
      <c r="F2794">
        <v>372.18</v>
      </c>
    </row>
    <row r="2795" spans="1:6" x14ac:dyDescent="0.35">
      <c r="A2795">
        <v>506</v>
      </c>
      <c r="B2795" t="s">
        <v>184</v>
      </c>
      <c r="C2795">
        <v>202602</v>
      </c>
      <c r="D2795">
        <v>28002</v>
      </c>
      <c r="E2795">
        <v>59.114610821423291</v>
      </c>
      <c r="F2795">
        <v>473.69</v>
      </c>
    </row>
    <row r="2796" spans="1:6" x14ac:dyDescent="0.35">
      <c r="A2796">
        <v>508</v>
      </c>
      <c r="B2796" t="s">
        <v>184</v>
      </c>
      <c r="C2796">
        <v>202602</v>
      </c>
      <c r="D2796">
        <v>32021</v>
      </c>
      <c r="E2796">
        <v>79.122807017543863</v>
      </c>
      <c r="F2796">
        <v>404.7</v>
      </c>
    </row>
    <row r="2797" spans="1:6" x14ac:dyDescent="0.35">
      <c r="A2797">
        <v>507</v>
      </c>
      <c r="B2797" t="s">
        <v>184</v>
      </c>
      <c r="C2797">
        <v>202602</v>
      </c>
      <c r="D2797">
        <v>31195</v>
      </c>
      <c r="E2797">
        <v>115.53703703703704</v>
      </c>
      <c r="F2797">
        <v>270</v>
      </c>
    </row>
    <row r="2798" spans="1:6" x14ac:dyDescent="0.35">
      <c r="A2798">
        <v>520</v>
      </c>
      <c r="B2798" t="s">
        <v>184</v>
      </c>
      <c r="C2798">
        <v>202602</v>
      </c>
      <c r="D2798">
        <v>331</v>
      </c>
      <c r="E2798">
        <v>4.867647058823529</v>
      </c>
      <c r="F2798">
        <v>68</v>
      </c>
    </row>
    <row r="2799" spans="1:6" x14ac:dyDescent="0.35">
      <c r="A2799">
        <v>521</v>
      </c>
      <c r="B2799" t="s">
        <v>184</v>
      </c>
      <c r="C2799">
        <v>202602</v>
      </c>
      <c r="D2799">
        <v>3811</v>
      </c>
      <c r="E2799">
        <v>32.853448275862071</v>
      </c>
      <c r="F2799">
        <v>116</v>
      </c>
    </row>
    <row r="2800" spans="1:6" x14ac:dyDescent="0.35">
      <c r="A2800">
        <v>784</v>
      </c>
      <c r="B2800" t="s">
        <v>184</v>
      </c>
      <c r="C2800">
        <v>202602</v>
      </c>
      <c r="D2800">
        <v>319</v>
      </c>
      <c r="E2800">
        <v>0.94602609727164888</v>
      </c>
      <c r="F2800">
        <v>337.2</v>
      </c>
    </row>
    <row r="2801" spans="1:6" x14ac:dyDescent="0.35">
      <c r="A2801">
        <v>785</v>
      </c>
      <c r="B2801" t="s">
        <v>184</v>
      </c>
      <c r="C2801">
        <v>202602</v>
      </c>
      <c r="D2801">
        <v>457</v>
      </c>
      <c r="E2801">
        <v>0.81287797936677331</v>
      </c>
      <c r="F2801">
        <v>562.20000000000005</v>
      </c>
    </row>
    <row r="2802" spans="1:6" x14ac:dyDescent="0.35">
      <c r="A2802">
        <v>758</v>
      </c>
      <c r="B2802" t="s">
        <v>184</v>
      </c>
      <c r="C2802">
        <v>202602</v>
      </c>
      <c r="D2802">
        <v>6530</v>
      </c>
      <c r="E2802">
        <v>9.6788059347532869</v>
      </c>
      <c r="F2802">
        <v>674.67</v>
      </c>
    </row>
    <row r="2803" spans="1:6" x14ac:dyDescent="0.35">
      <c r="A2803">
        <v>757</v>
      </c>
      <c r="B2803" t="s">
        <v>184</v>
      </c>
      <c r="C2803">
        <v>202602</v>
      </c>
      <c r="D2803">
        <v>11336</v>
      </c>
      <c r="E2803">
        <v>22.912119007195408</v>
      </c>
      <c r="F2803">
        <v>494.76</v>
      </c>
    </row>
    <row r="2804" spans="1:6" x14ac:dyDescent="0.35">
      <c r="A2804">
        <v>580</v>
      </c>
      <c r="B2804" t="s">
        <v>184</v>
      </c>
      <c r="C2804">
        <v>202602</v>
      </c>
      <c r="D2804">
        <v>0</v>
      </c>
      <c r="E2804">
        <v>0</v>
      </c>
      <c r="F2804">
        <v>270.68</v>
      </c>
    </row>
    <row r="2805" spans="1:6" x14ac:dyDescent="0.35">
      <c r="A2805">
        <v>582</v>
      </c>
      <c r="B2805" t="s">
        <v>184</v>
      </c>
      <c r="C2805">
        <v>202602</v>
      </c>
      <c r="D2805">
        <v>971</v>
      </c>
      <c r="E2805">
        <v>3.2285951787198668</v>
      </c>
      <c r="F2805">
        <v>300.75</v>
      </c>
    </row>
    <row r="2806" spans="1:6" x14ac:dyDescent="0.35">
      <c r="A2806">
        <v>594</v>
      </c>
      <c r="B2806" t="s">
        <v>184</v>
      </c>
      <c r="C2806">
        <v>202602</v>
      </c>
      <c r="D2806">
        <v>15249</v>
      </c>
      <c r="E2806">
        <v>90.364444444444445</v>
      </c>
      <c r="F2806">
        <v>168.75</v>
      </c>
    </row>
    <row r="2807" spans="1:6" x14ac:dyDescent="0.35">
      <c r="A2807">
        <v>595</v>
      </c>
      <c r="B2807" t="s">
        <v>184</v>
      </c>
      <c r="C2807">
        <v>202602</v>
      </c>
      <c r="D2807">
        <v>22852</v>
      </c>
      <c r="E2807">
        <v>304.69333333333333</v>
      </c>
      <c r="F2807">
        <v>75</v>
      </c>
    </row>
    <row r="2808" spans="1:6" x14ac:dyDescent="0.35">
      <c r="A2808">
        <v>603</v>
      </c>
      <c r="B2808" t="s">
        <v>184</v>
      </c>
      <c r="C2808">
        <v>202602</v>
      </c>
      <c r="D2808">
        <v>2975</v>
      </c>
      <c r="E2808">
        <v>13.189395282851569</v>
      </c>
      <c r="F2808">
        <v>225.56</v>
      </c>
    </row>
    <row r="2809" spans="1:6" x14ac:dyDescent="0.35">
      <c r="A2809">
        <v>606</v>
      </c>
      <c r="B2809" t="s">
        <v>184</v>
      </c>
      <c r="C2809">
        <v>202602</v>
      </c>
      <c r="D2809">
        <v>2990</v>
      </c>
      <c r="E2809">
        <v>11.39611998322979</v>
      </c>
      <c r="F2809">
        <v>262.37</v>
      </c>
    </row>
    <row r="2810" spans="1:6" x14ac:dyDescent="0.35">
      <c r="A2810">
        <v>772</v>
      </c>
      <c r="B2810" t="s">
        <v>184</v>
      </c>
      <c r="C2810">
        <v>202602</v>
      </c>
      <c r="D2810">
        <v>251</v>
      </c>
      <c r="E2810">
        <v>1.2401185770750989</v>
      </c>
      <c r="F2810">
        <v>202.4</v>
      </c>
    </row>
    <row r="2811" spans="1:6" x14ac:dyDescent="0.35">
      <c r="A2811">
        <v>615</v>
      </c>
      <c r="B2811" t="s">
        <v>184</v>
      </c>
      <c r="C2811">
        <v>202602</v>
      </c>
      <c r="D2811">
        <v>4885</v>
      </c>
      <c r="E2811">
        <v>18.047140534949015</v>
      </c>
      <c r="F2811">
        <v>270.68</v>
      </c>
    </row>
    <row r="2812" spans="1:6" x14ac:dyDescent="0.35">
      <c r="A2812">
        <v>617</v>
      </c>
      <c r="B2812" t="s">
        <v>184</v>
      </c>
      <c r="C2812">
        <v>202602</v>
      </c>
      <c r="D2812">
        <v>1325</v>
      </c>
      <c r="E2812">
        <v>2.9444444444444446</v>
      </c>
      <c r="F2812">
        <v>450</v>
      </c>
    </row>
    <row r="2813" spans="1:6" x14ac:dyDescent="0.35">
      <c r="A2813">
        <v>751</v>
      </c>
      <c r="B2813" t="s">
        <v>184</v>
      </c>
      <c r="C2813">
        <v>202602</v>
      </c>
      <c r="D2813">
        <v>265</v>
      </c>
      <c r="E2813">
        <v>1.3053544160386188</v>
      </c>
      <c r="F2813">
        <v>203.01</v>
      </c>
    </row>
    <row r="2814" spans="1:6" x14ac:dyDescent="0.35">
      <c r="A2814">
        <v>752</v>
      </c>
      <c r="B2814" t="s">
        <v>184</v>
      </c>
      <c r="C2814">
        <v>202602</v>
      </c>
      <c r="D2814">
        <v>3033</v>
      </c>
      <c r="E2814">
        <v>8.7694442838142592</v>
      </c>
      <c r="F2814">
        <v>345.86</v>
      </c>
    </row>
    <row r="2815" spans="1:6" x14ac:dyDescent="0.35">
      <c r="A2815">
        <v>753</v>
      </c>
      <c r="B2815" t="s">
        <v>184</v>
      </c>
      <c r="C2815">
        <v>202602</v>
      </c>
      <c r="D2815">
        <v>5024</v>
      </c>
      <c r="E2815">
        <v>10.279914879685709</v>
      </c>
      <c r="F2815">
        <v>488.72</v>
      </c>
    </row>
    <row r="2816" spans="1:6" x14ac:dyDescent="0.35">
      <c r="A2816">
        <v>754</v>
      </c>
      <c r="B2816" t="s">
        <v>184</v>
      </c>
      <c r="C2816">
        <v>202602</v>
      </c>
      <c r="D2816">
        <v>629</v>
      </c>
      <c r="E2816">
        <v>1.0457016508453725</v>
      </c>
      <c r="F2816">
        <v>601.51</v>
      </c>
    </row>
    <row r="2817" spans="1:6" x14ac:dyDescent="0.35">
      <c r="A2817">
        <v>614</v>
      </c>
      <c r="B2817" t="s">
        <v>184</v>
      </c>
      <c r="C2817">
        <v>202602</v>
      </c>
      <c r="D2817">
        <v>8788</v>
      </c>
      <c r="E2817">
        <v>15.631447883315545</v>
      </c>
      <c r="F2817">
        <v>562.20000000000005</v>
      </c>
    </row>
    <row r="2818" spans="1:6" x14ac:dyDescent="0.35">
      <c r="A2818">
        <v>797</v>
      </c>
      <c r="B2818" t="s">
        <v>184</v>
      </c>
      <c r="C2818">
        <v>202602</v>
      </c>
      <c r="D2818">
        <v>984</v>
      </c>
      <c r="E2818">
        <v>2.1876389506447311</v>
      </c>
      <c r="F2818">
        <v>449.8</v>
      </c>
    </row>
    <row r="2819" spans="1:6" x14ac:dyDescent="0.35">
      <c r="A2819">
        <v>613</v>
      </c>
      <c r="B2819" t="s">
        <v>184</v>
      </c>
      <c r="C2819">
        <v>202602</v>
      </c>
      <c r="D2819">
        <v>4834</v>
      </c>
      <c r="E2819">
        <v>16.526495726495728</v>
      </c>
      <c r="F2819">
        <v>292.5</v>
      </c>
    </row>
    <row r="2820" spans="1:6" x14ac:dyDescent="0.35">
      <c r="A2820">
        <v>767</v>
      </c>
      <c r="B2820" t="s">
        <v>184</v>
      </c>
      <c r="C2820">
        <v>202602</v>
      </c>
      <c r="D2820">
        <v>4559</v>
      </c>
      <c r="E2820">
        <v>7.6008669556518846</v>
      </c>
      <c r="F2820">
        <v>599.79999999999995</v>
      </c>
    </row>
    <row r="2821" spans="1:6" x14ac:dyDescent="0.35">
      <c r="A2821">
        <v>807</v>
      </c>
      <c r="B2821" t="s">
        <v>184</v>
      </c>
      <c r="C2821">
        <v>202602</v>
      </c>
      <c r="D2821">
        <v>830</v>
      </c>
      <c r="E2821">
        <v>4.1500000000000004</v>
      </c>
      <c r="F2821">
        <v>200</v>
      </c>
    </row>
    <row r="2822" spans="1:6" x14ac:dyDescent="0.35">
      <c r="A2822">
        <v>808</v>
      </c>
      <c r="B2822" t="s">
        <v>184</v>
      </c>
      <c r="C2822">
        <v>202602</v>
      </c>
      <c r="D2822">
        <v>1313</v>
      </c>
      <c r="E2822">
        <v>4.4547736988532263</v>
      </c>
      <c r="F2822">
        <v>294.74</v>
      </c>
    </row>
    <row r="2823" spans="1:6" x14ac:dyDescent="0.35">
      <c r="A2823">
        <v>502</v>
      </c>
      <c r="B2823" t="s">
        <v>185</v>
      </c>
      <c r="C2823">
        <v>202602</v>
      </c>
      <c r="D2823">
        <v>34618</v>
      </c>
      <c r="E2823">
        <v>111.22606348798355</v>
      </c>
      <c r="F2823">
        <v>311.24</v>
      </c>
    </row>
    <row r="2824" spans="1:6" x14ac:dyDescent="0.35">
      <c r="A2824">
        <v>504</v>
      </c>
      <c r="B2824" t="s">
        <v>185</v>
      </c>
      <c r="C2824">
        <v>202602</v>
      </c>
      <c r="D2824">
        <v>65384</v>
      </c>
      <c r="E2824">
        <v>149.78809191083823</v>
      </c>
      <c r="F2824">
        <v>436.51</v>
      </c>
    </row>
    <row r="2825" spans="1:6" x14ac:dyDescent="0.35">
      <c r="A2825">
        <v>505</v>
      </c>
      <c r="B2825" t="s">
        <v>185</v>
      </c>
      <c r="C2825">
        <v>202602</v>
      </c>
      <c r="D2825">
        <v>26862</v>
      </c>
      <c r="E2825">
        <v>72.174754151217158</v>
      </c>
      <c r="F2825">
        <v>372.18</v>
      </c>
    </row>
    <row r="2826" spans="1:6" x14ac:dyDescent="0.35">
      <c r="A2826">
        <v>506</v>
      </c>
      <c r="B2826" t="s">
        <v>185</v>
      </c>
      <c r="C2826">
        <v>202602</v>
      </c>
      <c r="D2826">
        <v>39996</v>
      </c>
      <c r="E2826">
        <v>84.434968017057571</v>
      </c>
      <c r="F2826">
        <v>473.69</v>
      </c>
    </row>
    <row r="2827" spans="1:6" x14ac:dyDescent="0.35">
      <c r="A2827">
        <v>508</v>
      </c>
      <c r="B2827" t="s">
        <v>185</v>
      </c>
      <c r="C2827">
        <v>202602</v>
      </c>
      <c r="D2827">
        <v>29289</v>
      </c>
      <c r="E2827">
        <v>72.372127501853228</v>
      </c>
      <c r="F2827">
        <v>404.7</v>
      </c>
    </row>
    <row r="2828" spans="1:6" x14ac:dyDescent="0.35">
      <c r="A2828">
        <v>507</v>
      </c>
      <c r="B2828" t="s">
        <v>185</v>
      </c>
      <c r="C2828">
        <v>202602</v>
      </c>
      <c r="D2828">
        <v>25489</v>
      </c>
      <c r="E2828">
        <v>94.403703703703698</v>
      </c>
      <c r="F2828">
        <v>270</v>
      </c>
    </row>
    <row r="2829" spans="1:6" x14ac:dyDescent="0.35">
      <c r="A2829">
        <v>520</v>
      </c>
      <c r="B2829" t="s">
        <v>185</v>
      </c>
      <c r="C2829">
        <v>202602</v>
      </c>
      <c r="D2829">
        <v>370</v>
      </c>
      <c r="E2829">
        <v>5.4411764705882355</v>
      </c>
      <c r="F2829">
        <v>68</v>
      </c>
    </row>
    <row r="2830" spans="1:6" x14ac:dyDescent="0.35">
      <c r="A2830">
        <v>521</v>
      </c>
      <c r="B2830" t="s">
        <v>185</v>
      </c>
      <c r="C2830">
        <v>202602</v>
      </c>
      <c r="D2830">
        <v>2511</v>
      </c>
      <c r="E2830">
        <v>21.646551724137932</v>
      </c>
      <c r="F2830">
        <v>116</v>
      </c>
    </row>
    <row r="2831" spans="1:6" x14ac:dyDescent="0.35">
      <c r="A2831">
        <v>784</v>
      </c>
      <c r="B2831" t="s">
        <v>185</v>
      </c>
      <c r="C2831">
        <v>202602</v>
      </c>
      <c r="D2831">
        <v>424</v>
      </c>
      <c r="E2831">
        <v>1.2574139976275207</v>
      </c>
      <c r="F2831">
        <v>337.2</v>
      </c>
    </row>
    <row r="2832" spans="1:6" x14ac:dyDescent="0.35">
      <c r="A2832">
        <v>785</v>
      </c>
      <c r="B2832" t="s">
        <v>185</v>
      </c>
      <c r="C2832">
        <v>202602</v>
      </c>
      <c r="D2832">
        <v>679</v>
      </c>
      <c r="E2832">
        <v>1.207755247242974</v>
      </c>
      <c r="F2832">
        <v>562.20000000000005</v>
      </c>
    </row>
    <row r="2833" spans="1:6" x14ac:dyDescent="0.35">
      <c r="A2833">
        <v>758</v>
      </c>
      <c r="B2833" t="s">
        <v>185</v>
      </c>
      <c r="C2833">
        <v>202602</v>
      </c>
      <c r="D2833">
        <v>6501</v>
      </c>
      <c r="E2833">
        <v>9.6358219574013972</v>
      </c>
      <c r="F2833">
        <v>674.67</v>
      </c>
    </row>
    <row r="2834" spans="1:6" x14ac:dyDescent="0.35">
      <c r="A2834">
        <v>757</v>
      </c>
      <c r="B2834" t="s">
        <v>185</v>
      </c>
      <c r="C2834">
        <v>202602</v>
      </c>
      <c r="D2834">
        <v>12545</v>
      </c>
      <c r="E2834">
        <v>25.355728029751798</v>
      </c>
      <c r="F2834">
        <v>494.76</v>
      </c>
    </row>
    <row r="2835" spans="1:6" x14ac:dyDescent="0.35">
      <c r="A2835">
        <v>580</v>
      </c>
      <c r="B2835" t="s">
        <v>185</v>
      </c>
      <c r="C2835">
        <v>202602</v>
      </c>
      <c r="D2835">
        <v>0</v>
      </c>
      <c r="E2835">
        <v>0</v>
      </c>
      <c r="F2835">
        <v>270.68</v>
      </c>
    </row>
    <row r="2836" spans="1:6" x14ac:dyDescent="0.35">
      <c r="A2836">
        <v>582</v>
      </c>
      <c r="B2836" t="s">
        <v>185</v>
      </c>
      <c r="C2836">
        <v>202602</v>
      </c>
      <c r="D2836">
        <v>976</v>
      </c>
      <c r="E2836">
        <v>3.2452202826267662</v>
      </c>
      <c r="F2836">
        <v>300.75</v>
      </c>
    </row>
    <row r="2837" spans="1:6" x14ac:dyDescent="0.35">
      <c r="A2837">
        <v>594</v>
      </c>
      <c r="B2837" t="s">
        <v>185</v>
      </c>
      <c r="C2837">
        <v>202602</v>
      </c>
      <c r="D2837">
        <v>13554</v>
      </c>
      <c r="E2837">
        <v>80.319999999999993</v>
      </c>
      <c r="F2837">
        <v>168.75</v>
      </c>
    </row>
    <row r="2838" spans="1:6" x14ac:dyDescent="0.35">
      <c r="A2838">
        <v>595</v>
      </c>
      <c r="B2838" t="s">
        <v>185</v>
      </c>
      <c r="C2838">
        <v>202602</v>
      </c>
      <c r="D2838">
        <v>20616</v>
      </c>
      <c r="E2838">
        <v>274.88</v>
      </c>
      <c r="F2838">
        <v>75</v>
      </c>
    </row>
    <row r="2839" spans="1:6" x14ac:dyDescent="0.35">
      <c r="A2839">
        <v>603</v>
      </c>
      <c r="B2839" t="s">
        <v>185</v>
      </c>
      <c r="C2839">
        <v>202602</v>
      </c>
      <c r="D2839">
        <v>2505</v>
      </c>
      <c r="E2839">
        <v>11.105692498669978</v>
      </c>
      <c r="F2839">
        <v>225.56</v>
      </c>
    </row>
    <row r="2840" spans="1:6" x14ac:dyDescent="0.35">
      <c r="A2840">
        <v>606</v>
      </c>
      <c r="B2840" t="s">
        <v>185</v>
      </c>
      <c r="C2840">
        <v>202602</v>
      </c>
      <c r="D2840">
        <v>2557</v>
      </c>
      <c r="E2840">
        <v>9.7457788619125658</v>
      </c>
      <c r="F2840">
        <v>262.37</v>
      </c>
    </row>
    <row r="2841" spans="1:6" x14ac:dyDescent="0.35">
      <c r="A2841">
        <v>772</v>
      </c>
      <c r="B2841" t="s">
        <v>185</v>
      </c>
      <c r="C2841">
        <v>202602</v>
      </c>
      <c r="D2841">
        <v>0</v>
      </c>
      <c r="E2841">
        <v>0</v>
      </c>
      <c r="F2841">
        <v>202.4</v>
      </c>
    </row>
    <row r="2842" spans="1:6" x14ac:dyDescent="0.35">
      <c r="A2842">
        <v>615</v>
      </c>
      <c r="B2842" t="s">
        <v>185</v>
      </c>
      <c r="C2842">
        <v>202602</v>
      </c>
      <c r="D2842">
        <v>3717</v>
      </c>
      <c r="E2842">
        <v>13.732082163440225</v>
      </c>
      <c r="F2842">
        <v>270.68</v>
      </c>
    </row>
    <row r="2843" spans="1:6" x14ac:dyDescent="0.35">
      <c r="A2843">
        <v>617</v>
      </c>
      <c r="B2843" t="s">
        <v>185</v>
      </c>
      <c r="C2843">
        <v>202602</v>
      </c>
      <c r="D2843">
        <v>1727</v>
      </c>
      <c r="E2843">
        <v>3.8377777777777777</v>
      </c>
      <c r="F2843">
        <v>450</v>
      </c>
    </row>
    <row r="2844" spans="1:6" x14ac:dyDescent="0.35">
      <c r="A2844">
        <v>751</v>
      </c>
      <c r="B2844" t="s">
        <v>185</v>
      </c>
      <c r="C2844">
        <v>202602</v>
      </c>
      <c r="D2844">
        <v>236</v>
      </c>
      <c r="E2844">
        <v>1.1625043101325059</v>
      </c>
      <c r="F2844">
        <v>203.01</v>
      </c>
    </row>
    <row r="2845" spans="1:6" x14ac:dyDescent="0.35">
      <c r="A2845">
        <v>752</v>
      </c>
      <c r="B2845" t="s">
        <v>185</v>
      </c>
      <c r="C2845">
        <v>202602</v>
      </c>
      <c r="D2845">
        <v>1622</v>
      </c>
      <c r="E2845">
        <v>4.6897588619672694</v>
      </c>
      <c r="F2845">
        <v>345.86</v>
      </c>
    </row>
    <row r="2846" spans="1:6" x14ac:dyDescent="0.35">
      <c r="A2846">
        <v>753</v>
      </c>
      <c r="B2846" t="s">
        <v>185</v>
      </c>
      <c r="C2846">
        <v>202602</v>
      </c>
      <c r="D2846">
        <v>2735</v>
      </c>
      <c r="E2846">
        <v>5.5962514323129806</v>
      </c>
      <c r="F2846">
        <v>488.72</v>
      </c>
    </row>
    <row r="2847" spans="1:6" x14ac:dyDescent="0.35">
      <c r="A2847">
        <v>754</v>
      </c>
      <c r="B2847" t="s">
        <v>185</v>
      </c>
      <c r="C2847">
        <v>202602</v>
      </c>
      <c r="D2847">
        <v>592</v>
      </c>
      <c r="E2847">
        <v>0.98418978903093879</v>
      </c>
      <c r="F2847">
        <v>601.51</v>
      </c>
    </row>
    <row r="2848" spans="1:6" x14ac:dyDescent="0.35">
      <c r="A2848">
        <v>614</v>
      </c>
      <c r="B2848" t="s">
        <v>185</v>
      </c>
      <c r="C2848">
        <v>202602</v>
      </c>
      <c r="D2848">
        <v>8168</v>
      </c>
      <c r="E2848">
        <v>14.528637495553182</v>
      </c>
      <c r="F2848">
        <v>562.20000000000005</v>
      </c>
    </row>
    <row r="2849" spans="1:6" x14ac:dyDescent="0.35">
      <c r="A2849">
        <v>797</v>
      </c>
      <c r="B2849" t="s">
        <v>185</v>
      </c>
      <c r="C2849">
        <v>202602</v>
      </c>
      <c r="D2849">
        <v>663</v>
      </c>
      <c r="E2849">
        <v>1.4739884393063583</v>
      </c>
      <c r="F2849">
        <v>449.8</v>
      </c>
    </row>
    <row r="2850" spans="1:6" x14ac:dyDescent="0.35">
      <c r="A2850">
        <v>613</v>
      </c>
      <c r="B2850" t="s">
        <v>185</v>
      </c>
      <c r="C2850">
        <v>202602</v>
      </c>
      <c r="D2850">
        <v>4315</v>
      </c>
      <c r="E2850">
        <v>14.752136752136753</v>
      </c>
      <c r="F2850">
        <v>292.5</v>
      </c>
    </row>
    <row r="2851" spans="1:6" x14ac:dyDescent="0.35">
      <c r="A2851">
        <v>767</v>
      </c>
      <c r="B2851" t="s">
        <v>185</v>
      </c>
      <c r="C2851">
        <v>202602</v>
      </c>
      <c r="D2851">
        <v>3455</v>
      </c>
      <c r="E2851">
        <v>5.7602534178059361</v>
      </c>
      <c r="F2851">
        <v>599.79999999999995</v>
      </c>
    </row>
    <row r="2852" spans="1:6" x14ac:dyDescent="0.35">
      <c r="A2852">
        <v>807</v>
      </c>
      <c r="B2852" t="s">
        <v>185</v>
      </c>
      <c r="C2852">
        <v>202602</v>
      </c>
      <c r="D2852">
        <v>534</v>
      </c>
      <c r="E2852">
        <v>2.67</v>
      </c>
      <c r="F2852">
        <v>200</v>
      </c>
    </row>
    <row r="2853" spans="1:6" x14ac:dyDescent="0.35">
      <c r="A2853">
        <v>808</v>
      </c>
      <c r="B2853" t="s">
        <v>185</v>
      </c>
      <c r="C2853">
        <v>202602</v>
      </c>
      <c r="D2853">
        <v>731</v>
      </c>
      <c r="E2853">
        <v>2.4801519983714457</v>
      </c>
      <c r="F2853">
        <v>294.74</v>
      </c>
    </row>
    <row r="2854" spans="1:6" x14ac:dyDescent="0.35">
      <c r="A2854">
        <v>502</v>
      </c>
      <c r="B2854" t="s">
        <v>186</v>
      </c>
      <c r="C2854">
        <v>202602</v>
      </c>
      <c r="D2854">
        <v>42352</v>
      </c>
      <c r="E2854">
        <v>136.07505462022877</v>
      </c>
      <c r="F2854">
        <v>311.24</v>
      </c>
    </row>
    <row r="2855" spans="1:6" x14ac:dyDescent="0.35">
      <c r="A2855">
        <v>504</v>
      </c>
      <c r="B2855" t="s">
        <v>186</v>
      </c>
      <c r="C2855">
        <v>202602</v>
      </c>
      <c r="D2855">
        <v>90592</v>
      </c>
      <c r="E2855">
        <v>207.53705527937504</v>
      </c>
      <c r="F2855">
        <v>436.51</v>
      </c>
    </row>
    <row r="2856" spans="1:6" x14ac:dyDescent="0.35">
      <c r="A2856">
        <v>505</v>
      </c>
      <c r="B2856" t="s">
        <v>186</v>
      </c>
      <c r="C2856">
        <v>202602</v>
      </c>
      <c r="D2856">
        <v>35228</v>
      </c>
      <c r="E2856">
        <v>94.653124832070503</v>
      </c>
      <c r="F2856">
        <v>372.18</v>
      </c>
    </row>
    <row r="2857" spans="1:6" x14ac:dyDescent="0.35">
      <c r="A2857">
        <v>506</v>
      </c>
      <c r="B2857" t="s">
        <v>186</v>
      </c>
      <c r="C2857">
        <v>202602</v>
      </c>
      <c r="D2857">
        <v>39312</v>
      </c>
      <c r="E2857">
        <v>82.990985665730747</v>
      </c>
      <c r="F2857">
        <v>473.69</v>
      </c>
    </row>
    <row r="2858" spans="1:6" x14ac:dyDescent="0.35">
      <c r="A2858">
        <v>508</v>
      </c>
      <c r="B2858" t="s">
        <v>186</v>
      </c>
      <c r="C2858">
        <v>202602</v>
      </c>
      <c r="D2858">
        <v>41422</v>
      </c>
      <c r="E2858">
        <v>102.35235977267112</v>
      </c>
      <c r="F2858">
        <v>404.7</v>
      </c>
    </row>
    <row r="2859" spans="1:6" x14ac:dyDescent="0.35">
      <c r="A2859">
        <v>507</v>
      </c>
      <c r="B2859" t="s">
        <v>186</v>
      </c>
      <c r="C2859">
        <v>202602</v>
      </c>
      <c r="D2859">
        <v>36420</v>
      </c>
      <c r="E2859">
        <v>134.88888888888889</v>
      </c>
      <c r="F2859">
        <v>270</v>
      </c>
    </row>
    <row r="2860" spans="1:6" x14ac:dyDescent="0.35">
      <c r="A2860">
        <v>520</v>
      </c>
      <c r="B2860" t="s">
        <v>186</v>
      </c>
      <c r="C2860">
        <v>202602</v>
      </c>
      <c r="D2860">
        <v>389</v>
      </c>
      <c r="E2860">
        <v>5.7205882352941178</v>
      </c>
      <c r="F2860">
        <v>68</v>
      </c>
    </row>
    <row r="2861" spans="1:6" x14ac:dyDescent="0.35">
      <c r="A2861">
        <v>521</v>
      </c>
      <c r="B2861" t="s">
        <v>186</v>
      </c>
      <c r="C2861">
        <v>202602</v>
      </c>
      <c r="D2861">
        <v>2597</v>
      </c>
      <c r="E2861">
        <v>22.387931034482758</v>
      </c>
      <c r="F2861">
        <v>116</v>
      </c>
    </row>
    <row r="2862" spans="1:6" x14ac:dyDescent="0.35">
      <c r="A2862">
        <v>784</v>
      </c>
      <c r="B2862" t="s">
        <v>186</v>
      </c>
      <c r="C2862">
        <v>202602</v>
      </c>
      <c r="D2862">
        <v>635</v>
      </c>
      <c r="E2862">
        <v>1.8831553973902728</v>
      </c>
      <c r="F2862">
        <v>337.2</v>
      </c>
    </row>
    <row r="2863" spans="1:6" x14ac:dyDescent="0.35">
      <c r="A2863">
        <v>785</v>
      </c>
      <c r="B2863" t="s">
        <v>186</v>
      </c>
      <c r="C2863">
        <v>202602</v>
      </c>
      <c r="D2863">
        <v>419</v>
      </c>
      <c r="E2863">
        <v>0.74528637495553174</v>
      </c>
      <c r="F2863">
        <v>562.20000000000005</v>
      </c>
    </row>
    <row r="2864" spans="1:6" x14ac:dyDescent="0.35">
      <c r="A2864">
        <v>758</v>
      </c>
      <c r="B2864" t="s">
        <v>186</v>
      </c>
      <c r="C2864">
        <v>202602</v>
      </c>
      <c r="D2864">
        <v>7613</v>
      </c>
      <c r="E2864">
        <v>11.284035157929063</v>
      </c>
      <c r="F2864">
        <v>674.67</v>
      </c>
    </row>
    <row r="2865" spans="1:6" x14ac:dyDescent="0.35">
      <c r="A2865">
        <v>757</v>
      </c>
      <c r="B2865" t="s">
        <v>186</v>
      </c>
      <c r="C2865">
        <v>202602</v>
      </c>
      <c r="D2865">
        <v>15573</v>
      </c>
      <c r="E2865">
        <v>31.475867087072519</v>
      </c>
      <c r="F2865">
        <v>494.76</v>
      </c>
    </row>
    <row r="2866" spans="1:6" x14ac:dyDescent="0.35">
      <c r="A2866">
        <v>580</v>
      </c>
      <c r="B2866" t="s">
        <v>186</v>
      </c>
      <c r="C2866">
        <v>202602</v>
      </c>
      <c r="D2866">
        <v>0</v>
      </c>
      <c r="E2866">
        <v>0</v>
      </c>
      <c r="F2866">
        <v>270.68</v>
      </c>
    </row>
    <row r="2867" spans="1:6" x14ac:dyDescent="0.35">
      <c r="A2867">
        <v>582</v>
      </c>
      <c r="B2867" t="s">
        <v>186</v>
      </c>
      <c r="C2867">
        <v>202602</v>
      </c>
      <c r="D2867">
        <v>956</v>
      </c>
      <c r="E2867">
        <v>3.1787198669991685</v>
      </c>
      <c r="F2867">
        <v>300.75</v>
      </c>
    </row>
    <row r="2868" spans="1:6" x14ac:dyDescent="0.35">
      <c r="A2868">
        <v>594</v>
      </c>
      <c r="B2868" t="s">
        <v>186</v>
      </c>
      <c r="C2868">
        <v>202602</v>
      </c>
      <c r="D2868">
        <v>16702</v>
      </c>
      <c r="E2868">
        <v>98.97481481481482</v>
      </c>
      <c r="F2868">
        <v>168.75</v>
      </c>
    </row>
    <row r="2869" spans="1:6" x14ac:dyDescent="0.35">
      <c r="A2869">
        <v>595</v>
      </c>
      <c r="B2869" t="s">
        <v>186</v>
      </c>
      <c r="C2869">
        <v>202602</v>
      </c>
      <c r="D2869">
        <v>14422</v>
      </c>
      <c r="E2869">
        <v>192.29333333333332</v>
      </c>
      <c r="F2869">
        <v>75</v>
      </c>
    </row>
    <row r="2870" spans="1:6" x14ac:dyDescent="0.35">
      <c r="A2870">
        <v>603</v>
      </c>
      <c r="B2870" t="s">
        <v>186</v>
      </c>
      <c r="C2870">
        <v>202602</v>
      </c>
      <c r="D2870">
        <v>3534</v>
      </c>
      <c r="E2870">
        <v>15.667671572973932</v>
      </c>
      <c r="F2870">
        <v>225.56</v>
      </c>
    </row>
    <row r="2871" spans="1:6" x14ac:dyDescent="0.35">
      <c r="A2871">
        <v>606</v>
      </c>
      <c r="B2871" t="s">
        <v>186</v>
      </c>
      <c r="C2871">
        <v>202602</v>
      </c>
      <c r="D2871">
        <v>5954</v>
      </c>
      <c r="E2871">
        <v>22.693143270953232</v>
      </c>
      <c r="F2871">
        <v>262.37</v>
      </c>
    </row>
    <row r="2872" spans="1:6" x14ac:dyDescent="0.35">
      <c r="A2872">
        <v>772</v>
      </c>
      <c r="B2872" t="s">
        <v>186</v>
      </c>
      <c r="C2872">
        <v>202602</v>
      </c>
      <c r="D2872">
        <v>395</v>
      </c>
      <c r="E2872">
        <v>1.9515810276679841</v>
      </c>
      <c r="F2872">
        <v>202.4</v>
      </c>
    </row>
    <row r="2873" spans="1:6" x14ac:dyDescent="0.35">
      <c r="A2873">
        <v>615</v>
      </c>
      <c r="B2873" t="s">
        <v>186</v>
      </c>
      <c r="C2873">
        <v>202602</v>
      </c>
      <c r="D2873">
        <v>5386</v>
      </c>
      <c r="E2873">
        <v>19.898034579577359</v>
      </c>
      <c r="F2873">
        <v>270.68</v>
      </c>
    </row>
    <row r="2874" spans="1:6" x14ac:dyDescent="0.35">
      <c r="A2874">
        <v>617</v>
      </c>
      <c r="B2874" t="s">
        <v>186</v>
      </c>
      <c r="C2874">
        <v>202602</v>
      </c>
      <c r="D2874">
        <v>1467</v>
      </c>
      <c r="E2874">
        <v>3.26</v>
      </c>
      <c r="F2874">
        <v>450</v>
      </c>
    </row>
    <row r="2875" spans="1:6" x14ac:dyDescent="0.35">
      <c r="A2875">
        <v>751</v>
      </c>
      <c r="B2875" t="s">
        <v>186</v>
      </c>
      <c r="C2875">
        <v>202602</v>
      </c>
      <c r="D2875">
        <v>730</v>
      </c>
      <c r="E2875">
        <v>3.5958819762573273</v>
      </c>
      <c r="F2875">
        <v>203.01</v>
      </c>
    </row>
    <row r="2876" spans="1:6" x14ac:dyDescent="0.35">
      <c r="A2876">
        <v>752</v>
      </c>
      <c r="B2876" t="s">
        <v>186</v>
      </c>
      <c r="C2876">
        <v>202602</v>
      </c>
      <c r="D2876">
        <v>6343</v>
      </c>
      <c r="E2876">
        <v>18.339790666743767</v>
      </c>
      <c r="F2876">
        <v>345.86</v>
      </c>
    </row>
    <row r="2877" spans="1:6" x14ac:dyDescent="0.35">
      <c r="A2877">
        <v>753</v>
      </c>
      <c r="B2877" t="s">
        <v>186</v>
      </c>
      <c r="C2877">
        <v>202602</v>
      </c>
      <c r="D2877">
        <v>7402</v>
      </c>
      <c r="E2877">
        <v>15.145686691766246</v>
      </c>
      <c r="F2877">
        <v>488.72</v>
      </c>
    </row>
    <row r="2878" spans="1:6" x14ac:dyDescent="0.35">
      <c r="A2878">
        <v>754</v>
      </c>
      <c r="B2878" t="s">
        <v>186</v>
      </c>
      <c r="C2878">
        <v>202602</v>
      </c>
      <c r="D2878">
        <v>730</v>
      </c>
      <c r="E2878">
        <v>1.213612408771259</v>
      </c>
      <c r="F2878">
        <v>601.51</v>
      </c>
    </row>
    <row r="2879" spans="1:6" x14ac:dyDescent="0.35">
      <c r="A2879">
        <v>614</v>
      </c>
      <c r="B2879" t="s">
        <v>186</v>
      </c>
      <c r="C2879">
        <v>202602</v>
      </c>
      <c r="D2879">
        <v>10261</v>
      </c>
      <c r="E2879">
        <v>18.251511917467091</v>
      </c>
      <c r="F2879">
        <v>562.20000000000005</v>
      </c>
    </row>
    <row r="2880" spans="1:6" x14ac:dyDescent="0.35">
      <c r="A2880">
        <v>797</v>
      </c>
      <c r="B2880" t="s">
        <v>186</v>
      </c>
      <c r="C2880">
        <v>202602</v>
      </c>
      <c r="D2880">
        <v>711</v>
      </c>
      <c r="E2880">
        <v>1.5807025344597598</v>
      </c>
      <c r="F2880">
        <v>449.8</v>
      </c>
    </row>
    <row r="2881" spans="1:6" x14ac:dyDescent="0.35">
      <c r="A2881">
        <v>613</v>
      </c>
      <c r="B2881" t="s">
        <v>186</v>
      </c>
      <c r="C2881">
        <v>202602</v>
      </c>
      <c r="D2881">
        <v>5331</v>
      </c>
      <c r="E2881">
        <v>18.225641025641025</v>
      </c>
      <c r="F2881">
        <v>292.5</v>
      </c>
    </row>
    <row r="2882" spans="1:6" x14ac:dyDescent="0.35">
      <c r="A2882">
        <v>767</v>
      </c>
      <c r="B2882" t="s">
        <v>186</v>
      </c>
      <c r="C2882">
        <v>202602</v>
      </c>
      <c r="D2882">
        <v>7815</v>
      </c>
      <c r="E2882">
        <v>13.029343114371459</v>
      </c>
      <c r="F2882">
        <v>599.79999999999995</v>
      </c>
    </row>
    <row r="2883" spans="1:6" x14ac:dyDescent="0.35">
      <c r="A2883">
        <v>807</v>
      </c>
      <c r="B2883" t="s">
        <v>186</v>
      </c>
      <c r="C2883">
        <v>202602</v>
      </c>
      <c r="D2883">
        <v>2003</v>
      </c>
      <c r="E2883">
        <v>10.015000000000001</v>
      </c>
      <c r="F2883">
        <v>200</v>
      </c>
    </row>
    <row r="2884" spans="1:6" x14ac:dyDescent="0.35">
      <c r="A2884">
        <v>808</v>
      </c>
      <c r="B2884" t="s">
        <v>186</v>
      </c>
      <c r="C2884">
        <v>202602</v>
      </c>
      <c r="D2884">
        <v>3464</v>
      </c>
      <c r="E2884">
        <v>11.752731220736921</v>
      </c>
      <c r="F2884">
        <v>294.74</v>
      </c>
    </row>
    <row r="2885" spans="1:6" x14ac:dyDescent="0.35">
      <c r="A2885">
        <v>502</v>
      </c>
      <c r="B2885" t="s">
        <v>187</v>
      </c>
      <c r="C2885">
        <v>202602</v>
      </c>
      <c r="D2885">
        <v>38887</v>
      </c>
      <c r="E2885">
        <v>124.94216681660454</v>
      </c>
      <c r="F2885">
        <v>311.24</v>
      </c>
    </row>
    <row r="2886" spans="1:6" x14ac:dyDescent="0.35">
      <c r="A2886">
        <v>504</v>
      </c>
      <c r="B2886" t="s">
        <v>187</v>
      </c>
      <c r="C2886">
        <v>202602</v>
      </c>
      <c r="D2886">
        <v>85456</v>
      </c>
      <c r="E2886">
        <v>195.77100180980963</v>
      </c>
      <c r="F2886">
        <v>436.51</v>
      </c>
    </row>
    <row r="2887" spans="1:6" x14ac:dyDescent="0.35">
      <c r="A2887">
        <v>505</v>
      </c>
      <c r="B2887" t="s">
        <v>187</v>
      </c>
      <c r="C2887">
        <v>202602</v>
      </c>
      <c r="D2887">
        <v>32504</v>
      </c>
      <c r="E2887">
        <v>87.334085657477559</v>
      </c>
      <c r="F2887">
        <v>372.18</v>
      </c>
    </row>
    <row r="2888" spans="1:6" x14ac:dyDescent="0.35">
      <c r="A2888">
        <v>506</v>
      </c>
      <c r="B2888" t="s">
        <v>187</v>
      </c>
      <c r="C2888">
        <v>202602</v>
      </c>
      <c r="D2888">
        <v>36603</v>
      </c>
      <c r="E2888">
        <v>77.272055563765335</v>
      </c>
      <c r="F2888">
        <v>473.69</v>
      </c>
    </row>
    <row r="2889" spans="1:6" x14ac:dyDescent="0.35">
      <c r="A2889">
        <v>508</v>
      </c>
      <c r="B2889" t="s">
        <v>187</v>
      </c>
      <c r="C2889">
        <v>202602</v>
      </c>
      <c r="D2889">
        <v>37179</v>
      </c>
      <c r="E2889">
        <v>91.868050407709418</v>
      </c>
      <c r="F2889">
        <v>404.7</v>
      </c>
    </row>
    <row r="2890" spans="1:6" x14ac:dyDescent="0.35">
      <c r="A2890">
        <v>507</v>
      </c>
      <c r="B2890" t="s">
        <v>187</v>
      </c>
      <c r="C2890">
        <v>202602</v>
      </c>
      <c r="D2890">
        <v>33020</v>
      </c>
      <c r="E2890">
        <v>122.29629629629629</v>
      </c>
      <c r="F2890">
        <v>270</v>
      </c>
    </row>
    <row r="2891" spans="1:6" x14ac:dyDescent="0.35">
      <c r="A2891">
        <v>520</v>
      </c>
      <c r="B2891" t="s">
        <v>187</v>
      </c>
      <c r="C2891">
        <v>202602</v>
      </c>
      <c r="D2891">
        <v>256</v>
      </c>
      <c r="E2891">
        <v>3.7647058823529411</v>
      </c>
      <c r="F2891">
        <v>68</v>
      </c>
    </row>
    <row r="2892" spans="1:6" x14ac:dyDescent="0.35">
      <c r="A2892">
        <v>521</v>
      </c>
      <c r="B2892" t="s">
        <v>187</v>
      </c>
      <c r="C2892">
        <v>202602</v>
      </c>
      <c r="D2892">
        <v>1743</v>
      </c>
      <c r="E2892">
        <v>15.025862068965518</v>
      </c>
      <c r="F2892">
        <v>116</v>
      </c>
    </row>
    <row r="2893" spans="1:6" x14ac:dyDescent="0.35">
      <c r="A2893">
        <v>784</v>
      </c>
      <c r="B2893" t="s">
        <v>187</v>
      </c>
      <c r="C2893">
        <v>202602</v>
      </c>
      <c r="D2893">
        <v>839</v>
      </c>
      <c r="E2893">
        <v>2.488137603795967</v>
      </c>
      <c r="F2893">
        <v>337.2</v>
      </c>
    </row>
    <row r="2894" spans="1:6" x14ac:dyDescent="0.35">
      <c r="A2894">
        <v>785</v>
      </c>
      <c r="B2894" t="s">
        <v>187</v>
      </c>
      <c r="C2894">
        <v>202602</v>
      </c>
      <c r="D2894">
        <v>656</v>
      </c>
      <c r="E2894">
        <v>1.1668445393098541</v>
      </c>
      <c r="F2894">
        <v>562.20000000000005</v>
      </c>
    </row>
    <row r="2895" spans="1:6" x14ac:dyDescent="0.35">
      <c r="A2895">
        <v>758</v>
      </c>
      <c r="B2895" t="s">
        <v>187</v>
      </c>
      <c r="C2895">
        <v>202602</v>
      </c>
      <c r="D2895">
        <v>5854</v>
      </c>
      <c r="E2895">
        <v>8.6768346006195625</v>
      </c>
      <c r="F2895">
        <v>674.67</v>
      </c>
    </row>
    <row r="2896" spans="1:6" x14ac:dyDescent="0.35">
      <c r="A2896">
        <v>757</v>
      </c>
      <c r="B2896" t="s">
        <v>187</v>
      </c>
      <c r="C2896">
        <v>202602</v>
      </c>
      <c r="D2896">
        <v>14890</v>
      </c>
      <c r="E2896">
        <v>30.095399789797074</v>
      </c>
      <c r="F2896">
        <v>494.76</v>
      </c>
    </row>
    <row r="2897" spans="1:6" x14ac:dyDescent="0.35">
      <c r="A2897">
        <v>580</v>
      </c>
      <c r="B2897" t="s">
        <v>187</v>
      </c>
      <c r="C2897">
        <v>202602</v>
      </c>
      <c r="D2897">
        <v>0</v>
      </c>
      <c r="E2897">
        <v>0</v>
      </c>
      <c r="F2897">
        <v>270.68</v>
      </c>
    </row>
    <row r="2898" spans="1:6" x14ac:dyDescent="0.35">
      <c r="A2898">
        <v>582</v>
      </c>
      <c r="B2898" t="s">
        <v>187</v>
      </c>
      <c r="C2898">
        <v>202602</v>
      </c>
      <c r="D2898">
        <v>968</v>
      </c>
      <c r="E2898">
        <v>3.2186201163757273</v>
      </c>
      <c r="F2898">
        <v>300.75</v>
      </c>
    </row>
    <row r="2899" spans="1:6" x14ac:dyDescent="0.35">
      <c r="A2899">
        <v>594</v>
      </c>
      <c r="B2899" t="s">
        <v>187</v>
      </c>
      <c r="C2899">
        <v>202602</v>
      </c>
      <c r="D2899">
        <v>15505</v>
      </c>
      <c r="E2899">
        <v>91.881481481481487</v>
      </c>
      <c r="F2899">
        <v>168.75</v>
      </c>
    </row>
    <row r="2900" spans="1:6" x14ac:dyDescent="0.35">
      <c r="A2900">
        <v>595</v>
      </c>
      <c r="B2900" t="s">
        <v>187</v>
      </c>
      <c r="C2900">
        <v>202602</v>
      </c>
      <c r="D2900">
        <v>16767</v>
      </c>
      <c r="E2900">
        <v>223.56</v>
      </c>
      <c r="F2900">
        <v>75</v>
      </c>
    </row>
    <row r="2901" spans="1:6" x14ac:dyDescent="0.35">
      <c r="A2901">
        <v>603</v>
      </c>
      <c r="B2901" t="s">
        <v>187</v>
      </c>
      <c r="C2901">
        <v>202602</v>
      </c>
      <c r="D2901">
        <v>3135</v>
      </c>
      <c r="E2901">
        <v>13.898740911509133</v>
      </c>
      <c r="F2901">
        <v>225.56</v>
      </c>
    </row>
    <row r="2902" spans="1:6" x14ac:dyDescent="0.35">
      <c r="A2902">
        <v>606</v>
      </c>
      <c r="B2902" t="s">
        <v>187</v>
      </c>
      <c r="C2902">
        <v>202602</v>
      </c>
      <c r="D2902">
        <v>5186</v>
      </c>
      <c r="E2902">
        <v>19.765979342150398</v>
      </c>
      <c r="F2902">
        <v>262.37</v>
      </c>
    </row>
    <row r="2903" spans="1:6" x14ac:dyDescent="0.35">
      <c r="A2903">
        <v>772</v>
      </c>
      <c r="B2903" t="s">
        <v>187</v>
      </c>
      <c r="C2903">
        <v>202602</v>
      </c>
      <c r="D2903">
        <v>250</v>
      </c>
      <c r="E2903">
        <v>1.2351778656126482</v>
      </c>
      <c r="F2903">
        <v>202.4</v>
      </c>
    </row>
    <row r="2904" spans="1:6" x14ac:dyDescent="0.35">
      <c r="A2904">
        <v>615</v>
      </c>
      <c r="B2904" t="s">
        <v>187</v>
      </c>
      <c r="C2904">
        <v>202602</v>
      </c>
      <c r="D2904">
        <v>5470</v>
      </c>
      <c r="E2904">
        <v>20.208364119994087</v>
      </c>
      <c r="F2904">
        <v>270.68</v>
      </c>
    </row>
    <row r="2905" spans="1:6" x14ac:dyDescent="0.35">
      <c r="A2905">
        <v>617</v>
      </c>
      <c r="B2905" t="s">
        <v>187</v>
      </c>
      <c r="C2905">
        <v>202602</v>
      </c>
      <c r="D2905">
        <v>1303</v>
      </c>
      <c r="E2905">
        <v>2.8955555555555557</v>
      </c>
      <c r="F2905">
        <v>450</v>
      </c>
    </row>
    <row r="2906" spans="1:6" x14ac:dyDescent="0.35">
      <c r="A2906">
        <v>751</v>
      </c>
      <c r="B2906" t="s">
        <v>187</v>
      </c>
      <c r="C2906">
        <v>202602</v>
      </c>
      <c r="D2906">
        <v>283</v>
      </c>
      <c r="E2906">
        <v>1.394019999014827</v>
      </c>
      <c r="F2906">
        <v>203.01</v>
      </c>
    </row>
    <row r="2907" spans="1:6" x14ac:dyDescent="0.35">
      <c r="A2907">
        <v>752</v>
      </c>
      <c r="B2907" t="s">
        <v>187</v>
      </c>
      <c r="C2907">
        <v>202602</v>
      </c>
      <c r="D2907">
        <v>5919</v>
      </c>
      <c r="E2907">
        <v>17.113861099866998</v>
      </c>
      <c r="F2907">
        <v>345.86</v>
      </c>
    </row>
    <row r="2908" spans="1:6" x14ac:dyDescent="0.35">
      <c r="A2908">
        <v>753</v>
      </c>
      <c r="B2908" t="s">
        <v>187</v>
      </c>
      <c r="C2908">
        <v>202602</v>
      </c>
      <c r="D2908">
        <v>3677</v>
      </c>
      <c r="E2908">
        <v>7.5237354722540513</v>
      </c>
      <c r="F2908">
        <v>488.72</v>
      </c>
    </row>
    <row r="2909" spans="1:6" x14ac:dyDescent="0.35">
      <c r="A2909">
        <v>754</v>
      </c>
      <c r="B2909" t="s">
        <v>187</v>
      </c>
      <c r="C2909">
        <v>202602</v>
      </c>
      <c r="D2909">
        <v>673</v>
      </c>
      <c r="E2909">
        <v>1.1188508919219964</v>
      </c>
      <c r="F2909">
        <v>601.51</v>
      </c>
    </row>
    <row r="2910" spans="1:6" x14ac:dyDescent="0.35">
      <c r="A2910">
        <v>614</v>
      </c>
      <c r="B2910" t="s">
        <v>187</v>
      </c>
      <c r="C2910">
        <v>202602</v>
      </c>
      <c r="D2910">
        <v>9313</v>
      </c>
      <c r="E2910">
        <v>16.565279260049802</v>
      </c>
      <c r="F2910">
        <v>562.20000000000005</v>
      </c>
    </row>
    <row r="2911" spans="1:6" x14ac:dyDescent="0.35">
      <c r="A2911">
        <v>797</v>
      </c>
      <c r="B2911" t="s">
        <v>187</v>
      </c>
      <c r="C2911">
        <v>202602</v>
      </c>
      <c r="D2911">
        <v>987</v>
      </c>
      <c r="E2911">
        <v>2.1943085815918186</v>
      </c>
      <c r="F2911">
        <v>449.8</v>
      </c>
    </row>
    <row r="2912" spans="1:6" x14ac:dyDescent="0.35">
      <c r="A2912">
        <v>613</v>
      </c>
      <c r="B2912" t="s">
        <v>187</v>
      </c>
      <c r="C2912">
        <v>202602</v>
      </c>
      <c r="D2912">
        <v>4606</v>
      </c>
      <c r="E2912">
        <v>15.747008547008546</v>
      </c>
      <c r="F2912">
        <v>292.5</v>
      </c>
    </row>
    <row r="2913" spans="1:6" x14ac:dyDescent="0.35">
      <c r="A2913">
        <v>767</v>
      </c>
      <c r="B2913" t="s">
        <v>187</v>
      </c>
      <c r="C2913">
        <v>202602</v>
      </c>
      <c r="D2913">
        <v>7521</v>
      </c>
      <c r="E2913">
        <v>12.539179726575526</v>
      </c>
      <c r="F2913">
        <v>599.79999999999995</v>
      </c>
    </row>
    <row r="2914" spans="1:6" x14ac:dyDescent="0.35">
      <c r="A2914">
        <v>807</v>
      </c>
      <c r="B2914" t="s">
        <v>187</v>
      </c>
      <c r="C2914">
        <v>202602</v>
      </c>
      <c r="D2914">
        <v>744</v>
      </c>
      <c r="E2914">
        <v>3.72</v>
      </c>
      <c r="F2914">
        <v>200</v>
      </c>
    </row>
    <row r="2915" spans="1:6" x14ac:dyDescent="0.35">
      <c r="A2915">
        <v>808</v>
      </c>
      <c r="B2915" t="s">
        <v>187</v>
      </c>
      <c r="C2915">
        <v>202602</v>
      </c>
      <c r="D2915">
        <v>1295</v>
      </c>
      <c r="E2915">
        <v>4.3937029246115218</v>
      </c>
      <c r="F2915">
        <v>294.74</v>
      </c>
    </row>
    <row r="2916" spans="1:6" x14ac:dyDescent="0.35">
      <c r="A2916">
        <v>502</v>
      </c>
      <c r="B2916" t="s">
        <v>188</v>
      </c>
      <c r="C2916">
        <v>202602</v>
      </c>
      <c r="D2916">
        <v>45606</v>
      </c>
      <c r="E2916">
        <v>146.53000899627295</v>
      </c>
      <c r="F2916">
        <v>311.24</v>
      </c>
    </row>
    <row r="2917" spans="1:6" x14ac:dyDescent="0.35">
      <c r="A2917">
        <v>504</v>
      </c>
      <c r="B2917" t="s">
        <v>188</v>
      </c>
      <c r="C2917">
        <v>202602</v>
      </c>
      <c r="D2917">
        <v>97664</v>
      </c>
      <c r="E2917">
        <v>223.73828778263959</v>
      </c>
      <c r="F2917">
        <v>436.51</v>
      </c>
    </row>
    <row r="2918" spans="1:6" x14ac:dyDescent="0.35">
      <c r="A2918">
        <v>505</v>
      </c>
      <c r="B2918" t="s">
        <v>188</v>
      </c>
      <c r="C2918">
        <v>202602</v>
      </c>
      <c r="D2918">
        <v>41991</v>
      </c>
      <c r="E2918">
        <v>112.82443978719974</v>
      </c>
      <c r="F2918">
        <v>372.18</v>
      </c>
    </row>
    <row r="2919" spans="1:6" x14ac:dyDescent="0.35">
      <c r="A2919">
        <v>506</v>
      </c>
      <c r="B2919" t="s">
        <v>188</v>
      </c>
      <c r="C2919">
        <v>202602</v>
      </c>
      <c r="D2919">
        <v>43399</v>
      </c>
      <c r="E2919">
        <v>91.618991323439374</v>
      </c>
      <c r="F2919">
        <v>473.69</v>
      </c>
    </row>
    <row r="2920" spans="1:6" x14ac:dyDescent="0.35">
      <c r="A2920">
        <v>508</v>
      </c>
      <c r="B2920" t="s">
        <v>188</v>
      </c>
      <c r="C2920">
        <v>202602</v>
      </c>
      <c r="D2920">
        <v>54063</v>
      </c>
      <c r="E2920">
        <v>133.587842846553</v>
      </c>
      <c r="F2920">
        <v>404.7</v>
      </c>
    </row>
    <row r="2921" spans="1:6" x14ac:dyDescent="0.35">
      <c r="A2921">
        <v>507</v>
      </c>
      <c r="B2921" t="s">
        <v>188</v>
      </c>
      <c r="C2921">
        <v>202602</v>
      </c>
      <c r="D2921">
        <v>43645</v>
      </c>
      <c r="E2921">
        <v>161.64814814814815</v>
      </c>
      <c r="F2921">
        <v>270</v>
      </c>
    </row>
    <row r="2922" spans="1:6" x14ac:dyDescent="0.35">
      <c r="A2922">
        <v>520</v>
      </c>
      <c r="B2922" t="s">
        <v>188</v>
      </c>
      <c r="C2922">
        <v>202602</v>
      </c>
      <c r="D2922">
        <v>476</v>
      </c>
      <c r="E2922">
        <v>7</v>
      </c>
      <c r="F2922">
        <v>68</v>
      </c>
    </row>
    <row r="2923" spans="1:6" x14ac:dyDescent="0.35">
      <c r="A2923">
        <v>521</v>
      </c>
      <c r="B2923" t="s">
        <v>188</v>
      </c>
      <c r="C2923">
        <v>202602</v>
      </c>
      <c r="D2923">
        <v>2845</v>
      </c>
      <c r="E2923">
        <v>24.525862068965516</v>
      </c>
      <c r="F2923">
        <v>116</v>
      </c>
    </row>
    <row r="2924" spans="1:6" x14ac:dyDescent="0.35">
      <c r="A2924">
        <v>784</v>
      </c>
      <c r="B2924" t="s">
        <v>188</v>
      </c>
      <c r="C2924">
        <v>202602</v>
      </c>
      <c r="D2924">
        <v>744</v>
      </c>
      <c r="E2924">
        <v>2.2064056939501779</v>
      </c>
      <c r="F2924">
        <v>337.2</v>
      </c>
    </row>
    <row r="2925" spans="1:6" x14ac:dyDescent="0.35">
      <c r="A2925">
        <v>785</v>
      </c>
      <c r="B2925" t="s">
        <v>188</v>
      </c>
      <c r="C2925">
        <v>202602</v>
      </c>
      <c r="D2925">
        <v>1558</v>
      </c>
      <c r="E2925">
        <v>2.7712557808609035</v>
      </c>
      <c r="F2925">
        <v>562.20000000000005</v>
      </c>
    </row>
    <row r="2926" spans="1:6" x14ac:dyDescent="0.35">
      <c r="A2926">
        <v>758</v>
      </c>
      <c r="B2926" t="s">
        <v>188</v>
      </c>
      <c r="C2926">
        <v>202602</v>
      </c>
      <c r="D2926">
        <v>10693</v>
      </c>
      <c r="E2926">
        <v>15.849229993922956</v>
      </c>
      <c r="F2926">
        <v>674.67</v>
      </c>
    </row>
    <row r="2927" spans="1:6" x14ac:dyDescent="0.35">
      <c r="A2927">
        <v>757</v>
      </c>
      <c r="B2927" t="s">
        <v>188</v>
      </c>
      <c r="C2927">
        <v>202602</v>
      </c>
      <c r="D2927">
        <v>22473</v>
      </c>
      <c r="E2927">
        <v>45.422022798932815</v>
      </c>
      <c r="F2927">
        <v>494.76</v>
      </c>
    </row>
    <row r="2928" spans="1:6" x14ac:dyDescent="0.35">
      <c r="A2928">
        <v>580</v>
      </c>
      <c r="B2928" t="s">
        <v>188</v>
      </c>
      <c r="C2928">
        <v>202602</v>
      </c>
      <c r="D2928">
        <v>0</v>
      </c>
      <c r="E2928">
        <v>0</v>
      </c>
      <c r="F2928">
        <v>270.68</v>
      </c>
    </row>
    <row r="2929" spans="1:6" x14ac:dyDescent="0.35">
      <c r="A2929">
        <v>582</v>
      </c>
      <c r="B2929" t="s">
        <v>188</v>
      </c>
      <c r="C2929">
        <v>202602</v>
      </c>
      <c r="D2929">
        <v>1233</v>
      </c>
      <c r="E2929">
        <v>4.0997506234413965</v>
      </c>
      <c r="F2929">
        <v>300.75</v>
      </c>
    </row>
    <row r="2930" spans="1:6" x14ac:dyDescent="0.35">
      <c r="A2930">
        <v>594</v>
      </c>
      <c r="B2930" t="s">
        <v>188</v>
      </c>
      <c r="C2930">
        <v>202602</v>
      </c>
      <c r="D2930">
        <v>21893</v>
      </c>
      <c r="E2930">
        <v>129.7362962962963</v>
      </c>
      <c r="F2930">
        <v>168.75</v>
      </c>
    </row>
    <row r="2931" spans="1:6" x14ac:dyDescent="0.35">
      <c r="A2931">
        <v>595</v>
      </c>
      <c r="B2931" t="s">
        <v>188</v>
      </c>
      <c r="C2931">
        <v>202602</v>
      </c>
      <c r="D2931">
        <v>20028</v>
      </c>
      <c r="E2931">
        <v>267.04000000000002</v>
      </c>
      <c r="F2931">
        <v>75</v>
      </c>
    </row>
    <row r="2932" spans="1:6" x14ac:dyDescent="0.35">
      <c r="A2932">
        <v>603</v>
      </c>
      <c r="B2932" t="s">
        <v>188</v>
      </c>
      <c r="C2932">
        <v>202602</v>
      </c>
      <c r="D2932">
        <v>4292</v>
      </c>
      <c r="E2932">
        <v>19.028196488739137</v>
      </c>
      <c r="F2932">
        <v>225.56</v>
      </c>
    </row>
    <row r="2933" spans="1:6" x14ac:dyDescent="0.35">
      <c r="A2933">
        <v>606</v>
      </c>
      <c r="B2933" t="s">
        <v>188</v>
      </c>
      <c r="C2933">
        <v>202602</v>
      </c>
      <c r="D2933">
        <v>5689</v>
      </c>
      <c r="E2933">
        <v>21.68311925906163</v>
      </c>
      <c r="F2933">
        <v>262.37</v>
      </c>
    </row>
    <row r="2934" spans="1:6" x14ac:dyDescent="0.35">
      <c r="A2934">
        <v>772</v>
      </c>
      <c r="B2934" t="s">
        <v>188</v>
      </c>
      <c r="C2934">
        <v>202602</v>
      </c>
      <c r="D2934">
        <v>385</v>
      </c>
      <c r="E2934">
        <v>1.9021739130434783</v>
      </c>
      <c r="F2934">
        <v>202.4</v>
      </c>
    </row>
    <row r="2935" spans="1:6" x14ac:dyDescent="0.35">
      <c r="A2935">
        <v>615</v>
      </c>
      <c r="B2935" t="s">
        <v>188</v>
      </c>
      <c r="C2935">
        <v>202602</v>
      </c>
      <c r="D2935">
        <v>7169</v>
      </c>
      <c r="E2935">
        <v>26.485148514851485</v>
      </c>
      <c r="F2935">
        <v>270.68</v>
      </c>
    </row>
    <row r="2936" spans="1:6" x14ac:dyDescent="0.35">
      <c r="A2936">
        <v>617</v>
      </c>
      <c r="B2936" t="s">
        <v>188</v>
      </c>
      <c r="C2936">
        <v>202602</v>
      </c>
      <c r="D2936">
        <v>1858</v>
      </c>
      <c r="E2936">
        <v>4.1288888888888886</v>
      </c>
      <c r="F2936">
        <v>450</v>
      </c>
    </row>
    <row r="2937" spans="1:6" x14ac:dyDescent="0.35">
      <c r="A2937">
        <v>751</v>
      </c>
      <c r="B2937" t="s">
        <v>188</v>
      </c>
      <c r="C2937">
        <v>202602</v>
      </c>
      <c r="D2937">
        <v>371</v>
      </c>
      <c r="E2937">
        <v>1.8274961824540663</v>
      </c>
      <c r="F2937">
        <v>203.01</v>
      </c>
    </row>
    <row r="2938" spans="1:6" x14ac:dyDescent="0.35">
      <c r="A2938">
        <v>752</v>
      </c>
      <c r="B2938" t="s">
        <v>188</v>
      </c>
      <c r="C2938">
        <v>202602</v>
      </c>
      <c r="D2938">
        <v>10504</v>
      </c>
      <c r="E2938">
        <v>30.370670213381135</v>
      </c>
      <c r="F2938">
        <v>345.86</v>
      </c>
    </row>
    <row r="2939" spans="1:6" x14ac:dyDescent="0.35">
      <c r="A2939">
        <v>753</v>
      </c>
      <c r="B2939" t="s">
        <v>188</v>
      </c>
      <c r="C2939">
        <v>202602</v>
      </c>
      <c r="D2939">
        <v>9853</v>
      </c>
      <c r="E2939">
        <v>20.16082828613521</v>
      </c>
      <c r="F2939">
        <v>488.72</v>
      </c>
    </row>
    <row r="2940" spans="1:6" x14ac:dyDescent="0.35">
      <c r="A2940">
        <v>754</v>
      </c>
      <c r="B2940" t="s">
        <v>188</v>
      </c>
      <c r="C2940">
        <v>202602</v>
      </c>
      <c r="D2940">
        <v>884</v>
      </c>
      <c r="E2940">
        <v>1.4696347525394424</v>
      </c>
      <c r="F2940">
        <v>601.51</v>
      </c>
    </row>
    <row r="2941" spans="1:6" x14ac:dyDescent="0.35">
      <c r="A2941">
        <v>614</v>
      </c>
      <c r="B2941" t="s">
        <v>188</v>
      </c>
      <c r="C2941">
        <v>202602</v>
      </c>
      <c r="D2941">
        <v>13573</v>
      </c>
      <c r="E2941">
        <v>24.142653859836354</v>
      </c>
      <c r="F2941">
        <v>562.20000000000005</v>
      </c>
    </row>
    <row r="2942" spans="1:6" x14ac:dyDescent="0.35">
      <c r="A2942">
        <v>797</v>
      </c>
      <c r="B2942" t="s">
        <v>188</v>
      </c>
      <c r="C2942">
        <v>202602</v>
      </c>
      <c r="D2942">
        <v>1342</v>
      </c>
      <c r="E2942">
        <v>2.9835482436638507</v>
      </c>
      <c r="F2942">
        <v>449.8</v>
      </c>
    </row>
    <row r="2943" spans="1:6" x14ac:dyDescent="0.35">
      <c r="A2943">
        <v>613</v>
      </c>
      <c r="B2943" t="s">
        <v>188</v>
      </c>
      <c r="C2943">
        <v>202602</v>
      </c>
      <c r="D2943">
        <v>6120</v>
      </c>
      <c r="E2943">
        <v>20.923076923076923</v>
      </c>
      <c r="F2943">
        <v>292.5</v>
      </c>
    </row>
    <row r="2944" spans="1:6" x14ac:dyDescent="0.35">
      <c r="A2944">
        <v>767</v>
      </c>
      <c r="B2944" t="s">
        <v>188</v>
      </c>
      <c r="C2944">
        <v>202602</v>
      </c>
      <c r="D2944">
        <v>11315</v>
      </c>
      <c r="E2944">
        <v>18.864621540513507</v>
      </c>
      <c r="F2944">
        <v>599.79999999999995</v>
      </c>
    </row>
    <row r="2945" spans="1:6" x14ac:dyDescent="0.35">
      <c r="A2945">
        <v>807</v>
      </c>
      <c r="B2945" t="s">
        <v>188</v>
      </c>
      <c r="C2945">
        <v>202602</v>
      </c>
      <c r="D2945">
        <v>1988</v>
      </c>
      <c r="E2945">
        <v>9.94</v>
      </c>
      <c r="F2945">
        <v>200</v>
      </c>
    </row>
    <row r="2946" spans="1:6" x14ac:dyDescent="0.35">
      <c r="A2946">
        <v>808</v>
      </c>
      <c r="B2946" t="s">
        <v>188</v>
      </c>
      <c r="C2946">
        <v>202602</v>
      </c>
      <c r="D2946">
        <v>3787</v>
      </c>
      <c r="E2946">
        <v>12.848612336296396</v>
      </c>
      <c r="F2946">
        <v>294.74</v>
      </c>
    </row>
    <row r="2947" spans="1:6" x14ac:dyDescent="0.35">
      <c r="A2947">
        <v>502</v>
      </c>
      <c r="B2947" t="s">
        <v>189</v>
      </c>
      <c r="C2947">
        <v>202602</v>
      </c>
      <c r="D2947">
        <v>44773</v>
      </c>
      <c r="E2947">
        <v>143.85361778691686</v>
      </c>
      <c r="F2947">
        <v>311.24</v>
      </c>
    </row>
    <row r="2948" spans="1:6" x14ac:dyDescent="0.35">
      <c r="A2948">
        <v>504</v>
      </c>
      <c r="B2948" t="s">
        <v>189</v>
      </c>
      <c r="C2948">
        <v>202602</v>
      </c>
      <c r="D2948">
        <v>70168</v>
      </c>
      <c r="E2948">
        <v>160.74774919245837</v>
      </c>
      <c r="F2948">
        <v>436.51</v>
      </c>
    </row>
    <row r="2949" spans="1:6" x14ac:dyDescent="0.35">
      <c r="A2949">
        <v>505</v>
      </c>
      <c r="B2949" t="s">
        <v>189</v>
      </c>
      <c r="C2949">
        <v>202602</v>
      </c>
      <c r="D2949">
        <v>25629</v>
      </c>
      <c r="E2949">
        <v>68.861841044655804</v>
      </c>
      <c r="F2949">
        <v>372.18</v>
      </c>
    </row>
    <row r="2950" spans="1:6" x14ac:dyDescent="0.35">
      <c r="A2950">
        <v>506</v>
      </c>
      <c r="B2950" t="s">
        <v>189</v>
      </c>
      <c r="C2950">
        <v>202602</v>
      </c>
      <c r="D2950">
        <v>22457</v>
      </c>
      <c r="E2950">
        <v>47.408642783254869</v>
      </c>
      <c r="F2950">
        <v>473.69</v>
      </c>
    </row>
    <row r="2951" spans="1:6" x14ac:dyDescent="0.35">
      <c r="A2951">
        <v>508</v>
      </c>
      <c r="B2951" t="s">
        <v>189</v>
      </c>
      <c r="C2951">
        <v>202602</v>
      </c>
      <c r="D2951">
        <v>31041</v>
      </c>
      <c r="E2951">
        <v>76.701260192735361</v>
      </c>
      <c r="F2951">
        <v>404.7</v>
      </c>
    </row>
    <row r="2952" spans="1:6" x14ac:dyDescent="0.35">
      <c r="A2952">
        <v>507</v>
      </c>
      <c r="B2952" t="s">
        <v>189</v>
      </c>
      <c r="C2952">
        <v>202602</v>
      </c>
      <c r="D2952">
        <v>27211</v>
      </c>
      <c r="E2952">
        <v>100.78148148148148</v>
      </c>
      <c r="F2952">
        <v>270</v>
      </c>
    </row>
    <row r="2953" spans="1:6" x14ac:dyDescent="0.35">
      <c r="A2953">
        <v>520</v>
      </c>
      <c r="B2953" t="s">
        <v>189</v>
      </c>
      <c r="C2953">
        <v>202602</v>
      </c>
      <c r="D2953">
        <v>417</v>
      </c>
      <c r="E2953">
        <v>6.132352941176471</v>
      </c>
      <c r="F2953">
        <v>68</v>
      </c>
    </row>
    <row r="2954" spans="1:6" x14ac:dyDescent="0.35">
      <c r="A2954">
        <v>521</v>
      </c>
      <c r="B2954" t="s">
        <v>189</v>
      </c>
      <c r="C2954">
        <v>202602</v>
      </c>
      <c r="D2954">
        <v>2900</v>
      </c>
      <c r="E2954">
        <v>25</v>
      </c>
      <c r="F2954">
        <v>116</v>
      </c>
    </row>
    <row r="2955" spans="1:6" x14ac:dyDescent="0.35">
      <c r="A2955">
        <v>784</v>
      </c>
      <c r="B2955" t="s">
        <v>189</v>
      </c>
      <c r="C2955">
        <v>202602</v>
      </c>
      <c r="D2955">
        <v>599</v>
      </c>
      <c r="E2955">
        <v>1.776393831553974</v>
      </c>
      <c r="F2955">
        <v>337.2</v>
      </c>
    </row>
    <row r="2956" spans="1:6" x14ac:dyDescent="0.35">
      <c r="A2956">
        <v>785</v>
      </c>
      <c r="B2956" t="s">
        <v>189</v>
      </c>
      <c r="C2956">
        <v>202602</v>
      </c>
      <c r="D2956">
        <v>887</v>
      </c>
      <c r="E2956">
        <v>1.5777303450729276</v>
      </c>
      <c r="F2956">
        <v>562.20000000000005</v>
      </c>
    </row>
    <row r="2957" spans="1:6" x14ac:dyDescent="0.35">
      <c r="A2957">
        <v>758</v>
      </c>
      <c r="B2957" t="s">
        <v>189</v>
      </c>
      <c r="C2957">
        <v>202602</v>
      </c>
      <c r="D2957">
        <v>5152</v>
      </c>
      <c r="E2957">
        <v>7.6363259074806944</v>
      </c>
      <c r="F2957">
        <v>674.67</v>
      </c>
    </row>
    <row r="2958" spans="1:6" x14ac:dyDescent="0.35">
      <c r="A2958">
        <v>757</v>
      </c>
      <c r="B2958" t="s">
        <v>189</v>
      </c>
      <c r="C2958">
        <v>202602</v>
      </c>
      <c r="D2958">
        <v>10582</v>
      </c>
      <c r="E2958">
        <v>21.388147788826906</v>
      </c>
      <c r="F2958">
        <v>494.76</v>
      </c>
    </row>
    <row r="2959" spans="1:6" x14ac:dyDescent="0.35">
      <c r="A2959">
        <v>580</v>
      </c>
      <c r="B2959" t="s">
        <v>189</v>
      </c>
      <c r="C2959">
        <v>202602</v>
      </c>
      <c r="D2959">
        <v>0</v>
      </c>
      <c r="E2959">
        <v>0</v>
      </c>
      <c r="F2959">
        <v>270.68</v>
      </c>
    </row>
    <row r="2960" spans="1:6" x14ac:dyDescent="0.35">
      <c r="A2960">
        <v>582</v>
      </c>
      <c r="B2960" t="s">
        <v>189</v>
      </c>
      <c r="C2960">
        <v>202602</v>
      </c>
      <c r="D2960">
        <v>971</v>
      </c>
      <c r="E2960">
        <v>3.2285951787198668</v>
      </c>
      <c r="F2960">
        <v>300.75</v>
      </c>
    </row>
    <row r="2961" spans="1:6" x14ac:dyDescent="0.35">
      <c r="A2961">
        <v>594</v>
      </c>
      <c r="B2961" t="s">
        <v>189</v>
      </c>
      <c r="C2961">
        <v>202602</v>
      </c>
      <c r="D2961">
        <v>13442</v>
      </c>
      <c r="E2961">
        <v>79.65629629629629</v>
      </c>
      <c r="F2961">
        <v>168.75</v>
      </c>
    </row>
    <row r="2962" spans="1:6" x14ac:dyDescent="0.35">
      <c r="A2962">
        <v>595</v>
      </c>
      <c r="B2962" t="s">
        <v>189</v>
      </c>
      <c r="C2962">
        <v>202602</v>
      </c>
      <c r="D2962">
        <v>30046</v>
      </c>
      <c r="E2962">
        <v>400.61333333333334</v>
      </c>
      <c r="F2962">
        <v>75</v>
      </c>
    </row>
    <row r="2963" spans="1:6" x14ac:dyDescent="0.35">
      <c r="A2963">
        <v>603</v>
      </c>
      <c r="B2963" t="s">
        <v>189</v>
      </c>
      <c r="C2963">
        <v>202602</v>
      </c>
      <c r="D2963">
        <v>4361</v>
      </c>
      <c r="E2963">
        <v>19.334101791097712</v>
      </c>
      <c r="F2963">
        <v>225.56</v>
      </c>
    </row>
    <row r="2964" spans="1:6" x14ac:dyDescent="0.35">
      <c r="A2964">
        <v>606</v>
      </c>
      <c r="B2964" t="s">
        <v>189</v>
      </c>
      <c r="C2964">
        <v>202602</v>
      </c>
      <c r="D2964">
        <v>5313</v>
      </c>
      <c r="E2964">
        <v>20.250028585585241</v>
      </c>
      <c r="F2964">
        <v>262.37</v>
      </c>
    </row>
    <row r="2965" spans="1:6" x14ac:dyDescent="0.35">
      <c r="A2965">
        <v>772</v>
      </c>
      <c r="B2965" t="s">
        <v>189</v>
      </c>
      <c r="C2965">
        <v>202602</v>
      </c>
      <c r="D2965">
        <v>335</v>
      </c>
      <c r="E2965">
        <v>1.6551383399209485</v>
      </c>
      <c r="F2965">
        <v>202.4</v>
      </c>
    </row>
    <row r="2966" spans="1:6" x14ac:dyDescent="0.35">
      <c r="A2966">
        <v>615</v>
      </c>
      <c r="B2966" t="s">
        <v>189</v>
      </c>
      <c r="C2966">
        <v>202602</v>
      </c>
      <c r="D2966">
        <v>6193</v>
      </c>
      <c r="E2966">
        <v>22.879414807152358</v>
      </c>
      <c r="F2966">
        <v>270.68</v>
      </c>
    </row>
    <row r="2967" spans="1:6" x14ac:dyDescent="0.35">
      <c r="A2967">
        <v>617</v>
      </c>
      <c r="B2967" t="s">
        <v>189</v>
      </c>
      <c r="C2967">
        <v>202602</v>
      </c>
      <c r="D2967">
        <v>1780</v>
      </c>
      <c r="E2967">
        <v>3.9555555555555557</v>
      </c>
      <c r="F2967">
        <v>450</v>
      </c>
    </row>
    <row r="2968" spans="1:6" x14ac:dyDescent="0.35">
      <c r="A2968">
        <v>751</v>
      </c>
      <c r="B2968" t="s">
        <v>189</v>
      </c>
      <c r="C2968">
        <v>202602</v>
      </c>
      <c r="D2968">
        <v>257</v>
      </c>
      <c r="E2968">
        <v>1.2659474902714152</v>
      </c>
      <c r="F2968">
        <v>203.01</v>
      </c>
    </row>
    <row r="2969" spans="1:6" x14ac:dyDescent="0.35">
      <c r="A2969">
        <v>752</v>
      </c>
      <c r="B2969" t="s">
        <v>189</v>
      </c>
      <c r="C2969">
        <v>202602</v>
      </c>
      <c r="D2969">
        <v>1752</v>
      </c>
      <c r="E2969">
        <v>5.0656334933209965</v>
      </c>
      <c r="F2969">
        <v>345.86</v>
      </c>
    </row>
    <row r="2970" spans="1:6" x14ac:dyDescent="0.35">
      <c r="A2970">
        <v>753</v>
      </c>
      <c r="B2970" t="s">
        <v>189</v>
      </c>
      <c r="C2970">
        <v>202602</v>
      </c>
      <c r="D2970">
        <v>2955</v>
      </c>
      <c r="E2970">
        <v>6.0464069405794723</v>
      </c>
      <c r="F2970">
        <v>488.72</v>
      </c>
    </row>
    <row r="2971" spans="1:6" x14ac:dyDescent="0.35">
      <c r="A2971">
        <v>754</v>
      </c>
      <c r="B2971" t="s">
        <v>189</v>
      </c>
      <c r="C2971">
        <v>202602</v>
      </c>
      <c r="D2971">
        <v>610</v>
      </c>
      <c r="E2971">
        <v>1.0141144785622849</v>
      </c>
      <c r="F2971">
        <v>601.51</v>
      </c>
    </row>
    <row r="2972" spans="1:6" x14ac:dyDescent="0.35">
      <c r="A2972">
        <v>614</v>
      </c>
      <c r="B2972" t="s">
        <v>189</v>
      </c>
      <c r="C2972">
        <v>202602</v>
      </c>
      <c r="D2972">
        <v>11582</v>
      </c>
      <c r="E2972">
        <v>20.601209533973673</v>
      </c>
      <c r="F2972">
        <v>562.20000000000005</v>
      </c>
    </row>
    <row r="2973" spans="1:6" x14ac:dyDescent="0.35">
      <c r="A2973">
        <v>797</v>
      </c>
      <c r="B2973" t="s">
        <v>189</v>
      </c>
      <c r="C2973">
        <v>202602</v>
      </c>
      <c r="D2973">
        <v>829</v>
      </c>
      <c r="E2973">
        <v>1.843041351711872</v>
      </c>
      <c r="F2973">
        <v>449.8</v>
      </c>
    </row>
    <row r="2974" spans="1:6" x14ac:dyDescent="0.35">
      <c r="A2974">
        <v>613</v>
      </c>
      <c r="B2974" t="s">
        <v>189</v>
      </c>
      <c r="C2974">
        <v>202602</v>
      </c>
      <c r="D2974">
        <v>6960</v>
      </c>
      <c r="E2974">
        <v>23.794871794871796</v>
      </c>
      <c r="F2974">
        <v>292.5</v>
      </c>
    </row>
    <row r="2975" spans="1:6" x14ac:dyDescent="0.35">
      <c r="A2975">
        <v>767</v>
      </c>
      <c r="B2975" t="s">
        <v>189</v>
      </c>
      <c r="C2975">
        <v>202602</v>
      </c>
      <c r="D2975">
        <v>6315</v>
      </c>
      <c r="E2975">
        <v>10.528509503167724</v>
      </c>
      <c r="F2975">
        <v>599.79999999999995</v>
      </c>
    </row>
    <row r="2976" spans="1:6" x14ac:dyDescent="0.35">
      <c r="A2976">
        <v>807</v>
      </c>
      <c r="B2976" t="s">
        <v>189</v>
      </c>
      <c r="C2976">
        <v>202602</v>
      </c>
      <c r="D2976">
        <v>710</v>
      </c>
      <c r="E2976">
        <v>3.55</v>
      </c>
      <c r="F2976">
        <v>200</v>
      </c>
    </row>
    <row r="2977" spans="1:6" x14ac:dyDescent="0.35">
      <c r="A2977">
        <v>808</v>
      </c>
      <c r="B2977" t="s">
        <v>189</v>
      </c>
      <c r="C2977">
        <v>202602</v>
      </c>
      <c r="D2977">
        <v>1030</v>
      </c>
      <c r="E2977">
        <v>3.4946054149419825</v>
      </c>
      <c r="F2977">
        <v>294.74</v>
      </c>
    </row>
    <row r="2978" spans="1:6" x14ac:dyDescent="0.35">
      <c r="A2978">
        <v>502</v>
      </c>
      <c r="B2978" t="s">
        <v>190</v>
      </c>
      <c r="C2978">
        <v>202602</v>
      </c>
      <c r="D2978">
        <v>45930</v>
      </c>
      <c r="E2978">
        <v>147.57100629739108</v>
      </c>
      <c r="F2978">
        <v>311.24</v>
      </c>
    </row>
    <row r="2979" spans="1:6" x14ac:dyDescent="0.35">
      <c r="A2979">
        <v>504</v>
      </c>
      <c r="B2979" t="s">
        <v>190</v>
      </c>
      <c r="C2979">
        <v>202602</v>
      </c>
      <c r="D2979">
        <v>76064</v>
      </c>
      <c r="E2979">
        <v>174.25488534054202</v>
      </c>
      <c r="F2979">
        <v>436.51</v>
      </c>
    </row>
    <row r="2980" spans="1:6" x14ac:dyDescent="0.35">
      <c r="A2980">
        <v>505</v>
      </c>
      <c r="B2980" t="s">
        <v>190</v>
      </c>
      <c r="C2980">
        <v>202602</v>
      </c>
      <c r="D2980">
        <v>28127</v>
      </c>
      <c r="E2980">
        <v>75.57364715997636</v>
      </c>
      <c r="F2980">
        <v>372.18</v>
      </c>
    </row>
    <row r="2981" spans="1:6" x14ac:dyDescent="0.35">
      <c r="A2981">
        <v>506</v>
      </c>
      <c r="B2981" t="s">
        <v>190</v>
      </c>
      <c r="C2981">
        <v>202602</v>
      </c>
      <c r="D2981">
        <v>25011</v>
      </c>
      <c r="E2981">
        <v>52.800354662331905</v>
      </c>
      <c r="F2981">
        <v>473.69</v>
      </c>
    </row>
    <row r="2982" spans="1:6" x14ac:dyDescent="0.35">
      <c r="A2982">
        <v>508</v>
      </c>
      <c r="B2982" t="s">
        <v>190</v>
      </c>
      <c r="C2982">
        <v>202602</v>
      </c>
      <c r="D2982">
        <v>34117</v>
      </c>
      <c r="E2982">
        <v>84.301952063256735</v>
      </c>
      <c r="F2982">
        <v>404.7</v>
      </c>
    </row>
    <row r="2983" spans="1:6" x14ac:dyDescent="0.35">
      <c r="A2983">
        <v>507</v>
      </c>
      <c r="B2983" t="s">
        <v>190</v>
      </c>
      <c r="C2983">
        <v>202602</v>
      </c>
      <c r="D2983">
        <v>30786</v>
      </c>
      <c r="E2983">
        <v>114.02222222222223</v>
      </c>
      <c r="F2983">
        <v>270</v>
      </c>
    </row>
    <row r="2984" spans="1:6" x14ac:dyDescent="0.35">
      <c r="A2984">
        <v>520</v>
      </c>
      <c r="B2984" t="s">
        <v>190</v>
      </c>
      <c r="C2984">
        <v>202602</v>
      </c>
      <c r="D2984">
        <v>463</v>
      </c>
      <c r="E2984">
        <v>6.8088235294117645</v>
      </c>
      <c r="F2984">
        <v>68</v>
      </c>
    </row>
    <row r="2985" spans="1:6" x14ac:dyDescent="0.35">
      <c r="A2985">
        <v>521</v>
      </c>
      <c r="B2985" t="s">
        <v>190</v>
      </c>
      <c r="C2985">
        <v>202602</v>
      </c>
      <c r="D2985">
        <v>4277</v>
      </c>
      <c r="E2985">
        <v>36.870689655172413</v>
      </c>
      <c r="F2985">
        <v>116</v>
      </c>
    </row>
    <row r="2986" spans="1:6" x14ac:dyDescent="0.35">
      <c r="A2986">
        <v>784</v>
      </c>
      <c r="B2986" t="s">
        <v>190</v>
      </c>
      <c r="C2986">
        <v>202602</v>
      </c>
      <c r="D2986">
        <v>593</v>
      </c>
      <c r="E2986">
        <v>1.7586002372479241</v>
      </c>
      <c r="F2986">
        <v>337.2</v>
      </c>
    </row>
    <row r="2987" spans="1:6" x14ac:dyDescent="0.35">
      <c r="A2987">
        <v>785</v>
      </c>
      <c r="B2987" t="s">
        <v>190</v>
      </c>
      <c r="C2987">
        <v>202602</v>
      </c>
      <c r="D2987">
        <v>807</v>
      </c>
      <c r="E2987">
        <v>1.4354322305229454</v>
      </c>
      <c r="F2987">
        <v>562.20000000000005</v>
      </c>
    </row>
    <row r="2988" spans="1:6" x14ac:dyDescent="0.35">
      <c r="A2988">
        <v>758</v>
      </c>
      <c r="B2988" t="s">
        <v>190</v>
      </c>
      <c r="C2988">
        <v>202602</v>
      </c>
      <c r="D2988">
        <v>5480</v>
      </c>
      <c r="E2988">
        <v>8.1224895133917325</v>
      </c>
      <c r="F2988">
        <v>674.67</v>
      </c>
    </row>
    <row r="2989" spans="1:6" x14ac:dyDescent="0.35">
      <c r="A2989">
        <v>757</v>
      </c>
      <c r="B2989" t="s">
        <v>190</v>
      </c>
      <c r="C2989">
        <v>202602</v>
      </c>
      <c r="D2989">
        <v>12124</v>
      </c>
      <c r="E2989">
        <v>24.504810413129597</v>
      </c>
      <c r="F2989">
        <v>494.76</v>
      </c>
    </row>
    <row r="2990" spans="1:6" x14ac:dyDescent="0.35">
      <c r="A2990">
        <v>580</v>
      </c>
      <c r="B2990" t="s">
        <v>190</v>
      </c>
      <c r="C2990">
        <v>202602</v>
      </c>
      <c r="D2990">
        <v>0</v>
      </c>
      <c r="E2990">
        <v>0</v>
      </c>
      <c r="F2990">
        <v>270.68</v>
      </c>
    </row>
    <row r="2991" spans="1:6" x14ac:dyDescent="0.35">
      <c r="A2991">
        <v>582</v>
      </c>
      <c r="B2991" t="s">
        <v>190</v>
      </c>
      <c r="C2991">
        <v>202602</v>
      </c>
      <c r="D2991">
        <v>2899</v>
      </c>
      <c r="E2991">
        <v>9.6392352452202825</v>
      </c>
      <c r="F2991">
        <v>300.75</v>
      </c>
    </row>
    <row r="2992" spans="1:6" x14ac:dyDescent="0.35">
      <c r="A2992">
        <v>594</v>
      </c>
      <c r="B2992" t="s">
        <v>190</v>
      </c>
      <c r="C2992">
        <v>202602</v>
      </c>
      <c r="D2992">
        <v>20253</v>
      </c>
      <c r="E2992">
        <v>120.01777777777778</v>
      </c>
      <c r="F2992">
        <v>168.75</v>
      </c>
    </row>
    <row r="2993" spans="1:6" x14ac:dyDescent="0.35">
      <c r="A2993">
        <v>595</v>
      </c>
      <c r="B2993" t="s">
        <v>190</v>
      </c>
      <c r="C2993">
        <v>202602</v>
      </c>
      <c r="D2993">
        <v>24691</v>
      </c>
      <c r="E2993">
        <v>329.21333333333331</v>
      </c>
      <c r="F2993">
        <v>75</v>
      </c>
    </row>
    <row r="2994" spans="1:6" x14ac:dyDescent="0.35">
      <c r="A2994">
        <v>603</v>
      </c>
      <c r="B2994" t="s">
        <v>190</v>
      </c>
      <c r="C2994">
        <v>202602</v>
      </c>
      <c r="D2994">
        <v>5997</v>
      </c>
      <c r="E2994">
        <v>26.587160844121296</v>
      </c>
      <c r="F2994">
        <v>225.56</v>
      </c>
    </row>
    <row r="2995" spans="1:6" x14ac:dyDescent="0.35">
      <c r="A2995">
        <v>606</v>
      </c>
      <c r="B2995" t="s">
        <v>190</v>
      </c>
      <c r="C2995">
        <v>202602</v>
      </c>
      <c r="D2995">
        <v>8961</v>
      </c>
      <c r="E2995">
        <v>34.154057247398711</v>
      </c>
      <c r="F2995">
        <v>262.37</v>
      </c>
    </row>
    <row r="2996" spans="1:6" x14ac:dyDescent="0.35">
      <c r="A2996">
        <v>772</v>
      </c>
      <c r="B2996" t="s">
        <v>190</v>
      </c>
      <c r="C2996">
        <v>202602</v>
      </c>
      <c r="D2996">
        <v>458</v>
      </c>
      <c r="E2996">
        <v>2.2628458498023716</v>
      </c>
      <c r="F2996">
        <v>202.4</v>
      </c>
    </row>
    <row r="2997" spans="1:6" x14ac:dyDescent="0.35">
      <c r="A2997">
        <v>615</v>
      </c>
      <c r="B2997" t="s">
        <v>190</v>
      </c>
      <c r="C2997">
        <v>202602</v>
      </c>
      <c r="D2997">
        <v>9081</v>
      </c>
      <c r="E2997">
        <v>33.548839958622729</v>
      </c>
      <c r="F2997">
        <v>270.68</v>
      </c>
    </row>
    <row r="2998" spans="1:6" x14ac:dyDescent="0.35">
      <c r="A2998">
        <v>617</v>
      </c>
      <c r="B2998" t="s">
        <v>190</v>
      </c>
      <c r="C2998">
        <v>202602</v>
      </c>
      <c r="D2998">
        <v>2576</v>
      </c>
      <c r="E2998">
        <v>5.724444444444444</v>
      </c>
      <c r="F2998">
        <v>450</v>
      </c>
    </row>
    <row r="2999" spans="1:6" x14ac:dyDescent="0.35">
      <c r="A2999">
        <v>751</v>
      </c>
      <c r="B2999" t="s">
        <v>190</v>
      </c>
      <c r="C2999">
        <v>202602</v>
      </c>
      <c r="D2999">
        <v>297</v>
      </c>
      <c r="E2999">
        <v>1.4629821191074333</v>
      </c>
      <c r="F2999">
        <v>203.01</v>
      </c>
    </row>
    <row r="3000" spans="1:6" x14ac:dyDescent="0.35">
      <c r="A3000">
        <v>752</v>
      </c>
      <c r="B3000" t="s">
        <v>190</v>
      </c>
      <c r="C3000">
        <v>202602</v>
      </c>
      <c r="D3000">
        <v>5905</v>
      </c>
      <c r="E3000">
        <v>17.07338229341352</v>
      </c>
      <c r="F3000">
        <v>345.86</v>
      </c>
    </row>
    <row r="3001" spans="1:6" x14ac:dyDescent="0.35">
      <c r="A3001">
        <v>753</v>
      </c>
      <c r="B3001" t="s">
        <v>190</v>
      </c>
      <c r="C3001">
        <v>202602</v>
      </c>
      <c r="D3001">
        <v>9053</v>
      </c>
      <c r="E3001">
        <v>18.523899165166146</v>
      </c>
      <c r="F3001">
        <v>488.72</v>
      </c>
    </row>
    <row r="3002" spans="1:6" x14ac:dyDescent="0.35">
      <c r="A3002">
        <v>754</v>
      </c>
      <c r="B3002" t="s">
        <v>190</v>
      </c>
      <c r="C3002">
        <v>202602</v>
      </c>
      <c r="D3002">
        <v>3240</v>
      </c>
      <c r="E3002">
        <v>5.3864441156423002</v>
      </c>
      <c r="F3002">
        <v>601.51</v>
      </c>
    </row>
    <row r="3003" spans="1:6" x14ac:dyDescent="0.35">
      <c r="A3003">
        <v>614</v>
      </c>
      <c r="B3003" t="s">
        <v>190</v>
      </c>
      <c r="C3003">
        <v>202602</v>
      </c>
      <c r="D3003">
        <v>12528</v>
      </c>
      <c r="E3003">
        <v>22.283884738527213</v>
      </c>
      <c r="F3003">
        <v>562.20000000000005</v>
      </c>
    </row>
    <row r="3004" spans="1:6" x14ac:dyDescent="0.35">
      <c r="A3004">
        <v>797</v>
      </c>
      <c r="B3004" t="s">
        <v>190</v>
      </c>
      <c r="C3004">
        <v>202602</v>
      </c>
      <c r="D3004">
        <v>763</v>
      </c>
      <c r="E3004">
        <v>1.6963094708759447</v>
      </c>
      <c r="F3004">
        <v>449.8</v>
      </c>
    </row>
    <row r="3005" spans="1:6" x14ac:dyDescent="0.35">
      <c r="A3005">
        <v>613</v>
      </c>
      <c r="B3005" t="s">
        <v>190</v>
      </c>
      <c r="C3005">
        <v>202602</v>
      </c>
      <c r="D3005">
        <v>6394</v>
      </c>
      <c r="E3005">
        <v>21.85982905982906</v>
      </c>
      <c r="F3005">
        <v>292.5</v>
      </c>
    </row>
    <row r="3006" spans="1:6" x14ac:dyDescent="0.35">
      <c r="A3006">
        <v>767</v>
      </c>
      <c r="B3006" t="s">
        <v>190</v>
      </c>
      <c r="C3006">
        <v>202602</v>
      </c>
      <c r="D3006">
        <v>9650</v>
      </c>
      <c r="E3006">
        <v>16.088696232077361</v>
      </c>
      <c r="F3006">
        <v>599.79999999999995</v>
      </c>
    </row>
    <row r="3007" spans="1:6" x14ac:dyDescent="0.35">
      <c r="A3007">
        <v>807</v>
      </c>
      <c r="B3007" t="s">
        <v>190</v>
      </c>
      <c r="C3007">
        <v>202602</v>
      </c>
      <c r="D3007">
        <v>1565</v>
      </c>
      <c r="E3007">
        <v>7.8250000000000002</v>
      </c>
      <c r="F3007">
        <v>200</v>
      </c>
    </row>
    <row r="3008" spans="1:6" x14ac:dyDescent="0.35">
      <c r="A3008">
        <v>808</v>
      </c>
      <c r="B3008" t="s">
        <v>190</v>
      </c>
      <c r="C3008">
        <v>202602</v>
      </c>
      <c r="D3008">
        <v>2262</v>
      </c>
      <c r="E3008">
        <v>7.6745606297075391</v>
      </c>
      <c r="F3008">
        <v>294.74</v>
      </c>
    </row>
    <row r="3009" spans="1:6" x14ac:dyDescent="0.35">
      <c r="A3009">
        <v>502</v>
      </c>
      <c r="B3009" t="s">
        <v>191</v>
      </c>
      <c r="C3009">
        <v>202602</v>
      </c>
      <c r="D3009">
        <v>27845</v>
      </c>
      <c r="E3009">
        <v>89.464721758128775</v>
      </c>
      <c r="F3009">
        <v>311.24</v>
      </c>
    </row>
    <row r="3010" spans="1:6" x14ac:dyDescent="0.35">
      <c r="A3010">
        <v>504</v>
      </c>
      <c r="B3010" t="s">
        <v>191</v>
      </c>
      <c r="C3010">
        <v>202602</v>
      </c>
      <c r="D3010">
        <v>46283</v>
      </c>
      <c r="E3010">
        <v>106.02964422350004</v>
      </c>
      <c r="F3010">
        <v>436.51</v>
      </c>
    </row>
    <row r="3011" spans="1:6" x14ac:dyDescent="0.35">
      <c r="A3011">
        <v>505</v>
      </c>
      <c r="B3011" t="s">
        <v>191</v>
      </c>
      <c r="C3011">
        <v>202602</v>
      </c>
      <c r="D3011">
        <v>18582</v>
      </c>
      <c r="E3011">
        <v>49.927454457520554</v>
      </c>
      <c r="F3011">
        <v>372.18</v>
      </c>
    </row>
    <row r="3012" spans="1:6" x14ac:dyDescent="0.35">
      <c r="A3012">
        <v>506</v>
      </c>
      <c r="B3012" t="s">
        <v>191</v>
      </c>
      <c r="C3012">
        <v>202602</v>
      </c>
      <c r="D3012">
        <v>17249</v>
      </c>
      <c r="E3012">
        <v>36.414110494205069</v>
      </c>
      <c r="F3012">
        <v>473.69</v>
      </c>
    </row>
    <row r="3013" spans="1:6" x14ac:dyDescent="0.35">
      <c r="A3013">
        <v>508</v>
      </c>
      <c r="B3013" t="s">
        <v>191</v>
      </c>
      <c r="C3013">
        <v>202602</v>
      </c>
      <c r="D3013">
        <v>25142</v>
      </c>
      <c r="E3013">
        <v>62.125030887076846</v>
      </c>
      <c r="F3013">
        <v>404.7</v>
      </c>
    </row>
    <row r="3014" spans="1:6" x14ac:dyDescent="0.35">
      <c r="A3014">
        <v>507</v>
      </c>
      <c r="B3014" t="s">
        <v>191</v>
      </c>
      <c r="C3014">
        <v>202602</v>
      </c>
      <c r="D3014">
        <v>21757</v>
      </c>
      <c r="E3014">
        <v>80.581481481481475</v>
      </c>
      <c r="F3014">
        <v>270</v>
      </c>
    </row>
    <row r="3015" spans="1:6" x14ac:dyDescent="0.35">
      <c r="A3015">
        <v>520</v>
      </c>
      <c r="B3015" t="s">
        <v>191</v>
      </c>
      <c r="C3015">
        <v>202602</v>
      </c>
      <c r="D3015">
        <v>228</v>
      </c>
      <c r="E3015">
        <v>3.3529411764705883</v>
      </c>
      <c r="F3015">
        <v>68</v>
      </c>
    </row>
    <row r="3016" spans="1:6" x14ac:dyDescent="0.35">
      <c r="A3016">
        <v>521</v>
      </c>
      <c r="B3016" t="s">
        <v>191</v>
      </c>
      <c r="C3016">
        <v>202602</v>
      </c>
      <c r="D3016">
        <v>1697</v>
      </c>
      <c r="E3016">
        <v>14.629310344827585</v>
      </c>
      <c r="F3016">
        <v>116</v>
      </c>
    </row>
    <row r="3017" spans="1:6" x14ac:dyDescent="0.35">
      <c r="A3017">
        <v>784</v>
      </c>
      <c r="B3017" t="s">
        <v>191</v>
      </c>
      <c r="C3017">
        <v>202602</v>
      </c>
      <c r="D3017">
        <v>293</v>
      </c>
      <c r="E3017">
        <v>0.86892052194543301</v>
      </c>
      <c r="F3017">
        <v>337.2</v>
      </c>
    </row>
    <row r="3018" spans="1:6" x14ac:dyDescent="0.35">
      <c r="A3018">
        <v>785</v>
      </c>
      <c r="B3018" t="s">
        <v>191</v>
      </c>
      <c r="C3018">
        <v>202602</v>
      </c>
      <c r="D3018">
        <v>716</v>
      </c>
      <c r="E3018">
        <v>1.2735681252223408</v>
      </c>
      <c r="F3018">
        <v>562.20000000000005</v>
      </c>
    </row>
    <row r="3019" spans="1:6" x14ac:dyDescent="0.35">
      <c r="A3019">
        <v>758</v>
      </c>
      <c r="B3019" t="s">
        <v>191</v>
      </c>
      <c r="C3019">
        <v>202602</v>
      </c>
      <c r="D3019">
        <v>4308</v>
      </c>
      <c r="E3019">
        <v>6.3853439459291215</v>
      </c>
      <c r="F3019">
        <v>674.67</v>
      </c>
    </row>
    <row r="3020" spans="1:6" x14ac:dyDescent="0.35">
      <c r="A3020">
        <v>757</v>
      </c>
      <c r="B3020" t="s">
        <v>191</v>
      </c>
      <c r="C3020">
        <v>202602</v>
      </c>
      <c r="D3020">
        <v>9181</v>
      </c>
      <c r="E3020">
        <v>18.556471824723097</v>
      </c>
      <c r="F3020">
        <v>494.76</v>
      </c>
    </row>
    <row r="3021" spans="1:6" x14ac:dyDescent="0.35">
      <c r="A3021">
        <v>580</v>
      </c>
      <c r="B3021" t="s">
        <v>191</v>
      </c>
      <c r="C3021">
        <v>202602</v>
      </c>
      <c r="D3021">
        <v>0</v>
      </c>
      <c r="E3021">
        <v>0</v>
      </c>
      <c r="F3021">
        <v>270.68</v>
      </c>
    </row>
    <row r="3022" spans="1:6" x14ac:dyDescent="0.35">
      <c r="A3022">
        <v>582</v>
      </c>
      <c r="B3022" t="s">
        <v>191</v>
      </c>
      <c r="C3022">
        <v>202602</v>
      </c>
      <c r="D3022">
        <v>2666</v>
      </c>
      <c r="E3022">
        <v>8.8645054031587698</v>
      </c>
      <c r="F3022">
        <v>300.75</v>
      </c>
    </row>
    <row r="3023" spans="1:6" x14ac:dyDescent="0.35">
      <c r="A3023">
        <v>594</v>
      </c>
      <c r="B3023" t="s">
        <v>191</v>
      </c>
      <c r="C3023">
        <v>202602</v>
      </c>
      <c r="D3023">
        <v>13081</v>
      </c>
      <c r="E3023">
        <v>77.517037037037042</v>
      </c>
      <c r="F3023">
        <v>168.75</v>
      </c>
    </row>
    <row r="3024" spans="1:6" x14ac:dyDescent="0.35">
      <c r="A3024">
        <v>595</v>
      </c>
      <c r="B3024" t="s">
        <v>191</v>
      </c>
      <c r="C3024">
        <v>202602</v>
      </c>
      <c r="D3024">
        <v>9338</v>
      </c>
      <c r="E3024">
        <v>124.50666666666666</v>
      </c>
      <c r="F3024">
        <v>75</v>
      </c>
    </row>
    <row r="3025" spans="1:6" x14ac:dyDescent="0.35">
      <c r="A3025">
        <v>603</v>
      </c>
      <c r="B3025" t="s">
        <v>191</v>
      </c>
      <c r="C3025">
        <v>202602</v>
      </c>
      <c r="D3025">
        <v>5064</v>
      </c>
      <c r="E3025">
        <v>22.450789147011882</v>
      </c>
      <c r="F3025">
        <v>225.56</v>
      </c>
    </row>
    <row r="3026" spans="1:6" x14ac:dyDescent="0.35">
      <c r="A3026">
        <v>606</v>
      </c>
      <c r="B3026" t="s">
        <v>191</v>
      </c>
      <c r="C3026">
        <v>202602</v>
      </c>
      <c r="D3026">
        <v>7094</v>
      </c>
      <c r="E3026">
        <v>27.038152227769942</v>
      </c>
      <c r="F3026">
        <v>262.37</v>
      </c>
    </row>
    <row r="3027" spans="1:6" x14ac:dyDescent="0.35">
      <c r="A3027">
        <v>772</v>
      </c>
      <c r="B3027" t="s">
        <v>191</v>
      </c>
      <c r="C3027">
        <v>202602</v>
      </c>
      <c r="D3027">
        <v>356</v>
      </c>
      <c r="E3027">
        <v>1.7588932806324111</v>
      </c>
      <c r="F3027">
        <v>202.4</v>
      </c>
    </row>
    <row r="3028" spans="1:6" x14ac:dyDescent="0.35">
      <c r="A3028">
        <v>615</v>
      </c>
      <c r="B3028" t="s">
        <v>191</v>
      </c>
      <c r="C3028">
        <v>202602</v>
      </c>
      <c r="D3028">
        <v>5336</v>
      </c>
      <c r="E3028">
        <v>19.713314615043593</v>
      </c>
      <c r="F3028">
        <v>270.68</v>
      </c>
    </row>
    <row r="3029" spans="1:6" x14ac:dyDescent="0.35">
      <c r="A3029">
        <v>617</v>
      </c>
      <c r="B3029" t="s">
        <v>191</v>
      </c>
      <c r="C3029">
        <v>202602</v>
      </c>
      <c r="D3029">
        <v>2279</v>
      </c>
      <c r="E3029">
        <v>5.0644444444444447</v>
      </c>
      <c r="F3029">
        <v>450</v>
      </c>
    </row>
    <row r="3030" spans="1:6" x14ac:dyDescent="0.35">
      <c r="A3030">
        <v>751</v>
      </c>
      <c r="B3030" t="s">
        <v>191</v>
      </c>
      <c r="C3030">
        <v>202602</v>
      </c>
      <c r="D3030">
        <v>301</v>
      </c>
      <c r="E3030">
        <v>1.482685581991035</v>
      </c>
      <c r="F3030">
        <v>203.01</v>
      </c>
    </row>
    <row r="3031" spans="1:6" x14ac:dyDescent="0.35">
      <c r="A3031">
        <v>752</v>
      </c>
      <c r="B3031" t="s">
        <v>191</v>
      </c>
      <c r="C3031">
        <v>202602</v>
      </c>
      <c r="D3031">
        <v>1454</v>
      </c>
      <c r="E3031">
        <v>4.2040131845255306</v>
      </c>
      <c r="F3031">
        <v>345.86</v>
      </c>
    </row>
    <row r="3032" spans="1:6" x14ac:dyDescent="0.35">
      <c r="A3032">
        <v>753</v>
      </c>
      <c r="B3032" t="s">
        <v>191</v>
      </c>
      <c r="C3032">
        <v>202602</v>
      </c>
      <c r="D3032">
        <v>5139</v>
      </c>
      <c r="E3032">
        <v>10.515223440825011</v>
      </c>
      <c r="F3032">
        <v>488.72</v>
      </c>
    </row>
    <row r="3033" spans="1:6" x14ac:dyDescent="0.35">
      <c r="A3033">
        <v>754</v>
      </c>
      <c r="B3033" t="s">
        <v>191</v>
      </c>
      <c r="C3033">
        <v>202602</v>
      </c>
      <c r="D3033">
        <v>832</v>
      </c>
      <c r="E3033">
        <v>1.383185649448887</v>
      </c>
      <c r="F3033">
        <v>601.51</v>
      </c>
    </row>
    <row r="3034" spans="1:6" x14ac:dyDescent="0.35">
      <c r="A3034">
        <v>614</v>
      </c>
      <c r="B3034" t="s">
        <v>191</v>
      </c>
      <c r="C3034">
        <v>202602</v>
      </c>
      <c r="D3034">
        <v>8879</v>
      </c>
      <c r="E3034">
        <v>15.79331198861615</v>
      </c>
      <c r="F3034">
        <v>562.20000000000005</v>
      </c>
    </row>
    <row r="3035" spans="1:6" x14ac:dyDescent="0.35">
      <c r="A3035">
        <v>797</v>
      </c>
      <c r="B3035" t="s">
        <v>191</v>
      </c>
      <c r="C3035">
        <v>202602</v>
      </c>
      <c r="D3035">
        <v>1013</v>
      </c>
      <c r="E3035">
        <v>2.2521120497999112</v>
      </c>
      <c r="F3035">
        <v>449.8</v>
      </c>
    </row>
    <row r="3036" spans="1:6" x14ac:dyDescent="0.35">
      <c r="A3036">
        <v>613</v>
      </c>
      <c r="B3036" t="s">
        <v>191</v>
      </c>
      <c r="C3036">
        <v>202602</v>
      </c>
      <c r="D3036">
        <v>5480</v>
      </c>
      <c r="E3036">
        <v>18.735042735042736</v>
      </c>
      <c r="F3036">
        <v>292.5</v>
      </c>
    </row>
    <row r="3037" spans="1:6" x14ac:dyDescent="0.35">
      <c r="A3037">
        <v>767</v>
      </c>
      <c r="B3037" t="s">
        <v>191</v>
      </c>
      <c r="C3037">
        <v>202602</v>
      </c>
      <c r="D3037">
        <v>7887</v>
      </c>
      <c r="E3037">
        <v>13.149383127709237</v>
      </c>
      <c r="F3037">
        <v>599.79999999999995</v>
      </c>
    </row>
    <row r="3038" spans="1:6" x14ac:dyDescent="0.35">
      <c r="A3038">
        <v>807</v>
      </c>
      <c r="B3038" t="s">
        <v>191</v>
      </c>
      <c r="C3038">
        <v>202602</v>
      </c>
      <c r="D3038">
        <v>1385</v>
      </c>
      <c r="E3038">
        <v>6.9249999999999998</v>
      </c>
      <c r="F3038">
        <v>200</v>
      </c>
    </row>
    <row r="3039" spans="1:6" x14ac:dyDescent="0.35">
      <c r="A3039">
        <v>808</v>
      </c>
      <c r="B3039" t="s">
        <v>191</v>
      </c>
      <c r="C3039">
        <v>202602</v>
      </c>
      <c r="D3039">
        <v>1623</v>
      </c>
      <c r="E3039">
        <v>5.5065481441270272</v>
      </c>
      <c r="F3039">
        <v>294.74</v>
      </c>
    </row>
    <row r="3040" spans="1:6" x14ac:dyDescent="0.35">
      <c r="A3040">
        <v>502</v>
      </c>
      <c r="B3040" t="s">
        <v>192</v>
      </c>
      <c r="C3040">
        <v>202602</v>
      </c>
      <c r="D3040">
        <v>46674</v>
      </c>
      <c r="E3040">
        <v>149.96144454440304</v>
      </c>
      <c r="F3040">
        <v>311.24</v>
      </c>
    </row>
    <row r="3041" spans="1:6" x14ac:dyDescent="0.35">
      <c r="A3041">
        <v>504</v>
      </c>
      <c r="B3041" t="s">
        <v>192</v>
      </c>
      <c r="C3041">
        <v>202602</v>
      </c>
      <c r="D3041">
        <v>71687</v>
      </c>
      <c r="E3041">
        <v>164.22762365123364</v>
      </c>
      <c r="F3041">
        <v>436.51</v>
      </c>
    </row>
    <row r="3042" spans="1:6" x14ac:dyDescent="0.35">
      <c r="A3042">
        <v>505</v>
      </c>
      <c r="B3042" t="s">
        <v>192</v>
      </c>
      <c r="C3042">
        <v>202602</v>
      </c>
      <c r="D3042">
        <v>24028</v>
      </c>
      <c r="E3042">
        <v>64.560159062819068</v>
      </c>
      <c r="F3042">
        <v>372.18</v>
      </c>
    </row>
    <row r="3043" spans="1:6" x14ac:dyDescent="0.35">
      <c r="A3043">
        <v>506</v>
      </c>
      <c r="B3043" t="s">
        <v>192</v>
      </c>
      <c r="C3043">
        <v>202602</v>
      </c>
      <c r="D3043">
        <v>22863</v>
      </c>
      <c r="E3043">
        <v>48.265743418691549</v>
      </c>
      <c r="F3043">
        <v>473.69</v>
      </c>
    </row>
    <row r="3044" spans="1:6" x14ac:dyDescent="0.35">
      <c r="A3044">
        <v>508</v>
      </c>
      <c r="B3044" t="s">
        <v>192</v>
      </c>
      <c r="C3044">
        <v>202602</v>
      </c>
      <c r="D3044">
        <v>33219</v>
      </c>
      <c r="E3044">
        <v>82.083024462564865</v>
      </c>
      <c r="F3044">
        <v>404.7</v>
      </c>
    </row>
    <row r="3045" spans="1:6" x14ac:dyDescent="0.35">
      <c r="A3045">
        <v>507</v>
      </c>
      <c r="B3045" t="s">
        <v>192</v>
      </c>
      <c r="C3045">
        <v>202602</v>
      </c>
      <c r="D3045">
        <v>30574</v>
      </c>
      <c r="E3045">
        <v>113.23703703703704</v>
      </c>
      <c r="F3045">
        <v>270</v>
      </c>
    </row>
    <row r="3046" spans="1:6" x14ac:dyDescent="0.35">
      <c r="A3046">
        <v>520</v>
      </c>
      <c r="B3046" t="s">
        <v>192</v>
      </c>
      <c r="C3046">
        <v>202602</v>
      </c>
      <c r="D3046">
        <v>365</v>
      </c>
      <c r="E3046">
        <v>5.367647058823529</v>
      </c>
      <c r="F3046">
        <v>68</v>
      </c>
    </row>
    <row r="3047" spans="1:6" x14ac:dyDescent="0.35">
      <c r="A3047">
        <v>521</v>
      </c>
      <c r="B3047" t="s">
        <v>192</v>
      </c>
      <c r="C3047">
        <v>202602</v>
      </c>
      <c r="D3047">
        <v>3180</v>
      </c>
      <c r="E3047">
        <v>27.413793103448278</v>
      </c>
      <c r="F3047">
        <v>116</v>
      </c>
    </row>
    <row r="3048" spans="1:6" x14ac:dyDescent="0.35">
      <c r="A3048">
        <v>784</v>
      </c>
      <c r="B3048" t="s">
        <v>192</v>
      </c>
      <c r="C3048">
        <v>202602</v>
      </c>
      <c r="D3048">
        <v>663</v>
      </c>
      <c r="E3048">
        <v>1.9661921708185055</v>
      </c>
      <c r="F3048">
        <v>337.2</v>
      </c>
    </row>
    <row r="3049" spans="1:6" x14ac:dyDescent="0.35">
      <c r="A3049">
        <v>785</v>
      </c>
      <c r="B3049" t="s">
        <v>192</v>
      </c>
      <c r="C3049">
        <v>202602</v>
      </c>
      <c r="D3049">
        <v>821</v>
      </c>
      <c r="E3049">
        <v>1.4603344005691923</v>
      </c>
      <c r="F3049">
        <v>562.20000000000005</v>
      </c>
    </row>
    <row r="3050" spans="1:6" x14ac:dyDescent="0.35">
      <c r="A3050">
        <v>758</v>
      </c>
      <c r="B3050" t="s">
        <v>192</v>
      </c>
      <c r="C3050">
        <v>202602</v>
      </c>
      <c r="D3050">
        <v>4974</v>
      </c>
      <c r="E3050">
        <v>7.3724932189070218</v>
      </c>
      <c r="F3050">
        <v>674.67</v>
      </c>
    </row>
    <row r="3051" spans="1:6" x14ac:dyDescent="0.35">
      <c r="A3051">
        <v>757</v>
      </c>
      <c r="B3051" t="s">
        <v>192</v>
      </c>
      <c r="C3051">
        <v>202602</v>
      </c>
      <c r="D3051">
        <v>10973</v>
      </c>
      <c r="E3051">
        <v>22.178429945832324</v>
      </c>
      <c r="F3051">
        <v>494.76</v>
      </c>
    </row>
    <row r="3052" spans="1:6" x14ac:dyDescent="0.35">
      <c r="A3052">
        <v>580</v>
      </c>
      <c r="B3052" t="s">
        <v>192</v>
      </c>
      <c r="C3052">
        <v>202602</v>
      </c>
      <c r="D3052">
        <v>0</v>
      </c>
      <c r="E3052">
        <v>0</v>
      </c>
      <c r="F3052">
        <v>270.68</v>
      </c>
    </row>
    <row r="3053" spans="1:6" x14ac:dyDescent="0.35">
      <c r="A3053">
        <v>582</v>
      </c>
      <c r="B3053" t="s">
        <v>192</v>
      </c>
      <c r="C3053">
        <v>202602</v>
      </c>
      <c r="D3053">
        <v>1874</v>
      </c>
      <c r="E3053">
        <v>6.2310889443059017</v>
      </c>
      <c r="F3053">
        <v>300.75</v>
      </c>
    </row>
    <row r="3054" spans="1:6" x14ac:dyDescent="0.35">
      <c r="A3054">
        <v>594</v>
      </c>
      <c r="B3054" t="s">
        <v>192</v>
      </c>
      <c r="C3054">
        <v>202602</v>
      </c>
      <c r="D3054">
        <v>18006</v>
      </c>
      <c r="E3054">
        <v>106.70222222222222</v>
      </c>
      <c r="F3054">
        <v>168.75</v>
      </c>
    </row>
    <row r="3055" spans="1:6" x14ac:dyDescent="0.35">
      <c r="A3055">
        <v>595</v>
      </c>
      <c r="B3055" t="s">
        <v>192</v>
      </c>
      <c r="C3055">
        <v>202602</v>
      </c>
      <c r="D3055">
        <v>26621</v>
      </c>
      <c r="E3055">
        <v>354.94666666666666</v>
      </c>
      <c r="F3055">
        <v>75</v>
      </c>
    </row>
    <row r="3056" spans="1:6" x14ac:dyDescent="0.35">
      <c r="A3056">
        <v>603</v>
      </c>
      <c r="B3056" t="s">
        <v>192</v>
      </c>
      <c r="C3056">
        <v>202602</v>
      </c>
      <c r="D3056">
        <v>10159</v>
      </c>
      <c r="E3056">
        <v>45.039014009576164</v>
      </c>
      <c r="F3056">
        <v>225.56</v>
      </c>
    </row>
    <row r="3057" spans="1:6" x14ac:dyDescent="0.35">
      <c r="A3057">
        <v>606</v>
      </c>
      <c r="B3057" t="s">
        <v>192</v>
      </c>
      <c r="C3057">
        <v>202602</v>
      </c>
      <c r="D3057">
        <v>14071</v>
      </c>
      <c r="E3057">
        <v>53.630369325761329</v>
      </c>
      <c r="F3057">
        <v>262.37</v>
      </c>
    </row>
    <row r="3058" spans="1:6" x14ac:dyDescent="0.35">
      <c r="A3058">
        <v>772</v>
      </c>
      <c r="B3058" t="s">
        <v>192</v>
      </c>
      <c r="C3058">
        <v>202602</v>
      </c>
      <c r="D3058">
        <v>656</v>
      </c>
      <c r="E3058">
        <v>3.2411067193675889</v>
      </c>
      <c r="F3058">
        <v>202.4</v>
      </c>
    </row>
    <row r="3059" spans="1:6" x14ac:dyDescent="0.35">
      <c r="A3059">
        <v>615</v>
      </c>
      <c r="B3059" t="s">
        <v>192</v>
      </c>
      <c r="C3059">
        <v>202602</v>
      </c>
      <c r="D3059">
        <v>7643</v>
      </c>
      <c r="E3059">
        <v>28.236293778631595</v>
      </c>
      <c r="F3059">
        <v>270.68</v>
      </c>
    </row>
    <row r="3060" spans="1:6" x14ac:dyDescent="0.35">
      <c r="A3060">
        <v>617</v>
      </c>
      <c r="B3060" t="s">
        <v>192</v>
      </c>
      <c r="C3060">
        <v>202602</v>
      </c>
      <c r="D3060">
        <v>1822</v>
      </c>
      <c r="E3060">
        <v>4.0488888888888885</v>
      </c>
      <c r="F3060">
        <v>450</v>
      </c>
    </row>
    <row r="3061" spans="1:6" x14ac:dyDescent="0.35">
      <c r="A3061">
        <v>751</v>
      </c>
      <c r="B3061" t="s">
        <v>192</v>
      </c>
      <c r="C3061">
        <v>202602</v>
      </c>
      <c r="D3061">
        <v>294</v>
      </c>
      <c r="E3061">
        <v>1.4482045219447319</v>
      </c>
      <c r="F3061">
        <v>203.01</v>
      </c>
    </row>
    <row r="3062" spans="1:6" x14ac:dyDescent="0.35">
      <c r="A3062">
        <v>752</v>
      </c>
      <c r="B3062" t="s">
        <v>192</v>
      </c>
      <c r="C3062">
        <v>202602</v>
      </c>
      <c r="D3062">
        <v>5028</v>
      </c>
      <c r="E3062">
        <v>14.537674203434916</v>
      </c>
      <c r="F3062">
        <v>345.86</v>
      </c>
    </row>
    <row r="3063" spans="1:6" x14ac:dyDescent="0.35">
      <c r="A3063">
        <v>753</v>
      </c>
      <c r="B3063" t="s">
        <v>192</v>
      </c>
      <c r="C3063">
        <v>202602</v>
      </c>
      <c r="D3063">
        <v>12258</v>
      </c>
      <c r="E3063">
        <v>25.081846456048453</v>
      </c>
      <c r="F3063">
        <v>488.72</v>
      </c>
    </row>
    <row r="3064" spans="1:6" x14ac:dyDescent="0.35">
      <c r="A3064">
        <v>754</v>
      </c>
      <c r="B3064" t="s">
        <v>192</v>
      </c>
      <c r="C3064">
        <v>202602</v>
      </c>
      <c r="D3064">
        <v>3556</v>
      </c>
      <c r="E3064">
        <v>5.9117886651925984</v>
      </c>
      <c r="F3064">
        <v>601.51</v>
      </c>
    </row>
    <row r="3065" spans="1:6" x14ac:dyDescent="0.35">
      <c r="A3065">
        <v>614</v>
      </c>
      <c r="B3065" t="s">
        <v>192</v>
      </c>
      <c r="C3065">
        <v>202602</v>
      </c>
      <c r="D3065">
        <v>14438</v>
      </c>
      <c r="E3065">
        <v>25.681252223408038</v>
      </c>
      <c r="F3065">
        <v>562.20000000000005</v>
      </c>
    </row>
    <row r="3066" spans="1:6" x14ac:dyDescent="0.35">
      <c r="A3066">
        <v>797</v>
      </c>
      <c r="B3066" t="s">
        <v>192</v>
      </c>
      <c r="C3066">
        <v>202602</v>
      </c>
      <c r="D3066">
        <v>1094</v>
      </c>
      <c r="E3066">
        <v>2.432192085371276</v>
      </c>
      <c r="F3066">
        <v>449.8</v>
      </c>
    </row>
    <row r="3067" spans="1:6" x14ac:dyDescent="0.35">
      <c r="A3067">
        <v>613</v>
      </c>
      <c r="B3067" t="s">
        <v>192</v>
      </c>
      <c r="C3067">
        <v>202602</v>
      </c>
      <c r="D3067">
        <v>7731</v>
      </c>
      <c r="E3067">
        <v>26.430769230769229</v>
      </c>
      <c r="F3067">
        <v>292.5</v>
      </c>
    </row>
    <row r="3068" spans="1:6" x14ac:dyDescent="0.35">
      <c r="A3068">
        <v>767</v>
      </c>
      <c r="B3068" t="s">
        <v>192</v>
      </c>
      <c r="C3068">
        <v>202602</v>
      </c>
      <c r="D3068">
        <v>10097</v>
      </c>
      <c r="E3068">
        <v>16.833944648216072</v>
      </c>
      <c r="F3068">
        <v>599.79999999999995</v>
      </c>
    </row>
    <row r="3069" spans="1:6" x14ac:dyDescent="0.35">
      <c r="A3069">
        <v>807</v>
      </c>
      <c r="B3069" t="s">
        <v>192</v>
      </c>
      <c r="C3069">
        <v>202602</v>
      </c>
      <c r="D3069">
        <v>1299</v>
      </c>
      <c r="E3069">
        <v>6.4950000000000001</v>
      </c>
      <c r="F3069">
        <v>200</v>
      </c>
    </row>
    <row r="3070" spans="1:6" x14ac:dyDescent="0.35">
      <c r="A3070">
        <v>808</v>
      </c>
      <c r="B3070" t="s">
        <v>192</v>
      </c>
      <c r="C3070">
        <v>202602</v>
      </c>
      <c r="D3070">
        <v>1716</v>
      </c>
      <c r="E3070">
        <v>5.822080477709167</v>
      </c>
      <c r="F3070">
        <v>294.74</v>
      </c>
    </row>
    <row r="3071" spans="1:6" x14ac:dyDescent="0.35">
      <c r="A3071">
        <v>502</v>
      </c>
      <c r="B3071" t="s">
        <v>159</v>
      </c>
      <c r="C3071">
        <v>202602</v>
      </c>
      <c r="D3071">
        <v>69269</v>
      </c>
      <c r="E3071">
        <v>222.55815447885874</v>
      </c>
      <c r="F3071">
        <v>311.24</v>
      </c>
    </row>
    <row r="3072" spans="1:6" x14ac:dyDescent="0.35">
      <c r="A3072">
        <v>504</v>
      </c>
      <c r="B3072" t="s">
        <v>159</v>
      </c>
      <c r="C3072">
        <v>202602</v>
      </c>
      <c r="D3072">
        <v>145964</v>
      </c>
      <c r="E3072">
        <v>334.38867379899659</v>
      </c>
      <c r="F3072">
        <v>436.51</v>
      </c>
    </row>
    <row r="3073" spans="1:6" x14ac:dyDescent="0.35">
      <c r="A3073">
        <v>505</v>
      </c>
      <c r="B3073" t="s">
        <v>159</v>
      </c>
      <c r="C3073">
        <v>202602</v>
      </c>
      <c r="D3073">
        <v>76744</v>
      </c>
      <c r="E3073">
        <v>206.20130044602075</v>
      </c>
      <c r="F3073">
        <v>372.18</v>
      </c>
    </row>
    <row r="3074" spans="1:6" x14ac:dyDescent="0.35">
      <c r="A3074">
        <v>506</v>
      </c>
      <c r="B3074" t="s">
        <v>159</v>
      </c>
      <c r="C3074">
        <v>202602</v>
      </c>
      <c r="D3074">
        <v>83118</v>
      </c>
      <c r="E3074">
        <v>175.46918870991576</v>
      </c>
      <c r="F3074">
        <v>473.69</v>
      </c>
    </row>
    <row r="3075" spans="1:6" x14ac:dyDescent="0.35">
      <c r="A3075">
        <v>508</v>
      </c>
      <c r="B3075" t="s">
        <v>159</v>
      </c>
      <c r="C3075">
        <v>202602</v>
      </c>
      <c r="D3075">
        <v>49926</v>
      </c>
      <c r="E3075">
        <v>123.36545589325426</v>
      </c>
      <c r="F3075">
        <v>404.7</v>
      </c>
    </row>
    <row r="3076" spans="1:6" x14ac:dyDescent="0.35">
      <c r="A3076">
        <v>507</v>
      </c>
      <c r="B3076" t="s">
        <v>159</v>
      </c>
      <c r="C3076">
        <v>202602</v>
      </c>
      <c r="D3076">
        <v>33203</v>
      </c>
      <c r="E3076">
        <v>122.97407407407407</v>
      </c>
      <c r="F3076">
        <v>270</v>
      </c>
    </row>
    <row r="3077" spans="1:6" x14ac:dyDescent="0.35">
      <c r="A3077">
        <v>520</v>
      </c>
      <c r="B3077" t="s">
        <v>159</v>
      </c>
      <c r="C3077">
        <v>202602</v>
      </c>
      <c r="D3077">
        <v>578</v>
      </c>
      <c r="E3077">
        <v>8.5</v>
      </c>
      <c r="F3077">
        <v>68</v>
      </c>
    </row>
    <row r="3078" spans="1:6" x14ac:dyDescent="0.35">
      <c r="A3078">
        <v>521</v>
      </c>
      <c r="B3078" t="s">
        <v>159</v>
      </c>
      <c r="C3078">
        <v>202602</v>
      </c>
      <c r="D3078">
        <v>3117</v>
      </c>
      <c r="E3078">
        <v>26.870689655172413</v>
      </c>
      <c r="F3078">
        <v>116</v>
      </c>
    </row>
    <row r="3079" spans="1:6" x14ac:dyDescent="0.35">
      <c r="A3079">
        <v>784</v>
      </c>
      <c r="B3079" t="s">
        <v>159</v>
      </c>
      <c r="C3079">
        <v>202602</v>
      </c>
      <c r="D3079">
        <v>650</v>
      </c>
      <c r="E3079">
        <v>1.9276393831553975</v>
      </c>
      <c r="F3079">
        <v>337.2</v>
      </c>
    </row>
    <row r="3080" spans="1:6" x14ac:dyDescent="0.35">
      <c r="A3080">
        <v>785</v>
      </c>
      <c r="B3080" t="s">
        <v>159</v>
      </c>
      <c r="C3080">
        <v>202602</v>
      </c>
      <c r="D3080">
        <v>1727</v>
      </c>
      <c r="E3080">
        <v>3.071860547847741</v>
      </c>
      <c r="F3080">
        <v>562.20000000000005</v>
      </c>
    </row>
    <row r="3081" spans="1:6" x14ac:dyDescent="0.35">
      <c r="A3081">
        <v>758</v>
      </c>
      <c r="B3081" t="s">
        <v>159</v>
      </c>
      <c r="C3081">
        <v>202602</v>
      </c>
      <c r="D3081">
        <v>14630</v>
      </c>
      <c r="E3081">
        <v>21.684675470970994</v>
      </c>
      <c r="F3081">
        <v>674.67</v>
      </c>
    </row>
    <row r="3082" spans="1:6" x14ac:dyDescent="0.35">
      <c r="A3082">
        <v>757</v>
      </c>
      <c r="B3082" t="s">
        <v>159</v>
      </c>
      <c r="C3082">
        <v>202602</v>
      </c>
      <c r="D3082">
        <v>27056</v>
      </c>
      <c r="E3082">
        <v>54.685099846390173</v>
      </c>
      <c r="F3082">
        <v>494.76</v>
      </c>
    </row>
    <row r="3083" spans="1:6" x14ac:dyDescent="0.35">
      <c r="A3083">
        <v>580</v>
      </c>
      <c r="B3083" t="s">
        <v>159</v>
      </c>
      <c r="C3083">
        <v>202602</v>
      </c>
      <c r="D3083">
        <v>0</v>
      </c>
      <c r="E3083">
        <v>0</v>
      </c>
      <c r="F3083">
        <v>270.68</v>
      </c>
    </row>
    <row r="3084" spans="1:6" x14ac:dyDescent="0.35">
      <c r="A3084">
        <v>582</v>
      </c>
      <c r="B3084" t="s">
        <v>159</v>
      </c>
      <c r="C3084">
        <v>202602</v>
      </c>
      <c r="D3084">
        <v>12063</v>
      </c>
      <c r="E3084">
        <v>40.109725685785534</v>
      </c>
      <c r="F3084">
        <v>300.75</v>
      </c>
    </row>
    <row r="3085" spans="1:6" x14ac:dyDescent="0.35">
      <c r="A3085">
        <v>594</v>
      </c>
      <c r="B3085" t="s">
        <v>159</v>
      </c>
      <c r="C3085">
        <v>202602</v>
      </c>
      <c r="D3085">
        <v>16040</v>
      </c>
      <c r="E3085">
        <v>95.05185185185185</v>
      </c>
      <c r="F3085">
        <v>168.75</v>
      </c>
    </row>
    <row r="3086" spans="1:6" x14ac:dyDescent="0.35">
      <c r="A3086">
        <v>595</v>
      </c>
      <c r="B3086" t="s">
        <v>159</v>
      </c>
      <c r="C3086">
        <v>202602</v>
      </c>
      <c r="D3086">
        <v>22771</v>
      </c>
      <c r="E3086">
        <v>303.61333333333334</v>
      </c>
      <c r="F3086">
        <v>75</v>
      </c>
    </row>
    <row r="3087" spans="1:6" x14ac:dyDescent="0.35">
      <c r="A3087">
        <v>603</v>
      </c>
      <c r="B3087" t="s">
        <v>159</v>
      </c>
      <c r="C3087">
        <v>202602</v>
      </c>
      <c r="D3087">
        <v>4424</v>
      </c>
      <c r="E3087">
        <v>19.613406632381629</v>
      </c>
      <c r="F3087">
        <v>225.56</v>
      </c>
    </row>
    <row r="3088" spans="1:6" x14ac:dyDescent="0.35">
      <c r="A3088">
        <v>606</v>
      </c>
      <c r="B3088" t="s">
        <v>159</v>
      </c>
      <c r="C3088">
        <v>202602</v>
      </c>
      <c r="D3088">
        <v>4148</v>
      </c>
      <c r="E3088">
        <v>15.809734344627815</v>
      </c>
      <c r="F3088">
        <v>262.37</v>
      </c>
    </row>
    <row r="3089" spans="1:6" x14ac:dyDescent="0.35">
      <c r="A3089">
        <v>772</v>
      </c>
      <c r="B3089" t="s">
        <v>159</v>
      </c>
      <c r="C3089">
        <v>202602</v>
      </c>
      <c r="D3089">
        <v>291</v>
      </c>
      <c r="E3089">
        <v>1.4377470355731226</v>
      </c>
      <c r="F3089">
        <v>202.4</v>
      </c>
    </row>
    <row r="3090" spans="1:6" x14ac:dyDescent="0.35">
      <c r="A3090">
        <v>615</v>
      </c>
      <c r="B3090" t="s">
        <v>159</v>
      </c>
      <c r="C3090">
        <v>202602</v>
      </c>
      <c r="D3090">
        <v>10340</v>
      </c>
      <c r="E3090">
        <v>38.200088665582975</v>
      </c>
      <c r="F3090">
        <v>270.68</v>
      </c>
    </row>
    <row r="3091" spans="1:6" x14ac:dyDescent="0.35">
      <c r="A3091">
        <v>617</v>
      </c>
      <c r="B3091" t="s">
        <v>159</v>
      </c>
      <c r="C3091">
        <v>202602</v>
      </c>
      <c r="D3091">
        <v>3103</v>
      </c>
      <c r="E3091">
        <v>6.8955555555555552</v>
      </c>
      <c r="F3091">
        <v>450</v>
      </c>
    </row>
    <row r="3092" spans="1:6" x14ac:dyDescent="0.35">
      <c r="A3092">
        <v>751</v>
      </c>
      <c r="B3092" t="s">
        <v>159</v>
      </c>
      <c r="C3092">
        <v>202602</v>
      </c>
      <c r="D3092">
        <v>1070</v>
      </c>
      <c r="E3092">
        <v>5.2706763213634797</v>
      </c>
      <c r="F3092">
        <v>203.01</v>
      </c>
    </row>
    <row r="3093" spans="1:6" x14ac:dyDescent="0.35">
      <c r="A3093">
        <v>752</v>
      </c>
      <c r="B3093" t="s">
        <v>159</v>
      </c>
      <c r="C3093">
        <v>202602</v>
      </c>
      <c r="D3093">
        <v>7387</v>
      </c>
      <c r="E3093">
        <v>21.358353090846006</v>
      </c>
      <c r="F3093">
        <v>345.86</v>
      </c>
    </row>
    <row r="3094" spans="1:6" x14ac:dyDescent="0.35">
      <c r="A3094">
        <v>753</v>
      </c>
      <c r="B3094" t="s">
        <v>159</v>
      </c>
      <c r="C3094">
        <v>202602</v>
      </c>
      <c r="D3094">
        <v>8626</v>
      </c>
      <c r="E3094">
        <v>17.650188246848909</v>
      </c>
      <c r="F3094">
        <v>488.72</v>
      </c>
    </row>
    <row r="3095" spans="1:6" x14ac:dyDescent="0.35">
      <c r="A3095">
        <v>754</v>
      </c>
      <c r="B3095" t="s">
        <v>159</v>
      </c>
      <c r="C3095">
        <v>202602</v>
      </c>
      <c r="D3095">
        <v>1476</v>
      </c>
      <c r="E3095">
        <v>2.4538245415703814</v>
      </c>
      <c r="F3095">
        <v>601.51</v>
      </c>
    </row>
    <row r="3096" spans="1:6" x14ac:dyDescent="0.35">
      <c r="A3096">
        <v>614</v>
      </c>
      <c r="B3096" t="s">
        <v>159</v>
      </c>
      <c r="C3096">
        <v>202602</v>
      </c>
      <c r="D3096">
        <v>25398</v>
      </c>
      <c r="E3096">
        <v>45.176093916755597</v>
      </c>
      <c r="F3096">
        <v>562.20000000000005</v>
      </c>
    </row>
    <row r="3097" spans="1:6" x14ac:dyDescent="0.35">
      <c r="A3097">
        <v>797</v>
      </c>
      <c r="B3097" t="s">
        <v>159</v>
      </c>
      <c r="C3097">
        <v>202602</v>
      </c>
      <c r="D3097">
        <v>1912</v>
      </c>
      <c r="E3097">
        <v>4.2507781236104938</v>
      </c>
      <c r="F3097">
        <v>449.8</v>
      </c>
    </row>
    <row r="3098" spans="1:6" x14ac:dyDescent="0.35">
      <c r="A3098">
        <v>613</v>
      </c>
      <c r="B3098" t="s">
        <v>159</v>
      </c>
      <c r="C3098">
        <v>202602</v>
      </c>
      <c r="D3098">
        <v>12873</v>
      </c>
      <c r="E3098">
        <v>44.01025641025641</v>
      </c>
      <c r="F3098">
        <v>292.5</v>
      </c>
    </row>
    <row r="3099" spans="1:6" x14ac:dyDescent="0.35">
      <c r="A3099">
        <v>767</v>
      </c>
      <c r="B3099" t="s">
        <v>159</v>
      </c>
      <c r="C3099">
        <v>202602</v>
      </c>
      <c r="D3099">
        <v>1848</v>
      </c>
      <c r="E3099">
        <v>3.0810270090030012</v>
      </c>
      <c r="F3099">
        <v>599.79999999999995</v>
      </c>
    </row>
    <row r="3100" spans="1:6" x14ac:dyDescent="0.35">
      <c r="A3100">
        <v>807</v>
      </c>
      <c r="B3100" t="s">
        <v>159</v>
      </c>
      <c r="C3100">
        <v>202602</v>
      </c>
      <c r="D3100">
        <v>2598</v>
      </c>
      <c r="E3100">
        <v>12.99</v>
      </c>
      <c r="F3100">
        <v>200</v>
      </c>
    </row>
    <row r="3101" spans="1:6" x14ac:dyDescent="0.35">
      <c r="A3101">
        <v>808</v>
      </c>
      <c r="B3101" t="s">
        <v>159</v>
      </c>
      <c r="C3101">
        <v>202602</v>
      </c>
      <c r="D3101">
        <v>3548</v>
      </c>
      <c r="E3101">
        <v>12.037728167198209</v>
      </c>
      <c r="F3101">
        <v>294.74</v>
      </c>
    </row>
    <row r="3102" spans="1:6" x14ac:dyDescent="0.35">
      <c r="A3102">
        <v>502</v>
      </c>
      <c r="B3102" t="s">
        <v>160</v>
      </c>
      <c r="C3102">
        <v>202602</v>
      </c>
      <c r="D3102">
        <v>23738</v>
      </c>
      <c r="E3102">
        <v>76.26911708006682</v>
      </c>
      <c r="F3102">
        <v>311.24</v>
      </c>
    </row>
    <row r="3103" spans="1:6" x14ac:dyDescent="0.35">
      <c r="A3103">
        <v>504</v>
      </c>
      <c r="B3103" t="s">
        <v>160</v>
      </c>
      <c r="C3103">
        <v>202602</v>
      </c>
      <c r="D3103">
        <v>53205</v>
      </c>
      <c r="E3103">
        <v>121.88724198758334</v>
      </c>
      <c r="F3103">
        <v>436.51</v>
      </c>
    </row>
    <row r="3104" spans="1:6" x14ac:dyDescent="0.35">
      <c r="A3104">
        <v>505</v>
      </c>
      <c r="B3104" t="s">
        <v>160</v>
      </c>
      <c r="C3104">
        <v>202602</v>
      </c>
      <c r="D3104">
        <v>21379</v>
      </c>
      <c r="E3104">
        <v>57.442635284002364</v>
      </c>
      <c r="F3104">
        <v>372.18</v>
      </c>
    </row>
    <row r="3105" spans="1:6" x14ac:dyDescent="0.35">
      <c r="A3105">
        <v>506</v>
      </c>
      <c r="B3105" t="s">
        <v>160</v>
      </c>
      <c r="C3105">
        <v>202602</v>
      </c>
      <c r="D3105">
        <v>23192</v>
      </c>
      <c r="E3105">
        <v>48.960290485338511</v>
      </c>
      <c r="F3105">
        <v>473.69</v>
      </c>
    </row>
    <row r="3106" spans="1:6" x14ac:dyDescent="0.35">
      <c r="A3106">
        <v>508</v>
      </c>
      <c r="B3106" t="s">
        <v>160</v>
      </c>
      <c r="C3106">
        <v>202602</v>
      </c>
      <c r="D3106">
        <v>16440</v>
      </c>
      <c r="E3106">
        <v>40.62268346923647</v>
      </c>
      <c r="F3106">
        <v>404.7</v>
      </c>
    </row>
    <row r="3107" spans="1:6" x14ac:dyDescent="0.35">
      <c r="A3107">
        <v>507</v>
      </c>
      <c r="B3107" t="s">
        <v>160</v>
      </c>
      <c r="C3107">
        <v>202602</v>
      </c>
      <c r="D3107">
        <v>12325</v>
      </c>
      <c r="E3107">
        <v>45.648148148148145</v>
      </c>
      <c r="F3107">
        <v>270</v>
      </c>
    </row>
    <row r="3108" spans="1:6" x14ac:dyDescent="0.35">
      <c r="A3108">
        <v>520</v>
      </c>
      <c r="B3108" t="s">
        <v>160</v>
      </c>
      <c r="C3108">
        <v>202602</v>
      </c>
      <c r="D3108">
        <v>254</v>
      </c>
      <c r="E3108">
        <v>3.7352941176470589</v>
      </c>
      <c r="F3108">
        <v>68</v>
      </c>
    </row>
    <row r="3109" spans="1:6" x14ac:dyDescent="0.35">
      <c r="A3109">
        <v>521</v>
      </c>
      <c r="B3109" t="s">
        <v>160</v>
      </c>
      <c r="C3109">
        <v>202602</v>
      </c>
      <c r="D3109">
        <v>1396</v>
      </c>
      <c r="E3109">
        <v>12.03448275862069</v>
      </c>
      <c r="F3109">
        <v>116</v>
      </c>
    </row>
    <row r="3110" spans="1:6" x14ac:dyDescent="0.35">
      <c r="A3110">
        <v>784</v>
      </c>
      <c r="B3110" t="s">
        <v>160</v>
      </c>
      <c r="C3110">
        <v>202602</v>
      </c>
      <c r="D3110">
        <v>370</v>
      </c>
      <c r="E3110">
        <v>1.0972716488730725</v>
      </c>
      <c r="F3110">
        <v>337.2</v>
      </c>
    </row>
    <row r="3111" spans="1:6" x14ac:dyDescent="0.35">
      <c r="A3111">
        <v>785</v>
      </c>
      <c r="B3111" t="s">
        <v>160</v>
      </c>
      <c r="C3111">
        <v>202602</v>
      </c>
      <c r="D3111">
        <v>515</v>
      </c>
      <c r="E3111">
        <v>0.91604411241551043</v>
      </c>
      <c r="F3111">
        <v>562.20000000000005</v>
      </c>
    </row>
    <row r="3112" spans="1:6" x14ac:dyDescent="0.35">
      <c r="A3112">
        <v>758</v>
      </c>
      <c r="B3112" t="s">
        <v>160</v>
      </c>
      <c r="C3112">
        <v>202602</v>
      </c>
      <c r="D3112">
        <v>8338</v>
      </c>
      <c r="E3112">
        <v>12.358634591726327</v>
      </c>
      <c r="F3112">
        <v>674.67</v>
      </c>
    </row>
    <row r="3113" spans="1:6" x14ac:dyDescent="0.35">
      <c r="A3113">
        <v>757</v>
      </c>
      <c r="B3113" t="s">
        <v>160</v>
      </c>
      <c r="C3113">
        <v>202602</v>
      </c>
      <c r="D3113">
        <v>15178</v>
      </c>
      <c r="E3113">
        <v>30.6775002021182</v>
      </c>
      <c r="F3113">
        <v>494.76</v>
      </c>
    </row>
    <row r="3114" spans="1:6" x14ac:dyDescent="0.35">
      <c r="A3114">
        <v>580</v>
      </c>
      <c r="B3114" t="s">
        <v>160</v>
      </c>
      <c r="C3114">
        <v>202602</v>
      </c>
      <c r="D3114">
        <v>0</v>
      </c>
      <c r="E3114">
        <v>0</v>
      </c>
      <c r="F3114">
        <v>270.68</v>
      </c>
    </row>
    <row r="3115" spans="1:6" x14ac:dyDescent="0.35">
      <c r="A3115">
        <v>582</v>
      </c>
      <c r="B3115" t="s">
        <v>160</v>
      </c>
      <c r="C3115">
        <v>202602</v>
      </c>
      <c r="D3115">
        <v>7515</v>
      </c>
      <c r="E3115">
        <v>24.987531172069826</v>
      </c>
      <c r="F3115">
        <v>300.75</v>
      </c>
    </row>
    <row r="3116" spans="1:6" x14ac:dyDescent="0.35">
      <c r="A3116">
        <v>594</v>
      </c>
      <c r="B3116" t="s">
        <v>160</v>
      </c>
      <c r="C3116">
        <v>202602</v>
      </c>
      <c r="D3116">
        <v>12602</v>
      </c>
      <c r="E3116">
        <v>74.678518518518516</v>
      </c>
      <c r="F3116">
        <v>168.75</v>
      </c>
    </row>
    <row r="3117" spans="1:6" x14ac:dyDescent="0.35">
      <c r="A3117">
        <v>595</v>
      </c>
      <c r="B3117" t="s">
        <v>160</v>
      </c>
      <c r="C3117">
        <v>202602</v>
      </c>
      <c r="D3117">
        <v>9608</v>
      </c>
      <c r="E3117">
        <v>128.10666666666665</v>
      </c>
      <c r="F3117">
        <v>75</v>
      </c>
    </row>
    <row r="3118" spans="1:6" x14ac:dyDescent="0.35">
      <c r="A3118">
        <v>603</v>
      </c>
      <c r="B3118" t="s">
        <v>160</v>
      </c>
      <c r="C3118">
        <v>202602</v>
      </c>
      <c r="D3118">
        <v>2351</v>
      </c>
      <c r="E3118">
        <v>10.422947331087071</v>
      </c>
      <c r="F3118">
        <v>225.56</v>
      </c>
    </row>
    <row r="3119" spans="1:6" x14ac:dyDescent="0.35">
      <c r="A3119">
        <v>606</v>
      </c>
      <c r="B3119" t="s">
        <v>160</v>
      </c>
      <c r="C3119">
        <v>202602</v>
      </c>
      <c r="D3119">
        <v>4703</v>
      </c>
      <c r="E3119">
        <v>17.925067652551739</v>
      </c>
      <c r="F3119">
        <v>262.37</v>
      </c>
    </row>
    <row r="3120" spans="1:6" x14ac:dyDescent="0.35">
      <c r="A3120">
        <v>772</v>
      </c>
      <c r="B3120" t="s">
        <v>160</v>
      </c>
      <c r="C3120">
        <v>202602</v>
      </c>
      <c r="D3120">
        <v>385</v>
      </c>
      <c r="E3120">
        <v>1.9021739130434783</v>
      </c>
      <c r="F3120">
        <v>202.4</v>
      </c>
    </row>
    <row r="3121" spans="1:6" x14ac:dyDescent="0.35">
      <c r="A3121">
        <v>615</v>
      </c>
      <c r="B3121" t="s">
        <v>160</v>
      </c>
      <c r="C3121">
        <v>202602</v>
      </c>
      <c r="D3121">
        <v>3670</v>
      </c>
      <c r="E3121">
        <v>13.558445396778483</v>
      </c>
      <c r="F3121">
        <v>270.68</v>
      </c>
    </row>
    <row r="3122" spans="1:6" x14ac:dyDescent="0.35">
      <c r="A3122">
        <v>617</v>
      </c>
      <c r="B3122" t="s">
        <v>160</v>
      </c>
      <c r="C3122">
        <v>202602</v>
      </c>
      <c r="D3122">
        <v>1416</v>
      </c>
      <c r="E3122">
        <v>3.1466666666666665</v>
      </c>
      <c r="F3122">
        <v>450</v>
      </c>
    </row>
    <row r="3123" spans="1:6" x14ac:dyDescent="0.35">
      <c r="A3123">
        <v>751</v>
      </c>
      <c r="B3123" t="s">
        <v>160</v>
      </c>
      <c r="C3123">
        <v>202602</v>
      </c>
      <c r="D3123">
        <v>968</v>
      </c>
      <c r="E3123">
        <v>4.7682380178316341</v>
      </c>
      <c r="F3123">
        <v>203.01</v>
      </c>
    </row>
    <row r="3124" spans="1:6" x14ac:dyDescent="0.35">
      <c r="A3124">
        <v>752</v>
      </c>
      <c r="B3124" t="s">
        <v>160</v>
      </c>
      <c r="C3124">
        <v>202602</v>
      </c>
      <c r="D3124">
        <v>6832</v>
      </c>
      <c r="E3124">
        <v>19.753657549297404</v>
      </c>
      <c r="F3124">
        <v>345.86</v>
      </c>
    </row>
    <row r="3125" spans="1:6" x14ac:dyDescent="0.35">
      <c r="A3125">
        <v>753</v>
      </c>
      <c r="B3125" t="s">
        <v>160</v>
      </c>
      <c r="C3125">
        <v>202602</v>
      </c>
      <c r="D3125">
        <v>11818</v>
      </c>
      <c r="E3125">
        <v>24.181535439515468</v>
      </c>
      <c r="F3125">
        <v>488.72</v>
      </c>
    </row>
    <row r="3126" spans="1:6" x14ac:dyDescent="0.35">
      <c r="A3126">
        <v>754</v>
      </c>
      <c r="B3126" t="s">
        <v>160</v>
      </c>
      <c r="C3126">
        <v>202602</v>
      </c>
      <c r="D3126">
        <v>632</v>
      </c>
      <c r="E3126">
        <v>1.0506890991005968</v>
      </c>
      <c r="F3126">
        <v>601.51</v>
      </c>
    </row>
    <row r="3127" spans="1:6" x14ac:dyDescent="0.35">
      <c r="A3127">
        <v>614</v>
      </c>
      <c r="B3127" t="s">
        <v>160</v>
      </c>
      <c r="C3127">
        <v>202602</v>
      </c>
      <c r="D3127">
        <v>16040</v>
      </c>
      <c r="E3127">
        <v>28.530771967271431</v>
      </c>
      <c r="F3127">
        <v>562.20000000000005</v>
      </c>
    </row>
    <row r="3128" spans="1:6" x14ac:dyDescent="0.35">
      <c r="A3128">
        <v>797</v>
      </c>
      <c r="B3128" t="s">
        <v>160</v>
      </c>
      <c r="C3128">
        <v>202602</v>
      </c>
      <c r="D3128">
        <v>1164</v>
      </c>
      <c r="E3128">
        <v>2.5878168074699865</v>
      </c>
      <c r="F3128">
        <v>449.8</v>
      </c>
    </row>
    <row r="3129" spans="1:6" x14ac:dyDescent="0.35">
      <c r="A3129">
        <v>613</v>
      </c>
      <c r="B3129" t="s">
        <v>160</v>
      </c>
      <c r="C3129">
        <v>202602</v>
      </c>
      <c r="D3129">
        <v>7341</v>
      </c>
      <c r="E3129">
        <v>25.097435897435897</v>
      </c>
      <c r="F3129">
        <v>292.5</v>
      </c>
    </row>
    <row r="3130" spans="1:6" x14ac:dyDescent="0.35">
      <c r="A3130">
        <v>767</v>
      </c>
      <c r="B3130" t="s">
        <v>160</v>
      </c>
      <c r="C3130">
        <v>202602</v>
      </c>
      <c r="D3130">
        <v>7355</v>
      </c>
      <c r="E3130">
        <v>12.262420806935646</v>
      </c>
      <c r="F3130">
        <v>599.79999999999995</v>
      </c>
    </row>
    <row r="3131" spans="1:6" x14ac:dyDescent="0.35">
      <c r="A3131">
        <v>807</v>
      </c>
      <c r="B3131" t="s">
        <v>160</v>
      </c>
      <c r="C3131">
        <v>202602</v>
      </c>
      <c r="D3131">
        <v>998</v>
      </c>
      <c r="E3131">
        <v>4.99</v>
      </c>
      <c r="F3131">
        <v>200</v>
      </c>
    </row>
    <row r="3132" spans="1:6" x14ac:dyDescent="0.35">
      <c r="A3132">
        <v>808</v>
      </c>
      <c r="B3132" t="s">
        <v>160</v>
      </c>
      <c r="C3132">
        <v>202602</v>
      </c>
      <c r="D3132">
        <v>2015</v>
      </c>
      <c r="E3132">
        <v>6.8365338942797038</v>
      </c>
      <c r="F3132">
        <v>294.74</v>
      </c>
    </row>
    <row r="3133" spans="1:6" x14ac:dyDescent="0.35">
      <c r="A3133">
        <v>502</v>
      </c>
      <c r="B3133" t="s">
        <v>161</v>
      </c>
      <c r="C3133">
        <v>202602</v>
      </c>
      <c r="D3133">
        <v>64450</v>
      </c>
      <c r="E3133">
        <v>207.07492610204343</v>
      </c>
      <c r="F3133">
        <v>311.24</v>
      </c>
    </row>
    <row r="3134" spans="1:6" x14ac:dyDescent="0.35">
      <c r="A3134">
        <v>504</v>
      </c>
      <c r="B3134" t="s">
        <v>161</v>
      </c>
      <c r="C3134">
        <v>202602</v>
      </c>
      <c r="D3134">
        <v>117743</v>
      </c>
      <c r="E3134">
        <v>269.73723396943944</v>
      </c>
      <c r="F3134">
        <v>436.51</v>
      </c>
    </row>
    <row r="3135" spans="1:6" x14ac:dyDescent="0.35">
      <c r="A3135">
        <v>505</v>
      </c>
      <c r="B3135" t="s">
        <v>161</v>
      </c>
      <c r="C3135">
        <v>202602</v>
      </c>
      <c r="D3135">
        <v>59163</v>
      </c>
      <c r="E3135">
        <v>158.96340480412704</v>
      </c>
      <c r="F3135">
        <v>372.18</v>
      </c>
    </row>
    <row r="3136" spans="1:6" x14ac:dyDescent="0.35">
      <c r="A3136">
        <v>506</v>
      </c>
      <c r="B3136" t="s">
        <v>161</v>
      </c>
      <c r="C3136">
        <v>202602</v>
      </c>
      <c r="D3136">
        <v>66570</v>
      </c>
      <c r="E3136">
        <v>140.53494901728979</v>
      </c>
      <c r="F3136">
        <v>473.69</v>
      </c>
    </row>
    <row r="3137" spans="1:6" x14ac:dyDescent="0.35">
      <c r="A3137">
        <v>508</v>
      </c>
      <c r="B3137" t="s">
        <v>161</v>
      </c>
      <c r="C3137">
        <v>202602</v>
      </c>
      <c r="D3137">
        <v>43397</v>
      </c>
      <c r="E3137">
        <v>107.23251791450457</v>
      </c>
      <c r="F3137">
        <v>404.7</v>
      </c>
    </row>
    <row r="3138" spans="1:6" x14ac:dyDescent="0.35">
      <c r="A3138">
        <v>507</v>
      </c>
      <c r="B3138" t="s">
        <v>161</v>
      </c>
      <c r="C3138">
        <v>202602</v>
      </c>
      <c r="D3138">
        <v>33246</v>
      </c>
      <c r="E3138">
        <v>123.13333333333334</v>
      </c>
      <c r="F3138">
        <v>270</v>
      </c>
    </row>
    <row r="3139" spans="1:6" x14ac:dyDescent="0.35">
      <c r="A3139">
        <v>520</v>
      </c>
      <c r="B3139" t="s">
        <v>161</v>
      </c>
      <c r="C3139">
        <v>202602</v>
      </c>
      <c r="D3139">
        <v>657</v>
      </c>
      <c r="E3139">
        <v>9.6617647058823533</v>
      </c>
      <c r="F3139">
        <v>68</v>
      </c>
    </row>
    <row r="3140" spans="1:6" x14ac:dyDescent="0.35">
      <c r="A3140">
        <v>521</v>
      </c>
      <c r="B3140" t="s">
        <v>161</v>
      </c>
      <c r="C3140">
        <v>202602</v>
      </c>
      <c r="D3140">
        <v>4362</v>
      </c>
      <c r="E3140">
        <v>37.603448275862071</v>
      </c>
      <c r="F3140">
        <v>116</v>
      </c>
    </row>
    <row r="3141" spans="1:6" x14ac:dyDescent="0.35">
      <c r="A3141">
        <v>784</v>
      </c>
      <c r="B3141" t="s">
        <v>161</v>
      </c>
      <c r="C3141">
        <v>202602</v>
      </c>
      <c r="D3141">
        <v>1179</v>
      </c>
      <c r="E3141">
        <v>3.4964412811387899</v>
      </c>
      <c r="F3141">
        <v>337.2</v>
      </c>
    </row>
    <row r="3142" spans="1:6" x14ac:dyDescent="0.35">
      <c r="A3142">
        <v>785</v>
      </c>
      <c r="B3142" t="s">
        <v>161</v>
      </c>
      <c r="C3142">
        <v>202602</v>
      </c>
      <c r="D3142">
        <v>533</v>
      </c>
      <c r="E3142">
        <v>0.94806118818925644</v>
      </c>
      <c r="F3142">
        <v>562.20000000000005</v>
      </c>
    </row>
    <row r="3143" spans="1:6" x14ac:dyDescent="0.35">
      <c r="A3143">
        <v>758</v>
      </c>
      <c r="B3143" t="s">
        <v>161</v>
      </c>
      <c r="C3143">
        <v>202602</v>
      </c>
      <c r="D3143">
        <v>17549</v>
      </c>
      <c r="E3143">
        <v>26.011235122356116</v>
      </c>
      <c r="F3143">
        <v>674.67</v>
      </c>
    </row>
    <row r="3144" spans="1:6" x14ac:dyDescent="0.35">
      <c r="A3144">
        <v>757</v>
      </c>
      <c r="B3144" t="s">
        <v>161</v>
      </c>
      <c r="C3144">
        <v>202602</v>
      </c>
      <c r="D3144">
        <v>33502</v>
      </c>
      <c r="E3144">
        <v>67.713638936049804</v>
      </c>
      <c r="F3144">
        <v>494.76</v>
      </c>
    </row>
    <row r="3145" spans="1:6" x14ac:dyDescent="0.35">
      <c r="A3145">
        <v>580</v>
      </c>
      <c r="B3145" t="s">
        <v>161</v>
      </c>
      <c r="C3145">
        <v>202602</v>
      </c>
      <c r="D3145">
        <v>0</v>
      </c>
      <c r="E3145">
        <v>0</v>
      </c>
      <c r="F3145">
        <v>270.68</v>
      </c>
    </row>
    <row r="3146" spans="1:6" x14ac:dyDescent="0.35">
      <c r="A3146">
        <v>582</v>
      </c>
      <c r="B3146" t="s">
        <v>161</v>
      </c>
      <c r="C3146">
        <v>202602</v>
      </c>
      <c r="D3146">
        <v>22648</v>
      </c>
      <c r="E3146">
        <v>75.305070656691598</v>
      </c>
      <c r="F3146">
        <v>300.75</v>
      </c>
    </row>
    <row r="3147" spans="1:6" x14ac:dyDescent="0.35">
      <c r="A3147">
        <v>594</v>
      </c>
      <c r="B3147" t="s">
        <v>161</v>
      </c>
      <c r="C3147">
        <v>202602</v>
      </c>
      <c r="D3147">
        <v>27168</v>
      </c>
      <c r="E3147">
        <v>160.99555555555557</v>
      </c>
      <c r="F3147">
        <v>168.75</v>
      </c>
    </row>
    <row r="3148" spans="1:6" x14ac:dyDescent="0.35">
      <c r="A3148">
        <v>595</v>
      </c>
      <c r="B3148" t="s">
        <v>161</v>
      </c>
      <c r="C3148">
        <v>202602</v>
      </c>
      <c r="D3148">
        <v>30266</v>
      </c>
      <c r="E3148">
        <v>403.54666666666668</v>
      </c>
      <c r="F3148">
        <v>75</v>
      </c>
    </row>
    <row r="3149" spans="1:6" x14ac:dyDescent="0.35">
      <c r="A3149">
        <v>603</v>
      </c>
      <c r="B3149" t="s">
        <v>161</v>
      </c>
      <c r="C3149">
        <v>202602</v>
      </c>
      <c r="D3149">
        <v>4673</v>
      </c>
      <c r="E3149">
        <v>20.717325766979961</v>
      </c>
      <c r="F3149">
        <v>225.56</v>
      </c>
    </row>
    <row r="3150" spans="1:6" x14ac:dyDescent="0.35">
      <c r="A3150">
        <v>606</v>
      </c>
      <c r="B3150" t="s">
        <v>161</v>
      </c>
      <c r="C3150">
        <v>202602</v>
      </c>
      <c r="D3150">
        <v>6223</v>
      </c>
      <c r="E3150">
        <v>23.718412928307352</v>
      </c>
      <c r="F3150">
        <v>262.37</v>
      </c>
    </row>
    <row r="3151" spans="1:6" x14ac:dyDescent="0.35">
      <c r="A3151">
        <v>772</v>
      </c>
      <c r="B3151" t="s">
        <v>161</v>
      </c>
      <c r="C3151">
        <v>202602</v>
      </c>
      <c r="D3151">
        <v>339</v>
      </c>
      <c r="E3151">
        <v>1.674901185770751</v>
      </c>
      <c r="F3151">
        <v>202.4</v>
      </c>
    </row>
    <row r="3152" spans="1:6" x14ac:dyDescent="0.35">
      <c r="A3152">
        <v>615</v>
      </c>
      <c r="B3152" t="s">
        <v>161</v>
      </c>
      <c r="C3152">
        <v>202602</v>
      </c>
      <c r="D3152">
        <v>11599</v>
      </c>
      <c r="E3152">
        <v>42.85133737254322</v>
      </c>
      <c r="F3152">
        <v>270.68</v>
      </c>
    </row>
    <row r="3153" spans="1:6" x14ac:dyDescent="0.35">
      <c r="A3153">
        <v>617</v>
      </c>
      <c r="B3153" t="s">
        <v>161</v>
      </c>
      <c r="C3153">
        <v>202602</v>
      </c>
      <c r="D3153">
        <v>3320</v>
      </c>
      <c r="E3153">
        <v>7.3777777777777782</v>
      </c>
      <c r="F3153">
        <v>450</v>
      </c>
    </row>
    <row r="3154" spans="1:6" x14ac:dyDescent="0.35">
      <c r="A3154">
        <v>751</v>
      </c>
      <c r="B3154" t="s">
        <v>161</v>
      </c>
      <c r="C3154">
        <v>202602</v>
      </c>
      <c r="D3154">
        <v>1398</v>
      </c>
      <c r="E3154">
        <v>6.8863602778188273</v>
      </c>
      <c r="F3154">
        <v>203.01</v>
      </c>
    </row>
    <row r="3155" spans="1:6" x14ac:dyDescent="0.35">
      <c r="A3155">
        <v>752</v>
      </c>
      <c r="B3155" t="s">
        <v>161</v>
      </c>
      <c r="C3155">
        <v>202602</v>
      </c>
      <c r="D3155">
        <v>22724</v>
      </c>
      <c r="E3155">
        <v>65.702885560631472</v>
      </c>
      <c r="F3155">
        <v>345.86</v>
      </c>
    </row>
    <row r="3156" spans="1:6" x14ac:dyDescent="0.35">
      <c r="A3156">
        <v>753</v>
      </c>
      <c r="B3156" t="s">
        <v>161</v>
      </c>
      <c r="C3156">
        <v>202602</v>
      </c>
      <c r="D3156">
        <v>29539</v>
      </c>
      <c r="E3156">
        <v>60.441561630381401</v>
      </c>
      <c r="F3156">
        <v>488.72</v>
      </c>
    </row>
    <row r="3157" spans="1:6" x14ac:dyDescent="0.35">
      <c r="A3157">
        <v>754</v>
      </c>
      <c r="B3157" t="s">
        <v>161</v>
      </c>
      <c r="C3157">
        <v>202602</v>
      </c>
      <c r="D3157">
        <v>2656</v>
      </c>
      <c r="E3157">
        <v>4.4155541886252934</v>
      </c>
      <c r="F3157">
        <v>601.51</v>
      </c>
    </row>
    <row r="3158" spans="1:6" x14ac:dyDescent="0.35">
      <c r="A3158">
        <v>614</v>
      </c>
      <c r="B3158" t="s">
        <v>161</v>
      </c>
      <c r="C3158">
        <v>202602</v>
      </c>
      <c r="D3158">
        <v>28864</v>
      </c>
      <c r="E3158">
        <v>51.341159729633581</v>
      </c>
      <c r="F3158">
        <v>562.20000000000005</v>
      </c>
    </row>
    <row r="3159" spans="1:6" x14ac:dyDescent="0.35">
      <c r="A3159">
        <v>797</v>
      </c>
      <c r="B3159" t="s">
        <v>161</v>
      </c>
      <c r="C3159">
        <v>202602</v>
      </c>
      <c r="D3159">
        <v>2059</v>
      </c>
      <c r="E3159">
        <v>4.5775900400177854</v>
      </c>
      <c r="F3159">
        <v>449.8</v>
      </c>
    </row>
    <row r="3160" spans="1:6" x14ac:dyDescent="0.35">
      <c r="A3160">
        <v>613</v>
      </c>
      <c r="B3160" t="s">
        <v>161</v>
      </c>
      <c r="C3160">
        <v>202602</v>
      </c>
      <c r="D3160">
        <v>16021</v>
      </c>
      <c r="E3160">
        <v>54.77264957264957</v>
      </c>
      <c r="F3160">
        <v>292.5</v>
      </c>
    </row>
    <row r="3161" spans="1:6" x14ac:dyDescent="0.35">
      <c r="A3161">
        <v>767</v>
      </c>
      <c r="B3161" t="s">
        <v>161</v>
      </c>
      <c r="C3161">
        <v>202602</v>
      </c>
      <c r="D3161">
        <v>16424</v>
      </c>
      <c r="E3161">
        <v>27.382460820273426</v>
      </c>
      <c r="F3161">
        <v>599.79999999999995</v>
      </c>
    </row>
    <row r="3162" spans="1:6" x14ac:dyDescent="0.35">
      <c r="A3162">
        <v>807</v>
      </c>
      <c r="B3162" t="s">
        <v>161</v>
      </c>
      <c r="C3162">
        <v>202602</v>
      </c>
      <c r="D3162">
        <v>2330</v>
      </c>
      <c r="E3162">
        <v>11.65</v>
      </c>
      <c r="F3162">
        <v>200</v>
      </c>
    </row>
    <row r="3163" spans="1:6" x14ac:dyDescent="0.35">
      <c r="A3163">
        <v>808</v>
      </c>
      <c r="B3163" t="s">
        <v>161</v>
      </c>
      <c r="C3163">
        <v>202602</v>
      </c>
      <c r="D3163">
        <v>3548</v>
      </c>
      <c r="E3163">
        <v>12.037728167198209</v>
      </c>
      <c r="F3163">
        <v>294.74</v>
      </c>
    </row>
    <row r="3164" spans="1:6" x14ac:dyDescent="0.35">
      <c r="A3164">
        <v>502</v>
      </c>
      <c r="B3164" t="s">
        <v>162</v>
      </c>
      <c r="C3164">
        <v>202602</v>
      </c>
      <c r="D3164">
        <v>16301</v>
      </c>
      <c r="E3164">
        <v>52.374373473846546</v>
      </c>
      <c r="F3164">
        <v>311.24</v>
      </c>
    </row>
    <row r="3165" spans="1:6" x14ac:dyDescent="0.35">
      <c r="A3165">
        <v>504</v>
      </c>
      <c r="B3165" t="s">
        <v>162</v>
      </c>
      <c r="C3165">
        <v>202602</v>
      </c>
      <c r="D3165">
        <v>22295</v>
      </c>
      <c r="E3165">
        <v>51.075576733637263</v>
      </c>
      <c r="F3165">
        <v>436.51</v>
      </c>
    </row>
    <row r="3166" spans="1:6" x14ac:dyDescent="0.35">
      <c r="A3166">
        <v>505</v>
      </c>
      <c r="B3166" t="s">
        <v>162</v>
      </c>
      <c r="C3166">
        <v>202602</v>
      </c>
      <c r="D3166">
        <v>16167</v>
      </c>
      <c r="E3166">
        <v>43.438658713525712</v>
      </c>
      <c r="F3166">
        <v>372.18</v>
      </c>
    </row>
    <row r="3167" spans="1:6" x14ac:dyDescent="0.35">
      <c r="A3167">
        <v>506</v>
      </c>
      <c r="B3167" t="s">
        <v>162</v>
      </c>
      <c r="C3167">
        <v>202602</v>
      </c>
      <c r="D3167">
        <v>15811</v>
      </c>
      <c r="E3167">
        <v>33.378369819924423</v>
      </c>
      <c r="F3167">
        <v>473.69</v>
      </c>
    </row>
    <row r="3168" spans="1:6" x14ac:dyDescent="0.35">
      <c r="A3168">
        <v>508</v>
      </c>
      <c r="B3168" t="s">
        <v>162</v>
      </c>
      <c r="C3168">
        <v>202602</v>
      </c>
      <c r="D3168">
        <v>13026</v>
      </c>
      <c r="E3168">
        <v>32.186805040770942</v>
      </c>
      <c r="F3168">
        <v>404.7</v>
      </c>
    </row>
    <row r="3169" spans="1:6" x14ac:dyDescent="0.35">
      <c r="A3169">
        <v>507</v>
      </c>
      <c r="B3169" t="s">
        <v>162</v>
      </c>
      <c r="C3169">
        <v>202602</v>
      </c>
      <c r="D3169">
        <v>10509</v>
      </c>
      <c r="E3169">
        <v>38.922222222222224</v>
      </c>
      <c r="F3169">
        <v>270</v>
      </c>
    </row>
    <row r="3170" spans="1:6" x14ac:dyDescent="0.35">
      <c r="A3170">
        <v>520</v>
      </c>
      <c r="B3170" t="s">
        <v>162</v>
      </c>
      <c r="C3170">
        <v>202602</v>
      </c>
      <c r="D3170">
        <v>189</v>
      </c>
      <c r="E3170">
        <v>2.7794117647058822</v>
      </c>
      <c r="F3170">
        <v>68</v>
      </c>
    </row>
    <row r="3171" spans="1:6" x14ac:dyDescent="0.35">
      <c r="A3171">
        <v>521</v>
      </c>
      <c r="B3171" t="s">
        <v>162</v>
      </c>
      <c r="C3171">
        <v>202602</v>
      </c>
      <c r="D3171">
        <v>950</v>
      </c>
      <c r="E3171">
        <v>8.1896551724137936</v>
      </c>
      <c r="F3171">
        <v>116</v>
      </c>
    </row>
    <row r="3172" spans="1:6" x14ac:dyDescent="0.35">
      <c r="A3172">
        <v>784</v>
      </c>
      <c r="B3172" t="s">
        <v>162</v>
      </c>
      <c r="C3172">
        <v>202602</v>
      </c>
      <c r="D3172">
        <v>280</v>
      </c>
      <c r="E3172">
        <v>0.83036773428232502</v>
      </c>
      <c r="F3172">
        <v>337.2</v>
      </c>
    </row>
    <row r="3173" spans="1:6" x14ac:dyDescent="0.35">
      <c r="A3173">
        <v>785</v>
      </c>
      <c r="B3173" t="s">
        <v>162</v>
      </c>
      <c r="C3173">
        <v>202602</v>
      </c>
      <c r="D3173">
        <v>489</v>
      </c>
      <c r="E3173">
        <v>0.86979722518676617</v>
      </c>
      <c r="F3173">
        <v>562.20000000000005</v>
      </c>
    </row>
    <row r="3174" spans="1:6" x14ac:dyDescent="0.35">
      <c r="A3174">
        <v>758</v>
      </c>
      <c r="B3174" t="s">
        <v>162</v>
      </c>
      <c r="C3174">
        <v>202602</v>
      </c>
      <c r="D3174">
        <v>9231</v>
      </c>
      <c r="E3174">
        <v>13.682244652941439</v>
      </c>
      <c r="F3174">
        <v>674.67</v>
      </c>
    </row>
    <row r="3175" spans="1:6" x14ac:dyDescent="0.35">
      <c r="A3175">
        <v>757</v>
      </c>
      <c r="B3175" t="s">
        <v>162</v>
      </c>
      <c r="C3175">
        <v>202602</v>
      </c>
      <c r="D3175">
        <v>15973</v>
      </c>
      <c r="E3175">
        <v>32.284339881962971</v>
      </c>
      <c r="F3175">
        <v>494.76</v>
      </c>
    </row>
    <row r="3176" spans="1:6" x14ac:dyDescent="0.35">
      <c r="A3176">
        <v>580</v>
      </c>
      <c r="B3176" t="s">
        <v>162</v>
      </c>
      <c r="C3176">
        <v>202602</v>
      </c>
      <c r="D3176">
        <v>0</v>
      </c>
      <c r="E3176">
        <v>0</v>
      </c>
      <c r="F3176">
        <v>270.68</v>
      </c>
    </row>
    <row r="3177" spans="1:6" x14ac:dyDescent="0.35">
      <c r="A3177">
        <v>582</v>
      </c>
      <c r="B3177" t="s">
        <v>162</v>
      </c>
      <c r="C3177">
        <v>202602</v>
      </c>
      <c r="D3177">
        <v>4080</v>
      </c>
      <c r="E3177">
        <v>13.566084788029926</v>
      </c>
      <c r="F3177">
        <v>300.75</v>
      </c>
    </row>
    <row r="3178" spans="1:6" x14ac:dyDescent="0.35">
      <c r="A3178">
        <v>594</v>
      </c>
      <c r="B3178" t="s">
        <v>162</v>
      </c>
      <c r="C3178">
        <v>202602</v>
      </c>
      <c r="D3178">
        <v>5534</v>
      </c>
      <c r="E3178">
        <v>32.794074074074075</v>
      </c>
      <c r="F3178">
        <v>168.75</v>
      </c>
    </row>
    <row r="3179" spans="1:6" x14ac:dyDescent="0.35">
      <c r="A3179">
        <v>595</v>
      </c>
      <c r="B3179" t="s">
        <v>162</v>
      </c>
      <c r="C3179">
        <v>202602</v>
      </c>
      <c r="D3179">
        <v>6393</v>
      </c>
      <c r="E3179">
        <v>85.24</v>
      </c>
      <c r="F3179">
        <v>75</v>
      </c>
    </row>
    <row r="3180" spans="1:6" x14ac:dyDescent="0.35">
      <c r="A3180">
        <v>603</v>
      </c>
      <c r="B3180" t="s">
        <v>162</v>
      </c>
      <c r="C3180">
        <v>202602</v>
      </c>
      <c r="D3180">
        <v>1204</v>
      </c>
      <c r="E3180">
        <v>5.3378258556481644</v>
      </c>
      <c r="F3180">
        <v>225.56</v>
      </c>
    </row>
    <row r="3181" spans="1:6" x14ac:dyDescent="0.35">
      <c r="A3181">
        <v>606</v>
      </c>
      <c r="B3181" t="s">
        <v>162</v>
      </c>
      <c r="C3181">
        <v>202602</v>
      </c>
      <c r="D3181">
        <v>1504</v>
      </c>
      <c r="E3181">
        <v>5.7323626939055528</v>
      </c>
      <c r="F3181">
        <v>262.37</v>
      </c>
    </row>
    <row r="3182" spans="1:6" x14ac:dyDescent="0.35">
      <c r="A3182">
        <v>772</v>
      </c>
      <c r="B3182" t="s">
        <v>162</v>
      </c>
      <c r="C3182">
        <v>202602</v>
      </c>
      <c r="D3182">
        <v>211</v>
      </c>
      <c r="E3182">
        <v>1.042490118577075</v>
      </c>
      <c r="F3182">
        <v>202.4</v>
      </c>
    </row>
    <row r="3183" spans="1:6" x14ac:dyDescent="0.35">
      <c r="A3183">
        <v>615</v>
      </c>
      <c r="B3183" t="s">
        <v>162</v>
      </c>
      <c r="C3183">
        <v>202602</v>
      </c>
      <c r="D3183">
        <v>1840</v>
      </c>
      <c r="E3183">
        <v>6.797694694842618</v>
      </c>
      <c r="F3183">
        <v>270.68</v>
      </c>
    </row>
    <row r="3184" spans="1:6" x14ac:dyDescent="0.35">
      <c r="A3184">
        <v>617</v>
      </c>
      <c r="B3184" t="s">
        <v>162</v>
      </c>
      <c r="C3184">
        <v>202602</v>
      </c>
      <c r="D3184">
        <v>678</v>
      </c>
      <c r="E3184">
        <v>1.5066666666666666</v>
      </c>
      <c r="F3184">
        <v>450</v>
      </c>
    </row>
    <row r="3185" spans="1:6" x14ac:dyDescent="0.35">
      <c r="A3185">
        <v>751</v>
      </c>
      <c r="B3185" t="s">
        <v>162</v>
      </c>
      <c r="C3185">
        <v>202602</v>
      </c>
      <c r="D3185">
        <v>714</v>
      </c>
      <c r="E3185">
        <v>3.5170681247229201</v>
      </c>
      <c r="F3185">
        <v>203.01</v>
      </c>
    </row>
    <row r="3186" spans="1:6" x14ac:dyDescent="0.35">
      <c r="A3186">
        <v>752</v>
      </c>
      <c r="B3186" t="s">
        <v>162</v>
      </c>
      <c r="C3186">
        <v>202602</v>
      </c>
      <c r="D3186">
        <v>4329</v>
      </c>
      <c r="E3186">
        <v>12.516625224079107</v>
      </c>
      <c r="F3186">
        <v>345.86</v>
      </c>
    </row>
    <row r="3187" spans="1:6" x14ac:dyDescent="0.35">
      <c r="A3187">
        <v>753</v>
      </c>
      <c r="B3187" t="s">
        <v>162</v>
      </c>
      <c r="C3187">
        <v>202602</v>
      </c>
      <c r="D3187">
        <v>4968</v>
      </c>
      <c r="E3187">
        <v>10.165329841217874</v>
      </c>
      <c r="F3187">
        <v>488.72</v>
      </c>
    </row>
    <row r="3188" spans="1:6" x14ac:dyDescent="0.35">
      <c r="A3188">
        <v>754</v>
      </c>
      <c r="B3188" t="s">
        <v>162</v>
      </c>
      <c r="C3188">
        <v>202602</v>
      </c>
      <c r="D3188">
        <v>434</v>
      </c>
      <c r="E3188">
        <v>0.72151751425578958</v>
      </c>
      <c r="F3188">
        <v>601.51</v>
      </c>
    </row>
    <row r="3189" spans="1:6" x14ac:dyDescent="0.35">
      <c r="A3189">
        <v>614</v>
      </c>
      <c r="B3189" t="s">
        <v>162</v>
      </c>
      <c r="C3189">
        <v>202602</v>
      </c>
      <c r="D3189">
        <v>11409</v>
      </c>
      <c r="E3189">
        <v>20.293489861259335</v>
      </c>
      <c r="F3189">
        <v>562.20000000000005</v>
      </c>
    </row>
    <row r="3190" spans="1:6" x14ac:dyDescent="0.35">
      <c r="A3190">
        <v>797</v>
      </c>
      <c r="B3190" t="s">
        <v>162</v>
      </c>
      <c r="C3190">
        <v>202602</v>
      </c>
      <c r="D3190">
        <v>761</v>
      </c>
      <c r="E3190">
        <v>1.6918630502445531</v>
      </c>
      <c r="F3190">
        <v>449.8</v>
      </c>
    </row>
    <row r="3191" spans="1:6" x14ac:dyDescent="0.35">
      <c r="A3191">
        <v>613</v>
      </c>
      <c r="B3191" t="s">
        <v>162</v>
      </c>
      <c r="C3191">
        <v>202602</v>
      </c>
      <c r="D3191">
        <v>6298</v>
      </c>
      <c r="E3191">
        <v>21.531623931623933</v>
      </c>
      <c r="F3191">
        <v>292.5</v>
      </c>
    </row>
    <row r="3192" spans="1:6" x14ac:dyDescent="0.35">
      <c r="A3192">
        <v>767</v>
      </c>
      <c r="B3192" t="s">
        <v>162</v>
      </c>
      <c r="C3192">
        <v>202602</v>
      </c>
      <c r="D3192">
        <v>4856</v>
      </c>
      <c r="E3192">
        <v>8.0960320106702248</v>
      </c>
      <c r="F3192">
        <v>599.79999999999995</v>
      </c>
    </row>
    <row r="3193" spans="1:6" x14ac:dyDescent="0.35">
      <c r="A3193">
        <v>807</v>
      </c>
      <c r="B3193" t="s">
        <v>162</v>
      </c>
      <c r="C3193">
        <v>202602</v>
      </c>
      <c r="D3193">
        <v>1387</v>
      </c>
      <c r="E3193">
        <v>6.9349999999999996</v>
      </c>
      <c r="F3193">
        <v>200</v>
      </c>
    </row>
    <row r="3194" spans="1:6" x14ac:dyDescent="0.35">
      <c r="A3194">
        <v>808</v>
      </c>
      <c r="B3194" t="s">
        <v>162</v>
      </c>
      <c r="C3194">
        <v>202602</v>
      </c>
      <c r="D3194">
        <v>2106</v>
      </c>
      <c r="E3194">
        <v>7.1452805862794326</v>
      </c>
      <c r="F3194">
        <v>294.74</v>
      </c>
    </row>
    <row r="3195" spans="1:6" x14ac:dyDescent="0.35">
      <c r="A3195">
        <v>502</v>
      </c>
      <c r="B3195" t="s">
        <v>111</v>
      </c>
      <c r="C3195">
        <v>202602</v>
      </c>
      <c r="D3195">
        <v>36773</v>
      </c>
      <c r="E3195">
        <v>118.1499807222722</v>
      </c>
      <c r="F3195">
        <v>311.24</v>
      </c>
    </row>
    <row r="3196" spans="1:6" x14ac:dyDescent="0.35">
      <c r="A3196">
        <v>504</v>
      </c>
      <c r="B3196" t="s">
        <v>111</v>
      </c>
      <c r="C3196">
        <v>202602</v>
      </c>
      <c r="D3196">
        <v>76828</v>
      </c>
      <c r="E3196">
        <v>176.00513161210512</v>
      </c>
      <c r="F3196">
        <v>436.51</v>
      </c>
    </row>
    <row r="3197" spans="1:6" x14ac:dyDescent="0.35">
      <c r="A3197">
        <v>505</v>
      </c>
      <c r="B3197" t="s">
        <v>111</v>
      </c>
      <c r="C3197">
        <v>202602</v>
      </c>
      <c r="D3197">
        <v>40642</v>
      </c>
      <c r="E3197">
        <v>109.19984953517115</v>
      </c>
      <c r="F3197">
        <v>372.18</v>
      </c>
    </row>
    <row r="3198" spans="1:6" x14ac:dyDescent="0.35">
      <c r="A3198">
        <v>506</v>
      </c>
      <c r="B3198" t="s">
        <v>111</v>
      </c>
      <c r="C3198">
        <v>202602</v>
      </c>
      <c r="D3198">
        <v>42596</v>
      </c>
      <c r="E3198">
        <v>89.923789820346641</v>
      </c>
      <c r="F3198">
        <v>473.69</v>
      </c>
    </row>
    <row r="3199" spans="1:6" x14ac:dyDescent="0.35">
      <c r="A3199">
        <v>508</v>
      </c>
      <c r="B3199" t="s">
        <v>111</v>
      </c>
      <c r="C3199">
        <v>202602</v>
      </c>
      <c r="D3199">
        <v>44454</v>
      </c>
      <c r="E3199">
        <v>109.84432913269089</v>
      </c>
      <c r="F3199">
        <v>404.7</v>
      </c>
    </row>
    <row r="3200" spans="1:6" x14ac:dyDescent="0.35">
      <c r="A3200">
        <v>507</v>
      </c>
      <c r="B3200" t="s">
        <v>111</v>
      </c>
      <c r="C3200">
        <v>202602</v>
      </c>
      <c r="D3200">
        <v>36284</v>
      </c>
      <c r="E3200">
        <v>134.38518518518518</v>
      </c>
      <c r="F3200">
        <v>270</v>
      </c>
    </row>
    <row r="3201" spans="1:6" x14ac:dyDescent="0.35">
      <c r="A3201">
        <v>520</v>
      </c>
      <c r="B3201" t="s">
        <v>111</v>
      </c>
      <c r="C3201">
        <v>202602</v>
      </c>
      <c r="D3201">
        <v>989</v>
      </c>
      <c r="E3201">
        <v>14.544117647058824</v>
      </c>
      <c r="F3201">
        <v>68</v>
      </c>
    </row>
    <row r="3202" spans="1:6" x14ac:dyDescent="0.35">
      <c r="A3202">
        <v>521</v>
      </c>
      <c r="B3202" t="s">
        <v>111</v>
      </c>
      <c r="C3202">
        <v>202602</v>
      </c>
      <c r="D3202">
        <v>7106</v>
      </c>
      <c r="E3202">
        <v>61.258620689655174</v>
      </c>
      <c r="F3202">
        <v>116</v>
      </c>
    </row>
    <row r="3203" spans="1:6" x14ac:dyDescent="0.35">
      <c r="A3203">
        <v>784</v>
      </c>
      <c r="B3203" t="s">
        <v>111</v>
      </c>
      <c r="C3203">
        <v>202602</v>
      </c>
      <c r="D3203">
        <v>1367</v>
      </c>
      <c r="E3203">
        <v>4.0539739027283517</v>
      </c>
      <c r="F3203">
        <v>337.2</v>
      </c>
    </row>
    <row r="3204" spans="1:6" x14ac:dyDescent="0.35">
      <c r="A3204">
        <v>785</v>
      </c>
      <c r="B3204" t="s">
        <v>111</v>
      </c>
      <c r="C3204">
        <v>202602</v>
      </c>
      <c r="D3204">
        <v>1054</v>
      </c>
      <c r="E3204">
        <v>1.8747776591960155</v>
      </c>
      <c r="F3204">
        <v>562.20000000000005</v>
      </c>
    </row>
    <row r="3205" spans="1:6" x14ac:dyDescent="0.35">
      <c r="A3205">
        <v>758</v>
      </c>
      <c r="B3205" t="s">
        <v>111</v>
      </c>
      <c r="C3205">
        <v>202602</v>
      </c>
      <c r="D3205">
        <v>15410</v>
      </c>
      <c r="E3205">
        <v>22.840796241125293</v>
      </c>
      <c r="F3205">
        <v>674.67</v>
      </c>
    </row>
    <row r="3206" spans="1:6" x14ac:dyDescent="0.35">
      <c r="A3206">
        <v>757</v>
      </c>
      <c r="B3206" t="s">
        <v>111</v>
      </c>
      <c r="C3206">
        <v>202602</v>
      </c>
      <c r="D3206">
        <v>30959</v>
      </c>
      <c r="E3206">
        <v>62.573773142533753</v>
      </c>
      <c r="F3206">
        <v>494.76</v>
      </c>
    </row>
    <row r="3207" spans="1:6" x14ac:dyDescent="0.35">
      <c r="A3207">
        <v>580</v>
      </c>
      <c r="B3207" t="s">
        <v>111</v>
      </c>
      <c r="C3207">
        <v>202602</v>
      </c>
      <c r="D3207">
        <v>0</v>
      </c>
      <c r="E3207">
        <v>0</v>
      </c>
      <c r="F3207">
        <v>270.68</v>
      </c>
    </row>
    <row r="3208" spans="1:6" x14ac:dyDescent="0.35">
      <c r="A3208">
        <v>582</v>
      </c>
      <c r="B3208" t="s">
        <v>111</v>
      </c>
      <c r="C3208">
        <v>202602</v>
      </c>
      <c r="D3208">
        <v>1061</v>
      </c>
      <c r="E3208">
        <v>3.5278470490440563</v>
      </c>
      <c r="F3208">
        <v>300.75</v>
      </c>
    </row>
    <row r="3209" spans="1:6" x14ac:dyDescent="0.35">
      <c r="A3209">
        <v>594</v>
      </c>
      <c r="B3209" t="s">
        <v>111</v>
      </c>
      <c r="C3209">
        <v>202602</v>
      </c>
      <c r="D3209">
        <v>17566</v>
      </c>
      <c r="E3209">
        <v>104.09481481481481</v>
      </c>
      <c r="F3209">
        <v>168.75</v>
      </c>
    </row>
    <row r="3210" spans="1:6" x14ac:dyDescent="0.35">
      <c r="A3210">
        <v>595</v>
      </c>
      <c r="B3210" t="s">
        <v>111</v>
      </c>
      <c r="C3210">
        <v>202602</v>
      </c>
      <c r="D3210">
        <v>32716</v>
      </c>
      <c r="E3210">
        <v>436.21333333333331</v>
      </c>
      <c r="F3210">
        <v>75</v>
      </c>
    </row>
    <row r="3211" spans="1:6" x14ac:dyDescent="0.35">
      <c r="A3211">
        <v>603</v>
      </c>
      <c r="B3211" t="s">
        <v>111</v>
      </c>
      <c r="C3211">
        <v>202602</v>
      </c>
      <c r="D3211">
        <v>4507</v>
      </c>
      <c r="E3211">
        <v>19.981379677247737</v>
      </c>
      <c r="F3211">
        <v>225.56</v>
      </c>
    </row>
    <row r="3212" spans="1:6" x14ac:dyDescent="0.35">
      <c r="A3212">
        <v>606</v>
      </c>
      <c r="B3212" t="s">
        <v>111</v>
      </c>
      <c r="C3212">
        <v>202602</v>
      </c>
      <c r="D3212">
        <v>9069</v>
      </c>
      <c r="E3212">
        <v>34.565689674886613</v>
      </c>
      <c r="F3212">
        <v>262.37</v>
      </c>
    </row>
    <row r="3213" spans="1:6" x14ac:dyDescent="0.35">
      <c r="A3213">
        <v>772</v>
      </c>
      <c r="B3213" t="s">
        <v>111</v>
      </c>
      <c r="C3213">
        <v>202602</v>
      </c>
      <c r="D3213">
        <v>558</v>
      </c>
      <c r="E3213">
        <v>2.7569169960474307</v>
      </c>
      <c r="F3213">
        <v>202.4</v>
      </c>
    </row>
    <row r="3214" spans="1:6" x14ac:dyDescent="0.35">
      <c r="A3214">
        <v>615</v>
      </c>
      <c r="B3214" t="s">
        <v>111</v>
      </c>
      <c r="C3214">
        <v>202602</v>
      </c>
      <c r="D3214">
        <v>8033</v>
      </c>
      <c r="E3214">
        <v>29.677109501994973</v>
      </c>
      <c r="F3214">
        <v>270.68</v>
      </c>
    </row>
    <row r="3215" spans="1:6" x14ac:dyDescent="0.35">
      <c r="A3215">
        <v>617</v>
      </c>
      <c r="B3215" t="s">
        <v>111</v>
      </c>
      <c r="C3215">
        <v>202602</v>
      </c>
      <c r="D3215">
        <v>4151</v>
      </c>
      <c r="E3215">
        <v>9.224444444444444</v>
      </c>
      <c r="F3215">
        <v>450</v>
      </c>
    </row>
    <row r="3216" spans="1:6" x14ac:dyDescent="0.35">
      <c r="A3216">
        <v>751</v>
      </c>
      <c r="B3216" t="s">
        <v>111</v>
      </c>
      <c r="C3216">
        <v>202602</v>
      </c>
      <c r="D3216">
        <v>678</v>
      </c>
      <c r="E3216">
        <v>3.3397369587705041</v>
      </c>
      <c r="F3216">
        <v>203.01</v>
      </c>
    </row>
    <row r="3217" spans="1:6" x14ac:dyDescent="0.35">
      <c r="A3217">
        <v>752</v>
      </c>
      <c r="B3217" t="s">
        <v>111</v>
      </c>
      <c r="C3217">
        <v>202602</v>
      </c>
      <c r="D3217">
        <v>7113</v>
      </c>
      <c r="E3217">
        <v>20.566125021685075</v>
      </c>
      <c r="F3217">
        <v>345.86</v>
      </c>
    </row>
    <row r="3218" spans="1:6" x14ac:dyDescent="0.35">
      <c r="A3218">
        <v>753</v>
      </c>
      <c r="B3218" t="s">
        <v>111</v>
      </c>
      <c r="C3218">
        <v>202602</v>
      </c>
      <c r="D3218">
        <v>14879</v>
      </c>
      <c r="E3218">
        <v>30.44483548862334</v>
      </c>
      <c r="F3218">
        <v>488.72</v>
      </c>
    </row>
    <row r="3219" spans="1:6" x14ac:dyDescent="0.35">
      <c r="A3219">
        <v>754</v>
      </c>
      <c r="B3219" t="s">
        <v>111</v>
      </c>
      <c r="C3219">
        <v>202602</v>
      </c>
      <c r="D3219">
        <v>1766</v>
      </c>
      <c r="E3219">
        <v>2.9359445395754018</v>
      </c>
      <c r="F3219">
        <v>601.51</v>
      </c>
    </row>
    <row r="3220" spans="1:6" x14ac:dyDescent="0.35">
      <c r="A3220">
        <v>614</v>
      </c>
      <c r="B3220" t="s">
        <v>111</v>
      </c>
      <c r="C3220">
        <v>202602</v>
      </c>
      <c r="D3220">
        <v>21791</v>
      </c>
      <c r="E3220">
        <v>38.760227676983277</v>
      </c>
      <c r="F3220">
        <v>562.20000000000005</v>
      </c>
    </row>
    <row r="3221" spans="1:6" x14ac:dyDescent="0.35">
      <c r="A3221">
        <v>797</v>
      </c>
      <c r="B3221" t="s">
        <v>111</v>
      </c>
      <c r="C3221">
        <v>202602</v>
      </c>
      <c r="D3221">
        <v>1718</v>
      </c>
      <c r="E3221">
        <v>3.8194753223654958</v>
      </c>
      <c r="F3221">
        <v>449.8</v>
      </c>
    </row>
    <row r="3222" spans="1:6" x14ac:dyDescent="0.35">
      <c r="A3222">
        <v>613</v>
      </c>
      <c r="B3222" t="s">
        <v>111</v>
      </c>
      <c r="C3222">
        <v>202602</v>
      </c>
      <c r="D3222">
        <v>11708</v>
      </c>
      <c r="E3222">
        <v>40.027350427350427</v>
      </c>
      <c r="F3222">
        <v>292.5</v>
      </c>
    </row>
    <row r="3223" spans="1:6" x14ac:dyDescent="0.35">
      <c r="A3223">
        <v>767</v>
      </c>
      <c r="B3223" t="s">
        <v>111</v>
      </c>
      <c r="C3223">
        <v>202602</v>
      </c>
      <c r="D3223">
        <v>8247</v>
      </c>
      <c r="E3223">
        <v>13.749583194398134</v>
      </c>
      <c r="F3223">
        <v>599.79999999999995</v>
      </c>
    </row>
    <row r="3224" spans="1:6" x14ac:dyDescent="0.35">
      <c r="A3224">
        <v>807</v>
      </c>
      <c r="B3224" t="s">
        <v>111</v>
      </c>
      <c r="C3224">
        <v>202602</v>
      </c>
      <c r="D3224">
        <v>1815</v>
      </c>
      <c r="E3224">
        <v>9.0749999999999993</v>
      </c>
      <c r="F3224">
        <v>200</v>
      </c>
    </row>
    <row r="3225" spans="1:6" x14ac:dyDescent="0.35">
      <c r="A3225">
        <v>808</v>
      </c>
      <c r="B3225" t="s">
        <v>111</v>
      </c>
      <c r="C3225">
        <v>202602</v>
      </c>
      <c r="D3225">
        <v>2770</v>
      </c>
      <c r="E3225">
        <v>9.3981135916400884</v>
      </c>
      <c r="F3225">
        <v>294.74</v>
      </c>
    </row>
    <row r="3226" spans="1:6" x14ac:dyDescent="0.35">
      <c r="A3226">
        <v>502</v>
      </c>
      <c r="B3226" t="s">
        <v>112</v>
      </c>
      <c r="C3226">
        <v>202602</v>
      </c>
      <c r="D3226">
        <v>32833</v>
      </c>
      <c r="E3226">
        <v>105.49093946793471</v>
      </c>
      <c r="F3226">
        <v>311.24</v>
      </c>
    </row>
    <row r="3227" spans="1:6" x14ac:dyDescent="0.35">
      <c r="A3227">
        <v>504</v>
      </c>
      <c r="B3227" t="s">
        <v>112</v>
      </c>
      <c r="C3227">
        <v>202602</v>
      </c>
      <c r="D3227">
        <v>82625</v>
      </c>
      <c r="E3227">
        <v>189.28546883232917</v>
      </c>
      <c r="F3227">
        <v>436.51</v>
      </c>
    </row>
    <row r="3228" spans="1:6" x14ac:dyDescent="0.35">
      <c r="A3228">
        <v>505</v>
      </c>
      <c r="B3228" t="s">
        <v>112</v>
      </c>
      <c r="C3228">
        <v>202602</v>
      </c>
      <c r="D3228">
        <v>47869</v>
      </c>
      <c r="E3228">
        <v>128.61787307216937</v>
      </c>
      <c r="F3228">
        <v>372.18</v>
      </c>
    </row>
    <row r="3229" spans="1:6" x14ac:dyDescent="0.35">
      <c r="A3229">
        <v>506</v>
      </c>
      <c r="B3229" t="s">
        <v>112</v>
      </c>
      <c r="C3229">
        <v>202602</v>
      </c>
      <c r="D3229">
        <v>47773</v>
      </c>
      <c r="E3229">
        <v>100.85287846481876</v>
      </c>
      <c r="F3229">
        <v>473.69</v>
      </c>
    </row>
    <row r="3230" spans="1:6" x14ac:dyDescent="0.35">
      <c r="A3230">
        <v>508</v>
      </c>
      <c r="B3230" t="s">
        <v>112</v>
      </c>
      <c r="C3230">
        <v>202602</v>
      </c>
      <c r="D3230">
        <v>38419</v>
      </c>
      <c r="E3230">
        <v>94.932048430936504</v>
      </c>
      <c r="F3230">
        <v>404.7</v>
      </c>
    </row>
    <row r="3231" spans="1:6" x14ac:dyDescent="0.35">
      <c r="A3231">
        <v>507</v>
      </c>
      <c r="B3231" t="s">
        <v>112</v>
      </c>
      <c r="C3231">
        <v>202602</v>
      </c>
      <c r="D3231">
        <v>25342</v>
      </c>
      <c r="E3231">
        <v>93.859259259259261</v>
      </c>
      <c r="F3231">
        <v>270</v>
      </c>
    </row>
    <row r="3232" spans="1:6" x14ac:dyDescent="0.35">
      <c r="A3232">
        <v>520</v>
      </c>
      <c r="B3232" t="s">
        <v>112</v>
      </c>
      <c r="C3232">
        <v>202602</v>
      </c>
      <c r="D3232">
        <v>687</v>
      </c>
      <c r="E3232">
        <v>10.102941176470589</v>
      </c>
      <c r="F3232">
        <v>68</v>
      </c>
    </row>
    <row r="3233" spans="1:6" x14ac:dyDescent="0.35">
      <c r="A3233">
        <v>521</v>
      </c>
      <c r="B3233" t="s">
        <v>112</v>
      </c>
      <c r="C3233">
        <v>202602</v>
      </c>
      <c r="D3233">
        <v>4450</v>
      </c>
      <c r="E3233">
        <v>38.362068965517238</v>
      </c>
      <c r="F3233">
        <v>116</v>
      </c>
    </row>
    <row r="3234" spans="1:6" x14ac:dyDescent="0.35">
      <c r="A3234">
        <v>784</v>
      </c>
      <c r="B3234" t="s">
        <v>112</v>
      </c>
      <c r="C3234">
        <v>202602</v>
      </c>
      <c r="D3234">
        <v>627</v>
      </c>
      <c r="E3234">
        <v>1.8594306049822065</v>
      </c>
      <c r="F3234">
        <v>337.2</v>
      </c>
    </row>
    <row r="3235" spans="1:6" x14ac:dyDescent="0.35">
      <c r="A3235">
        <v>785</v>
      </c>
      <c r="B3235" t="s">
        <v>112</v>
      </c>
      <c r="C3235">
        <v>202602</v>
      </c>
      <c r="D3235">
        <v>711</v>
      </c>
      <c r="E3235">
        <v>1.2646744930629668</v>
      </c>
      <c r="F3235">
        <v>562.20000000000005</v>
      </c>
    </row>
    <row r="3236" spans="1:6" x14ac:dyDescent="0.35">
      <c r="A3236">
        <v>758</v>
      </c>
      <c r="B3236" t="s">
        <v>112</v>
      </c>
      <c r="C3236">
        <v>202602</v>
      </c>
      <c r="D3236">
        <v>6623</v>
      </c>
      <c r="E3236">
        <v>9.8166511035024531</v>
      </c>
      <c r="F3236">
        <v>674.67</v>
      </c>
    </row>
    <row r="3237" spans="1:6" x14ac:dyDescent="0.35">
      <c r="A3237">
        <v>757</v>
      </c>
      <c r="B3237" t="s">
        <v>112</v>
      </c>
      <c r="C3237">
        <v>202602</v>
      </c>
      <c r="D3237">
        <v>16242</v>
      </c>
      <c r="E3237">
        <v>32.828037836526804</v>
      </c>
      <c r="F3237">
        <v>494.76</v>
      </c>
    </row>
    <row r="3238" spans="1:6" x14ac:dyDescent="0.35">
      <c r="A3238">
        <v>580</v>
      </c>
      <c r="B3238" t="s">
        <v>112</v>
      </c>
      <c r="C3238">
        <v>202602</v>
      </c>
      <c r="D3238">
        <v>0</v>
      </c>
      <c r="E3238">
        <v>0</v>
      </c>
      <c r="F3238">
        <v>270.68</v>
      </c>
    </row>
    <row r="3239" spans="1:6" x14ac:dyDescent="0.35">
      <c r="A3239">
        <v>582</v>
      </c>
      <c r="B3239" t="s">
        <v>112</v>
      </c>
      <c r="C3239">
        <v>202602</v>
      </c>
      <c r="D3239">
        <v>1745</v>
      </c>
      <c r="E3239">
        <v>5.8021612635078972</v>
      </c>
      <c r="F3239">
        <v>300.75</v>
      </c>
    </row>
    <row r="3240" spans="1:6" x14ac:dyDescent="0.35">
      <c r="A3240">
        <v>594</v>
      </c>
      <c r="B3240" t="s">
        <v>112</v>
      </c>
      <c r="C3240">
        <v>202602</v>
      </c>
      <c r="D3240">
        <v>9715</v>
      </c>
      <c r="E3240">
        <v>57.57037037037037</v>
      </c>
      <c r="F3240">
        <v>168.75</v>
      </c>
    </row>
    <row r="3241" spans="1:6" x14ac:dyDescent="0.35">
      <c r="A3241">
        <v>595</v>
      </c>
      <c r="B3241" t="s">
        <v>112</v>
      </c>
      <c r="C3241">
        <v>202602</v>
      </c>
      <c r="D3241">
        <v>22159</v>
      </c>
      <c r="E3241">
        <v>295.45333333333332</v>
      </c>
      <c r="F3241">
        <v>75</v>
      </c>
    </row>
    <row r="3242" spans="1:6" x14ac:dyDescent="0.35">
      <c r="A3242">
        <v>603</v>
      </c>
      <c r="B3242" t="s">
        <v>112</v>
      </c>
      <c r="C3242">
        <v>202602</v>
      </c>
      <c r="D3242">
        <v>2776</v>
      </c>
      <c r="E3242">
        <v>12.307146657208724</v>
      </c>
      <c r="F3242">
        <v>225.56</v>
      </c>
    </row>
    <row r="3243" spans="1:6" x14ac:dyDescent="0.35">
      <c r="A3243">
        <v>606</v>
      </c>
      <c r="B3243" t="s">
        <v>112</v>
      </c>
      <c r="C3243">
        <v>202602</v>
      </c>
      <c r="D3243">
        <v>3492</v>
      </c>
      <c r="E3243">
        <v>13.309448488775393</v>
      </c>
      <c r="F3243">
        <v>262.37</v>
      </c>
    </row>
    <row r="3244" spans="1:6" x14ac:dyDescent="0.35">
      <c r="A3244">
        <v>772</v>
      </c>
      <c r="B3244" t="s">
        <v>112</v>
      </c>
      <c r="C3244">
        <v>202602</v>
      </c>
      <c r="D3244">
        <v>358</v>
      </c>
      <c r="E3244">
        <v>1.7687747035573123</v>
      </c>
      <c r="F3244">
        <v>202.4</v>
      </c>
    </row>
    <row r="3245" spans="1:6" x14ac:dyDescent="0.35">
      <c r="A3245">
        <v>615</v>
      </c>
      <c r="B3245" t="s">
        <v>112</v>
      </c>
      <c r="C3245">
        <v>202602</v>
      </c>
      <c r="D3245">
        <v>5185</v>
      </c>
      <c r="E3245">
        <v>19.155460322151619</v>
      </c>
      <c r="F3245">
        <v>270.68</v>
      </c>
    </row>
    <row r="3246" spans="1:6" x14ac:dyDescent="0.35">
      <c r="A3246">
        <v>617</v>
      </c>
      <c r="B3246" t="s">
        <v>112</v>
      </c>
      <c r="C3246">
        <v>202602</v>
      </c>
      <c r="D3246">
        <v>2549</v>
      </c>
      <c r="E3246">
        <v>5.6644444444444444</v>
      </c>
      <c r="F3246">
        <v>450</v>
      </c>
    </row>
    <row r="3247" spans="1:6" x14ac:dyDescent="0.35">
      <c r="A3247">
        <v>751</v>
      </c>
      <c r="B3247" t="s">
        <v>112</v>
      </c>
      <c r="C3247">
        <v>202602</v>
      </c>
      <c r="D3247">
        <v>557</v>
      </c>
      <c r="E3247">
        <v>2.7437072065415498</v>
      </c>
      <c r="F3247">
        <v>203.01</v>
      </c>
    </row>
    <row r="3248" spans="1:6" x14ac:dyDescent="0.35">
      <c r="A3248">
        <v>752</v>
      </c>
      <c r="B3248" t="s">
        <v>112</v>
      </c>
      <c r="C3248">
        <v>202602</v>
      </c>
      <c r="D3248">
        <v>2348</v>
      </c>
      <c r="E3248">
        <v>6.7888741109119293</v>
      </c>
      <c r="F3248">
        <v>345.86</v>
      </c>
    </row>
    <row r="3249" spans="1:6" x14ac:dyDescent="0.35">
      <c r="A3249">
        <v>753</v>
      </c>
      <c r="B3249" t="s">
        <v>112</v>
      </c>
      <c r="C3249">
        <v>202602</v>
      </c>
      <c r="D3249">
        <v>4395</v>
      </c>
      <c r="E3249">
        <v>8.9928793583237834</v>
      </c>
      <c r="F3249">
        <v>488.72</v>
      </c>
    </row>
    <row r="3250" spans="1:6" x14ac:dyDescent="0.35">
      <c r="A3250">
        <v>754</v>
      </c>
      <c r="B3250" t="s">
        <v>112</v>
      </c>
      <c r="C3250">
        <v>202602</v>
      </c>
      <c r="D3250">
        <v>722</v>
      </c>
      <c r="E3250">
        <v>1.2003125467573275</v>
      </c>
      <c r="F3250">
        <v>601.51</v>
      </c>
    </row>
    <row r="3251" spans="1:6" x14ac:dyDescent="0.35">
      <c r="A3251">
        <v>614</v>
      </c>
      <c r="B3251" t="s">
        <v>112</v>
      </c>
      <c r="C3251">
        <v>202602</v>
      </c>
      <c r="D3251">
        <v>23078</v>
      </c>
      <c r="E3251">
        <v>41.049448594806115</v>
      </c>
      <c r="F3251">
        <v>562.20000000000005</v>
      </c>
    </row>
    <row r="3252" spans="1:6" x14ac:dyDescent="0.35">
      <c r="A3252">
        <v>797</v>
      </c>
      <c r="B3252" t="s">
        <v>112</v>
      </c>
      <c r="C3252">
        <v>202602</v>
      </c>
      <c r="D3252">
        <v>1714</v>
      </c>
      <c r="E3252">
        <v>3.810582481102712</v>
      </c>
      <c r="F3252">
        <v>449.8</v>
      </c>
    </row>
    <row r="3253" spans="1:6" x14ac:dyDescent="0.35">
      <c r="A3253">
        <v>613</v>
      </c>
      <c r="B3253" t="s">
        <v>112</v>
      </c>
      <c r="C3253">
        <v>202602</v>
      </c>
      <c r="D3253">
        <v>10620</v>
      </c>
      <c r="E3253">
        <v>36.307692307692307</v>
      </c>
      <c r="F3253">
        <v>292.5</v>
      </c>
    </row>
    <row r="3254" spans="1:6" x14ac:dyDescent="0.35">
      <c r="A3254">
        <v>767</v>
      </c>
      <c r="B3254" t="s">
        <v>112</v>
      </c>
      <c r="C3254">
        <v>202602</v>
      </c>
      <c r="D3254">
        <v>7115</v>
      </c>
      <c r="E3254">
        <v>11.862287429143048</v>
      </c>
      <c r="F3254">
        <v>599.79999999999995</v>
      </c>
    </row>
    <row r="3255" spans="1:6" x14ac:dyDescent="0.35">
      <c r="A3255">
        <v>807</v>
      </c>
      <c r="B3255" t="s">
        <v>112</v>
      </c>
      <c r="C3255">
        <v>202602</v>
      </c>
      <c r="D3255">
        <v>1436</v>
      </c>
      <c r="E3255">
        <v>7.18</v>
      </c>
      <c r="F3255">
        <v>200</v>
      </c>
    </row>
    <row r="3256" spans="1:6" x14ac:dyDescent="0.35">
      <c r="A3256">
        <v>808</v>
      </c>
      <c r="B3256" t="s">
        <v>112</v>
      </c>
      <c r="C3256">
        <v>202602</v>
      </c>
      <c r="D3256">
        <v>2254</v>
      </c>
      <c r="E3256">
        <v>7.6474180633778923</v>
      </c>
      <c r="F3256">
        <v>294.74</v>
      </c>
    </row>
    <row r="3257" spans="1:6" x14ac:dyDescent="0.35">
      <c r="A3257">
        <v>502</v>
      </c>
      <c r="B3257" t="s">
        <v>113</v>
      </c>
      <c r="C3257">
        <v>202602</v>
      </c>
      <c r="D3257">
        <v>27201</v>
      </c>
      <c r="E3257">
        <v>87.395578974424879</v>
      </c>
      <c r="F3257">
        <v>311.24</v>
      </c>
    </row>
    <row r="3258" spans="1:6" x14ac:dyDescent="0.35">
      <c r="A3258">
        <v>504</v>
      </c>
      <c r="B3258" t="s">
        <v>113</v>
      </c>
      <c r="C3258">
        <v>202602</v>
      </c>
      <c r="D3258">
        <v>55330</v>
      </c>
      <c r="E3258">
        <v>126.7554007926508</v>
      </c>
      <c r="F3258">
        <v>436.51</v>
      </c>
    </row>
    <row r="3259" spans="1:6" x14ac:dyDescent="0.35">
      <c r="A3259">
        <v>505</v>
      </c>
      <c r="B3259" t="s">
        <v>113</v>
      </c>
      <c r="C3259">
        <v>202602</v>
      </c>
      <c r="D3259">
        <v>31986</v>
      </c>
      <c r="E3259">
        <v>85.94228599064968</v>
      </c>
      <c r="F3259">
        <v>372.18</v>
      </c>
    </row>
    <row r="3260" spans="1:6" x14ac:dyDescent="0.35">
      <c r="A3260">
        <v>506</v>
      </c>
      <c r="B3260" t="s">
        <v>113</v>
      </c>
      <c r="C3260">
        <v>202602</v>
      </c>
      <c r="D3260">
        <v>28892</v>
      </c>
      <c r="E3260">
        <v>60.993476746395324</v>
      </c>
      <c r="F3260">
        <v>473.69</v>
      </c>
    </row>
    <row r="3261" spans="1:6" x14ac:dyDescent="0.35">
      <c r="A3261">
        <v>508</v>
      </c>
      <c r="B3261" t="s">
        <v>113</v>
      </c>
      <c r="C3261">
        <v>202602</v>
      </c>
      <c r="D3261">
        <v>28289</v>
      </c>
      <c r="E3261">
        <v>69.901161354089453</v>
      </c>
      <c r="F3261">
        <v>404.7</v>
      </c>
    </row>
    <row r="3262" spans="1:6" x14ac:dyDescent="0.35">
      <c r="A3262">
        <v>507</v>
      </c>
      <c r="B3262" t="s">
        <v>113</v>
      </c>
      <c r="C3262">
        <v>202602</v>
      </c>
      <c r="D3262">
        <v>22337</v>
      </c>
      <c r="E3262">
        <v>82.729629629629628</v>
      </c>
      <c r="F3262">
        <v>270</v>
      </c>
    </row>
    <row r="3263" spans="1:6" x14ac:dyDescent="0.35">
      <c r="A3263">
        <v>520</v>
      </c>
      <c r="B3263" t="s">
        <v>113</v>
      </c>
      <c r="C3263">
        <v>202602</v>
      </c>
      <c r="D3263">
        <v>554</v>
      </c>
      <c r="E3263">
        <v>8.1470588235294112</v>
      </c>
      <c r="F3263">
        <v>68</v>
      </c>
    </row>
    <row r="3264" spans="1:6" x14ac:dyDescent="0.35">
      <c r="A3264">
        <v>521</v>
      </c>
      <c r="B3264" t="s">
        <v>113</v>
      </c>
      <c r="C3264">
        <v>202602</v>
      </c>
      <c r="D3264">
        <v>3793</v>
      </c>
      <c r="E3264">
        <v>32.698275862068968</v>
      </c>
      <c r="F3264">
        <v>116</v>
      </c>
    </row>
    <row r="3265" spans="1:6" x14ac:dyDescent="0.35">
      <c r="A3265">
        <v>784</v>
      </c>
      <c r="B3265" t="s">
        <v>113</v>
      </c>
      <c r="C3265">
        <v>202602</v>
      </c>
      <c r="D3265">
        <v>562</v>
      </c>
      <c r="E3265">
        <v>1.6666666666666667</v>
      </c>
      <c r="F3265">
        <v>337.2</v>
      </c>
    </row>
    <row r="3266" spans="1:6" x14ac:dyDescent="0.35">
      <c r="A3266">
        <v>785</v>
      </c>
      <c r="B3266" t="s">
        <v>113</v>
      </c>
      <c r="C3266">
        <v>202602</v>
      </c>
      <c r="D3266">
        <v>626</v>
      </c>
      <c r="E3266">
        <v>1.1134827463536108</v>
      </c>
      <c r="F3266">
        <v>562.20000000000005</v>
      </c>
    </row>
    <row r="3267" spans="1:6" x14ac:dyDescent="0.35">
      <c r="A3267">
        <v>758</v>
      </c>
      <c r="B3267" t="s">
        <v>113</v>
      </c>
      <c r="C3267">
        <v>202602</v>
      </c>
      <c r="D3267">
        <v>7733</v>
      </c>
      <c r="E3267">
        <v>11.461899891798954</v>
      </c>
      <c r="F3267">
        <v>674.67</v>
      </c>
    </row>
    <row r="3268" spans="1:6" x14ac:dyDescent="0.35">
      <c r="A3268">
        <v>757</v>
      </c>
      <c r="B3268" t="s">
        <v>113</v>
      </c>
      <c r="C3268">
        <v>202602</v>
      </c>
      <c r="D3268">
        <v>18231</v>
      </c>
      <c r="E3268">
        <v>36.848168809119571</v>
      </c>
      <c r="F3268">
        <v>494.76</v>
      </c>
    </row>
    <row r="3269" spans="1:6" x14ac:dyDescent="0.35">
      <c r="A3269">
        <v>580</v>
      </c>
      <c r="B3269" t="s">
        <v>113</v>
      </c>
      <c r="C3269">
        <v>202602</v>
      </c>
      <c r="D3269">
        <v>0</v>
      </c>
      <c r="E3269">
        <v>0</v>
      </c>
      <c r="F3269">
        <v>270.68</v>
      </c>
    </row>
    <row r="3270" spans="1:6" x14ac:dyDescent="0.35">
      <c r="A3270">
        <v>582</v>
      </c>
      <c r="B3270" t="s">
        <v>113</v>
      </c>
      <c r="C3270">
        <v>202602</v>
      </c>
      <c r="D3270">
        <v>862</v>
      </c>
      <c r="E3270">
        <v>2.8661679135494595</v>
      </c>
      <c r="F3270">
        <v>300.75</v>
      </c>
    </row>
    <row r="3271" spans="1:6" x14ac:dyDescent="0.35">
      <c r="A3271">
        <v>594</v>
      </c>
      <c r="B3271" t="s">
        <v>113</v>
      </c>
      <c r="C3271">
        <v>202602</v>
      </c>
      <c r="D3271">
        <v>19019</v>
      </c>
      <c r="E3271">
        <v>112.70518518518519</v>
      </c>
      <c r="F3271">
        <v>168.75</v>
      </c>
    </row>
    <row r="3272" spans="1:6" x14ac:dyDescent="0.35">
      <c r="A3272">
        <v>595</v>
      </c>
      <c r="B3272" t="s">
        <v>113</v>
      </c>
      <c r="C3272">
        <v>202602</v>
      </c>
      <c r="D3272">
        <v>21635</v>
      </c>
      <c r="E3272">
        <v>288.46666666666664</v>
      </c>
      <c r="F3272">
        <v>75</v>
      </c>
    </row>
    <row r="3273" spans="1:6" x14ac:dyDescent="0.35">
      <c r="A3273">
        <v>603</v>
      </c>
      <c r="B3273" t="s">
        <v>113</v>
      </c>
      <c r="C3273">
        <v>202602</v>
      </c>
      <c r="D3273">
        <v>2567</v>
      </c>
      <c r="E3273">
        <v>11.380563929774782</v>
      </c>
      <c r="F3273">
        <v>225.56</v>
      </c>
    </row>
    <row r="3274" spans="1:6" x14ac:dyDescent="0.35">
      <c r="A3274">
        <v>606</v>
      </c>
      <c r="B3274" t="s">
        <v>113</v>
      </c>
      <c r="C3274">
        <v>202602</v>
      </c>
      <c r="D3274">
        <v>3974</v>
      </c>
      <c r="E3274">
        <v>15.146548767008422</v>
      </c>
      <c r="F3274">
        <v>262.37</v>
      </c>
    </row>
    <row r="3275" spans="1:6" x14ac:dyDescent="0.35">
      <c r="A3275">
        <v>772</v>
      </c>
      <c r="B3275" t="s">
        <v>113</v>
      </c>
      <c r="C3275">
        <v>202602</v>
      </c>
      <c r="D3275">
        <v>252</v>
      </c>
      <c r="E3275">
        <v>1.2450592885375493</v>
      </c>
      <c r="F3275">
        <v>202.4</v>
      </c>
    </row>
    <row r="3276" spans="1:6" x14ac:dyDescent="0.35">
      <c r="A3276">
        <v>615</v>
      </c>
      <c r="B3276" t="s">
        <v>113</v>
      </c>
      <c r="C3276">
        <v>202602</v>
      </c>
      <c r="D3276">
        <v>5867</v>
      </c>
      <c r="E3276">
        <v>21.675040638392197</v>
      </c>
      <c r="F3276">
        <v>270.68</v>
      </c>
    </row>
    <row r="3277" spans="1:6" x14ac:dyDescent="0.35">
      <c r="A3277">
        <v>617</v>
      </c>
      <c r="B3277" t="s">
        <v>113</v>
      </c>
      <c r="C3277">
        <v>202602</v>
      </c>
      <c r="D3277">
        <v>2390</v>
      </c>
      <c r="E3277">
        <v>5.3111111111111109</v>
      </c>
      <c r="F3277">
        <v>450</v>
      </c>
    </row>
    <row r="3278" spans="1:6" x14ac:dyDescent="0.35">
      <c r="A3278">
        <v>751</v>
      </c>
      <c r="B3278" t="s">
        <v>113</v>
      </c>
      <c r="C3278">
        <v>202602</v>
      </c>
      <c r="D3278">
        <v>503</v>
      </c>
      <c r="E3278">
        <v>2.4777104576129254</v>
      </c>
      <c r="F3278">
        <v>203.01</v>
      </c>
    </row>
    <row r="3279" spans="1:6" x14ac:dyDescent="0.35">
      <c r="A3279">
        <v>752</v>
      </c>
      <c r="B3279" t="s">
        <v>113</v>
      </c>
      <c r="C3279">
        <v>202602</v>
      </c>
      <c r="D3279">
        <v>10452</v>
      </c>
      <c r="E3279">
        <v>30.220320360839644</v>
      </c>
      <c r="F3279">
        <v>345.86</v>
      </c>
    </row>
    <row r="3280" spans="1:6" x14ac:dyDescent="0.35">
      <c r="A3280">
        <v>753</v>
      </c>
      <c r="B3280" t="s">
        <v>113</v>
      </c>
      <c r="C3280">
        <v>202602</v>
      </c>
      <c r="D3280">
        <v>31604</v>
      </c>
      <c r="E3280">
        <v>64.66688492388279</v>
      </c>
      <c r="F3280">
        <v>488.72</v>
      </c>
    </row>
    <row r="3281" spans="1:6" x14ac:dyDescent="0.35">
      <c r="A3281">
        <v>754</v>
      </c>
      <c r="B3281" t="s">
        <v>113</v>
      </c>
      <c r="C3281">
        <v>202602</v>
      </c>
      <c r="D3281">
        <v>3738</v>
      </c>
      <c r="E3281">
        <v>6.2143605260095427</v>
      </c>
      <c r="F3281">
        <v>601.51</v>
      </c>
    </row>
    <row r="3282" spans="1:6" x14ac:dyDescent="0.35">
      <c r="A3282">
        <v>614</v>
      </c>
      <c r="B3282" t="s">
        <v>113</v>
      </c>
      <c r="C3282">
        <v>202602</v>
      </c>
      <c r="D3282">
        <v>14385</v>
      </c>
      <c r="E3282">
        <v>25.586979722518674</v>
      </c>
      <c r="F3282">
        <v>562.20000000000005</v>
      </c>
    </row>
    <row r="3283" spans="1:6" x14ac:dyDescent="0.35">
      <c r="A3283">
        <v>797</v>
      </c>
      <c r="B3283" t="s">
        <v>113</v>
      </c>
      <c r="C3283">
        <v>202602</v>
      </c>
      <c r="D3283">
        <v>1243</v>
      </c>
      <c r="E3283">
        <v>2.7634504224099601</v>
      </c>
      <c r="F3283">
        <v>449.8</v>
      </c>
    </row>
    <row r="3284" spans="1:6" x14ac:dyDescent="0.35">
      <c r="A3284">
        <v>613</v>
      </c>
      <c r="B3284" t="s">
        <v>113</v>
      </c>
      <c r="C3284">
        <v>202602</v>
      </c>
      <c r="D3284">
        <v>8397</v>
      </c>
      <c r="E3284">
        <v>28.707692307692309</v>
      </c>
      <c r="F3284">
        <v>292.5</v>
      </c>
    </row>
    <row r="3285" spans="1:6" x14ac:dyDescent="0.35">
      <c r="A3285">
        <v>767</v>
      </c>
      <c r="B3285" t="s">
        <v>113</v>
      </c>
      <c r="C3285">
        <v>202602</v>
      </c>
      <c r="D3285">
        <v>5915</v>
      </c>
      <c r="E3285">
        <v>9.861620540180061</v>
      </c>
      <c r="F3285">
        <v>599.79999999999995</v>
      </c>
    </row>
    <row r="3286" spans="1:6" x14ac:dyDescent="0.35">
      <c r="A3286">
        <v>807</v>
      </c>
      <c r="B3286" t="s">
        <v>113</v>
      </c>
      <c r="C3286">
        <v>202602</v>
      </c>
      <c r="D3286">
        <v>1316</v>
      </c>
      <c r="E3286">
        <v>6.58</v>
      </c>
      <c r="F3286">
        <v>200</v>
      </c>
    </row>
    <row r="3287" spans="1:6" x14ac:dyDescent="0.35">
      <c r="A3287">
        <v>808</v>
      </c>
      <c r="B3287" t="s">
        <v>113</v>
      </c>
      <c r="C3287">
        <v>202602</v>
      </c>
      <c r="D3287">
        <v>1798</v>
      </c>
      <c r="E3287">
        <v>6.1002917825880436</v>
      </c>
      <c r="F3287">
        <v>294.74</v>
      </c>
    </row>
    <row r="3288" spans="1:6" x14ac:dyDescent="0.35">
      <c r="A3288">
        <v>502</v>
      </c>
      <c r="B3288" t="s">
        <v>114</v>
      </c>
      <c r="C3288">
        <v>202602</v>
      </c>
      <c r="D3288">
        <v>34094</v>
      </c>
      <c r="E3288">
        <v>109.54247526024932</v>
      </c>
      <c r="F3288">
        <v>311.24</v>
      </c>
    </row>
    <row r="3289" spans="1:6" x14ac:dyDescent="0.35">
      <c r="A3289">
        <v>504</v>
      </c>
      <c r="B3289" t="s">
        <v>114</v>
      </c>
      <c r="C3289">
        <v>202602</v>
      </c>
      <c r="D3289">
        <v>72371</v>
      </c>
      <c r="E3289">
        <v>165.79459806190007</v>
      </c>
      <c r="F3289">
        <v>436.51</v>
      </c>
    </row>
    <row r="3290" spans="1:6" x14ac:dyDescent="0.35">
      <c r="A3290">
        <v>505</v>
      </c>
      <c r="B3290" t="s">
        <v>114</v>
      </c>
      <c r="C3290">
        <v>202602</v>
      </c>
      <c r="D3290">
        <v>41535</v>
      </c>
      <c r="E3290">
        <v>111.59922618088022</v>
      </c>
      <c r="F3290">
        <v>372.18</v>
      </c>
    </row>
    <row r="3291" spans="1:6" x14ac:dyDescent="0.35">
      <c r="A3291">
        <v>506</v>
      </c>
      <c r="B3291" t="s">
        <v>114</v>
      </c>
      <c r="C3291">
        <v>202602</v>
      </c>
      <c r="D3291">
        <v>44195</v>
      </c>
      <c r="E3291">
        <v>93.299415229369416</v>
      </c>
      <c r="F3291">
        <v>473.69</v>
      </c>
    </row>
    <row r="3292" spans="1:6" x14ac:dyDescent="0.35">
      <c r="A3292">
        <v>508</v>
      </c>
      <c r="B3292" t="s">
        <v>114</v>
      </c>
      <c r="C3292">
        <v>202602</v>
      </c>
      <c r="D3292">
        <v>38454</v>
      </c>
      <c r="E3292">
        <v>95.018532246108236</v>
      </c>
      <c r="F3292">
        <v>404.7</v>
      </c>
    </row>
    <row r="3293" spans="1:6" x14ac:dyDescent="0.35">
      <c r="A3293">
        <v>507</v>
      </c>
      <c r="B3293" t="s">
        <v>114</v>
      </c>
      <c r="C3293">
        <v>202602</v>
      </c>
      <c r="D3293">
        <v>32119</v>
      </c>
      <c r="E3293">
        <v>118.95925925925926</v>
      </c>
      <c r="F3293">
        <v>270</v>
      </c>
    </row>
    <row r="3294" spans="1:6" x14ac:dyDescent="0.35">
      <c r="A3294">
        <v>520</v>
      </c>
      <c r="B3294" t="s">
        <v>114</v>
      </c>
      <c r="C3294">
        <v>202602</v>
      </c>
      <c r="D3294">
        <v>596</v>
      </c>
      <c r="E3294">
        <v>8.764705882352942</v>
      </c>
      <c r="F3294">
        <v>68</v>
      </c>
    </row>
    <row r="3295" spans="1:6" x14ac:dyDescent="0.35">
      <c r="A3295">
        <v>521</v>
      </c>
      <c r="B3295" t="s">
        <v>114</v>
      </c>
      <c r="C3295">
        <v>202602</v>
      </c>
      <c r="D3295">
        <v>4376</v>
      </c>
      <c r="E3295">
        <v>37.724137931034484</v>
      </c>
      <c r="F3295">
        <v>116</v>
      </c>
    </row>
    <row r="3296" spans="1:6" x14ac:dyDescent="0.35">
      <c r="A3296">
        <v>784</v>
      </c>
      <c r="B3296" t="s">
        <v>114</v>
      </c>
      <c r="C3296">
        <v>202602</v>
      </c>
      <c r="D3296">
        <v>765</v>
      </c>
      <c r="E3296">
        <v>2.2686832740213525</v>
      </c>
      <c r="F3296">
        <v>337.2</v>
      </c>
    </row>
    <row r="3297" spans="1:6" x14ac:dyDescent="0.35">
      <c r="A3297">
        <v>785</v>
      </c>
      <c r="B3297" t="s">
        <v>114</v>
      </c>
      <c r="C3297">
        <v>202602</v>
      </c>
      <c r="D3297">
        <v>1016</v>
      </c>
      <c r="E3297">
        <v>1.807186054784774</v>
      </c>
      <c r="F3297">
        <v>562.20000000000005</v>
      </c>
    </row>
    <row r="3298" spans="1:6" x14ac:dyDescent="0.35">
      <c r="A3298">
        <v>758</v>
      </c>
      <c r="B3298" t="s">
        <v>114</v>
      </c>
      <c r="C3298">
        <v>202602</v>
      </c>
      <c r="D3298">
        <v>10074</v>
      </c>
      <c r="E3298">
        <v>14.93174440837743</v>
      </c>
      <c r="F3298">
        <v>674.67</v>
      </c>
    </row>
    <row r="3299" spans="1:6" x14ac:dyDescent="0.35">
      <c r="A3299">
        <v>757</v>
      </c>
      <c r="B3299" t="s">
        <v>114</v>
      </c>
      <c r="C3299">
        <v>202602</v>
      </c>
      <c r="D3299">
        <v>23754</v>
      </c>
      <c r="E3299">
        <v>48.011156924569491</v>
      </c>
      <c r="F3299">
        <v>494.76</v>
      </c>
    </row>
    <row r="3300" spans="1:6" x14ac:dyDescent="0.35">
      <c r="A3300">
        <v>580</v>
      </c>
      <c r="B3300" t="s">
        <v>114</v>
      </c>
      <c r="C3300">
        <v>202602</v>
      </c>
      <c r="D3300">
        <v>0</v>
      </c>
      <c r="E3300">
        <v>0</v>
      </c>
      <c r="F3300">
        <v>270.68</v>
      </c>
    </row>
    <row r="3301" spans="1:6" x14ac:dyDescent="0.35">
      <c r="A3301">
        <v>582</v>
      </c>
      <c r="B3301" t="s">
        <v>114</v>
      </c>
      <c r="C3301">
        <v>202602</v>
      </c>
      <c r="D3301">
        <v>1067</v>
      </c>
      <c r="E3301">
        <v>3.5477971737323357</v>
      </c>
      <c r="F3301">
        <v>300.75</v>
      </c>
    </row>
    <row r="3302" spans="1:6" x14ac:dyDescent="0.35">
      <c r="A3302">
        <v>594</v>
      </c>
      <c r="B3302" t="s">
        <v>114</v>
      </c>
      <c r="C3302">
        <v>202602</v>
      </c>
      <c r="D3302">
        <v>28886</v>
      </c>
      <c r="E3302">
        <v>171.1762962962963</v>
      </c>
      <c r="F3302">
        <v>168.75</v>
      </c>
    </row>
    <row r="3303" spans="1:6" x14ac:dyDescent="0.35">
      <c r="A3303">
        <v>595</v>
      </c>
      <c r="B3303" t="s">
        <v>114</v>
      </c>
      <c r="C3303">
        <v>202602</v>
      </c>
      <c r="D3303">
        <v>28771</v>
      </c>
      <c r="E3303">
        <v>383.61333333333334</v>
      </c>
      <c r="F3303">
        <v>75</v>
      </c>
    </row>
    <row r="3304" spans="1:6" x14ac:dyDescent="0.35">
      <c r="A3304">
        <v>603</v>
      </c>
      <c r="B3304" t="s">
        <v>114</v>
      </c>
      <c r="C3304">
        <v>202602</v>
      </c>
      <c r="D3304">
        <v>2962</v>
      </c>
      <c r="E3304">
        <v>13.131760950523143</v>
      </c>
      <c r="F3304">
        <v>225.56</v>
      </c>
    </row>
    <row r="3305" spans="1:6" x14ac:dyDescent="0.35">
      <c r="A3305">
        <v>606</v>
      </c>
      <c r="B3305" t="s">
        <v>114</v>
      </c>
      <c r="C3305">
        <v>202602</v>
      </c>
      <c r="D3305">
        <v>4727</v>
      </c>
      <c r="E3305">
        <v>18.016541525326829</v>
      </c>
      <c r="F3305">
        <v>262.37</v>
      </c>
    </row>
    <row r="3306" spans="1:6" x14ac:dyDescent="0.35">
      <c r="A3306">
        <v>772</v>
      </c>
      <c r="B3306" t="s">
        <v>114</v>
      </c>
      <c r="C3306">
        <v>202602</v>
      </c>
      <c r="D3306">
        <v>404</v>
      </c>
      <c r="E3306">
        <v>1.9960474308300395</v>
      </c>
      <c r="F3306">
        <v>202.4</v>
      </c>
    </row>
    <row r="3307" spans="1:6" x14ac:dyDescent="0.35">
      <c r="A3307">
        <v>615</v>
      </c>
      <c r="B3307" t="s">
        <v>114</v>
      </c>
      <c r="C3307">
        <v>202602</v>
      </c>
      <c r="D3307">
        <v>7251</v>
      </c>
      <c r="E3307">
        <v>26.788089256686863</v>
      </c>
      <c r="F3307">
        <v>270.68</v>
      </c>
    </row>
    <row r="3308" spans="1:6" x14ac:dyDescent="0.35">
      <c r="A3308">
        <v>617</v>
      </c>
      <c r="B3308" t="s">
        <v>114</v>
      </c>
      <c r="C3308">
        <v>202602</v>
      </c>
      <c r="D3308">
        <v>2992</v>
      </c>
      <c r="E3308">
        <v>6.6488888888888891</v>
      </c>
      <c r="F3308">
        <v>450</v>
      </c>
    </row>
    <row r="3309" spans="1:6" x14ac:dyDescent="0.35">
      <c r="A3309">
        <v>751</v>
      </c>
      <c r="B3309" t="s">
        <v>114</v>
      </c>
      <c r="C3309">
        <v>202602</v>
      </c>
      <c r="D3309">
        <v>2178</v>
      </c>
      <c r="E3309">
        <v>10.728535540121177</v>
      </c>
      <c r="F3309">
        <v>203.01</v>
      </c>
    </row>
    <row r="3310" spans="1:6" x14ac:dyDescent="0.35">
      <c r="A3310">
        <v>752</v>
      </c>
      <c r="B3310" t="s">
        <v>114</v>
      </c>
      <c r="C3310">
        <v>202602</v>
      </c>
      <c r="D3310">
        <v>12300</v>
      </c>
      <c r="E3310">
        <v>35.563522812698778</v>
      </c>
      <c r="F3310">
        <v>345.86</v>
      </c>
    </row>
    <row r="3311" spans="1:6" x14ac:dyDescent="0.35">
      <c r="A3311">
        <v>753</v>
      </c>
      <c r="B3311" t="s">
        <v>114</v>
      </c>
      <c r="C3311">
        <v>202602</v>
      </c>
      <c r="D3311">
        <v>35208</v>
      </c>
      <c r="E3311">
        <v>72.041250613848419</v>
      </c>
      <c r="F3311">
        <v>488.72</v>
      </c>
    </row>
    <row r="3312" spans="1:6" x14ac:dyDescent="0.35">
      <c r="A3312">
        <v>754</v>
      </c>
      <c r="B3312" t="s">
        <v>114</v>
      </c>
      <c r="C3312">
        <v>202602</v>
      </c>
      <c r="D3312">
        <v>15567</v>
      </c>
      <c r="E3312">
        <v>25.879868996359164</v>
      </c>
      <c r="F3312">
        <v>601.51</v>
      </c>
    </row>
    <row r="3313" spans="1:6" x14ac:dyDescent="0.35">
      <c r="A3313">
        <v>614</v>
      </c>
      <c r="B3313" t="s">
        <v>114</v>
      </c>
      <c r="C3313">
        <v>202602</v>
      </c>
      <c r="D3313">
        <v>18200</v>
      </c>
      <c r="E3313">
        <v>32.372821060120948</v>
      </c>
      <c r="F3313">
        <v>562.20000000000005</v>
      </c>
    </row>
    <row r="3314" spans="1:6" x14ac:dyDescent="0.35">
      <c r="A3314">
        <v>797</v>
      </c>
      <c r="B3314" t="s">
        <v>114</v>
      </c>
      <c r="C3314">
        <v>202602</v>
      </c>
      <c r="D3314">
        <v>1443</v>
      </c>
      <c r="E3314">
        <v>3.2080924855491331</v>
      </c>
      <c r="F3314">
        <v>449.8</v>
      </c>
    </row>
    <row r="3315" spans="1:6" x14ac:dyDescent="0.35">
      <c r="A3315">
        <v>613</v>
      </c>
      <c r="B3315" t="s">
        <v>114</v>
      </c>
      <c r="C3315">
        <v>202602</v>
      </c>
      <c r="D3315">
        <v>10462</v>
      </c>
      <c r="E3315">
        <v>35.767521367521368</v>
      </c>
      <c r="F3315">
        <v>292.5</v>
      </c>
    </row>
    <row r="3316" spans="1:6" x14ac:dyDescent="0.35">
      <c r="A3316">
        <v>767</v>
      </c>
      <c r="B3316" t="s">
        <v>114</v>
      </c>
      <c r="C3316">
        <v>202602</v>
      </c>
      <c r="D3316">
        <v>8748</v>
      </c>
      <c r="E3316">
        <v>14.584861620540181</v>
      </c>
      <c r="F3316">
        <v>599.79999999999995</v>
      </c>
    </row>
    <row r="3317" spans="1:6" x14ac:dyDescent="0.35">
      <c r="A3317">
        <v>807</v>
      </c>
      <c r="B3317" t="s">
        <v>114</v>
      </c>
      <c r="C3317">
        <v>202602</v>
      </c>
      <c r="D3317">
        <v>939</v>
      </c>
      <c r="E3317">
        <v>4.6950000000000003</v>
      </c>
      <c r="F3317">
        <v>200</v>
      </c>
    </row>
    <row r="3318" spans="1:6" x14ac:dyDescent="0.35">
      <c r="A3318">
        <v>808</v>
      </c>
      <c r="B3318" t="s">
        <v>114</v>
      </c>
      <c r="C3318">
        <v>202602</v>
      </c>
      <c r="D3318">
        <v>1379</v>
      </c>
      <c r="E3318">
        <v>4.6786998710728094</v>
      </c>
      <c r="F3318">
        <v>294.74</v>
      </c>
    </row>
    <row r="3319" spans="1:6" x14ac:dyDescent="0.35">
      <c r="A3319">
        <v>502</v>
      </c>
      <c r="B3319" t="s">
        <v>115</v>
      </c>
      <c r="C3319">
        <v>202602</v>
      </c>
      <c r="D3319">
        <v>24018</v>
      </c>
      <c r="E3319">
        <v>77.168744377329389</v>
      </c>
      <c r="F3319">
        <v>311.24</v>
      </c>
    </row>
    <row r="3320" spans="1:6" x14ac:dyDescent="0.35">
      <c r="A3320">
        <v>504</v>
      </c>
      <c r="B3320" t="s">
        <v>115</v>
      </c>
      <c r="C3320">
        <v>202602</v>
      </c>
      <c r="D3320">
        <v>51714</v>
      </c>
      <c r="E3320">
        <v>118.47151268012188</v>
      </c>
      <c r="F3320">
        <v>436.51</v>
      </c>
    </row>
    <row r="3321" spans="1:6" x14ac:dyDescent="0.35">
      <c r="A3321">
        <v>505</v>
      </c>
      <c r="B3321" t="s">
        <v>115</v>
      </c>
      <c r="C3321">
        <v>202602</v>
      </c>
      <c r="D3321">
        <v>29360</v>
      </c>
      <c r="E3321">
        <v>78.8865602665377</v>
      </c>
      <c r="F3321">
        <v>372.18</v>
      </c>
    </row>
    <row r="3322" spans="1:6" x14ac:dyDescent="0.35">
      <c r="A3322">
        <v>506</v>
      </c>
      <c r="B3322" t="s">
        <v>115</v>
      </c>
      <c r="C3322">
        <v>202602</v>
      </c>
      <c r="D3322">
        <v>28473</v>
      </c>
      <c r="E3322">
        <v>60.1089320019422</v>
      </c>
      <c r="F3322">
        <v>473.69</v>
      </c>
    </row>
    <row r="3323" spans="1:6" x14ac:dyDescent="0.35">
      <c r="A3323">
        <v>508</v>
      </c>
      <c r="B3323" t="s">
        <v>115</v>
      </c>
      <c r="C3323">
        <v>202602</v>
      </c>
      <c r="D3323">
        <v>29209</v>
      </c>
      <c r="E3323">
        <v>72.17445021003212</v>
      </c>
      <c r="F3323">
        <v>404.7</v>
      </c>
    </row>
    <row r="3324" spans="1:6" x14ac:dyDescent="0.35">
      <c r="A3324">
        <v>507</v>
      </c>
      <c r="B3324" t="s">
        <v>115</v>
      </c>
      <c r="C3324">
        <v>202602</v>
      </c>
      <c r="D3324">
        <v>23811</v>
      </c>
      <c r="E3324">
        <v>88.188888888888883</v>
      </c>
      <c r="F3324">
        <v>270</v>
      </c>
    </row>
    <row r="3325" spans="1:6" x14ac:dyDescent="0.35">
      <c r="A3325">
        <v>520</v>
      </c>
      <c r="B3325" t="s">
        <v>115</v>
      </c>
      <c r="C3325">
        <v>202602</v>
      </c>
      <c r="D3325">
        <v>647</v>
      </c>
      <c r="E3325">
        <v>9.514705882352942</v>
      </c>
      <c r="F3325">
        <v>68</v>
      </c>
    </row>
    <row r="3326" spans="1:6" x14ac:dyDescent="0.35">
      <c r="A3326">
        <v>521</v>
      </c>
      <c r="B3326" t="s">
        <v>115</v>
      </c>
      <c r="C3326">
        <v>202602</v>
      </c>
      <c r="D3326">
        <v>4158</v>
      </c>
      <c r="E3326">
        <v>35.844827586206897</v>
      </c>
      <c r="F3326">
        <v>116</v>
      </c>
    </row>
    <row r="3327" spans="1:6" x14ac:dyDescent="0.35">
      <c r="A3327">
        <v>784</v>
      </c>
      <c r="B3327" t="s">
        <v>115</v>
      </c>
      <c r="C3327">
        <v>202602</v>
      </c>
      <c r="D3327">
        <v>708</v>
      </c>
      <c r="E3327">
        <v>2.0996441281138791</v>
      </c>
      <c r="F3327">
        <v>337.2</v>
      </c>
    </row>
    <row r="3328" spans="1:6" x14ac:dyDescent="0.35">
      <c r="A3328">
        <v>785</v>
      </c>
      <c r="B3328" t="s">
        <v>115</v>
      </c>
      <c r="C3328">
        <v>202602</v>
      </c>
      <c r="D3328">
        <v>574</v>
      </c>
      <c r="E3328">
        <v>1.0209889718961223</v>
      </c>
      <c r="F3328">
        <v>562.20000000000005</v>
      </c>
    </row>
    <row r="3329" spans="1:6" x14ac:dyDescent="0.35">
      <c r="A3329">
        <v>758</v>
      </c>
      <c r="B3329" t="s">
        <v>115</v>
      </c>
      <c r="C3329">
        <v>202602</v>
      </c>
      <c r="D3329">
        <v>9068</v>
      </c>
      <c r="E3329">
        <v>13.440645056101502</v>
      </c>
      <c r="F3329">
        <v>674.67</v>
      </c>
    </row>
    <row r="3330" spans="1:6" x14ac:dyDescent="0.35">
      <c r="A3330">
        <v>757</v>
      </c>
      <c r="B3330" t="s">
        <v>115</v>
      </c>
      <c r="C3330">
        <v>202602</v>
      </c>
      <c r="D3330">
        <v>18851</v>
      </c>
      <c r="E3330">
        <v>38.101301641199775</v>
      </c>
      <c r="F3330">
        <v>494.76</v>
      </c>
    </row>
    <row r="3331" spans="1:6" x14ac:dyDescent="0.35">
      <c r="A3331">
        <v>580</v>
      </c>
      <c r="B3331" t="s">
        <v>115</v>
      </c>
      <c r="C3331">
        <v>202602</v>
      </c>
      <c r="D3331">
        <v>0</v>
      </c>
      <c r="E3331">
        <v>0</v>
      </c>
      <c r="F3331">
        <v>270.68</v>
      </c>
    </row>
    <row r="3332" spans="1:6" x14ac:dyDescent="0.35">
      <c r="A3332">
        <v>582</v>
      </c>
      <c r="B3332" t="s">
        <v>115</v>
      </c>
      <c r="C3332">
        <v>202602</v>
      </c>
      <c r="D3332">
        <v>1182</v>
      </c>
      <c r="E3332">
        <v>3.9301745635910224</v>
      </c>
      <c r="F3332">
        <v>300.75</v>
      </c>
    </row>
    <row r="3333" spans="1:6" x14ac:dyDescent="0.35">
      <c r="A3333">
        <v>594</v>
      </c>
      <c r="B3333" t="s">
        <v>115</v>
      </c>
      <c r="C3333">
        <v>202602</v>
      </c>
      <c r="D3333">
        <v>14918</v>
      </c>
      <c r="E3333">
        <v>88.40296296296296</v>
      </c>
      <c r="F3333">
        <v>168.75</v>
      </c>
    </row>
    <row r="3334" spans="1:6" x14ac:dyDescent="0.35">
      <c r="A3334">
        <v>595</v>
      </c>
      <c r="B3334" t="s">
        <v>115</v>
      </c>
      <c r="C3334">
        <v>202602</v>
      </c>
      <c r="D3334">
        <v>21213</v>
      </c>
      <c r="E3334">
        <v>282.83999999999997</v>
      </c>
      <c r="F3334">
        <v>75</v>
      </c>
    </row>
    <row r="3335" spans="1:6" x14ac:dyDescent="0.35">
      <c r="A3335">
        <v>603</v>
      </c>
      <c r="B3335" t="s">
        <v>115</v>
      </c>
      <c r="C3335">
        <v>202602</v>
      </c>
      <c r="D3335">
        <v>2917</v>
      </c>
      <c r="E3335">
        <v>12.932257492463203</v>
      </c>
      <c r="F3335">
        <v>225.56</v>
      </c>
    </row>
    <row r="3336" spans="1:6" x14ac:dyDescent="0.35">
      <c r="A3336">
        <v>606</v>
      </c>
      <c r="B3336" t="s">
        <v>115</v>
      </c>
      <c r="C3336">
        <v>202602</v>
      </c>
      <c r="D3336">
        <v>5894</v>
      </c>
      <c r="E3336">
        <v>22.464458589015511</v>
      </c>
      <c r="F3336">
        <v>262.37</v>
      </c>
    </row>
    <row r="3337" spans="1:6" x14ac:dyDescent="0.35">
      <c r="A3337">
        <v>772</v>
      </c>
      <c r="B3337" t="s">
        <v>115</v>
      </c>
      <c r="C3337">
        <v>202602</v>
      </c>
      <c r="D3337">
        <v>480</v>
      </c>
      <c r="E3337">
        <v>2.3715415019762847</v>
      </c>
      <c r="F3337">
        <v>202.4</v>
      </c>
    </row>
    <row r="3338" spans="1:6" x14ac:dyDescent="0.35">
      <c r="A3338">
        <v>615</v>
      </c>
      <c r="B3338" t="s">
        <v>115</v>
      </c>
      <c r="C3338">
        <v>202602</v>
      </c>
      <c r="D3338">
        <v>7249</v>
      </c>
      <c r="E3338">
        <v>26.78070045810551</v>
      </c>
      <c r="F3338">
        <v>270.68</v>
      </c>
    </row>
    <row r="3339" spans="1:6" x14ac:dyDescent="0.35">
      <c r="A3339">
        <v>617</v>
      </c>
      <c r="B3339" t="s">
        <v>115</v>
      </c>
      <c r="C3339">
        <v>202602</v>
      </c>
      <c r="D3339">
        <v>2779</v>
      </c>
      <c r="E3339">
        <v>6.1755555555555555</v>
      </c>
      <c r="F3339">
        <v>450</v>
      </c>
    </row>
    <row r="3340" spans="1:6" x14ac:dyDescent="0.35">
      <c r="A3340">
        <v>751</v>
      </c>
      <c r="B3340" t="s">
        <v>115</v>
      </c>
      <c r="C3340">
        <v>202602</v>
      </c>
      <c r="D3340">
        <v>1004</v>
      </c>
      <c r="E3340">
        <v>4.9455691837840501</v>
      </c>
      <c r="F3340">
        <v>203.01</v>
      </c>
    </row>
    <row r="3341" spans="1:6" x14ac:dyDescent="0.35">
      <c r="A3341">
        <v>752</v>
      </c>
      <c r="B3341" t="s">
        <v>115</v>
      </c>
      <c r="C3341">
        <v>202602</v>
      </c>
      <c r="D3341">
        <v>3562</v>
      </c>
      <c r="E3341">
        <v>10.298964899092118</v>
      </c>
      <c r="F3341">
        <v>345.86</v>
      </c>
    </row>
    <row r="3342" spans="1:6" x14ac:dyDescent="0.35">
      <c r="A3342">
        <v>753</v>
      </c>
      <c r="B3342" t="s">
        <v>115</v>
      </c>
      <c r="C3342">
        <v>202602</v>
      </c>
      <c r="D3342">
        <v>8084</v>
      </c>
      <c r="E3342">
        <v>16.541168767392371</v>
      </c>
      <c r="F3342">
        <v>488.72</v>
      </c>
    </row>
    <row r="3343" spans="1:6" x14ac:dyDescent="0.35">
      <c r="A3343">
        <v>754</v>
      </c>
      <c r="B3343" t="s">
        <v>115</v>
      </c>
      <c r="C3343">
        <v>202602</v>
      </c>
      <c r="D3343">
        <v>718</v>
      </c>
      <c r="E3343">
        <v>1.1936626157503616</v>
      </c>
      <c r="F3343">
        <v>601.51</v>
      </c>
    </row>
    <row r="3344" spans="1:6" x14ac:dyDescent="0.35">
      <c r="A3344">
        <v>614</v>
      </c>
      <c r="B3344" t="s">
        <v>115</v>
      </c>
      <c r="C3344">
        <v>202602</v>
      </c>
      <c r="D3344">
        <v>17554</v>
      </c>
      <c r="E3344">
        <v>31.223763785129844</v>
      </c>
      <c r="F3344">
        <v>562.20000000000005</v>
      </c>
    </row>
    <row r="3345" spans="1:6" x14ac:dyDescent="0.35">
      <c r="A3345">
        <v>797</v>
      </c>
      <c r="B3345" t="s">
        <v>115</v>
      </c>
      <c r="C3345">
        <v>202602</v>
      </c>
      <c r="D3345">
        <v>1376</v>
      </c>
      <c r="E3345">
        <v>3.05913739439751</v>
      </c>
      <c r="F3345">
        <v>449.8</v>
      </c>
    </row>
    <row r="3346" spans="1:6" x14ac:dyDescent="0.35">
      <c r="A3346">
        <v>613</v>
      </c>
      <c r="B3346" t="s">
        <v>115</v>
      </c>
      <c r="C3346">
        <v>202602</v>
      </c>
      <c r="D3346">
        <v>8354</v>
      </c>
      <c r="E3346">
        <v>28.560683760683762</v>
      </c>
      <c r="F3346">
        <v>292.5</v>
      </c>
    </row>
    <row r="3347" spans="1:6" x14ac:dyDescent="0.35">
      <c r="A3347">
        <v>767</v>
      </c>
      <c r="B3347" t="s">
        <v>115</v>
      </c>
      <c r="C3347">
        <v>202602</v>
      </c>
      <c r="D3347">
        <v>6363</v>
      </c>
      <c r="E3347">
        <v>10.608536178726244</v>
      </c>
      <c r="F3347">
        <v>599.79999999999995</v>
      </c>
    </row>
    <row r="3348" spans="1:6" x14ac:dyDescent="0.35">
      <c r="A3348">
        <v>807</v>
      </c>
      <c r="B3348" t="s">
        <v>115</v>
      </c>
      <c r="C3348">
        <v>202602</v>
      </c>
      <c r="D3348">
        <v>1527</v>
      </c>
      <c r="E3348">
        <v>7.6349999999999998</v>
      </c>
      <c r="F3348">
        <v>200</v>
      </c>
    </row>
    <row r="3349" spans="1:6" x14ac:dyDescent="0.35">
      <c r="A3349">
        <v>808</v>
      </c>
      <c r="B3349" t="s">
        <v>115</v>
      </c>
      <c r="C3349">
        <v>202602</v>
      </c>
      <c r="D3349">
        <v>2368</v>
      </c>
      <c r="E3349">
        <v>8.0341996335753549</v>
      </c>
      <c r="F3349">
        <v>294.74</v>
      </c>
    </row>
    <row r="3350" spans="1:6" x14ac:dyDescent="0.35">
      <c r="A3350">
        <v>502</v>
      </c>
      <c r="B3350" t="s">
        <v>128</v>
      </c>
      <c r="C3350">
        <v>202602</v>
      </c>
      <c r="D3350">
        <v>40724</v>
      </c>
      <c r="E3350">
        <v>130.84436447757358</v>
      </c>
      <c r="F3350">
        <v>311.24</v>
      </c>
    </row>
    <row r="3351" spans="1:6" x14ac:dyDescent="0.35">
      <c r="A3351">
        <v>504</v>
      </c>
      <c r="B3351" t="s">
        <v>128</v>
      </c>
      <c r="C3351">
        <v>202602</v>
      </c>
      <c r="D3351">
        <v>80528</v>
      </c>
      <c r="E3351">
        <v>184.48145517857552</v>
      </c>
      <c r="F3351">
        <v>436.51</v>
      </c>
    </row>
    <row r="3352" spans="1:6" x14ac:dyDescent="0.35">
      <c r="A3352">
        <v>505</v>
      </c>
      <c r="B3352" t="s">
        <v>128</v>
      </c>
      <c r="C3352">
        <v>202602</v>
      </c>
      <c r="D3352">
        <v>37656</v>
      </c>
      <c r="E3352">
        <v>101.17684991133322</v>
      </c>
      <c r="F3352">
        <v>372.18</v>
      </c>
    </row>
    <row r="3353" spans="1:6" x14ac:dyDescent="0.35">
      <c r="A3353">
        <v>506</v>
      </c>
      <c r="B3353" t="s">
        <v>128</v>
      </c>
      <c r="C3353">
        <v>202602</v>
      </c>
      <c r="D3353">
        <v>38772</v>
      </c>
      <c r="E3353">
        <v>81.850999598893793</v>
      </c>
      <c r="F3353">
        <v>473.69</v>
      </c>
    </row>
    <row r="3354" spans="1:6" x14ac:dyDescent="0.35">
      <c r="A3354">
        <v>508</v>
      </c>
      <c r="B3354" t="s">
        <v>128</v>
      </c>
      <c r="C3354">
        <v>202602</v>
      </c>
      <c r="D3354">
        <v>41206</v>
      </c>
      <c r="E3354">
        <v>101.81863108475414</v>
      </c>
      <c r="F3354">
        <v>404.7</v>
      </c>
    </row>
    <row r="3355" spans="1:6" x14ac:dyDescent="0.35">
      <c r="A3355">
        <v>507</v>
      </c>
      <c r="B3355" t="s">
        <v>128</v>
      </c>
      <c r="C3355">
        <v>202602</v>
      </c>
      <c r="D3355">
        <v>33836</v>
      </c>
      <c r="E3355">
        <v>125.31851851851852</v>
      </c>
      <c r="F3355">
        <v>270</v>
      </c>
    </row>
    <row r="3356" spans="1:6" x14ac:dyDescent="0.35">
      <c r="A3356">
        <v>520</v>
      </c>
      <c r="B3356" t="s">
        <v>128</v>
      </c>
      <c r="C3356">
        <v>202602</v>
      </c>
      <c r="D3356">
        <v>497</v>
      </c>
      <c r="E3356">
        <v>7.3088235294117645</v>
      </c>
      <c r="F3356">
        <v>68</v>
      </c>
    </row>
    <row r="3357" spans="1:6" x14ac:dyDescent="0.35">
      <c r="A3357">
        <v>521</v>
      </c>
      <c r="B3357" t="s">
        <v>128</v>
      </c>
      <c r="C3357">
        <v>202602</v>
      </c>
      <c r="D3357">
        <v>3097</v>
      </c>
      <c r="E3357">
        <v>26.698275862068964</v>
      </c>
      <c r="F3357">
        <v>116</v>
      </c>
    </row>
    <row r="3358" spans="1:6" x14ac:dyDescent="0.35">
      <c r="A3358">
        <v>784</v>
      </c>
      <c r="B3358" t="s">
        <v>128</v>
      </c>
      <c r="C3358">
        <v>202602</v>
      </c>
      <c r="D3358">
        <v>473</v>
      </c>
      <c r="E3358">
        <v>1.4027283511269277</v>
      </c>
      <c r="F3358">
        <v>337.2</v>
      </c>
    </row>
    <row r="3359" spans="1:6" x14ac:dyDescent="0.35">
      <c r="A3359">
        <v>785</v>
      </c>
      <c r="B3359" t="s">
        <v>128</v>
      </c>
      <c r="C3359">
        <v>202602</v>
      </c>
      <c r="D3359">
        <v>547</v>
      </c>
      <c r="E3359">
        <v>0.97296335823550328</v>
      </c>
      <c r="F3359">
        <v>562.20000000000005</v>
      </c>
    </row>
    <row r="3360" spans="1:6" x14ac:dyDescent="0.35">
      <c r="A3360">
        <v>758</v>
      </c>
      <c r="B3360" t="s">
        <v>128</v>
      </c>
      <c r="C3360">
        <v>202602</v>
      </c>
      <c r="D3360">
        <v>6665</v>
      </c>
      <c r="E3360">
        <v>9.8789037603569163</v>
      </c>
      <c r="F3360">
        <v>674.67</v>
      </c>
    </row>
    <row r="3361" spans="1:6" x14ac:dyDescent="0.35">
      <c r="A3361">
        <v>757</v>
      </c>
      <c r="B3361" t="s">
        <v>128</v>
      </c>
      <c r="C3361">
        <v>202602</v>
      </c>
      <c r="D3361">
        <v>11832</v>
      </c>
      <c r="E3361">
        <v>23.914625272859567</v>
      </c>
      <c r="F3361">
        <v>494.76</v>
      </c>
    </row>
    <row r="3362" spans="1:6" x14ac:dyDescent="0.35">
      <c r="A3362">
        <v>580</v>
      </c>
      <c r="B3362" t="s">
        <v>128</v>
      </c>
      <c r="C3362">
        <v>202602</v>
      </c>
      <c r="D3362">
        <v>1682</v>
      </c>
      <c r="E3362">
        <v>6.213979606915915</v>
      </c>
      <c r="F3362">
        <v>270.68</v>
      </c>
    </row>
    <row r="3363" spans="1:6" x14ac:dyDescent="0.35">
      <c r="A3363">
        <v>582</v>
      </c>
      <c r="B3363" t="s">
        <v>128</v>
      </c>
      <c r="C3363">
        <v>202602</v>
      </c>
      <c r="D3363">
        <v>20426</v>
      </c>
      <c r="E3363">
        <v>67.916874480465509</v>
      </c>
      <c r="F3363">
        <v>300.75</v>
      </c>
    </row>
    <row r="3364" spans="1:6" x14ac:dyDescent="0.35">
      <c r="A3364">
        <v>594</v>
      </c>
      <c r="B3364" t="s">
        <v>128</v>
      </c>
      <c r="C3364">
        <v>202602</v>
      </c>
      <c r="D3364">
        <v>19775</v>
      </c>
      <c r="E3364">
        <v>117.18518518518519</v>
      </c>
      <c r="F3364">
        <v>168.75</v>
      </c>
    </row>
    <row r="3365" spans="1:6" x14ac:dyDescent="0.35">
      <c r="A3365">
        <v>595</v>
      </c>
      <c r="B3365" t="s">
        <v>128</v>
      </c>
      <c r="C3365">
        <v>202602</v>
      </c>
      <c r="D3365">
        <v>26840</v>
      </c>
      <c r="E3365">
        <v>357.86666666666667</v>
      </c>
      <c r="F3365">
        <v>75</v>
      </c>
    </row>
    <row r="3366" spans="1:6" x14ac:dyDescent="0.35">
      <c r="A3366">
        <v>603</v>
      </c>
      <c r="B3366" t="s">
        <v>128</v>
      </c>
      <c r="C3366">
        <v>202602</v>
      </c>
      <c r="D3366">
        <v>2478</v>
      </c>
      <c r="E3366">
        <v>10.985990423834012</v>
      </c>
      <c r="F3366">
        <v>225.56</v>
      </c>
    </row>
    <row r="3367" spans="1:6" x14ac:dyDescent="0.35">
      <c r="A3367">
        <v>606</v>
      </c>
      <c r="B3367" t="s">
        <v>128</v>
      </c>
      <c r="C3367">
        <v>202602</v>
      </c>
      <c r="D3367">
        <v>2481</v>
      </c>
      <c r="E3367">
        <v>9.4561115981247852</v>
      </c>
      <c r="F3367">
        <v>262.37</v>
      </c>
    </row>
    <row r="3368" spans="1:6" x14ac:dyDescent="0.35">
      <c r="A3368">
        <v>772</v>
      </c>
      <c r="B3368" t="s">
        <v>128</v>
      </c>
      <c r="C3368">
        <v>202602</v>
      </c>
      <c r="D3368">
        <v>241</v>
      </c>
      <c r="E3368">
        <v>1.1907114624505928</v>
      </c>
      <c r="F3368">
        <v>202.4</v>
      </c>
    </row>
    <row r="3369" spans="1:6" x14ac:dyDescent="0.35">
      <c r="A3369">
        <v>615</v>
      </c>
      <c r="B3369" t="s">
        <v>128</v>
      </c>
      <c r="C3369">
        <v>202602</v>
      </c>
      <c r="D3369">
        <v>4413</v>
      </c>
      <c r="E3369">
        <v>16.303384069750258</v>
      </c>
      <c r="F3369">
        <v>270.68</v>
      </c>
    </row>
    <row r="3370" spans="1:6" x14ac:dyDescent="0.35">
      <c r="A3370">
        <v>617</v>
      </c>
      <c r="B3370" t="s">
        <v>128</v>
      </c>
      <c r="C3370">
        <v>202602</v>
      </c>
      <c r="D3370">
        <v>1468</v>
      </c>
      <c r="E3370">
        <v>3.2622222222222224</v>
      </c>
      <c r="F3370">
        <v>450</v>
      </c>
    </row>
    <row r="3371" spans="1:6" x14ac:dyDescent="0.35">
      <c r="A3371">
        <v>751</v>
      </c>
      <c r="B3371" t="s">
        <v>128</v>
      </c>
      <c r="C3371">
        <v>202602</v>
      </c>
      <c r="D3371">
        <v>882</v>
      </c>
      <c r="E3371">
        <v>4.3446135658341953</v>
      </c>
      <c r="F3371">
        <v>203.01</v>
      </c>
    </row>
    <row r="3372" spans="1:6" x14ac:dyDescent="0.35">
      <c r="A3372">
        <v>752</v>
      </c>
      <c r="B3372" t="s">
        <v>128</v>
      </c>
      <c r="C3372">
        <v>202602</v>
      </c>
      <c r="D3372">
        <v>4663</v>
      </c>
      <c r="E3372">
        <v>13.482333892326375</v>
      </c>
      <c r="F3372">
        <v>345.86</v>
      </c>
    </row>
    <row r="3373" spans="1:6" x14ac:dyDescent="0.35">
      <c r="A3373">
        <v>753</v>
      </c>
      <c r="B3373" t="s">
        <v>128</v>
      </c>
      <c r="C3373">
        <v>202602</v>
      </c>
      <c r="D3373">
        <v>8140</v>
      </c>
      <c r="E3373">
        <v>16.655753805860204</v>
      </c>
      <c r="F3373">
        <v>488.72</v>
      </c>
    </row>
    <row r="3374" spans="1:6" x14ac:dyDescent="0.35">
      <c r="A3374">
        <v>754</v>
      </c>
      <c r="B3374" t="s">
        <v>128</v>
      </c>
      <c r="C3374">
        <v>202602</v>
      </c>
      <c r="D3374">
        <v>680</v>
      </c>
      <c r="E3374">
        <v>1.1304882711841864</v>
      </c>
      <c r="F3374">
        <v>601.51</v>
      </c>
    </row>
    <row r="3375" spans="1:6" x14ac:dyDescent="0.35">
      <c r="A3375">
        <v>614</v>
      </c>
      <c r="B3375" t="s">
        <v>128</v>
      </c>
      <c r="C3375">
        <v>202602</v>
      </c>
      <c r="D3375">
        <v>17239</v>
      </c>
      <c r="E3375">
        <v>30.663464959089289</v>
      </c>
      <c r="F3375">
        <v>562.20000000000005</v>
      </c>
    </row>
    <row r="3376" spans="1:6" x14ac:dyDescent="0.35">
      <c r="A3376">
        <v>797</v>
      </c>
      <c r="B3376" t="s">
        <v>128</v>
      </c>
      <c r="C3376">
        <v>202602</v>
      </c>
      <c r="D3376">
        <v>1488</v>
      </c>
      <c r="E3376">
        <v>3.3081369497554469</v>
      </c>
      <c r="F3376">
        <v>449.8</v>
      </c>
    </row>
    <row r="3377" spans="1:6" x14ac:dyDescent="0.35">
      <c r="A3377">
        <v>613</v>
      </c>
      <c r="B3377" t="s">
        <v>128</v>
      </c>
      <c r="C3377">
        <v>202602</v>
      </c>
      <c r="D3377">
        <v>8966</v>
      </c>
      <c r="E3377">
        <v>30.652991452991454</v>
      </c>
      <c r="F3377">
        <v>292.5</v>
      </c>
    </row>
    <row r="3378" spans="1:6" x14ac:dyDescent="0.35">
      <c r="A3378">
        <v>767</v>
      </c>
      <c r="B3378" t="s">
        <v>128</v>
      </c>
      <c r="C3378">
        <v>202602</v>
      </c>
      <c r="D3378">
        <v>8034</v>
      </c>
      <c r="E3378">
        <v>13.394464821607203</v>
      </c>
      <c r="F3378">
        <v>599.79999999999995</v>
      </c>
    </row>
    <row r="3379" spans="1:6" x14ac:dyDescent="0.35">
      <c r="A3379">
        <v>807</v>
      </c>
      <c r="B3379" t="s">
        <v>128</v>
      </c>
      <c r="C3379">
        <v>202602</v>
      </c>
      <c r="D3379">
        <v>1453</v>
      </c>
      <c r="E3379">
        <v>7.2649999999999997</v>
      </c>
      <c r="F3379">
        <v>200</v>
      </c>
    </row>
    <row r="3380" spans="1:6" x14ac:dyDescent="0.35">
      <c r="A3380">
        <v>808</v>
      </c>
      <c r="B3380" t="s">
        <v>128</v>
      </c>
      <c r="C3380">
        <v>202602</v>
      </c>
      <c r="D3380">
        <v>2322</v>
      </c>
      <c r="E3380">
        <v>7.8781298771798873</v>
      </c>
      <c r="F3380">
        <v>294.74</v>
      </c>
    </row>
    <row r="3381" spans="1:6" x14ac:dyDescent="0.35">
      <c r="A3381">
        <v>502</v>
      </c>
      <c r="B3381" t="s">
        <v>129</v>
      </c>
      <c r="C3381">
        <v>202602</v>
      </c>
      <c r="D3381">
        <v>34808</v>
      </c>
      <c r="E3381">
        <v>111.83652486826885</v>
      </c>
      <c r="F3381">
        <v>311.24</v>
      </c>
    </row>
    <row r="3382" spans="1:6" x14ac:dyDescent="0.35">
      <c r="A3382">
        <v>504</v>
      </c>
      <c r="B3382" t="s">
        <v>129</v>
      </c>
      <c r="C3382">
        <v>202602</v>
      </c>
      <c r="D3382">
        <v>67618</v>
      </c>
      <c r="E3382">
        <v>154.90595862637741</v>
      </c>
      <c r="F3382">
        <v>436.51</v>
      </c>
    </row>
    <row r="3383" spans="1:6" x14ac:dyDescent="0.35">
      <c r="A3383">
        <v>505</v>
      </c>
      <c r="B3383" t="s">
        <v>129</v>
      </c>
      <c r="C3383">
        <v>202602</v>
      </c>
      <c r="D3383">
        <v>33641</v>
      </c>
      <c r="E3383">
        <v>90.389059057445323</v>
      </c>
      <c r="F3383">
        <v>372.18</v>
      </c>
    </row>
    <row r="3384" spans="1:6" x14ac:dyDescent="0.35">
      <c r="A3384">
        <v>506</v>
      </c>
      <c r="B3384" t="s">
        <v>129</v>
      </c>
      <c r="C3384">
        <v>202602</v>
      </c>
      <c r="D3384">
        <v>37440</v>
      </c>
      <c r="E3384">
        <v>79.039033967362627</v>
      </c>
      <c r="F3384">
        <v>473.69</v>
      </c>
    </row>
    <row r="3385" spans="1:6" x14ac:dyDescent="0.35">
      <c r="A3385">
        <v>508</v>
      </c>
      <c r="B3385" t="s">
        <v>129</v>
      </c>
      <c r="C3385">
        <v>202602</v>
      </c>
      <c r="D3385">
        <v>32210</v>
      </c>
      <c r="E3385">
        <v>79.589819619471214</v>
      </c>
      <c r="F3385">
        <v>404.7</v>
      </c>
    </row>
    <row r="3386" spans="1:6" x14ac:dyDescent="0.35">
      <c r="A3386">
        <v>507</v>
      </c>
      <c r="B3386" t="s">
        <v>129</v>
      </c>
      <c r="C3386">
        <v>202602</v>
      </c>
      <c r="D3386">
        <v>26186</v>
      </c>
      <c r="E3386">
        <v>96.985185185185188</v>
      </c>
      <c r="F3386">
        <v>270</v>
      </c>
    </row>
    <row r="3387" spans="1:6" x14ac:dyDescent="0.35">
      <c r="A3387">
        <v>520</v>
      </c>
      <c r="B3387" t="s">
        <v>129</v>
      </c>
      <c r="C3387">
        <v>202602</v>
      </c>
      <c r="D3387">
        <v>562</v>
      </c>
      <c r="E3387">
        <v>8.264705882352942</v>
      </c>
      <c r="F3387">
        <v>68</v>
      </c>
    </row>
    <row r="3388" spans="1:6" x14ac:dyDescent="0.35">
      <c r="A3388">
        <v>521</v>
      </c>
      <c r="B3388" t="s">
        <v>129</v>
      </c>
      <c r="C3388">
        <v>202602</v>
      </c>
      <c r="D3388">
        <v>3723</v>
      </c>
      <c r="E3388">
        <v>32.094827586206897</v>
      </c>
      <c r="F3388">
        <v>116</v>
      </c>
    </row>
    <row r="3389" spans="1:6" x14ac:dyDescent="0.35">
      <c r="A3389">
        <v>784</v>
      </c>
      <c r="B3389" t="s">
        <v>129</v>
      </c>
      <c r="C3389">
        <v>202602</v>
      </c>
      <c r="D3389">
        <v>595</v>
      </c>
      <c r="E3389">
        <v>1.7645314353499408</v>
      </c>
      <c r="F3389">
        <v>337.2</v>
      </c>
    </row>
    <row r="3390" spans="1:6" x14ac:dyDescent="0.35">
      <c r="A3390">
        <v>785</v>
      </c>
      <c r="B3390" t="s">
        <v>129</v>
      </c>
      <c r="C3390">
        <v>202602</v>
      </c>
      <c r="D3390">
        <v>914</v>
      </c>
      <c r="E3390">
        <v>1.6257559587335466</v>
      </c>
      <c r="F3390">
        <v>562.20000000000005</v>
      </c>
    </row>
    <row r="3391" spans="1:6" x14ac:dyDescent="0.35">
      <c r="A3391">
        <v>758</v>
      </c>
      <c r="B3391" t="s">
        <v>129</v>
      </c>
      <c r="C3391">
        <v>202602</v>
      </c>
      <c r="D3391">
        <v>5761</v>
      </c>
      <c r="E3391">
        <v>8.5389894318703963</v>
      </c>
      <c r="F3391">
        <v>674.67</v>
      </c>
    </row>
    <row r="3392" spans="1:6" x14ac:dyDescent="0.35">
      <c r="A3392">
        <v>757</v>
      </c>
      <c r="B3392" t="s">
        <v>129</v>
      </c>
      <c r="C3392">
        <v>202602</v>
      </c>
      <c r="D3392">
        <v>9810</v>
      </c>
      <c r="E3392">
        <v>19.827795294688332</v>
      </c>
      <c r="F3392">
        <v>494.76</v>
      </c>
    </row>
    <row r="3393" spans="1:6" x14ac:dyDescent="0.35">
      <c r="A3393">
        <v>580</v>
      </c>
      <c r="B3393" t="s">
        <v>129</v>
      </c>
      <c r="C3393">
        <v>202602</v>
      </c>
      <c r="D3393">
        <v>1380</v>
      </c>
      <c r="E3393">
        <v>5.0982710211319642</v>
      </c>
      <c r="F3393">
        <v>270.68</v>
      </c>
    </row>
    <row r="3394" spans="1:6" x14ac:dyDescent="0.35">
      <c r="A3394">
        <v>582</v>
      </c>
      <c r="B3394" t="s">
        <v>129</v>
      </c>
      <c r="C3394">
        <v>202602</v>
      </c>
      <c r="D3394">
        <v>14430</v>
      </c>
      <c r="E3394">
        <v>47.980049875311721</v>
      </c>
      <c r="F3394">
        <v>300.75</v>
      </c>
    </row>
    <row r="3395" spans="1:6" x14ac:dyDescent="0.35">
      <c r="A3395">
        <v>594</v>
      </c>
      <c r="B3395" t="s">
        <v>129</v>
      </c>
      <c r="C3395">
        <v>202602</v>
      </c>
      <c r="D3395">
        <v>12402</v>
      </c>
      <c r="E3395">
        <v>73.493333333333339</v>
      </c>
      <c r="F3395">
        <v>168.75</v>
      </c>
    </row>
    <row r="3396" spans="1:6" x14ac:dyDescent="0.35">
      <c r="A3396">
        <v>595</v>
      </c>
      <c r="B3396" t="s">
        <v>129</v>
      </c>
      <c r="C3396">
        <v>202602</v>
      </c>
      <c r="D3396">
        <v>18796</v>
      </c>
      <c r="E3396">
        <v>250.61333333333334</v>
      </c>
      <c r="F3396">
        <v>75</v>
      </c>
    </row>
    <row r="3397" spans="1:6" x14ac:dyDescent="0.35">
      <c r="A3397">
        <v>603</v>
      </c>
      <c r="B3397" t="s">
        <v>129</v>
      </c>
      <c r="C3397">
        <v>202602</v>
      </c>
      <c r="D3397">
        <v>2731</v>
      </c>
      <c r="E3397">
        <v>12.107643199148786</v>
      </c>
      <c r="F3397">
        <v>225.56</v>
      </c>
    </row>
    <row r="3398" spans="1:6" x14ac:dyDescent="0.35">
      <c r="A3398">
        <v>606</v>
      </c>
      <c r="B3398" t="s">
        <v>129</v>
      </c>
      <c r="C3398">
        <v>202602</v>
      </c>
      <c r="D3398">
        <v>1812</v>
      </c>
      <c r="E3398">
        <v>6.90627739451919</v>
      </c>
      <c r="F3398">
        <v>262.37</v>
      </c>
    </row>
    <row r="3399" spans="1:6" x14ac:dyDescent="0.35">
      <c r="A3399">
        <v>772</v>
      </c>
      <c r="B3399" t="s">
        <v>129</v>
      </c>
      <c r="C3399">
        <v>202602</v>
      </c>
      <c r="D3399">
        <v>260</v>
      </c>
      <c r="E3399">
        <v>1.2845849802371541</v>
      </c>
      <c r="F3399">
        <v>202.4</v>
      </c>
    </row>
    <row r="3400" spans="1:6" x14ac:dyDescent="0.35">
      <c r="A3400">
        <v>615</v>
      </c>
      <c r="B3400" t="s">
        <v>129</v>
      </c>
      <c r="C3400">
        <v>202602</v>
      </c>
      <c r="D3400">
        <v>3629</v>
      </c>
      <c r="E3400">
        <v>13.406975025860795</v>
      </c>
      <c r="F3400">
        <v>270.68</v>
      </c>
    </row>
    <row r="3401" spans="1:6" x14ac:dyDescent="0.35">
      <c r="A3401">
        <v>617</v>
      </c>
      <c r="B3401" t="s">
        <v>129</v>
      </c>
      <c r="C3401">
        <v>202602</v>
      </c>
      <c r="D3401">
        <v>1247</v>
      </c>
      <c r="E3401">
        <v>2.7711111111111113</v>
      </c>
      <c r="F3401">
        <v>450</v>
      </c>
    </row>
    <row r="3402" spans="1:6" x14ac:dyDescent="0.35">
      <c r="A3402">
        <v>751</v>
      </c>
      <c r="B3402" t="s">
        <v>129</v>
      </c>
      <c r="C3402">
        <v>202602</v>
      </c>
      <c r="D3402">
        <v>724</v>
      </c>
      <c r="E3402">
        <v>3.5663267819319246</v>
      </c>
      <c r="F3402">
        <v>203.01</v>
      </c>
    </row>
    <row r="3403" spans="1:6" x14ac:dyDescent="0.35">
      <c r="A3403">
        <v>752</v>
      </c>
      <c r="B3403" t="s">
        <v>129</v>
      </c>
      <c r="C3403">
        <v>202602</v>
      </c>
      <c r="D3403">
        <v>3464</v>
      </c>
      <c r="E3403">
        <v>10.01561325391777</v>
      </c>
      <c r="F3403">
        <v>345.86</v>
      </c>
    </row>
    <row r="3404" spans="1:6" x14ac:dyDescent="0.35">
      <c r="A3404">
        <v>753</v>
      </c>
      <c r="B3404" t="s">
        <v>129</v>
      </c>
      <c r="C3404">
        <v>202602</v>
      </c>
      <c r="D3404">
        <v>8305</v>
      </c>
      <c r="E3404">
        <v>16.993370437060076</v>
      </c>
      <c r="F3404">
        <v>488.72</v>
      </c>
    </row>
    <row r="3405" spans="1:6" x14ac:dyDescent="0.35">
      <c r="A3405">
        <v>754</v>
      </c>
      <c r="B3405" t="s">
        <v>129</v>
      </c>
      <c r="C3405">
        <v>202602</v>
      </c>
      <c r="D3405">
        <v>575</v>
      </c>
      <c r="E3405">
        <v>0.95592758225133412</v>
      </c>
      <c r="F3405">
        <v>601.51</v>
      </c>
    </row>
    <row r="3406" spans="1:6" x14ac:dyDescent="0.35">
      <c r="A3406">
        <v>614</v>
      </c>
      <c r="B3406" t="s">
        <v>129</v>
      </c>
      <c r="C3406">
        <v>202602</v>
      </c>
      <c r="D3406">
        <v>11399</v>
      </c>
      <c r="E3406">
        <v>20.27570259694059</v>
      </c>
      <c r="F3406">
        <v>562.20000000000005</v>
      </c>
    </row>
    <row r="3407" spans="1:6" x14ac:dyDescent="0.35">
      <c r="A3407">
        <v>797</v>
      </c>
      <c r="B3407" t="s">
        <v>129</v>
      </c>
      <c r="C3407">
        <v>202602</v>
      </c>
      <c r="D3407">
        <v>691</v>
      </c>
      <c r="E3407">
        <v>1.5362383281458425</v>
      </c>
      <c r="F3407">
        <v>449.8</v>
      </c>
    </row>
    <row r="3408" spans="1:6" x14ac:dyDescent="0.35">
      <c r="A3408">
        <v>613</v>
      </c>
      <c r="B3408" t="s">
        <v>129</v>
      </c>
      <c r="C3408">
        <v>202602</v>
      </c>
      <c r="D3408">
        <v>7193</v>
      </c>
      <c r="E3408">
        <v>24.591452991452993</v>
      </c>
      <c r="F3408">
        <v>292.5</v>
      </c>
    </row>
    <row r="3409" spans="1:6" x14ac:dyDescent="0.35">
      <c r="A3409">
        <v>767</v>
      </c>
      <c r="B3409" t="s">
        <v>129</v>
      </c>
      <c r="C3409">
        <v>202602</v>
      </c>
      <c r="D3409">
        <v>4796</v>
      </c>
      <c r="E3409">
        <v>7.995998666222075</v>
      </c>
      <c r="F3409">
        <v>599.79999999999995</v>
      </c>
    </row>
    <row r="3410" spans="1:6" x14ac:dyDescent="0.35">
      <c r="A3410">
        <v>807</v>
      </c>
      <c r="B3410" t="s">
        <v>129</v>
      </c>
      <c r="C3410">
        <v>202602</v>
      </c>
      <c r="D3410">
        <v>761</v>
      </c>
      <c r="E3410">
        <v>3.8050000000000002</v>
      </c>
      <c r="F3410">
        <v>200</v>
      </c>
    </row>
    <row r="3411" spans="1:6" x14ac:dyDescent="0.35">
      <c r="A3411">
        <v>808</v>
      </c>
      <c r="B3411" t="s">
        <v>129</v>
      </c>
      <c r="C3411">
        <v>202602</v>
      </c>
      <c r="D3411">
        <v>375</v>
      </c>
      <c r="E3411">
        <v>1.2723077967021781</v>
      </c>
      <c r="F3411">
        <v>294.74</v>
      </c>
    </row>
    <row r="3412" spans="1:6" x14ac:dyDescent="0.35">
      <c r="A3412">
        <v>502</v>
      </c>
      <c r="B3412" t="s">
        <v>130</v>
      </c>
      <c r="C3412">
        <v>202602</v>
      </c>
      <c r="D3412">
        <v>56807</v>
      </c>
      <c r="E3412">
        <v>182.51831384140854</v>
      </c>
      <c r="F3412">
        <v>311.24</v>
      </c>
    </row>
    <row r="3413" spans="1:6" x14ac:dyDescent="0.35">
      <c r="A3413">
        <v>504</v>
      </c>
      <c r="B3413" t="s">
        <v>130</v>
      </c>
      <c r="C3413">
        <v>202602</v>
      </c>
      <c r="D3413">
        <v>109967</v>
      </c>
      <c r="E3413">
        <v>251.9232090902843</v>
      </c>
      <c r="F3413">
        <v>436.51</v>
      </c>
    </row>
    <row r="3414" spans="1:6" x14ac:dyDescent="0.35">
      <c r="A3414">
        <v>505</v>
      </c>
      <c r="B3414" t="s">
        <v>130</v>
      </c>
      <c r="C3414">
        <v>202602</v>
      </c>
      <c r="D3414">
        <v>60413</v>
      </c>
      <c r="E3414">
        <v>162.32199473373097</v>
      </c>
      <c r="F3414">
        <v>372.18</v>
      </c>
    </row>
    <row r="3415" spans="1:6" x14ac:dyDescent="0.35">
      <c r="A3415">
        <v>506</v>
      </c>
      <c r="B3415" t="s">
        <v>130</v>
      </c>
      <c r="C3415">
        <v>202602</v>
      </c>
      <c r="D3415">
        <v>69583</v>
      </c>
      <c r="E3415">
        <v>146.89564905317823</v>
      </c>
      <c r="F3415">
        <v>473.69</v>
      </c>
    </row>
    <row r="3416" spans="1:6" x14ac:dyDescent="0.35">
      <c r="A3416">
        <v>508</v>
      </c>
      <c r="B3416" t="s">
        <v>130</v>
      </c>
      <c r="C3416">
        <v>202602</v>
      </c>
      <c r="D3416">
        <v>49133</v>
      </c>
      <c r="E3416">
        <v>121.40597973807759</v>
      </c>
      <c r="F3416">
        <v>404.7</v>
      </c>
    </row>
    <row r="3417" spans="1:6" x14ac:dyDescent="0.35">
      <c r="A3417">
        <v>507</v>
      </c>
      <c r="B3417" t="s">
        <v>130</v>
      </c>
      <c r="C3417">
        <v>202602</v>
      </c>
      <c r="D3417">
        <v>35182</v>
      </c>
      <c r="E3417">
        <v>130.30370370370369</v>
      </c>
      <c r="F3417">
        <v>270</v>
      </c>
    </row>
    <row r="3418" spans="1:6" x14ac:dyDescent="0.35">
      <c r="A3418">
        <v>520</v>
      </c>
      <c r="B3418" t="s">
        <v>130</v>
      </c>
      <c r="C3418">
        <v>202602</v>
      </c>
      <c r="D3418">
        <v>557</v>
      </c>
      <c r="E3418">
        <v>8.1911764705882355</v>
      </c>
      <c r="F3418">
        <v>68</v>
      </c>
    </row>
    <row r="3419" spans="1:6" x14ac:dyDescent="0.35">
      <c r="A3419">
        <v>521</v>
      </c>
      <c r="B3419" t="s">
        <v>130</v>
      </c>
      <c r="C3419">
        <v>202602</v>
      </c>
      <c r="D3419">
        <v>3339</v>
      </c>
      <c r="E3419">
        <v>28.78448275862069</v>
      </c>
      <c r="F3419">
        <v>116</v>
      </c>
    </row>
    <row r="3420" spans="1:6" x14ac:dyDescent="0.35">
      <c r="A3420">
        <v>784</v>
      </c>
      <c r="B3420" t="s">
        <v>130</v>
      </c>
      <c r="C3420">
        <v>202602</v>
      </c>
      <c r="D3420">
        <v>1022</v>
      </c>
      <c r="E3420">
        <v>3.0308422301304865</v>
      </c>
      <c r="F3420">
        <v>337.2</v>
      </c>
    </row>
    <row r="3421" spans="1:6" x14ac:dyDescent="0.35">
      <c r="A3421">
        <v>785</v>
      </c>
      <c r="B3421" t="s">
        <v>130</v>
      </c>
      <c r="C3421">
        <v>202602</v>
      </c>
      <c r="D3421">
        <v>1034</v>
      </c>
      <c r="E3421">
        <v>1.8392031305585199</v>
      </c>
      <c r="F3421">
        <v>562.20000000000005</v>
      </c>
    </row>
    <row r="3422" spans="1:6" x14ac:dyDescent="0.35">
      <c r="A3422">
        <v>758</v>
      </c>
      <c r="B3422" t="s">
        <v>130</v>
      </c>
      <c r="C3422">
        <v>202602</v>
      </c>
      <c r="D3422">
        <v>18662</v>
      </c>
      <c r="E3422">
        <v>27.660930528999366</v>
      </c>
      <c r="F3422">
        <v>674.67</v>
      </c>
    </row>
    <row r="3423" spans="1:6" x14ac:dyDescent="0.35">
      <c r="A3423">
        <v>757</v>
      </c>
      <c r="B3423" t="s">
        <v>130</v>
      </c>
      <c r="C3423">
        <v>202602</v>
      </c>
      <c r="D3423">
        <v>27949</v>
      </c>
      <c r="E3423">
        <v>56.490015360983101</v>
      </c>
      <c r="F3423">
        <v>494.76</v>
      </c>
    </row>
    <row r="3424" spans="1:6" x14ac:dyDescent="0.35">
      <c r="A3424">
        <v>580</v>
      </c>
      <c r="B3424" t="s">
        <v>130</v>
      </c>
      <c r="C3424">
        <v>202602</v>
      </c>
      <c r="D3424">
        <v>2359</v>
      </c>
      <c r="E3424">
        <v>8.7150879267031183</v>
      </c>
      <c r="F3424">
        <v>270.68</v>
      </c>
    </row>
    <row r="3425" spans="1:6" x14ac:dyDescent="0.35">
      <c r="A3425">
        <v>582</v>
      </c>
      <c r="B3425" t="s">
        <v>130</v>
      </c>
      <c r="C3425">
        <v>202602</v>
      </c>
      <c r="D3425">
        <v>9496</v>
      </c>
      <c r="E3425">
        <v>31.574397339983374</v>
      </c>
      <c r="F3425">
        <v>300.75</v>
      </c>
    </row>
    <row r="3426" spans="1:6" x14ac:dyDescent="0.35">
      <c r="A3426">
        <v>594</v>
      </c>
      <c r="B3426" t="s">
        <v>130</v>
      </c>
      <c r="C3426">
        <v>202602</v>
      </c>
      <c r="D3426">
        <v>15475</v>
      </c>
      <c r="E3426">
        <v>91.703703703703709</v>
      </c>
      <c r="F3426">
        <v>168.75</v>
      </c>
    </row>
    <row r="3427" spans="1:6" x14ac:dyDescent="0.35">
      <c r="A3427">
        <v>595</v>
      </c>
      <c r="B3427" t="s">
        <v>130</v>
      </c>
      <c r="C3427">
        <v>202602</v>
      </c>
      <c r="D3427">
        <v>27587</v>
      </c>
      <c r="E3427">
        <v>367.82666666666665</v>
      </c>
      <c r="F3427">
        <v>75</v>
      </c>
    </row>
    <row r="3428" spans="1:6" x14ac:dyDescent="0.35">
      <c r="A3428">
        <v>603</v>
      </c>
      <c r="B3428" t="s">
        <v>130</v>
      </c>
      <c r="C3428">
        <v>202602</v>
      </c>
      <c r="D3428">
        <v>3519</v>
      </c>
      <c r="E3428">
        <v>15.601170420287286</v>
      </c>
      <c r="F3428">
        <v>225.56</v>
      </c>
    </row>
    <row r="3429" spans="1:6" x14ac:dyDescent="0.35">
      <c r="A3429">
        <v>606</v>
      </c>
      <c r="B3429" t="s">
        <v>130</v>
      </c>
      <c r="C3429">
        <v>202602</v>
      </c>
      <c r="D3429">
        <v>4474</v>
      </c>
      <c r="E3429">
        <v>17.052254449822769</v>
      </c>
      <c r="F3429">
        <v>262.37</v>
      </c>
    </row>
    <row r="3430" spans="1:6" x14ac:dyDescent="0.35">
      <c r="A3430">
        <v>772</v>
      </c>
      <c r="B3430" t="s">
        <v>130</v>
      </c>
      <c r="C3430">
        <v>202602</v>
      </c>
      <c r="D3430">
        <v>452</v>
      </c>
      <c r="E3430">
        <v>2.233201581027668</v>
      </c>
      <c r="F3430">
        <v>202.4</v>
      </c>
    </row>
    <row r="3431" spans="1:6" x14ac:dyDescent="0.35">
      <c r="A3431">
        <v>615</v>
      </c>
      <c r="B3431" t="s">
        <v>130</v>
      </c>
      <c r="C3431">
        <v>202602</v>
      </c>
      <c r="D3431">
        <v>8906</v>
      </c>
      <c r="E3431">
        <v>32.902320082754542</v>
      </c>
      <c r="F3431">
        <v>270.68</v>
      </c>
    </row>
    <row r="3432" spans="1:6" x14ac:dyDescent="0.35">
      <c r="A3432">
        <v>617</v>
      </c>
      <c r="B3432" t="s">
        <v>130</v>
      </c>
      <c r="C3432">
        <v>202602</v>
      </c>
      <c r="D3432">
        <v>3251</v>
      </c>
      <c r="E3432">
        <v>7.224444444444444</v>
      </c>
      <c r="F3432">
        <v>450</v>
      </c>
    </row>
    <row r="3433" spans="1:6" x14ac:dyDescent="0.35">
      <c r="A3433">
        <v>751</v>
      </c>
      <c r="B3433" t="s">
        <v>130</v>
      </c>
      <c r="C3433">
        <v>202602</v>
      </c>
      <c r="D3433">
        <v>1471</v>
      </c>
      <c r="E3433">
        <v>7.2459484754445596</v>
      </c>
      <c r="F3433">
        <v>203.01</v>
      </c>
    </row>
    <row r="3434" spans="1:6" x14ac:dyDescent="0.35">
      <c r="A3434">
        <v>752</v>
      </c>
      <c r="B3434" t="s">
        <v>130</v>
      </c>
      <c r="C3434">
        <v>202602</v>
      </c>
      <c r="D3434">
        <v>10531</v>
      </c>
      <c r="E3434">
        <v>30.448736482969988</v>
      </c>
      <c r="F3434">
        <v>345.86</v>
      </c>
    </row>
    <row r="3435" spans="1:6" x14ac:dyDescent="0.35">
      <c r="A3435">
        <v>753</v>
      </c>
      <c r="B3435" t="s">
        <v>130</v>
      </c>
      <c r="C3435">
        <v>202602</v>
      </c>
      <c r="D3435">
        <v>16200</v>
      </c>
      <c r="E3435">
        <v>33.147814699623503</v>
      </c>
      <c r="F3435">
        <v>488.72</v>
      </c>
    </row>
    <row r="3436" spans="1:6" x14ac:dyDescent="0.35">
      <c r="A3436">
        <v>754</v>
      </c>
      <c r="B3436" t="s">
        <v>130</v>
      </c>
      <c r="C3436">
        <v>202602</v>
      </c>
      <c r="D3436">
        <v>957</v>
      </c>
      <c r="E3436">
        <v>1.5909959934165683</v>
      </c>
      <c r="F3436">
        <v>601.51</v>
      </c>
    </row>
    <row r="3437" spans="1:6" x14ac:dyDescent="0.35">
      <c r="A3437">
        <v>614</v>
      </c>
      <c r="B3437" t="s">
        <v>130</v>
      </c>
      <c r="C3437">
        <v>202602</v>
      </c>
      <c r="D3437">
        <v>24197</v>
      </c>
      <c r="E3437">
        <v>43.03984347207399</v>
      </c>
      <c r="F3437">
        <v>562.20000000000005</v>
      </c>
    </row>
    <row r="3438" spans="1:6" x14ac:dyDescent="0.35">
      <c r="A3438">
        <v>797</v>
      </c>
      <c r="B3438" t="s">
        <v>130</v>
      </c>
      <c r="C3438">
        <v>202602</v>
      </c>
      <c r="D3438">
        <v>1085</v>
      </c>
      <c r="E3438">
        <v>2.4121831925300135</v>
      </c>
      <c r="F3438">
        <v>449.8</v>
      </c>
    </row>
    <row r="3439" spans="1:6" x14ac:dyDescent="0.35">
      <c r="A3439">
        <v>613</v>
      </c>
      <c r="B3439" t="s">
        <v>130</v>
      </c>
      <c r="C3439">
        <v>202602</v>
      </c>
      <c r="D3439">
        <v>11713</v>
      </c>
      <c r="E3439">
        <v>40.044444444444444</v>
      </c>
      <c r="F3439">
        <v>292.5</v>
      </c>
    </row>
    <row r="3440" spans="1:6" x14ac:dyDescent="0.35">
      <c r="A3440">
        <v>767</v>
      </c>
      <c r="B3440" t="s">
        <v>130</v>
      </c>
      <c r="C3440">
        <v>202602</v>
      </c>
      <c r="D3440">
        <v>11049</v>
      </c>
      <c r="E3440">
        <v>18.421140380126712</v>
      </c>
      <c r="F3440">
        <v>599.79999999999995</v>
      </c>
    </row>
    <row r="3441" spans="1:6" x14ac:dyDescent="0.35">
      <c r="A3441">
        <v>807</v>
      </c>
      <c r="B3441" t="s">
        <v>130</v>
      </c>
      <c r="C3441">
        <v>202602</v>
      </c>
      <c r="D3441">
        <v>906</v>
      </c>
      <c r="E3441">
        <v>4.53</v>
      </c>
      <c r="F3441">
        <v>200</v>
      </c>
    </row>
    <row r="3442" spans="1:6" x14ac:dyDescent="0.35">
      <c r="A3442">
        <v>808</v>
      </c>
      <c r="B3442" t="s">
        <v>130</v>
      </c>
      <c r="C3442">
        <v>202602</v>
      </c>
      <c r="D3442">
        <v>383</v>
      </c>
      <c r="E3442">
        <v>1.2994503630318246</v>
      </c>
      <c r="F3442">
        <v>294.74</v>
      </c>
    </row>
    <row r="3443" spans="1:6" x14ac:dyDescent="0.35">
      <c r="A3443">
        <v>502</v>
      </c>
      <c r="B3443" t="s">
        <v>131</v>
      </c>
      <c r="C3443">
        <v>202602</v>
      </c>
      <c r="D3443">
        <v>44679</v>
      </c>
      <c r="E3443">
        <v>143.55160005140726</v>
      </c>
      <c r="F3443">
        <v>311.24</v>
      </c>
    </row>
    <row r="3444" spans="1:6" x14ac:dyDescent="0.35">
      <c r="A3444">
        <v>504</v>
      </c>
      <c r="B3444" t="s">
        <v>131</v>
      </c>
      <c r="C3444">
        <v>202602</v>
      </c>
      <c r="D3444">
        <v>89279</v>
      </c>
      <c r="E3444">
        <v>204.52910586240864</v>
      </c>
      <c r="F3444">
        <v>436.51</v>
      </c>
    </row>
    <row r="3445" spans="1:6" x14ac:dyDescent="0.35">
      <c r="A3445">
        <v>505</v>
      </c>
      <c r="B3445" t="s">
        <v>131</v>
      </c>
      <c r="C3445">
        <v>202602</v>
      </c>
      <c r="D3445">
        <v>49534</v>
      </c>
      <c r="E3445">
        <v>133.09151485840184</v>
      </c>
      <c r="F3445">
        <v>372.18</v>
      </c>
    </row>
    <row r="3446" spans="1:6" x14ac:dyDescent="0.35">
      <c r="A3446">
        <v>506</v>
      </c>
      <c r="B3446" t="s">
        <v>131</v>
      </c>
      <c r="C3446">
        <v>202602</v>
      </c>
      <c r="D3446">
        <v>52893</v>
      </c>
      <c r="E3446">
        <v>111.66163524668032</v>
      </c>
      <c r="F3446">
        <v>473.69</v>
      </c>
    </row>
    <row r="3447" spans="1:6" x14ac:dyDescent="0.35">
      <c r="A3447">
        <v>508</v>
      </c>
      <c r="B3447" t="s">
        <v>131</v>
      </c>
      <c r="C3447">
        <v>202602</v>
      </c>
      <c r="D3447">
        <v>43183</v>
      </c>
      <c r="E3447">
        <v>106.70373115888313</v>
      </c>
      <c r="F3447">
        <v>404.7</v>
      </c>
    </row>
    <row r="3448" spans="1:6" x14ac:dyDescent="0.35">
      <c r="A3448">
        <v>507</v>
      </c>
      <c r="B3448" t="s">
        <v>131</v>
      </c>
      <c r="C3448">
        <v>202602</v>
      </c>
      <c r="D3448">
        <v>28997</v>
      </c>
      <c r="E3448">
        <v>107.3962962962963</v>
      </c>
      <c r="F3448">
        <v>270</v>
      </c>
    </row>
    <row r="3449" spans="1:6" x14ac:dyDescent="0.35">
      <c r="A3449">
        <v>520</v>
      </c>
      <c r="B3449" t="s">
        <v>131</v>
      </c>
      <c r="C3449">
        <v>202602</v>
      </c>
      <c r="D3449">
        <v>509</v>
      </c>
      <c r="E3449">
        <v>7.4852941176470589</v>
      </c>
      <c r="F3449">
        <v>68</v>
      </c>
    </row>
    <row r="3450" spans="1:6" x14ac:dyDescent="0.35">
      <c r="A3450">
        <v>521</v>
      </c>
      <c r="B3450" t="s">
        <v>131</v>
      </c>
      <c r="C3450">
        <v>202602</v>
      </c>
      <c r="D3450">
        <v>2591</v>
      </c>
      <c r="E3450">
        <v>22.336206896551722</v>
      </c>
      <c r="F3450">
        <v>116</v>
      </c>
    </row>
    <row r="3451" spans="1:6" x14ac:dyDescent="0.35">
      <c r="A3451">
        <v>784</v>
      </c>
      <c r="B3451" t="s">
        <v>131</v>
      </c>
      <c r="C3451">
        <v>202602</v>
      </c>
      <c r="D3451">
        <v>705</v>
      </c>
      <c r="E3451">
        <v>2.0907473309608542</v>
      </c>
      <c r="F3451">
        <v>337.2</v>
      </c>
    </row>
    <row r="3452" spans="1:6" x14ac:dyDescent="0.35">
      <c r="A3452">
        <v>785</v>
      </c>
      <c r="B3452" t="s">
        <v>131</v>
      </c>
      <c r="C3452">
        <v>202602</v>
      </c>
      <c r="D3452">
        <v>751</v>
      </c>
      <c r="E3452">
        <v>1.3358235503379579</v>
      </c>
      <c r="F3452">
        <v>562.20000000000005</v>
      </c>
    </row>
    <row r="3453" spans="1:6" x14ac:dyDescent="0.35">
      <c r="A3453">
        <v>758</v>
      </c>
      <c r="B3453" t="s">
        <v>131</v>
      </c>
      <c r="C3453">
        <v>202602</v>
      </c>
      <c r="D3453">
        <v>19855</v>
      </c>
      <c r="E3453">
        <v>29.429202424889208</v>
      </c>
      <c r="F3453">
        <v>674.67</v>
      </c>
    </row>
    <row r="3454" spans="1:6" x14ac:dyDescent="0.35">
      <c r="A3454">
        <v>757</v>
      </c>
      <c r="B3454" t="s">
        <v>131</v>
      </c>
      <c r="C3454">
        <v>202602</v>
      </c>
      <c r="D3454">
        <v>27025</v>
      </c>
      <c r="E3454">
        <v>54.622443204786158</v>
      </c>
      <c r="F3454">
        <v>494.76</v>
      </c>
    </row>
    <row r="3455" spans="1:6" x14ac:dyDescent="0.35">
      <c r="A3455">
        <v>580</v>
      </c>
      <c r="B3455" t="s">
        <v>131</v>
      </c>
      <c r="C3455">
        <v>202602</v>
      </c>
      <c r="D3455">
        <v>33361</v>
      </c>
      <c r="E3455">
        <v>123.24885473621988</v>
      </c>
      <c r="F3455">
        <v>270.68</v>
      </c>
    </row>
    <row r="3456" spans="1:6" x14ac:dyDescent="0.35">
      <c r="A3456">
        <v>582</v>
      </c>
      <c r="B3456" t="s">
        <v>131</v>
      </c>
      <c r="C3456">
        <v>202602</v>
      </c>
      <c r="D3456">
        <v>8990</v>
      </c>
      <c r="E3456">
        <v>29.891936824605153</v>
      </c>
      <c r="F3456">
        <v>300.75</v>
      </c>
    </row>
    <row r="3457" spans="1:6" x14ac:dyDescent="0.35">
      <c r="A3457">
        <v>594</v>
      </c>
      <c r="B3457" t="s">
        <v>131</v>
      </c>
      <c r="C3457">
        <v>202602</v>
      </c>
      <c r="D3457">
        <v>23398</v>
      </c>
      <c r="E3457">
        <v>138.65481481481481</v>
      </c>
      <c r="F3457">
        <v>168.75</v>
      </c>
    </row>
    <row r="3458" spans="1:6" x14ac:dyDescent="0.35">
      <c r="A3458">
        <v>595</v>
      </c>
      <c r="B3458" t="s">
        <v>131</v>
      </c>
      <c r="C3458">
        <v>202602</v>
      </c>
      <c r="D3458">
        <v>21022</v>
      </c>
      <c r="E3458">
        <v>280.29333333333335</v>
      </c>
      <c r="F3458">
        <v>75</v>
      </c>
    </row>
    <row r="3459" spans="1:6" x14ac:dyDescent="0.35">
      <c r="A3459">
        <v>603</v>
      </c>
      <c r="B3459" t="s">
        <v>131</v>
      </c>
      <c r="C3459">
        <v>202602</v>
      </c>
      <c r="D3459">
        <v>3338</v>
      </c>
      <c r="E3459">
        <v>14.798723177868416</v>
      </c>
      <c r="F3459">
        <v>225.56</v>
      </c>
    </row>
    <row r="3460" spans="1:6" x14ac:dyDescent="0.35">
      <c r="A3460">
        <v>606</v>
      </c>
      <c r="B3460" t="s">
        <v>131</v>
      </c>
      <c r="C3460">
        <v>202602</v>
      </c>
      <c r="D3460">
        <v>3685</v>
      </c>
      <c r="E3460">
        <v>14.04505088234173</v>
      </c>
      <c r="F3460">
        <v>262.37</v>
      </c>
    </row>
    <row r="3461" spans="1:6" x14ac:dyDescent="0.35">
      <c r="A3461">
        <v>772</v>
      </c>
      <c r="B3461" t="s">
        <v>131</v>
      </c>
      <c r="C3461">
        <v>202602</v>
      </c>
      <c r="D3461">
        <v>247</v>
      </c>
      <c r="E3461">
        <v>1.2203557312252964</v>
      </c>
      <c r="F3461">
        <v>202.4</v>
      </c>
    </row>
    <row r="3462" spans="1:6" x14ac:dyDescent="0.35">
      <c r="A3462">
        <v>615</v>
      </c>
      <c r="B3462" t="s">
        <v>131</v>
      </c>
      <c r="C3462">
        <v>202602</v>
      </c>
      <c r="D3462">
        <v>9845</v>
      </c>
      <c r="E3462">
        <v>36.371361016698685</v>
      </c>
      <c r="F3462">
        <v>270.68</v>
      </c>
    </row>
    <row r="3463" spans="1:6" x14ac:dyDescent="0.35">
      <c r="A3463">
        <v>617</v>
      </c>
      <c r="B3463" t="s">
        <v>131</v>
      </c>
      <c r="C3463">
        <v>202602</v>
      </c>
      <c r="D3463">
        <v>3398</v>
      </c>
      <c r="E3463">
        <v>7.5511111111111111</v>
      </c>
      <c r="F3463">
        <v>450</v>
      </c>
    </row>
    <row r="3464" spans="1:6" x14ac:dyDescent="0.35">
      <c r="A3464">
        <v>751</v>
      </c>
      <c r="B3464" t="s">
        <v>131</v>
      </c>
      <c r="C3464">
        <v>202602</v>
      </c>
      <c r="D3464">
        <v>2733</v>
      </c>
      <c r="E3464">
        <v>13.462391015220925</v>
      </c>
      <c r="F3464">
        <v>203.01</v>
      </c>
    </row>
    <row r="3465" spans="1:6" x14ac:dyDescent="0.35">
      <c r="A3465">
        <v>752</v>
      </c>
      <c r="B3465" t="s">
        <v>131</v>
      </c>
      <c r="C3465">
        <v>202602</v>
      </c>
      <c r="D3465">
        <v>16815</v>
      </c>
      <c r="E3465">
        <v>48.617937893945523</v>
      </c>
      <c r="F3465">
        <v>345.86</v>
      </c>
    </row>
    <row r="3466" spans="1:6" x14ac:dyDescent="0.35">
      <c r="A3466">
        <v>753</v>
      </c>
      <c r="B3466" t="s">
        <v>131</v>
      </c>
      <c r="C3466">
        <v>202602</v>
      </c>
      <c r="D3466">
        <v>21102</v>
      </c>
      <c r="E3466">
        <v>43.178097888361428</v>
      </c>
      <c r="F3466">
        <v>488.72</v>
      </c>
    </row>
    <row r="3467" spans="1:6" x14ac:dyDescent="0.35">
      <c r="A3467">
        <v>754</v>
      </c>
      <c r="B3467" t="s">
        <v>131</v>
      </c>
      <c r="C3467">
        <v>202602</v>
      </c>
      <c r="D3467">
        <v>2748</v>
      </c>
      <c r="E3467">
        <v>4.5685026017855064</v>
      </c>
      <c r="F3467">
        <v>601.51</v>
      </c>
    </row>
    <row r="3468" spans="1:6" x14ac:dyDescent="0.35">
      <c r="A3468">
        <v>614</v>
      </c>
      <c r="B3468" t="s">
        <v>131</v>
      </c>
      <c r="C3468">
        <v>202602</v>
      </c>
      <c r="D3468">
        <v>20763</v>
      </c>
      <c r="E3468">
        <v>36.931696905016004</v>
      </c>
      <c r="F3468">
        <v>562.20000000000005</v>
      </c>
    </row>
    <row r="3469" spans="1:6" x14ac:dyDescent="0.35">
      <c r="A3469">
        <v>797</v>
      </c>
      <c r="B3469" t="s">
        <v>131</v>
      </c>
      <c r="C3469">
        <v>202602</v>
      </c>
      <c r="D3469">
        <v>1654</v>
      </c>
      <c r="E3469">
        <v>3.6771898621609602</v>
      </c>
      <c r="F3469">
        <v>449.8</v>
      </c>
    </row>
    <row r="3470" spans="1:6" x14ac:dyDescent="0.35">
      <c r="A3470">
        <v>613</v>
      </c>
      <c r="B3470" t="s">
        <v>131</v>
      </c>
      <c r="C3470">
        <v>202602</v>
      </c>
      <c r="D3470">
        <v>9510</v>
      </c>
      <c r="E3470">
        <v>32.512820512820511</v>
      </c>
      <c r="F3470">
        <v>292.5</v>
      </c>
    </row>
    <row r="3471" spans="1:6" x14ac:dyDescent="0.35">
      <c r="A3471">
        <v>767</v>
      </c>
      <c r="B3471" t="s">
        <v>131</v>
      </c>
      <c r="C3471">
        <v>202602</v>
      </c>
      <c r="D3471">
        <v>7509</v>
      </c>
      <c r="E3471">
        <v>12.519173057685896</v>
      </c>
      <c r="F3471">
        <v>599.79999999999995</v>
      </c>
    </row>
    <row r="3472" spans="1:6" x14ac:dyDescent="0.35">
      <c r="A3472">
        <v>807</v>
      </c>
      <c r="B3472" t="s">
        <v>131</v>
      </c>
      <c r="C3472">
        <v>202602</v>
      </c>
      <c r="D3472">
        <v>1161</v>
      </c>
      <c r="E3472">
        <v>5.8049999999999997</v>
      </c>
      <c r="F3472">
        <v>200</v>
      </c>
    </row>
    <row r="3473" spans="1:6" x14ac:dyDescent="0.35">
      <c r="A3473">
        <v>808</v>
      </c>
      <c r="B3473" t="s">
        <v>131</v>
      </c>
      <c r="C3473">
        <v>202602</v>
      </c>
      <c r="D3473">
        <v>371</v>
      </c>
      <c r="E3473">
        <v>1.2587365135373549</v>
      </c>
      <c r="F3473">
        <v>294.74</v>
      </c>
    </row>
    <row r="3474" spans="1:6" x14ac:dyDescent="0.35">
      <c r="A3474">
        <v>502</v>
      </c>
      <c r="B3474" t="s">
        <v>132</v>
      </c>
      <c r="C3474">
        <v>202602</v>
      </c>
      <c r="D3474">
        <v>25116</v>
      </c>
      <c r="E3474">
        <v>80.696568564451866</v>
      </c>
      <c r="F3474">
        <v>311.24</v>
      </c>
    </row>
    <row r="3475" spans="1:6" x14ac:dyDescent="0.35">
      <c r="A3475">
        <v>504</v>
      </c>
      <c r="B3475" t="s">
        <v>132</v>
      </c>
      <c r="C3475">
        <v>202602</v>
      </c>
      <c r="D3475">
        <v>47947</v>
      </c>
      <c r="E3475">
        <v>109.84169893015051</v>
      </c>
      <c r="F3475">
        <v>436.51</v>
      </c>
    </row>
    <row r="3476" spans="1:6" x14ac:dyDescent="0.35">
      <c r="A3476">
        <v>505</v>
      </c>
      <c r="B3476" t="s">
        <v>132</v>
      </c>
      <c r="C3476">
        <v>202602</v>
      </c>
      <c r="D3476">
        <v>25034</v>
      </c>
      <c r="E3476">
        <v>67.263152238164324</v>
      </c>
      <c r="F3476">
        <v>372.18</v>
      </c>
    </row>
    <row r="3477" spans="1:6" x14ac:dyDescent="0.35">
      <c r="A3477">
        <v>506</v>
      </c>
      <c r="B3477" t="s">
        <v>132</v>
      </c>
      <c r="C3477">
        <v>202602</v>
      </c>
      <c r="D3477">
        <v>30913</v>
      </c>
      <c r="E3477">
        <v>65.25998015579809</v>
      </c>
      <c r="F3477">
        <v>473.69</v>
      </c>
    </row>
    <row r="3478" spans="1:6" x14ac:dyDescent="0.35">
      <c r="A3478">
        <v>508</v>
      </c>
      <c r="B3478" t="s">
        <v>132</v>
      </c>
      <c r="C3478">
        <v>202602</v>
      </c>
      <c r="D3478">
        <v>22434</v>
      </c>
      <c r="E3478">
        <v>55.433654558932545</v>
      </c>
      <c r="F3478">
        <v>404.7</v>
      </c>
    </row>
    <row r="3479" spans="1:6" x14ac:dyDescent="0.35">
      <c r="A3479">
        <v>507</v>
      </c>
      <c r="B3479" t="s">
        <v>132</v>
      </c>
      <c r="C3479">
        <v>202602</v>
      </c>
      <c r="D3479">
        <v>14068</v>
      </c>
      <c r="E3479">
        <v>52.103703703703701</v>
      </c>
      <c r="F3479">
        <v>270</v>
      </c>
    </row>
    <row r="3480" spans="1:6" x14ac:dyDescent="0.35">
      <c r="A3480">
        <v>520</v>
      </c>
      <c r="B3480" t="s">
        <v>132</v>
      </c>
      <c r="C3480">
        <v>202602</v>
      </c>
      <c r="D3480">
        <v>342</v>
      </c>
      <c r="E3480">
        <v>5.0294117647058822</v>
      </c>
      <c r="F3480">
        <v>68</v>
      </c>
    </row>
    <row r="3481" spans="1:6" x14ac:dyDescent="0.35">
      <c r="A3481">
        <v>521</v>
      </c>
      <c r="B3481" t="s">
        <v>132</v>
      </c>
      <c r="C3481">
        <v>202602</v>
      </c>
      <c r="D3481">
        <v>1639</v>
      </c>
      <c r="E3481">
        <v>14.129310344827585</v>
      </c>
      <c r="F3481">
        <v>116</v>
      </c>
    </row>
    <row r="3482" spans="1:6" x14ac:dyDescent="0.35">
      <c r="A3482">
        <v>784</v>
      </c>
      <c r="B3482" t="s">
        <v>132</v>
      </c>
      <c r="C3482">
        <v>202602</v>
      </c>
      <c r="D3482">
        <v>516</v>
      </c>
      <c r="E3482">
        <v>1.5302491103202847</v>
      </c>
      <c r="F3482">
        <v>337.2</v>
      </c>
    </row>
    <row r="3483" spans="1:6" x14ac:dyDescent="0.35">
      <c r="A3483">
        <v>785</v>
      </c>
      <c r="B3483" t="s">
        <v>132</v>
      </c>
      <c r="C3483">
        <v>202602</v>
      </c>
      <c r="D3483">
        <v>487</v>
      </c>
      <c r="E3483">
        <v>0.86623977232301663</v>
      </c>
      <c r="F3483">
        <v>562.20000000000005</v>
      </c>
    </row>
    <row r="3484" spans="1:6" x14ac:dyDescent="0.35">
      <c r="A3484">
        <v>758</v>
      </c>
      <c r="B3484" t="s">
        <v>132</v>
      </c>
      <c r="C3484">
        <v>202602</v>
      </c>
      <c r="D3484">
        <v>8854</v>
      </c>
      <c r="E3484">
        <v>13.123452947366861</v>
      </c>
      <c r="F3484">
        <v>674.67</v>
      </c>
    </row>
    <row r="3485" spans="1:6" x14ac:dyDescent="0.35">
      <c r="A3485">
        <v>757</v>
      </c>
      <c r="B3485" t="s">
        <v>132</v>
      </c>
      <c r="C3485">
        <v>202602</v>
      </c>
      <c r="D3485">
        <v>12195</v>
      </c>
      <c r="E3485">
        <v>24.648314334222654</v>
      </c>
      <c r="F3485">
        <v>494.76</v>
      </c>
    </row>
    <row r="3486" spans="1:6" x14ac:dyDescent="0.35">
      <c r="A3486">
        <v>580</v>
      </c>
      <c r="B3486" t="s">
        <v>132</v>
      </c>
      <c r="C3486">
        <v>202602</v>
      </c>
      <c r="D3486">
        <v>1124</v>
      </c>
      <c r="E3486">
        <v>4.1525048027190774</v>
      </c>
      <c r="F3486">
        <v>270.68</v>
      </c>
    </row>
    <row r="3487" spans="1:6" x14ac:dyDescent="0.35">
      <c r="A3487">
        <v>582</v>
      </c>
      <c r="B3487" t="s">
        <v>132</v>
      </c>
      <c r="C3487">
        <v>202602</v>
      </c>
      <c r="D3487">
        <v>5176</v>
      </c>
      <c r="E3487">
        <v>17.210307564422276</v>
      </c>
      <c r="F3487">
        <v>300.75</v>
      </c>
    </row>
    <row r="3488" spans="1:6" x14ac:dyDescent="0.35">
      <c r="A3488">
        <v>594</v>
      </c>
      <c r="B3488" t="s">
        <v>132</v>
      </c>
      <c r="C3488">
        <v>202602</v>
      </c>
      <c r="D3488">
        <v>14617</v>
      </c>
      <c r="E3488">
        <v>86.619259259259266</v>
      </c>
      <c r="F3488">
        <v>168.75</v>
      </c>
    </row>
    <row r="3489" spans="1:6" x14ac:dyDescent="0.35">
      <c r="A3489">
        <v>595</v>
      </c>
      <c r="B3489" t="s">
        <v>132</v>
      </c>
      <c r="C3489">
        <v>202602</v>
      </c>
      <c r="D3489">
        <v>12961</v>
      </c>
      <c r="E3489">
        <v>172.81333333333333</v>
      </c>
      <c r="F3489">
        <v>75</v>
      </c>
    </row>
    <row r="3490" spans="1:6" x14ac:dyDescent="0.35">
      <c r="A3490">
        <v>603</v>
      </c>
      <c r="B3490" t="s">
        <v>132</v>
      </c>
      <c r="C3490">
        <v>202602</v>
      </c>
      <c r="D3490">
        <v>1898</v>
      </c>
      <c r="E3490">
        <v>8.4146125199503459</v>
      </c>
      <c r="F3490">
        <v>225.56</v>
      </c>
    </row>
    <row r="3491" spans="1:6" x14ac:dyDescent="0.35">
      <c r="A3491">
        <v>606</v>
      </c>
      <c r="B3491" t="s">
        <v>132</v>
      </c>
      <c r="C3491">
        <v>202602</v>
      </c>
      <c r="D3491">
        <v>2012</v>
      </c>
      <c r="E3491">
        <v>7.6685596676449288</v>
      </c>
      <c r="F3491">
        <v>262.37</v>
      </c>
    </row>
    <row r="3492" spans="1:6" x14ac:dyDescent="0.35">
      <c r="A3492">
        <v>772</v>
      </c>
      <c r="B3492" t="s">
        <v>132</v>
      </c>
      <c r="C3492">
        <v>202602</v>
      </c>
      <c r="D3492">
        <v>0</v>
      </c>
      <c r="E3492">
        <v>0</v>
      </c>
      <c r="F3492">
        <v>202.4</v>
      </c>
    </row>
    <row r="3493" spans="1:6" x14ac:dyDescent="0.35">
      <c r="A3493">
        <v>615</v>
      </c>
      <c r="B3493" t="s">
        <v>132</v>
      </c>
      <c r="C3493">
        <v>202602</v>
      </c>
      <c r="D3493">
        <v>5389</v>
      </c>
      <c r="E3493">
        <v>19.909117777449385</v>
      </c>
      <c r="F3493">
        <v>270.68</v>
      </c>
    </row>
    <row r="3494" spans="1:6" x14ac:dyDescent="0.35">
      <c r="A3494">
        <v>617</v>
      </c>
      <c r="B3494" t="s">
        <v>132</v>
      </c>
      <c r="C3494">
        <v>202602</v>
      </c>
      <c r="D3494">
        <v>1864</v>
      </c>
      <c r="E3494">
        <v>4.1422222222222222</v>
      </c>
      <c r="F3494">
        <v>450</v>
      </c>
    </row>
    <row r="3495" spans="1:6" x14ac:dyDescent="0.35">
      <c r="A3495">
        <v>751</v>
      </c>
      <c r="B3495" t="s">
        <v>132</v>
      </c>
      <c r="C3495">
        <v>202602</v>
      </c>
      <c r="D3495">
        <v>3970</v>
      </c>
      <c r="E3495">
        <v>19.555686911974782</v>
      </c>
      <c r="F3495">
        <v>203.01</v>
      </c>
    </row>
    <row r="3496" spans="1:6" x14ac:dyDescent="0.35">
      <c r="A3496">
        <v>752</v>
      </c>
      <c r="B3496" t="s">
        <v>132</v>
      </c>
      <c r="C3496">
        <v>202602</v>
      </c>
      <c r="D3496">
        <v>5727</v>
      </c>
      <c r="E3496">
        <v>16.558723182790725</v>
      </c>
      <c r="F3496">
        <v>345.86</v>
      </c>
    </row>
    <row r="3497" spans="1:6" x14ac:dyDescent="0.35">
      <c r="A3497">
        <v>753</v>
      </c>
      <c r="B3497" t="s">
        <v>132</v>
      </c>
      <c r="C3497">
        <v>202602</v>
      </c>
      <c r="D3497">
        <v>10601</v>
      </c>
      <c r="E3497">
        <v>21.691357014241284</v>
      </c>
      <c r="F3497">
        <v>488.72</v>
      </c>
    </row>
    <row r="3498" spans="1:6" x14ac:dyDescent="0.35">
      <c r="A3498">
        <v>754</v>
      </c>
      <c r="B3498" t="s">
        <v>132</v>
      </c>
      <c r="C3498">
        <v>202602</v>
      </c>
      <c r="D3498">
        <v>614</v>
      </c>
      <c r="E3498">
        <v>1.0207644095692507</v>
      </c>
      <c r="F3498">
        <v>601.51</v>
      </c>
    </row>
    <row r="3499" spans="1:6" x14ac:dyDescent="0.35">
      <c r="A3499">
        <v>614</v>
      </c>
      <c r="B3499" t="s">
        <v>132</v>
      </c>
      <c r="C3499">
        <v>202602</v>
      </c>
      <c r="D3499">
        <v>11852</v>
      </c>
      <c r="E3499">
        <v>21.081465670579863</v>
      </c>
      <c r="F3499">
        <v>562.20000000000005</v>
      </c>
    </row>
    <row r="3500" spans="1:6" x14ac:dyDescent="0.35">
      <c r="A3500">
        <v>797</v>
      </c>
      <c r="B3500" t="s">
        <v>132</v>
      </c>
      <c r="C3500">
        <v>202602</v>
      </c>
      <c r="D3500">
        <v>814</v>
      </c>
      <c r="E3500">
        <v>1.8096931969764338</v>
      </c>
      <c r="F3500">
        <v>449.8</v>
      </c>
    </row>
    <row r="3501" spans="1:6" x14ac:dyDescent="0.35">
      <c r="A3501">
        <v>613</v>
      </c>
      <c r="B3501" t="s">
        <v>132</v>
      </c>
      <c r="C3501">
        <v>202602</v>
      </c>
      <c r="D3501">
        <v>5273</v>
      </c>
      <c r="E3501">
        <v>18.027350427350427</v>
      </c>
      <c r="F3501">
        <v>292.5</v>
      </c>
    </row>
    <row r="3502" spans="1:6" x14ac:dyDescent="0.35">
      <c r="A3502">
        <v>767</v>
      </c>
      <c r="B3502" t="s">
        <v>132</v>
      </c>
      <c r="C3502">
        <v>202602</v>
      </c>
      <c r="D3502">
        <v>5116</v>
      </c>
      <c r="E3502">
        <v>8.5295098366122044</v>
      </c>
      <c r="F3502">
        <v>599.79999999999995</v>
      </c>
    </row>
    <row r="3503" spans="1:6" x14ac:dyDescent="0.35">
      <c r="A3503">
        <v>807</v>
      </c>
      <c r="B3503" t="s">
        <v>132</v>
      </c>
      <c r="C3503">
        <v>202602</v>
      </c>
      <c r="D3503">
        <v>610</v>
      </c>
      <c r="E3503">
        <v>3.05</v>
      </c>
      <c r="F3503">
        <v>200</v>
      </c>
    </row>
    <row r="3504" spans="1:6" x14ac:dyDescent="0.35">
      <c r="A3504">
        <v>808</v>
      </c>
      <c r="B3504" t="s">
        <v>132</v>
      </c>
      <c r="C3504">
        <v>202602</v>
      </c>
      <c r="D3504">
        <v>384</v>
      </c>
      <c r="E3504">
        <v>1.3028431838230303</v>
      </c>
      <c r="F3504">
        <v>294.74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9A62-6AB5-48F9-A9BD-067CCF70EF37}">
  <dimension ref="A1:AF114"/>
  <sheetViews>
    <sheetView zoomScale="85" zoomScaleNormal="85" workbookViewId="0"/>
  </sheetViews>
  <sheetFormatPr defaultRowHeight="14.5" x14ac:dyDescent="0.35"/>
  <cols>
    <col min="1" max="1" width="16.54296875" bestFit="1" customWidth="1"/>
    <col min="3" max="3" width="10.1796875" customWidth="1"/>
    <col min="21" max="21" width="10.1796875" customWidth="1"/>
  </cols>
  <sheetData>
    <row r="1" spans="1:32" x14ac:dyDescent="0.35">
      <c r="A1" t="s">
        <v>3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276</v>
      </c>
      <c r="O1" s="1" t="s">
        <v>277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284</v>
      </c>
      <c r="W1" s="1" t="s">
        <v>285</v>
      </c>
      <c r="X1" s="1" t="s">
        <v>286</v>
      </c>
      <c r="Y1" s="1" t="s">
        <v>287</v>
      </c>
      <c r="Z1" s="1" t="s">
        <v>288</v>
      </c>
      <c r="AA1" s="1" t="s">
        <v>289</v>
      </c>
      <c r="AB1" s="1" t="s">
        <v>290</v>
      </c>
      <c r="AC1" s="1" t="s">
        <v>291</v>
      </c>
      <c r="AD1" s="1" t="s">
        <v>292</v>
      </c>
      <c r="AE1" s="1" t="s">
        <v>293</v>
      </c>
      <c r="AF1" s="1" t="s">
        <v>294</v>
      </c>
    </row>
    <row r="2" spans="1:32" x14ac:dyDescent="0.35">
      <c r="A2" t="s">
        <v>88</v>
      </c>
      <c r="B2">
        <v>45018</v>
      </c>
      <c r="C2">
        <v>94481</v>
      </c>
      <c r="D2">
        <v>84672</v>
      </c>
      <c r="E2">
        <v>128610</v>
      </c>
      <c r="F2">
        <v>56602</v>
      </c>
      <c r="G2">
        <v>44290</v>
      </c>
      <c r="H2">
        <v>1058</v>
      </c>
      <c r="I2">
        <v>7776</v>
      </c>
      <c r="J2">
        <v>824</v>
      </c>
      <c r="K2">
        <v>960</v>
      </c>
      <c r="L2">
        <v>19408</v>
      </c>
      <c r="M2">
        <v>34097</v>
      </c>
      <c r="N2">
        <v>0</v>
      </c>
      <c r="O2">
        <v>2376</v>
      </c>
      <c r="P2">
        <v>23279</v>
      </c>
      <c r="Q2">
        <v>40952</v>
      </c>
      <c r="R2">
        <v>3035</v>
      </c>
      <c r="S2">
        <v>3893</v>
      </c>
      <c r="T2">
        <v>492</v>
      </c>
      <c r="U2">
        <v>7630</v>
      </c>
      <c r="V2">
        <v>2690</v>
      </c>
      <c r="W2">
        <v>0</v>
      </c>
      <c r="X2">
        <v>6655</v>
      </c>
      <c r="Y2">
        <v>9725</v>
      </c>
      <c r="Z2">
        <v>0</v>
      </c>
      <c r="AA2">
        <v>31776</v>
      </c>
      <c r="AB2">
        <v>2209</v>
      </c>
      <c r="AC2">
        <v>16083</v>
      </c>
      <c r="AD2">
        <v>13240</v>
      </c>
      <c r="AE2">
        <v>928</v>
      </c>
      <c r="AF2">
        <v>1326</v>
      </c>
    </row>
    <row r="3" spans="1:32" x14ac:dyDescent="0.35">
      <c r="A3" t="s">
        <v>89</v>
      </c>
      <c r="B3">
        <v>34083</v>
      </c>
      <c r="C3">
        <v>69559</v>
      </c>
      <c r="D3">
        <v>62044</v>
      </c>
      <c r="E3">
        <v>80839</v>
      </c>
      <c r="F3">
        <v>49750</v>
      </c>
      <c r="G3">
        <v>36728</v>
      </c>
      <c r="H3">
        <v>839</v>
      </c>
      <c r="I3">
        <v>6189</v>
      </c>
      <c r="J3">
        <v>1248</v>
      </c>
      <c r="K3">
        <v>1642</v>
      </c>
      <c r="L3">
        <v>14645</v>
      </c>
      <c r="M3">
        <v>24682</v>
      </c>
      <c r="N3">
        <v>0</v>
      </c>
      <c r="O3">
        <v>2283</v>
      </c>
      <c r="P3">
        <v>20239</v>
      </c>
      <c r="Q3">
        <v>36064</v>
      </c>
      <c r="R3">
        <v>3599</v>
      </c>
      <c r="S3">
        <v>3860</v>
      </c>
      <c r="T3">
        <v>515</v>
      </c>
      <c r="U3">
        <v>4972</v>
      </c>
      <c r="V3">
        <v>1653</v>
      </c>
      <c r="W3">
        <v>0</v>
      </c>
      <c r="X3">
        <v>11809</v>
      </c>
      <c r="Y3">
        <v>14060</v>
      </c>
      <c r="Z3">
        <v>0</v>
      </c>
      <c r="AA3">
        <v>25570</v>
      </c>
      <c r="AB3">
        <v>2117</v>
      </c>
      <c r="AC3">
        <v>12516</v>
      </c>
      <c r="AD3">
        <v>10735</v>
      </c>
      <c r="AE3">
        <v>1261</v>
      </c>
      <c r="AF3">
        <v>1847</v>
      </c>
    </row>
    <row r="4" spans="1:32" x14ac:dyDescent="0.35">
      <c r="A4" t="s">
        <v>90</v>
      </c>
      <c r="B4">
        <v>25626</v>
      </c>
      <c r="C4">
        <v>51396</v>
      </c>
      <c r="D4">
        <v>42248</v>
      </c>
      <c r="E4">
        <v>43055</v>
      </c>
      <c r="F4">
        <v>33596</v>
      </c>
      <c r="G4">
        <v>24538</v>
      </c>
      <c r="H4">
        <v>715</v>
      </c>
      <c r="I4">
        <v>6056</v>
      </c>
      <c r="J4">
        <v>724</v>
      </c>
      <c r="K4">
        <v>751</v>
      </c>
      <c r="L4">
        <v>8165</v>
      </c>
      <c r="M4">
        <v>19325</v>
      </c>
      <c r="N4">
        <v>0</v>
      </c>
      <c r="O4">
        <v>1882</v>
      </c>
      <c r="P4">
        <v>11212</v>
      </c>
      <c r="Q4">
        <v>28849</v>
      </c>
      <c r="R4">
        <v>3968</v>
      </c>
      <c r="S4">
        <v>5361</v>
      </c>
      <c r="T4">
        <v>858</v>
      </c>
      <c r="U4">
        <v>5023</v>
      </c>
      <c r="V4">
        <v>1676</v>
      </c>
      <c r="W4">
        <v>0</v>
      </c>
      <c r="X4">
        <v>3351</v>
      </c>
      <c r="Y4">
        <v>7455</v>
      </c>
      <c r="Z4">
        <v>0</v>
      </c>
      <c r="AA4">
        <v>18166</v>
      </c>
      <c r="AB4">
        <v>1468</v>
      </c>
      <c r="AC4">
        <v>9850</v>
      </c>
      <c r="AD4">
        <v>7929</v>
      </c>
      <c r="AE4">
        <v>679</v>
      </c>
      <c r="AF4">
        <v>1166</v>
      </c>
    </row>
    <row r="5" spans="1:32" x14ac:dyDescent="0.35">
      <c r="A5" t="s">
        <v>91</v>
      </c>
      <c r="B5">
        <v>24440</v>
      </c>
      <c r="C5">
        <v>52244</v>
      </c>
      <c r="D5">
        <v>43114</v>
      </c>
      <c r="E5">
        <v>46422</v>
      </c>
      <c r="F5">
        <v>31519</v>
      </c>
      <c r="G5">
        <v>32879</v>
      </c>
      <c r="H5">
        <v>1046</v>
      </c>
      <c r="I5">
        <v>6786</v>
      </c>
      <c r="J5">
        <v>526</v>
      </c>
      <c r="K5">
        <v>620</v>
      </c>
      <c r="L5">
        <v>4754</v>
      </c>
      <c r="M5">
        <v>11705</v>
      </c>
      <c r="N5">
        <v>0</v>
      </c>
      <c r="O5">
        <v>2536</v>
      </c>
      <c r="P5">
        <v>8748</v>
      </c>
      <c r="Q5">
        <v>22850</v>
      </c>
      <c r="R5">
        <v>2953</v>
      </c>
      <c r="S5">
        <v>2816</v>
      </c>
      <c r="T5">
        <v>325</v>
      </c>
      <c r="U5">
        <v>5028</v>
      </c>
      <c r="V5">
        <v>2130</v>
      </c>
      <c r="W5">
        <v>0</v>
      </c>
      <c r="X5">
        <v>3213</v>
      </c>
      <c r="Y5">
        <v>5330</v>
      </c>
      <c r="Z5">
        <v>0</v>
      </c>
      <c r="AA5">
        <v>13199</v>
      </c>
      <c r="AB5">
        <v>964</v>
      </c>
      <c r="AC5">
        <v>6375</v>
      </c>
      <c r="AD5">
        <v>5795</v>
      </c>
      <c r="AE5">
        <v>1064</v>
      </c>
      <c r="AF5">
        <v>1454</v>
      </c>
    </row>
    <row r="6" spans="1:32" x14ac:dyDescent="0.35">
      <c r="A6" t="s">
        <v>133</v>
      </c>
      <c r="B6">
        <v>12218</v>
      </c>
      <c r="C6">
        <v>23746</v>
      </c>
      <c r="D6">
        <v>12531</v>
      </c>
      <c r="E6">
        <v>12309</v>
      </c>
      <c r="F6">
        <v>12253</v>
      </c>
      <c r="G6">
        <v>9118</v>
      </c>
      <c r="H6">
        <v>163</v>
      </c>
      <c r="I6">
        <v>949</v>
      </c>
      <c r="J6">
        <v>446</v>
      </c>
      <c r="K6">
        <v>663</v>
      </c>
      <c r="L6">
        <v>7786</v>
      </c>
      <c r="M6">
        <v>13754</v>
      </c>
      <c r="N6">
        <v>0</v>
      </c>
      <c r="O6">
        <v>0</v>
      </c>
      <c r="P6">
        <v>10002</v>
      </c>
      <c r="Q6">
        <v>6936</v>
      </c>
      <c r="R6">
        <v>1715</v>
      </c>
      <c r="S6">
        <v>1849</v>
      </c>
      <c r="T6">
        <v>364</v>
      </c>
      <c r="U6">
        <v>2653</v>
      </c>
      <c r="V6">
        <v>755</v>
      </c>
      <c r="W6">
        <v>1590</v>
      </c>
      <c r="X6">
        <v>5975</v>
      </c>
      <c r="Y6">
        <v>9201</v>
      </c>
      <c r="Z6">
        <v>0</v>
      </c>
      <c r="AA6">
        <v>5722</v>
      </c>
      <c r="AB6">
        <v>738</v>
      </c>
      <c r="AC6">
        <v>3116</v>
      </c>
      <c r="AD6">
        <v>4038</v>
      </c>
      <c r="AE6">
        <v>1294</v>
      </c>
      <c r="AF6">
        <v>1597</v>
      </c>
    </row>
    <row r="7" spans="1:32" x14ac:dyDescent="0.35">
      <c r="A7" t="s">
        <v>134</v>
      </c>
      <c r="B7">
        <v>10001</v>
      </c>
      <c r="C7">
        <v>18708</v>
      </c>
      <c r="D7">
        <v>9887</v>
      </c>
      <c r="E7">
        <v>11725</v>
      </c>
      <c r="F7">
        <v>11418</v>
      </c>
      <c r="G7">
        <v>6703</v>
      </c>
      <c r="H7">
        <v>236</v>
      </c>
      <c r="I7">
        <v>858</v>
      </c>
      <c r="J7">
        <v>144</v>
      </c>
      <c r="K7">
        <v>0</v>
      </c>
      <c r="L7">
        <v>6774</v>
      </c>
      <c r="M7">
        <v>7355</v>
      </c>
      <c r="N7">
        <v>0</v>
      </c>
      <c r="O7">
        <v>0</v>
      </c>
      <c r="P7">
        <v>8534</v>
      </c>
      <c r="Q7">
        <v>6306</v>
      </c>
      <c r="R7">
        <v>2257</v>
      </c>
      <c r="S7">
        <v>2471</v>
      </c>
      <c r="T7">
        <v>0</v>
      </c>
      <c r="U7">
        <v>2151</v>
      </c>
      <c r="V7">
        <v>713</v>
      </c>
      <c r="W7">
        <v>865</v>
      </c>
      <c r="X7">
        <v>4116</v>
      </c>
      <c r="Y7">
        <v>8254</v>
      </c>
      <c r="Z7">
        <v>0</v>
      </c>
      <c r="AA7">
        <v>5123</v>
      </c>
      <c r="AB7">
        <v>534</v>
      </c>
      <c r="AC7">
        <v>2562</v>
      </c>
      <c r="AD7">
        <v>3979</v>
      </c>
      <c r="AE7">
        <v>1111</v>
      </c>
      <c r="AF7">
        <v>1518</v>
      </c>
    </row>
    <row r="8" spans="1:32" x14ac:dyDescent="0.35">
      <c r="A8" t="s">
        <v>135</v>
      </c>
      <c r="B8">
        <v>9576</v>
      </c>
      <c r="C8">
        <v>17601</v>
      </c>
      <c r="D8">
        <v>9701</v>
      </c>
      <c r="E8">
        <v>10136</v>
      </c>
      <c r="F8">
        <v>8887</v>
      </c>
      <c r="G8">
        <v>6260</v>
      </c>
      <c r="H8">
        <v>234</v>
      </c>
      <c r="I8">
        <v>1014</v>
      </c>
      <c r="J8">
        <v>112</v>
      </c>
      <c r="K8">
        <v>0</v>
      </c>
      <c r="L8">
        <v>3767</v>
      </c>
      <c r="M8">
        <v>6157</v>
      </c>
      <c r="N8">
        <v>0</v>
      </c>
      <c r="O8">
        <v>1660</v>
      </c>
      <c r="P8">
        <v>7834</v>
      </c>
      <c r="Q8">
        <v>5265</v>
      </c>
      <c r="R8">
        <v>1151</v>
      </c>
      <c r="S8">
        <v>1121</v>
      </c>
      <c r="T8">
        <v>207</v>
      </c>
      <c r="U8">
        <v>1841</v>
      </c>
      <c r="V8">
        <v>559</v>
      </c>
      <c r="W8">
        <v>1967</v>
      </c>
      <c r="X8">
        <v>9187</v>
      </c>
      <c r="Y8">
        <v>10523</v>
      </c>
      <c r="Z8">
        <v>482</v>
      </c>
      <c r="AA8">
        <v>3850</v>
      </c>
      <c r="AB8">
        <v>376</v>
      </c>
      <c r="AC8">
        <v>1964</v>
      </c>
      <c r="AD8">
        <v>4199</v>
      </c>
      <c r="AE8">
        <v>783</v>
      </c>
      <c r="AF8">
        <v>1070</v>
      </c>
    </row>
    <row r="9" spans="1:32" x14ac:dyDescent="0.35">
      <c r="A9" t="s">
        <v>136</v>
      </c>
      <c r="B9">
        <v>15380</v>
      </c>
      <c r="C9">
        <v>27283</v>
      </c>
      <c r="D9">
        <v>14452</v>
      </c>
      <c r="E9">
        <v>16086</v>
      </c>
      <c r="F9">
        <v>11188</v>
      </c>
      <c r="G9">
        <v>8758</v>
      </c>
      <c r="H9">
        <v>196</v>
      </c>
      <c r="I9">
        <v>1054</v>
      </c>
      <c r="J9">
        <v>974</v>
      </c>
      <c r="K9">
        <v>1290</v>
      </c>
      <c r="L9">
        <v>5348</v>
      </c>
      <c r="M9">
        <v>7723</v>
      </c>
      <c r="N9">
        <v>0</v>
      </c>
      <c r="O9">
        <v>1182</v>
      </c>
      <c r="P9">
        <v>13328</v>
      </c>
      <c r="Q9">
        <v>8656</v>
      </c>
      <c r="R9">
        <v>2835</v>
      </c>
      <c r="S9">
        <v>2777</v>
      </c>
      <c r="T9">
        <v>0</v>
      </c>
      <c r="U9">
        <v>2492</v>
      </c>
      <c r="V9">
        <v>948</v>
      </c>
      <c r="W9">
        <v>2529</v>
      </c>
      <c r="X9">
        <v>10456</v>
      </c>
      <c r="Y9">
        <v>17093</v>
      </c>
      <c r="Z9">
        <v>6966</v>
      </c>
      <c r="AA9">
        <v>6813</v>
      </c>
      <c r="AB9">
        <v>427</v>
      </c>
      <c r="AC9">
        <v>3620</v>
      </c>
      <c r="AD9">
        <v>8827</v>
      </c>
      <c r="AE9">
        <v>900</v>
      </c>
      <c r="AF9">
        <v>1082</v>
      </c>
    </row>
    <row r="10" spans="1:32" x14ac:dyDescent="0.35">
      <c r="A10" t="s">
        <v>163</v>
      </c>
      <c r="B10">
        <v>34376</v>
      </c>
      <c r="C10">
        <v>65672</v>
      </c>
      <c r="D10">
        <v>24927</v>
      </c>
      <c r="E10">
        <v>23106</v>
      </c>
      <c r="F10">
        <v>30242</v>
      </c>
      <c r="G10">
        <v>22003</v>
      </c>
      <c r="H10">
        <v>271</v>
      </c>
      <c r="I10">
        <v>2312</v>
      </c>
      <c r="J10">
        <v>557</v>
      </c>
      <c r="K10">
        <v>834</v>
      </c>
      <c r="L10">
        <v>4710</v>
      </c>
      <c r="M10">
        <v>12224</v>
      </c>
      <c r="N10">
        <v>0</v>
      </c>
      <c r="O10">
        <v>1416</v>
      </c>
      <c r="P10">
        <v>18138</v>
      </c>
      <c r="Q10">
        <v>18978</v>
      </c>
      <c r="R10">
        <v>3257</v>
      </c>
      <c r="S10">
        <v>8503</v>
      </c>
      <c r="T10">
        <v>319</v>
      </c>
      <c r="U10">
        <v>4882</v>
      </c>
      <c r="V10">
        <v>1344</v>
      </c>
      <c r="W10">
        <v>339</v>
      </c>
      <c r="X10">
        <v>2903</v>
      </c>
      <c r="Y10">
        <v>6827</v>
      </c>
      <c r="Z10">
        <v>1018</v>
      </c>
      <c r="AA10">
        <v>12441</v>
      </c>
      <c r="AB10">
        <v>1110</v>
      </c>
      <c r="AC10">
        <v>7444</v>
      </c>
      <c r="AD10">
        <v>7512</v>
      </c>
      <c r="AE10">
        <v>673</v>
      </c>
      <c r="AF10">
        <v>1283</v>
      </c>
    </row>
    <row r="11" spans="1:32" x14ac:dyDescent="0.35">
      <c r="A11" t="s">
        <v>164</v>
      </c>
      <c r="B11">
        <v>38958</v>
      </c>
      <c r="C11">
        <v>74529</v>
      </c>
      <c r="D11">
        <v>28947</v>
      </c>
      <c r="E11">
        <v>25864</v>
      </c>
      <c r="F11">
        <v>33079</v>
      </c>
      <c r="G11">
        <v>23724</v>
      </c>
      <c r="H11">
        <v>254</v>
      </c>
      <c r="I11">
        <v>2294</v>
      </c>
      <c r="J11">
        <v>505</v>
      </c>
      <c r="K11">
        <v>546</v>
      </c>
      <c r="L11">
        <v>5016</v>
      </c>
      <c r="M11">
        <v>13042</v>
      </c>
      <c r="N11">
        <v>0</v>
      </c>
      <c r="O11">
        <v>1420</v>
      </c>
      <c r="P11">
        <v>18868</v>
      </c>
      <c r="Q11">
        <v>22735</v>
      </c>
      <c r="R11">
        <v>3864</v>
      </c>
      <c r="S11">
        <v>9583</v>
      </c>
      <c r="T11">
        <v>248</v>
      </c>
      <c r="U11">
        <v>5480</v>
      </c>
      <c r="V11">
        <v>1179</v>
      </c>
      <c r="W11">
        <v>367</v>
      </c>
      <c r="X11">
        <v>3031</v>
      </c>
      <c r="Y11">
        <v>6416</v>
      </c>
      <c r="Z11">
        <v>1083</v>
      </c>
      <c r="AA11">
        <v>13763</v>
      </c>
      <c r="AB11">
        <v>999</v>
      </c>
      <c r="AC11">
        <v>9186</v>
      </c>
      <c r="AD11">
        <v>8525</v>
      </c>
      <c r="AE11">
        <v>714</v>
      </c>
      <c r="AF11">
        <v>1218</v>
      </c>
    </row>
    <row r="12" spans="1:32" x14ac:dyDescent="0.35">
      <c r="A12" t="s">
        <v>165</v>
      </c>
      <c r="B12">
        <v>55859</v>
      </c>
      <c r="C12">
        <v>94799</v>
      </c>
      <c r="D12">
        <v>36786</v>
      </c>
      <c r="E12">
        <v>32119</v>
      </c>
      <c r="F12">
        <v>46157</v>
      </c>
      <c r="G12">
        <v>36871</v>
      </c>
      <c r="H12">
        <v>438</v>
      </c>
      <c r="I12">
        <v>3361</v>
      </c>
      <c r="J12">
        <v>1016</v>
      </c>
      <c r="K12">
        <v>720</v>
      </c>
      <c r="L12">
        <v>8395</v>
      </c>
      <c r="M12">
        <v>16839</v>
      </c>
      <c r="N12">
        <v>0</v>
      </c>
      <c r="O12">
        <v>2169</v>
      </c>
      <c r="P12">
        <v>20965</v>
      </c>
      <c r="Q12">
        <v>30940</v>
      </c>
      <c r="R12">
        <v>5388</v>
      </c>
      <c r="S12">
        <v>11761</v>
      </c>
      <c r="T12">
        <v>330</v>
      </c>
      <c r="U12">
        <v>8004</v>
      </c>
      <c r="V12">
        <v>1738</v>
      </c>
      <c r="W12">
        <v>446</v>
      </c>
      <c r="X12">
        <v>3883</v>
      </c>
      <c r="Y12">
        <v>9374</v>
      </c>
      <c r="Z12">
        <v>1250</v>
      </c>
      <c r="AA12">
        <v>17586</v>
      </c>
      <c r="AB12">
        <v>1578</v>
      </c>
      <c r="AC12">
        <v>11296</v>
      </c>
      <c r="AD12">
        <v>8989</v>
      </c>
      <c r="AE12">
        <v>1216</v>
      </c>
      <c r="AF12">
        <v>2542</v>
      </c>
    </row>
    <row r="13" spans="1:32" x14ac:dyDescent="0.35">
      <c r="A13" t="s">
        <v>166</v>
      </c>
      <c r="B13">
        <v>63572</v>
      </c>
      <c r="C13">
        <v>123370</v>
      </c>
      <c r="D13">
        <v>50360</v>
      </c>
      <c r="E13">
        <v>38580</v>
      </c>
      <c r="F13">
        <v>51856</v>
      </c>
      <c r="G13">
        <v>46287</v>
      </c>
      <c r="H13">
        <v>445</v>
      </c>
      <c r="I13">
        <v>3545</v>
      </c>
      <c r="J13">
        <v>867</v>
      </c>
      <c r="K13">
        <v>1127</v>
      </c>
      <c r="L13">
        <v>8324</v>
      </c>
      <c r="M13">
        <v>19587</v>
      </c>
      <c r="N13">
        <v>0</v>
      </c>
      <c r="O13">
        <v>980</v>
      </c>
      <c r="P13">
        <v>19011</v>
      </c>
      <c r="Q13">
        <v>32088</v>
      </c>
      <c r="R13">
        <v>5577</v>
      </c>
      <c r="S13">
        <v>6561</v>
      </c>
      <c r="T13">
        <v>383</v>
      </c>
      <c r="U13">
        <v>5809</v>
      </c>
      <c r="V13">
        <v>1583</v>
      </c>
      <c r="W13">
        <v>400</v>
      </c>
      <c r="X13">
        <v>2739</v>
      </c>
      <c r="Y13">
        <v>4617</v>
      </c>
      <c r="Z13">
        <v>952</v>
      </c>
      <c r="AA13">
        <v>17403</v>
      </c>
      <c r="AB13">
        <v>1485</v>
      </c>
      <c r="AC13">
        <v>8592</v>
      </c>
      <c r="AD13">
        <v>8852</v>
      </c>
      <c r="AE13">
        <v>1719</v>
      </c>
      <c r="AF13">
        <v>3778</v>
      </c>
    </row>
    <row r="14" spans="1:32" x14ac:dyDescent="0.35">
      <c r="A14" t="s">
        <v>137</v>
      </c>
      <c r="B14">
        <v>53658</v>
      </c>
      <c r="C14">
        <v>116310</v>
      </c>
      <c r="D14">
        <v>54336</v>
      </c>
      <c r="E14">
        <v>54938</v>
      </c>
      <c r="F14">
        <v>62155</v>
      </c>
      <c r="G14">
        <v>43588</v>
      </c>
      <c r="H14">
        <v>919</v>
      </c>
      <c r="I14">
        <v>4667</v>
      </c>
      <c r="J14">
        <v>1169</v>
      </c>
      <c r="K14">
        <v>1292</v>
      </c>
      <c r="L14">
        <v>11014</v>
      </c>
      <c r="M14">
        <v>25142</v>
      </c>
      <c r="N14">
        <v>0</v>
      </c>
      <c r="O14">
        <v>3638</v>
      </c>
      <c r="P14">
        <v>30756</v>
      </c>
      <c r="Q14">
        <v>39579</v>
      </c>
      <c r="R14">
        <v>3373</v>
      </c>
      <c r="S14">
        <v>4473</v>
      </c>
      <c r="T14">
        <v>576</v>
      </c>
      <c r="U14">
        <v>7512</v>
      </c>
      <c r="V14">
        <v>3047</v>
      </c>
      <c r="W14">
        <v>1143</v>
      </c>
      <c r="X14">
        <v>4716</v>
      </c>
      <c r="Y14">
        <v>7009</v>
      </c>
      <c r="Z14">
        <v>1332</v>
      </c>
      <c r="AA14">
        <v>19956</v>
      </c>
      <c r="AB14">
        <v>1568</v>
      </c>
      <c r="AC14">
        <v>10943</v>
      </c>
      <c r="AD14">
        <v>9476</v>
      </c>
      <c r="AE14">
        <v>1378</v>
      </c>
      <c r="AF14">
        <v>2315</v>
      </c>
    </row>
    <row r="15" spans="1:32" x14ac:dyDescent="0.35">
      <c r="A15" t="s">
        <v>138</v>
      </c>
      <c r="B15">
        <v>49023</v>
      </c>
      <c r="C15">
        <v>111055</v>
      </c>
      <c r="D15">
        <v>50130</v>
      </c>
      <c r="E15">
        <v>49010</v>
      </c>
      <c r="F15">
        <v>69876</v>
      </c>
      <c r="G15">
        <v>47755</v>
      </c>
      <c r="H15">
        <v>481</v>
      </c>
      <c r="I15">
        <v>2896</v>
      </c>
      <c r="J15">
        <v>947</v>
      </c>
      <c r="K15">
        <v>878</v>
      </c>
      <c r="L15">
        <v>11051</v>
      </c>
      <c r="M15">
        <v>19948</v>
      </c>
      <c r="N15">
        <v>0</v>
      </c>
      <c r="O15">
        <v>3783</v>
      </c>
      <c r="P15">
        <v>28844</v>
      </c>
      <c r="Q15">
        <v>25636</v>
      </c>
      <c r="R15">
        <v>3006</v>
      </c>
      <c r="S15">
        <v>3489</v>
      </c>
      <c r="T15">
        <v>389</v>
      </c>
      <c r="U15">
        <v>6498</v>
      </c>
      <c r="V15">
        <v>2348</v>
      </c>
      <c r="W15">
        <v>3582</v>
      </c>
      <c r="X15">
        <v>4438</v>
      </c>
      <c r="Y15">
        <v>6593</v>
      </c>
      <c r="Z15">
        <v>1253</v>
      </c>
      <c r="AA15">
        <v>19882</v>
      </c>
      <c r="AB15">
        <v>1359</v>
      </c>
      <c r="AC15">
        <v>10465</v>
      </c>
      <c r="AD15">
        <v>11823</v>
      </c>
      <c r="AE15">
        <v>1030</v>
      </c>
      <c r="AF15">
        <v>1565</v>
      </c>
    </row>
    <row r="16" spans="1:32" x14ac:dyDescent="0.35">
      <c r="A16" t="s">
        <v>139</v>
      </c>
      <c r="B16">
        <v>26627</v>
      </c>
      <c r="C16">
        <v>61412</v>
      </c>
      <c r="D16">
        <v>26349</v>
      </c>
      <c r="E16">
        <v>23685</v>
      </c>
      <c r="F16">
        <v>31465</v>
      </c>
      <c r="G16">
        <v>20801</v>
      </c>
      <c r="H16">
        <v>131</v>
      </c>
      <c r="I16">
        <v>2670</v>
      </c>
      <c r="J16">
        <v>171</v>
      </c>
      <c r="K16">
        <v>281</v>
      </c>
      <c r="L16">
        <v>5082</v>
      </c>
      <c r="M16">
        <v>10411</v>
      </c>
      <c r="N16">
        <v>0</v>
      </c>
      <c r="O16">
        <v>1064</v>
      </c>
      <c r="P16">
        <v>14738</v>
      </c>
      <c r="Q16">
        <v>18665</v>
      </c>
      <c r="R16">
        <v>818</v>
      </c>
      <c r="S16">
        <v>2358</v>
      </c>
      <c r="T16">
        <v>346</v>
      </c>
      <c r="U16">
        <v>2101</v>
      </c>
      <c r="V16">
        <v>816</v>
      </c>
      <c r="W16">
        <v>460</v>
      </c>
      <c r="X16">
        <v>2256</v>
      </c>
      <c r="Y16">
        <v>3353</v>
      </c>
      <c r="Z16">
        <v>637</v>
      </c>
      <c r="AA16">
        <v>10664</v>
      </c>
      <c r="AB16">
        <v>785</v>
      </c>
      <c r="AC16">
        <v>4867</v>
      </c>
      <c r="AD16">
        <v>4991</v>
      </c>
      <c r="AE16">
        <v>821</v>
      </c>
      <c r="AF16">
        <v>1387</v>
      </c>
    </row>
    <row r="17" spans="1:32" x14ac:dyDescent="0.35">
      <c r="A17" t="s">
        <v>140</v>
      </c>
      <c r="B17">
        <v>42403</v>
      </c>
      <c r="C17">
        <v>88229</v>
      </c>
      <c r="D17">
        <v>42803</v>
      </c>
      <c r="E17">
        <v>43619</v>
      </c>
      <c r="F17">
        <v>36522</v>
      </c>
      <c r="G17">
        <v>26466</v>
      </c>
      <c r="H17">
        <v>212</v>
      </c>
      <c r="I17">
        <v>3713</v>
      </c>
      <c r="J17">
        <v>245</v>
      </c>
      <c r="K17">
        <v>320</v>
      </c>
      <c r="L17">
        <v>6466</v>
      </c>
      <c r="M17">
        <v>12757</v>
      </c>
      <c r="N17">
        <v>0</v>
      </c>
      <c r="O17">
        <v>1704</v>
      </c>
      <c r="P17">
        <v>13220</v>
      </c>
      <c r="Q17">
        <v>29605</v>
      </c>
      <c r="R17">
        <v>2358</v>
      </c>
      <c r="S17">
        <v>2299</v>
      </c>
      <c r="T17">
        <v>366</v>
      </c>
      <c r="U17">
        <v>5849</v>
      </c>
      <c r="V17">
        <v>1907</v>
      </c>
      <c r="W17">
        <v>1418</v>
      </c>
      <c r="X17">
        <v>4909</v>
      </c>
      <c r="Y17">
        <v>4822</v>
      </c>
      <c r="Z17">
        <v>916</v>
      </c>
      <c r="AA17">
        <v>14729</v>
      </c>
      <c r="AB17">
        <v>641</v>
      </c>
      <c r="AC17">
        <v>7065</v>
      </c>
      <c r="AD17">
        <v>4445</v>
      </c>
      <c r="AE17">
        <v>2001</v>
      </c>
      <c r="AF17">
        <v>2907</v>
      </c>
    </row>
    <row r="18" spans="1:32" x14ac:dyDescent="0.35">
      <c r="A18" t="s">
        <v>141</v>
      </c>
      <c r="B18">
        <v>15493</v>
      </c>
      <c r="C18">
        <v>30505</v>
      </c>
      <c r="D18">
        <v>8401</v>
      </c>
      <c r="E18">
        <v>13914</v>
      </c>
      <c r="F18">
        <v>12579</v>
      </c>
      <c r="G18">
        <v>9127</v>
      </c>
      <c r="H18">
        <v>339</v>
      </c>
      <c r="I18">
        <v>1189</v>
      </c>
      <c r="J18">
        <v>443</v>
      </c>
      <c r="K18">
        <v>559</v>
      </c>
      <c r="L18">
        <v>4472</v>
      </c>
      <c r="M18">
        <v>7706</v>
      </c>
      <c r="N18">
        <v>0</v>
      </c>
      <c r="O18">
        <v>1236</v>
      </c>
      <c r="P18">
        <v>9275</v>
      </c>
      <c r="Q18">
        <v>7626</v>
      </c>
      <c r="R18">
        <v>1361</v>
      </c>
      <c r="S18">
        <v>1423</v>
      </c>
      <c r="T18">
        <v>321</v>
      </c>
      <c r="U18">
        <v>2311</v>
      </c>
      <c r="V18">
        <v>1165</v>
      </c>
      <c r="W18">
        <v>3104</v>
      </c>
      <c r="X18">
        <v>5250</v>
      </c>
      <c r="Y18">
        <v>10431</v>
      </c>
      <c r="Z18">
        <v>2518</v>
      </c>
      <c r="AA18">
        <v>10920</v>
      </c>
      <c r="AB18">
        <v>915</v>
      </c>
      <c r="AC18">
        <v>7066</v>
      </c>
      <c r="AD18">
        <v>4304</v>
      </c>
      <c r="AE18">
        <v>3900</v>
      </c>
      <c r="AF18">
        <v>4634</v>
      </c>
    </row>
    <row r="19" spans="1:32" x14ac:dyDescent="0.35">
      <c r="A19" t="s">
        <v>142</v>
      </c>
      <c r="B19">
        <v>8069</v>
      </c>
      <c r="C19">
        <v>17937</v>
      </c>
      <c r="D19">
        <v>9424</v>
      </c>
      <c r="E19">
        <v>8238</v>
      </c>
      <c r="F19">
        <v>8777</v>
      </c>
      <c r="G19">
        <v>5887</v>
      </c>
      <c r="H19">
        <v>125</v>
      </c>
      <c r="I19">
        <v>588</v>
      </c>
      <c r="J19">
        <v>448</v>
      </c>
      <c r="K19">
        <v>699</v>
      </c>
      <c r="L19">
        <v>3095</v>
      </c>
      <c r="M19">
        <v>6109</v>
      </c>
      <c r="N19">
        <v>0</v>
      </c>
      <c r="O19">
        <v>937</v>
      </c>
      <c r="P19">
        <v>4320</v>
      </c>
      <c r="Q19">
        <v>3851</v>
      </c>
      <c r="R19">
        <v>1293</v>
      </c>
      <c r="S19">
        <v>1352</v>
      </c>
      <c r="T19">
        <v>0</v>
      </c>
      <c r="U19">
        <v>1955</v>
      </c>
      <c r="V19">
        <v>503</v>
      </c>
      <c r="W19">
        <v>2454</v>
      </c>
      <c r="X19">
        <v>10846</v>
      </c>
      <c r="Y19">
        <v>16058</v>
      </c>
      <c r="Z19">
        <v>2250</v>
      </c>
      <c r="AA19">
        <v>5860</v>
      </c>
      <c r="AB19">
        <v>528</v>
      </c>
      <c r="AC19">
        <v>2637</v>
      </c>
      <c r="AD19">
        <v>4112</v>
      </c>
      <c r="AE19">
        <v>970</v>
      </c>
      <c r="AF19">
        <v>1326</v>
      </c>
    </row>
    <row r="20" spans="1:32" x14ac:dyDescent="0.35">
      <c r="A20" t="s">
        <v>143</v>
      </c>
      <c r="B20">
        <v>15404</v>
      </c>
      <c r="C20">
        <v>31266</v>
      </c>
      <c r="D20">
        <v>15264</v>
      </c>
      <c r="E20">
        <v>13836</v>
      </c>
      <c r="F20">
        <v>17013</v>
      </c>
      <c r="G20">
        <v>11297</v>
      </c>
      <c r="H20">
        <v>251</v>
      </c>
      <c r="I20">
        <v>1151</v>
      </c>
      <c r="J20">
        <v>669</v>
      </c>
      <c r="K20">
        <v>937</v>
      </c>
      <c r="L20">
        <v>5349</v>
      </c>
      <c r="M20">
        <v>9533</v>
      </c>
      <c r="N20">
        <v>0</v>
      </c>
      <c r="O20">
        <v>1407</v>
      </c>
      <c r="P20">
        <v>6634</v>
      </c>
      <c r="Q20">
        <v>6116</v>
      </c>
      <c r="R20">
        <v>2476</v>
      </c>
      <c r="S20">
        <v>2581</v>
      </c>
      <c r="T20">
        <v>195</v>
      </c>
      <c r="U20">
        <v>2638</v>
      </c>
      <c r="V20">
        <v>759</v>
      </c>
      <c r="W20">
        <v>5323</v>
      </c>
      <c r="X20">
        <v>17001</v>
      </c>
      <c r="Y20">
        <v>19560</v>
      </c>
      <c r="Z20">
        <v>3562</v>
      </c>
      <c r="AA20">
        <v>8340</v>
      </c>
      <c r="AB20">
        <v>867</v>
      </c>
      <c r="AC20">
        <v>4748</v>
      </c>
      <c r="AD20">
        <v>4317</v>
      </c>
      <c r="AE20">
        <v>906</v>
      </c>
      <c r="AF20">
        <v>1238</v>
      </c>
    </row>
    <row r="21" spans="1:32" x14ac:dyDescent="0.35">
      <c r="A21" t="s">
        <v>144</v>
      </c>
      <c r="B21">
        <v>10081</v>
      </c>
      <c r="C21">
        <v>20487</v>
      </c>
      <c r="D21">
        <v>15928</v>
      </c>
      <c r="E21">
        <v>10058</v>
      </c>
      <c r="F21">
        <v>9473</v>
      </c>
      <c r="G21">
        <v>7170</v>
      </c>
      <c r="H21">
        <v>157</v>
      </c>
      <c r="I21">
        <v>638</v>
      </c>
      <c r="J21">
        <v>550</v>
      </c>
      <c r="K21">
        <v>500</v>
      </c>
      <c r="L21">
        <v>3580</v>
      </c>
      <c r="M21">
        <v>7944</v>
      </c>
      <c r="N21">
        <v>0</v>
      </c>
      <c r="O21">
        <v>0</v>
      </c>
      <c r="P21">
        <v>2572</v>
      </c>
      <c r="Q21">
        <v>4178</v>
      </c>
      <c r="R21">
        <v>1576</v>
      </c>
      <c r="S21">
        <v>1335</v>
      </c>
      <c r="T21">
        <v>263</v>
      </c>
      <c r="U21">
        <v>1794</v>
      </c>
      <c r="V21">
        <v>725</v>
      </c>
      <c r="W21">
        <v>596</v>
      </c>
      <c r="X21">
        <v>9662</v>
      </c>
      <c r="Y21">
        <v>9684</v>
      </c>
      <c r="Z21">
        <v>4468</v>
      </c>
      <c r="AA21">
        <v>7652</v>
      </c>
      <c r="AB21">
        <v>928</v>
      </c>
      <c r="AC21">
        <v>2813</v>
      </c>
      <c r="AD21">
        <v>3754</v>
      </c>
      <c r="AE21">
        <v>1500</v>
      </c>
      <c r="AF21">
        <v>1840</v>
      </c>
    </row>
    <row r="22" spans="1:32" x14ac:dyDescent="0.35">
      <c r="A22" t="s">
        <v>145</v>
      </c>
      <c r="B22">
        <v>12460</v>
      </c>
      <c r="C22">
        <v>28228</v>
      </c>
      <c r="D22">
        <v>13968</v>
      </c>
      <c r="E22">
        <v>12921</v>
      </c>
      <c r="F22">
        <v>10892</v>
      </c>
      <c r="G22">
        <v>8615</v>
      </c>
      <c r="H22">
        <v>131</v>
      </c>
      <c r="I22">
        <v>711</v>
      </c>
      <c r="J22">
        <v>428</v>
      </c>
      <c r="K22">
        <v>406</v>
      </c>
      <c r="L22">
        <v>4345</v>
      </c>
      <c r="M22">
        <v>6971</v>
      </c>
      <c r="N22">
        <v>0</v>
      </c>
      <c r="O22">
        <v>0</v>
      </c>
      <c r="P22">
        <v>2899</v>
      </c>
      <c r="Q22">
        <v>4994</v>
      </c>
      <c r="R22">
        <v>2256</v>
      </c>
      <c r="S22">
        <v>2154</v>
      </c>
      <c r="T22">
        <v>306</v>
      </c>
      <c r="U22">
        <v>2351</v>
      </c>
      <c r="V22">
        <v>806</v>
      </c>
      <c r="W22">
        <v>504</v>
      </c>
      <c r="X22">
        <v>3100</v>
      </c>
      <c r="Y22">
        <v>4492</v>
      </c>
      <c r="Z22">
        <v>2169</v>
      </c>
      <c r="AA22">
        <v>7018</v>
      </c>
      <c r="AB22">
        <v>649</v>
      </c>
      <c r="AC22">
        <v>3765</v>
      </c>
      <c r="AD22">
        <v>6386</v>
      </c>
      <c r="AE22">
        <v>2355</v>
      </c>
      <c r="AF22">
        <v>3217</v>
      </c>
    </row>
    <row r="23" spans="1:32" x14ac:dyDescent="0.35">
      <c r="A23" t="s">
        <v>92</v>
      </c>
      <c r="B23">
        <v>51386</v>
      </c>
      <c r="C23">
        <v>97543</v>
      </c>
      <c r="D23">
        <v>43030</v>
      </c>
      <c r="E23">
        <v>44598</v>
      </c>
      <c r="F23">
        <v>43815</v>
      </c>
      <c r="G23">
        <v>29892</v>
      </c>
      <c r="H23">
        <v>707</v>
      </c>
      <c r="I23">
        <v>4551</v>
      </c>
      <c r="J23">
        <v>1029</v>
      </c>
      <c r="K23">
        <v>1384</v>
      </c>
      <c r="L23">
        <v>15417</v>
      </c>
      <c r="M23">
        <v>31280</v>
      </c>
      <c r="N23">
        <v>0</v>
      </c>
      <c r="O23">
        <v>3555</v>
      </c>
      <c r="P23">
        <v>27150</v>
      </c>
      <c r="Q23">
        <v>26540</v>
      </c>
      <c r="R23">
        <v>4186</v>
      </c>
      <c r="S23">
        <v>4245</v>
      </c>
      <c r="T23">
        <v>398</v>
      </c>
      <c r="U23">
        <v>6761</v>
      </c>
      <c r="V23">
        <v>2231</v>
      </c>
      <c r="W23">
        <v>8617</v>
      </c>
      <c r="X23">
        <v>14351</v>
      </c>
      <c r="Y23">
        <v>37815</v>
      </c>
      <c r="Z23">
        <v>6553</v>
      </c>
      <c r="AA23">
        <v>21286</v>
      </c>
      <c r="AB23">
        <v>1123</v>
      </c>
      <c r="AC23">
        <v>10343</v>
      </c>
      <c r="AD23">
        <v>13059</v>
      </c>
      <c r="AE23">
        <v>435</v>
      </c>
      <c r="AF23">
        <v>1191</v>
      </c>
    </row>
    <row r="24" spans="1:32" x14ac:dyDescent="0.35">
      <c r="A24" t="s">
        <v>93</v>
      </c>
      <c r="B24">
        <v>57402</v>
      </c>
      <c r="C24">
        <v>121688</v>
      </c>
      <c r="D24">
        <v>49805</v>
      </c>
      <c r="E24">
        <v>54434</v>
      </c>
      <c r="F24">
        <v>44936</v>
      </c>
      <c r="G24">
        <v>31248</v>
      </c>
      <c r="H24">
        <v>986</v>
      </c>
      <c r="I24">
        <v>6873</v>
      </c>
      <c r="J24">
        <v>945</v>
      </c>
      <c r="K24">
        <v>1401</v>
      </c>
      <c r="L24">
        <v>12806</v>
      </c>
      <c r="M24">
        <v>29339</v>
      </c>
      <c r="N24">
        <v>0</v>
      </c>
      <c r="O24">
        <v>4509</v>
      </c>
      <c r="P24">
        <v>26170</v>
      </c>
      <c r="Q24">
        <v>34335</v>
      </c>
      <c r="R24">
        <v>4989</v>
      </c>
      <c r="S24">
        <v>4601</v>
      </c>
      <c r="T24">
        <v>409</v>
      </c>
      <c r="U24">
        <v>5943</v>
      </c>
      <c r="V24">
        <v>2209</v>
      </c>
      <c r="W24">
        <v>977</v>
      </c>
      <c r="X24">
        <v>3701</v>
      </c>
      <c r="Y24">
        <v>7171</v>
      </c>
      <c r="Z24">
        <v>1015</v>
      </c>
      <c r="AA24">
        <v>29344</v>
      </c>
      <c r="AB24">
        <v>1558</v>
      </c>
      <c r="AC24">
        <v>15079</v>
      </c>
      <c r="AD24">
        <v>10396</v>
      </c>
      <c r="AE24">
        <v>671</v>
      </c>
      <c r="AF24">
        <v>1007</v>
      </c>
    </row>
    <row r="25" spans="1:32" x14ac:dyDescent="0.35">
      <c r="A25" t="s">
        <v>94</v>
      </c>
      <c r="B25">
        <v>71730</v>
      </c>
      <c r="C25">
        <v>152523</v>
      </c>
      <c r="D25">
        <v>72235</v>
      </c>
      <c r="E25">
        <v>70185</v>
      </c>
      <c r="F25">
        <v>126256</v>
      </c>
      <c r="G25">
        <v>72673</v>
      </c>
      <c r="H25">
        <v>1124</v>
      </c>
      <c r="I25">
        <v>8069</v>
      </c>
      <c r="J25">
        <v>1115</v>
      </c>
      <c r="K25">
        <v>543</v>
      </c>
      <c r="L25">
        <v>16162</v>
      </c>
      <c r="M25">
        <v>36446</v>
      </c>
      <c r="N25">
        <v>1015</v>
      </c>
      <c r="O25">
        <v>10125</v>
      </c>
      <c r="P25">
        <v>24932</v>
      </c>
      <c r="Q25">
        <v>46322</v>
      </c>
      <c r="R25">
        <v>7024</v>
      </c>
      <c r="S25">
        <v>5501</v>
      </c>
      <c r="T25">
        <v>430</v>
      </c>
      <c r="U25">
        <v>8458</v>
      </c>
      <c r="V25">
        <v>2542</v>
      </c>
      <c r="W25">
        <v>2067</v>
      </c>
      <c r="X25">
        <v>6602</v>
      </c>
      <c r="Y25">
        <v>9999</v>
      </c>
      <c r="Z25">
        <v>1455</v>
      </c>
      <c r="AA25">
        <v>33726</v>
      </c>
      <c r="AB25">
        <v>2507</v>
      </c>
      <c r="AC25">
        <v>14244</v>
      </c>
      <c r="AD25">
        <v>10140</v>
      </c>
      <c r="AE25">
        <v>331</v>
      </c>
      <c r="AF25">
        <v>562</v>
      </c>
    </row>
    <row r="26" spans="1:32" x14ac:dyDescent="0.35">
      <c r="A26" t="s">
        <v>95</v>
      </c>
      <c r="B26">
        <v>37595</v>
      </c>
      <c r="C26">
        <v>69793</v>
      </c>
      <c r="D26">
        <v>31688</v>
      </c>
      <c r="E26">
        <v>34064</v>
      </c>
      <c r="F26">
        <v>35603</v>
      </c>
      <c r="G26">
        <v>24008</v>
      </c>
      <c r="H26">
        <v>970</v>
      </c>
      <c r="I26">
        <v>6766</v>
      </c>
      <c r="J26">
        <v>1106</v>
      </c>
      <c r="K26">
        <v>317</v>
      </c>
      <c r="L26">
        <v>6797</v>
      </c>
      <c r="M26">
        <v>13873</v>
      </c>
      <c r="N26">
        <v>0</v>
      </c>
      <c r="O26">
        <v>1124</v>
      </c>
      <c r="P26">
        <v>21407</v>
      </c>
      <c r="Q26">
        <v>27989</v>
      </c>
      <c r="R26">
        <v>2521</v>
      </c>
      <c r="S26">
        <v>2687</v>
      </c>
      <c r="T26">
        <v>291</v>
      </c>
      <c r="U26">
        <v>4638</v>
      </c>
      <c r="V26">
        <v>1565</v>
      </c>
      <c r="W26">
        <v>1664</v>
      </c>
      <c r="X26">
        <v>3381</v>
      </c>
      <c r="Y26">
        <v>13600</v>
      </c>
      <c r="Z26">
        <v>3573</v>
      </c>
      <c r="AA26">
        <v>11393</v>
      </c>
      <c r="AB26">
        <v>524</v>
      </c>
      <c r="AC26">
        <v>5907</v>
      </c>
      <c r="AD26">
        <v>7474</v>
      </c>
      <c r="AE26">
        <v>382</v>
      </c>
      <c r="AF26">
        <v>1433</v>
      </c>
    </row>
    <row r="27" spans="1:32" x14ac:dyDescent="0.35">
      <c r="A27" t="s">
        <v>96</v>
      </c>
      <c r="B27">
        <v>51416</v>
      </c>
      <c r="C27">
        <v>93796</v>
      </c>
      <c r="D27">
        <v>39452</v>
      </c>
      <c r="E27">
        <v>44059</v>
      </c>
      <c r="F27">
        <v>40419</v>
      </c>
      <c r="G27">
        <v>30415</v>
      </c>
      <c r="H27">
        <v>848</v>
      </c>
      <c r="I27">
        <v>5488</v>
      </c>
      <c r="J27">
        <v>802</v>
      </c>
      <c r="K27">
        <v>630</v>
      </c>
      <c r="L27">
        <v>8591</v>
      </c>
      <c r="M27">
        <v>18133</v>
      </c>
      <c r="N27">
        <v>0</v>
      </c>
      <c r="O27">
        <v>15183</v>
      </c>
      <c r="P27">
        <v>22030</v>
      </c>
      <c r="Q27">
        <v>25103</v>
      </c>
      <c r="R27">
        <v>4120</v>
      </c>
      <c r="S27">
        <v>2975</v>
      </c>
      <c r="T27">
        <v>0</v>
      </c>
      <c r="U27">
        <v>5655</v>
      </c>
      <c r="V27">
        <v>1463</v>
      </c>
      <c r="W27">
        <v>1514</v>
      </c>
      <c r="X27">
        <v>5674</v>
      </c>
      <c r="Y27">
        <v>4964</v>
      </c>
      <c r="Z27">
        <v>816</v>
      </c>
      <c r="AA27">
        <v>18020</v>
      </c>
      <c r="AB27">
        <v>442</v>
      </c>
      <c r="AC27">
        <v>8534</v>
      </c>
      <c r="AD27">
        <v>7836</v>
      </c>
      <c r="AE27">
        <v>1201</v>
      </c>
      <c r="AF27">
        <v>1965</v>
      </c>
    </row>
    <row r="28" spans="1:32" x14ac:dyDescent="0.35">
      <c r="A28" t="s">
        <v>97</v>
      </c>
      <c r="B28">
        <v>36436</v>
      </c>
      <c r="C28">
        <v>69726</v>
      </c>
      <c r="D28">
        <v>29614</v>
      </c>
      <c r="E28">
        <v>31648</v>
      </c>
      <c r="F28">
        <v>31328</v>
      </c>
      <c r="G28">
        <v>21453</v>
      </c>
      <c r="H28">
        <v>613</v>
      </c>
      <c r="I28">
        <v>3936</v>
      </c>
      <c r="J28">
        <v>1258</v>
      </c>
      <c r="K28">
        <v>245</v>
      </c>
      <c r="L28">
        <v>6387</v>
      </c>
      <c r="M28">
        <v>15540</v>
      </c>
      <c r="N28">
        <v>0</v>
      </c>
      <c r="O28">
        <v>1396</v>
      </c>
      <c r="P28">
        <v>14532</v>
      </c>
      <c r="Q28">
        <v>18828</v>
      </c>
      <c r="R28">
        <v>3805</v>
      </c>
      <c r="S28">
        <v>3734</v>
      </c>
      <c r="T28">
        <v>301</v>
      </c>
      <c r="U28">
        <v>3690</v>
      </c>
      <c r="V28">
        <v>1103</v>
      </c>
      <c r="W28">
        <v>5142</v>
      </c>
      <c r="X28">
        <v>10814</v>
      </c>
      <c r="Y28">
        <v>15831</v>
      </c>
      <c r="Z28">
        <v>658</v>
      </c>
      <c r="AA28">
        <v>15968</v>
      </c>
      <c r="AB28">
        <v>1044</v>
      </c>
      <c r="AC28">
        <v>8154</v>
      </c>
      <c r="AD28">
        <v>8877</v>
      </c>
      <c r="AE28">
        <v>174</v>
      </c>
      <c r="AF28">
        <v>349</v>
      </c>
    </row>
    <row r="29" spans="1:32" x14ac:dyDescent="0.35">
      <c r="A29" t="s">
        <v>98</v>
      </c>
      <c r="B29">
        <v>32427</v>
      </c>
      <c r="C29">
        <v>68130</v>
      </c>
      <c r="D29">
        <v>23887</v>
      </c>
      <c r="E29">
        <v>24435</v>
      </c>
      <c r="F29">
        <v>35457</v>
      </c>
      <c r="G29">
        <v>38769</v>
      </c>
      <c r="H29">
        <v>390</v>
      </c>
      <c r="I29">
        <v>2761</v>
      </c>
      <c r="J29">
        <v>201</v>
      </c>
      <c r="K29">
        <v>290</v>
      </c>
      <c r="L29">
        <v>4818</v>
      </c>
      <c r="M29">
        <v>11038</v>
      </c>
      <c r="N29">
        <v>0</v>
      </c>
      <c r="O29">
        <v>1030</v>
      </c>
      <c r="P29">
        <v>19417</v>
      </c>
      <c r="Q29">
        <v>32874</v>
      </c>
      <c r="R29">
        <v>2062</v>
      </c>
      <c r="S29">
        <v>2146</v>
      </c>
      <c r="T29">
        <v>0</v>
      </c>
      <c r="U29">
        <v>4215</v>
      </c>
      <c r="V29">
        <v>662</v>
      </c>
      <c r="W29">
        <v>473</v>
      </c>
      <c r="X29">
        <v>1996</v>
      </c>
      <c r="Y29">
        <v>3737</v>
      </c>
      <c r="Z29">
        <v>626</v>
      </c>
      <c r="AA29">
        <v>16752</v>
      </c>
      <c r="AB29">
        <v>1232</v>
      </c>
      <c r="AC29">
        <v>8974</v>
      </c>
      <c r="AD29">
        <v>5545</v>
      </c>
      <c r="AE29">
        <v>194</v>
      </c>
      <c r="AF29">
        <v>529</v>
      </c>
    </row>
    <row r="30" spans="1:32" x14ac:dyDescent="0.35">
      <c r="A30" t="s">
        <v>99</v>
      </c>
      <c r="B30">
        <v>80226</v>
      </c>
      <c r="C30">
        <v>151799</v>
      </c>
      <c r="D30">
        <v>64342</v>
      </c>
      <c r="E30">
        <v>71396</v>
      </c>
      <c r="F30">
        <v>64606</v>
      </c>
      <c r="G30">
        <v>49549</v>
      </c>
      <c r="H30">
        <v>1485</v>
      </c>
      <c r="I30">
        <v>10524</v>
      </c>
      <c r="J30">
        <v>1218</v>
      </c>
      <c r="K30">
        <v>1267</v>
      </c>
      <c r="L30">
        <v>12357</v>
      </c>
      <c r="M30">
        <v>28973</v>
      </c>
      <c r="N30">
        <v>899</v>
      </c>
      <c r="O30">
        <v>3715</v>
      </c>
      <c r="P30">
        <v>35907</v>
      </c>
      <c r="Q30">
        <v>48974</v>
      </c>
      <c r="R30">
        <v>8627</v>
      </c>
      <c r="S30">
        <v>4911</v>
      </c>
      <c r="T30">
        <v>312</v>
      </c>
      <c r="U30">
        <v>11789</v>
      </c>
      <c r="V30">
        <v>7456</v>
      </c>
      <c r="W30">
        <v>4843</v>
      </c>
      <c r="X30">
        <v>16580</v>
      </c>
      <c r="Y30">
        <v>32634</v>
      </c>
      <c r="Z30">
        <v>5149</v>
      </c>
      <c r="AA30">
        <v>34213</v>
      </c>
      <c r="AB30">
        <v>2392</v>
      </c>
      <c r="AC30">
        <v>16339</v>
      </c>
      <c r="AD30">
        <v>15109</v>
      </c>
      <c r="AE30">
        <v>427</v>
      </c>
      <c r="AF30">
        <v>619</v>
      </c>
    </row>
    <row r="31" spans="1:32" x14ac:dyDescent="0.35">
      <c r="A31" t="s">
        <v>100</v>
      </c>
      <c r="B31">
        <v>46826</v>
      </c>
      <c r="C31">
        <v>95075</v>
      </c>
      <c r="D31">
        <v>41333</v>
      </c>
      <c r="E31">
        <v>55697</v>
      </c>
      <c r="F31">
        <v>28089</v>
      </c>
      <c r="G31">
        <v>20718</v>
      </c>
      <c r="H31">
        <v>929</v>
      </c>
      <c r="I31">
        <v>6105</v>
      </c>
      <c r="J31">
        <v>268</v>
      </c>
      <c r="K31">
        <v>282</v>
      </c>
      <c r="L31">
        <v>8102</v>
      </c>
      <c r="M31">
        <v>20263</v>
      </c>
      <c r="N31">
        <v>0</v>
      </c>
      <c r="O31">
        <v>1744</v>
      </c>
      <c r="P31">
        <v>18674</v>
      </c>
      <c r="Q31">
        <v>29068</v>
      </c>
      <c r="R31">
        <v>2457</v>
      </c>
      <c r="S31">
        <v>3338</v>
      </c>
      <c r="T31">
        <v>0</v>
      </c>
      <c r="U31">
        <v>3440</v>
      </c>
      <c r="V31">
        <v>802</v>
      </c>
      <c r="W31">
        <v>572</v>
      </c>
      <c r="X31">
        <v>2418</v>
      </c>
      <c r="Y31">
        <v>4527</v>
      </c>
      <c r="Z31">
        <v>744</v>
      </c>
      <c r="AA31">
        <v>13087</v>
      </c>
      <c r="AB31">
        <v>973</v>
      </c>
      <c r="AC31">
        <v>6277</v>
      </c>
      <c r="AD31">
        <v>4349</v>
      </c>
      <c r="AE31">
        <v>190</v>
      </c>
      <c r="AF31">
        <v>382</v>
      </c>
    </row>
    <row r="32" spans="1:32" x14ac:dyDescent="0.35">
      <c r="A32" t="s">
        <v>101</v>
      </c>
      <c r="B32">
        <v>44237</v>
      </c>
      <c r="C32">
        <v>105457</v>
      </c>
      <c r="D32">
        <v>58254</v>
      </c>
      <c r="E32">
        <v>56041</v>
      </c>
      <c r="F32">
        <v>52279</v>
      </c>
      <c r="G32">
        <v>36185</v>
      </c>
      <c r="H32">
        <v>454</v>
      </c>
      <c r="I32">
        <v>3922</v>
      </c>
      <c r="J32">
        <v>690</v>
      </c>
      <c r="K32">
        <v>312</v>
      </c>
      <c r="L32">
        <v>9523</v>
      </c>
      <c r="M32">
        <v>18746</v>
      </c>
      <c r="N32">
        <v>0</v>
      </c>
      <c r="O32">
        <v>2683</v>
      </c>
      <c r="P32">
        <v>12002</v>
      </c>
      <c r="Q32">
        <v>19499</v>
      </c>
      <c r="R32">
        <v>2469</v>
      </c>
      <c r="S32">
        <v>2576</v>
      </c>
      <c r="T32">
        <v>440</v>
      </c>
      <c r="U32">
        <v>3428</v>
      </c>
      <c r="V32">
        <v>1325</v>
      </c>
      <c r="W32">
        <v>645</v>
      </c>
      <c r="X32">
        <v>3290</v>
      </c>
      <c r="Y32">
        <v>5342</v>
      </c>
      <c r="Z32">
        <v>837</v>
      </c>
      <c r="AA32">
        <v>15651</v>
      </c>
      <c r="AB32">
        <v>454</v>
      </c>
      <c r="AC32">
        <v>7392</v>
      </c>
      <c r="AD32">
        <v>6139</v>
      </c>
      <c r="AE32">
        <v>558</v>
      </c>
      <c r="AF32">
        <v>822</v>
      </c>
    </row>
    <row r="33" spans="1:32" x14ac:dyDescent="0.35">
      <c r="A33" t="s">
        <v>102</v>
      </c>
      <c r="B33">
        <v>72170</v>
      </c>
      <c r="C33">
        <v>150334</v>
      </c>
      <c r="D33">
        <v>68329</v>
      </c>
      <c r="E33">
        <v>67393</v>
      </c>
      <c r="F33">
        <v>90518</v>
      </c>
      <c r="G33">
        <v>66204</v>
      </c>
      <c r="H33">
        <v>683</v>
      </c>
      <c r="I33">
        <v>7901</v>
      </c>
      <c r="J33">
        <v>679</v>
      </c>
      <c r="K33">
        <v>1129</v>
      </c>
      <c r="L33">
        <v>17959</v>
      </c>
      <c r="M33">
        <v>51516</v>
      </c>
      <c r="N33">
        <v>1057</v>
      </c>
      <c r="O33">
        <v>1675</v>
      </c>
      <c r="P33">
        <v>31499</v>
      </c>
      <c r="Q33">
        <v>39897</v>
      </c>
      <c r="R33">
        <v>3632</v>
      </c>
      <c r="S33">
        <v>3739</v>
      </c>
      <c r="T33">
        <v>510</v>
      </c>
      <c r="U33">
        <v>8904</v>
      </c>
      <c r="V33">
        <v>3381</v>
      </c>
      <c r="W33">
        <v>1667</v>
      </c>
      <c r="X33">
        <v>8040</v>
      </c>
      <c r="Y33">
        <v>21056</v>
      </c>
      <c r="Z33">
        <v>1387</v>
      </c>
      <c r="AA33">
        <v>26533</v>
      </c>
      <c r="AB33">
        <v>1761</v>
      </c>
      <c r="AC33">
        <v>11092</v>
      </c>
      <c r="AD33">
        <v>8844</v>
      </c>
      <c r="AE33">
        <v>935</v>
      </c>
      <c r="AF33">
        <v>1484</v>
      </c>
    </row>
    <row r="34" spans="1:32" x14ac:dyDescent="0.35">
      <c r="A34" t="s">
        <v>103</v>
      </c>
      <c r="B34">
        <v>61724</v>
      </c>
      <c r="C34">
        <v>128838</v>
      </c>
      <c r="D34">
        <v>59040</v>
      </c>
      <c r="E34">
        <v>60652</v>
      </c>
      <c r="F34">
        <v>74616</v>
      </c>
      <c r="G34">
        <v>52618</v>
      </c>
      <c r="H34">
        <v>625</v>
      </c>
      <c r="I34">
        <v>6505</v>
      </c>
      <c r="J34">
        <v>1017</v>
      </c>
      <c r="K34">
        <v>1387</v>
      </c>
      <c r="L34">
        <v>14394</v>
      </c>
      <c r="M34">
        <v>38391</v>
      </c>
      <c r="N34">
        <v>0</v>
      </c>
      <c r="O34">
        <v>1465</v>
      </c>
      <c r="P34">
        <v>30174</v>
      </c>
      <c r="Q34">
        <v>38245</v>
      </c>
      <c r="R34">
        <v>3365</v>
      </c>
      <c r="S34">
        <v>4340</v>
      </c>
      <c r="T34">
        <v>566</v>
      </c>
      <c r="U34">
        <v>9191</v>
      </c>
      <c r="V34">
        <v>3444</v>
      </c>
      <c r="W34">
        <v>2873</v>
      </c>
      <c r="X34">
        <v>9685</v>
      </c>
      <c r="Y34">
        <v>19495</v>
      </c>
      <c r="Z34">
        <v>1212</v>
      </c>
      <c r="AA34">
        <v>22429</v>
      </c>
      <c r="AB34">
        <v>2089</v>
      </c>
      <c r="AC34">
        <v>10785</v>
      </c>
      <c r="AD34">
        <v>9198</v>
      </c>
      <c r="AE34">
        <v>2107</v>
      </c>
      <c r="AF34">
        <v>3164</v>
      </c>
    </row>
    <row r="35" spans="1:32" x14ac:dyDescent="0.35">
      <c r="A35" t="s">
        <v>104</v>
      </c>
      <c r="B35">
        <v>93137</v>
      </c>
      <c r="C35">
        <v>204746</v>
      </c>
      <c r="D35">
        <v>89437</v>
      </c>
      <c r="E35">
        <v>87590</v>
      </c>
      <c r="F35">
        <v>133879</v>
      </c>
      <c r="G35">
        <v>95051</v>
      </c>
      <c r="H35">
        <v>835</v>
      </c>
      <c r="I35">
        <v>8231</v>
      </c>
      <c r="J35">
        <v>1033</v>
      </c>
      <c r="K35">
        <v>1535</v>
      </c>
      <c r="L35">
        <v>26195</v>
      </c>
      <c r="M35">
        <v>65835</v>
      </c>
      <c r="N35">
        <v>1055</v>
      </c>
      <c r="O35">
        <v>2842</v>
      </c>
      <c r="P35">
        <v>38396</v>
      </c>
      <c r="Q35">
        <v>53314</v>
      </c>
      <c r="R35">
        <v>4510</v>
      </c>
      <c r="S35">
        <v>4061</v>
      </c>
      <c r="T35">
        <v>486</v>
      </c>
      <c r="U35">
        <v>12080</v>
      </c>
      <c r="V35">
        <v>4831</v>
      </c>
      <c r="W35">
        <v>3204</v>
      </c>
      <c r="X35">
        <v>9811</v>
      </c>
      <c r="Y35">
        <v>21539</v>
      </c>
      <c r="Z35">
        <v>1865</v>
      </c>
      <c r="AA35">
        <v>36713</v>
      </c>
      <c r="AB35">
        <v>2658</v>
      </c>
      <c r="AC35">
        <v>15976</v>
      </c>
      <c r="AD35">
        <v>14639</v>
      </c>
      <c r="AE35">
        <v>1593</v>
      </c>
      <c r="AF35">
        <v>2209</v>
      </c>
    </row>
    <row r="36" spans="1:32" x14ac:dyDescent="0.35">
      <c r="A36" t="s">
        <v>105</v>
      </c>
      <c r="B36">
        <v>30012</v>
      </c>
      <c r="C36">
        <v>68640</v>
      </c>
      <c r="D36">
        <v>36629</v>
      </c>
      <c r="E36">
        <v>35689</v>
      </c>
      <c r="F36">
        <v>34469</v>
      </c>
      <c r="G36">
        <v>25149</v>
      </c>
      <c r="H36">
        <v>300</v>
      </c>
      <c r="I36">
        <v>2970</v>
      </c>
      <c r="J36">
        <v>350</v>
      </c>
      <c r="K36">
        <v>647</v>
      </c>
      <c r="L36">
        <v>4704</v>
      </c>
      <c r="M36">
        <v>13565</v>
      </c>
      <c r="N36">
        <v>0</v>
      </c>
      <c r="O36">
        <v>1291</v>
      </c>
      <c r="P36">
        <v>10653</v>
      </c>
      <c r="Q36">
        <v>17657</v>
      </c>
      <c r="R36">
        <v>1361</v>
      </c>
      <c r="S36">
        <v>1178</v>
      </c>
      <c r="T36">
        <v>0</v>
      </c>
      <c r="U36">
        <v>2936</v>
      </c>
      <c r="V36">
        <v>1210</v>
      </c>
      <c r="W36">
        <v>444</v>
      </c>
      <c r="X36">
        <v>1871</v>
      </c>
      <c r="Y36">
        <v>6010</v>
      </c>
      <c r="Z36">
        <v>584</v>
      </c>
      <c r="AA36">
        <v>10674</v>
      </c>
      <c r="AB36">
        <v>788</v>
      </c>
      <c r="AC36">
        <v>5354</v>
      </c>
      <c r="AD36">
        <v>4651</v>
      </c>
      <c r="AE36">
        <v>675</v>
      </c>
      <c r="AF36">
        <v>1455</v>
      </c>
    </row>
    <row r="37" spans="1:32" x14ac:dyDescent="0.35">
      <c r="A37" t="s">
        <v>146</v>
      </c>
      <c r="B37">
        <v>21812</v>
      </c>
      <c r="C37">
        <v>43337</v>
      </c>
      <c r="D37">
        <v>21054</v>
      </c>
      <c r="E37">
        <v>21132</v>
      </c>
      <c r="F37">
        <v>16864</v>
      </c>
      <c r="G37">
        <v>11536</v>
      </c>
      <c r="H37">
        <v>330</v>
      </c>
      <c r="I37">
        <v>1649</v>
      </c>
      <c r="J37">
        <v>377</v>
      </c>
      <c r="K37">
        <v>518</v>
      </c>
      <c r="L37">
        <v>5143</v>
      </c>
      <c r="M37">
        <v>9076</v>
      </c>
      <c r="N37">
        <v>0</v>
      </c>
      <c r="O37">
        <v>1134</v>
      </c>
      <c r="P37">
        <v>7048</v>
      </c>
      <c r="Q37">
        <v>6482</v>
      </c>
      <c r="R37">
        <v>1534</v>
      </c>
      <c r="S37">
        <v>1681</v>
      </c>
      <c r="T37">
        <v>265</v>
      </c>
      <c r="U37">
        <v>2396</v>
      </c>
      <c r="V37">
        <v>968</v>
      </c>
      <c r="W37">
        <v>663</v>
      </c>
      <c r="X37">
        <v>3648</v>
      </c>
      <c r="Y37">
        <v>3438</v>
      </c>
      <c r="Z37">
        <v>619</v>
      </c>
      <c r="AA37">
        <v>6663</v>
      </c>
      <c r="AB37">
        <v>638</v>
      </c>
      <c r="AC37">
        <v>3692</v>
      </c>
      <c r="AD37">
        <v>4181</v>
      </c>
      <c r="AE37">
        <v>1068</v>
      </c>
      <c r="AF37">
        <v>1459</v>
      </c>
    </row>
    <row r="38" spans="1:32" x14ac:dyDescent="0.35">
      <c r="A38" t="s">
        <v>147</v>
      </c>
      <c r="B38">
        <v>19079</v>
      </c>
      <c r="C38">
        <v>36855</v>
      </c>
      <c r="D38">
        <v>16819</v>
      </c>
      <c r="E38">
        <v>16392</v>
      </c>
      <c r="F38">
        <v>16611</v>
      </c>
      <c r="G38">
        <v>11317</v>
      </c>
      <c r="H38">
        <v>174</v>
      </c>
      <c r="I38">
        <v>916</v>
      </c>
      <c r="J38">
        <v>459</v>
      </c>
      <c r="K38">
        <v>721</v>
      </c>
      <c r="L38">
        <v>3537</v>
      </c>
      <c r="M38">
        <v>4557</v>
      </c>
      <c r="N38">
        <v>0</v>
      </c>
      <c r="O38">
        <v>1027</v>
      </c>
      <c r="P38">
        <v>7536</v>
      </c>
      <c r="Q38">
        <v>5628</v>
      </c>
      <c r="R38">
        <v>1720</v>
      </c>
      <c r="S38">
        <v>1994</v>
      </c>
      <c r="T38">
        <v>319</v>
      </c>
      <c r="U38">
        <v>1722</v>
      </c>
      <c r="V38">
        <v>618</v>
      </c>
      <c r="W38">
        <v>818</v>
      </c>
      <c r="X38">
        <v>2805</v>
      </c>
      <c r="Y38">
        <v>3454</v>
      </c>
      <c r="Z38">
        <v>624</v>
      </c>
      <c r="AA38">
        <v>7922</v>
      </c>
      <c r="AB38">
        <v>718</v>
      </c>
      <c r="AC38">
        <v>4202</v>
      </c>
      <c r="AD38">
        <v>4900</v>
      </c>
      <c r="AE38">
        <v>483</v>
      </c>
      <c r="AF38">
        <v>629</v>
      </c>
    </row>
    <row r="39" spans="1:32" x14ac:dyDescent="0.35">
      <c r="A39" t="s">
        <v>148</v>
      </c>
      <c r="B39">
        <v>33373</v>
      </c>
      <c r="C39">
        <v>65294</v>
      </c>
      <c r="D39">
        <v>31887</v>
      </c>
      <c r="E39">
        <v>33110</v>
      </c>
      <c r="F39">
        <v>29506</v>
      </c>
      <c r="G39">
        <v>19459</v>
      </c>
      <c r="H39">
        <v>533</v>
      </c>
      <c r="I39">
        <v>2904</v>
      </c>
      <c r="J39">
        <v>734</v>
      </c>
      <c r="K39">
        <v>1007</v>
      </c>
      <c r="L39">
        <v>9099</v>
      </c>
      <c r="M39">
        <v>15032</v>
      </c>
      <c r="N39">
        <v>0</v>
      </c>
      <c r="O39">
        <v>1341</v>
      </c>
      <c r="P39">
        <v>9720</v>
      </c>
      <c r="Q39">
        <v>13732</v>
      </c>
      <c r="R39">
        <v>2884</v>
      </c>
      <c r="S39">
        <v>3957</v>
      </c>
      <c r="T39">
        <v>263</v>
      </c>
      <c r="U39">
        <v>3991</v>
      </c>
      <c r="V39">
        <v>1236</v>
      </c>
      <c r="W39">
        <v>731</v>
      </c>
      <c r="X39">
        <v>6176</v>
      </c>
      <c r="Y39">
        <v>5234</v>
      </c>
      <c r="Z39">
        <v>753</v>
      </c>
      <c r="AA39">
        <v>12099</v>
      </c>
      <c r="AB39">
        <v>742</v>
      </c>
      <c r="AC39">
        <v>5944</v>
      </c>
      <c r="AD39">
        <v>9856</v>
      </c>
      <c r="AE39">
        <v>2659</v>
      </c>
      <c r="AF39">
        <v>3634</v>
      </c>
    </row>
    <row r="40" spans="1:32" x14ac:dyDescent="0.35">
      <c r="A40" t="s">
        <v>149</v>
      </c>
      <c r="B40">
        <v>41739</v>
      </c>
      <c r="C40">
        <v>78386</v>
      </c>
      <c r="D40">
        <v>33570</v>
      </c>
      <c r="E40">
        <v>36862</v>
      </c>
      <c r="F40">
        <v>28129</v>
      </c>
      <c r="G40">
        <v>19922</v>
      </c>
      <c r="H40">
        <v>499</v>
      </c>
      <c r="I40">
        <v>2616</v>
      </c>
      <c r="J40">
        <v>667</v>
      </c>
      <c r="K40">
        <v>1013</v>
      </c>
      <c r="L40">
        <v>8677</v>
      </c>
      <c r="M40">
        <v>13158</v>
      </c>
      <c r="N40">
        <v>0</v>
      </c>
      <c r="O40">
        <v>2969</v>
      </c>
      <c r="P40">
        <v>15986</v>
      </c>
      <c r="Q40">
        <v>15184</v>
      </c>
      <c r="R40">
        <v>2537</v>
      </c>
      <c r="S40">
        <v>2368</v>
      </c>
      <c r="T40">
        <v>633</v>
      </c>
      <c r="U40">
        <v>4877</v>
      </c>
      <c r="V40">
        <v>2068</v>
      </c>
      <c r="W40">
        <v>1174</v>
      </c>
      <c r="X40">
        <v>6185</v>
      </c>
      <c r="Y40">
        <v>7763</v>
      </c>
      <c r="Z40">
        <v>1487</v>
      </c>
      <c r="AA40">
        <v>11214</v>
      </c>
      <c r="AB40">
        <v>0</v>
      </c>
      <c r="AC40">
        <v>7928</v>
      </c>
      <c r="AD40">
        <v>8064</v>
      </c>
      <c r="AE40">
        <v>2197</v>
      </c>
      <c r="AF40">
        <v>2962</v>
      </c>
    </row>
    <row r="41" spans="1:32" x14ac:dyDescent="0.35">
      <c r="A41" t="s">
        <v>167</v>
      </c>
      <c r="B41">
        <v>59370</v>
      </c>
      <c r="C41">
        <v>88988</v>
      </c>
      <c r="D41">
        <v>33559</v>
      </c>
      <c r="E41">
        <v>33956</v>
      </c>
      <c r="F41">
        <v>54009</v>
      </c>
      <c r="G41">
        <v>51259</v>
      </c>
      <c r="H41">
        <v>536</v>
      </c>
      <c r="I41">
        <v>4046</v>
      </c>
      <c r="J41">
        <v>1094</v>
      </c>
      <c r="K41">
        <v>1534</v>
      </c>
      <c r="L41">
        <v>10818</v>
      </c>
      <c r="M41">
        <v>24230</v>
      </c>
      <c r="N41">
        <v>0</v>
      </c>
      <c r="O41">
        <v>2020</v>
      </c>
      <c r="P41">
        <v>27219</v>
      </c>
      <c r="Q41">
        <v>42556</v>
      </c>
      <c r="R41">
        <v>5430</v>
      </c>
      <c r="S41">
        <v>6181</v>
      </c>
      <c r="T41">
        <v>439</v>
      </c>
      <c r="U41">
        <v>8569</v>
      </c>
      <c r="V41">
        <v>2146</v>
      </c>
      <c r="W41">
        <v>397</v>
      </c>
      <c r="X41">
        <v>7079</v>
      </c>
      <c r="Y41">
        <v>8090</v>
      </c>
      <c r="Z41">
        <v>4341</v>
      </c>
      <c r="AA41">
        <v>19381</v>
      </c>
      <c r="AB41">
        <v>1702</v>
      </c>
      <c r="AC41">
        <v>9399</v>
      </c>
      <c r="AD41">
        <v>7512</v>
      </c>
      <c r="AE41">
        <v>2535</v>
      </c>
      <c r="AF41">
        <v>3994</v>
      </c>
    </row>
    <row r="42" spans="1:32" x14ac:dyDescent="0.35">
      <c r="A42" t="s">
        <v>168</v>
      </c>
      <c r="B42">
        <v>46653</v>
      </c>
      <c r="C42">
        <v>68445</v>
      </c>
      <c r="D42">
        <v>25535</v>
      </c>
      <c r="E42">
        <v>23904</v>
      </c>
      <c r="F42">
        <v>39522</v>
      </c>
      <c r="G42">
        <v>41601</v>
      </c>
      <c r="H42">
        <v>409</v>
      </c>
      <c r="I42">
        <v>3311</v>
      </c>
      <c r="J42">
        <v>601</v>
      </c>
      <c r="K42">
        <v>851</v>
      </c>
      <c r="L42">
        <v>7902</v>
      </c>
      <c r="M42">
        <v>24039</v>
      </c>
      <c r="N42">
        <v>0</v>
      </c>
      <c r="O42">
        <v>4159</v>
      </c>
      <c r="P42">
        <v>16907</v>
      </c>
      <c r="Q42">
        <v>33035</v>
      </c>
      <c r="R42">
        <v>3656</v>
      </c>
      <c r="S42">
        <v>3349</v>
      </c>
      <c r="T42">
        <v>280</v>
      </c>
      <c r="U42">
        <v>7458</v>
      </c>
      <c r="V42">
        <v>1675</v>
      </c>
      <c r="W42">
        <v>322</v>
      </c>
      <c r="X42">
        <v>11330</v>
      </c>
      <c r="Y42">
        <v>11484</v>
      </c>
      <c r="Z42">
        <v>10293</v>
      </c>
      <c r="AA42">
        <v>15707</v>
      </c>
      <c r="AB42">
        <v>1433</v>
      </c>
      <c r="AC42">
        <v>7250</v>
      </c>
      <c r="AD42">
        <v>6241</v>
      </c>
      <c r="AE42">
        <v>3869</v>
      </c>
      <c r="AF42">
        <v>5453</v>
      </c>
    </row>
    <row r="43" spans="1:32" x14ac:dyDescent="0.35">
      <c r="A43" t="s">
        <v>169</v>
      </c>
      <c r="B43">
        <v>61657</v>
      </c>
      <c r="C43">
        <v>107682</v>
      </c>
      <c r="D43">
        <v>40005</v>
      </c>
      <c r="E43">
        <v>38966</v>
      </c>
      <c r="F43">
        <v>47722</v>
      </c>
      <c r="G43">
        <v>44412</v>
      </c>
      <c r="H43">
        <v>332</v>
      </c>
      <c r="I43">
        <v>3008</v>
      </c>
      <c r="J43">
        <v>605</v>
      </c>
      <c r="K43">
        <v>337</v>
      </c>
      <c r="L43">
        <v>5269</v>
      </c>
      <c r="M43">
        <v>13910</v>
      </c>
      <c r="N43">
        <v>0</v>
      </c>
      <c r="O43">
        <v>874</v>
      </c>
      <c r="P43">
        <v>18215</v>
      </c>
      <c r="Q43">
        <v>33937</v>
      </c>
      <c r="R43">
        <v>5414</v>
      </c>
      <c r="S43">
        <v>5402</v>
      </c>
      <c r="T43">
        <v>353</v>
      </c>
      <c r="U43">
        <v>5352</v>
      </c>
      <c r="V43">
        <v>1439</v>
      </c>
      <c r="W43">
        <v>356</v>
      </c>
      <c r="X43">
        <v>2438</v>
      </c>
      <c r="Y43">
        <v>4110</v>
      </c>
      <c r="Z43">
        <v>849</v>
      </c>
      <c r="AA43">
        <v>13182</v>
      </c>
      <c r="AB43">
        <v>814</v>
      </c>
      <c r="AC43">
        <v>6799</v>
      </c>
      <c r="AD43">
        <v>5388</v>
      </c>
      <c r="AE43">
        <v>1463</v>
      </c>
      <c r="AF43">
        <v>2984</v>
      </c>
    </row>
    <row r="44" spans="1:32" x14ac:dyDescent="0.35">
      <c r="A44" t="s">
        <v>150</v>
      </c>
      <c r="B44">
        <v>42648</v>
      </c>
      <c r="C44">
        <v>65010</v>
      </c>
      <c r="D44">
        <v>78180</v>
      </c>
      <c r="E44">
        <v>24334</v>
      </c>
      <c r="F44">
        <v>27796</v>
      </c>
      <c r="G44">
        <v>22841</v>
      </c>
      <c r="H44">
        <v>371</v>
      </c>
      <c r="I44">
        <v>1854</v>
      </c>
      <c r="J44">
        <v>586</v>
      </c>
      <c r="K44">
        <v>834</v>
      </c>
      <c r="L44">
        <v>6168</v>
      </c>
      <c r="M44">
        <v>12268</v>
      </c>
      <c r="N44">
        <v>0</v>
      </c>
      <c r="O44">
        <v>2622</v>
      </c>
      <c r="P44">
        <v>28382</v>
      </c>
      <c r="Q44">
        <v>22072</v>
      </c>
      <c r="R44">
        <v>1901</v>
      </c>
      <c r="S44">
        <v>2121</v>
      </c>
      <c r="T44">
        <v>313</v>
      </c>
      <c r="U44">
        <v>4513</v>
      </c>
      <c r="V44">
        <v>1604</v>
      </c>
      <c r="W44">
        <v>2122</v>
      </c>
      <c r="X44">
        <v>25384</v>
      </c>
      <c r="Y44">
        <v>26708</v>
      </c>
      <c r="Z44">
        <v>9991</v>
      </c>
      <c r="AA44">
        <v>18085</v>
      </c>
      <c r="AB44">
        <v>991</v>
      </c>
      <c r="AC44">
        <v>19018</v>
      </c>
      <c r="AD44">
        <v>11165</v>
      </c>
      <c r="AE44">
        <v>784</v>
      </c>
      <c r="AF44">
        <v>1072</v>
      </c>
    </row>
    <row r="45" spans="1:32" x14ac:dyDescent="0.35">
      <c r="A45" t="s">
        <v>151</v>
      </c>
      <c r="B45">
        <v>39590</v>
      </c>
      <c r="C45">
        <v>78688</v>
      </c>
      <c r="D45">
        <v>39355</v>
      </c>
      <c r="E45">
        <v>38811</v>
      </c>
      <c r="F45">
        <v>29631</v>
      </c>
      <c r="G45">
        <v>21017</v>
      </c>
      <c r="H45">
        <v>779</v>
      </c>
      <c r="I45">
        <v>3470</v>
      </c>
      <c r="J45">
        <v>873</v>
      </c>
      <c r="K45">
        <v>1253</v>
      </c>
      <c r="L45">
        <v>9936</v>
      </c>
      <c r="M45">
        <v>19039</v>
      </c>
      <c r="N45">
        <v>0</v>
      </c>
      <c r="O45">
        <v>3190</v>
      </c>
      <c r="P45">
        <v>10857</v>
      </c>
      <c r="Q45">
        <v>18003</v>
      </c>
      <c r="R45">
        <v>3753</v>
      </c>
      <c r="S45">
        <v>3897</v>
      </c>
      <c r="T45">
        <v>375</v>
      </c>
      <c r="U45">
        <v>8750</v>
      </c>
      <c r="V45">
        <v>2904</v>
      </c>
      <c r="W45">
        <v>1082</v>
      </c>
      <c r="X45">
        <v>12541</v>
      </c>
      <c r="Y45">
        <v>15965</v>
      </c>
      <c r="Z45">
        <v>10237</v>
      </c>
      <c r="AA45">
        <v>18952</v>
      </c>
      <c r="AB45">
        <v>1848</v>
      </c>
      <c r="AC45">
        <v>9496</v>
      </c>
      <c r="AD45">
        <v>8158</v>
      </c>
      <c r="AE45">
        <v>2412</v>
      </c>
      <c r="AF45">
        <v>3294</v>
      </c>
    </row>
    <row r="46" spans="1:32" x14ac:dyDescent="0.35">
      <c r="A46" t="s">
        <v>152</v>
      </c>
      <c r="B46">
        <v>55098</v>
      </c>
      <c r="C46">
        <v>89468</v>
      </c>
      <c r="D46">
        <v>37092</v>
      </c>
      <c r="E46">
        <v>36920</v>
      </c>
      <c r="F46">
        <v>28441</v>
      </c>
      <c r="G46">
        <v>21036</v>
      </c>
      <c r="H46">
        <v>394</v>
      </c>
      <c r="I46">
        <v>2371</v>
      </c>
      <c r="J46">
        <v>411</v>
      </c>
      <c r="K46">
        <v>672</v>
      </c>
      <c r="L46">
        <v>13824</v>
      </c>
      <c r="M46">
        <v>21803</v>
      </c>
      <c r="N46">
        <v>0</v>
      </c>
      <c r="O46">
        <v>6276</v>
      </c>
      <c r="P46">
        <v>15934</v>
      </c>
      <c r="Q46">
        <v>13862</v>
      </c>
      <c r="R46">
        <v>2334</v>
      </c>
      <c r="S46">
        <v>2266</v>
      </c>
      <c r="T46">
        <v>499</v>
      </c>
      <c r="U46">
        <v>7400</v>
      </c>
      <c r="V46">
        <v>2186</v>
      </c>
      <c r="W46">
        <v>717</v>
      </c>
      <c r="X46">
        <v>1096</v>
      </c>
      <c r="Y46">
        <v>5328</v>
      </c>
      <c r="Z46">
        <v>2021</v>
      </c>
      <c r="AA46">
        <v>29223</v>
      </c>
      <c r="AB46">
        <v>2649</v>
      </c>
      <c r="AC46">
        <v>8201</v>
      </c>
      <c r="AD46">
        <v>7986</v>
      </c>
      <c r="AE46">
        <v>2494</v>
      </c>
      <c r="AF46">
        <v>3408</v>
      </c>
    </row>
    <row r="47" spans="1:32" x14ac:dyDescent="0.35">
      <c r="A47" t="s">
        <v>153</v>
      </c>
      <c r="B47">
        <v>27597</v>
      </c>
      <c r="C47">
        <v>76510</v>
      </c>
      <c r="D47">
        <v>26373</v>
      </c>
      <c r="E47">
        <v>51253</v>
      </c>
      <c r="F47">
        <v>33852</v>
      </c>
      <c r="G47">
        <v>23297</v>
      </c>
      <c r="H47">
        <v>610</v>
      </c>
      <c r="I47">
        <v>3072</v>
      </c>
      <c r="J47">
        <v>585</v>
      </c>
      <c r="K47">
        <v>833</v>
      </c>
      <c r="L47">
        <v>18318</v>
      </c>
      <c r="M47">
        <v>33812</v>
      </c>
      <c r="N47">
        <v>0</v>
      </c>
      <c r="O47">
        <v>7005</v>
      </c>
      <c r="P47">
        <v>26939</v>
      </c>
      <c r="Q47">
        <v>13200</v>
      </c>
      <c r="R47">
        <v>3697</v>
      </c>
      <c r="S47">
        <v>3382</v>
      </c>
      <c r="T47">
        <v>489</v>
      </c>
      <c r="U47">
        <v>9972</v>
      </c>
      <c r="V47">
        <v>3536</v>
      </c>
      <c r="W47">
        <v>2178</v>
      </c>
      <c r="X47">
        <v>6603</v>
      </c>
      <c r="Y47">
        <v>9186</v>
      </c>
      <c r="Z47">
        <v>1200</v>
      </c>
      <c r="AA47">
        <v>23507</v>
      </c>
      <c r="AB47">
        <v>1300</v>
      </c>
      <c r="AC47">
        <v>5955</v>
      </c>
      <c r="AD47">
        <v>8845</v>
      </c>
      <c r="AE47">
        <v>4045</v>
      </c>
      <c r="AF47">
        <v>5527</v>
      </c>
    </row>
    <row r="48" spans="1:32" x14ac:dyDescent="0.35">
      <c r="A48" t="s">
        <v>154</v>
      </c>
      <c r="B48">
        <v>37517</v>
      </c>
      <c r="C48">
        <v>97766</v>
      </c>
      <c r="D48">
        <v>18565</v>
      </c>
      <c r="E48">
        <v>58192</v>
      </c>
      <c r="F48">
        <v>35970</v>
      </c>
      <c r="G48">
        <v>20684</v>
      </c>
      <c r="H48">
        <v>724</v>
      </c>
      <c r="I48">
        <v>3697</v>
      </c>
      <c r="J48">
        <v>877</v>
      </c>
      <c r="K48">
        <v>1347</v>
      </c>
      <c r="L48">
        <v>15686</v>
      </c>
      <c r="M48">
        <v>30427</v>
      </c>
      <c r="N48">
        <v>0</v>
      </c>
      <c r="O48">
        <v>6590</v>
      </c>
      <c r="P48">
        <v>16759</v>
      </c>
      <c r="Q48">
        <v>26939</v>
      </c>
      <c r="R48">
        <v>3840</v>
      </c>
      <c r="S48">
        <v>4015</v>
      </c>
      <c r="T48">
        <v>549</v>
      </c>
      <c r="U48">
        <v>10649</v>
      </c>
      <c r="V48">
        <v>4646</v>
      </c>
      <c r="W48">
        <v>1315</v>
      </c>
      <c r="X48">
        <v>12937</v>
      </c>
      <c r="Y48">
        <v>15417</v>
      </c>
      <c r="Z48">
        <v>1383</v>
      </c>
      <c r="AA48">
        <v>13995</v>
      </c>
      <c r="AB48">
        <v>944</v>
      </c>
      <c r="AC48">
        <v>10850</v>
      </c>
      <c r="AD48">
        <v>12137</v>
      </c>
      <c r="AE48">
        <v>2463</v>
      </c>
      <c r="AF48">
        <v>3364</v>
      </c>
    </row>
    <row r="49" spans="1:32" x14ac:dyDescent="0.35">
      <c r="A49" t="s">
        <v>170</v>
      </c>
      <c r="B49">
        <v>34093</v>
      </c>
      <c r="C49">
        <v>58025</v>
      </c>
      <c r="D49">
        <v>22483</v>
      </c>
      <c r="E49">
        <v>16627</v>
      </c>
      <c r="F49">
        <v>36065</v>
      </c>
      <c r="G49">
        <v>29532</v>
      </c>
      <c r="H49">
        <v>308</v>
      </c>
      <c r="I49">
        <v>3364</v>
      </c>
      <c r="J49">
        <v>160</v>
      </c>
      <c r="K49">
        <v>272</v>
      </c>
      <c r="L49">
        <v>5302</v>
      </c>
      <c r="M49">
        <v>10731</v>
      </c>
      <c r="N49">
        <v>0</v>
      </c>
      <c r="O49">
        <v>1251</v>
      </c>
      <c r="P49">
        <v>14729</v>
      </c>
      <c r="Q49">
        <v>16322</v>
      </c>
      <c r="R49">
        <v>4211</v>
      </c>
      <c r="S49">
        <v>2541</v>
      </c>
      <c r="T49">
        <v>249</v>
      </c>
      <c r="U49">
        <v>3759</v>
      </c>
      <c r="V49">
        <v>859</v>
      </c>
      <c r="W49">
        <v>219</v>
      </c>
      <c r="X49">
        <v>2177</v>
      </c>
      <c r="Y49">
        <v>5260</v>
      </c>
      <c r="Z49">
        <v>585</v>
      </c>
      <c r="AA49">
        <v>9084</v>
      </c>
      <c r="AB49">
        <v>597</v>
      </c>
      <c r="AC49">
        <v>5327</v>
      </c>
      <c r="AD49">
        <v>4852</v>
      </c>
      <c r="AE49">
        <v>650</v>
      </c>
      <c r="AF49">
        <v>784</v>
      </c>
    </row>
    <row r="50" spans="1:32" x14ac:dyDescent="0.35">
      <c r="A50" t="s">
        <v>171</v>
      </c>
      <c r="B50">
        <v>38332</v>
      </c>
      <c r="C50">
        <v>71623</v>
      </c>
      <c r="D50">
        <v>30400</v>
      </c>
      <c r="E50">
        <v>30236</v>
      </c>
      <c r="F50">
        <v>39171</v>
      </c>
      <c r="G50">
        <v>32414</v>
      </c>
      <c r="H50">
        <v>484</v>
      </c>
      <c r="I50">
        <v>7335</v>
      </c>
      <c r="J50">
        <v>1075</v>
      </c>
      <c r="K50">
        <v>725</v>
      </c>
      <c r="L50">
        <v>7810</v>
      </c>
      <c r="M50">
        <v>14939</v>
      </c>
      <c r="N50">
        <v>0</v>
      </c>
      <c r="O50">
        <v>2004</v>
      </c>
      <c r="P50">
        <v>15261</v>
      </c>
      <c r="Q50">
        <v>19314</v>
      </c>
      <c r="R50">
        <v>3533</v>
      </c>
      <c r="S50">
        <v>3114</v>
      </c>
      <c r="T50">
        <v>263</v>
      </c>
      <c r="U50">
        <v>5177</v>
      </c>
      <c r="V50">
        <v>1062</v>
      </c>
      <c r="W50">
        <v>462</v>
      </c>
      <c r="X50">
        <v>3289</v>
      </c>
      <c r="Y50">
        <v>4544</v>
      </c>
      <c r="Z50">
        <v>657</v>
      </c>
      <c r="AA50">
        <v>11956</v>
      </c>
      <c r="AB50">
        <v>751</v>
      </c>
      <c r="AC50">
        <v>6343</v>
      </c>
      <c r="AD50">
        <v>5601</v>
      </c>
      <c r="AE50">
        <v>856</v>
      </c>
      <c r="AF50">
        <v>974</v>
      </c>
    </row>
    <row r="51" spans="1:32" x14ac:dyDescent="0.35">
      <c r="A51" t="s">
        <v>172</v>
      </c>
      <c r="B51">
        <v>35328</v>
      </c>
      <c r="C51">
        <v>63688</v>
      </c>
      <c r="D51">
        <v>27841</v>
      </c>
      <c r="E51">
        <v>23253</v>
      </c>
      <c r="F51">
        <v>36952</v>
      </c>
      <c r="G51">
        <v>31633</v>
      </c>
      <c r="H51">
        <v>358</v>
      </c>
      <c r="I51">
        <v>5248</v>
      </c>
      <c r="J51">
        <v>480</v>
      </c>
      <c r="K51">
        <v>675</v>
      </c>
      <c r="L51">
        <v>6370</v>
      </c>
      <c r="M51">
        <v>12796</v>
      </c>
      <c r="N51">
        <v>0</v>
      </c>
      <c r="O51">
        <v>4780</v>
      </c>
      <c r="P51">
        <v>11770</v>
      </c>
      <c r="Q51">
        <v>17770</v>
      </c>
      <c r="R51">
        <v>5144</v>
      </c>
      <c r="S51">
        <v>2463</v>
      </c>
      <c r="T51">
        <v>248</v>
      </c>
      <c r="U51">
        <v>3822</v>
      </c>
      <c r="V51">
        <v>914</v>
      </c>
      <c r="W51">
        <v>247</v>
      </c>
      <c r="X51">
        <v>2541</v>
      </c>
      <c r="Y51">
        <v>4837</v>
      </c>
      <c r="Z51">
        <v>589</v>
      </c>
      <c r="AA51">
        <v>10158</v>
      </c>
      <c r="AB51">
        <v>1271</v>
      </c>
      <c r="AC51">
        <v>5881</v>
      </c>
      <c r="AD51">
        <v>6409</v>
      </c>
      <c r="AE51">
        <v>544</v>
      </c>
      <c r="AF51">
        <v>922</v>
      </c>
    </row>
    <row r="52" spans="1:32" x14ac:dyDescent="0.35">
      <c r="A52" t="s">
        <v>193</v>
      </c>
      <c r="B52">
        <v>44183</v>
      </c>
      <c r="C52">
        <v>92566</v>
      </c>
      <c r="D52">
        <v>54343</v>
      </c>
      <c r="E52">
        <v>63177</v>
      </c>
      <c r="F52">
        <v>38706</v>
      </c>
      <c r="G52">
        <v>29524</v>
      </c>
      <c r="H52">
        <v>568</v>
      </c>
      <c r="I52">
        <v>3768</v>
      </c>
      <c r="J52">
        <v>521</v>
      </c>
      <c r="K52">
        <v>755</v>
      </c>
      <c r="L52">
        <v>11299</v>
      </c>
      <c r="M52">
        <v>19220</v>
      </c>
      <c r="N52">
        <v>2050</v>
      </c>
      <c r="O52">
        <v>2001</v>
      </c>
      <c r="P52">
        <v>17014</v>
      </c>
      <c r="Q52">
        <v>31542</v>
      </c>
      <c r="R52">
        <v>3656</v>
      </c>
      <c r="S52">
        <v>2242</v>
      </c>
      <c r="T52">
        <v>343</v>
      </c>
      <c r="U52">
        <v>5820</v>
      </c>
      <c r="V52">
        <v>1916</v>
      </c>
      <c r="W52">
        <v>1077</v>
      </c>
      <c r="X52">
        <v>5116</v>
      </c>
      <c r="Y52">
        <v>7286</v>
      </c>
      <c r="Z52">
        <v>830</v>
      </c>
      <c r="AA52">
        <v>43423</v>
      </c>
      <c r="AB52">
        <v>2527</v>
      </c>
      <c r="AC52">
        <v>18113</v>
      </c>
      <c r="AD52">
        <v>9386</v>
      </c>
      <c r="AE52">
        <v>753</v>
      </c>
      <c r="AF52">
        <v>1706</v>
      </c>
    </row>
    <row r="53" spans="1:32" x14ac:dyDescent="0.35">
      <c r="A53" t="s">
        <v>194</v>
      </c>
      <c r="B53">
        <v>51743</v>
      </c>
      <c r="C53">
        <v>114468</v>
      </c>
      <c r="D53">
        <v>62803</v>
      </c>
      <c r="E53">
        <v>76481</v>
      </c>
      <c r="F53">
        <v>50057</v>
      </c>
      <c r="G53">
        <v>46547</v>
      </c>
      <c r="H53">
        <v>606</v>
      </c>
      <c r="I53">
        <v>3585</v>
      </c>
      <c r="J53">
        <v>1112</v>
      </c>
      <c r="K53">
        <v>824</v>
      </c>
      <c r="L53">
        <v>14786</v>
      </c>
      <c r="M53">
        <v>26631</v>
      </c>
      <c r="N53">
        <v>2606</v>
      </c>
      <c r="O53">
        <v>4579</v>
      </c>
      <c r="P53">
        <v>22398</v>
      </c>
      <c r="Q53">
        <v>31044</v>
      </c>
      <c r="R53">
        <v>3597</v>
      </c>
      <c r="S53">
        <v>4245</v>
      </c>
      <c r="T53">
        <v>506</v>
      </c>
      <c r="U53">
        <v>10112</v>
      </c>
      <c r="V53">
        <v>3281</v>
      </c>
      <c r="W53">
        <v>1368</v>
      </c>
      <c r="X53">
        <v>6434</v>
      </c>
      <c r="Y53">
        <v>9263</v>
      </c>
      <c r="Z53">
        <v>1055</v>
      </c>
      <c r="AA53">
        <v>54995</v>
      </c>
      <c r="AB53">
        <v>4077</v>
      </c>
      <c r="AC53">
        <v>25847</v>
      </c>
      <c r="AD53">
        <v>13772</v>
      </c>
      <c r="AE53">
        <v>2529</v>
      </c>
      <c r="AF53">
        <v>5220</v>
      </c>
    </row>
    <row r="54" spans="1:32" x14ac:dyDescent="0.35">
      <c r="A54" t="s">
        <v>195</v>
      </c>
      <c r="B54">
        <v>47401</v>
      </c>
      <c r="C54">
        <v>98602</v>
      </c>
      <c r="D54">
        <v>51626</v>
      </c>
      <c r="E54">
        <v>62019</v>
      </c>
      <c r="F54">
        <v>38072</v>
      </c>
      <c r="G54">
        <v>28500</v>
      </c>
      <c r="H54">
        <v>393</v>
      </c>
      <c r="I54">
        <v>2615</v>
      </c>
      <c r="J54">
        <v>561</v>
      </c>
      <c r="K54">
        <v>886</v>
      </c>
      <c r="L54">
        <v>19395</v>
      </c>
      <c r="M54">
        <v>30315</v>
      </c>
      <c r="N54">
        <v>2196</v>
      </c>
      <c r="O54">
        <v>3991</v>
      </c>
      <c r="P54">
        <v>40161</v>
      </c>
      <c r="Q54">
        <v>35353</v>
      </c>
      <c r="R54">
        <v>2786</v>
      </c>
      <c r="S54">
        <v>2852</v>
      </c>
      <c r="T54">
        <v>326</v>
      </c>
      <c r="U54">
        <v>7704</v>
      </c>
      <c r="V54">
        <v>2353</v>
      </c>
      <c r="W54">
        <v>1154</v>
      </c>
      <c r="X54">
        <v>5840</v>
      </c>
      <c r="Y54">
        <v>9341</v>
      </c>
      <c r="Z54">
        <v>891</v>
      </c>
      <c r="AA54">
        <v>27824</v>
      </c>
      <c r="AB54">
        <v>1818</v>
      </c>
      <c r="AC54">
        <v>11486</v>
      </c>
      <c r="AD54">
        <v>6282</v>
      </c>
      <c r="AE54">
        <v>879</v>
      </c>
      <c r="AF54">
        <v>1926</v>
      </c>
    </row>
    <row r="55" spans="1:32" x14ac:dyDescent="0.35">
      <c r="A55" t="s">
        <v>196</v>
      </c>
      <c r="B55">
        <v>70542</v>
      </c>
      <c r="C55">
        <v>142412</v>
      </c>
      <c r="D55">
        <v>75128</v>
      </c>
      <c r="E55">
        <v>79817</v>
      </c>
      <c r="F55">
        <v>56502</v>
      </c>
      <c r="G55">
        <v>45364</v>
      </c>
      <c r="H55">
        <v>694</v>
      </c>
      <c r="I55">
        <v>3684</v>
      </c>
      <c r="J55">
        <v>675</v>
      </c>
      <c r="K55">
        <v>958</v>
      </c>
      <c r="L55">
        <v>18968</v>
      </c>
      <c r="M55">
        <v>30202</v>
      </c>
      <c r="N55">
        <v>2973</v>
      </c>
      <c r="O55">
        <v>8555</v>
      </c>
      <c r="P55">
        <v>23123</v>
      </c>
      <c r="Q55">
        <v>28972</v>
      </c>
      <c r="R55">
        <v>4506</v>
      </c>
      <c r="S55">
        <v>4246</v>
      </c>
      <c r="T55">
        <v>460</v>
      </c>
      <c r="U55">
        <v>12196</v>
      </c>
      <c r="V55">
        <v>4750</v>
      </c>
      <c r="W55">
        <v>13235</v>
      </c>
      <c r="X55">
        <v>23544</v>
      </c>
      <c r="Y55">
        <v>32453</v>
      </c>
      <c r="Z55">
        <v>3700</v>
      </c>
      <c r="AA55">
        <v>22978</v>
      </c>
      <c r="AB55">
        <v>1264</v>
      </c>
      <c r="AC55">
        <v>11110</v>
      </c>
      <c r="AD55">
        <v>11784</v>
      </c>
      <c r="AE55">
        <v>4464</v>
      </c>
      <c r="AF55">
        <v>6098</v>
      </c>
    </row>
    <row r="56" spans="1:32" x14ac:dyDescent="0.35">
      <c r="A56" t="s">
        <v>197</v>
      </c>
      <c r="B56">
        <v>71806</v>
      </c>
      <c r="C56">
        <v>138493</v>
      </c>
      <c r="D56">
        <v>70101</v>
      </c>
      <c r="E56">
        <v>79138</v>
      </c>
      <c r="F56">
        <v>53352</v>
      </c>
      <c r="G56">
        <v>35634</v>
      </c>
      <c r="H56">
        <v>966</v>
      </c>
      <c r="I56">
        <v>4431</v>
      </c>
      <c r="J56">
        <v>656</v>
      </c>
      <c r="K56">
        <v>1070</v>
      </c>
      <c r="L56">
        <v>24062</v>
      </c>
      <c r="M56">
        <v>30777</v>
      </c>
      <c r="N56">
        <v>2940</v>
      </c>
      <c r="O56">
        <v>13964</v>
      </c>
      <c r="P56">
        <v>19682</v>
      </c>
      <c r="Q56">
        <v>33524</v>
      </c>
      <c r="R56">
        <v>5383</v>
      </c>
      <c r="S56">
        <v>4990</v>
      </c>
      <c r="T56">
        <v>531</v>
      </c>
      <c r="U56">
        <v>15499</v>
      </c>
      <c r="V56">
        <v>7593</v>
      </c>
      <c r="W56">
        <v>5175</v>
      </c>
      <c r="X56">
        <v>26982</v>
      </c>
      <c r="Y56">
        <v>23509</v>
      </c>
      <c r="Z56">
        <v>2655</v>
      </c>
      <c r="AA56">
        <v>23786</v>
      </c>
      <c r="AB56">
        <v>2014</v>
      </c>
      <c r="AC56">
        <v>10953</v>
      </c>
      <c r="AD56">
        <v>14816</v>
      </c>
      <c r="AE56">
        <v>3627</v>
      </c>
      <c r="AF56">
        <v>5068</v>
      </c>
    </row>
    <row r="57" spans="1:32" x14ac:dyDescent="0.35">
      <c r="A57" t="s">
        <v>198</v>
      </c>
      <c r="B57">
        <v>19289</v>
      </c>
      <c r="C57">
        <v>38731</v>
      </c>
      <c r="D57">
        <v>20619</v>
      </c>
      <c r="E57">
        <v>22053</v>
      </c>
      <c r="F57">
        <v>15823</v>
      </c>
      <c r="G57">
        <v>11077</v>
      </c>
      <c r="H57">
        <v>245</v>
      </c>
      <c r="I57">
        <v>1346</v>
      </c>
      <c r="J57">
        <v>534</v>
      </c>
      <c r="K57">
        <v>436</v>
      </c>
      <c r="L57">
        <v>7097</v>
      </c>
      <c r="M57">
        <v>11540</v>
      </c>
      <c r="N57">
        <v>940</v>
      </c>
      <c r="O57">
        <v>2283</v>
      </c>
      <c r="P57">
        <v>6697</v>
      </c>
      <c r="Q57">
        <v>9501</v>
      </c>
      <c r="R57">
        <v>1572</v>
      </c>
      <c r="S57">
        <v>1758</v>
      </c>
      <c r="T57">
        <v>156</v>
      </c>
      <c r="U57">
        <v>4150</v>
      </c>
      <c r="V57">
        <v>1894</v>
      </c>
      <c r="W57">
        <v>1869</v>
      </c>
      <c r="X57">
        <v>12241</v>
      </c>
      <c r="Y57">
        <v>21440</v>
      </c>
      <c r="Z57">
        <v>1929</v>
      </c>
      <c r="AA57">
        <v>7461</v>
      </c>
      <c r="AB57">
        <v>624</v>
      </c>
      <c r="AC57">
        <v>3579</v>
      </c>
      <c r="AD57">
        <v>3325</v>
      </c>
      <c r="AE57">
        <v>1179</v>
      </c>
      <c r="AF57">
        <v>1915</v>
      </c>
    </row>
    <row r="58" spans="1:32" x14ac:dyDescent="0.35">
      <c r="A58" t="s">
        <v>173</v>
      </c>
      <c r="B58">
        <v>45646</v>
      </c>
      <c r="C58">
        <v>92295</v>
      </c>
      <c r="D58">
        <v>41067</v>
      </c>
      <c r="E58">
        <v>45743</v>
      </c>
      <c r="F58">
        <v>50565</v>
      </c>
      <c r="G58">
        <v>37255</v>
      </c>
      <c r="H58">
        <v>543</v>
      </c>
      <c r="I58">
        <v>7386</v>
      </c>
      <c r="J58">
        <v>588</v>
      </c>
      <c r="K58">
        <v>956</v>
      </c>
      <c r="L58">
        <v>5620</v>
      </c>
      <c r="M58">
        <v>11227</v>
      </c>
      <c r="N58">
        <v>0</v>
      </c>
      <c r="O58">
        <v>1316</v>
      </c>
      <c r="P58">
        <v>19983</v>
      </c>
      <c r="Q58">
        <v>23079</v>
      </c>
      <c r="R58">
        <v>2436</v>
      </c>
      <c r="S58">
        <v>2681</v>
      </c>
      <c r="T58">
        <v>252</v>
      </c>
      <c r="U58">
        <v>5100</v>
      </c>
      <c r="V58">
        <v>1388</v>
      </c>
      <c r="W58">
        <v>334</v>
      </c>
      <c r="X58">
        <v>4558</v>
      </c>
      <c r="Y58">
        <v>11185</v>
      </c>
      <c r="Z58">
        <v>794</v>
      </c>
      <c r="AA58">
        <v>13694</v>
      </c>
      <c r="AB58">
        <v>934</v>
      </c>
      <c r="AC58">
        <v>6937</v>
      </c>
      <c r="AD58">
        <v>6135</v>
      </c>
      <c r="AE58">
        <v>476</v>
      </c>
      <c r="AF58">
        <v>891</v>
      </c>
    </row>
    <row r="59" spans="1:32" x14ac:dyDescent="0.35">
      <c r="A59" t="s">
        <v>174</v>
      </c>
      <c r="B59">
        <v>49065</v>
      </c>
      <c r="C59">
        <v>110493</v>
      </c>
      <c r="D59">
        <v>39107</v>
      </c>
      <c r="E59">
        <v>42340</v>
      </c>
      <c r="F59">
        <v>66164</v>
      </c>
      <c r="G59">
        <v>45272</v>
      </c>
      <c r="H59">
        <v>551</v>
      </c>
      <c r="I59">
        <v>10448</v>
      </c>
      <c r="J59">
        <v>693</v>
      </c>
      <c r="K59">
        <v>1269</v>
      </c>
      <c r="L59">
        <v>8258</v>
      </c>
      <c r="M59">
        <v>13640</v>
      </c>
      <c r="N59">
        <v>0</v>
      </c>
      <c r="O59">
        <v>1840</v>
      </c>
      <c r="P59">
        <v>21188</v>
      </c>
      <c r="Q59">
        <v>27002</v>
      </c>
      <c r="R59">
        <v>2910</v>
      </c>
      <c r="S59">
        <v>3176</v>
      </c>
      <c r="T59">
        <v>284</v>
      </c>
      <c r="U59">
        <v>5406</v>
      </c>
      <c r="V59">
        <v>1550</v>
      </c>
      <c r="W59">
        <v>379</v>
      </c>
      <c r="X59">
        <v>4216</v>
      </c>
      <c r="Y59">
        <v>6650</v>
      </c>
      <c r="Z59">
        <v>904</v>
      </c>
      <c r="AA59">
        <v>16191</v>
      </c>
      <c r="AB59">
        <v>858</v>
      </c>
      <c r="AC59">
        <v>8201</v>
      </c>
      <c r="AD59">
        <v>8522</v>
      </c>
      <c r="AE59">
        <v>1140</v>
      </c>
      <c r="AF59">
        <v>1795</v>
      </c>
    </row>
    <row r="60" spans="1:32" x14ac:dyDescent="0.35">
      <c r="A60" t="s">
        <v>175</v>
      </c>
      <c r="B60">
        <v>64145</v>
      </c>
      <c r="C60">
        <v>142591</v>
      </c>
      <c r="D60">
        <v>62907</v>
      </c>
      <c r="E60">
        <v>61077</v>
      </c>
      <c r="F60">
        <v>98379</v>
      </c>
      <c r="G60">
        <v>59738</v>
      </c>
      <c r="H60">
        <v>818</v>
      </c>
      <c r="I60">
        <v>10400</v>
      </c>
      <c r="J60">
        <v>655</v>
      </c>
      <c r="K60">
        <v>1065</v>
      </c>
      <c r="L60">
        <v>18070</v>
      </c>
      <c r="M60">
        <v>33202</v>
      </c>
      <c r="N60">
        <v>998</v>
      </c>
      <c r="O60">
        <v>3640</v>
      </c>
      <c r="P60">
        <v>22015</v>
      </c>
      <c r="Q60">
        <v>30188</v>
      </c>
      <c r="R60">
        <v>4841</v>
      </c>
      <c r="S60">
        <v>5412</v>
      </c>
      <c r="T60">
        <v>527</v>
      </c>
      <c r="U60">
        <v>8806</v>
      </c>
      <c r="V60">
        <v>2880</v>
      </c>
      <c r="W60">
        <v>529</v>
      </c>
      <c r="X60">
        <v>4642</v>
      </c>
      <c r="Y60">
        <v>7233</v>
      </c>
      <c r="Z60">
        <v>1264</v>
      </c>
      <c r="AA60">
        <v>21319</v>
      </c>
      <c r="AB60">
        <v>1845</v>
      </c>
      <c r="AC60">
        <v>11786</v>
      </c>
      <c r="AD60">
        <v>13516</v>
      </c>
      <c r="AE60">
        <v>712</v>
      </c>
      <c r="AF60">
        <v>1272</v>
      </c>
    </row>
    <row r="61" spans="1:32" x14ac:dyDescent="0.35">
      <c r="A61" t="s">
        <v>176</v>
      </c>
      <c r="B61">
        <v>37826</v>
      </c>
      <c r="C61">
        <v>79756</v>
      </c>
      <c r="D61">
        <v>42403</v>
      </c>
      <c r="E61">
        <v>64018</v>
      </c>
      <c r="F61">
        <v>43977</v>
      </c>
      <c r="G61">
        <v>29513</v>
      </c>
      <c r="H61">
        <v>518</v>
      </c>
      <c r="I61">
        <v>9659</v>
      </c>
      <c r="J61">
        <v>531</v>
      </c>
      <c r="K61">
        <v>784</v>
      </c>
      <c r="L61">
        <v>21361</v>
      </c>
      <c r="M61">
        <v>35062</v>
      </c>
      <c r="N61">
        <v>0</v>
      </c>
      <c r="O61">
        <v>978</v>
      </c>
      <c r="P61">
        <v>16308</v>
      </c>
      <c r="Q61">
        <v>27189</v>
      </c>
      <c r="R61">
        <v>1602</v>
      </c>
      <c r="S61">
        <v>3749</v>
      </c>
      <c r="T61">
        <v>397</v>
      </c>
      <c r="U61">
        <v>5495</v>
      </c>
      <c r="V61">
        <v>1565</v>
      </c>
      <c r="W61">
        <v>574</v>
      </c>
      <c r="X61">
        <v>2564</v>
      </c>
      <c r="Y61">
        <v>4181</v>
      </c>
      <c r="Z61">
        <v>851</v>
      </c>
      <c r="AA61">
        <v>17122</v>
      </c>
      <c r="AB61">
        <v>1215</v>
      </c>
      <c r="AC61">
        <v>8623</v>
      </c>
      <c r="AD61">
        <v>5310</v>
      </c>
      <c r="AE61">
        <v>417</v>
      </c>
      <c r="AF61">
        <v>570</v>
      </c>
    </row>
    <row r="62" spans="1:32" x14ac:dyDescent="0.35">
      <c r="A62" t="s">
        <v>177</v>
      </c>
      <c r="B62">
        <v>70850</v>
      </c>
      <c r="C62">
        <v>150777</v>
      </c>
      <c r="D62">
        <v>68926</v>
      </c>
      <c r="E62">
        <v>80343</v>
      </c>
      <c r="F62">
        <v>78594</v>
      </c>
      <c r="G62">
        <v>53158</v>
      </c>
      <c r="H62">
        <v>560</v>
      </c>
      <c r="I62">
        <v>7562</v>
      </c>
      <c r="J62">
        <v>808</v>
      </c>
      <c r="K62">
        <v>1299</v>
      </c>
      <c r="L62">
        <v>15906</v>
      </c>
      <c r="M62">
        <v>26755</v>
      </c>
      <c r="N62">
        <v>880</v>
      </c>
      <c r="O62">
        <v>1758</v>
      </c>
      <c r="P62">
        <v>23531</v>
      </c>
      <c r="Q62">
        <v>37592</v>
      </c>
      <c r="R62">
        <v>3917</v>
      </c>
      <c r="S62">
        <v>5930</v>
      </c>
      <c r="T62">
        <v>592</v>
      </c>
      <c r="U62">
        <v>10907</v>
      </c>
      <c r="V62">
        <v>3848</v>
      </c>
      <c r="W62">
        <v>541</v>
      </c>
      <c r="X62">
        <v>4551</v>
      </c>
      <c r="Y62">
        <v>6593</v>
      </c>
      <c r="Z62">
        <v>1292</v>
      </c>
      <c r="AA62">
        <v>26709</v>
      </c>
      <c r="AB62">
        <v>1947</v>
      </c>
      <c r="AC62">
        <v>13503</v>
      </c>
      <c r="AD62">
        <v>12215</v>
      </c>
      <c r="AE62">
        <v>1582</v>
      </c>
      <c r="AF62">
        <v>2062</v>
      </c>
    </row>
    <row r="63" spans="1:32" x14ac:dyDescent="0.35">
      <c r="A63" t="s">
        <v>178</v>
      </c>
      <c r="B63">
        <v>49757</v>
      </c>
      <c r="C63">
        <v>102325</v>
      </c>
      <c r="D63">
        <v>45870</v>
      </c>
      <c r="E63">
        <v>60642</v>
      </c>
      <c r="F63">
        <v>53401</v>
      </c>
      <c r="G63">
        <v>33024</v>
      </c>
      <c r="H63">
        <v>553</v>
      </c>
      <c r="I63">
        <v>4236</v>
      </c>
      <c r="J63">
        <v>626</v>
      </c>
      <c r="K63">
        <v>685</v>
      </c>
      <c r="L63">
        <v>14691</v>
      </c>
      <c r="M63">
        <v>22007</v>
      </c>
      <c r="N63">
        <v>0</v>
      </c>
      <c r="O63">
        <v>2148</v>
      </c>
      <c r="P63">
        <v>17886</v>
      </c>
      <c r="Q63">
        <v>21802</v>
      </c>
      <c r="R63">
        <v>1769</v>
      </c>
      <c r="S63">
        <v>5966</v>
      </c>
      <c r="T63">
        <v>377</v>
      </c>
      <c r="U63">
        <v>8987</v>
      </c>
      <c r="V63">
        <v>3744</v>
      </c>
      <c r="W63">
        <v>392</v>
      </c>
      <c r="X63">
        <v>8699</v>
      </c>
      <c r="Y63">
        <v>10264</v>
      </c>
      <c r="Z63">
        <v>2783</v>
      </c>
      <c r="AA63">
        <v>18349</v>
      </c>
      <c r="AB63">
        <v>1692</v>
      </c>
      <c r="AC63">
        <v>11178</v>
      </c>
      <c r="AD63">
        <v>8485</v>
      </c>
      <c r="AE63">
        <v>570</v>
      </c>
      <c r="AF63">
        <v>1098</v>
      </c>
    </row>
    <row r="64" spans="1:32" x14ac:dyDescent="0.35">
      <c r="A64" t="s">
        <v>179</v>
      </c>
      <c r="B64">
        <v>39159</v>
      </c>
      <c r="C64">
        <v>81136</v>
      </c>
      <c r="D64">
        <v>35924</v>
      </c>
      <c r="E64">
        <v>50862</v>
      </c>
      <c r="F64">
        <v>42620</v>
      </c>
      <c r="G64">
        <v>27630</v>
      </c>
      <c r="H64">
        <v>355</v>
      </c>
      <c r="I64">
        <v>3147</v>
      </c>
      <c r="J64">
        <v>493</v>
      </c>
      <c r="K64">
        <v>826</v>
      </c>
      <c r="L64">
        <v>10051</v>
      </c>
      <c r="M64">
        <v>15026</v>
      </c>
      <c r="N64">
        <v>0</v>
      </c>
      <c r="O64">
        <v>1700</v>
      </c>
      <c r="P64">
        <v>16528</v>
      </c>
      <c r="Q64">
        <v>16434</v>
      </c>
      <c r="R64">
        <v>1373</v>
      </c>
      <c r="S64">
        <v>3329</v>
      </c>
      <c r="T64">
        <v>266</v>
      </c>
      <c r="U64">
        <v>6928</v>
      </c>
      <c r="V64">
        <v>3019</v>
      </c>
      <c r="W64">
        <v>304</v>
      </c>
      <c r="X64">
        <v>5343</v>
      </c>
      <c r="Y64">
        <v>8636</v>
      </c>
      <c r="Z64">
        <v>1646</v>
      </c>
      <c r="AA64">
        <v>13255</v>
      </c>
      <c r="AB64">
        <v>808</v>
      </c>
      <c r="AC64">
        <v>6429</v>
      </c>
      <c r="AD64">
        <v>6283</v>
      </c>
      <c r="AE64">
        <v>810</v>
      </c>
      <c r="AF64">
        <v>1045</v>
      </c>
    </row>
    <row r="65" spans="1:32" x14ac:dyDescent="0.35">
      <c r="A65" t="s">
        <v>180</v>
      </c>
      <c r="B65">
        <v>61119</v>
      </c>
      <c r="C65">
        <v>123798</v>
      </c>
      <c r="D65">
        <v>62995</v>
      </c>
      <c r="E65">
        <v>81444</v>
      </c>
      <c r="F65">
        <v>62482</v>
      </c>
      <c r="G65">
        <v>46362</v>
      </c>
      <c r="H65">
        <v>550</v>
      </c>
      <c r="I65">
        <v>5556</v>
      </c>
      <c r="J65">
        <v>591</v>
      </c>
      <c r="K65">
        <v>1002</v>
      </c>
      <c r="L65">
        <v>14917</v>
      </c>
      <c r="M65">
        <v>23679</v>
      </c>
      <c r="N65">
        <v>0</v>
      </c>
      <c r="O65">
        <v>2510</v>
      </c>
      <c r="P65">
        <v>31069</v>
      </c>
      <c r="Q65">
        <v>27416</v>
      </c>
      <c r="R65">
        <v>2282</v>
      </c>
      <c r="S65">
        <v>5223</v>
      </c>
      <c r="T65">
        <v>451</v>
      </c>
      <c r="U65">
        <v>10760</v>
      </c>
      <c r="V65">
        <v>4278</v>
      </c>
      <c r="W65">
        <v>509</v>
      </c>
      <c r="X65">
        <v>9669</v>
      </c>
      <c r="Y65">
        <v>29842</v>
      </c>
      <c r="Z65">
        <v>12971</v>
      </c>
      <c r="AA65">
        <v>21675</v>
      </c>
      <c r="AB65">
        <v>1565</v>
      </c>
      <c r="AC65">
        <v>10285</v>
      </c>
      <c r="AD65">
        <v>11099</v>
      </c>
      <c r="AE65">
        <v>542</v>
      </c>
      <c r="AF65">
        <v>807</v>
      </c>
    </row>
    <row r="66" spans="1:32" x14ac:dyDescent="0.35">
      <c r="A66" t="s">
        <v>199</v>
      </c>
      <c r="B66">
        <v>62698</v>
      </c>
      <c r="C66">
        <v>119495</v>
      </c>
      <c r="D66">
        <v>64450</v>
      </c>
      <c r="E66">
        <v>81560</v>
      </c>
      <c r="F66">
        <v>45220</v>
      </c>
      <c r="G66">
        <v>31924</v>
      </c>
      <c r="H66">
        <v>741</v>
      </c>
      <c r="I66">
        <v>4001</v>
      </c>
      <c r="J66">
        <v>513</v>
      </c>
      <c r="K66">
        <v>635</v>
      </c>
      <c r="L66">
        <v>21530</v>
      </c>
      <c r="M66">
        <v>32376</v>
      </c>
      <c r="N66">
        <v>2486</v>
      </c>
      <c r="O66">
        <v>4559</v>
      </c>
      <c r="P66">
        <v>16823</v>
      </c>
      <c r="Q66">
        <v>23537</v>
      </c>
      <c r="R66">
        <v>4008</v>
      </c>
      <c r="S66">
        <v>4256</v>
      </c>
      <c r="T66">
        <v>238</v>
      </c>
      <c r="U66">
        <v>11639</v>
      </c>
      <c r="V66">
        <v>3806</v>
      </c>
      <c r="W66">
        <v>5417</v>
      </c>
      <c r="X66">
        <v>10370</v>
      </c>
      <c r="Y66">
        <v>16886</v>
      </c>
      <c r="Z66">
        <v>1511</v>
      </c>
      <c r="AA66">
        <v>25047</v>
      </c>
      <c r="AB66">
        <v>1220</v>
      </c>
      <c r="AC66">
        <v>12296</v>
      </c>
      <c r="AD66">
        <v>7428</v>
      </c>
      <c r="AE66">
        <v>1693</v>
      </c>
      <c r="AF66">
        <v>2117</v>
      </c>
    </row>
    <row r="67" spans="1:32" x14ac:dyDescent="0.35">
      <c r="A67" t="s">
        <v>200</v>
      </c>
      <c r="B67">
        <v>28923</v>
      </c>
      <c r="C67">
        <v>58960</v>
      </c>
      <c r="D67">
        <v>30589</v>
      </c>
      <c r="E67">
        <v>29280</v>
      </c>
      <c r="F67">
        <v>25009</v>
      </c>
      <c r="G67">
        <v>20398</v>
      </c>
      <c r="H67">
        <v>497</v>
      </c>
      <c r="I67">
        <v>2583</v>
      </c>
      <c r="J67">
        <v>479</v>
      </c>
      <c r="K67">
        <v>713</v>
      </c>
      <c r="L67">
        <v>6503</v>
      </c>
      <c r="M67">
        <v>12789</v>
      </c>
      <c r="N67">
        <v>1146</v>
      </c>
      <c r="O67">
        <v>2299</v>
      </c>
      <c r="P67">
        <v>8075</v>
      </c>
      <c r="Q67">
        <v>11441</v>
      </c>
      <c r="R67">
        <v>1635</v>
      </c>
      <c r="S67">
        <v>1730</v>
      </c>
      <c r="T67">
        <v>262</v>
      </c>
      <c r="U67">
        <v>5931</v>
      </c>
      <c r="V67">
        <v>1779</v>
      </c>
      <c r="W67">
        <v>845</v>
      </c>
      <c r="X67">
        <v>3663</v>
      </c>
      <c r="Y67">
        <v>5531</v>
      </c>
      <c r="Z67">
        <v>617</v>
      </c>
      <c r="AA67">
        <v>9522</v>
      </c>
      <c r="AB67">
        <v>641</v>
      </c>
      <c r="AC67">
        <v>4507</v>
      </c>
      <c r="AD67">
        <v>7417</v>
      </c>
      <c r="AE67">
        <v>716</v>
      </c>
      <c r="AF67">
        <v>1159</v>
      </c>
    </row>
    <row r="68" spans="1:32" x14ac:dyDescent="0.35">
      <c r="A68" t="s">
        <v>116</v>
      </c>
      <c r="B68">
        <v>36917</v>
      </c>
      <c r="C68">
        <v>71203</v>
      </c>
      <c r="D68">
        <v>37265</v>
      </c>
      <c r="E68">
        <v>46379</v>
      </c>
      <c r="F68">
        <v>29510</v>
      </c>
      <c r="G68">
        <v>21874</v>
      </c>
      <c r="H68">
        <v>517</v>
      </c>
      <c r="I68">
        <v>2712</v>
      </c>
      <c r="J68">
        <v>237</v>
      </c>
      <c r="K68">
        <v>287</v>
      </c>
      <c r="L68">
        <v>12298</v>
      </c>
      <c r="M68">
        <v>20062</v>
      </c>
      <c r="N68">
        <v>58650</v>
      </c>
      <c r="O68">
        <v>4596</v>
      </c>
      <c r="P68">
        <v>10578</v>
      </c>
      <c r="Q68">
        <v>17530</v>
      </c>
      <c r="R68">
        <v>2671</v>
      </c>
      <c r="S68">
        <v>2565</v>
      </c>
      <c r="T68">
        <v>238</v>
      </c>
      <c r="U68">
        <v>7034</v>
      </c>
      <c r="V68">
        <v>2596</v>
      </c>
      <c r="W68">
        <v>923</v>
      </c>
      <c r="X68">
        <v>13775</v>
      </c>
      <c r="Y68">
        <v>36399</v>
      </c>
      <c r="Z68">
        <v>5117</v>
      </c>
      <c r="AA68">
        <v>14615</v>
      </c>
      <c r="AB68">
        <v>692</v>
      </c>
      <c r="AC68">
        <v>7709</v>
      </c>
      <c r="AD68">
        <v>11947</v>
      </c>
      <c r="AE68">
        <v>1021</v>
      </c>
      <c r="AF68">
        <v>1506</v>
      </c>
    </row>
    <row r="69" spans="1:32" x14ac:dyDescent="0.35">
      <c r="A69" t="s">
        <v>117</v>
      </c>
      <c r="B69">
        <v>53315</v>
      </c>
      <c r="C69">
        <v>101669</v>
      </c>
      <c r="D69">
        <v>51984</v>
      </c>
      <c r="E69">
        <v>59577</v>
      </c>
      <c r="F69">
        <v>48359</v>
      </c>
      <c r="G69">
        <v>31678</v>
      </c>
      <c r="H69">
        <v>621</v>
      </c>
      <c r="I69">
        <v>3185</v>
      </c>
      <c r="J69">
        <v>358</v>
      </c>
      <c r="K69">
        <v>360</v>
      </c>
      <c r="L69">
        <v>13410</v>
      </c>
      <c r="M69">
        <v>23924</v>
      </c>
      <c r="N69">
        <v>2204</v>
      </c>
      <c r="O69">
        <v>7156</v>
      </c>
      <c r="P69">
        <v>16121</v>
      </c>
      <c r="Q69">
        <v>21741</v>
      </c>
      <c r="R69">
        <v>2851</v>
      </c>
      <c r="S69">
        <v>2651</v>
      </c>
      <c r="T69">
        <v>259</v>
      </c>
      <c r="U69">
        <v>9369</v>
      </c>
      <c r="V69">
        <v>3390</v>
      </c>
      <c r="W69">
        <v>1233</v>
      </c>
      <c r="X69">
        <v>10238</v>
      </c>
      <c r="Y69">
        <v>42764</v>
      </c>
      <c r="Z69">
        <v>6734</v>
      </c>
      <c r="AA69">
        <v>15528</v>
      </c>
      <c r="AB69">
        <v>1261</v>
      </c>
      <c r="AC69">
        <v>8455</v>
      </c>
      <c r="AD69">
        <v>9176</v>
      </c>
      <c r="AE69">
        <v>1166</v>
      </c>
      <c r="AF69">
        <v>1350</v>
      </c>
    </row>
    <row r="70" spans="1:32" x14ac:dyDescent="0.35">
      <c r="A70" t="s">
        <v>118</v>
      </c>
      <c r="B70">
        <v>55775</v>
      </c>
      <c r="C70">
        <v>110295</v>
      </c>
      <c r="D70">
        <v>55336</v>
      </c>
      <c r="E70">
        <v>66999</v>
      </c>
      <c r="F70">
        <v>47558</v>
      </c>
      <c r="G70">
        <v>31950</v>
      </c>
      <c r="H70">
        <v>562</v>
      </c>
      <c r="I70">
        <v>3300</v>
      </c>
      <c r="J70">
        <v>1081</v>
      </c>
      <c r="K70">
        <v>1077</v>
      </c>
      <c r="L70">
        <v>15275</v>
      </c>
      <c r="M70">
        <v>26663</v>
      </c>
      <c r="N70">
        <v>2267</v>
      </c>
      <c r="O70">
        <v>10322</v>
      </c>
      <c r="P70">
        <v>12765</v>
      </c>
      <c r="Q70">
        <v>22464</v>
      </c>
      <c r="R70">
        <v>3528</v>
      </c>
      <c r="S70">
        <v>3396</v>
      </c>
      <c r="T70">
        <v>329</v>
      </c>
      <c r="U70">
        <v>14399</v>
      </c>
      <c r="V70">
        <v>6022</v>
      </c>
      <c r="W70">
        <v>2312</v>
      </c>
      <c r="X70">
        <v>9973</v>
      </c>
      <c r="Y70">
        <v>11418</v>
      </c>
      <c r="Z70">
        <v>919</v>
      </c>
      <c r="AA70">
        <v>22278</v>
      </c>
      <c r="AB70">
        <v>1625</v>
      </c>
      <c r="AC70">
        <v>11136</v>
      </c>
      <c r="AD70">
        <v>11251</v>
      </c>
      <c r="AE70">
        <v>3179</v>
      </c>
      <c r="AF70">
        <v>4215</v>
      </c>
    </row>
    <row r="71" spans="1:32" x14ac:dyDescent="0.35">
      <c r="A71" t="s">
        <v>119</v>
      </c>
      <c r="B71">
        <v>26308</v>
      </c>
      <c r="C71">
        <v>51683</v>
      </c>
      <c r="D71">
        <v>25082</v>
      </c>
      <c r="E71">
        <v>24572</v>
      </c>
      <c r="F71">
        <v>18553</v>
      </c>
      <c r="G71">
        <v>14599</v>
      </c>
      <c r="H71">
        <v>532</v>
      </c>
      <c r="I71">
        <v>3526</v>
      </c>
      <c r="J71">
        <v>712</v>
      </c>
      <c r="K71">
        <v>779</v>
      </c>
      <c r="L71">
        <v>3828</v>
      </c>
      <c r="M71">
        <v>8271</v>
      </c>
      <c r="N71">
        <v>1056</v>
      </c>
      <c r="O71">
        <v>1167</v>
      </c>
      <c r="P71">
        <v>12849</v>
      </c>
      <c r="Q71">
        <v>20182</v>
      </c>
      <c r="R71">
        <v>2399</v>
      </c>
      <c r="S71">
        <v>2157</v>
      </c>
      <c r="T71">
        <v>299</v>
      </c>
      <c r="U71">
        <v>3309</v>
      </c>
      <c r="V71">
        <v>1024</v>
      </c>
      <c r="W71">
        <v>554</v>
      </c>
      <c r="X71">
        <v>3114</v>
      </c>
      <c r="Y71">
        <v>5294</v>
      </c>
      <c r="Z71">
        <v>618</v>
      </c>
      <c r="AA71">
        <v>13076</v>
      </c>
      <c r="AB71">
        <v>1228</v>
      </c>
      <c r="AC71">
        <v>6827</v>
      </c>
      <c r="AD71">
        <v>5946</v>
      </c>
      <c r="AE71">
        <v>589</v>
      </c>
      <c r="AF71">
        <v>1515</v>
      </c>
    </row>
    <row r="72" spans="1:32" x14ac:dyDescent="0.35">
      <c r="A72" t="s">
        <v>120</v>
      </c>
      <c r="B72">
        <v>42713</v>
      </c>
      <c r="C72">
        <v>85808</v>
      </c>
      <c r="D72">
        <v>44520</v>
      </c>
      <c r="E72">
        <v>54281</v>
      </c>
      <c r="F72">
        <v>31763</v>
      </c>
      <c r="G72">
        <v>23890</v>
      </c>
      <c r="H72">
        <v>710</v>
      </c>
      <c r="I72">
        <v>3400</v>
      </c>
      <c r="J72">
        <v>904</v>
      </c>
      <c r="K72">
        <v>1201</v>
      </c>
      <c r="L72">
        <v>12822</v>
      </c>
      <c r="M72">
        <v>20044</v>
      </c>
      <c r="N72">
        <v>15935</v>
      </c>
      <c r="O72">
        <v>4955</v>
      </c>
      <c r="P72">
        <v>40311</v>
      </c>
      <c r="Q72">
        <v>24239</v>
      </c>
      <c r="R72">
        <v>4718</v>
      </c>
      <c r="S72">
        <v>5571</v>
      </c>
      <c r="T72">
        <v>624</v>
      </c>
      <c r="U72">
        <v>8821</v>
      </c>
      <c r="V72">
        <v>3693</v>
      </c>
      <c r="W72">
        <v>15303</v>
      </c>
      <c r="X72">
        <v>24896</v>
      </c>
      <c r="Y72">
        <v>65822</v>
      </c>
      <c r="Z72">
        <v>985</v>
      </c>
      <c r="AA72">
        <v>27585</v>
      </c>
      <c r="AB72">
        <v>3475</v>
      </c>
      <c r="AC72">
        <v>11870</v>
      </c>
      <c r="AD72">
        <v>23185</v>
      </c>
      <c r="AE72">
        <v>1572</v>
      </c>
      <c r="AF72">
        <v>2505</v>
      </c>
    </row>
    <row r="73" spans="1:32" x14ac:dyDescent="0.35">
      <c r="A73" t="s">
        <v>121</v>
      </c>
      <c r="B73">
        <v>29900</v>
      </c>
      <c r="C73">
        <v>60449</v>
      </c>
      <c r="D73">
        <v>31063</v>
      </c>
      <c r="E73">
        <v>35818</v>
      </c>
      <c r="F73">
        <v>24002</v>
      </c>
      <c r="G73">
        <v>17365</v>
      </c>
      <c r="H73">
        <v>385</v>
      </c>
      <c r="I73">
        <v>2135</v>
      </c>
      <c r="J73">
        <v>610</v>
      </c>
      <c r="K73">
        <v>668</v>
      </c>
      <c r="L73">
        <v>8690</v>
      </c>
      <c r="M73">
        <v>14097</v>
      </c>
      <c r="N73">
        <v>1638</v>
      </c>
      <c r="O73">
        <v>3142</v>
      </c>
      <c r="P73">
        <v>28975</v>
      </c>
      <c r="Q73">
        <v>22673</v>
      </c>
      <c r="R73">
        <v>2675</v>
      </c>
      <c r="S73">
        <v>2612</v>
      </c>
      <c r="T73">
        <v>323</v>
      </c>
      <c r="U73">
        <v>6490</v>
      </c>
      <c r="V73">
        <v>2201</v>
      </c>
      <c r="W73">
        <v>6248</v>
      </c>
      <c r="X73">
        <v>33232</v>
      </c>
      <c r="Y73">
        <v>27691</v>
      </c>
      <c r="Z73">
        <v>664</v>
      </c>
      <c r="AA73">
        <v>18084</v>
      </c>
      <c r="AB73">
        <v>1057</v>
      </c>
      <c r="AC73">
        <v>8059</v>
      </c>
      <c r="AD73">
        <v>9429</v>
      </c>
      <c r="AE73">
        <v>2743</v>
      </c>
      <c r="AF73">
        <v>3749</v>
      </c>
    </row>
    <row r="74" spans="1:32" x14ac:dyDescent="0.35">
      <c r="A74" t="s">
        <v>122</v>
      </c>
      <c r="B74">
        <v>66252</v>
      </c>
      <c r="C74">
        <v>134051</v>
      </c>
      <c r="D74">
        <v>71418</v>
      </c>
      <c r="E74">
        <v>84059</v>
      </c>
      <c r="F74">
        <v>56647</v>
      </c>
      <c r="G74">
        <v>48110</v>
      </c>
      <c r="H74">
        <v>724</v>
      </c>
      <c r="I74">
        <v>4442</v>
      </c>
      <c r="J74">
        <v>777</v>
      </c>
      <c r="K74">
        <v>1350</v>
      </c>
      <c r="L74">
        <v>19570</v>
      </c>
      <c r="M74">
        <v>34566</v>
      </c>
      <c r="N74">
        <v>2937</v>
      </c>
      <c r="O74">
        <v>20411</v>
      </c>
      <c r="P74">
        <v>21407</v>
      </c>
      <c r="Q74">
        <v>30869</v>
      </c>
      <c r="R74">
        <v>4932</v>
      </c>
      <c r="S74">
        <v>5161</v>
      </c>
      <c r="T74">
        <v>590</v>
      </c>
      <c r="U74">
        <v>10905</v>
      </c>
      <c r="V74">
        <v>4186</v>
      </c>
      <c r="W74">
        <v>1542</v>
      </c>
      <c r="X74">
        <v>8757</v>
      </c>
      <c r="Y74">
        <v>13477</v>
      </c>
      <c r="Z74">
        <v>1190</v>
      </c>
      <c r="AA74">
        <v>44363</v>
      </c>
      <c r="AB74">
        <v>3017</v>
      </c>
      <c r="AC74">
        <v>21035</v>
      </c>
      <c r="AD74">
        <v>16933</v>
      </c>
      <c r="AE74">
        <v>3665</v>
      </c>
      <c r="AF74">
        <v>7288</v>
      </c>
    </row>
    <row r="75" spans="1:32" x14ac:dyDescent="0.35">
      <c r="A75" t="s">
        <v>123</v>
      </c>
      <c r="B75">
        <v>32134</v>
      </c>
      <c r="C75">
        <v>62945</v>
      </c>
      <c r="D75">
        <v>32770</v>
      </c>
      <c r="E75">
        <v>40412</v>
      </c>
      <c r="F75">
        <v>26966</v>
      </c>
      <c r="G75">
        <v>18326</v>
      </c>
      <c r="H75">
        <v>422</v>
      </c>
      <c r="I75">
        <v>2173</v>
      </c>
      <c r="J75">
        <v>772</v>
      </c>
      <c r="K75">
        <v>1040</v>
      </c>
      <c r="L75">
        <v>12832</v>
      </c>
      <c r="M75">
        <v>18158</v>
      </c>
      <c r="N75">
        <v>1548</v>
      </c>
      <c r="O75">
        <v>2739</v>
      </c>
      <c r="P75">
        <v>20563</v>
      </c>
      <c r="Q75">
        <v>18377</v>
      </c>
      <c r="R75">
        <v>3058</v>
      </c>
      <c r="S75">
        <v>2845</v>
      </c>
      <c r="T75">
        <v>371</v>
      </c>
      <c r="U75">
        <v>9433</v>
      </c>
      <c r="V75">
        <v>2571</v>
      </c>
      <c r="W75">
        <v>4426</v>
      </c>
      <c r="X75">
        <v>11404</v>
      </c>
      <c r="Y75">
        <v>17085</v>
      </c>
      <c r="Z75">
        <v>1748</v>
      </c>
      <c r="AA75">
        <v>14978</v>
      </c>
      <c r="AB75">
        <v>571</v>
      </c>
      <c r="AC75">
        <v>7265</v>
      </c>
      <c r="AD75">
        <v>8079</v>
      </c>
      <c r="AE75">
        <v>2644</v>
      </c>
      <c r="AF75">
        <v>3791</v>
      </c>
    </row>
    <row r="76" spans="1:32" x14ac:dyDescent="0.35">
      <c r="A76" t="s">
        <v>124</v>
      </c>
      <c r="B76">
        <v>35644</v>
      </c>
      <c r="C76">
        <v>68465</v>
      </c>
      <c r="D76">
        <v>33318</v>
      </c>
      <c r="E76">
        <v>39690</v>
      </c>
      <c r="F76">
        <v>35635</v>
      </c>
      <c r="G76">
        <v>24454</v>
      </c>
      <c r="H76">
        <v>358</v>
      </c>
      <c r="I76">
        <v>2579</v>
      </c>
      <c r="J76">
        <v>409</v>
      </c>
      <c r="K76">
        <v>516</v>
      </c>
      <c r="L76">
        <v>6716</v>
      </c>
      <c r="M76">
        <v>14229</v>
      </c>
      <c r="N76">
        <v>1430</v>
      </c>
      <c r="O76">
        <v>1352</v>
      </c>
      <c r="P76">
        <v>14712</v>
      </c>
      <c r="Q76">
        <v>19437</v>
      </c>
      <c r="R76">
        <v>3145</v>
      </c>
      <c r="S76">
        <v>5075</v>
      </c>
      <c r="T76">
        <v>411</v>
      </c>
      <c r="U76">
        <v>4958</v>
      </c>
      <c r="V76">
        <v>1747</v>
      </c>
      <c r="W76">
        <v>753</v>
      </c>
      <c r="X76">
        <v>2928</v>
      </c>
      <c r="Y76">
        <v>5094</v>
      </c>
      <c r="Z76">
        <v>584</v>
      </c>
      <c r="AA76">
        <v>18435</v>
      </c>
      <c r="AB76">
        <v>722</v>
      </c>
      <c r="AC76">
        <v>9039</v>
      </c>
      <c r="AD76">
        <v>6439</v>
      </c>
      <c r="AE76">
        <v>588</v>
      </c>
      <c r="AF76">
        <v>922</v>
      </c>
    </row>
    <row r="77" spans="1:32" x14ac:dyDescent="0.35">
      <c r="A77" t="s">
        <v>125</v>
      </c>
      <c r="B77">
        <v>48388</v>
      </c>
      <c r="C77">
        <v>92873</v>
      </c>
      <c r="D77">
        <v>46443</v>
      </c>
      <c r="E77">
        <v>45786</v>
      </c>
      <c r="F77">
        <v>59290</v>
      </c>
      <c r="G77">
        <v>39167</v>
      </c>
      <c r="H77">
        <v>975</v>
      </c>
      <c r="I77">
        <v>7053</v>
      </c>
      <c r="J77">
        <v>689</v>
      </c>
      <c r="K77">
        <v>675</v>
      </c>
      <c r="L77">
        <v>12054</v>
      </c>
      <c r="M77">
        <v>27419</v>
      </c>
      <c r="N77">
        <v>2138</v>
      </c>
      <c r="O77">
        <v>2020</v>
      </c>
      <c r="P77">
        <v>18987</v>
      </c>
      <c r="Q77">
        <v>29526</v>
      </c>
      <c r="R77">
        <v>5490</v>
      </c>
      <c r="S77">
        <v>6016</v>
      </c>
      <c r="T77">
        <v>248</v>
      </c>
      <c r="U77">
        <v>7604</v>
      </c>
      <c r="V77">
        <v>2907</v>
      </c>
      <c r="W77">
        <v>1125</v>
      </c>
      <c r="X77">
        <v>6291</v>
      </c>
      <c r="Y77">
        <v>8762</v>
      </c>
      <c r="Z77">
        <v>867</v>
      </c>
      <c r="AA77">
        <v>30960</v>
      </c>
      <c r="AB77">
        <v>2190</v>
      </c>
      <c r="AC77">
        <v>14203</v>
      </c>
      <c r="AD77">
        <v>9826</v>
      </c>
      <c r="AE77">
        <v>1185</v>
      </c>
      <c r="AF77">
        <v>2771</v>
      </c>
    </row>
    <row r="78" spans="1:32" x14ac:dyDescent="0.35">
      <c r="A78" t="s">
        <v>126</v>
      </c>
      <c r="B78">
        <v>58766</v>
      </c>
      <c r="C78">
        <v>127220</v>
      </c>
      <c r="D78">
        <v>71886</v>
      </c>
      <c r="E78">
        <v>72100</v>
      </c>
      <c r="F78">
        <v>60860</v>
      </c>
      <c r="G78">
        <v>41251</v>
      </c>
      <c r="H78">
        <v>1192</v>
      </c>
      <c r="I78">
        <v>8504</v>
      </c>
      <c r="J78">
        <v>965</v>
      </c>
      <c r="K78">
        <v>1115</v>
      </c>
      <c r="L78">
        <v>12963</v>
      </c>
      <c r="M78">
        <v>24567</v>
      </c>
      <c r="N78">
        <v>2578</v>
      </c>
      <c r="O78">
        <v>3326</v>
      </c>
      <c r="P78">
        <v>20176</v>
      </c>
      <c r="Q78">
        <v>36265</v>
      </c>
      <c r="R78">
        <v>6243</v>
      </c>
      <c r="S78">
        <v>5846</v>
      </c>
      <c r="T78">
        <v>495</v>
      </c>
      <c r="U78">
        <v>6860</v>
      </c>
      <c r="V78">
        <v>2620</v>
      </c>
      <c r="W78">
        <v>1354</v>
      </c>
      <c r="X78">
        <v>6400</v>
      </c>
      <c r="Y78">
        <v>15202</v>
      </c>
      <c r="Z78">
        <v>1044</v>
      </c>
      <c r="AA78">
        <v>25731</v>
      </c>
      <c r="AB78">
        <v>1805</v>
      </c>
      <c r="AC78">
        <v>13217</v>
      </c>
      <c r="AD78">
        <v>10732</v>
      </c>
      <c r="AE78">
        <v>2092</v>
      </c>
      <c r="AF78">
        <v>3335</v>
      </c>
    </row>
    <row r="79" spans="1:32" x14ac:dyDescent="0.35">
      <c r="A79" t="s">
        <v>127</v>
      </c>
      <c r="B79">
        <v>40376</v>
      </c>
      <c r="C79">
        <v>78613</v>
      </c>
      <c r="D79">
        <v>38830</v>
      </c>
      <c r="E79">
        <v>38587</v>
      </c>
      <c r="F79">
        <v>46975</v>
      </c>
      <c r="G79">
        <v>31167</v>
      </c>
      <c r="H79">
        <v>1148</v>
      </c>
      <c r="I79">
        <v>8462</v>
      </c>
      <c r="J79">
        <v>1020</v>
      </c>
      <c r="K79">
        <v>1096</v>
      </c>
      <c r="L79">
        <v>10534</v>
      </c>
      <c r="M79">
        <v>22865</v>
      </c>
      <c r="N79">
        <v>1877</v>
      </c>
      <c r="O79">
        <v>1768</v>
      </c>
      <c r="P79">
        <v>23546</v>
      </c>
      <c r="Q79">
        <v>37195</v>
      </c>
      <c r="R79">
        <v>5194</v>
      </c>
      <c r="S79">
        <v>5769</v>
      </c>
      <c r="T79">
        <v>250</v>
      </c>
      <c r="U79">
        <v>5827</v>
      </c>
      <c r="V79">
        <v>2488</v>
      </c>
      <c r="W79">
        <v>985</v>
      </c>
      <c r="X79">
        <v>3832</v>
      </c>
      <c r="Y79">
        <v>7262</v>
      </c>
      <c r="Z79">
        <v>760</v>
      </c>
      <c r="AA79">
        <v>23514</v>
      </c>
      <c r="AB79">
        <v>1256</v>
      </c>
      <c r="AC79">
        <v>11919</v>
      </c>
      <c r="AD79">
        <v>9352</v>
      </c>
      <c r="AE79">
        <v>808</v>
      </c>
      <c r="AF79">
        <v>1141</v>
      </c>
    </row>
    <row r="80" spans="1:32" x14ac:dyDescent="0.35">
      <c r="A80" t="s">
        <v>106</v>
      </c>
      <c r="B80">
        <v>44932</v>
      </c>
      <c r="C80">
        <v>106839</v>
      </c>
      <c r="D80">
        <v>60065</v>
      </c>
      <c r="E80">
        <v>91379</v>
      </c>
      <c r="F80">
        <v>43295</v>
      </c>
      <c r="G80">
        <v>28326</v>
      </c>
      <c r="H80">
        <v>309</v>
      </c>
      <c r="I80">
        <v>3512</v>
      </c>
      <c r="J80">
        <v>545</v>
      </c>
      <c r="K80">
        <v>695</v>
      </c>
      <c r="L80">
        <v>9096</v>
      </c>
      <c r="M80">
        <v>16273</v>
      </c>
      <c r="N80">
        <v>0</v>
      </c>
      <c r="O80">
        <v>3173</v>
      </c>
      <c r="P80">
        <v>15764</v>
      </c>
      <c r="Q80">
        <v>29283</v>
      </c>
      <c r="R80">
        <v>2132</v>
      </c>
      <c r="S80">
        <v>2371</v>
      </c>
      <c r="T80">
        <v>340</v>
      </c>
      <c r="U80">
        <v>5153</v>
      </c>
      <c r="V80">
        <v>1578</v>
      </c>
      <c r="W80">
        <v>713</v>
      </c>
      <c r="X80">
        <v>6092</v>
      </c>
      <c r="Y80">
        <v>7482</v>
      </c>
      <c r="Z80">
        <v>926</v>
      </c>
      <c r="AA80">
        <v>20214</v>
      </c>
      <c r="AB80">
        <v>1505</v>
      </c>
      <c r="AC80">
        <v>9261</v>
      </c>
      <c r="AD80">
        <v>8220</v>
      </c>
      <c r="AE80">
        <v>1066</v>
      </c>
      <c r="AF80">
        <v>1516</v>
      </c>
    </row>
    <row r="81" spans="1:32" x14ac:dyDescent="0.35">
      <c r="A81" t="s">
        <v>107</v>
      </c>
      <c r="B81">
        <v>34504</v>
      </c>
      <c r="C81">
        <v>78264</v>
      </c>
      <c r="D81">
        <v>44077</v>
      </c>
      <c r="E81">
        <v>58109</v>
      </c>
      <c r="F81">
        <v>45576</v>
      </c>
      <c r="G81">
        <v>29454</v>
      </c>
      <c r="H81">
        <v>515</v>
      </c>
      <c r="I81">
        <v>4064</v>
      </c>
      <c r="J81">
        <v>569</v>
      </c>
      <c r="K81">
        <v>805</v>
      </c>
      <c r="L81">
        <v>7287</v>
      </c>
      <c r="M81">
        <v>15510</v>
      </c>
      <c r="N81">
        <v>0</v>
      </c>
      <c r="O81">
        <v>2851</v>
      </c>
      <c r="P81">
        <v>14621</v>
      </c>
      <c r="Q81">
        <v>24414</v>
      </c>
      <c r="R81">
        <v>2104</v>
      </c>
      <c r="S81">
        <v>2158</v>
      </c>
      <c r="T81">
        <v>406</v>
      </c>
      <c r="U81">
        <v>3764</v>
      </c>
      <c r="V81">
        <v>1751</v>
      </c>
      <c r="W81">
        <v>567</v>
      </c>
      <c r="X81">
        <v>5119</v>
      </c>
      <c r="Y81">
        <v>8601</v>
      </c>
      <c r="Z81">
        <v>738</v>
      </c>
      <c r="AA81">
        <v>12747</v>
      </c>
      <c r="AB81">
        <v>1020</v>
      </c>
      <c r="AC81">
        <v>5996</v>
      </c>
      <c r="AD81">
        <v>5802</v>
      </c>
      <c r="AE81">
        <v>917</v>
      </c>
      <c r="AF81">
        <v>1254</v>
      </c>
    </row>
    <row r="82" spans="1:32" x14ac:dyDescent="0.35">
      <c r="A82" t="s">
        <v>108</v>
      </c>
      <c r="B82">
        <v>39475</v>
      </c>
      <c r="C82">
        <v>84554</v>
      </c>
      <c r="D82">
        <v>46069</v>
      </c>
      <c r="E82">
        <v>60129</v>
      </c>
      <c r="F82">
        <v>45844</v>
      </c>
      <c r="G82">
        <v>30238</v>
      </c>
      <c r="H82">
        <v>597</v>
      </c>
      <c r="I82">
        <v>4061</v>
      </c>
      <c r="J82">
        <v>638</v>
      </c>
      <c r="K82">
        <v>983</v>
      </c>
      <c r="L82">
        <v>9420</v>
      </c>
      <c r="M82">
        <v>17440</v>
      </c>
      <c r="N82">
        <v>0</v>
      </c>
      <c r="O82">
        <v>1208</v>
      </c>
      <c r="P82">
        <v>20296</v>
      </c>
      <c r="Q82">
        <v>26212</v>
      </c>
      <c r="R82">
        <v>2542</v>
      </c>
      <c r="S82">
        <v>3654</v>
      </c>
      <c r="T82">
        <v>306</v>
      </c>
      <c r="U82">
        <v>3814</v>
      </c>
      <c r="V82">
        <v>1312</v>
      </c>
      <c r="W82">
        <v>2611</v>
      </c>
      <c r="X82">
        <v>5310</v>
      </c>
      <c r="Y82">
        <v>5213</v>
      </c>
      <c r="Z82">
        <v>800</v>
      </c>
      <c r="AA82">
        <v>14795</v>
      </c>
      <c r="AB82">
        <v>1229</v>
      </c>
      <c r="AC82">
        <v>7128</v>
      </c>
      <c r="AD82">
        <v>7592</v>
      </c>
      <c r="AE82">
        <v>655</v>
      </c>
      <c r="AF82">
        <v>895</v>
      </c>
    </row>
    <row r="83" spans="1:32" x14ac:dyDescent="0.35">
      <c r="A83" t="s">
        <v>109</v>
      </c>
      <c r="B83">
        <v>37076</v>
      </c>
      <c r="C83">
        <v>82226</v>
      </c>
      <c r="D83">
        <v>45864</v>
      </c>
      <c r="E83">
        <v>53052</v>
      </c>
      <c r="F83">
        <v>30719</v>
      </c>
      <c r="G83">
        <v>20950</v>
      </c>
      <c r="H83">
        <v>375</v>
      </c>
      <c r="I83">
        <v>3057</v>
      </c>
      <c r="J83">
        <v>449</v>
      </c>
      <c r="K83">
        <v>706</v>
      </c>
      <c r="L83">
        <v>7327</v>
      </c>
      <c r="M83">
        <v>16830</v>
      </c>
      <c r="N83">
        <v>0</v>
      </c>
      <c r="O83">
        <v>2426</v>
      </c>
      <c r="P83">
        <v>15868</v>
      </c>
      <c r="Q83">
        <v>25486</v>
      </c>
      <c r="R83">
        <v>2247</v>
      </c>
      <c r="S83">
        <v>2313</v>
      </c>
      <c r="T83">
        <v>266</v>
      </c>
      <c r="U83">
        <v>4233</v>
      </c>
      <c r="V83">
        <v>1283</v>
      </c>
      <c r="W83">
        <v>541</v>
      </c>
      <c r="X83">
        <v>3986</v>
      </c>
      <c r="Y83">
        <v>5494</v>
      </c>
      <c r="Z83">
        <v>702</v>
      </c>
      <c r="AA83">
        <v>14250</v>
      </c>
      <c r="AB83">
        <v>958</v>
      </c>
      <c r="AC83">
        <v>6243</v>
      </c>
      <c r="AD83">
        <v>6313</v>
      </c>
      <c r="AE83">
        <v>668</v>
      </c>
      <c r="AF83">
        <v>974</v>
      </c>
    </row>
    <row r="84" spans="1:32" x14ac:dyDescent="0.35">
      <c r="A84" t="s">
        <v>110</v>
      </c>
      <c r="B84">
        <v>39427</v>
      </c>
      <c r="C84">
        <v>96523</v>
      </c>
      <c r="D84">
        <v>52299</v>
      </c>
      <c r="E84">
        <v>70000</v>
      </c>
      <c r="F84">
        <v>40392</v>
      </c>
      <c r="G84">
        <v>28876</v>
      </c>
      <c r="H84">
        <v>289</v>
      </c>
      <c r="I84">
        <v>3896</v>
      </c>
      <c r="J84">
        <v>991</v>
      </c>
      <c r="K84">
        <v>1434</v>
      </c>
      <c r="L84">
        <v>10624</v>
      </c>
      <c r="M84">
        <v>19002</v>
      </c>
      <c r="N84">
        <v>0</v>
      </c>
      <c r="O84">
        <v>1282</v>
      </c>
      <c r="P84">
        <v>21413</v>
      </c>
      <c r="Q84">
        <v>29614</v>
      </c>
      <c r="R84">
        <v>3136</v>
      </c>
      <c r="S84">
        <v>4129</v>
      </c>
      <c r="T84">
        <v>643</v>
      </c>
      <c r="U84">
        <v>4332</v>
      </c>
      <c r="V84">
        <v>1293</v>
      </c>
      <c r="W84">
        <v>673</v>
      </c>
      <c r="X84">
        <v>10245</v>
      </c>
      <c r="Y84">
        <v>5963</v>
      </c>
      <c r="Z84">
        <v>875</v>
      </c>
      <c r="AA84">
        <v>18684</v>
      </c>
      <c r="AB84">
        <v>1561</v>
      </c>
      <c r="AC84">
        <v>8626</v>
      </c>
      <c r="AD84">
        <v>8477</v>
      </c>
      <c r="AE84">
        <v>1068</v>
      </c>
      <c r="AF84">
        <v>1558</v>
      </c>
    </row>
    <row r="85" spans="1:32" x14ac:dyDescent="0.35">
      <c r="A85" t="s">
        <v>155</v>
      </c>
      <c r="B85">
        <v>46838</v>
      </c>
      <c r="C85">
        <v>81890</v>
      </c>
      <c r="D85">
        <v>41259</v>
      </c>
      <c r="E85">
        <v>51449</v>
      </c>
      <c r="F85">
        <v>29818</v>
      </c>
      <c r="G85">
        <v>19175</v>
      </c>
      <c r="H85">
        <v>433</v>
      </c>
      <c r="I85">
        <v>2667</v>
      </c>
      <c r="J85">
        <v>235</v>
      </c>
      <c r="K85">
        <v>307</v>
      </c>
      <c r="L85">
        <v>6169</v>
      </c>
      <c r="M85">
        <v>11353</v>
      </c>
      <c r="N85">
        <v>0</v>
      </c>
      <c r="O85">
        <v>10567</v>
      </c>
      <c r="P85">
        <v>11006</v>
      </c>
      <c r="Q85">
        <v>17783</v>
      </c>
      <c r="R85">
        <v>4387</v>
      </c>
      <c r="S85">
        <v>1124</v>
      </c>
      <c r="T85">
        <v>0</v>
      </c>
      <c r="U85">
        <v>4715</v>
      </c>
      <c r="V85">
        <v>1247</v>
      </c>
      <c r="W85">
        <v>635</v>
      </c>
      <c r="X85">
        <v>4242</v>
      </c>
      <c r="Y85">
        <v>6215</v>
      </c>
      <c r="Z85">
        <v>875</v>
      </c>
      <c r="AA85">
        <v>17051</v>
      </c>
      <c r="AB85">
        <v>1215</v>
      </c>
      <c r="AC85">
        <v>8428</v>
      </c>
      <c r="AD85">
        <v>7429</v>
      </c>
      <c r="AE85">
        <v>1136</v>
      </c>
      <c r="AF85">
        <v>1804</v>
      </c>
    </row>
    <row r="86" spans="1:32" x14ac:dyDescent="0.35">
      <c r="A86" t="s">
        <v>156</v>
      </c>
      <c r="B86">
        <v>75040</v>
      </c>
      <c r="C86">
        <v>149645</v>
      </c>
      <c r="D86">
        <v>72559</v>
      </c>
      <c r="E86">
        <v>103088</v>
      </c>
      <c r="F86">
        <v>42255</v>
      </c>
      <c r="G86">
        <v>34390</v>
      </c>
      <c r="H86">
        <v>880</v>
      </c>
      <c r="I86">
        <v>4497</v>
      </c>
      <c r="J86">
        <v>1782</v>
      </c>
      <c r="K86">
        <v>1079</v>
      </c>
      <c r="L86">
        <v>22501</v>
      </c>
      <c r="M86">
        <v>41165</v>
      </c>
      <c r="N86">
        <v>993</v>
      </c>
      <c r="O86">
        <v>7841</v>
      </c>
      <c r="P86">
        <v>22991</v>
      </c>
      <c r="Q86">
        <v>42295</v>
      </c>
      <c r="R86">
        <v>3997</v>
      </c>
      <c r="S86">
        <v>4608</v>
      </c>
      <c r="T86">
        <v>516</v>
      </c>
      <c r="U86">
        <v>6814</v>
      </c>
      <c r="V86">
        <v>2197</v>
      </c>
      <c r="W86">
        <v>1204</v>
      </c>
      <c r="X86">
        <v>10400</v>
      </c>
      <c r="Y86">
        <v>8747</v>
      </c>
      <c r="Z86">
        <v>1662</v>
      </c>
      <c r="AA86">
        <v>31353</v>
      </c>
      <c r="AB86">
        <v>2414</v>
      </c>
      <c r="AC86">
        <v>17390</v>
      </c>
      <c r="AD86">
        <v>10356</v>
      </c>
      <c r="AE86">
        <v>1861</v>
      </c>
      <c r="AF86">
        <v>2557</v>
      </c>
    </row>
    <row r="87" spans="1:32" x14ac:dyDescent="0.35">
      <c r="A87" t="s">
        <v>157</v>
      </c>
      <c r="B87">
        <v>74388</v>
      </c>
      <c r="C87">
        <v>152062</v>
      </c>
      <c r="D87">
        <v>73127</v>
      </c>
      <c r="E87">
        <v>103488</v>
      </c>
      <c r="F87">
        <v>57487</v>
      </c>
      <c r="G87">
        <v>41477</v>
      </c>
      <c r="H87">
        <v>540</v>
      </c>
      <c r="I87">
        <v>3299</v>
      </c>
      <c r="J87">
        <v>1074</v>
      </c>
      <c r="K87">
        <v>1485</v>
      </c>
      <c r="L87">
        <v>14969</v>
      </c>
      <c r="M87">
        <v>33866</v>
      </c>
      <c r="N87">
        <v>993</v>
      </c>
      <c r="O87">
        <v>7856</v>
      </c>
      <c r="P87">
        <v>20446</v>
      </c>
      <c r="Q87">
        <v>31457</v>
      </c>
      <c r="R87">
        <v>4043</v>
      </c>
      <c r="S87">
        <v>4768</v>
      </c>
      <c r="T87">
        <v>430</v>
      </c>
      <c r="U87">
        <v>7399</v>
      </c>
      <c r="V87">
        <v>2973</v>
      </c>
      <c r="W87">
        <v>1521</v>
      </c>
      <c r="X87">
        <v>8866</v>
      </c>
      <c r="Y87">
        <v>13296</v>
      </c>
      <c r="Z87">
        <v>1664</v>
      </c>
      <c r="AA87">
        <v>26825</v>
      </c>
      <c r="AB87">
        <v>1781</v>
      </c>
      <c r="AC87">
        <v>21045</v>
      </c>
      <c r="AD87">
        <v>13730</v>
      </c>
      <c r="AE87">
        <v>954</v>
      </c>
      <c r="AF87">
        <v>1803</v>
      </c>
    </row>
    <row r="88" spans="1:32" x14ac:dyDescent="0.35">
      <c r="A88" t="s">
        <v>158</v>
      </c>
      <c r="B88">
        <v>83110</v>
      </c>
      <c r="C88">
        <v>163240</v>
      </c>
      <c r="D88">
        <v>77084</v>
      </c>
      <c r="E88">
        <v>104575</v>
      </c>
      <c r="F88">
        <v>60009</v>
      </c>
      <c r="G88">
        <v>47996</v>
      </c>
      <c r="H88">
        <v>758</v>
      </c>
      <c r="I88">
        <v>4873</v>
      </c>
      <c r="J88">
        <v>923</v>
      </c>
      <c r="K88">
        <v>1815</v>
      </c>
      <c r="L88">
        <v>20531</v>
      </c>
      <c r="M88">
        <v>43449</v>
      </c>
      <c r="N88">
        <v>983</v>
      </c>
      <c r="O88">
        <v>9600</v>
      </c>
      <c r="P88">
        <v>21694</v>
      </c>
      <c r="Q88">
        <v>34162</v>
      </c>
      <c r="R88">
        <v>5312</v>
      </c>
      <c r="S88">
        <v>6204</v>
      </c>
      <c r="T88">
        <v>410</v>
      </c>
      <c r="U88">
        <v>9364</v>
      </c>
      <c r="V88">
        <v>3415</v>
      </c>
      <c r="W88">
        <v>1709</v>
      </c>
      <c r="X88">
        <v>10593</v>
      </c>
      <c r="Y88">
        <v>14367</v>
      </c>
      <c r="Z88">
        <v>1844</v>
      </c>
      <c r="AA88">
        <v>37254</v>
      </c>
      <c r="AB88">
        <v>3302</v>
      </c>
      <c r="AC88">
        <v>21584</v>
      </c>
      <c r="AD88">
        <v>12215</v>
      </c>
      <c r="AE88">
        <v>3004</v>
      </c>
      <c r="AF88">
        <v>4727</v>
      </c>
    </row>
    <row r="89" spans="1:32" x14ac:dyDescent="0.35">
      <c r="A89" t="s">
        <v>181</v>
      </c>
      <c r="B89">
        <v>44813</v>
      </c>
      <c r="C89">
        <v>94004</v>
      </c>
      <c r="D89">
        <v>45169</v>
      </c>
      <c r="E89">
        <v>50567</v>
      </c>
      <c r="F89">
        <v>45622</v>
      </c>
      <c r="G89">
        <v>39293</v>
      </c>
      <c r="H89">
        <v>632</v>
      </c>
      <c r="I89">
        <v>5440</v>
      </c>
      <c r="J89">
        <v>511</v>
      </c>
      <c r="K89">
        <v>773</v>
      </c>
      <c r="L89">
        <v>7767</v>
      </c>
      <c r="M89">
        <v>16916</v>
      </c>
      <c r="N89">
        <v>0</v>
      </c>
      <c r="O89">
        <v>5535</v>
      </c>
      <c r="P89">
        <v>14291</v>
      </c>
      <c r="Q89">
        <v>21249</v>
      </c>
      <c r="R89">
        <v>4451</v>
      </c>
      <c r="S89">
        <v>4231</v>
      </c>
      <c r="T89">
        <v>0</v>
      </c>
      <c r="U89">
        <v>5434</v>
      </c>
      <c r="V89">
        <v>1557</v>
      </c>
      <c r="W89">
        <v>346</v>
      </c>
      <c r="X89">
        <v>6041</v>
      </c>
      <c r="Y89">
        <v>9670</v>
      </c>
      <c r="Z89">
        <v>827</v>
      </c>
      <c r="AA89">
        <v>15952</v>
      </c>
      <c r="AB89">
        <v>1362</v>
      </c>
      <c r="AC89">
        <v>7928</v>
      </c>
      <c r="AD89">
        <v>7872</v>
      </c>
      <c r="AE89">
        <v>1385</v>
      </c>
      <c r="AF89">
        <v>1774</v>
      </c>
    </row>
    <row r="90" spans="1:32" x14ac:dyDescent="0.35">
      <c r="A90" t="s">
        <v>182</v>
      </c>
      <c r="B90">
        <v>33254</v>
      </c>
      <c r="C90">
        <v>69841</v>
      </c>
      <c r="D90">
        <v>32909</v>
      </c>
      <c r="E90">
        <v>40648</v>
      </c>
      <c r="F90">
        <v>33584</v>
      </c>
      <c r="G90">
        <v>25330</v>
      </c>
      <c r="H90">
        <v>305</v>
      </c>
      <c r="I90">
        <v>3874</v>
      </c>
      <c r="J90">
        <v>422</v>
      </c>
      <c r="K90">
        <v>578</v>
      </c>
      <c r="L90">
        <v>5483</v>
      </c>
      <c r="M90">
        <v>11460</v>
      </c>
      <c r="N90">
        <v>0</v>
      </c>
      <c r="O90">
        <v>1422</v>
      </c>
      <c r="P90">
        <v>11665</v>
      </c>
      <c r="Q90">
        <v>16550</v>
      </c>
      <c r="R90">
        <v>2382</v>
      </c>
      <c r="S90">
        <v>2303</v>
      </c>
      <c r="T90">
        <v>250</v>
      </c>
      <c r="U90">
        <v>2901</v>
      </c>
      <c r="V90">
        <v>1001</v>
      </c>
      <c r="W90">
        <v>246</v>
      </c>
      <c r="X90">
        <v>3699</v>
      </c>
      <c r="Y90">
        <v>5889</v>
      </c>
      <c r="Z90">
        <v>590</v>
      </c>
      <c r="AA90">
        <v>9602</v>
      </c>
      <c r="AB90">
        <v>800</v>
      </c>
      <c r="AC90">
        <v>5246</v>
      </c>
      <c r="AD90">
        <v>3806</v>
      </c>
      <c r="AE90">
        <v>565</v>
      </c>
      <c r="AF90">
        <v>850</v>
      </c>
    </row>
    <row r="91" spans="1:32" x14ac:dyDescent="0.35">
      <c r="A91" t="s">
        <v>183</v>
      </c>
      <c r="B91">
        <v>77992</v>
      </c>
      <c r="C91">
        <v>139325</v>
      </c>
      <c r="D91">
        <v>52071</v>
      </c>
      <c r="E91">
        <v>53046</v>
      </c>
      <c r="F91">
        <v>61612</v>
      </c>
      <c r="G91">
        <v>57579</v>
      </c>
      <c r="H91">
        <v>697</v>
      </c>
      <c r="I91">
        <v>5446</v>
      </c>
      <c r="J91">
        <v>741</v>
      </c>
      <c r="K91">
        <v>984</v>
      </c>
      <c r="L91">
        <v>8873</v>
      </c>
      <c r="M91">
        <v>21927</v>
      </c>
      <c r="N91">
        <v>987</v>
      </c>
      <c r="O91">
        <v>1149</v>
      </c>
      <c r="P91">
        <v>24122</v>
      </c>
      <c r="Q91">
        <v>33657</v>
      </c>
      <c r="R91">
        <v>8265</v>
      </c>
      <c r="S91">
        <v>11283</v>
      </c>
      <c r="T91">
        <v>508</v>
      </c>
      <c r="U91">
        <v>8806</v>
      </c>
      <c r="V91">
        <v>3210</v>
      </c>
      <c r="W91">
        <v>479</v>
      </c>
      <c r="X91">
        <v>4590</v>
      </c>
      <c r="Y91">
        <v>7725</v>
      </c>
      <c r="Z91">
        <v>1143</v>
      </c>
      <c r="AA91">
        <v>21942</v>
      </c>
      <c r="AB91">
        <v>1925</v>
      </c>
      <c r="AC91">
        <v>11743</v>
      </c>
      <c r="AD91">
        <v>9415</v>
      </c>
      <c r="AE91">
        <v>2381</v>
      </c>
      <c r="AF91">
        <v>4848</v>
      </c>
    </row>
    <row r="92" spans="1:32" x14ac:dyDescent="0.35">
      <c r="A92" t="s">
        <v>184</v>
      </c>
      <c r="B92">
        <v>48343</v>
      </c>
      <c r="C92">
        <v>76950</v>
      </c>
      <c r="D92">
        <v>27236</v>
      </c>
      <c r="E92">
        <v>28002</v>
      </c>
      <c r="F92">
        <v>32021</v>
      </c>
      <c r="G92">
        <v>31195</v>
      </c>
      <c r="H92">
        <v>331</v>
      </c>
      <c r="I92">
        <v>3811</v>
      </c>
      <c r="J92">
        <v>319</v>
      </c>
      <c r="K92">
        <v>457</v>
      </c>
      <c r="L92">
        <v>6530</v>
      </c>
      <c r="M92">
        <v>11336</v>
      </c>
      <c r="N92">
        <v>0</v>
      </c>
      <c r="O92">
        <v>971</v>
      </c>
      <c r="P92">
        <v>15249</v>
      </c>
      <c r="Q92">
        <v>22852</v>
      </c>
      <c r="R92">
        <v>2975</v>
      </c>
      <c r="S92">
        <v>2990</v>
      </c>
      <c r="T92">
        <v>251</v>
      </c>
      <c r="U92">
        <v>4885</v>
      </c>
      <c r="V92">
        <v>1325</v>
      </c>
      <c r="W92">
        <v>265</v>
      </c>
      <c r="X92">
        <v>3033</v>
      </c>
      <c r="Y92">
        <v>5024</v>
      </c>
      <c r="Z92">
        <v>629</v>
      </c>
      <c r="AA92">
        <v>8788</v>
      </c>
      <c r="AB92">
        <v>984</v>
      </c>
      <c r="AC92">
        <v>4834</v>
      </c>
      <c r="AD92">
        <v>4559</v>
      </c>
      <c r="AE92">
        <v>830</v>
      </c>
      <c r="AF92">
        <v>1313</v>
      </c>
    </row>
    <row r="93" spans="1:32" x14ac:dyDescent="0.35">
      <c r="A93" t="s">
        <v>185</v>
      </c>
      <c r="B93">
        <v>34618</v>
      </c>
      <c r="C93">
        <v>65384</v>
      </c>
      <c r="D93">
        <v>26862</v>
      </c>
      <c r="E93">
        <v>39996</v>
      </c>
      <c r="F93">
        <v>29289</v>
      </c>
      <c r="G93">
        <v>25489</v>
      </c>
      <c r="H93">
        <v>370</v>
      </c>
      <c r="I93">
        <v>2511</v>
      </c>
      <c r="J93">
        <v>424</v>
      </c>
      <c r="K93">
        <v>679</v>
      </c>
      <c r="L93">
        <v>6501</v>
      </c>
      <c r="M93">
        <v>12545</v>
      </c>
      <c r="N93">
        <v>0</v>
      </c>
      <c r="O93">
        <v>976</v>
      </c>
      <c r="P93">
        <v>13554</v>
      </c>
      <c r="Q93">
        <v>20616</v>
      </c>
      <c r="R93">
        <v>2505</v>
      </c>
      <c r="S93">
        <v>2557</v>
      </c>
      <c r="T93">
        <v>0</v>
      </c>
      <c r="U93">
        <v>3717</v>
      </c>
      <c r="V93">
        <v>1727</v>
      </c>
      <c r="W93">
        <v>236</v>
      </c>
      <c r="X93">
        <v>1622</v>
      </c>
      <c r="Y93">
        <v>2735</v>
      </c>
      <c r="Z93">
        <v>592</v>
      </c>
      <c r="AA93">
        <v>8168</v>
      </c>
      <c r="AB93">
        <v>663</v>
      </c>
      <c r="AC93">
        <v>4315</v>
      </c>
      <c r="AD93">
        <v>3455</v>
      </c>
      <c r="AE93">
        <v>534</v>
      </c>
      <c r="AF93">
        <v>731</v>
      </c>
    </row>
    <row r="94" spans="1:32" x14ac:dyDescent="0.35">
      <c r="A94" t="s">
        <v>186</v>
      </c>
      <c r="B94">
        <v>42352</v>
      </c>
      <c r="C94">
        <v>90592</v>
      </c>
      <c r="D94">
        <v>35228</v>
      </c>
      <c r="E94">
        <v>39312</v>
      </c>
      <c r="F94">
        <v>41422</v>
      </c>
      <c r="G94">
        <v>36420</v>
      </c>
      <c r="H94">
        <v>389</v>
      </c>
      <c r="I94">
        <v>2597</v>
      </c>
      <c r="J94">
        <v>635</v>
      </c>
      <c r="K94">
        <v>419</v>
      </c>
      <c r="L94">
        <v>7613</v>
      </c>
      <c r="M94">
        <v>15573</v>
      </c>
      <c r="N94">
        <v>0</v>
      </c>
      <c r="O94">
        <v>956</v>
      </c>
      <c r="P94">
        <v>16702</v>
      </c>
      <c r="Q94">
        <v>14422</v>
      </c>
      <c r="R94">
        <v>3534</v>
      </c>
      <c r="S94">
        <v>5954</v>
      </c>
      <c r="T94">
        <v>395</v>
      </c>
      <c r="U94">
        <v>5386</v>
      </c>
      <c r="V94">
        <v>1467</v>
      </c>
      <c r="W94">
        <v>730</v>
      </c>
      <c r="X94">
        <v>6343</v>
      </c>
      <c r="Y94">
        <v>7402</v>
      </c>
      <c r="Z94">
        <v>730</v>
      </c>
      <c r="AA94">
        <v>10261</v>
      </c>
      <c r="AB94">
        <v>711</v>
      </c>
      <c r="AC94">
        <v>5331</v>
      </c>
      <c r="AD94">
        <v>7815</v>
      </c>
      <c r="AE94">
        <v>2003</v>
      </c>
      <c r="AF94">
        <v>3464</v>
      </c>
    </row>
    <row r="95" spans="1:32" x14ac:dyDescent="0.35">
      <c r="A95" t="s">
        <v>187</v>
      </c>
      <c r="B95">
        <v>38887</v>
      </c>
      <c r="C95">
        <v>85456</v>
      </c>
      <c r="D95">
        <v>32504</v>
      </c>
      <c r="E95">
        <v>36603</v>
      </c>
      <c r="F95">
        <v>37179</v>
      </c>
      <c r="G95">
        <v>33020</v>
      </c>
      <c r="H95">
        <v>256</v>
      </c>
      <c r="I95">
        <v>1743</v>
      </c>
      <c r="J95">
        <v>839</v>
      </c>
      <c r="K95">
        <v>656</v>
      </c>
      <c r="L95">
        <v>5854</v>
      </c>
      <c r="M95">
        <v>14890</v>
      </c>
      <c r="N95">
        <v>0</v>
      </c>
      <c r="O95">
        <v>968</v>
      </c>
      <c r="P95">
        <v>15505</v>
      </c>
      <c r="Q95">
        <v>16767</v>
      </c>
      <c r="R95">
        <v>3135</v>
      </c>
      <c r="S95">
        <v>5186</v>
      </c>
      <c r="T95">
        <v>250</v>
      </c>
      <c r="U95">
        <v>5470</v>
      </c>
      <c r="V95">
        <v>1303</v>
      </c>
      <c r="W95">
        <v>283</v>
      </c>
      <c r="X95">
        <v>5919</v>
      </c>
      <c r="Y95">
        <v>3677</v>
      </c>
      <c r="Z95">
        <v>673</v>
      </c>
      <c r="AA95">
        <v>9313</v>
      </c>
      <c r="AB95">
        <v>987</v>
      </c>
      <c r="AC95">
        <v>4606</v>
      </c>
      <c r="AD95">
        <v>7521</v>
      </c>
      <c r="AE95">
        <v>744</v>
      </c>
      <c r="AF95">
        <v>1295</v>
      </c>
    </row>
    <row r="96" spans="1:32" x14ac:dyDescent="0.35">
      <c r="A96" t="s">
        <v>188</v>
      </c>
      <c r="B96">
        <v>45606</v>
      </c>
      <c r="C96">
        <v>97664</v>
      </c>
      <c r="D96">
        <v>41991</v>
      </c>
      <c r="E96">
        <v>43399</v>
      </c>
      <c r="F96">
        <v>54063</v>
      </c>
      <c r="G96">
        <v>43645</v>
      </c>
      <c r="H96">
        <v>476</v>
      </c>
      <c r="I96">
        <v>2845</v>
      </c>
      <c r="J96">
        <v>744</v>
      </c>
      <c r="K96">
        <v>1558</v>
      </c>
      <c r="L96">
        <v>10693</v>
      </c>
      <c r="M96">
        <v>22473</v>
      </c>
      <c r="N96">
        <v>0</v>
      </c>
      <c r="O96">
        <v>1233</v>
      </c>
      <c r="P96">
        <v>21893</v>
      </c>
      <c r="Q96">
        <v>20028</v>
      </c>
      <c r="R96">
        <v>4292</v>
      </c>
      <c r="S96">
        <v>5689</v>
      </c>
      <c r="T96">
        <v>385</v>
      </c>
      <c r="U96">
        <v>7169</v>
      </c>
      <c r="V96">
        <v>1858</v>
      </c>
      <c r="W96">
        <v>371</v>
      </c>
      <c r="X96">
        <v>10504</v>
      </c>
      <c r="Y96">
        <v>9853</v>
      </c>
      <c r="Z96">
        <v>884</v>
      </c>
      <c r="AA96">
        <v>13573</v>
      </c>
      <c r="AB96">
        <v>1342</v>
      </c>
      <c r="AC96">
        <v>6120</v>
      </c>
      <c r="AD96">
        <v>11315</v>
      </c>
      <c r="AE96">
        <v>1988</v>
      </c>
      <c r="AF96">
        <v>3787</v>
      </c>
    </row>
    <row r="97" spans="1:32" x14ac:dyDescent="0.35">
      <c r="A97" t="s">
        <v>189</v>
      </c>
      <c r="B97">
        <v>44773</v>
      </c>
      <c r="C97">
        <v>70168</v>
      </c>
      <c r="D97">
        <v>25629</v>
      </c>
      <c r="E97">
        <v>22457</v>
      </c>
      <c r="F97">
        <v>31041</v>
      </c>
      <c r="G97">
        <v>27211</v>
      </c>
      <c r="H97">
        <v>417</v>
      </c>
      <c r="I97">
        <v>2900</v>
      </c>
      <c r="J97">
        <v>599</v>
      </c>
      <c r="K97">
        <v>887</v>
      </c>
      <c r="L97">
        <v>5152</v>
      </c>
      <c r="M97">
        <v>10582</v>
      </c>
      <c r="N97">
        <v>0</v>
      </c>
      <c r="O97">
        <v>971</v>
      </c>
      <c r="P97">
        <v>13442</v>
      </c>
      <c r="Q97">
        <v>30046</v>
      </c>
      <c r="R97">
        <v>4361</v>
      </c>
      <c r="S97">
        <v>5313</v>
      </c>
      <c r="T97">
        <v>335</v>
      </c>
      <c r="U97">
        <v>6193</v>
      </c>
      <c r="V97">
        <v>1780</v>
      </c>
      <c r="W97">
        <v>257</v>
      </c>
      <c r="X97">
        <v>1752</v>
      </c>
      <c r="Y97">
        <v>2955</v>
      </c>
      <c r="Z97">
        <v>610</v>
      </c>
      <c r="AA97">
        <v>11582</v>
      </c>
      <c r="AB97">
        <v>829</v>
      </c>
      <c r="AC97">
        <v>6960</v>
      </c>
      <c r="AD97">
        <v>6315</v>
      </c>
      <c r="AE97">
        <v>710</v>
      </c>
      <c r="AF97">
        <v>1030</v>
      </c>
    </row>
    <row r="98" spans="1:32" x14ac:dyDescent="0.35">
      <c r="A98" t="s">
        <v>190</v>
      </c>
      <c r="B98">
        <v>45930</v>
      </c>
      <c r="C98">
        <v>76064</v>
      </c>
      <c r="D98">
        <v>28127</v>
      </c>
      <c r="E98">
        <v>25011</v>
      </c>
      <c r="F98">
        <v>34117</v>
      </c>
      <c r="G98">
        <v>30786</v>
      </c>
      <c r="H98">
        <v>463</v>
      </c>
      <c r="I98">
        <v>4277</v>
      </c>
      <c r="J98">
        <v>593</v>
      </c>
      <c r="K98">
        <v>807</v>
      </c>
      <c r="L98">
        <v>5480</v>
      </c>
      <c r="M98">
        <v>12124</v>
      </c>
      <c r="N98">
        <v>0</v>
      </c>
      <c r="O98">
        <v>2899</v>
      </c>
      <c r="P98">
        <v>20253</v>
      </c>
      <c r="Q98">
        <v>24691</v>
      </c>
      <c r="R98">
        <v>5997</v>
      </c>
      <c r="S98">
        <v>8961</v>
      </c>
      <c r="T98">
        <v>458</v>
      </c>
      <c r="U98">
        <v>9081</v>
      </c>
      <c r="V98">
        <v>2576</v>
      </c>
      <c r="W98">
        <v>297</v>
      </c>
      <c r="X98">
        <v>5905</v>
      </c>
      <c r="Y98">
        <v>9053</v>
      </c>
      <c r="Z98">
        <v>3240</v>
      </c>
      <c r="AA98">
        <v>12528</v>
      </c>
      <c r="AB98">
        <v>763</v>
      </c>
      <c r="AC98">
        <v>6394</v>
      </c>
      <c r="AD98">
        <v>9650</v>
      </c>
      <c r="AE98">
        <v>1565</v>
      </c>
      <c r="AF98">
        <v>2262</v>
      </c>
    </row>
    <row r="99" spans="1:32" x14ac:dyDescent="0.35">
      <c r="A99" t="s">
        <v>191</v>
      </c>
      <c r="B99">
        <v>27845</v>
      </c>
      <c r="C99">
        <v>46283</v>
      </c>
      <c r="D99">
        <v>18582</v>
      </c>
      <c r="E99">
        <v>17249</v>
      </c>
      <c r="F99">
        <v>25142</v>
      </c>
      <c r="G99">
        <v>21757</v>
      </c>
      <c r="H99">
        <v>228</v>
      </c>
      <c r="I99">
        <v>1697</v>
      </c>
      <c r="J99">
        <v>293</v>
      </c>
      <c r="K99">
        <v>716</v>
      </c>
      <c r="L99">
        <v>4308</v>
      </c>
      <c r="M99">
        <v>9181</v>
      </c>
      <c r="N99">
        <v>0</v>
      </c>
      <c r="O99">
        <v>2666</v>
      </c>
      <c r="P99">
        <v>13081</v>
      </c>
      <c r="Q99">
        <v>9338</v>
      </c>
      <c r="R99">
        <v>5064</v>
      </c>
      <c r="S99">
        <v>7094</v>
      </c>
      <c r="T99">
        <v>356</v>
      </c>
      <c r="U99">
        <v>5336</v>
      </c>
      <c r="V99">
        <v>2279</v>
      </c>
      <c r="W99">
        <v>301</v>
      </c>
      <c r="X99">
        <v>1454</v>
      </c>
      <c r="Y99">
        <v>5139</v>
      </c>
      <c r="Z99">
        <v>832</v>
      </c>
      <c r="AA99">
        <v>8879</v>
      </c>
      <c r="AB99">
        <v>1013</v>
      </c>
      <c r="AC99">
        <v>5480</v>
      </c>
      <c r="AD99">
        <v>7887</v>
      </c>
      <c r="AE99">
        <v>1385</v>
      </c>
      <c r="AF99">
        <v>1623</v>
      </c>
    </row>
    <row r="100" spans="1:32" x14ac:dyDescent="0.35">
      <c r="A100" t="s">
        <v>192</v>
      </c>
      <c r="B100">
        <v>46674</v>
      </c>
      <c r="C100">
        <v>71687</v>
      </c>
      <c r="D100">
        <v>24028</v>
      </c>
      <c r="E100">
        <v>22863</v>
      </c>
      <c r="F100">
        <v>33219</v>
      </c>
      <c r="G100">
        <v>30574</v>
      </c>
      <c r="H100">
        <v>365</v>
      </c>
      <c r="I100">
        <v>3180</v>
      </c>
      <c r="J100">
        <v>663</v>
      </c>
      <c r="K100">
        <v>821</v>
      </c>
      <c r="L100">
        <v>4974</v>
      </c>
      <c r="M100">
        <v>10973</v>
      </c>
      <c r="N100">
        <v>0</v>
      </c>
      <c r="O100">
        <v>1874</v>
      </c>
      <c r="P100">
        <v>18006</v>
      </c>
      <c r="Q100">
        <v>26621</v>
      </c>
      <c r="R100">
        <v>10159</v>
      </c>
      <c r="S100">
        <v>14071</v>
      </c>
      <c r="T100">
        <v>656</v>
      </c>
      <c r="U100">
        <v>7643</v>
      </c>
      <c r="V100">
        <v>1822</v>
      </c>
      <c r="W100">
        <v>294</v>
      </c>
      <c r="X100">
        <v>5028</v>
      </c>
      <c r="Y100">
        <v>12258</v>
      </c>
      <c r="Z100">
        <v>3556</v>
      </c>
      <c r="AA100">
        <v>14438</v>
      </c>
      <c r="AB100">
        <v>1094</v>
      </c>
      <c r="AC100">
        <v>7731</v>
      </c>
      <c r="AD100">
        <v>10097</v>
      </c>
      <c r="AE100">
        <v>1299</v>
      </c>
      <c r="AF100">
        <v>1716</v>
      </c>
    </row>
    <row r="101" spans="1:32" x14ac:dyDescent="0.35">
      <c r="A101" t="s">
        <v>159</v>
      </c>
      <c r="B101">
        <v>69269</v>
      </c>
      <c r="C101">
        <v>145964</v>
      </c>
      <c r="D101">
        <v>76744</v>
      </c>
      <c r="E101">
        <v>83118</v>
      </c>
      <c r="F101">
        <v>49926</v>
      </c>
      <c r="G101">
        <v>33203</v>
      </c>
      <c r="H101">
        <v>578</v>
      </c>
      <c r="I101">
        <v>3117</v>
      </c>
      <c r="J101">
        <v>650</v>
      </c>
      <c r="K101">
        <v>1727</v>
      </c>
      <c r="L101">
        <v>14630</v>
      </c>
      <c r="M101">
        <v>27056</v>
      </c>
      <c r="N101">
        <v>0</v>
      </c>
      <c r="O101">
        <v>12063</v>
      </c>
      <c r="P101">
        <v>16040</v>
      </c>
      <c r="Q101">
        <v>22771</v>
      </c>
      <c r="R101">
        <v>4424</v>
      </c>
      <c r="S101">
        <v>4148</v>
      </c>
      <c r="T101">
        <v>291</v>
      </c>
      <c r="U101">
        <v>10340</v>
      </c>
      <c r="V101">
        <v>3103</v>
      </c>
      <c r="W101">
        <v>1070</v>
      </c>
      <c r="X101">
        <v>7387</v>
      </c>
      <c r="Y101">
        <v>8626</v>
      </c>
      <c r="Z101">
        <v>1476</v>
      </c>
      <c r="AA101">
        <v>25398</v>
      </c>
      <c r="AB101">
        <v>1912</v>
      </c>
      <c r="AC101">
        <v>12873</v>
      </c>
      <c r="AD101">
        <v>1848</v>
      </c>
      <c r="AE101">
        <v>2598</v>
      </c>
      <c r="AF101">
        <v>3548</v>
      </c>
    </row>
    <row r="102" spans="1:32" x14ac:dyDescent="0.35">
      <c r="A102" t="s">
        <v>160</v>
      </c>
      <c r="B102">
        <v>23738</v>
      </c>
      <c r="C102">
        <v>53205</v>
      </c>
      <c r="D102">
        <v>21379</v>
      </c>
      <c r="E102">
        <v>23192</v>
      </c>
      <c r="F102">
        <v>16440</v>
      </c>
      <c r="G102">
        <v>12325</v>
      </c>
      <c r="H102">
        <v>254</v>
      </c>
      <c r="I102">
        <v>1396</v>
      </c>
      <c r="J102">
        <v>370</v>
      </c>
      <c r="K102">
        <v>515</v>
      </c>
      <c r="L102">
        <v>8338</v>
      </c>
      <c r="M102">
        <v>15178</v>
      </c>
      <c r="N102">
        <v>0</v>
      </c>
      <c r="O102">
        <v>7515</v>
      </c>
      <c r="P102">
        <v>12602</v>
      </c>
      <c r="Q102">
        <v>9608</v>
      </c>
      <c r="R102">
        <v>2351</v>
      </c>
      <c r="S102">
        <v>4703</v>
      </c>
      <c r="T102">
        <v>385</v>
      </c>
      <c r="U102">
        <v>3670</v>
      </c>
      <c r="V102">
        <v>1416</v>
      </c>
      <c r="W102">
        <v>968</v>
      </c>
      <c r="X102">
        <v>6832</v>
      </c>
      <c r="Y102">
        <v>11818</v>
      </c>
      <c r="Z102">
        <v>632</v>
      </c>
      <c r="AA102">
        <v>16040</v>
      </c>
      <c r="AB102">
        <v>1164</v>
      </c>
      <c r="AC102">
        <v>7341</v>
      </c>
      <c r="AD102">
        <v>7355</v>
      </c>
      <c r="AE102">
        <v>998</v>
      </c>
      <c r="AF102">
        <v>2015</v>
      </c>
    </row>
    <row r="103" spans="1:32" x14ac:dyDescent="0.35">
      <c r="A103" t="s">
        <v>161</v>
      </c>
      <c r="B103">
        <v>64450</v>
      </c>
      <c r="C103">
        <v>117743</v>
      </c>
      <c r="D103">
        <v>59163</v>
      </c>
      <c r="E103">
        <v>66570</v>
      </c>
      <c r="F103">
        <v>43397</v>
      </c>
      <c r="G103">
        <v>33246</v>
      </c>
      <c r="H103">
        <v>657</v>
      </c>
      <c r="I103">
        <v>4362</v>
      </c>
      <c r="J103">
        <v>1179</v>
      </c>
      <c r="K103">
        <v>533</v>
      </c>
      <c r="L103">
        <v>17549</v>
      </c>
      <c r="M103">
        <v>33502</v>
      </c>
      <c r="N103">
        <v>0</v>
      </c>
      <c r="O103">
        <v>22648</v>
      </c>
      <c r="P103">
        <v>27168</v>
      </c>
      <c r="Q103">
        <v>30266</v>
      </c>
      <c r="R103">
        <v>4673</v>
      </c>
      <c r="S103">
        <v>6223</v>
      </c>
      <c r="T103">
        <v>339</v>
      </c>
      <c r="U103">
        <v>11599</v>
      </c>
      <c r="V103">
        <v>3320</v>
      </c>
      <c r="W103">
        <v>1398</v>
      </c>
      <c r="X103">
        <v>22724</v>
      </c>
      <c r="Y103">
        <v>29539</v>
      </c>
      <c r="Z103">
        <v>2656</v>
      </c>
      <c r="AA103">
        <v>28864</v>
      </c>
      <c r="AB103">
        <v>2059</v>
      </c>
      <c r="AC103">
        <v>16021</v>
      </c>
      <c r="AD103">
        <v>16424</v>
      </c>
      <c r="AE103">
        <v>2330</v>
      </c>
      <c r="AF103">
        <v>3548</v>
      </c>
    </row>
    <row r="104" spans="1:32" x14ac:dyDescent="0.35">
      <c r="A104" t="s">
        <v>162</v>
      </c>
      <c r="B104">
        <v>16301</v>
      </c>
      <c r="C104">
        <v>22295</v>
      </c>
      <c r="D104">
        <v>16167</v>
      </c>
      <c r="E104">
        <v>15811</v>
      </c>
      <c r="F104">
        <v>13026</v>
      </c>
      <c r="G104">
        <v>10509</v>
      </c>
      <c r="H104">
        <v>189</v>
      </c>
      <c r="I104">
        <v>950</v>
      </c>
      <c r="J104">
        <v>280</v>
      </c>
      <c r="K104">
        <v>489</v>
      </c>
      <c r="L104">
        <v>9231</v>
      </c>
      <c r="M104">
        <v>15973</v>
      </c>
      <c r="N104">
        <v>0</v>
      </c>
      <c r="O104">
        <v>4080</v>
      </c>
      <c r="P104">
        <v>5534</v>
      </c>
      <c r="Q104">
        <v>6393</v>
      </c>
      <c r="R104">
        <v>1204</v>
      </c>
      <c r="S104">
        <v>1504</v>
      </c>
      <c r="T104">
        <v>211</v>
      </c>
      <c r="U104">
        <v>1840</v>
      </c>
      <c r="V104">
        <v>678</v>
      </c>
      <c r="W104">
        <v>714</v>
      </c>
      <c r="X104">
        <v>4329</v>
      </c>
      <c r="Y104">
        <v>4968</v>
      </c>
      <c r="Z104">
        <v>434</v>
      </c>
      <c r="AA104">
        <v>11409</v>
      </c>
      <c r="AB104">
        <v>761</v>
      </c>
      <c r="AC104">
        <v>6298</v>
      </c>
      <c r="AD104">
        <v>4856</v>
      </c>
      <c r="AE104">
        <v>1387</v>
      </c>
      <c r="AF104">
        <v>2106</v>
      </c>
    </row>
    <row r="105" spans="1:32" x14ac:dyDescent="0.35">
      <c r="A105" t="s">
        <v>111</v>
      </c>
      <c r="B105">
        <v>36773</v>
      </c>
      <c r="C105">
        <v>76828</v>
      </c>
      <c r="D105">
        <v>40642</v>
      </c>
      <c r="E105">
        <v>42596</v>
      </c>
      <c r="F105">
        <v>44454</v>
      </c>
      <c r="G105">
        <v>36284</v>
      </c>
      <c r="H105">
        <v>989</v>
      </c>
      <c r="I105">
        <v>7106</v>
      </c>
      <c r="J105">
        <v>1367</v>
      </c>
      <c r="K105">
        <v>1054</v>
      </c>
      <c r="L105">
        <v>15410</v>
      </c>
      <c r="M105">
        <v>30959</v>
      </c>
      <c r="N105">
        <v>0</v>
      </c>
      <c r="O105">
        <v>1061</v>
      </c>
      <c r="P105">
        <v>17566</v>
      </c>
      <c r="Q105">
        <v>32716</v>
      </c>
      <c r="R105">
        <v>4507</v>
      </c>
      <c r="S105">
        <v>9069</v>
      </c>
      <c r="T105">
        <v>558</v>
      </c>
      <c r="U105">
        <v>8033</v>
      </c>
      <c r="V105">
        <v>4151</v>
      </c>
      <c r="W105">
        <v>678</v>
      </c>
      <c r="X105">
        <v>7113</v>
      </c>
      <c r="Y105">
        <v>14879</v>
      </c>
      <c r="Z105">
        <v>1766</v>
      </c>
      <c r="AA105">
        <v>21791</v>
      </c>
      <c r="AB105">
        <v>1718</v>
      </c>
      <c r="AC105">
        <v>11708</v>
      </c>
      <c r="AD105">
        <v>8247</v>
      </c>
      <c r="AE105">
        <v>1815</v>
      </c>
      <c r="AF105">
        <v>2770</v>
      </c>
    </row>
    <row r="106" spans="1:32" x14ac:dyDescent="0.35">
      <c r="A106" t="s">
        <v>112</v>
      </c>
      <c r="B106">
        <v>32833</v>
      </c>
      <c r="C106">
        <v>82625</v>
      </c>
      <c r="D106">
        <v>47869</v>
      </c>
      <c r="E106">
        <v>47773</v>
      </c>
      <c r="F106">
        <v>38419</v>
      </c>
      <c r="G106">
        <v>25342</v>
      </c>
      <c r="H106">
        <v>687</v>
      </c>
      <c r="I106">
        <v>4450</v>
      </c>
      <c r="J106">
        <v>627</v>
      </c>
      <c r="K106">
        <v>711</v>
      </c>
      <c r="L106">
        <v>6623</v>
      </c>
      <c r="M106">
        <v>16242</v>
      </c>
      <c r="N106">
        <v>0</v>
      </c>
      <c r="O106">
        <v>1745</v>
      </c>
      <c r="P106">
        <v>9715</v>
      </c>
      <c r="Q106">
        <v>22159</v>
      </c>
      <c r="R106">
        <v>2776</v>
      </c>
      <c r="S106">
        <v>3492</v>
      </c>
      <c r="T106">
        <v>358</v>
      </c>
      <c r="U106">
        <v>5185</v>
      </c>
      <c r="V106">
        <v>2549</v>
      </c>
      <c r="W106">
        <v>557</v>
      </c>
      <c r="X106">
        <v>2348</v>
      </c>
      <c r="Y106">
        <v>4395</v>
      </c>
      <c r="Z106">
        <v>722</v>
      </c>
      <c r="AA106">
        <v>23078</v>
      </c>
      <c r="AB106">
        <v>1714</v>
      </c>
      <c r="AC106">
        <v>10620</v>
      </c>
      <c r="AD106">
        <v>7115</v>
      </c>
      <c r="AE106">
        <v>1436</v>
      </c>
      <c r="AF106">
        <v>2254</v>
      </c>
    </row>
    <row r="107" spans="1:32" x14ac:dyDescent="0.35">
      <c r="A107" t="s">
        <v>113</v>
      </c>
      <c r="B107">
        <v>27201</v>
      </c>
      <c r="C107">
        <v>55330</v>
      </c>
      <c r="D107">
        <v>31986</v>
      </c>
      <c r="E107">
        <v>28892</v>
      </c>
      <c r="F107">
        <v>28289</v>
      </c>
      <c r="G107">
        <v>22337</v>
      </c>
      <c r="H107">
        <v>554</v>
      </c>
      <c r="I107">
        <v>3793</v>
      </c>
      <c r="J107">
        <v>562</v>
      </c>
      <c r="K107">
        <v>626</v>
      </c>
      <c r="L107">
        <v>7733</v>
      </c>
      <c r="M107">
        <v>18231</v>
      </c>
      <c r="N107">
        <v>0</v>
      </c>
      <c r="O107">
        <v>862</v>
      </c>
      <c r="P107">
        <v>19019</v>
      </c>
      <c r="Q107">
        <v>21635</v>
      </c>
      <c r="R107">
        <v>2567</v>
      </c>
      <c r="S107">
        <v>3974</v>
      </c>
      <c r="T107">
        <v>252</v>
      </c>
      <c r="U107">
        <v>5867</v>
      </c>
      <c r="V107">
        <v>2390</v>
      </c>
      <c r="W107">
        <v>503</v>
      </c>
      <c r="X107">
        <v>10452</v>
      </c>
      <c r="Y107">
        <v>31604</v>
      </c>
      <c r="Z107">
        <v>3738</v>
      </c>
      <c r="AA107">
        <v>14385</v>
      </c>
      <c r="AB107">
        <v>1243</v>
      </c>
      <c r="AC107">
        <v>8397</v>
      </c>
      <c r="AD107">
        <v>5915</v>
      </c>
      <c r="AE107">
        <v>1316</v>
      </c>
      <c r="AF107">
        <v>1798</v>
      </c>
    </row>
    <row r="108" spans="1:32" x14ac:dyDescent="0.35">
      <c r="A108" t="s">
        <v>114</v>
      </c>
      <c r="B108">
        <v>34094</v>
      </c>
      <c r="C108">
        <v>72371</v>
      </c>
      <c r="D108">
        <v>41535</v>
      </c>
      <c r="E108">
        <v>44195</v>
      </c>
      <c r="F108">
        <v>38454</v>
      </c>
      <c r="G108">
        <v>32119</v>
      </c>
      <c r="H108">
        <v>596</v>
      </c>
      <c r="I108">
        <v>4376</v>
      </c>
      <c r="J108">
        <v>765</v>
      </c>
      <c r="K108">
        <v>1016</v>
      </c>
      <c r="L108">
        <v>10074</v>
      </c>
      <c r="M108">
        <v>23754</v>
      </c>
      <c r="N108">
        <v>0</v>
      </c>
      <c r="O108">
        <v>1067</v>
      </c>
      <c r="P108">
        <v>28886</v>
      </c>
      <c r="Q108">
        <v>28771</v>
      </c>
      <c r="R108">
        <v>2962</v>
      </c>
      <c r="S108">
        <v>4727</v>
      </c>
      <c r="T108">
        <v>404</v>
      </c>
      <c r="U108">
        <v>7251</v>
      </c>
      <c r="V108">
        <v>2992</v>
      </c>
      <c r="W108">
        <v>2178</v>
      </c>
      <c r="X108">
        <v>12300</v>
      </c>
      <c r="Y108">
        <v>35208</v>
      </c>
      <c r="Z108">
        <v>15567</v>
      </c>
      <c r="AA108">
        <v>18200</v>
      </c>
      <c r="AB108">
        <v>1443</v>
      </c>
      <c r="AC108">
        <v>10462</v>
      </c>
      <c r="AD108">
        <v>8748</v>
      </c>
      <c r="AE108">
        <v>939</v>
      </c>
      <c r="AF108">
        <v>1379</v>
      </c>
    </row>
    <row r="109" spans="1:32" x14ac:dyDescent="0.35">
      <c r="A109" t="s">
        <v>115</v>
      </c>
      <c r="B109">
        <v>24018</v>
      </c>
      <c r="C109">
        <v>51714</v>
      </c>
      <c r="D109">
        <v>29360</v>
      </c>
      <c r="E109">
        <v>28473</v>
      </c>
      <c r="F109">
        <v>29209</v>
      </c>
      <c r="G109">
        <v>23811</v>
      </c>
      <c r="H109">
        <v>647</v>
      </c>
      <c r="I109">
        <v>4158</v>
      </c>
      <c r="J109">
        <v>708</v>
      </c>
      <c r="K109">
        <v>574</v>
      </c>
      <c r="L109">
        <v>9068</v>
      </c>
      <c r="M109">
        <v>18851</v>
      </c>
      <c r="N109">
        <v>0</v>
      </c>
      <c r="O109">
        <v>1182</v>
      </c>
      <c r="P109">
        <v>14918</v>
      </c>
      <c r="Q109">
        <v>21213</v>
      </c>
      <c r="R109">
        <v>2917</v>
      </c>
      <c r="S109">
        <v>5894</v>
      </c>
      <c r="T109">
        <v>480</v>
      </c>
      <c r="U109">
        <v>7249</v>
      </c>
      <c r="V109">
        <v>2779</v>
      </c>
      <c r="W109">
        <v>1004</v>
      </c>
      <c r="X109">
        <v>3562</v>
      </c>
      <c r="Y109">
        <v>8084</v>
      </c>
      <c r="Z109">
        <v>718</v>
      </c>
      <c r="AA109">
        <v>17554</v>
      </c>
      <c r="AB109">
        <v>1376</v>
      </c>
      <c r="AC109">
        <v>8354</v>
      </c>
      <c r="AD109">
        <v>6363</v>
      </c>
      <c r="AE109">
        <v>1527</v>
      </c>
      <c r="AF109">
        <v>2368</v>
      </c>
    </row>
    <row r="110" spans="1:32" x14ac:dyDescent="0.35">
      <c r="A110" t="s">
        <v>128</v>
      </c>
      <c r="B110">
        <v>40724</v>
      </c>
      <c r="C110">
        <v>80528</v>
      </c>
      <c r="D110">
        <v>37656</v>
      </c>
      <c r="E110">
        <v>38772</v>
      </c>
      <c r="F110">
        <v>41206</v>
      </c>
      <c r="G110">
        <v>33836</v>
      </c>
      <c r="H110">
        <v>497</v>
      </c>
      <c r="I110">
        <v>3097</v>
      </c>
      <c r="J110">
        <v>473</v>
      </c>
      <c r="K110">
        <v>547</v>
      </c>
      <c r="L110">
        <v>6665</v>
      </c>
      <c r="M110">
        <v>11832</v>
      </c>
      <c r="N110">
        <v>1682</v>
      </c>
      <c r="O110">
        <v>20426</v>
      </c>
      <c r="P110">
        <v>19775</v>
      </c>
      <c r="Q110">
        <v>26840</v>
      </c>
      <c r="R110">
        <v>2478</v>
      </c>
      <c r="S110">
        <v>2481</v>
      </c>
      <c r="T110">
        <v>241</v>
      </c>
      <c r="U110">
        <v>4413</v>
      </c>
      <c r="V110">
        <v>1468</v>
      </c>
      <c r="W110">
        <v>882</v>
      </c>
      <c r="X110">
        <v>4663</v>
      </c>
      <c r="Y110">
        <v>8140</v>
      </c>
      <c r="Z110">
        <v>680</v>
      </c>
      <c r="AA110">
        <v>17239</v>
      </c>
      <c r="AB110">
        <v>1488</v>
      </c>
      <c r="AC110">
        <v>8966</v>
      </c>
      <c r="AD110">
        <v>8034</v>
      </c>
      <c r="AE110">
        <v>1453</v>
      </c>
      <c r="AF110">
        <v>2322</v>
      </c>
    </row>
    <row r="111" spans="1:32" x14ac:dyDescent="0.35">
      <c r="A111" t="s">
        <v>129</v>
      </c>
      <c r="B111">
        <v>34808</v>
      </c>
      <c r="C111">
        <v>67618</v>
      </c>
      <c r="D111">
        <v>33641</v>
      </c>
      <c r="E111">
        <v>37440</v>
      </c>
      <c r="F111">
        <v>32210</v>
      </c>
      <c r="G111">
        <v>26186</v>
      </c>
      <c r="H111">
        <v>562</v>
      </c>
      <c r="I111">
        <v>3723</v>
      </c>
      <c r="J111">
        <v>595</v>
      </c>
      <c r="K111">
        <v>914</v>
      </c>
      <c r="L111">
        <v>5761</v>
      </c>
      <c r="M111">
        <v>9810</v>
      </c>
      <c r="N111">
        <v>1380</v>
      </c>
      <c r="O111">
        <v>14430</v>
      </c>
      <c r="P111">
        <v>12402</v>
      </c>
      <c r="Q111">
        <v>18796</v>
      </c>
      <c r="R111">
        <v>2731</v>
      </c>
      <c r="S111">
        <v>1812</v>
      </c>
      <c r="T111">
        <v>260</v>
      </c>
      <c r="U111">
        <v>3629</v>
      </c>
      <c r="V111">
        <v>1247</v>
      </c>
      <c r="W111">
        <v>724</v>
      </c>
      <c r="X111">
        <v>3464</v>
      </c>
      <c r="Y111">
        <v>8305</v>
      </c>
      <c r="Z111">
        <v>575</v>
      </c>
      <c r="AA111">
        <v>11399</v>
      </c>
      <c r="AB111">
        <v>691</v>
      </c>
      <c r="AC111">
        <v>7193</v>
      </c>
      <c r="AD111">
        <v>4796</v>
      </c>
      <c r="AE111">
        <v>761</v>
      </c>
      <c r="AF111">
        <v>375</v>
      </c>
    </row>
    <row r="112" spans="1:32" x14ac:dyDescent="0.35">
      <c r="A112" t="s">
        <v>130</v>
      </c>
      <c r="B112">
        <v>56807</v>
      </c>
      <c r="C112">
        <v>109967</v>
      </c>
      <c r="D112">
        <v>60413</v>
      </c>
      <c r="E112">
        <v>69583</v>
      </c>
      <c r="F112">
        <v>49133</v>
      </c>
      <c r="G112">
        <v>35182</v>
      </c>
      <c r="H112">
        <v>557</v>
      </c>
      <c r="I112">
        <v>3339</v>
      </c>
      <c r="J112">
        <v>1022</v>
      </c>
      <c r="K112">
        <v>1034</v>
      </c>
      <c r="L112">
        <v>18662</v>
      </c>
      <c r="M112">
        <v>27949</v>
      </c>
      <c r="N112">
        <v>2359</v>
      </c>
      <c r="O112">
        <v>9496</v>
      </c>
      <c r="P112">
        <v>15475</v>
      </c>
      <c r="Q112">
        <v>27587</v>
      </c>
      <c r="R112">
        <v>3519</v>
      </c>
      <c r="S112">
        <v>4474</v>
      </c>
      <c r="T112">
        <v>452</v>
      </c>
      <c r="U112">
        <v>8906</v>
      </c>
      <c r="V112">
        <v>3251</v>
      </c>
      <c r="W112">
        <v>1471</v>
      </c>
      <c r="X112">
        <v>10531</v>
      </c>
      <c r="Y112">
        <v>16200</v>
      </c>
      <c r="Z112">
        <v>957</v>
      </c>
      <c r="AA112">
        <v>24197</v>
      </c>
      <c r="AB112">
        <v>1085</v>
      </c>
      <c r="AC112">
        <v>11713</v>
      </c>
      <c r="AD112">
        <v>11049</v>
      </c>
      <c r="AE112">
        <v>906</v>
      </c>
      <c r="AF112">
        <v>383</v>
      </c>
    </row>
    <row r="113" spans="1:32" x14ac:dyDescent="0.35">
      <c r="A113" t="s">
        <v>131</v>
      </c>
      <c r="B113">
        <v>44679</v>
      </c>
      <c r="C113">
        <v>89279</v>
      </c>
      <c r="D113">
        <v>49534</v>
      </c>
      <c r="E113">
        <v>52893</v>
      </c>
      <c r="F113">
        <v>43183</v>
      </c>
      <c r="G113">
        <v>28997</v>
      </c>
      <c r="H113">
        <v>509</v>
      </c>
      <c r="I113">
        <v>2591</v>
      </c>
      <c r="J113">
        <v>705</v>
      </c>
      <c r="K113">
        <v>751</v>
      </c>
      <c r="L113">
        <v>19855</v>
      </c>
      <c r="M113">
        <v>27025</v>
      </c>
      <c r="N113">
        <v>33361</v>
      </c>
      <c r="O113">
        <v>8990</v>
      </c>
      <c r="P113">
        <v>23398</v>
      </c>
      <c r="Q113">
        <v>21022</v>
      </c>
      <c r="R113">
        <v>3338</v>
      </c>
      <c r="S113">
        <v>3685</v>
      </c>
      <c r="T113">
        <v>247</v>
      </c>
      <c r="U113">
        <v>9845</v>
      </c>
      <c r="V113">
        <v>3398</v>
      </c>
      <c r="W113">
        <v>2733</v>
      </c>
      <c r="X113">
        <v>16815</v>
      </c>
      <c r="Y113">
        <v>21102</v>
      </c>
      <c r="Z113">
        <v>2748</v>
      </c>
      <c r="AA113">
        <v>20763</v>
      </c>
      <c r="AB113">
        <v>1654</v>
      </c>
      <c r="AC113">
        <v>9510</v>
      </c>
      <c r="AD113">
        <v>7509</v>
      </c>
      <c r="AE113">
        <v>1161</v>
      </c>
      <c r="AF113">
        <v>371</v>
      </c>
    </row>
    <row r="114" spans="1:32" x14ac:dyDescent="0.35">
      <c r="A114" t="s">
        <v>132</v>
      </c>
      <c r="B114">
        <v>25116</v>
      </c>
      <c r="C114">
        <v>47947</v>
      </c>
      <c r="D114">
        <v>25034</v>
      </c>
      <c r="E114">
        <v>30913</v>
      </c>
      <c r="F114">
        <v>22434</v>
      </c>
      <c r="G114">
        <v>14068</v>
      </c>
      <c r="H114">
        <v>342</v>
      </c>
      <c r="I114">
        <v>1639</v>
      </c>
      <c r="J114">
        <v>516</v>
      </c>
      <c r="K114">
        <v>487</v>
      </c>
      <c r="L114">
        <v>8854</v>
      </c>
      <c r="M114">
        <v>12195</v>
      </c>
      <c r="N114">
        <v>1124</v>
      </c>
      <c r="O114">
        <v>5176</v>
      </c>
      <c r="P114">
        <v>14617</v>
      </c>
      <c r="Q114">
        <v>12961</v>
      </c>
      <c r="R114">
        <v>1898</v>
      </c>
      <c r="S114">
        <v>2012</v>
      </c>
      <c r="T114">
        <v>0</v>
      </c>
      <c r="U114">
        <v>5389</v>
      </c>
      <c r="V114">
        <v>1864</v>
      </c>
      <c r="W114">
        <v>3970</v>
      </c>
      <c r="X114">
        <v>5727</v>
      </c>
      <c r="Y114">
        <v>10601</v>
      </c>
      <c r="Z114">
        <v>614</v>
      </c>
      <c r="AA114">
        <v>11852</v>
      </c>
      <c r="AB114">
        <v>814</v>
      </c>
      <c r="AC114">
        <v>5273</v>
      </c>
      <c r="AD114">
        <v>5116</v>
      </c>
      <c r="AE114">
        <v>610</v>
      </c>
      <c r="AF114">
        <v>384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18F8-4141-46D2-AD4C-31106CCDD2B1}">
  <dimension ref="A1:B32"/>
  <sheetViews>
    <sheetView tabSelected="1" topLeftCell="A13" zoomScaleNormal="100" workbookViewId="0">
      <selection activeCell="B32" sqref="B32"/>
    </sheetView>
  </sheetViews>
  <sheetFormatPr defaultRowHeight="14.5" x14ac:dyDescent="0.35"/>
  <cols>
    <col min="1" max="1" width="11.1796875" customWidth="1"/>
  </cols>
  <sheetData>
    <row r="1" spans="1:2" x14ac:dyDescent="0.35">
      <c r="A1" t="s">
        <v>53</v>
      </c>
      <c r="B1" t="s">
        <v>52</v>
      </c>
    </row>
    <row r="2" spans="1:2" x14ac:dyDescent="0.35">
      <c r="A2">
        <v>520</v>
      </c>
      <c r="B2">
        <v>68</v>
      </c>
    </row>
    <row r="3" spans="1:2" x14ac:dyDescent="0.35">
      <c r="A3">
        <v>521</v>
      </c>
      <c r="B3">
        <v>116</v>
      </c>
    </row>
    <row r="4" spans="1:2" x14ac:dyDescent="0.35">
      <c r="A4">
        <v>594</v>
      </c>
      <c r="B4">
        <v>168.75</v>
      </c>
    </row>
    <row r="5" spans="1:2" x14ac:dyDescent="0.35">
      <c r="A5">
        <v>595</v>
      </c>
      <c r="B5">
        <v>75</v>
      </c>
    </row>
    <row r="6" spans="1:2" x14ac:dyDescent="0.35">
      <c r="A6">
        <v>617</v>
      </c>
      <c r="B6">
        <v>450</v>
      </c>
    </row>
    <row r="7" spans="1:2" x14ac:dyDescent="0.35">
      <c r="A7">
        <v>615</v>
      </c>
      <c r="B7">
        <v>270.68</v>
      </c>
    </row>
    <row r="8" spans="1:2" x14ac:dyDescent="0.35">
      <c r="A8">
        <v>751</v>
      </c>
      <c r="B8">
        <v>203.01</v>
      </c>
    </row>
    <row r="9" spans="1:2" x14ac:dyDescent="0.35">
      <c r="A9">
        <v>752</v>
      </c>
      <c r="B9">
        <v>345.86</v>
      </c>
    </row>
    <row r="10" spans="1:2" x14ac:dyDescent="0.35">
      <c r="A10">
        <v>753</v>
      </c>
      <c r="B10">
        <v>488.72</v>
      </c>
    </row>
    <row r="11" spans="1:2" x14ac:dyDescent="0.35">
      <c r="A11">
        <v>754</v>
      </c>
      <c r="B11">
        <v>601.51</v>
      </c>
    </row>
    <row r="12" spans="1:2" x14ac:dyDescent="0.35">
      <c r="A12">
        <v>784</v>
      </c>
      <c r="B12">
        <v>337.2</v>
      </c>
    </row>
    <row r="13" spans="1:2" x14ac:dyDescent="0.35">
      <c r="A13">
        <v>785</v>
      </c>
      <c r="B13">
        <v>562.20000000000005</v>
      </c>
    </row>
    <row r="14" spans="1:2" x14ac:dyDescent="0.35">
      <c r="A14">
        <v>797</v>
      </c>
      <c r="B14">
        <v>449.8</v>
      </c>
    </row>
    <row r="15" spans="1:2" x14ac:dyDescent="0.35">
      <c r="A15">
        <v>613</v>
      </c>
      <c r="B15">
        <v>292.5</v>
      </c>
    </row>
    <row r="16" spans="1:2" x14ac:dyDescent="0.35">
      <c r="A16">
        <v>614</v>
      </c>
      <c r="B16">
        <v>562.20000000000005</v>
      </c>
    </row>
    <row r="17" spans="1:2" x14ac:dyDescent="0.35">
      <c r="A17">
        <v>767</v>
      </c>
      <c r="B17">
        <v>599.79999999999995</v>
      </c>
    </row>
    <row r="18" spans="1:2" x14ac:dyDescent="0.35">
      <c r="A18">
        <v>807</v>
      </c>
      <c r="B18">
        <v>200</v>
      </c>
    </row>
    <row r="19" spans="1:2" x14ac:dyDescent="0.35">
      <c r="A19">
        <v>808</v>
      </c>
      <c r="B19">
        <v>294.74</v>
      </c>
    </row>
    <row r="20" spans="1:2" x14ac:dyDescent="0.35">
      <c r="A20">
        <v>502</v>
      </c>
      <c r="B20">
        <v>311.24</v>
      </c>
    </row>
    <row r="21" spans="1:2" x14ac:dyDescent="0.35">
      <c r="A21">
        <v>504</v>
      </c>
      <c r="B21">
        <v>436.51</v>
      </c>
    </row>
    <row r="22" spans="1:2" x14ac:dyDescent="0.35">
      <c r="A22">
        <v>505</v>
      </c>
      <c r="B22">
        <v>372.18</v>
      </c>
    </row>
    <row r="23" spans="1:2" x14ac:dyDescent="0.35">
      <c r="A23">
        <v>506</v>
      </c>
      <c r="B23">
        <v>473.69</v>
      </c>
    </row>
    <row r="24" spans="1:2" x14ac:dyDescent="0.35">
      <c r="A24">
        <v>507</v>
      </c>
      <c r="B24">
        <v>270</v>
      </c>
    </row>
    <row r="25" spans="1:2" x14ac:dyDescent="0.35">
      <c r="A25">
        <v>508</v>
      </c>
      <c r="B25">
        <v>404.7</v>
      </c>
    </row>
    <row r="26" spans="1:2" x14ac:dyDescent="0.35">
      <c r="A26">
        <v>757</v>
      </c>
      <c r="B26">
        <v>494.76</v>
      </c>
    </row>
    <row r="27" spans="1:2" x14ac:dyDescent="0.35">
      <c r="A27">
        <v>758</v>
      </c>
      <c r="B27">
        <v>674.67</v>
      </c>
    </row>
    <row r="28" spans="1:2" x14ac:dyDescent="0.35">
      <c r="A28">
        <v>580</v>
      </c>
      <c r="B28">
        <v>270.68</v>
      </c>
    </row>
    <row r="29" spans="1:2" x14ac:dyDescent="0.35">
      <c r="A29">
        <v>582</v>
      </c>
      <c r="B29">
        <v>300.75</v>
      </c>
    </row>
    <row r="30" spans="1:2" x14ac:dyDescent="0.35">
      <c r="A30">
        <v>603</v>
      </c>
      <c r="B30">
        <v>225.56</v>
      </c>
    </row>
    <row r="31" spans="1:2" x14ac:dyDescent="0.35">
      <c r="A31">
        <v>606</v>
      </c>
      <c r="B31">
        <v>262.37</v>
      </c>
    </row>
    <row r="32" spans="1:2" x14ac:dyDescent="0.35">
      <c r="A32">
        <v>772</v>
      </c>
      <c r="B32">
        <v>202.4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29E0-4D26-4BA4-8B0A-D3FC166DFA93}">
  <dimension ref="A1:A2"/>
  <sheetViews>
    <sheetView workbookViewId="0">
      <selection activeCell="A3" sqref="A3"/>
    </sheetView>
  </sheetViews>
  <sheetFormatPr defaultRowHeight="14.5" x14ac:dyDescent="0.35"/>
  <cols>
    <col min="1" max="1" width="8.54296875" customWidth="1"/>
  </cols>
  <sheetData>
    <row r="1" spans="1:1" x14ac:dyDescent="0.35">
      <c r="A1" t="s">
        <v>5</v>
      </c>
    </row>
    <row r="2" spans="1:1" x14ac:dyDescent="0.35">
      <c r="A2">
        <v>202602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70988-7CCC-42C7-BC8E-E0549CF507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Ter. Ratio Dev</vt:lpstr>
      <vt:lpstr>Product Tgt</vt:lpstr>
      <vt:lpstr>Terr Target</vt:lpstr>
      <vt:lpstr>SYD_SORT</vt:lpstr>
      <vt:lpstr>Output Data</vt:lpstr>
      <vt:lpstr>Input</vt:lpstr>
      <vt:lpstr>Price</vt:lpstr>
      <vt:lpstr>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BOS-AFSAR Jamil</dc:creator>
  <cp:lastModifiedBy>BO&amp;S-Mohammad Walihullah</cp:lastModifiedBy>
  <dcterms:created xsi:type="dcterms:W3CDTF">2015-06-05T18:17:20Z</dcterms:created>
  <dcterms:modified xsi:type="dcterms:W3CDTF">2026-02-02T05:08:50Z</dcterms:modified>
</cp:coreProperties>
</file>