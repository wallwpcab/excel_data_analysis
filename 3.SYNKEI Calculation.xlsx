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ynoviapharma-my.sharepoint.com/personal/rafianahmed_rizwan_synoviapharma_com/Documents/Documents/Target Deployment/2026/Feb/"/>
    </mc:Choice>
  </mc:AlternateContent>
  <xr:revisionPtr revIDLastSave="1666" documentId="8_{F2056F80-97BC-4BB9-B0D9-7B21C232134F}" xr6:coauthVersionLast="47" xr6:coauthVersionMax="47" xr10:uidLastSave="{4D54703D-F430-4F8B-8871-63B2BA94F7DB}"/>
  <bookViews>
    <workbookView xWindow="-120" yWindow="-120" windowWidth="20730" windowHeight="11160" activeTab="4" xr2:uid="{00000000-000D-0000-FFFF-FFFF00000000}"/>
  </bookViews>
  <sheets>
    <sheet name="Terr. Ratio Dev" sheetId="5" r:id="rId1"/>
    <sheet name="Product Tgt" sheetId="1" r:id="rId2"/>
    <sheet name="Terr Target" sheetId="2" r:id="rId3"/>
    <sheet name="SYK_SORT" sheetId="15" r:id="rId4"/>
    <sheet name="Output" sheetId="12" r:id="rId5"/>
    <sheet name="Input" sheetId="8" r:id="rId6"/>
    <sheet name="Price" sheetId="13" r:id="rId7"/>
    <sheet name="Month" sheetId="14" r:id="rId8"/>
  </sheets>
  <definedNames>
    <definedName name="_xlnm._FilterDatabase" localSheetId="1" hidden="1">'Product Tgt'!$A$1:$I$18</definedName>
    <definedName name="_xlnm._FilterDatabase" localSheetId="3" hidden="1">SYK_SORT!$A$2:$AB$55</definedName>
    <definedName name="_xlnm._FilterDatabase" localSheetId="2" hidden="1">'Terr Target'!$A$1:$E$52</definedName>
    <definedName name="_xlnm._FilterDatabase" localSheetId="0" hidden="1">'Terr. Ratio Dev'!$A$7:$BZ$57</definedName>
    <definedName name="ExternalData_1" localSheetId="4" hidden="1">Output!$A$1:$F$1301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2" i="15"/>
  <c r="Z53" i="15"/>
  <c r="Z54" i="15"/>
  <c r="Z55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31" i="15"/>
  <c r="AA32" i="15"/>
  <c r="AA33" i="15"/>
  <c r="AA34" i="15"/>
  <c r="AA35" i="15"/>
  <c r="AA36" i="15"/>
  <c r="AA37" i="15"/>
  <c r="AA38" i="15"/>
  <c r="AA39" i="15"/>
  <c r="AA40" i="15"/>
  <c r="AA41" i="15"/>
  <c r="AA42" i="15"/>
  <c r="AA43" i="15"/>
  <c r="AA44" i="15"/>
  <c r="AA45" i="15"/>
  <c r="AA46" i="15"/>
  <c r="AA47" i="15"/>
  <c r="AA48" i="15"/>
  <c r="AA49" i="15"/>
  <c r="AA50" i="15"/>
  <c r="AA51" i="15"/>
  <c r="AA52" i="15"/>
  <c r="AA53" i="15"/>
  <c r="AA54" i="15"/>
  <c r="AA55" i="15"/>
  <c r="G29" i="1"/>
  <c r="G27" i="1"/>
  <c r="H26" i="1"/>
  <c r="H25" i="1"/>
  <c r="AJ6" i="5" l="1"/>
  <c r="AK6" i="5"/>
  <c r="AL6" i="5"/>
  <c r="AJ2" i="5"/>
  <c r="AK2" i="5"/>
  <c r="AL2" i="5"/>
  <c r="AJ5" i="5"/>
  <c r="AK5" i="5"/>
  <c r="AL5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A4" i="1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AZ13" i="5" l="1"/>
  <c r="AZ21" i="5"/>
  <c r="AZ29" i="5"/>
  <c r="AZ14" i="5"/>
  <c r="AZ22" i="5"/>
  <c r="AZ30" i="5"/>
  <c r="AZ15" i="5"/>
  <c r="AZ23" i="5"/>
  <c r="AZ31" i="5"/>
  <c r="AZ16" i="5"/>
  <c r="AZ24" i="5"/>
  <c r="AZ32" i="5"/>
  <c r="AZ9" i="5"/>
  <c r="AZ17" i="5"/>
  <c r="AZ10" i="5"/>
  <c r="AZ18" i="5"/>
  <c r="AZ11" i="5"/>
  <c r="AZ19" i="5"/>
  <c r="AZ27" i="5"/>
  <c r="AZ12" i="5"/>
  <c r="AZ20" i="5"/>
  <c r="AZ42" i="5"/>
  <c r="AZ50" i="5"/>
  <c r="AZ26" i="5"/>
  <c r="AZ43" i="5"/>
  <c r="AZ51" i="5"/>
  <c r="AZ33" i="5"/>
  <c r="AZ35" i="5"/>
  <c r="AZ36" i="5"/>
  <c r="AZ44" i="5"/>
  <c r="AZ52" i="5"/>
  <c r="AZ37" i="5"/>
  <c r="AZ45" i="5"/>
  <c r="AZ53" i="5"/>
  <c r="AZ28" i="5"/>
  <c r="AZ38" i="5"/>
  <c r="AZ46" i="5"/>
  <c r="AZ40" i="5"/>
  <c r="AZ48" i="5"/>
  <c r="AZ57" i="5"/>
  <c r="AZ49" i="5"/>
  <c r="AZ56" i="5"/>
  <c r="AZ58" i="5"/>
  <c r="AZ39" i="5"/>
  <c r="AZ25" i="5"/>
  <c r="AZ55" i="5"/>
  <c r="AZ34" i="5"/>
  <c r="AZ47" i="5"/>
  <c r="AZ54" i="5"/>
  <c r="AZ41" i="5"/>
  <c r="AZ59" i="5"/>
  <c r="AZ8" i="5"/>
  <c r="AY14" i="5"/>
  <c r="AY22" i="5"/>
  <c r="AY30" i="5"/>
  <c r="AY15" i="5"/>
  <c r="AY23" i="5"/>
  <c r="AY31" i="5"/>
  <c r="AY16" i="5"/>
  <c r="AY24" i="5"/>
  <c r="AY9" i="5"/>
  <c r="AY17" i="5"/>
  <c r="AY25" i="5"/>
  <c r="AY33" i="5"/>
  <c r="AY10" i="5"/>
  <c r="AY18" i="5"/>
  <c r="AY11" i="5"/>
  <c r="AY19" i="5"/>
  <c r="AY12" i="5"/>
  <c r="AY20" i="5"/>
  <c r="AY28" i="5"/>
  <c r="AY13" i="5"/>
  <c r="AY21" i="5"/>
  <c r="AY26" i="5"/>
  <c r="AY43" i="5"/>
  <c r="AY51" i="5"/>
  <c r="AY35" i="5"/>
  <c r="AY36" i="5"/>
  <c r="AY44" i="5"/>
  <c r="AY52" i="5"/>
  <c r="AY27" i="5"/>
  <c r="AY32" i="5"/>
  <c r="AY37" i="5"/>
  <c r="AY45" i="5"/>
  <c r="AY53" i="5"/>
  <c r="AY38" i="5"/>
  <c r="AY46" i="5"/>
  <c r="AY54" i="5"/>
  <c r="AY34" i="5"/>
  <c r="AY39" i="5"/>
  <c r="AY47" i="5"/>
  <c r="AY41" i="5"/>
  <c r="AY49" i="5"/>
  <c r="AY40" i="5"/>
  <c r="AY56" i="5"/>
  <c r="AY58" i="5"/>
  <c r="AY59" i="5"/>
  <c r="AY8" i="5"/>
  <c r="AY48" i="5"/>
  <c r="AY29" i="5"/>
  <c r="AY42" i="5"/>
  <c r="AY55" i="5"/>
  <c r="AY50" i="5"/>
  <c r="AY57" i="5"/>
  <c r="AX15" i="5"/>
  <c r="AX23" i="5"/>
  <c r="AX31" i="5"/>
  <c r="AX16" i="5"/>
  <c r="AX24" i="5"/>
  <c r="AX32" i="5"/>
  <c r="AX9" i="5"/>
  <c r="AX17" i="5"/>
  <c r="AX25" i="5"/>
  <c r="AX10" i="5"/>
  <c r="AX18" i="5"/>
  <c r="AX26" i="5"/>
  <c r="AX34" i="5"/>
  <c r="AX11" i="5"/>
  <c r="AX19" i="5"/>
  <c r="AX12" i="5"/>
  <c r="AX20" i="5"/>
  <c r="AX13" i="5"/>
  <c r="AX21" i="5"/>
  <c r="AX29" i="5"/>
  <c r="AX14" i="5"/>
  <c r="AX22" i="5"/>
  <c r="AX35" i="5"/>
  <c r="AX36" i="5"/>
  <c r="AX44" i="5"/>
  <c r="AX52" i="5"/>
  <c r="AX27" i="5"/>
  <c r="AX33" i="5"/>
  <c r="AX37" i="5"/>
  <c r="AX45" i="5"/>
  <c r="AX38" i="5"/>
  <c r="AX46" i="5"/>
  <c r="AX54" i="5"/>
  <c r="AX28" i="5"/>
  <c r="AX39" i="5"/>
  <c r="AX47" i="5"/>
  <c r="AX40" i="5"/>
  <c r="AX48" i="5"/>
  <c r="AX30" i="5"/>
  <c r="AX42" i="5"/>
  <c r="AX50" i="5"/>
  <c r="AX49" i="5"/>
  <c r="AX59" i="5"/>
  <c r="AX8" i="5"/>
  <c r="AX53" i="5"/>
  <c r="AX43" i="5"/>
  <c r="AX41" i="5"/>
  <c r="AX55" i="5"/>
  <c r="AX51" i="5"/>
  <c r="AX57" i="5"/>
  <c r="AX56" i="5"/>
  <c r="AX58" i="5"/>
  <c r="AP15" i="5"/>
  <c r="AP23" i="5"/>
  <c r="AP31" i="5"/>
  <c r="AP16" i="5"/>
  <c r="AP24" i="5"/>
  <c r="AP32" i="5"/>
  <c r="AP9" i="5"/>
  <c r="AP17" i="5"/>
  <c r="AP25" i="5"/>
  <c r="AP10" i="5"/>
  <c r="AP18" i="5"/>
  <c r="AP26" i="5"/>
  <c r="AP34" i="5"/>
  <c r="AP11" i="5"/>
  <c r="AP19" i="5"/>
  <c r="AP12" i="5"/>
  <c r="AP20" i="5"/>
  <c r="AP13" i="5"/>
  <c r="AP21" i="5"/>
  <c r="AP29" i="5"/>
  <c r="AP14" i="5"/>
  <c r="AP22" i="5"/>
  <c r="AP28" i="5"/>
  <c r="AP36" i="5"/>
  <c r="AP44" i="5"/>
  <c r="AP52" i="5"/>
  <c r="AP35" i="5"/>
  <c r="AP37" i="5"/>
  <c r="AP45" i="5"/>
  <c r="AP38" i="5"/>
  <c r="AP46" i="5"/>
  <c r="AP54" i="5"/>
  <c r="AP30" i="5"/>
  <c r="AP39" i="5"/>
  <c r="AP47" i="5"/>
  <c r="AP33" i="5"/>
  <c r="AP40" i="5"/>
  <c r="AP48" i="5"/>
  <c r="AP27" i="5"/>
  <c r="AP42" i="5"/>
  <c r="AP50" i="5"/>
  <c r="AP59" i="5"/>
  <c r="AP8" i="5"/>
  <c r="AP43" i="5"/>
  <c r="AP56" i="5"/>
  <c r="AP51" i="5"/>
  <c r="AP57" i="5"/>
  <c r="AP41" i="5"/>
  <c r="AP49" i="5"/>
  <c r="AP53" i="5"/>
  <c r="AP55" i="5"/>
  <c r="AP58" i="5"/>
  <c r="AH15" i="5"/>
  <c r="AH23" i="5"/>
  <c r="AH31" i="5"/>
  <c r="AH16" i="5"/>
  <c r="AH24" i="5"/>
  <c r="AH32" i="5"/>
  <c r="AH9" i="5"/>
  <c r="AH17" i="5"/>
  <c r="AH25" i="5"/>
  <c r="AH10" i="5"/>
  <c r="AH18" i="5"/>
  <c r="AH26" i="5"/>
  <c r="AH34" i="5"/>
  <c r="AH11" i="5"/>
  <c r="AH19" i="5"/>
  <c r="AH12" i="5"/>
  <c r="AH20" i="5"/>
  <c r="AH13" i="5"/>
  <c r="AH21" i="5"/>
  <c r="AH29" i="5"/>
  <c r="AH14" i="5"/>
  <c r="AH22" i="5"/>
  <c r="AH30" i="5"/>
  <c r="AH36" i="5"/>
  <c r="AH44" i="5"/>
  <c r="AH52" i="5"/>
  <c r="AH37" i="5"/>
  <c r="AH45" i="5"/>
  <c r="AH53" i="5"/>
  <c r="AH35" i="5"/>
  <c r="AH38" i="5"/>
  <c r="AH46" i="5"/>
  <c r="AH54" i="5"/>
  <c r="AH27" i="5"/>
  <c r="AH39" i="5"/>
  <c r="AH47" i="5"/>
  <c r="AH40" i="5"/>
  <c r="AH48" i="5"/>
  <c r="AH42" i="5"/>
  <c r="AH50" i="5"/>
  <c r="AH28" i="5"/>
  <c r="AH59" i="5"/>
  <c r="AH8" i="5"/>
  <c r="AH55" i="5"/>
  <c r="AH51" i="5"/>
  <c r="AH41" i="5"/>
  <c r="AH56" i="5"/>
  <c r="AH49" i="5"/>
  <c r="AH33" i="5"/>
  <c r="AH43" i="5"/>
  <c r="AH57" i="5"/>
  <c r="AH58" i="5"/>
  <c r="AJ13" i="5"/>
  <c r="AJ21" i="5"/>
  <c r="AJ29" i="5"/>
  <c r="AJ14" i="5"/>
  <c r="AJ22" i="5"/>
  <c r="AJ30" i="5"/>
  <c r="AJ15" i="5"/>
  <c r="AJ23" i="5"/>
  <c r="AJ31" i="5"/>
  <c r="AJ16" i="5"/>
  <c r="AJ24" i="5"/>
  <c r="AJ32" i="5"/>
  <c r="AJ9" i="5"/>
  <c r="AJ17" i="5"/>
  <c r="AJ25" i="5"/>
  <c r="AJ10" i="5"/>
  <c r="AJ18" i="5"/>
  <c r="AJ11" i="5"/>
  <c r="AJ19" i="5"/>
  <c r="AJ27" i="5"/>
  <c r="AJ12" i="5"/>
  <c r="AJ20" i="5"/>
  <c r="AJ33" i="5"/>
  <c r="AJ42" i="5"/>
  <c r="AJ50" i="5"/>
  <c r="AJ34" i="5"/>
  <c r="AJ43" i="5"/>
  <c r="AJ51" i="5"/>
  <c r="AJ36" i="5"/>
  <c r="AJ44" i="5"/>
  <c r="AJ52" i="5"/>
  <c r="AJ26" i="5"/>
  <c r="AJ37" i="5"/>
  <c r="AJ45" i="5"/>
  <c r="AJ53" i="5"/>
  <c r="AJ35" i="5"/>
  <c r="AJ38" i="5"/>
  <c r="AJ46" i="5"/>
  <c r="AJ28" i="5"/>
  <c r="AJ40" i="5"/>
  <c r="AJ48" i="5"/>
  <c r="AJ56" i="5"/>
  <c r="AJ47" i="5"/>
  <c r="AJ8" i="5"/>
  <c r="AJ57" i="5"/>
  <c r="AJ58" i="5"/>
  <c r="AJ41" i="5"/>
  <c r="AJ54" i="5"/>
  <c r="AJ55" i="5"/>
  <c r="AJ39" i="5"/>
  <c r="AJ49" i="5"/>
  <c r="AJ59" i="5"/>
  <c r="AI14" i="5"/>
  <c r="AI22" i="5"/>
  <c r="AI30" i="5"/>
  <c r="AI15" i="5"/>
  <c r="AI23" i="5"/>
  <c r="AI31" i="5"/>
  <c r="AI16" i="5"/>
  <c r="AI24" i="5"/>
  <c r="AI32" i="5"/>
  <c r="AI9" i="5"/>
  <c r="AI17" i="5"/>
  <c r="AI25" i="5"/>
  <c r="AI33" i="5"/>
  <c r="AI10" i="5"/>
  <c r="AI18" i="5"/>
  <c r="AI11" i="5"/>
  <c r="AI19" i="5"/>
  <c r="AI12" i="5"/>
  <c r="AI20" i="5"/>
  <c r="AI28" i="5"/>
  <c r="AI13" i="5"/>
  <c r="AI21" i="5"/>
  <c r="AI34" i="5"/>
  <c r="AI43" i="5"/>
  <c r="AI51" i="5"/>
  <c r="AI36" i="5"/>
  <c r="AI44" i="5"/>
  <c r="AI52" i="5"/>
  <c r="AI26" i="5"/>
  <c r="AI37" i="5"/>
  <c r="AI45" i="5"/>
  <c r="AI53" i="5"/>
  <c r="AI35" i="5"/>
  <c r="AI38" i="5"/>
  <c r="AI46" i="5"/>
  <c r="AI54" i="5"/>
  <c r="AI27" i="5"/>
  <c r="AI39" i="5"/>
  <c r="AI47" i="5"/>
  <c r="AI41" i="5"/>
  <c r="AI49" i="5"/>
  <c r="AI57" i="5"/>
  <c r="AI58" i="5"/>
  <c r="AI42" i="5"/>
  <c r="AI59" i="5"/>
  <c r="AI8" i="5"/>
  <c r="AI29" i="5"/>
  <c r="AI50" i="5"/>
  <c r="AI55" i="5"/>
  <c r="AI48" i="5"/>
  <c r="AI40" i="5"/>
  <c r="AI56" i="5"/>
  <c r="AW16" i="5"/>
  <c r="AW24" i="5"/>
  <c r="AW32" i="5"/>
  <c r="AW9" i="5"/>
  <c r="AW17" i="5"/>
  <c r="AW25" i="5"/>
  <c r="AW33" i="5"/>
  <c r="AW10" i="5"/>
  <c r="AW18" i="5"/>
  <c r="AW26" i="5"/>
  <c r="AW11" i="5"/>
  <c r="AW19" i="5"/>
  <c r="AW27" i="5"/>
  <c r="AW35" i="5"/>
  <c r="AW12" i="5"/>
  <c r="AW20" i="5"/>
  <c r="AW13" i="5"/>
  <c r="AW14" i="5"/>
  <c r="AW22" i="5"/>
  <c r="AW30" i="5"/>
  <c r="AW15" i="5"/>
  <c r="AW23" i="5"/>
  <c r="AW37" i="5"/>
  <c r="AW45" i="5"/>
  <c r="AW53" i="5"/>
  <c r="AW21" i="5"/>
  <c r="AW38" i="5"/>
  <c r="AW46" i="5"/>
  <c r="AW28" i="5"/>
  <c r="AW39" i="5"/>
  <c r="AW47" i="5"/>
  <c r="AW55" i="5"/>
  <c r="AW34" i="5"/>
  <c r="AW40" i="5"/>
  <c r="AW48" i="5"/>
  <c r="AW29" i="5"/>
  <c r="AW41" i="5"/>
  <c r="AW49" i="5"/>
  <c r="AW43" i="5"/>
  <c r="AW51" i="5"/>
  <c r="AW31" i="5"/>
  <c r="AW44" i="5"/>
  <c r="AW42" i="5"/>
  <c r="AW52" i="5"/>
  <c r="AW58" i="5"/>
  <c r="AW54" i="5"/>
  <c r="AW57" i="5"/>
  <c r="AW50" i="5"/>
  <c r="AW56" i="5"/>
  <c r="AW36" i="5"/>
  <c r="AW59" i="5"/>
  <c r="AW8" i="5"/>
  <c r="AO16" i="5"/>
  <c r="AO24" i="5"/>
  <c r="AO32" i="5"/>
  <c r="AO9" i="5"/>
  <c r="AO17" i="5"/>
  <c r="AO25" i="5"/>
  <c r="AO33" i="5"/>
  <c r="AO10" i="5"/>
  <c r="AO18" i="5"/>
  <c r="AO26" i="5"/>
  <c r="AO11" i="5"/>
  <c r="AO19" i="5"/>
  <c r="AO27" i="5"/>
  <c r="AO35" i="5"/>
  <c r="AO12" i="5"/>
  <c r="AO20" i="5"/>
  <c r="AO13" i="5"/>
  <c r="AO14" i="5"/>
  <c r="AO22" i="5"/>
  <c r="AO30" i="5"/>
  <c r="AO15" i="5"/>
  <c r="AO23" i="5"/>
  <c r="AO21" i="5"/>
  <c r="AO37" i="5"/>
  <c r="AO45" i="5"/>
  <c r="AO53" i="5"/>
  <c r="AO29" i="5"/>
  <c r="AO38" i="5"/>
  <c r="AO46" i="5"/>
  <c r="AO39" i="5"/>
  <c r="AO47" i="5"/>
  <c r="AO55" i="5"/>
  <c r="AO40" i="5"/>
  <c r="AO48" i="5"/>
  <c r="AO31" i="5"/>
  <c r="AO41" i="5"/>
  <c r="AO49" i="5"/>
  <c r="AO43" i="5"/>
  <c r="AO51" i="5"/>
  <c r="AO56" i="5"/>
  <c r="AO28" i="5"/>
  <c r="AO54" i="5"/>
  <c r="AO34" i="5"/>
  <c r="AO42" i="5"/>
  <c r="AO52" i="5"/>
  <c r="AO50" i="5"/>
  <c r="AO36" i="5"/>
  <c r="AO57" i="5"/>
  <c r="AO58" i="5"/>
  <c r="AO44" i="5"/>
  <c r="AO59" i="5"/>
  <c r="AO8" i="5"/>
  <c r="AG16" i="5"/>
  <c r="AG24" i="5"/>
  <c r="AG32" i="5"/>
  <c r="AG9" i="5"/>
  <c r="AG17" i="5"/>
  <c r="AG25" i="5"/>
  <c r="AG33" i="5"/>
  <c r="AG10" i="5"/>
  <c r="AG18" i="5"/>
  <c r="AG26" i="5"/>
  <c r="AG11" i="5"/>
  <c r="AG19" i="5"/>
  <c r="AG27" i="5"/>
  <c r="AG35" i="5"/>
  <c r="AG12" i="5"/>
  <c r="AG20" i="5"/>
  <c r="AG13" i="5"/>
  <c r="AG21" i="5"/>
  <c r="AG14" i="5"/>
  <c r="AG22" i="5"/>
  <c r="AG30" i="5"/>
  <c r="AG15" i="5"/>
  <c r="AG23" i="5"/>
  <c r="AG37" i="5"/>
  <c r="AG45" i="5"/>
  <c r="AG53" i="5"/>
  <c r="AG31" i="5"/>
  <c r="AG38" i="5"/>
  <c r="AG46" i="5"/>
  <c r="AG39" i="5"/>
  <c r="AG47" i="5"/>
  <c r="AG55" i="5"/>
  <c r="AG40" i="5"/>
  <c r="AG48" i="5"/>
  <c r="AG28" i="5"/>
  <c r="AG41" i="5"/>
  <c r="AG49" i="5"/>
  <c r="AG29" i="5"/>
  <c r="AG43" i="5"/>
  <c r="AG51" i="5"/>
  <c r="AG42" i="5"/>
  <c r="AG52" i="5"/>
  <c r="AG56" i="5"/>
  <c r="AG34" i="5"/>
  <c r="AG36" i="5"/>
  <c r="AG57" i="5"/>
  <c r="AG58" i="5"/>
  <c r="AG44" i="5"/>
  <c r="AG54" i="5"/>
  <c r="AG59" i="5"/>
  <c r="AG8" i="5"/>
  <c r="AG50" i="5"/>
  <c r="BD9" i="5"/>
  <c r="BD17" i="5"/>
  <c r="BD25" i="5"/>
  <c r="BD10" i="5"/>
  <c r="BD18" i="5"/>
  <c r="BD26" i="5"/>
  <c r="BD11" i="5"/>
  <c r="BD19" i="5"/>
  <c r="BD27" i="5"/>
  <c r="BD12" i="5"/>
  <c r="BD20" i="5"/>
  <c r="BD28" i="5"/>
  <c r="BD13" i="5"/>
  <c r="BD21" i="5"/>
  <c r="BD14" i="5"/>
  <c r="BD15" i="5"/>
  <c r="BD23" i="5"/>
  <c r="BD31" i="5"/>
  <c r="BD16" i="5"/>
  <c r="BD24" i="5"/>
  <c r="BD30" i="5"/>
  <c r="BD34" i="5"/>
  <c r="BD38" i="5"/>
  <c r="BD46" i="5"/>
  <c r="BD54" i="5"/>
  <c r="BD39" i="5"/>
  <c r="BD47" i="5"/>
  <c r="BD40" i="5"/>
  <c r="BD48" i="5"/>
  <c r="BD56" i="5"/>
  <c r="BD41" i="5"/>
  <c r="BD49" i="5"/>
  <c r="BD42" i="5"/>
  <c r="BD50" i="5"/>
  <c r="BD29" i="5"/>
  <c r="BD35" i="5"/>
  <c r="BD36" i="5"/>
  <c r="BD44" i="5"/>
  <c r="BD52" i="5"/>
  <c r="BD22" i="5"/>
  <c r="BD33" i="5"/>
  <c r="BD45" i="5"/>
  <c r="BD55" i="5"/>
  <c r="BD8" i="5"/>
  <c r="BD32" i="5"/>
  <c r="BD43" i="5"/>
  <c r="BD53" i="5"/>
  <c r="BD57" i="5"/>
  <c r="BD58" i="5"/>
  <c r="BD59" i="5"/>
  <c r="BD37" i="5"/>
  <c r="BD51" i="5"/>
  <c r="AV9" i="5"/>
  <c r="AV17" i="5"/>
  <c r="AV25" i="5"/>
  <c r="AV10" i="5"/>
  <c r="AV18" i="5"/>
  <c r="AV26" i="5"/>
  <c r="AV11" i="5"/>
  <c r="AV19" i="5"/>
  <c r="AV27" i="5"/>
  <c r="AV12" i="5"/>
  <c r="AV20" i="5"/>
  <c r="AV28" i="5"/>
  <c r="AV13" i="5"/>
  <c r="AV21" i="5"/>
  <c r="AV14" i="5"/>
  <c r="AV15" i="5"/>
  <c r="AV23" i="5"/>
  <c r="AV31" i="5"/>
  <c r="AV16" i="5"/>
  <c r="AV24" i="5"/>
  <c r="AV33" i="5"/>
  <c r="AV38" i="5"/>
  <c r="AV46" i="5"/>
  <c r="AV54" i="5"/>
  <c r="AV32" i="5"/>
  <c r="AV39" i="5"/>
  <c r="AV47" i="5"/>
  <c r="AV34" i="5"/>
  <c r="AV40" i="5"/>
  <c r="AV48" i="5"/>
  <c r="AV56" i="5"/>
  <c r="AV29" i="5"/>
  <c r="AV41" i="5"/>
  <c r="AV49" i="5"/>
  <c r="AV22" i="5"/>
  <c r="AV42" i="5"/>
  <c r="AV50" i="5"/>
  <c r="AV36" i="5"/>
  <c r="AV44" i="5"/>
  <c r="AV52" i="5"/>
  <c r="AV53" i="5"/>
  <c r="AV43" i="5"/>
  <c r="AV35" i="5"/>
  <c r="AV55" i="5"/>
  <c r="AV51" i="5"/>
  <c r="AV57" i="5"/>
  <c r="AV59" i="5"/>
  <c r="AV8" i="5"/>
  <c r="AV37" i="5"/>
  <c r="AV58" i="5"/>
  <c r="AV30" i="5"/>
  <c r="AV45" i="5"/>
  <c r="AN9" i="5"/>
  <c r="AN17" i="5"/>
  <c r="AN25" i="5"/>
  <c r="AN10" i="5"/>
  <c r="AN18" i="5"/>
  <c r="AN26" i="5"/>
  <c r="AN11" i="5"/>
  <c r="AN19" i="5"/>
  <c r="AN27" i="5"/>
  <c r="AN12" i="5"/>
  <c r="AN20" i="5"/>
  <c r="AN28" i="5"/>
  <c r="AN13" i="5"/>
  <c r="AN21" i="5"/>
  <c r="AN14" i="5"/>
  <c r="AN15" i="5"/>
  <c r="AN23" i="5"/>
  <c r="AN31" i="5"/>
  <c r="AN16" i="5"/>
  <c r="AN24" i="5"/>
  <c r="AN29" i="5"/>
  <c r="AN35" i="5"/>
  <c r="AN38" i="5"/>
  <c r="AN46" i="5"/>
  <c r="AN54" i="5"/>
  <c r="AN39" i="5"/>
  <c r="AN47" i="5"/>
  <c r="AN30" i="5"/>
  <c r="AN40" i="5"/>
  <c r="AN48" i="5"/>
  <c r="AN56" i="5"/>
  <c r="AN22" i="5"/>
  <c r="AN33" i="5"/>
  <c r="AN41" i="5"/>
  <c r="AN49" i="5"/>
  <c r="AN34" i="5"/>
  <c r="AN42" i="5"/>
  <c r="AN50" i="5"/>
  <c r="AN36" i="5"/>
  <c r="AN44" i="5"/>
  <c r="AN52" i="5"/>
  <c r="AN43" i="5"/>
  <c r="AN51" i="5"/>
  <c r="AN32" i="5"/>
  <c r="AN37" i="5"/>
  <c r="AN59" i="5"/>
  <c r="AN8" i="5"/>
  <c r="AN53" i="5"/>
  <c r="AN57" i="5"/>
  <c r="AN45" i="5"/>
  <c r="AN58" i="5"/>
  <c r="AN55" i="5"/>
  <c r="BC10" i="5"/>
  <c r="BC18" i="5"/>
  <c r="BC26" i="5"/>
  <c r="BC11" i="5"/>
  <c r="BC19" i="5"/>
  <c r="BC27" i="5"/>
  <c r="BC12" i="5"/>
  <c r="BC20" i="5"/>
  <c r="BC28" i="5"/>
  <c r="BC13" i="5"/>
  <c r="BC21" i="5"/>
  <c r="BC29" i="5"/>
  <c r="BC14" i="5"/>
  <c r="BC22" i="5"/>
  <c r="BC15" i="5"/>
  <c r="BC16" i="5"/>
  <c r="BC24" i="5"/>
  <c r="BC32" i="5"/>
  <c r="BC9" i="5"/>
  <c r="BC17" i="5"/>
  <c r="BC23" i="5"/>
  <c r="BC39" i="5"/>
  <c r="BC47" i="5"/>
  <c r="BC25" i="5"/>
  <c r="BC31" i="5"/>
  <c r="BC40" i="5"/>
  <c r="BC48" i="5"/>
  <c r="BC41" i="5"/>
  <c r="BC49" i="5"/>
  <c r="BC42" i="5"/>
  <c r="BC50" i="5"/>
  <c r="BC33" i="5"/>
  <c r="BC43" i="5"/>
  <c r="BC37" i="5"/>
  <c r="BC45" i="5"/>
  <c r="BC53" i="5"/>
  <c r="BC36" i="5"/>
  <c r="BC52" i="5"/>
  <c r="BC54" i="5"/>
  <c r="BC55" i="5"/>
  <c r="BC35" i="5"/>
  <c r="BC57" i="5"/>
  <c r="BC51" i="5"/>
  <c r="BC56" i="5"/>
  <c r="BC58" i="5"/>
  <c r="BC34" i="5"/>
  <c r="BC38" i="5"/>
  <c r="BC59" i="5"/>
  <c r="BC8" i="5"/>
  <c r="BC30" i="5"/>
  <c r="BC46" i="5"/>
  <c r="BC44" i="5"/>
  <c r="AU10" i="5"/>
  <c r="AU18" i="5"/>
  <c r="AU26" i="5"/>
  <c r="AU11" i="5"/>
  <c r="AU19" i="5"/>
  <c r="AU27" i="5"/>
  <c r="AU12" i="5"/>
  <c r="AU20" i="5"/>
  <c r="AU28" i="5"/>
  <c r="AU13" i="5"/>
  <c r="AU21" i="5"/>
  <c r="AU29" i="5"/>
  <c r="AU14" i="5"/>
  <c r="AU22" i="5"/>
  <c r="AU15" i="5"/>
  <c r="AU16" i="5"/>
  <c r="AU24" i="5"/>
  <c r="AU32" i="5"/>
  <c r="AU9" i="5"/>
  <c r="AU17" i="5"/>
  <c r="AU25" i="5"/>
  <c r="AU39" i="5"/>
  <c r="AU47" i="5"/>
  <c r="AU55" i="5"/>
  <c r="AU34" i="5"/>
  <c r="AU40" i="5"/>
  <c r="AU48" i="5"/>
  <c r="AU41" i="5"/>
  <c r="AU49" i="5"/>
  <c r="AU42" i="5"/>
  <c r="AU50" i="5"/>
  <c r="AU30" i="5"/>
  <c r="AU43" i="5"/>
  <c r="AU51" i="5"/>
  <c r="AU31" i="5"/>
  <c r="AU35" i="5"/>
  <c r="AU37" i="5"/>
  <c r="AU45" i="5"/>
  <c r="AU53" i="5"/>
  <c r="AU44" i="5"/>
  <c r="AU23" i="5"/>
  <c r="AU38" i="5"/>
  <c r="AU57" i="5"/>
  <c r="AU54" i="5"/>
  <c r="AU58" i="5"/>
  <c r="AU46" i="5"/>
  <c r="AU52" i="5"/>
  <c r="AU56" i="5"/>
  <c r="AU59" i="5"/>
  <c r="AU8" i="5"/>
  <c r="AU36" i="5"/>
  <c r="AU33" i="5"/>
  <c r="AM10" i="5"/>
  <c r="AM18" i="5"/>
  <c r="AM26" i="5"/>
  <c r="AM11" i="5"/>
  <c r="AM19" i="5"/>
  <c r="AM27" i="5"/>
  <c r="AM12" i="5"/>
  <c r="AM20" i="5"/>
  <c r="AM28" i="5"/>
  <c r="AM13" i="5"/>
  <c r="AM21" i="5"/>
  <c r="AM29" i="5"/>
  <c r="AM14" i="5"/>
  <c r="AM22" i="5"/>
  <c r="AM15" i="5"/>
  <c r="AM16" i="5"/>
  <c r="AM24" i="5"/>
  <c r="AM32" i="5"/>
  <c r="AM9" i="5"/>
  <c r="AM17" i="5"/>
  <c r="AM25" i="5"/>
  <c r="AM39" i="5"/>
  <c r="AM47" i="5"/>
  <c r="AM55" i="5"/>
  <c r="AM30" i="5"/>
  <c r="AM40" i="5"/>
  <c r="AM48" i="5"/>
  <c r="AM33" i="5"/>
  <c r="AM41" i="5"/>
  <c r="AM49" i="5"/>
  <c r="AM57" i="5"/>
  <c r="AM31" i="5"/>
  <c r="AM34" i="5"/>
  <c r="AM42" i="5"/>
  <c r="AM50" i="5"/>
  <c r="AM43" i="5"/>
  <c r="AM51" i="5"/>
  <c r="AM23" i="5"/>
  <c r="AM37" i="5"/>
  <c r="AM45" i="5"/>
  <c r="AM53" i="5"/>
  <c r="AM54" i="5"/>
  <c r="AM38" i="5"/>
  <c r="AM52" i="5"/>
  <c r="AM46" i="5"/>
  <c r="AM36" i="5"/>
  <c r="AM58" i="5"/>
  <c r="AM59" i="5"/>
  <c r="AM8" i="5"/>
  <c r="AM44" i="5"/>
  <c r="AM35" i="5"/>
  <c r="AM56" i="5"/>
  <c r="AR13" i="5"/>
  <c r="AR21" i="5"/>
  <c r="AR29" i="5"/>
  <c r="AR14" i="5"/>
  <c r="AR22" i="5"/>
  <c r="AR30" i="5"/>
  <c r="AR15" i="5"/>
  <c r="AR23" i="5"/>
  <c r="AR31" i="5"/>
  <c r="AR16" i="5"/>
  <c r="AR24" i="5"/>
  <c r="AR32" i="5"/>
  <c r="AR9" i="5"/>
  <c r="AR17" i="5"/>
  <c r="AR10" i="5"/>
  <c r="AR18" i="5"/>
  <c r="AR11" i="5"/>
  <c r="AR19" i="5"/>
  <c r="AR27" i="5"/>
  <c r="AR12" i="5"/>
  <c r="AR20" i="5"/>
  <c r="AR42" i="5"/>
  <c r="AR50" i="5"/>
  <c r="AR28" i="5"/>
  <c r="AR43" i="5"/>
  <c r="AR51" i="5"/>
  <c r="AR36" i="5"/>
  <c r="AR44" i="5"/>
  <c r="AR52" i="5"/>
  <c r="AR35" i="5"/>
  <c r="AR37" i="5"/>
  <c r="AR45" i="5"/>
  <c r="AR53" i="5"/>
  <c r="AR38" i="5"/>
  <c r="AR46" i="5"/>
  <c r="AR26" i="5"/>
  <c r="AR40" i="5"/>
  <c r="AR48" i="5"/>
  <c r="AR56" i="5"/>
  <c r="AR39" i="5"/>
  <c r="AR57" i="5"/>
  <c r="AR47" i="5"/>
  <c r="AR55" i="5"/>
  <c r="AR58" i="5"/>
  <c r="AR54" i="5"/>
  <c r="AR8" i="5"/>
  <c r="AR25" i="5"/>
  <c r="AR34" i="5"/>
  <c r="AR59" i="5"/>
  <c r="AR41" i="5"/>
  <c r="AR33" i="5"/>
  <c r="AR49" i="5"/>
  <c r="AQ14" i="5"/>
  <c r="AQ22" i="5"/>
  <c r="AQ30" i="5"/>
  <c r="AQ15" i="5"/>
  <c r="AQ23" i="5"/>
  <c r="AQ31" i="5"/>
  <c r="AQ16" i="5"/>
  <c r="AQ24" i="5"/>
  <c r="AQ9" i="5"/>
  <c r="AQ17" i="5"/>
  <c r="AQ25" i="5"/>
  <c r="AQ33" i="5"/>
  <c r="AQ10" i="5"/>
  <c r="AQ18" i="5"/>
  <c r="AQ11" i="5"/>
  <c r="AQ19" i="5"/>
  <c r="AQ12" i="5"/>
  <c r="AQ20" i="5"/>
  <c r="AQ28" i="5"/>
  <c r="AQ13" i="5"/>
  <c r="AQ21" i="5"/>
  <c r="AQ43" i="5"/>
  <c r="AQ51" i="5"/>
  <c r="AQ36" i="5"/>
  <c r="AQ44" i="5"/>
  <c r="AQ52" i="5"/>
  <c r="AQ29" i="5"/>
  <c r="AQ35" i="5"/>
  <c r="AQ37" i="5"/>
  <c r="AQ45" i="5"/>
  <c r="AQ53" i="5"/>
  <c r="AQ38" i="5"/>
  <c r="AQ46" i="5"/>
  <c r="AQ54" i="5"/>
  <c r="AQ39" i="5"/>
  <c r="AQ47" i="5"/>
  <c r="AQ32" i="5"/>
  <c r="AQ34" i="5"/>
  <c r="AQ41" i="5"/>
  <c r="AQ49" i="5"/>
  <c r="AQ48" i="5"/>
  <c r="AQ55" i="5"/>
  <c r="AQ58" i="5"/>
  <c r="AQ59" i="5"/>
  <c r="AQ8" i="5"/>
  <c r="AQ56" i="5"/>
  <c r="AQ42" i="5"/>
  <c r="AQ26" i="5"/>
  <c r="AQ50" i="5"/>
  <c r="AQ40" i="5"/>
  <c r="AQ27" i="5"/>
  <c r="AQ57" i="5"/>
  <c r="BB11" i="5"/>
  <c r="BB19" i="5"/>
  <c r="BB27" i="5"/>
  <c r="BB12" i="5"/>
  <c r="BB20" i="5"/>
  <c r="BB28" i="5"/>
  <c r="BB13" i="5"/>
  <c r="BB21" i="5"/>
  <c r="BB29" i="5"/>
  <c r="BB14" i="5"/>
  <c r="BB22" i="5"/>
  <c r="BB30" i="5"/>
  <c r="BB15" i="5"/>
  <c r="BB23" i="5"/>
  <c r="BB16" i="5"/>
  <c r="BB9" i="5"/>
  <c r="BB17" i="5"/>
  <c r="BB25" i="5"/>
  <c r="BB33" i="5"/>
  <c r="BB10" i="5"/>
  <c r="BB18" i="5"/>
  <c r="BB31" i="5"/>
  <c r="BB40" i="5"/>
  <c r="BB48" i="5"/>
  <c r="BB41" i="5"/>
  <c r="BB49" i="5"/>
  <c r="BB26" i="5"/>
  <c r="BB42" i="5"/>
  <c r="BB50" i="5"/>
  <c r="BB24" i="5"/>
  <c r="BB43" i="5"/>
  <c r="BB51" i="5"/>
  <c r="BB32" i="5"/>
  <c r="BB35" i="5"/>
  <c r="BB36" i="5"/>
  <c r="BB44" i="5"/>
  <c r="BB34" i="5"/>
  <c r="BB38" i="5"/>
  <c r="BB46" i="5"/>
  <c r="BB54" i="5"/>
  <c r="BB45" i="5"/>
  <c r="BB57" i="5"/>
  <c r="BB39" i="5"/>
  <c r="BB53" i="5"/>
  <c r="BB56" i="5"/>
  <c r="BB58" i="5"/>
  <c r="BB59" i="5"/>
  <c r="BB8" i="5"/>
  <c r="BB47" i="5"/>
  <c r="BB37" i="5"/>
  <c r="BB52" i="5"/>
  <c r="BB55" i="5"/>
  <c r="AT11" i="5"/>
  <c r="AT19" i="5"/>
  <c r="AT27" i="5"/>
  <c r="AT12" i="5"/>
  <c r="AT20" i="5"/>
  <c r="AT28" i="5"/>
  <c r="AT13" i="5"/>
  <c r="AT21" i="5"/>
  <c r="AT29" i="5"/>
  <c r="AT14" i="5"/>
  <c r="AT22" i="5"/>
  <c r="AT30" i="5"/>
  <c r="AT15" i="5"/>
  <c r="AT23" i="5"/>
  <c r="AT16" i="5"/>
  <c r="AT9" i="5"/>
  <c r="AT17" i="5"/>
  <c r="AT25" i="5"/>
  <c r="AT33" i="5"/>
  <c r="AT10" i="5"/>
  <c r="AT18" i="5"/>
  <c r="AT32" i="5"/>
  <c r="AT34" i="5"/>
  <c r="AT40" i="5"/>
  <c r="AT48" i="5"/>
  <c r="AT41" i="5"/>
  <c r="AT49" i="5"/>
  <c r="AT24" i="5"/>
  <c r="AT42" i="5"/>
  <c r="AT50" i="5"/>
  <c r="AT43" i="5"/>
  <c r="AT51" i="5"/>
  <c r="AT36" i="5"/>
  <c r="AT44" i="5"/>
  <c r="AT38" i="5"/>
  <c r="AT46" i="5"/>
  <c r="AT54" i="5"/>
  <c r="AT31" i="5"/>
  <c r="AT35" i="5"/>
  <c r="AT39" i="5"/>
  <c r="AT55" i="5"/>
  <c r="AT57" i="5"/>
  <c r="AT47" i="5"/>
  <c r="AT58" i="5"/>
  <c r="AT45" i="5"/>
  <c r="AT37" i="5"/>
  <c r="AT52" i="5"/>
  <c r="AT56" i="5"/>
  <c r="AT59" i="5"/>
  <c r="AT8" i="5"/>
  <c r="AT26" i="5"/>
  <c r="AT53" i="5"/>
  <c r="AL11" i="5"/>
  <c r="AL19" i="5"/>
  <c r="AL27" i="5"/>
  <c r="AL12" i="5"/>
  <c r="AL20" i="5"/>
  <c r="AL28" i="5"/>
  <c r="AL13" i="5"/>
  <c r="AL21" i="5"/>
  <c r="AL29" i="5"/>
  <c r="AL14" i="5"/>
  <c r="AL22" i="5"/>
  <c r="AL30" i="5"/>
  <c r="AL15" i="5"/>
  <c r="AL23" i="5"/>
  <c r="AL16" i="5"/>
  <c r="AL9" i="5"/>
  <c r="AL17" i="5"/>
  <c r="AL25" i="5"/>
  <c r="AL33" i="5"/>
  <c r="AL10" i="5"/>
  <c r="AL18" i="5"/>
  <c r="AL40" i="5"/>
  <c r="AL48" i="5"/>
  <c r="AL24" i="5"/>
  <c r="AL41" i="5"/>
  <c r="AL49" i="5"/>
  <c r="AL31" i="5"/>
  <c r="AL34" i="5"/>
  <c r="AL42" i="5"/>
  <c r="AL50" i="5"/>
  <c r="AL43" i="5"/>
  <c r="AL51" i="5"/>
  <c r="AL26" i="5"/>
  <c r="AL32" i="5"/>
  <c r="AL36" i="5"/>
  <c r="AL44" i="5"/>
  <c r="AL35" i="5"/>
  <c r="AL38" i="5"/>
  <c r="AL46" i="5"/>
  <c r="AL54" i="5"/>
  <c r="AL47" i="5"/>
  <c r="AL52" i="5"/>
  <c r="AL37" i="5"/>
  <c r="AL53" i="5"/>
  <c r="AL57" i="5"/>
  <c r="AL58" i="5"/>
  <c r="AL45" i="5"/>
  <c r="AL59" i="5"/>
  <c r="AL8" i="5"/>
  <c r="AL56" i="5"/>
  <c r="AL55" i="5"/>
  <c r="AL39" i="5"/>
  <c r="BA12" i="5"/>
  <c r="BA20" i="5"/>
  <c r="BA28" i="5"/>
  <c r="BA13" i="5"/>
  <c r="BA21" i="5"/>
  <c r="BA29" i="5"/>
  <c r="BA14" i="5"/>
  <c r="BA22" i="5"/>
  <c r="BA30" i="5"/>
  <c r="BA15" i="5"/>
  <c r="BA23" i="5"/>
  <c r="BA31" i="5"/>
  <c r="BA16" i="5"/>
  <c r="BA24" i="5"/>
  <c r="BA9" i="5"/>
  <c r="BA17" i="5"/>
  <c r="BA10" i="5"/>
  <c r="BA18" i="5"/>
  <c r="BA26" i="5"/>
  <c r="BA34" i="5"/>
  <c r="BA11" i="5"/>
  <c r="BA19" i="5"/>
  <c r="BA25" i="5"/>
  <c r="BA41" i="5"/>
  <c r="BA49" i="5"/>
  <c r="BA42" i="5"/>
  <c r="BA50" i="5"/>
  <c r="BA43" i="5"/>
  <c r="BA51" i="5"/>
  <c r="BA27" i="5"/>
  <c r="BA32" i="5"/>
  <c r="BA33" i="5"/>
  <c r="BA35" i="5"/>
  <c r="BA36" i="5"/>
  <c r="BA44" i="5"/>
  <c r="BA52" i="5"/>
  <c r="BA37" i="5"/>
  <c r="BA45" i="5"/>
  <c r="BA39" i="5"/>
  <c r="BA47" i="5"/>
  <c r="BA55" i="5"/>
  <c r="BA53" i="5"/>
  <c r="BA56" i="5"/>
  <c r="BA40" i="5"/>
  <c r="BA57" i="5"/>
  <c r="BA58" i="5"/>
  <c r="BA48" i="5"/>
  <c r="BA59" i="5"/>
  <c r="BA8" i="5"/>
  <c r="BA38" i="5"/>
  <c r="BA46" i="5"/>
  <c r="BA54" i="5"/>
  <c r="AS12" i="5"/>
  <c r="AS20" i="5"/>
  <c r="AS28" i="5"/>
  <c r="AS13" i="5"/>
  <c r="AS21" i="5"/>
  <c r="AS29" i="5"/>
  <c r="AS14" i="5"/>
  <c r="AS22" i="5"/>
  <c r="AS30" i="5"/>
  <c r="AS15" i="5"/>
  <c r="AS23" i="5"/>
  <c r="AS31" i="5"/>
  <c r="AS16" i="5"/>
  <c r="AS24" i="5"/>
  <c r="AS9" i="5"/>
  <c r="AS17" i="5"/>
  <c r="AS10" i="5"/>
  <c r="AS18" i="5"/>
  <c r="AS26" i="5"/>
  <c r="AS34" i="5"/>
  <c r="AS11" i="5"/>
  <c r="AS19" i="5"/>
  <c r="AS27" i="5"/>
  <c r="AS41" i="5"/>
  <c r="AS49" i="5"/>
  <c r="AS42" i="5"/>
  <c r="AS50" i="5"/>
  <c r="AS43" i="5"/>
  <c r="AS51" i="5"/>
  <c r="AS36" i="5"/>
  <c r="AS44" i="5"/>
  <c r="AS52" i="5"/>
  <c r="AS35" i="5"/>
  <c r="AS37" i="5"/>
  <c r="AS45" i="5"/>
  <c r="AS25" i="5"/>
  <c r="AS33" i="5"/>
  <c r="AS39" i="5"/>
  <c r="AS47" i="5"/>
  <c r="AS55" i="5"/>
  <c r="AS48" i="5"/>
  <c r="AS57" i="5"/>
  <c r="AS38" i="5"/>
  <c r="AS32" i="5"/>
  <c r="AS54" i="5"/>
  <c r="AS56" i="5"/>
  <c r="AS59" i="5"/>
  <c r="AS8" i="5"/>
  <c r="AS46" i="5"/>
  <c r="AS58" i="5"/>
  <c r="AS53" i="5"/>
  <c r="AS40" i="5"/>
  <c r="AK12" i="5"/>
  <c r="AK20" i="5"/>
  <c r="AK28" i="5"/>
  <c r="AK13" i="5"/>
  <c r="AK21" i="5"/>
  <c r="AK29" i="5"/>
  <c r="AK14" i="5"/>
  <c r="AK22" i="5"/>
  <c r="AK30" i="5"/>
  <c r="AK15" i="5"/>
  <c r="AK23" i="5"/>
  <c r="AK31" i="5"/>
  <c r="AK16" i="5"/>
  <c r="AK24" i="5"/>
  <c r="AK9" i="5"/>
  <c r="AK17" i="5"/>
  <c r="AK10" i="5"/>
  <c r="AK18" i="5"/>
  <c r="AK26" i="5"/>
  <c r="AK34" i="5"/>
  <c r="AK11" i="5"/>
  <c r="AK19" i="5"/>
  <c r="AK41" i="5"/>
  <c r="AK49" i="5"/>
  <c r="AK33" i="5"/>
  <c r="AK42" i="5"/>
  <c r="AK50" i="5"/>
  <c r="AK43" i="5"/>
  <c r="AK51" i="5"/>
  <c r="AK32" i="5"/>
  <c r="AK36" i="5"/>
  <c r="AK44" i="5"/>
  <c r="AK52" i="5"/>
  <c r="AK25" i="5"/>
  <c r="AK37" i="5"/>
  <c r="AK45" i="5"/>
  <c r="AK39" i="5"/>
  <c r="AK47" i="5"/>
  <c r="AK55" i="5"/>
  <c r="AK38" i="5"/>
  <c r="AK57" i="5"/>
  <c r="AK46" i="5"/>
  <c r="AK59" i="5"/>
  <c r="AK8" i="5"/>
  <c r="AK40" i="5"/>
  <c r="AK56" i="5"/>
  <c r="AK58" i="5"/>
  <c r="AK27" i="5"/>
  <c r="AK35" i="5"/>
  <c r="AK48" i="5"/>
  <c r="AK54" i="5"/>
  <c r="AK53" i="5"/>
  <c r="B3" i="15"/>
  <c r="J3" i="15"/>
  <c r="R3" i="15"/>
  <c r="G3" i="15"/>
  <c r="C3" i="15"/>
  <c r="K3" i="15"/>
  <c r="S3" i="15"/>
  <c r="N3" i="15"/>
  <c r="D3" i="15"/>
  <c r="L3" i="15"/>
  <c r="T3" i="15"/>
  <c r="V3" i="15"/>
  <c r="O3" i="15"/>
  <c r="E3" i="15"/>
  <c r="M3" i="15"/>
  <c r="U3" i="15"/>
  <c r="F3" i="15"/>
  <c r="W3" i="15"/>
  <c r="H3" i="15"/>
  <c r="P3" i="15"/>
  <c r="I3" i="15"/>
  <c r="Q3" i="15"/>
  <c r="AB47" i="15"/>
  <c r="AJ3" i="5"/>
  <c r="AJ1" i="5" s="1"/>
  <c r="AB31" i="15"/>
  <c r="AB15" i="15"/>
  <c r="AB30" i="15"/>
  <c r="AB49" i="15"/>
  <c r="AB41" i="15"/>
  <c r="AB33" i="15"/>
  <c r="AB25" i="15"/>
  <c r="AB17" i="15"/>
  <c r="AB9" i="15"/>
  <c r="AB10" i="15"/>
  <c r="AB48" i="15"/>
  <c r="AB40" i="15"/>
  <c r="AB32" i="15"/>
  <c r="AB24" i="15"/>
  <c r="AB16" i="15"/>
  <c r="AB8" i="15"/>
  <c r="AB55" i="15"/>
  <c r="AB39" i="15"/>
  <c r="AB23" i="15"/>
  <c r="AB7" i="15"/>
  <c r="AB54" i="15"/>
  <c r="AB46" i="15"/>
  <c r="AB38" i="15"/>
  <c r="AB22" i="15"/>
  <c r="AB14" i="15"/>
  <c r="AB6" i="15"/>
  <c r="AB45" i="15"/>
  <c r="AB37" i="15"/>
  <c r="AB13" i="15"/>
  <c r="AB52" i="15"/>
  <c r="AB28" i="15"/>
  <c r="AB12" i="15"/>
  <c r="AB51" i="15"/>
  <c r="AB35" i="15"/>
  <c r="AB11" i="15"/>
  <c r="AB50" i="15"/>
  <c r="AB18" i="15"/>
  <c r="AB53" i="15"/>
  <c r="AB29" i="15"/>
  <c r="AB5" i="15"/>
  <c r="AB36" i="15"/>
  <c r="AB20" i="15"/>
  <c r="AB43" i="15"/>
  <c r="AB19" i="15"/>
  <c r="AB42" i="15"/>
  <c r="AB26" i="15"/>
  <c r="AB4" i="15"/>
  <c r="AB21" i="15"/>
  <c r="AB44" i="15"/>
  <c r="AB27" i="15"/>
  <c r="AB34" i="15"/>
  <c r="AL3" i="5" l="1"/>
  <c r="AL1" i="5" s="1"/>
  <c r="AK3" i="5"/>
  <c r="AK1" i="5" s="1"/>
  <c r="Y4" i="15"/>
  <c r="Z4" i="15"/>
  <c r="X4" i="15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AG5" i="5"/>
  <c r="AH5" i="5"/>
  <c r="AI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H5" i="5"/>
  <c r="I5" i="5"/>
  <c r="J5" i="5"/>
  <c r="K5" i="5"/>
  <c r="L5" i="5"/>
  <c r="M5" i="5"/>
  <c r="N5" i="5"/>
  <c r="O5" i="5"/>
  <c r="P5" i="5"/>
  <c r="Q5" i="5"/>
  <c r="U5" i="5"/>
  <c r="V5" i="5"/>
  <c r="W5" i="5"/>
  <c r="X5" i="5"/>
  <c r="Y5" i="5"/>
  <c r="Z5" i="5"/>
  <c r="AA5" i="5"/>
  <c r="AB5" i="5"/>
  <c r="AC5" i="5"/>
  <c r="AD5" i="5"/>
  <c r="AE5" i="5"/>
  <c r="AG2" i="5"/>
  <c r="AH2" i="5"/>
  <c r="AI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AG6" i="5"/>
  <c r="AH6" i="5"/>
  <c r="AI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AF6" i="5"/>
  <c r="G60" i="5"/>
  <c r="B57" i="5"/>
  <c r="B58" i="5"/>
  <c r="B59" i="5"/>
  <c r="AF9" i="5" l="1"/>
  <c r="AF17" i="5"/>
  <c r="AF25" i="5"/>
  <c r="AF10" i="5"/>
  <c r="AF18" i="5"/>
  <c r="AF26" i="5"/>
  <c r="AF11" i="5"/>
  <c r="AF19" i="5"/>
  <c r="AF27" i="5"/>
  <c r="AF12" i="5"/>
  <c r="AF20" i="5"/>
  <c r="AF28" i="5"/>
  <c r="AF36" i="5"/>
  <c r="AF13" i="5"/>
  <c r="AF21" i="5"/>
  <c r="AF14" i="5"/>
  <c r="AF15" i="5"/>
  <c r="AF23" i="5"/>
  <c r="AF31" i="5"/>
  <c r="AF16" i="5"/>
  <c r="AF24" i="5"/>
  <c r="AF38" i="5"/>
  <c r="AF46" i="5"/>
  <c r="AF54" i="5"/>
  <c r="AF35" i="5"/>
  <c r="AF39" i="5"/>
  <c r="AF47" i="5"/>
  <c r="AF22" i="5"/>
  <c r="AF32" i="5"/>
  <c r="AF40" i="5"/>
  <c r="AF48" i="5"/>
  <c r="AF56" i="5"/>
  <c r="AF41" i="5"/>
  <c r="AF49" i="5"/>
  <c r="AF42" i="5"/>
  <c r="AF50" i="5"/>
  <c r="AF33" i="5"/>
  <c r="AF34" i="5"/>
  <c r="AF44" i="5"/>
  <c r="AF52" i="5"/>
  <c r="AF51" i="5"/>
  <c r="AF37" i="5"/>
  <c r="AF53" i="5"/>
  <c r="AF55" i="5"/>
  <c r="AF29" i="5"/>
  <c r="AF45" i="5"/>
  <c r="AF43" i="5"/>
  <c r="AF30" i="5"/>
  <c r="AF57" i="5"/>
  <c r="AF58" i="5"/>
  <c r="AF59" i="5"/>
  <c r="AF8" i="5"/>
  <c r="BA3" i="5" l="1"/>
  <c r="BA1" i="5" s="1"/>
  <c r="AP3" i="5"/>
  <c r="AP1" i="5" s="1"/>
  <c r="C8" i="5"/>
  <c r="AW3" i="5"/>
  <c r="AW1" i="5" s="1"/>
  <c r="AO3" i="5"/>
  <c r="AO1" i="5" s="1"/>
  <c r="BC3" i="5"/>
  <c r="BC1" i="5" s="1"/>
  <c r="BD3" i="5"/>
  <c r="BD1" i="5" s="1"/>
  <c r="AI3" i="5"/>
  <c r="AI1" i="5" s="1"/>
  <c r="AM3" i="5"/>
  <c r="AM1" i="5" s="1"/>
  <c r="BB3" i="5"/>
  <c r="BB1" i="5" s="1"/>
  <c r="AH3" i="5"/>
  <c r="AH1" i="5" s="1"/>
  <c r="AN3" i="5"/>
  <c r="AN1" i="5" s="1"/>
  <c r="AY3" i="5"/>
  <c r="AY1" i="5" s="1"/>
  <c r="AS3" i="5"/>
  <c r="AS1" i="5" s="1"/>
  <c r="AG3" i="5"/>
  <c r="AG1" i="5" s="1"/>
  <c r="AT3" i="5"/>
  <c r="AT1" i="5" s="1"/>
  <c r="AV3" i="5"/>
  <c r="AV1" i="5" s="1"/>
  <c r="AX3" i="5"/>
  <c r="AX1" i="5" s="1"/>
  <c r="AR3" i="5"/>
  <c r="AR1" i="5" s="1"/>
  <c r="AQ3" i="5"/>
  <c r="AQ1" i="5" s="1"/>
  <c r="AZ3" i="5"/>
  <c r="AZ1" i="5" s="1"/>
  <c r="AU3" i="5"/>
  <c r="AU1" i="5" s="1"/>
  <c r="AF3" i="5"/>
  <c r="C59" i="5"/>
  <c r="D59" i="5" s="1"/>
  <c r="E59" i="5" s="1"/>
  <c r="C58" i="5"/>
  <c r="D58" i="5" s="1"/>
  <c r="E58" i="5" s="1"/>
  <c r="C57" i="5"/>
  <c r="D57" i="5" s="1"/>
  <c r="F57" i="5" s="1"/>
  <c r="F58" i="5" l="1"/>
  <c r="E57" i="5"/>
  <c r="F59" i="5"/>
  <c r="AF2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8" i="5"/>
  <c r="AF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B60" i="5" l="1"/>
  <c r="G5" i="5"/>
  <c r="BN25" i="5" l="1"/>
  <c r="BN29" i="5"/>
  <c r="BN33" i="5"/>
  <c r="BN12" i="5"/>
  <c r="BN11" i="5"/>
  <c r="BN15" i="5"/>
  <c r="BN19" i="5"/>
  <c r="BN36" i="5"/>
  <c r="BN42" i="5"/>
  <c r="BN46" i="5"/>
  <c r="BN50" i="5"/>
  <c r="BN41" i="5"/>
  <c r="BN45" i="5"/>
  <c r="BN49" i="5"/>
  <c r="BN53" i="5"/>
  <c r="BN47" i="5"/>
  <c r="BN48" i="5"/>
  <c r="BN38" i="5"/>
  <c r="BN43" i="5"/>
  <c r="BN56" i="5"/>
  <c r="BN39" i="5"/>
  <c r="BN40" i="5"/>
  <c r="BN26" i="5"/>
  <c r="BX22" i="5"/>
  <c r="BX26" i="5"/>
  <c r="BX30" i="5"/>
  <c r="BX34" i="5"/>
  <c r="BX29" i="5"/>
  <c r="BX33" i="5"/>
  <c r="BX12" i="5"/>
  <c r="BX28" i="5"/>
  <c r="BX32" i="5"/>
  <c r="BX39" i="5"/>
  <c r="BX43" i="5"/>
  <c r="BX47" i="5"/>
  <c r="BX42" i="5"/>
  <c r="BX46" i="5"/>
  <c r="BX50" i="5"/>
  <c r="BX31" i="5"/>
  <c r="BX56" i="5"/>
  <c r="BX27" i="5"/>
  <c r="BX41" i="5"/>
  <c r="BX11" i="5"/>
  <c r="BX45" i="5"/>
  <c r="BX49" i="5"/>
  <c r="BX52" i="5"/>
  <c r="BF21" i="5"/>
  <c r="BF25" i="5"/>
  <c r="BF29" i="5"/>
  <c r="BF28" i="5"/>
  <c r="BF32" i="5"/>
  <c r="BF11" i="5"/>
  <c r="BF31" i="5"/>
  <c r="BF35" i="5"/>
  <c r="BF39" i="5"/>
  <c r="BF42" i="5"/>
  <c r="BF54" i="5"/>
  <c r="BF34" i="5"/>
  <c r="BF8" i="5"/>
  <c r="BF37" i="5"/>
  <c r="BF41" i="5"/>
  <c r="BF36" i="5"/>
  <c r="BF14" i="5"/>
  <c r="BF30" i="5"/>
  <c r="BF10" i="5"/>
  <c r="BF26" i="5"/>
  <c r="BF44" i="5"/>
  <c r="BF40" i="5"/>
  <c r="BF55" i="5"/>
  <c r="BJ15" i="5"/>
  <c r="BJ19" i="5"/>
  <c r="BJ23" i="5"/>
  <c r="BJ27" i="5"/>
  <c r="BJ18" i="5"/>
  <c r="BJ26" i="5"/>
  <c r="BJ30" i="5"/>
  <c r="BJ13" i="5"/>
  <c r="BJ17" i="5"/>
  <c r="BJ21" i="5"/>
  <c r="BJ25" i="5"/>
  <c r="BJ29" i="5"/>
  <c r="BJ33" i="5"/>
  <c r="BJ52" i="5"/>
  <c r="BJ56" i="5"/>
  <c r="BJ12" i="5"/>
  <c r="BJ28" i="5"/>
  <c r="BJ51" i="5"/>
  <c r="BJ24" i="5"/>
  <c r="BJ20" i="5"/>
  <c r="BJ37" i="5"/>
  <c r="BJ53" i="5"/>
  <c r="BJ46" i="5"/>
  <c r="BJ36" i="5"/>
  <c r="BJ8" i="5"/>
  <c r="BJ45" i="5"/>
  <c r="BJ50" i="5"/>
  <c r="BJ42" i="5"/>
  <c r="BJ49" i="5"/>
  <c r="BV9" i="5"/>
  <c r="BV13" i="5"/>
  <c r="BV17" i="5"/>
  <c r="BV21" i="5"/>
  <c r="BV33" i="5"/>
  <c r="BV12" i="5"/>
  <c r="BV20" i="5"/>
  <c r="BV24" i="5"/>
  <c r="BV28" i="5"/>
  <c r="BV23" i="5"/>
  <c r="BV27" i="5"/>
  <c r="BV31" i="5"/>
  <c r="BV35" i="5"/>
  <c r="BV50" i="5"/>
  <c r="BV10" i="5"/>
  <c r="BV26" i="5"/>
  <c r="BV8" i="5"/>
  <c r="BV53" i="5"/>
  <c r="BV38" i="5"/>
  <c r="BV18" i="5"/>
  <c r="BV34" i="5"/>
  <c r="BV39" i="5"/>
  <c r="BV43" i="5"/>
  <c r="BV44" i="5"/>
  <c r="BV51" i="5"/>
  <c r="BV30" i="5"/>
  <c r="BV55" i="5"/>
  <c r="BP10" i="5"/>
  <c r="BP14" i="5"/>
  <c r="BP18" i="5"/>
  <c r="BP34" i="5"/>
  <c r="BP13" i="5"/>
  <c r="BP17" i="5"/>
  <c r="BP21" i="5"/>
  <c r="BP16" i="5"/>
  <c r="BP20" i="5"/>
  <c r="BP24" i="5"/>
  <c r="BP28" i="5"/>
  <c r="BP47" i="5"/>
  <c r="BP19" i="5"/>
  <c r="BP35" i="5"/>
  <c r="BP39" i="5"/>
  <c r="BP42" i="5"/>
  <c r="BP50" i="5"/>
  <c r="BP54" i="5"/>
  <c r="BP15" i="5"/>
  <c r="BP31" i="5"/>
  <c r="BP27" i="5"/>
  <c r="BP45" i="5"/>
  <c r="BP48" i="5"/>
  <c r="BP49" i="5"/>
  <c r="BP52" i="5"/>
  <c r="BP23" i="5"/>
  <c r="BP40" i="5"/>
  <c r="BM9" i="5"/>
  <c r="BM13" i="5"/>
  <c r="BM33" i="5"/>
  <c r="BM12" i="5"/>
  <c r="BM16" i="5"/>
  <c r="BM20" i="5"/>
  <c r="BM10" i="5"/>
  <c r="BM14" i="5"/>
  <c r="BM18" i="5"/>
  <c r="BM22" i="5"/>
  <c r="BM19" i="5"/>
  <c r="BM35" i="5"/>
  <c r="BM37" i="5"/>
  <c r="BM8" i="5"/>
  <c r="BM41" i="5"/>
  <c r="BM53" i="5"/>
  <c r="BM31" i="5"/>
  <c r="BM38" i="5"/>
  <c r="BM40" i="5"/>
  <c r="BM56" i="5"/>
  <c r="BM27" i="5"/>
  <c r="BM43" i="5"/>
  <c r="BM47" i="5"/>
  <c r="BM51" i="5"/>
  <c r="BM54" i="5"/>
  <c r="BM42" i="5"/>
  <c r="BQ11" i="5"/>
  <c r="BQ31" i="5"/>
  <c r="BQ35" i="5"/>
  <c r="BQ10" i="5"/>
  <c r="BQ14" i="5"/>
  <c r="BQ30" i="5"/>
  <c r="BQ34" i="5"/>
  <c r="BQ38" i="5"/>
  <c r="BQ12" i="5"/>
  <c r="BQ16" i="5"/>
  <c r="BQ28" i="5"/>
  <c r="BQ36" i="5"/>
  <c r="BQ13" i="5"/>
  <c r="BQ29" i="5"/>
  <c r="BQ43" i="5"/>
  <c r="BQ9" i="5"/>
  <c r="BQ25" i="5"/>
  <c r="BQ39" i="5"/>
  <c r="BQ37" i="5"/>
  <c r="BQ42" i="5"/>
  <c r="BQ21" i="5"/>
  <c r="BQ45" i="5"/>
  <c r="BQ49" i="5"/>
  <c r="BQ53" i="5"/>
  <c r="BQ17" i="5"/>
  <c r="BQ48" i="5"/>
  <c r="BQ52" i="5"/>
  <c r="BQ56" i="5"/>
  <c r="BR19" i="5"/>
  <c r="BR27" i="5"/>
  <c r="BR31" i="5"/>
  <c r="BR35" i="5"/>
  <c r="BR10" i="5"/>
  <c r="BR22" i="5"/>
  <c r="BR26" i="5"/>
  <c r="BR34" i="5"/>
  <c r="BR9" i="5"/>
  <c r="BR13" i="5"/>
  <c r="BR40" i="5"/>
  <c r="BR44" i="5"/>
  <c r="BR48" i="5"/>
  <c r="BR32" i="5"/>
  <c r="BR43" i="5"/>
  <c r="BR47" i="5"/>
  <c r="BR51" i="5"/>
  <c r="BR55" i="5"/>
  <c r="BR24" i="5"/>
  <c r="BR41" i="5"/>
  <c r="BR42" i="5"/>
  <c r="BR8" i="5"/>
  <c r="BR49" i="5"/>
  <c r="BR50" i="5"/>
  <c r="BR20" i="5"/>
  <c r="BR53" i="5"/>
  <c r="BI11" i="5"/>
  <c r="BI15" i="5"/>
  <c r="BI23" i="5"/>
  <c r="BI27" i="5"/>
  <c r="BI31" i="5"/>
  <c r="BI18" i="5"/>
  <c r="BI22" i="5"/>
  <c r="BI26" i="5"/>
  <c r="BI30" i="5"/>
  <c r="BI34" i="5"/>
  <c r="BI16" i="5"/>
  <c r="BI28" i="5"/>
  <c r="BI32" i="5"/>
  <c r="BI36" i="5"/>
  <c r="BI47" i="5"/>
  <c r="BI51" i="5"/>
  <c r="BI55" i="5"/>
  <c r="BI21" i="5"/>
  <c r="BI42" i="5"/>
  <c r="BI46" i="5"/>
  <c r="BI50" i="5"/>
  <c r="BI33" i="5"/>
  <c r="BI41" i="5"/>
  <c r="BI52" i="5"/>
  <c r="BI44" i="5"/>
  <c r="BI48" i="5"/>
  <c r="BI56" i="5"/>
  <c r="BL12" i="5"/>
  <c r="BL16" i="5"/>
  <c r="BL20" i="5"/>
  <c r="BL24" i="5"/>
  <c r="BL28" i="5"/>
  <c r="BL27" i="5"/>
  <c r="BL31" i="5"/>
  <c r="BL35" i="5"/>
  <c r="BL18" i="5"/>
  <c r="BL22" i="5"/>
  <c r="BL26" i="5"/>
  <c r="BL30" i="5"/>
  <c r="BL34" i="5"/>
  <c r="BL41" i="5"/>
  <c r="BL9" i="5"/>
  <c r="BL38" i="5"/>
  <c r="BL40" i="5"/>
  <c r="BL44" i="5"/>
  <c r="BL17" i="5"/>
  <c r="BL33" i="5"/>
  <c r="BL39" i="5"/>
  <c r="BL50" i="5"/>
  <c r="BL55" i="5"/>
  <c r="BL46" i="5"/>
  <c r="BL43" i="5"/>
  <c r="BL47" i="5"/>
  <c r="BL29" i="5"/>
  <c r="BL8" i="5"/>
  <c r="BL42" i="5"/>
  <c r="BU13" i="5"/>
  <c r="BU17" i="5"/>
  <c r="BU21" i="5"/>
  <c r="BU16" i="5"/>
  <c r="BU20" i="5"/>
  <c r="BU24" i="5"/>
  <c r="BU28" i="5"/>
  <c r="BU10" i="5"/>
  <c r="BU14" i="5"/>
  <c r="BU22" i="5"/>
  <c r="BU26" i="5"/>
  <c r="BU30" i="5"/>
  <c r="BU8" i="5"/>
  <c r="BU31" i="5"/>
  <c r="BU41" i="5"/>
  <c r="BU45" i="5"/>
  <c r="BU49" i="5"/>
  <c r="BU53" i="5"/>
  <c r="BU15" i="5"/>
  <c r="BU40" i="5"/>
  <c r="BU44" i="5"/>
  <c r="BU48" i="5"/>
  <c r="BU52" i="5"/>
  <c r="BU43" i="5"/>
  <c r="BU47" i="5"/>
  <c r="BU51" i="5"/>
  <c r="BU55" i="5"/>
  <c r="BU27" i="5"/>
  <c r="BU37" i="5"/>
  <c r="BU54" i="5"/>
  <c r="BW10" i="5"/>
  <c r="BW14" i="5"/>
  <c r="BW18" i="5"/>
  <c r="BW34" i="5"/>
  <c r="BW9" i="5"/>
  <c r="BW13" i="5"/>
  <c r="BW17" i="5"/>
  <c r="BW21" i="5"/>
  <c r="BW11" i="5"/>
  <c r="BW15" i="5"/>
  <c r="BW19" i="5"/>
  <c r="BW23" i="5"/>
  <c r="BW35" i="5"/>
  <c r="BW42" i="5"/>
  <c r="BW46" i="5"/>
  <c r="BW50" i="5"/>
  <c r="BW54" i="5"/>
  <c r="BW28" i="5"/>
  <c r="BW41" i="5"/>
  <c r="BW45" i="5"/>
  <c r="BW49" i="5"/>
  <c r="BW53" i="5"/>
  <c r="BW44" i="5"/>
  <c r="BW48" i="5"/>
  <c r="BW52" i="5"/>
  <c r="BW38" i="5"/>
  <c r="BW39" i="5"/>
  <c r="BW47" i="5"/>
  <c r="BW51" i="5"/>
  <c r="BW55" i="5"/>
  <c r="BW56" i="5"/>
  <c r="BO10" i="5"/>
  <c r="BO14" i="5"/>
  <c r="BO30" i="5"/>
  <c r="BO34" i="5"/>
  <c r="BO9" i="5"/>
  <c r="BO13" i="5"/>
  <c r="BO17" i="5"/>
  <c r="BO33" i="5"/>
  <c r="BO37" i="5"/>
  <c r="BO11" i="5"/>
  <c r="BO15" i="5"/>
  <c r="BO19" i="5"/>
  <c r="BO35" i="5"/>
  <c r="BO16" i="5"/>
  <c r="BO32" i="5"/>
  <c r="BO39" i="5"/>
  <c r="BO36" i="5"/>
  <c r="BO54" i="5"/>
  <c r="BO24" i="5"/>
  <c r="BO12" i="5"/>
  <c r="BO28" i="5"/>
  <c r="BO8" i="5"/>
  <c r="BO53" i="5"/>
  <c r="BO38" i="5"/>
  <c r="BO40" i="5"/>
  <c r="BO44" i="5"/>
  <c r="BO48" i="5"/>
  <c r="BO51" i="5"/>
  <c r="BO56" i="5"/>
  <c r="BO55" i="5"/>
  <c r="BO20" i="5"/>
  <c r="BK12" i="5"/>
  <c r="BK32" i="5"/>
  <c r="BK36" i="5"/>
  <c r="BK11" i="5"/>
  <c r="BK15" i="5"/>
  <c r="BK27" i="5"/>
  <c r="BK31" i="5"/>
  <c r="BK39" i="5"/>
  <c r="BK9" i="5"/>
  <c r="BK13" i="5"/>
  <c r="BK29" i="5"/>
  <c r="BK33" i="5"/>
  <c r="BK22" i="5"/>
  <c r="BK14" i="5"/>
  <c r="BK38" i="5"/>
  <c r="BK52" i="5"/>
  <c r="BK56" i="5"/>
  <c r="BK30" i="5"/>
  <c r="BK18" i="5"/>
  <c r="BK34" i="5"/>
  <c r="BK51" i="5"/>
  <c r="BK55" i="5"/>
  <c r="BK42" i="5"/>
  <c r="BK46" i="5"/>
  <c r="BK50" i="5"/>
  <c r="BK54" i="5"/>
  <c r="BK49" i="5"/>
  <c r="BK53" i="5"/>
  <c r="BK41" i="5"/>
  <c r="BK8" i="5"/>
  <c r="BK45" i="5"/>
  <c r="BK26" i="5"/>
  <c r="BY23" i="5"/>
  <c r="BY27" i="5"/>
  <c r="BY31" i="5"/>
  <c r="BY35" i="5"/>
  <c r="BY10" i="5"/>
  <c r="BY26" i="5"/>
  <c r="BY30" i="5"/>
  <c r="BY34" i="5"/>
  <c r="BY38" i="5"/>
  <c r="BY12" i="5"/>
  <c r="BY32" i="5"/>
  <c r="BY17" i="5"/>
  <c r="BY33" i="5"/>
  <c r="BY36" i="5"/>
  <c r="BY43" i="5"/>
  <c r="BY47" i="5"/>
  <c r="BY51" i="5"/>
  <c r="BY55" i="5"/>
  <c r="BY13" i="5"/>
  <c r="BY29" i="5"/>
  <c r="BY42" i="5"/>
  <c r="BY46" i="5"/>
  <c r="BY50" i="5"/>
  <c r="BY54" i="5"/>
  <c r="BY41" i="5"/>
  <c r="BY45" i="5"/>
  <c r="BY8" i="5"/>
  <c r="BY56" i="5"/>
  <c r="BY44" i="5"/>
  <c r="BY52" i="5"/>
  <c r="BY40" i="5"/>
  <c r="BS16" i="5"/>
  <c r="BS20" i="5"/>
  <c r="BS24" i="5"/>
  <c r="BS28" i="5"/>
  <c r="BS32" i="5"/>
  <c r="BS36" i="5"/>
  <c r="BS19" i="5"/>
  <c r="BS23" i="5"/>
  <c r="BS27" i="5"/>
  <c r="BS31" i="5"/>
  <c r="BS35" i="5"/>
  <c r="BS39" i="5"/>
  <c r="BS17" i="5"/>
  <c r="BS21" i="5"/>
  <c r="BS25" i="5"/>
  <c r="BS29" i="5"/>
  <c r="BS33" i="5"/>
  <c r="BS10" i="5"/>
  <c r="BS38" i="5"/>
  <c r="BS44" i="5"/>
  <c r="BS48" i="5"/>
  <c r="BS52" i="5"/>
  <c r="BS56" i="5"/>
  <c r="BS18" i="5"/>
  <c r="BS43" i="5"/>
  <c r="BS47" i="5"/>
  <c r="BS51" i="5"/>
  <c r="BS55" i="5"/>
  <c r="BS37" i="5"/>
  <c r="BS42" i="5"/>
  <c r="BS50" i="5"/>
  <c r="BS54" i="5"/>
  <c r="BS8" i="5"/>
  <c r="BS41" i="5"/>
  <c r="BS30" i="5"/>
  <c r="BS45" i="5"/>
  <c r="BS49" i="5"/>
  <c r="BH14" i="5"/>
  <c r="BH18" i="5"/>
  <c r="BH22" i="5"/>
  <c r="BH26" i="5"/>
  <c r="BH30" i="5"/>
  <c r="BH13" i="5"/>
  <c r="BH17" i="5"/>
  <c r="BH21" i="5"/>
  <c r="BH25" i="5"/>
  <c r="BH29" i="5"/>
  <c r="BH33" i="5"/>
  <c r="BH20" i="5"/>
  <c r="BH24" i="5"/>
  <c r="BH28" i="5"/>
  <c r="BH32" i="5"/>
  <c r="BH36" i="5"/>
  <c r="BH43" i="5"/>
  <c r="BH55" i="5"/>
  <c r="BH15" i="5"/>
  <c r="BH31" i="5"/>
  <c r="BH39" i="5"/>
  <c r="BH42" i="5"/>
  <c r="BH46" i="5"/>
  <c r="BH11" i="5"/>
  <c r="BH27" i="5"/>
  <c r="BH37" i="5"/>
  <c r="BH8" i="5"/>
  <c r="BH23" i="5"/>
  <c r="BH56" i="5"/>
  <c r="BH38" i="5"/>
  <c r="BH48" i="5"/>
  <c r="BH52" i="5"/>
  <c r="BH35" i="5"/>
  <c r="BH49" i="5"/>
  <c r="BH45" i="5"/>
  <c r="BG10" i="5"/>
  <c r="BG14" i="5"/>
  <c r="BG18" i="5"/>
  <c r="BG22" i="5"/>
  <c r="BG26" i="5"/>
  <c r="BG13" i="5"/>
  <c r="BG17" i="5"/>
  <c r="BG21" i="5"/>
  <c r="BG25" i="5"/>
  <c r="BG29" i="5"/>
  <c r="BG11" i="5"/>
  <c r="BG15" i="5"/>
  <c r="BG19" i="5"/>
  <c r="BG23" i="5"/>
  <c r="BG27" i="5"/>
  <c r="BG31" i="5"/>
  <c r="BG12" i="5"/>
  <c r="BG28" i="5"/>
  <c r="BG20" i="5"/>
  <c r="BG39" i="5"/>
  <c r="BG42" i="5"/>
  <c r="BG46" i="5"/>
  <c r="BG50" i="5"/>
  <c r="BG41" i="5"/>
  <c r="BG45" i="5"/>
  <c r="BG49" i="5"/>
  <c r="BG53" i="5"/>
  <c r="BG36" i="5"/>
  <c r="BG44" i="5"/>
  <c r="BG48" i="5"/>
  <c r="BG52" i="5"/>
  <c r="BG56" i="5"/>
  <c r="BG16" i="5"/>
  <c r="BG55" i="5"/>
  <c r="BG51" i="5"/>
  <c r="BG43" i="5"/>
  <c r="BG32" i="5"/>
  <c r="BG47" i="5"/>
  <c r="BT12" i="5"/>
  <c r="BT16" i="5"/>
  <c r="BT20" i="5"/>
  <c r="BT24" i="5"/>
  <c r="BT32" i="5"/>
  <c r="BT11" i="5"/>
  <c r="BT15" i="5"/>
  <c r="BT19" i="5"/>
  <c r="BT23" i="5"/>
  <c r="BT27" i="5"/>
  <c r="BT31" i="5"/>
  <c r="BT35" i="5"/>
  <c r="BT14" i="5"/>
  <c r="BT18" i="5"/>
  <c r="BT22" i="5"/>
  <c r="BT26" i="5"/>
  <c r="BT30" i="5"/>
  <c r="BT34" i="5"/>
  <c r="BT45" i="5"/>
  <c r="BT49" i="5"/>
  <c r="BT53" i="5"/>
  <c r="BT13" i="5"/>
  <c r="BT29" i="5"/>
  <c r="BT38" i="5"/>
  <c r="BT40" i="5"/>
  <c r="BT48" i="5"/>
  <c r="BT52" i="5"/>
  <c r="BT56" i="5"/>
  <c r="BT9" i="5"/>
  <c r="BT25" i="5"/>
  <c r="BT36" i="5"/>
  <c r="BT21" i="5"/>
  <c r="BT8" i="5"/>
  <c r="BT54" i="5"/>
  <c r="BT33" i="5"/>
  <c r="BT42" i="5"/>
  <c r="BT43" i="5"/>
  <c r="BT46" i="5"/>
  <c r="BT47" i="5"/>
  <c r="BT37" i="5"/>
  <c r="BT50" i="5"/>
  <c r="BT51" i="5"/>
  <c r="BZ11" i="5"/>
  <c r="BZ15" i="5"/>
  <c r="BZ19" i="5"/>
  <c r="BZ31" i="5"/>
  <c r="BZ35" i="5"/>
  <c r="BZ10" i="5"/>
  <c r="BZ14" i="5"/>
  <c r="BZ18" i="5"/>
  <c r="BZ22" i="5"/>
  <c r="BZ26" i="5"/>
  <c r="BZ34" i="5"/>
  <c r="BZ9" i="5"/>
  <c r="BZ13" i="5"/>
  <c r="BZ17" i="5"/>
  <c r="BZ21" i="5"/>
  <c r="BZ25" i="5"/>
  <c r="BZ33" i="5"/>
  <c r="BZ40" i="5"/>
  <c r="BZ44" i="5"/>
  <c r="BZ48" i="5"/>
  <c r="BZ52" i="5"/>
  <c r="BZ56" i="5"/>
  <c r="BZ20" i="5"/>
  <c r="BZ39" i="5"/>
  <c r="BZ43" i="5"/>
  <c r="BZ47" i="5"/>
  <c r="BZ51" i="5"/>
  <c r="BZ55" i="5"/>
  <c r="BZ16" i="5"/>
  <c r="BZ32" i="5"/>
  <c r="BZ28" i="5"/>
  <c r="BZ46" i="5"/>
  <c r="BZ54" i="5"/>
  <c r="BZ8" i="5"/>
  <c r="BZ38" i="5"/>
  <c r="BZ41" i="5"/>
  <c r="BZ53" i="5"/>
  <c r="BZ24" i="5"/>
  <c r="BZ49" i="5"/>
  <c r="BZ50" i="5"/>
  <c r="BL36" i="5"/>
  <c r="BL11" i="5"/>
  <c r="BL10" i="5"/>
  <c r="BL21" i="5"/>
  <c r="BL48" i="5"/>
  <c r="BL52" i="5"/>
  <c r="BF33" i="5"/>
  <c r="BF52" i="5"/>
  <c r="BF56" i="5"/>
  <c r="BF45" i="5"/>
  <c r="BJ31" i="5"/>
  <c r="BJ54" i="5"/>
  <c r="BJ43" i="5"/>
  <c r="BV25" i="5"/>
  <c r="BV48" i="5"/>
  <c r="BV22" i="5"/>
  <c r="BN13" i="5"/>
  <c r="BN17" i="5"/>
  <c r="BN16" i="5"/>
  <c r="BN20" i="5"/>
  <c r="BN23" i="5"/>
  <c r="BN44" i="5"/>
  <c r="BN8" i="5"/>
  <c r="BQ15" i="5"/>
  <c r="BQ26" i="5"/>
  <c r="BQ54" i="5"/>
  <c r="BR11" i="5"/>
  <c r="BR39" i="5"/>
  <c r="BR38" i="5"/>
  <c r="BR37" i="5"/>
  <c r="BR12" i="5"/>
  <c r="BU33" i="5"/>
  <c r="BU19" i="5"/>
  <c r="BU23" i="5"/>
  <c r="BU34" i="5"/>
  <c r="BU38" i="5"/>
  <c r="BW30" i="5"/>
  <c r="BW12" i="5"/>
  <c r="BW16" i="5"/>
  <c r="BW27" i="5"/>
  <c r="BW31" i="5"/>
  <c r="BW43" i="5"/>
  <c r="BW8" i="5"/>
  <c r="BI9" i="5"/>
  <c r="BI20" i="5"/>
  <c r="BI24" i="5"/>
  <c r="BI45" i="5"/>
  <c r="BI49" i="5"/>
  <c r="BI43" i="5"/>
  <c r="BX21" i="5"/>
  <c r="BX25" i="5"/>
  <c r="BX24" i="5"/>
  <c r="BX40" i="5"/>
  <c r="BX44" i="5"/>
  <c r="BX19" i="5"/>
  <c r="BH51" i="5"/>
  <c r="BO18" i="5"/>
  <c r="BO45" i="5"/>
  <c r="BO43" i="5"/>
  <c r="BO47" i="5"/>
  <c r="BO42" i="5"/>
  <c r="BO46" i="5"/>
  <c r="BK16" i="5"/>
  <c r="BK19" i="5"/>
  <c r="BK40" i="5"/>
  <c r="BK44" i="5"/>
  <c r="BY11" i="5"/>
  <c r="BY14" i="5"/>
  <c r="BY25" i="5"/>
  <c r="BP38" i="5"/>
  <c r="BP33" i="5"/>
  <c r="BP37" i="5"/>
  <c r="BP36" i="5"/>
  <c r="BP11" i="5"/>
  <c r="BP44" i="5"/>
  <c r="BP51" i="5"/>
  <c r="BP46" i="5"/>
  <c r="BM15" i="5"/>
  <c r="BM26" i="5"/>
  <c r="BM30" i="5"/>
  <c r="BM55" i="5"/>
  <c r="BM28" i="5"/>
  <c r="BM52" i="5"/>
  <c r="BG30" i="5"/>
  <c r="BT28" i="5"/>
  <c r="BT44" i="5"/>
  <c r="BZ23" i="5"/>
  <c r="BZ42" i="5"/>
  <c r="BQ33" i="5"/>
  <c r="BQ32" i="5"/>
  <c r="BQ55" i="5"/>
  <c r="BQ44" i="5"/>
  <c r="BQ51" i="5"/>
  <c r="BV11" i="5"/>
  <c r="BV32" i="5"/>
  <c r="BV45" i="5"/>
  <c r="BV54" i="5"/>
  <c r="BV42" i="5"/>
  <c r="BR29" i="5"/>
  <c r="BR18" i="5"/>
  <c r="BR36" i="5"/>
  <c r="BR25" i="5"/>
  <c r="BR46" i="5"/>
  <c r="BJ10" i="5"/>
  <c r="BJ14" i="5"/>
  <c r="BJ16" i="5"/>
  <c r="BJ11" i="5"/>
  <c r="BJ47" i="5"/>
  <c r="BS13" i="5"/>
  <c r="BS15" i="5"/>
  <c r="BS9" i="5"/>
  <c r="BS46" i="5"/>
  <c r="BI13" i="5"/>
  <c r="BI37" i="5"/>
  <c r="BL19" i="5"/>
  <c r="BL32" i="5"/>
  <c r="BL37" i="5"/>
  <c r="BL23" i="5"/>
  <c r="BL56" i="5"/>
  <c r="BL45" i="5"/>
  <c r="BX15" i="5"/>
  <c r="BX17" i="5"/>
  <c r="BX10" i="5"/>
  <c r="BX51" i="5"/>
  <c r="BX54" i="5"/>
  <c r="BX48" i="5"/>
  <c r="BP12" i="5"/>
  <c r="BP55" i="5"/>
  <c r="BP26" i="5"/>
  <c r="BP8" i="5"/>
  <c r="BP53" i="5"/>
  <c r="BH9" i="5"/>
  <c r="BH41" i="5"/>
  <c r="BH10" i="5"/>
  <c r="BW33" i="5"/>
  <c r="BW32" i="5"/>
  <c r="BW29" i="5"/>
  <c r="BK24" i="5"/>
  <c r="BK21" i="5"/>
  <c r="BK37" i="5"/>
  <c r="BK23" i="5"/>
  <c r="BK17" i="5"/>
  <c r="BK47" i="5"/>
  <c r="BN27" i="5"/>
  <c r="BN10" i="5"/>
  <c r="BN52" i="5"/>
  <c r="BF17" i="5"/>
  <c r="BF19" i="5"/>
  <c r="BF51" i="5"/>
  <c r="BU29" i="5"/>
  <c r="BU18" i="5"/>
  <c r="BU42" i="5"/>
  <c r="BM24" i="5"/>
  <c r="BM25" i="5"/>
  <c r="BM45" i="5"/>
  <c r="BM36" i="5"/>
  <c r="BO25" i="5"/>
  <c r="BO27" i="5"/>
  <c r="BO29" i="5"/>
  <c r="BO52" i="5"/>
  <c r="BO41" i="5"/>
  <c r="BO31" i="5"/>
  <c r="BO50" i="5"/>
  <c r="BG33" i="5"/>
  <c r="BG37" i="5"/>
  <c r="BG34" i="5"/>
  <c r="BT10" i="5"/>
  <c r="BZ37" i="5"/>
  <c r="BO22" i="5"/>
  <c r="BO26" i="5"/>
  <c r="BO49" i="5"/>
  <c r="BO23" i="5"/>
  <c r="BG9" i="5"/>
  <c r="BG40" i="5"/>
  <c r="BG38" i="5"/>
  <c r="BG35" i="5"/>
  <c r="BG54" i="5"/>
  <c r="BT39" i="5"/>
  <c r="BT55" i="5"/>
  <c r="BT41" i="5"/>
  <c r="BT17" i="5"/>
  <c r="BV29" i="5"/>
  <c r="BV16" i="5"/>
  <c r="BV36" i="5"/>
  <c r="BV41" i="5"/>
  <c r="BV40" i="5"/>
  <c r="BV52" i="5"/>
  <c r="BV56" i="5"/>
  <c r="BV47" i="5"/>
  <c r="BV15" i="5"/>
  <c r="BV37" i="5"/>
  <c r="BV46" i="5"/>
  <c r="BV19" i="5"/>
  <c r="BV14" i="5"/>
  <c r="BL15" i="5"/>
  <c r="BL14" i="5"/>
  <c r="BL51" i="5"/>
  <c r="BL13" i="5"/>
  <c r="BL54" i="5"/>
  <c r="BL25" i="5"/>
  <c r="BL49" i="5"/>
  <c r="BL53" i="5"/>
  <c r="BN9" i="5"/>
  <c r="BN21" i="5"/>
  <c r="BN24" i="5"/>
  <c r="BN28" i="5"/>
  <c r="BN32" i="5"/>
  <c r="BN30" i="5"/>
  <c r="BN35" i="5"/>
  <c r="BN14" i="5"/>
  <c r="BN34" i="5"/>
  <c r="BN51" i="5"/>
  <c r="BN55" i="5"/>
  <c r="BN22" i="5"/>
  <c r="BN54" i="5"/>
  <c r="BN37" i="5"/>
  <c r="BN18" i="5"/>
  <c r="BN31" i="5"/>
  <c r="BR15" i="5"/>
  <c r="BR23" i="5"/>
  <c r="BR14" i="5"/>
  <c r="BR30" i="5"/>
  <c r="BR33" i="5"/>
  <c r="BR28" i="5"/>
  <c r="BR54" i="5"/>
  <c r="BR45" i="5"/>
  <c r="BR16" i="5"/>
  <c r="BR21" i="5"/>
  <c r="BR52" i="5"/>
  <c r="BR17" i="5"/>
  <c r="BR56" i="5"/>
  <c r="BX14" i="5"/>
  <c r="BX18" i="5"/>
  <c r="BX9" i="5"/>
  <c r="BX13" i="5"/>
  <c r="BX20" i="5"/>
  <c r="BX35" i="5"/>
  <c r="BX53" i="5"/>
  <c r="BX38" i="5"/>
  <c r="BX55" i="5"/>
  <c r="BX8" i="5"/>
  <c r="BX37" i="5"/>
  <c r="BX36" i="5"/>
  <c r="BX16" i="5"/>
  <c r="BJ22" i="5"/>
  <c r="BJ34" i="5"/>
  <c r="BJ9" i="5"/>
  <c r="BJ55" i="5"/>
  <c r="BJ39" i="5"/>
  <c r="BJ41" i="5"/>
  <c r="BJ38" i="5"/>
  <c r="BJ40" i="5"/>
  <c r="BJ44" i="5"/>
  <c r="BJ48" i="5"/>
  <c r="BJ35" i="5"/>
  <c r="BJ32" i="5"/>
  <c r="BU9" i="5"/>
  <c r="BU25" i="5"/>
  <c r="BU12" i="5"/>
  <c r="BU32" i="5"/>
  <c r="BU36" i="5"/>
  <c r="BU11" i="5"/>
  <c r="BU39" i="5"/>
  <c r="BU50" i="5"/>
  <c r="BU35" i="5"/>
  <c r="BU46" i="5"/>
  <c r="BU56" i="5"/>
  <c r="BH12" i="5"/>
  <c r="BH34" i="5"/>
  <c r="BH50" i="5"/>
  <c r="BH54" i="5"/>
  <c r="BH16" i="5"/>
  <c r="BH53" i="5"/>
  <c r="BH19" i="5"/>
  <c r="BH40" i="5"/>
  <c r="BH44" i="5"/>
  <c r="BH47" i="5"/>
  <c r="BM17" i="5"/>
  <c r="BM21" i="5"/>
  <c r="BM29" i="5"/>
  <c r="BM32" i="5"/>
  <c r="BM11" i="5"/>
  <c r="BM23" i="5"/>
  <c r="BM44" i="5"/>
  <c r="BM48" i="5"/>
  <c r="BM34" i="5"/>
  <c r="BM39" i="5"/>
  <c r="BM46" i="5"/>
  <c r="BM49" i="5"/>
  <c r="BM50" i="5"/>
  <c r="BQ19" i="5"/>
  <c r="BQ23" i="5"/>
  <c r="BQ18" i="5"/>
  <c r="BQ22" i="5"/>
  <c r="BQ46" i="5"/>
  <c r="BQ50" i="5"/>
  <c r="BQ8" i="5"/>
  <c r="BQ41" i="5"/>
  <c r="BQ20" i="5"/>
  <c r="BQ40" i="5"/>
  <c r="BQ24" i="5"/>
  <c r="BQ47" i="5"/>
  <c r="BK20" i="5"/>
  <c r="BK28" i="5"/>
  <c r="BK35" i="5"/>
  <c r="BK10" i="5"/>
  <c r="BK43" i="5"/>
  <c r="BK25" i="5"/>
  <c r="BK48" i="5"/>
  <c r="BF9" i="5"/>
  <c r="BF13" i="5"/>
  <c r="BF12" i="5"/>
  <c r="BF16" i="5"/>
  <c r="BF20" i="5"/>
  <c r="BF24" i="5"/>
  <c r="BF15" i="5"/>
  <c r="BF49" i="5"/>
  <c r="BF53" i="5"/>
  <c r="BF18" i="5"/>
  <c r="BF23" i="5"/>
  <c r="BF48" i="5"/>
  <c r="BF22" i="5"/>
  <c r="BF27" i="5"/>
  <c r="BF38" i="5"/>
  <c r="BF43" i="5"/>
  <c r="BF47" i="5"/>
  <c r="BF46" i="5"/>
  <c r="BF50" i="5"/>
  <c r="BP22" i="5"/>
  <c r="BP30" i="5"/>
  <c r="BP9" i="5"/>
  <c r="BP25" i="5"/>
  <c r="BP29" i="5"/>
  <c r="BP32" i="5"/>
  <c r="BP41" i="5"/>
  <c r="BP56" i="5"/>
  <c r="BP43" i="5"/>
  <c r="BS12" i="5"/>
  <c r="BS11" i="5"/>
  <c r="BS14" i="5"/>
  <c r="BS22" i="5"/>
  <c r="BS26" i="5"/>
  <c r="BS34" i="5"/>
  <c r="BS53" i="5"/>
  <c r="BS40" i="5"/>
  <c r="BW22" i="5"/>
  <c r="BW26" i="5"/>
  <c r="BW25" i="5"/>
  <c r="BW37" i="5"/>
  <c r="BW20" i="5"/>
  <c r="BW24" i="5"/>
  <c r="BW40" i="5"/>
  <c r="BW36" i="5"/>
  <c r="BI19" i="5"/>
  <c r="BI35" i="5"/>
  <c r="BI10" i="5"/>
  <c r="BI14" i="5"/>
  <c r="BI38" i="5"/>
  <c r="BI17" i="5"/>
  <c r="BI25" i="5"/>
  <c r="BI29" i="5"/>
  <c r="BI12" i="5"/>
  <c r="BI39" i="5"/>
  <c r="BI54" i="5"/>
  <c r="BI8" i="5"/>
  <c r="BI53" i="5"/>
  <c r="BI40" i="5"/>
  <c r="BY15" i="5"/>
  <c r="BY19" i="5"/>
  <c r="BY18" i="5"/>
  <c r="BY22" i="5"/>
  <c r="BY9" i="5"/>
  <c r="BY21" i="5"/>
  <c r="BY16" i="5"/>
  <c r="BY37" i="5"/>
  <c r="BY20" i="5"/>
  <c r="BY24" i="5"/>
  <c r="BY28" i="5"/>
  <c r="BY49" i="5"/>
  <c r="BY53" i="5"/>
  <c r="BY39" i="5"/>
  <c r="BY48" i="5"/>
  <c r="BZ27" i="5"/>
  <c r="BZ30" i="5"/>
  <c r="BZ12" i="5"/>
  <c r="BZ29" i="5"/>
  <c r="BZ45" i="5"/>
  <c r="BZ36" i="5"/>
  <c r="BX23" i="5"/>
  <c r="BQ27" i="5"/>
  <c r="BV49" i="5"/>
  <c r="BO21" i="5"/>
  <c r="BG24" i="5"/>
  <c r="BG8" i="5"/>
  <c r="BE22" i="5" l="1"/>
  <c r="C22" i="5"/>
  <c r="BE29" i="5"/>
  <c r="C29" i="5"/>
  <c r="C53" i="5"/>
  <c r="BE53" i="5"/>
  <c r="BE46" i="5"/>
  <c r="C46" i="5"/>
  <c r="C18" i="5"/>
  <c r="BE18" i="5"/>
  <c r="C40" i="5"/>
  <c r="BE40" i="5"/>
  <c r="C10" i="5"/>
  <c r="BE10" i="5"/>
  <c r="C17" i="5"/>
  <c r="BE17" i="5"/>
  <c r="BE15" i="5"/>
  <c r="C15" i="5"/>
  <c r="C14" i="5"/>
  <c r="BE14" i="5"/>
  <c r="BE56" i="5"/>
  <c r="C56" i="5"/>
  <c r="C39" i="5"/>
  <c r="BE39" i="5"/>
  <c r="C55" i="5"/>
  <c r="BE55" i="5"/>
  <c r="BE45" i="5"/>
  <c r="C45" i="5"/>
  <c r="C35" i="5"/>
  <c r="BE35" i="5"/>
  <c r="C12" i="5"/>
  <c r="BE12" i="5"/>
  <c r="C25" i="5"/>
  <c r="BE25" i="5"/>
  <c r="C49" i="5"/>
  <c r="BE49" i="5"/>
  <c r="C52" i="5"/>
  <c r="BE52" i="5"/>
  <c r="C9" i="5"/>
  <c r="BE9" i="5"/>
  <c r="BE32" i="5"/>
  <c r="C32" i="5"/>
  <c r="C51" i="5"/>
  <c r="BE51" i="5"/>
  <c r="C48" i="5"/>
  <c r="BE48" i="5"/>
  <c r="BE37" i="5"/>
  <c r="C37" i="5"/>
  <c r="BE38" i="5"/>
  <c r="C38" i="5"/>
  <c r="BE31" i="5"/>
  <c r="C31" i="5"/>
  <c r="C28" i="5"/>
  <c r="BE28" i="5"/>
  <c r="BE36" i="5"/>
  <c r="C36" i="5"/>
  <c r="BE47" i="5"/>
  <c r="C47" i="5"/>
  <c r="C44" i="5"/>
  <c r="BE44" i="5"/>
  <c r="BE21" i="5"/>
  <c r="C21" i="5"/>
  <c r="C34" i="5"/>
  <c r="BE34" i="5"/>
  <c r="C27" i="5"/>
  <c r="BE27" i="5"/>
  <c r="C24" i="5"/>
  <c r="BE24" i="5"/>
  <c r="C43" i="5"/>
  <c r="BE43" i="5"/>
  <c r="BE13" i="5"/>
  <c r="C13" i="5"/>
  <c r="BE8" i="5"/>
  <c r="C30" i="5"/>
  <c r="BE30" i="5"/>
  <c r="C23" i="5"/>
  <c r="BE23" i="5"/>
  <c r="BE20" i="5"/>
  <c r="C20" i="5"/>
  <c r="C50" i="5"/>
  <c r="BE50" i="5"/>
  <c r="C42" i="5"/>
  <c r="BE42" i="5"/>
  <c r="C11" i="5"/>
  <c r="BE11" i="5"/>
  <c r="C41" i="5"/>
  <c r="BE41" i="5"/>
  <c r="C33" i="5"/>
  <c r="BE33" i="5"/>
  <c r="C54" i="5"/>
  <c r="BE54" i="5"/>
  <c r="C26" i="5"/>
  <c r="BE26" i="5"/>
  <c r="C19" i="5"/>
  <c r="BE19" i="5"/>
  <c r="C16" i="5"/>
  <c r="BE16" i="5"/>
  <c r="C60" i="5" l="1"/>
  <c r="D42" i="5"/>
  <c r="D33" i="5"/>
  <c r="D37" i="5"/>
  <c r="D41" i="5"/>
  <c r="D23" i="5"/>
  <c r="D10" i="5"/>
  <c r="D14" i="5"/>
  <c r="D18" i="5"/>
  <c r="D22" i="5"/>
  <c r="D26" i="5"/>
  <c r="D30" i="5"/>
  <c r="D34" i="5"/>
  <c r="D38" i="5"/>
  <c r="D46" i="5"/>
  <c r="D50" i="5"/>
  <c r="D54" i="5"/>
  <c r="D29" i="5"/>
  <c r="D13" i="5"/>
  <c r="D17" i="5"/>
  <c r="D21" i="5"/>
  <c r="D25" i="5"/>
  <c r="D45" i="5"/>
  <c r="D19" i="5"/>
  <c r="D35" i="5"/>
  <c r="D47" i="5"/>
  <c r="D9" i="5"/>
  <c r="D49" i="5"/>
  <c r="D53" i="5"/>
  <c r="D55" i="5"/>
  <c r="D15" i="5"/>
  <c r="D31" i="5"/>
  <c r="D39" i="5"/>
  <c r="D43" i="5"/>
  <c r="D51" i="5"/>
  <c r="D12" i="5"/>
  <c r="D16" i="5"/>
  <c r="D20" i="5"/>
  <c r="D24" i="5"/>
  <c r="D28" i="5"/>
  <c r="D32" i="5"/>
  <c r="D36" i="5"/>
  <c r="D40" i="5"/>
  <c r="D44" i="5"/>
  <c r="D48" i="5"/>
  <c r="D52" i="5"/>
  <c r="D56" i="5"/>
  <c r="D11" i="5"/>
  <c r="D27" i="5"/>
  <c r="F27" i="5" l="1"/>
  <c r="E27" i="5"/>
  <c r="E11" i="5"/>
  <c r="F11" i="5"/>
  <c r="E56" i="5"/>
  <c r="F56" i="5"/>
  <c r="F52" i="5"/>
  <c r="E52" i="5"/>
  <c r="F48" i="5"/>
  <c r="E48" i="5"/>
  <c r="F44" i="5"/>
  <c r="E44" i="5"/>
  <c r="F40" i="5"/>
  <c r="E40" i="5"/>
  <c r="E36" i="5"/>
  <c r="F36" i="5"/>
  <c r="F32" i="5"/>
  <c r="E32" i="5"/>
  <c r="F28" i="5"/>
  <c r="E28" i="5"/>
  <c r="E24" i="5"/>
  <c r="F24" i="5"/>
  <c r="F20" i="5"/>
  <c r="E20" i="5"/>
  <c r="E16" i="5"/>
  <c r="F16" i="5"/>
  <c r="F12" i="5"/>
  <c r="E12" i="5"/>
  <c r="F51" i="5"/>
  <c r="E51" i="5"/>
  <c r="F43" i="5"/>
  <c r="E43" i="5"/>
  <c r="E39" i="5"/>
  <c r="F39" i="5"/>
  <c r="E31" i="5"/>
  <c r="F31" i="5"/>
  <c r="E15" i="5"/>
  <c r="F15" i="5"/>
  <c r="E55" i="5"/>
  <c r="F55" i="5"/>
  <c r="E53" i="5"/>
  <c r="F53" i="5"/>
  <c r="F49" i="5"/>
  <c r="E49" i="5"/>
  <c r="E9" i="5"/>
  <c r="F9" i="5"/>
  <c r="E47" i="5"/>
  <c r="F47" i="5"/>
  <c r="E35" i="5"/>
  <c r="F35" i="5"/>
  <c r="F19" i="5"/>
  <c r="E19" i="5"/>
  <c r="F45" i="5"/>
  <c r="E45" i="5"/>
  <c r="F25" i="5"/>
  <c r="E25" i="5"/>
  <c r="E21" i="5"/>
  <c r="F21" i="5"/>
  <c r="F17" i="5"/>
  <c r="E17" i="5"/>
  <c r="E13" i="5"/>
  <c r="F13" i="5"/>
  <c r="E29" i="5"/>
  <c r="F29" i="5"/>
  <c r="F54" i="5"/>
  <c r="E54" i="5"/>
  <c r="E50" i="5"/>
  <c r="F50" i="5"/>
  <c r="E46" i="5"/>
  <c r="F46" i="5"/>
  <c r="E38" i="5"/>
  <c r="F38" i="5"/>
  <c r="E34" i="5"/>
  <c r="F34" i="5"/>
  <c r="E30" i="5"/>
  <c r="F30" i="5"/>
  <c r="E26" i="5"/>
  <c r="F26" i="5"/>
  <c r="F22" i="5"/>
  <c r="E22" i="5"/>
  <c r="F18" i="5"/>
  <c r="E18" i="5"/>
  <c r="E14" i="5"/>
  <c r="F14" i="5"/>
  <c r="E10" i="5"/>
  <c r="F10" i="5"/>
  <c r="F23" i="5"/>
  <c r="E23" i="5"/>
  <c r="F41" i="5"/>
  <c r="E41" i="5"/>
  <c r="E37" i="5"/>
  <c r="F37" i="5"/>
  <c r="E33" i="5"/>
  <c r="F33" i="5"/>
  <c r="F42" i="5"/>
  <c r="E42" i="5"/>
  <c r="AF1" i="5" l="1"/>
  <c r="D8" i="5"/>
  <c r="D60" i="5" s="1"/>
  <c r="E3" i="5" l="1"/>
  <c r="E4" i="5"/>
  <c r="E8" i="5"/>
  <c r="F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BAD31-B13A-47B2-AB79-CDEA550CA9A5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  <connection id="2" xr16:uid="{1551B1B8-9946-475B-A31B-39194C11A6DE}" keepAlive="1" name="Query - Month" description="Connection to the 'Month' query in the workbook." type="5" refreshedVersion="0" background="1">
    <dbPr connection="Provider=Microsoft.Mashup.OleDb.1;Data Source=$Workbook$;Location=Month;Extended Properties=&quot;&quot;" command="SELECT * FROM [Month]"/>
  </connection>
  <connection id="3" xr16:uid="{C47F0A9B-17E0-4091-B6CD-0EAD5AE0247D}" keepAlive="1" name="Query - Price" description="Connection to the 'Price' query in the workbook." type="5" refreshedVersion="0" background="1">
    <dbPr connection="Provider=Microsoft.Mashup.OleDb.1;Data Source=$Workbook$;Location=Price;Extended Properties=&quot;&quot;" command="SELECT * FROM [Price]"/>
  </connection>
</connections>
</file>

<file path=xl/sharedStrings.xml><?xml version="1.0" encoding="utf-8"?>
<sst xmlns="http://schemas.openxmlformats.org/spreadsheetml/2006/main" count="1904" uniqueCount="245">
  <si>
    <t>Group</t>
  </si>
  <si>
    <t>TP</t>
  </si>
  <si>
    <t>Region</t>
  </si>
  <si>
    <t>Territory</t>
  </si>
  <si>
    <t>Cumilla</t>
  </si>
  <si>
    <t>Khulna</t>
  </si>
  <si>
    <t>Mymensingh</t>
  </si>
  <si>
    <t>Noakhali</t>
  </si>
  <si>
    <t>Rajshahi</t>
  </si>
  <si>
    <t>Rangpur</t>
  </si>
  <si>
    <t>Sylhet</t>
  </si>
  <si>
    <t>Total</t>
  </si>
  <si>
    <t>Month</t>
  </si>
  <si>
    <t>SM</t>
  </si>
  <si>
    <t>MKT</t>
  </si>
  <si>
    <t>New Terr</t>
  </si>
  <si>
    <t>Diff</t>
  </si>
  <si>
    <t>Diff%</t>
  </si>
  <si>
    <t>Multiplier</t>
  </si>
  <si>
    <t>Bogura</t>
  </si>
  <si>
    <t>Dhaka-4</t>
  </si>
  <si>
    <t>Dhaka-2</t>
  </si>
  <si>
    <t>B. Baria</t>
  </si>
  <si>
    <t>Dhaka-1</t>
  </si>
  <si>
    <t>Value</t>
  </si>
  <si>
    <t>SYNKEI</t>
  </si>
  <si>
    <t>CNS</t>
  </si>
  <si>
    <t>LEVERON 100ml Syp</t>
  </si>
  <si>
    <t>Epilim 100ml Syp</t>
  </si>
  <si>
    <t>EPILIM 200mg Tab</t>
  </si>
  <si>
    <t>EPILIM 300mg Tab</t>
  </si>
  <si>
    <t>EPILIM 500mg Tab</t>
  </si>
  <si>
    <t>EXPRES 10mg Tab</t>
  </si>
  <si>
    <t xml:space="preserve">EXPRES 5mg Tab </t>
  </si>
  <si>
    <t>Imovane 7.5mg Tab 3x10's</t>
  </si>
  <si>
    <t>Leveron  250mg Tab 5x6's</t>
  </si>
  <si>
    <t>Leveron  500mg Tab 5x4's</t>
  </si>
  <si>
    <t>Qpine 100mg Tab 3x10's</t>
  </si>
  <si>
    <t>Qpine 200mg Tab 3x10's</t>
  </si>
  <si>
    <t>Qpine 25mg Tab 10x10's</t>
  </si>
  <si>
    <t>SPERDAL 100ml Solution</t>
  </si>
  <si>
    <t>Sperdal 1mg Tab 5x10's</t>
  </si>
  <si>
    <t>Sperdal 2mg Tab 5x10's</t>
  </si>
  <si>
    <t>Sperdal 4mg Tab 3x10's</t>
  </si>
  <si>
    <t>Vortiox 10 mg Tablet 3x10's</t>
  </si>
  <si>
    <t>Vortiox 20 mg Tablet 2x10's</t>
  </si>
  <si>
    <t>Vortiox 5 mg Tablet 3x10's</t>
  </si>
  <si>
    <t>Faridpur</t>
  </si>
  <si>
    <t>Dhaka-3</t>
  </si>
  <si>
    <t>SYK-BOGA-BOG1</t>
  </si>
  <si>
    <t>SYK-BSLA-BSL1</t>
  </si>
  <si>
    <t>SYK-DINA-DIN1</t>
  </si>
  <si>
    <t>SYK-FPRA-FPR1</t>
  </si>
  <si>
    <t>SYK-GAZA-GAZ1</t>
  </si>
  <si>
    <t>SYK-JASA-JAS1</t>
  </si>
  <si>
    <t>SYK-KHLA-KHU1</t>
  </si>
  <si>
    <t>SYK-KHLB-KHU2</t>
  </si>
  <si>
    <t>SYK-KISA-KIS1</t>
  </si>
  <si>
    <t>SYK-KUSA-KUS1</t>
  </si>
  <si>
    <t>SYK-MIRA-NIN1</t>
  </si>
  <si>
    <t>SYK-MOHA-NMH1</t>
  </si>
  <si>
    <t>SYK-MYMA-MYM1</t>
  </si>
  <si>
    <t>SYK-MYMB-MYM2</t>
  </si>
  <si>
    <t>SYK-NAOA-NAO1</t>
  </si>
  <si>
    <t>SYK-NIDA-GUL1</t>
  </si>
  <si>
    <t>SYK-PABA-PAB1</t>
  </si>
  <si>
    <t>SYK-RAJA-RAJ1</t>
  </si>
  <si>
    <t>SYK-RANA-RAN1</t>
  </si>
  <si>
    <t>SYK-RANB-RAN2</t>
  </si>
  <si>
    <t>SYK-SAVA-SAV1</t>
  </si>
  <si>
    <t>SYK-TANA-TAN1</t>
  </si>
  <si>
    <t>SYK-UTTA-UTT1</t>
  </si>
  <si>
    <t>SYK-BIRA-BIR1</t>
  </si>
  <si>
    <t>SYK-BMCA-BMC1</t>
  </si>
  <si>
    <t>SYK-BSMA-BSM1</t>
  </si>
  <si>
    <t>SYK-CHDA-CHD1</t>
  </si>
  <si>
    <t>SYK-COXA-COX1</t>
  </si>
  <si>
    <t>SYK-CTGA-CGH1</t>
  </si>
  <si>
    <t>SYK-CTGB-CMC3</t>
  </si>
  <si>
    <t>SYK-CTGC-CMC4</t>
  </si>
  <si>
    <t>SYK-CTGD-MOS1</t>
  </si>
  <si>
    <t>SYK-CUMA-CUM1</t>
  </si>
  <si>
    <t>SYK-CUMB-CUM2</t>
  </si>
  <si>
    <t>SYK-DMCA-DMC1</t>
  </si>
  <si>
    <t>SYK-DNMA-NMC1</t>
  </si>
  <si>
    <t>SYK-FENA-FEN1</t>
  </si>
  <si>
    <t>SYK-HABA-HAB1</t>
  </si>
  <si>
    <t>SYK-LAXA-LAX1</t>
  </si>
  <si>
    <t>SYK-MMCA-MUG1</t>
  </si>
  <si>
    <t>SYK-MOUA-MOU1</t>
  </si>
  <si>
    <t>SYK-NARA-NAR1</t>
  </si>
  <si>
    <t>SYK-NKLA-NKL1</t>
  </si>
  <si>
    <t>SYK-NRGA-NRG1</t>
  </si>
  <si>
    <t>SYK-SSMA-SSM1</t>
  </si>
  <si>
    <t>SYK-SYLA-SYL1</t>
  </si>
  <si>
    <t>SYK-SYLB-SYL2</t>
  </si>
  <si>
    <t>-ve</t>
  </si>
  <si>
    <t>ve</t>
  </si>
  <si>
    <t>Max</t>
  </si>
  <si>
    <t>Min</t>
  </si>
  <si>
    <t>Brand</t>
  </si>
  <si>
    <t>Price</t>
  </si>
  <si>
    <t>RSM Ratio</t>
  </si>
  <si>
    <t>Epilim</t>
  </si>
  <si>
    <t>EXPRES</t>
  </si>
  <si>
    <t>Imovane</t>
  </si>
  <si>
    <t>Leveron</t>
  </si>
  <si>
    <t>Qpine</t>
  </si>
  <si>
    <t>Sperdal</t>
  </si>
  <si>
    <t>Vortiox</t>
  </si>
  <si>
    <t>ProductId</t>
  </si>
  <si>
    <t>EXPRES 5mg Tab</t>
  </si>
  <si>
    <t>Leveron 250mg Tab 5x6's</t>
  </si>
  <si>
    <t>Leveron 500mg Tab 5x4's</t>
  </si>
  <si>
    <t>Family</t>
  </si>
  <si>
    <t>Product Id</t>
  </si>
  <si>
    <t>Product Name</t>
  </si>
  <si>
    <t>Sales Line</t>
  </si>
  <si>
    <t>Leveron 500 XR</t>
  </si>
  <si>
    <t>Leveron 750 XR</t>
  </si>
  <si>
    <t>Team</t>
  </si>
  <si>
    <t>SYGK-CHDA</t>
  </si>
  <si>
    <t>SYGK-CUMA</t>
  </si>
  <si>
    <t>SYGK-CUMB</t>
  </si>
  <si>
    <t>SYGK-MOUA</t>
  </si>
  <si>
    <t>SYGK-SYLA</t>
  </si>
  <si>
    <t>SYGK-SYLB</t>
  </si>
  <si>
    <t>SYGK-PABA</t>
  </si>
  <si>
    <t>SYGK-RAJA</t>
  </si>
  <si>
    <t>SYGK-BOGA</t>
  </si>
  <si>
    <t>SYGK-NAOA</t>
  </si>
  <si>
    <t>SYGK-DINA</t>
  </si>
  <si>
    <t>SYGK-RANA</t>
  </si>
  <si>
    <t>SYGK-RANB</t>
  </si>
  <si>
    <t>SYGK-BSLA</t>
  </si>
  <si>
    <t>SYGK-FPRA</t>
  </si>
  <si>
    <t>SYGK-JASA</t>
  </si>
  <si>
    <t>SYGK-KUSA</t>
  </si>
  <si>
    <t>SYGK-KHLA</t>
  </si>
  <si>
    <t>SYGK-KHLB</t>
  </si>
  <si>
    <t>SYGK-GAZA</t>
  </si>
  <si>
    <t>SYGK-NIDA</t>
  </si>
  <si>
    <t>SYGK-UTTA</t>
  </si>
  <si>
    <t>SYGK-MIRA</t>
  </si>
  <si>
    <t>SYGK-MOHA</t>
  </si>
  <si>
    <t>SYGK-SAVA</t>
  </si>
  <si>
    <t>SYGK-KISA</t>
  </si>
  <si>
    <t>SYGK-MYMA</t>
  </si>
  <si>
    <t>SYGK-MYMB</t>
  </si>
  <si>
    <t>SYGK-TANA</t>
  </si>
  <si>
    <t>SYGK-HABA</t>
  </si>
  <si>
    <t>SYGK-NARA</t>
  </si>
  <si>
    <t>SYGK-CTGA</t>
  </si>
  <si>
    <t>SYGK-CTGD</t>
  </si>
  <si>
    <t>SYGK-COXA</t>
  </si>
  <si>
    <t>SYGK-CTGB</t>
  </si>
  <si>
    <t>SYGK-CTGC</t>
  </si>
  <si>
    <t>SYGK-FENA</t>
  </si>
  <si>
    <t>SYGK-LAXA</t>
  </si>
  <si>
    <t>SYGK-NKLA</t>
  </si>
  <si>
    <t>SYGK-BIRA</t>
  </si>
  <si>
    <t>SYGK-BMCA</t>
  </si>
  <si>
    <t>SYGK-BSMA</t>
  </si>
  <si>
    <t>SYGK-DMCA</t>
  </si>
  <si>
    <t>SYGK-DNMA</t>
  </si>
  <si>
    <t>SYGK-MMCA</t>
  </si>
  <si>
    <t>SYGK-NRGA</t>
  </si>
  <si>
    <t>SYGK-SSMA</t>
  </si>
  <si>
    <t>Sales line</t>
  </si>
  <si>
    <t>Current Month</t>
  </si>
  <si>
    <t>Leveron XR 500mg Tablet</t>
  </si>
  <si>
    <t>Leveron XR 750mg Tablet</t>
  </si>
  <si>
    <t>SYK-MIRB-NIN2</t>
  </si>
  <si>
    <t>Attribute</t>
  </si>
  <si>
    <t>Price.1</t>
  </si>
  <si>
    <t>Qty</t>
  </si>
  <si>
    <t>SYGK-MIRB</t>
  </si>
  <si>
    <t>Row Labels</t>
  </si>
  <si>
    <t>QTY</t>
  </si>
  <si>
    <t>SYK-BBRB-BBR1</t>
  </si>
  <si>
    <t>SYK-CHWA-CHW1</t>
  </si>
  <si>
    <t>SYK-LAKA-LAK1</t>
  </si>
  <si>
    <t>Chattogram-2</t>
  </si>
  <si>
    <t>Chattogram-1</t>
  </si>
  <si>
    <t>SYGK-BBRB</t>
  </si>
  <si>
    <t>SYGK-CHWA</t>
  </si>
  <si>
    <t>SYGK-LAKA</t>
  </si>
  <si>
    <t>Synkei</t>
  </si>
  <si>
    <t>Barishal</t>
  </si>
  <si>
    <t>SYK-BSLB-BSL2</t>
  </si>
  <si>
    <t>Nov'25 TGT</t>
  </si>
  <si>
    <t>Qpine XR</t>
  </si>
  <si>
    <t>Qpine XR 50 mg Tab 5x10's</t>
  </si>
  <si>
    <t>Qpine XR 200 mg Tab 3x10's</t>
  </si>
  <si>
    <t>Qpine XR 300 mg Tab 2x10's</t>
  </si>
  <si>
    <t>SYGK-BSLB</t>
  </si>
  <si>
    <t>EPILIM 100ml Syrup 1 Bottle</t>
  </si>
  <si>
    <t>EPILIM 200mg Tab 6x10's</t>
  </si>
  <si>
    <t>EPILIM 300mg Tab 6x10's</t>
  </si>
  <si>
    <t>EPILIM 500mg Tab 8x6's</t>
  </si>
  <si>
    <t>EXPRES 10mg tab 3x10's</t>
  </si>
  <si>
    <t>EXPRES 5mg Tab 3x10's</t>
  </si>
  <si>
    <t>IMOVANE 7.5mg Tablet 3x10's</t>
  </si>
  <si>
    <t>LEVERON  250mg Tab 3X10's</t>
  </si>
  <si>
    <t>LEVERON 500mg Tab 2X10's</t>
  </si>
  <si>
    <t>Leveron Syrup 100 ml 1X 100 ml Bottle</t>
  </si>
  <si>
    <t>Leveron XR 500 mg Tab 2x10's</t>
  </si>
  <si>
    <t>Leveron XR 750 mg Tab 2x6's</t>
  </si>
  <si>
    <t>QPINE 100mg Tablet 3x10's</t>
  </si>
  <si>
    <t>QPINE 200mg Tablet 3x10's</t>
  </si>
  <si>
    <t>QPINE 25mg Tablet 10x10's</t>
  </si>
  <si>
    <t>SPERDAL 1mg tablet 5X10's</t>
  </si>
  <si>
    <t>SPERDAL 2mg tablet 5X10's</t>
  </si>
  <si>
    <t>SPERDAL 4mg tablet 3x10's</t>
  </si>
  <si>
    <t>Sperdal Oral Solution 100 ml</t>
  </si>
  <si>
    <t>Qpine XR 50 mg Tab 5 x 10's</t>
  </si>
  <si>
    <t>Qpine XR 200 mg Tab 3 x 10's</t>
  </si>
  <si>
    <t>Qpine XR 300 mg Tab 2 x 10's</t>
  </si>
  <si>
    <t>Qpine TOT</t>
  </si>
  <si>
    <t>Ratio</t>
  </si>
  <si>
    <t>542</t>
  </si>
  <si>
    <t>543</t>
  </si>
  <si>
    <t>545</t>
  </si>
  <si>
    <t>547</t>
  </si>
  <si>
    <t>551</t>
  </si>
  <si>
    <t>552</t>
  </si>
  <si>
    <t>578</t>
  </si>
  <si>
    <t>596</t>
  </si>
  <si>
    <t>598</t>
  </si>
  <si>
    <t>597</t>
  </si>
  <si>
    <t>788</t>
  </si>
  <si>
    <t>789</t>
  </si>
  <si>
    <t>634</t>
  </si>
  <si>
    <t>635</t>
  </si>
  <si>
    <t>636</t>
  </si>
  <si>
    <t>666</t>
  </si>
  <si>
    <t>667</t>
  </si>
  <si>
    <t>668</t>
  </si>
  <si>
    <t>665</t>
  </si>
  <si>
    <t>770</t>
  </si>
  <si>
    <t>771</t>
  </si>
  <si>
    <t>769</t>
  </si>
  <si>
    <t>813</t>
  </si>
  <si>
    <t>814</t>
  </si>
  <si>
    <t>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</si>
</sst>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66FF6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/>
      <top style="thick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0" xfId="0" applyFont="1"/>
    <xf numFmtId="164" fontId="0" fillId="0" borderId="0" xfId="1" applyNumberFormat="1" applyFont="1"/>
    <xf numFmtId="0" fontId="4" fillId="0" borderId="0" xfId="0" applyFont="1"/>
    <xf numFmtId="164" fontId="0" fillId="0" borderId="0" xfId="0" applyNumberFormat="1"/>
    <xf numFmtId="9" fontId="0" fillId="0" borderId="0" xfId="2" applyFont="1"/>
    <xf numFmtId="9" fontId="2" fillId="0" borderId="0" xfId="2" applyFont="1"/>
    <xf numFmtId="164" fontId="2" fillId="0" borderId="0" xfId="0" applyNumberFormat="1" applyFont="1"/>
    <xf numFmtId="0" fontId="2" fillId="0" borderId="0" xfId="0" quotePrefix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2" fillId="0" borderId="5" xfId="0" applyNumberFormat="1" applyFont="1" applyBorder="1"/>
    <xf numFmtId="1" fontId="2" fillId="0" borderId="6" xfId="0" applyNumberFormat="1" applyFont="1" applyBorder="1"/>
    <xf numFmtId="1" fontId="2" fillId="0" borderId="7" xfId="0" applyNumberFormat="1" applyFont="1" applyBorder="1"/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6" fillId="5" borderId="1" xfId="0" applyFont="1" applyFill="1" applyBorder="1"/>
    <xf numFmtId="164" fontId="0" fillId="6" borderId="1" xfId="1" applyNumberFormat="1" applyFont="1" applyFill="1" applyBorder="1"/>
    <xf numFmtId="0" fontId="0" fillId="0" borderId="1" xfId="0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0" fontId="3" fillId="3" borderId="12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43" fontId="0" fillId="0" borderId="0" xfId="0" applyNumberFormat="1"/>
    <xf numFmtId="0" fontId="6" fillId="5" borderId="11" xfId="0" applyFont="1" applyFill="1" applyBorder="1"/>
    <xf numFmtId="164" fontId="0" fillId="6" borderId="1" xfId="0" applyNumberFormat="1" applyFill="1" applyBorder="1"/>
    <xf numFmtId="0" fontId="0" fillId="0" borderId="13" xfId="0" applyBorder="1"/>
    <xf numFmtId="0" fontId="3" fillId="2" borderId="13" xfId="0" applyFont="1" applyFill="1" applyBorder="1" applyAlignment="1">
      <alignment vertical="center"/>
    </xf>
    <xf numFmtId="164" fontId="0" fillId="0" borderId="13" xfId="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2" fillId="0" borderId="20" xfId="1" applyNumberFormat="1" applyFont="1" applyBorder="1"/>
    <xf numFmtId="164" fontId="2" fillId="0" borderId="21" xfId="1" applyNumberFormat="1" applyFont="1" applyBorder="1"/>
    <xf numFmtId="164" fontId="2" fillId="0" borderId="22" xfId="1" applyNumberFormat="1" applyFont="1" applyBorder="1"/>
    <xf numFmtId="43" fontId="0" fillId="0" borderId="17" xfId="1" applyFont="1" applyBorder="1"/>
    <xf numFmtId="43" fontId="0" fillId="0" borderId="18" xfId="1" applyFont="1" applyBorder="1"/>
    <xf numFmtId="43" fontId="0" fillId="0" borderId="19" xfId="1" applyFont="1" applyBorder="1"/>
    <xf numFmtId="43" fontId="1" fillId="0" borderId="17" xfId="1" applyFont="1" applyBorder="1"/>
    <xf numFmtId="43" fontId="1" fillId="0" borderId="18" xfId="1" applyFont="1" applyBorder="1"/>
    <xf numFmtId="43" fontId="1" fillId="0" borderId="19" xfId="1" applyFont="1" applyBorder="1"/>
    <xf numFmtId="2" fontId="0" fillId="0" borderId="0" xfId="2" applyNumberFormat="1" applyFont="1"/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4" xfId="0" applyFont="1" applyBorder="1" applyAlignment="1">
      <alignment vertical="center"/>
    </xf>
  </cellXfs>
  <cellStyles count="4">
    <cellStyle name="Comma" xfId="1" builtinId="3"/>
    <cellStyle name="Comma 2" xfId="3" xr:uid="{6A96C2AC-5DC2-4A6B-84C1-4FBCB59FF80B}"/>
    <cellStyle name="Normal" xfId="0" builtinId="0"/>
    <cellStyle name="Percent" xfId="2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4CD4D2-4EE3-4C29-A578-C25847054687}" autoFormatId="16" applyNumberFormats="0" applyBorderFormats="0" applyFontFormats="0" applyPatternFormats="0" applyAlignmentFormats="0" applyWidthHeightFormats="0">
  <queryTableRefresh nextId="16">
    <queryTableFields count="6">
      <queryTableField id="9" name="Attribute" tableColumnId="2"/>
      <queryTableField id="1" name="Territory" tableColumnId="1"/>
      <queryTableField id="12" name="Month" tableColumnId="5"/>
      <queryTableField id="3" name="Value" tableColumnId="3"/>
      <queryTableField id="13" name="QTY" tableColumnId="6"/>
      <queryTableField id="10" name="Price.1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DF1FB-133E-40C6-A86E-F6B778F0FA8E}" name="Input" displayName="Input" ref="A1:F1301" tableType="queryTable">
  <tableColumns count="6">
    <tableColumn id="2" xr3:uid="{821AE0D9-5A23-4639-9220-18C4BBEFB527}" uniqueName="2" name="Attribute" queryTableFieldId="9"/>
    <tableColumn id="1" xr3:uid="{AAD86346-7B3C-47FF-8EE3-C14ECAD3575F}" uniqueName="1" name="Territory" queryTableFieldId="1" dataDxfId="3" totalsRowDxfId="2"/>
    <tableColumn id="5" xr3:uid="{CE4AB2EE-F846-45C4-AE1F-9CCF90BC1886}" uniqueName="5" name="Month" queryTableFieldId="12"/>
    <tableColumn id="3" xr3:uid="{C95A5367-D070-4305-B7CE-53055AB5A3C2}" uniqueName="3" name="Value" totalsRowFunction="sum" queryTableFieldId="3" dataDxfId="1"/>
    <tableColumn id="6" xr3:uid="{CC1C42D8-40CC-4AD4-B969-82A469ED5BB5}" uniqueName="6" name="QTY" queryTableFieldId="13"/>
    <tableColumn id="4" xr3:uid="{53461CD0-EF5C-4F46-9BE6-BF2EF471489E}" uniqueName="4" name="Price.1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35CF3-5466-4FF0-AC0D-3DAAC2886B4E}" name="Table1" displayName="Table1" ref="A1:Z53" totalsRowShown="0" headerRowDxfId="0">
  <tableColumns count="26">
    <tableColumn id="1" xr3:uid="{24CC7AB5-7E14-4DD2-ABBE-1B309CE4BDAA}" name="Territory"/>
    <tableColumn id="2" xr3:uid="{D4DBDB26-6C8D-4C30-B62F-87FDEB2BA528}" name="542"/>
    <tableColumn id="3" xr3:uid="{A0D309A5-4D17-433D-AA8B-730394F9C9A5}" name="543"/>
    <tableColumn id="4" xr3:uid="{2BBB947B-2E72-4A2C-85CC-ED9C6D3DCCFF}" name="545"/>
    <tableColumn id="5" xr3:uid="{D78DEC29-1282-4EC9-8F26-319BA0EFD739}" name="547"/>
    <tableColumn id="6" xr3:uid="{A9596D2A-1C5F-4F5C-B388-E3C73194646C}" name="551"/>
    <tableColumn id="7" xr3:uid="{D2913B99-1D5C-4C28-84F5-C12C3571E24C}" name="552"/>
    <tableColumn id="8" xr3:uid="{C5C19899-45AA-4E4A-BAAB-FC78D257E229}" name="578"/>
    <tableColumn id="9" xr3:uid="{C74FDED7-0050-432B-96CB-58BAD12F2F3A}" name="596"/>
    <tableColumn id="10" xr3:uid="{6C0EEBC3-42A6-4E3C-B8B1-86757F3CE469}" name="598"/>
    <tableColumn id="11" xr3:uid="{79740EEF-37C2-4EAD-9E53-164D13B6D1FE}" name="597"/>
    <tableColumn id="12" xr3:uid="{AC95C99C-9031-4A44-9422-4BE192B409FE}" name="788"/>
    <tableColumn id="13" xr3:uid="{C4319984-D0D7-4BF9-A20C-3679CCF64038}" name="789"/>
    <tableColumn id="14" xr3:uid="{893F332D-0F67-4DC1-9D08-83CA7737DFAD}" name="634"/>
    <tableColumn id="15" xr3:uid="{D4359F00-76A6-4F31-B632-A6D6F7BC68D8}" name="635"/>
    <tableColumn id="16" xr3:uid="{861EC333-A55C-49E7-B3D3-794C2DABDE15}" name="636"/>
    <tableColumn id="17" xr3:uid="{1246E9AA-0E4E-4975-9D26-CDAA819AAE7C}" name="666"/>
    <tableColumn id="18" xr3:uid="{9FD2B641-9480-4011-BD32-8E6BAB91450D}" name="667"/>
    <tableColumn id="19" xr3:uid="{3FF2AA04-180C-4C08-BFFE-33B788B762A3}" name="668"/>
    <tableColumn id="20" xr3:uid="{2DDA22EA-925D-439B-905F-8D6CA22825F1}" name="665"/>
    <tableColumn id="21" xr3:uid="{8C065E2F-7CFC-4A48-9DB3-5F36F8C4BD6C}" name="770"/>
    <tableColumn id="22" xr3:uid="{85A0CABA-53C2-4B39-B91E-67877FBAD5D7}" name="771"/>
    <tableColumn id="23" xr3:uid="{F54E5A4E-258F-4C0B-8181-F4B2C8A49605}" name="769"/>
    <tableColumn id="24" xr3:uid="{1434489E-241B-43C9-A7B6-997CE1178C62}" name="813"/>
    <tableColumn id="25" xr3:uid="{8F5E74E5-9A45-423F-85E4-894D62A9F3C4}" name="814"/>
    <tableColumn id="26" xr3:uid="{8E5C3A59-1684-4AE9-BA84-85687CFF9B81}" name="8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59891-91D7-4CCE-A100-34880644E769}" name="Table3" displayName="Table3" ref="A1:B26" totalsRowShown="0">
  <tableColumns count="2">
    <tableColumn id="1" xr3:uid="{959093BD-F159-4CED-8EDB-B1DD8150A271}" name="ProductId"/>
    <tableColumn id="2" xr3:uid="{F35F3B72-66A2-4B78-B3D6-CA6EA1D61E00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109F8A-C46E-48AD-9449-BE63E1DA8B97}" name="Table4" displayName="Table4" ref="A1:A2" totalsRowShown="0">
  <autoFilter ref="A1:A2" xr:uid="{64109F8A-C46E-48AD-9449-BE63E1DA8B97}"/>
  <tableColumns count="1">
    <tableColumn id="1" xr3:uid="{28450930-B444-4359-9355-E6E00A5E501A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CA2D-6BA8-470C-900D-1ECCB7665EA1}">
  <dimension ref="A1:BZ62"/>
  <sheetViews>
    <sheetView zoomScale="85" zoomScaleNormal="85" workbookViewId="0">
      <pane xSplit="5" ySplit="7" topLeftCell="AT8" activePane="bottomRight" state="frozen"/>
      <selection pane="topRight" activeCell="F1" sqref="F1"/>
      <selection pane="bottomLeft" activeCell="A8" sqref="A8"/>
      <selection pane="bottomRight" activeCell="AX11" sqref="AX11"/>
    </sheetView>
  </sheetViews>
  <sheetFormatPr defaultRowHeight="15" x14ac:dyDescent="0.25"/>
  <cols>
    <col min="1" max="1" width="16.42578125" bestFit="1" customWidth="1"/>
    <col min="2" max="3" width="12.85546875" bestFit="1" customWidth="1"/>
    <col min="4" max="4" width="11.85546875" bestFit="1" customWidth="1"/>
    <col min="5" max="5" width="9.85546875" bestFit="1" customWidth="1"/>
    <col min="7" max="7" width="11.5703125" bestFit="1" customWidth="1"/>
    <col min="8" max="10" width="13.28515625" bestFit="1" customWidth="1"/>
    <col min="11" max="12" width="11.5703125" bestFit="1" customWidth="1"/>
    <col min="13" max="13" width="10.5703125" bestFit="1" customWidth="1"/>
    <col min="14" max="17" width="11.5703125" bestFit="1" customWidth="1"/>
    <col min="18" max="20" width="11.5703125" customWidth="1"/>
    <col min="21" max="28" width="11.5703125" bestFit="1" customWidth="1"/>
    <col min="29" max="29" width="13.28515625" customWidth="1"/>
    <col min="30" max="30" width="11.5703125" bestFit="1" customWidth="1"/>
    <col min="31" max="32" width="13" customWidth="1"/>
    <col min="33" max="35" width="13.42578125" bestFit="1" customWidth="1"/>
    <col min="36" max="38" width="13.42578125" customWidth="1"/>
    <col min="39" max="39" width="11.85546875" bestFit="1" customWidth="1"/>
    <col min="40" max="40" width="10.85546875" bestFit="1" customWidth="1"/>
    <col min="41" max="42" width="10.85546875" customWidth="1"/>
    <col min="43" max="44" width="11.85546875" bestFit="1" customWidth="1"/>
    <col min="45" max="45" width="10.85546875" bestFit="1" customWidth="1"/>
    <col min="46" max="52" width="11.85546875" bestFit="1" customWidth="1"/>
    <col min="53" max="54" width="13.42578125" bestFit="1" customWidth="1"/>
    <col min="55" max="56" width="11.85546875" bestFit="1" customWidth="1"/>
  </cols>
  <sheetData>
    <row r="1" spans="1:78" ht="15.75" thickTop="1" x14ac:dyDescent="0.25">
      <c r="D1" s="9" t="s">
        <v>96</v>
      </c>
      <c r="E1">
        <v>-1</v>
      </c>
      <c r="AF1" s="14">
        <f>AF3-AF2</f>
        <v>0</v>
      </c>
      <c r="AG1" s="15">
        <f t="shared" ref="AG1:BD1" si="0">AG3-AG2</f>
        <v>0</v>
      </c>
      <c r="AH1" s="15">
        <f t="shared" si="0"/>
        <v>0</v>
      </c>
      <c r="AI1" s="15">
        <f t="shared" si="0"/>
        <v>0</v>
      </c>
      <c r="AJ1" s="15">
        <f t="shared" ref="AJ1:AL1" si="1">AJ3-AJ2</f>
        <v>0</v>
      </c>
      <c r="AK1" s="15">
        <f t="shared" si="1"/>
        <v>0</v>
      </c>
      <c r="AL1" s="15">
        <f t="shared" si="1"/>
        <v>0</v>
      </c>
      <c r="AM1" s="15">
        <f t="shared" si="0"/>
        <v>0</v>
      </c>
      <c r="AN1" s="15">
        <f t="shared" si="0"/>
        <v>0</v>
      </c>
      <c r="AO1" s="15">
        <f t="shared" si="0"/>
        <v>0</v>
      </c>
      <c r="AP1" s="15">
        <f t="shared" si="0"/>
        <v>0</v>
      </c>
      <c r="AQ1" s="15">
        <f t="shared" si="0"/>
        <v>0</v>
      </c>
      <c r="AR1" s="15">
        <f t="shared" si="0"/>
        <v>0</v>
      </c>
      <c r="AS1" s="15">
        <f t="shared" si="0"/>
        <v>0</v>
      </c>
      <c r="AT1" s="15">
        <f t="shared" si="0"/>
        <v>0</v>
      </c>
      <c r="AU1" s="15">
        <f t="shared" si="0"/>
        <v>0</v>
      </c>
      <c r="AV1" s="15">
        <f t="shared" si="0"/>
        <v>0</v>
      </c>
      <c r="AW1" s="15">
        <f t="shared" si="0"/>
        <v>0</v>
      </c>
      <c r="AX1" s="15">
        <f t="shared" si="0"/>
        <v>0</v>
      </c>
      <c r="AY1" s="15">
        <f t="shared" si="0"/>
        <v>0</v>
      </c>
      <c r="AZ1" s="15">
        <f t="shared" si="0"/>
        <v>0</v>
      </c>
      <c r="BA1" s="15">
        <f t="shared" si="0"/>
        <v>0</v>
      </c>
      <c r="BB1" s="15">
        <f t="shared" si="0"/>
        <v>0</v>
      </c>
      <c r="BC1" s="15">
        <f t="shared" si="0"/>
        <v>0</v>
      </c>
      <c r="BD1" s="16">
        <f t="shared" si="0"/>
        <v>0</v>
      </c>
    </row>
    <row r="2" spans="1:78" x14ac:dyDescent="0.25">
      <c r="D2" s="9" t="s">
        <v>97</v>
      </c>
      <c r="E2">
        <v>1</v>
      </c>
      <c r="AE2" t="s">
        <v>14</v>
      </c>
      <c r="AF2" s="17">
        <f>_xlfn.XLOOKUP(AF$7,'Product Tgt'!$B:$B,'Product Tgt'!$G:$G)</f>
        <v>793997</v>
      </c>
      <c r="AG2" s="18">
        <f>_xlfn.XLOOKUP(AG$7,'Product Tgt'!$B:$B,'Product Tgt'!$G:$G)</f>
        <v>1169961.6000000001</v>
      </c>
      <c r="AH2" s="18">
        <f>_xlfn.XLOOKUP(AH$7,'Product Tgt'!$B:$B,'Product Tgt'!$G:$G)</f>
        <v>4740808.2</v>
      </c>
      <c r="AI2" s="18">
        <f>_xlfn.XLOOKUP(AI$7,'Product Tgt'!$B:$B,'Product Tgt'!$G:$G)</f>
        <v>5743513.4400000004</v>
      </c>
      <c r="AJ2" s="18">
        <f>_xlfn.XLOOKUP(AJ$7,'Product Tgt'!$B:$B,'Product Tgt'!$G:$G)</f>
        <v>727002.84000000008</v>
      </c>
      <c r="AK2" s="18">
        <f>_xlfn.XLOOKUP(AK$7,'Product Tgt'!$B:$B,'Product Tgt'!$G:$G)</f>
        <v>372298.3</v>
      </c>
      <c r="AL2" s="18">
        <f>_xlfn.XLOOKUP(AL$7,'Product Tgt'!$B:$B,'Product Tgt'!$G:$G)</f>
        <v>39924.119999999995</v>
      </c>
      <c r="AM2" s="18">
        <f>_xlfn.XLOOKUP(AM$7,'Product Tgt'!$B:$B,'Product Tgt'!$G:$G)</f>
        <v>217261.8</v>
      </c>
      <c r="AN2" s="18">
        <f>_xlfn.XLOOKUP(AN$7,'Product Tgt'!$B:$B,'Product Tgt'!$G:$G)</f>
        <v>683461.95</v>
      </c>
      <c r="AO2" s="18">
        <f>_xlfn.XLOOKUP(AO$7,'Product Tgt'!$B:$B,'Product Tgt'!$G:$G)</f>
        <v>113943.00000000001</v>
      </c>
      <c r="AP2" s="18">
        <f>_xlfn.XLOOKUP(AP$7,'Product Tgt'!$B:$B,'Product Tgt'!$G:$G)</f>
        <v>89960</v>
      </c>
      <c r="AQ2" s="18">
        <f>_xlfn.XLOOKUP(AQ$7,'Product Tgt'!$B:$B,'Product Tgt'!$G:$G)</f>
        <v>112136.64</v>
      </c>
      <c r="AR2" s="18">
        <f>_xlfn.XLOOKUP(AR$7,'Product Tgt'!$B:$B,'Product Tgt'!$G:$G)</f>
        <v>979524.15126466018</v>
      </c>
      <c r="AS2" s="18">
        <f>_xlfn.XLOOKUP(AS$7,'Product Tgt'!$B:$B,'Product Tgt'!$G:$G)</f>
        <v>291933.56053286284</v>
      </c>
      <c r="AT2" s="18">
        <f>_xlfn.XLOOKUP(AT$7,'Product Tgt'!$B:$B,'Product Tgt'!$G:$G)</f>
        <v>817954.95820247673</v>
      </c>
      <c r="AU2" s="18">
        <f>_xlfn.XLOOKUP(AU$7,'Product Tgt'!$B:$B,'Product Tgt'!$G:$G)</f>
        <v>276172</v>
      </c>
      <c r="AV2" s="18">
        <f>_xlfn.XLOOKUP(AV$7,'Product Tgt'!$B:$B,'Product Tgt'!$G:$G)</f>
        <v>750872</v>
      </c>
      <c r="AW2" s="18">
        <f>_xlfn.XLOOKUP(AW$7,'Product Tgt'!$B:$B,'Product Tgt'!$G:$G)</f>
        <v>827870.4</v>
      </c>
      <c r="AX2" s="18">
        <f>_xlfn.XLOOKUP(AX$7,'Product Tgt'!$B:$B,'Product Tgt'!$G:$G)</f>
        <v>292357</v>
      </c>
      <c r="AY2" s="18">
        <f>_xlfn.XLOOKUP(AY$7,'Product Tgt'!$B:$B,'Product Tgt'!$G:$G)</f>
        <v>1572187.5</v>
      </c>
      <c r="AZ2" s="18">
        <f>_xlfn.XLOOKUP(AZ$7,'Product Tgt'!$B:$B,'Product Tgt'!$G:$G)</f>
        <v>202440</v>
      </c>
      <c r="BA2" s="18">
        <f>_xlfn.XLOOKUP(BA$7,'Product Tgt'!$B:$B,'Product Tgt'!$G:$G)</f>
        <v>725625</v>
      </c>
      <c r="BB2" s="18">
        <f>_xlfn.XLOOKUP(BB$7,'Product Tgt'!$B:$B,'Product Tgt'!$G:$G)</f>
        <v>269865.06746626686</v>
      </c>
      <c r="BC2" s="18">
        <f>_xlfn.XLOOKUP(BC$7,'Product Tgt'!$B:$B,'Product Tgt'!$G:$G)</f>
        <v>292305</v>
      </c>
      <c r="BD2" s="19">
        <f>_xlfn.XLOOKUP(BD$7,'Product Tgt'!$B:$B,'Product Tgt'!$G:$G)</f>
        <v>49470</v>
      </c>
    </row>
    <row r="3" spans="1:78" x14ac:dyDescent="0.25">
      <c r="D3" s="2" t="s">
        <v>98</v>
      </c>
      <c r="E3" s="8">
        <f>MAX(D8:D56)</f>
        <v>4.7245969920186326</v>
      </c>
      <c r="AE3" t="s">
        <v>13</v>
      </c>
      <c r="AF3" s="20">
        <f>SUM(AF8:AF59)</f>
        <v>793997.00000000012</v>
      </c>
      <c r="AG3" s="21">
        <f t="shared" ref="AG3:BD3" si="2">SUM(AG8:AG59)</f>
        <v>1169961.6000000006</v>
      </c>
      <c r="AH3" s="21">
        <f t="shared" si="2"/>
        <v>4740808.2</v>
      </c>
      <c r="AI3" s="21">
        <f t="shared" si="2"/>
        <v>5743513.4399999995</v>
      </c>
      <c r="AJ3" s="21">
        <f t="shared" ref="AJ3:AL3" si="3">SUM(AJ8:AJ59)</f>
        <v>727002.8400000002</v>
      </c>
      <c r="AK3" s="21">
        <f t="shared" si="3"/>
        <v>372298.30000000016</v>
      </c>
      <c r="AL3" s="21">
        <f t="shared" si="3"/>
        <v>39924.119999999995</v>
      </c>
      <c r="AM3" s="21">
        <f t="shared" si="2"/>
        <v>217261.79999999993</v>
      </c>
      <c r="AN3" s="21">
        <f t="shared" si="2"/>
        <v>683461.94999999984</v>
      </c>
      <c r="AO3" s="21">
        <f t="shared" si="2"/>
        <v>113943.00000000001</v>
      </c>
      <c r="AP3" s="21">
        <f t="shared" si="2"/>
        <v>89959.999999999985</v>
      </c>
      <c r="AQ3" s="21">
        <f t="shared" si="2"/>
        <v>112136.64000000003</v>
      </c>
      <c r="AR3" s="21">
        <f t="shared" si="2"/>
        <v>979524.15126466053</v>
      </c>
      <c r="AS3" s="21">
        <f t="shared" si="2"/>
        <v>291933.56053286273</v>
      </c>
      <c r="AT3" s="21">
        <f t="shared" si="2"/>
        <v>817954.95820247661</v>
      </c>
      <c r="AU3" s="21">
        <f t="shared" si="2"/>
        <v>276172.00000000006</v>
      </c>
      <c r="AV3" s="21">
        <f t="shared" si="2"/>
        <v>750871.99999999942</v>
      </c>
      <c r="AW3" s="21">
        <f t="shared" si="2"/>
        <v>827870.40000000014</v>
      </c>
      <c r="AX3" s="21">
        <f t="shared" si="2"/>
        <v>292356.99999999988</v>
      </c>
      <c r="AY3" s="21">
        <f t="shared" si="2"/>
        <v>1572187.5000000005</v>
      </c>
      <c r="AZ3" s="21">
        <f t="shared" si="2"/>
        <v>202439.99999999997</v>
      </c>
      <c r="BA3" s="21">
        <f t="shared" si="2"/>
        <v>725625.00000000012</v>
      </c>
      <c r="BB3" s="21">
        <f t="shared" si="2"/>
        <v>269865.06746626692</v>
      </c>
      <c r="BC3" s="21">
        <f t="shared" si="2"/>
        <v>292305.00000000017</v>
      </c>
      <c r="BD3" s="22">
        <f t="shared" si="2"/>
        <v>49469.999999999985</v>
      </c>
    </row>
    <row r="4" spans="1:78" ht="15.75" thickBot="1" x14ac:dyDescent="0.3">
      <c r="D4" s="2" t="s">
        <v>99</v>
      </c>
      <c r="E4" s="8">
        <f>MIN(D8:D56)</f>
        <v>-3.4010392159107141</v>
      </c>
      <c r="G4" s="2" t="s">
        <v>102</v>
      </c>
      <c r="AE4" s="3"/>
      <c r="AF4" s="32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4"/>
    </row>
    <row r="5" spans="1:78" ht="16.5" thickTop="1" thickBot="1" x14ac:dyDescent="0.3">
      <c r="F5" t="s">
        <v>101</v>
      </c>
      <c r="G5" s="43">
        <f>_xlfn.XLOOKUP(G$7,'Product Tgt'!$B:$B,'Product Tgt'!$D:$D)</f>
        <v>60.38</v>
      </c>
      <c r="H5" s="44">
        <f>_xlfn.XLOOKUP(H$7,'Product Tgt'!$B:$B,'Product Tgt'!$D:$D)</f>
        <v>225.6</v>
      </c>
      <c r="I5" s="44">
        <f>_xlfn.XLOOKUP(I$7,'Product Tgt'!$B:$B,'Product Tgt'!$D:$D)</f>
        <v>360.6</v>
      </c>
      <c r="J5" s="44">
        <f>_xlfn.XLOOKUP(J$7,'Product Tgt'!$B:$B,'Product Tgt'!$D:$D)</f>
        <v>433.44</v>
      </c>
      <c r="K5" s="44">
        <f>_xlfn.XLOOKUP(K$7,'Product Tgt'!$B:$B,'Product Tgt'!$D:$D)</f>
        <v>269.86</v>
      </c>
      <c r="L5" s="44">
        <f>_xlfn.XLOOKUP(L$7,'Product Tgt'!$B:$B,'Product Tgt'!$D:$D)</f>
        <v>157.41999999999999</v>
      </c>
      <c r="M5" s="44">
        <f>_xlfn.XLOOKUP(M$7,'Product Tgt'!$B:$B,'Product Tgt'!$D:$D)</f>
        <v>225.56</v>
      </c>
      <c r="N5" s="44">
        <f>_xlfn.XLOOKUP(N$7,'Product Tgt'!$B:$B,'Product Tgt'!$D:$D)</f>
        <v>360.9</v>
      </c>
      <c r="O5" s="44">
        <f>_xlfn.XLOOKUP(O$7,'Product Tgt'!$B:$B,'Product Tgt'!$D:$D)</f>
        <v>451.13</v>
      </c>
      <c r="P5" s="44">
        <f>_xlfn.XLOOKUP(P$7,'Product Tgt'!$B:$B,'Product Tgt'!$D:$D)</f>
        <v>299.85000000000002</v>
      </c>
      <c r="Q5" s="44">
        <f>_xlfn.XLOOKUP(Q$7,'Product Tgt'!$B:$B,'Product Tgt'!$D:$D)</f>
        <v>449.8</v>
      </c>
      <c r="R5" s="44"/>
      <c r="S5" s="44"/>
      <c r="T5" s="44"/>
      <c r="U5" s="44">
        <f>_xlfn.XLOOKUP(U$7,'Product Tgt'!$B:$B,'Product Tgt'!$D:$D)</f>
        <v>226.32</v>
      </c>
      <c r="V5" s="44">
        <f>_xlfn.XLOOKUP(V$7,'Product Tgt'!$B:$B,'Product Tgt'!$D:$D)</f>
        <v>113</v>
      </c>
      <c r="W5" s="44">
        <f>_xlfn.XLOOKUP(W$7,'Product Tgt'!$B:$B,'Product Tgt'!$D:$D)</f>
        <v>188</v>
      </c>
      <c r="X5" s="44">
        <f>_xlfn.XLOOKUP(X$7,'Product Tgt'!$B:$B,'Product Tgt'!$D:$D)</f>
        <v>180.6</v>
      </c>
      <c r="Y5" s="44">
        <f>_xlfn.XLOOKUP(Y$7,'Product Tgt'!$B:$B,'Product Tgt'!$D:$D)</f>
        <v>224.89</v>
      </c>
      <c r="Z5" s="44">
        <f>_xlfn.XLOOKUP(Z$7,'Product Tgt'!$B:$B,'Product Tgt'!$D:$D)</f>
        <v>562.5</v>
      </c>
      <c r="AA5" s="44">
        <f>_xlfn.XLOOKUP(AA$7,'Product Tgt'!$B:$B,'Product Tgt'!$D:$D)</f>
        <v>674.8</v>
      </c>
      <c r="AB5" s="44">
        <f>_xlfn.XLOOKUP(AB$7,'Product Tgt'!$B:$B,'Product Tgt'!$D:$D)</f>
        <v>337.5</v>
      </c>
      <c r="AC5" s="44">
        <f>_xlfn.XLOOKUP(AC$7,'Product Tgt'!$B:$B,'Product Tgt'!$D:$D)</f>
        <v>299.8500749625187</v>
      </c>
      <c r="AD5" s="44">
        <f>_xlfn.XLOOKUP(AD$7,'Product Tgt'!$B:$B,'Product Tgt'!$D:$D)</f>
        <v>449.7</v>
      </c>
      <c r="AE5" s="45">
        <f>_xlfn.XLOOKUP(AE$7,'Product Tgt'!$B:$B,'Product Tgt'!$D:$D)</f>
        <v>329.8</v>
      </c>
      <c r="AF5" s="40">
        <f>_xlfn.XLOOKUP(AF$7,'Product Tgt'!$B:$B,'Product Tgt'!$D:$D)</f>
        <v>60.38</v>
      </c>
      <c r="AG5" s="11">
        <f>_xlfn.XLOOKUP(AG$7,'Product Tgt'!$B:$B,'Product Tgt'!$D:$D)</f>
        <v>225.6</v>
      </c>
      <c r="AH5" s="11">
        <f>_xlfn.XLOOKUP(AH$7,'Product Tgt'!$B:$B,'Product Tgt'!$D:$D)</f>
        <v>360.6</v>
      </c>
      <c r="AI5" s="11">
        <f>_xlfn.XLOOKUP(AI$7,'Product Tgt'!$B:$B,'Product Tgt'!$D:$D)</f>
        <v>433.44</v>
      </c>
      <c r="AJ5" s="11">
        <f>_xlfn.XLOOKUP(AJ$7,'Product Tgt'!$B:$B,'Product Tgt'!$D:$D)</f>
        <v>269.86</v>
      </c>
      <c r="AK5" s="11">
        <f>_xlfn.XLOOKUP(AK$7,'Product Tgt'!$B:$B,'Product Tgt'!$D:$D)</f>
        <v>157.41999999999999</v>
      </c>
      <c r="AL5" s="11">
        <f>_xlfn.XLOOKUP(AL$7,'Product Tgt'!$B:$B,'Product Tgt'!$D:$D)</f>
        <v>225.56</v>
      </c>
      <c r="AM5" s="11">
        <f>_xlfn.XLOOKUP(AM$7,'Product Tgt'!$B:$B,'Product Tgt'!$D:$D)</f>
        <v>360.9</v>
      </c>
      <c r="AN5" s="11">
        <f>_xlfn.XLOOKUP(AN$7,'Product Tgt'!$B:$B,'Product Tgt'!$D:$D)</f>
        <v>451.13</v>
      </c>
      <c r="AO5" s="11">
        <f>_xlfn.XLOOKUP(AO$7,'Product Tgt'!$B:$B,'Product Tgt'!$D:$D)</f>
        <v>299.85000000000002</v>
      </c>
      <c r="AP5" s="11">
        <f>_xlfn.XLOOKUP(AP$7,'Product Tgt'!$B:$B,'Product Tgt'!$D:$D)</f>
        <v>449.8</v>
      </c>
      <c r="AQ5" s="11">
        <f>_xlfn.XLOOKUP(AQ$7,'Product Tgt'!$B:$B,'Product Tgt'!$D:$D)</f>
        <v>341.88</v>
      </c>
      <c r="AR5" s="11">
        <f>_xlfn.XLOOKUP(AR$7,'Product Tgt'!$B:$B,'Product Tgt'!$D:$D)</f>
        <v>226.47</v>
      </c>
      <c r="AS5" s="11">
        <f>_xlfn.XLOOKUP(AS$7,'Product Tgt'!$B:$B,'Product Tgt'!$D:$D)</f>
        <v>406.01</v>
      </c>
      <c r="AT5" s="11">
        <f>_xlfn.XLOOKUP(AT$7,'Product Tgt'!$B:$B,'Product Tgt'!$D:$D)</f>
        <v>226.32</v>
      </c>
      <c r="AU5" s="11">
        <f>_xlfn.XLOOKUP(AU$7,'Product Tgt'!$B:$B,'Product Tgt'!$D:$D)</f>
        <v>113</v>
      </c>
      <c r="AV5" s="11">
        <f>_xlfn.XLOOKUP(AV$7,'Product Tgt'!$B:$B,'Product Tgt'!$D:$D)</f>
        <v>188</v>
      </c>
      <c r="AW5" s="11">
        <f>_xlfn.XLOOKUP(AW$7,'Product Tgt'!$B:$B,'Product Tgt'!$D:$D)</f>
        <v>180.6</v>
      </c>
      <c r="AX5" s="11">
        <f>_xlfn.XLOOKUP(AX$7,'Product Tgt'!$B:$B,'Product Tgt'!$D:$D)</f>
        <v>224.89</v>
      </c>
      <c r="AY5" s="11">
        <f>_xlfn.XLOOKUP(AY$7,'Product Tgt'!$B:$B,'Product Tgt'!$D:$D)</f>
        <v>562.5</v>
      </c>
      <c r="AZ5" s="11">
        <f>_xlfn.XLOOKUP(AZ$7,'Product Tgt'!$B:$B,'Product Tgt'!$D:$D)</f>
        <v>674.8</v>
      </c>
      <c r="BA5" s="11">
        <f>_xlfn.XLOOKUP(BA$7,'Product Tgt'!$B:$B,'Product Tgt'!$D:$D)</f>
        <v>337.5</v>
      </c>
      <c r="BB5" s="11">
        <f>_xlfn.XLOOKUP(BB$7,'Product Tgt'!$B:$B,'Product Tgt'!$D:$D)</f>
        <v>299.8500749625187</v>
      </c>
      <c r="BC5" s="11">
        <f>_xlfn.XLOOKUP(BC$7,'Product Tgt'!$B:$B,'Product Tgt'!$D:$D)</f>
        <v>449.7</v>
      </c>
      <c r="BD5" s="12">
        <f>_xlfn.XLOOKUP(BD$7,'Product Tgt'!$B:$B,'Product Tgt'!$D:$D)</f>
        <v>329.8</v>
      </c>
      <c r="BE5" s="2" t="e">
        <f>_xlfn.XLOOKUP(BE$7,'Product Tgt'!$B:$B,'Product Tgt'!$D:$D)</f>
        <v>#N/A</v>
      </c>
      <c r="BF5" t="e">
        <f>_xlfn.XLOOKUP(BF$7,'Product Tgt'!$B:$B,'Product Tgt'!$D:$D)</f>
        <v>#N/A</v>
      </c>
      <c r="BG5" t="e">
        <f>_xlfn.XLOOKUP(BG$7,'Product Tgt'!$B:$B,'Product Tgt'!$D:$D)</f>
        <v>#N/A</v>
      </c>
      <c r="BH5" t="e">
        <f>_xlfn.XLOOKUP(BH$7,'Product Tgt'!$B:$B,'Product Tgt'!$D:$D)</f>
        <v>#N/A</v>
      </c>
      <c r="BI5" t="e">
        <f>_xlfn.XLOOKUP(BI$7,'Product Tgt'!$B:$B,'Product Tgt'!$D:$D)</f>
        <v>#N/A</v>
      </c>
      <c r="BJ5" t="e">
        <f>_xlfn.XLOOKUP(BJ$7,'Product Tgt'!$B:$B,'Product Tgt'!$D:$D)</f>
        <v>#N/A</v>
      </c>
      <c r="BK5" t="e">
        <f>_xlfn.XLOOKUP(BK$7,'Product Tgt'!$B:$B,'Product Tgt'!$D:$D)</f>
        <v>#N/A</v>
      </c>
      <c r="BL5" t="e">
        <f>_xlfn.XLOOKUP(BL$7,'Product Tgt'!$B:$B,'Product Tgt'!$D:$D)</f>
        <v>#N/A</v>
      </c>
      <c r="BM5" t="e">
        <f>_xlfn.XLOOKUP(BM$7,'Product Tgt'!$B:$B,'Product Tgt'!$D:$D)</f>
        <v>#N/A</v>
      </c>
      <c r="BN5" t="e">
        <f>_xlfn.XLOOKUP(BN$7,'Product Tgt'!$B:$B,'Product Tgt'!$D:$D)</f>
        <v>#N/A</v>
      </c>
      <c r="BO5" t="e">
        <f>_xlfn.XLOOKUP(BO$7,'Product Tgt'!$B:$B,'Product Tgt'!$D:$D)</f>
        <v>#N/A</v>
      </c>
      <c r="BP5" t="e">
        <f>_xlfn.XLOOKUP(BP$7,'Product Tgt'!$B:$B,'Product Tgt'!$D:$D)</f>
        <v>#N/A</v>
      </c>
      <c r="BQ5" t="e">
        <f>_xlfn.XLOOKUP(BQ$7,'Product Tgt'!$B:$B,'Product Tgt'!$D:$D)</f>
        <v>#N/A</v>
      </c>
      <c r="BR5" t="e">
        <f>_xlfn.XLOOKUP(BR$7,'Product Tgt'!$B:$B,'Product Tgt'!$D:$D)</f>
        <v>#N/A</v>
      </c>
      <c r="BS5" t="e">
        <f>_xlfn.XLOOKUP(BS$7,'Product Tgt'!$B:$B,'Product Tgt'!$D:$D)</f>
        <v>#N/A</v>
      </c>
      <c r="BT5" t="e">
        <f>_xlfn.XLOOKUP(BT$7,'Product Tgt'!$B:$B,'Product Tgt'!$D:$D)</f>
        <v>#N/A</v>
      </c>
      <c r="BU5" t="e">
        <f>_xlfn.XLOOKUP(BU$7,'Product Tgt'!$B:$B,'Product Tgt'!$D:$D)</f>
        <v>#N/A</v>
      </c>
      <c r="BV5" t="e">
        <f>_xlfn.XLOOKUP(BV$7,'Product Tgt'!$B:$B,'Product Tgt'!$D:$D)</f>
        <v>#N/A</v>
      </c>
      <c r="BW5" t="e">
        <f>_xlfn.XLOOKUP(BW$7,'Product Tgt'!$B:$B,'Product Tgt'!$D:$D)</f>
        <v>#N/A</v>
      </c>
      <c r="BX5" t="e">
        <f>_xlfn.XLOOKUP(BX$7,'Product Tgt'!$B:$B,'Product Tgt'!$D:$D)</f>
        <v>#N/A</v>
      </c>
      <c r="BY5" t="e">
        <f>_xlfn.XLOOKUP(BY$7,'Product Tgt'!$B:$B,'Product Tgt'!$D:$D)</f>
        <v>#N/A</v>
      </c>
      <c r="BZ5" t="e">
        <f>_xlfn.XLOOKUP(BZ$7,'Product Tgt'!$B:$B,'Product Tgt'!$D:$D)</f>
        <v>#N/A</v>
      </c>
    </row>
    <row r="6" spans="1:78" ht="15.75" thickTop="1" x14ac:dyDescent="0.25">
      <c r="A6" t="s">
        <v>12</v>
      </c>
      <c r="B6" s="2" t="s">
        <v>169</v>
      </c>
      <c r="F6" t="s">
        <v>100</v>
      </c>
      <c r="G6" s="46" t="s">
        <v>196</v>
      </c>
      <c r="H6" s="47" t="s">
        <v>197</v>
      </c>
      <c r="I6" s="47" t="s">
        <v>198</v>
      </c>
      <c r="J6" s="47" t="s">
        <v>199</v>
      </c>
      <c r="K6" s="47" t="s">
        <v>200</v>
      </c>
      <c r="L6" s="47" t="s">
        <v>201</v>
      </c>
      <c r="M6" s="47" t="s">
        <v>202</v>
      </c>
      <c r="N6" s="47" t="s">
        <v>203</v>
      </c>
      <c r="O6" s="47" t="s">
        <v>204</v>
      </c>
      <c r="P6" s="47" t="s">
        <v>205</v>
      </c>
      <c r="Q6" s="47" t="s">
        <v>206</v>
      </c>
      <c r="R6" s="47" t="s">
        <v>207</v>
      </c>
      <c r="S6" s="47" t="s">
        <v>208</v>
      </c>
      <c r="T6" s="47" t="s">
        <v>209</v>
      </c>
      <c r="U6" s="47" t="s">
        <v>210</v>
      </c>
      <c r="V6" s="47" t="s">
        <v>211</v>
      </c>
      <c r="W6" s="47" t="s">
        <v>212</v>
      </c>
      <c r="X6" s="47" t="s">
        <v>213</v>
      </c>
      <c r="Y6" s="47" t="s">
        <v>214</v>
      </c>
      <c r="Z6" s="47" t="s">
        <v>44</v>
      </c>
      <c r="AA6" s="47" t="s">
        <v>45</v>
      </c>
      <c r="AB6" s="47" t="s">
        <v>46</v>
      </c>
      <c r="AC6" s="47" t="s">
        <v>215</v>
      </c>
      <c r="AD6" s="47" t="s">
        <v>216</v>
      </c>
      <c r="AE6" s="48" t="s">
        <v>217</v>
      </c>
      <c r="AF6" s="41" t="str">
        <f>_xlfn.XLOOKUP(AF$7,'Product Tgt'!$B:$B,'Product Tgt'!$C:$C)</f>
        <v>Epilim 100ml Syp</v>
      </c>
      <c r="AG6" s="41" t="str">
        <f>_xlfn.XLOOKUP(AG$7,'Product Tgt'!$B:$B,'Product Tgt'!$C:$C)</f>
        <v>EPILIM 200mg Tab</v>
      </c>
      <c r="AH6" s="41" t="str">
        <f>_xlfn.XLOOKUP(AH$7,'Product Tgt'!$B:$B,'Product Tgt'!$C:$C)</f>
        <v>EPILIM 300mg Tab</v>
      </c>
      <c r="AI6" s="41" t="str">
        <f>_xlfn.XLOOKUP(AI$7,'Product Tgt'!$B:$B,'Product Tgt'!$C:$C)</f>
        <v>EPILIM 500mg Tab</v>
      </c>
      <c r="AJ6" s="41" t="str">
        <f>_xlfn.XLOOKUP(AJ$7,'Product Tgt'!$B:$B,'Product Tgt'!$C:$C)</f>
        <v>EXPRES 10mg Tab</v>
      </c>
      <c r="AK6" s="41" t="str">
        <f>_xlfn.XLOOKUP(AK$7,'Product Tgt'!$B:$B,'Product Tgt'!$C:$C)</f>
        <v>EXPRES 5mg Tab</v>
      </c>
      <c r="AL6" s="41" t="str">
        <f>_xlfn.XLOOKUP(AL$7,'Product Tgt'!$B:$B,'Product Tgt'!$C:$C)</f>
        <v>Imovane 7.5mg Tab 3x10's</v>
      </c>
      <c r="AM6" s="41" t="str">
        <f>_xlfn.XLOOKUP(AM$7,'Product Tgt'!$B:$B,'Product Tgt'!$C:$C)</f>
        <v>Leveron 250mg Tab 5x6's</v>
      </c>
      <c r="AN6" s="41" t="str">
        <f>_xlfn.XLOOKUP(AN$7,'Product Tgt'!$B:$B,'Product Tgt'!$C:$C)</f>
        <v>Leveron 500mg Tab 5x4's</v>
      </c>
      <c r="AO6" s="41" t="str">
        <f>_xlfn.XLOOKUP(AO$7,'Product Tgt'!$B:$B,'Product Tgt'!$C:$C)</f>
        <v>LEVERON 100ml Syp</v>
      </c>
      <c r="AP6" s="41" t="str">
        <f>_xlfn.XLOOKUP(AP$7,'Product Tgt'!$B:$B,'Product Tgt'!$C:$C)</f>
        <v>Leveron 500 XR</v>
      </c>
      <c r="AQ6" s="41" t="str">
        <f>_xlfn.XLOOKUP(AQ$7,'Product Tgt'!$B:$B,'Product Tgt'!$C:$C)</f>
        <v>Leveron 750 XR</v>
      </c>
      <c r="AR6" s="41" t="str">
        <f>_xlfn.XLOOKUP(AR$7,'Product Tgt'!$B:$B,'Product Tgt'!$C:$C)</f>
        <v>Qpine 100mg Tab 3x10's</v>
      </c>
      <c r="AS6" s="41" t="str">
        <f>_xlfn.XLOOKUP(AS$7,'Product Tgt'!$B:$B,'Product Tgt'!$C:$C)</f>
        <v>Qpine 200mg Tab 3x10's</v>
      </c>
      <c r="AT6" s="41" t="str">
        <f>_xlfn.XLOOKUP(AT$7,'Product Tgt'!$B:$B,'Product Tgt'!$C:$C)</f>
        <v>Qpine 25mg Tab 10x10's</v>
      </c>
      <c r="AU6" s="41" t="str">
        <f>_xlfn.XLOOKUP(AU$7,'Product Tgt'!$B:$B,'Product Tgt'!$C:$C)</f>
        <v>Sperdal 1mg Tab 5x10's</v>
      </c>
      <c r="AV6" s="41" t="str">
        <f>_xlfn.XLOOKUP(AV$7,'Product Tgt'!$B:$B,'Product Tgt'!$C:$C)</f>
        <v>Sperdal 2mg Tab 5x10's</v>
      </c>
      <c r="AW6" s="41" t="str">
        <f>_xlfn.XLOOKUP(AW$7,'Product Tgt'!$B:$B,'Product Tgt'!$C:$C)</f>
        <v>Sperdal 4mg Tab 3x10's</v>
      </c>
      <c r="AX6" s="41" t="str">
        <f>_xlfn.XLOOKUP(AX$7,'Product Tgt'!$B:$B,'Product Tgt'!$C:$C)</f>
        <v>SPERDAL 100ml Solution</v>
      </c>
      <c r="AY6" s="41" t="str">
        <f>_xlfn.XLOOKUP(AY$7,'Product Tgt'!$B:$B,'Product Tgt'!$C:$C)</f>
        <v>Vortiox 10 mg Tablet 3x10's</v>
      </c>
      <c r="AZ6" s="41" t="str">
        <f>_xlfn.XLOOKUP(AZ$7,'Product Tgt'!$B:$B,'Product Tgt'!$C:$C)</f>
        <v>Vortiox 20 mg Tablet 2x10's</v>
      </c>
      <c r="BA6" s="41" t="str">
        <f>_xlfn.XLOOKUP(BA$7,'Product Tgt'!$B:$B,'Product Tgt'!$C:$C)</f>
        <v>Vortiox 5 mg Tablet 3x10's</v>
      </c>
      <c r="BB6" s="41" t="str">
        <f>_xlfn.XLOOKUP(BB$7,'Product Tgt'!$B:$B,'Product Tgt'!$C:$C)</f>
        <v>Qpine XR 50 mg Tab 5x10's</v>
      </c>
      <c r="BC6" s="41" t="str">
        <f>_xlfn.XLOOKUP(BC$7,'Product Tgt'!$B:$B,'Product Tgt'!$C:$C)</f>
        <v>Qpine XR 200 mg Tab 3x10's</v>
      </c>
      <c r="BD6" s="41" t="str">
        <f>_xlfn.XLOOKUP(BD$7,'Product Tgt'!$B:$B,'Product Tgt'!$C:$C)</f>
        <v>Qpine XR 300 mg Tab 2x10's</v>
      </c>
      <c r="BE6" s="25" t="s">
        <v>28</v>
      </c>
      <c r="BF6" s="26" t="s">
        <v>29</v>
      </c>
      <c r="BG6" s="26" t="s">
        <v>30</v>
      </c>
      <c r="BH6" s="26" t="s">
        <v>31</v>
      </c>
      <c r="BI6" s="26" t="s">
        <v>32</v>
      </c>
      <c r="BJ6" s="26" t="s">
        <v>33</v>
      </c>
      <c r="BK6" s="26" t="s">
        <v>34</v>
      </c>
      <c r="BL6" s="26" t="s">
        <v>35</v>
      </c>
      <c r="BM6" s="26" t="s">
        <v>36</v>
      </c>
      <c r="BN6" s="26" t="s">
        <v>27</v>
      </c>
      <c r="BO6" s="26" t="s">
        <v>170</v>
      </c>
      <c r="BP6" s="26" t="s">
        <v>171</v>
      </c>
      <c r="BQ6" s="26" t="s">
        <v>37</v>
      </c>
      <c r="BR6" s="26" t="s">
        <v>38</v>
      </c>
      <c r="BS6" s="26" t="s">
        <v>39</v>
      </c>
      <c r="BT6" s="26" t="s">
        <v>40</v>
      </c>
      <c r="BU6" s="26" t="s">
        <v>41</v>
      </c>
      <c r="BV6" s="26" t="s">
        <v>42</v>
      </c>
      <c r="BW6" s="26" t="s">
        <v>43</v>
      </c>
      <c r="BX6" s="26" t="s">
        <v>44</v>
      </c>
      <c r="BY6" s="26" t="s">
        <v>45</v>
      </c>
      <c r="BZ6" s="35" t="s">
        <v>46</v>
      </c>
    </row>
    <row r="7" spans="1:78" x14ac:dyDescent="0.25">
      <c r="A7" s="2" t="s">
        <v>3</v>
      </c>
      <c r="B7" s="2" t="s">
        <v>11</v>
      </c>
      <c r="C7" s="2" t="s">
        <v>15</v>
      </c>
      <c r="D7" s="2" t="s">
        <v>16</v>
      </c>
      <c r="E7" s="7" t="s">
        <v>17</v>
      </c>
      <c r="F7" s="7" t="s">
        <v>18</v>
      </c>
      <c r="G7" s="46">
        <v>542</v>
      </c>
      <c r="H7" s="47">
        <v>543</v>
      </c>
      <c r="I7" s="47">
        <v>545</v>
      </c>
      <c r="J7" s="47">
        <v>547</v>
      </c>
      <c r="K7" s="47">
        <v>551</v>
      </c>
      <c r="L7" s="47">
        <v>552</v>
      </c>
      <c r="M7" s="47">
        <v>578</v>
      </c>
      <c r="N7" s="47">
        <v>596</v>
      </c>
      <c r="O7" s="47">
        <v>598</v>
      </c>
      <c r="P7" s="47">
        <v>597</v>
      </c>
      <c r="Q7" s="47">
        <v>788</v>
      </c>
      <c r="R7" s="47">
        <v>789</v>
      </c>
      <c r="S7" s="47">
        <v>634</v>
      </c>
      <c r="T7" s="47">
        <v>635</v>
      </c>
      <c r="U7" s="47">
        <v>636</v>
      </c>
      <c r="V7" s="47">
        <v>666</v>
      </c>
      <c r="W7" s="47">
        <v>667</v>
      </c>
      <c r="X7" s="47">
        <v>668</v>
      </c>
      <c r="Y7" s="47">
        <v>665</v>
      </c>
      <c r="Z7" s="47">
        <v>770</v>
      </c>
      <c r="AA7" s="47">
        <v>771</v>
      </c>
      <c r="AB7" s="47">
        <v>769</v>
      </c>
      <c r="AC7" s="47">
        <v>813</v>
      </c>
      <c r="AD7" s="47">
        <v>814</v>
      </c>
      <c r="AE7" s="48">
        <v>815</v>
      </c>
      <c r="AF7" s="41">
        <v>542</v>
      </c>
      <c r="AG7" s="23">
        <v>543</v>
      </c>
      <c r="AH7" s="23">
        <v>545</v>
      </c>
      <c r="AI7" s="23">
        <v>547</v>
      </c>
      <c r="AJ7" s="23">
        <v>551</v>
      </c>
      <c r="AK7" s="23">
        <v>552</v>
      </c>
      <c r="AL7" s="23">
        <v>578</v>
      </c>
      <c r="AM7" s="23">
        <v>596</v>
      </c>
      <c r="AN7" s="23">
        <v>598</v>
      </c>
      <c r="AO7" s="23">
        <v>597</v>
      </c>
      <c r="AP7" s="23">
        <v>788</v>
      </c>
      <c r="AQ7" s="23">
        <v>789</v>
      </c>
      <c r="AR7" s="23">
        <v>634</v>
      </c>
      <c r="AS7" s="23">
        <v>635</v>
      </c>
      <c r="AT7" s="23">
        <v>636</v>
      </c>
      <c r="AU7" s="23">
        <v>666</v>
      </c>
      <c r="AV7" s="23">
        <v>667</v>
      </c>
      <c r="AW7" s="23">
        <v>668</v>
      </c>
      <c r="AX7" s="23">
        <v>665</v>
      </c>
      <c r="AY7" s="23">
        <v>770</v>
      </c>
      <c r="AZ7" s="23">
        <v>771</v>
      </c>
      <c r="BA7" s="23">
        <v>769</v>
      </c>
      <c r="BB7" s="23">
        <v>813</v>
      </c>
      <c r="BC7" s="23">
        <v>814</v>
      </c>
      <c r="BD7" s="24">
        <v>815</v>
      </c>
      <c r="BE7" s="27">
        <v>331006</v>
      </c>
      <c r="BF7" s="28">
        <v>347706</v>
      </c>
      <c r="BG7" s="28">
        <v>347707</v>
      </c>
      <c r="BH7" s="28">
        <v>347708</v>
      </c>
      <c r="BI7" s="28">
        <v>342923</v>
      </c>
      <c r="BJ7" s="28">
        <v>342922</v>
      </c>
      <c r="BK7" s="28">
        <v>372979</v>
      </c>
      <c r="BL7" s="28">
        <v>330444</v>
      </c>
      <c r="BM7" s="28">
        <v>330445</v>
      </c>
      <c r="BN7" s="28">
        <v>340941</v>
      </c>
      <c r="BO7" s="28">
        <v>4011000154</v>
      </c>
      <c r="BP7" s="28">
        <v>4011000155</v>
      </c>
      <c r="BQ7" s="28">
        <v>318732</v>
      </c>
      <c r="BR7" s="28">
        <v>328438</v>
      </c>
      <c r="BS7" s="28">
        <v>318678</v>
      </c>
      <c r="BT7" s="28">
        <v>339923</v>
      </c>
      <c r="BU7" s="28">
        <v>329832</v>
      </c>
      <c r="BV7" s="28">
        <v>329833</v>
      </c>
      <c r="BW7" s="28">
        <v>329834</v>
      </c>
      <c r="BX7" s="28">
        <v>4011000135</v>
      </c>
      <c r="BY7" s="28">
        <v>4011000136</v>
      </c>
      <c r="BZ7" s="36">
        <v>4011000134</v>
      </c>
    </row>
    <row r="8" spans="1:78" x14ac:dyDescent="0.25">
      <c r="A8" s="4" t="s">
        <v>179</v>
      </c>
      <c r="B8" s="3">
        <f>_xlfn.XLOOKUP(A8,'Terr Target'!$A:$A,'Terr Target'!$E:$E)</f>
        <v>458787.33051606524</v>
      </c>
      <c r="C8" s="3">
        <f t="shared" ref="C8:C39" si="4">SUM(AF8:BD8)</f>
        <v>458786.7066364878</v>
      </c>
      <c r="D8" s="5">
        <f t="shared" ref="D8" si="5">C8-B8</f>
        <v>-0.62387957744067535</v>
      </c>
      <c r="E8" s="6">
        <f>ABS(D8)/C8</f>
        <v>1.3598466747533647E-6</v>
      </c>
      <c r="F8" s="6">
        <f>(1-(D8/C8))</f>
        <v>1.0000013598466748</v>
      </c>
      <c r="G8" s="49">
        <v>15530.526218081255</v>
      </c>
      <c r="H8" s="50">
        <v>19860.68569758493</v>
      </c>
      <c r="I8" s="50">
        <v>88402.866444637373</v>
      </c>
      <c r="J8" s="50">
        <v>94036.922243032357</v>
      </c>
      <c r="K8" s="50">
        <v>26953.527422159317</v>
      </c>
      <c r="L8" s="50">
        <v>13781.321030173802</v>
      </c>
      <c r="M8" s="50">
        <v>0</v>
      </c>
      <c r="N8" s="50">
        <v>7346.2284617468358</v>
      </c>
      <c r="O8" s="50">
        <v>7668.3585075106739</v>
      </c>
      <c r="P8" s="50">
        <v>8095.675300697937</v>
      </c>
      <c r="Q8" s="50">
        <v>1701.1098331529545</v>
      </c>
      <c r="R8" s="50">
        <v>1640.8034302637755</v>
      </c>
      <c r="S8" s="50">
        <v>22783.279755349864</v>
      </c>
      <c r="T8" s="50">
        <v>19153.553185694149</v>
      </c>
      <c r="U8" s="50">
        <v>13142.981749393359</v>
      </c>
      <c r="V8" s="50">
        <v>5485.4464439906124</v>
      </c>
      <c r="W8" s="50">
        <v>9120.3749401207078</v>
      </c>
      <c r="X8" s="50">
        <v>14356.078990822078</v>
      </c>
      <c r="Y8" s="50">
        <v>10557.714152160032</v>
      </c>
      <c r="Z8" s="50">
        <v>49212.12150336575</v>
      </c>
      <c r="AA8" s="50">
        <v>3390.9371770236612</v>
      </c>
      <c r="AB8" s="50">
        <v>19703.749267020012</v>
      </c>
      <c r="AC8" s="50">
        <v>6476.1876457803182</v>
      </c>
      <c r="AD8" s="50">
        <v>7014.6982993137617</v>
      </c>
      <c r="AE8" s="51">
        <v>1187.1747827339659</v>
      </c>
      <c r="AF8" s="42">
        <f>IFERROR(_xlfn.XLOOKUP(AF$7,'Product Tgt'!$B:$B,'Product Tgt'!$G:$G)*G8/G$60,0)</f>
        <v>15645.194834318429</v>
      </c>
      <c r="AG8" s="42">
        <f>IFERROR(_xlfn.XLOOKUP(AG$7,'Product Tgt'!$B:$B,'Product Tgt'!$G:$G)*H8/H$60,0)</f>
        <v>20334.305591558001</v>
      </c>
      <c r="AH8" s="42">
        <f>IFERROR(_xlfn.XLOOKUP(AH$7,'Product Tgt'!$B:$B,'Product Tgt'!$G:$G)*I8/I$60,0)</f>
        <v>88284.224974767669</v>
      </c>
      <c r="AI8" s="42">
        <f>IFERROR(_xlfn.XLOOKUP(AI$7,'Product Tgt'!$B:$B,'Product Tgt'!$G:$G)*J8/J$60,0)</f>
        <v>93632.137581272123</v>
      </c>
      <c r="AJ8" s="42">
        <f>IFERROR(_xlfn.XLOOKUP(AJ$7,'Product Tgt'!$B:$B,'Product Tgt'!$G:$G)*K8/K$60,0)</f>
        <v>26511.165274246338</v>
      </c>
      <c r="AK8" s="42">
        <f>IFERROR(_xlfn.XLOOKUP(AK$7,'Product Tgt'!$B:$B,'Product Tgt'!$G:$G)*L8/L$60,0)</f>
        <v>14183.409124901898</v>
      </c>
      <c r="AL8" s="42">
        <f>IFERROR(_xlfn.XLOOKUP(AL$7,'Product Tgt'!$B:$B,'Product Tgt'!$G:$G)*M8/M$60,0)</f>
        <v>0</v>
      </c>
      <c r="AM8" s="42">
        <f>IFERROR(_xlfn.XLOOKUP(AM$7,'Product Tgt'!$B:$B,'Product Tgt'!$G:$G)*N8/N$60,0)</f>
        <v>7297.2102528305522</v>
      </c>
      <c r="AN8" s="42">
        <f>IFERROR(_xlfn.XLOOKUP(AN$7,'Product Tgt'!$B:$B,'Product Tgt'!$G:$G)*O8/O$60,0)</f>
        <v>8363.2769092159397</v>
      </c>
      <c r="AO8" s="42">
        <f>IFERROR(_xlfn.XLOOKUP(AO$7,'Product Tgt'!$B:$B,'Product Tgt'!$G:$G)*P8/P$60,0)</f>
        <v>7762.3071736842558</v>
      </c>
      <c r="AP8" s="42">
        <f>IFERROR(_xlfn.XLOOKUP(AP$7,'Product Tgt'!$B:$B,'Product Tgt'!$G:$G)*Q8/Q$60,0)</f>
        <v>1293.0984653740784</v>
      </c>
      <c r="AQ8" s="42">
        <f>IFERROR(_xlfn.XLOOKUP(AQ$7,'Product Tgt'!$B:$B,'Product Tgt'!$G:$G)*R8/R$60,0)</f>
        <v>1369.0839559268607</v>
      </c>
      <c r="AR8" s="42">
        <f>IFERROR(_xlfn.XLOOKUP(AR$7,'Product Tgt'!$B:$B,'Product Tgt'!$G:$G)*S8/S$60,0)</f>
        <v>22064.255766139369</v>
      </c>
      <c r="AS8" s="42">
        <f>IFERROR(_xlfn.XLOOKUP(AS$7,'Product Tgt'!$B:$B,'Product Tgt'!$G:$G)*T8/T$60,0)</f>
        <v>17386.961036055989</v>
      </c>
      <c r="AT8" s="42">
        <f>IFERROR(_xlfn.XLOOKUP(AT$7,'Product Tgt'!$B:$B,'Product Tgt'!$G:$G)*U8/U$60,0)</f>
        <v>11222.666468355832</v>
      </c>
      <c r="AU8" s="42">
        <f>IFERROR(_xlfn.XLOOKUP(AU$7,'Product Tgt'!$B:$B,'Product Tgt'!$G:$G)*V8/V$60,0)</f>
        <v>5780.218840839686</v>
      </c>
      <c r="AV8" s="42">
        <f>IFERROR(_xlfn.XLOOKUP(AV$7,'Product Tgt'!$B:$B,'Product Tgt'!$G:$G)*W8/W$60,0)</f>
        <v>8791.4894671623078</v>
      </c>
      <c r="AW8" s="42">
        <f>IFERROR(_xlfn.XLOOKUP(AW$7,'Product Tgt'!$B:$B,'Product Tgt'!$G:$G)*X8/X$60,0)</f>
        <v>14809.567854061565</v>
      </c>
      <c r="AX8" s="42">
        <f>IFERROR(_xlfn.XLOOKUP(AX$7,'Product Tgt'!$B:$B,'Product Tgt'!$G:$G)*Y8/Y$60,0)</f>
        <v>10160.437998051848</v>
      </c>
      <c r="AY8" s="42">
        <f>IFERROR(_xlfn.XLOOKUP(AY$7,'Product Tgt'!$B:$B,'Product Tgt'!$G:$G)*Z8/Z$60,0)</f>
        <v>47396.814770369667</v>
      </c>
      <c r="AZ8" s="42">
        <f>IFERROR(_xlfn.XLOOKUP(AZ$7,'Product Tgt'!$B:$B,'Product Tgt'!$G:$G)*AA8/AA$60,0)</f>
        <v>3389.1098346894787</v>
      </c>
      <c r="BA8" s="42">
        <f>IFERROR(_xlfn.XLOOKUP(BA$7,'Product Tgt'!$B:$B,'Product Tgt'!$G:$G)*AB8/AB$60,0)</f>
        <v>18404.543089918192</v>
      </c>
      <c r="BB8" s="42">
        <f>IFERROR(_xlfn.XLOOKUP(BB$7,'Product Tgt'!$B:$B,'Product Tgt'!$G:$G)*AC8/AC$60,0)</f>
        <v>6488.1739901256933</v>
      </c>
      <c r="BC8" s="42">
        <f>IFERROR(_xlfn.XLOOKUP(BC$7,'Product Tgt'!$B:$B,'Product Tgt'!$G:$G)*AD8/AD$60,0)</f>
        <v>7027.6813371584558</v>
      </c>
      <c r="BD8" s="42">
        <f>IFERROR(_xlfn.XLOOKUP(BD$7,'Product Tgt'!$B:$B,'Product Tgt'!$G:$G)*AE8/AE$60,0)</f>
        <v>1189.3720454635695</v>
      </c>
      <c r="BE8" s="10">
        <f>ROUND(IFERROR(AF8/_xlfn.XLOOKUP(BE$7,'Product Tgt'!$B:$B,'Product Tgt'!$D:$D),0),0)</f>
        <v>0</v>
      </c>
      <c r="BF8" s="11">
        <f>ROUND(IFERROR(AG8/_xlfn.XLOOKUP(BF$7,'Product Tgt'!$B:$B,'Product Tgt'!$D:$D),0),0)</f>
        <v>0</v>
      </c>
      <c r="BG8" s="11">
        <f>ROUND(IFERROR(AH8/_xlfn.XLOOKUP(BG$7,'Product Tgt'!$B:$B,'Product Tgt'!$D:$D),0),0)</f>
        <v>0</v>
      </c>
      <c r="BH8" s="11">
        <f>ROUND(IFERROR(AI8/_xlfn.XLOOKUP(BH$7,'Product Tgt'!$B:$B,'Product Tgt'!$D:$D),0),0)</f>
        <v>0</v>
      </c>
      <c r="BI8" s="11">
        <f>ROUND(IFERROR(AM8/_xlfn.XLOOKUP(BI$7,'Product Tgt'!$B:$B,'Product Tgt'!$D:$D),0),0)</f>
        <v>0</v>
      </c>
      <c r="BJ8" s="11">
        <f>ROUND(IFERROR(#REF!/_xlfn.XLOOKUP(BJ$7,'Product Tgt'!$B:$B,'Product Tgt'!$D:$D),0),0)</f>
        <v>0</v>
      </c>
      <c r="BK8" s="11">
        <f>ROUND(IFERROR(#REF!/_xlfn.XLOOKUP(BK$7,'Product Tgt'!$B:$B,'Product Tgt'!$D:$D),0),0)</f>
        <v>0</v>
      </c>
      <c r="BL8" s="11">
        <f>ROUND(IFERROR(AN8/_xlfn.XLOOKUP(BL$7,'Product Tgt'!$B:$B,'Product Tgt'!$D:$D),0),0)</f>
        <v>0</v>
      </c>
      <c r="BM8" s="11">
        <f>ROUND(IFERROR(AQ8/_xlfn.XLOOKUP(BM$7,'Product Tgt'!$B:$B,'Product Tgt'!$D:$D),0),0)</f>
        <v>0</v>
      </c>
      <c r="BN8" s="11">
        <f>ROUND(IFERROR(AR8/_xlfn.XLOOKUP(BN$7,'Product Tgt'!$B:$B,'Product Tgt'!$D:$D),0),0)</f>
        <v>0</v>
      </c>
      <c r="BO8" s="11">
        <f>ROUND(IFERROR(AS8/_xlfn.XLOOKUP(BO$7,'Product Tgt'!$B:$B,'Product Tgt'!$D:$D),0),0)</f>
        <v>0</v>
      </c>
      <c r="BP8" s="11">
        <f>ROUND(IFERROR(AT8/_xlfn.XLOOKUP(BP$7,'Product Tgt'!$B:$B,'Product Tgt'!$D:$D),0),0)</f>
        <v>0</v>
      </c>
      <c r="BQ8" s="11">
        <f>ROUND(IFERROR(AU8/_xlfn.XLOOKUP(BQ$7,'Product Tgt'!$B:$B,'Product Tgt'!$D:$D),0),0)</f>
        <v>0</v>
      </c>
      <c r="BR8" s="11">
        <f>ROUND(IFERROR(AV8/_xlfn.XLOOKUP(BR$7,'Product Tgt'!$B:$B,'Product Tgt'!$D:$D),0),0)</f>
        <v>0</v>
      </c>
      <c r="BS8" s="11">
        <f>ROUND(IFERROR(AW8/_xlfn.XLOOKUP(BS$7,'Product Tgt'!$B:$B,'Product Tgt'!$D:$D),0),0)</f>
        <v>0</v>
      </c>
      <c r="BT8" s="11">
        <f>ROUND(IFERROR(AX8/_xlfn.XLOOKUP(BT$7,'Product Tgt'!$B:$B,'Product Tgt'!$D:$D),0),0)</f>
        <v>0</v>
      </c>
      <c r="BU8" s="11">
        <f>ROUND(IFERROR(AY8/_xlfn.XLOOKUP(BU$7,'Product Tgt'!$B:$B,'Product Tgt'!$D:$D),0),0)</f>
        <v>0</v>
      </c>
      <c r="BV8" s="11">
        <f>ROUND(IFERROR(AZ8/_xlfn.XLOOKUP(BV$7,'Product Tgt'!$B:$B,'Product Tgt'!$D:$D),0),0)</f>
        <v>0</v>
      </c>
      <c r="BW8" s="11">
        <f>ROUND(IFERROR(BA8/_xlfn.XLOOKUP(BW$7,'Product Tgt'!$B:$B,'Product Tgt'!$D:$D),0),0)</f>
        <v>0</v>
      </c>
      <c r="BX8" s="11">
        <f>ROUND(IFERROR(BB8/_xlfn.XLOOKUP(BX$7,'Product Tgt'!$B:$B,'Product Tgt'!$D:$D),0),0)</f>
        <v>0</v>
      </c>
      <c r="BY8" s="11">
        <f>ROUND(IFERROR(BC8/_xlfn.XLOOKUP(BY$7,'Product Tgt'!$B:$B,'Product Tgt'!$D:$D),0),0)</f>
        <v>0</v>
      </c>
      <c r="BZ8" s="13">
        <f>ROUND(IFERROR(BD8/_xlfn.XLOOKUP(BZ$7,'Product Tgt'!$B:$B,'Product Tgt'!$D:$D),0),0)</f>
        <v>0</v>
      </c>
    </row>
    <row r="9" spans="1:78" x14ac:dyDescent="0.25">
      <c r="A9" s="4" t="s">
        <v>72</v>
      </c>
      <c r="B9" s="3">
        <f>_xlfn.XLOOKUP(A9,'Terr Target'!$A:$A,'Terr Target'!$E:$E)</f>
        <v>190803.22919385767</v>
      </c>
      <c r="C9" s="3">
        <f t="shared" si="4"/>
        <v>190802.89942366717</v>
      </c>
      <c r="D9" s="5">
        <f t="shared" ref="D9:D56" si="6">C9-B9</f>
        <v>-0.32977019049576484</v>
      </c>
      <c r="E9" s="6">
        <f t="shared" ref="E9:E56" si="7">ABS(D9)/C9</f>
        <v>1.7283290321680519E-6</v>
      </c>
      <c r="F9" s="6">
        <f t="shared" ref="F9:F56" si="8">(1-(D9/C9))</f>
        <v>1.0000017283290321</v>
      </c>
      <c r="G9" s="49">
        <v>2004.1071823284226</v>
      </c>
      <c r="H9" s="50">
        <v>5889.3779555248702</v>
      </c>
      <c r="I9" s="50">
        <v>15288.488974756077</v>
      </c>
      <c r="J9" s="50">
        <v>34697.396704397594</v>
      </c>
      <c r="K9" s="50">
        <v>3179.9585353144194</v>
      </c>
      <c r="L9" s="50">
        <v>2631.6513931770769</v>
      </c>
      <c r="M9" s="50">
        <v>0</v>
      </c>
      <c r="N9" s="50">
        <v>2504.2297574294535</v>
      </c>
      <c r="O9" s="50">
        <v>10230.60887158701</v>
      </c>
      <c r="P9" s="50">
        <v>1740.3382162244734</v>
      </c>
      <c r="Q9" s="50">
        <v>1202.5676488806048</v>
      </c>
      <c r="R9" s="50">
        <v>1489.9831203383708</v>
      </c>
      <c r="S9" s="50">
        <v>5510.7400615282168</v>
      </c>
      <c r="T9" s="50">
        <v>3483.8981928184894</v>
      </c>
      <c r="U9" s="50">
        <v>5203.3253606066828</v>
      </c>
      <c r="V9" s="50">
        <v>5346.1364743459289</v>
      </c>
      <c r="W9" s="50">
        <v>13074.521590243012</v>
      </c>
      <c r="X9" s="50">
        <v>7824.7238560039559</v>
      </c>
      <c r="Y9" s="50">
        <v>4978.7139537111761</v>
      </c>
      <c r="Z9" s="50">
        <v>46095.751871437147</v>
      </c>
      <c r="AA9" s="50">
        <v>3188.1142494574456</v>
      </c>
      <c r="AB9" s="50">
        <v>15219.636511009488</v>
      </c>
      <c r="AC9" s="50">
        <v>1669.3715669737574</v>
      </c>
      <c r="AD9" s="50">
        <v>1808.1838470822456</v>
      </c>
      <c r="AE9" s="51">
        <v>306.01890119963286</v>
      </c>
      <c r="AF9" s="42">
        <f>IFERROR(_xlfn.XLOOKUP(AF$7,'Product Tgt'!$B:$B,'Product Tgt'!$G:$G)*G9/G$60,0)</f>
        <v>2018.9043755568807</v>
      </c>
      <c r="AG9" s="42">
        <f>IFERROR(_xlfn.XLOOKUP(AG$7,'Product Tgt'!$B:$B,'Product Tgt'!$G:$G)*H9/H$60,0)</f>
        <v>6029.822580918757</v>
      </c>
      <c r="AH9" s="42">
        <f>IFERROR(_xlfn.XLOOKUP(AH$7,'Product Tgt'!$B:$B,'Product Tgt'!$G:$G)*I9/I$60,0)</f>
        <v>15267.970988439563</v>
      </c>
      <c r="AI9" s="42">
        <f>IFERROR(_xlfn.XLOOKUP(AI$7,'Product Tgt'!$B:$B,'Product Tgt'!$G:$G)*J9/J$60,0)</f>
        <v>34548.040752991066</v>
      </c>
      <c r="AJ9" s="42">
        <f>IFERROR(_xlfn.XLOOKUP(AJ$7,'Product Tgt'!$B:$B,'Product Tgt'!$G:$G)*K9/K$60,0)</f>
        <v>3127.7689548590092</v>
      </c>
      <c r="AK9" s="42">
        <f>IFERROR(_xlfn.XLOOKUP(AK$7,'Product Tgt'!$B:$B,'Product Tgt'!$G:$G)*L9/L$60,0)</f>
        <v>2708.4332700635023</v>
      </c>
      <c r="AL9" s="42">
        <f>IFERROR(_xlfn.XLOOKUP(AL$7,'Product Tgt'!$B:$B,'Product Tgt'!$G:$G)*M9/M$60,0)</f>
        <v>0</v>
      </c>
      <c r="AM9" s="42">
        <f>IFERROR(_xlfn.XLOOKUP(AM$7,'Product Tgt'!$B:$B,'Product Tgt'!$G:$G)*N9/N$60,0)</f>
        <v>2487.5201140984236</v>
      </c>
      <c r="AN9" s="42">
        <f>IFERROR(_xlfn.XLOOKUP(AN$7,'Product Tgt'!$B:$B,'Product Tgt'!$G:$G)*O9/O$60,0)</f>
        <v>11157.722328600228</v>
      </c>
      <c r="AO9" s="42">
        <f>IFERROR(_xlfn.XLOOKUP(AO$7,'Product Tgt'!$B:$B,'Product Tgt'!$G:$G)*P9/P$60,0)</f>
        <v>1668.6736212445999</v>
      </c>
      <c r="AP9" s="42">
        <f>IFERROR(_xlfn.XLOOKUP(AP$7,'Product Tgt'!$B:$B,'Product Tgt'!$G:$G)*Q9/Q$60,0)</f>
        <v>914.13167508050185</v>
      </c>
      <c r="AQ9" s="42">
        <f>IFERROR(_xlfn.XLOOKUP(AQ$7,'Product Tgt'!$B:$B,'Product Tgt'!$G:$G)*R9/R$60,0)</f>
        <v>1243.2397123457795</v>
      </c>
      <c r="AR9" s="42">
        <f>IFERROR(_xlfn.XLOOKUP(AR$7,'Product Tgt'!$B:$B,'Product Tgt'!$G:$G)*S9/S$60,0)</f>
        <v>5336.82505257909</v>
      </c>
      <c r="AS9" s="42">
        <f>IFERROR(_xlfn.XLOOKUP(AS$7,'Product Tgt'!$B:$B,'Product Tgt'!$G:$G)*T9/T$60,0)</f>
        <v>3162.5673599488664</v>
      </c>
      <c r="AT9" s="42">
        <f>IFERROR(_xlfn.XLOOKUP(AT$7,'Product Tgt'!$B:$B,'Product Tgt'!$G:$G)*U9/U$60,0)</f>
        <v>4443.0697814155819</v>
      </c>
      <c r="AU9" s="42">
        <f>IFERROR(_xlfn.XLOOKUP(AU$7,'Product Tgt'!$B:$B,'Product Tgt'!$G:$G)*V9/V$60,0)</f>
        <v>5633.4227469430516</v>
      </c>
      <c r="AV9" s="42">
        <f>IFERROR(_xlfn.XLOOKUP(AV$7,'Product Tgt'!$B:$B,'Product Tgt'!$G:$G)*W9/W$60,0)</f>
        <v>12603.047528579604</v>
      </c>
      <c r="AW9" s="42">
        <f>IFERROR(_xlfn.XLOOKUP(AW$7,'Product Tgt'!$B:$B,'Product Tgt'!$G:$G)*X9/X$60,0)</f>
        <v>8071.8961604257029</v>
      </c>
      <c r="AX9" s="42">
        <f>IFERROR(_xlfn.XLOOKUP(AX$7,'Product Tgt'!$B:$B,'Product Tgt'!$G:$G)*Y9/Y$60,0)</f>
        <v>4791.369960169689</v>
      </c>
      <c r="AY9" s="42">
        <f>IFERROR(_xlfn.XLOOKUP(AY$7,'Product Tgt'!$B:$B,'Product Tgt'!$G:$G)*Z9/Z$60,0)</f>
        <v>44395.399881348407</v>
      </c>
      <c r="AZ9" s="42">
        <f>IFERROR(_xlfn.XLOOKUP(AZ$7,'Product Tgt'!$B:$B,'Product Tgt'!$G:$G)*AA9/AA$60,0)</f>
        <v>3186.3962063825934</v>
      </c>
      <c r="BA9" s="42">
        <f>IFERROR(_xlfn.XLOOKUP(BA$7,'Product Tgt'!$B:$B,'Product Tgt'!$G:$G)*AB9/AB$60,0)</f>
        <v>14216.09929073819</v>
      </c>
      <c r="BB9" s="42">
        <f>IFERROR(_xlfn.XLOOKUP(BB$7,'Product Tgt'!$B:$B,'Product Tgt'!$G:$G)*AC9/AC$60,0)</f>
        <v>1672.461295612977</v>
      </c>
      <c r="BC9" s="42">
        <f>IFERROR(_xlfn.XLOOKUP(BC$7,'Product Tgt'!$B:$B,'Product Tgt'!$G:$G)*AD9/AD$60,0)</f>
        <v>1811.5304941246609</v>
      </c>
      <c r="BD9" s="42">
        <f>IFERROR(_xlfn.XLOOKUP(BD$7,'Product Tgt'!$B:$B,'Product Tgt'!$G:$G)*AE9/AE$60,0)</f>
        <v>306.58529120044784</v>
      </c>
      <c r="BE9" s="10">
        <f>ROUND(IFERROR(AF9/_xlfn.XLOOKUP(BE$7,'Product Tgt'!$B:$B,'Product Tgt'!$D:$D),0),0)</f>
        <v>0</v>
      </c>
      <c r="BF9" s="11">
        <f>ROUND(IFERROR(AG9/_xlfn.XLOOKUP(BF$7,'Product Tgt'!$B:$B,'Product Tgt'!$D:$D),0),0)</f>
        <v>0</v>
      </c>
      <c r="BG9" s="11">
        <f>ROUND(IFERROR(AH9/_xlfn.XLOOKUP(BG$7,'Product Tgt'!$B:$B,'Product Tgt'!$D:$D),0),0)</f>
        <v>0</v>
      </c>
      <c r="BH9" s="11">
        <f>ROUND(IFERROR(AI9/_xlfn.XLOOKUP(BH$7,'Product Tgt'!$B:$B,'Product Tgt'!$D:$D),0),0)</f>
        <v>0</v>
      </c>
      <c r="BI9" s="11">
        <f>ROUND(IFERROR(AM9/_xlfn.XLOOKUP(BI$7,'Product Tgt'!$B:$B,'Product Tgt'!$D:$D),0),0)</f>
        <v>0</v>
      </c>
      <c r="BJ9" s="11">
        <f>ROUND(IFERROR(#REF!/_xlfn.XLOOKUP(BJ$7,'Product Tgt'!$B:$B,'Product Tgt'!$D:$D),0),0)</f>
        <v>0</v>
      </c>
      <c r="BK9" s="11">
        <f>ROUND(IFERROR(#REF!/_xlfn.XLOOKUP(BK$7,'Product Tgt'!$B:$B,'Product Tgt'!$D:$D),0),0)</f>
        <v>0</v>
      </c>
      <c r="BL9" s="11">
        <f>ROUND(IFERROR(AN9/_xlfn.XLOOKUP(BL$7,'Product Tgt'!$B:$B,'Product Tgt'!$D:$D),0),0)</f>
        <v>0</v>
      </c>
      <c r="BM9" s="11">
        <f>ROUND(IFERROR(AQ9/_xlfn.XLOOKUP(BM$7,'Product Tgt'!$B:$B,'Product Tgt'!$D:$D),0),0)</f>
        <v>0</v>
      </c>
      <c r="BN9" s="11">
        <f>ROUND(IFERROR(AR9/_xlfn.XLOOKUP(BN$7,'Product Tgt'!$B:$B,'Product Tgt'!$D:$D),0),0)</f>
        <v>0</v>
      </c>
      <c r="BO9" s="11">
        <f>ROUND(IFERROR(AS9/_xlfn.XLOOKUP(BO$7,'Product Tgt'!$B:$B,'Product Tgt'!$D:$D),0),0)</f>
        <v>0</v>
      </c>
      <c r="BP9" s="11">
        <f>ROUND(IFERROR(AT9/_xlfn.XLOOKUP(BP$7,'Product Tgt'!$B:$B,'Product Tgt'!$D:$D),0),0)</f>
        <v>0</v>
      </c>
      <c r="BQ9" s="11">
        <f>ROUND(IFERROR(AU9/_xlfn.XLOOKUP(BQ$7,'Product Tgt'!$B:$B,'Product Tgt'!$D:$D),0),0)</f>
        <v>0</v>
      </c>
      <c r="BR9" s="11">
        <f>ROUND(IFERROR(AV9/_xlfn.XLOOKUP(BR$7,'Product Tgt'!$B:$B,'Product Tgt'!$D:$D),0),0)</f>
        <v>0</v>
      </c>
      <c r="BS9" s="11">
        <f>ROUND(IFERROR(AW9/_xlfn.XLOOKUP(BS$7,'Product Tgt'!$B:$B,'Product Tgt'!$D:$D),0),0)</f>
        <v>0</v>
      </c>
      <c r="BT9" s="11">
        <f>ROUND(IFERROR(AX9/_xlfn.XLOOKUP(BT$7,'Product Tgt'!$B:$B,'Product Tgt'!$D:$D),0),0)</f>
        <v>0</v>
      </c>
      <c r="BU9" s="11">
        <f>ROUND(IFERROR(AY9/_xlfn.XLOOKUP(BU$7,'Product Tgt'!$B:$B,'Product Tgt'!$D:$D),0),0)</f>
        <v>0</v>
      </c>
      <c r="BV9" s="11">
        <f>ROUND(IFERROR(AZ9/_xlfn.XLOOKUP(BV$7,'Product Tgt'!$B:$B,'Product Tgt'!$D:$D),0),0)</f>
        <v>0</v>
      </c>
      <c r="BW9" s="11">
        <f>ROUND(IFERROR(BA9/_xlfn.XLOOKUP(BW$7,'Product Tgt'!$B:$B,'Product Tgt'!$D:$D),0),0)</f>
        <v>0</v>
      </c>
      <c r="BX9" s="11">
        <f>ROUND(IFERROR(BB9/_xlfn.XLOOKUP(BX$7,'Product Tgt'!$B:$B,'Product Tgt'!$D:$D),0),0)</f>
        <v>0</v>
      </c>
      <c r="BY9" s="11">
        <f>ROUND(IFERROR(BC9/_xlfn.XLOOKUP(BY$7,'Product Tgt'!$B:$B,'Product Tgt'!$D:$D),0),0)</f>
        <v>0</v>
      </c>
      <c r="BZ9" s="13">
        <f>ROUND(IFERROR(BD9/_xlfn.XLOOKUP(BZ$7,'Product Tgt'!$B:$B,'Product Tgt'!$D:$D),0),0)</f>
        <v>0</v>
      </c>
    </row>
    <row r="10" spans="1:78" x14ac:dyDescent="0.25">
      <c r="A10" s="4" t="s">
        <v>73</v>
      </c>
      <c r="B10" s="3">
        <f>_xlfn.XLOOKUP(A10,'Terr Target'!$A:$A,'Terr Target'!$E:$E)</f>
        <v>367688.38101800304</v>
      </c>
      <c r="C10" s="3">
        <f t="shared" si="4"/>
        <v>367687.96117741644</v>
      </c>
      <c r="D10" s="5">
        <f t="shared" si="6"/>
        <v>-0.41984058660455048</v>
      </c>
      <c r="E10" s="6">
        <f t="shared" si="7"/>
        <v>1.1418393609084455E-6</v>
      </c>
      <c r="F10" s="6">
        <f t="shared" si="8"/>
        <v>1.0000011418393608</v>
      </c>
      <c r="G10" s="49">
        <v>8380.4443052617135</v>
      </c>
      <c r="H10" s="50">
        <v>13411.906222607782</v>
      </c>
      <c r="I10" s="50">
        <v>55180.437788824114</v>
      </c>
      <c r="J10" s="50">
        <v>105201.49949355479</v>
      </c>
      <c r="K10" s="50">
        <v>9853.6647250250298</v>
      </c>
      <c r="L10" s="50">
        <v>10580.164776573542</v>
      </c>
      <c r="M10" s="50">
        <v>0</v>
      </c>
      <c r="N10" s="50">
        <v>5706.5039845568845</v>
      </c>
      <c r="O10" s="50">
        <v>7888.7962766483624</v>
      </c>
      <c r="P10" s="50">
        <v>2320.7097339965235</v>
      </c>
      <c r="Q10" s="50">
        <v>0</v>
      </c>
      <c r="R10" s="50">
        <v>6717.9028547774151</v>
      </c>
      <c r="S10" s="50">
        <v>12901.852262672073</v>
      </c>
      <c r="T10" s="50">
        <v>4015.9806801016844</v>
      </c>
      <c r="U10" s="50">
        <v>15297.304592920122</v>
      </c>
      <c r="V10" s="50">
        <v>8292.0333394192185</v>
      </c>
      <c r="W10" s="50">
        <v>11582.1792425985</v>
      </c>
      <c r="X10" s="50">
        <v>9647.8932671857074</v>
      </c>
      <c r="Y10" s="50">
        <v>7842.0456142863177</v>
      </c>
      <c r="Z10" s="50">
        <v>43670.047726333949</v>
      </c>
      <c r="AA10" s="50">
        <v>4012.7349463197575</v>
      </c>
      <c r="AB10" s="50">
        <v>23232.478574943165</v>
      </c>
      <c r="AC10" s="50">
        <v>3787.7991581550441</v>
      </c>
      <c r="AD10" s="50">
        <v>4102.7638120036017</v>
      </c>
      <c r="AE10" s="51">
        <v>694.35598357817412</v>
      </c>
      <c r="AF10" s="42">
        <f>IFERROR(_xlfn.XLOOKUP(AF$7,'Product Tgt'!$B:$B,'Product Tgt'!$G:$G)*G10/G$60,0)</f>
        <v>8442.3207631771111</v>
      </c>
      <c r="AG10" s="42">
        <f>IFERROR(_xlfn.XLOOKUP(AG$7,'Product Tgt'!$B:$B,'Product Tgt'!$G:$G)*H10/H$60,0)</f>
        <v>13731.741383379735</v>
      </c>
      <c r="AH10" s="42">
        <f>IFERROR(_xlfn.XLOOKUP(AH$7,'Product Tgt'!$B:$B,'Product Tgt'!$G:$G)*I10/I$60,0)</f>
        <v>55106.382630766318</v>
      </c>
      <c r="AI10" s="42">
        <f>IFERROR(_xlfn.XLOOKUP(AI$7,'Product Tgt'!$B:$B,'Product Tgt'!$G:$G)*J10/J$60,0)</f>
        <v>104748.65658490331</v>
      </c>
      <c r="AJ10" s="42">
        <f>IFERROR(_xlfn.XLOOKUP(AJ$7,'Product Tgt'!$B:$B,'Product Tgt'!$G:$G)*K10/K$60,0)</f>
        <v>9691.9460666726227</v>
      </c>
      <c r="AK10" s="42">
        <f>IFERROR(_xlfn.XLOOKUP(AK$7,'Product Tgt'!$B:$B,'Product Tgt'!$G:$G)*L10/L$60,0)</f>
        <v>10888.854944055121</v>
      </c>
      <c r="AL10" s="42">
        <f>IFERROR(_xlfn.XLOOKUP(AL$7,'Product Tgt'!$B:$B,'Product Tgt'!$G:$G)*M10/M$60,0)</f>
        <v>0</v>
      </c>
      <c r="AM10" s="42">
        <f>IFERROR(_xlfn.XLOOKUP(AM$7,'Product Tgt'!$B:$B,'Product Tgt'!$G:$G)*N10/N$60,0)</f>
        <v>5668.4269487073771</v>
      </c>
      <c r="AN10" s="42">
        <f>IFERROR(_xlfn.XLOOKUP(AN$7,'Product Tgt'!$B:$B,'Product Tgt'!$G:$G)*O10/O$60,0)</f>
        <v>8603.691086871122</v>
      </c>
      <c r="AO10" s="42">
        <f>IFERROR(_xlfn.XLOOKUP(AO$7,'Product Tgt'!$B:$B,'Product Tgt'!$G:$G)*P10/P$60,0)</f>
        <v>2225.1462845461556</v>
      </c>
      <c r="AP10" s="42">
        <f>IFERROR(_xlfn.XLOOKUP(AP$7,'Product Tgt'!$B:$B,'Product Tgt'!$G:$G)*Q10/Q$60,0)</f>
        <v>0</v>
      </c>
      <c r="AQ10" s="42">
        <f>IFERROR(_xlfn.XLOOKUP(AQ$7,'Product Tgt'!$B:$B,'Product Tgt'!$G:$G)*R10/R$60,0)</f>
        <v>5605.4082081437655</v>
      </c>
      <c r="AR10" s="42">
        <f>IFERROR(_xlfn.XLOOKUP(AR$7,'Product Tgt'!$B:$B,'Product Tgt'!$G:$G)*S10/S$60,0)</f>
        <v>12494.679046975038</v>
      </c>
      <c r="AS10" s="42">
        <f>IFERROR(_xlfn.XLOOKUP(AS$7,'Product Tgt'!$B:$B,'Product Tgt'!$G:$G)*T10/T$60,0)</f>
        <v>3645.5742143256562</v>
      </c>
      <c r="AT10" s="42">
        <f>IFERROR(_xlfn.XLOOKUP(AT$7,'Product Tgt'!$B:$B,'Product Tgt'!$G:$G)*U10/U$60,0)</f>
        <v>13062.222149027513</v>
      </c>
      <c r="AU10" s="42">
        <f>IFERROR(_xlfn.XLOOKUP(AU$7,'Product Tgt'!$B:$B,'Product Tgt'!$G:$G)*V10/V$60,0)</f>
        <v>8737.6237881038032</v>
      </c>
      <c r="AV10" s="42">
        <f>IFERROR(_xlfn.XLOOKUP(AV$7,'Product Tgt'!$B:$B,'Product Tgt'!$G:$G)*W10/W$60,0)</f>
        <v>11164.519823649158</v>
      </c>
      <c r="AW10" s="42">
        <f>IFERROR(_xlfn.XLOOKUP(AW$7,'Product Tgt'!$B:$B,'Product Tgt'!$G:$G)*X10/X$60,0)</f>
        <v>9952.6569950245575</v>
      </c>
      <c r="AX10" s="42">
        <f>IFERROR(_xlfn.XLOOKUP(AX$7,'Product Tgt'!$B:$B,'Product Tgt'!$G:$G)*Y10/Y$60,0)</f>
        <v>7546.9573331409874</v>
      </c>
      <c r="AY10" s="42">
        <f>IFERROR(_xlfn.XLOOKUP(AY$7,'Product Tgt'!$B:$B,'Product Tgt'!$G:$G)*Z10/Z$60,0)</f>
        <v>42059.173631778758</v>
      </c>
      <c r="AZ10" s="42">
        <f>IFERROR(_xlfn.XLOOKUP(AZ$7,'Product Tgt'!$B:$B,'Product Tgt'!$G:$G)*AA10/AA$60,0)</f>
        <v>4010.5725233492144</v>
      </c>
      <c r="BA10" s="42">
        <f>IFERROR(_xlfn.XLOOKUP(BA$7,'Product Tgt'!$B:$B,'Product Tgt'!$G:$G)*AB10/AB$60,0)</f>
        <v>21700.598562418178</v>
      </c>
      <c r="BB10" s="42">
        <f>IFERROR(_xlfn.XLOOKUP(BB$7,'Product Tgt'!$B:$B,'Product Tgt'!$G:$G)*AC10/AC$60,0)</f>
        <v>3794.8097433178064</v>
      </c>
      <c r="BC10" s="42">
        <f>IFERROR(_xlfn.XLOOKUP(BC$7,'Product Tgt'!$B:$B,'Product Tgt'!$G:$G)*AD10/AD$60,0)</f>
        <v>4110.3573442648958</v>
      </c>
      <c r="BD10" s="42">
        <f>IFERROR(_xlfn.XLOOKUP(BD$7,'Product Tgt'!$B:$B,'Product Tgt'!$G:$G)*AE10/AE$60,0)</f>
        <v>695.64112081826954</v>
      </c>
      <c r="BE10" s="10">
        <f>ROUND(IFERROR(AF10/_xlfn.XLOOKUP(BE$7,'Product Tgt'!$B:$B,'Product Tgt'!$D:$D),0),0)</f>
        <v>0</v>
      </c>
      <c r="BF10" s="11">
        <f>ROUND(IFERROR(AG10/_xlfn.XLOOKUP(BF$7,'Product Tgt'!$B:$B,'Product Tgt'!$D:$D),0),0)</f>
        <v>0</v>
      </c>
      <c r="BG10" s="11">
        <f>ROUND(IFERROR(AH10/_xlfn.XLOOKUP(BG$7,'Product Tgt'!$B:$B,'Product Tgt'!$D:$D),0),0)</f>
        <v>0</v>
      </c>
      <c r="BH10" s="11">
        <f>ROUND(IFERROR(AI10/_xlfn.XLOOKUP(BH$7,'Product Tgt'!$B:$B,'Product Tgt'!$D:$D),0),0)</f>
        <v>0</v>
      </c>
      <c r="BI10" s="11">
        <f>ROUND(IFERROR(AM10/_xlfn.XLOOKUP(BI$7,'Product Tgt'!$B:$B,'Product Tgt'!$D:$D),0),0)</f>
        <v>0</v>
      </c>
      <c r="BJ10" s="11">
        <f>ROUND(IFERROR(#REF!/_xlfn.XLOOKUP(BJ$7,'Product Tgt'!$B:$B,'Product Tgt'!$D:$D),0),0)</f>
        <v>0</v>
      </c>
      <c r="BK10" s="11">
        <f>ROUND(IFERROR(#REF!/_xlfn.XLOOKUP(BK$7,'Product Tgt'!$B:$B,'Product Tgt'!$D:$D),0),0)</f>
        <v>0</v>
      </c>
      <c r="BL10" s="11">
        <f>ROUND(IFERROR(AN10/_xlfn.XLOOKUP(BL$7,'Product Tgt'!$B:$B,'Product Tgt'!$D:$D),0),0)</f>
        <v>0</v>
      </c>
      <c r="BM10" s="11">
        <f>ROUND(IFERROR(AQ10/_xlfn.XLOOKUP(BM$7,'Product Tgt'!$B:$B,'Product Tgt'!$D:$D),0),0)</f>
        <v>0</v>
      </c>
      <c r="BN10" s="11">
        <f>ROUND(IFERROR(AR10/_xlfn.XLOOKUP(BN$7,'Product Tgt'!$B:$B,'Product Tgt'!$D:$D),0),0)</f>
        <v>0</v>
      </c>
      <c r="BO10" s="11">
        <f>ROUND(IFERROR(AS10/_xlfn.XLOOKUP(BO$7,'Product Tgt'!$B:$B,'Product Tgt'!$D:$D),0),0)</f>
        <v>0</v>
      </c>
      <c r="BP10" s="11">
        <f>ROUND(IFERROR(AT10/_xlfn.XLOOKUP(BP$7,'Product Tgt'!$B:$B,'Product Tgt'!$D:$D),0),0)</f>
        <v>0</v>
      </c>
      <c r="BQ10" s="11">
        <f>ROUND(IFERROR(AU10/_xlfn.XLOOKUP(BQ$7,'Product Tgt'!$B:$B,'Product Tgt'!$D:$D),0),0)</f>
        <v>0</v>
      </c>
      <c r="BR10" s="11">
        <f>ROUND(IFERROR(AV10/_xlfn.XLOOKUP(BR$7,'Product Tgt'!$B:$B,'Product Tgt'!$D:$D),0),0)</f>
        <v>0</v>
      </c>
      <c r="BS10" s="11">
        <f>ROUND(IFERROR(AW10/_xlfn.XLOOKUP(BS$7,'Product Tgt'!$B:$B,'Product Tgt'!$D:$D),0),0)</f>
        <v>0</v>
      </c>
      <c r="BT10" s="11">
        <f>ROUND(IFERROR(AX10/_xlfn.XLOOKUP(BT$7,'Product Tgt'!$B:$B,'Product Tgt'!$D:$D),0),0)</f>
        <v>0</v>
      </c>
      <c r="BU10" s="11">
        <f>ROUND(IFERROR(AY10/_xlfn.XLOOKUP(BU$7,'Product Tgt'!$B:$B,'Product Tgt'!$D:$D),0),0)</f>
        <v>0</v>
      </c>
      <c r="BV10" s="11">
        <f>ROUND(IFERROR(AZ10/_xlfn.XLOOKUP(BV$7,'Product Tgt'!$B:$B,'Product Tgt'!$D:$D),0),0)</f>
        <v>0</v>
      </c>
      <c r="BW10" s="11">
        <f>ROUND(IFERROR(BA10/_xlfn.XLOOKUP(BW$7,'Product Tgt'!$B:$B,'Product Tgt'!$D:$D),0),0)</f>
        <v>0</v>
      </c>
      <c r="BX10" s="11">
        <f>ROUND(IFERROR(BB10/_xlfn.XLOOKUP(BX$7,'Product Tgt'!$B:$B,'Product Tgt'!$D:$D),0),0)</f>
        <v>0</v>
      </c>
      <c r="BY10" s="11">
        <f>ROUND(IFERROR(BC10/_xlfn.XLOOKUP(BY$7,'Product Tgt'!$B:$B,'Product Tgt'!$D:$D),0),0)</f>
        <v>0</v>
      </c>
      <c r="BZ10" s="13">
        <f>ROUND(IFERROR(BD10/_xlfn.XLOOKUP(BZ$7,'Product Tgt'!$B:$B,'Product Tgt'!$D:$D),0),0)</f>
        <v>0</v>
      </c>
    </row>
    <row r="11" spans="1:78" x14ac:dyDescent="0.25">
      <c r="A11" s="4" t="s">
        <v>49</v>
      </c>
      <c r="B11" s="3">
        <f>_xlfn.XLOOKUP(A11,'Terr Target'!$A:$A,'Terr Target'!$E:$E)</f>
        <v>491068.85771679704</v>
      </c>
      <c r="C11" s="3">
        <f t="shared" si="4"/>
        <v>491068.52133725362</v>
      </c>
      <c r="D11" s="5">
        <f t="shared" si="6"/>
        <v>-0.33637954341247678</v>
      </c>
      <c r="E11" s="6">
        <f t="shared" si="7"/>
        <v>6.8499512552029306E-7</v>
      </c>
      <c r="F11" s="6">
        <f t="shared" si="8"/>
        <v>1.0000006849951255</v>
      </c>
      <c r="G11" s="49">
        <v>13473.576727126409</v>
      </c>
      <c r="H11" s="50">
        <v>18526.024114316166</v>
      </c>
      <c r="I11" s="50">
        <v>86987.557531173137</v>
      </c>
      <c r="J11" s="50">
        <v>124920.34506441058</v>
      </c>
      <c r="K11" s="50">
        <v>28798.887047604861</v>
      </c>
      <c r="L11" s="50">
        <v>7944.4204706077135</v>
      </c>
      <c r="M11" s="50">
        <v>0</v>
      </c>
      <c r="N11" s="50">
        <v>5946.519245734853</v>
      </c>
      <c r="O11" s="50">
        <v>6975.4480856865102</v>
      </c>
      <c r="P11" s="50">
        <v>2146.9715896088437</v>
      </c>
      <c r="Q11" s="50">
        <v>3191.455075823827</v>
      </c>
      <c r="R11" s="50">
        <v>2589.137933677333</v>
      </c>
      <c r="S11" s="50">
        <v>27268.275823248972</v>
      </c>
      <c r="T11" s="50">
        <v>12261.885798293109</v>
      </c>
      <c r="U11" s="50">
        <v>18779.182488377966</v>
      </c>
      <c r="V11" s="50">
        <v>4558.4322222435121</v>
      </c>
      <c r="W11" s="50">
        <v>14679.812519400175</v>
      </c>
      <c r="X11" s="50">
        <v>14740.439605897578</v>
      </c>
      <c r="Y11" s="50">
        <v>9666.9323887605678</v>
      </c>
      <c r="Z11" s="50">
        <v>41928.630020682671</v>
      </c>
      <c r="AA11" s="50">
        <v>9260.0292485438767</v>
      </c>
      <c r="AB11" s="50">
        <v>30373.599797981475</v>
      </c>
      <c r="AC11" s="50">
        <v>6855.9100294826903</v>
      </c>
      <c r="AD11" s="50">
        <v>7425.995516883414</v>
      </c>
      <c r="AE11" s="51">
        <v>1256.7831484929186</v>
      </c>
      <c r="AF11" s="42">
        <f>IFERROR(_xlfn.XLOOKUP(AF$7,'Product Tgt'!$B:$B,'Product Tgt'!$G:$G)*G11/G$60,0)</f>
        <v>13573.057992433842</v>
      </c>
      <c r="AG11" s="42">
        <f>IFERROR(_xlfn.XLOOKUP(AG$7,'Product Tgt'!$B:$B,'Product Tgt'!$G:$G)*H11/H$60,0)</f>
        <v>18967.816190902522</v>
      </c>
      <c r="AH11" s="42">
        <f>IFERROR(_xlfn.XLOOKUP(AH$7,'Product Tgt'!$B:$B,'Product Tgt'!$G:$G)*I11/I$60,0)</f>
        <v>86870.815483082013</v>
      </c>
      <c r="AI11" s="42">
        <f>IFERROR(_xlfn.XLOOKUP(AI$7,'Product Tgt'!$B:$B,'Product Tgt'!$G:$G)*J11/J$60,0)</f>
        <v>124382.62181254591</v>
      </c>
      <c r="AJ11" s="42">
        <f>IFERROR(_xlfn.XLOOKUP(AJ$7,'Product Tgt'!$B:$B,'Product Tgt'!$G:$G)*K11/K$60,0)</f>
        <v>28326.238798923016</v>
      </c>
      <c r="AK11" s="42">
        <f>IFERROR(_xlfn.XLOOKUP(AK$7,'Product Tgt'!$B:$B,'Product Tgt'!$G:$G)*L11/L$60,0)</f>
        <v>8176.2093451104975</v>
      </c>
      <c r="AL11" s="42">
        <f>IFERROR(_xlfn.XLOOKUP(AL$7,'Product Tgt'!$B:$B,'Product Tgt'!$G:$G)*M11/M$60,0)</f>
        <v>0</v>
      </c>
      <c r="AM11" s="42">
        <f>IFERROR(_xlfn.XLOOKUP(AM$7,'Product Tgt'!$B:$B,'Product Tgt'!$G:$G)*N11/N$60,0)</f>
        <v>5906.8406917353468</v>
      </c>
      <c r="AN11" s="42">
        <f>IFERROR(_xlfn.XLOOKUP(AN$7,'Product Tgt'!$B:$B,'Product Tgt'!$G:$G)*O11/O$60,0)</f>
        <v>7607.5738829005595</v>
      </c>
      <c r="AO11" s="42">
        <f>IFERROR(_xlfn.XLOOKUP(AO$7,'Product Tgt'!$B:$B,'Product Tgt'!$G:$G)*P11/P$60,0)</f>
        <v>2058.5624240982429</v>
      </c>
      <c r="AP11" s="42">
        <f>IFERROR(_xlfn.XLOOKUP(AP$7,'Product Tgt'!$B:$B,'Product Tgt'!$G:$G)*Q11/Q$60,0)</f>
        <v>2425.9842488883182</v>
      </c>
      <c r="AQ11" s="42">
        <f>IFERROR(_xlfn.XLOOKUP(AQ$7,'Product Tgt'!$B:$B,'Product Tgt'!$G:$G)*R11/R$60,0)</f>
        <v>2160.3728632560255</v>
      </c>
      <c r="AR11" s="42">
        <f>IFERROR(_xlfn.XLOOKUP(AR$7,'Product Tgt'!$B:$B,'Product Tgt'!$G:$G)*S11/S$60,0)</f>
        <v>26407.708570778628</v>
      </c>
      <c r="AS11" s="42">
        <f>IFERROR(_xlfn.XLOOKUP(AS$7,'Product Tgt'!$B:$B,'Product Tgt'!$G:$G)*T11/T$60,0)</f>
        <v>11130.933698648043</v>
      </c>
      <c r="AT11" s="42">
        <f>IFERROR(_xlfn.XLOOKUP(AT$7,'Product Tgt'!$B:$B,'Product Tgt'!$G:$G)*U11/U$60,0)</f>
        <v>16035.364397061734</v>
      </c>
      <c r="AU11" s="42">
        <f>IFERROR(_xlfn.XLOOKUP(AU$7,'Product Tgt'!$B:$B,'Product Tgt'!$G:$G)*V11/V$60,0)</f>
        <v>4803.3894934054279</v>
      </c>
      <c r="AV11" s="42">
        <f>IFERROR(_xlfn.XLOOKUP(AV$7,'Product Tgt'!$B:$B,'Product Tgt'!$G:$G)*W11/W$60,0)</f>
        <v>14150.450830315971</v>
      </c>
      <c r="AW11" s="42">
        <f>IFERROR(_xlfn.XLOOKUP(AW$7,'Product Tgt'!$B:$B,'Product Tgt'!$G:$G)*X11/X$60,0)</f>
        <v>15206.069894279404</v>
      </c>
      <c r="AX11" s="42">
        <f>IFERROR(_xlfn.XLOOKUP(AX$7,'Product Tgt'!$B:$B,'Product Tgt'!$G:$G)*Y11/Y$60,0)</f>
        <v>9303.1754555758471</v>
      </c>
      <c r="AY11" s="42">
        <f>IFERROR(_xlfn.XLOOKUP(AY$7,'Product Tgt'!$B:$B,'Product Tgt'!$G:$G)*Z11/Z$60,0)</f>
        <v>40381.992280697385</v>
      </c>
      <c r="AZ11" s="42">
        <f>IFERROR(_xlfn.XLOOKUP(AZ$7,'Product Tgt'!$B:$B,'Product Tgt'!$G:$G)*AA11/AA$60,0)</f>
        <v>9255.0391108390886</v>
      </c>
      <c r="BA11" s="42">
        <f>IFERROR(_xlfn.XLOOKUP(BA$7,'Product Tgt'!$B:$B,'Product Tgt'!$G:$G)*AB11/AB$60,0)</f>
        <v>28370.855653017828</v>
      </c>
      <c r="BB11" s="42">
        <f>IFERROR(_xlfn.XLOOKUP(BB$7,'Product Tgt'!$B:$B,'Product Tgt'!$G:$G)*AC11/AC$60,0)</f>
        <v>6868.5991766953775</v>
      </c>
      <c r="BC11" s="42">
        <f>IFERROR(_xlfn.XLOOKUP(BC$7,'Product Tgt'!$B:$B,'Product Tgt'!$G:$G)*AD11/AD$60,0)</f>
        <v>7439.7397973522766</v>
      </c>
      <c r="BD11" s="42">
        <f>IFERROR(_xlfn.XLOOKUP(BD$7,'Product Tgt'!$B:$B,'Product Tgt'!$G:$G)*AE11/AE$60,0)</f>
        <v>1259.1092447102069</v>
      </c>
      <c r="BE11" s="10">
        <f>ROUND(IFERROR(AF11/_xlfn.XLOOKUP(BE$7,'Product Tgt'!$B:$B,'Product Tgt'!$D:$D),0),0)</f>
        <v>0</v>
      </c>
      <c r="BF11" s="11">
        <f>ROUND(IFERROR(AG11/_xlfn.XLOOKUP(BF$7,'Product Tgt'!$B:$B,'Product Tgt'!$D:$D),0),0)</f>
        <v>0</v>
      </c>
      <c r="BG11" s="11">
        <f>ROUND(IFERROR(AH11/_xlfn.XLOOKUP(BG$7,'Product Tgt'!$B:$B,'Product Tgt'!$D:$D),0),0)</f>
        <v>0</v>
      </c>
      <c r="BH11" s="11">
        <f>ROUND(IFERROR(AI11/_xlfn.XLOOKUP(BH$7,'Product Tgt'!$B:$B,'Product Tgt'!$D:$D),0),0)</f>
        <v>0</v>
      </c>
      <c r="BI11" s="11">
        <f>ROUND(IFERROR(AM11/_xlfn.XLOOKUP(BI$7,'Product Tgt'!$B:$B,'Product Tgt'!$D:$D),0),0)</f>
        <v>0</v>
      </c>
      <c r="BJ11" s="11">
        <f>ROUND(IFERROR(#REF!/_xlfn.XLOOKUP(BJ$7,'Product Tgt'!$B:$B,'Product Tgt'!$D:$D),0),0)</f>
        <v>0</v>
      </c>
      <c r="BK11" s="11">
        <f>ROUND(IFERROR(#REF!/_xlfn.XLOOKUP(BK$7,'Product Tgt'!$B:$B,'Product Tgt'!$D:$D),0),0)</f>
        <v>0</v>
      </c>
      <c r="BL11" s="11">
        <f>ROUND(IFERROR(AN11/_xlfn.XLOOKUP(BL$7,'Product Tgt'!$B:$B,'Product Tgt'!$D:$D),0),0)</f>
        <v>0</v>
      </c>
      <c r="BM11" s="11">
        <f>ROUND(IFERROR(AQ11/_xlfn.XLOOKUP(BM$7,'Product Tgt'!$B:$B,'Product Tgt'!$D:$D),0),0)</f>
        <v>0</v>
      </c>
      <c r="BN11" s="11">
        <f>ROUND(IFERROR(AR11/_xlfn.XLOOKUP(BN$7,'Product Tgt'!$B:$B,'Product Tgt'!$D:$D),0),0)</f>
        <v>0</v>
      </c>
      <c r="BO11" s="11">
        <f>ROUND(IFERROR(AS11/_xlfn.XLOOKUP(BO$7,'Product Tgt'!$B:$B,'Product Tgt'!$D:$D),0),0)</f>
        <v>0</v>
      </c>
      <c r="BP11" s="11">
        <f>ROUND(IFERROR(AT11/_xlfn.XLOOKUP(BP$7,'Product Tgt'!$B:$B,'Product Tgt'!$D:$D),0),0)</f>
        <v>0</v>
      </c>
      <c r="BQ11" s="11">
        <f>ROUND(IFERROR(AU11/_xlfn.XLOOKUP(BQ$7,'Product Tgt'!$B:$B,'Product Tgt'!$D:$D),0),0)</f>
        <v>0</v>
      </c>
      <c r="BR11" s="11">
        <f>ROUND(IFERROR(AV11/_xlfn.XLOOKUP(BR$7,'Product Tgt'!$B:$B,'Product Tgt'!$D:$D),0),0)</f>
        <v>0</v>
      </c>
      <c r="BS11" s="11">
        <f>ROUND(IFERROR(AW11/_xlfn.XLOOKUP(BS$7,'Product Tgt'!$B:$B,'Product Tgt'!$D:$D),0),0)</f>
        <v>0</v>
      </c>
      <c r="BT11" s="11">
        <f>ROUND(IFERROR(AX11/_xlfn.XLOOKUP(BT$7,'Product Tgt'!$B:$B,'Product Tgt'!$D:$D),0),0)</f>
        <v>0</v>
      </c>
      <c r="BU11" s="11">
        <f>ROUND(IFERROR(AY11/_xlfn.XLOOKUP(BU$7,'Product Tgt'!$B:$B,'Product Tgt'!$D:$D),0),0)</f>
        <v>0</v>
      </c>
      <c r="BV11" s="11">
        <f>ROUND(IFERROR(AZ11/_xlfn.XLOOKUP(BV$7,'Product Tgt'!$B:$B,'Product Tgt'!$D:$D),0),0)</f>
        <v>0</v>
      </c>
      <c r="BW11" s="11">
        <f>ROUND(IFERROR(BA11/_xlfn.XLOOKUP(BW$7,'Product Tgt'!$B:$B,'Product Tgt'!$D:$D),0),0)</f>
        <v>0</v>
      </c>
      <c r="BX11" s="11">
        <f>ROUND(IFERROR(BB11/_xlfn.XLOOKUP(BX$7,'Product Tgt'!$B:$B,'Product Tgt'!$D:$D),0),0)</f>
        <v>0</v>
      </c>
      <c r="BY11" s="11">
        <f>ROUND(IFERROR(BC11/_xlfn.XLOOKUP(BY$7,'Product Tgt'!$B:$B,'Product Tgt'!$D:$D),0),0)</f>
        <v>0</v>
      </c>
      <c r="BZ11" s="13">
        <f>ROUND(IFERROR(BD11/_xlfn.XLOOKUP(BZ$7,'Product Tgt'!$B:$B,'Product Tgt'!$D:$D),0),0)</f>
        <v>0</v>
      </c>
    </row>
    <row r="12" spans="1:78" x14ac:dyDescent="0.25">
      <c r="A12" s="4" t="s">
        <v>50</v>
      </c>
      <c r="B12" s="3">
        <f>_xlfn.XLOOKUP(A12,'Terr Target'!$A:$A,'Terr Target'!$E:$E)</f>
        <v>368041.70621789614</v>
      </c>
      <c r="C12" s="3">
        <f t="shared" si="4"/>
        <v>368042.7620186311</v>
      </c>
      <c r="D12" s="5">
        <f t="shared" si="6"/>
        <v>1.0558007349609397</v>
      </c>
      <c r="E12" s="6">
        <f t="shared" si="7"/>
        <v>2.868690391220064E-6</v>
      </c>
      <c r="F12" s="6">
        <f t="shared" si="8"/>
        <v>0.99999713130960877</v>
      </c>
      <c r="G12" s="49">
        <v>18427.861006785039</v>
      </c>
      <c r="H12" s="50">
        <v>20767.933506920228</v>
      </c>
      <c r="I12" s="50">
        <v>81112.887760110912</v>
      </c>
      <c r="J12" s="50">
        <v>108255.47631717355</v>
      </c>
      <c r="K12" s="50">
        <v>7069.0501021202972</v>
      </c>
      <c r="L12" s="50">
        <v>2644.0142003891647</v>
      </c>
      <c r="M12" s="50">
        <v>0</v>
      </c>
      <c r="N12" s="50">
        <v>1867.0097582557887</v>
      </c>
      <c r="O12" s="50">
        <v>8940.1201879716264</v>
      </c>
      <c r="P12" s="50">
        <v>895.64306523517644</v>
      </c>
      <c r="Q12" s="50">
        <v>1193.8746210847187</v>
      </c>
      <c r="R12" s="50">
        <v>1081.973573214447</v>
      </c>
      <c r="S12" s="50">
        <v>25102.743199575772</v>
      </c>
      <c r="T12" s="50">
        <v>6964.7559940275587</v>
      </c>
      <c r="U12" s="50">
        <v>24219.725678542785</v>
      </c>
      <c r="V12" s="50">
        <v>5384.9921850854471</v>
      </c>
      <c r="W12" s="50">
        <v>9603.2971494339272</v>
      </c>
      <c r="X12" s="50">
        <v>7897.4656021787105</v>
      </c>
      <c r="Y12" s="50">
        <v>4325.5529360691189</v>
      </c>
      <c r="Z12" s="50">
        <v>14623.511874330274</v>
      </c>
      <c r="AA12" s="50">
        <v>2380.5177098094973</v>
      </c>
      <c r="AB12" s="50">
        <v>5811.3265826171482</v>
      </c>
      <c r="AC12" s="50">
        <v>6618.1528093546449</v>
      </c>
      <c r="AD12" s="50">
        <v>7168.4682093217725</v>
      </c>
      <c r="AE12" s="51">
        <v>1213.1989610685694</v>
      </c>
      <c r="AF12" s="42">
        <f>IFERROR(_xlfn.XLOOKUP(AF$7,'Product Tgt'!$B:$B,'Product Tgt'!$G:$G)*G12/G$60,0)</f>
        <v>18563.921903382277</v>
      </c>
      <c r="AG12" s="42">
        <f>IFERROR(_xlfn.XLOOKUP(AG$7,'Product Tgt'!$B:$B,'Product Tgt'!$G:$G)*H12/H$60,0)</f>
        <v>21263.18863634325</v>
      </c>
      <c r="AH12" s="42">
        <f>IFERROR(_xlfn.XLOOKUP(AH$7,'Product Tgt'!$B:$B,'Product Tgt'!$G:$G)*I12/I$60,0)</f>
        <v>81004.029839363953</v>
      </c>
      <c r="AI12" s="42">
        <f>IFERROR(_xlfn.XLOOKUP(AI$7,'Product Tgt'!$B:$B,'Product Tgt'!$G:$G)*J12/J$60,0)</f>
        <v>107789.48747662549</v>
      </c>
      <c r="AJ12" s="42">
        <f>IFERROR(_xlfn.XLOOKUP(AJ$7,'Product Tgt'!$B:$B,'Product Tgt'!$G:$G)*K12/K$60,0)</f>
        <v>6953.0326273794026</v>
      </c>
      <c r="AK12" s="42">
        <f>IFERROR(_xlfn.XLOOKUP(AK$7,'Product Tgt'!$B:$B,'Product Tgt'!$G:$G)*L12/L$60,0)</f>
        <v>2721.1567783714077</v>
      </c>
      <c r="AL12" s="42">
        <f>IFERROR(_xlfn.XLOOKUP(AL$7,'Product Tgt'!$B:$B,'Product Tgt'!$G:$G)*M12/M$60,0)</f>
        <v>0</v>
      </c>
      <c r="AM12" s="42">
        <f>IFERROR(_xlfn.XLOOKUP(AM$7,'Product Tgt'!$B:$B,'Product Tgt'!$G:$G)*N12/N$60,0)</f>
        <v>1854.5520086968866</v>
      </c>
      <c r="AN12" s="42">
        <f>IFERROR(_xlfn.XLOOKUP(AN$7,'Product Tgt'!$B:$B,'Product Tgt'!$G:$G)*O12/O$60,0)</f>
        <v>9750.2875824659386</v>
      </c>
      <c r="AO12" s="42">
        <f>IFERROR(_xlfn.XLOOKUP(AO$7,'Product Tgt'!$B:$B,'Product Tgt'!$G:$G)*P12/P$60,0)</f>
        <v>858.76178726389924</v>
      </c>
      <c r="AP12" s="42">
        <f>IFERROR(_xlfn.XLOOKUP(AP$7,'Product Tgt'!$B:$B,'Product Tgt'!$G:$G)*Q12/Q$60,0)</f>
        <v>907.52367089215409</v>
      </c>
      <c r="AQ12" s="42">
        <f>IFERROR(_xlfn.XLOOKUP(AQ$7,'Product Tgt'!$B:$B,'Product Tgt'!$G:$G)*R12/R$60,0)</f>
        <v>902.79714955655606</v>
      </c>
      <c r="AR12" s="42">
        <f>IFERROR(_xlfn.XLOOKUP(AR$7,'Product Tgt'!$B:$B,'Product Tgt'!$G:$G)*S12/S$60,0)</f>
        <v>24310.518605518049</v>
      </c>
      <c r="AS12" s="42">
        <f>IFERROR(_xlfn.XLOOKUP(AS$7,'Product Tgt'!$B:$B,'Product Tgt'!$G:$G)*T12/T$60,0)</f>
        <v>6322.374753121082</v>
      </c>
      <c r="AT12" s="42">
        <f>IFERROR(_xlfn.XLOOKUP(AT$7,'Product Tgt'!$B:$B,'Product Tgt'!$G:$G)*U12/U$60,0)</f>
        <v>20680.99221532471</v>
      </c>
      <c r="AU12" s="42">
        <f>IFERROR(_xlfn.XLOOKUP(AU$7,'Product Tgt'!$B:$B,'Product Tgt'!$G:$G)*V12/V$60,0)</f>
        <v>5674.3664538197872</v>
      </c>
      <c r="AV12" s="42">
        <f>IFERROR(_xlfn.XLOOKUP(AV$7,'Product Tgt'!$B:$B,'Product Tgt'!$G:$G)*W12/W$60,0)</f>
        <v>9256.9972499574451</v>
      </c>
      <c r="AW12" s="42">
        <f>IFERROR(_xlfn.XLOOKUP(AW$7,'Product Tgt'!$B:$B,'Product Tgt'!$G:$G)*X12/X$60,0)</f>
        <v>8146.9357186843781</v>
      </c>
      <c r="AX12" s="42">
        <f>IFERROR(_xlfn.XLOOKUP(AX$7,'Product Tgt'!$B:$B,'Product Tgt'!$G:$G)*Y12/Y$60,0)</f>
        <v>4162.7867340232597</v>
      </c>
      <c r="AY12" s="42">
        <f>IFERROR(_xlfn.XLOOKUP(AY$7,'Product Tgt'!$B:$B,'Product Tgt'!$G:$G)*Z12/Z$60,0)</f>
        <v>14084.088684380935</v>
      </c>
      <c r="AZ12" s="42">
        <f>IFERROR(_xlfn.XLOOKUP(AZ$7,'Product Tgt'!$B:$B,'Product Tgt'!$G:$G)*AA12/AA$60,0)</f>
        <v>2379.2348724812559</v>
      </c>
      <c r="BA12" s="42">
        <f>IFERROR(_xlfn.XLOOKUP(BA$7,'Product Tgt'!$B:$B,'Product Tgt'!$G:$G)*AB12/AB$60,0)</f>
        <v>5428.1451235468421</v>
      </c>
      <c r="BB12" s="42">
        <f>IFERROR(_xlfn.XLOOKUP(BB$7,'Product Tgt'!$B:$B,'Product Tgt'!$G:$G)*AC12/AC$60,0)</f>
        <v>6630.4019075652141</v>
      </c>
      <c r="BC12" s="42">
        <f>IFERROR(_xlfn.XLOOKUP(BC$7,'Product Tgt'!$B:$B,'Product Tgt'!$G:$G)*AD12/AD$60,0)</f>
        <v>7181.7358496505403</v>
      </c>
      <c r="BD12" s="42">
        <f>IFERROR(_xlfn.XLOOKUP(BD$7,'Product Tgt'!$B:$B,'Product Tgt'!$G:$G)*AE12/AE$60,0)</f>
        <v>1215.4443902164248</v>
      </c>
      <c r="BE12" s="10">
        <f>ROUND(IFERROR(AF12/_xlfn.XLOOKUP(BE$7,'Product Tgt'!$B:$B,'Product Tgt'!$D:$D),0),0)</f>
        <v>0</v>
      </c>
      <c r="BF12" s="11">
        <f>ROUND(IFERROR(AG12/_xlfn.XLOOKUP(BF$7,'Product Tgt'!$B:$B,'Product Tgt'!$D:$D),0),0)</f>
        <v>0</v>
      </c>
      <c r="BG12" s="11">
        <f>ROUND(IFERROR(AH12/_xlfn.XLOOKUP(BG$7,'Product Tgt'!$B:$B,'Product Tgt'!$D:$D),0),0)</f>
        <v>0</v>
      </c>
      <c r="BH12" s="11">
        <f>ROUND(IFERROR(AI12/_xlfn.XLOOKUP(BH$7,'Product Tgt'!$B:$B,'Product Tgt'!$D:$D),0),0)</f>
        <v>0</v>
      </c>
      <c r="BI12" s="11">
        <f>ROUND(IFERROR(AM12/_xlfn.XLOOKUP(BI$7,'Product Tgt'!$B:$B,'Product Tgt'!$D:$D),0),0)</f>
        <v>0</v>
      </c>
      <c r="BJ12" s="11">
        <f>ROUND(IFERROR(#REF!/_xlfn.XLOOKUP(BJ$7,'Product Tgt'!$B:$B,'Product Tgt'!$D:$D),0),0)</f>
        <v>0</v>
      </c>
      <c r="BK12" s="11">
        <f>ROUND(IFERROR(#REF!/_xlfn.XLOOKUP(BK$7,'Product Tgt'!$B:$B,'Product Tgt'!$D:$D),0),0)</f>
        <v>0</v>
      </c>
      <c r="BL12" s="11">
        <f>ROUND(IFERROR(AN12/_xlfn.XLOOKUP(BL$7,'Product Tgt'!$B:$B,'Product Tgt'!$D:$D),0),0)</f>
        <v>0</v>
      </c>
      <c r="BM12" s="11">
        <f>ROUND(IFERROR(AQ12/_xlfn.XLOOKUP(BM$7,'Product Tgt'!$B:$B,'Product Tgt'!$D:$D),0),0)</f>
        <v>0</v>
      </c>
      <c r="BN12" s="11">
        <f>ROUND(IFERROR(AR12/_xlfn.XLOOKUP(BN$7,'Product Tgt'!$B:$B,'Product Tgt'!$D:$D),0),0)</f>
        <v>0</v>
      </c>
      <c r="BO12" s="11">
        <f>ROUND(IFERROR(AS12/_xlfn.XLOOKUP(BO$7,'Product Tgt'!$B:$B,'Product Tgt'!$D:$D),0),0)</f>
        <v>0</v>
      </c>
      <c r="BP12" s="11">
        <f>ROUND(IFERROR(AT12/_xlfn.XLOOKUP(BP$7,'Product Tgt'!$B:$B,'Product Tgt'!$D:$D),0),0)</f>
        <v>0</v>
      </c>
      <c r="BQ12" s="11">
        <f>ROUND(IFERROR(AU12/_xlfn.XLOOKUP(BQ$7,'Product Tgt'!$B:$B,'Product Tgt'!$D:$D),0),0)</f>
        <v>0</v>
      </c>
      <c r="BR12" s="11">
        <f>ROUND(IFERROR(AV12/_xlfn.XLOOKUP(BR$7,'Product Tgt'!$B:$B,'Product Tgt'!$D:$D),0),0)</f>
        <v>0</v>
      </c>
      <c r="BS12" s="11">
        <f>ROUND(IFERROR(AW12/_xlfn.XLOOKUP(BS$7,'Product Tgt'!$B:$B,'Product Tgt'!$D:$D),0),0)</f>
        <v>0</v>
      </c>
      <c r="BT12" s="11">
        <f>ROUND(IFERROR(AX12/_xlfn.XLOOKUP(BT$7,'Product Tgt'!$B:$B,'Product Tgt'!$D:$D),0),0)</f>
        <v>0</v>
      </c>
      <c r="BU12" s="11">
        <f>ROUND(IFERROR(AY12/_xlfn.XLOOKUP(BU$7,'Product Tgt'!$B:$B,'Product Tgt'!$D:$D),0),0)</f>
        <v>0</v>
      </c>
      <c r="BV12" s="11">
        <f>ROUND(IFERROR(AZ12/_xlfn.XLOOKUP(BV$7,'Product Tgt'!$B:$B,'Product Tgt'!$D:$D),0),0)</f>
        <v>0</v>
      </c>
      <c r="BW12" s="11">
        <f>ROUND(IFERROR(BA12/_xlfn.XLOOKUP(BW$7,'Product Tgt'!$B:$B,'Product Tgt'!$D:$D),0),0)</f>
        <v>0</v>
      </c>
      <c r="BX12" s="11">
        <f>ROUND(IFERROR(BB12/_xlfn.XLOOKUP(BX$7,'Product Tgt'!$B:$B,'Product Tgt'!$D:$D),0),0)</f>
        <v>0</v>
      </c>
      <c r="BY12" s="11">
        <f>ROUND(IFERROR(BC12/_xlfn.XLOOKUP(BY$7,'Product Tgt'!$B:$B,'Product Tgt'!$D:$D),0),0)</f>
        <v>0</v>
      </c>
      <c r="BZ12" s="13">
        <f>ROUND(IFERROR(BD12/_xlfn.XLOOKUP(BZ$7,'Product Tgt'!$B:$B,'Product Tgt'!$D:$D),0),0)</f>
        <v>0</v>
      </c>
    </row>
    <row r="13" spans="1:78" x14ac:dyDescent="0.25">
      <c r="A13" s="4" t="s">
        <v>189</v>
      </c>
      <c r="B13" s="3">
        <f>_xlfn.XLOOKUP(A13,'Terr Target'!$A:$A,'Terr Target'!$E:$E)</f>
        <v>349147.3425080821</v>
      </c>
      <c r="C13" s="3">
        <f t="shared" si="4"/>
        <v>349148.36477557296</v>
      </c>
      <c r="D13" s="5">
        <f t="shared" si="6"/>
        <v>1.0222674908582121</v>
      </c>
      <c r="E13" s="6">
        <f t="shared" si="7"/>
        <v>2.9278885253130411E-6</v>
      </c>
      <c r="F13" s="6">
        <f t="shared" si="8"/>
        <v>0.99999707211147471</v>
      </c>
      <c r="G13" s="49">
        <v>21242.737497898983</v>
      </c>
      <c r="H13" s="50">
        <v>13242.705830533476</v>
      </c>
      <c r="I13" s="50">
        <v>76622.928840785156</v>
      </c>
      <c r="J13" s="50">
        <v>100633.33566473737</v>
      </c>
      <c r="K13" s="50">
        <v>8209.7185228821054</v>
      </c>
      <c r="L13" s="50">
        <v>3032.710751091478</v>
      </c>
      <c r="M13" s="50">
        <v>0</v>
      </c>
      <c r="N13" s="50">
        <v>1250.490779259919</v>
      </c>
      <c r="O13" s="50">
        <v>8158.6917638715777</v>
      </c>
      <c r="P13" s="50">
        <v>0</v>
      </c>
      <c r="Q13" s="50">
        <v>1114.1105272986294</v>
      </c>
      <c r="R13" s="50">
        <v>1057.3560737392004</v>
      </c>
      <c r="S13" s="50">
        <v>27897.234146510655</v>
      </c>
      <c r="T13" s="50">
        <v>4291.6501262694846</v>
      </c>
      <c r="U13" s="50">
        <v>23251.728825510902</v>
      </c>
      <c r="V13" s="50">
        <v>6051.9944454263214</v>
      </c>
      <c r="W13" s="50">
        <v>9536.3945404792248</v>
      </c>
      <c r="X13" s="50">
        <v>7695.0442555593454</v>
      </c>
      <c r="Y13" s="50">
        <v>3486.0365792097323</v>
      </c>
      <c r="Z13" s="50">
        <v>16862.47076870337</v>
      </c>
      <c r="AA13" s="50">
        <v>2089.1199012667839</v>
      </c>
      <c r="AB13" s="50">
        <v>3902.0288802080358</v>
      </c>
      <c r="AC13" s="50">
        <v>6518.6096874064824</v>
      </c>
      <c r="AD13" s="50">
        <v>7060.6478362210755</v>
      </c>
      <c r="AE13" s="51">
        <v>1194.9513298022839</v>
      </c>
      <c r="AF13" s="42">
        <f>IFERROR(_xlfn.XLOOKUP(AF$7,'Product Tgt'!$B:$B,'Product Tgt'!$G:$G)*G13/G$60,0)</f>
        <v>21399.581849453389</v>
      </c>
      <c r="AG13" s="42">
        <f>IFERROR(_xlfn.XLOOKUP(AG$7,'Product Tgt'!$B:$B,'Product Tgt'!$G:$G)*H13/H$60,0)</f>
        <v>13558.506051476326</v>
      </c>
      <c r="AH13" s="42">
        <f>IFERROR(_xlfn.XLOOKUP(AH$7,'Product Tgt'!$B:$B,'Product Tgt'!$G:$G)*I13/I$60,0)</f>
        <v>76520.096689871978</v>
      </c>
      <c r="AI13" s="42">
        <f>IFERROR(_xlfn.XLOOKUP(AI$7,'Product Tgt'!$B:$B,'Product Tgt'!$G:$G)*J13/J$60,0)</f>
        <v>100200.15654990439</v>
      </c>
      <c r="AJ13" s="42">
        <f>IFERROR(_xlfn.XLOOKUP(AJ$7,'Product Tgt'!$B:$B,'Product Tgt'!$G:$G)*K13/K$60,0)</f>
        <v>8074.980361799805</v>
      </c>
      <c r="AK13" s="42">
        <f>IFERROR(_xlfn.XLOOKUP(AK$7,'Product Tgt'!$B:$B,'Product Tgt'!$G:$G)*L13/L$60,0)</f>
        <v>3121.1940601369538</v>
      </c>
      <c r="AL13" s="42">
        <f>IFERROR(_xlfn.XLOOKUP(AL$7,'Product Tgt'!$B:$B,'Product Tgt'!$G:$G)*M13/M$60,0)</f>
        <v>0</v>
      </c>
      <c r="AM13" s="42">
        <f>IFERROR(_xlfn.XLOOKUP(AM$7,'Product Tgt'!$B:$B,'Product Tgt'!$G:$G)*N13/N$60,0)</f>
        <v>1242.1467945084466</v>
      </c>
      <c r="AN13" s="42">
        <f>IFERROR(_xlfn.XLOOKUP(AN$7,'Product Tgt'!$B:$B,'Product Tgt'!$G:$G)*O13/O$60,0)</f>
        <v>8898.0449168315627</v>
      </c>
      <c r="AO13" s="42">
        <f>IFERROR(_xlfn.XLOOKUP(AO$7,'Product Tgt'!$B:$B,'Product Tgt'!$G:$G)*P13/P$60,0)</f>
        <v>0</v>
      </c>
      <c r="AP13" s="42">
        <f>IFERROR(_xlfn.XLOOKUP(AP$7,'Product Tgt'!$B:$B,'Product Tgt'!$G:$G)*Q13/Q$60,0)</f>
        <v>846.89100317335419</v>
      </c>
      <c r="AQ13" s="42">
        <f>IFERROR(_xlfn.XLOOKUP(AQ$7,'Product Tgt'!$B:$B,'Product Tgt'!$G:$G)*R13/R$60,0)</f>
        <v>882.25634439674491</v>
      </c>
      <c r="AR13" s="42">
        <f>IFERROR(_xlfn.XLOOKUP(AR$7,'Product Tgt'!$B:$B,'Product Tgt'!$G:$G)*S13/S$60,0)</f>
        <v>27016.81741988668</v>
      </c>
      <c r="AS13" s="42">
        <f>IFERROR(_xlfn.XLOOKUP(AS$7,'Product Tgt'!$B:$B,'Product Tgt'!$G:$G)*T13/T$60,0)</f>
        <v>3895.8178047906686</v>
      </c>
      <c r="AT13" s="42">
        <f>IFERROR(_xlfn.XLOOKUP(AT$7,'Product Tgt'!$B:$B,'Product Tgt'!$G:$G)*U13/U$60,0)</f>
        <v>19854.428956610889</v>
      </c>
      <c r="AU13" s="42">
        <f>IFERROR(_xlfn.XLOOKUP(AU$7,'Product Tgt'!$B:$B,'Product Tgt'!$G:$G)*V13/V$60,0)</f>
        <v>6377.211531512351</v>
      </c>
      <c r="AV13" s="42">
        <f>IFERROR(_xlfn.XLOOKUP(AV$7,'Product Tgt'!$B:$B,'Product Tgt'!$G:$G)*W13/W$60,0)</f>
        <v>9192.5071839445282</v>
      </c>
      <c r="AW13" s="42">
        <f>IFERROR(_xlfn.XLOOKUP(AW$7,'Product Tgt'!$B:$B,'Product Tgt'!$G:$G)*X13/X$60,0)</f>
        <v>7938.120159102511</v>
      </c>
      <c r="AX13" s="42">
        <f>IFERROR(_xlfn.XLOOKUP(AX$7,'Product Tgt'!$B:$B,'Product Tgt'!$G:$G)*Y13/Y$60,0)</f>
        <v>3354.8605324529117</v>
      </c>
      <c r="AY13" s="42">
        <f>IFERROR(_xlfn.XLOOKUP(AY$7,'Product Tgt'!$B:$B,'Product Tgt'!$G:$G)*Z13/Z$60,0)</f>
        <v>16240.45822816936</v>
      </c>
      <c r="AZ13" s="42">
        <f>IFERROR(_xlfn.XLOOKUP(AZ$7,'Product Tgt'!$B:$B,'Product Tgt'!$G:$G)*AA13/AA$60,0)</f>
        <v>2087.9940953206769</v>
      </c>
      <c r="BA13" s="42">
        <f>IFERROR(_xlfn.XLOOKUP(BA$7,'Product Tgt'!$B:$B,'Product Tgt'!$G:$G)*AB13/AB$60,0)</f>
        <v>3644.7407897185099</v>
      </c>
      <c r="BB13" s="42">
        <f>IFERROR(_xlfn.XLOOKUP(BB$7,'Product Tgt'!$B:$B,'Product Tgt'!$G:$G)*AC13/AC$60,0)</f>
        <v>6530.6745478830417</v>
      </c>
      <c r="BC13" s="42">
        <f>IFERROR(_xlfn.XLOOKUP(BC$7,'Product Tgt'!$B:$B,'Product Tgt'!$G:$G)*AD13/AD$60,0)</f>
        <v>7073.7159190030088</v>
      </c>
      <c r="BD13" s="42">
        <f>IFERROR(_xlfn.XLOOKUP(BD$7,'Product Tgt'!$B:$B,'Product Tgt'!$G:$G)*AE13/AE$60,0)</f>
        <v>1197.1629856248733</v>
      </c>
      <c r="BE13" s="10">
        <f>ROUND(IFERROR(AF13/_xlfn.XLOOKUP(BE$7,'Product Tgt'!$B:$B,'Product Tgt'!$D:$D),0),0)</f>
        <v>0</v>
      </c>
      <c r="BF13" s="11">
        <f>ROUND(IFERROR(AG13/_xlfn.XLOOKUP(BF$7,'Product Tgt'!$B:$B,'Product Tgt'!$D:$D),0),0)</f>
        <v>0</v>
      </c>
      <c r="BG13" s="11">
        <f>ROUND(IFERROR(AH13/_xlfn.XLOOKUP(BG$7,'Product Tgt'!$B:$B,'Product Tgt'!$D:$D),0),0)</f>
        <v>0</v>
      </c>
      <c r="BH13" s="11">
        <f>ROUND(IFERROR(AI13/_xlfn.XLOOKUP(BH$7,'Product Tgt'!$B:$B,'Product Tgt'!$D:$D),0),0)</f>
        <v>0</v>
      </c>
      <c r="BI13" s="11">
        <f>ROUND(IFERROR(AM13/_xlfn.XLOOKUP(BI$7,'Product Tgt'!$B:$B,'Product Tgt'!$D:$D),0),0)</f>
        <v>0</v>
      </c>
      <c r="BJ13" s="11">
        <f>ROUND(IFERROR(#REF!/_xlfn.XLOOKUP(BJ$7,'Product Tgt'!$B:$B,'Product Tgt'!$D:$D),0),0)</f>
        <v>0</v>
      </c>
      <c r="BK13" s="11">
        <f>ROUND(IFERROR(#REF!/_xlfn.XLOOKUP(BK$7,'Product Tgt'!$B:$B,'Product Tgt'!$D:$D),0),0)</f>
        <v>0</v>
      </c>
      <c r="BL13" s="11">
        <f>ROUND(IFERROR(AN13/_xlfn.XLOOKUP(BL$7,'Product Tgt'!$B:$B,'Product Tgt'!$D:$D),0),0)</f>
        <v>0</v>
      </c>
      <c r="BM13" s="11">
        <f>ROUND(IFERROR(AQ13/_xlfn.XLOOKUP(BM$7,'Product Tgt'!$B:$B,'Product Tgt'!$D:$D),0),0)</f>
        <v>0</v>
      </c>
      <c r="BN13" s="11">
        <f>ROUND(IFERROR(AR13/_xlfn.XLOOKUP(BN$7,'Product Tgt'!$B:$B,'Product Tgt'!$D:$D),0),0)</f>
        <v>0</v>
      </c>
      <c r="BO13" s="11">
        <f>ROUND(IFERROR(AS13/_xlfn.XLOOKUP(BO$7,'Product Tgt'!$B:$B,'Product Tgt'!$D:$D),0),0)</f>
        <v>0</v>
      </c>
      <c r="BP13" s="11">
        <f>ROUND(IFERROR(AT13/_xlfn.XLOOKUP(BP$7,'Product Tgt'!$B:$B,'Product Tgt'!$D:$D),0),0)</f>
        <v>0</v>
      </c>
      <c r="BQ13" s="11">
        <f>ROUND(IFERROR(AU13/_xlfn.XLOOKUP(BQ$7,'Product Tgt'!$B:$B,'Product Tgt'!$D:$D),0),0)</f>
        <v>0</v>
      </c>
      <c r="BR13" s="11">
        <f>ROUND(IFERROR(AV13/_xlfn.XLOOKUP(BR$7,'Product Tgt'!$B:$B,'Product Tgt'!$D:$D),0),0)</f>
        <v>0</v>
      </c>
      <c r="BS13" s="11">
        <f>ROUND(IFERROR(AW13/_xlfn.XLOOKUP(BS$7,'Product Tgt'!$B:$B,'Product Tgt'!$D:$D),0),0)</f>
        <v>0</v>
      </c>
      <c r="BT13" s="11">
        <f>ROUND(IFERROR(AX13/_xlfn.XLOOKUP(BT$7,'Product Tgt'!$B:$B,'Product Tgt'!$D:$D),0),0)</f>
        <v>0</v>
      </c>
      <c r="BU13" s="11">
        <f>ROUND(IFERROR(AY13/_xlfn.XLOOKUP(BU$7,'Product Tgt'!$B:$B,'Product Tgt'!$D:$D),0),0)</f>
        <v>0</v>
      </c>
      <c r="BV13" s="11">
        <f>ROUND(IFERROR(AZ13/_xlfn.XLOOKUP(BV$7,'Product Tgt'!$B:$B,'Product Tgt'!$D:$D),0),0)</f>
        <v>0</v>
      </c>
      <c r="BW13" s="11">
        <f>ROUND(IFERROR(BA13/_xlfn.XLOOKUP(BW$7,'Product Tgt'!$B:$B,'Product Tgt'!$D:$D),0),0)</f>
        <v>0</v>
      </c>
      <c r="BX13" s="11">
        <f>ROUND(IFERROR(BB13/_xlfn.XLOOKUP(BX$7,'Product Tgt'!$B:$B,'Product Tgt'!$D:$D),0),0)</f>
        <v>0</v>
      </c>
      <c r="BY13" s="11">
        <f>ROUND(IFERROR(BC13/_xlfn.XLOOKUP(BY$7,'Product Tgt'!$B:$B,'Product Tgt'!$D:$D),0),0)</f>
        <v>0</v>
      </c>
      <c r="BZ13" s="13">
        <f>ROUND(IFERROR(BD13/_xlfn.XLOOKUP(BZ$7,'Product Tgt'!$B:$B,'Product Tgt'!$D:$D),0),0)</f>
        <v>0</v>
      </c>
    </row>
    <row r="14" spans="1:78" x14ac:dyDescent="0.25">
      <c r="A14" s="4" t="s">
        <v>74</v>
      </c>
      <c r="B14" s="3">
        <f>_xlfn.XLOOKUP(A14,'Terr Target'!$A:$A,'Terr Target'!$E:$E)</f>
        <v>407086.4721616552</v>
      </c>
      <c r="C14" s="3">
        <f t="shared" si="4"/>
        <v>407086.19657673215</v>
      </c>
      <c r="D14" s="5">
        <f t="shared" si="6"/>
        <v>-0.27558492304524407</v>
      </c>
      <c r="E14" s="6">
        <f t="shared" si="7"/>
        <v>6.7696946092177006E-7</v>
      </c>
      <c r="F14" s="6">
        <f t="shared" si="8"/>
        <v>1.0000006769694609</v>
      </c>
      <c r="G14" s="49">
        <v>9052.8447084341387</v>
      </c>
      <c r="H14" s="50">
        <v>15821.049375617862</v>
      </c>
      <c r="I14" s="50">
        <v>69324.587268366842</v>
      </c>
      <c r="J14" s="50">
        <v>107818.23155969435</v>
      </c>
      <c r="K14" s="50">
        <v>13874.481915957336</v>
      </c>
      <c r="L14" s="50">
        <v>7845.3138112373645</v>
      </c>
      <c r="M14" s="50">
        <v>0</v>
      </c>
      <c r="N14" s="50">
        <v>4861.5041627169066</v>
      </c>
      <c r="O14" s="50">
        <v>16628.08720093653</v>
      </c>
      <c r="P14" s="50">
        <v>2901.1901681165032</v>
      </c>
      <c r="Q14" s="50">
        <v>2126.6250248241777</v>
      </c>
      <c r="R14" s="50">
        <v>4647.8717880900422</v>
      </c>
      <c r="S14" s="50">
        <v>17367.514517673357</v>
      </c>
      <c r="T14" s="50">
        <v>7510.0867223026671</v>
      </c>
      <c r="U14" s="50">
        <v>14412.330124490527</v>
      </c>
      <c r="V14" s="50">
        <v>8066.731213304668</v>
      </c>
      <c r="W14" s="50">
        <v>14215.690551072139</v>
      </c>
      <c r="X14" s="50">
        <v>14494.759237428112</v>
      </c>
      <c r="Y14" s="50">
        <v>9664.5053972166552</v>
      </c>
      <c r="Z14" s="50">
        <v>39146.424352845657</v>
      </c>
      <c r="AA14" s="50">
        <v>4725.3613662423813</v>
      </c>
      <c r="AB14" s="50">
        <v>18099.487445200797</v>
      </c>
      <c r="AC14" s="50">
        <v>4619.6409616877454</v>
      </c>
      <c r="AD14" s="50">
        <v>5003.775271784406</v>
      </c>
      <c r="AE14" s="51">
        <v>846.84409331066718</v>
      </c>
      <c r="AF14" s="42">
        <f>IFERROR(_xlfn.XLOOKUP(AF$7,'Product Tgt'!$B:$B,'Product Tgt'!$G:$G)*G14/G$60,0)</f>
        <v>9119.6857903877954</v>
      </c>
      <c r="AG14" s="42">
        <f>IFERROR(_xlfn.XLOOKUP(AG$7,'Product Tgt'!$B:$B,'Product Tgt'!$G:$G)*H14/H$60,0)</f>
        <v>16198.335630580046</v>
      </c>
      <c r="AH14" s="42">
        <f>IFERROR(_xlfn.XLOOKUP(AH$7,'Product Tgt'!$B:$B,'Product Tgt'!$G:$G)*I14/I$60,0)</f>
        <v>69231.549890028211</v>
      </c>
      <c r="AI14" s="42">
        <f>IFERROR(_xlfn.XLOOKUP(AI$7,'Product Tgt'!$B:$B,'Product Tgt'!$G:$G)*J14/J$60,0)</f>
        <v>107354.12485189841</v>
      </c>
      <c r="AJ14" s="42">
        <f>IFERROR(_xlfn.XLOOKUP(AJ$7,'Product Tgt'!$B:$B,'Product Tgt'!$G:$G)*K14/K$60,0)</f>
        <v>13646.773478193574</v>
      </c>
      <c r="AK14" s="42">
        <f>IFERROR(_xlfn.XLOOKUP(AK$7,'Product Tgt'!$B:$B,'Product Tgt'!$G:$G)*L14/L$60,0)</f>
        <v>8074.2111191222721</v>
      </c>
      <c r="AL14" s="42">
        <f>IFERROR(_xlfn.XLOOKUP(AL$7,'Product Tgt'!$B:$B,'Product Tgt'!$G:$G)*M14/M$60,0)</f>
        <v>0</v>
      </c>
      <c r="AM14" s="42">
        <f>IFERROR(_xlfn.XLOOKUP(AM$7,'Product Tgt'!$B:$B,'Product Tgt'!$G:$G)*N14/N$60,0)</f>
        <v>4829.0654456342136</v>
      </c>
      <c r="AN14" s="42">
        <f>IFERROR(_xlfn.XLOOKUP(AN$7,'Product Tgt'!$B:$B,'Product Tgt'!$G:$G)*O14/O$60,0)</f>
        <v>18134.949949955506</v>
      </c>
      <c r="AO14" s="42">
        <f>IFERROR(_xlfn.XLOOKUP(AO$7,'Product Tgt'!$B:$B,'Product Tgt'!$G:$G)*P14/P$60,0)</f>
        <v>2781.7233791789422</v>
      </c>
      <c r="AP14" s="42">
        <f>IFERROR(_xlfn.XLOOKUP(AP$7,'Product Tgt'!$B:$B,'Product Tgt'!$G:$G)*Q14/Q$60,0)</f>
        <v>1616.5537947243151</v>
      </c>
      <c r="AQ14" s="42">
        <f>IFERROR(_xlfn.XLOOKUP(AQ$7,'Product Tgt'!$B:$B,'Product Tgt'!$G:$G)*R14/R$60,0)</f>
        <v>3878.1773470916</v>
      </c>
      <c r="AR14" s="42">
        <f>IFERROR(_xlfn.XLOOKUP(AR$7,'Product Tgt'!$B:$B,'Product Tgt'!$G:$G)*S14/S$60,0)</f>
        <v>16819.408200002548</v>
      </c>
      <c r="AS14" s="42">
        <f>IFERROR(_xlfn.XLOOKUP(AS$7,'Product Tgt'!$B:$B,'Product Tgt'!$G:$G)*T14/T$60,0)</f>
        <v>6817.4079217639228</v>
      </c>
      <c r="AT14" s="42">
        <f>IFERROR(_xlfn.XLOOKUP(AT$7,'Product Tgt'!$B:$B,'Product Tgt'!$G:$G)*U14/U$60,0)</f>
        <v>12306.55091082814</v>
      </c>
      <c r="AU14" s="42">
        <f>IFERROR(_xlfn.XLOOKUP(AU$7,'Product Tgt'!$B:$B,'Product Tgt'!$G:$G)*V14/V$60,0)</f>
        <v>8500.214562155521</v>
      </c>
      <c r="AV14" s="42">
        <f>IFERROR(_xlfn.XLOOKUP(AV$7,'Product Tgt'!$B:$B,'Product Tgt'!$G:$G)*W14/W$60,0)</f>
        <v>13703.065342019305</v>
      </c>
      <c r="AW14" s="42">
        <f>IFERROR(_xlfn.XLOOKUP(AW$7,'Product Tgt'!$B:$B,'Product Tgt'!$G:$G)*X14/X$60,0)</f>
        <v>14952.628819624866</v>
      </c>
      <c r="AX14" s="42">
        <f>IFERROR(_xlfn.XLOOKUP(AX$7,'Product Tgt'!$B:$B,'Product Tgt'!$G:$G)*Y14/Y$60,0)</f>
        <v>9300.8397892802532</v>
      </c>
      <c r="AY14" s="42">
        <f>IFERROR(_xlfn.XLOOKUP(AY$7,'Product Tgt'!$B:$B,'Product Tgt'!$G:$G)*Z14/Z$60,0)</f>
        <v>37702.414919202718</v>
      </c>
      <c r="AZ14" s="42">
        <f>IFERROR(_xlfn.XLOOKUP(AZ$7,'Product Tgt'!$B:$B,'Product Tgt'!$G:$G)*AA14/AA$60,0)</f>
        <v>4722.8149159786153</v>
      </c>
      <c r="BA14" s="42">
        <f>IFERROR(_xlfn.XLOOKUP(BA$7,'Product Tgt'!$B:$B,'Product Tgt'!$G:$G)*AB14/AB$60,0)</f>
        <v>16906.06148486639</v>
      </c>
      <c r="BB14" s="42">
        <f>IFERROR(_xlfn.XLOOKUP(BB$7,'Product Tgt'!$B:$B,'Product Tgt'!$G:$G)*AC14/AC$60,0)</f>
        <v>4628.1911474370527</v>
      </c>
      <c r="BC14" s="42">
        <f>IFERROR(_xlfn.XLOOKUP(BC$7,'Product Tgt'!$B:$B,'Product Tgt'!$G:$G)*AD14/AD$60,0)</f>
        <v>5013.0364261417189</v>
      </c>
      <c r="BD14" s="42">
        <f>IFERROR(_xlfn.XLOOKUP(BD$7,'Product Tgt'!$B:$B,'Product Tgt'!$G:$G)*AE14/AE$60,0)</f>
        <v>848.41146063608437</v>
      </c>
      <c r="BE14" s="10">
        <f>ROUND(IFERROR(AF14/_xlfn.XLOOKUP(BE$7,'Product Tgt'!$B:$B,'Product Tgt'!$D:$D),0),0)</f>
        <v>0</v>
      </c>
      <c r="BF14" s="11">
        <f>ROUND(IFERROR(AG14/_xlfn.XLOOKUP(BF$7,'Product Tgt'!$B:$B,'Product Tgt'!$D:$D),0),0)</f>
        <v>0</v>
      </c>
      <c r="BG14" s="11">
        <f>ROUND(IFERROR(AH14/_xlfn.XLOOKUP(BG$7,'Product Tgt'!$B:$B,'Product Tgt'!$D:$D),0),0)</f>
        <v>0</v>
      </c>
      <c r="BH14" s="11">
        <f>ROUND(IFERROR(AI14/_xlfn.XLOOKUP(BH$7,'Product Tgt'!$B:$B,'Product Tgt'!$D:$D),0),0)</f>
        <v>0</v>
      </c>
      <c r="BI14" s="11">
        <f>ROUND(IFERROR(AM14/_xlfn.XLOOKUP(BI$7,'Product Tgt'!$B:$B,'Product Tgt'!$D:$D),0),0)</f>
        <v>0</v>
      </c>
      <c r="BJ14" s="11">
        <f>ROUND(IFERROR(#REF!/_xlfn.XLOOKUP(BJ$7,'Product Tgt'!$B:$B,'Product Tgt'!$D:$D),0),0)</f>
        <v>0</v>
      </c>
      <c r="BK14" s="11">
        <f>ROUND(IFERROR(#REF!/_xlfn.XLOOKUP(BK$7,'Product Tgt'!$B:$B,'Product Tgt'!$D:$D),0),0)</f>
        <v>0</v>
      </c>
      <c r="BL14" s="11">
        <f>ROUND(IFERROR(AN14/_xlfn.XLOOKUP(BL$7,'Product Tgt'!$B:$B,'Product Tgt'!$D:$D),0),0)</f>
        <v>0</v>
      </c>
      <c r="BM14" s="11">
        <f>ROUND(IFERROR(AQ14/_xlfn.XLOOKUP(BM$7,'Product Tgt'!$B:$B,'Product Tgt'!$D:$D),0),0)</f>
        <v>0</v>
      </c>
      <c r="BN14" s="11">
        <f>ROUND(IFERROR(AR14/_xlfn.XLOOKUP(BN$7,'Product Tgt'!$B:$B,'Product Tgt'!$D:$D),0),0)</f>
        <v>0</v>
      </c>
      <c r="BO14" s="11">
        <f>ROUND(IFERROR(AS14/_xlfn.XLOOKUP(BO$7,'Product Tgt'!$B:$B,'Product Tgt'!$D:$D),0),0)</f>
        <v>0</v>
      </c>
      <c r="BP14" s="11">
        <f>ROUND(IFERROR(AT14/_xlfn.XLOOKUP(BP$7,'Product Tgt'!$B:$B,'Product Tgt'!$D:$D),0),0)</f>
        <v>0</v>
      </c>
      <c r="BQ14" s="11">
        <f>ROUND(IFERROR(AU14/_xlfn.XLOOKUP(BQ$7,'Product Tgt'!$B:$B,'Product Tgt'!$D:$D),0),0)</f>
        <v>0</v>
      </c>
      <c r="BR14" s="11">
        <f>ROUND(IFERROR(AV14/_xlfn.XLOOKUP(BR$7,'Product Tgt'!$B:$B,'Product Tgt'!$D:$D),0),0)</f>
        <v>0</v>
      </c>
      <c r="BS14" s="11">
        <f>ROUND(IFERROR(AW14/_xlfn.XLOOKUP(BS$7,'Product Tgt'!$B:$B,'Product Tgt'!$D:$D),0),0)</f>
        <v>0</v>
      </c>
      <c r="BT14" s="11">
        <f>ROUND(IFERROR(AX14/_xlfn.XLOOKUP(BT$7,'Product Tgt'!$B:$B,'Product Tgt'!$D:$D),0),0)</f>
        <v>0</v>
      </c>
      <c r="BU14" s="11">
        <f>ROUND(IFERROR(AY14/_xlfn.XLOOKUP(BU$7,'Product Tgt'!$B:$B,'Product Tgt'!$D:$D),0),0)</f>
        <v>0</v>
      </c>
      <c r="BV14" s="11">
        <f>ROUND(IFERROR(AZ14/_xlfn.XLOOKUP(BV$7,'Product Tgt'!$B:$B,'Product Tgt'!$D:$D),0),0)</f>
        <v>0</v>
      </c>
      <c r="BW14" s="11">
        <f>ROUND(IFERROR(BA14/_xlfn.XLOOKUP(BW$7,'Product Tgt'!$B:$B,'Product Tgt'!$D:$D),0),0)</f>
        <v>0</v>
      </c>
      <c r="BX14" s="11">
        <f>ROUND(IFERROR(BB14/_xlfn.XLOOKUP(BX$7,'Product Tgt'!$B:$B,'Product Tgt'!$D:$D),0),0)</f>
        <v>0</v>
      </c>
      <c r="BY14" s="11">
        <f>ROUND(IFERROR(BC14/_xlfn.XLOOKUP(BY$7,'Product Tgt'!$B:$B,'Product Tgt'!$D:$D),0),0)</f>
        <v>0</v>
      </c>
      <c r="BZ14" s="13">
        <f>ROUND(IFERROR(BD14/_xlfn.XLOOKUP(BZ$7,'Product Tgt'!$B:$B,'Product Tgt'!$D:$D),0),0)</f>
        <v>0</v>
      </c>
    </row>
    <row r="15" spans="1:78" x14ac:dyDescent="0.25">
      <c r="A15" s="4" t="s">
        <v>75</v>
      </c>
      <c r="B15" s="3">
        <f>_xlfn.XLOOKUP(A15,'Terr Target'!$A:$A,'Terr Target'!$E:$E)</f>
        <v>384584.06570374599</v>
      </c>
      <c r="C15" s="3">
        <f t="shared" si="4"/>
        <v>384583.51935863268</v>
      </c>
      <c r="D15" s="5">
        <f t="shared" si="6"/>
        <v>-0.54634511331096292</v>
      </c>
      <c r="E15" s="6">
        <f t="shared" si="7"/>
        <v>1.4206149920883218E-6</v>
      </c>
      <c r="F15" s="6">
        <f t="shared" si="8"/>
        <v>1.0000014206149921</v>
      </c>
      <c r="G15" s="49">
        <v>13024.741218678124</v>
      </c>
      <c r="H15" s="50">
        <v>18029.994635855641</v>
      </c>
      <c r="I15" s="50">
        <v>88464.756360450323</v>
      </c>
      <c r="J15" s="50">
        <v>108413.16820477489</v>
      </c>
      <c r="K15" s="50">
        <v>13995.91473194587</v>
      </c>
      <c r="L15" s="50">
        <v>14028.720446487237</v>
      </c>
      <c r="M15" s="50">
        <v>0</v>
      </c>
      <c r="N15" s="50">
        <v>3367.2042154355563</v>
      </c>
      <c r="O15" s="50">
        <v>6623.1939495047936</v>
      </c>
      <c r="P15" s="50">
        <v>1374.3799155014992</v>
      </c>
      <c r="Q15" s="50">
        <v>1172.8619631078273</v>
      </c>
      <c r="R15" s="50">
        <v>1350.4300389118366</v>
      </c>
      <c r="S15" s="50">
        <v>16168.573720795017</v>
      </c>
      <c r="T15" s="50">
        <v>3062.575425010762</v>
      </c>
      <c r="U15" s="50">
        <v>14817.080580158514</v>
      </c>
      <c r="V15" s="50">
        <v>2963.5063793856843</v>
      </c>
      <c r="W15" s="50">
        <v>12325.330605724483</v>
      </c>
      <c r="X15" s="50">
        <v>10614.819989258771</v>
      </c>
      <c r="Y15" s="50">
        <v>2477.0771647813203</v>
      </c>
      <c r="Z15" s="50">
        <v>27453.87993268725</v>
      </c>
      <c r="AA15" s="50">
        <v>7272.6889277068649</v>
      </c>
      <c r="AB15" s="50">
        <v>13246.708835379299</v>
      </c>
      <c r="AC15" s="50">
        <v>4003.3309108111889</v>
      </c>
      <c r="AD15" s="50">
        <v>4336.2175507615066</v>
      </c>
      <c r="AE15" s="51">
        <v>733.86593536262387</v>
      </c>
      <c r="AF15" s="42">
        <f>IFERROR(_xlfn.XLOOKUP(AF$7,'Product Tgt'!$B:$B,'Product Tgt'!$G:$G)*G15/G$60,0)</f>
        <v>13120.908536605464</v>
      </c>
      <c r="AG15" s="42">
        <f>IFERROR(_xlfn.XLOOKUP(AG$7,'Product Tgt'!$B:$B,'Product Tgt'!$G:$G)*H15/H$60,0)</f>
        <v>18459.957844467688</v>
      </c>
      <c r="AH15" s="42">
        <f>IFERROR(_xlfn.XLOOKUP(AH$7,'Product Tgt'!$B:$B,'Product Tgt'!$G:$G)*I15/I$60,0)</f>
        <v>88346.031830937005</v>
      </c>
      <c r="AI15" s="42">
        <f>IFERROR(_xlfn.XLOOKUP(AI$7,'Product Tgt'!$B:$B,'Product Tgt'!$G:$G)*J15/J$60,0)</f>
        <v>107946.50057491874</v>
      </c>
      <c r="AJ15" s="42">
        <f>IFERROR(_xlfn.XLOOKUP(AJ$7,'Product Tgt'!$B:$B,'Product Tgt'!$G:$G)*K15/K$60,0)</f>
        <v>13766.213334950224</v>
      </c>
      <c r="AK15" s="42">
        <f>IFERROR(_xlfn.XLOOKUP(AK$7,'Product Tgt'!$B:$B,'Product Tgt'!$G:$G)*L15/L$60,0)</f>
        <v>14438.026743282066</v>
      </c>
      <c r="AL15" s="42">
        <f>IFERROR(_xlfn.XLOOKUP(AL$7,'Product Tgt'!$B:$B,'Product Tgt'!$G:$G)*M15/M$60,0)</f>
        <v>0</v>
      </c>
      <c r="AM15" s="42">
        <f>IFERROR(_xlfn.XLOOKUP(AM$7,'Product Tgt'!$B:$B,'Product Tgt'!$G:$G)*N15/N$60,0)</f>
        <v>3344.736316355712</v>
      </c>
      <c r="AN15" s="42">
        <f>IFERROR(_xlfn.XLOOKUP(AN$7,'Product Tgt'!$B:$B,'Product Tgt'!$G:$G)*O15/O$60,0)</f>
        <v>7223.3979369769377</v>
      </c>
      <c r="AO15" s="42">
        <f>IFERROR(_xlfn.XLOOKUP(AO$7,'Product Tgt'!$B:$B,'Product Tgt'!$G:$G)*P15/P$60,0)</f>
        <v>1317.7849507557594</v>
      </c>
      <c r="AP15" s="42">
        <f>IFERROR(_xlfn.XLOOKUP(AP$7,'Product Tgt'!$B:$B,'Product Tgt'!$G:$G)*Q15/Q$60,0)</f>
        <v>891.55090108399463</v>
      </c>
      <c r="AQ15" s="42">
        <f>IFERROR(_xlfn.XLOOKUP(AQ$7,'Product Tgt'!$B:$B,'Product Tgt'!$G:$G)*R15/R$60,0)</f>
        <v>1126.7968275631044</v>
      </c>
      <c r="AR15" s="42">
        <f>IFERROR(_xlfn.XLOOKUP(AR$7,'Product Tgt'!$B:$B,'Product Tgt'!$G:$G)*S15/S$60,0)</f>
        <v>15658.305115861605</v>
      </c>
      <c r="AS15" s="42">
        <f>IFERROR(_xlfn.XLOOKUP(AS$7,'Product Tgt'!$B:$B,'Product Tgt'!$G:$G)*T15/T$60,0)</f>
        <v>2780.1045095077448</v>
      </c>
      <c r="AT15" s="42">
        <f>IFERROR(_xlfn.XLOOKUP(AT$7,'Product Tgt'!$B:$B,'Product Tgt'!$G:$G)*U15/U$60,0)</f>
        <v>12652.163455491875</v>
      </c>
      <c r="AU15" s="42">
        <f>IFERROR(_xlfn.XLOOKUP(AU$7,'Product Tgt'!$B:$B,'Product Tgt'!$G:$G)*V15/V$60,0)</f>
        <v>3122.7568410297022</v>
      </c>
      <c r="AV15" s="42">
        <f>IFERROR(_xlfn.XLOOKUP(AV$7,'Product Tgt'!$B:$B,'Product Tgt'!$G:$G)*W15/W$60,0)</f>
        <v>11880.872761365436</v>
      </c>
      <c r="AW15" s="42">
        <f>IFERROR(_xlfn.XLOOKUP(AW$7,'Product Tgt'!$B:$B,'Product Tgt'!$G:$G)*X15/X$60,0)</f>
        <v>10950.127607271888</v>
      </c>
      <c r="AX15" s="42">
        <f>IFERROR(_xlfn.XLOOKUP(AX$7,'Product Tgt'!$B:$B,'Product Tgt'!$G:$G)*Y15/Y$60,0)</f>
        <v>2383.8672449756973</v>
      </c>
      <c r="AY15" s="42">
        <f>IFERROR(_xlfn.XLOOKUP(AY$7,'Product Tgt'!$B:$B,'Product Tgt'!$G:$G)*Z15/Z$60,0)</f>
        <v>26441.177948578217</v>
      </c>
      <c r="AZ15" s="42">
        <f>IFERROR(_xlfn.XLOOKUP(AZ$7,'Product Tgt'!$B:$B,'Product Tgt'!$G:$G)*AA15/AA$60,0)</f>
        <v>7268.7697479441167</v>
      </c>
      <c r="BA15" s="42">
        <f>IFERROR(_xlfn.XLOOKUP(BA$7,'Product Tgt'!$B:$B,'Product Tgt'!$G:$G)*AB15/AB$60,0)</f>
        <v>12373.260553432252</v>
      </c>
      <c r="BB15" s="42">
        <f>IFERROR(_xlfn.XLOOKUP(BB$7,'Product Tgt'!$B:$B,'Product Tgt'!$G:$G)*AC15/AC$60,0)</f>
        <v>4010.7404093387267</v>
      </c>
      <c r="BC15" s="42">
        <f>IFERROR(_xlfn.XLOOKUP(BC$7,'Product Tgt'!$B:$B,'Product Tgt'!$G:$G)*AD15/AD$60,0)</f>
        <v>4344.2431669978978</v>
      </c>
      <c r="BD15" s="42">
        <f>IFERROR(_xlfn.XLOOKUP(BD$7,'Product Tgt'!$B:$B,'Product Tgt'!$G:$G)*AE15/AE$60,0)</f>
        <v>735.22419894078428</v>
      </c>
      <c r="BE15" s="10">
        <f>ROUND(IFERROR(AF15/_xlfn.XLOOKUP(BE$7,'Product Tgt'!$B:$B,'Product Tgt'!$D:$D),0),0)</f>
        <v>0</v>
      </c>
      <c r="BF15" s="11">
        <f>ROUND(IFERROR(AG15/_xlfn.XLOOKUP(BF$7,'Product Tgt'!$B:$B,'Product Tgt'!$D:$D),0),0)</f>
        <v>0</v>
      </c>
      <c r="BG15" s="11">
        <f>ROUND(IFERROR(AH15/_xlfn.XLOOKUP(BG$7,'Product Tgt'!$B:$B,'Product Tgt'!$D:$D),0),0)</f>
        <v>0</v>
      </c>
      <c r="BH15" s="11">
        <f>ROUND(IFERROR(AI15/_xlfn.XLOOKUP(BH$7,'Product Tgt'!$B:$B,'Product Tgt'!$D:$D),0),0)</f>
        <v>0</v>
      </c>
      <c r="BI15" s="11">
        <f>ROUND(IFERROR(AM15/_xlfn.XLOOKUP(BI$7,'Product Tgt'!$B:$B,'Product Tgt'!$D:$D),0),0)</f>
        <v>0</v>
      </c>
      <c r="BJ15" s="11">
        <f>ROUND(IFERROR(#REF!/_xlfn.XLOOKUP(BJ$7,'Product Tgt'!$B:$B,'Product Tgt'!$D:$D),0),0)</f>
        <v>0</v>
      </c>
      <c r="BK15" s="11">
        <f>ROUND(IFERROR(#REF!/_xlfn.XLOOKUP(BK$7,'Product Tgt'!$B:$B,'Product Tgt'!$D:$D),0),0)</f>
        <v>0</v>
      </c>
      <c r="BL15" s="11">
        <f>ROUND(IFERROR(AN15/_xlfn.XLOOKUP(BL$7,'Product Tgt'!$B:$B,'Product Tgt'!$D:$D),0),0)</f>
        <v>0</v>
      </c>
      <c r="BM15" s="11">
        <f>ROUND(IFERROR(AQ15/_xlfn.XLOOKUP(BM$7,'Product Tgt'!$B:$B,'Product Tgt'!$D:$D),0),0)</f>
        <v>0</v>
      </c>
      <c r="BN15" s="11">
        <f>ROUND(IFERROR(AR15/_xlfn.XLOOKUP(BN$7,'Product Tgt'!$B:$B,'Product Tgt'!$D:$D),0),0)</f>
        <v>0</v>
      </c>
      <c r="BO15" s="11">
        <f>ROUND(IFERROR(AS15/_xlfn.XLOOKUP(BO$7,'Product Tgt'!$B:$B,'Product Tgt'!$D:$D),0),0)</f>
        <v>0</v>
      </c>
      <c r="BP15" s="11">
        <f>ROUND(IFERROR(AT15/_xlfn.XLOOKUP(BP$7,'Product Tgt'!$B:$B,'Product Tgt'!$D:$D),0),0)</f>
        <v>0</v>
      </c>
      <c r="BQ15" s="11">
        <f>ROUND(IFERROR(AU15/_xlfn.XLOOKUP(BQ$7,'Product Tgt'!$B:$B,'Product Tgt'!$D:$D),0),0)</f>
        <v>0</v>
      </c>
      <c r="BR15" s="11">
        <f>ROUND(IFERROR(AV15/_xlfn.XLOOKUP(BR$7,'Product Tgt'!$B:$B,'Product Tgt'!$D:$D),0),0)</f>
        <v>0</v>
      </c>
      <c r="BS15" s="11">
        <f>ROUND(IFERROR(AW15/_xlfn.XLOOKUP(BS$7,'Product Tgt'!$B:$B,'Product Tgt'!$D:$D),0),0)</f>
        <v>0</v>
      </c>
      <c r="BT15" s="11">
        <f>ROUND(IFERROR(AX15/_xlfn.XLOOKUP(BT$7,'Product Tgt'!$B:$B,'Product Tgt'!$D:$D),0),0)</f>
        <v>0</v>
      </c>
      <c r="BU15" s="11">
        <f>ROUND(IFERROR(AY15/_xlfn.XLOOKUP(BU$7,'Product Tgt'!$B:$B,'Product Tgt'!$D:$D),0),0)</f>
        <v>0</v>
      </c>
      <c r="BV15" s="11">
        <f>ROUND(IFERROR(AZ15/_xlfn.XLOOKUP(BV$7,'Product Tgt'!$B:$B,'Product Tgt'!$D:$D),0),0)</f>
        <v>0</v>
      </c>
      <c r="BW15" s="11">
        <f>ROUND(IFERROR(BA15/_xlfn.XLOOKUP(BW$7,'Product Tgt'!$B:$B,'Product Tgt'!$D:$D),0),0)</f>
        <v>0</v>
      </c>
      <c r="BX15" s="11">
        <f>ROUND(IFERROR(BB15/_xlfn.XLOOKUP(BX$7,'Product Tgt'!$B:$B,'Product Tgt'!$D:$D),0),0)</f>
        <v>0</v>
      </c>
      <c r="BY15" s="11">
        <f>ROUND(IFERROR(BC15/_xlfn.XLOOKUP(BY$7,'Product Tgt'!$B:$B,'Product Tgt'!$D:$D),0),0)</f>
        <v>0</v>
      </c>
      <c r="BZ15" s="13">
        <f>ROUND(IFERROR(BD15/_xlfn.XLOOKUP(BZ$7,'Product Tgt'!$B:$B,'Product Tgt'!$D:$D),0),0)</f>
        <v>0</v>
      </c>
    </row>
    <row r="16" spans="1:78" x14ac:dyDescent="0.25">
      <c r="A16" s="4" t="s">
        <v>180</v>
      </c>
      <c r="B16" s="3">
        <f>_xlfn.XLOOKUP(A16,'Terr Target'!$A:$A,'Terr Target'!$E:$E)</f>
        <v>391562.72015087766</v>
      </c>
      <c r="C16" s="3">
        <f t="shared" si="4"/>
        <v>391563.17259153124</v>
      </c>
      <c r="D16" s="5">
        <f t="shared" si="6"/>
        <v>0.45244065357837826</v>
      </c>
      <c r="E16" s="6">
        <f t="shared" si="7"/>
        <v>1.1554729485511469E-6</v>
      </c>
      <c r="F16" s="6">
        <f t="shared" si="8"/>
        <v>0.99999884452705146</v>
      </c>
      <c r="G16" s="49">
        <v>15500.957930179395</v>
      </c>
      <c r="H16" s="50">
        <v>34578.72499112269</v>
      </c>
      <c r="I16" s="50">
        <v>102016.9062313225</v>
      </c>
      <c r="J16" s="50">
        <v>88571.858602823821</v>
      </c>
      <c r="K16" s="50">
        <v>5524.3084298014355</v>
      </c>
      <c r="L16" s="50">
        <v>4314.2975949378333</v>
      </c>
      <c r="M16" s="50">
        <v>0</v>
      </c>
      <c r="N16" s="50">
        <v>1609.6672818330878</v>
      </c>
      <c r="O16" s="50">
        <v>9630.762053621318</v>
      </c>
      <c r="P16" s="50">
        <v>937.55477917254507</v>
      </c>
      <c r="Q16" s="50">
        <v>1369.3734214722956</v>
      </c>
      <c r="R16" s="50">
        <v>0</v>
      </c>
      <c r="S16" s="50">
        <v>22915.891548645646</v>
      </c>
      <c r="T16" s="50">
        <v>1506.1966781024685</v>
      </c>
      <c r="U16" s="50">
        <v>24537.999112077789</v>
      </c>
      <c r="V16" s="50">
        <v>3853.0349687576913</v>
      </c>
      <c r="W16" s="50">
        <v>11859.348225727263</v>
      </c>
      <c r="X16" s="50">
        <v>14734.650472348938</v>
      </c>
      <c r="Y16" s="50">
        <v>2829.5985964407578</v>
      </c>
      <c r="Z16" s="50">
        <v>25316.1813841619</v>
      </c>
      <c r="AA16" s="50">
        <v>3319.4520452433007</v>
      </c>
      <c r="AB16" s="50">
        <v>8413.3604613483858</v>
      </c>
      <c r="AC16" s="50">
        <v>5756.6408772809154</v>
      </c>
      <c r="AD16" s="50">
        <v>6235.3194781089451</v>
      </c>
      <c r="AE16" s="51">
        <v>1055.2719063377276</v>
      </c>
      <c r="AF16" s="42">
        <f>IFERROR(_xlfn.XLOOKUP(AF$7,'Product Tgt'!$B:$B,'Product Tgt'!$G:$G)*G16/G$60,0)</f>
        <v>15615.408230912599</v>
      </c>
      <c r="AG16" s="42">
        <f>IFERROR(_xlfn.XLOOKUP(AG$7,'Product Tgt'!$B:$B,'Product Tgt'!$G:$G)*H16/H$60,0)</f>
        <v>35403.32754077237</v>
      </c>
      <c r="AH16" s="42">
        <f>IFERROR(_xlfn.XLOOKUP(AH$7,'Product Tgt'!$B:$B,'Product Tgt'!$G:$G)*I16/I$60,0)</f>
        <v>101879.99397730161</v>
      </c>
      <c r="AI16" s="42">
        <f>IFERROR(_xlfn.XLOOKUP(AI$7,'Product Tgt'!$B:$B,'Product Tgt'!$G:$G)*J16/J$60,0)</f>
        <v>88190.598466157928</v>
      </c>
      <c r="AJ16" s="42">
        <f>IFERROR(_xlfn.XLOOKUP(AJ$7,'Product Tgt'!$B:$B,'Product Tgt'!$G:$G)*K16/K$60,0)</f>
        <v>5433.6433044371142</v>
      </c>
      <c r="AK16" s="42">
        <f>IFERROR(_xlfn.XLOOKUP(AK$7,'Product Tgt'!$B:$B,'Product Tgt'!$G:$G)*L16/L$60,0)</f>
        <v>4440.1728790445186</v>
      </c>
      <c r="AL16" s="42">
        <f>IFERROR(_xlfn.XLOOKUP(AL$7,'Product Tgt'!$B:$B,'Product Tgt'!$G:$G)*M16/M$60,0)</f>
        <v>0</v>
      </c>
      <c r="AM16" s="42">
        <f>IFERROR(_xlfn.XLOOKUP(AM$7,'Product Tgt'!$B:$B,'Product Tgt'!$G:$G)*N16/N$60,0)</f>
        <v>1598.9266674460644</v>
      </c>
      <c r="AN16" s="42">
        <f>IFERROR(_xlfn.XLOOKUP(AN$7,'Product Tgt'!$B:$B,'Product Tgt'!$G:$G)*O16/O$60,0)</f>
        <v>10503.516472569163</v>
      </c>
      <c r="AO16" s="42">
        <f>IFERROR(_xlfn.XLOOKUP(AO$7,'Product Tgt'!$B:$B,'Product Tgt'!$G:$G)*P16/P$60,0)</f>
        <v>898.9476378166496</v>
      </c>
      <c r="AP16" s="42">
        <f>IFERROR(_xlfn.XLOOKUP(AP$7,'Product Tgt'!$B:$B,'Product Tgt'!$G:$G)*Q16/Q$60,0)</f>
        <v>1040.9290660250163</v>
      </c>
      <c r="AQ16" s="42">
        <f>IFERROR(_xlfn.XLOOKUP(AQ$7,'Product Tgt'!$B:$B,'Product Tgt'!$G:$G)*R16/R$60,0)</f>
        <v>0</v>
      </c>
      <c r="AR16" s="42">
        <f>IFERROR(_xlfn.XLOOKUP(AR$7,'Product Tgt'!$B:$B,'Product Tgt'!$G:$G)*S16/S$60,0)</f>
        <v>22192.682426229756</v>
      </c>
      <c r="AS16" s="42">
        <f>IFERROR(_xlfn.XLOOKUP(AS$7,'Product Tgt'!$B:$B,'Product Tgt'!$G:$G)*T16/T$60,0)</f>
        <v>1367.2754449740753</v>
      </c>
      <c r="AT16" s="42">
        <f>IFERROR(_xlfn.XLOOKUP(AT$7,'Product Tgt'!$B:$B,'Product Tgt'!$G:$G)*U16/U$60,0)</f>
        <v>20952.762857513015</v>
      </c>
      <c r="AU16" s="42">
        <f>IFERROR(_xlfn.XLOOKUP(AU$7,'Product Tgt'!$B:$B,'Product Tgt'!$G:$G)*V16/V$60,0)</f>
        <v>4060.0861840928173</v>
      </c>
      <c r="AV16" s="42">
        <f>IFERROR(_xlfn.XLOOKUP(AV$7,'Product Tgt'!$B:$B,'Product Tgt'!$G:$G)*W16/W$60,0)</f>
        <v>11431.693948813834</v>
      </c>
      <c r="AW16" s="42">
        <f>IFERROR(_xlfn.XLOOKUP(AW$7,'Product Tgt'!$B:$B,'Product Tgt'!$G:$G)*X16/X$60,0)</f>
        <v>15200.09788993479</v>
      </c>
      <c r="AX16" s="42">
        <f>IFERROR(_xlfn.XLOOKUP(AX$7,'Product Tgt'!$B:$B,'Product Tgt'!$G:$G)*Y16/Y$60,0)</f>
        <v>2723.1236500780628</v>
      </c>
      <c r="AY16" s="42">
        <f>IFERROR(_xlfn.XLOOKUP(AY$7,'Product Tgt'!$B:$B,'Product Tgt'!$G:$G)*Z16/Z$60,0)</f>
        <v>24382.333520739146</v>
      </c>
      <c r="AZ16" s="42">
        <f>IFERROR(_xlfn.XLOOKUP(AZ$7,'Product Tgt'!$B:$B,'Product Tgt'!$G:$G)*AA16/AA$60,0)</f>
        <v>3317.6632255359755</v>
      </c>
      <c r="BA16" s="42">
        <f>IFERROR(_xlfn.XLOOKUP(BA$7,'Product Tgt'!$B:$B,'Product Tgt'!$G:$G)*AB16/AB$60,0)</f>
        <v>7858.6086862705461</v>
      </c>
      <c r="BB16" s="42">
        <f>IFERROR(_xlfn.XLOOKUP(BB$7,'Product Tgt'!$B:$B,'Product Tgt'!$G:$G)*AC16/AC$60,0)</f>
        <v>5767.2954604403012</v>
      </c>
      <c r="BC16" s="42">
        <f>IFERROR(_xlfn.XLOOKUP(BC$7,'Product Tgt'!$B:$B,'Product Tgt'!$G:$G)*AD16/AD$60,0)</f>
        <v>6246.8600156066113</v>
      </c>
      <c r="BD16" s="42">
        <f>IFERROR(_xlfn.XLOOKUP(BD$7,'Product Tgt'!$B:$B,'Product Tgt'!$G:$G)*AE16/AE$60,0)</f>
        <v>1057.2250388192429</v>
      </c>
      <c r="BE16" s="10">
        <f>ROUND(IFERROR(AF16/_xlfn.XLOOKUP(BE$7,'Product Tgt'!$B:$B,'Product Tgt'!$D:$D),0),0)</f>
        <v>0</v>
      </c>
      <c r="BF16" s="11">
        <f>ROUND(IFERROR(AG16/_xlfn.XLOOKUP(BF$7,'Product Tgt'!$B:$B,'Product Tgt'!$D:$D),0),0)</f>
        <v>0</v>
      </c>
      <c r="BG16" s="11">
        <f>ROUND(IFERROR(AH16/_xlfn.XLOOKUP(BG$7,'Product Tgt'!$B:$B,'Product Tgt'!$D:$D),0),0)</f>
        <v>0</v>
      </c>
      <c r="BH16" s="11">
        <f>ROUND(IFERROR(AI16/_xlfn.XLOOKUP(BH$7,'Product Tgt'!$B:$B,'Product Tgt'!$D:$D),0),0)</f>
        <v>0</v>
      </c>
      <c r="BI16" s="11">
        <f>ROUND(IFERROR(AM16/_xlfn.XLOOKUP(BI$7,'Product Tgt'!$B:$B,'Product Tgt'!$D:$D),0),0)</f>
        <v>0</v>
      </c>
      <c r="BJ16" s="11">
        <f>ROUND(IFERROR(#REF!/_xlfn.XLOOKUP(BJ$7,'Product Tgt'!$B:$B,'Product Tgt'!$D:$D),0),0)</f>
        <v>0</v>
      </c>
      <c r="BK16" s="11">
        <f>ROUND(IFERROR(#REF!/_xlfn.XLOOKUP(BK$7,'Product Tgt'!$B:$B,'Product Tgt'!$D:$D),0),0)</f>
        <v>0</v>
      </c>
      <c r="BL16" s="11">
        <f>ROUND(IFERROR(AN16/_xlfn.XLOOKUP(BL$7,'Product Tgt'!$B:$B,'Product Tgt'!$D:$D),0),0)</f>
        <v>0</v>
      </c>
      <c r="BM16" s="11">
        <f>ROUND(IFERROR(AQ16/_xlfn.XLOOKUP(BM$7,'Product Tgt'!$B:$B,'Product Tgt'!$D:$D),0),0)</f>
        <v>0</v>
      </c>
      <c r="BN16" s="11">
        <f>ROUND(IFERROR(AR16/_xlfn.XLOOKUP(BN$7,'Product Tgt'!$B:$B,'Product Tgt'!$D:$D),0),0)</f>
        <v>0</v>
      </c>
      <c r="BO16" s="11">
        <f>ROUND(IFERROR(AS16/_xlfn.XLOOKUP(BO$7,'Product Tgt'!$B:$B,'Product Tgt'!$D:$D),0),0)</f>
        <v>0</v>
      </c>
      <c r="BP16" s="11">
        <f>ROUND(IFERROR(AT16/_xlfn.XLOOKUP(BP$7,'Product Tgt'!$B:$B,'Product Tgt'!$D:$D),0),0)</f>
        <v>0</v>
      </c>
      <c r="BQ16" s="11">
        <f>ROUND(IFERROR(AU16/_xlfn.XLOOKUP(BQ$7,'Product Tgt'!$B:$B,'Product Tgt'!$D:$D),0),0)</f>
        <v>0</v>
      </c>
      <c r="BR16" s="11">
        <f>ROUND(IFERROR(AV16/_xlfn.XLOOKUP(BR$7,'Product Tgt'!$B:$B,'Product Tgt'!$D:$D),0),0)</f>
        <v>0</v>
      </c>
      <c r="BS16" s="11">
        <f>ROUND(IFERROR(AW16/_xlfn.XLOOKUP(BS$7,'Product Tgt'!$B:$B,'Product Tgt'!$D:$D),0),0)</f>
        <v>0</v>
      </c>
      <c r="BT16" s="11">
        <f>ROUND(IFERROR(AX16/_xlfn.XLOOKUP(BT$7,'Product Tgt'!$B:$B,'Product Tgt'!$D:$D),0),0)</f>
        <v>0</v>
      </c>
      <c r="BU16" s="11">
        <f>ROUND(IFERROR(AY16/_xlfn.XLOOKUP(BU$7,'Product Tgt'!$B:$B,'Product Tgt'!$D:$D),0),0)</f>
        <v>0</v>
      </c>
      <c r="BV16" s="11">
        <f>ROUND(IFERROR(AZ16/_xlfn.XLOOKUP(BV$7,'Product Tgt'!$B:$B,'Product Tgt'!$D:$D),0),0)</f>
        <v>0</v>
      </c>
      <c r="BW16" s="11">
        <f>ROUND(IFERROR(BA16/_xlfn.XLOOKUP(BW$7,'Product Tgt'!$B:$B,'Product Tgt'!$D:$D),0),0)</f>
        <v>0</v>
      </c>
      <c r="BX16" s="11">
        <f>ROUND(IFERROR(BB16/_xlfn.XLOOKUP(BX$7,'Product Tgt'!$B:$B,'Product Tgt'!$D:$D),0),0)</f>
        <v>0</v>
      </c>
      <c r="BY16" s="11">
        <f>ROUND(IFERROR(BC16/_xlfn.XLOOKUP(BY$7,'Product Tgt'!$B:$B,'Product Tgt'!$D:$D),0),0)</f>
        <v>0</v>
      </c>
      <c r="BZ16" s="13">
        <f>ROUND(IFERROR(BD16/_xlfn.XLOOKUP(BZ$7,'Product Tgt'!$B:$B,'Product Tgt'!$D:$D),0),0)</f>
        <v>0</v>
      </c>
    </row>
    <row r="17" spans="1:78" x14ac:dyDescent="0.25">
      <c r="A17" s="4" t="s">
        <v>76</v>
      </c>
      <c r="B17" s="3">
        <f>_xlfn.XLOOKUP(A17,'Terr Target'!$A:$A,'Terr Target'!$E:$E)</f>
        <v>327757.60412500752</v>
      </c>
      <c r="C17" s="3">
        <f t="shared" si="4"/>
        <v>327757.32535972161</v>
      </c>
      <c r="D17" s="5">
        <f t="shared" si="6"/>
        <v>-0.27876528591150418</v>
      </c>
      <c r="E17" s="6">
        <f t="shared" si="7"/>
        <v>8.5052343408511933E-7</v>
      </c>
      <c r="F17" s="6">
        <f t="shared" si="8"/>
        <v>1.0000008505234341</v>
      </c>
      <c r="G17" s="49">
        <v>10231.802504700168</v>
      </c>
      <c r="H17" s="50">
        <v>29361.652848289737</v>
      </c>
      <c r="I17" s="50">
        <v>93558.281663400019</v>
      </c>
      <c r="J17" s="50">
        <v>66357.984347120757</v>
      </c>
      <c r="K17" s="50">
        <v>6637.5310003111572</v>
      </c>
      <c r="L17" s="50">
        <v>5573.126116061163</v>
      </c>
      <c r="M17" s="50">
        <v>0</v>
      </c>
      <c r="N17" s="50">
        <v>1520.5468944616471</v>
      </c>
      <c r="O17" s="50">
        <v>3300.5474926698753</v>
      </c>
      <c r="P17" s="50">
        <v>1213.9890634900612</v>
      </c>
      <c r="Q17" s="50">
        <v>1258.526426864576</v>
      </c>
      <c r="R17" s="50">
        <v>1221.8196985183133</v>
      </c>
      <c r="S17" s="50">
        <v>14478.994563557526</v>
      </c>
      <c r="T17" s="50">
        <v>3097.0813254121031</v>
      </c>
      <c r="U17" s="50">
        <v>8742.7586259347681</v>
      </c>
      <c r="V17" s="50">
        <v>1668.2260536564297</v>
      </c>
      <c r="W17" s="50">
        <v>12998.132244565561</v>
      </c>
      <c r="X17" s="50">
        <v>19745.452558012901</v>
      </c>
      <c r="Y17" s="50">
        <v>3411.6201877313056</v>
      </c>
      <c r="Z17" s="50">
        <v>25413.729412125427</v>
      </c>
      <c r="AA17" s="50">
        <v>2932.1767744394233</v>
      </c>
      <c r="AB17" s="50">
        <v>11451.586839696412</v>
      </c>
      <c r="AC17" s="50">
        <v>3094.5222291452674</v>
      </c>
      <c r="AD17" s="50">
        <v>3351.8392309274168</v>
      </c>
      <c r="AE17" s="51">
        <v>567.26873215983073</v>
      </c>
      <c r="AF17" s="42">
        <f>IFERROR(_xlfn.XLOOKUP(AF$7,'Product Tgt'!$B:$B,'Product Tgt'!$G:$G)*G17/G$60,0)</f>
        <v>10307.348343801234</v>
      </c>
      <c r="AG17" s="42">
        <f>IFERROR(_xlfn.XLOOKUP(AG$7,'Product Tgt'!$B:$B,'Product Tgt'!$G:$G)*H17/H$60,0)</f>
        <v>30061.843321097636</v>
      </c>
      <c r="AH17" s="42">
        <f>IFERROR(_xlfn.XLOOKUP(AH$7,'Product Tgt'!$B:$B,'Product Tgt'!$G:$G)*I17/I$60,0)</f>
        <v>93432.721345036582</v>
      </c>
      <c r="AI17" s="42">
        <f>IFERROR(_xlfn.XLOOKUP(AI$7,'Product Tgt'!$B:$B,'Product Tgt'!$G:$G)*J17/J$60,0)</f>
        <v>66072.344477074614</v>
      </c>
      <c r="AJ17" s="42">
        <f>IFERROR(_xlfn.XLOOKUP(AJ$7,'Product Tgt'!$B:$B,'Product Tgt'!$G:$G)*K17/K$60,0)</f>
        <v>6528.5956307712622</v>
      </c>
      <c r="AK17" s="42">
        <f>IFERROR(_xlfn.XLOOKUP(AK$7,'Product Tgt'!$B:$B,'Product Tgt'!$G:$G)*L17/L$60,0)</f>
        <v>5735.7293713499748</v>
      </c>
      <c r="AL17" s="42">
        <f>IFERROR(_xlfn.XLOOKUP(AL$7,'Product Tgt'!$B:$B,'Product Tgt'!$G:$G)*M17/M$60,0)</f>
        <v>0</v>
      </c>
      <c r="AM17" s="42">
        <f>IFERROR(_xlfn.XLOOKUP(AM$7,'Product Tgt'!$B:$B,'Product Tgt'!$G:$G)*N17/N$60,0)</f>
        <v>1510.4009419190818</v>
      </c>
      <c r="AN17" s="42">
        <f>IFERROR(_xlfn.XLOOKUP(AN$7,'Product Tgt'!$B:$B,'Product Tgt'!$G:$G)*O17/O$60,0)</f>
        <v>3599.6481654034233</v>
      </c>
      <c r="AO17" s="42">
        <f>IFERROR(_xlfn.XLOOKUP(AO$7,'Product Tgt'!$B:$B,'Product Tgt'!$G:$G)*P17/P$60,0)</f>
        <v>1163.9987606087332</v>
      </c>
      <c r="AP17" s="42">
        <f>IFERROR(_xlfn.XLOOKUP(AP$7,'Product Tgt'!$B:$B,'Product Tgt'!$G:$G)*Q17/Q$60,0)</f>
        <v>956.66873443143436</v>
      </c>
      <c r="AQ17" s="42">
        <f>IFERROR(_xlfn.XLOOKUP(AQ$7,'Product Tgt'!$B:$B,'Product Tgt'!$G:$G)*R17/R$60,0)</f>
        <v>1019.4845497171476</v>
      </c>
      <c r="AR17" s="42">
        <f>IFERROR(_xlfn.XLOOKUP(AR$7,'Product Tgt'!$B:$B,'Product Tgt'!$G:$G)*S17/S$60,0)</f>
        <v>14022.047866565772</v>
      </c>
      <c r="AS17" s="42">
        <f>IFERROR(_xlfn.XLOOKUP(AS$7,'Product Tgt'!$B:$B,'Product Tgt'!$G:$G)*T17/T$60,0)</f>
        <v>2811.4278227319587</v>
      </c>
      <c r="AT17" s="42">
        <f>IFERROR(_xlfn.XLOOKUP(AT$7,'Product Tgt'!$B:$B,'Product Tgt'!$G:$G)*U17/U$60,0)</f>
        <v>7465.3580095502775</v>
      </c>
      <c r="AU17" s="42">
        <f>IFERROR(_xlfn.XLOOKUP(AU$7,'Product Tgt'!$B:$B,'Product Tgt'!$G:$G)*V17/V$60,0)</f>
        <v>1757.8718094473907</v>
      </c>
      <c r="AV17" s="42">
        <f>IFERROR(_xlfn.XLOOKUP(AV$7,'Product Tgt'!$B:$B,'Product Tgt'!$G:$G)*W17/W$60,0)</f>
        <v>12529.412822513688</v>
      </c>
      <c r="AW17" s="42">
        <f>IFERROR(_xlfn.XLOOKUP(AW$7,'Product Tgt'!$B:$B,'Product Tgt'!$G:$G)*X17/X$60,0)</f>
        <v>20369.184347201786</v>
      </c>
      <c r="AX17" s="42">
        <f>IFERROR(_xlfn.XLOOKUP(AX$7,'Product Tgt'!$B:$B,'Product Tgt'!$G:$G)*Y17/Y$60,0)</f>
        <v>3283.2443548638812</v>
      </c>
      <c r="AY17" s="42">
        <f>IFERROR(_xlfn.XLOOKUP(AY$7,'Product Tgt'!$B:$B,'Product Tgt'!$G:$G)*Z17/Z$60,0)</f>
        <v>24476.283256522958</v>
      </c>
      <c r="AZ17" s="42">
        <f>IFERROR(_xlfn.XLOOKUP(AZ$7,'Product Tgt'!$B:$B,'Product Tgt'!$G:$G)*AA17/AA$60,0)</f>
        <v>2930.5966535254929</v>
      </c>
      <c r="BA17" s="42">
        <f>IFERROR(_xlfn.XLOOKUP(BA$7,'Product Tgt'!$B:$B,'Product Tgt'!$G:$G)*AB17/AB$60,0)</f>
        <v>10696.503522398312</v>
      </c>
      <c r="BB17" s="42">
        <f>IFERROR(_xlfn.XLOOKUP(BB$7,'Product Tgt'!$B:$B,'Product Tgt'!$G:$G)*AC17/AC$60,0)</f>
        <v>3100.2496742181602</v>
      </c>
      <c r="BC17" s="42">
        <f>IFERROR(_xlfn.XLOOKUP(BC$7,'Product Tgt'!$B:$B,'Product Tgt'!$G:$G)*AD17/AD$60,0)</f>
        <v>3358.0429268994471</v>
      </c>
      <c r="BD17" s="42">
        <f>IFERROR(_xlfn.XLOOKUP(BD$7,'Product Tgt'!$B:$B,'Product Tgt'!$G:$G)*AE17/AE$60,0)</f>
        <v>568.31865207134854</v>
      </c>
      <c r="BE17" s="10">
        <f>ROUND(IFERROR(AF17/_xlfn.XLOOKUP(BE$7,'Product Tgt'!$B:$B,'Product Tgt'!$D:$D),0),0)</f>
        <v>0</v>
      </c>
      <c r="BF17" s="11">
        <f>ROUND(IFERROR(AG17/_xlfn.XLOOKUP(BF$7,'Product Tgt'!$B:$B,'Product Tgt'!$D:$D),0),0)</f>
        <v>0</v>
      </c>
      <c r="BG17" s="11">
        <f>ROUND(IFERROR(AH17/_xlfn.XLOOKUP(BG$7,'Product Tgt'!$B:$B,'Product Tgt'!$D:$D),0),0)</f>
        <v>0</v>
      </c>
      <c r="BH17" s="11">
        <f>ROUND(IFERROR(AI17/_xlfn.XLOOKUP(BH$7,'Product Tgt'!$B:$B,'Product Tgt'!$D:$D),0),0)</f>
        <v>0</v>
      </c>
      <c r="BI17" s="11">
        <f>ROUND(IFERROR(AM17/_xlfn.XLOOKUP(BI$7,'Product Tgt'!$B:$B,'Product Tgt'!$D:$D),0),0)</f>
        <v>0</v>
      </c>
      <c r="BJ17" s="11">
        <f>ROUND(IFERROR(#REF!/_xlfn.XLOOKUP(BJ$7,'Product Tgt'!$B:$B,'Product Tgt'!$D:$D),0),0)</f>
        <v>0</v>
      </c>
      <c r="BK17" s="11">
        <f>ROUND(IFERROR(#REF!/_xlfn.XLOOKUP(BK$7,'Product Tgt'!$B:$B,'Product Tgt'!$D:$D),0),0)</f>
        <v>0</v>
      </c>
      <c r="BL17" s="11">
        <f>ROUND(IFERROR(AN17/_xlfn.XLOOKUP(BL$7,'Product Tgt'!$B:$B,'Product Tgt'!$D:$D),0),0)</f>
        <v>0</v>
      </c>
      <c r="BM17" s="11">
        <f>ROUND(IFERROR(AQ17/_xlfn.XLOOKUP(BM$7,'Product Tgt'!$B:$B,'Product Tgt'!$D:$D),0),0)</f>
        <v>0</v>
      </c>
      <c r="BN17" s="11">
        <f>ROUND(IFERROR(AR17/_xlfn.XLOOKUP(BN$7,'Product Tgt'!$B:$B,'Product Tgt'!$D:$D),0),0)</f>
        <v>0</v>
      </c>
      <c r="BO17" s="11">
        <f>ROUND(IFERROR(AS17/_xlfn.XLOOKUP(BO$7,'Product Tgt'!$B:$B,'Product Tgt'!$D:$D),0),0)</f>
        <v>0</v>
      </c>
      <c r="BP17" s="11">
        <f>ROUND(IFERROR(AT17/_xlfn.XLOOKUP(BP$7,'Product Tgt'!$B:$B,'Product Tgt'!$D:$D),0),0)</f>
        <v>0</v>
      </c>
      <c r="BQ17" s="11">
        <f>ROUND(IFERROR(AU17/_xlfn.XLOOKUP(BQ$7,'Product Tgt'!$B:$B,'Product Tgt'!$D:$D),0),0)</f>
        <v>0</v>
      </c>
      <c r="BR17" s="11">
        <f>ROUND(IFERROR(AV17/_xlfn.XLOOKUP(BR$7,'Product Tgt'!$B:$B,'Product Tgt'!$D:$D),0),0)</f>
        <v>0</v>
      </c>
      <c r="BS17" s="11">
        <f>ROUND(IFERROR(AW17/_xlfn.XLOOKUP(BS$7,'Product Tgt'!$B:$B,'Product Tgt'!$D:$D),0),0)</f>
        <v>0</v>
      </c>
      <c r="BT17" s="11">
        <f>ROUND(IFERROR(AX17/_xlfn.XLOOKUP(BT$7,'Product Tgt'!$B:$B,'Product Tgt'!$D:$D),0),0)</f>
        <v>0</v>
      </c>
      <c r="BU17" s="11">
        <f>ROUND(IFERROR(AY17/_xlfn.XLOOKUP(BU$7,'Product Tgt'!$B:$B,'Product Tgt'!$D:$D),0),0)</f>
        <v>0</v>
      </c>
      <c r="BV17" s="11">
        <f>ROUND(IFERROR(AZ17/_xlfn.XLOOKUP(BV$7,'Product Tgt'!$B:$B,'Product Tgt'!$D:$D),0),0)</f>
        <v>0</v>
      </c>
      <c r="BW17" s="11">
        <f>ROUND(IFERROR(BA17/_xlfn.XLOOKUP(BW$7,'Product Tgt'!$B:$B,'Product Tgt'!$D:$D),0),0)</f>
        <v>0</v>
      </c>
      <c r="BX17" s="11">
        <f>ROUND(IFERROR(BB17/_xlfn.XLOOKUP(BX$7,'Product Tgt'!$B:$B,'Product Tgt'!$D:$D),0),0)</f>
        <v>0</v>
      </c>
      <c r="BY17" s="11">
        <f>ROUND(IFERROR(BC17/_xlfn.XLOOKUP(BY$7,'Product Tgt'!$B:$B,'Product Tgt'!$D:$D),0),0)</f>
        <v>0</v>
      </c>
      <c r="BZ17" s="13">
        <f>ROUND(IFERROR(BD17/_xlfn.XLOOKUP(BZ$7,'Product Tgt'!$B:$B,'Product Tgt'!$D:$D),0),0)</f>
        <v>0</v>
      </c>
    </row>
    <row r="18" spans="1:78" x14ac:dyDescent="0.25">
      <c r="A18" s="4" t="s">
        <v>77</v>
      </c>
      <c r="B18" s="3">
        <f>_xlfn.XLOOKUP(A18,'Terr Target'!$A:$A,'Terr Target'!$E:$E)</f>
        <v>915961.211895947</v>
      </c>
      <c r="C18" s="3">
        <f t="shared" si="4"/>
        <v>915960.32779524208</v>
      </c>
      <c r="D18" s="5">
        <f t="shared" si="6"/>
        <v>-0.88410070491954684</v>
      </c>
      <c r="E18" s="6">
        <f t="shared" si="7"/>
        <v>9.6521724586873443E-7</v>
      </c>
      <c r="F18" s="6">
        <f t="shared" si="8"/>
        <v>1.0000009652172459</v>
      </c>
      <c r="G18" s="49">
        <v>43574.276689819126</v>
      </c>
      <c r="H18" s="50">
        <v>66667.648661328087</v>
      </c>
      <c r="I18" s="50">
        <v>199259.19580736794</v>
      </c>
      <c r="J18" s="50">
        <v>218697.91811526116</v>
      </c>
      <c r="K18" s="50">
        <v>30420.704455035924</v>
      </c>
      <c r="L18" s="50">
        <v>8411.592258633189</v>
      </c>
      <c r="M18" s="50">
        <v>0</v>
      </c>
      <c r="N18" s="50">
        <v>7597.629792946509</v>
      </c>
      <c r="O18" s="50">
        <v>38968.620574072025</v>
      </c>
      <c r="P18" s="50">
        <v>5119.8461130555052</v>
      </c>
      <c r="Q18" s="50">
        <v>4732.0082308219353</v>
      </c>
      <c r="R18" s="50">
        <v>4286.5902705003582</v>
      </c>
      <c r="S18" s="50">
        <v>40166.550244517879</v>
      </c>
      <c r="T18" s="50">
        <v>4317.2556377780775</v>
      </c>
      <c r="U18" s="50">
        <v>29899.933305846007</v>
      </c>
      <c r="V18" s="50">
        <v>7334.9138104664517</v>
      </c>
      <c r="W18" s="50">
        <v>32149.417027002102</v>
      </c>
      <c r="X18" s="50">
        <v>47905.674802917063</v>
      </c>
      <c r="Y18" s="50">
        <v>11478.909122950356</v>
      </c>
      <c r="Z18" s="50">
        <v>73768.191450457685</v>
      </c>
      <c r="AA18" s="50">
        <v>5003.5757625651304</v>
      </c>
      <c r="AB18" s="50">
        <v>24526.262766575899</v>
      </c>
      <c r="AC18" s="50">
        <v>8745.9091045348814</v>
      </c>
      <c r="AD18" s="50">
        <v>9473.1525825239569</v>
      </c>
      <c r="AE18" s="51">
        <v>1603.2461239371899</v>
      </c>
      <c r="AF18" s="42">
        <f>IFERROR(_xlfn.XLOOKUP(AF$7,'Product Tgt'!$B:$B,'Product Tgt'!$G:$G)*G18/G$60,0)</f>
        <v>43896.004488439372</v>
      </c>
      <c r="AG18" s="42">
        <f>IFERROR(_xlfn.XLOOKUP(AG$7,'Product Tgt'!$B:$B,'Product Tgt'!$G:$G)*H18/H$60,0)</f>
        <v>68257.479202488699</v>
      </c>
      <c r="AH18" s="42">
        <f>IFERROR(_xlfn.XLOOKUP(AH$7,'Product Tgt'!$B:$B,'Product Tgt'!$G:$G)*I18/I$60,0)</f>
        <v>198991.77909537201</v>
      </c>
      <c r="AI18" s="42">
        <f>IFERROR(_xlfn.XLOOKUP(AI$7,'Product Tgt'!$B:$B,'Product Tgt'!$G:$G)*J18/J$60,0)</f>
        <v>217756.52657776311</v>
      </c>
      <c r="AJ18" s="42">
        <f>IFERROR(_xlfn.XLOOKUP(AJ$7,'Product Tgt'!$B:$B,'Product Tgt'!$G:$G)*K18/K$60,0)</f>
        <v>29921.43888756544</v>
      </c>
      <c r="AK18" s="42">
        <f>IFERROR(_xlfn.XLOOKUP(AK$7,'Product Tgt'!$B:$B,'Product Tgt'!$G:$G)*L18/L$60,0)</f>
        <v>8657.0114820514791</v>
      </c>
      <c r="AL18" s="42">
        <f>IFERROR(_xlfn.XLOOKUP(AL$7,'Product Tgt'!$B:$B,'Product Tgt'!$G:$G)*M18/M$60,0)</f>
        <v>0</v>
      </c>
      <c r="AM18" s="42">
        <f>IFERROR(_xlfn.XLOOKUP(AM$7,'Product Tgt'!$B:$B,'Product Tgt'!$G:$G)*N18/N$60,0)</f>
        <v>7546.9340915538151</v>
      </c>
      <c r="AN18" s="42">
        <f>IFERROR(_xlfn.XLOOKUP(AN$7,'Product Tgt'!$B:$B,'Product Tgt'!$G:$G)*O18/O$60,0)</f>
        <v>42500.016700044733</v>
      </c>
      <c r="AO18" s="42">
        <f>IFERROR(_xlfn.XLOOKUP(AO$7,'Product Tgt'!$B:$B,'Product Tgt'!$G:$G)*P18/P$60,0)</f>
        <v>4909.0183011791514</v>
      </c>
      <c r="AP18" s="42">
        <f>IFERROR(_xlfn.XLOOKUP(AP$7,'Product Tgt'!$B:$B,'Product Tgt'!$G:$G)*Q18/Q$60,0)</f>
        <v>3597.0355718137625</v>
      </c>
      <c r="AQ18" s="42">
        <f>IFERROR(_xlfn.XLOOKUP(AQ$7,'Product Tgt'!$B:$B,'Product Tgt'!$G:$G)*R18/R$60,0)</f>
        <v>3576.7245830481779</v>
      </c>
      <c r="AR18" s="42">
        <f>IFERROR(_xlfn.XLOOKUP(AR$7,'Product Tgt'!$B:$B,'Product Tgt'!$G:$G)*S18/S$60,0)</f>
        <v>38898.92269046235</v>
      </c>
      <c r="AS18" s="42">
        <f>IFERROR(_xlfn.XLOOKUP(AS$7,'Product Tgt'!$B:$B,'Product Tgt'!$G:$G)*T18/T$60,0)</f>
        <v>3919.0616398426796</v>
      </c>
      <c r="AT18" s="42">
        <f>IFERROR(_xlfn.XLOOKUP(AT$7,'Product Tgt'!$B:$B,'Product Tgt'!$G:$G)*U18/U$60,0)</f>
        <v>25531.267205258202</v>
      </c>
      <c r="AU18" s="42">
        <f>IFERROR(_xlfn.XLOOKUP(AU$7,'Product Tgt'!$B:$B,'Product Tgt'!$G:$G)*V18/V$60,0)</f>
        <v>7729.0713592948096</v>
      </c>
      <c r="AV18" s="42">
        <f>IFERROR(_xlfn.XLOOKUP(AV$7,'Product Tgt'!$B:$B,'Product Tgt'!$G:$G)*W18/W$60,0)</f>
        <v>30990.092295981511</v>
      </c>
      <c r="AW18" s="42">
        <f>IFERROR(_xlfn.XLOOKUP(AW$7,'Product Tgt'!$B:$B,'Product Tgt'!$G:$G)*X18/X$60,0)</f>
        <v>49418.949424976752</v>
      </c>
      <c r="AX18" s="42">
        <f>IFERROR(_xlfn.XLOOKUP(AX$7,'Product Tgt'!$B:$B,'Product Tgt'!$G:$G)*Y18/Y$60,0)</f>
        <v>11046.969329544405</v>
      </c>
      <c r="AY18" s="42">
        <f>IFERROR(_xlfn.XLOOKUP(AY$7,'Product Tgt'!$B:$B,'Product Tgt'!$G:$G)*Z18/Z$60,0)</f>
        <v>71047.075381283517</v>
      </c>
      <c r="AZ18" s="42">
        <f>IFERROR(_xlfn.XLOOKUP(AZ$7,'Product Tgt'!$B:$B,'Product Tgt'!$G:$G)*AA18/AA$60,0)</f>
        <v>5000.8793853290144</v>
      </c>
      <c r="BA18" s="42">
        <f>IFERROR(_xlfn.XLOOKUP(BA$7,'Product Tgt'!$B:$B,'Product Tgt'!$G:$G)*AB18/AB$60,0)</f>
        <v>22909.074501757048</v>
      </c>
      <c r="BB18" s="42">
        <f>IFERROR(_xlfn.XLOOKUP(BB$7,'Product Tgt'!$B:$B,'Product Tgt'!$G:$G)*AC18/AC$60,0)</f>
        <v>8762.0963251458543</v>
      </c>
      <c r="BC18" s="42">
        <f>IFERROR(_xlfn.XLOOKUP(BC$7,'Product Tgt'!$B:$B,'Product Tgt'!$G:$G)*AD18/AD$60,0)</f>
        <v>9490.6858096478518</v>
      </c>
      <c r="BD18" s="42">
        <f>IFERROR(_xlfn.XLOOKUP(BD$7,'Product Tgt'!$B:$B,'Product Tgt'!$G:$G)*AE18/AE$60,0)</f>
        <v>1606.2134653983992</v>
      </c>
      <c r="BE18" s="10">
        <f>ROUND(IFERROR(AF18/_xlfn.XLOOKUP(BE$7,'Product Tgt'!$B:$B,'Product Tgt'!$D:$D),0),0)</f>
        <v>0</v>
      </c>
      <c r="BF18" s="11">
        <f>ROUND(IFERROR(AG18/_xlfn.XLOOKUP(BF$7,'Product Tgt'!$B:$B,'Product Tgt'!$D:$D),0),0)</f>
        <v>0</v>
      </c>
      <c r="BG18" s="11">
        <f>ROUND(IFERROR(AH18/_xlfn.XLOOKUP(BG$7,'Product Tgt'!$B:$B,'Product Tgt'!$D:$D),0),0)</f>
        <v>0</v>
      </c>
      <c r="BH18" s="11">
        <f>ROUND(IFERROR(AI18/_xlfn.XLOOKUP(BH$7,'Product Tgt'!$B:$B,'Product Tgt'!$D:$D),0),0)</f>
        <v>0</v>
      </c>
      <c r="BI18" s="11">
        <f>ROUND(IFERROR(AM18/_xlfn.XLOOKUP(BI$7,'Product Tgt'!$B:$B,'Product Tgt'!$D:$D),0),0)</f>
        <v>0</v>
      </c>
      <c r="BJ18" s="11">
        <f>ROUND(IFERROR(#REF!/_xlfn.XLOOKUP(BJ$7,'Product Tgt'!$B:$B,'Product Tgt'!$D:$D),0),0)</f>
        <v>0</v>
      </c>
      <c r="BK18" s="11">
        <f>ROUND(IFERROR(#REF!/_xlfn.XLOOKUP(BK$7,'Product Tgt'!$B:$B,'Product Tgt'!$D:$D),0),0)</f>
        <v>0</v>
      </c>
      <c r="BL18" s="11">
        <f>ROUND(IFERROR(AN18/_xlfn.XLOOKUP(BL$7,'Product Tgt'!$B:$B,'Product Tgt'!$D:$D),0),0)</f>
        <v>0</v>
      </c>
      <c r="BM18" s="11">
        <f>ROUND(IFERROR(AQ18/_xlfn.XLOOKUP(BM$7,'Product Tgt'!$B:$B,'Product Tgt'!$D:$D),0),0)</f>
        <v>0</v>
      </c>
      <c r="BN18" s="11">
        <f>ROUND(IFERROR(AR18/_xlfn.XLOOKUP(BN$7,'Product Tgt'!$B:$B,'Product Tgt'!$D:$D),0),0)</f>
        <v>0</v>
      </c>
      <c r="BO18" s="11">
        <f>ROUND(IFERROR(AS18/_xlfn.XLOOKUP(BO$7,'Product Tgt'!$B:$B,'Product Tgt'!$D:$D),0),0)</f>
        <v>0</v>
      </c>
      <c r="BP18" s="11">
        <f>ROUND(IFERROR(AT18/_xlfn.XLOOKUP(BP$7,'Product Tgt'!$B:$B,'Product Tgt'!$D:$D),0),0)</f>
        <v>0</v>
      </c>
      <c r="BQ18" s="11">
        <f>ROUND(IFERROR(AU18/_xlfn.XLOOKUP(BQ$7,'Product Tgt'!$B:$B,'Product Tgt'!$D:$D),0),0)</f>
        <v>0</v>
      </c>
      <c r="BR18" s="11">
        <f>ROUND(IFERROR(AV18/_xlfn.XLOOKUP(BR$7,'Product Tgt'!$B:$B,'Product Tgt'!$D:$D),0),0)</f>
        <v>0</v>
      </c>
      <c r="BS18" s="11">
        <f>ROUND(IFERROR(AW18/_xlfn.XLOOKUP(BS$7,'Product Tgt'!$B:$B,'Product Tgt'!$D:$D),0),0)</f>
        <v>0</v>
      </c>
      <c r="BT18" s="11">
        <f>ROUND(IFERROR(AX18/_xlfn.XLOOKUP(BT$7,'Product Tgt'!$B:$B,'Product Tgt'!$D:$D),0),0)</f>
        <v>0</v>
      </c>
      <c r="BU18" s="11">
        <f>ROUND(IFERROR(AY18/_xlfn.XLOOKUP(BU$7,'Product Tgt'!$B:$B,'Product Tgt'!$D:$D),0),0)</f>
        <v>0</v>
      </c>
      <c r="BV18" s="11">
        <f>ROUND(IFERROR(AZ18/_xlfn.XLOOKUP(BV$7,'Product Tgt'!$B:$B,'Product Tgt'!$D:$D),0),0)</f>
        <v>0</v>
      </c>
      <c r="BW18" s="11">
        <f>ROUND(IFERROR(BA18/_xlfn.XLOOKUP(BW$7,'Product Tgt'!$B:$B,'Product Tgt'!$D:$D),0),0)</f>
        <v>0</v>
      </c>
      <c r="BX18" s="11">
        <f>ROUND(IFERROR(BB18/_xlfn.XLOOKUP(BX$7,'Product Tgt'!$B:$B,'Product Tgt'!$D:$D),0),0)</f>
        <v>0</v>
      </c>
      <c r="BY18" s="11">
        <f>ROUND(IFERROR(BC18/_xlfn.XLOOKUP(BY$7,'Product Tgt'!$B:$B,'Product Tgt'!$D:$D),0),0)</f>
        <v>0</v>
      </c>
      <c r="BZ18" s="13">
        <f>ROUND(IFERROR(BD18/_xlfn.XLOOKUP(BZ$7,'Product Tgt'!$B:$B,'Product Tgt'!$D:$D),0),0)</f>
        <v>0</v>
      </c>
    </row>
    <row r="19" spans="1:78" x14ac:dyDescent="0.25">
      <c r="A19" s="4" t="s">
        <v>78</v>
      </c>
      <c r="B19" s="3">
        <f>_xlfn.XLOOKUP(A19,'Terr Target'!$A:$A,'Terr Target'!$E:$E)</f>
        <v>552125.87741571153</v>
      </c>
      <c r="C19" s="3">
        <f t="shared" si="4"/>
        <v>552125.35264779499</v>
      </c>
      <c r="D19" s="5">
        <f t="shared" si="6"/>
        <v>-0.52476791653316468</v>
      </c>
      <c r="E19" s="6">
        <f t="shared" si="7"/>
        <v>9.504506793911313E-7</v>
      </c>
      <c r="F19" s="6">
        <f t="shared" si="8"/>
        <v>1.0000009504506795</v>
      </c>
      <c r="G19" s="49">
        <v>25282.11256022556</v>
      </c>
      <c r="H19" s="50">
        <v>35633.113832288276</v>
      </c>
      <c r="I19" s="50">
        <v>120415.09240095144</v>
      </c>
      <c r="J19" s="50">
        <v>119630.98204573622</v>
      </c>
      <c r="K19" s="50">
        <v>15187.872081862424</v>
      </c>
      <c r="L19" s="50">
        <v>6289.02885794348</v>
      </c>
      <c r="M19" s="50">
        <v>0</v>
      </c>
      <c r="N19" s="50">
        <v>5267.2037865853017</v>
      </c>
      <c r="O19" s="50">
        <v>19583.642559124008</v>
      </c>
      <c r="P19" s="50">
        <v>3147.4395773425313</v>
      </c>
      <c r="Q19" s="50">
        <v>3959.2961941194685</v>
      </c>
      <c r="R19" s="50">
        <v>2798.5290838522942</v>
      </c>
      <c r="S19" s="50">
        <v>20063.557553405593</v>
      </c>
      <c r="T19" s="50">
        <v>3638.0918229337053</v>
      </c>
      <c r="U19" s="50">
        <v>19670.925373975264</v>
      </c>
      <c r="V19" s="50">
        <v>5837.6629103682471</v>
      </c>
      <c r="W19" s="50">
        <v>23652.518925487177</v>
      </c>
      <c r="X19" s="50">
        <v>34618.694453889424</v>
      </c>
      <c r="Y19" s="50">
        <v>9701.1165930317111</v>
      </c>
      <c r="Z19" s="50">
        <v>45823.347344322035</v>
      </c>
      <c r="AA19" s="50">
        <v>4085.714784772043</v>
      </c>
      <c r="AB19" s="50">
        <v>22605.436226515681</v>
      </c>
      <c r="AC19" s="50">
        <v>5099.6709836868204</v>
      </c>
      <c r="AD19" s="50">
        <v>5523.7209501852567</v>
      </c>
      <c r="AE19" s="51">
        <v>934.84023675840194</v>
      </c>
      <c r="AF19" s="42">
        <f>IFERROR(_xlfn.XLOOKUP(AF$7,'Product Tgt'!$B:$B,'Product Tgt'!$G:$G)*G19/G$60,0)</f>
        <v>25468.781371193367</v>
      </c>
      <c r="AG19" s="42">
        <f>IFERROR(_xlfn.XLOOKUP(AG$7,'Product Tgt'!$B:$B,'Product Tgt'!$G:$G)*H19/H$60,0)</f>
        <v>36482.860505296194</v>
      </c>
      <c r="AH19" s="42">
        <f>IFERROR(_xlfn.XLOOKUP(AH$7,'Product Tgt'!$B:$B,'Product Tgt'!$G:$G)*I19/I$60,0)</f>
        <v>120253.48877731906</v>
      </c>
      <c r="AI19" s="42">
        <f>IFERROR(_xlfn.XLOOKUP(AI$7,'Product Tgt'!$B:$B,'Product Tgt'!$G:$G)*J19/J$60,0)</f>
        <v>119116.02701053976</v>
      </c>
      <c r="AJ19" s="42">
        <f>IFERROR(_xlfn.XLOOKUP(AJ$7,'Product Tgt'!$B:$B,'Product Tgt'!$G:$G)*K19/K$60,0)</f>
        <v>14938.608242991497</v>
      </c>
      <c r="AK19" s="42">
        <f>IFERROR(_xlfn.XLOOKUP(AK$7,'Product Tgt'!$B:$B,'Product Tgt'!$G:$G)*L19/L$60,0)</f>
        <v>6472.5195135666891</v>
      </c>
      <c r="AL19" s="42">
        <f>IFERROR(_xlfn.XLOOKUP(AL$7,'Product Tgt'!$B:$B,'Product Tgt'!$G:$G)*M19/M$60,0)</f>
        <v>0</v>
      </c>
      <c r="AM19" s="42">
        <f>IFERROR(_xlfn.XLOOKUP(AM$7,'Product Tgt'!$B:$B,'Product Tgt'!$G:$G)*N19/N$60,0)</f>
        <v>5232.058011176885</v>
      </c>
      <c r="AN19" s="42">
        <f>IFERROR(_xlfn.XLOOKUP(AN$7,'Product Tgt'!$B:$B,'Product Tgt'!$G:$G)*O19/O$60,0)</f>
        <v>21358.34226485953</v>
      </c>
      <c r="AO19" s="42">
        <f>IFERROR(_xlfn.XLOOKUP(AO$7,'Product Tgt'!$B:$B,'Product Tgt'!$G:$G)*P19/P$60,0)</f>
        <v>3017.832596106889</v>
      </c>
      <c r="AP19" s="42">
        <f>IFERROR(_xlfn.XLOOKUP(AP$7,'Product Tgt'!$B:$B,'Product Tgt'!$G:$G)*Q19/Q$60,0)</f>
        <v>3009.6585962871054</v>
      </c>
      <c r="AQ19" s="42">
        <f>IFERROR(_xlfn.XLOOKUP(AQ$7,'Product Tgt'!$B:$B,'Product Tgt'!$G:$G)*R19/R$60,0)</f>
        <v>2335.0885293315928</v>
      </c>
      <c r="AR19" s="42">
        <f>IFERROR(_xlfn.XLOOKUP(AR$7,'Product Tgt'!$B:$B,'Product Tgt'!$G:$G)*S19/S$60,0)</f>
        <v>19430.36604872697</v>
      </c>
      <c r="AS19" s="42">
        <f>IFERROR(_xlfn.XLOOKUP(AS$7,'Product Tgt'!$B:$B,'Product Tgt'!$G:$G)*T19/T$60,0)</f>
        <v>3302.5392290234622</v>
      </c>
      <c r="AT19" s="42">
        <f>IFERROR(_xlfn.XLOOKUP(AT$7,'Product Tgt'!$B:$B,'Product Tgt'!$G:$G)*U19/U$60,0)</f>
        <v>16796.815121974261</v>
      </c>
      <c r="AU19" s="42">
        <f>IFERROR(_xlfn.XLOOKUP(AU$7,'Product Tgt'!$B:$B,'Product Tgt'!$G:$G)*V19/V$60,0)</f>
        <v>6151.3624251946721</v>
      </c>
      <c r="AV19" s="42">
        <f>IFERROR(_xlfn.XLOOKUP(AV$7,'Product Tgt'!$B:$B,'Product Tgt'!$G:$G)*W19/W$60,0)</f>
        <v>22799.596767731746</v>
      </c>
      <c r="AW19" s="42">
        <f>IFERROR(_xlfn.XLOOKUP(AW$7,'Product Tgt'!$B:$B,'Product Tgt'!$G:$G)*X19/X$60,0)</f>
        <v>35712.251573822097</v>
      </c>
      <c r="AX19" s="42">
        <f>IFERROR(_xlfn.XLOOKUP(AX$7,'Product Tgt'!$B:$B,'Product Tgt'!$G:$G)*Y19/Y$60,0)</f>
        <v>9336.0733426567022</v>
      </c>
      <c r="AY19" s="42">
        <f>IFERROR(_xlfn.XLOOKUP(AY$7,'Product Tgt'!$B:$B,'Product Tgt'!$G:$G)*Z19/Z$60,0)</f>
        <v>44133.043646342325</v>
      </c>
      <c r="AZ19" s="42">
        <f>IFERROR(_xlfn.XLOOKUP(AZ$7,'Product Tgt'!$B:$B,'Product Tgt'!$G:$G)*AA19/AA$60,0)</f>
        <v>4083.5130336920765</v>
      </c>
      <c r="BA19" s="42">
        <f>IFERROR(_xlfn.XLOOKUP(BA$7,'Product Tgt'!$B:$B,'Product Tgt'!$G:$G)*AB19/AB$60,0)</f>
        <v>21114.901507281906</v>
      </c>
      <c r="BB19" s="42">
        <f>IFERROR(_xlfn.XLOOKUP(BB$7,'Product Tgt'!$B:$B,'Product Tgt'!$G:$G)*AC19/AC$60,0)</f>
        <v>5109.109625029836</v>
      </c>
      <c r="BC19" s="42">
        <f>IFERROR(_xlfn.XLOOKUP(BC$7,'Product Tgt'!$B:$B,'Product Tgt'!$G:$G)*AD19/AD$60,0)</f>
        <v>5533.9444373659953</v>
      </c>
      <c r="BD19" s="42">
        <f>IFERROR(_xlfn.XLOOKUP(BD$7,'Product Tgt'!$B:$B,'Product Tgt'!$G:$G)*AE19/AE$60,0)</f>
        <v>936.57047028444822</v>
      </c>
      <c r="BE19" s="10">
        <f>ROUND(IFERROR(AF19/_xlfn.XLOOKUP(BE$7,'Product Tgt'!$B:$B,'Product Tgt'!$D:$D),0),0)</f>
        <v>0</v>
      </c>
      <c r="BF19" s="11">
        <f>ROUND(IFERROR(AG19/_xlfn.XLOOKUP(BF$7,'Product Tgt'!$B:$B,'Product Tgt'!$D:$D),0),0)</f>
        <v>0</v>
      </c>
      <c r="BG19" s="11">
        <f>ROUND(IFERROR(AH19/_xlfn.XLOOKUP(BG$7,'Product Tgt'!$B:$B,'Product Tgt'!$D:$D),0),0)</f>
        <v>0</v>
      </c>
      <c r="BH19" s="11">
        <f>ROUND(IFERROR(AI19/_xlfn.XLOOKUP(BH$7,'Product Tgt'!$B:$B,'Product Tgt'!$D:$D),0),0)</f>
        <v>0</v>
      </c>
      <c r="BI19" s="11">
        <f>ROUND(IFERROR(AM19/_xlfn.XLOOKUP(BI$7,'Product Tgt'!$B:$B,'Product Tgt'!$D:$D),0),0)</f>
        <v>0</v>
      </c>
      <c r="BJ19" s="11">
        <f>ROUND(IFERROR(#REF!/_xlfn.XLOOKUP(BJ$7,'Product Tgt'!$B:$B,'Product Tgt'!$D:$D),0),0)</f>
        <v>0</v>
      </c>
      <c r="BK19" s="11">
        <f>ROUND(IFERROR(#REF!/_xlfn.XLOOKUP(BK$7,'Product Tgt'!$B:$B,'Product Tgt'!$D:$D),0),0)</f>
        <v>0</v>
      </c>
      <c r="BL19" s="11">
        <f>ROUND(IFERROR(AN19/_xlfn.XLOOKUP(BL$7,'Product Tgt'!$B:$B,'Product Tgt'!$D:$D),0),0)</f>
        <v>0</v>
      </c>
      <c r="BM19" s="11">
        <f>ROUND(IFERROR(AQ19/_xlfn.XLOOKUP(BM$7,'Product Tgt'!$B:$B,'Product Tgt'!$D:$D),0),0)</f>
        <v>0</v>
      </c>
      <c r="BN19" s="11">
        <f>ROUND(IFERROR(AR19/_xlfn.XLOOKUP(BN$7,'Product Tgt'!$B:$B,'Product Tgt'!$D:$D),0),0)</f>
        <v>0</v>
      </c>
      <c r="BO19" s="11">
        <f>ROUND(IFERROR(AS19/_xlfn.XLOOKUP(BO$7,'Product Tgt'!$B:$B,'Product Tgt'!$D:$D),0),0)</f>
        <v>0</v>
      </c>
      <c r="BP19" s="11">
        <f>ROUND(IFERROR(AT19/_xlfn.XLOOKUP(BP$7,'Product Tgt'!$B:$B,'Product Tgt'!$D:$D),0),0)</f>
        <v>0</v>
      </c>
      <c r="BQ19" s="11">
        <f>ROUND(IFERROR(AU19/_xlfn.XLOOKUP(BQ$7,'Product Tgt'!$B:$B,'Product Tgt'!$D:$D),0),0)</f>
        <v>0</v>
      </c>
      <c r="BR19" s="11">
        <f>ROUND(IFERROR(AV19/_xlfn.XLOOKUP(BR$7,'Product Tgt'!$B:$B,'Product Tgt'!$D:$D),0),0)</f>
        <v>0</v>
      </c>
      <c r="BS19" s="11">
        <f>ROUND(IFERROR(AW19/_xlfn.XLOOKUP(BS$7,'Product Tgt'!$B:$B,'Product Tgt'!$D:$D),0),0)</f>
        <v>0</v>
      </c>
      <c r="BT19" s="11">
        <f>ROUND(IFERROR(AX19/_xlfn.XLOOKUP(BT$7,'Product Tgt'!$B:$B,'Product Tgt'!$D:$D),0),0)</f>
        <v>0</v>
      </c>
      <c r="BU19" s="11">
        <f>ROUND(IFERROR(AY19/_xlfn.XLOOKUP(BU$7,'Product Tgt'!$B:$B,'Product Tgt'!$D:$D),0),0)</f>
        <v>0</v>
      </c>
      <c r="BV19" s="11">
        <f>ROUND(IFERROR(AZ19/_xlfn.XLOOKUP(BV$7,'Product Tgt'!$B:$B,'Product Tgt'!$D:$D),0),0)</f>
        <v>0</v>
      </c>
      <c r="BW19" s="11">
        <f>ROUND(IFERROR(BA19/_xlfn.XLOOKUP(BW$7,'Product Tgt'!$B:$B,'Product Tgt'!$D:$D),0),0)</f>
        <v>0</v>
      </c>
      <c r="BX19" s="11">
        <f>ROUND(IFERROR(BB19/_xlfn.XLOOKUP(BX$7,'Product Tgt'!$B:$B,'Product Tgt'!$D:$D),0),0)</f>
        <v>0</v>
      </c>
      <c r="BY19" s="11">
        <f>ROUND(IFERROR(BC19/_xlfn.XLOOKUP(BY$7,'Product Tgt'!$B:$B,'Product Tgt'!$D:$D),0),0)</f>
        <v>0</v>
      </c>
      <c r="BZ19" s="13">
        <f>ROUND(IFERROR(BD19/_xlfn.XLOOKUP(BZ$7,'Product Tgt'!$B:$B,'Product Tgt'!$D:$D),0),0)</f>
        <v>0</v>
      </c>
    </row>
    <row r="20" spans="1:78" x14ac:dyDescent="0.25">
      <c r="A20" s="4" t="s">
        <v>79</v>
      </c>
      <c r="B20" s="3">
        <f>_xlfn.XLOOKUP(A20,'Terr Target'!$A:$A,'Terr Target'!$E:$E)</f>
        <v>402649.41904353077</v>
      </c>
      <c r="C20" s="3">
        <f t="shared" si="4"/>
        <v>402649.31145810557</v>
      </c>
      <c r="D20" s="5">
        <f t="shared" si="6"/>
        <v>-0.10758542519761249</v>
      </c>
      <c r="E20" s="6">
        <f t="shared" si="7"/>
        <v>2.6719386358321499E-7</v>
      </c>
      <c r="F20" s="6">
        <f t="shared" si="8"/>
        <v>1.0000002671938635</v>
      </c>
      <c r="G20" s="49">
        <v>15713.002244791733</v>
      </c>
      <c r="H20" s="50">
        <v>26107.124597416849</v>
      </c>
      <c r="I20" s="50">
        <v>91755.54698342047</v>
      </c>
      <c r="J20" s="50">
        <v>104463.46394578792</v>
      </c>
      <c r="K20" s="50">
        <v>10282.266617395315</v>
      </c>
      <c r="L20" s="50">
        <v>4415.2625821605307</v>
      </c>
      <c r="M20" s="50">
        <v>0</v>
      </c>
      <c r="N20" s="50">
        <v>3242.9752258124868</v>
      </c>
      <c r="O20" s="50">
        <v>12084.014088279757</v>
      </c>
      <c r="P20" s="50">
        <v>2445.556280128952</v>
      </c>
      <c r="Q20" s="50">
        <v>2179.3294169752585</v>
      </c>
      <c r="R20" s="50">
        <v>2179.039038645506</v>
      </c>
      <c r="S20" s="50">
        <v>18341.356690022752</v>
      </c>
      <c r="T20" s="50">
        <v>2564.9017736571932</v>
      </c>
      <c r="U20" s="50">
        <v>16057.891596170768</v>
      </c>
      <c r="V20" s="50">
        <v>2901.990962316328</v>
      </c>
      <c r="W20" s="50">
        <v>13591.718454629396</v>
      </c>
      <c r="X20" s="50">
        <v>18044.139449952385</v>
      </c>
      <c r="Y20" s="50">
        <v>4812.5502024910966</v>
      </c>
      <c r="Z20" s="50">
        <v>29920.563071596727</v>
      </c>
      <c r="AA20" s="50">
        <v>2738.0573756023114</v>
      </c>
      <c r="AB20" s="50">
        <v>13850.145155063188</v>
      </c>
      <c r="AC20" s="50">
        <v>4346.1796903237573</v>
      </c>
      <c r="AD20" s="50">
        <v>4707.5750348417623</v>
      </c>
      <c r="AE20" s="51">
        <v>796.7148593887274</v>
      </c>
      <c r="AF20" s="42">
        <f>IFERROR(_xlfn.XLOOKUP(AF$7,'Product Tgt'!$B:$B,'Product Tgt'!$G:$G)*G20/G$60,0)</f>
        <v>15829.018160739523</v>
      </c>
      <c r="AG20" s="42">
        <f>IFERROR(_xlfn.XLOOKUP(AG$7,'Product Tgt'!$B:$B,'Product Tgt'!$G:$G)*H20/H$60,0)</f>
        <v>26729.70398727517</v>
      </c>
      <c r="AH20" s="42">
        <f>IFERROR(_xlfn.XLOOKUP(AH$7,'Product Tgt'!$B:$B,'Product Tgt'!$G:$G)*I20/I$60,0)</f>
        <v>91632.406033351523</v>
      </c>
      <c r="AI20" s="42">
        <f>IFERROR(_xlfn.XLOOKUP(AI$7,'Product Tgt'!$B:$B,'Product Tgt'!$G:$G)*J20/J$60,0)</f>
        <v>104013.79793257755</v>
      </c>
      <c r="AJ20" s="42">
        <f>IFERROR(_xlfn.XLOOKUP(AJ$7,'Product Tgt'!$B:$B,'Product Tgt'!$G:$G)*K20/K$60,0)</f>
        <v>10113.51373117585</v>
      </c>
      <c r="AK20" s="42">
        <f>IFERROR(_xlfn.XLOOKUP(AK$7,'Product Tgt'!$B:$B,'Product Tgt'!$G:$G)*L20/L$60,0)</f>
        <v>4544.0836520346129</v>
      </c>
      <c r="AL20" s="42">
        <f>IFERROR(_xlfn.XLOOKUP(AL$7,'Product Tgt'!$B:$B,'Product Tgt'!$G:$G)*M20/M$60,0)</f>
        <v>0</v>
      </c>
      <c r="AM20" s="42">
        <f>IFERROR(_xlfn.XLOOKUP(AM$7,'Product Tgt'!$B:$B,'Product Tgt'!$G:$G)*N20/N$60,0)</f>
        <v>3221.3362531128269</v>
      </c>
      <c r="AN20" s="42">
        <f>IFERROR(_xlfn.XLOOKUP(AN$7,'Product Tgt'!$B:$B,'Product Tgt'!$G:$G)*O20/O$60,0)</f>
        <v>13179.085966855406</v>
      </c>
      <c r="AO20" s="42">
        <f>IFERROR(_xlfn.XLOOKUP(AO$7,'Product Tgt'!$B:$B,'Product Tgt'!$G:$G)*P20/P$60,0)</f>
        <v>2344.8518316016193</v>
      </c>
      <c r="AP20" s="42">
        <f>IFERROR(_xlfn.XLOOKUP(AP$7,'Product Tgt'!$B:$B,'Product Tgt'!$G:$G)*Q20/Q$60,0)</f>
        <v>1656.6170330178229</v>
      </c>
      <c r="AQ20" s="42">
        <f>IFERROR(_xlfn.XLOOKUP(AQ$7,'Product Tgt'!$B:$B,'Product Tgt'!$G:$G)*R20/R$60,0)</f>
        <v>1818.1869516620034</v>
      </c>
      <c r="AR20" s="42">
        <f>IFERROR(_xlfn.XLOOKUP(AR$7,'Product Tgt'!$B:$B,'Product Tgt'!$G:$G)*S20/S$60,0)</f>
        <v>17762.516610964511</v>
      </c>
      <c r="AS20" s="42">
        <f>IFERROR(_xlfn.XLOOKUP(AS$7,'Product Tgt'!$B:$B,'Product Tgt'!$G:$G)*T20/T$60,0)</f>
        <v>2328.332856443435</v>
      </c>
      <c r="AT20" s="42">
        <f>IFERROR(_xlfn.XLOOKUP(AT$7,'Product Tgt'!$B:$B,'Product Tgt'!$G:$G)*U20/U$60,0)</f>
        <v>13711.680119859913</v>
      </c>
      <c r="AU20" s="42">
        <f>IFERROR(_xlfn.XLOOKUP(AU$7,'Product Tgt'!$B:$B,'Product Tgt'!$G:$G)*V20/V$60,0)</f>
        <v>3057.9357592131182</v>
      </c>
      <c r="AV20" s="42">
        <f>IFERROR(_xlfn.XLOOKUP(AV$7,'Product Tgt'!$B:$B,'Product Tgt'!$G:$G)*W20/W$60,0)</f>
        <v>13101.594004525479</v>
      </c>
      <c r="AW20" s="42">
        <f>IFERROR(_xlfn.XLOOKUP(AW$7,'Product Tgt'!$B:$B,'Product Tgt'!$G:$G)*X20/X$60,0)</f>
        <v>18614.12908936054</v>
      </c>
      <c r="AX20" s="42">
        <f>IFERROR(_xlfn.XLOOKUP(AX$7,'Product Tgt'!$B:$B,'Product Tgt'!$G:$G)*Y20/Y$60,0)</f>
        <v>4631.4587836154433</v>
      </c>
      <c r="AY20" s="42">
        <f>IFERROR(_xlfn.XLOOKUP(AY$7,'Product Tgt'!$B:$B,'Product Tgt'!$G:$G)*Z20/Z$60,0)</f>
        <v>28816.871583815839</v>
      </c>
      <c r="AZ20" s="42">
        <f>IFERROR(_xlfn.XLOOKUP(AZ$7,'Product Tgt'!$B:$B,'Product Tgt'!$G:$G)*AA20/AA$60,0)</f>
        <v>2736.5818637026036</v>
      </c>
      <c r="BA20" s="42">
        <f>IFERROR(_xlfn.XLOOKUP(BA$7,'Product Tgt'!$B:$B,'Product Tgt'!$G:$G)*AB20/AB$60,0)</f>
        <v>12936.908090616096</v>
      </c>
      <c r="BB20" s="42">
        <f>IFERROR(_xlfn.XLOOKUP(BB$7,'Product Tgt'!$B:$B,'Product Tgt'!$G:$G)*AC20/AC$60,0)</f>
        <v>4354.2237448207024</v>
      </c>
      <c r="BC20" s="42">
        <f>IFERROR(_xlfn.XLOOKUP(BC$7,'Product Tgt'!$B:$B,'Product Tgt'!$G:$G)*AD20/AD$60,0)</f>
        <v>4716.2879719099274</v>
      </c>
      <c r="BD20" s="42">
        <f>IFERROR(_xlfn.XLOOKUP(BD$7,'Product Tgt'!$B:$B,'Product Tgt'!$G:$G)*AE20/AE$60,0)</f>
        <v>798.18944585410429</v>
      </c>
      <c r="BE20" s="10">
        <f>ROUND(IFERROR(AF20/_xlfn.XLOOKUP(BE$7,'Product Tgt'!$B:$B,'Product Tgt'!$D:$D),0),0)</f>
        <v>0</v>
      </c>
      <c r="BF20" s="11">
        <f>ROUND(IFERROR(AG20/_xlfn.XLOOKUP(BF$7,'Product Tgt'!$B:$B,'Product Tgt'!$D:$D),0),0)</f>
        <v>0</v>
      </c>
      <c r="BG20" s="11">
        <f>ROUND(IFERROR(AH20/_xlfn.XLOOKUP(BG$7,'Product Tgt'!$B:$B,'Product Tgt'!$D:$D),0),0)</f>
        <v>0</v>
      </c>
      <c r="BH20" s="11">
        <f>ROUND(IFERROR(AI20/_xlfn.XLOOKUP(BH$7,'Product Tgt'!$B:$B,'Product Tgt'!$D:$D),0),0)</f>
        <v>0</v>
      </c>
      <c r="BI20" s="11">
        <f>ROUND(IFERROR(AM20/_xlfn.XLOOKUP(BI$7,'Product Tgt'!$B:$B,'Product Tgt'!$D:$D),0),0)</f>
        <v>0</v>
      </c>
      <c r="BJ20" s="11">
        <f>ROUND(IFERROR(#REF!/_xlfn.XLOOKUP(BJ$7,'Product Tgt'!$B:$B,'Product Tgt'!$D:$D),0),0)</f>
        <v>0</v>
      </c>
      <c r="BK20" s="11">
        <f>ROUND(IFERROR(#REF!/_xlfn.XLOOKUP(BK$7,'Product Tgt'!$B:$B,'Product Tgt'!$D:$D),0),0)</f>
        <v>0</v>
      </c>
      <c r="BL20" s="11">
        <f>ROUND(IFERROR(AN20/_xlfn.XLOOKUP(BL$7,'Product Tgt'!$B:$B,'Product Tgt'!$D:$D),0),0)</f>
        <v>0</v>
      </c>
      <c r="BM20" s="11">
        <f>ROUND(IFERROR(AQ20/_xlfn.XLOOKUP(BM$7,'Product Tgt'!$B:$B,'Product Tgt'!$D:$D),0),0)</f>
        <v>0</v>
      </c>
      <c r="BN20" s="11">
        <f>ROUND(IFERROR(AR20/_xlfn.XLOOKUP(BN$7,'Product Tgt'!$B:$B,'Product Tgt'!$D:$D),0),0)</f>
        <v>0</v>
      </c>
      <c r="BO20" s="11">
        <f>ROUND(IFERROR(AS20/_xlfn.XLOOKUP(BO$7,'Product Tgt'!$B:$B,'Product Tgt'!$D:$D),0),0)</f>
        <v>0</v>
      </c>
      <c r="BP20" s="11">
        <f>ROUND(IFERROR(AT20/_xlfn.XLOOKUP(BP$7,'Product Tgt'!$B:$B,'Product Tgt'!$D:$D),0),0)</f>
        <v>0</v>
      </c>
      <c r="BQ20" s="11">
        <f>ROUND(IFERROR(AU20/_xlfn.XLOOKUP(BQ$7,'Product Tgt'!$B:$B,'Product Tgt'!$D:$D),0),0)</f>
        <v>0</v>
      </c>
      <c r="BR20" s="11">
        <f>ROUND(IFERROR(AV20/_xlfn.XLOOKUP(BR$7,'Product Tgt'!$B:$B,'Product Tgt'!$D:$D),0),0)</f>
        <v>0</v>
      </c>
      <c r="BS20" s="11">
        <f>ROUND(IFERROR(AW20/_xlfn.XLOOKUP(BS$7,'Product Tgt'!$B:$B,'Product Tgt'!$D:$D),0),0)</f>
        <v>0</v>
      </c>
      <c r="BT20" s="11">
        <f>ROUND(IFERROR(AX20/_xlfn.XLOOKUP(BT$7,'Product Tgt'!$B:$B,'Product Tgt'!$D:$D),0),0)</f>
        <v>0</v>
      </c>
      <c r="BU20" s="11">
        <f>ROUND(IFERROR(AY20/_xlfn.XLOOKUP(BU$7,'Product Tgt'!$B:$B,'Product Tgt'!$D:$D),0),0)</f>
        <v>0</v>
      </c>
      <c r="BV20" s="11">
        <f>ROUND(IFERROR(AZ20/_xlfn.XLOOKUP(BV$7,'Product Tgt'!$B:$B,'Product Tgt'!$D:$D),0),0)</f>
        <v>0</v>
      </c>
      <c r="BW20" s="11">
        <f>ROUND(IFERROR(BA20/_xlfn.XLOOKUP(BW$7,'Product Tgt'!$B:$B,'Product Tgt'!$D:$D),0),0)</f>
        <v>0</v>
      </c>
      <c r="BX20" s="11">
        <f>ROUND(IFERROR(BB20/_xlfn.XLOOKUP(BX$7,'Product Tgt'!$B:$B,'Product Tgt'!$D:$D),0),0)</f>
        <v>0</v>
      </c>
      <c r="BY20" s="11">
        <f>ROUND(IFERROR(BC20/_xlfn.XLOOKUP(BY$7,'Product Tgt'!$B:$B,'Product Tgt'!$D:$D),0),0)</f>
        <v>0</v>
      </c>
      <c r="BZ20" s="13">
        <f>ROUND(IFERROR(BD20/_xlfn.XLOOKUP(BZ$7,'Product Tgt'!$B:$B,'Product Tgt'!$D:$D),0),0)</f>
        <v>0</v>
      </c>
    </row>
    <row r="21" spans="1:78" x14ac:dyDescent="0.25">
      <c r="A21" s="4" t="s">
        <v>80</v>
      </c>
      <c r="B21" s="3">
        <f>_xlfn.XLOOKUP(A21,'Terr Target'!$A:$A,'Terr Target'!$E:$E)</f>
        <v>811435.86531651893</v>
      </c>
      <c r="C21" s="3">
        <f t="shared" si="4"/>
        <v>811435.6645861998</v>
      </c>
      <c r="D21" s="5">
        <f t="shared" si="6"/>
        <v>-0.20073031913489103</v>
      </c>
      <c r="E21" s="6">
        <f t="shared" si="7"/>
        <v>2.4737675196622716E-7</v>
      </c>
      <c r="F21" s="6">
        <f t="shared" si="8"/>
        <v>1.000000247376752</v>
      </c>
      <c r="G21" s="49">
        <v>50980.93377969478</v>
      </c>
      <c r="H21" s="50">
        <v>54762.468157335214</v>
      </c>
      <c r="I21" s="50">
        <v>188104.12351287957</v>
      </c>
      <c r="J21" s="50">
        <v>217591.59944520867</v>
      </c>
      <c r="K21" s="50">
        <v>20664.252309475694</v>
      </c>
      <c r="L21" s="50">
        <v>6430.9569478708581</v>
      </c>
      <c r="M21" s="50">
        <v>0</v>
      </c>
      <c r="N21" s="50">
        <v>5653.6404926890282</v>
      </c>
      <c r="O21" s="50">
        <v>33361.940757709868</v>
      </c>
      <c r="P21" s="50">
        <v>6786.8120771254607</v>
      </c>
      <c r="Q21" s="50">
        <v>4556.5913082187944</v>
      </c>
      <c r="R21" s="50">
        <v>4315.4620410212401</v>
      </c>
      <c r="S21" s="50">
        <v>33183.188366623333</v>
      </c>
      <c r="T21" s="50">
        <v>3274.0211567480701</v>
      </c>
      <c r="U21" s="50">
        <v>26230.63116172604</v>
      </c>
      <c r="V21" s="50">
        <v>6670.8864674913439</v>
      </c>
      <c r="W21" s="50">
        <v>33701.739265224714</v>
      </c>
      <c r="X21" s="50">
        <v>45388.120489163055</v>
      </c>
      <c r="Y21" s="50">
        <v>15670.273026244109</v>
      </c>
      <c r="Z21" s="50">
        <v>28672.917312775804</v>
      </c>
      <c r="AA21" s="50">
        <v>2853.7995699838125</v>
      </c>
      <c r="AB21" s="50">
        <v>11624.764187959461</v>
      </c>
      <c r="AC21" s="50">
        <v>7370.7259486469611</v>
      </c>
      <c r="AD21" s="50">
        <v>7983.6196238646653</v>
      </c>
      <c r="AE21" s="51">
        <v>1351.1560280959443</v>
      </c>
      <c r="AF21" s="42">
        <f>IFERROR(_xlfn.XLOOKUP(AF$7,'Product Tgt'!$B:$B,'Product Tgt'!$G:$G)*G21/G$60,0)</f>
        <v>51357.348142537849</v>
      </c>
      <c r="AG21" s="42">
        <f>IFERROR(_xlfn.XLOOKUP(AG$7,'Product Tgt'!$B:$B,'Product Tgt'!$G:$G)*H21/H$60,0)</f>
        <v>56068.394586931485</v>
      </c>
      <c r="AH21" s="42">
        <f>IFERROR(_xlfn.XLOOKUP(AH$7,'Product Tgt'!$B:$B,'Product Tgt'!$G:$G)*I21/I$60,0)</f>
        <v>187851.67751650346</v>
      </c>
      <c r="AI21" s="42">
        <f>IFERROR(_xlfn.XLOOKUP(AI$7,'Product Tgt'!$B:$B,'Product Tgt'!$G:$G)*J21/J$60,0)</f>
        <v>216654.97008854317</v>
      </c>
      <c r="AJ21" s="42">
        <f>IFERROR(_xlfn.XLOOKUP(AJ$7,'Product Tgt'!$B:$B,'Product Tgt'!$G:$G)*K21/K$60,0)</f>
        <v>20325.109944416632</v>
      </c>
      <c r="AK21" s="42">
        <f>IFERROR(_xlfn.XLOOKUP(AK$7,'Product Tgt'!$B:$B,'Product Tgt'!$G:$G)*L21/L$60,0)</f>
        <v>6618.5885414449604</v>
      </c>
      <c r="AL21" s="42">
        <f>IFERROR(_xlfn.XLOOKUP(AL$7,'Product Tgt'!$B:$B,'Product Tgt'!$G:$G)*M21/M$60,0)</f>
        <v>0</v>
      </c>
      <c r="AM21" s="42">
        <f>IFERROR(_xlfn.XLOOKUP(AM$7,'Product Tgt'!$B:$B,'Product Tgt'!$G:$G)*N21/N$60,0)</f>
        <v>5615.9161920834504</v>
      </c>
      <c r="AN21" s="42">
        <f>IFERROR(_xlfn.XLOOKUP(AN$7,'Product Tgt'!$B:$B,'Product Tgt'!$G:$G)*O21/O$60,0)</f>
        <v>36385.250965028215</v>
      </c>
      <c r="AO21" s="42">
        <f>IFERROR(_xlfn.XLOOKUP(AO$7,'Product Tgt'!$B:$B,'Product Tgt'!$G:$G)*P21/P$60,0)</f>
        <v>6507.3410328322079</v>
      </c>
      <c r="AP21" s="42">
        <f>IFERROR(_xlfn.XLOOKUP(AP$7,'Product Tgt'!$B:$B,'Product Tgt'!$G:$G)*Q21/Q$60,0)</f>
        <v>3463.6924160703502</v>
      </c>
      <c r="AQ21" s="42">
        <f>IFERROR(_xlfn.XLOOKUP(AQ$7,'Product Tgt'!$B:$B,'Product Tgt'!$G:$G)*R21/R$60,0)</f>
        <v>3600.8151456776004</v>
      </c>
      <c r="AR21" s="42">
        <f>IFERROR(_xlfn.XLOOKUP(AR$7,'Product Tgt'!$B:$B,'Product Tgt'!$G:$G)*S21/S$60,0)</f>
        <v>32135.950711189187</v>
      </c>
      <c r="AS21" s="42">
        <f>IFERROR(_xlfn.XLOOKUP(AS$7,'Product Tgt'!$B:$B,'Product Tgt'!$G:$G)*T21/T$60,0)</f>
        <v>2972.0479397065255</v>
      </c>
      <c r="AT21" s="42">
        <f>IFERROR(_xlfn.XLOOKUP(AT$7,'Product Tgt'!$B:$B,'Product Tgt'!$G:$G)*U21/U$60,0)</f>
        <v>22398.085183074989</v>
      </c>
      <c r="AU21" s="42">
        <f>IFERROR(_xlfn.XLOOKUP(AU$7,'Product Tgt'!$B:$B,'Product Tgt'!$G:$G)*V21/V$60,0)</f>
        <v>7029.3610626238305</v>
      </c>
      <c r="AV21" s="42">
        <f>IFERROR(_xlfn.XLOOKUP(AV$7,'Product Tgt'!$B:$B,'Product Tgt'!$G:$G)*W21/W$60,0)</f>
        <v>32486.436985380351</v>
      </c>
      <c r="AW21" s="42">
        <f>IFERROR(_xlfn.XLOOKUP(AW$7,'Product Tgt'!$B:$B,'Product Tgt'!$G:$G)*X21/X$60,0)</f>
        <v>46821.869020246384</v>
      </c>
      <c r="AX21" s="42">
        <f>IFERROR(_xlfn.XLOOKUP(AX$7,'Product Tgt'!$B:$B,'Product Tgt'!$G:$G)*Y21/Y$60,0)</f>
        <v>15080.616428994996</v>
      </c>
      <c r="AY21" s="42">
        <f>IFERROR(_xlfn.XLOOKUP(AY$7,'Product Tgt'!$B:$B,'Product Tgt'!$G:$G)*Z21/Z$60,0)</f>
        <v>27615.248221046808</v>
      </c>
      <c r="AZ21" s="42">
        <f>IFERROR(_xlfn.XLOOKUP(AZ$7,'Product Tgt'!$B:$B,'Product Tgt'!$G:$G)*AA21/AA$60,0)</f>
        <v>2852.2616857661869</v>
      </c>
      <c r="BA21" s="42">
        <f>IFERROR(_xlfn.XLOOKUP(BA$7,'Product Tgt'!$B:$B,'Product Tgt'!$G:$G)*AB21/AB$60,0)</f>
        <v>10858.262075306811</v>
      </c>
      <c r="BB21" s="42">
        <f>IFERROR(_xlfn.XLOOKUP(BB$7,'Product Tgt'!$B:$B,'Product Tgt'!$G:$G)*AC21/AC$60,0)</f>
        <v>7384.3679343533886</v>
      </c>
      <c r="BC21" s="42">
        <f>IFERROR(_xlfn.XLOOKUP(BC$7,'Product Tgt'!$B:$B,'Product Tgt'!$G:$G)*AD21/AD$60,0)</f>
        <v>7998.3959736507159</v>
      </c>
      <c r="BD21" s="42">
        <f>IFERROR(_xlfn.XLOOKUP(BD$7,'Product Tgt'!$B:$B,'Product Tgt'!$G:$G)*AE21/AE$60,0)</f>
        <v>1353.6567927900674</v>
      </c>
      <c r="BE21" s="10">
        <f>ROUND(IFERROR(AF21/_xlfn.XLOOKUP(BE$7,'Product Tgt'!$B:$B,'Product Tgt'!$D:$D),0),0)</f>
        <v>0</v>
      </c>
      <c r="BF21" s="11">
        <f>ROUND(IFERROR(AG21/_xlfn.XLOOKUP(BF$7,'Product Tgt'!$B:$B,'Product Tgt'!$D:$D),0),0)</f>
        <v>0</v>
      </c>
      <c r="BG21" s="11">
        <f>ROUND(IFERROR(AH21/_xlfn.XLOOKUP(BG$7,'Product Tgt'!$B:$B,'Product Tgt'!$D:$D),0),0)</f>
        <v>0</v>
      </c>
      <c r="BH21" s="11">
        <f>ROUND(IFERROR(AI21/_xlfn.XLOOKUP(BH$7,'Product Tgt'!$B:$B,'Product Tgt'!$D:$D),0),0)</f>
        <v>0</v>
      </c>
      <c r="BI21" s="11">
        <f>ROUND(IFERROR(AM21/_xlfn.XLOOKUP(BI$7,'Product Tgt'!$B:$B,'Product Tgt'!$D:$D),0),0)</f>
        <v>0</v>
      </c>
      <c r="BJ21" s="11">
        <f>ROUND(IFERROR(#REF!/_xlfn.XLOOKUP(BJ$7,'Product Tgt'!$B:$B,'Product Tgt'!$D:$D),0),0)</f>
        <v>0</v>
      </c>
      <c r="BK21" s="11">
        <f>ROUND(IFERROR(#REF!/_xlfn.XLOOKUP(BK$7,'Product Tgt'!$B:$B,'Product Tgt'!$D:$D),0),0)</f>
        <v>0</v>
      </c>
      <c r="BL21" s="11">
        <f>ROUND(IFERROR(AN21/_xlfn.XLOOKUP(BL$7,'Product Tgt'!$B:$B,'Product Tgt'!$D:$D),0),0)</f>
        <v>0</v>
      </c>
      <c r="BM21" s="11">
        <f>ROUND(IFERROR(AQ21/_xlfn.XLOOKUP(BM$7,'Product Tgt'!$B:$B,'Product Tgt'!$D:$D),0),0)</f>
        <v>0</v>
      </c>
      <c r="BN21" s="11">
        <f>ROUND(IFERROR(AR21/_xlfn.XLOOKUP(BN$7,'Product Tgt'!$B:$B,'Product Tgt'!$D:$D),0),0)</f>
        <v>0</v>
      </c>
      <c r="BO21" s="11">
        <f>ROUND(IFERROR(AS21/_xlfn.XLOOKUP(BO$7,'Product Tgt'!$B:$B,'Product Tgt'!$D:$D),0),0)</f>
        <v>0</v>
      </c>
      <c r="BP21" s="11">
        <f>ROUND(IFERROR(AT21/_xlfn.XLOOKUP(BP$7,'Product Tgt'!$B:$B,'Product Tgt'!$D:$D),0),0)</f>
        <v>0</v>
      </c>
      <c r="BQ21" s="11">
        <f>ROUND(IFERROR(AU21/_xlfn.XLOOKUP(BQ$7,'Product Tgt'!$B:$B,'Product Tgt'!$D:$D),0),0)</f>
        <v>0</v>
      </c>
      <c r="BR21" s="11">
        <f>ROUND(IFERROR(AV21/_xlfn.XLOOKUP(BR$7,'Product Tgt'!$B:$B,'Product Tgt'!$D:$D),0),0)</f>
        <v>0</v>
      </c>
      <c r="BS21" s="11">
        <f>ROUND(IFERROR(AW21/_xlfn.XLOOKUP(BS$7,'Product Tgt'!$B:$B,'Product Tgt'!$D:$D),0),0)</f>
        <v>0</v>
      </c>
      <c r="BT21" s="11">
        <f>ROUND(IFERROR(AX21/_xlfn.XLOOKUP(BT$7,'Product Tgt'!$B:$B,'Product Tgt'!$D:$D),0),0)</f>
        <v>0</v>
      </c>
      <c r="BU21" s="11">
        <f>ROUND(IFERROR(AY21/_xlfn.XLOOKUP(BU$7,'Product Tgt'!$B:$B,'Product Tgt'!$D:$D),0),0)</f>
        <v>0</v>
      </c>
      <c r="BV21" s="11">
        <f>ROUND(IFERROR(AZ21/_xlfn.XLOOKUP(BV$7,'Product Tgt'!$B:$B,'Product Tgt'!$D:$D),0),0)</f>
        <v>0</v>
      </c>
      <c r="BW21" s="11">
        <f>ROUND(IFERROR(BA21/_xlfn.XLOOKUP(BW$7,'Product Tgt'!$B:$B,'Product Tgt'!$D:$D),0),0)</f>
        <v>0</v>
      </c>
      <c r="BX21" s="11">
        <f>ROUND(IFERROR(BB21/_xlfn.XLOOKUP(BX$7,'Product Tgt'!$B:$B,'Product Tgt'!$D:$D),0),0)</f>
        <v>0</v>
      </c>
      <c r="BY21" s="11">
        <f>ROUND(IFERROR(BC21/_xlfn.XLOOKUP(BY$7,'Product Tgt'!$B:$B,'Product Tgt'!$D:$D),0),0)</f>
        <v>0</v>
      </c>
      <c r="BZ21" s="13">
        <f>ROUND(IFERROR(BD21/_xlfn.XLOOKUP(BZ$7,'Product Tgt'!$B:$B,'Product Tgt'!$D:$D),0),0)</f>
        <v>0</v>
      </c>
    </row>
    <row r="22" spans="1:78" x14ac:dyDescent="0.25">
      <c r="A22" s="4" t="s">
        <v>81</v>
      </c>
      <c r="B22" s="3">
        <f>_xlfn.XLOOKUP(A22,'Terr Target'!$A:$A,'Terr Target'!$E:$E)</f>
        <v>468633.22689905332</v>
      </c>
      <c r="C22" s="3">
        <f t="shared" si="4"/>
        <v>468634.40346953762</v>
      </c>
      <c r="D22" s="5">
        <f t="shared" si="6"/>
        <v>1.1765704842982814</v>
      </c>
      <c r="E22" s="6">
        <f t="shared" si="7"/>
        <v>2.5106361709416438E-6</v>
      </c>
      <c r="F22" s="6">
        <f t="shared" si="8"/>
        <v>0.99999748936382904</v>
      </c>
      <c r="G22" s="49">
        <v>15524.940430568025</v>
      </c>
      <c r="H22" s="50">
        <v>15670.313855298693</v>
      </c>
      <c r="I22" s="50">
        <v>99504.048876259316</v>
      </c>
      <c r="J22" s="50">
        <v>121981.07150294233</v>
      </c>
      <c r="K22" s="50">
        <v>12691.258840871271</v>
      </c>
      <c r="L22" s="50">
        <v>7907.552557680493</v>
      </c>
      <c r="M22" s="50">
        <v>0</v>
      </c>
      <c r="N22" s="50">
        <v>5309.7759322449738</v>
      </c>
      <c r="O22" s="50">
        <v>13453.963626821609</v>
      </c>
      <c r="P22" s="50">
        <v>1662.7510976473775</v>
      </c>
      <c r="Q22" s="50">
        <v>1928.7411479062914</v>
      </c>
      <c r="R22" s="50">
        <v>3397.5524734039877</v>
      </c>
      <c r="S22" s="50">
        <v>43546.035600520896</v>
      </c>
      <c r="T22" s="50">
        <v>8621.5824570363602</v>
      </c>
      <c r="U22" s="50">
        <v>22327.465510098289</v>
      </c>
      <c r="V22" s="50">
        <v>3697.4955511860285</v>
      </c>
      <c r="W22" s="50">
        <v>20760.978793885268</v>
      </c>
      <c r="X22" s="50">
        <v>16831.446219963454</v>
      </c>
      <c r="Y22" s="50">
        <v>3123.8857432807922</v>
      </c>
      <c r="Z22" s="50">
        <v>24027.74156086117</v>
      </c>
      <c r="AA22" s="50">
        <v>2026.2783978528496</v>
      </c>
      <c r="AB22" s="50">
        <v>12058.682659098495</v>
      </c>
      <c r="AC22" s="50">
        <v>8759.0007806613467</v>
      </c>
      <c r="AD22" s="50">
        <v>9487.3328631585591</v>
      </c>
      <c r="AE22" s="51">
        <v>1605.6460092726907</v>
      </c>
      <c r="AF22" s="42">
        <f>IFERROR(_xlfn.XLOOKUP(AF$7,'Product Tgt'!$B:$B,'Product Tgt'!$G:$G)*G22/G$60,0)</f>
        <v>15639.567804511427</v>
      </c>
      <c r="AG22" s="42">
        <f>IFERROR(_xlfn.XLOOKUP(AG$7,'Product Tgt'!$B:$B,'Product Tgt'!$G:$G)*H22/H$60,0)</f>
        <v>16044.005504201521</v>
      </c>
      <c r="AH22" s="42">
        <f>IFERROR(_xlfn.XLOOKUP(AH$7,'Product Tgt'!$B:$B,'Product Tgt'!$G:$G)*I22/I$60,0)</f>
        <v>99370.509013905888</v>
      </c>
      <c r="AI22" s="42">
        <f>IFERROR(_xlfn.XLOOKUP(AI$7,'Product Tgt'!$B:$B,'Product Tgt'!$G:$G)*J22/J$60,0)</f>
        <v>121456.00043945241</v>
      </c>
      <c r="AJ22" s="42">
        <f>IFERROR(_xlfn.XLOOKUP(AJ$7,'Product Tgt'!$B:$B,'Product Tgt'!$G:$G)*K22/K$60,0)</f>
        <v>12482.969497786929</v>
      </c>
      <c r="AK22" s="42">
        <f>IFERROR(_xlfn.XLOOKUP(AK$7,'Product Tgt'!$B:$B,'Product Tgt'!$G:$G)*L22/L$60,0)</f>
        <v>8138.2657625262791</v>
      </c>
      <c r="AL22" s="42">
        <f>IFERROR(_xlfn.XLOOKUP(AL$7,'Product Tgt'!$B:$B,'Product Tgt'!$G:$G)*M22/M$60,0)</f>
        <v>0</v>
      </c>
      <c r="AM22" s="42">
        <f>IFERROR(_xlfn.XLOOKUP(AM$7,'Product Tgt'!$B:$B,'Product Tgt'!$G:$G)*N22/N$60,0)</f>
        <v>5274.3460912999581</v>
      </c>
      <c r="AN22" s="42">
        <f>IFERROR(_xlfn.XLOOKUP(AN$7,'Product Tgt'!$B:$B,'Product Tgt'!$G:$G)*O22/O$60,0)</f>
        <v>14673.182432384039</v>
      </c>
      <c r="AO22" s="42">
        <f>IFERROR(_xlfn.XLOOKUP(AO$7,'Product Tgt'!$B:$B,'Product Tgt'!$G:$G)*P22/P$60,0)</f>
        <v>1594.2814272957439</v>
      </c>
      <c r="AP22" s="42">
        <f>IFERROR(_xlfn.XLOOKUP(AP$7,'Product Tgt'!$B:$B,'Product Tgt'!$G:$G)*Q22/Q$60,0)</f>
        <v>1466.132385960532</v>
      </c>
      <c r="AQ22" s="42">
        <f>IFERROR(_xlfn.XLOOKUP(AQ$7,'Product Tgt'!$B:$B,'Product Tgt'!$G:$G)*R22/R$60,0)</f>
        <v>2834.9127597869792</v>
      </c>
      <c r="AR22" s="42">
        <f>IFERROR(_xlfn.XLOOKUP(AR$7,'Product Tgt'!$B:$B,'Product Tgt'!$G:$G)*S22/S$60,0)</f>
        <v>42171.753909385683</v>
      </c>
      <c r="AS22" s="42">
        <f>IFERROR(_xlfn.XLOOKUP(AS$7,'Product Tgt'!$B:$B,'Product Tgt'!$G:$G)*T22/T$60,0)</f>
        <v>7826.3869265572184</v>
      </c>
      <c r="AT22" s="42">
        <f>IFERROR(_xlfn.XLOOKUP(AT$7,'Product Tgt'!$B:$B,'Product Tgt'!$G:$G)*U22/U$60,0)</f>
        <v>19065.209347575721</v>
      </c>
      <c r="AU22" s="42">
        <f>IFERROR(_xlfn.XLOOKUP(AU$7,'Product Tgt'!$B:$B,'Product Tgt'!$G:$G)*V22/V$60,0)</f>
        <v>3896.1885175818475</v>
      </c>
      <c r="AV22" s="42">
        <f>IFERROR(_xlfn.XLOOKUP(AV$7,'Product Tgt'!$B:$B,'Product Tgt'!$G:$G)*W22/W$60,0)</f>
        <v>20012.327080053874</v>
      </c>
      <c r="AW22" s="42">
        <f>IFERROR(_xlfn.XLOOKUP(AW$7,'Product Tgt'!$B:$B,'Product Tgt'!$G:$G)*X22/X$60,0)</f>
        <v>17363.128541985192</v>
      </c>
      <c r="AX22" s="42">
        <f>IFERROR(_xlfn.XLOOKUP(AX$7,'Product Tgt'!$B:$B,'Product Tgt'!$G:$G)*Y22/Y$60,0)</f>
        <v>3006.3370678688825</v>
      </c>
      <c r="AY22" s="42">
        <f>IFERROR(_xlfn.XLOOKUP(AY$7,'Product Tgt'!$B:$B,'Product Tgt'!$G:$G)*Z22/Z$60,0)</f>
        <v>23141.42088006837</v>
      </c>
      <c r="AZ22" s="42">
        <f>IFERROR(_xlfn.XLOOKUP(AZ$7,'Product Tgt'!$B:$B,'Product Tgt'!$G:$G)*AA22/AA$60,0)</f>
        <v>2025.1864565682026</v>
      </c>
      <c r="BA22" s="42">
        <f>IFERROR(_xlfn.XLOOKUP(BA$7,'Product Tgt'!$B:$B,'Product Tgt'!$G:$G)*AB22/AB$60,0)</f>
        <v>11263.569262855974</v>
      </c>
      <c r="BB22" s="42">
        <f>IFERROR(_xlfn.XLOOKUP(BB$7,'Product Tgt'!$B:$B,'Product Tgt'!$G:$G)*AC22/AC$60,0)</f>
        <v>8775.2122317836493</v>
      </c>
      <c r="BC22" s="42">
        <f>IFERROR(_xlfn.XLOOKUP(BC$7,'Product Tgt'!$B:$B,'Product Tgt'!$G:$G)*AD22/AD$60,0)</f>
        <v>9504.8923356193554</v>
      </c>
      <c r="BD22" s="42">
        <f>IFERROR(_xlfn.XLOOKUP(BD$7,'Product Tgt'!$B:$B,'Product Tgt'!$G:$G)*AE22/AE$60,0)</f>
        <v>1608.6177925218149</v>
      </c>
      <c r="BE22" s="10">
        <f>ROUND(IFERROR(AF22/_xlfn.XLOOKUP(BE$7,'Product Tgt'!$B:$B,'Product Tgt'!$D:$D),0),0)</f>
        <v>0</v>
      </c>
      <c r="BF22" s="11">
        <f>ROUND(IFERROR(AG22/_xlfn.XLOOKUP(BF$7,'Product Tgt'!$B:$B,'Product Tgt'!$D:$D),0),0)</f>
        <v>0</v>
      </c>
      <c r="BG22" s="11">
        <f>ROUND(IFERROR(AH22/_xlfn.XLOOKUP(BG$7,'Product Tgt'!$B:$B,'Product Tgt'!$D:$D),0),0)</f>
        <v>0</v>
      </c>
      <c r="BH22" s="11">
        <f>ROUND(IFERROR(AI22/_xlfn.XLOOKUP(BH$7,'Product Tgt'!$B:$B,'Product Tgt'!$D:$D),0),0)</f>
        <v>0</v>
      </c>
      <c r="BI22" s="11">
        <f>ROUND(IFERROR(AM22/_xlfn.XLOOKUP(BI$7,'Product Tgt'!$B:$B,'Product Tgt'!$D:$D),0),0)</f>
        <v>0</v>
      </c>
      <c r="BJ22" s="11">
        <f>ROUND(IFERROR(#REF!/_xlfn.XLOOKUP(BJ$7,'Product Tgt'!$B:$B,'Product Tgt'!$D:$D),0),0)</f>
        <v>0</v>
      </c>
      <c r="BK22" s="11">
        <f>ROUND(IFERROR(#REF!/_xlfn.XLOOKUP(BK$7,'Product Tgt'!$B:$B,'Product Tgt'!$D:$D),0),0)</f>
        <v>0</v>
      </c>
      <c r="BL22" s="11">
        <f>ROUND(IFERROR(AN22/_xlfn.XLOOKUP(BL$7,'Product Tgt'!$B:$B,'Product Tgt'!$D:$D),0),0)</f>
        <v>0</v>
      </c>
      <c r="BM22" s="11">
        <f>ROUND(IFERROR(AQ22/_xlfn.XLOOKUP(BM$7,'Product Tgt'!$B:$B,'Product Tgt'!$D:$D),0),0)</f>
        <v>0</v>
      </c>
      <c r="BN22" s="11">
        <f>ROUND(IFERROR(AR22/_xlfn.XLOOKUP(BN$7,'Product Tgt'!$B:$B,'Product Tgt'!$D:$D),0),0)</f>
        <v>0</v>
      </c>
      <c r="BO22" s="11">
        <f>ROUND(IFERROR(AS22/_xlfn.XLOOKUP(BO$7,'Product Tgt'!$B:$B,'Product Tgt'!$D:$D),0),0)</f>
        <v>0</v>
      </c>
      <c r="BP22" s="11">
        <f>ROUND(IFERROR(AT22/_xlfn.XLOOKUP(BP$7,'Product Tgt'!$B:$B,'Product Tgt'!$D:$D),0),0)</f>
        <v>0</v>
      </c>
      <c r="BQ22" s="11">
        <f>ROUND(IFERROR(AU22/_xlfn.XLOOKUP(BQ$7,'Product Tgt'!$B:$B,'Product Tgt'!$D:$D),0),0)</f>
        <v>0</v>
      </c>
      <c r="BR22" s="11">
        <f>ROUND(IFERROR(AV22/_xlfn.XLOOKUP(BR$7,'Product Tgt'!$B:$B,'Product Tgt'!$D:$D),0),0)</f>
        <v>0</v>
      </c>
      <c r="BS22" s="11">
        <f>ROUND(IFERROR(AW22/_xlfn.XLOOKUP(BS$7,'Product Tgt'!$B:$B,'Product Tgt'!$D:$D),0),0)</f>
        <v>0</v>
      </c>
      <c r="BT22" s="11">
        <f>ROUND(IFERROR(AX22/_xlfn.XLOOKUP(BT$7,'Product Tgt'!$B:$B,'Product Tgt'!$D:$D),0),0)</f>
        <v>0</v>
      </c>
      <c r="BU22" s="11">
        <f>ROUND(IFERROR(AY22/_xlfn.XLOOKUP(BU$7,'Product Tgt'!$B:$B,'Product Tgt'!$D:$D),0),0)</f>
        <v>0</v>
      </c>
      <c r="BV22" s="11">
        <f>ROUND(IFERROR(AZ22/_xlfn.XLOOKUP(BV$7,'Product Tgt'!$B:$B,'Product Tgt'!$D:$D),0),0)</f>
        <v>0</v>
      </c>
      <c r="BW22" s="11">
        <f>ROUND(IFERROR(BA22/_xlfn.XLOOKUP(BW$7,'Product Tgt'!$B:$B,'Product Tgt'!$D:$D),0),0)</f>
        <v>0</v>
      </c>
      <c r="BX22" s="11">
        <f>ROUND(IFERROR(BB22/_xlfn.XLOOKUP(BX$7,'Product Tgt'!$B:$B,'Product Tgt'!$D:$D),0),0)</f>
        <v>0</v>
      </c>
      <c r="BY22" s="11">
        <f>ROUND(IFERROR(BC22/_xlfn.XLOOKUP(BY$7,'Product Tgt'!$B:$B,'Product Tgt'!$D:$D),0),0)</f>
        <v>0</v>
      </c>
      <c r="BZ22" s="13">
        <f>ROUND(IFERROR(BD22/_xlfn.XLOOKUP(BZ$7,'Product Tgt'!$B:$B,'Product Tgt'!$D:$D),0),0)</f>
        <v>0</v>
      </c>
    </row>
    <row r="23" spans="1:78" x14ac:dyDescent="0.25">
      <c r="A23" s="4" t="s">
        <v>82</v>
      </c>
      <c r="B23" s="3">
        <f>_xlfn.XLOOKUP(A23,'Terr Target'!$A:$A,'Terr Target'!$E:$E)</f>
        <v>555801.72188038658</v>
      </c>
      <c r="C23" s="3">
        <f t="shared" si="4"/>
        <v>555802.36869306618</v>
      </c>
      <c r="D23" s="5">
        <f t="shared" si="6"/>
        <v>0.64681267959531397</v>
      </c>
      <c r="E23" s="6">
        <f t="shared" si="7"/>
        <v>1.1637458133117581E-6</v>
      </c>
      <c r="F23" s="6">
        <f t="shared" si="8"/>
        <v>0.99999883625418673</v>
      </c>
      <c r="G23" s="49">
        <v>22047.055162802721</v>
      </c>
      <c r="H23" s="50">
        <v>22584.025297965538</v>
      </c>
      <c r="I23" s="50">
        <v>102318.20932483519</v>
      </c>
      <c r="J23" s="50">
        <v>129517.20850220624</v>
      </c>
      <c r="K23" s="50">
        <v>18485.194919491136</v>
      </c>
      <c r="L23" s="50">
        <v>10985.821455997084</v>
      </c>
      <c r="M23" s="50">
        <v>0</v>
      </c>
      <c r="N23" s="50">
        <v>8873.9610751217933</v>
      </c>
      <c r="O23" s="50">
        <v>23426.075872288355</v>
      </c>
      <c r="P23" s="50">
        <v>3145.0002829965169</v>
      </c>
      <c r="Q23" s="50">
        <v>3045.9646785022815</v>
      </c>
      <c r="R23" s="50">
        <v>5624.5896022897714</v>
      </c>
      <c r="S23" s="50">
        <v>43668.37425212971</v>
      </c>
      <c r="T23" s="50">
        <v>11234.689817621193</v>
      </c>
      <c r="U23" s="50">
        <v>23590.378181486831</v>
      </c>
      <c r="V23" s="50">
        <v>5987.8061032908636</v>
      </c>
      <c r="W23" s="50">
        <v>23845.216844924031</v>
      </c>
      <c r="X23" s="50">
        <v>17374.262579792019</v>
      </c>
      <c r="Y23" s="50">
        <v>5986.6358447959401</v>
      </c>
      <c r="Z23" s="50">
        <v>40124.206730470214</v>
      </c>
      <c r="AA23" s="50">
        <v>3530.6500442986276</v>
      </c>
      <c r="AB23" s="50">
        <v>17892.429239477067</v>
      </c>
      <c r="AC23" s="50">
        <v>9229.1207557474117</v>
      </c>
      <c r="AD23" s="50">
        <v>9996.5444502963019</v>
      </c>
      <c r="AE23" s="51">
        <v>1691.8255040322883</v>
      </c>
      <c r="AF23" s="42">
        <f>IFERROR(_xlfn.XLOOKUP(AF$7,'Product Tgt'!$B:$B,'Product Tgt'!$G:$G)*G23/G$60,0)</f>
        <v>22209.83814079866</v>
      </c>
      <c r="AG23" s="42">
        <f>IFERROR(_xlfn.XLOOKUP(AG$7,'Product Tgt'!$B:$B,'Product Tgt'!$G:$G)*H23/H$60,0)</f>
        <v>23122.588962381629</v>
      </c>
      <c r="AH23" s="42">
        <f>IFERROR(_xlfn.XLOOKUP(AH$7,'Product Tgt'!$B:$B,'Product Tgt'!$G:$G)*I23/I$60,0)</f>
        <v>102180.89270562425</v>
      </c>
      <c r="AI23" s="42">
        <f>IFERROR(_xlfn.XLOOKUP(AI$7,'Product Tgt'!$B:$B,'Product Tgt'!$G:$G)*J23/J$60,0)</f>
        <v>128959.69791822306</v>
      </c>
      <c r="AJ23" s="42">
        <f>IFERROR(_xlfn.XLOOKUP(AJ$7,'Product Tgt'!$B:$B,'Product Tgt'!$G:$G)*K23/K$60,0)</f>
        <v>18181.815313508523</v>
      </c>
      <c r="AK23" s="42">
        <f>IFERROR(_xlfn.XLOOKUP(AK$7,'Product Tgt'!$B:$B,'Product Tgt'!$G:$G)*L23/L$60,0)</f>
        <v>11306.347188515281</v>
      </c>
      <c r="AL23" s="42">
        <f>IFERROR(_xlfn.XLOOKUP(AL$7,'Product Tgt'!$B:$B,'Product Tgt'!$G:$G)*M23/M$60,0)</f>
        <v>0</v>
      </c>
      <c r="AM23" s="42">
        <f>IFERROR(_xlfn.XLOOKUP(AM$7,'Product Tgt'!$B:$B,'Product Tgt'!$G:$G)*N23/N$60,0)</f>
        <v>8814.7489664649038</v>
      </c>
      <c r="AN23" s="42">
        <f>IFERROR(_xlfn.XLOOKUP(AN$7,'Product Tgt'!$B:$B,'Product Tgt'!$G:$G)*O23/O$60,0)</f>
        <v>25548.982774391643</v>
      </c>
      <c r="AO23" s="42">
        <f>IFERROR(_xlfn.XLOOKUP(AO$7,'Product Tgt'!$B:$B,'Product Tgt'!$G:$G)*P23/P$60,0)</f>
        <v>3015.493748352068</v>
      </c>
      <c r="AP23" s="42">
        <f>IFERROR(_xlfn.XLOOKUP(AP$7,'Product Tgt'!$B:$B,'Product Tgt'!$G:$G)*Q23/Q$60,0)</f>
        <v>2315.389738271414</v>
      </c>
      <c r="AQ23" s="42">
        <f>IFERROR(_xlfn.XLOOKUP(AQ$7,'Product Tgt'!$B:$B,'Product Tgt'!$G:$G)*R23/R$60,0)</f>
        <v>4693.1492469698396</v>
      </c>
      <c r="AR23" s="42">
        <f>IFERROR(_xlfn.XLOOKUP(AR$7,'Product Tgt'!$B:$B,'Product Tgt'!$G:$G)*S23/S$60,0)</f>
        <v>42290.231640782004</v>
      </c>
      <c r="AS23" s="42">
        <f>IFERROR(_xlfn.XLOOKUP(AS$7,'Product Tgt'!$B:$B,'Product Tgt'!$G:$G)*T23/T$60,0)</f>
        <v>10198.479217790909</v>
      </c>
      <c r="AT23" s="42">
        <f>IFERROR(_xlfn.XLOOKUP(AT$7,'Product Tgt'!$B:$B,'Product Tgt'!$G:$G)*U23/U$60,0)</f>
        <v>20143.598404176828</v>
      </c>
      <c r="AU23" s="42">
        <f>IFERROR(_xlfn.XLOOKUP(AU$7,'Product Tgt'!$B:$B,'Product Tgt'!$G:$G)*V23/V$60,0)</f>
        <v>6309.573889186976</v>
      </c>
      <c r="AV23" s="42">
        <f>IFERROR(_xlfn.XLOOKUP(AV$7,'Product Tgt'!$B:$B,'Product Tgt'!$G:$G)*W23/W$60,0)</f>
        <v>22985.345899779022</v>
      </c>
      <c r="AW23" s="42">
        <f>IFERROR(_xlfn.XLOOKUP(AW$7,'Product Tgt'!$B:$B,'Product Tgt'!$G:$G)*X23/X$60,0)</f>
        <v>17923.09172680154</v>
      </c>
      <c r="AX23" s="42">
        <f>IFERROR(_xlfn.XLOOKUP(AX$7,'Product Tgt'!$B:$B,'Product Tgt'!$G:$G)*Y23/Y$60,0)</f>
        <v>5761.3647652621057</v>
      </c>
      <c r="AY23" s="42">
        <f>IFERROR(_xlfn.XLOOKUP(AY$7,'Product Tgt'!$B:$B,'Product Tgt'!$G:$G)*Z23/Z$60,0)</f>
        <v>38644.129456643117</v>
      </c>
      <c r="AZ23" s="42">
        <f>IFERROR(_xlfn.XLOOKUP(AZ$7,'Product Tgt'!$B:$B,'Product Tgt'!$G:$G)*AA23/AA$60,0)</f>
        <v>3528.7474120892061</v>
      </c>
      <c r="BA23" s="42">
        <f>IFERROR(_xlfn.XLOOKUP(BA$7,'Product Tgt'!$B:$B,'Product Tgt'!$G:$G)*AB23/AB$60,0)</f>
        <v>16712.65607670166</v>
      </c>
      <c r="BB23" s="42">
        <f>IFERROR(_xlfn.XLOOKUP(BB$7,'Product Tgt'!$B:$B,'Product Tgt'!$G:$G)*AC23/AC$60,0)</f>
        <v>9246.2023206176818</v>
      </c>
      <c r="BC23" s="42">
        <f>IFERROR(_xlfn.XLOOKUP(BC$7,'Product Tgt'!$B:$B,'Product Tgt'!$G:$G)*AD23/AD$60,0)</f>
        <v>10015.046388565986</v>
      </c>
      <c r="BD23" s="42">
        <f>IFERROR(_xlfn.XLOOKUP(BD$7,'Product Tgt'!$B:$B,'Product Tgt'!$G:$G)*AE23/AE$60,0)</f>
        <v>1694.9567911679887</v>
      </c>
      <c r="BE23" s="10">
        <f>ROUND(IFERROR(AF23/_xlfn.XLOOKUP(BE$7,'Product Tgt'!$B:$B,'Product Tgt'!$D:$D),0),0)</f>
        <v>0</v>
      </c>
      <c r="BF23" s="11">
        <f>ROUND(IFERROR(AG23/_xlfn.XLOOKUP(BF$7,'Product Tgt'!$B:$B,'Product Tgt'!$D:$D),0),0)</f>
        <v>0</v>
      </c>
      <c r="BG23" s="11">
        <f>ROUND(IFERROR(AH23/_xlfn.XLOOKUP(BG$7,'Product Tgt'!$B:$B,'Product Tgt'!$D:$D),0),0)</f>
        <v>0</v>
      </c>
      <c r="BH23" s="11">
        <f>ROUND(IFERROR(AI23/_xlfn.XLOOKUP(BH$7,'Product Tgt'!$B:$B,'Product Tgt'!$D:$D),0),0)</f>
        <v>0</v>
      </c>
      <c r="BI23" s="11">
        <f>ROUND(IFERROR(AM23/_xlfn.XLOOKUP(BI$7,'Product Tgt'!$B:$B,'Product Tgt'!$D:$D),0),0)</f>
        <v>0</v>
      </c>
      <c r="BJ23" s="11">
        <f>ROUND(IFERROR(#REF!/_xlfn.XLOOKUP(BJ$7,'Product Tgt'!$B:$B,'Product Tgt'!$D:$D),0),0)</f>
        <v>0</v>
      </c>
      <c r="BK23" s="11">
        <f>ROUND(IFERROR(#REF!/_xlfn.XLOOKUP(BK$7,'Product Tgt'!$B:$B,'Product Tgt'!$D:$D),0),0)</f>
        <v>0</v>
      </c>
      <c r="BL23" s="11">
        <f>ROUND(IFERROR(AN23/_xlfn.XLOOKUP(BL$7,'Product Tgt'!$B:$B,'Product Tgt'!$D:$D),0),0)</f>
        <v>0</v>
      </c>
      <c r="BM23" s="11">
        <f>ROUND(IFERROR(AQ23/_xlfn.XLOOKUP(BM$7,'Product Tgt'!$B:$B,'Product Tgt'!$D:$D),0),0)</f>
        <v>0</v>
      </c>
      <c r="BN23" s="11">
        <f>ROUND(IFERROR(AR23/_xlfn.XLOOKUP(BN$7,'Product Tgt'!$B:$B,'Product Tgt'!$D:$D),0),0)</f>
        <v>0</v>
      </c>
      <c r="BO23" s="11">
        <f>ROUND(IFERROR(AS23/_xlfn.XLOOKUP(BO$7,'Product Tgt'!$B:$B,'Product Tgt'!$D:$D),0),0)</f>
        <v>0</v>
      </c>
      <c r="BP23" s="11">
        <f>ROUND(IFERROR(AT23/_xlfn.XLOOKUP(BP$7,'Product Tgt'!$B:$B,'Product Tgt'!$D:$D),0),0)</f>
        <v>0</v>
      </c>
      <c r="BQ23" s="11">
        <f>ROUND(IFERROR(AU23/_xlfn.XLOOKUP(BQ$7,'Product Tgt'!$B:$B,'Product Tgt'!$D:$D),0),0)</f>
        <v>0</v>
      </c>
      <c r="BR23" s="11">
        <f>ROUND(IFERROR(AV23/_xlfn.XLOOKUP(BR$7,'Product Tgt'!$B:$B,'Product Tgt'!$D:$D),0),0)</f>
        <v>0</v>
      </c>
      <c r="BS23" s="11">
        <f>ROUND(IFERROR(AW23/_xlfn.XLOOKUP(BS$7,'Product Tgt'!$B:$B,'Product Tgt'!$D:$D),0),0)</f>
        <v>0</v>
      </c>
      <c r="BT23" s="11">
        <f>ROUND(IFERROR(AX23/_xlfn.XLOOKUP(BT$7,'Product Tgt'!$B:$B,'Product Tgt'!$D:$D),0),0)</f>
        <v>0</v>
      </c>
      <c r="BU23" s="11">
        <f>ROUND(IFERROR(AY23/_xlfn.XLOOKUP(BU$7,'Product Tgt'!$B:$B,'Product Tgt'!$D:$D),0),0)</f>
        <v>0</v>
      </c>
      <c r="BV23" s="11">
        <f>ROUND(IFERROR(AZ23/_xlfn.XLOOKUP(BV$7,'Product Tgt'!$B:$B,'Product Tgt'!$D:$D),0),0)</f>
        <v>0</v>
      </c>
      <c r="BW23" s="11">
        <f>ROUND(IFERROR(BA23/_xlfn.XLOOKUP(BW$7,'Product Tgt'!$B:$B,'Product Tgt'!$D:$D),0),0)</f>
        <v>0</v>
      </c>
      <c r="BX23" s="11">
        <f>ROUND(IFERROR(BB23/_xlfn.XLOOKUP(BX$7,'Product Tgt'!$B:$B,'Product Tgt'!$D:$D),0),0)</f>
        <v>0</v>
      </c>
      <c r="BY23" s="11">
        <f>ROUND(IFERROR(BC23/_xlfn.XLOOKUP(BY$7,'Product Tgt'!$B:$B,'Product Tgt'!$D:$D),0),0)</f>
        <v>0</v>
      </c>
      <c r="BZ23" s="13">
        <f>ROUND(IFERROR(BD23/_xlfn.XLOOKUP(BZ$7,'Product Tgt'!$B:$B,'Product Tgt'!$D:$D),0),0)</f>
        <v>0</v>
      </c>
    </row>
    <row r="24" spans="1:78" x14ac:dyDescent="0.25">
      <c r="A24" s="4" t="s">
        <v>51</v>
      </c>
      <c r="B24" s="3">
        <f>_xlfn.XLOOKUP(A24,'Terr Target'!$A:$A,'Terr Target'!$E:$E)</f>
        <v>378686.72474503017</v>
      </c>
      <c r="C24" s="3">
        <f t="shared" si="4"/>
        <v>378686.73625481111</v>
      </c>
      <c r="D24" s="5">
        <f t="shared" si="6"/>
        <v>1.1509780946653336E-2</v>
      </c>
      <c r="E24" s="6">
        <f t="shared" si="7"/>
        <v>3.0393937375479194E-8</v>
      </c>
      <c r="F24" s="6">
        <f t="shared" si="8"/>
        <v>0.99999996960606263</v>
      </c>
      <c r="G24" s="49">
        <v>12244.448777165881</v>
      </c>
      <c r="H24" s="50">
        <v>20797.100685563939</v>
      </c>
      <c r="I24" s="50">
        <v>107398.5910663956</v>
      </c>
      <c r="J24" s="50">
        <v>84874.333482979084</v>
      </c>
      <c r="K24" s="50">
        <v>10148.147206158903</v>
      </c>
      <c r="L24" s="50">
        <v>5607.9078204561865</v>
      </c>
      <c r="M24" s="50">
        <v>0</v>
      </c>
      <c r="N24" s="50">
        <v>3506.8643910460855</v>
      </c>
      <c r="O24" s="50">
        <v>3429.1239234286654</v>
      </c>
      <c r="P24" s="50">
        <v>2762.8528021073657</v>
      </c>
      <c r="Q24" s="50">
        <v>2224.051638112172</v>
      </c>
      <c r="R24" s="50">
        <v>3135.8289768828495</v>
      </c>
      <c r="S24" s="50">
        <v>22033.225140676401</v>
      </c>
      <c r="T24" s="50">
        <v>2705.7804346183179</v>
      </c>
      <c r="U24" s="50">
        <v>18548.129281033674</v>
      </c>
      <c r="V24" s="50">
        <v>3537.9965922075085</v>
      </c>
      <c r="W24" s="50">
        <v>9620.9705979958362</v>
      </c>
      <c r="X24" s="50">
        <v>10627.475061701443</v>
      </c>
      <c r="Y24" s="50">
        <v>7192.5788760394425</v>
      </c>
      <c r="Z24" s="50">
        <v>25761.796421870124</v>
      </c>
      <c r="AA24" s="50">
        <v>3497.3106467950711</v>
      </c>
      <c r="AB24" s="50">
        <v>13895.765952330563</v>
      </c>
      <c r="AC24" s="50">
        <v>5089.6251113649942</v>
      </c>
      <c r="AD24" s="50">
        <v>5512.8397393023461</v>
      </c>
      <c r="AE24" s="51">
        <v>932.99868939391058</v>
      </c>
      <c r="AF24" s="42">
        <f>IFERROR(_xlfn.XLOOKUP(AF$7,'Product Tgt'!$B:$B,'Product Tgt'!$G:$G)*G24/G$60,0)</f>
        <v>12334.854857304357</v>
      </c>
      <c r="AG24" s="42">
        <f>IFERROR(_xlfn.XLOOKUP(AG$7,'Product Tgt'!$B:$B,'Product Tgt'!$G:$G)*H24/H$60,0)</f>
        <v>21293.05136781263</v>
      </c>
      <c r="AH24" s="42">
        <f>IFERROR(_xlfn.XLOOKUP(AH$7,'Product Tgt'!$B:$B,'Product Tgt'!$G:$G)*I24/I$60,0)</f>
        <v>107254.45629771102</v>
      </c>
      <c r="AI24" s="42">
        <f>IFERROR(_xlfn.XLOOKUP(AI$7,'Product Tgt'!$B:$B,'Product Tgt'!$G:$G)*J24/J$60,0)</f>
        <v>84508.989450533598</v>
      </c>
      <c r="AJ24" s="42">
        <f>IFERROR(_xlfn.XLOOKUP(AJ$7,'Product Tgt'!$B:$B,'Product Tgt'!$G:$G)*K24/K$60,0)</f>
        <v>9981.5954919753694</v>
      </c>
      <c r="AK24" s="42">
        <f>IFERROR(_xlfn.XLOOKUP(AK$7,'Product Tgt'!$B:$B,'Product Tgt'!$G:$G)*L24/L$60,0)</f>
        <v>5771.5258775351149</v>
      </c>
      <c r="AL24" s="42">
        <f>IFERROR(_xlfn.XLOOKUP(AL$7,'Product Tgt'!$B:$B,'Product Tgt'!$G:$G)*M24/M$60,0)</f>
        <v>0</v>
      </c>
      <c r="AM24" s="42">
        <f>IFERROR(_xlfn.XLOOKUP(AM$7,'Product Tgt'!$B:$B,'Product Tgt'!$G:$G)*N24/N$60,0)</f>
        <v>3483.4645999483155</v>
      </c>
      <c r="AN24" s="42">
        <f>IFERROR(_xlfn.XLOOKUP(AN$7,'Product Tgt'!$B:$B,'Product Tgt'!$G:$G)*O24/O$60,0)</f>
        <v>3739.8763893944097</v>
      </c>
      <c r="AO24" s="42">
        <f>IFERROR(_xlfn.XLOOKUP(AO$7,'Product Tgt'!$B:$B,'Product Tgt'!$G:$G)*P24/P$60,0)</f>
        <v>2649.0825445757141</v>
      </c>
      <c r="AP24" s="42">
        <f>IFERROR(_xlfn.XLOOKUP(AP$7,'Product Tgt'!$B:$B,'Product Tgt'!$G:$G)*Q24/Q$60,0)</f>
        <v>1690.6126248327716</v>
      </c>
      <c r="AQ24" s="42">
        <f>IFERROR(_xlfn.XLOOKUP(AQ$7,'Product Tgt'!$B:$B,'Product Tgt'!$G:$G)*R24/R$60,0)</f>
        <v>2616.5310613049332</v>
      </c>
      <c r="AR24" s="42">
        <f>IFERROR(_xlfn.XLOOKUP(AR$7,'Product Tgt'!$B:$B,'Product Tgt'!$G:$G)*S24/S$60,0)</f>
        <v>21337.872337834127</v>
      </c>
      <c r="AS24" s="42">
        <f>IFERROR(_xlfn.XLOOKUP(AS$7,'Product Tgt'!$B:$B,'Product Tgt'!$G:$G)*T24/T$60,0)</f>
        <v>2456.2178376370198</v>
      </c>
      <c r="AT24" s="42">
        <f>IFERROR(_xlfn.XLOOKUP(AT$7,'Product Tgt'!$B:$B,'Product Tgt'!$G:$G)*U24/U$60,0)</f>
        <v>15838.070272188699</v>
      </c>
      <c r="AU24" s="42">
        <f>IFERROR(_xlfn.XLOOKUP(AU$7,'Product Tgt'!$B:$B,'Product Tgt'!$G:$G)*V24/V$60,0)</f>
        <v>3728.1185350935571</v>
      </c>
      <c r="AV24" s="42">
        <f>IFERROR(_xlfn.XLOOKUP(AV$7,'Product Tgt'!$B:$B,'Product Tgt'!$G:$G)*W24/W$60,0)</f>
        <v>9274.0333847545971</v>
      </c>
      <c r="AW24" s="42">
        <f>IFERROR(_xlfn.XLOOKUP(AW$7,'Product Tgt'!$B:$B,'Product Tgt'!$G:$G)*X24/X$60,0)</f>
        <v>10963.182436111829</v>
      </c>
      <c r="AX24" s="42">
        <f>IFERROR(_xlfn.XLOOKUP(AX$7,'Product Tgt'!$B:$B,'Product Tgt'!$G:$G)*Y24/Y$60,0)</f>
        <v>6921.9293743754761</v>
      </c>
      <c r="AY24" s="42">
        <f>IFERROR(_xlfn.XLOOKUP(AY$7,'Product Tgt'!$B:$B,'Product Tgt'!$G:$G)*Z24/Z$60,0)</f>
        <v>24811.5109826314</v>
      </c>
      <c r="AZ24" s="42">
        <f>IFERROR(_xlfn.XLOOKUP(AZ$7,'Product Tgt'!$B:$B,'Product Tgt'!$G:$G)*AA24/AA$60,0)</f>
        <v>3495.4259808555253</v>
      </c>
      <c r="BA24" s="42">
        <f>IFERROR(_xlfn.XLOOKUP(BA$7,'Product Tgt'!$B:$B,'Product Tgt'!$G:$G)*AB24/AB$60,0)</f>
        <v>12979.520789231234</v>
      </c>
      <c r="BB24" s="42">
        <f>IFERROR(_xlfn.XLOOKUP(BB$7,'Product Tgt'!$B:$B,'Product Tgt'!$G:$G)*AC24/AC$60,0)</f>
        <v>5099.0451594720689</v>
      </c>
      <c r="BC24" s="42">
        <f>IFERROR(_xlfn.XLOOKUP(BC$7,'Product Tgt'!$B:$B,'Product Tgt'!$G:$G)*AD24/AD$60,0)</f>
        <v>5523.0430871746412</v>
      </c>
      <c r="BD24" s="42">
        <f>IFERROR(_xlfn.XLOOKUP(BD$7,'Product Tgt'!$B:$B,'Product Tgt'!$G:$G)*AE24/AE$60,0)</f>
        <v>934.72551452260245</v>
      </c>
      <c r="BE24" s="10">
        <f>ROUND(IFERROR(AF24/_xlfn.XLOOKUP(BE$7,'Product Tgt'!$B:$B,'Product Tgt'!$D:$D),0),0)</f>
        <v>0</v>
      </c>
      <c r="BF24" s="11">
        <f>ROUND(IFERROR(AG24/_xlfn.XLOOKUP(BF$7,'Product Tgt'!$B:$B,'Product Tgt'!$D:$D),0),0)</f>
        <v>0</v>
      </c>
      <c r="BG24" s="11">
        <f>ROUND(IFERROR(AH24/_xlfn.XLOOKUP(BG$7,'Product Tgt'!$B:$B,'Product Tgt'!$D:$D),0),0)</f>
        <v>0</v>
      </c>
      <c r="BH24" s="11">
        <f>ROUND(IFERROR(AI24/_xlfn.XLOOKUP(BH$7,'Product Tgt'!$B:$B,'Product Tgt'!$D:$D),0),0)</f>
        <v>0</v>
      </c>
      <c r="BI24" s="11">
        <f>ROUND(IFERROR(AM24/_xlfn.XLOOKUP(BI$7,'Product Tgt'!$B:$B,'Product Tgt'!$D:$D),0),0)</f>
        <v>0</v>
      </c>
      <c r="BJ24" s="11">
        <f>ROUND(IFERROR(#REF!/_xlfn.XLOOKUP(BJ$7,'Product Tgt'!$B:$B,'Product Tgt'!$D:$D),0),0)</f>
        <v>0</v>
      </c>
      <c r="BK24" s="11">
        <f>ROUND(IFERROR(#REF!/_xlfn.XLOOKUP(BK$7,'Product Tgt'!$B:$B,'Product Tgt'!$D:$D),0),0)</f>
        <v>0</v>
      </c>
      <c r="BL24" s="11">
        <f>ROUND(IFERROR(AN24/_xlfn.XLOOKUP(BL$7,'Product Tgt'!$B:$B,'Product Tgt'!$D:$D),0),0)</f>
        <v>0</v>
      </c>
      <c r="BM24" s="11">
        <f>ROUND(IFERROR(AQ24/_xlfn.XLOOKUP(BM$7,'Product Tgt'!$B:$B,'Product Tgt'!$D:$D),0),0)</f>
        <v>0</v>
      </c>
      <c r="BN24" s="11">
        <f>ROUND(IFERROR(AR24/_xlfn.XLOOKUP(BN$7,'Product Tgt'!$B:$B,'Product Tgt'!$D:$D),0),0)</f>
        <v>0</v>
      </c>
      <c r="BO24" s="11">
        <f>ROUND(IFERROR(AS24/_xlfn.XLOOKUP(BO$7,'Product Tgt'!$B:$B,'Product Tgt'!$D:$D),0),0)</f>
        <v>0</v>
      </c>
      <c r="BP24" s="11">
        <f>ROUND(IFERROR(AT24/_xlfn.XLOOKUP(BP$7,'Product Tgt'!$B:$B,'Product Tgt'!$D:$D),0),0)</f>
        <v>0</v>
      </c>
      <c r="BQ24" s="11">
        <f>ROUND(IFERROR(AU24/_xlfn.XLOOKUP(BQ$7,'Product Tgt'!$B:$B,'Product Tgt'!$D:$D),0),0)</f>
        <v>0</v>
      </c>
      <c r="BR24" s="11">
        <f>ROUND(IFERROR(AV24/_xlfn.XLOOKUP(BR$7,'Product Tgt'!$B:$B,'Product Tgt'!$D:$D),0),0)</f>
        <v>0</v>
      </c>
      <c r="BS24" s="11">
        <f>ROUND(IFERROR(AW24/_xlfn.XLOOKUP(BS$7,'Product Tgt'!$B:$B,'Product Tgt'!$D:$D),0),0)</f>
        <v>0</v>
      </c>
      <c r="BT24" s="11">
        <f>ROUND(IFERROR(AX24/_xlfn.XLOOKUP(BT$7,'Product Tgt'!$B:$B,'Product Tgt'!$D:$D),0),0)</f>
        <v>0</v>
      </c>
      <c r="BU24" s="11">
        <f>ROUND(IFERROR(AY24/_xlfn.XLOOKUP(BU$7,'Product Tgt'!$B:$B,'Product Tgt'!$D:$D),0),0)</f>
        <v>0</v>
      </c>
      <c r="BV24" s="11">
        <f>ROUND(IFERROR(AZ24/_xlfn.XLOOKUP(BV$7,'Product Tgt'!$B:$B,'Product Tgt'!$D:$D),0),0)</f>
        <v>0</v>
      </c>
      <c r="BW24" s="11">
        <f>ROUND(IFERROR(BA24/_xlfn.XLOOKUP(BW$7,'Product Tgt'!$B:$B,'Product Tgt'!$D:$D),0),0)</f>
        <v>0</v>
      </c>
      <c r="BX24" s="11">
        <f>ROUND(IFERROR(BB24/_xlfn.XLOOKUP(BX$7,'Product Tgt'!$B:$B,'Product Tgt'!$D:$D),0),0)</f>
        <v>0</v>
      </c>
      <c r="BY24" s="11">
        <f>ROUND(IFERROR(BC24/_xlfn.XLOOKUP(BY$7,'Product Tgt'!$B:$B,'Product Tgt'!$D:$D),0),0)</f>
        <v>0</v>
      </c>
      <c r="BZ24" s="13">
        <f>ROUND(IFERROR(BD24/_xlfn.XLOOKUP(BZ$7,'Product Tgt'!$B:$B,'Product Tgt'!$D:$D),0),0)</f>
        <v>0</v>
      </c>
    </row>
    <row r="25" spans="1:78" x14ac:dyDescent="0.25">
      <c r="A25" s="4" t="s">
        <v>83</v>
      </c>
      <c r="B25" s="3">
        <f>_xlfn.XLOOKUP(A25,'Terr Target'!$A:$A,'Terr Target'!$E:$E)</f>
        <v>320885.23094027053</v>
      </c>
      <c r="C25" s="3">
        <f t="shared" si="4"/>
        <v>320885.1901947998</v>
      </c>
      <c r="D25" s="5">
        <f t="shared" si="6"/>
        <v>-4.0745470731053501E-2</v>
      </c>
      <c r="E25" s="6">
        <f t="shared" si="7"/>
        <v>1.269783460754862E-7</v>
      </c>
      <c r="F25" s="6">
        <f t="shared" si="8"/>
        <v>1.0000001269783461</v>
      </c>
      <c r="G25" s="49">
        <v>5563.9510542171911</v>
      </c>
      <c r="H25" s="50">
        <v>13005.418668968552</v>
      </c>
      <c r="I25" s="50">
        <v>57410.028428186764</v>
      </c>
      <c r="J25" s="50">
        <v>87035.784667342712</v>
      </c>
      <c r="K25" s="50">
        <v>10364.686187236539</v>
      </c>
      <c r="L25" s="50">
        <v>7528.9965463299459</v>
      </c>
      <c r="M25" s="50">
        <v>0</v>
      </c>
      <c r="N25" s="50">
        <v>3601.4629013516533</v>
      </c>
      <c r="O25" s="50">
        <v>13056.145890442649</v>
      </c>
      <c r="P25" s="50">
        <v>1719.4709971348541</v>
      </c>
      <c r="Q25" s="50">
        <v>2614.3499311386499</v>
      </c>
      <c r="R25" s="50">
        <v>3676.2351055134559</v>
      </c>
      <c r="S25" s="50">
        <v>16681.683743301313</v>
      </c>
      <c r="T25" s="50">
        <v>4518.7385329814697</v>
      </c>
      <c r="U25" s="50">
        <v>18003.238747333016</v>
      </c>
      <c r="V25" s="50">
        <v>4754.0137437254607</v>
      </c>
      <c r="W25" s="50">
        <v>6681.2585650902847</v>
      </c>
      <c r="X25" s="50">
        <v>4989.3588817144919</v>
      </c>
      <c r="Y25" s="50">
        <v>4598.7552805213545</v>
      </c>
      <c r="Z25" s="50">
        <v>30855.786469035291</v>
      </c>
      <c r="AA25" s="50">
        <v>4385.6170376360888</v>
      </c>
      <c r="AB25" s="50">
        <v>15295.71575698032</v>
      </c>
      <c r="AC25" s="50">
        <v>4609.4974468855453</v>
      </c>
      <c r="AD25" s="50">
        <v>4992.788299212908</v>
      </c>
      <c r="AE25" s="51">
        <v>844.98464672880243</v>
      </c>
      <c r="AF25" s="42">
        <f>IFERROR(_xlfn.XLOOKUP(AF$7,'Product Tgt'!$B:$B,'Product Tgt'!$G:$G)*G25/G$60,0)</f>
        <v>5605.0321199350838</v>
      </c>
      <c r="AG25" s="42">
        <f>IFERROR(_xlfn.XLOOKUP(AG$7,'Product Tgt'!$B:$B,'Product Tgt'!$G:$G)*H25/H$60,0)</f>
        <v>13315.560277615092</v>
      </c>
      <c r="AH25" s="42">
        <f>IFERROR(_xlfn.XLOOKUP(AH$7,'Product Tgt'!$B:$B,'Product Tgt'!$G:$G)*I25/I$60,0)</f>
        <v>57332.981037848505</v>
      </c>
      <c r="AI25" s="42">
        <f>IFERROR(_xlfn.XLOOKUP(AI$7,'Product Tgt'!$B:$B,'Product Tgt'!$G:$G)*J25/J$60,0)</f>
        <v>86661.13660552552</v>
      </c>
      <c r="AJ25" s="42">
        <f>IFERROR(_xlfn.XLOOKUP(AJ$7,'Product Tgt'!$B:$B,'Product Tgt'!$G:$G)*K25/K$60,0)</f>
        <v>10194.580628419755</v>
      </c>
      <c r="AK25" s="42">
        <f>IFERROR(_xlfn.XLOOKUP(AK$7,'Product Tgt'!$B:$B,'Product Tgt'!$G:$G)*L25/L$60,0)</f>
        <v>7748.6648836322984</v>
      </c>
      <c r="AL25" s="42">
        <f>IFERROR(_xlfn.XLOOKUP(AL$7,'Product Tgt'!$B:$B,'Product Tgt'!$G:$G)*M25/M$60,0)</f>
        <v>0</v>
      </c>
      <c r="AM25" s="42">
        <f>IFERROR(_xlfn.XLOOKUP(AM$7,'Product Tgt'!$B:$B,'Product Tgt'!$G:$G)*N25/N$60,0)</f>
        <v>3577.4318952616632</v>
      </c>
      <c r="AN25" s="42">
        <f>IFERROR(_xlfn.XLOOKUP(AN$7,'Product Tgt'!$B:$B,'Product Tgt'!$G:$G)*O25/O$60,0)</f>
        <v>14239.313842975225</v>
      </c>
      <c r="AO25" s="42">
        <f>IFERROR(_xlfn.XLOOKUP(AO$7,'Product Tgt'!$B:$B,'Product Tgt'!$G:$G)*P25/P$60,0)</f>
        <v>1648.6656838684271</v>
      </c>
      <c r="AP25" s="42">
        <f>IFERROR(_xlfn.XLOOKUP(AP$7,'Product Tgt'!$B:$B,'Product Tgt'!$G:$G)*Q25/Q$60,0)</f>
        <v>1987.2978322865583</v>
      </c>
      <c r="AQ25" s="42">
        <f>IFERROR(_xlfn.XLOOKUP(AQ$7,'Product Tgt'!$B:$B,'Product Tgt'!$G:$G)*R25/R$60,0)</f>
        <v>3067.4451359261516</v>
      </c>
      <c r="AR25" s="42">
        <f>IFERROR(_xlfn.XLOOKUP(AR$7,'Product Tgt'!$B:$B,'Product Tgt'!$G:$G)*S25/S$60,0)</f>
        <v>16155.221753602929</v>
      </c>
      <c r="AS25" s="42">
        <f>IFERROR(_xlfn.XLOOKUP(AS$7,'Product Tgt'!$B:$B,'Product Tgt'!$G:$G)*T25/T$60,0)</f>
        <v>4101.9611370988678</v>
      </c>
      <c r="AT25" s="42">
        <f>IFERROR(_xlfn.XLOOKUP(AT$7,'Product Tgt'!$B:$B,'Product Tgt'!$G:$G)*U25/U$60,0)</f>
        <v>15372.793454637829</v>
      </c>
      <c r="AU25" s="42">
        <f>IFERROR(_xlfn.XLOOKUP(AU$7,'Product Tgt'!$B:$B,'Product Tgt'!$G:$G)*V25/V$60,0)</f>
        <v>5009.4810133816245</v>
      </c>
      <c r="AV25" s="42">
        <f>IFERROR(_xlfn.XLOOKUP(AV$7,'Product Tgt'!$B:$B,'Product Tgt'!$G:$G)*W25/W$60,0)</f>
        <v>6440.3288996364226</v>
      </c>
      <c r="AW25" s="42">
        <f>IFERROR(_xlfn.XLOOKUP(AW$7,'Product Tgt'!$B:$B,'Product Tgt'!$G:$G)*X25/X$60,0)</f>
        <v>5146.9658918883033</v>
      </c>
      <c r="AX25" s="42">
        <f>IFERROR(_xlfn.XLOOKUP(AX$7,'Product Tgt'!$B:$B,'Product Tgt'!$G:$G)*Y25/Y$60,0)</f>
        <v>4425.7087493120926</v>
      </c>
      <c r="AY25" s="42">
        <f>IFERROR(_xlfn.XLOOKUP(AY$7,'Product Tgt'!$B:$B,'Product Tgt'!$G:$G)*Z25/Z$60,0)</f>
        <v>29717.597030782799</v>
      </c>
      <c r="AZ25" s="42">
        <f>IFERROR(_xlfn.XLOOKUP(AZ$7,'Product Tgt'!$B:$B,'Product Tgt'!$G:$G)*AA25/AA$60,0)</f>
        <v>4383.2536722134892</v>
      </c>
      <c r="BA25" s="42">
        <f>IFERROR(_xlfn.XLOOKUP(BA$7,'Product Tgt'!$B:$B,'Product Tgt'!$G:$G)*AB25/AB$60,0)</f>
        <v>14287.162099229276</v>
      </c>
      <c r="BB25" s="42">
        <f>IFERROR(_xlfn.XLOOKUP(BB$7,'Product Tgt'!$B:$B,'Product Tgt'!$G:$G)*AC25/AC$60,0)</f>
        <v>4618.0288586789475</v>
      </c>
      <c r="BC25" s="42">
        <f>IFERROR(_xlfn.XLOOKUP(BC$7,'Product Tgt'!$B:$B,'Product Tgt'!$G:$G)*AD25/AD$60,0)</f>
        <v>5002.0291185145115</v>
      </c>
      <c r="BD25" s="42">
        <f>IFERROR(_xlfn.XLOOKUP(BD$7,'Product Tgt'!$B:$B,'Product Tgt'!$G:$G)*AE25/AE$60,0)</f>
        <v>846.54857252839599</v>
      </c>
      <c r="BE25" s="10">
        <f>ROUND(IFERROR(AF25/_xlfn.XLOOKUP(BE$7,'Product Tgt'!$B:$B,'Product Tgt'!$D:$D),0),0)</f>
        <v>0</v>
      </c>
      <c r="BF25" s="11">
        <f>ROUND(IFERROR(AG25/_xlfn.XLOOKUP(BF$7,'Product Tgt'!$B:$B,'Product Tgt'!$D:$D),0),0)</f>
        <v>0</v>
      </c>
      <c r="BG25" s="11">
        <f>ROUND(IFERROR(AH25/_xlfn.XLOOKUP(BG$7,'Product Tgt'!$B:$B,'Product Tgt'!$D:$D),0),0)</f>
        <v>0</v>
      </c>
      <c r="BH25" s="11">
        <f>ROUND(IFERROR(AI25/_xlfn.XLOOKUP(BH$7,'Product Tgt'!$B:$B,'Product Tgt'!$D:$D),0),0)</f>
        <v>0</v>
      </c>
      <c r="BI25" s="11">
        <f>ROUND(IFERROR(AM25/_xlfn.XLOOKUP(BI$7,'Product Tgt'!$B:$B,'Product Tgt'!$D:$D),0),0)</f>
        <v>0</v>
      </c>
      <c r="BJ25" s="11">
        <f>ROUND(IFERROR(#REF!/_xlfn.XLOOKUP(BJ$7,'Product Tgt'!$B:$B,'Product Tgt'!$D:$D),0),0)</f>
        <v>0</v>
      </c>
      <c r="BK25" s="11">
        <f>ROUND(IFERROR(#REF!/_xlfn.XLOOKUP(BK$7,'Product Tgt'!$B:$B,'Product Tgt'!$D:$D),0),0)</f>
        <v>0</v>
      </c>
      <c r="BL25" s="11">
        <f>ROUND(IFERROR(AN25/_xlfn.XLOOKUP(BL$7,'Product Tgt'!$B:$B,'Product Tgt'!$D:$D),0),0)</f>
        <v>0</v>
      </c>
      <c r="BM25" s="11">
        <f>ROUND(IFERROR(AQ25/_xlfn.XLOOKUP(BM$7,'Product Tgt'!$B:$B,'Product Tgt'!$D:$D),0),0)</f>
        <v>0</v>
      </c>
      <c r="BN25" s="11">
        <f>ROUND(IFERROR(AR25/_xlfn.XLOOKUP(BN$7,'Product Tgt'!$B:$B,'Product Tgt'!$D:$D),0),0)</f>
        <v>0</v>
      </c>
      <c r="BO25" s="11">
        <f>ROUND(IFERROR(AS25/_xlfn.XLOOKUP(BO$7,'Product Tgt'!$B:$B,'Product Tgt'!$D:$D),0),0)</f>
        <v>0</v>
      </c>
      <c r="BP25" s="11">
        <f>ROUND(IFERROR(AT25/_xlfn.XLOOKUP(BP$7,'Product Tgt'!$B:$B,'Product Tgt'!$D:$D),0),0)</f>
        <v>0</v>
      </c>
      <c r="BQ25" s="11">
        <f>ROUND(IFERROR(AU25/_xlfn.XLOOKUP(BQ$7,'Product Tgt'!$B:$B,'Product Tgt'!$D:$D),0),0)</f>
        <v>0</v>
      </c>
      <c r="BR25" s="11">
        <f>ROUND(IFERROR(AV25/_xlfn.XLOOKUP(BR$7,'Product Tgt'!$B:$B,'Product Tgt'!$D:$D),0),0)</f>
        <v>0</v>
      </c>
      <c r="BS25" s="11">
        <f>ROUND(IFERROR(AW25/_xlfn.XLOOKUP(BS$7,'Product Tgt'!$B:$B,'Product Tgt'!$D:$D),0),0)</f>
        <v>0</v>
      </c>
      <c r="BT25" s="11">
        <f>ROUND(IFERROR(AX25/_xlfn.XLOOKUP(BT$7,'Product Tgt'!$B:$B,'Product Tgt'!$D:$D),0),0)</f>
        <v>0</v>
      </c>
      <c r="BU25" s="11">
        <f>ROUND(IFERROR(AY25/_xlfn.XLOOKUP(BU$7,'Product Tgt'!$B:$B,'Product Tgt'!$D:$D),0),0)</f>
        <v>0</v>
      </c>
      <c r="BV25" s="11">
        <f>ROUND(IFERROR(AZ25/_xlfn.XLOOKUP(BV$7,'Product Tgt'!$B:$B,'Product Tgt'!$D:$D),0),0)</f>
        <v>0</v>
      </c>
      <c r="BW25" s="11">
        <f>ROUND(IFERROR(BA25/_xlfn.XLOOKUP(BW$7,'Product Tgt'!$B:$B,'Product Tgt'!$D:$D),0),0)</f>
        <v>0</v>
      </c>
      <c r="BX25" s="11">
        <f>ROUND(IFERROR(BB25/_xlfn.XLOOKUP(BX$7,'Product Tgt'!$B:$B,'Product Tgt'!$D:$D),0),0)</f>
        <v>0</v>
      </c>
      <c r="BY25" s="11">
        <f>ROUND(IFERROR(BC25/_xlfn.XLOOKUP(BY$7,'Product Tgt'!$B:$B,'Product Tgt'!$D:$D),0),0)</f>
        <v>0</v>
      </c>
      <c r="BZ25" s="13">
        <f>ROUND(IFERROR(BD25/_xlfn.XLOOKUP(BZ$7,'Product Tgt'!$B:$B,'Product Tgt'!$D:$D),0),0)</f>
        <v>0</v>
      </c>
    </row>
    <row r="26" spans="1:78" x14ac:dyDescent="0.25">
      <c r="A26" s="4" t="s">
        <v>84</v>
      </c>
      <c r="B26" s="3">
        <f>_xlfn.XLOOKUP(A26,'Terr Target'!$A:$A,'Terr Target'!$E:$E)</f>
        <v>308959.51208081766</v>
      </c>
      <c r="C26" s="3">
        <f t="shared" si="4"/>
        <v>308959.62935905322</v>
      </c>
      <c r="D26" s="5">
        <f t="shared" si="6"/>
        <v>0.11727823555702344</v>
      </c>
      <c r="E26" s="6">
        <f t="shared" si="7"/>
        <v>3.7959080867724026E-7</v>
      </c>
      <c r="F26" s="6">
        <f t="shared" si="8"/>
        <v>0.99999962040919133</v>
      </c>
      <c r="G26" s="49">
        <v>6355.9633916698558</v>
      </c>
      <c r="H26" s="50">
        <v>11442.776704933509</v>
      </c>
      <c r="I26" s="50">
        <v>60309.071970005665</v>
      </c>
      <c r="J26" s="50">
        <v>94767.812696632784</v>
      </c>
      <c r="K26" s="50">
        <v>9338.4490875688734</v>
      </c>
      <c r="L26" s="50">
        <v>5546.6381326191195</v>
      </c>
      <c r="M26" s="50">
        <v>0</v>
      </c>
      <c r="N26" s="50">
        <v>3919.973107951751</v>
      </c>
      <c r="O26" s="50">
        <v>8285.1410631735944</v>
      </c>
      <c r="P26" s="50">
        <v>2635.4935369369646</v>
      </c>
      <c r="Q26" s="50">
        <v>1306.5844195481523</v>
      </c>
      <c r="R26" s="50">
        <v>1447.487839222862</v>
      </c>
      <c r="S26" s="50">
        <v>13678.474276556566</v>
      </c>
      <c r="T26" s="50">
        <v>2915.8313831876471</v>
      </c>
      <c r="U26" s="50">
        <v>20033.9879764615</v>
      </c>
      <c r="V26" s="50">
        <v>4211.9329880380146</v>
      </c>
      <c r="W26" s="50">
        <v>9159.8515048435966</v>
      </c>
      <c r="X26" s="50">
        <v>6578.8706029651812</v>
      </c>
      <c r="Y26" s="50">
        <v>3440.5017550444763</v>
      </c>
      <c r="Z26" s="50">
        <v>22267.776856371234</v>
      </c>
      <c r="AA26" s="50">
        <v>3495.4940613189387</v>
      </c>
      <c r="AB26" s="50">
        <v>13507.241645625631</v>
      </c>
      <c r="AC26" s="50">
        <v>4306.6902832916139</v>
      </c>
      <c r="AD26" s="50">
        <v>4664.8019881821619</v>
      </c>
      <c r="AE26" s="51">
        <v>789.47590480960503</v>
      </c>
      <c r="AF26" s="42">
        <f>IFERROR(_xlfn.XLOOKUP(AF$7,'Product Tgt'!$B:$B,'Product Tgt'!$G:$G)*G26/G$60,0)</f>
        <v>6402.8922282554695</v>
      </c>
      <c r="AG26" s="42">
        <f>IFERROR(_xlfn.XLOOKUP(AG$7,'Product Tgt'!$B:$B,'Product Tgt'!$G:$G)*H26/H$60,0)</f>
        <v>11715.653823693166</v>
      </c>
      <c r="AH26" s="42">
        <f>IFERROR(_xlfn.XLOOKUP(AH$7,'Product Tgt'!$B:$B,'Product Tgt'!$G:$G)*I26/I$60,0)</f>
        <v>60228.133905067698</v>
      </c>
      <c r="AI26" s="42">
        <f>IFERROR(_xlfn.XLOOKUP(AI$7,'Product Tgt'!$B:$B,'Product Tgt'!$G:$G)*J26/J$60,0)</f>
        <v>94359.881895696715</v>
      </c>
      <c r="AJ26" s="42">
        <f>IFERROR(_xlfn.XLOOKUP(AJ$7,'Product Tgt'!$B:$B,'Product Tgt'!$G:$G)*K26/K$60,0)</f>
        <v>9185.1861646181369</v>
      </c>
      <c r="AK26" s="42">
        <f>IFERROR(_xlfn.XLOOKUP(AK$7,'Product Tgt'!$B:$B,'Product Tgt'!$G:$G)*L26/L$60,0)</f>
        <v>5708.4685662914781</v>
      </c>
      <c r="AL26" s="42">
        <f>IFERROR(_xlfn.XLOOKUP(AL$7,'Product Tgt'!$B:$B,'Product Tgt'!$G:$G)*M26/M$60,0)</f>
        <v>0</v>
      </c>
      <c r="AM26" s="42">
        <f>IFERROR(_xlfn.XLOOKUP(AM$7,'Product Tgt'!$B:$B,'Product Tgt'!$G:$G)*N26/N$60,0)</f>
        <v>3893.8168208511865</v>
      </c>
      <c r="AN26" s="42">
        <f>IFERROR(_xlfn.XLOOKUP(AN$7,'Product Tgt'!$B:$B,'Product Tgt'!$G:$G)*O26/O$60,0)</f>
        <v>9035.9532454527816</v>
      </c>
      <c r="AO26" s="42">
        <f>IFERROR(_xlfn.XLOOKUP(AO$7,'Product Tgt'!$B:$B,'Product Tgt'!$G:$G)*P26/P$60,0)</f>
        <v>2526.9677485954294</v>
      </c>
      <c r="AP26" s="42">
        <f>IFERROR(_xlfn.XLOOKUP(AP$7,'Product Tgt'!$B:$B,'Product Tgt'!$G:$G)*Q26/Q$60,0)</f>
        <v>993.20001264579253</v>
      </c>
      <c r="AQ26" s="42">
        <f>IFERROR(_xlfn.XLOOKUP(AQ$7,'Product Tgt'!$B:$B,'Product Tgt'!$G:$G)*R26/R$60,0)</f>
        <v>1207.7817126215273</v>
      </c>
      <c r="AR26" s="42">
        <f>IFERROR(_xlfn.XLOOKUP(AR$7,'Product Tgt'!$B:$B,'Product Tgt'!$G:$G)*S26/S$60,0)</f>
        <v>13246.791426402677</v>
      </c>
      <c r="AS26" s="42">
        <f>IFERROR(_xlfn.XLOOKUP(AS$7,'Product Tgt'!$B:$B,'Product Tgt'!$G:$G)*T26/T$60,0)</f>
        <v>2646.8951298842526</v>
      </c>
      <c r="AT26" s="42">
        <f>IFERROR(_xlfn.XLOOKUP(AT$7,'Product Tgt'!$B:$B,'Product Tgt'!$G:$G)*U26/U$60,0)</f>
        <v>17106.830807343704</v>
      </c>
      <c r="AU26" s="42">
        <f>IFERROR(_xlfn.XLOOKUP(AU$7,'Product Tgt'!$B:$B,'Product Tgt'!$G:$G)*V26/V$60,0)</f>
        <v>4438.2703691297211</v>
      </c>
      <c r="AV26" s="42">
        <f>IFERROR(_xlfn.XLOOKUP(AV$7,'Product Tgt'!$B:$B,'Product Tgt'!$G:$G)*W26/W$60,0)</f>
        <v>8829.5424863900953</v>
      </c>
      <c r="AW26" s="42">
        <f>IFERROR(_xlfn.XLOOKUP(AW$7,'Product Tgt'!$B:$B,'Product Tgt'!$G:$G)*X26/X$60,0)</f>
        <v>6786.6881103114192</v>
      </c>
      <c r="AX26" s="42">
        <f>IFERROR(_xlfn.XLOOKUP(AX$7,'Product Tgt'!$B:$B,'Product Tgt'!$G:$G)*Y26/Y$60,0)</f>
        <v>3311.0391378768304</v>
      </c>
      <c r="AY26" s="42">
        <f>IFERROR(_xlfn.XLOOKUP(AY$7,'Product Tgt'!$B:$B,'Product Tgt'!$G:$G)*Z26/Z$60,0)</f>
        <v>21446.376680533245</v>
      </c>
      <c r="AZ26" s="42">
        <f>IFERROR(_xlfn.XLOOKUP(AZ$7,'Product Tgt'!$B:$B,'Product Tgt'!$G:$G)*AA26/AA$60,0)</f>
        <v>3493.6103743192461</v>
      </c>
      <c r="BA26" s="42">
        <f>IFERROR(_xlfn.XLOOKUP(BA$7,'Product Tgt'!$B:$B,'Product Tgt'!$G:$G)*AB26/AB$60,0)</f>
        <v>12616.614610953775</v>
      </c>
      <c r="BB26" s="42">
        <f>IFERROR(_xlfn.XLOOKUP(BB$7,'Product Tgt'!$B:$B,'Product Tgt'!$G:$G)*AC26/AC$60,0)</f>
        <v>4314.6612494754072</v>
      </c>
      <c r="BC26" s="42">
        <f>IFERROR(_xlfn.XLOOKUP(BC$7,'Product Tgt'!$B:$B,'Product Tgt'!$G:$G)*AD26/AD$60,0)</f>
        <v>4673.4357594673074</v>
      </c>
      <c r="BD26" s="42">
        <f>IFERROR(_xlfn.XLOOKUP(BD$7,'Product Tgt'!$B:$B,'Product Tgt'!$G:$G)*AE26/AE$60,0)</f>
        <v>790.93709317612627</v>
      </c>
      <c r="BE26" s="10">
        <f>ROUND(IFERROR(AF26/_xlfn.XLOOKUP(BE$7,'Product Tgt'!$B:$B,'Product Tgt'!$D:$D),0),0)</f>
        <v>0</v>
      </c>
      <c r="BF26" s="11">
        <f>ROUND(IFERROR(AG26/_xlfn.XLOOKUP(BF$7,'Product Tgt'!$B:$B,'Product Tgt'!$D:$D),0),0)</f>
        <v>0</v>
      </c>
      <c r="BG26" s="11">
        <f>ROUND(IFERROR(AH26/_xlfn.XLOOKUP(BG$7,'Product Tgt'!$B:$B,'Product Tgt'!$D:$D),0),0)</f>
        <v>0</v>
      </c>
      <c r="BH26" s="11">
        <f>ROUND(IFERROR(AI26/_xlfn.XLOOKUP(BH$7,'Product Tgt'!$B:$B,'Product Tgt'!$D:$D),0),0)</f>
        <v>0</v>
      </c>
      <c r="BI26" s="11">
        <f>ROUND(IFERROR(AM26/_xlfn.XLOOKUP(BI$7,'Product Tgt'!$B:$B,'Product Tgt'!$D:$D),0),0)</f>
        <v>0</v>
      </c>
      <c r="BJ26" s="11">
        <f>ROUND(IFERROR(#REF!/_xlfn.XLOOKUP(BJ$7,'Product Tgt'!$B:$B,'Product Tgt'!$D:$D),0),0)</f>
        <v>0</v>
      </c>
      <c r="BK26" s="11">
        <f>ROUND(IFERROR(#REF!/_xlfn.XLOOKUP(BK$7,'Product Tgt'!$B:$B,'Product Tgt'!$D:$D),0),0)</f>
        <v>0</v>
      </c>
      <c r="BL26" s="11">
        <f>ROUND(IFERROR(AN26/_xlfn.XLOOKUP(BL$7,'Product Tgt'!$B:$B,'Product Tgt'!$D:$D),0),0)</f>
        <v>0</v>
      </c>
      <c r="BM26" s="11">
        <f>ROUND(IFERROR(AQ26/_xlfn.XLOOKUP(BM$7,'Product Tgt'!$B:$B,'Product Tgt'!$D:$D),0),0)</f>
        <v>0</v>
      </c>
      <c r="BN26" s="11">
        <f>ROUND(IFERROR(AR26/_xlfn.XLOOKUP(BN$7,'Product Tgt'!$B:$B,'Product Tgt'!$D:$D),0),0)</f>
        <v>0</v>
      </c>
      <c r="BO26" s="11">
        <f>ROUND(IFERROR(AS26/_xlfn.XLOOKUP(BO$7,'Product Tgt'!$B:$B,'Product Tgt'!$D:$D),0),0)</f>
        <v>0</v>
      </c>
      <c r="BP26" s="11">
        <f>ROUND(IFERROR(AT26/_xlfn.XLOOKUP(BP$7,'Product Tgt'!$B:$B,'Product Tgt'!$D:$D),0),0)</f>
        <v>0</v>
      </c>
      <c r="BQ26" s="11">
        <f>ROUND(IFERROR(AU26/_xlfn.XLOOKUP(BQ$7,'Product Tgt'!$B:$B,'Product Tgt'!$D:$D),0),0)</f>
        <v>0</v>
      </c>
      <c r="BR26" s="11">
        <f>ROUND(IFERROR(AV26/_xlfn.XLOOKUP(BR$7,'Product Tgt'!$B:$B,'Product Tgt'!$D:$D),0),0)</f>
        <v>0</v>
      </c>
      <c r="BS26" s="11">
        <f>ROUND(IFERROR(AW26/_xlfn.XLOOKUP(BS$7,'Product Tgt'!$B:$B,'Product Tgt'!$D:$D),0),0)</f>
        <v>0</v>
      </c>
      <c r="BT26" s="11">
        <f>ROUND(IFERROR(AX26/_xlfn.XLOOKUP(BT$7,'Product Tgt'!$B:$B,'Product Tgt'!$D:$D),0),0)</f>
        <v>0</v>
      </c>
      <c r="BU26" s="11">
        <f>ROUND(IFERROR(AY26/_xlfn.XLOOKUP(BU$7,'Product Tgt'!$B:$B,'Product Tgt'!$D:$D),0),0)</f>
        <v>0</v>
      </c>
      <c r="BV26" s="11">
        <f>ROUND(IFERROR(AZ26/_xlfn.XLOOKUP(BV$7,'Product Tgt'!$B:$B,'Product Tgt'!$D:$D),0),0)</f>
        <v>0</v>
      </c>
      <c r="BW26" s="11">
        <f>ROUND(IFERROR(BA26/_xlfn.XLOOKUP(BW$7,'Product Tgt'!$B:$B,'Product Tgt'!$D:$D),0),0)</f>
        <v>0</v>
      </c>
      <c r="BX26" s="11">
        <f>ROUND(IFERROR(BB26/_xlfn.XLOOKUP(BX$7,'Product Tgt'!$B:$B,'Product Tgt'!$D:$D),0),0)</f>
        <v>0</v>
      </c>
      <c r="BY26" s="11">
        <f>ROUND(IFERROR(BC26/_xlfn.XLOOKUP(BY$7,'Product Tgt'!$B:$B,'Product Tgt'!$D:$D),0),0)</f>
        <v>0</v>
      </c>
      <c r="BZ26" s="13">
        <f>ROUND(IFERROR(BD26/_xlfn.XLOOKUP(BZ$7,'Product Tgt'!$B:$B,'Product Tgt'!$D:$D),0),0)</f>
        <v>0</v>
      </c>
    </row>
    <row r="27" spans="1:78" x14ac:dyDescent="0.25">
      <c r="A27" s="4" t="s">
        <v>85</v>
      </c>
      <c r="B27" s="3">
        <f>_xlfn.XLOOKUP(A27,'Terr Target'!$A:$A,'Terr Target'!$E:$E)</f>
        <v>440755.65552801173</v>
      </c>
      <c r="C27" s="3">
        <f t="shared" si="4"/>
        <v>440755.73177435913</v>
      </c>
      <c r="D27" s="5">
        <f t="shared" si="6"/>
        <v>7.6246347394771874E-2</v>
      </c>
      <c r="E27" s="6">
        <f t="shared" si="7"/>
        <v>1.729900303005146E-7</v>
      </c>
      <c r="F27" s="6">
        <f t="shared" si="8"/>
        <v>0.9999998270099697</v>
      </c>
      <c r="G27" s="49">
        <v>17683.06825346754</v>
      </c>
      <c r="H27" s="50">
        <v>22033.835266059035</v>
      </c>
      <c r="I27" s="50">
        <v>96949.394151610089</v>
      </c>
      <c r="J27" s="50">
        <v>119781.61174691905</v>
      </c>
      <c r="K27" s="50">
        <v>15877.932743413425</v>
      </c>
      <c r="L27" s="50">
        <v>7636.9743508352904</v>
      </c>
      <c r="M27" s="50">
        <v>0</v>
      </c>
      <c r="N27" s="50">
        <v>2828.5260224772546</v>
      </c>
      <c r="O27" s="50">
        <v>6342.3464290487418</v>
      </c>
      <c r="P27" s="50">
        <v>1228.8271255274708</v>
      </c>
      <c r="Q27" s="50">
        <v>1335.3579459839232</v>
      </c>
      <c r="R27" s="50">
        <v>1667.7353034564012</v>
      </c>
      <c r="S27" s="50">
        <v>22491.845935120968</v>
      </c>
      <c r="T27" s="50">
        <v>3031.2080443837217</v>
      </c>
      <c r="U27" s="50">
        <v>21670.977758158038</v>
      </c>
      <c r="V27" s="50">
        <v>5038.1073792783482</v>
      </c>
      <c r="W27" s="50">
        <v>18682.086622031333</v>
      </c>
      <c r="X27" s="50">
        <v>24027.001566575917</v>
      </c>
      <c r="Y27" s="50">
        <v>5268.4550779981273</v>
      </c>
      <c r="Z27" s="50">
        <v>28287.366089782503</v>
      </c>
      <c r="AA27" s="50">
        <v>2893.7279945628834</v>
      </c>
      <c r="AB27" s="50">
        <v>9165.4431123533996</v>
      </c>
      <c r="AC27" s="50">
        <v>5548.9911687571184</v>
      </c>
      <c r="AD27" s="50">
        <v>6010.4031945012648</v>
      </c>
      <c r="AE27" s="51">
        <v>1017.2068422776811</v>
      </c>
      <c r="AF27" s="42">
        <f>IFERROR(_xlfn.XLOOKUP(AF$7,'Product Tgt'!$B:$B,'Product Tgt'!$G:$G)*G27/G$60,0)</f>
        <v>17813.630021882826</v>
      </c>
      <c r="AG27" s="42">
        <f>IFERROR(_xlfn.XLOOKUP(AG$7,'Product Tgt'!$B:$B,'Product Tgt'!$G:$G)*H27/H$60,0)</f>
        <v>22559.27848999566</v>
      </c>
      <c r="AH27" s="42">
        <f>IFERROR(_xlfn.XLOOKUP(AH$7,'Product Tgt'!$B:$B,'Product Tgt'!$G:$G)*I27/I$60,0)</f>
        <v>96819.282775274492</v>
      </c>
      <c r="AI27" s="42">
        <f>IFERROR(_xlfn.XLOOKUP(AI$7,'Product Tgt'!$B:$B,'Product Tgt'!$G:$G)*J27/J$60,0)</f>
        <v>119266.00832180095</v>
      </c>
      <c r="AJ27" s="42">
        <f>IFERROR(_xlfn.XLOOKUP(AJ$7,'Product Tgt'!$B:$B,'Product Tgt'!$G:$G)*K27/K$60,0)</f>
        <v>15617.343607053495</v>
      </c>
      <c r="AK27" s="42">
        <f>IFERROR(_xlfn.XLOOKUP(AK$7,'Product Tgt'!$B:$B,'Product Tgt'!$G:$G)*L27/L$60,0)</f>
        <v>7859.7930820361235</v>
      </c>
      <c r="AL27" s="42">
        <f>IFERROR(_xlfn.XLOOKUP(AL$7,'Product Tgt'!$B:$B,'Product Tgt'!$G:$G)*M27/M$60,0)</f>
        <v>0</v>
      </c>
      <c r="AM27" s="42">
        <f>IFERROR(_xlfn.XLOOKUP(AM$7,'Product Tgt'!$B:$B,'Product Tgt'!$G:$G)*N27/N$60,0)</f>
        <v>2809.6524902672363</v>
      </c>
      <c r="AN27" s="42">
        <f>IFERROR(_xlfn.XLOOKUP(AN$7,'Product Tgt'!$B:$B,'Product Tgt'!$G:$G)*O27/O$60,0)</f>
        <v>6917.0995837452601</v>
      </c>
      <c r="AO27" s="42">
        <f>IFERROR(_xlfn.XLOOKUP(AO$7,'Product Tgt'!$B:$B,'Product Tgt'!$G:$G)*P27/P$60,0)</f>
        <v>1178.2258128457006</v>
      </c>
      <c r="AP27" s="42">
        <f>IFERROR(_xlfn.XLOOKUP(AP$7,'Product Tgt'!$B:$B,'Product Tgt'!$G:$G)*Q27/Q$60,0)</f>
        <v>1015.0722058177842</v>
      </c>
      <c r="AQ27" s="42">
        <f>IFERROR(_xlfn.XLOOKUP(AQ$7,'Product Tgt'!$B:$B,'Product Tgt'!$G:$G)*R27/R$60,0)</f>
        <v>1391.5558710941473</v>
      </c>
      <c r="AR27" s="42">
        <f>IFERROR(_xlfn.XLOOKUP(AR$7,'Product Tgt'!$B:$B,'Product Tgt'!$G:$G)*S27/S$60,0)</f>
        <v>21782.019388520224</v>
      </c>
      <c r="AS27" s="42">
        <f>IFERROR(_xlfn.XLOOKUP(AS$7,'Product Tgt'!$B:$B,'Product Tgt'!$G:$G)*T27/T$60,0)</f>
        <v>2751.6302405573319</v>
      </c>
      <c r="AT27" s="42">
        <f>IFERROR(_xlfn.XLOOKUP(AT$7,'Product Tgt'!$B:$B,'Product Tgt'!$G:$G)*U27/U$60,0)</f>
        <v>18504.640732244108</v>
      </c>
      <c r="AU27" s="42">
        <f>IFERROR(_xlfn.XLOOKUP(AU$7,'Product Tgt'!$B:$B,'Product Tgt'!$G:$G)*V27/V$60,0)</f>
        <v>5308.8410384137551</v>
      </c>
      <c r="AV27" s="42">
        <f>IFERROR(_xlfn.XLOOKUP(AV$7,'Product Tgt'!$B:$B,'Product Tgt'!$G:$G)*W27/W$60,0)</f>
        <v>18008.400843225485</v>
      </c>
      <c r="AW27" s="42">
        <f>IFERROR(_xlfn.XLOOKUP(AW$7,'Product Tgt'!$B:$B,'Product Tgt'!$G:$G)*X27/X$60,0)</f>
        <v>24785.981621954947</v>
      </c>
      <c r="AX27" s="42">
        <f>IFERROR(_xlfn.XLOOKUP(AX$7,'Product Tgt'!$B:$B,'Product Tgt'!$G:$G)*Y27/Y$60,0)</f>
        <v>5070.2084176591925</v>
      </c>
      <c r="AY27" s="42">
        <f>IFERROR(_xlfn.XLOOKUP(AY$7,'Product Tgt'!$B:$B,'Product Tgt'!$G:$G)*Z27/Z$60,0)</f>
        <v>27243.918976493649</v>
      </c>
      <c r="AZ27" s="42">
        <f>IFERROR(_xlfn.XLOOKUP(AZ$7,'Product Tgt'!$B:$B,'Product Tgt'!$G:$G)*AA27/AA$60,0)</f>
        <v>2892.1685933141953</v>
      </c>
      <c r="BA27" s="42">
        <f>IFERROR(_xlfn.XLOOKUP(BA$7,'Product Tgt'!$B:$B,'Product Tgt'!$G:$G)*AB27/AB$60,0)</f>
        <v>8561.1012611618571</v>
      </c>
      <c r="BB27" s="42">
        <f>IFERROR(_xlfn.XLOOKUP(BB$7,'Product Tgt'!$B:$B,'Product Tgt'!$G:$G)*AC27/AC$60,0)</f>
        <v>5559.2614269022024</v>
      </c>
      <c r="BC27" s="42">
        <f>IFERROR(_xlfn.XLOOKUP(BC$7,'Product Tgt'!$B:$B,'Product Tgt'!$G:$G)*AD27/AD$60,0)</f>
        <v>6021.5274494309051</v>
      </c>
      <c r="BD27" s="42">
        <f>IFERROR(_xlfn.XLOOKUP(BD$7,'Product Tgt'!$B:$B,'Product Tgt'!$G:$G)*AE27/AE$60,0)</f>
        <v>1019.089522667579</v>
      </c>
      <c r="BE27" s="10">
        <f>ROUND(IFERROR(AF27/_xlfn.XLOOKUP(BE$7,'Product Tgt'!$B:$B,'Product Tgt'!$D:$D),0),0)</f>
        <v>0</v>
      </c>
      <c r="BF27" s="11">
        <f>ROUND(IFERROR(AG27/_xlfn.XLOOKUP(BF$7,'Product Tgt'!$B:$B,'Product Tgt'!$D:$D),0),0)</f>
        <v>0</v>
      </c>
      <c r="BG27" s="11">
        <f>ROUND(IFERROR(AH27/_xlfn.XLOOKUP(BG$7,'Product Tgt'!$B:$B,'Product Tgt'!$D:$D),0),0)</f>
        <v>0</v>
      </c>
      <c r="BH27" s="11">
        <f>ROUND(IFERROR(AI27/_xlfn.XLOOKUP(BH$7,'Product Tgt'!$B:$B,'Product Tgt'!$D:$D),0),0)</f>
        <v>0</v>
      </c>
      <c r="BI27" s="11">
        <f>ROUND(IFERROR(AM27/_xlfn.XLOOKUP(BI$7,'Product Tgt'!$B:$B,'Product Tgt'!$D:$D),0),0)</f>
        <v>0</v>
      </c>
      <c r="BJ27" s="11">
        <f>ROUND(IFERROR(#REF!/_xlfn.XLOOKUP(BJ$7,'Product Tgt'!$B:$B,'Product Tgt'!$D:$D),0),0)</f>
        <v>0</v>
      </c>
      <c r="BK27" s="11">
        <f>ROUND(IFERROR(#REF!/_xlfn.XLOOKUP(BK$7,'Product Tgt'!$B:$B,'Product Tgt'!$D:$D),0),0)</f>
        <v>0</v>
      </c>
      <c r="BL27" s="11">
        <f>ROUND(IFERROR(AN27/_xlfn.XLOOKUP(BL$7,'Product Tgt'!$B:$B,'Product Tgt'!$D:$D),0),0)</f>
        <v>0</v>
      </c>
      <c r="BM27" s="11">
        <f>ROUND(IFERROR(AQ27/_xlfn.XLOOKUP(BM$7,'Product Tgt'!$B:$B,'Product Tgt'!$D:$D),0),0)</f>
        <v>0</v>
      </c>
      <c r="BN27" s="11">
        <f>ROUND(IFERROR(AR27/_xlfn.XLOOKUP(BN$7,'Product Tgt'!$B:$B,'Product Tgt'!$D:$D),0),0)</f>
        <v>0</v>
      </c>
      <c r="BO27" s="11">
        <f>ROUND(IFERROR(AS27/_xlfn.XLOOKUP(BO$7,'Product Tgt'!$B:$B,'Product Tgt'!$D:$D),0),0)</f>
        <v>0</v>
      </c>
      <c r="BP27" s="11">
        <f>ROUND(IFERROR(AT27/_xlfn.XLOOKUP(BP$7,'Product Tgt'!$B:$B,'Product Tgt'!$D:$D),0),0)</f>
        <v>0</v>
      </c>
      <c r="BQ27" s="11">
        <f>ROUND(IFERROR(AU27/_xlfn.XLOOKUP(BQ$7,'Product Tgt'!$B:$B,'Product Tgt'!$D:$D),0),0)</f>
        <v>0</v>
      </c>
      <c r="BR27" s="11">
        <f>ROUND(IFERROR(AV27/_xlfn.XLOOKUP(BR$7,'Product Tgt'!$B:$B,'Product Tgt'!$D:$D),0),0)</f>
        <v>0</v>
      </c>
      <c r="BS27" s="11">
        <f>ROUND(IFERROR(AW27/_xlfn.XLOOKUP(BS$7,'Product Tgt'!$B:$B,'Product Tgt'!$D:$D),0),0)</f>
        <v>0</v>
      </c>
      <c r="BT27" s="11">
        <f>ROUND(IFERROR(AX27/_xlfn.XLOOKUP(BT$7,'Product Tgt'!$B:$B,'Product Tgt'!$D:$D),0),0)</f>
        <v>0</v>
      </c>
      <c r="BU27" s="11">
        <f>ROUND(IFERROR(AY27/_xlfn.XLOOKUP(BU$7,'Product Tgt'!$B:$B,'Product Tgt'!$D:$D),0),0)</f>
        <v>0</v>
      </c>
      <c r="BV27" s="11">
        <f>ROUND(IFERROR(AZ27/_xlfn.XLOOKUP(BV$7,'Product Tgt'!$B:$B,'Product Tgt'!$D:$D),0),0)</f>
        <v>0</v>
      </c>
      <c r="BW27" s="11">
        <f>ROUND(IFERROR(BA27/_xlfn.XLOOKUP(BW$7,'Product Tgt'!$B:$B,'Product Tgt'!$D:$D),0),0)</f>
        <v>0</v>
      </c>
      <c r="BX27" s="11">
        <f>ROUND(IFERROR(BB27/_xlfn.XLOOKUP(BX$7,'Product Tgt'!$B:$B,'Product Tgt'!$D:$D),0),0)</f>
        <v>0</v>
      </c>
      <c r="BY27" s="11">
        <f>ROUND(IFERROR(BC27/_xlfn.XLOOKUP(BY$7,'Product Tgt'!$B:$B,'Product Tgt'!$D:$D),0),0)</f>
        <v>0</v>
      </c>
      <c r="BZ27" s="13">
        <f>ROUND(IFERROR(BD27/_xlfn.XLOOKUP(BZ$7,'Product Tgt'!$B:$B,'Product Tgt'!$D:$D),0),0)</f>
        <v>0</v>
      </c>
    </row>
    <row r="28" spans="1:78" x14ac:dyDescent="0.25">
      <c r="A28" s="4" t="s">
        <v>52</v>
      </c>
      <c r="B28" s="3">
        <f>_xlfn.XLOOKUP(A28,'Terr Target'!$A:$A,'Terr Target'!$E:$E)</f>
        <v>367998.04939641745</v>
      </c>
      <c r="C28" s="3">
        <f t="shared" si="4"/>
        <v>367998.16091526404</v>
      </c>
      <c r="D28" s="5">
        <f t="shared" si="6"/>
        <v>0.11151884659193456</v>
      </c>
      <c r="E28" s="6">
        <f t="shared" si="7"/>
        <v>3.0304185845540981E-7</v>
      </c>
      <c r="F28" s="6">
        <f t="shared" si="8"/>
        <v>0.9999996969581415</v>
      </c>
      <c r="G28" s="49">
        <v>13275.415162328218</v>
      </c>
      <c r="H28" s="50">
        <v>23663.29587839542</v>
      </c>
      <c r="I28" s="50">
        <v>86807.595735174807</v>
      </c>
      <c r="J28" s="50">
        <v>108603.52892221278</v>
      </c>
      <c r="K28" s="50">
        <v>8958.736098115849</v>
      </c>
      <c r="L28" s="50">
        <v>5431.7177207057885</v>
      </c>
      <c r="M28" s="50">
        <v>0</v>
      </c>
      <c r="N28" s="50">
        <v>4502.2021172002087</v>
      </c>
      <c r="O28" s="50">
        <v>6826.4962159515353</v>
      </c>
      <c r="P28" s="50">
        <v>3382.8826980414815</v>
      </c>
      <c r="Q28" s="50">
        <v>1519.330685598736</v>
      </c>
      <c r="R28" s="50">
        <v>2042.1438305542817</v>
      </c>
      <c r="S28" s="50">
        <v>16740.362481091313</v>
      </c>
      <c r="T28" s="50">
        <v>5532.1456130477427</v>
      </c>
      <c r="U28" s="50">
        <v>13368.181689713101</v>
      </c>
      <c r="V28" s="50">
        <v>3448.0043001765739</v>
      </c>
      <c r="W28" s="50">
        <v>18297.159841793426</v>
      </c>
      <c r="X28" s="50">
        <v>8079.6094719649918</v>
      </c>
      <c r="Y28" s="50">
        <v>3421.47957450275</v>
      </c>
      <c r="Z28" s="50">
        <v>17034.634908985445</v>
      </c>
      <c r="AA28" s="50">
        <v>2609.8449728039905</v>
      </c>
      <c r="AB28" s="50">
        <v>9711.5002113846967</v>
      </c>
      <c r="AC28" s="50">
        <v>4190.5695609637733</v>
      </c>
      <c r="AD28" s="50">
        <v>4539.0255471676828</v>
      </c>
      <c r="AE28" s="51">
        <v>768.18937007025306</v>
      </c>
      <c r="AF28" s="42">
        <f>IFERROR(_xlfn.XLOOKUP(AF$7,'Product Tgt'!$B:$B,'Product Tgt'!$G:$G)*G28/G$60,0)</f>
        <v>13373.433314788879</v>
      </c>
      <c r="AG28" s="42">
        <f>IFERROR(_xlfn.XLOOKUP(AG$7,'Product Tgt'!$B:$B,'Product Tgt'!$G:$G)*H28/H$60,0)</f>
        <v>24227.597023664632</v>
      </c>
      <c r="AH28" s="42">
        <f>IFERROR(_xlfn.XLOOKUP(AH$7,'Product Tgt'!$B:$B,'Product Tgt'!$G:$G)*I28/I$60,0)</f>
        <v>86691.0952056323</v>
      </c>
      <c r="AI28" s="42">
        <f>IFERROR(_xlfn.XLOOKUP(AI$7,'Product Tgt'!$B:$B,'Product Tgt'!$G:$G)*J28/J$60,0)</f>
        <v>108136.04187912209</v>
      </c>
      <c r="AJ28" s="42">
        <f>IFERROR(_xlfn.XLOOKUP(AJ$7,'Product Tgt'!$B:$B,'Product Tgt'!$G:$G)*K28/K$60,0)</f>
        <v>8811.705036805115</v>
      </c>
      <c r="AK28" s="42">
        <f>IFERROR(_xlfn.XLOOKUP(AK$7,'Product Tgt'!$B:$B,'Product Tgt'!$G:$G)*L28/L$60,0)</f>
        <v>5590.1952008136504</v>
      </c>
      <c r="AL28" s="42">
        <f>IFERROR(_xlfn.XLOOKUP(AL$7,'Product Tgt'!$B:$B,'Product Tgt'!$G:$G)*M28/M$60,0)</f>
        <v>0</v>
      </c>
      <c r="AM28" s="42">
        <f>IFERROR(_xlfn.XLOOKUP(AM$7,'Product Tgt'!$B:$B,'Product Tgt'!$G:$G)*N28/N$60,0)</f>
        <v>4472.1608674468935</v>
      </c>
      <c r="AN28" s="42">
        <f>IFERROR(_xlfn.XLOOKUP(AN$7,'Product Tgt'!$B:$B,'Product Tgt'!$G:$G)*O28/O$60,0)</f>
        <v>7445.1237664227046</v>
      </c>
      <c r="AO28" s="42">
        <f>IFERROR(_xlfn.XLOOKUP(AO$7,'Product Tgt'!$B:$B,'Product Tgt'!$G:$G)*P28/P$60,0)</f>
        <v>3243.5805117425998</v>
      </c>
      <c r="AP28" s="42">
        <f>IFERROR(_xlfn.XLOOKUP(AP$7,'Product Tgt'!$B:$B,'Product Tgt'!$G:$G)*Q28/Q$60,0)</f>
        <v>1154.9190649859829</v>
      </c>
      <c r="AQ28" s="42">
        <f>IFERROR(_xlfn.XLOOKUP(AQ$7,'Product Tgt'!$B:$B,'Product Tgt'!$G:$G)*R28/R$60,0)</f>
        <v>1703.9617924600666</v>
      </c>
      <c r="AR28" s="42">
        <f>IFERROR(_xlfn.XLOOKUP(AR$7,'Product Tgt'!$B:$B,'Product Tgt'!$G:$G)*S28/S$60,0)</f>
        <v>16212.048632460386</v>
      </c>
      <c r="AS28" s="42">
        <f>IFERROR(_xlfn.XLOOKUP(AS$7,'Product Tgt'!$B:$B,'Product Tgt'!$G:$G)*T28/T$60,0)</f>
        <v>5021.8985108043398</v>
      </c>
      <c r="AT28" s="42">
        <f>IFERROR(_xlfn.XLOOKUP(AT$7,'Product Tgt'!$B:$B,'Product Tgt'!$G:$G)*U28/U$60,0)</f>
        <v>11414.96254447408</v>
      </c>
      <c r="AU28" s="42">
        <f>IFERROR(_xlfn.XLOOKUP(AU$7,'Product Tgt'!$B:$B,'Product Tgt'!$G:$G)*V28/V$60,0)</f>
        <v>3633.2903114952001</v>
      </c>
      <c r="AV28" s="42">
        <f>IFERROR(_xlfn.XLOOKUP(AV$7,'Product Tgt'!$B:$B,'Product Tgt'!$G:$G)*W28/W$60,0)</f>
        <v>17637.35472326789</v>
      </c>
      <c r="AW28" s="42">
        <f>IFERROR(_xlfn.XLOOKUP(AW$7,'Product Tgt'!$B:$B,'Product Tgt'!$G:$G)*X28/X$60,0)</f>
        <v>8334.8332637261537</v>
      </c>
      <c r="AX28" s="42">
        <f>IFERROR(_xlfn.XLOOKUP(AX$7,'Product Tgt'!$B:$B,'Product Tgt'!$G:$G)*Y28/Y$60,0)</f>
        <v>3292.7327428374824</v>
      </c>
      <c r="AY28" s="42">
        <f>IFERROR(_xlfn.XLOOKUP(AY$7,'Product Tgt'!$B:$B,'Product Tgt'!$G:$G)*Z28/Z$60,0)</f>
        <v>16406.271682614548</v>
      </c>
      <c r="AZ28" s="42">
        <f>IFERROR(_xlfn.XLOOKUP(AZ$7,'Product Tgt'!$B:$B,'Product Tgt'!$G:$G)*AA28/AA$60,0)</f>
        <v>2608.4385532935457</v>
      </c>
      <c r="BA28" s="42">
        <f>IFERROR(_xlfn.XLOOKUP(BA$7,'Product Tgt'!$B:$B,'Product Tgt'!$G:$G)*AB28/AB$60,0)</f>
        <v>9071.1529915449046</v>
      </c>
      <c r="BB28" s="42">
        <f>IFERROR(_xlfn.XLOOKUP(BB$7,'Product Tgt'!$B:$B,'Product Tgt'!$G:$G)*AC28/AC$60,0)</f>
        <v>4198.3256070372208</v>
      </c>
      <c r="BC28" s="42">
        <f>IFERROR(_xlfn.XLOOKUP(BC$7,'Product Tgt'!$B:$B,'Product Tgt'!$G:$G)*AD28/AD$60,0)</f>
        <v>4547.4265272159164</v>
      </c>
      <c r="BD28" s="42">
        <f>IFERROR(_xlfn.XLOOKUP(BD$7,'Product Tgt'!$B:$B,'Product Tgt'!$G:$G)*AE28/AE$60,0)</f>
        <v>769.61116060748634</v>
      </c>
      <c r="BE28" s="10">
        <f>ROUND(IFERROR(AF28/_xlfn.XLOOKUP(BE$7,'Product Tgt'!$B:$B,'Product Tgt'!$D:$D),0),0)</f>
        <v>0</v>
      </c>
      <c r="BF28" s="11">
        <f>ROUND(IFERROR(AG28/_xlfn.XLOOKUP(BF$7,'Product Tgt'!$B:$B,'Product Tgt'!$D:$D),0),0)</f>
        <v>0</v>
      </c>
      <c r="BG28" s="11">
        <f>ROUND(IFERROR(AH28/_xlfn.XLOOKUP(BG$7,'Product Tgt'!$B:$B,'Product Tgt'!$D:$D),0),0)</f>
        <v>0</v>
      </c>
      <c r="BH28" s="11">
        <f>ROUND(IFERROR(AI28/_xlfn.XLOOKUP(BH$7,'Product Tgt'!$B:$B,'Product Tgt'!$D:$D),0),0)</f>
        <v>0</v>
      </c>
      <c r="BI28" s="11">
        <f>ROUND(IFERROR(AM28/_xlfn.XLOOKUP(BI$7,'Product Tgt'!$B:$B,'Product Tgt'!$D:$D),0),0)</f>
        <v>0</v>
      </c>
      <c r="BJ28" s="11">
        <f>ROUND(IFERROR(#REF!/_xlfn.XLOOKUP(BJ$7,'Product Tgt'!$B:$B,'Product Tgt'!$D:$D),0),0)</f>
        <v>0</v>
      </c>
      <c r="BK28" s="11">
        <f>ROUND(IFERROR(#REF!/_xlfn.XLOOKUP(BK$7,'Product Tgt'!$B:$B,'Product Tgt'!$D:$D),0),0)</f>
        <v>0</v>
      </c>
      <c r="BL28" s="11">
        <f>ROUND(IFERROR(AN28/_xlfn.XLOOKUP(BL$7,'Product Tgt'!$B:$B,'Product Tgt'!$D:$D),0),0)</f>
        <v>0</v>
      </c>
      <c r="BM28" s="11">
        <f>ROUND(IFERROR(AQ28/_xlfn.XLOOKUP(BM$7,'Product Tgt'!$B:$B,'Product Tgt'!$D:$D),0),0)</f>
        <v>0</v>
      </c>
      <c r="BN28" s="11">
        <f>ROUND(IFERROR(AR28/_xlfn.XLOOKUP(BN$7,'Product Tgt'!$B:$B,'Product Tgt'!$D:$D),0),0)</f>
        <v>0</v>
      </c>
      <c r="BO28" s="11">
        <f>ROUND(IFERROR(AS28/_xlfn.XLOOKUP(BO$7,'Product Tgt'!$B:$B,'Product Tgt'!$D:$D),0),0)</f>
        <v>0</v>
      </c>
      <c r="BP28" s="11">
        <f>ROUND(IFERROR(AT28/_xlfn.XLOOKUP(BP$7,'Product Tgt'!$B:$B,'Product Tgt'!$D:$D),0),0)</f>
        <v>0</v>
      </c>
      <c r="BQ28" s="11">
        <f>ROUND(IFERROR(AU28/_xlfn.XLOOKUP(BQ$7,'Product Tgt'!$B:$B,'Product Tgt'!$D:$D),0),0)</f>
        <v>0</v>
      </c>
      <c r="BR28" s="11">
        <f>ROUND(IFERROR(AV28/_xlfn.XLOOKUP(BR$7,'Product Tgt'!$B:$B,'Product Tgt'!$D:$D),0),0)</f>
        <v>0</v>
      </c>
      <c r="BS28" s="11">
        <f>ROUND(IFERROR(AW28/_xlfn.XLOOKUP(BS$7,'Product Tgt'!$B:$B,'Product Tgt'!$D:$D),0),0)</f>
        <v>0</v>
      </c>
      <c r="BT28" s="11">
        <f>ROUND(IFERROR(AX28/_xlfn.XLOOKUP(BT$7,'Product Tgt'!$B:$B,'Product Tgt'!$D:$D),0),0)</f>
        <v>0</v>
      </c>
      <c r="BU28" s="11">
        <f>ROUND(IFERROR(AY28/_xlfn.XLOOKUP(BU$7,'Product Tgt'!$B:$B,'Product Tgt'!$D:$D),0),0)</f>
        <v>0</v>
      </c>
      <c r="BV28" s="11">
        <f>ROUND(IFERROR(AZ28/_xlfn.XLOOKUP(BV$7,'Product Tgt'!$B:$B,'Product Tgt'!$D:$D),0),0)</f>
        <v>0</v>
      </c>
      <c r="BW28" s="11">
        <f>ROUND(IFERROR(BA28/_xlfn.XLOOKUP(BW$7,'Product Tgt'!$B:$B,'Product Tgt'!$D:$D),0),0)</f>
        <v>0</v>
      </c>
      <c r="BX28" s="11">
        <f>ROUND(IFERROR(BB28/_xlfn.XLOOKUP(BX$7,'Product Tgt'!$B:$B,'Product Tgt'!$D:$D),0),0)</f>
        <v>0</v>
      </c>
      <c r="BY28" s="11">
        <f>ROUND(IFERROR(BC28/_xlfn.XLOOKUP(BY$7,'Product Tgt'!$B:$B,'Product Tgt'!$D:$D),0),0)</f>
        <v>0</v>
      </c>
      <c r="BZ28" s="13">
        <f>ROUND(IFERROR(BD28/_xlfn.XLOOKUP(BZ$7,'Product Tgt'!$B:$B,'Product Tgt'!$D:$D),0),0)</f>
        <v>0</v>
      </c>
    </row>
    <row r="29" spans="1:78" x14ac:dyDescent="0.25">
      <c r="A29" s="4" t="s">
        <v>53</v>
      </c>
      <c r="B29" s="3">
        <f>_xlfn.XLOOKUP(A29,'Terr Target'!$A:$A,'Terr Target'!$E:$E)</f>
        <v>483424.82271031069</v>
      </c>
      <c r="C29" s="3">
        <f t="shared" si="4"/>
        <v>483424.97864561924</v>
      </c>
      <c r="D29" s="5">
        <f t="shared" si="6"/>
        <v>0.15593530854675919</v>
      </c>
      <c r="E29" s="6">
        <f t="shared" si="7"/>
        <v>3.2256361469701699E-7</v>
      </c>
      <c r="F29" s="6">
        <f t="shared" si="8"/>
        <v>0.99999967743638529</v>
      </c>
      <c r="G29" s="49">
        <v>21886.791238050675</v>
      </c>
      <c r="H29" s="50">
        <v>24005.508741842725</v>
      </c>
      <c r="I29" s="50">
        <v>110340.84117814135</v>
      </c>
      <c r="J29" s="50">
        <v>152135.50094504055</v>
      </c>
      <c r="K29" s="50">
        <v>10614.188962739823</v>
      </c>
      <c r="L29" s="50">
        <v>4856.7527405325418</v>
      </c>
      <c r="M29" s="50">
        <v>0</v>
      </c>
      <c r="N29" s="50">
        <v>5002.5684149411136</v>
      </c>
      <c r="O29" s="50">
        <v>9081.8349096886705</v>
      </c>
      <c r="P29" s="50">
        <v>1652.0591786460782</v>
      </c>
      <c r="Q29" s="50">
        <v>2108.0605465130011</v>
      </c>
      <c r="R29" s="50">
        <v>2399.4309905379992</v>
      </c>
      <c r="S29" s="50">
        <v>17941.459214869505</v>
      </c>
      <c r="T29" s="50">
        <v>6914.5790797584132</v>
      </c>
      <c r="U29" s="50">
        <v>16466.273415696647</v>
      </c>
      <c r="V29" s="50">
        <v>6379.1322026840953</v>
      </c>
      <c r="W29" s="50">
        <v>18874.213916378376</v>
      </c>
      <c r="X29" s="50">
        <v>16252.261242541907</v>
      </c>
      <c r="Y29" s="50">
        <v>7237.5190036326549</v>
      </c>
      <c r="Z29" s="50">
        <v>28334.300565875503</v>
      </c>
      <c r="AA29" s="50">
        <v>4365.6396085230563</v>
      </c>
      <c r="AB29" s="50">
        <v>11327.643151653221</v>
      </c>
      <c r="AC29" s="50">
        <v>4858.6046648401007</v>
      </c>
      <c r="AD29" s="50">
        <v>5262.6093843494955</v>
      </c>
      <c r="AE29" s="51">
        <v>890.64944576305425</v>
      </c>
      <c r="AF29" s="42">
        <f>IFERROR(_xlfn.XLOOKUP(AF$7,'Product Tgt'!$B:$B,'Product Tgt'!$G:$G)*G29/G$60,0)</f>
        <v>22048.390917926125</v>
      </c>
      <c r="AG29" s="42">
        <f>IFERROR(_xlfn.XLOOKUP(AG$7,'Product Tgt'!$B:$B,'Product Tgt'!$G:$G)*H29/H$60,0)</f>
        <v>24577.9706738325</v>
      </c>
      <c r="AH29" s="42">
        <f>IFERROR(_xlfn.XLOOKUP(AH$7,'Product Tgt'!$B:$B,'Product Tgt'!$G:$G)*I29/I$60,0)</f>
        <v>110192.75774928294</v>
      </c>
      <c r="AI29" s="42">
        <f>IFERROR(_xlfn.XLOOKUP(AI$7,'Product Tgt'!$B:$B,'Product Tgt'!$G:$G)*J29/J$60,0)</f>
        <v>151480.62926461053</v>
      </c>
      <c r="AJ29" s="42">
        <f>IFERROR(_xlfn.XLOOKUP(AJ$7,'Product Tgt'!$B:$B,'Product Tgt'!$G:$G)*K29/K$60,0)</f>
        <v>10439.98855644897</v>
      </c>
      <c r="AK29" s="42">
        <f>IFERROR(_xlfn.XLOOKUP(AK$7,'Product Tgt'!$B:$B,'Product Tgt'!$G:$G)*L29/L$60,0)</f>
        <v>4998.4548641337906</v>
      </c>
      <c r="AL29" s="42">
        <f>IFERROR(_xlfn.XLOOKUP(AL$7,'Product Tgt'!$B:$B,'Product Tgt'!$G:$G)*M29/M$60,0)</f>
        <v>0</v>
      </c>
      <c r="AM29" s="42">
        <f>IFERROR(_xlfn.XLOOKUP(AM$7,'Product Tgt'!$B:$B,'Product Tgt'!$G:$G)*N29/N$60,0)</f>
        <v>4969.1884370438202</v>
      </c>
      <c r="AN29" s="42">
        <f>IFERROR(_xlfn.XLOOKUP(AN$7,'Product Tgt'!$B:$B,'Product Tgt'!$G:$G)*O29/O$60,0)</f>
        <v>9904.8447094796647</v>
      </c>
      <c r="AO29" s="42">
        <f>IFERROR(_xlfn.XLOOKUP(AO$7,'Product Tgt'!$B:$B,'Product Tgt'!$G:$G)*P29/P$60,0)</f>
        <v>1584.029785958661</v>
      </c>
      <c r="AP29" s="42">
        <f>IFERROR(_xlfn.XLOOKUP(AP$7,'Product Tgt'!$B:$B,'Product Tgt'!$G:$G)*Q29/Q$60,0)</f>
        <v>1602.4420084382064</v>
      </c>
      <c r="AQ29" s="42">
        <f>IFERROR(_xlfn.XLOOKUP(AQ$7,'Product Tgt'!$B:$B,'Product Tgt'!$G:$G)*R29/R$60,0)</f>
        <v>2002.0816704235981</v>
      </c>
      <c r="AR29" s="42">
        <f>IFERROR(_xlfn.XLOOKUP(AR$7,'Product Tgt'!$B:$B,'Product Tgt'!$G:$G)*S29/S$60,0)</f>
        <v>17375.239613676938</v>
      </c>
      <c r="AS29" s="42">
        <f>IFERROR(_xlfn.XLOOKUP(AS$7,'Product Tgt'!$B:$B,'Product Tgt'!$G:$G)*T29/T$60,0)</f>
        <v>6276.8258126791188</v>
      </c>
      <c r="AT29" s="42">
        <f>IFERROR(_xlfn.XLOOKUP(AT$7,'Product Tgt'!$B:$B,'Product Tgt'!$G:$G)*U29/U$60,0)</f>
        <v>14060.393451405911</v>
      </c>
      <c r="AU29" s="42">
        <f>IFERROR(_xlfn.XLOOKUP(AU$7,'Product Tgt'!$B:$B,'Product Tgt'!$G:$G)*V29/V$60,0)</f>
        <v>6721.9287477606222</v>
      </c>
      <c r="AV29" s="42">
        <f>IFERROR(_xlfn.XLOOKUP(AV$7,'Product Tgt'!$B:$B,'Product Tgt'!$G:$G)*W29/W$60,0)</f>
        <v>18193.599927221043</v>
      </c>
      <c r="AW29" s="42">
        <f>IFERROR(_xlfn.XLOOKUP(AW$7,'Product Tgt'!$B:$B,'Product Tgt'!$G:$G)*X29/X$60,0)</f>
        <v>16765.647904781876</v>
      </c>
      <c r="AX29" s="42">
        <f>IFERROR(_xlfn.XLOOKUP(AX$7,'Product Tgt'!$B:$B,'Product Tgt'!$G:$G)*Y29/Y$60,0)</f>
        <v>6965.1784502127821</v>
      </c>
      <c r="AY29" s="42">
        <f>IFERROR(_xlfn.XLOOKUP(AY$7,'Product Tgt'!$B:$B,'Product Tgt'!$G:$G)*Z29/Z$60,0)</f>
        <v>27289.122162248852</v>
      </c>
      <c r="AZ29" s="42">
        <f>IFERROR(_xlfn.XLOOKUP(AZ$7,'Product Tgt'!$B:$B,'Product Tgt'!$G:$G)*AA29/AA$60,0)</f>
        <v>4363.2870087384035</v>
      </c>
      <c r="BA29" s="42">
        <f>IFERROR(_xlfn.XLOOKUP(BA$7,'Product Tgt'!$B:$B,'Product Tgt'!$G:$G)*AB29/AB$60,0)</f>
        <v>10580.732309701629</v>
      </c>
      <c r="BB29" s="42">
        <f>IFERROR(_xlfn.XLOOKUP(BB$7,'Product Tgt'!$B:$B,'Product Tgt'!$G:$G)*AC29/AC$60,0)</f>
        <v>4867.5971325905939</v>
      </c>
      <c r="BC29" s="42">
        <f>IFERROR(_xlfn.XLOOKUP(BC$7,'Product Tgt'!$B:$B,'Product Tgt'!$G:$G)*AD29/AD$60,0)</f>
        <v>5272.3495975252399</v>
      </c>
      <c r="BD29" s="42">
        <f>IFERROR(_xlfn.XLOOKUP(BD$7,'Product Tgt'!$B:$B,'Product Tgt'!$G:$G)*AE29/AE$60,0)</f>
        <v>892.2978894975231</v>
      </c>
      <c r="BE29" s="10">
        <f>ROUND(IFERROR(AF29/_xlfn.XLOOKUP(BE$7,'Product Tgt'!$B:$B,'Product Tgt'!$D:$D),0),0)</f>
        <v>0</v>
      </c>
      <c r="BF29" s="11">
        <f>ROUND(IFERROR(AG29/_xlfn.XLOOKUP(BF$7,'Product Tgt'!$B:$B,'Product Tgt'!$D:$D),0),0)</f>
        <v>0</v>
      </c>
      <c r="BG29" s="11">
        <f>ROUND(IFERROR(AH29/_xlfn.XLOOKUP(BG$7,'Product Tgt'!$B:$B,'Product Tgt'!$D:$D),0),0)</f>
        <v>0</v>
      </c>
      <c r="BH29" s="11">
        <f>ROUND(IFERROR(AI29/_xlfn.XLOOKUP(BH$7,'Product Tgt'!$B:$B,'Product Tgt'!$D:$D),0),0)</f>
        <v>0</v>
      </c>
      <c r="BI29" s="11">
        <f>ROUND(IFERROR(AM29/_xlfn.XLOOKUP(BI$7,'Product Tgt'!$B:$B,'Product Tgt'!$D:$D),0),0)</f>
        <v>0</v>
      </c>
      <c r="BJ29" s="11">
        <f>ROUND(IFERROR(#REF!/_xlfn.XLOOKUP(BJ$7,'Product Tgt'!$B:$B,'Product Tgt'!$D:$D),0),0)</f>
        <v>0</v>
      </c>
      <c r="BK29" s="11">
        <f>ROUND(IFERROR(#REF!/_xlfn.XLOOKUP(BK$7,'Product Tgt'!$B:$B,'Product Tgt'!$D:$D),0),0)</f>
        <v>0</v>
      </c>
      <c r="BL29" s="11">
        <f>ROUND(IFERROR(AN29/_xlfn.XLOOKUP(BL$7,'Product Tgt'!$B:$B,'Product Tgt'!$D:$D),0),0)</f>
        <v>0</v>
      </c>
      <c r="BM29" s="11">
        <f>ROUND(IFERROR(AQ29/_xlfn.XLOOKUP(BM$7,'Product Tgt'!$B:$B,'Product Tgt'!$D:$D),0),0)</f>
        <v>0</v>
      </c>
      <c r="BN29" s="11">
        <f>ROUND(IFERROR(AR29/_xlfn.XLOOKUP(BN$7,'Product Tgt'!$B:$B,'Product Tgt'!$D:$D),0),0)</f>
        <v>0</v>
      </c>
      <c r="BO29" s="11">
        <f>ROUND(IFERROR(AS29/_xlfn.XLOOKUP(BO$7,'Product Tgt'!$B:$B,'Product Tgt'!$D:$D),0),0)</f>
        <v>0</v>
      </c>
      <c r="BP29" s="11">
        <f>ROUND(IFERROR(AT29/_xlfn.XLOOKUP(BP$7,'Product Tgt'!$B:$B,'Product Tgt'!$D:$D),0),0)</f>
        <v>0</v>
      </c>
      <c r="BQ29" s="11">
        <f>ROUND(IFERROR(AU29/_xlfn.XLOOKUP(BQ$7,'Product Tgt'!$B:$B,'Product Tgt'!$D:$D),0),0)</f>
        <v>0</v>
      </c>
      <c r="BR29" s="11">
        <f>ROUND(IFERROR(AV29/_xlfn.XLOOKUP(BR$7,'Product Tgt'!$B:$B,'Product Tgt'!$D:$D),0),0)</f>
        <v>0</v>
      </c>
      <c r="BS29" s="11">
        <f>ROUND(IFERROR(AW29/_xlfn.XLOOKUP(BS$7,'Product Tgt'!$B:$B,'Product Tgt'!$D:$D),0),0)</f>
        <v>0</v>
      </c>
      <c r="BT29" s="11">
        <f>ROUND(IFERROR(AX29/_xlfn.XLOOKUP(BT$7,'Product Tgt'!$B:$B,'Product Tgt'!$D:$D),0),0)</f>
        <v>0</v>
      </c>
      <c r="BU29" s="11">
        <f>ROUND(IFERROR(AY29/_xlfn.XLOOKUP(BU$7,'Product Tgt'!$B:$B,'Product Tgt'!$D:$D),0),0)</f>
        <v>0</v>
      </c>
      <c r="BV29" s="11">
        <f>ROUND(IFERROR(AZ29/_xlfn.XLOOKUP(BV$7,'Product Tgt'!$B:$B,'Product Tgt'!$D:$D),0),0)</f>
        <v>0</v>
      </c>
      <c r="BW29" s="11">
        <f>ROUND(IFERROR(BA29/_xlfn.XLOOKUP(BW$7,'Product Tgt'!$B:$B,'Product Tgt'!$D:$D),0),0)</f>
        <v>0</v>
      </c>
      <c r="BX29" s="11">
        <f>ROUND(IFERROR(BB29/_xlfn.XLOOKUP(BX$7,'Product Tgt'!$B:$B,'Product Tgt'!$D:$D),0),0)</f>
        <v>0</v>
      </c>
      <c r="BY29" s="11">
        <f>ROUND(IFERROR(BC29/_xlfn.XLOOKUP(BY$7,'Product Tgt'!$B:$B,'Product Tgt'!$D:$D),0),0)</f>
        <v>0</v>
      </c>
      <c r="BZ29" s="13">
        <f>ROUND(IFERROR(BD29/_xlfn.XLOOKUP(BZ$7,'Product Tgt'!$B:$B,'Product Tgt'!$D:$D),0),0)</f>
        <v>0</v>
      </c>
    </row>
    <row r="30" spans="1:78" x14ac:dyDescent="0.25">
      <c r="A30" s="4" t="s">
        <v>86</v>
      </c>
      <c r="B30" s="3">
        <f>_xlfn.XLOOKUP(A30,'Terr Target'!$A:$A,'Terr Target'!$E:$E)</f>
        <v>349169.74494742614</v>
      </c>
      <c r="C30" s="3">
        <f t="shared" si="4"/>
        <v>349170.18887393241</v>
      </c>
      <c r="D30" s="5">
        <f t="shared" si="6"/>
        <v>0.44392650626832619</v>
      </c>
      <c r="E30" s="6">
        <f t="shared" si="7"/>
        <v>1.2713757371440591E-6</v>
      </c>
      <c r="F30" s="6">
        <f t="shared" si="8"/>
        <v>0.99999872862426287</v>
      </c>
      <c r="G30" s="49">
        <v>15133.688553986103</v>
      </c>
      <c r="H30" s="50">
        <v>13147.954824574446</v>
      </c>
      <c r="I30" s="50">
        <v>78900.766876580266</v>
      </c>
      <c r="J30" s="50">
        <v>105570.18663851809</v>
      </c>
      <c r="K30" s="50">
        <v>5517.4191112950029</v>
      </c>
      <c r="L30" s="50">
        <v>1999.6735906144538</v>
      </c>
      <c r="M30" s="50">
        <v>0</v>
      </c>
      <c r="N30" s="50">
        <v>1445.7971069211894</v>
      </c>
      <c r="O30" s="50">
        <v>3458.9195068340991</v>
      </c>
      <c r="P30" s="50">
        <v>1841.6350491564433</v>
      </c>
      <c r="Q30" s="50">
        <v>1305.1057255940486</v>
      </c>
      <c r="R30" s="50">
        <v>1204.7707936297115</v>
      </c>
      <c r="S30" s="50">
        <v>12521.122057950659</v>
      </c>
      <c r="T30" s="50">
        <v>6909.010100857513</v>
      </c>
      <c r="U30" s="50">
        <v>15287.097177488908</v>
      </c>
      <c r="V30" s="50">
        <v>3812.607157035593</v>
      </c>
      <c r="W30" s="50">
        <v>16083.633473665639</v>
      </c>
      <c r="X30" s="50">
        <v>17278.913937633923</v>
      </c>
      <c r="Y30" s="50">
        <v>5107.9820377497608</v>
      </c>
      <c r="Z30" s="50">
        <v>23211.783002935474</v>
      </c>
      <c r="AA30" s="50">
        <v>3985.1968692099654</v>
      </c>
      <c r="AB30" s="50">
        <v>11536.462775074515</v>
      </c>
      <c r="AC30" s="50">
        <v>4081.9907072505775</v>
      </c>
      <c r="AD30" s="50">
        <v>4421.4180993693381</v>
      </c>
      <c r="AE30" s="51">
        <v>748.28536417714793</v>
      </c>
      <c r="AF30" s="42">
        <f>IFERROR(_xlfn.XLOOKUP(AF$7,'Product Tgt'!$B:$B,'Product Tgt'!$G:$G)*G30/G$60,0)</f>
        <v>15245.42714549819</v>
      </c>
      <c r="AG30" s="42">
        <f>IFERROR(_xlfn.XLOOKUP(AG$7,'Product Tgt'!$B:$B,'Product Tgt'!$G:$G)*H30/H$60,0)</f>
        <v>13461.495508153912</v>
      </c>
      <c r="AH30" s="42">
        <f>IFERROR(_xlfn.XLOOKUP(AH$7,'Product Tgt'!$B:$B,'Product Tgt'!$G:$G)*I30/I$60,0)</f>
        <v>78794.877742748329</v>
      </c>
      <c r="AI30" s="42">
        <f>IFERROR(_xlfn.XLOOKUP(AI$7,'Product Tgt'!$B:$B,'Product Tgt'!$G:$G)*J30/J$60,0)</f>
        <v>105115.75670534784</v>
      </c>
      <c r="AJ30" s="42">
        <f>IFERROR(_xlfn.XLOOKUP(AJ$7,'Product Tgt'!$B:$B,'Product Tgt'!$G:$G)*K30/K$60,0)</f>
        <v>5426.867053644768</v>
      </c>
      <c r="AK30" s="42">
        <f>IFERROR(_xlfn.XLOOKUP(AK$7,'Product Tgt'!$B:$B,'Product Tgt'!$G:$G)*L30/L$60,0)</f>
        <v>2058.016687213671</v>
      </c>
      <c r="AL30" s="42">
        <f>IFERROR(_xlfn.XLOOKUP(AL$7,'Product Tgt'!$B:$B,'Product Tgt'!$G:$G)*M30/M$60,0)</f>
        <v>0</v>
      </c>
      <c r="AM30" s="42">
        <f>IFERROR(_xlfn.XLOOKUP(AM$7,'Product Tgt'!$B:$B,'Product Tgt'!$G:$G)*N30/N$60,0)</f>
        <v>1436.1499274185842</v>
      </c>
      <c r="AN30" s="42">
        <f>IFERROR(_xlfn.XLOOKUP(AN$7,'Product Tgt'!$B:$B,'Product Tgt'!$G:$G)*O30/O$60,0)</f>
        <v>3772.372094237528</v>
      </c>
      <c r="AO30" s="42">
        <f>IFERROR(_xlfn.XLOOKUP(AO$7,'Product Tgt'!$B:$B,'Product Tgt'!$G:$G)*P30/P$60,0)</f>
        <v>1765.799198016625</v>
      </c>
      <c r="AP30" s="42">
        <f>IFERROR(_xlfn.XLOOKUP(AP$7,'Product Tgt'!$B:$B,'Product Tgt'!$G:$G)*Q30/Q$60,0)</f>
        <v>992.07598358808889</v>
      </c>
      <c r="AQ30" s="42">
        <f>IFERROR(_xlfn.XLOOKUP(AQ$7,'Product Tgt'!$B:$B,'Product Tgt'!$G:$G)*R30/R$60,0)</f>
        <v>1005.2589686886174</v>
      </c>
      <c r="AR30" s="42">
        <f>IFERROR(_xlfn.XLOOKUP(AR$7,'Product Tgt'!$B:$B,'Product Tgt'!$G:$G)*S30/S$60,0)</f>
        <v>12125.96441479416</v>
      </c>
      <c r="AS30" s="42">
        <f>IFERROR(_xlfn.XLOOKUP(AS$7,'Product Tgt'!$B:$B,'Product Tgt'!$G:$G)*T30/T$60,0)</f>
        <v>6271.7704781298671</v>
      </c>
      <c r="AT30" s="42">
        <f>IFERROR(_xlfn.XLOOKUP(AT$7,'Product Tgt'!$B:$B,'Product Tgt'!$G:$G)*U30/U$60,0)</f>
        <v>13053.506134574114</v>
      </c>
      <c r="AU30" s="42">
        <f>IFERROR(_xlfn.XLOOKUP(AU$7,'Product Tgt'!$B:$B,'Product Tgt'!$G:$G)*V30/V$60,0)</f>
        <v>4017.4858959675012</v>
      </c>
      <c r="AV30" s="42">
        <f>IFERROR(_xlfn.XLOOKUP(AV$7,'Product Tgt'!$B:$B,'Product Tgt'!$G:$G)*W30/W$60,0)</f>
        <v>15503.649269441021</v>
      </c>
      <c r="AW30" s="42">
        <f>IFERROR(_xlfn.XLOOKUP(AW$7,'Product Tgt'!$B:$B,'Product Tgt'!$G:$G)*X30/X$60,0)</f>
        <v>17824.731151693552</v>
      </c>
      <c r="AX30" s="42">
        <f>IFERROR(_xlfn.XLOOKUP(AX$7,'Product Tgt'!$B:$B,'Product Tgt'!$G:$G)*Y30/Y$60,0)</f>
        <v>4915.7738163521644</v>
      </c>
      <c r="AY30" s="42">
        <f>IFERROR(_xlfn.XLOOKUP(AY$7,'Product Tgt'!$B:$B,'Product Tgt'!$G:$G)*Z30/Z$60,0)</f>
        <v>22355.560903931044</v>
      </c>
      <c r="AZ30" s="42">
        <f>IFERROR(_xlfn.XLOOKUP(AZ$7,'Product Tgt'!$B:$B,'Product Tgt'!$G:$G)*AA30/AA$60,0)</f>
        <v>3983.0492862354108</v>
      </c>
      <c r="BA30" s="42">
        <f>IFERROR(_xlfn.XLOOKUP(BA$7,'Product Tgt'!$B:$B,'Product Tgt'!$G:$G)*AB30/AB$60,0)</f>
        <v>10775.782992959685</v>
      </c>
      <c r="BB30" s="42">
        <f>IFERROR(_xlfn.XLOOKUP(BB$7,'Product Tgt'!$B:$B,'Product Tgt'!$G:$G)*AC30/AC$60,0)</f>
        <v>4089.5457919559453</v>
      </c>
      <c r="BC30" s="42">
        <f>IFERROR(_xlfn.XLOOKUP(BC$7,'Product Tgt'!$B:$B,'Product Tgt'!$G:$G)*AD30/AD$60,0)</f>
        <v>4429.6014076260799</v>
      </c>
      <c r="BD30" s="42">
        <f>IFERROR(_xlfn.XLOOKUP(BD$7,'Product Tgt'!$B:$B,'Product Tgt'!$G:$G)*AE30/AE$60,0)</f>
        <v>749.67031571564667</v>
      </c>
      <c r="BE30" s="10">
        <f>ROUND(IFERROR(AF30/_xlfn.XLOOKUP(BE$7,'Product Tgt'!$B:$B,'Product Tgt'!$D:$D),0),0)</f>
        <v>0</v>
      </c>
      <c r="BF30" s="11">
        <f>ROUND(IFERROR(AG30/_xlfn.XLOOKUP(BF$7,'Product Tgt'!$B:$B,'Product Tgt'!$D:$D),0),0)</f>
        <v>0</v>
      </c>
      <c r="BG30" s="11">
        <f>ROUND(IFERROR(AH30/_xlfn.XLOOKUP(BG$7,'Product Tgt'!$B:$B,'Product Tgt'!$D:$D),0),0)</f>
        <v>0</v>
      </c>
      <c r="BH30" s="11">
        <f>ROUND(IFERROR(AI30/_xlfn.XLOOKUP(BH$7,'Product Tgt'!$B:$B,'Product Tgt'!$D:$D),0),0)</f>
        <v>0</v>
      </c>
      <c r="BI30" s="11">
        <f>ROUND(IFERROR(AM30/_xlfn.XLOOKUP(BI$7,'Product Tgt'!$B:$B,'Product Tgt'!$D:$D),0),0)</f>
        <v>0</v>
      </c>
      <c r="BJ30" s="11">
        <f>ROUND(IFERROR(#REF!/_xlfn.XLOOKUP(BJ$7,'Product Tgt'!$B:$B,'Product Tgt'!$D:$D),0),0)</f>
        <v>0</v>
      </c>
      <c r="BK30" s="11">
        <f>ROUND(IFERROR(#REF!/_xlfn.XLOOKUP(BK$7,'Product Tgt'!$B:$B,'Product Tgt'!$D:$D),0),0)</f>
        <v>0</v>
      </c>
      <c r="BL30" s="11">
        <f>ROUND(IFERROR(AN30/_xlfn.XLOOKUP(BL$7,'Product Tgt'!$B:$B,'Product Tgt'!$D:$D),0),0)</f>
        <v>0</v>
      </c>
      <c r="BM30" s="11">
        <f>ROUND(IFERROR(AQ30/_xlfn.XLOOKUP(BM$7,'Product Tgt'!$B:$B,'Product Tgt'!$D:$D),0),0)</f>
        <v>0</v>
      </c>
      <c r="BN30" s="11">
        <f>ROUND(IFERROR(AR30/_xlfn.XLOOKUP(BN$7,'Product Tgt'!$B:$B,'Product Tgt'!$D:$D),0),0)</f>
        <v>0</v>
      </c>
      <c r="BO30" s="11">
        <f>ROUND(IFERROR(AS30/_xlfn.XLOOKUP(BO$7,'Product Tgt'!$B:$B,'Product Tgt'!$D:$D),0),0)</f>
        <v>0</v>
      </c>
      <c r="BP30" s="11">
        <f>ROUND(IFERROR(AT30/_xlfn.XLOOKUP(BP$7,'Product Tgt'!$B:$B,'Product Tgt'!$D:$D),0),0)</f>
        <v>0</v>
      </c>
      <c r="BQ30" s="11">
        <f>ROUND(IFERROR(AU30/_xlfn.XLOOKUP(BQ$7,'Product Tgt'!$B:$B,'Product Tgt'!$D:$D),0),0)</f>
        <v>0</v>
      </c>
      <c r="BR30" s="11">
        <f>ROUND(IFERROR(AV30/_xlfn.XLOOKUP(BR$7,'Product Tgt'!$B:$B,'Product Tgt'!$D:$D),0),0)</f>
        <v>0</v>
      </c>
      <c r="BS30" s="11">
        <f>ROUND(IFERROR(AW30/_xlfn.XLOOKUP(BS$7,'Product Tgt'!$B:$B,'Product Tgt'!$D:$D),0),0)</f>
        <v>0</v>
      </c>
      <c r="BT30" s="11">
        <f>ROUND(IFERROR(AX30/_xlfn.XLOOKUP(BT$7,'Product Tgt'!$B:$B,'Product Tgt'!$D:$D),0),0)</f>
        <v>0</v>
      </c>
      <c r="BU30" s="11">
        <f>ROUND(IFERROR(AY30/_xlfn.XLOOKUP(BU$7,'Product Tgt'!$B:$B,'Product Tgt'!$D:$D),0),0)</f>
        <v>0</v>
      </c>
      <c r="BV30" s="11">
        <f>ROUND(IFERROR(AZ30/_xlfn.XLOOKUP(BV$7,'Product Tgt'!$B:$B,'Product Tgt'!$D:$D),0),0)</f>
        <v>0</v>
      </c>
      <c r="BW30" s="11">
        <f>ROUND(IFERROR(BA30/_xlfn.XLOOKUP(BW$7,'Product Tgt'!$B:$B,'Product Tgt'!$D:$D),0),0)</f>
        <v>0</v>
      </c>
      <c r="BX30" s="11">
        <f>ROUND(IFERROR(BB30/_xlfn.XLOOKUP(BX$7,'Product Tgt'!$B:$B,'Product Tgt'!$D:$D),0),0)</f>
        <v>0</v>
      </c>
      <c r="BY30" s="11">
        <f>ROUND(IFERROR(BC30/_xlfn.XLOOKUP(BY$7,'Product Tgt'!$B:$B,'Product Tgt'!$D:$D),0),0)</f>
        <v>0</v>
      </c>
      <c r="BZ30" s="13">
        <f>ROUND(IFERROR(BD30/_xlfn.XLOOKUP(BZ$7,'Product Tgt'!$B:$B,'Product Tgt'!$D:$D),0),0)</f>
        <v>0</v>
      </c>
    </row>
    <row r="31" spans="1:78" x14ac:dyDescent="0.25">
      <c r="A31" s="4" t="s">
        <v>54</v>
      </c>
      <c r="B31" s="3">
        <f>_xlfn.XLOOKUP(A31,'Terr Target'!$A:$A,'Terr Target'!$E:$E)</f>
        <v>593396.5793447675</v>
      </c>
      <c r="C31" s="3">
        <f t="shared" si="4"/>
        <v>593395.00883453339</v>
      </c>
      <c r="D31" s="5">
        <f t="shared" si="6"/>
        <v>-1.5705102341016755</v>
      </c>
      <c r="E31" s="6">
        <f t="shared" si="7"/>
        <v>2.6466522480299596E-6</v>
      </c>
      <c r="F31" s="6">
        <f t="shared" si="8"/>
        <v>1.000002646652248</v>
      </c>
      <c r="G31" s="49">
        <v>19189.574093864081</v>
      </c>
      <c r="H31" s="50">
        <v>24754.528747914239</v>
      </c>
      <c r="I31" s="50">
        <v>132036.09813624222</v>
      </c>
      <c r="J31" s="50">
        <v>133778.57542513919</v>
      </c>
      <c r="K31" s="50">
        <v>40267.647322852179</v>
      </c>
      <c r="L31" s="50">
        <v>13594.984416289517</v>
      </c>
      <c r="M31" s="50">
        <v>0</v>
      </c>
      <c r="N31" s="50">
        <v>9051.8021076285513</v>
      </c>
      <c r="O31" s="50">
        <v>34543.671072478784</v>
      </c>
      <c r="P31" s="50">
        <v>5311.3092989372753</v>
      </c>
      <c r="Q31" s="50">
        <v>5116.0626670994134</v>
      </c>
      <c r="R31" s="50">
        <v>4565.7666202687833</v>
      </c>
      <c r="S31" s="50">
        <v>23661.478111743305</v>
      </c>
      <c r="T31" s="50">
        <v>9339.3890290558011</v>
      </c>
      <c r="U31" s="50">
        <v>19682.372786840846</v>
      </c>
      <c r="V31" s="50">
        <v>5070.6036026258525</v>
      </c>
      <c r="W31" s="50">
        <v>17963.220935520181</v>
      </c>
      <c r="X31" s="50">
        <v>16071.426794401055</v>
      </c>
      <c r="Y31" s="50">
        <v>4725.1487643604851</v>
      </c>
      <c r="Z31" s="50">
        <v>39130.870254539455</v>
      </c>
      <c r="AA31" s="50">
        <v>3745.3602035655108</v>
      </c>
      <c r="AB31" s="50">
        <v>24753.877758887855</v>
      </c>
      <c r="AC31" s="50">
        <v>6194.4026042320174</v>
      </c>
      <c r="AD31" s="50">
        <v>6709.4821505802038</v>
      </c>
      <c r="AE31" s="51">
        <v>1135.519686591754</v>
      </c>
      <c r="AF31" s="42">
        <f>IFERROR(_xlfn.XLOOKUP(AF$7,'Product Tgt'!$B:$B,'Product Tgt'!$G:$G)*G31/G$60,0)</f>
        <v>19331.259048811859</v>
      </c>
      <c r="AG31" s="42">
        <f>IFERROR(_xlfn.XLOOKUP(AG$7,'Product Tgt'!$B:$B,'Product Tgt'!$G:$G)*H31/H$60,0)</f>
        <v>25344.852640022666</v>
      </c>
      <c r="AH31" s="42">
        <f>IFERROR(_xlfn.XLOOKUP(AH$7,'Product Tgt'!$B:$B,'Product Tgt'!$G:$G)*I31/I$60,0)</f>
        <v>131858.89848889195</v>
      </c>
      <c r="AI31" s="42">
        <f>IFERROR(_xlfn.XLOOKUP(AI$7,'Product Tgt'!$B:$B,'Product Tgt'!$G:$G)*J31/J$60,0)</f>
        <v>133202.72166352544</v>
      </c>
      <c r="AJ31" s="42">
        <f>IFERROR(_xlfn.XLOOKUP(AJ$7,'Product Tgt'!$B:$B,'Product Tgt'!$G:$G)*K31/K$60,0)</f>
        <v>39606.773416363241</v>
      </c>
      <c r="AK31" s="42">
        <f>IFERROR(_xlfn.XLOOKUP(AK$7,'Product Tgt'!$B:$B,'Product Tgt'!$G:$G)*L31/L$60,0)</f>
        <v>13991.635896204652</v>
      </c>
      <c r="AL31" s="42">
        <f>IFERROR(_xlfn.XLOOKUP(AL$7,'Product Tgt'!$B:$B,'Product Tgt'!$G:$G)*M31/M$60,0)</f>
        <v>0</v>
      </c>
      <c r="AM31" s="42">
        <f>IFERROR(_xlfn.XLOOKUP(AM$7,'Product Tgt'!$B:$B,'Product Tgt'!$G:$G)*N31/N$60,0)</f>
        <v>8991.4033425899979</v>
      </c>
      <c r="AN31" s="42">
        <f>IFERROR(_xlfn.XLOOKUP(AN$7,'Product Tgt'!$B:$B,'Product Tgt'!$G:$G)*O31/O$60,0)</f>
        <v>37674.071492230665</v>
      </c>
      <c r="AO31" s="42">
        <f>IFERROR(_xlfn.XLOOKUP(AO$7,'Product Tgt'!$B:$B,'Product Tgt'!$G:$G)*P31/P$60,0)</f>
        <v>5092.5973117081903</v>
      </c>
      <c r="AP31" s="42">
        <f>IFERROR(_xlfn.XLOOKUP(AP$7,'Product Tgt'!$B:$B,'Product Tgt'!$G:$G)*Q31/Q$60,0)</f>
        <v>3888.9745121995475</v>
      </c>
      <c r="AQ31" s="42">
        <f>IFERROR(_xlfn.XLOOKUP(AQ$7,'Product Tgt'!$B:$B,'Product Tgt'!$G:$G)*R31/R$60,0)</f>
        <v>3809.6689164719146</v>
      </c>
      <c r="AR31" s="42">
        <f>IFERROR(_xlfn.XLOOKUP(AR$7,'Product Tgt'!$B:$B,'Product Tgt'!$G:$G)*S31/S$60,0)</f>
        <v>22914.738811466421</v>
      </c>
      <c r="AS31" s="42">
        <f>IFERROR(_xlfn.XLOOKUP(AS$7,'Product Tgt'!$B:$B,'Product Tgt'!$G:$G)*T31/T$60,0)</f>
        <v>8477.9879521282146</v>
      </c>
      <c r="AT31" s="42">
        <f>IFERROR(_xlfn.XLOOKUP(AT$7,'Product Tgt'!$B:$B,'Product Tgt'!$G:$G)*U31/U$60,0)</f>
        <v>16806.589958382439</v>
      </c>
      <c r="AU31" s="42">
        <f>IFERROR(_xlfn.XLOOKUP(AU$7,'Product Tgt'!$B:$B,'Product Tgt'!$G:$G)*V31/V$60,0)</f>
        <v>5343.0835170100336</v>
      </c>
      <c r="AV31" s="42">
        <f>IFERROR(_xlfn.XLOOKUP(AV$7,'Product Tgt'!$B:$B,'Product Tgt'!$G:$G)*W31/W$60,0)</f>
        <v>17315.457827970069</v>
      </c>
      <c r="AW31" s="42">
        <f>IFERROR(_xlfn.XLOOKUP(AW$7,'Product Tgt'!$B:$B,'Product Tgt'!$G:$G)*X31/X$60,0)</f>
        <v>16579.101144221011</v>
      </c>
      <c r="AX31" s="42">
        <f>IFERROR(_xlfn.XLOOKUP(AX$7,'Product Tgt'!$B:$B,'Product Tgt'!$G:$G)*Y31/Y$60,0)</f>
        <v>4547.3461736064901</v>
      </c>
      <c r="AY31" s="42">
        <f>IFERROR(_xlfn.XLOOKUP(AY$7,'Product Tgt'!$B:$B,'Product Tgt'!$G:$G)*Z31/Z$60,0)</f>
        <v>37687.434570991376</v>
      </c>
      <c r="AZ31" s="42">
        <f>IFERROR(_xlfn.XLOOKUP(AZ$7,'Product Tgt'!$B:$B,'Product Tgt'!$G:$G)*AA31/AA$60,0)</f>
        <v>3743.3418661857704</v>
      </c>
      <c r="BA31" s="42">
        <f>IFERROR(_xlfn.XLOOKUP(BA$7,'Product Tgt'!$B:$B,'Product Tgt'!$G:$G)*AB31/AB$60,0)</f>
        <v>23121.681243608386</v>
      </c>
      <c r="BB31" s="42">
        <f>IFERROR(_xlfn.XLOOKUP(BB$7,'Product Tgt'!$B:$B,'Product Tgt'!$G:$G)*AC31/AC$60,0)</f>
        <v>6205.8674114132291</v>
      </c>
      <c r="BC31" s="42">
        <f>IFERROR(_xlfn.XLOOKUP(BC$7,'Product Tgt'!$B:$B,'Product Tgt'!$G:$G)*AD31/AD$60,0)</f>
        <v>6721.9002841851525</v>
      </c>
      <c r="BD31" s="42">
        <f>IFERROR(_xlfn.XLOOKUP(BD$7,'Product Tgt'!$B:$B,'Product Tgt'!$G:$G)*AE31/AE$60,0)</f>
        <v>1137.621344344569</v>
      </c>
      <c r="BE31" s="10">
        <f>ROUND(IFERROR(AF31/_xlfn.XLOOKUP(BE$7,'Product Tgt'!$B:$B,'Product Tgt'!$D:$D),0),0)</f>
        <v>0</v>
      </c>
      <c r="BF31" s="11">
        <f>ROUND(IFERROR(AG31/_xlfn.XLOOKUP(BF$7,'Product Tgt'!$B:$B,'Product Tgt'!$D:$D),0),0)</f>
        <v>0</v>
      </c>
      <c r="BG31" s="11">
        <f>ROUND(IFERROR(AH31/_xlfn.XLOOKUP(BG$7,'Product Tgt'!$B:$B,'Product Tgt'!$D:$D),0),0)</f>
        <v>0</v>
      </c>
      <c r="BH31" s="11">
        <f>ROUND(IFERROR(AI31/_xlfn.XLOOKUP(BH$7,'Product Tgt'!$B:$B,'Product Tgt'!$D:$D),0),0)</f>
        <v>0</v>
      </c>
      <c r="BI31" s="11">
        <f>ROUND(IFERROR(AM31/_xlfn.XLOOKUP(BI$7,'Product Tgt'!$B:$B,'Product Tgt'!$D:$D),0),0)</f>
        <v>0</v>
      </c>
      <c r="BJ31" s="11">
        <f>ROUND(IFERROR(#REF!/_xlfn.XLOOKUP(BJ$7,'Product Tgt'!$B:$B,'Product Tgt'!$D:$D),0),0)</f>
        <v>0</v>
      </c>
      <c r="BK31" s="11">
        <f>ROUND(IFERROR(#REF!/_xlfn.XLOOKUP(BK$7,'Product Tgt'!$B:$B,'Product Tgt'!$D:$D),0),0)</f>
        <v>0</v>
      </c>
      <c r="BL31" s="11">
        <f>ROUND(IFERROR(AN31/_xlfn.XLOOKUP(BL$7,'Product Tgt'!$B:$B,'Product Tgt'!$D:$D),0),0)</f>
        <v>0</v>
      </c>
      <c r="BM31" s="11">
        <f>ROUND(IFERROR(AQ31/_xlfn.XLOOKUP(BM$7,'Product Tgt'!$B:$B,'Product Tgt'!$D:$D),0),0)</f>
        <v>0</v>
      </c>
      <c r="BN31" s="11">
        <f>ROUND(IFERROR(AR31/_xlfn.XLOOKUP(BN$7,'Product Tgt'!$B:$B,'Product Tgt'!$D:$D),0),0)</f>
        <v>0</v>
      </c>
      <c r="BO31" s="11">
        <f>ROUND(IFERROR(AS31/_xlfn.XLOOKUP(BO$7,'Product Tgt'!$B:$B,'Product Tgt'!$D:$D),0),0)</f>
        <v>0</v>
      </c>
      <c r="BP31" s="11">
        <f>ROUND(IFERROR(AT31/_xlfn.XLOOKUP(BP$7,'Product Tgt'!$B:$B,'Product Tgt'!$D:$D),0),0)</f>
        <v>0</v>
      </c>
      <c r="BQ31" s="11">
        <f>ROUND(IFERROR(AU31/_xlfn.XLOOKUP(BQ$7,'Product Tgt'!$B:$B,'Product Tgt'!$D:$D),0),0)</f>
        <v>0</v>
      </c>
      <c r="BR31" s="11">
        <f>ROUND(IFERROR(AV31/_xlfn.XLOOKUP(BR$7,'Product Tgt'!$B:$B,'Product Tgt'!$D:$D),0),0)</f>
        <v>0</v>
      </c>
      <c r="BS31" s="11">
        <f>ROUND(IFERROR(AW31/_xlfn.XLOOKUP(BS$7,'Product Tgt'!$B:$B,'Product Tgt'!$D:$D),0),0)</f>
        <v>0</v>
      </c>
      <c r="BT31" s="11">
        <f>ROUND(IFERROR(AX31/_xlfn.XLOOKUP(BT$7,'Product Tgt'!$B:$B,'Product Tgt'!$D:$D),0),0)</f>
        <v>0</v>
      </c>
      <c r="BU31" s="11">
        <f>ROUND(IFERROR(AY31/_xlfn.XLOOKUP(BU$7,'Product Tgt'!$B:$B,'Product Tgt'!$D:$D),0),0)</f>
        <v>0</v>
      </c>
      <c r="BV31" s="11">
        <f>ROUND(IFERROR(AZ31/_xlfn.XLOOKUP(BV$7,'Product Tgt'!$B:$B,'Product Tgt'!$D:$D),0),0)</f>
        <v>0</v>
      </c>
      <c r="BW31" s="11">
        <f>ROUND(IFERROR(BA31/_xlfn.XLOOKUP(BW$7,'Product Tgt'!$B:$B,'Product Tgt'!$D:$D),0),0)</f>
        <v>0</v>
      </c>
      <c r="BX31" s="11">
        <f>ROUND(IFERROR(BB31/_xlfn.XLOOKUP(BX$7,'Product Tgt'!$B:$B,'Product Tgt'!$D:$D),0),0)</f>
        <v>0</v>
      </c>
      <c r="BY31" s="11">
        <f>ROUND(IFERROR(BC31/_xlfn.XLOOKUP(BY$7,'Product Tgt'!$B:$B,'Product Tgt'!$D:$D),0),0)</f>
        <v>0</v>
      </c>
      <c r="BZ31" s="13">
        <f>ROUND(IFERROR(BD31/_xlfn.XLOOKUP(BZ$7,'Product Tgt'!$B:$B,'Product Tgt'!$D:$D),0),0)</f>
        <v>0</v>
      </c>
    </row>
    <row r="32" spans="1:78" x14ac:dyDescent="0.25">
      <c r="A32" s="4" t="s">
        <v>55</v>
      </c>
      <c r="B32" s="3">
        <f>_xlfn.XLOOKUP(A32,'Terr Target'!$A:$A,'Terr Target'!$E:$E)</f>
        <v>519959.40288273187</v>
      </c>
      <c r="C32" s="3">
        <f t="shared" si="4"/>
        <v>519956.00184351596</v>
      </c>
      <c r="D32" s="5">
        <f t="shared" si="6"/>
        <v>-3.4010392159107141</v>
      </c>
      <c r="E32" s="6">
        <f t="shared" si="7"/>
        <v>6.5410134777793722E-6</v>
      </c>
      <c r="F32" s="6">
        <f t="shared" si="8"/>
        <v>1.0000065410134777</v>
      </c>
      <c r="G32" s="49">
        <v>12941.208334290905</v>
      </c>
      <c r="H32" s="50">
        <v>27767.870179125497</v>
      </c>
      <c r="I32" s="50">
        <v>130236.65439355449</v>
      </c>
      <c r="J32" s="50">
        <v>118239.34157566246</v>
      </c>
      <c r="K32" s="50">
        <v>66443.566295213473</v>
      </c>
      <c r="L32" s="50">
        <v>20028.293693835978</v>
      </c>
      <c r="M32" s="50">
        <v>0</v>
      </c>
      <c r="N32" s="50">
        <v>4888.9479454134753</v>
      </c>
      <c r="O32" s="50">
        <v>14770.913954180733</v>
      </c>
      <c r="P32" s="50">
        <v>2411.1441295325153</v>
      </c>
      <c r="Q32" s="50">
        <v>3295.6041124112144</v>
      </c>
      <c r="R32" s="50">
        <v>3474.4144893195935</v>
      </c>
      <c r="S32" s="50">
        <v>14783.08519074496</v>
      </c>
      <c r="T32" s="50">
        <v>2451.1036694445361</v>
      </c>
      <c r="U32" s="50">
        <v>10575.202565526379</v>
      </c>
      <c r="V32" s="50">
        <v>5932.0471002323566</v>
      </c>
      <c r="W32" s="50">
        <v>18383.1415012201</v>
      </c>
      <c r="X32" s="50">
        <v>15805.217173966032</v>
      </c>
      <c r="Y32" s="50">
        <v>5440.4117623586671</v>
      </c>
      <c r="Z32" s="50">
        <v>25982.577482062745</v>
      </c>
      <c r="AA32" s="50">
        <v>3950.9466122845292</v>
      </c>
      <c r="AB32" s="50">
        <v>9173.8478986924383</v>
      </c>
      <c r="AC32" s="50">
        <v>3269.7792866604891</v>
      </c>
      <c r="AD32" s="50">
        <v>3541.6693363129184</v>
      </c>
      <c r="AE32" s="51">
        <v>599.39577519166653</v>
      </c>
      <c r="AF32" s="42">
        <f>IFERROR(_xlfn.XLOOKUP(AF$7,'Product Tgt'!$B:$B,'Product Tgt'!$G:$G)*G32/G$60,0)</f>
        <v>13036.75889267459</v>
      </c>
      <c r="AG32" s="42">
        <f>IFERROR(_xlfn.XLOOKUP(AG$7,'Product Tgt'!$B:$B,'Product Tgt'!$G:$G)*H32/H$60,0)</f>
        <v>28430.053546323874</v>
      </c>
      <c r="AH32" s="42">
        <f>IFERROR(_xlfn.XLOOKUP(AH$7,'Product Tgt'!$B:$B,'Product Tgt'!$G:$G)*I32/I$60,0)</f>
        <v>130061.86969788131</v>
      </c>
      <c r="AI32" s="42">
        <f>IFERROR(_xlfn.XLOOKUP(AI$7,'Product Tgt'!$B:$B,'Product Tgt'!$G:$G)*J32/J$60,0)</f>
        <v>117730.37689726983</v>
      </c>
      <c r="AJ32" s="42">
        <f>IFERROR(_xlfn.XLOOKUP(AJ$7,'Product Tgt'!$B:$B,'Product Tgt'!$G:$G)*K32/K$60,0)</f>
        <v>65353.092375381195</v>
      </c>
      <c r="AK32" s="42">
        <f>IFERROR(_xlfn.XLOOKUP(AK$7,'Product Tgt'!$B:$B,'Product Tgt'!$G:$G)*L32/L$60,0)</f>
        <v>20612.645399625078</v>
      </c>
      <c r="AL32" s="42">
        <f>IFERROR(_xlfn.XLOOKUP(AL$7,'Product Tgt'!$B:$B,'Product Tgt'!$G:$G)*M32/M$60,0)</f>
        <v>0</v>
      </c>
      <c r="AM32" s="42">
        <f>IFERROR(_xlfn.XLOOKUP(AM$7,'Product Tgt'!$B:$B,'Product Tgt'!$G:$G)*N32/N$60,0)</f>
        <v>4856.3261078247051</v>
      </c>
      <c r="AN32" s="42">
        <f>IFERROR(_xlfn.XLOOKUP(AN$7,'Product Tgt'!$B:$B,'Product Tgt'!$G:$G)*O32/O$60,0)</f>
        <v>16109.47681697748</v>
      </c>
      <c r="AO32" s="42">
        <f>IFERROR(_xlfn.XLOOKUP(AO$7,'Product Tgt'!$B:$B,'Product Tgt'!$G:$G)*P32/P$60,0)</f>
        <v>2311.8567232857513</v>
      </c>
      <c r="AP32" s="42">
        <f>IFERROR(_xlfn.XLOOKUP(AP$7,'Product Tgt'!$B:$B,'Product Tgt'!$G:$G)*Q32/Q$60,0)</f>
        <v>2505.1531283790237</v>
      </c>
      <c r="AQ32" s="42">
        <f>IFERROR(_xlfn.XLOOKUP(AQ$7,'Product Tgt'!$B:$B,'Product Tgt'!$G:$G)*R32/R$60,0)</f>
        <v>2899.0463122097294</v>
      </c>
      <c r="AR32" s="42">
        <f>IFERROR(_xlfn.XLOOKUP(AR$7,'Product Tgt'!$B:$B,'Product Tgt'!$G:$G)*S32/S$60,0)</f>
        <v>14316.541611382025</v>
      </c>
      <c r="AS32" s="42">
        <f>IFERROR(_xlfn.XLOOKUP(AS$7,'Product Tgt'!$B:$B,'Product Tgt'!$G:$G)*T32/T$60,0)</f>
        <v>2225.030707503241</v>
      </c>
      <c r="AT32" s="42">
        <f>IFERROR(_xlfn.XLOOKUP(AT$7,'Product Tgt'!$B:$B,'Product Tgt'!$G:$G)*U32/U$60,0)</f>
        <v>9030.0643713274167</v>
      </c>
      <c r="AU32" s="42">
        <f>IFERROR(_xlfn.XLOOKUP(AU$7,'Product Tgt'!$B:$B,'Product Tgt'!$G:$G)*V32/V$60,0)</f>
        <v>6250.8185548097163</v>
      </c>
      <c r="AV32" s="42">
        <f>IFERROR(_xlfn.XLOOKUP(AV$7,'Product Tgt'!$B:$B,'Product Tgt'!$G:$G)*W32/W$60,0)</f>
        <v>17720.235839250687</v>
      </c>
      <c r="AW32" s="42">
        <f>IFERROR(_xlfn.XLOOKUP(AW$7,'Product Tgt'!$B:$B,'Product Tgt'!$G:$G)*X32/X$60,0)</f>
        <v>16304.482326662479</v>
      </c>
      <c r="AX32" s="42">
        <f>IFERROR(_xlfn.XLOOKUP(AX$7,'Product Tgt'!$B:$B,'Product Tgt'!$G:$G)*Y32/Y$60,0)</f>
        <v>5235.694545112111</v>
      </c>
      <c r="AY32" s="42">
        <f>IFERROR(_xlfn.XLOOKUP(AY$7,'Product Tgt'!$B:$B,'Product Tgt'!$G:$G)*Z32/Z$60,0)</f>
        <v>25024.148005687595</v>
      </c>
      <c r="AZ32" s="42">
        <f>IFERROR(_xlfn.XLOOKUP(AZ$7,'Product Tgt'!$B:$B,'Product Tgt'!$G:$G)*AA32/AA$60,0)</f>
        <v>3948.8174864329376</v>
      </c>
      <c r="BA32" s="42">
        <f>IFERROR(_xlfn.XLOOKUP(BA$7,'Product Tgt'!$B:$B,'Product Tgt'!$G:$G)*AB32/AB$60,0)</f>
        <v>8568.9518610777486</v>
      </c>
      <c r="BB32" s="42">
        <f>IFERROR(_xlfn.XLOOKUP(BB$7,'Product Tgt'!$B:$B,'Product Tgt'!$G:$G)*AC32/AC$60,0)</f>
        <v>3275.8311033475525</v>
      </c>
      <c r="BC32" s="42">
        <f>IFERROR(_xlfn.XLOOKUP(BC$7,'Product Tgt'!$B:$B,'Product Tgt'!$G:$G)*AD32/AD$60,0)</f>
        <v>3548.2243761827358</v>
      </c>
      <c r="BD32" s="42">
        <f>IFERROR(_xlfn.XLOOKUP(BD$7,'Product Tgt'!$B:$B,'Product Tgt'!$G:$G)*AE32/AE$60,0)</f>
        <v>600.5051569072026</v>
      </c>
      <c r="BE32" s="10">
        <f>ROUND(IFERROR(AF32/_xlfn.XLOOKUP(BE$7,'Product Tgt'!$B:$B,'Product Tgt'!$D:$D),0),0)</f>
        <v>0</v>
      </c>
      <c r="BF32" s="11">
        <f>ROUND(IFERROR(AG32/_xlfn.XLOOKUP(BF$7,'Product Tgt'!$B:$B,'Product Tgt'!$D:$D),0),0)</f>
        <v>0</v>
      </c>
      <c r="BG32" s="11">
        <f>ROUND(IFERROR(AH32/_xlfn.XLOOKUP(BG$7,'Product Tgt'!$B:$B,'Product Tgt'!$D:$D),0),0)</f>
        <v>0</v>
      </c>
      <c r="BH32" s="11">
        <f>ROUND(IFERROR(AI32/_xlfn.XLOOKUP(BH$7,'Product Tgt'!$B:$B,'Product Tgt'!$D:$D),0),0)</f>
        <v>0</v>
      </c>
      <c r="BI32" s="11">
        <f>ROUND(IFERROR(AM32/_xlfn.XLOOKUP(BI$7,'Product Tgt'!$B:$B,'Product Tgt'!$D:$D),0),0)</f>
        <v>0</v>
      </c>
      <c r="BJ32" s="11">
        <f>ROUND(IFERROR(#REF!/_xlfn.XLOOKUP(BJ$7,'Product Tgt'!$B:$B,'Product Tgt'!$D:$D),0),0)</f>
        <v>0</v>
      </c>
      <c r="BK32" s="11">
        <f>ROUND(IFERROR(#REF!/_xlfn.XLOOKUP(BK$7,'Product Tgt'!$B:$B,'Product Tgt'!$D:$D),0),0)</f>
        <v>0</v>
      </c>
      <c r="BL32" s="11">
        <f>ROUND(IFERROR(AN32/_xlfn.XLOOKUP(BL$7,'Product Tgt'!$B:$B,'Product Tgt'!$D:$D),0),0)</f>
        <v>0</v>
      </c>
      <c r="BM32" s="11">
        <f>ROUND(IFERROR(AQ32/_xlfn.XLOOKUP(BM$7,'Product Tgt'!$B:$B,'Product Tgt'!$D:$D),0),0)</f>
        <v>0</v>
      </c>
      <c r="BN32" s="11">
        <f>ROUND(IFERROR(AR32/_xlfn.XLOOKUP(BN$7,'Product Tgt'!$B:$B,'Product Tgt'!$D:$D),0),0)</f>
        <v>0</v>
      </c>
      <c r="BO32" s="11">
        <f>ROUND(IFERROR(AS32/_xlfn.XLOOKUP(BO$7,'Product Tgt'!$B:$B,'Product Tgt'!$D:$D),0),0)</f>
        <v>0</v>
      </c>
      <c r="BP32" s="11">
        <f>ROUND(IFERROR(AT32/_xlfn.XLOOKUP(BP$7,'Product Tgt'!$B:$B,'Product Tgt'!$D:$D),0),0)</f>
        <v>0</v>
      </c>
      <c r="BQ32" s="11">
        <f>ROUND(IFERROR(AU32/_xlfn.XLOOKUP(BQ$7,'Product Tgt'!$B:$B,'Product Tgt'!$D:$D),0),0)</f>
        <v>0</v>
      </c>
      <c r="BR32" s="11">
        <f>ROUND(IFERROR(AV32/_xlfn.XLOOKUP(BR$7,'Product Tgt'!$B:$B,'Product Tgt'!$D:$D),0),0)</f>
        <v>0</v>
      </c>
      <c r="BS32" s="11">
        <f>ROUND(IFERROR(AW32/_xlfn.XLOOKUP(BS$7,'Product Tgt'!$B:$B,'Product Tgt'!$D:$D),0),0)</f>
        <v>0</v>
      </c>
      <c r="BT32" s="11">
        <f>ROUND(IFERROR(AX32/_xlfn.XLOOKUP(BT$7,'Product Tgt'!$B:$B,'Product Tgt'!$D:$D),0),0)</f>
        <v>0</v>
      </c>
      <c r="BU32" s="11">
        <f>ROUND(IFERROR(AY32/_xlfn.XLOOKUP(BU$7,'Product Tgt'!$B:$B,'Product Tgt'!$D:$D),0),0)</f>
        <v>0</v>
      </c>
      <c r="BV32" s="11">
        <f>ROUND(IFERROR(AZ32/_xlfn.XLOOKUP(BV$7,'Product Tgt'!$B:$B,'Product Tgt'!$D:$D),0),0)</f>
        <v>0</v>
      </c>
      <c r="BW32" s="11">
        <f>ROUND(IFERROR(BA32/_xlfn.XLOOKUP(BW$7,'Product Tgt'!$B:$B,'Product Tgt'!$D:$D),0),0)</f>
        <v>0</v>
      </c>
      <c r="BX32" s="11">
        <f>ROUND(IFERROR(BB32/_xlfn.XLOOKUP(BX$7,'Product Tgt'!$B:$B,'Product Tgt'!$D:$D),0),0)</f>
        <v>0</v>
      </c>
      <c r="BY32" s="11">
        <f>ROUND(IFERROR(BC32/_xlfn.XLOOKUP(BY$7,'Product Tgt'!$B:$B,'Product Tgt'!$D:$D),0),0)</f>
        <v>0</v>
      </c>
      <c r="BZ32" s="13">
        <f>ROUND(IFERROR(BD32/_xlfn.XLOOKUP(BZ$7,'Product Tgt'!$B:$B,'Product Tgt'!$D:$D),0),0)</f>
        <v>0</v>
      </c>
    </row>
    <row r="33" spans="1:78" x14ac:dyDescent="0.25">
      <c r="A33" s="4" t="s">
        <v>56</v>
      </c>
      <c r="B33" s="3">
        <f>_xlfn.XLOOKUP(A33,'Terr Target'!$A:$A,'Terr Target'!$E:$E)</f>
        <v>517463.24372232758</v>
      </c>
      <c r="C33" s="3">
        <f t="shared" si="4"/>
        <v>517460.21645794256</v>
      </c>
      <c r="D33" s="5">
        <f t="shared" si="6"/>
        <v>-3.0272643850184977</v>
      </c>
      <c r="E33" s="6">
        <f t="shared" si="7"/>
        <v>5.8502359963831994E-6</v>
      </c>
      <c r="F33" s="6">
        <f t="shared" si="8"/>
        <v>1.0000058502359963</v>
      </c>
      <c r="G33" s="49">
        <v>11868.149771185957</v>
      </c>
      <c r="H33" s="50">
        <v>30165.917422027651</v>
      </c>
      <c r="I33" s="50">
        <v>135176.60563208003</v>
      </c>
      <c r="J33" s="50">
        <v>127480.78620646943</v>
      </c>
      <c r="K33" s="50">
        <v>55235.870557009213</v>
      </c>
      <c r="L33" s="50">
        <v>19254.375906219357</v>
      </c>
      <c r="M33" s="50">
        <v>0</v>
      </c>
      <c r="N33" s="50">
        <v>3293.0119447041384</v>
      </c>
      <c r="O33" s="50">
        <v>14504.359393534642</v>
      </c>
      <c r="P33" s="50">
        <v>2013.3199894183153</v>
      </c>
      <c r="Q33" s="50">
        <v>3505.5893147748789</v>
      </c>
      <c r="R33" s="50">
        <v>3339.4463977640185</v>
      </c>
      <c r="S33" s="50">
        <v>14109.051048906225</v>
      </c>
      <c r="T33" s="50">
        <v>2022.4414030571968</v>
      </c>
      <c r="U33" s="50">
        <v>10392.145621477486</v>
      </c>
      <c r="V33" s="50">
        <v>4365.2018297647501</v>
      </c>
      <c r="W33" s="50">
        <v>14965.283394018858</v>
      </c>
      <c r="X33" s="50">
        <v>12973.011268373446</v>
      </c>
      <c r="Y33" s="50">
        <v>4432.2906342834676</v>
      </c>
      <c r="Z33" s="50">
        <v>29387.196912726842</v>
      </c>
      <c r="AA33" s="50">
        <v>3966.7252065051307</v>
      </c>
      <c r="AB33" s="50">
        <v>12503.218105733726</v>
      </c>
      <c r="AC33" s="50">
        <v>3118.6026710105934</v>
      </c>
      <c r="AD33" s="50">
        <v>3377.9220197282461</v>
      </c>
      <c r="AE33" s="51">
        <v>571.68301026652409</v>
      </c>
      <c r="AF33" s="42">
        <f>IFERROR(_xlfn.XLOOKUP(AF$7,'Product Tgt'!$B:$B,'Product Tgt'!$G:$G)*G33/G$60,0)</f>
        <v>11955.777472427209</v>
      </c>
      <c r="AG33" s="42">
        <f>IFERROR(_xlfn.XLOOKUP(AG$7,'Product Tgt'!$B:$B,'Product Tgt'!$G:$G)*H33/H$60,0)</f>
        <v>30885.287278062304</v>
      </c>
      <c r="AH33" s="42">
        <f>IFERROR(_xlfn.XLOOKUP(AH$7,'Product Tgt'!$B:$B,'Product Tgt'!$G:$G)*I33/I$60,0)</f>
        <v>134995.19125232991</v>
      </c>
      <c r="AI33" s="42">
        <f>IFERROR(_xlfn.XLOOKUP(AI$7,'Product Tgt'!$B:$B,'Product Tgt'!$G:$G)*J33/J$60,0)</f>
        <v>126932.04146137719</v>
      </c>
      <c r="AJ33" s="42">
        <f>IFERROR(_xlfn.XLOOKUP(AJ$7,'Product Tgt'!$B:$B,'Product Tgt'!$G:$G)*K33/K$60,0)</f>
        <v>54329.33769551244</v>
      </c>
      <c r="AK33" s="42">
        <f>IFERROR(_xlfn.XLOOKUP(AK$7,'Product Tgt'!$B:$B,'Product Tgt'!$G:$G)*L33/L$60,0)</f>
        <v>19816.147546714452</v>
      </c>
      <c r="AL33" s="42">
        <f>IFERROR(_xlfn.XLOOKUP(AL$7,'Product Tgt'!$B:$B,'Product Tgt'!$G:$G)*M33/M$60,0)</f>
        <v>0</v>
      </c>
      <c r="AM33" s="42">
        <f>IFERROR(_xlfn.XLOOKUP(AM$7,'Product Tgt'!$B:$B,'Product Tgt'!$G:$G)*N33/N$60,0)</f>
        <v>3271.0390985954377</v>
      </c>
      <c r="AN33" s="42">
        <f>IFERROR(_xlfn.XLOOKUP(AN$7,'Product Tgt'!$B:$B,'Product Tgt'!$G:$G)*O33/O$60,0)</f>
        <v>15818.766673481419</v>
      </c>
      <c r="AO33" s="42">
        <f>IFERROR(_xlfn.XLOOKUP(AO$7,'Product Tgt'!$B:$B,'Product Tgt'!$G:$G)*P33/P$60,0)</f>
        <v>1930.4144022965436</v>
      </c>
      <c r="AP33" s="42">
        <f>IFERROR(_xlfn.XLOOKUP(AP$7,'Product Tgt'!$B:$B,'Product Tgt'!$G:$G)*Q33/Q$60,0)</f>
        <v>2664.7733584405028</v>
      </c>
      <c r="AQ33" s="42">
        <f>IFERROR(_xlfn.XLOOKUP(AQ$7,'Product Tgt'!$B:$B,'Product Tgt'!$G:$G)*R33/R$60,0)</f>
        <v>2786.4291361954765</v>
      </c>
      <c r="AR33" s="42">
        <f>IFERROR(_xlfn.XLOOKUP(AR$7,'Product Tgt'!$B:$B,'Product Tgt'!$G:$G)*S33/S$60,0)</f>
        <v>13663.779504242997</v>
      </c>
      <c r="AS33" s="42">
        <f>IFERROR(_xlfn.XLOOKUP(AS$7,'Product Tgt'!$B:$B,'Product Tgt'!$G:$G)*T33/T$60,0)</f>
        <v>1835.9053034048052</v>
      </c>
      <c r="AT33" s="42">
        <f>IFERROR(_xlfn.XLOOKUP(AT$7,'Product Tgt'!$B:$B,'Product Tgt'!$G:$G)*U33/U$60,0)</f>
        <v>8873.7537968360521</v>
      </c>
      <c r="AU33" s="42">
        <f>IFERROR(_xlfn.XLOOKUP(AU$7,'Product Tgt'!$B:$B,'Product Tgt'!$G:$G)*V33/V$60,0)</f>
        <v>4599.7754454636797</v>
      </c>
      <c r="AV33" s="42">
        <f>IFERROR(_xlfn.XLOOKUP(AV$7,'Product Tgt'!$B:$B,'Product Tgt'!$G:$G)*W33/W$60,0)</f>
        <v>14425.627476437336</v>
      </c>
      <c r="AW33" s="42">
        <f>IFERROR(_xlfn.XLOOKUP(AW$7,'Product Tgt'!$B:$B,'Product Tgt'!$G:$G)*X33/X$60,0)</f>
        <v>13382.810917473234</v>
      </c>
      <c r="AX33" s="42">
        <f>IFERROR(_xlfn.XLOOKUP(AX$7,'Product Tgt'!$B:$B,'Product Tgt'!$G:$G)*Y33/Y$60,0)</f>
        <v>4265.5080001166189</v>
      </c>
      <c r="AY33" s="42">
        <f>IFERROR(_xlfn.XLOOKUP(AY$7,'Product Tgt'!$B:$B,'Product Tgt'!$G:$G)*Z33/Z$60,0)</f>
        <v>28303.179910616775</v>
      </c>
      <c r="AZ33" s="42">
        <f>IFERROR(_xlfn.XLOOKUP(AZ$7,'Product Tgt'!$B:$B,'Product Tgt'!$G:$G)*AA33/AA$60,0)</f>
        <v>3964.5875777259744</v>
      </c>
      <c r="BA33" s="42">
        <f>IFERROR(_xlfn.XLOOKUP(BA$7,'Product Tgt'!$B:$B,'Product Tgt'!$G:$G)*AB33/AB$60,0)</f>
        <v>11678.793374354804</v>
      </c>
      <c r="BB33" s="42">
        <f>IFERROR(_xlfn.XLOOKUP(BB$7,'Product Tgt'!$B:$B,'Product Tgt'!$G:$G)*AC33/AC$60,0)</f>
        <v>3124.3746849693766</v>
      </c>
      <c r="BC33" s="42">
        <f>IFERROR(_xlfn.XLOOKUP(BC$7,'Product Tgt'!$B:$B,'Product Tgt'!$G:$G)*AD33/AD$60,0)</f>
        <v>3384.1739905967365</v>
      </c>
      <c r="BD33" s="42">
        <f>IFERROR(_xlfn.XLOOKUP(BD$7,'Product Tgt'!$B:$B,'Product Tgt'!$G:$G)*AE33/AE$60,0)</f>
        <v>572.7411002713618</v>
      </c>
      <c r="BE33" s="10">
        <f>ROUND(IFERROR(AF33/_xlfn.XLOOKUP(BE$7,'Product Tgt'!$B:$B,'Product Tgt'!$D:$D),0),0)</f>
        <v>0</v>
      </c>
      <c r="BF33" s="11">
        <f>ROUND(IFERROR(AG33/_xlfn.XLOOKUP(BF$7,'Product Tgt'!$B:$B,'Product Tgt'!$D:$D),0),0)</f>
        <v>0</v>
      </c>
      <c r="BG33" s="11">
        <f>ROUND(IFERROR(AH33/_xlfn.XLOOKUP(BG$7,'Product Tgt'!$B:$B,'Product Tgt'!$D:$D),0),0)</f>
        <v>0</v>
      </c>
      <c r="BH33" s="11">
        <f>ROUND(IFERROR(AI33/_xlfn.XLOOKUP(BH$7,'Product Tgt'!$B:$B,'Product Tgt'!$D:$D),0),0)</f>
        <v>0</v>
      </c>
      <c r="BI33" s="11">
        <f>ROUND(IFERROR(AM33/_xlfn.XLOOKUP(BI$7,'Product Tgt'!$B:$B,'Product Tgt'!$D:$D),0),0)</f>
        <v>0</v>
      </c>
      <c r="BJ33" s="11">
        <f>ROUND(IFERROR(#REF!/_xlfn.XLOOKUP(BJ$7,'Product Tgt'!$B:$B,'Product Tgt'!$D:$D),0),0)</f>
        <v>0</v>
      </c>
      <c r="BK33" s="11">
        <f>ROUND(IFERROR(#REF!/_xlfn.XLOOKUP(BK$7,'Product Tgt'!$B:$B,'Product Tgt'!$D:$D),0),0)</f>
        <v>0</v>
      </c>
      <c r="BL33" s="11">
        <f>ROUND(IFERROR(AN33/_xlfn.XLOOKUP(BL$7,'Product Tgt'!$B:$B,'Product Tgt'!$D:$D),0),0)</f>
        <v>0</v>
      </c>
      <c r="BM33" s="11">
        <f>ROUND(IFERROR(AQ33/_xlfn.XLOOKUP(BM$7,'Product Tgt'!$B:$B,'Product Tgt'!$D:$D),0),0)</f>
        <v>0</v>
      </c>
      <c r="BN33" s="11">
        <f>ROUND(IFERROR(AR33/_xlfn.XLOOKUP(BN$7,'Product Tgt'!$B:$B,'Product Tgt'!$D:$D),0),0)</f>
        <v>0</v>
      </c>
      <c r="BO33" s="11">
        <f>ROUND(IFERROR(AS33/_xlfn.XLOOKUP(BO$7,'Product Tgt'!$B:$B,'Product Tgt'!$D:$D),0),0)</f>
        <v>0</v>
      </c>
      <c r="BP33" s="11">
        <f>ROUND(IFERROR(AT33/_xlfn.XLOOKUP(BP$7,'Product Tgt'!$B:$B,'Product Tgt'!$D:$D),0),0)</f>
        <v>0</v>
      </c>
      <c r="BQ33" s="11">
        <f>ROUND(IFERROR(AU33/_xlfn.XLOOKUP(BQ$7,'Product Tgt'!$B:$B,'Product Tgt'!$D:$D),0),0)</f>
        <v>0</v>
      </c>
      <c r="BR33" s="11">
        <f>ROUND(IFERROR(AV33/_xlfn.XLOOKUP(BR$7,'Product Tgt'!$B:$B,'Product Tgt'!$D:$D),0),0)</f>
        <v>0</v>
      </c>
      <c r="BS33" s="11">
        <f>ROUND(IFERROR(AW33/_xlfn.XLOOKUP(BS$7,'Product Tgt'!$B:$B,'Product Tgt'!$D:$D),0),0)</f>
        <v>0</v>
      </c>
      <c r="BT33" s="11">
        <f>ROUND(IFERROR(AX33/_xlfn.XLOOKUP(BT$7,'Product Tgt'!$B:$B,'Product Tgt'!$D:$D),0),0)</f>
        <v>0</v>
      </c>
      <c r="BU33" s="11">
        <f>ROUND(IFERROR(AY33/_xlfn.XLOOKUP(BU$7,'Product Tgt'!$B:$B,'Product Tgt'!$D:$D),0),0)</f>
        <v>0</v>
      </c>
      <c r="BV33" s="11">
        <f>ROUND(IFERROR(AZ33/_xlfn.XLOOKUP(BV$7,'Product Tgt'!$B:$B,'Product Tgt'!$D:$D),0),0)</f>
        <v>0</v>
      </c>
      <c r="BW33" s="11">
        <f>ROUND(IFERROR(BA33/_xlfn.XLOOKUP(BW$7,'Product Tgt'!$B:$B,'Product Tgt'!$D:$D),0),0)</f>
        <v>0</v>
      </c>
      <c r="BX33" s="11">
        <f>ROUND(IFERROR(BB33/_xlfn.XLOOKUP(BX$7,'Product Tgt'!$B:$B,'Product Tgt'!$D:$D),0),0)</f>
        <v>0</v>
      </c>
      <c r="BY33" s="11">
        <f>ROUND(IFERROR(BC33/_xlfn.XLOOKUP(BY$7,'Product Tgt'!$B:$B,'Product Tgt'!$D:$D),0),0)</f>
        <v>0</v>
      </c>
      <c r="BZ33" s="13">
        <f>ROUND(IFERROR(BD33/_xlfn.XLOOKUP(BZ$7,'Product Tgt'!$B:$B,'Product Tgt'!$D:$D),0),0)</f>
        <v>0</v>
      </c>
    </row>
    <row r="34" spans="1:78" x14ac:dyDescent="0.25">
      <c r="A34" s="4" t="s">
        <v>57</v>
      </c>
      <c r="B34" s="3">
        <f>_xlfn.XLOOKUP(A34,'Terr Target'!$A:$A,'Terr Target'!$E:$E)</f>
        <v>317490.10012954526</v>
      </c>
      <c r="C34" s="3">
        <f t="shared" si="4"/>
        <v>317488.92554684757</v>
      </c>
      <c r="D34" s="5">
        <f t="shared" si="6"/>
        <v>-1.1745826976839453</v>
      </c>
      <c r="E34" s="6">
        <f t="shared" si="7"/>
        <v>3.6996021063122967E-6</v>
      </c>
      <c r="F34" s="6">
        <f t="shared" si="8"/>
        <v>1.0000036996021062</v>
      </c>
      <c r="G34" s="49">
        <v>15472.7942008911</v>
      </c>
      <c r="H34" s="50">
        <v>23998.846642189314</v>
      </c>
      <c r="I34" s="50">
        <v>69716.542856779764</v>
      </c>
      <c r="J34" s="50">
        <v>66966.359706535877</v>
      </c>
      <c r="K34" s="50">
        <v>11142.436691351044</v>
      </c>
      <c r="L34" s="50">
        <v>8547.5529328538232</v>
      </c>
      <c r="M34" s="50">
        <v>0</v>
      </c>
      <c r="N34" s="50">
        <v>1643.7308690694845</v>
      </c>
      <c r="O34" s="50">
        <v>4889.6852782837532</v>
      </c>
      <c r="P34" s="50">
        <v>1551.1954358951273</v>
      </c>
      <c r="Q34" s="50">
        <v>1959.1865688972105</v>
      </c>
      <c r="R34" s="50">
        <v>1531.6763223420426</v>
      </c>
      <c r="S34" s="50">
        <v>5451.0350686813099</v>
      </c>
      <c r="T34" s="50">
        <v>2140.8941730980487</v>
      </c>
      <c r="U34" s="50">
        <v>7389.7270763934221</v>
      </c>
      <c r="V34" s="50">
        <v>2952.9746485741653</v>
      </c>
      <c r="W34" s="50">
        <v>7138.9557476635291</v>
      </c>
      <c r="X34" s="50">
        <v>7885.0918988504636</v>
      </c>
      <c r="Y34" s="50">
        <v>6213.6115768327891</v>
      </c>
      <c r="Z34" s="50">
        <v>46264.851209759661</v>
      </c>
      <c r="AA34" s="50">
        <v>4458.2224366363671</v>
      </c>
      <c r="AB34" s="50">
        <v>20768.915992513412</v>
      </c>
      <c r="AC34" s="50">
        <v>1761.5167753627527</v>
      </c>
      <c r="AD34" s="50">
        <v>1907.9911522330392</v>
      </c>
      <c r="AE34" s="51">
        <v>322.91039257271842</v>
      </c>
      <c r="AF34" s="42">
        <f>IFERROR(_xlfn.XLOOKUP(AF$7,'Product Tgt'!$B:$B,'Product Tgt'!$G:$G)*G34/G$60,0)</f>
        <v>15587.036556586239</v>
      </c>
      <c r="AG34" s="42">
        <f>IFERROR(_xlfn.XLOOKUP(AG$7,'Product Tgt'!$B:$B,'Product Tgt'!$G:$G)*H34/H$60,0)</f>
        <v>24571.149702376799</v>
      </c>
      <c r="AH34" s="42">
        <f>IFERROR(_xlfn.XLOOKUP(AH$7,'Product Tgt'!$B:$B,'Product Tgt'!$G:$G)*I34/I$60,0)</f>
        <v>69622.979452657091</v>
      </c>
      <c r="AI34" s="42">
        <f>IFERROR(_xlfn.XLOOKUP(AI$7,'Product Tgt'!$B:$B,'Product Tgt'!$G:$G)*J34/J$60,0)</f>
        <v>66678.101067093507</v>
      </c>
      <c r="AJ34" s="42">
        <f>IFERROR(_xlfn.XLOOKUP(AJ$7,'Product Tgt'!$B:$B,'Product Tgt'!$G:$G)*K34/K$60,0)</f>
        <v>10959.566666564671</v>
      </c>
      <c r="AK34" s="42">
        <f>IFERROR(_xlfn.XLOOKUP(AK$7,'Product Tgt'!$B:$B,'Product Tgt'!$G:$G)*L34/L$60,0)</f>
        <v>8796.9389870523883</v>
      </c>
      <c r="AL34" s="42">
        <f>IFERROR(_xlfn.XLOOKUP(AL$7,'Product Tgt'!$B:$B,'Product Tgt'!$G:$G)*M34/M$60,0)</f>
        <v>0</v>
      </c>
      <c r="AM34" s="42">
        <f>IFERROR(_xlfn.XLOOKUP(AM$7,'Product Tgt'!$B:$B,'Product Tgt'!$G:$G)*N34/N$60,0)</f>
        <v>1632.7629630804797</v>
      </c>
      <c r="AN34" s="42">
        <f>IFERROR(_xlfn.XLOOKUP(AN$7,'Product Tgt'!$B:$B,'Product Tgt'!$G:$G)*O34/O$60,0)</f>
        <v>5332.7960529167667</v>
      </c>
      <c r="AO34" s="42">
        <f>IFERROR(_xlfn.XLOOKUP(AO$7,'Product Tgt'!$B:$B,'Product Tgt'!$G:$G)*P34/P$60,0)</f>
        <v>1487.319465344289</v>
      </c>
      <c r="AP34" s="42">
        <f>IFERROR(_xlfn.XLOOKUP(AP$7,'Product Tgt'!$B:$B,'Product Tgt'!$G:$G)*Q34/Q$60,0)</f>
        <v>1489.2754696073157</v>
      </c>
      <c r="AQ34" s="42">
        <f>IFERROR(_xlfn.XLOOKUP(AQ$7,'Product Tgt'!$B:$B,'Product Tgt'!$G:$G)*R34/R$60,0)</f>
        <v>1278.0284584451633</v>
      </c>
      <c r="AR34" s="42">
        <f>IFERROR(_xlfn.XLOOKUP(AR$7,'Product Tgt'!$B:$B,'Product Tgt'!$G:$G)*S34/S$60,0)</f>
        <v>5279.0043065392083</v>
      </c>
      <c r="AS34" s="42">
        <f>IFERROR(_xlfn.XLOOKUP(AS$7,'Product Tgt'!$B:$B,'Product Tgt'!$G:$G)*T34/T$60,0)</f>
        <v>1943.4328037775017</v>
      </c>
      <c r="AT34" s="42">
        <f>IFERROR(_xlfn.XLOOKUP(AT$7,'Product Tgt'!$B:$B,'Product Tgt'!$G:$G)*U34/U$60,0)</f>
        <v>6310.0173044347066</v>
      </c>
      <c r="AU34" s="42">
        <f>IFERROR(_xlfn.XLOOKUP(AU$7,'Product Tgt'!$B:$B,'Product Tgt'!$G:$G)*V34/V$60,0)</f>
        <v>3111.6591647539476</v>
      </c>
      <c r="AV34" s="42">
        <f>IFERROR(_xlfn.XLOOKUP(AV$7,'Product Tgt'!$B:$B,'Product Tgt'!$G:$G)*W34/W$60,0)</f>
        <v>6881.5212833005626</v>
      </c>
      <c r="AW34" s="42">
        <f>IFERROR(_xlfn.XLOOKUP(AW$7,'Product Tgt'!$B:$B,'Product Tgt'!$G:$G)*X34/X$60,0)</f>
        <v>8134.1711470236305</v>
      </c>
      <c r="AX34" s="42">
        <f>IFERROR(_xlfn.XLOOKUP(AX$7,'Product Tgt'!$B:$B,'Product Tgt'!$G:$G)*Y34/Y$60,0)</f>
        <v>5979.7996290200908</v>
      </c>
      <c r="AY34" s="42">
        <f>IFERROR(_xlfn.XLOOKUP(AY$7,'Product Tgt'!$B:$B,'Product Tgt'!$G:$G)*Z34/Z$60,0)</f>
        <v>44558.261586380089</v>
      </c>
      <c r="AZ34" s="42">
        <f>IFERROR(_xlfn.XLOOKUP(AZ$7,'Product Tgt'!$B:$B,'Product Tgt'!$G:$G)*AA34/AA$60,0)</f>
        <v>4455.8199448860423</v>
      </c>
      <c r="BA34" s="42">
        <f>IFERROR(_xlfn.XLOOKUP(BA$7,'Product Tgt'!$B:$B,'Product Tgt'!$G:$G)*AB34/AB$60,0)</f>
        <v>19399.475913698243</v>
      </c>
      <c r="BB34" s="42">
        <f>IFERROR(_xlfn.XLOOKUP(BB$7,'Product Tgt'!$B:$B,'Product Tgt'!$G:$G)*AC34/AC$60,0)</f>
        <v>1764.7770494305385</v>
      </c>
      <c r="BC34" s="42">
        <f>IFERROR(_xlfn.XLOOKUP(BC$7,'Product Tgt'!$B:$B,'Product Tgt'!$G:$G)*AD34/AD$60,0)</f>
        <v>1911.5225259685576</v>
      </c>
      <c r="BD34" s="42">
        <f>IFERROR(_xlfn.XLOOKUP(BD$7,'Product Tgt'!$B:$B,'Product Tgt'!$G:$G)*AE34/AE$60,0)</f>
        <v>323.50804590980141</v>
      </c>
      <c r="BE34" s="10">
        <f>ROUND(IFERROR(AF34/_xlfn.XLOOKUP(BE$7,'Product Tgt'!$B:$B,'Product Tgt'!$D:$D),0),0)</f>
        <v>0</v>
      </c>
      <c r="BF34" s="11">
        <f>ROUND(IFERROR(AG34/_xlfn.XLOOKUP(BF$7,'Product Tgt'!$B:$B,'Product Tgt'!$D:$D),0),0)</f>
        <v>0</v>
      </c>
      <c r="BG34" s="11">
        <f>ROUND(IFERROR(AH34/_xlfn.XLOOKUP(BG$7,'Product Tgt'!$B:$B,'Product Tgt'!$D:$D),0),0)</f>
        <v>0</v>
      </c>
      <c r="BH34" s="11">
        <f>ROUND(IFERROR(AI34/_xlfn.XLOOKUP(BH$7,'Product Tgt'!$B:$B,'Product Tgt'!$D:$D),0),0)</f>
        <v>0</v>
      </c>
      <c r="BI34" s="11">
        <f>ROUND(IFERROR(AM34/_xlfn.XLOOKUP(BI$7,'Product Tgt'!$B:$B,'Product Tgt'!$D:$D),0),0)</f>
        <v>0</v>
      </c>
      <c r="BJ34" s="11">
        <f>ROUND(IFERROR(#REF!/_xlfn.XLOOKUP(BJ$7,'Product Tgt'!$B:$B,'Product Tgt'!$D:$D),0),0)</f>
        <v>0</v>
      </c>
      <c r="BK34" s="11">
        <f>ROUND(IFERROR(#REF!/_xlfn.XLOOKUP(BK$7,'Product Tgt'!$B:$B,'Product Tgt'!$D:$D),0),0)</f>
        <v>0</v>
      </c>
      <c r="BL34" s="11">
        <f>ROUND(IFERROR(AN34/_xlfn.XLOOKUP(BL$7,'Product Tgt'!$B:$B,'Product Tgt'!$D:$D),0),0)</f>
        <v>0</v>
      </c>
      <c r="BM34" s="11">
        <f>ROUND(IFERROR(AQ34/_xlfn.XLOOKUP(BM$7,'Product Tgt'!$B:$B,'Product Tgt'!$D:$D),0),0)</f>
        <v>0</v>
      </c>
      <c r="BN34" s="11">
        <f>ROUND(IFERROR(AR34/_xlfn.XLOOKUP(BN$7,'Product Tgt'!$B:$B,'Product Tgt'!$D:$D),0),0)</f>
        <v>0</v>
      </c>
      <c r="BO34" s="11">
        <f>ROUND(IFERROR(AS34/_xlfn.XLOOKUP(BO$7,'Product Tgt'!$B:$B,'Product Tgt'!$D:$D),0),0)</f>
        <v>0</v>
      </c>
      <c r="BP34" s="11">
        <f>ROUND(IFERROR(AT34/_xlfn.XLOOKUP(BP$7,'Product Tgt'!$B:$B,'Product Tgt'!$D:$D),0),0)</f>
        <v>0</v>
      </c>
      <c r="BQ34" s="11">
        <f>ROUND(IFERROR(AU34/_xlfn.XLOOKUP(BQ$7,'Product Tgt'!$B:$B,'Product Tgt'!$D:$D),0),0)</f>
        <v>0</v>
      </c>
      <c r="BR34" s="11">
        <f>ROUND(IFERROR(AV34/_xlfn.XLOOKUP(BR$7,'Product Tgt'!$B:$B,'Product Tgt'!$D:$D),0),0)</f>
        <v>0</v>
      </c>
      <c r="BS34" s="11">
        <f>ROUND(IFERROR(AW34/_xlfn.XLOOKUP(BS$7,'Product Tgt'!$B:$B,'Product Tgt'!$D:$D),0),0)</f>
        <v>0</v>
      </c>
      <c r="BT34" s="11">
        <f>ROUND(IFERROR(AX34/_xlfn.XLOOKUP(BT$7,'Product Tgt'!$B:$B,'Product Tgt'!$D:$D),0),0)</f>
        <v>0</v>
      </c>
      <c r="BU34" s="11">
        <f>ROUND(IFERROR(AY34/_xlfn.XLOOKUP(BU$7,'Product Tgt'!$B:$B,'Product Tgt'!$D:$D),0),0)</f>
        <v>0</v>
      </c>
      <c r="BV34" s="11">
        <f>ROUND(IFERROR(AZ34/_xlfn.XLOOKUP(BV$7,'Product Tgt'!$B:$B,'Product Tgt'!$D:$D),0),0)</f>
        <v>0</v>
      </c>
      <c r="BW34" s="11">
        <f>ROUND(IFERROR(BA34/_xlfn.XLOOKUP(BW$7,'Product Tgt'!$B:$B,'Product Tgt'!$D:$D),0),0)</f>
        <v>0</v>
      </c>
      <c r="BX34" s="11">
        <f>ROUND(IFERROR(BB34/_xlfn.XLOOKUP(BX$7,'Product Tgt'!$B:$B,'Product Tgt'!$D:$D),0),0)</f>
        <v>0</v>
      </c>
      <c r="BY34" s="11">
        <f>ROUND(IFERROR(BC34/_xlfn.XLOOKUP(BY$7,'Product Tgt'!$B:$B,'Product Tgt'!$D:$D),0),0)</f>
        <v>0</v>
      </c>
      <c r="BZ34" s="13">
        <f>ROUND(IFERROR(BD34/_xlfn.XLOOKUP(BZ$7,'Product Tgt'!$B:$B,'Product Tgt'!$D:$D),0),0)</f>
        <v>0</v>
      </c>
    </row>
    <row r="35" spans="1:78" x14ac:dyDescent="0.25">
      <c r="A35" s="4" t="s">
        <v>58</v>
      </c>
      <c r="B35" s="3">
        <f>_xlfn.XLOOKUP(A35,'Terr Target'!$A:$A,'Terr Target'!$E:$E)</f>
        <v>255506.65306615073</v>
      </c>
      <c r="C35" s="3">
        <f t="shared" si="4"/>
        <v>255506.53750575241</v>
      </c>
      <c r="D35" s="5">
        <f t="shared" si="6"/>
        <v>-0.11556039832066745</v>
      </c>
      <c r="E35" s="6">
        <f t="shared" si="7"/>
        <v>4.5227961463829767E-7</v>
      </c>
      <c r="F35" s="6">
        <f t="shared" si="8"/>
        <v>1.0000004522796146</v>
      </c>
      <c r="G35" s="49">
        <v>5794.9617924129652</v>
      </c>
      <c r="H35" s="50">
        <v>8068.1586347633447</v>
      </c>
      <c r="I35" s="50">
        <v>37109.29559308046</v>
      </c>
      <c r="J35" s="50">
        <v>49862.735261517308</v>
      </c>
      <c r="K35" s="50">
        <v>12968.27167436512</v>
      </c>
      <c r="L35" s="50">
        <v>5566.4387773214976</v>
      </c>
      <c r="M35" s="50">
        <v>0</v>
      </c>
      <c r="N35" s="50">
        <v>4618.05428408445</v>
      </c>
      <c r="O35" s="50">
        <v>4114.6924986142303</v>
      </c>
      <c r="P35" s="50">
        <v>2993.9570738327134</v>
      </c>
      <c r="Q35" s="50">
        <v>1174.3710266892379</v>
      </c>
      <c r="R35" s="50">
        <v>1401.3062442191094</v>
      </c>
      <c r="S35" s="50">
        <v>15696.786943262232</v>
      </c>
      <c r="T35" s="50">
        <v>5718.228229750719</v>
      </c>
      <c r="U35" s="50">
        <v>13667.791368655548</v>
      </c>
      <c r="V35" s="50">
        <v>3586.085730529468</v>
      </c>
      <c r="W35" s="50">
        <v>7730.2673247373496</v>
      </c>
      <c r="X35" s="50">
        <v>11744.529131043641</v>
      </c>
      <c r="Y35" s="50">
        <v>5088.0922930575416</v>
      </c>
      <c r="Z35" s="50">
        <v>34574.142111511443</v>
      </c>
      <c r="AA35" s="50">
        <v>3398.4360199638436</v>
      </c>
      <c r="AB35" s="50">
        <v>16959.91485502982</v>
      </c>
      <c r="AC35" s="50">
        <v>4124.9746314760223</v>
      </c>
      <c r="AD35" s="50">
        <v>4467.9762407719463</v>
      </c>
      <c r="AE35" s="51">
        <v>756.16491209862352</v>
      </c>
      <c r="AF35" s="42">
        <f>IFERROR(_xlfn.XLOOKUP(AF$7,'Product Tgt'!$B:$B,'Product Tgt'!$G:$G)*G35/G$60,0)</f>
        <v>5837.7485106833128</v>
      </c>
      <c r="AG35" s="42">
        <f>IFERROR(_xlfn.XLOOKUP(AG$7,'Product Tgt'!$B:$B,'Product Tgt'!$G:$G)*H35/H$60,0)</f>
        <v>8260.5608758208728</v>
      </c>
      <c r="AH35" s="42">
        <f>IFERROR(_xlfn.XLOOKUP(AH$7,'Product Tgt'!$B:$B,'Product Tgt'!$G:$G)*I35/I$60,0)</f>
        <v>37059.49289377829</v>
      </c>
      <c r="AI35" s="42">
        <f>IFERROR(_xlfn.XLOOKUP(AI$7,'Product Tgt'!$B:$B,'Product Tgt'!$G:$G)*J35/J$60,0)</f>
        <v>49648.099670030068</v>
      </c>
      <c r="AJ35" s="42">
        <f>IFERROR(_xlfn.XLOOKUP(AJ$7,'Product Tgt'!$B:$B,'Product Tgt'!$G:$G)*K35/K$60,0)</f>
        <v>12755.435987861436</v>
      </c>
      <c r="AK35" s="42">
        <f>IFERROR(_xlfn.XLOOKUP(AK$7,'Product Tgt'!$B:$B,'Product Tgt'!$G:$G)*L35/L$60,0)</f>
        <v>5728.8469207420967</v>
      </c>
      <c r="AL35" s="42">
        <f>IFERROR(_xlfn.XLOOKUP(AL$7,'Product Tgt'!$B:$B,'Product Tgt'!$G:$G)*M35/M$60,0)</f>
        <v>0</v>
      </c>
      <c r="AM35" s="42">
        <f>IFERROR(_xlfn.XLOOKUP(AM$7,'Product Tgt'!$B:$B,'Product Tgt'!$G:$G)*N35/N$60,0)</f>
        <v>4587.2400028702559</v>
      </c>
      <c r="AN35" s="42">
        <f>IFERROR(_xlfn.XLOOKUP(AN$7,'Product Tgt'!$B:$B,'Product Tgt'!$G:$G)*O35/O$60,0)</f>
        <v>4487.5722396755109</v>
      </c>
      <c r="AO35" s="42">
        <f>IFERROR(_xlfn.XLOOKUP(AO$7,'Product Tgt'!$B:$B,'Product Tgt'!$G:$G)*P35/P$60,0)</f>
        <v>2870.6702787241043</v>
      </c>
      <c r="AP35" s="42">
        <f>IFERROR(_xlfn.XLOOKUP(AP$7,'Product Tgt'!$B:$B,'Product Tgt'!$G:$G)*Q35/Q$60,0)</f>
        <v>892.69801561078395</v>
      </c>
      <c r="AQ35" s="42">
        <f>IFERROR(_xlfn.XLOOKUP(AQ$7,'Product Tgt'!$B:$B,'Product Tgt'!$G:$G)*R35/R$60,0)</f>
        <v>1169.2478580399425</v>
      </c>
      <c r="AR35" s="42">
        <f>IFERROR(_xlfn.XLOOKUP(AR$7,'Product Tgt'!$B:$B,'Product Tgt'!$G:$G)*S35/S$60,0)</f>
        <v>15201.40759108264</v>
      </c>
      <c r="AS35" s="42">
        <f>IFERROR(_xlfn.XLOOKUP(AS$7,'Product Tgt'!$B:$B,'Product Tgt'!$G:$G)*T35/T$60,0)</f>
        <v>5190.8181454399928</v>
      </c>
      <c r="AT35" s="42">
        <f>IFERROR(_xlfn.XLOOKUP(AT$7,'Product Tgt'!$B:$B,'Product Tgt'!$G:$G)*U35/U$60,0)</f>
        <v>11670.796385042067</v>
      </c>
      <c r="AU35" s="42">
        <f>IFERROR(_xlfn.XLOOKUP(AU$7,'Product Tgt'!$B:$B,'Product Tgt'!$G:$G)*V35/V$60,0)</f>
        <v>3778.7918478688284</v>
      </c>
      <c r="AV35" s="42">
        <f>IFERROR(_xlfn.XLOOKUP(AV$7,'Product Tgt'!$B:$B,'Product Tgt'!$G:$G)*W35/W$60,0)</f>
        <v>7451.5098567732684</v>
      </c>
      <c r="AW35" s="42">
        <f>IFERROR(_xlfn.XLOOKUP(AW$7,'Product Tgt'!$B:$B,'Product Tgt'!$G:$G)*X35/X$60,0)</f>
        <v>12115.522712809592</v>
      </c>
      <c r="AX35" s="42">
        <f>IFERROR(_xlfn.XLOOKUP(AX$7,'Product Tgt'!$B:$B,'Product Tgt'!$G:$G)*Y35/Y$60,0)</f>
        <v>4896.6325027278481</v>
      </c>
      <c r="AY35" s="42">
        <f>IFERROR(_xlfn.XLOOKUP(AY$7,'Product Tgt'!$B:$B,'Product Tgt'!$G:$G)*Z35/Z$60,0)</f>
        <v>33298.792237430163</v>
      </c>
      <c r="AZ35" s="42">
        <f>IFERROR(_xlfn.XLOOKUP(AZ$7,'Product Tgt'!$B:$B,'Product Tgt'!$G:$G)*AA35/AA$60,0)</f>
        <v>3396.6046365777488</v>
      </c>
      <c r="BA35" s="42">
        <f>IFERROR(_xlfn.XLOOKUP(BA$7,'Product Tgt'!$B:$B,'Product Tgt'!$G:$G)*AB35/AB$60,0)</f>
        <v>15841.628896140934</v>
      </c>
      <c r="BB35" s="42">
        <f>IFERROR(_xlfn.XLOOKUP(BB$7,'Product Tgt'!$B:$B,'Product Tgt'!$G:$G)*AC35/AC$60,0)</f>
        <v>4132.6092722636513</v>
      </c>
      <c r="BC35" s="42">
        <f>IFERROR(_xlfn.XLOOKUP(BC$7,'Product Tgt'!$B:$B,'Product Tgt'!$G:$G)*AD35/AD$60,0)</f>
        <v>4476.2457203914491</v>
      </c>
      <c r="BD35" s="42">
        <f>IFERROR(_xlfn.XLOOKUP(BD$7,'Product Tgt'!$B:$B,'Product Tgt'!$G:$G)*AE35/AE$60,0)</f>
        <v>757.56444736752644</v>
      </c>
      <c r="BE35" s="10">
        <f>ROUND(IFERROR(AF35/_xlfn.XLOOKUP(BE$7,'Product Tgt'!$B:$B,'Product Tgt'!$D:$D),0),0)</f>
        <v>0</v>
      </c>
      <c r="BF35" s="11">
        <f>ROUND(IFERROR(AG35/_xlfn.XLOOKUP(BF$7,'Product Tgt'!$B:$B,'Product Tgt'!$D:$D),0),0)</f>
        <v>0</v>
      </c>
      <c r="BG35" s="11">
        <f>ROUND(IFERROR(AH35/_xlfn.XLOOKUP(BG$7,'Product Tgt'!$B:$B,'Product Tgt'!$D:$D),0),0)</f>
        <v>0</v>
      </c>
      <c r="BH35" s="11">
        <f>ROUND(IFERROR(AI35/_xlfn.XLOOKUP(BH$7,'Product Tgt'!$B:$B,'Product Tgt'!$D:$D),0),0)</f>
        <v>0</v>
      </c>
      <c r="BI35" s="11">
        <f>ROUND(IFERROR(AM35/_xlfn.XLOOKUP(BI$7,'Product Tgt'!$B:$B,'Product Tgt'!$D:$D),0),0)</f>
        <v>0</v>
      </c>
      <c r="BJ35" s="11">
        <f>ROUND(IFERROR(#REF!/_xlfn.XLOOKUP(BJ$7,'Product Tgt'!$B:$B,'Product Tgt'!$D:$D),0),0)</f>
        <v>0</v>
      </c>
      <c r="BK35" s="11">
        <f>ROUND(IFERROR(#REF!/_xlfn.XLOOKUP(BK$7,'Product Tgt'!$B:$B,'Product Tgt'!$D:$D),0),0)</f>
        <v>0</v>
      </c>
      <c r="BL35" s="11">
        <f>ROUND(IFERROR(AN35/_xlfn.XLOOKUP(BL$7,'Product Tgt'!$B:$B,'Product Tgt'!$D:$D),0),0)</f>
        <v>0</v>
      </c>
      <c r="BM35" s="11">
        <f>ROUND(IFERROR(AQ35/_xlfn.XLOOKUP(BM$7,'Product Tgt'!$B:$B,'Product Tgt'!$D:$D),0),0)</f>
        <v>0</v>
      </c>
      <c r="BN35" s="11">
        <f>ROUND(IFERROR(AR35/_xlfn.XLOOKUP(BN$7,'Product Tgt'!$B:$B,'Product Tgt'!$D:$D),0),0)</f>
        <v>0</v>
      </c>
      <c r="BO35" s="11">
        <f>ROUND(IFERROR(AS35/_xlfn.XLOOKUP(BO$7,'Product Tgt'!$B:$B,'Product Tgt'!$D:$D),0),0)</f>
        <v>0</v>
      </c>
      <c r="BP35" s="11">
        <f>ROUND(IFERROR(AT35/_xlfn.XLOOKUP(BP$7,'Product Tgt'!$B:$B,'Product Tgt'!$D:$D),0),0)</f>
        <v>0</v>
      </c>
      <c r="BQ35" s="11">
        <f>ROUND(IFERROR(AU35/_xlfn.XLOOKUP(BQ$7,'Product Tgt'!$B:$B,'Product Tgt'!$D:$D),0),0)</f>
        <v>0</v>
      </c>
      <c r="BR35" s="11">
        <f>ROUND(IFERROR(AV35/_xlfn.XLOOKUP(BR$7,'Product Tgt'!$B:$B,'Product Tgt'!$D:$D),0),0)</f>
        <v>0</v>
      </c>
      <c r="BS35" s="11">
        <f>ROUND(IFERROR(AW35/_xlfn.XLOOKUP(BS$7,'Product Tgt'!$B:$B,'Product Tgt'!$D:$D),0),0)</f>
        <v>0</v>
      </c>
      <c r="BT35" s="11">
        <f>ROUND(IFERROR(AX35/_xlfn.XLOOKUP(BT$7,'Product Tgt'!$B:$B,'Product Tgt'!$D:$D),0),0)</f>
        <v>0</v>
      </c>
      <c r="BU35" s="11">
        <f>ROUND(IFERROR(AY35/_xlfn.XLOOKUP(BU$7,'Product Tgt'!$B:$B,'Product Tgt'!$D:$D),0),0)</f>
        <v>0</v>
      </c>
      <c r="BV35" s="11">
        <f>ROUND(IFERROR(AZ35/_xlfn.XLOOKUP(BV$7,'Product Tgt'!$B:$B,'Product Tgt'!$D:$D),0),0)</f>
        <v>0</v>
      </c>
      <c r="BW35" s="11">
        <f>ROUND(IFERROR(BA35/_xlfn.XLOOKUP(BW$7,'Product Tgt'!$B:$B,'Product Tgt'!$D:$D),0),0)</f>
        <v>0</v>
      </c>
      <c r="BX35" s="11">
        <f>ROUND(IFERROR(BB35/_xlfn.XLOOKUP(BX$7,'Product Tgt'!$B:$B,'Product Tgt'!$D:$D),0),0)</f>
        <v>0</v>
      </c>
      <c r="BY35" s="11">
        <f>ROUND(IFERROR(BC35/_xlfn.XLOOKUP(BY$7,'Product Tgt'!$B:$B,'Product Tgt'!$D:$D),0),0)</f>
        <v>0</v>
      </c>
      <c r="BZ35" s="13">
        <f>ROUND(IFERROR(BD35/_xlfn.XLOOKUP(BZ$7,'Product Tgt'!$B:$B,'Product Tgt'!$D:$D),0),0)</f>
        <v>0</v>
      </c>
    </row>
    <row r="36" spans="1:78" x14ac:dyDescent="0.25">
      <c r="A36" s="4" t="s">
        <v>181</v>
      </c>
      <c r="B36" s="3">
        <f>_xlfn.XLOOKUP(A36,'Terr Target'!$A:$A,'Terr Target'!$E:$E)</f>
        <v>332983.18192519946</v>
      </c>
      <c r="C36" s="3">
        <f t="shared" si="4"/>
        <v>332984.71000631509</v>
      </c>
      <c r="D36" s="5">
        <f t="shared" si="6"/>
        <v>1.5280811156262644</v>
      </c>
      <c r="E36" s="6">
        <f t="shared" si="7"/>
        <v>4.5890428890782528E-6</v>
      </c>
      <c r="F36" s="6">
        <f t="shared" si="8"/>
        <v>0.99999541095711098</v>
      </c>
      <c r="G36" s="49">
        <v>8061.4239472642248</v>
      </c>
      <c r="H36" s="50">
        <v>8202.6097453690745</v>
      </c>
      <c r="I36" s="50">
        <v>78312.635670890668</v>
      </c>
      <c r="J36" s="50">
        <v>81001.241936778955</v>
      </c>
      <c r="K36" s="50">
        <v>3869.9459863263023</v>
      </c>
      <c r="L36" s="50">
        <v>3315.4967723620452</v>
      </c>
      <c r="M36" s="50">
        <v>0</v>
      </c>
      <c r="N36" s="50">
        <v>1873.5827338757781</v>
      </c>
      <c r="O36" s="50">
        <v>7825.7832771264184</v>
      </c>
      <c r="P36" s="50">
        <v>789.7359364187929</v>
      </c>
      <c r="Q36" s="50">
        <v>0</v>
      </c>
      <c r="R36" s="50">
        <v>3454.4310699260855</v>
      </c>
      <c r="S36" s="50">
        <v>24773.820867681323</v>
      </c>
      <c r="T36" s="50">
        <v>15513.01570001234</v>
      </c>
      <c r="U36" s="50">
        <v>18515.927508645455</v>
      </c>
      <c r="V36" s="50">
        <v>2762.1290652077832</v>
      </c>
      <c r="W36" s="50">
        <v>19936.496535454451</v>
      </c>
      <c r="X36" s="50">
        <v>22593.267173608499</v>
      </c>
      <c r="Y36" s="50">
        <v>1690.6901004254721</v>
      </c>
      <c r="Z36" s="50">
        <v>13935.972301557198</v>
      </c>
      <c r="AA36" s="50">
        <v>1348.2752125008506</v>
      </c>
      <c r="AB36" s="50">
        <v>5283.9964766350531</v>
      </c>
      <c r="AC36" s="50">
        <v>6913.9254804907223</v>
      </c>
      <c r="AD36" s="50">
        <v>7488.8350928467698</v>
      </c>
      <c r="AE36" s="51">
        <v>1267.4181832097627</v>
      </c>
      <c r="AF36" s="42">
        <f>IFERROR(_xlfn.XLOOKUP(AF$7,'Product Tgt'!$B:$B,'Product Tgt'!$G:$G)*G36/G$60,0)</f>
        <v>8120.9449394027779</v>
      </c>
      <c r="AG36" s="42">
        <f>IFERROR(_xlfn.XLOOKUP(AG$7,'Product Tgt'!$B:$B,'Product Tgt'!$G:$G)*H36/H$60,0)</f>
        <v>8398.2182564275117</v>
      </c>
      <c r="AH36" s="42">
        <f>IFERROR(_xlfn.XLOOKUP(AH$7,'Product Tgt'!$B:$B,'Product Tgt'!$G:$G)*I36/I$60,0)</f>
        <v>78207.535841224148</v>
      </c>
      <c r="AI36" s="42">
        <f>IFERROR(_xlfn.XLOOKUP(AI$7,'Product Tgt'!$B:$B,'Product Tgt'!$G:$G)*J36/J$60,0)</f>
        <v>80652.569739332946</v>
      </c>
      <c r="AJ36" s="42">
        <f>IFERROR(_xlfn.XLOOKUP(AJ$7,'Product Tgt'!$B:$B,'Product Tgt'!$G:$G)*K36/K$60,0)</f>
        <v>3806.4323099155818</v>
      </c>
      <c r="AK36" s="42">
        <f>IFERROR(_xlfn.XLOOKUP(AK$7,'Product Tgt'!$B:$B,'Product Tgt'!$G:$G)*L36/L$60,0)</f>
        <v>3412.2307340306957</v>
      </c>
      <c r="AL36" s="42">
        <f>IFERROR(_xlfn.XLOOKUP(AL$7,'Product Tgt'!$B:$B,'Product Tgt'!$G:$G)*M36/M$60,0)</f>
        <v>0</v>
      </c>
      <c r="AM36" s="42">
        <f>IFERROR(_xlfn.XLOOKUP(AM$7,'Product Tgt'!$B:$B,'Product Tgt'!$G:$G)*N36/N$60,0)</f>
        <v>1861.0811256901236</v>
      </c>
      <c r="AN36" s="42">
        <f>IFERROR(_xlfn.XLOOKUP(AN$7,'Product Tgt'!$B:$B,'Product Tgt'!$G:$G)*O36/O$60,0)</f>
        <v>8534.967752748682</v>
      </c>
      <c r="AO36" s="42">
        <f>IFERROR(_xlfn.XLOOKUP(AO$7,'Product Tgt'!$B:$B,'Product Tgt'!$G:$G)*P36/P$60,0)</f>
        <v>757.21575988248446</v>
      </c>
      <c r="AP36" s="42">
        <f>IFERROR(_xlfn.XLOOKUP(AP$7,'Product Tgt'!$B:$B,'Product Tgt'!$G:$G)*Q36/Q$60,0)</f>
        <v>0</v>
      </c>
      <c r="AQ36" s="42">
        <f>IFERROR(_xlfn.XLOOKUP(AQ$7,'Product Tgt'!$B:$B,'Product Tgt'!$G:$G)*R36/R$60,0)</f>
        <v>2882.3721766176241</v>
      </c>
      <c r="AR36" s="42">
        <f>IFERROR(_xlfn.XLOOKUP(AR$7,'Product Tgt'!$B:$B,'Product Tgt'!$G:$G)*S36/S$60,0)</f>
        <v>23991.976826808161</v>
      </c>
      <c r="AS36" s="42">
        <f>IFERROR(_xlfn.XLOOKUP(AS$7,'Product Tgt'!$B:$B,'Product Tgt'!$G:$G)*T36/T$60,0)</f>
        <v>14082.201715413163</v>
      </c>
      <c r="AT36" s="42">
        <f>IFERROR(_xlfn.XLOOKUP(AT$7,'Product Tgt'!$B:$B,'Product Tgt'!$G:$G)*U36/U$60,0)</f>
        <v>15810.573486596679</v>
      </c>
      <c r="AU36" s="42">
        <f>IFERROR(_xlfn.XLOOKUP(AU$7,'Product Tgt'!$B:$B,'Product Tgt'!$G:$G)*V36/V$60,0)</f>
        <v>2910.5580788297752</v>
      </c>
      <c r="AV36" s="42">
        <f>IFERROR(_xlfn.XLOOKUP(AV$7,'Product Tgt'!$B:$B,'Product Tgt'!$G:$G)*W36/W$60,0)</f>
        <v>19217.576081498897</v>
      </c>
      <c r="AW36" s="42">
        <f>IFERROR(_xlfn.XLOOKUP(AW$7,'Product Tgt'!$B:$B,'Product Tgt'!$G:$G)*X36/X$60,0)</f>
        <v>23306.957524154488</v>
      </c>
      <c r="AX36" s="42">
        <f>IFERROR(_xlfn.XLOOKUP(AX$7,'Product Tgt'!$B:$B,'Product Tgt'!$G:$G)*Y36/Y$60,0)</f>
        <v>1627.0711341222034</v>
      </c>
      <c r="AY36" s="42">
        <f>IFERROR(_xlfn.XLOOKUP(AY$7,'Product Tgt'!$B:$B,'Product Tgt'!$G:$G)*Z36/Z$60,0)</f>
        <v>13421.910652169994</v>
      </c>
      <c r="AZ36" s="42">
        <f>IFERROR(_xlfn.XLOOKUP(AZ$7,'Product Tgt'!$B:$B,'Product Tgt'!$G:$G)*AA36/AA$60,0)</f>
        <v>1347.5486403925183</v>
      </c>
      <c r="BA36" s="42">
        <f>IFERROR(_xlfn.XLOOKUP(BA$7,'Product Tgt'!$B:$B,'Product Tgt'!$G:$G)*AB36/AB$60,0)</f>
        <v>4935.5855844136877</v>
      </c>
      <c r="BB36" s="42">
        <f>IFERROR(_xlfn.XLOOKUP(BB$7,'Product Tgt'!$B:$B,'Product Tgt'!$G:$G)*AC36/AC$60,0)</f>
        <v>6926.7220046373668</v>
      </c>
      <c r="BC36" s="42">
        <f>IFERROR(_xlfn.XLOOKUP(BC$7,'Product Tgt'!$B:$B,'Product Tgt'!$G:$G)*AD36/AD$60,0)</f>
        <v>7502.6956789011429</v>
      </c>
      <c r="BD36" s="42">
        <f>IFERROR(_xlfn.XLOOKUP(BD$7,'Product Tgt'!$B:$B,'Product Tgt'!$G:$G)*AE36/AE$60,0)</f>
        <v>1269.7639631044262</v>
      </c>
      <c r="BE36" s="10">
        <f>ROUND(IFERROR(AF36/_xlfn.XLOOKUP(BE$7,'Product Tgt'!$B:$B,'Product Tgt'!$D:$D),0),0)</f>
        <v>0</v>
      </c>
      <c r="BF36" s="11">
        <f>ROUND(IFERROR(AG36/_xlfn.XLOOKUP(BF$7,'Product Tgt'!$B:$B,'Product Tgt'!$D:$D),0),0)</f>
        <v>0</v>
      </c>
      <c r="BG36" s="11">
        <f>ROUND(IFERROR(AH36/_xlfn.XLOOKUP(BG$7,'Product Tgt'!$B:$B,'Product Tgt'!$D:$D),0),0)</f>
        <v>0</v>
      </c>
      <c r="BH36" s="11">
        <f>ROUND(IFERROR(AI36/_xlfn.XLOOKUP(BH$7,'Product Tgt'!$B:$B,'Product Tgt'!$D:$D),0),0)</f>
        <v>0</v>
      </c>
      <c r="BI36" s="11">
        <f>ROUND(IFERROR(AM36/_xlfn.XLOOKUP(BI$7,'Product Tgt'!$B:$B,'Product Tgt'!$D:$D),0),0)</f>
        <v>0</v>
      </c>
      <c r="BJ36" s="11">
        <f>ROUND(IFERROR(#REF!/_xlfn.XLOOKUP(BJ$7,'Product Tgt'!$B:$B,'Product Tgt'!$D:$D),0),0)</f>
        <v>0</v>
      </c>
      <c r="BK36" s="11">
        <f>ROUND(IFERROR(#REF!/_xlfn.XLOOKUP(BK$7,'Product Tgt'!$B:$B,'Product Tgt'!$D:$D),0),0)</f>
        <v>0</v>
      </c>
      <c r="BL36" s="11">
        <f>ROUND(IFERROR(AN36/_xlfn.XLOOKUP(BL$7,'Product Tgt'!$B:$B,'Product Tgt'!$D:$D),0),0)</f>
        <v>0</v>
      </c>
      <c r="BM36" s="11">
        <f>ROUND(IFERROR(AQ36/_xlfn.XLOOKUP(BM$7,'Product Tgt'!$B:$B,'Product Tgt'!$D:$D),0),0)</f>
        <v>0</v>
      </c>
      <c r="BN36" s="11">
        <f>ROUND(IFERROR(AR36/_xlfn.XLOOKUP(BN$7,'Product Tgt'!$B:$B,'Product Tgt'!$D:$D),0),0)</f>
        <v>0</v>
      </c>
      <c r="BO36" s="11">
        <f>ROUND(IFERROR(AS36/_xlfn.XLOOKUP(BO$7,'Product Tgt'!$B:$B,'Product Tgt'!$D:$D),0),0)</f>
        <v>0</v>
      </c>
      <c r="BP36" s="11">
        <f>ROUND(IFERROR(AT36/_xlfn.XLOOKUP(BP$7,'Product Tgt'!$B:$B,'Product Tgt'!$D:$D),0),0)</f>
        <v>0</v>
      </c>
      <c r="BQ36" s="11">
        <f>ROUND(IFERROR(AU36/_xlfn.XLOOKUP(BQ$7,'Product Tgt'!$B:$B,'Product Tgt'!$D:$D),0),0)</f>
        <v>0</v>
      </c>
      <c r="BR36" s="11">
        <f>ROUND(IFERROR(AV36/_xlfn.XLOOKUP(BR$7,'Product Tgt'!$B:$B,'Product Tgt'!$D:$D),0),0)</f>
        <v>0</v>
      </c>
      <c r="BS36" s="11">
        <f>ROUND(IFERROR(AW36/_xlfn.XLOOKUP(BS$7,'Product Tgt'!$B:$B,'Product Tgt'!$D:$D),0),0)</f>
        <v>0</v>
      </c>
      <c r="BT36" s="11">
        <f>ROUND(IFERROR(AX36/_xlfn.XLOOKUP(BT$7,'Product Tgt'!$B:$B,'Product Tgt'!$D:$D),0),0)</f>
        <v>0</v>
      </c>
      <c r="BU36" s="11">
        <f>ROUND(IFERROR(AY36/_xlfn.XLOOKUP(BU$7,'Product Tgt'!$B:$B,'Product Tgt'!$D:$D),0),0)</f>
        <v>0</v>
      </c>
      <c r="BV36" s="11">
        <f>ROUND(IFERROR(AZ36/_xlfn.XLOOKUP(BV$7,'Product Tgt'!$B:$B,'Product Tgt'!$D:$D),0),0)</f>
        <v>0</v>
      </c>
      <c r="BW36" s="11">
        <f>ROUND(IFERROR(BA36/_xlfn.XLOOKUP(BW$7,'Product Tgt'!$B:$B,'Product Tgt'!$D:$D),0),0)</f>
        <v>0</v>
      </c>
      <c r="BX36" s="11">
        <f>ROUND(IFERROR(BB36/_xlfn.XLOOKUP(BX$7,'Product Tgt'!$B:$B,'Product Tgt'!$D:$D),0),0)</f>
        <v>0</v>
      </c>
      <c r="BY36" s="11">
        <f>ROUND(IFERROR(BC36/_xlfn.XLOOKUP(BY$7,'Product Tgt'!$B:$B,'Product Tgt'!$D:$D),0),0)</f>
        <v>0</v>
      </c>
      <c r="BZ36" s="13">
        <f>ROUND(IFERROR(BD36/_xlfn.XLOOKUP(BZ$7,'Product Tgt'!$B:$B,'Product Tgt'!$D:$D),0),0)</f>
        <v>0</v>
      </c>
    </row>
    <row r="37" spans="1:78" x14ac:dyDescent="0.25">
      <c r="A37" s="4" t="s">
        <v>87</v>
      </c>
      <c r="B37" s="3">
        <f>_xlfn.XLOOKUP(A37,'Terr Target'!$A:$A,'Terr Target'!$E:$E)</f>
        <v>235866.95371795632</v>
      </c>
      <c r="C37" s="3">
        <f t="shared" si="4"/>
        <v>235867.36166951022</v>
      </c>
      <c r="D37" s="5">
        <f t="shared" si="6"/>
        <v>0.40795155390514992</v>
      </c>
      <c r="E37" s="6">
        <f t="shared" si="7"/>
        <v>1.7295803498101554E-6</v>
      </c>
      <c r="F37" s="6">
        <f t="shared" si="8"/>
        <v>0.99999827041965017</v>
      </c>
      <c r="G37" s="49">
        <v>8458.2960543515546</v>
      </c>
      <c r="H37" s="50">
        <v>13754.8266505221</v>
      </c>
      <c r="I37" s="50">
        <v>51395.604712360931</v>
      </c>
      <c r="J37" s="50">
        <v>55586.502657602941</v>
      </c>
      <c r="K37" s="50">
        <v>5135.0710203438421</v>
      </c>
      <c r="L37" s="50">
        <v>2538.419036083892</v>
      </c>
      <c r="M37" s="50">
        <v>0</v>
      </c>
      <c r="N37" s="50">
        <v>2930.8567447390274</v>
      </c>
      <c r="O37" s="50">
        <v>6411.8323759259893</v>
      </c>
      <c r="P37" s="50">
        <v>1603.3200664965564</v>
      </c>
      <c r="Q37" s="50">
        <v>858.94590265205841</v>
      </c>
      <c r="R37" s="50">
        <v>887.11033944020619</v>
      </c>
      <c r="S37" s="50">
        <v>14568.957380693299</v>
      </c>
      <c r="T37" s="50">
        <v>2790.0345607982886</v>
      </c>
      <c r="U37" s="50">
        <v>17647.687335625309</v>
      </c>
      <c r="V37" s="50">
        <v>2858.5415781688957</v>
      </c>
      <c r="W37" s="50">
        <v>6978.5623298458077</v>
      </c>
      <c r="X37" s="50">
        <v>6415.8091150640348</v>
      </c>
      <c r="Y37" s="50">
        <v>1581.5521303169844</v>
      </c>
      <c r="Z37" s="50">
        <v>18403.733873448557</v>
      </c>
      <c r="AA37" s="50">
        <v>3293.553204828087</v>
      </c>
      <c r="AB37" s="50">
        <v>6571.9829004653557</v>
      </c>
      <c r="AC37" s="50">
        <v>4116.0237217286485</v>
      </c>
      <c r="AD37" s="50">
        <v>4458.2810412477138</v>
      </c>
      <c r="AE37" s="51">
        <v>754.5240865210119</v>
      </c>
      <c r="AF37" s="42">
        <f>IFERROR(_xlfn.XLOOKUP(AF$7,'Product Tgt'!$B:$B,'Product Tgt'!$G:$G)*G37/G$60,0)</f>
        <v>8520.747325522756</v>
      </c>
      <c r="AG37" s="42">
        <f>IFERROR(_xlfn.XLOOKUP(AG$7,'Product Tgt'!$B:$B,'Product Tgt'!$G:$G)*H37/H$60,0)</f>
        <v>14082.839471380064</v>
      </c>
      <c r="AH37" s="42">
        <f>IFERROR(_xlfn.XLOOKUP(AH$7,'Product Tgt'!$B:$B,'Product Tgt'!$G:$G)*I37/I$60,0)</f>
        <v>51326.629006785428</v>
      </c>
      <c r="AI37" s="42">
        <f>IFERROR(_xlfn.XLOOKUP(AI$7,'Product Tgt'!$B:$B,'Product Tgt'!$G:$G)*J37/J$60,0)</f>
        <v>55347.228943193819</v>
      </c>
      <c r="AJ37" s="42">
        <f>IFERROR(_xlfn.XLOOKUP(AJ$7,'Product Tgt'!$B:$B,'Product Tgt'!$G:$G)*K37/K$60,0)</f>
        <v>5050.7940717030688</v>
      </c>
      <c r="AK37" s="42">
        <f>IFERROR(_xlfn.XLOOKUP(AK$7,'Product Tgt'!$B:$B,'Product Tgt'!$G:$G)*L37/L$60,0)</f>
        <v>2612.4807368167735</v>
      </c>
      <c r="AL37" s="42">
        <f>IFERROR(_xlfn.XLOOKUP(AL$7,'Product Tgt'!$B:$B,'Product Tgt'!$G:$G)*M37/M$60,0)</f>
        <v>0</v>
      </c>
      <c r="AM37" s="42">
        <f>IFERROR(_xlfn.XLOOKUP(AM$7,'Product Tgt'!$B:$B,'Product Tgt'!$G:$G)*N37/N$60,0)</f>
        <v>2911.3004038267609</v>
      </c>
      <c r="AN37" s="42">
        <f>IFERROR(_xlfn.XLOOKUP(AN$7,'Product Tgt'!$B:$B,'Product Tgt'!$G:$G)*O37/O$60,0)</f>
        <v>6992.8824536338179</v>
      </c>
      <c r="AO37" s="42">
        <f>IFERROR(_xlfn.XLOOKUP(AO$7,'Product Tgt'!$B:$B,'Product Tgt'!$G:$G)*P37/P$60,0)</f>
        <v>1537.297679516025</v>
      </c>
      <c r="AP37" s="42">
        <f>IFERROR(_xlfn.XLOOKUP(AP$7,'Product Tgt'!$B:$B,'Product Tgt'!$G:$G)*Q37/Q$60,0)</f>
        <v>652.92763989264472</v>
      </c>
      <c r="AQ37" s="42">
        <f>IFERROR(_xlfn.XLOOKUP(AQ$7,'Product Tgt'!$B:$B,'Product Tgt'!$G:$G)*R37/R$60,0)</f>
        <v>740.20355544306119</v>
      </c>
      <c r="AR37" s="42">
        <f>IFERROR(_xlfn.XLOOKUP(AR$7,'Product Tgt'!$B:$B,'Product Tgt'!$G:$G)*S37/S$60,0)</f>
        <v>14109.171521633914</v>
      </c>
      <c r="AS37" s="42">
        <f>IFERROR(_xlfn.XLOOKUP(AS$7,'Product Tgt'!$B:$B,'Product Tgt'!$G:$G)*T37/T$60,0)</f>
        <v>2532.7009420937034</v>
      </c>
      <c r="AT37" s="42">
        <f>IFERROR(_xlfn.XLOOKUP(AT$7,'Product Tgt'!$B:$B,'Product Tgt'!$G:$G)*U37/U$60,0)</f>
        <v>15069.191503266875</v>
      </c>
      <c r="AU37" s="42">
        <f>IFERROR(_xlfn.XLOOKUP(AU$7,'Product Tgt'!$B:$B,'Product Tgt'!$G:$G)*V37/V$60,0)</f>
        <v>3012.1515278955367</v>
      </c>
      <c r="AV37" s="42">
        <f>IFERROR(_xlfn.XLOOKUP(AV$7,'Product Tgt'!$B:$B,'Product Tgt'!$G:$G)*W37/W$60,0)</f>
        <v>6726.9117357101859</v>
      </c>
      <c r="AW37" s="42">
        <f>IFERROR(_xlfn.XLOOKUP(AW$7,'Product Tgt'!$B:$B,'Product Tgt'!$G:$G)*X37/X$60,0)</f>
        <v>6618.4757334500146</v>
      </c>
      <c r="AX37" s="42">
        <f>IFERROR(_xlfn.XLOOKUP(AX$7,'Product Tgt'!$B:$B,'Product Tgt'!$G:$G)*Y37/Y$60,0)</f>
        <v>1522.0399159495032</v>
      </c>
      <c r="AY37" s="42">
        <f>IFERROR(_xlfn.XLOOKUP(AY$7,'Product Tgt'!$B:$B,'Product Tgt'!$G:$G)*Z37/Z$60,0)</f>
        <v>17724.868159227022</v>
      </c>
      <c r="AZ37" s="42">
        <f>IFERROR(_xlfn.XLOOKUP(AZ$7,'Product Tgt'!$B:$B,'Product Tgt'!$G:$G)*AA37/AA$60,0)</f>
        <v>3291.7783417483915</v>
      </c>
      <c r="BA37" s="42">
        <f>IFERROR(_xlfn.XLOOKUP(BA$7,'Product Tgt'!$B:$B,'Product Tgt'!$G:$G)*AB37/AB$60,0)</f>
        <v>6138.6460433838683</v>
      </c>
      <c r="BB37" s="42">
        <f>IFERROR(_xlfn.XLOOKUP(BB$7,'Product Tgt'!$B:$B,'Product Tgt'!$G:$G)*AC37/AC$60,0)</f>
        <v>4123.6417958736311</v>
      </c>
      <c r="BC37" s="42">
        <f>IFERROR(_xlfn.XLOOKUP(BC$7,'Product Tgt'!$B:$B,'Product Tgt'!$G:$G)*AD37/AD$60,0)</f>
        <v>4466.532576668199</v>
      </c>
      <c r="BD37" s="42">
        <f>IFERROR(_xlfn.XLOOKUP(BD$7,'Product Tgt'!$B:$B,'Product Tgt'!$G:$G)*AE37/AE$60,0)</f>
        <v>755.92058489514579</v>
      </c>
      <c r="BE37" s="10">
        <f>ROUND(IFERROR(AF37/_xlfn.XLOOKUP(BE$7,'Product Tgt'!$B:$B,'Product Tgt'!$D:$D),0),0)</f>
        <v>0</v>
      </c>
      <c r="BF37" s="11">
        <f>ROUND(IFERROR(AG37/_xlfn.XLOOKUP(BF$7,'Product Tgt'!$B:$B,'Product Tgt'!$D:$D),0),0)</f>
        <v>0</v>
      </c>
      <c r="BG37" s="11">
        <f>ROUND(IFERROR(AH37/_xlfn.XLOOKUP(BG$7,'Product Tgt'!$B:$B,'Product Tgt'!$D:$D),0),0)</f>
        <v>0</v>
      </c>
      <c r="BH37" s="11">
        <f>ROUND(IFERROR(AI37/_xlfn.XLOOKUP(BH$7,'Product Tgt'!$B:$B,'Product Tgt'!$D:$D),0),0)</f>
        <v>0</v>
      </c>
      <c r="BI37" s="11">
        <f>ROUND(IFERROR(AM37/_xlfn.XLOOKUP(BI$7,'Product Tgt'!$B:$B,'Product Tgt'!$D:$D),0),0)</f>
        <v>0</v>
      </c>
      <c r="BJ37" s="11">
        <f>ROUND(IFERROR(#REF!/_xlfn.XLOOKUP(BJ$7,'Product Tgt'!$B:$B,'Product Tgt'!$D:$D),0),0)</f>
        <v>0</v>
      </c>
      <c r="BK37" s="11">
        <f>ROUND(IFERROR(#REF!/_xlfn.XLOOKUP(BK$7,'Product Tgt'!$B:$B,'Product Tgt'!$D:$D),0),0)</f>
        <v>0</v>
      </c>
      <c r="BL37" s="11">
        <f>ROUND(IFERROR(AN37/_xlfn.XLOOKUP(BL$7,'Product Tgt'!$B:$B,'Product Tgt'!$D:$D),0),0)</f>
        <v>0</v>
      </c>
      <c r="BM37" s="11">
        <f>ROUND(IFERROR(AQ37/_xlfn.XLOOKUP(BM$7,'Product Tgt'!$B:$B,'Product Tgt'!$D:$D),0),0)</f>
        <v>0</v>
      </c>
      <c r="BN37" s="11">
        <f>ROUND(IFERROR(AR37/_xlfn.XLOOKUP(BN$7,'Product Tgt'!$B:$B,'Product Tgt'!$D:$D),0),0)</f>
        <v>0</v>
      </c>
      <c r="BO37" s="11">
        <f>ROUND(IFERROR(AS37/_xlfn.XLOOKUP(BO$7,'Product Tgt'!$B:$B,'Product Tgt'!$D:$D),0),0)</f>
        <v>0</v>
      </c>
      <c r="BP37" s="11">
        <f>ROUND(IFERROR(AT37/_xlfn.XLOOKUP(BP$7,'Product Tgt'!$B:$B,'Product Tgt'!$D:$D),0),0)</f>
        <v>0</v>
      </c>
      <c r="BQ37" s="11">
        <f>ROUND(IFERROR(AU37/_xlfn.XLOOKUP(BQ$7,'Product Tgt'!$B:$B,'Product Tgt'!$D:$D),0),0)</f>
        <v>0</v>
      </c>
      <c r="BR37" s="11">
        <f>ROUND(IFERROR(AV37/_xlfn.XLOOKUP(BR$7,'Product Tgt'!$B:$B,'Product Tgt'!$D:$D),0),0)</f>
        <v>0</v>
      </c>
      <c r="BS37" s="11">
        <f>ROUND(IFERROR(AW37/_xlfn.XLOOKUP(BS$7,'Product Tgt'!$B:$B,'Product Tgt'!$D:$D),0),0)</f>
        <v>0</v>
      </c>
      <c r="BT37" s="11">
        <f>ROUND(IFERROR(AX37/_xlfn.XLOOKUP(BT$7,'Product Tgt'!$B:$B,'Product Tgt'!$D:$D),0),0)</f>
        <v>0</v>
      </c>
      <c r="BU37" s="11">
        <f>ROUND(IFERROR(AY37/_xlfn.XLOOKUP(BU$7,'Product Tgt'!$B:$B,'Product Tgt'!$D:$D),0),0)</f>
        <v>0</v>
      </c>
      <c r="BV37" s="11">
        <f>ROUND(IFERROR(AZ37/_xlfn.XLOOKUP(BV$7,'Product Tgt'!$B:$B,'Product Tgt'!$D:$D),0),0)</f>
        <v>0</v>
      </c>
      <c r="BW37" s="11">
        <f>ROUND(IFERROR(BA37/_xlfn.XLOOKUP(BW$7,'Product Tgt'!$B:$B,'Product Tgt'!$D:$D),0),0)</f>
        <v>0</v>
      </c>
      <c r="BX37" s="11">
        <f>ROUND(IFERROR(BB37/_xlfn.XLOOKUP(BX$7,'Product Tgt'!$B:$B,'Product Tgt'!$D:$D),0),0)</f>
        <v>0</v>
      </c>
      <c r="BY37" s="11">
        <f>ROUND(IFERROR(BC37/_xlfn.XLOOKUP(BY$7,'Product Tgt'!$B:$B,'Product Tgt'!$D:$D),0),0)</f>
        <v>0</v>
      </c>
      <c r="BZ37" s="13">
        <f>ROUND(IFERROR(BD37/_xlfn.XLOOKUP(BZ$7,'Product Tgt'!$B:$B,'Product Tgt'!$D:$D),0),0)</f>
        <v>0</v>
      </c>
    </row>
    <row r="38" spans="1:78" x14ac:dyDescent="0.25">
      <c r="A38" s="4" t="s">
        <v>59</v>
      </c>
      <c r="B38" s="3">
        <f>_xlfn.XLOOKUP(A38,'Terr Target'!$A:$A,'Terr Target'!$E:$E)</f>
        <v>456722.86570509255</v>
      </c>
      <c r="C38" s="3">
        <f t="shared" si="4"/>
        <v>456723.01672538673</v>
      </c>
      <c r="D38" s="5">
        <f t="shared" si="6"/>
        <v>0.151020294171758</v>
      </c>
      <c r="E38" s="6">
        <f t="shared" si="7"/>
        <v>3.3066057247244399E-7</v>
      </c>
      <c r="F38" s="6">
        <f t="shared" si="8"/>
        <v>0.99999966933942752</v>
      </c>
      <c r="G38" s="49">
        <v>9749.7841553416456</v>
      </c>
      <c r="H38" s="50">
        <v>20396.222672075619</v>
      </c>
      <c r="I38" s="50">
        <v>66335.522211552132</v>
      </c>
      <c r="J38" s="50">
        <v>103076.74981898502</v>
      </c>
      <c r="K38" s="50">
        <v>18383.127367537763</v>
      </c>
      <c r="L38" s="50">
        <v>10556.886613923481</v>
      </c>
      <c r="M38" s="50">
        <v>0</v>
      </c>
      <c r="N38" s="50">
        <v>5632.3286844604072</v>
      </c>
      <c r="O38" s="50">
        <v>19839.720139029858</v>
      </c>
      <c r="P38" s="50">
        <v>2251.7642714921935</v>
      </c>
      <c r="Q38" s="50">
        <v>4534.1526645526992</v>
      </c>
      <c r="R38" s="50">
        <v>5810.4365836889256</v>
      </c>
      <c r="S38" s="50">
        <v>24460.984735731508</v>
      </c>
      <c r="T38" s="50">
        <v>10088.969954487522</v>
      </c>
      <c r="U38" s="50">
        <v>29163.943533807098</v>
      </c>
      <c r="V38" s="50">
        <v>9501.6839548506559</v>
      </c>
      <c r="W38" s="50">
        <v>18992.910892580425</v>
      </c>
      <c r="X38" s="50">
        <v>12956.682411591737</v>
      </c>
      <c r="Y38" s="50">
        <v>9828.2914562596943</v>
      </c>
      <c r="Z38" s="50">
        <v>43212.169228732724</v>
      </c>
      <c r="AA38" s="50">
        <v>5873.9455343364461</v>
      </c>
      <c r="AB38" s="50">
        <v>18320.166165406103</v>
      </c>
      <c r="AC38" s="50">
        <v>7491.3679877463301</v>
      </c>
      <c r="AD38" s="50">
        <v>8114.2933400667416</v>
      </c>
      <c r="AE38" s="51">
        <v>1373.2713827443995</v>
      </c>
      <c r="AF38" s="42">
        <f>IFERROR(_xlfn.XLOOKUP(AF$7,'Product Tgt'!$B:$B,'Product Tgt'!$G:$G)*G38/G$60,0)</f>
        <v>9821.7710437448568</v>
      </c>
      <c r="AG38" s="42">
        <f>IFERROR(_xlfn.XLOOKUP(AG$7,'Product Tgt'!$B:$B,'Product Tgt'!$G:$G)*H38/H$60,0)</f>
        <v>20882.613573502265</v>
      </c>
      <c r="AH38" s="42">
        <f>IFERROR(_xlfn.XLOOKUP(AH$7,'Product Tgt'!$B:$B,'Product Tgt'!$G:$G)*I38/I$60,0)</f>
        <v>66246.496321597748</v>
      </c>
      <c r="AI38" s="42">
        <f>IFERROR(_xlfn.XLOOKUP(AI$7,'Product Tgt'!$B:$B,'Product Tgt'!$G:$G)*J38/J$60,0)</f>
        <v>102633.05295699087</v>
      </c>
      <c r="AJ38" s="42">
        <f>IFERROR(_xlfn.XLOOKUP(AJ$7,'Product Tgt'!$B:$B,'Product Tgt'!$G:$G)*K38/K$60,0)</f>
        <v>18081.422897458782</v>
      </c>
      <c r="AK38" s="42">
        <f>IFERROR(_xlfn.XLOOKUP(AK$7,'Product Tgt'!$B:$B,'Product Tgt'!$G:$G)*L38/L$60,0)</f>
        <v>10864.897610515112</v>
      </c>
      <c r="AL38" s="42">
        <f>IFERROR(_xlfn.XLOOKUP(AL$7,'Product Tgt'!$B:$B,'Product Tgt'!$G:$G)*M38/M$60,0)</f>
        <v>0</v>
      </c>
      <c r="AM38" s="42">
        <f>IFERROR(_xlfn.XLOOKUP(AM$7,'Product Tgt'!$B:$B,'Product Tgt'!$G:$G)*N38/N$60,0)</f>
        <v>5594.7465883443274</v>
      </c>
      <c r="AN38" s="42">
        <f>IFERROR(_xlfn.XLOOKUP(AN$7,'Product Tgt'!$B:$B,'Product Tgt'!$G:$G)*O38/O$60,0)</f>
        <v>21637.625987561965</v>
      </c>
      <c r="AO38" s="42">
        <f>IFERROR(_xlfn.XLOOKUP(AO$7,'Product Tgt'!$B:$B,'Product Tgt'!$G:$G)*P38/P$60,0)</f>
        <v>2159.0398958494397</v>
      </c>
      <c r="AP38" s="42">
        <f>IFERROR(_xlfn.XLOOKUP(AP$7,'Product Tgt'!$B:$B,'Product Tgt'!$G:$G)*Q38/Q$60,0)</f>
        <v>3446.6356833866498</v>
      </c>
      <c r="AQ38" s="42">
        <f>IFERROR(_xlfn.XLOOKUP(AQ$7,'Product Tgt'!$B:$B,'Product Tgt'!$G:$G)*R38/R$60,0)</f>
        <v>4848.2196934340554</v>
      </c>
      <c r="AR38" s="42">
        <f>IFERROR(_xlfn.XLOOKUP(AR$7,'Product Tgt'!$B:$B,'Product Tgt'!$G:$G)*S38/S$60,0)</f>
        <v>23689.013579095346</v>
      </c>
      <c r="AS38" s="42">
        <f>IFERROR(_xlfn.XLOOKUP(AS$7,'Product Tgt'!$B:$B,'Product Tgt'!$G:$G)*T38/T$60,0)</f>
        <v>9158.4326830612972</v>
      </c>
      <c r="AT38" s="42">
        <f>IFERROR(_xlfn.XLOOKUP(AT$7,'Product Tgt'!$B:$B,'Product Tgt'!$G:$G)*U38/U$60,0)</f>
        <v>24902.812575006952</v>
      </c>
      <c r="AU38" s="42">
        <f>IFERROR(_xlfn.XLOOKUP(AU$7,'Product Tgt'!$B:$B,'Product Tgt'!$G:$G)*V38/V$60,0)</f>
        <v>10012.27761063998</v>
      </c>
      <c r="AV38" s="42">
        <f>IFERROR(_xlfn.XLOOKUP(AV$7,'Product Tgt'!$B:$B,'Product Tgt'!$G:$G)*W38/W$60,0)</f>
        <v>18308.01662860838</v>
      </c>
      <c r="AW38" s="42">
        <f>IFERROR(_xlfn.XLOOKUP(AW$7,'Product Tgt'!$B:$B,'Product Tgt'!$G:$G)*X38/X$60,0)</f>
        <v>13365.96625448116</v>
      </c>
      <c r="AX38" s="42">
        <f>IFERROR(_xlfn.XLOOKUP(AX$7,'Product Tgt'!$B:$B,'Product Tgt'!$G:$G)*Y38/Y$60,0)</f>
        <v>9458.4627438202369</v>
      </c>
      <c r="AY38" s="42">
        <f>IFERROR(_xlfn.XLOOKUP(AY$7,'Product Tgt'!$B:$B,'Product Tgt'!$G:$G)*Z38/Z$60,0)</f>
        <v>41618.1850770249</v>
      </c>
      <c r="AZ38" s="42">
        <f>IFERROR(_xlfn.XLOOKUP(AZ$7,'Product Tgt'!$B:$B,'Product Tgt'!$G:$G)*AA38/AA$60,0)</f>
        <v>5870.7801234829785</v>
      </c>
      <c r="BA38" s="42">
        <f>IFERROR(_xlfn.XLOOKUP(BA$7,'Product Tgt'!$B:$B,'Product Tgt'!$G:$G)*AB38/AB$60,0)</f>
        <v>17112.189311606686</v>
      </c>
      <c r="BB38" s="42">
        <f>IFERROR(_xlfn.XLOOKUP(BB$7,'Product Tgt'!$B:$B,'Product Tgt'!$G:$G)*AC38/AC$60,0)</f>
        <v>7505.2332617671591</v>
      </c>
      <c r="BC38" s="42">
        <f>IFERROR(_xlfn.XLOOKUP(BC$7,'Product Tgt'!$B:$B,'Product Tgt'!$G:$G)*AD38/AD$60,0)</f>
        <v>8129.3115451301501</v>
      </c>
      <c r="BD38" s="42">
        <f>IFERROR(_xlfn.XLOOKUP(BD$7,'Product Tgt'!$B:$B,'Product Tgt'!$G:$G)*AE38/AE$60,0)</f>
        <v>1375.8130792753741</v>
      </c>
      <c r="BE38" s="10">
        <f>ROUND(IFERROR(AF38/_xlfn.XLOOKUP(BE$7,'Product Tgt'!$B:$B,'Product Tgt'!$D:$D),0),0)</f>
        <v>0</v>
      </c>
      <c r="BF38" s="11">
        <f>ROUND(IFERROR(AG38/_xlfn.XLOOKUP(BF$7,'Product Tgt'!$B:$B,'Product Tgt'!$D:$D),0),0)</f>
        <v>0</v>
      </c>
      <c r="BG38" s="11">
        <f>ROUND(IFERROR(AH38/_xlfn.XLOOKUP(BG$7,'Product Tgt'!$B:$B,'Product Tgt'!$D:$D),0),0)</f>
        <v>0</v>
      </c>
      <c r="BH38" s="11">
        <f>ROUND(IFERROR(AI38/_xlfn.XLOOKUP(BH$7,'Product Tgt'!$B:$B,'Product Tgt'!$D:$D),0),0)</f>
        <v>0</v>
      </c>
      <c r="BI38" s="11">
        <f>ROUND(IFERROR(AM38/_xlfn.XLOOKUP(BI$7,'Product Tgt'!$B:$B,'Product Tgt'!$D:$D),0),0)</f>
        <v>0</v>
      </c>
      <c r="BJ38" s="11">
        <f>ROUND(IFERROR(#REF!/_xlfn.XLOOKUP(BJ$7,'Product Tgt'!$B:$B,'Product Tgt'!$D:$D),0),0)</f>
        <v>0</v>
      </c>
      <c r="BK38" s="11">
        <f>ROUND(IFERROR(#REF!/_xlfn.XLOOKUP(BK$7,'Product Tgt'!$B:$B,'Product Tgt'!$D:$D),0),0)</f>
        <v>0</v>
      </c>
      <c r="BL38" s="11">
        <f>ROUND(IFERROR(AN38/_xlfn.XLOOKUP(BL$7,'Product Tgt'!$B:$B,'Product Tgt'!$D:$D),0),0)</f>
        <v>0</v>
      </c>
      <c r="BM38" s="11">
        <f>ROUND(IFERROR(AQ38/_xlfn.XLOOKUP(BM$7,'Product Tgt'!$B:$B,'Product Tgt'!$D:$D),0),0)</f>
        <v>0</v>
      </c>
      <c r="BN38" s="11">
        <f>ROUND(IFERROR(AR38/_xlfn.XLOOKUP(BN$7,'Product Tgt'!$B:$B,'Product Tgt'!$D:$D),0),0)</f>
        <v>0</v>
      </c>
      <c r="BO38" s="11">
        <f>ROUND(IFERROR(AS38/_xlfn.XLOOKUP(BO$7,'Product Tgt'!$B:$B,'Product Tgt'!$D:$D),0),0)</f>
        <v>0</v>
      </c>
      <c r="BP38" s="11">
        <f>ROUND(IFERROR(AT38/_xlfn.XLOOKUP(BP$7,'Product Tgt'!$B:$B,'Product Tgt'!$D:$D),0),0)</f>
        <v>0</v>
      </c>
      <c r="BQ38" s="11">
        <f>ROUND(IFERROR(AU38/_xlfn.XLOOKUP(BQ$7,'Product Tgt'!$B:$B,'Product Tgt'!$D:$D),0),0)</f>
        <v>0</v>
      </c>
      <c r="BR38" s="11">
        <f>ROUND(IFERROR(AV38/_xlfn.XLOOKUP(BR$7,'Product Tgt'!$B:$B,'Product Tgt'!$D:$D),0),0)</f>
        <v>0</v>
      </c>
      <c r="BS38" s="11">
        <f>ROUND(IFERROR(AW38/_xlfn.XLOOKUP(BS$7,'Product Tgt'!$B:$B,'Product Tgt'!$D:$D),0),0)</f>
        <v>0</v>
      </c>
      <c r="BT38" s="11">
        <f>ROUND(IFERROR(AX38/_xlfn.XLOOKUP(BT$7,'Product Tgt'!$B:$B,'Product Tgt'!$D:$D),0),0)</f>
        <v>0</v>
      </c>
      <c r="BU38" s="11">
        <f>ROUND(IFERROR(AY38/_xlfn.XLOOKUP(BU$7,'Product Tgt'!$B:$B,'Product Tgt'!$D:$D),0),0)</f>
        <v>0</v>
      </c>
      <c r="BV38" s="11">
        <f>ROUND(IFERROR(AZ38/_xlfn.XLOOKUP(BV$7,'Product Tgt'!$B:$B,'Product Tgt'!$D:$D),0),0)</f>
        <v>0</v>
      </c>
      <c r="BW38" s="11">
        <f>ROUND(IFERROR(BA38/_xlfn.XLOOKUP(BW$7,'Product Tgt'!$B:$B,'Product Tgt'!$D:$D),0),0)</f>
        <v>0</v>
      </c>
      <c r="BX38" s="11">
        <f>ROUND(IFERROR(BB38/_xlfn.XLOOKUP(BX$7,'Product Tgt'!$B:$B,'Product Tgt'!$D:$D),0),0)</f>
        <v>0</v>
      </c>
      <c r="BY38" s="11">
        <f>ROUND(IFERROR(BC38/_xlfn.XLOOKUP(BY$7,'Product Tgt'!$B:$B,'Product Tgt'!$D:$D),0),0)</f>
        <v>0</v>
      </c>
      <c r="BZ38" s="13">
        <f>ROUND(IFERROR(BD38/_xlfn.XLOOKUP(BZ$7,'Product Tgt'!$B:$B,'Product Tgt'!$D:$D),0),0)</f>
        <v>0</v>
      </c>
    </row>
    <row r="39" spans="1:78" x14ac:dyDescent="0.25">
      <c r="A39" s="4" t="s">
        <v>172</v>
      </c>
      <c r="B39" s="3">
        <f>_xlfn.XLOOKUP(A39,'Terr Target'!$A:$A,'Terr Target'!$E:$E)</f>
        <v>349197.14010537375</v>
      </c>
      <c r="C39" s="3">
        <f t="shared" si="4"/>
        <v>349196.74531333818</v>
      </c>
      <c r="D39" s="5">
        <f t="shared" si="6"/>
        <v>-0.39479203557129949</v>
      </c>
      <c r="E39" s="6">
        <f t="shared" si="7"/>
        <v>1.1305719221897333E-6</v>
      </c>
      <c r="F39" s="6">
        <f t="shared" si="8"/>
        <v>1.0000011305719221</v>
      </c>
      <c r="G39" s="49">
        <v>6920.0895719575856</v>
      </c>
      <c r="H39" s="50">
        <v>18635.519807331992</v>
      </c>
      <c r="I39" s="50">
        <v>70811.660079556706</v>
      </c>
      <c r="J39" s="50">
        <v>96387.665989433372</v>
      </c>
      <c r="K39" s="50">
        <v>11403.555851014298</v>
      </c>
      <c r="L39" s="50">
        <v>6457.0161275228238</v>
      </c>
      <c r="M39" s="50">
        <v>0</v>
      </c>
      <c r="N39" s="50">
        <v>4399.5837921536431</v>
      </c>
      <c r="O39" s="50">
        <v>18896.342698467535</v>
      </c>
      <c r="P39" s="50">
        <v>2347.2856867060837</v>
      </c>
      <c r="Q39" s="50">
        <v>2965.5191693776865</v>
      </c>
      <c r="R39" s="50">
        <v>3546.609707460053</v>
      </c>
      <c r="S39" s="50">
        <v>11523.337836197457</v>
      </c>
      <c r="T39" s="50">
        <v>4069.1078521204672</v>
      </c>
      <c r="U39" s="50">
        <v>14818.771389210646</v>
      </c>
      <c r="V39" s="50">
        <v>4690.4399227721115</v>
      </c>
      <c r="W39" s="50">
        <v>10293.559408662304</v>
      </c>
      <c r="X39" s="50">
        <v>8585.0240687286805</v>
      </c>
      <c r="Y39" s="50">
        <v>6089.5175764142004</v>
      </c>
      <c r="Z39" s="50">
        <v>26687.977827413328</v>
      </c>
      <c r="AA39" s="50">
        <v>3075.8950848997511</v>
      </c>
      <c r="AB39" s="50">
        <v>13024.618754216843</v>
      </c>
      <c r="AC39" s="50">
        <v>3575.6973664043035</v>
      </c>
      <c r="AD39" s="50">
        <v>3873.0252436894566</v>
      </c>
      <c r="AE39" s="51">
        <v>655.47479107547736</v>
      </c>
      <c r="AF39" s="42">
        <f>IFERROR(_xlfn.XLOOKUP(AF$7,'Product Tgt'!$B:$B,'Product Tgt'!$G:$G)*G39/G$60,0)</f>
        <v>6971.1835969964695</v>
      </c>
      <c r="AG39" s="42">
        <f>IFERROR(_xlfn.XLOOKUP(AG$7,'Product Tgt'!$B:$B,'Product Tgt'!$G:$G)*H39/H$60,0)</f>
        <v>19079.92303940947</v>
      </c>
      <c r="AH39" s="42">
        <f>IFERROR(_xlfn.XLOOKUP(AH$7,'Product Tgt'!$B:$B,'Product Tgt'!$G:$G)*I39/I$60,0)</f>
        <v>70716.626968373443</v>
      </c>
      <c r="AI39" s="42">
        <f>IFERROR(_xlfn.XLOOKUP(AI$7,'Product Tgt'!$B:$B,'Product Tgt'!$G:$G)*J39/J$60,0)</f>
        <v>95972.762482972845</v>
      </c>
      <c r="AJ39" s="42">
        <f>IFERROR(_xlfn.XLOOKUP(AJ$7,'Product Tgt'!$B:$B,'Product Tgt'!$G:$G)*K39/K$60,0)</f>
        <v>11216.400330288167</v>
      </c>
      <c r="AK39" s="42">
        <f>IFERROR(_xlfn.XLOOKUP(AK$7,'Product Tgt'!$B:$B,'Product Tgt'!$G:$G)*L39/L$60,0)</f>
        <v>6645.4080318010665</v>
      </c>
      <c r="AL39" s="42">
        <f>IFERROR(_xlfn.XLOOKUP(AL$7,'Product Tgt'!$B:$B,'Product Tgt'!$G:$G)*M39/M$60,0)</f>
        <v>0</v>
      </c>
      <c r="AM39" s="42">
        <f>IFERROR(_xlfn.XLOOKUP(AM$7,'Product Tgt'!$B:$B,'Product Tgt'!$G:$G)*N39/N$60,0)</f>
        <v>4370.2272701517131</v>
      </c>
      <c r="AN39" s="42">
        <f>IFERROR(_xlfn.XLOOKUP(AN$7,'Product Tgt'!$B:$B,'Product Tgt'!$G:$G)*O39/O$60,0)</f>
        <v>20608.758237364502</v>
      </c>
      <c r="AO39" s="42">
        <f>IFERROR(_xlfn.XLOOKUP(AO$7,'Product Tgt'!$B:$B,'Product Tgt'!$G:$G)*P39/P$60,0)</f>
        <v>2250.627878199884</v>
      </c>
      <c r="AP39" s="42">
        <f>IFERROR(_xlfn.XLOOKUP(AP$7,'Product Tgt'!$B:$B,'Product Tgt'!$G:$G)*Q39/Q$60,0)</f>
        <v>2254.2390927528672</v>
      </c>
      <c r="AQ39" s="42">
        <f>IFERROR(_xlfn.XLOOKUP(AQ$7,'Product Tgt'!$B:$B,'Product Tgt'!$G:$G)*R39/R$60,0)</f>
        <v>2959.2858954697749</v>
      </c>
      <c r="AR39" s="42">
        <f>IFERROR(_xlfn.XLOOKUP(AR$7,'Product Tgt'!$B:$B,'Product Tgt'!$G:$G)*S39/S$60,0)</f>
        <v>11159.669548357671</v>
      </c>
      <c r="AS39" s="42">
        <f>IFERROR(_xlfn.XLOOKUP(AS$7,'Product Tgt'!$B:$B,'Product Tgt'!$G:$G)*T39/T$60,0)</f>
        <v>3693.8013010124414</v>
      </c>
      <c r="AT39" s="42">
        <f>IFERROR(_xlfn.XLOOKUP(AT$7,'Product Tgt'!$B:$B,'Product Tgt'!$G:$G)*U39/U$60,0)</f>
        <v>12653.607221177284</v>
      </c>
      <c r="AU39" s="42">
        <f>IFERROR(_xlfn.XLOOKUP(AU$7,'Product Tgt'!$B:$B,'Product Tgt'!$G:$G)*V39/V$60,0)</f>
        <v>4942.4909148708111</v>
      </c>
      <c r="AV39" s="42">
        <f>IFERROR(_xlfn.XLOOKUP(AV$7,'Product Tgt'!$B:$B,'Product Tgt'!$G:$G)*W39/W$60,0)</f>
        <v>9922.3682924231198</v>
      </c>
      <c r="AW39" s="42">
        <f>IFERROR(_xlfn.XLOOKUP(AW$7,'Product Tgt'!$B:$B,'Product Tgt'!$G:$G)*X39/X$60,0)</f>
        <v>8856.2132150339039</v>
      </c>
      <c r="AX39" s="42">
        <f>IFERROR(_xlfn.XLOOKUP(AX$7,'Product Tgt'!$B:$B,'Product Tgt'!$G:$G)*Y39/Y$60,0)</f>
        <v>5860.3751609002256</v>
      </c>
      <c r="AY39" s="42">
        <f>IFERROR(_xlfn.XLOOKUP(AY$7,'Product Tgt'!$B:$B,'Product Tgt'!$G:$G)*Z39/Z$60,0)</f>
        <v>25703.527973187065</v>
      </c>
      <c r="AZ39" s="42">
        <f>IFERROR(_xlfn.XLOOKUP(AZ$7,'Product Tgt'!$B:$B,'Product Tgt'!$G:$G)*AA39/AA$60,0)</f>
        <v>3074.2375156170683</v>
      </c>
      <c r="BA39" s="42">
        <f>IFERROR(_xlfn.XLOOKUP(BA$7,'Product Tgt'!$B:$B,'Product Tgt'!$G:$G)*AB39/AB$60,0)</f>
        <v>12165.814426646653</v>
      </c>
      <c r="BB39" s="42">
        <f>IFERROR(_xlfn.XLOOKUP(BB$7,'Product Tgt'!$B:$B,'Product Tgt'!$G:$G)*AC39/AC$60,0)</f>
        <v>3582.3153864884648</v>
      </c>
      <c r="BC39" s="42">
        <f>IFERROR(_xlfn.XLOOKUP(BC$7,'Product Tgt'!$B:$B,'Product Tgt'!$G:$G)*AD39/AD$60,0)</f>
        <v>3880.1935681371656</v>
      </c>
      <c r="BD39" s="42">
        <f>IFERROR(_xlfn.XLOOKUP(BD$7,'Product Tgt'!$B:$B,'Product Tgt'!$G:$G)*AE39/AE$60,0)</f>
        <v>656.68796570618179</v>
      </c>
      <c r="BE39" s="10">
        <f>ROUND(IFERROR(AF39/_xlfn.XLOOKUP(BE$7,'Product Tgt'!$B:$B,'Product Tgt'!$D:$D),0),0)</f>
        <v>0</v>
      </c>
      <c r="BF39" s="11">
        <f>ROUND(IFERROR(AG39/_xlfn.XLOOKUP(BF$7,'Product Tgt'!$B:$B,'Product Tgt'!$D:$D),0),0)</f>
        <v>0</v>
      </c>
      <c r="BG39" s="11">
        <f>ROUND(IFERROR(AH39/_xlfn.XLOOKUP(BG$7,'Product Tgt'!$B:$B,'Product Tgt'!$D:$D),0),0)</f>
        <v>0</v>
      </c>
      <c r="BH39" s="11">
        <f>ROUND(IFERROR(AI39/_xlfn.XLOOKUP(BH$7,'Product Tgt'!$B:$B,'Product Tgt'!$D:$D),0),0)</f>
        <v>0</v>
      </c>
      <c r="BI39" s="11">
        <f>ROUND(IFERROR(AM39/_xlfn.XLOOKUP(BI$7,'Product Tgt'!$B:$B,'Product Tgt'!$D:$D),0),0)</f>
        <v>0</v>
      </c>
      <c r="BJ39" s="11">
        <f>ROUND(IFERROR(#REF!/_xlfn.XLOOKUP(BJ$7,'Product Tgt'!$B:$B,'Product Tgt'!$D:$D),0),0)</f>
        <v>0</v>
      </c>
      <c r="BK39" s="11">
        <f>ROUND(IFERROR(#REF!/_xlfn.XLOOKUP(BK$7,'Product Tgt'!$B:$B,'Product Tgt'!$D:$D),0),0)</f>
        <v>0</v>
      </c>
      <c r="BL39" s="11">
        <f>ROUND(IFERROR(AN39/_xlfn.XLOOKUP(BL$7,'Product Tgt'!$B:$B,'Product Tgt'!$D:$D),0),0)</f>
        <v>0</v>
      </c>
      <c r="BM39" s="11">
        <f>ROUND(IFERROR(AQ39/_xlfn.XLOOKUP(BM$7,'Product Tgt'!$B:$B,'Product Tgt'!$D:$D),0),0)</f>
        <v>0</v>
      </c>
      <c r="BN39" s="11">
        <f>ROUND(IFERROR(AR39/_xlfn.XLOOKUP(BN$7,'Product Tgt'!$B:$B,'Product Tgt'!$D:$D),0),0)</f>
        <v>0</v>
      </c>
      <c r="BO39" s="11">
        <f>ROUND(IFERROR(AS39/_xlfn.XLOOKUP(BO$7,'Product Tgt'!$B:$B,'Product Tgt'!$D:$D),0),0)</f>
        <v>0</v>
      </c>
      <c r="BP39" s="11">
        <f>ROUND(IFERROR(AT39/_xlfn.XLOOKUP(BP$7,'Product Tgt'!$B:$B,'Product Tgt'!$D:$D),0),0)</f>
        <v>0</v>
      </c>
      <c r="BQ39" s="11">
        <f>ROUND(IFERROR(AU39/_xlfn.XLOOKUP(BQ$7,'Product Tgt'!$B:$B,'Product Tgt'!$D:$D),0),0)</f>
        <v>0</v>
      </c>
      <c r="BR39" s="11">
        <f>ROUND(IFERROR(AV39/_xlfn.XLOOKUP(BR$7,'Product Tgt'!$B:$B,'Product Tgt'!$D:$D),0),0)</f>
        <v>0</v>
      </c>
      <c r="BS39" s="11">
        <f>ROUND(IFERROR(AW39/_xlfn.XLOOKUP(BS$7,'Product Tgt'!$B:$B,'Product Tgt'!$D:$D),0),0)</f>
        <v>0</v>
      </c>
      <c r="BT39" s="11">
        <f>ROUND(IFERROR(AX39/_xlfn.XLOOKUP(BT$7,'Product Tgt'!$B:$B,'Product Tgt'!$D:$D),0),0)</f>
        <v>0</v>
      </c>
      <c r="BU39" s="11">
        <f>ROUND(IFERROR(AY39/_xlfn.XLOOKUP(BU$7,'Product Tgt'!$B:$B,'Product Tgt'!$D:$D),0),0)</f>
        <v>0</v>
      </c>
      <c r="BV39" s="11">
        <f>ROUND(IFERROR(AZ39/_xlfn.XLOOKUP(BV$7,'Product Tgt'!$B:$B,'Product Tgt'!$D:$D),0),0)</f>
        <v>0</v>
      </c>
      <c r="BW39" s="11">
        <f>ROUND(IFERROR(BA39/_xlfn.XLOOKUP(BW$7,'Product Tgt'!$B:$B,'Product Tgt'!$D:$D),0),0)</f>
        <v>0</v>
      </c>
      <c r="BX39" s="11">
        <f>ROUND(IFERROR(BB39/_xlfn.XLOOKUP(BX$7,'Product Tgt'!$B:$B,'Product Tgt'!$D:$D),0),0)</f>
        <v>0</v>
      </c>
      <c r="BY39" s="11">
        <f>ROUND(IFERROR(BC39/_xlfn.XLOOKUP(BY$7,'Product Tgt'!$B:$B,'Product Tgt'!$D:$D),0),0)</f>
        <v>0</v>
      </c>
      <c r="BZ39" s="13">
        <f>ROUND(IFERROR(BD39/_xlfn.XLOOKUP(BZ$7,'Product Tgt'!$B:$B,'Product Tgt'!$D:$D),0),0)</f>
        <v>0</v>
      </c>
    </row>
    <row r="40" spans="1:78" x14ac:dyDescent="0.25">
      <c r="A40" s="4" t="s">
        <v>88</v>
      </c>
      <c r="B40" s="3">
        <f>_xlfn.XLOOKUP(A40,'Terr Target'!$A:$A,'Terr Target'!$E:$E)</f>
        <v>377835.35696540237</v>
      </c>
      <c r="C40" s="3">
        <f t="shared" ref="C40:C59" si="9">SUM(AF40:BD40)</f>
        <v>377835.41613043525</v>
      </c>
      <c r="D40" s="5">
        <f t="shared" si="6"/>
        <v>5.9165032871533185E-2</v>
      </c>
      <c r="E40" s="6">
        <f t="shared" si="7"/>
        <v>1.5658943112709266E-7</v>
      </c>
      <c r="F40" s="6">
        <f t="shared" si="8"/>
        <v>0.99999984341056891</v>
      </c>
      <c r="G40" s="49">
        <v>10069.173200495188</v>
      </c>
      <c r="H40" s="50">
        <v>16871.482897133075</v>
      </c>
      <c r="I40" s="50">
        <v>64282.791780454812</v>
      </c>
      <c r="J40" s="50">
        <v>119072.67119476563</v>
      </c>
      <c r="K40" s="50">
        <v>10267.308134802075</v>
      </c>
      <c r="L40" s="50">
        <v>7434.551068376064</v>
      </c>
      <c r="M40" s="50">
        <v>0</v>
      </c>
      <c r="N40" s="50">
        <v>5052.5057674443779</v>
      </c>
      <c r="O40" s="50">
        <v>16414.027090457916</v>
      </c>
      <c r="P40" s="50">
        <v>2612.5016770459847</v>
      </c>
      <c r="Q40" s="50">
        <v>2097.6765600591843</v>
      </c>
      <c r="R40" s="50">
        <v>2175.0382057824568</v>
      </c>
      <c r="S40" s="50">
        <v>14367.515322824005</v>
      </c>
      <c r="T40" s="50">
        <v>3751.5852192472748</v>
      </c>
      <c r="U40" s="50">
        <v>19343.968288092801</v>
      </c>
      <c r="V40" s="50">
        <v>8978.6867194843944</v>
      </c>
      <c r="W40" s="50">
        <v>17163.864558045621</v>
      </c>
      <c r="X40" s="50">
        <v>11167.232989972761</v>
      </c>
      <c r="Y40" s="50">
        <v>5681.2102642521595</v>
      </c>
      <c r="Z40" s="50">
        <v>19819.21837231324</v>
      </c>
      <c r="AA40" s="50">
        <v>3614.4064260430218</v>
      </c>
      <c r="AB40" s="50">
        <v>12358.120759614989</v>
      </c>
      <c r="AC40" s="50">
        <v>4404.841681013284</v>
      </c>
      <c r="AD40" s="50">
        <v>4771.1149118236008</v>
      </c>
      <c r="AE40" s="51">
        <v>807.46841377298904</v>
      </c>
      <c r="AF40" s="42">
        <f>IFERROR(_xlfn.XLOOKUP(AF$7,'Product Tgt'!$B:$B,'Product Tgt'!$G:$G)*G40/G$60,0)</f>
        <v>10143.518276852548</v>
      </c>
      <c r="AG40" s="42">
        <f>IFERROR(_xlfn.XLOOKUP(AG$7,'Product Tgt'!$B:$B,'Product Tgt'!$G:$G)*H40/H$60,0)</f>
        <v>17273.818952523161</v>
      </c>
      <c r="AH40" s="42">
        <f>IFERROR(_xlfn.XLOOKUP(AH$7,'Product Tgt'!$B:$B,'Product Tgt'!$G:$G)*I40/I$60,0)</f>
        <v>64196.520766732232</v>
      </c>
      <c r="AI40" s="42">
        <f>IFERROR(_xlfn.XLOOKUP(AI$7,'Product Tgt'!$B:$B,'Product Tgt'!$G:$G)*J40/J$60,0)</f>
        <v>118560.11942483537</v>
      </c>
      <c r="AJ40" s="42">
        <f>IFERROR(_xlfn.XLOOKUP(AJ$7,'Product Tgt'!$B:$B,'Product Tgt'!$G:$G)*K40/K$60,0)</f>
        <v>10098.800747673909</v>
      </c>
      <c r="AK40" s="42">
        <f>IFERROR(_xlfn.XLOOKUP(AK$7,'Product Tgt'!$B:$B,'Product Tgt'!$G:$G)*L40/L$60,0)</f>
        <v>7651.4638351345611</v>
      </c>
      <c r="AL40" s="42">
        <f>IFERROR(_xlfn.XLOOKUP(AL$7,'Product Tgt'!$B:$B,'Product Tgt'!$G:$G)*M40/M$60,0)</f>
        <v>0</v>
      </c>
      <c r="AM40" s="42">
        <f>IFERROR(_xlfn.XLOOKUP(AM$7,'Product Tgt'!$B:$B,'Product Tgt'!$G:$G)*N40/N$60,0)</f>
        <v>5018.7925791670268</v>
      </c>
      <c r="AN40" s="42">
        <f>IFERROR(_xlfn.XLOOKUP(AN$7,'Product Tgt'!$B:$B,'Product Tgt'!$G:$G)*O40/O$60,0)</f>
        <v>17901.491384162506</v>
      </c>
      <c r="AO40" s="42">
        <f>IFERROR(_xlfn.XLOOKUP(AO$7,'Product Tgt'!$B:$B,'Product Tgt'!$G:$G)*P40/P$60,0)</f>
        <v>2504.9226600340448</v>
      </c>
      <c r="AP40" s="42">
        <f>IFERROR(_xlfn.XLOOKUP(AP$7,'Product Tgt'!$B:$B,'Product Tgt'!$G:$G)*Q40/Q$60,0)</f>
        <v>1594.5486221992896</v>
      </c>
      <c r="AQ40" s="42">
        <f>IFERROR(_xlfn.XLOOKUP(AQ$7,'Product Tgt'!$B:$B,'Product Tgt'!$G:$G)*R40/R$60,0)</f>
        <v>1814.848662637178</v>
      </c>
      <c r="AR40" s="42">
        <f>IFERROR(_xlfn.XLOOKUP(AR$7,'Product Tgt'!$B:$B,'Product Tgt'!$G:$G)*S40/S$60,0)</f>
        <v>13914.086830816217</v>
      </c>
      <c r="AS40" s="42">
        <f>IFERROR(_xlfn.XLOOKUP(AS$7,'Product Tgt'!$B:$B,'Product Tgt'!$G:$G)*T40/T$60,0)</f>
        <v>3405.5647742276578</v>
      </c>
      <c r="AT40" s="42">
        <f>IFERROR(_xlfn.XLOOKUP(AT$7,'Product Tgt'!$B:$B,'Product Tgt'!$G:$G)*U40/U$60,0)</f>
        <v>16517.629592062538</v>
      </c>
      <c r="AU40" s="42">
        <f>IFERROR(_xlfn.XLOOKUP(AU$7,'Product Tgt'!$B:$B,'Product Tgt'!$G:$G)*V40/V$60,0)</f>
        <v>9461.1759811850225</v>
      </c>
      <c r="AV40" s="42">
        <f>IFERROR(_xlfn.XLOOKUP(AV$7,'Product Tgt'!$B:$B,'Product Tgt'!$G:$G)*W40/W$60,0)</f>
        <v>16544.926658010994</v>
      </c>
      <c r="AW40" s="42">
        <f>IFERROR(_xlfn.XLOOKUP(AW$7,'Product Tgt'!$B:$B,'Product Tgt'!$G:$G)*X40/X$60,0)</f>
        <v>11519.990577708995</v>
      </c>
      <c r="AX40" s="42">
        <f>IFERROR(_xlfn.XLOOKUP(AX$7,'Product Tgt'!$B:$B,'Product Tgt'!$G:$G)*Y40/Y$60,0)</f>
        <v>5467.4320418137095</v>
      </c>
      <c r="AY40" s="42">
        <f>IFERROR(_xlfn.XLOOKUP(AY$7,'Product Tgt'!$B:$B,'Product Tgt'!$G:$G)*Z40/Z$60,0)</f>
        <v>19088.139128929692</v>
      </c>
      <c r="AZ40" s="42">
        <f>IFERROR(_xlfn.XLOOKUP(AZ$7,'Product Tgt'!$B:$B,'Product Tgt'!$G:$G)*AA40/AA$60,0)</f>
        <v>3612.4586583521304</v>
      </c>
      <c r="BA40" s="42">
        <f>IFERROR(_xlfn.XLOOKUP(BA$7,'Product Tgt'!$B:$B,'Product Tgt'!$G:$G)*AB40/AB$60,0)</f>
        <v>11543.263312401326</v>
      </c>
      <c r="BB40" s="42">
        <f>IFERROR(_xlfn.XLOOKUP(BB$7,'Product Tgt'!$B:$B,'Product Tgt'!$G:$G)*AC40/AC$60,0)</f>
        <v>4412.9943090814177</v>
      </c>
      <c r="BC40" s="42">
        <f>IFERROR(_xlfn.XLOOKUP(BC$7,'Product Tgt'!$B:$B,'Product Tgt'!$G:$G)*AD40/AD$60,0)</f>
        <v>4779.9454506177854</v>
      </c>
      <c r="BD40" s="42">
        <f>IFERROR(_xlfn.XLOOKUP(BD$7,'Product Tgt'!$B:$B,'Product Tgt'!$G:$G)*AE40/AE$60,0)</f>
        <v>808.96290327589918</v>
      </c>
      <c r="BE40" s="10">
        <f>ROUND(IFERROR(AF40/_xlfn.XLOOKUP(BE$7,'Product Tgt'!$B:$B,'Product Tgt'!$D:$D),0),0)</f>
        <v>0</v>
      </c>
      <c r="BF40" s="11">
        <f>ROUND(IFERROR(AG40/_xlfn.XLOOKUP(BF$7,'Product Tgt'!$B:$B,'Product Tgt'!$D:$D),0),0)</f>
        <v>0</v>
      </c>
      <c r="BG40" s="11">
        <f>ROUND(IFERROR(AH40/_xlfn.XLOOKUP(BG$7,'Product Tgt'!$B:$B,'Product Tgt'!$D:$D),0),0)</f>
        <v>0</v>
      </c>
      <c r="BH40" s="11">
        <f>ROUND(IFERROR(AI40/_xlfn.XLOOKUP(BH$7,'Product Tgt'!$B:$B,'Product Tgt'!$D:$D),0),0)</f>
        <v>0</v>
      </c>
      <c r="BI40" s="11">
        <f>ROUND(IFERROR(AM40/_xlfn.XLOOKUP(BI$7,'Product Tgt'!$B:$B,'Product Tgt'!$D:$D),0),0)</f>
        <v>0</v>
      </c>
      <c r="BJ40" s="11">
        <f>ROUND(IFERROR(#REF!/_xlfn.XLOOKUP(BJ$7,'Product Tgt'!$B:$B,'Product Tgt'!$D:$D),0),0)</f>
        <v>0</v>
      </c>
      <c r="BK40" s="11">
        <f>ROUND(IFERROR(#REF!/_xlfn.XLOOKUP(BK$7,'Product Tgt'!$B:$B,'Product Tgt'!$D:$D),0),0)</f>
        <v>0</v>
      </c>
      <c r="BL40" s="11">
        <f>ROUND(IFERROR(AN40/_xlfn.XLOOKUP(BL$7,'Product Tgt'!$B:$B,'Product Tgt'!$D:$D),0),0)</f>
        <v>0</v>
      </c>
      <c r="BM40" s="11">
        <f>ROUND(IFERROR(AQ40/_xlfn.XLOOKUP(BM$7,'Product Tgt'!$B:$B,'Product Tgt'!$D:$D),0),0)</f>
        <v>0</v>
      </c>
      <c r="BN40" s="11">
        <f>ROUND(IFERROR(AR40/_xlfn.XLOOKUP(BN$7,'Product Tgt'!$B:$B,'Product Tgt'!$D:$D),0),0)</f>
        <v>0</v>
      </c>
      <c r="BO40" s="11">
        <f>ROUND(IFERROR(AS40/_xlfn.XLOOKUP(BO$7,'Product Tgt'!$B:$B,'Product Tgt'!$D:$D),0),0)</f>
        <v>0</v>
      </c>
      <c r="BP40" s="11">
        <f>ROUND(IFERROR(AT40/_xlfn.XLOOKUP(BP$7,'Product Tgt'!$B:$B,'Product Tgt'!$D:$D),0),0)</f>
        <v>0</v>
      </c>
      <c r="BQ40" s="11">
        <f>ROUND(IFERROR(AU40/_xlfn.XLOOKUP(BQ$7,'Product Tgt'!$B:$B,'Product Tgt'!$D:$D),0),0)</f>
        <v>0</v>
      </c>
      <c r="BR40" s="11">
        <f>ROUND(IFERROR(AV40/_xlfn.XLOOKUP(BR$7,'Product Tgt'!$B:$B,'Product Tgt'!$D:$D),0),0)</f>
        <v>0</v>
      </c>
      <c r="BS40" s="11">
        <f>ROUND(IFERROR(AW40/_xlfn.XLOOKUP(BS$7,'Product Tgt'!$B:$B,'Product Tgt'!$D:$D),0),0)</f>
        <v>0</v>
      </c>
      <c r="BT40" s="11">
        <f>ROUND(IFERROR(AX40/_xlfn.XLOOKUP(BT$7,'Product Tgt'!$B:$B,'Product Tgt'!$D:$D),0),0)</f>
        <v>0</v>
      </c>
      <c r="BU40" s="11">
        <f>ROUND(IFERROR(AY40/_xlfn.XLOOKUP(BU$7,'Product Tgt'!$B:$B,'Product Tgt'!$D:$D),0),0)</f>
        <v>0</v>
      </c>
      <c r="BV40" s="11">
        <f>ROUND(IFERROR(AZ40/_xlfn.XLOOKUP(BV$7,'Product Tgt'!$B:$B,'Product Tgt'!$D:$D),0),0)</f>
        <v>0</v>
      </c>
      <c r="BW40" s="11">
        <f>ROUND(IFERROR(BA40/_xlfn.XLOOKUP(BW$7,'Product Tgt'!$B:$B,'Product Tgt'!$D:$D),0),0)</f>
        <v>0</v>
      </c>
      <c r="BX40" s="11">
        <f>ROUND(IFERROR(BB40/_xlfn.XLOOKUP(BX$7,'Product Tgt'!$B:$B,'Product Tgt'!$D:$D),0),0)</f>
        <v>0</v>
      </c>
      <c r="BY40" s="11">
        <f>ROUND(IFERROR(BC40/_xlfn.XLOOKUP(BY$7,'Product Tgt'!$B:$B,'Product Tgt'!$D:$D),0),0)</f>
        <v>0</v>
      </c>
      <c r="BZ40" s="13">
        <f>ROUND(IFERROR(BD40/_xlfn.XLOOKUP(BZ$7,'Product Tgt'!$B:$B,'Product Tgt'!$D:$D),0),0)</f>
        <v>0</v>
      </c>
    </row>
    <row r="41" spans="1:78" x14ac:dyDescent="0.25">
      <c r="A41" s="4" t="s">
        <v>60</v>
      </c>
      <c r="B41" s="3">
        <f>_xlfn.XLOOKUP(A41,'Terr Target'!$A:$A,'Terr Target'!$E:$E)</f>
        <v>304829.03267498466</v>
      </c>
      <c r="C41" s="3">
        <f t="shared" si="9"/>
        <v>304829.4575050461</v>
      </c>
      <c r="D41" s="5">
        <f t="shared" si="6"/>
        <v>0.42483006144175306</v>
      </c>
      <c r="E41" s="6">
        <f t="shared" si="7"/>
        <v>1.3936647229532287E-6</v>
      </c>
      <c r="F41" s="6">
        <f t="shared" si="8"/>
        <v>0.99999860633527704</v>
      </c>
      <c r="G41" s="49">
        <v>6125.1201038531062</v>
      </c>
      <c r="H41" s="50">
        <v>13045.77683825952</v>
      </c>
      <c r="I41" s="50">
        <v>49920.431534569951</v>
      </c>
      <c r="J41" s="50">
        <v>85520.167864192612</v>
      </c>
      <c r="K41" s="50">
        <v>6499.0438341244453</v>
      </c>
      <c r="L41" s="50">
        <v>4771.8054428558862</v>
      </c>
      <c r="M41" s="50">
        <v>0</v>
      </c>
      <c r="N41" s="50">
        <v>2129.0505250548867</v>
      </c>
      <c r="O41" s="50">
        <v>8477.7260635129733</v>
      </c>
      <c r="P41" s="50">
        <v>1580.3063453210118</v>
      </c>
      <c r="Q41" s="50">
        <v>2883.9099270527613</v>
      </c>
      <c r="R41" s="50">
        <v>0</v>
      </c>
      <c r="S41" s="50">
        <v>17162.065356495572</v>
      </c>
      <c r="T41" s="50">
        <v>7181.632430442045</v>
      </c>
      <c r="U41" s="50">
        <v>18407.163051710519</v>
      </c>
      <c r="V41" s="50">
        <v>4504.7440987675218</v>
      </c>
      <c r="W41" s="50">
        <v>8393.7421283564036</v>
      </c>
      <c r="X41" s="50">
        <v>5862.132458706752</v>
      </c>
      <c r="Y41" s="50">
        <v>4411.148624542393</v>
      </c>
      <c r="Z41" s="50">
        <v>34712.416971072707</v>
      </c>
      <c r="AA41" s="50">
        <v>3152.4652927580014</v>
      </c>
      <c r="AB41" s="50">
        <v>14925.076749693562</v>
      </c>
      <c r="AC41" s="50">
        <v>5026.5709564522895</v>
      </c>
      <c r="AD41" s="50">
        <v>5444.5424790277757</v>
      </c>
      <c r="AE41" s="51">
        <v>921.43999054926894</v>
      </c>
      <c r="AF41" s="42">
        <f>IFERROR(_xlfn.XLOOKUP(AF$7,'Product Tgt'!$B:$B,'Product Tgt'!$G:$G)*G41/G$60,0)</f>
        <v>6170.3445242450962</v>
      </c>
      <c r="AG41" s="42">
        <f>IFERROR(_xlfn.XLOOKUP(AG$7,'Product Tgt'!$B:$B,'Product Tgt'!$G:$G)*H41/H$60,0)</f>
        <v>13356.880872481468</v>
      </c>
      <c r="AH41" s="42">
        <f>IFERROR(_xlfn.XLOOKUP(AH$7,'Product Tgt'!$B:$B,'Product Tgt'!$G:$G)*I41/I$60,0)</f>
        <v>49853.435591881826</v>
      </c>
      <c r="AI41" s="42">
        <f>IFERROR(_xlfn.XLOOKUP(AI$7,'Product Tgt'!$B:$B,'Product Tgt'!$G:$G)*J41/J$60,0)</f>
        <v>85152.043818904116</v>
      </c>
      <c r="AJ41" s="42">
        <f>IFERROR(_xlfn.XLOOKUP(AJ$7,'Product Tgt'!$B:$B,'Product Tgt'!$G:$G)*K41/K$60,0)</f>
        <v>6392.3813203534155</v>
      </c>
      <c r="AK41" s="42">
        <f>IFERROR(_xlfn.XLOOKUP(AK$7,'Product Tgt'!$B:$B,'Product Tgt'!$G:$G)*L41/L$60,0)</f>
        <v>4911.0291177655827</v>
      </c>
      <c r="AL41" s="42">
        <f>IFERROR(_xlfn.XLOOKUP(AL$7,'Product Tgt'!$B:$B,'Product Tgt'!$G:$G)*M41/M$60,0)</f>
        <v>0</v>
      </c>
      <c r="AM41" s="42">
        <f>IFERROR(_xlfn.XLOOKUP(AM$7,'Product Tgt'!$B:$B,'Product Tgt'!$G:$G)*N41/N$60,0)</f>
        <v>2114.8442906621103</v>
      </c>
      <c r="AN41" s="42">
        <f>IFERROR(_xlfn.XLOOKUP(AN$7,'Product Tgt'!$B:$B,'Product Tgt'!$G:$G)*O41/O$60,0)</f>
        <v>9245.9905937095373</v>
      </c>
      <c r="AO41" s="42">
        <f>IFERROR(_xlfn.XLOOKUP(AO$7,'Product Tgt'!$B:$B,'Product Tgt'!$G:$G)*P41/P$60,0)</f>
        <v>1515.2316298859594</v>
      </c>
      <c r="AP41" s="42">
        <f>IFERROR(_xlfn.XLOOKUP(AP$7,'Product Tgt'!$B:$B,'Product Tgt'!$G:$G)*Q41/Q$60,0)</f>
        <v>2192.2038355613267</v>
      </c>
      <c r="AQ41" s="42">
        <f>IFERROR(_xlfn.XLOOKUP(AQ$7,'Product Tgt'!$B:$B,'Product Tgt'!$G:$G)*R41/R$60,0)</f>
        <v>0</v>
      </c>
      <c r="AR41" s="42">
        <f>IFERROR(_xlfn.XLOOKUP(AR$7,'Product Tgt'!$B:$B,'Product Tgt'!$G:$G)*S41/S$60,0)</f>
        <v>16620.442867186452</v>
      </c>
      <c r="AS41" s="42">
        <f>IFERROR(_xlfn.XLOOKUP(AS$7,'Product Tgt'!$B:$B,'Product Tgt'!$G:$G)*T41/T$60,0)</f>
        <v>6519.2479971097637</v>
      </c>
      <c r="AT41" s="42">
        <f>IFERROR(_xlfn.XLOOKUP(AT$7,'Product Tgt'!$B:$B,'Product Tgt'!$G:$G)*U41/U$60,0)</f>
        <v>15717.700556612661</v>
      </c>
      <c r="AU41" s="42">
        <f>IFERROR(_xlfn.XLOOKUP(AU$7,'Product Tgt'!$B:$B,'Product Tgt'!$G:$G)*V41/V$60,0)</f>
        <v>4746.8163218297168</v>
      </c>
      <c r="AV41" s="42">
        <f>IFERROR(_xlfn.XLOOKUP(AV$7,'Product Tgt'!$B:$B,'Product Tgt'!$G:$G)*W41/W$60,0)</f>
        <v>8091.0594132378083</v>
      </c>
      <c r="AW41" s="42">
        <f>IFERROR(_xlfn.XLOOKUP(AW$7,'Product Tgt'!$B:$B,'Product Tgt'!$G:$G)*X41/X$60,0)</f>
        <v>6047.3091902194265</v>
      </c>
      <c r="AX41" s="42">
        <f>IFERROR(_xlfn.XLOOKUP(AX$7,'Product Tgt'!$B:$B,'Product Tgt'!$G:$G)*Y41/Y$60,0)</f>
        <v>4245.161542916464</v>
      </c>
      <c r="AY41" s="42">
        <f>IFERROR(_xlfn.XLOOKUP(AY$7,'Product Tgt'!$B:$B,'Product Tgt'!$G:$G)*Z41/Z$60,0)</f>
        <v>33431.966498279209</v>
      </c>
      <c r="AZ41" s="42">
        <f>IFERROR(_xlfn.XLOOKUP(AZ$7,'Product Tgt'!$B:$B,'Product Tgt'!$G:$G)*AA41/AA$60,0)</f>
        <v>3150.7664605515156</v>
      </c>
      <c r="BA41" s="42">
        <f>IFERROR(_xlfn.XLOOKUP(BA$7,'Product Tgt'!$B:$B,'Product Tgt'!$G:$G)*AB41/AB$60,0)</f>
        <v>13940.961917326267</v>
      </c>
      <c r="BB41" s="42">
        <f>IFERROR(_xlfn.XLOOKUP(BB$7,'Product Tgt'!$B:$B,'Product Tgt'!$G:$G)*AC41/AC$60,0)</f>
        <v>5035.8743018239693</v>
      </c>
      <c r="BC41" s="42">
        <f>IFERROR(_xlfn.XLOOKUP(BC$7,'Product Tgt'!$B:$B,'Product Tgt'!$G:$G)*AD41/AD$60,0)</f>
        <v>5454.6194200501959</v>
      </c>
      <c r="BD41" s="42">
        <f>IFERROR(_xlfn.XLOOKUP(BD$7,'Product Tgt'!$B:$B,'Product Tgt'!$G:$G)*AE41/AE$60,0)</f>
        <v>923.14542245217501</v>
      </c>
      <c r="BE41" s="10">
        <f>ROUND(IFERROR(AF41/_xlfn.XLOOKUP(BE$7,'Product Tgt'!$B:$B,'Product Tgt'!$D:$D),0),0)</f>
        <v>0</v>
      </c>
      <c r="BF41" s="11">
        <f>ROUND(IFERROR(AG41/_xlfn.XLOOKUP(BF$7,'Product Tgt'!$B:$B,'Product Tgt'!$D:$D),0),0)</f>
        <v>0</v>
      </c>
      <c r="BG41" s="11">
        <f>ROUND(IFERROR(AH41/_xlfn.XLOOKUP(BG$7,'Product Tgt'!$B:$B,'Product Tgt'!$D:$D),0),0)</f>
        <v>0</v>
      </c>
      <c r="BH41" s="11">
        <f>ROUND(IFERROR(AI41/_xlfn.XLOOKUP(BH$7,'Product Tgt'!$B:$B,'Product Tgt'!$D:$D),0),0)</f>
        <v>0</v>
      </c>
      <c r="BI41" s="11">
        <f>ROUND(IFERROR(AM41/_xlfn.XLOOKUP(BI$7,'Product Tgt'!$B:$B,'Product Tgt'!$D:$D),0),0)</f>
        <v>0</v>
      </c>
      <c r="BJ41" s="11">
        <f>ROUND(IFERROR(#REF!/_xlfn.XLOOKUP(BJ$7,'Product Tgt'!$B:$B,'Product Tgt'!$D:$D),0),0)</f>
        <v>0</v>
      </c>
      <c r="BK41" s="11">
        <f>ROUND(IFERROR(#REF!/_xlfn.XLOOKUP(BK$7,'Product Tgt'!$B:$B,'Product Tgt'!$D:$D),0),0)</f>
        <v>0</v>
      </c>
      <c r="BL41" s="11">
        <f>ROUND(IFERROR(AN41/_xlfn.XLOOKUP(BL$7,'Product Tgt'!$B:$B,'Product Tgt'!$D:$D),0),0)</f>
        <v>0</v>
      </c>
      <c r="BM41" s="11">
        <f>ROUND(IFERROR(AQ41/_xlfn.XLOOKUP(BM$7,'Product Tgt'!$B:$B,'Product Tgt'!$D:$D),0),0)</f>
        <v>0</v>
      </c>
      <c r="BN41" s="11">
        <f>ROUND(IFERROR(AR41/_xlfn.XLOOKUP(BN$7,'Product Tgt'!$B:$B,'Product Tgt'!$D:$D),0),0)</f>
        <v>0</v>
      </c>
      <c r="BO41" s="11">
        <f>ROUND(IFERROR(AS41/_xlfn.XLOOKUP(BO$7,'Product Tgt'!$B:$B,'Product Tgt'!$D:$D),0),0)</f>
        <v>0</v>
      </c>
      <c r="BP41" s="11">
        <f>ROUND(IFERROR(AT41/_xlfn.XLOOKUP(BP$7,'Product Tgt'!$B:$B,'Product Tgt'!$D:$D),0),0)</f>
        <v>0</v>
      </c>
      <c r="BQ41" s="11">
        <f>ROUND(IFERROR(AU41/_xlfn.XLOOKUP(BQ$7,'Product Tgt'!$B:$B,'Product Tgt'!$D:$D),0),0)</f>
        <v>0</v>
      </c>
      <c r="BR41" s="11">
        <f>ROUND(IFERROR(AV41/_xlfn.XLOOKUP(BR$7,'Product Tgt'!$B:$B,'Product Tgt'!$D:$D),0),0)</f>
        <v>0</v>
      </c>
      <c r="BS41" s="11">
        <f>ROUND(IFERROR(AW41/_xlfn.XLOOKUP(BS$7,'Product Tgt'!$B:$B,'Product Tgt'!$D:$D),0),0)</f>
        <v>0</v>
      </c>
      <c r="BT41" s="11">
        <f>ROUND(IFERROR(AX41/_xlfn.XLOOKUP(BT$7,'Product Tgt'!$B:$B,'Product Tgt'!$D:$D),0),0)</f>
        <v>0</v>
      </c>
      <c r="BU41" s="11">
        <f>ROUND(IFERROR(AY41/_xlfn.XLOOKUP(BU$7,'Product Tgt'!$B:$B,'Product Tgt'!$D:$D),0),0)</f>
        <v>0</v>
      </c>
      <c r="BV41" s="11">
        <f>ROUND(IFERROR(AZ41/_xlfn.XLOOKUP(BV$7,'Product Tgt'!$B:$B,'Product Tgt'!$D:$D),0),0)</f>
        <v>0</v>
      </c>
      <c r="BW41" s="11">
        <f>ROUND(IFERROR(BA41/_xlfn.XLOOKUP(BW$7,'Product Tgt'!$B:$B,'Product Tgt'!$D:$D),0),0)</f>
        <v>0</v>
      </c>
      <c r="BX41" s="11">
        <f>ROUND(IFERROR(BB41/_xlfn.XLOOKUP(BX$7,'Product Tgt'!$B:$B,'Product Tgt'!$D:$D),0),0)</f>
        <v>0</v>
      </c>
      <c r="BY41" s="11">
        <f>ROUND(IFERROR(BC41/_xlfn.XLOOKUP(BY$7,'Product Tgt'!$B:$B,'Product Tgt'!$D:$D),0),0)</f>
        <v>0</v>
      </c>
      <c r="BZ41" s="13">
        <f>ROUND(IFERROR(BD41/_xlfn.XLOOKUP(BZ$7,'Product Tgt'!$B:$B,'Product Tgt'!$D:$D),0),0)</f>
        <v>0</v>
      </c>
    </row>
    <row r="42" spans="1:78" x14ac:dyDescent="0.25">
      <c r="A42" s="4" t="s">
        <v>89</v>
      </c>
      <c r="B42" s="3">
        <f>_xlfn.XLOOKUP(A42,'Terr Target'!$A:$A,'Terr Target'!$E:$E)</f>
        <v>400902.54117858794</v>
      </c>
      <c r="C42" s="3">
        <f t="shared" si="9"/>
        <v>400902.34750597092</v>
      </c>
      <c r="D42" s="5">
        <f t="shared" si="6"/>
        <v>-0.19367261702427641</v>
      </c>
      <c r="E42" s="6">
        <f t="shared" si="7"/>
        <v>4.8309175096908586E-7</v>
      </c>
      <c r="F42" s="6">
        <f t="shared" si="8"/>
        <v>1.000000483091751</v>
      </c>
      <c r="G42" s="49">
        <v>12395.369885818884</v>
      </c>
      <c r="H42" s="50">
        <v>24477.053740918349</v>
      </c>
      <c r="I42" s="50">
        <v>98482.08006980989</v>
      </c>
      <c r="J42" s="50">
        <v>129644.89410717109</v>
      </c>
      <c r="K42" s="50">
        <v>13144.527470429</v>
      </c>
      <c r="L42" s="50">
        <v>5271.9002164620142</v>
      </c>
      <c r="M42" s="50">
        <v>0</v>
      </c>
      <c r="N42" s="50">
        <v>1646.1517156407353</v>
      </c>
      <c r="O42" s="50">
        <v>5557.9898242479303</v>
      </c>
      <c r="P42" s="50">
        <v>659.7853145571022</v>
      </c>
      <c r="Q42" s="50">
        <v>1293.5597461165162</v>
      </c>
      <c r="R42" s="50">
        <v>1565.4296697945142</v>
      </c>
      <c r="S42" s="50">
        <v>10391.177161507425</v>
      </c>
      <c r="T42" s="50">
        <v>4029.4390105554635</v>
      </c>
      <c r="U42" s="50">
        <v>16715.012879943079</v>
      </c>
      <c r="V42" s="50">
        <v>2758.0366832888299</v>
      </c>
      <c r="W42" s="50">
        <v>12434.295894749454</v>
      </c>
      <c r="X42" s="50">
        <v>20731.81774632644</v>
      </c>
      <c r="Y42" s="50">
        <v>4286.6978826730319</v>
      </c>
      <c r="Z42" s="50">
        <v>19018.882687186622</v>
      </c>
      <c r="AA42" s="50">
        <v>3559.0454378252794</v>
      </c>
      <c r="AB42" s="50">
        <v>8949.4697820209731</v>
      </c>
      <c r="AC42" s="50">
        <v>3660.8724510688553</v>
      </c>
      <c r="AD42" s="50">
        <v>3965.2828424836548</v>
      </c>
      <c r="AE42" s="51">
        <v>671.08856234982773</v>
      </c>
      <c r="AF42" s="42">
        <f>IFERROR(_xlfn.XLOOKUP(AF$7,'Product Tgt'!$B:$B,'Product Tgt'!$G:$G)*G42/G$60,0)</f>
        <v>12486.890282011254</v>
      </c>
      <c r="AG42" s="42">
        <f>IFERROR(_xlfn.XLOOKUP(AG$7,'Product Tgt'!$B:$B,'Product Tgt'!$G:$G)*H42/H$60,0)</f>
        <v>25060.760656886341</v>
      </c>
      <c r="AH42" s="42">
        <f>IFERROR(_xlfn.XLOOKUP(AH$7,'Product Tgt'!$B:$B,'Product Tgt'!$G:$G)*I42/I$60,0)</f>
        <v>98349.911745351492</v>
      </c>
      <c r="AI42" s="42">
        <f>IFERROR(_xlfn.XLOOKUP(AI$7,'Product Tgt'!$B:$B,'Product Tgt'!$G:$G)*J42/J$60,0)</f>
        <v>129086.83389679452</v>
      </c>
      <c r="AJ42" s="42">
        <f>IFERROR(_xlfn.XLOOKUP(AJ$7,'Product Tgt'!$B:$B,'Product Tgt'!$G:$G)*K42/K$60,0)</f>
        <v>12928.799068203631</v>
      </c>
      <c r="AK42" s="42">
        <f>IFERROR(_xlfn.XLOOKUP(AK$7,'Product Tgt'!$B:$B,'Product Tgt'!$G:$G)*L42/L$60,0)</f>
        <v>5425.7148115209839</v>
      </c>
      <c r="AL42" s="42">
        <f>IFERROR(_xlfn.XLOOKUP(AL$7,'Product Tgt'!$B:$B,'Product Tgt'!$G:$G)*M42/M$60,0)</f>
        <v>0</v>
      </c>
      <c r="AM42" s="42">
        <f>IFERROR(_xlfn.XLOOKUP(AM$7,'Product Tgt'!$B:$B,'Product Tgt'!$G:$G)*N42/N$60,0)</f>
        <v>1635.1676563883789</v>
      </c>
      <c r="AN42" s="42">
        <f>IFERROR(_xlfn.XLOOKUP(AN$7,'Product Tgt'!$B:$B,'Product Tgt'!$G:$G)*O42/O$60,0)</f>
        <v>6061.6633811868205</v>
      </c>
      <c r="AO42" s="42">
        <f>IFERROR(_xlfn.XLOOKUP(AO$7,'Product Tgt'!$B:$B,'Product Tgt'!$G:$G)*P42/P$60,0)</f>
        <v>632.6163155081814</v>
      </c>
      <c r="AP42" s="42">
        <f>IFERROR(_xlfn.XLOOKUP(AP$7,'Product Tgt'!$B:$B,'Product Tgt'!$G:$G)*Q42/Q$60,0)</f>
        <v>983.29930847125343</v>
      </c>
      <c r="AQ42" s="42">
        <f>IFERROR(_xlfn.XLOOKUP(AQ$7,'Product Tgt'!$B:$B,'Product Tgt'!$G:$G)*R42/R$60,0)</f>
        <v>1306.19220164783</v>
      </c>
      <c r="AR42" s="42">
        <f>IFERROR(_xlfn.XLOOKUP(AR$7,'Product Tgt'!$B:$B,'Product Tgt'!$G:$G)*S42/S$60,0)</f>
        <v>10063.239053583975</v>
      </c>
      <c r="AS42" s="42">
        <f>IFERROR(_xlfn.XLOOKUP(AS$7,'Product Tgt'!$B:$B,'Product Tgt'!$G:$G)*T42/T$60,0)</f>
        <v>3657.7912408450493</v>
      </c>
      <c r="AT42" s="42">
        <f>IFERROR(_xlfn.XLOOKUP(AT$7,'Product Tgt'!$B:$B,'Product Tgt'!$G:$G)*U42/U$60,0)</f>
        <v>14272.789701966336</v>
      </c>
      <c r="AU42" s="42">
        <f>IFERROR(_xlfn.XLOOKUP(AU$7,'Product Tgt'!$B:$B,'Product Tgt'!$G:$G)*V42/V$60,0)</f>
        <v>2906.24578386648</v>
      </c>
      <c r="AV42" s="42">
        <f>IFERROR(_xlfn.XLOOKUP(AV$7,'Product Tgt'!$B:$B,'Product Tgt'!$G:$G)*W42/W$60,0)</f>
        <v>11985.908705286469</v>
      </c>
      <c r="AW42" s="42">
        <f>IFERROR(_xlfn.XLOOKUP(AW$7,'Product Tgt'!$B:$B,'Product Tgt'!$G:$G)*X42/X$60,0)</f>
        <v>21386.707460201676</v>
      </c>
      <c r="AX42" s="42">
        <f>IFERROR(_xlfn.XLOOKUP(AX$7,'Product Tgt'!$B:$B,'Product Tgt'!$G:$G)*Y42/Y$60,0)</f>
        <v>4125.3937571674533</v>
      </c>
      <c r="AY42" s="42">
        <f>IFERROR(_xlfn.XLOOKUP(AY$7,'Product Tgt'!$B:$B,'Product Tgt'!$G:$G)*Z42/Z$60,0)</f>
        <v>18317.325738585023</v>
      </c>
      <c r="AZ42" s="42">
        <f>IFERROR(_xlfn.XLOOKUP(AZ$7,'Product Tgt'!$B:$B,'Product Tgt'!$G:$G)*AA42/AA$60,0)</f>
        <v>3557.1275036205752</v>
      </c>
      <c r="BA42" s="42">
        <f>IFERROR(_xlfn.XLOOKUP(BA$7,'Product Tgt'!$B:$B,'Product Tgt'!$G:$G)*AB42/AB$60,0)</f>
        <v>8359.3685649876625</v>
      </c>
      <c r="BB42" s="42">
        <f>IFERROR(_xlfn.XLOOKUP(BB$7,'Product Tgt'!$B:$B,'Product Tgt'!$G:$G)*AC42/AC$60,0)</f>
        <v>3667.6481160438502</v>
      </c>
      <c r="BC42" s="42">
        <f>IFERROR(_xlfn.XLOOKUP(BC$7,'Product Tgt'!$B:$B,'Product Tgt'!$G:$G)*AD42/AD$60,0)</f>
        <v>3972.6219203758451</v>
      </c>
      <c r="BD42" s="42">
        <f>IFERROR(_xlfn.XLOOKUP(BD$7,'Product Tgt'!$B:$B,'Product Tgt'!$G:$G)*AE42/AE$60,0)</f>
        <v>672.33063546977621</v>
      </c>
      <c r="BE42" s="10">
        <f>ROUND(IFERROR(AF42/_xlfn.XLOOKUP(BE$7,'Product Tgt'!$B:$B,'Product Tgt'!$D:$D),0),0)</f>
        <v>0</v>
      </c>
      <c r="BF42" s="11">
        <f>ROUND(IFERROR(AG42/_xlfn.XLOOKUP(BF$7,'Product Tgt'!$B:$B,'Product Tgt'!$D:$D),0),0)</f>
        <v>0</v>
      </c>
      <c r="BG42" s="11">
        <f>ROUND(IFERROR(AH42/_xlfn.XLOOKUP(BG$7,'Product Tgt'!$B:$B,'Product Tgt'!$D:$D),0),0)</f>
        <v>0</v>
      </c>
      <c r="BH42" s="11">
        <f>ROUND(IFERROR(AI42/_xlfn.XLOOKUP(BH$7,'Product Tgt'!$B:$B,'Product Tgt'!$D:$D),0),0)</f>
        <v>0</v>
      </c>
      <c r="BI42" s="11">
        <f>ROUND(IFERROR(AM42/_xlfn.XLOOKUP(BI$7,'Product Tgt'!$B:$B,'Product Tgt'!$D:$D),0),0)</f>
        <v>0</v>
      </c>
      <c r="BJ42" s="11">
        <f>ROUND(IFERROR(#REF!/_xlfn.XLOOKUP(BJ$7,'Product Tgt'!$B:$B,'Product Tgt'!$D:$D),0),0)</f>
        <v>0</v>
      </c>
      <c r="BK42" s="11">
        <f>ROUND(IFERROR(#REF!/_xlfn.XLOOKUP(BK$7,'Product Tgt'!$B:$B,'Product Tgt'!$D:$D),0),0)</f>
        <v>0</v>
      </c>
      <c r="BL42" s="11">
        <f>ROUND(IFERROR(AN42/_xlfn.XLOOKUP(BL$7,'Product Tgt'!$B:$B,'Product Tgt'!$D:$D),0),0)</f>
        <v>0</v>
      </c>
      <c r="BM42" s="11">
        <f>ROUND(IFERROR(AQ42/_xlfn.XLOOKUP(BM$7,'Product Tgt'!$B:$B,'Product Tgt'!$D:$D),0),0)</f>
        <v>0</v>
      </c>
      <c r="BN42" s="11">
        <f>ROUND(IFERROR(AR42/_xlfn.XLOOKUP(BN$7,'Product Tgt'!$B:$B,'Product Tgt'!$D:$D),0),0)</f>
        <v>0</v>
      </c>
      <c r="BO42" s="11">
        <f>ROUND(IFERROR(AS42/_xlfn.XLOOKUP(BO$7,'Product Tgt'!$B:$B,'Product Tgt'!$D:$D),0),0)</f>
        <v>0</v>
      </c>
      <c r="BP42" s="11">
        <f>ROUND(IFERROR(AT42/_xlfn.XLOOKUP(BP$7,'Product Tgt'!$B:$B,'Product Tgt'!$D:$D),0),0)</f>
        <v>0</v>
      </c>
      <c r="BQ42" s="11">
        <f>ROUND(IFERROR(AU42/_xlfn.XLOOKUP(BQ$7,'Product Tgt'!$B:$B,'Product Tgt'!$D:$D),0),0)</f>
        <v>0</v>
      </c>
      <c r="BR42" s="11">
        <f>ROUND(IFERROR(AV42/_xlfn.XLOOKUP(BR$7,'Product Tgt'!$B:$B,'Product Tgt'!$D:$D),0),0)</f>
        <v>0</v>
      </c>
      <c r="BS42" s="11">
        <f>ROUND(IFERROR(AW42/_xlfn.XLOOKUP(BS$7,'Product Tgt'!$B:$B,'Product Tgt'!$D:$D),0),0)</f>
        <v>0</v>
      </c>
      <c r="BT42" s="11">
        <f>ROUND(IFERROR(AX42/_xlfn.XLOOKUP(BT$7,'Product Tgt'!$B:$B,'Product Tgt'!$D:$D),0),0)</f>
        <v>0</v>
      </c>
      <c r="BU42" s="11">
        <f>ROUND(IFERROR(AY42/_xlfn.XLOOKUP(BU$7,'Product Tgt'!$B:$B,'Product Tgt'!$D:$D),0),0)</f>
        <v>0</v>
      </c>
      <c r="BV42" s="11">
        <f>ROUND(IFERROR(AZ42/_xlfn.XLOOKUP(BV$7,'Product Tgt'!$B:$B,'Product Tgt'!$D:$D),0),0)</f>
        <v>0</v>
      </c>
      <c r="BW42" s="11">
        <f>ROUND(IFERROR(BA42/_xlfn.XLOOKUP(BW$7,'Product Tgt'!$B:$B,'Product Tgt'!$D:$D),0),0)</f>
        <v>0</v>
      </c>
      <c r="BX42" s="11">
        <f>ROUND(IFERROR(BB42/_xlfn.XLOOKUP(BX$7,'Product Tgt'!$B:$B,'Product Tgt'!$D:$D),0),0)</f>
        <v>0</v>
      </c>
      <c r="BY42" s="11">
        <f>ROUND(IFERROR(BC42/_xlfn.XLOOKUP(BY$7,'Product Tgt'!$B:$B,'Product Tgt'!$D:$D),0),0)</f>
        <v>0</v>
      </c>
      <c r="BZ42" s="13">
        <f>ROUND(IFERROR(BD42/_xlfn.XLOOKUP(BZ$7,'Product Tgt'!$B:$B,'Product Tgt'!$D:$D),0),0)</f>
        <v>0</v>
      </c>
    </row>
    <row r="43" spans="1:78" x14ac:dyDescent="0.25">
      <c r="A43" s="4" t="s">
        <v>61</v>
      </c>
      <c r="B43" s="3">
        <f>_xlfn.XLOOKUP(A43,'Terr Target'!$A:$A,'Terr Target'!$E:$E)</f>
        <v>493963.14619969093</v>
      </c>
      <c r="C43" s="3">
        <f t="shared" si="9"/>
        <v>493962.88562807709</v>
      </c>
      <c r="D43" s="5">
        <f t="shared" si="6"/>
        <v>-0.26057161384960636</v>
      </c>
      <c r="E43" s="6">
        <f t="shared" si="7"/>
        <v>5.2751253470852948E-7</v>
      </c>
      <c r="F43" s="6">
        <f t="shared" si="8"/>
        <v>1.0000005275125348</v>
      </c>
      <c r="G43" s="49">
        <v>36762.574107645189</v>
      </c>
      <c r="H43" s="50">
        <v>24855.243278021193</v>
      </c>
      <c r="I43" s="50">
        <v>119230.33186740248</v>
      </c>
      <c r="J43" s="50">
        <v>127539.01393236392</v>
      </c>
      <c r="K43" s="50">
        <v>12513.108115336852</v>
      </c>
      <c r="L43" s="50">
        <v>4606.4236909914889</v>
      </c>
      <c r="M43" s="50">
        <v>0</v>
      </c>
      <c r="N43" s="50">
        <v>4542.3289482118153</v>
      </c>
      <c r="O43" s="50">
        <v>14261.618330416544</v>
      </c>
      <c r="P43" s="50">
        <v>1373.4860720526672</v>
      </c>
      <c r="Q43" s="50">
        <v>1765.0241908594239</v>
      </c>
      <c r="R43" s="50">
        <v>2116.6552110705834</v>
      </c>
      <c r="S43" s="50">
        <v>16171.738214682895</v>
      </c>
      <c r="T43" s="50">
        <v>7596.6802894888351</v>
      </c>
      <c r="U43" s="50">
        <v>13796.873616176987</v>
      </c>
      <c r="V43" s="50">
        <v>4508.3958457265462</v>
      </c>
      <c r="W43" s="50">
        <v>15017.11763649046</v>
      </c>
      <c r="X43" s="50">
        <v>17785.069167609508</v>
      </c>
      <c r="Y43" s="50">
        <v>4840.5057776377926</v>
      </c>
      <c r="Z43" s="50">
        <v>39354.041322696801</v>
      </c>
      <c r="AA43" s="50">
        <v>3659.8872534096658</v>
      </c>
      <c r="AB43" s="50">
        <v>16831.663640224062</v>
      </c>
      <c r="AC43" s="50">
        <v>4416.8609155137192</v>
      </c>
      <c r="AD43" s="50">
        <v>4784.1335747192297</v>
      </c>
      <c r="AE43" s="51">
        <v>809.67170572299597</v>
      </c>
      <c r="AF43" s="42">
        <f>IFERROR(_xlfn.XLOOKUP(AF$7,'Product Tgt'!$B:$B,'Product Tgt'!$G:$G)*G43/G$60,0)</f>
        <v>37034.008149418507</v>
      </c>
      <c r="AG43" s="42">
        <f>IFERROR(_xlfn.XLOOKUP(AG$7,'Product Tgt'!$B:$B,'Product Tgt'!$G:$G)*H43/H$60,0)</f>
        <v>25447.968920290568</v>
      </c>
      <c r="AH43" s="42">
        <f>IFERROR(_xlfn.XLOOKUP(AH$7,'Product Tgt'!$B:$B,'Product Tgt'!$G:$G)*I43/I$60,0)</f>
        <v>119070.31825704451</v>
      </c>
      <c r="AI43" s="42">
        <f>IFERROR(_xlfn.XLOOKUP(AI$7,'Product Tgt'!$B:$B,'Product Tgt'!$G:$G)*J43/J$60,0)</f>
        <v>126990.01854433514</v>
      </c>
      <c r="AJ43" s="42">
        <f>IFERROR(_xlfn.XLOOKUP(AJ$7,'Product Tgt'!$B:$B,'Product Tgt'!$G:$G)*K43/K$60,0)</f>
        <v>12307.742587616834</v>
      </c>
      <c r="AK43" s="42">
        <f>IFERROR(_xlfn.XLOOKUP(AK$7,'Product Tgt'!$B:$B,'Product Tgt'!$G:$G)*L43/L$60,0)</f>
        <v>4740.8221366387397</v>
      </c>
      <c r="AL43" s="42">
        <f>IFERROR(_xlfn.XLOOKUP(AL$7,'Product Tgt'!$B:$B,'Product Tgt'!$G:$G)*M43/M$60,0)</f>
        <v>0</v>
      </c>
      <c r="AM43" s="42">
        <f>IFERROR(_xlfn.XLOOKUP(AM$7,'Product Tgt'!$B:$B,'Product Tgt'!$G:$G)*N43/N$60,0)</f>
        <v>4512.0199494501594</v>
      </c>
      <c r="AN43" s="42">
        <f>IFERROR(_xlfn.XLOOKUP(AN$7,'Product Tgt'!$B:$B,'Product Tgt'!$G:$G)*O43/O$60,0)</f>
        <v>15554.028043159724</v>
      </c>
      <c r="AO43" s="42">
        <f>IFERROR(_xlfn.XLOOKUP(AO$7,'Product Tgt'!$B:$B,'Product Tgt'!$G:$G)*P43/P$60,0)</f>
        <v>1316.9279144793143</v>
      </c>
      <c r="AP43" s="42">
        <f>IFERROR(_xlfn.XLOOKUP(AP$7,'Product Tgt'!$B:$B,'Product Tgt'!$G:$G)*Q43/Q$60,0)</f>
        <v>1341.6829578359325</v>
      </c>
      <c r="AQ43" s="42">
        <f>IFERROR(_xlfn.XLOOKUP(AQ$7,'Product Tgt'!$B:$B,'Product Tgt'!$G:$G)*R43/R$60,0)</f>
        <v>1766.1339781815641</v>
      </c>
      <c r="AR43" s="42">
        <f>IFERROR(_xlfn.XLOOKUP(AR$7,'Product Tgt'!$B:$B,'Product Tgt'!$G:$G)*S43/S$60,0)</f>
        <v>15661.369740589136</v>
      </c>
      <c r="AS43" s="42">
        <f>IFERROR(_xlfn.XLOOKUP(AS$7,'Product Tgt'!$B:$B,'Product Tgt'!$G:$G)*T43/T$60,0)</f>
        <v>6896.0146932617326</v>
      </c>
      <c r="AT43" s="42">
        <f>IFERROR(_xlfn.XLOOKUP(AT$7,'Product Tgt'!$B:$B,'Product Tgt'!$G:$G)*U43/U$60,0)</f>
        <v>11781.018482168978</v>
      </c>
      <c r="AU43" s="42">
        <f>IFERROR(_xlfn.XLOOKUP(AU$7,'Product Tgt'!$B:$B,'Product Tgt'!$G:$G)*V43/V$60,0)</f>
        <v>4750.6643033550235</v>
      </c>
      <c r="AV43" s="42">
        <f>IFERROR(_xlfn.XLOOKUP(AV$7,'Product Tgt'!$B:$B,'Product Tgt'!$G:$G)*W43/W$60,0)</f>
        <v>14475.592549114643</v>
      </c>
      <c r="AW43" s="42">
        <f>IFERROR(_xlfn.XLOOKUP(AW$7,'Product Tgt'!$B:$B,'Product Tgt'!$G:$G)*X43/X$60,0)</f>
        <v>18346.875131801477</v>
      </c>
      <c r="AX43" s="42">
        <f>IFERROR(_xlfn.XLOOKUP(AX$7,'Product Tgt'!$B:$B,'Product Tgt'!$G:$G)*Y43/Y$60,0)</f>
        <v>4658.3624186148591</v>
      </c>
      <c r="AY43" s="42">
        <f>IFERROR(_xlfn.XLOOKUP(AY$7,'Product Tgt'!$B:$B,'Product Tgt'!$G:$G)*Z43/Z$60,0)</f>
        <v>37902.373440855699</v>
      </c>
      <c r="AZ43" s="42">
        <f>IFERROR(_xlfn.XLOOKUP(AZ$7,'Product Tgt'!$B:$B,'Product Tgt'!$G:$G)*AA43/AA$60,0)</f>
        <v>3657.9149765530474</v>
      </c>
      <c r="BA43" s="42">
        <f>IFERROR(_xlfn.XLOOKUP(BA$7,'Product Tgt'!$B:$B,'Product Tgt'!$G:$G)*AB43/AB$60,0)</f>
        <v>15721.834182087314</v>
      </c>
      <c r="BB43" s="42">
        <f>IFERROR(_xlfn.XLOOKUP(BB$7,'Product Tgt'!$B:$B,'Product Tgt'!$G:$G)*AC43/AC$60,0)</f>
        <v>4425.0357891824078</v>
      </c>
      <c r="BC43" s="42">
        <f>IFERROR(_xlfn.XLOOKUP(BC$7,'Product Tgt'!$B:$B,'Product Tgt'!$G:$G)*AD43/AD$60,0)</f>
        <v>4792.9882088894165</v>
      </c>
      <c r="BD43" s="42">
        <f>IFERROR(_xlfn.XLOOKUP(BD$7,'Product Tgt'!$B:$B,'Product Tgt'!$G:$G)*AE43/AE$60,0)</f>
        <v>811.17027315221867</v>
      </c>
      <c r="BE43" s="10">
        <f>ROUND(IFERROR(AF43/_xlfn.XLOOKUP(BE$7,'Product Tgt'!$B:$B,'Product Tgt'!$D:$D),0),0)</f>
        <v>0</v>
      </c>
      <c r="BF43" s="11">
        <f>ROUND(IFERROR(AG43/_xlfn.XLOOKUP(BF$7,'Product Tgt'!$B:$B,'Product Tgt'!$D:$D),0),0)</f>
        <v>0</v>
      </c>
      <c r="BG43" s="11">
        <f>ROUND(IFERROR(AH43/_xlfn.XLOOKUP(BG$7,'Product Tgt'!$B:$B,'Product Tgt'!$D:$D),0),0)</f>
        <v>0</v>
      </c>
      <c r="BH43" s="11">
        <f>ROUND(IFERROR(AI43/_xlfn.XLOOKUP(BH$7,'Product Tgt'!$B:$B,'Product Tgt'!$D:$D),0),0)</f>
        <v>0</v>
      </c>
      <c r="BI43" s="11">
        <f>ROUND(IFERROR(AM43/_xlfn.XLOOKUP(BI$7,'Product Tgt'!$B:$B,'Product Tgt'!$D:$D),0),0)</f>
        <v>0</v>
      </c>
      <c r="BJ43" s="11">
        <f>ROUND(IFERROR(#REF!/_xlfn.XLOOKUP(BJ$7,'Product Tgt'!$B:$B,'Product Tgt'!$D:$D),0),0)</f>
        <v>0</v>
      </c>
      <c r="BK43" s="11">
        <f>ROUND(IFERROR(#REF!/_xlfn.XLOOKUP(BK$7,'Product Tgt'!$B:$B,'Product Tgt'!$D:$D),0),0)</f>
        <v>0</v>
      </c>
      <c r="BL43" s="11">
        <f>ROUND(IFERROR(AN43/_xlfn.XLOOKUP(BL$7,'Product Tgt'!$B:$B,'Product Tgt'!$D:$D),0),0)</f>
        <v>0</v>
      </c>
      <c r="BM43" s="11">
        <f>ROUND(IFERROR(AQ43/_xlfn.XLOOKUP(BM$7,'Product Tgt'!$B:$B,'Product Tgt'!$D:$D),0),0)</f>
        <v>0</v>
      </c>
      <c r="BN43" s="11">
        <f>ROUND(IFERROR(AR43/_xlfn.XLOOKUP(BN$7,'Product Tgt'!$B:$B,'Product Tgt'!$D:$D),0),0)</f>
        <v>0</v>
      </c>
      <c r="BO43" s="11">
        <f>ROUND(IFERROR(AS43/_xlfn.XLOOKUP(BO$7,'Product Tgt'!$B:$B,'Product Tgt'!$D:$D),0),0)</f>
        <v>0</v>
      </c>
      <c r="BP43" s="11">
        <f>ROUND(IFERROR(AT43/_xlfn.XLOOKUP(BP$7,'Product Tgt'!$B:$B,'Product Tgt'!$D:$D),0),0)</f>
        <v>0</v>
      </c>
      <c r="BQ43" s="11">
        <f>ROUND(IFERROR(AU43/_xlfn.XLOOKUP(BQ$7,'Product Tgt'!$B:$B,'Product Tgt'!$D:$D),0),0)</f>
        <v>0</v>
      </c>
      <c r="BR43" s="11">
        <f>ROUND(IFERROR(AV43/_xlfn.XLOOKUP(BR$7,'Product Tgt'!$B:$B,'Product Tgt'!$D:$D),0),0)</f>
        <v>0</v>
      </c>
      <c r="BS43" s="11">
        <f>ROUND(IFERROR(AW43/_xlfn.XLOOKUP(BS$7,'Product Tgt'!$B:$B,'Product Tgt'!$D:$D),0),0)</f>
        <v>0</v>
      </c>
      <c r="BT43" s="11">
        <f>ROUND(IFERROR(AX43/_xlfn.XLOOKUP(BT$7,'Product Tgt'!$B:$B,'Product Tgt'!$D:$D),0),0)</f>
        <v>0</v>
      </c>
      <c r="BU43" s="11">
        <f>ROUND(IFERROR(AY43/_xlfn.XLOOKUP(BU$7,'Product Tgt'!$B:$B,'Product Tgt'!$D:$D),0),0)</f>
        <v>0</v>
      </c>
      <c r="BV43" s="11">
        <f>ROUND(IFERROR(AZ43/_xlfn.XLOOKUP(BV$7,'Product Tgt'!$B:$B,'Product Tgt'!$D:$D),0),0)</f>
        <v>0</v>
      </c>
      <c r="BW43" s="11">
        <f>ROUND(IFERROR(BA43/_xlfn.XLOOKUP(BW$7,'Product Tgt'!$B:$B,'Product Tgt'!$D:$D),0),0)</f>
        <v>0</v>
      </c>
      <c r="BX43" s="11">
        <f>ROUND(IFERROR(BB43/_xlfn.XLOOKUP(BX$7,'Product Tgt'!$B:$B,'Product Tgt'!$D:$D),0),0)</f>
        <v>0</v>
      </c>
      <c r="BY43" s="11">
        <f>ROUND(IFERROR(BC43/_xlfn.XLOOKUP(BY$7,'Product Tgt'!$B:$B,'Product Tgt'!$D:$D),0),0)</f>
        <v>0</v>
      </c>
      <c r="BZ43" s="13">
        <f>ROUND(IFERROR(BD43/_xlfn.XLOOKUP(BZ$7,'Product Tgt'!$B:$B,'Product Tgt'!$D:$D),0),0)</f>
        <v>0</v>
      </c>
    </row>
    <row r="44" spans="1:78" x14ac:dyDescent="0.25">
      <c r="A44" s="4" t="s">
        <v>62</v>
      </c>
      <c r="B44" s="3">
        <f>_xlfn.XLOOKUP(A44,'Terr Target'!$A:$A,'Terr Target'!$E:$E)</f>
        <v>309246.57749646285</v>
      </c>
      <c r="C44" s="3">
        <f t="shared" si="9"/>
        <v>309246.29991225863</v>
      </c>
      <c r="D44" s="5">
        <f t="shared" si="6"/>
        <v>-0.27758420421741903</v>
      </c>
      <c r="E44" s="6">
        <f t="shared" si="7"/>
        <v>8.9761528042914992E-7</v>
      </c>
      <c r="F44" s="6">
        <f t="shared" si="8"/>
        <v>1.0000008976152803</v>
      </c>
      <c r="G44" s="49">
        <v>22320.307876691255</v>
      </c>
      <c r="H44" s="50">
        <v>18254.415980273927</v>
      </c>
      <c r="I44" s="50">
        <v>80197.699225894918</v>
      </c>
      <c r="J44" s="50">
        <v>74462.611183625617</v>
      </c>
      <c r="K44" s="50">
        <v>8928.6619350301735</v>
      </c>
      <c r="L44" s="50">
        <v>4660.6253865169801</v>
      </c>
      <c r="M44" s="50">
        <v>0</v>
      </c>
      <c r="N44" s="50">
        <v>2115.412120550508</v>
      </c>
      <c r="O44" s="50">
        <v>7608.6000607468595</v>
      </c>
      <c r="P44" s="50">
        <v>1127.9892729781031</v>
      </c>
      <c r="Q44" s="50">
        <v>1151.8224390705593</v>
      </c>
      <c r="R44" s="50">
        <v>1949.2132305578159</v>
      </c>
      <c r="S44" s="50">
        <v>11169.220794446595</v>
      </c>
      <c r="T44" s="50">
        <v>4298.514051504475</v>
      </c>
      <c r="U44" s="50">
        <v>9181.8604254151924</v>
      </c>
      <c r="V44" s="50">
        <v>2457.7010162824031</v>
      </c>
      <c r="W44" s="50">
        <v>7875.3184197081573</v>
      </c>
      <c r="X44" s="50">
        <v>10222.33744870923</v>
      </c>
      <c r="Y44" s="50">
        <v>1686.2341958421503</v>
      </c>
      <c r="Z44" s="50">
        <v>24272.828197778137</v>
      </c>
      <c r="AA44" s="50">
        <v>2783.836433351044</v>
      </c>
      <c r="AB44" s="50">
        <v>9237.7995098962219</v>
      </c>
      <c r="AC44" s="50">
        <v>2898.2560175102058</v>
      </c>
      <c r="AD44" s="50">
        <v>3139.2530094848885</v>
      </c>
      <c r="AE44" s="51">
        <v>531.29042055119635</v>
      </c>
      <c r="AF44" s="42">
        <f>IFERROR(_xlfn.XLOOKUP(AF$7,'Product Tgt'!$B:$B,'Product Tgt'!$G:$G)*G44/G$60,0)</f>
        <v>22485.108398081709</v>
      </c>
      <c r="AG44" s="42">
        <f>IFERROR(_xlfn.XLOOKUP(AG$7,'Product Tgt'!$B:$B,'Product Tgt'!$G:$G)*H44/H$60,0)</f>
        <v>18689.730988666059</v>
      </c>
      <c r="AH44" s="42">
        <f>IFERROR(_xlfn.XLOOKUP(AH$7,'Product Tgt'!$B:$B,'Product Tgt'!$G:$G)*I44/I$60,0)</f>
        <v>80090.069538091906</v>
      </c>
      <c r="AI44" s="42">
        <f>IFERROR(_xlfn.XLOOKUP(AI$7,'Product Tgt'!$B:$B,'Product Tgt'!$G:$G)*J44/J$60,0)</f>
        <v>74142.084712078096</v>
      </c>
      <c r="AJ44" s="42">
        <f>IFERROR(_xlfn.XLOOKUP(AJ$7,'Product Tgt'!$B:$B,'Product Tgt'!$G:$G)*K44/K$60,0)</f>
        <v>8782.1244518389522</v>
      </c>
      <c r="AK44" s="42">
        <f>IFERROR(_xlfn.XLOOKUP(AK$7,'Product Tgt'!$B:$B,'Product Tgt'!$G:$G)*L44/L$60,0)</f>
        <v>4796.6052376359676</v>
      </c>
      <c r="AL44" s="42">
        <f>IFERROR(_xlfn.XLOOKUP(AL$7,'Product Tgt'!$B:$B,'Product Tgt'!$G:$G)*M44/M$60,0)</f>
        <v>0</v>
      </c>
      <c r="AM44" s="42">
        <f>IFERROR(_xlfn.XLOOKUP(AM$7,'Product Tgt'!$B:$B,'Product Tgt'!$G:$G)*N44/N$60,0)</f>
        <v>2101.2968893391276</v>
      </c>
      <c r="AN44" s="42">
        <f>IFERROR(_xlfn.XLOOKUP(AN$7,'Product Tgt'!$B:$B,'Product Tgt'!$G:$G)*O44/O$60,0)</f>
        <v>8298.1030604110201</v>
      </c>
      <c r="AO44" s="42">
        <f>IFERROR(_xlfn.XLOOKUP(AO$7,'Product Tgt'!$B:$B,'Product Tgt'!$G:$G)*P44/P$60,0)</f>
        <v>1081.5403163120895</v>
      </c>
      <c r="AP44" s="42">
        <f>IFERROR(_xlfn.XLOOKUP(AP$7,'Product Tgt'!$B:$B,'Product Tgt'!$G:$G)*Q44/Q$60,0)</f>
        <v>875.55770904279257</v>
      </c>
      <c r="AQ44" s="42">
        <f>IFERROR(_xlfn.XLOOKUP(AQ$7,'Product Tgt'!$B:$B,'Product Tgt'!$G:$G)*R44/R$60,0)</f>
        <v>1626.4206372411475</v>
      </c>
      <c r="AR44" s="42">
        <f>IFERROR(_xlfn.XLOOKUP(AR$7,'Product Tgt'!$B:$B,'Product Tgt'!$G:$G)*S44/S$60,0)</f>
        <v>10816.728186787243</v>
      </c>
      <c r="AS44" s="42">
        <f>IFERROR(_xlfn.XLOOKUP(AS$7,'Product Tgt'!$B:$B,'Product Tgt'!$G:$G)*T44/T$60,0)</f>
        <v>3902.0486487211992</v>
      </c>
      <c r="AT44" s="42">
        <f>IFERROR(_xlfn.XLOOKUP(AT$7,'Product Tgt'!$B:$B,'Product Tgt'!$G:$G)*U44/U$60,0)</f>
        <v>7840.3028382951788</v>
      </c>
      <c r="AU44" s="42">
        <f>IFERROR(_xlfn.XLOOKUP(AU$7,'Product Tgt'!$B:$B,'Product Tgt'!$G:$G)*V44/V$60,0)</f>
        <v>2589.7709264902819</v>
      </c>
      <c r="AV44" s="42">
        <f>IFERROR(_xlfn.XLOOKUP(AV$7,'Product Tgt'!$B:$B,'Product Tgt'!$G:$G)*W44/W$60,0)</f>
        <v>7591.3303336734589</v>
      </c>
      <c r="AW44" s="42">
        <f>IFERROR(_xlfn.XLOOKUP(AW$7,'Product Tgt'!$B:$B,'Product Tgt'!$G:$G)*X44/X$60,0)</f>
        <v>10545.247081083724</v>
      </c>
      <c r="AX44" s="42">
        <f>IFERROR(_xlfn.XLOOKUP(AX$7,'Product Tgt'!$B:$B,'Product Tgt'!$G:$G)*Y44/Y$60,0)</f>
        <v>1622.7829007421765</v>
      </c>
      <c r="AY44" s="42">
        <f>IFERROR(_xlfn.XLOOKUP(AY$7,'Product Tgt'!$B:$B,'Product Tgt'!$G:$G)*Z44/Z$60,0)</f>
        <v>23377.466910554005</v>
      </c>
      <c r="AZ44" s="42">
        <f>IFERROR(_xlfn.XLOOKUP(AZ$7,'Product Tgt'!$B:$B,'Product Tgt'!$G:$G)*AA44/AA$60,0)</f>
        <v>2782.3362515722215</v>
      </c>
      <c r="BA44" s="42">
        <f>IFERROR(_xlfn.XLOOKUP(BA$7,'Product Tgt'!$B:$B,'Product Tgt'!$G:$G)*AB44/AB$60,0)</f>
        <v>8628.6866946933878</v>
      </c>
      <c r="BB44" s="42">
        <f>IFERROR(_xlfn.XLOOKUP(BB$7,'Product Tgt'!$B:$B,'Product Tgt'!$G:$G)*AC44/AC$60,0)</f>
        <v>2903.6202065249527</v>
      </c>
      <c r="BC44" s="42">
        <f>IFERROR(_xlfn.XLOOKUP(BC$7,'Product Tgt'!$B:$B,'Product Tgt'!$G:$G)*AD44/AD$60,0)</f>
        <v>3145.0632437796689</v>
      </c>
      <c r="BD44" s="42">
        <f>IFERROR(_xlfn.XLOOKUP(BD$7,'Product Tgt'!$B:$B,'Product Tgt'!$G:$G)*AE44/AE$60,0)</f>
        <v>532.27375060221391</v>
      </c>
      <c r="BE44" s="10">
        <f>ROUND(IFERROR(AF44/_xlfn.XLOOKUP(BE$7,'Product Tgt'!$B:$B,'Product Tgt'!$D:$D),0),0)</f>
        <v>0</v>
      </c>
      <c r="BF44" s="11">
        <f>ROUND(IFERROR(AG44/_xlfn.XLOOKUP(BF$7,'Product Tgt'!$B:$B,'Product Tgt'!$D:$D),0),0)</f>
        <v>0</v>
      </c>
      <c r="BG44" s="11">
        <f>ROUND(IFERROR(AH44/_xlfn.XLOOKUP(BG$7,'Product Tgt'!$B:$B,'Product Tgt'!$D:$D),0),0)</f>
        <v>0</v>
      </c>
      <c r="BH44" s="11">
        <f>ROUND(IFERROR(AI44/_xlfn.XLOOKUP(BH$7,'Product Tgt'!$B:$B,'Product Tgt'!$D:$D),0),0)</f>
        <v>0</v>
      </c>
      <c r="BI44" s="11">
        <f>ROUND(IFERROR(AM44/_xlfn.XLOOKUP(BI$7,'Product Tgt'!$B:$B,'Product Tgt'!$D:$D),0),0)</f>
        <v>0</v>
      </c>
      <c r="BJ44" s="11">
        <f>ROUND(IFERROR(#REF!/_xlfn.XLOOKUP(BJ$7,'Product Tgt'!$B:$B,'Product Tgt'!$D:$D),0),0)</f>
        <v>0</v>
      </c>
      <c r="BK44" s="11">
        <f>ROUND(IFERROR(#REF!/_xlfn.XLOOKUP(BK$7,'Product Tgt'!$B:$B,'Product Tgt'!$D:$D),0),0)</f>
        <v>0</v>
      </c>
      <c r="BL44" s="11">
        <f>ROUND(IFERROR(AN44/_xlfn.XLOOKUP(BL$7,'Product Tgt'!$B:$B,'Product Tgt'!$D:$D),0),0)</f>
        <v>0</v>
      </c>
      <c r="BM44" s="11">
        <f>ROUND(IFERROR(AQ44/_xlfn.XLOOKUP(BM$7,'Product Tgt'!$B:$B,'Product Tgt'!$D:$D),0),0)</f>
        <v>0</v>
      </c>
      <c r="BN44" s="11">
        <f>ROUND(IFERROR(AR44/_xlfn.XLOOKUP(BN$7,'Product Tgt'!$B:$B,'Product Tgt'!$D:$D),0),0)</f>
        <v>0</v>
      </c>
      <c r="BO44" s="11">
        <f>ROUND(IFERROR(AS44/_xlfn.XLOOKUP(BO$7,'Product Tgt'!$B:$B,'Product Tgt'!$D:$D),0),0)</f>
        <v>0</v>
      </c>
      <c r="BP44" s="11">
        <f>ROUND(IFERROR(AT44/_xlfn.XLOOKUP(BP$7,'Product Tgt'!$B:$B,'Product Tgt'!$D:$D),0),0)</f>
        <v>0</v>
      </c>
      <c r="BQ44" s="11">
        <f>ROUND(IFERROR(AU44/_xlfn.XLOOKUP(BQ$7,'Product Tgt'!$B:$B,'Product Tgt'!$D:$D),0),0)</f>
        <v>0</v>
      </c>
      <c r="BR44" s="11">
        <f>ROUND(IFERROR(AV44/_xlfn.XLOOKUP(BR$7,'Product Tgt'!$B:$B,'Product Tgt'!$D:$D),0),0)</f>
        <v>0</v>
      </c>
      <c r="BS44" s="11">
        <f>ROUND(IFERROR(AW44/_xlfn.XLOOKUP(BS$7,'Product Tgt'!$B:$B,'Product Tgt'!$D:$D),0),0)</f>
        <v>0</v>
      </c>
      <c r="BT44" s="11">
        <f>ROUND(IFERROR(AX44/_xlfn.XLOOKUP(BT$7,'Product Tgt'!$B:$B,'Product Tgt'!$D:$D),0),0)</f>
        <v>0</v>
      </c>
      <c r="BU44" s="11">
        <f>ROUND(IFERROR(AY44/_xlfn.XLOOKUP(BU$7,'Product Tgt'!$B:$B,'Product Tgt'!$D:$D),0),0)</f>
        <v>0</v>
      </c>
      <c r="BV44" s="11">
        <f>ROUND(IFERROR(AZ44/_xlfn.XLOOKUP(BV$7,'Product Tgt'!$B:$B,'Product Tgt'!$D:$D),0),0)</f>
        <v>0</v>
      </c>
      <c r="BW44" s="11">
        <f>ROUND(IFERROR(BA44/_xlfn.XLOOKUP(BW$7,'Product Tgt'!$B:$B,'Product Tgt'!$D:$D),0),0)</f>
        <v>0</v>
      </c>
      <c r="BX44" s="11">
        <f>ROUND(IFERROR(BB44/_xlfn.XLOOKUP(BX$7,'Product Tgt'!$B:$B,'Product Tgt'!$D:$D),0),0)</f>
        <v>0</v>
      </c>
      <c r="BY44" s="11">
        <f>ROUND(IFERROR(BC44/_xlfn.XLOOKUP(BY$7,'Product Tgt'!$B:$B,'Product Tgt'!$D:$D),0),0)</f>
        <v>0</v>
      </c>
      <c r="BZ44" s="13">
        <f>ROUND(IFERROR(BD44/_xlfn.XLOOKUP(BZ$7,'Product Tgt'!$B:$B,'Product Tgt'!$D:$D),0),0)</f>
        <v>0</v>
      </c>
    </row>
    <row r="45" spans="1:78" x14ac:dyDescent="0.25">
      <c r="A45" s="4" t="s">
        <v>63</v>
      </c>
      <c r="B45" s="3">
        <f>_xlfn.XLOOKUP(A45,'Terr Target'!$A:$A,'Terr Target'!$E:$E)</f>
        <v>246203.87766082364</v>
      </c>
      <c r="C45" s="3">
        <f t="shared" si="9"/>
        <v>246204.30022161594</v>
      </c>
      <c r="D45" s="5">
        <f t="shared" si="6"/>
        <v>0.42256079229991883</v>
      </c>
      <c r="E45" s="6">
        <f t="shared" si="7"/>
        <v>1.7163014290146803E-6</v>
      </c>
      <c r="F45" s="6">
        <f t="shared" si="8"/>
        <v>0.99999828369857102</v>
      </c>
      <c r="G45" s="49">
        <v>6731.2436603911065</v>
      </c>
      <c r="H45" s="50">
        <v>11671.933732297704</v>
      </c>
      <c r="I45" s="50">
        <v>42262.831455872001</v>
      </c>
      <c r="J45" s="50">
        <v>60721.475317206881</v>
      </c>
      <c r="K45" s="50">
        <v>10023.407619123587</v>
      </c>
      <c r="L45" s="50">
        <v>4116.3080311179383</v>
      </c>
      <c r="M45" s="50">
        <v>0</v>
      </c>
      <c r="N45" s="50">
        <v>5039.2486522322961</v>
      </c>
      <c r="O45" s="50">
        <v>3901.6307853803423</v>
      </c>
      <c r="P45" s="50">
        <v>0</v>
      </c>
      <c r="Q45" s="50">
        <v>1861.0418125826382</v>
      </c>
      <c r="R45" s="50">
        <v>0</v>
      </c>
      <c r="S45" s="50">
        <v>15402.762696280613</v>
      </c>
      <c r="T45" s="50">
        <v>9692.3539088706275</v>
      </c>
      <c r="U45" s="50">
        <v>13057.742728338044</v>
      </c>
      <c r="V45" s="50">
        <v>2219.6998576069018</v>
      </c>
      <c r="W45" s="50">
        <v>8573.7735142747424</v>
      </c>
      <c r="X45" s="50">
        <v>10183.837984281517</v>
      </c>
      <c r="Y45" s="50">
        <v>3352.022927487636</v>
      </c>
      <c r="Z45" s="50">
        <v>19483.365551568288</v>
      </c>
      <c r="AA45" s="50">
        <v>2586.5578971914629</v>
      </c>
      <c r="AB45" s="50">
        <v>9956.7368048268072</v>
      </c>
      <c r="AC45" s="50">
        <v>4485.9460340492951</v>
      </c>
      <c r="AD45" s="50">
        <v>4858.9632878167422</v>
      </c>
      <c r="AE45" s="51">
        <v>822.33596362804008</v>
      </c>
      <c r="AF45" s="42">
        <f>IFERROR(_xlfn.XLOOKUP(AF$7,'Product Tgt'!$B:$B,'Product Tgt'!$G:$G)*G45/G$60,0)</f>
        <v>6780.9433540945738</v>
      </c>
      <c r="AG45" s="42">
        <f>IFERROR(_xlfn.XLOOKUP(AG$7,'Product Tgt'!$B:$B,'Product Tgt'!$G:$G)*H45/H$60,0)</f>
        <v>11950.275583174674</v>
      </c>
      <c r="AH45" s="42">
        <f>IFERROR(_xlfn.XLOOKUP(AH$7,'Product Tgt'!$B:$B,'Product Tgt'!$G:$G)*I45/I$60,0)</f>
        <v>42206.112430274348</v>
      </c>
      <c r="AI45" s="42">
        <f>IFERROR(_xlfn.XLOOKUP(AI$7,'Product Tgt'!$B:$B,'Product Tgt'!$G:$G)*J45/J$60,0)</f>
        <v>60460.097963912238</v>
      </c>
      <c r="AJ45" s="42">
        <f>IFERROR(_xlfn.XLOOKUP(AJ$7,'Product Tgt'!$B:$B,'Product Tgt'!$G:$G)*K45/K$60,0)</f>
        <v>9858.9031350033565</v>
      </c>
      <c r="AK45" s="42">
        <f>IFERROR(_xlfn.XLOOKUP(AK$7,'Product Tgt'!$B:$B,'Product Tgt'!$G:$G)*L45/L$60,0)</f>
        <v>4236.4067103318057</v>
      </c>
      <c r="AL45" s="42">
        <f>IFERROR(_xlfn.XLOOKUP(AL$7,'Product Tgt'!$B:$B,'Product Tgt'!$G:$G)*M45/M$60,0)</f>
        <v>0</v>
      </c>
      <c r="AM45" s="42">
        <f>IFERROR(_xlfn.XLOOKUP(AM$7,'Product Tgt'!$B:$B,'Product Tgt'!$G:$G)*N45/N$60,0)</f>
        <v>5005.6239229576113</v>
      </c>
      <c r="AN45" s="42">
        <f>IFERROR(_xlfn.XLOOKUP(AN$7,'Product Tgt'!$B:$B,'Product Tgt'!$G:$G)*O45/O$60,0)</f>
        <v>4255.2025474158554</v>
      </c>
      <c r="AO45" s="42">
        <f>IFERROR(_xlfn.XLOOKUP(AO$7,'Product Tgt'!$B:$B,'Product Tgt'!$G:$G)*P45/P$60,0)</f>
        <v>0</v>
      </c>
      <c r="AP45" s="42">
        <f>IFERROR(_xlfn.XLOOKUP(AP$7,'Product Tgt'!$B:$B,'Product Tgt'!$G:$G)*Q45/Q$60,0)</f>
        <v>1414.6707431507875</v>
      </c>
      <c r="AQ45" s="42">
        <f>IFERROR(_xlfn.XLOOKUP(AQ$7,'Product Tgt'!$B:$B,'Product Tgt'!$G:$G)*R45/R$60,0)</f>
        <v>0</v>
      </c>
      <c r="AR45" s="42">
        <f>IFERROR(_xlfn.XLOOKUP(AR$7,'Product Tgt'!$B:$B,'Product Tgt'!$G:$G)*S45/S$60,0)</f>
        <v>14916.662538723545</v>
      </c>
      <c r="AS45" s="42">
        <f>IFERROR(_xlfn.XLOOKUP(AS$7,'Product Tgt'!$B:$B,'Product Tgt'!$G:$G)*T45/T$60,0)</f>
        <v>8798.3977765058826</v>
      </c>
      <c r="AT45" s="42">
        <f>IFERROR(_xlfn.XLOOKUP(AT$7,'Product Tgt'!$B:$B,'Product Tgt'!$G:$G)*U45/U$60,0)</f>
        <v>11149.881683165278</v>
      </c>
      <c r="AU45" s="42">
        <f>IFERROR(_xlfn.XLOOKUP(AU$7,'Product Tgt'!$B:$B,'Product Tgt'!$G:$G)*V45/V$60,0)</f>
        <v>2338.9802578429003</v>
      </c>
      <c r="AV45" s="42">
        <f>IFERROR(_xlfn.XLOOKUP(AV$7,'Product Tgt'!$B:$B,'Product Tgt'!$G:$G)*W45/W$60,0)</f>
        <v>8264.5987735657691</v>
      </c>
      <c r="AW45" s="42">
        <f>IFERROR(_xlfn.XLOOKUP(AW$7,'Product Tgt'!$B:$B,'Product Tgt'!$G:$G)*X45/X$60,0)</f>
        <v>10505.531471330411</v>
      </c>
      <c r="AX45" s="42">
        <f>IFERROR(_xlfn.XLOOKUP(AX$7,'Product Tgt'!$B:$B,'Product Tgt'!$G:$G)*Y45/Y$60,0)</f>
        <v>3225.8896795210489</v>
      </c>
      <c r="AY45" s="42">
        <f>IFERROR(_xlfn.XLOOKUP(AY$7,'Product Tgt'!$B:$B,'Product Tgt'!$G:$G)*Z45/Z$60,0)</f>
        <v>18764.675042264254</v>
      </c>
      <c r="AZ45" s="42">
        <f>IFERROR(_xlfn.XLOOKUP(AZ$7,'Product Tgt'!$B:$B,'Product Tgt'!$G:$G)*AA45/AA$60,0)</f>
        <v>2585.1640268545607</v>
      </c>
      <c r="BA45" s="42">
        <f>IFERROR(_xlfn.XLOOKUP(BA$7,'Product Tgt'!$B:$B,'Product Tgt'!$G:$G)*AB45/AB$60,0)</f>
        <v>9300.2194189575112</v>
      </c>
      <c r="BB45" s="42">
        <f>IFERROR(_xlfn.XLOOKUP(BB$7,'Product Tgt'!$B:$B,'Product Tgt'!$G:$G)*AC45/AC$60,0)</f>
        <v>4494.2487727622356</v>
      </c>
      <c r="BC45" s="42">
        <f>IFERROR(_xlfn.XLOOKUP(BC$7,'Product Tgt'!$B:$B,'Product Tgt'!$G:$G)*AD45/AD$60,0)</f>
        <v>4867.9564193186161</v>
      </c>
      <c r="BD45" s="42">
        <f>IFERROR(_xlfn.XLOOKUP(BD$7,'Product Tgt'!$B:$B,'Product Tgt'!$G:$G)*AE45/AE$60,0)</f>
        <v>823.8579704886738</v>
      </c>
      <c r="BE45" s="10">
        <f>ROUND(IFERROR(AF45/_xlfn.XLOOKUP(BE$7,'Product Tgt'!$B:$B,'Product Tgt'!$D:$D),0),0)</f>
        <v>0</v>
      </c>
      <c r="BF45" s="11">
        <f>ROUND(IFERROR(AG45/_xlfn.XLOOKUP(BF$7,'Product Tgt'!$B:$B,'Product Tgt'!$D:$D),0),0)</f>
        <v>0</v>
      </c>
      <c r="BG45" s="11">
        <f>ROUND(IFERROR(AH45/_xlfn.XLOOKUP(BG$7,'Product Tgt'!$B:$B,'Product Tgt'!$D:$D),0),0)</f>
        <v>0</v>
      </c>
      <c r="BH45" s="11">
        <f>ROUND(IFERROR(AI45/_xlfn.XLOOKUP(BH$7,'Product Tgt'!$B:$B,'Product Tgt'!$D:$D),0),0)</f>
        <v>0</v>
      </c>
      <c r="BI45" s="11">
        <f>ROUND(IFERROR(AM45/_xlfn.XLOOKUP(BI$7,'Product Tgt'!$B:$B,'Product Tgt'!$D:$D),0),0)</f>
        <v>0</v>
      </c>
      <c r="BJ45" s="11">
        <f>ROUND(IFERROR(#REF!/_xlfn.XLOOKUP(BJ$7,'Product Tgt'!$B:$B,'Product Tgt'!$D:$D),0),0)</f>
        <v>0</v>
      </c>
      <c r="BK45" s="11">
        <f>ROUND(IFERROR(#REF!/_xlfn.XLOOKUP(BK$7,'Product Tgt'!$B:$B,'Product Tgt'!$D:$D),0),0)</f>
        <v>0</v>
      </c>
      <c r="BL45" s="11">
        <f>ROUND(IFERROR(AN45/_xlfn.XLOOKUP(BL$7,'Product Tgt'!$B:$B,'Product Tgt'!$D:$D),0),0)</f>
        <v>0</v>
      </c>
      <c r="BM45" s="11">
        <f>ROUND(IFERROR(AQ45/_xlfn.XLOOKUP(BM$7,'Product Tgt'!$B:$B,'Product Tgt'!$D:$D),0),0)</f>
        <v>0</v>
      </c>
      <c r="BN45" s="11">
        <f>ROUND(IFERROR(AR45/_xlfn.XLOOKUP(BN$7,'Product Tgt'!$B:$B,'Product Tgt'!$D:$D),0),0)</f>
        <v>0</v>
      </c>
      <c r="BO45" s="11">
        <f>ROUND(IFERROR(AS45/_xlfn.XLOOKUP(BO$7,'Product Tgt'!$B:$B,'Product Tgt'!$D:$D),0),0)</f>
        <v>0</v>
      </c>
      <c r="BP45" s="11">
        <f>ROUND(IFERROR(AT45/_xlfn.XLOOKUP(BP$7,'Product Tgt'!$B:$B,'Product Tgt'!$D:$D),0),0)</f>
        <v>0</v>
      </c>
      <c r="BQ45" s="11">
        <f>ROUND(IFERROR(AU45/_xlfn.XLOOKUP(BQ$7,'Product Tgt'!$B:$B,'Product Tgt'!$D:$D),0),0)</f>
        <v>0</v>
      </c>
      <c r="BR45" s="11">
        <f>ROUND(IFERROR(AV45/_xlfn.XLOOKUP(BR$7,'Product Tgt'!$B:$B,'Product Tgt'!$D:$D),0),0)</f>
        <v>0</v>
      </c>
      <c r="BS45" s="11">
        <f>ROUND(IFERROR(AW45/_xlfn.XLOOKUP(BS$7,'Product Tgt'!$B:$B,'Product Tgt'!$D:$D),0),0)</f>
        <v>0</v>
      </c>
      <c r="BT45" s="11">
        <f>ROUND(IFERROR(AX45/_xlfn.XLOOKUP(BT$7,'Product Tgt'!$B:$B,'Product Tgt'!$D:$D),0),0)</f>
        <v>0</v>
      </c>
      <c r="BU45" s="11">
        <f>ROUND(IFERROR(AY45/_xlfn.XLOOKUP(BU$7,'Product Tgt'!$B:$B,'Product Tgt'!$D:$D),0),0)</f>
        <v>0</v>
      </c>
      <c r="BV45" s="11">
        <f>ROUND(IFERROR(AZ45/_xlfn.XLOOKUP(BV$7,'Product Tgt'!$B:$B,'Product Tgt'!$D:$D),0),0)</f>
        <v>0</v>
      </c>
      <c r="BW45" s="11">
        <f>ROUND(IFERROR(BA45/_xlfn.XLOOKUP(BW$7,'Product Tgt'!$B:$B,'Product Tgt'!$D:$D),0),0)</f>
        <v>0</v>
      </c>
      <c r="BX45" s="11">
        <f>ROUND(IFERROR(BB45/_xlfn.XLOOKUP(BX$7,'Product Tgt'!$B:$B,'Product Tgt'!$D:$D),0),0)</f>
        <v>0</v>
      </c>
      <c r="BY45" s="11">
        <f>ROUND(IFERROR(BC45/_xlfn.XLOOKUP(BY$7,'Product Tgt'!$B:$B,'Product Tgt'!$D:$D),0),0)</f>
        <v>0</v>
      </c>
      <c r="BZ45" s="13">
        <f>ROUND(IFERROR(BD45/_xlfn.XLOOKUP(BZ$7,'Product Tgt'!$B:$B,'Product Tgt'!$D:$D),0),0)</f>
        <v>0</v>
      </c>
    </row>
    <row r="46" spans="1:78" x14ac:dyDescent="0.25">
      <c r="A46" s="4" t="s">
        <v>90</v>
      </c>
      <c r="B46" s="3">
        <f>_xlfn.XLOOKUP(A46,'Terr Target'!$A:$A,'Terr Target'!$E:$E)</f>
        <v>324797.38463777112</v>
      </c>
      <c r="C46" s="3">
        <f t="shared" si="9"/>
        <v>324797.75984856475</v>
      </c>
      <c r="D46" s="5">
        <f t="shared" si="6"/>
        <v>0.37521079363068566</v>
      </c>
      <c r="E46" s="6">
        <f t="shared" si="7"/>
        <v>1.1552136129437152E-6</v>
      </c>
      <c r="F46" s="6">
        <f t="shared" si="8"/>
        <v>0.99999884478638701</v>
      </c>
      <c r="G46" s="55">
        <v>10297.851967148414</v>
      </c>
      <c r="H46" s="56">
        <v>17880.600016086995</v>
      </c>
      <c r="I46" s="56">
        <v>79004.64480971999</v>
      </c>
      <c r="J46" s="56">
        <v>107863.56805729705</v>
      </c>
      <c r="K46" s="56">
        <v>3727.7306259786078</v>
      </c>
      <c r="L46" s="56">
        <v>1955.094706570125</v>
      </c>
      <c r="M46" s="56">
        <v>0</v>
      </c>
      <c r="N46" s="56">
        <v>1926.605897095219</v>
      </c>
      <c r="O46" s="56">
        <v>4501.3723348283147</v>
      </c>
      <c r="P46" s="56">
        <v>1168.4123454959899</v>
      </c>
      <c r="Q46" s="56">
        <v>1299.2502123907777</v>
      </c>
      <c r="R46" s="56">
        <v>1124.5255351253163</v>
      </c>
      <c r="S46" s="56">
        <v>12100.67198082098</v>
      </c>
      <c r="T46" s="56">
        <v>7972.7839257003043</v>
      </c>
      <c r="U46" s="56">
        <v>11802.26173284228</v>
      </c>
      <c r="V46" s="56">
        <v>3562.4654372113282</v>
      </c>
      <c r="W46" s="56">
        <v>7554.6203652175827</v>
      </c>
      <c r="X46" s="56">
        <v>7360.9967734976426</v>
      </c>
      <c r="Y46" s="56">
        <v>2399.0988209990983</v>
      </c>
      <c r="Z46" s="56">
        <v>22566.577830058512</v>
      </c>
      <c r="AA46" s="56">
        <v>1459.4897344161814</v>
      </c>
      <c r="AB46" s="56">
        <v>13484.626245044892</v>
      </c>
      <c r="AC46" s="56">
        <v>3747.8907642778936</v>
      </c>
      <c r="AD46" s="56">
        <v>4059.5369387302812</v>
      </c>
      <c r="AE46" s="57">
        <v>687.04022291437718</v>
      </c>
      <c r="AF46" s="42">
        <f>IFERROR(_xlfn.XLOOKUP(AF$7,'Product Tgt'!$B:$B,'Product Tgt'!$G:$G)*G46/G$60,0)</f>
        <v>10373.885478100116</v>
      </c>
      <c r="AG46" s="42">
        <f>IFERROR(_xlfn.XLOOKUP(AG$7,'Product Tgt'!$B:$B,'Product Tgt'!$G:$G)*H46/H$60,0)</f>
        <v>18307.000595238391</v>
      </c>
      <c r="AH46" s="42">
        <f>IFERROR(_xlfn.XLOOKUP(AH$7,'Product Tgt'!$B:$B,'Product Tgt'!$G:$G)*I46/I$60,0)</f>
        <v>78898.616266034383</v>
      </c>
      <c r="AI46" s="42">
        <f>IFERROR(_xlfn.XLOOKUP(AI$7,'Product Tgt'!$B:$B,'Product Tgt'!$G:$G)*J46/J$60,0)</f>
        <v>107399.26619723102</v>
      </c>
      <c r="AJ46" s="42">
        <f>IFERROR(_xlfn.XLOOKUP(AJ$7,'Product Tgt'!$B:$B,'Product Tgt'!$G:$G)*K46/K$60,0)</f>
        <v>3666.5509925777051</v>
      </c>
      <c r="AK46" s="42">
        <f>IFERROR(_xlfn.XLOOKUP(AK$7,'Product Tgt'!$B:$B,'Product Tgt'!$G:$G)*L46/L$60,0)</f>
        <v>2012.1371558285512</v>
      </c>
      <c r="AL46" s="42">
        <f>IFERROR(_xlfn.XLOOKUP(AL$7,'Product Tgt'!$B:$B,'Product Tgt'!$G:$G)*M46/M$60,0)</f>
        <v>0</v>
      </c>
      <c r="AM46" s="42">
        <f>IFERROR(_xlfn.XLOOKUP(AM$7,'Product Tgt'!$B:$B,'Product Tgt'!$G:$G)*N46/N$60,0)</f>
        <v>1913.7504882476837</v>
      </c>
      <c r="AN46" s="42">
        <f>IFERROR(_xlfn.XLOOKUP(AN$7,'Product Tgt'!$B:$B,'Product Tgt'!$G:$G)*O46/O$60,0)</f>
        <v>4909.2935953347742</v>
      </c>
      <c r="AO46" s="42">
        <f>IFERROR(_xlfn.XLOOKUP(AO$7,'Product Tgt'!$B:$B,'Product Tgt'!$G:$G)*P46/P$60,0)</f>
        <v>1120.2988255325497</v>
      </c>
      <c r="AP46" s="42">
        <f>IFERROR(_xlfn.XLOOKUP(AP$7,'Product Tgt'!$B:$B,'Product Tgt'!$G:$G)*Q46/Q$60,0)</f>
        <v>987.62491582658333</v>
      </c>
      <c r="AQ46" s="42">
        <f>IFERROR(_xlfn.XLOOKUP(AQ$7,'Product Tgt'!$B:$B,'Product Tgt'!$G:$G)*R46/R$60,0)</f>
        <v>938.30244365264195</v>
      </c>
      <c r="AR46" s="42">
        <f>IFERROR(_xlfn.XLOOKUP(AR$7,'Product Tgt'!$B:$B,'Product Tgt'!$G:$G)*S46/S$60,0)</f>
        <v>11718.78344092652</v>
      </c>
      <c r="AS46" s="42">
        <f>IFERROR(_xlfn.XLOOKUP(AS$7,'Product Tgt'!$B:$B,'Product Tgt'!$G:$G)*T46/T$60,0)</f>
        <v>7237.4291141229232</v>
      </c>
      <c r="AT46" s="42">
        <f>IFERROR(_xlfn.XLOOKUP(AT$7,'Product Tgt'!$B:$B,'Product Tgt'!$G:$G)*U46/U$60,0)</f>
        <v>10077.838463561884</v>
      </c>
      <c r="AU46" s="42">
        <f>IFERROR(_xlfn.XLOOKUP(AU$7,'Product Tgt'!$B:$B,'Product Tgt'!$G:$G)*V46/V$60,0)</f>
        <v>3753.9022667093514</v>
      </c>
      <c r="AV46" s="42">
        <f>IFERROR(_xlfn.XLOOKUP(AV$7,'Product Tgt'!$B:$B,'Product Tgt'!$G:$G)*W46/W$60,0)</f>
        <v>7282.1968181432276</v>
      </c>
      <c r="AW46" s="42">
        <f>IFERROR(_xlfn.XLOOKUP(AW$7,'Product Tgt'!$B:$B,'Product Tgt'!$G:$G)*X46/X$60,0)</f>
        <v>7593.5205748264771</v>
      </c>
      <c r="AX46" s="42">
        <f>IFERROR(_xlfn.XLOOKUP(AX$7,'Product Tgt'!$B:$B,'Product Tgt'!$G:$G)*Y46/Y$60,0)</f>
        <v>2308.8231477619133</v>
      </c>
      <c r="AY46" s="42">
        <f>IFERROR(_xlfn.XLOOKUP(AY$7,'Product Tgt'!$B:$B,'Product Tgt'!$G:$G)*Z46/Z$60,0)</f>
        <v>21734.155666084465</v>
      </c>
      <c r="AZ46" s="42">
        <f>IFERROR(_xlfn.XLOOKUP(AZ$7,'Product Tgt'!$B:$B,'Product Tgt'!$G:$G)*AA46/AA$60,0)</f>
        <v>1458.7032299076122</v>
      </c>
      <c r="BA46" s="42">
        <f>IFERROR(_xlfn.XLOOKUP(BA$7,'Product Tgt'!$B:$B,'Product Tgt'!$G:$G)*AB46/AB$60,0)</f>
        <v>12595.490402111926</v>
      </c>
      <c r="BB46" s="42">
        <f>IFERROR(_xlfn.XLOOKUP(BB$7,'Product Tgt'!$B:$B,'Product Tgt'!$G:$G)*AC46/AC$60,0)</f>
        <v>3754.8274856526609</v>
      </c>
      <c r="BC46" s="42">
        <f>IFERROR(_xlfn.XLOOKUP(BC$7,'Product Tgt'!$B:$B,'Product Tgt'!$G:$G)*AD46/AD$60,0)</f>
        <v>4067.0504652511045</v>
      </c>
      <c r="BD46" s="42">
        <f>IFERROR(_xlfn.XLOOKUP(BD$7,'Product Tgt'!$B:$B,'Product Tgt'!$G:$G)*AE46/AE$60,0)</f>
        <v>688.31181990035066</v>
      </c>
      <c r="BE46" s="10">
        <f>ROUND(IFERROR(AF46/_xlfn.XLOOKUP(BE$7,'Product Tgt'!$B:$B,'Product Tgt'!$D:$D),0),0)</f>
        <v>0</v>
      </c>
      <c r="BF46" s="11">
        <f>ROUND(IFERROR(AG46/_xlfn.XLOOKUP(BF$7,'Product Tgt'!$B:$B,'Product Tgt'!$D:$D),0),0)</f>
        <v>0</v>
      </c>
      <c r="BG46" s="11">
        <f>ROUND(IFERROR(AH46/_xlfn.XLOOKUP(BG$7,'Product Tgt'!$B:$B,'Product Tgt'!$D:$D),0),0)</f>
        <v>0</v>
      </c>
      <c r="BH46" s="11">
        <f>ROUND(IFERROR(AI46/_xlfn.XLOOKUP(BH$7,'Product Tgt'!$B:$B,'Product Tgt'!$D:$D),0),0)</f>
        <v>0</v>
      </c>
      <c r="BI46" s="11">
        <f>ROUND(IFERROR(AM46/_xlfn.XLOOKUP(BI$7,'Product Tgt'!$B:$B,'Product Tgt'!$D:$D),0),0)</f>
        <v>0</v>
      </c>
      <c r="BJ46" s="11">
        <f>ROUND(IFERROR(#REF!/_xlfn.XLOOKUP(BJ$7,'Product Tgt'!$B:$B,'Product Tgt'!$D:$D),0),0)</f>
        <v>0</v>
      </c>
      <c r="BK46" s="11">
        <f>ROUND(IFERROR(#REF!/_xlfn.XLOOKUP(BK$7,'Product Tgt'!$B:$B,'Product Tgt'!$D:$D),0),0)</f>
        <v>0</v>
      </c>
      <c r="BL46" s="11">
        <f>ROUND(IFERROR(AN46/_xlfn.XLOOKUP(BL$7,'Product Tgt'!$B:$B,'Product Tgt'!$D:$D),0),0)</f>
        <v>0</v>
      </c>
      <c r="BM46" s="11">
        <f>ROUND(IFERROR(AQ46/_xlfn.XLOOKUP(BM$7,'Product Tgt'!$B:$B,'Product Tgt'!$D:$D),0),0)</f>
        <v>0</v>
      </c>
      <c r="BN46" s="11">
        <f>ROUND(IFERROR(AR46/_xlfn.XLOOKUP(BN$7,'Product Tgt'!$B:$B,'Product Tgt'!$D:$D),0),0)</f>
        <v>0</v>
      </c>
      <c r="BO46" s="11">
        <f>ROUND(IFERROR(AS46/_xlfn.XLOOKUP(BO$7,'Product Tgt'!$B:$B,'Product Tgt'!$D:$D),0),0)</f>
        <v>0</v>
      </c>
      <c r="BP46" s="11">
        <f>ROUND(IFERROR(AT46/_xlfn.XLOOKUP(BP$7,'Product Tgt'!$B:$B,'Product Tgt'!$D:$D),0),0)</f>
        <v>0</v>
      </c>
      <c r="BQ46" s="11">
        <f>ROUND(IFERROR(AU46/_xlfn.XLOOKUP(BQ$7,'Product Tgt'!$B:$B,'Product Tgt'!$D:$D),0),0)</f>
        <v>0</v>
      </c>
      <c r="BR46" s="11">
        <f>ROUND(IFERROR(AV46/_xlfn.XLOOKUP(BR$7,'Product Tgt'!$B:$B,'Product Tgt'!$D:$D),0),0)</f>
        <v>0</v>
      </c>
      <c r="BS46" s="11">
        <f>ROUND(IFERROR(AW46/_xlfn.XLOOKUP(BS$7,'Product Tgt'!$B:$B,'Product Tgt'!$D:$D),0),0)</f>
        <v>0</v>
      </c>
      <c r="BT46" s="11">
        <f>ROUND(IFERROR(AX46/_xlfn.XLOOKUP(BT$7,'Product Tgt'!$B:$B,'Product Tgt'!$D:$D),0),0)</f>
        <v>0</v>
      </c>
      <c r="BU46" s="11">
        <f>ROUND(IFERROR(AY46/_xlfn.XLOOKUP(BU$7,'Product Tgt'!$B:$B,'Product Tgt'!$D:$D),0),0)</f>
        <v>0</v>
      </c>
      <c r="BV46" s="11">
        <f>ROUND(IFERROR(AZ46/_xlfn.XLOOKUP(BV$7,'Product Tgt'!$B:$B,'Product Tgt'!$D:$D),0),0)</f>
        <v>0</v>
      </c>
      <c r="BW46" s="11">
        <f>ROUND(IFERROR(BA46/_xlfn.XLOOKUP(BW$7,'Product Tgt'!$B:$B,'Product Tgt'!$D:$D),0),0)</f>
        <v>0</v>
      </c>
      <c r="BX46" s="11">
        <f>ROUND(IFERROR(BB46/_xlfn.XLOOKUP(BX$7,'Product Tgt'!$B:$B,'Product Tgt'!$D:$D),0),0)</f>
        <v>0</v>
      </c>
      <c r="BY46" s="11">
        <f>ROUND(IFERROR(BC46/_xlfn.XLOOKUP(BY$7,'Product Tgt'!$B:$B,'Product Tgt'!$D:$D),0),0)</f>
        <v>0</v>
      </c>
      <c r="BZ46" s="13">
        <f>ROUND(IFERROR(BD46/_xlfn.XLOOKUP(BZ$7,'Product Tgt'!$B:$B,'Product Tgt'!$D:$D),0),0)</f>
        <v>0</v>
      </c>
    </row>
    <row r="47" spans="1:78" x14ac:dyDescent="0.25">
      <c r="A47" s="4" t="s">
        <v>64</v>
      </c>
      <c r="B47" s="3">
        <f>_xlfn.XLOOKUP(A47,'Terr Target'!$A:$A,'Terr Target'!$E:$E)</f>
        <v>544965.2574492374</v>
      </c>
      <c r="C47" s="3">
        <f t="shared" si="9"/>
        <v>544969.98204622942</v>
      </c>
      <c r="D47" s="5">
        <f t="shared" si="6"/>
        <v>4.7245969920186326</v>
      </c>
      <c r="E47" s="6">
        <f t="shared" si="7"/>
        <v>8.6694628101880457E-6</v>
      </c>
      <c r="F47" s="6">
        <f t="shared" si="8"/>
        <v>0.9999913305371898</v>
      </c>
      <c r="G47" s="55">
        <v>14972.307821424674</v>
      </c>
      <c r="H47" s="56">
        <v>21236.942110708009</v>
      </c>
      <c r="I47" s="56">
        <v>83037.570313425051</v>
      </c>
      <c r="J47" s="56">
        <v>116259.28167972833</v>
      </c>
      <c r="K47" s="56">
        <v>7552.032284904335</v>
      </c>
      <c r="L47" s="56">
        <v>4373.9664080445691</v>
      </c>
      <c r="M47" s="56">
        <v>39883.783708335795</v>
      </c>
      <c r="N47" s="56">
        <v>8618.3139056120508</v>
      </c>
      <c r="O47" s="56">
        <v>26731.385329390014</v>
      </c>
      <c r="P47" s="56">
        <v>2970.9653271024981</v>
      </c>
      <c r="Q47" s="56">
        <v>3064.6705587229294</v>
      </c>
      <c r="R47" s="56">
        <v>4797.9076569013123</v>
      </c>
      <c r="S47" s="56">
        <v>22862.058556239488</v>
      </c>
      <c r="T47" s="56">
        <v>11633.494515779796</v>
      </c>
      <c r="U47" s="56">
        <v>27233.897116273914</v>
      </c>
      <c r="V47" s="56">
        <v>11761.515042775087</v>
      </c>
      <c r="W47" s="56">
        <v>20373.33551549233</v>
      </c>
      <c r="X47" s="56">
        <v>13258.600971414517</v>
      </c>
      <c r="Y47" s="56">
        <v>10662.766257593341</v>
      </c>
      <c r="Z47" s="56">
        <v>49622.614384172331</v>
      </c>
      <c r="AA47" s="56">
        <v>6399.4679258697888</v>
      </c>
      <c r="AB47" s="56">
        <v>30097.580942057455</v>
      </c>
      <c r="AC47" s="56">
        <v>7258.0400812358203</v>
      </c>
      <c r="AD47" s="56">
        <v>7861.5636542541079</v>
      </c>
      <c r="AE47" s="57">
        <v>1330.4991497783162</v>
      </c>
      <c r="AF47" s="42">
        <f>IFERROR(_xlfn.XLOOKUP(AF$7,'Product Tgt'!$B:$B,'Product Tgt'!$G:$G)*G47/G$60,0)</f>
        <v>15082.854868939457</v>
      </c>
      <c r="AG47" s="42">
        <f>IFERROR(_xlfn.XLOOKUP(AG$7,'Product Tgt'!$B:$B,'Product Tgt'!$G:$G)*H47/H$60,0)</f>
        <v>21743.381738419797</v>
      </c>
      <c r="AH47" s="42">
        <f>IFERROR(_xlfn.XLOOKUP(AH$7,'Product Tgt'!$B:$B,'Product Tgt'!$G:$G)*I47/I$60,0)</f>
        <v>82926.129363684318</v>
      </c>
      <c r="AI47" s="42">
        <f>IFERROR(_xlfn.XLOOKUP(AI$7,'Product Tgt'!$B:$B,'Product Tgt'!$G:$G)*J47/J$60,0)</f>
        <v>115758.84022664044</v>
      </c>
      <c r="AJ47" s="42">
        <f>IFERROR(_xlfn.XLOOKUP(AJ$7,'Product Tgt'!$B:$B,'Product Tgt'!$G:$G)*K47/K$60,0)</f>
        <v>7428.0880912433631</v>
      </c>
      <c r="AK47" s="42">
        <f>IFERROR(_xlfn.XLOOKUP(AK$7,'Product Tgt'!$B:$B,'Product Tgt'!$G:$G)*L47/L$60,0)</f>
        <v>4501.5826079404042</v>
      </c>
      <c r="AL47" s="42">
        <f>IFERROR(_xlfn.XLOOKUP(AL$7,'Product Tgt'!$B:$B,'Product Tgt'!$G:$G)*M47/M$60,0)</f>
        <v>39924.119999999995</v>
      </c>
      <c r="AM47" s="42">
        <f>IFERROR(_xlfn.XLOOKUP(AM$7,'Product Tgt'!$B:$B,'Product Tgt'!$G:$G)*N47/N$60,0)</f>
        <v>8560.8076200763935</v>
      </c>
      <c r="AN47" s="42">
        <f>IFERROR(_xlfn.XLOOKUP(AN$7,'Product Tgt'!$B:$B,'Product Tgt'!$G:$G)*O47/O$60,0)</f>
        <v>29153.82444074261</v>
      </c>
      <c r="AO47" s="42">
        <f>IFERROR(_xlfn.XLOOKUP(AO$7,'Product Tgt'!$B:$B,'Product Tgt'!$G:$G)*P47/P$60,0)</f>
        <v>2848.6252986636891</v>
      </c>
      <c r="AP47" s="42">
        <f>IFERROR(_xlfn.XLOOKUP(AP$7,'Product Tgt'!$B:$B,'Product Tgt'!$G:$G)*Q47/Q$60,0)</f>
        <v>2329.6090112045194</v>
      </c>
      <c r="AQ47" s="42">
        <f>IFERROR(_xlfn.XLOOKUP(AQ$7,'Product Tgt'!$B:$B,'Product Tgt'!$G:$G)*R47/R$60,0)</f>
        <v>4003.367054167014</v>
      </c>
      <c r="AR47" s="42">
        <f>IFERROR(_xlfn.XLOOKUP(AR$7,'Product Tgt'!$B:$B,'Product Tgt'!$G:$G)*S47/S$60,0)</f>
        <v>22140.54836450288</v>
      </c>
      <c r="AS47" s="42">
        <f>IFERROR(_xlfn.XLOOKUP(AS$7,'Product Tgt'!$B:$B,'Product Tgt'!$G:$G)*T47/T$60,0)</f>
        <v>10560.500910614919</v>
      </c>
      <c r="AT47" s="42">
        <f>IFERROR(_xlfn.XLOOKUP(AT$7,'Product Tgt'!$B:$B,'Product Tgt'!$G:$G)*U47/U$60,0)</f>
        <v>23254.764390399243</v>
      </c>
      <c r="AU47" s="42">
        <f>IFERROR(_xlfn.XLOOKUP(AU$7,'Product Tgt'!$B:$B,'Product Tgt'!$G:$G)*V47/V$60,0)</f>
        <v>12393.545637756717</v>
      </c>
      <c r="AV47" s="42">
        <f>IFERROR(_xlfn.XLOOKUP(AV$7,'Product Tgt'!$B:$B,'Product Tgt'!$G:$G)*W47/W$60,0)</f>
        <v>19638.662420280285</v>
      </c>
      <c r="AW47" s="42">
        <f>IFERROR(_xlfn.XLOOKUP(AW$7,'Product Tgt'!$B:$B,'Product Tgt'!$G:$G)*X47/X$60,0)</f>
        <v>13677.422007890884</v>
      </c>
      <c r="AX47" s="42">
        <f>IFERROR(_xlfn.XLOOKUP(AX$7,'Product Tgt'!$B:$B,'Product Tgt'!$G:$G)*Y47/Y$60,0)</f>
        <v>10261.537098523473</v>
      </c>
      <c r="AY47" s="42">
        <f>IFERROR(_xlfn.XLOOKUP(AY$7,'Product Tgt'!$B:$B,'Product Tgt'!$G:$G)*Z47/Z$60,0)</f>
        <v>47792.165640069812</v>
      </c>
      <c r="AZ47" s="42">
        <f>IFERROR(_xlfn.XLOOKUP(AZ$7,'Product Tgt'!$B:$B,'Product Tgt'!$G:$G)*AA47/AA$60,0)</f>
        <v>6396.0193162239293</v>
      </c>
      <c r="BA47" s="42">
        <f>IFERROR(_xlfn.XLOOKUP(BA$7,'Product Tgt'!$B:$B,'Product Tgt'!$G:$G)*AB47/AB$60,0)</f>
        <v>28113.036653260941</v>
      </c>
      <c r="BB47" s="42">
        <f>IFERROR(_xlfn.XLOOKUP(BB$7,'Product Tgt'!$B:$B,'Product Tgt'!$G:$G)*AC47/AC$60,0)</f>
        <v>7271.4735041760759</v>
      </c>
      <c r="BC47" s="42">
        <f>IFERROR(_xlfn.XLOOKUP(BC$7,'Product Tgt'!$B:$B,'Product Tgt'!$G:$G)*AD47/AD$60,0)</f>
        <v>7876.1140987759536</v>
      </c>
      <c r="BD47" s="42">
        <f>IFERROR(_xlfn.XLOOKUP(BD$7,'Product Tgt'!$B:$B,'Product Tgt'!$G:$G)*AE47/AE$60,0)</f>
        <v>1332.9616820322819</v>
      </c>
      <c r="BE47" s="10">
        <f>ROUND(IFERROR(AF47/_xlfn.XLOOKUP(BE$7,'Product Tgt'!$B:$B,'Product Tgt'!$D:$D),0),0)</f>
        <v>0</v>
      </c>
      <c r="BF47" s="11">
        <f>ROUND(IFERROR(AG47/_xlfn.XLOOKUP(BF$7,'Product Tgt'!$B:$B,'Product Tgt'!$D:$D),0),0)</f>
        <v>0</v>
      </c>
      <c r="BG47" s="11">
        <f>ROUND(IFERROR(AH47/_xlfn.XLOOKUP(BG$7,'Product Tgt'!$B:$B,'Product Tgt'!$D:$D),0),0)</f>
        <v>0</v>
      </c>
      <c r="BH47" s="11">
        <f>ROUND(IFERROR(AI47/_xlfn.XLOOKUP(BH$7,'Product Tgt'!$B:$B,'Product Tgt'!$D:$D),0),0)</f>
        <v>0</v>
      </c>
      <c r="BI47" s="11">
        <f>ROUND(IFERROR(AM47/_xlfn.XLOOKUP(BI$7,'Product Tgt'!$B:$B,'Product Tgt'!$D:$D),0),0)</f>
        <v>0</v>
      </c>
      <c r="BJ47" s="11">
        <f>ROUND(IFERROR(#REF!/_xlfn.XLOOKUP(BJ$7,'Product Tgt'!$B:$B,'Product Tgt'!$D:$D),0),0)</f>
        <v>0</v>
      </c>
      <c r="BK47" s="11">
        <f>ROUND(IFERROR(#REF!/_xlfn.XLOOKUP(BK$7,'Product Tgt'!$B:$B,'Product Tgt'!$D:$D),0),0)</f>
        <v>0</v>
      </c>
      <c r="BL47" s="11">
        <f>ROUND(IFERROR(AN47/_xlfn.XLOOKUP(BL$7,'Product Tgt'!$B:$B,'Product Tgt'!$D:$D),0),0)</f>
        <v>0</v>
      </c>
      <c r="BM47" s="11">
        <f>ROUND(IFERROR(AQ47/_xlfn.XLOOKUP(BM$7,'Product Tgt'!$B:$B,'Product Tgt'!$D:$D),0),0)</f>
        <v>0</v>
      </c>
      <c r="BN47" s="11">
        <f>ROUND(IFERROR(AR47/_xlfn.XLOOKUP(BN$7,'Product Tgt'!$B:$B,'Product Tgt'!$D:$D),0),0)</f>
        <v>0</v>
      </c>
      <c r="BO47" s="11">
        <f>ROUND(IFERROR(AS47/_xlfn.XLOOKUP(BO$7,'Product Tgt'!$B:$B,'Product Tgt'!$D:$D),0),0)</f>
        <v>0</v>
      </c>
      <c r="BP47" s="11">
        <f>ROUND(IFERROR(AT47/_xlfn.XLOOKUP(BP$7,'Product Tgt'!$B:$B,'Product Tgt'!$D:$D),0),0)</f>
        <v>0</v>
      </c>
      <c r="BQ47" s="11">
        <f>ROUND(IFERROR(AU47/_xlfn.XLOOKUP(BQ$7,'Product Tgt'!$B:$B,'Product Tgt'!$D:$D),0),0)</f>
        <v>0</v>
      </c>
      <c r="BR47" s="11">
        <f>ROUND(IFERROR(AV47/_xlfn.XLOOKUP(BR$7,'Product Tgt'!$B:$B,'Product Tgt'!$D:$D),0),0)</f>
        <v>0</v>
      </c>
      <c r="BS47" s="11">
        <f>ROUND(IFERROR(AW47/_xlfn.XLOOKUP(BS$7,'Product Tgt'!$B:$B,'Product Tgt'!$D:$D),0),0)</f>
        <v>0</v>
      </c>
      <c r="BT47" s="11">
        <f>ROUND(IFERROR(AX47/_xlfn.XLOOKUP(BT$7,'Product Tgt'!$B:$B,'Product Tgt'!$D:$D),0),0)</f>
        <v>0</v>
      </c>
      <c r="BU47" s="11">
        <f>ROUND(IFERROR(AY47/_xlfn.XLOOKUP(BU$7,'Product Tgt'!$B:$B,'Product Tgt'!$D:$D),0),0)</f>
        <v>0</v>
      </c>
      <c r="BV47" s="11">
        <f>ROUND(IFERROR(AZ47/_xlfn.XLOOKUP(BV$7,'Product Tgt'!$B:$B,'Product Tgt'!$D:$D),0),0)</f>
        <v>0</v>
      </c>
      <c r="BW47" s="11">
        <f>ROUND(IFERROR(BA47/_xlfn.XLOOKUP(BW$7,'Product Tgt'!$B:$B,'Product Tgt'!$D:$D),0),0)</f>
        <v>0</v>
      </c>
      <c r="BX47" s="11">
        <f>ROUND(IFERROR(BB47/_xlfn.XLOOKUP(BX$7,'Product Tgt'!$B:$B,'Product Tgt'!$D:$D),0),0)</f>
        <v>0</v>
      </c>
      <c r="BY47" s="11">
        <f>ROUND(IFERROR(BC47/_xlfn.XLOOKUP(BY$7,'Product Tgt'!$B:$B,'Product Tgt'!$D:$D),0),0)</f>
        <v>0</v>
      </c>
      <c r="BZ47" s="13">
        <f>ROUND(IFERROR(BD47/_xlfn.XLOOKUP(BZ$7,'Product Tgt'!$B:$B,'Product Tgt'!$D:$D),0),0)</f>
        <v>0</v>
      </c>
    </row>
    <row r="48" spans="1:78" x14ac:dyDescent="0.25">
      <c r="A48" s="4" t="s">
        <v>91</v>
      </c>
      <c r="B48" s="3">
        <f>_xlfn.XLOOKUP(A48,'Terr Target'!$A:$A,'Terr Target'!$E:$E)</f>
        <v>384691.10659119085</v>
      </c>
      <c r="C48" s="3">
        <f t="shared" si="9"/>
        <v>384691.82848175202</v>
      </c>
      <c r="D48" s="5">
        <f t="shared" si="6"/>
        <v>0.72189056116621941</v>
      </c>
      <c r="E48" s="6">
        <f t="shared" si="7"/>
        <v>1.8765424886077677E-6</v>
      </c>
      <c r="F48" s="6">
        <f t="shared" si="8"/>
        <v>0.99999812345751138</v>
      </c>
      <c r="G48" s="55">
        <v>11116.1389418542</v>
      </c>
      <c r="H48" s="56">
        <v>32797.402109256938</v>
      </c>
      <c r="I48" s="56">
        <v>109286.11084056318</v>
      </c>
      <c r="J48" s="56">
        <v>79718.379437014533</v>
      </c>
      <c r="K48" s="56">
        <v>4943.7754689621415</v>
      </c>
      <c r="L48" s="56">
        <v>3137.8564280295977</v>
      </c>
      <c r="M48" s="56">
        <v>0</v>
      </c>
      <c r="N48" s="56">
        <v>1877.0157926608154</v>
      </c>
      <c r="O48" s="56">
        <v>4932.2205095916161</v>
      </c>
      <c r="P48" s="56">
        <v>1215.8517385756343</v>
      </c>
      <c r="Q48" s="56">
        <v>1781.7270856181349</v>
      </c>
      <c r="R48" s="56">
        <v>2121.4071541238586</v>
      </c>
      <c r="S48" s="56">
        <v>23274.378373261425</v>
      </c>
      <c r="T48" s="56">
        <v>4284.4379720283159</v>
      </c>
      <c r="U48" s="56">
        <v>30545.842831158025</v>
      </c>
      <c r="V48" s="56">
        <v>2782.1642036264011</v>
      </c>
      <c r="W48" s="56">
        <v>9313.1284946463693</v>
      </c>
      <c r="X48" s="56">
        <v>7707.723735780196</v>
      </c>
      <c r="Y48" s="56">
        <v>2798.0473092903544</v>
      </c>
      <c r="Z48" s="56">
        <v>28872.249914288292</v>
      </c>
      <c r="AA48" s="56">
        <v>3417.2700374816586</v>
      </c>
      <c r="AB48" s="56">
        <v>10677.139828243568</v>
      </c>
      <c r="AC48" s="56">
        <v>6831.8435353435825</v>
      </c>
      <c r="AD48" s="56">
        <v>7399.9278355959441</v>
      </c>
      <c r="AE48" s="57">
        <v>1252.371427197384</v>
      </c>
      <c r="AF48" s="42">
        <f>IFERROR(_xlfn.XLOOKUP(AF$7,'Product Tgt'!$B:$B,'Product Tgt'!$G:$G)*G48/G$60,0)</f>
        <v>11198.214220725213</v>
      </c>
      <c r="AG48" s="42">
        <f>IFERROR(_xlfn.XLOOKUP(AG$7,'Product Tgt'!$B:$B,'Product Tgt'!$G:$G)*H48/H$60,0)</f>
        <v>33579.525261805858</v>
      </c>
      <c r="AH48" s="42">
        <f>IFERROR(_xlfn.XLOOKUP(AH$7,'Product Tgt'!$B:$B,'Product Tgt'!$G:$G)*I48/I$60,0)</f>
        <v>109139.442917362</v>
      </c>
      <c r="AI48" s="42">
        <f>IFERROR(_xlfn.XLOOKUP(AI$7,'Product Tgt'!$B:$B,'Product Tgt'!$G:$G)*J48/J$60,0)</f>
        <v>79375.229358441255</v>
      </c>
      <c r="AJ48" s="42">
        <f>IFERROR(_xlfn.XLOOKUP(AJ$7,'Product Tgt'!$B:$B,'Product Tgt'!$G:$G)*K48/K$60,0)</f>
        <v>4862.6380689848893</v>
      </c>
      <c r="AK48" s="42">
        <f>IFERROR(_xlfn.XLOOKUP(AK$7,'Product Tgt'!$B:$B,'Product Tgt'!$G:$G)*L48/L$60,0)</f>
        <v>3229.4074999416653</v>
      </c>
      <c r="AL48" s="42">
        <f>IFERROR(_xlfn.XLOOKUP(AL$7,'Product Tgt'!$B:$B,'Product Tgt'!$G:$G)*M48/M$60,0)</f>
        <v>0</v>
      </c>
      <c r="AM48" s="42">
        <f>IFERROR(_xlfn.XLOOKUP(AM$7,'Product Tgt'!$B:$B,'Product Tgt'!$G:$G)*N48/N$60,0)</f>
        <v>1864.4912771569875</v>
      </c>
      <c r="AN48" s="42">
        <f>IFERROR(_xlfn.XLOOKUP(AN$7,'Product Tgt'!$B:$B,'Product Tgt'!$G:$G)*O48/O$60,0)</f>
        <v>5379.1858920820569</v>
      </c>
      <c r="AO48" s="42">
        <f>IFERROR(_xlfn.XLOOKUP(AO$7,'Product Tgt'!$B:$B,'Product Tgt'!$G:$G)*P48/P$60,0)</f>
        <v>1165.7847334450871</v>
      </c>
      <c r="AP48" s="42">
        <f>IFERROR(_xlfn.XLOOKUP(AP$7,'Product Tgt'!$B:$B,'Product Tgt'!$G:$G)*Q48/Q$60,0)</f>
        <v>1354.3796615753738</v>
      </c>
      <c r="AQ48" s="42">
        <f>IFERROR(_xlfn.XLOOKUP(AQ$7,'Product Tgt'!$B:$B,'Product Tgt'!$G:$G)*R48/R$60,0)</f>
        <v>1770.0989924384342</v>
      </c>
      <c r="AR48" s="42">
        <f>IFERROR(_xlfn.XLOOKUP(AR$7,'Product Tgt'!$B:$B,'Product Tgt'!$G:$G)*S48/S$60,0)</f>
        <v>22539.855663448001</v>
      </c>
      <c r="AS48" s="42">
        <f>IFERROR(_xlfn.XLOOKUP(AS$7,'Product Tgt'!$B:$B,'Product Tgt'!$G:$G)*T48/T$60,0)</f>
        <v>3889.2708501049501</v>
      </c>
      <c r="AT48" s="42">
        <f>IFERROR(_xlfn.XLOOKUP(AT$7,'Product Tgt'!$B:$B,'Product Tgt'!$G:$G)*U48/U$60,0)</f>
        <v>26082.803174000255</v>
      </c>
      <c r="AU48" s="42">
        <f>IFERROR(_xlfn.XLOOKUP(AU$7,'Product Tgt'!$B:$B,'Product Tgt'!$G:$G)*V48/V$60,0)</f>
        <v>2931.6698489926207</v>
      </c>
      <c r="AV48" s="42">
        <f>IFERROR(_xlfn.XLOOKUP(AV$7,'Product Tgt'!$B:$B,'Product Tgt'!$G:$G)*W48/W$60,0)</f>
        <v>8977.2922280681032</v>
      </c>
      <c r="AW48" s="42">
        <f>IFERROR(_xlfn.XLOOKUP(AW$7,'Product Tgt'!$B:$B,'Product Tgt'!$G:$G)*X48/X$60,0)</f>
        <v>7951.2001667288941</v>
      </c>
      <c r="AX48" s="42">
        <f>IFERROR(_xlfn.XLOOKUP(AX$7,'Product Tgt'!$B:$B,'Product Tgt'!$G:$G)*Y48/Y$60,0)</f>
        <v>2692.7596060974997</v>
      </c>
      <c r="AY48" s="42">
        <f>IFERROR(_xlfn.XLOOKUP(AY$7,'Product Tgt'!$B:$B,'Product Tgt'!$G:$G)*Z48/Z$60,0)</f>
        <v>27807.227963089368</v>
      </c>
      <c r="AZ48" s="42">
        <f>IFERROR(_xlfn.XLOOKUP(AZ$7,'Product Tgt'!$B:$B,'Product Tgt'!$G:$G)*AA48/AA$60,0)</f>
        <v>3415.4285046307596</v>
      </c>
      <c r="BA48" s="42">
        <f>IFERROR(_xlfn.XLOOKUP(BA$7,'Product Tgt'!$B:$B,'Product Tgt'!$G:$G)*AB48/AB$60,0)</f>
        <v>9973.1212259640288</v>
      </c>
      <c r="BB48" s="42">
        <f>IFERROR(_xlfn.XLOOKUP(BB$7,'Product Tgt'!$B:$B,'Product Tgt'!$G:$G)*AC48/AC$60,0)</f>
        <v>6844.4881394852973</v>
      </c>
      <c r="BC48" s="42">
        <f>IFERROR(_xlfn.XLOOKUP(BC$7,'Product Tgt'!$B:$B,'Product Tgt'!$G:$G)*AD48/AD$60,0)</f>
        <v>7413.6238691298377</v>
      </c>
      <c r="BD48" s="42">
        <f>IFERROR(_xlfn.XLOOKUP(BD$7,'Product Tgt'!$B:$B,'Product Tgt'!$G:$G)*AE48/AE$60,0)</f>
        <v>1254.6893580535839</v>
      </c>
      <c r="BE48" s="10">
        <f>ROUND(IFERROR(AF48/_xlfn.XLOOKUP(BE$7,'Product Tgt'!$B:$B,'Product Tgt'!$D:$D),0),0)</f>
        <v>0</v>
      </c>
      <c r="BF48" s="11">
        <f>ROUND(IFERROR(AG48/_xlfn.XLOOKUP(BF$7,'Product Tgt'!$B:$B,'Product Tgt'!$D:$D),0),0)</f>
        <v>0</v>
      </c>
      <c r="BG48" s="11">
        <f>ROUND(IFERROR(AH48/_xlfn.XLOOKUP(BG$7,'Product Tgt'!$B:$B,'Product Tgt'!$D:$D),0),0)</f>
        <v>0</v>
      </c>
      <c r="BH48" s="11">
        <f>ROUND(IFERROR(AI48/_xlfn.XLOOKUP(BH$7,'Product Tgt'!$B:$B,'Product Tgt'!$D:$D),0),0)</f>
        <v>0</v>
      </c>
      <c r="BI48" s="11">
        <f>ROUND(IFERROR(AM48/_xlfn.XLOOKUP(BI$7,'Product Tgt'!$B:$B,'Product Tgt'!$D:$D),0),0)</f>
        <v>0</v>
      </c>
      <c r="BJ48" s="11">
        <f>ROUND(IFERROR(#REF!/_xlfn.XLOOKUP(BJ$7,'Product Tgt'!$B:$B,'Product Tgt'!$D:$D),0),0)</f>
        <v>0</v>
      </c>
      <c r="BK48" s="11">
        <f>ROUND(IFERROR(#REF!/_xlfn.XLOOKUP(BK$7,'Product Tgt'!$B:$B,'Product Tgt'!$D:$D),0),0)</f>
        <v>0</v>
      </c>
      <c r="BL48" s="11">
        <f>ROUND(IFERROR(AN48/_xlfn.XLOOKUP(BL$7,'Product Tgt'!$B:$B,'Product Tgt'!$D:$D),0),0)</f>
        <v>0</v>
      </c>
      <c r="BM48" s="11">
        <f>ROUND(IFERROR(AQ48/_xlfn.XLOOKUP(BM$7,'Product Tgt'!$B:$B,'Product Tgt'!$D:$D),0),0)</f>
        <v>0</v>
      </c>
      <c r="BN48" s="11">
        <f>ROUND(IFERROR(AR48/_xlfn.XLOOKUP(BN$7,'Product Tgt'!$B:$B,'Product Tgt'!$D:$D),0),0)</f>
        <v>0</v>
      </c>
      <c r="BO48" s="11">
        <f>ROUND(IFERROR(AS48/_xlfn.XLOOKUP(BO$7,'Product Tgt'!$B:$B,'Product Tgt'!$D:$D),0),0)</f>
        <v>0</v>
      </c>
      <c r="BP48" s="11">
        <f>ROUND(IFERROR(AT48/_xlfn.XLOOKUP(BP$7,'Product Tgt'!$B:$B,'Product Tgt'!$D:$D),0),0)</f>
        <v>0</v>
      </c>
      <c r="BQ48" s="11">
        <f>ROUND(IFERROR(AU48/_xlfn.XLOOKUP(BQ$7,'Product Tgt'!$B:$B,'Product Tgt'!$D:$D),0),0)</f>
        <v>0</v>
      </c>
      <c r="BR48" s="11">
        <f>ROUND(IFERROR(AV48/_xlfn.XLOOKUP(BR$7,'Product Tgt'!$B:$B,'Product Tgt'!$D:$D),0),0)</f>
        <v>0</v>
      </c>
      <c r="BS48" s="11">
        <f>ROUND(IFERROR(AW48/_xlfn.XLOOKUP(BS$7,'Product Tgt'!$B:$B,'Product Tgt'!$D:$D),0),0)</f>
        <v>0</v>
      </c>
      <c r="BT48" s="11">
        <f>ROUND(IFERROR(AX48/_xlfn.XLOOKUP(BT$7,'Product Tgt'!$B:$B,'Product Tgt'!$D:$D),0),0)</f>
        <v>0</v>
      </c>
      <c r="BU48" s="11">
        <f>ROUND(IFERROR(AY48/_xlfn.XLOOKUP(BU$7,'Product Tgt'!$B:$B,'Product Tgt'!$D:$D),0),0)</f>
        <v>0</v>
      </c>
      <c r="BV48" s="11">
        <f>ROUND(IFERROR(AZ48/_xlfn.XLOOKUP(BV$7,'Product Tgt'!$B:$B,'Product Tgt'!$D:$D),0),0)</f>
        <v>0</v>
      </c>
      <c r="BW48" s="11">
        <f>ROUND(IFERROR(BA48/_xlfn.XLOOKUP(BW$7,'Product Tgt'!$B:$B,'Product Tgt'!$D:$D),0),0)</f>
        <v>0</v>
      </c>
      <c r="BX48" s="11">
        <f>ROUND(IFERROR(BB48/_xlfn.XLOOKUP(BX$7,'Product Tgt'!$B:$B,'Product Tgt'!$D:$D),0),0)</f>
        <v>0</v>
      </c>
      <c r="BY48" s="11">
        <f>ROUND(IFERROR(BC48/_xlfn.XLOOKUP(BY$7,'Product Tgt'!$B:$B,'Product Tgt'!$D:$D),0),0)</f>
        <v>0</v>
      </c>
      <c r="BZ48" s="13">
        <f>ROUND(IFERROR(BD48/_xlfn.XLOOKUP(BZ$7,'Product Tgt'!$B:$B,'Product Tgt'!$D:$D),0),0)</f>
        <v>0</v>
      </c>
    </row>
    <row r="49" spans="1:78" x14ac:dyDescent="0.25">
      <c r="A49" s="4" t="s">
        <v>92</v>
      </c>
      <c r="B49" s="3">
        <f>_xlfn.XLOOKUP(A49,'Terr Target'!$A:$A,'Terr Target'!$E:$E)</f>
        <v>475615.90384503361</v>
      </c>
      <c r="C49" s="3">
        <f t="shared" si="9"/>
        <v>475615.75801710598</v>
      </c>
      <c r="D49" s="5">
        <f t="shared" si="6"/>
        <v>-0.14582792762666941</v>
      </c>
      <c r="E49" s="6">
        <f t="shared" si="7"/>
        <v>3.0660869655505518E-7</v>
      </c>
      <c r="F49" s="6">
        <f t="shared" si="8"/>
        <v>1.0000003066086967</v>
      </c>
      <c r="G49" s="55">
        <v>12754.032693661249</v>
      </c>
      <c r="H49" s="56">
        <v>24286.558103282128</v>
      </c>
      <c r="I49" s="56">
        <v>99799.654228314845</v>
      </c>
      <c r="J49" s="56">
        <v>145997.93940776738</v>
      </c>
      <c r="K49" s="56">
        <v>14402.211096111374</v>
      </c>
      <c r="L49" s="56">
        <v>10468.364758585938</v>
      </c>
      <c r="M49" s="56">
        <v>0</v>
      </c>
      <c r="N49" s="56">
        <v>3428.321390223286</v>
      </c>
      <c r="O49" s="56">
        <v>12691.936431610922</v>
      </c>
      <c r="P49" s="56">
        <v>2103.9621579290147</v>
      </c>
      <c r="Q49" s="56">
        <v>2328.9307378022345</v>
      </c>
      <c r="R49" s="56">
        <v>2434.8714536129014</v>
      </c>
      <c r="S49" s="56">
        <v>20658.800607859415</v>
      </c>
      <c r="T49" s="56">
        <v>4460.1703235052955</v>
      </c>
      <c r="U49" s="56">
        <v>23228.885869809619</v>
      </c>
      <c r="V49" s="56">
        <v>6752.1060498889801</v>
      </c>
      <c r="W49" s="56">
        <v>12372.409444943045</v>
      </c>
      <c r="X49" s="56">
        <v>8855.4965852506721</v>
      </c>
      <c r="Y49" s="56">
        <v>3909.2264532661416</v>
      </c>
      <c r="Z49" s="56">
        <v>29186.937974423265</v>
      </c>
      <c r="AA49" s="56">
        <v>5147.6116457417029</v>
      </c>
      <c r="AB49" s="56">
        <v>24482.253590628716</v>
      </c>
      <c r="AC49" s="56">
        <v>5684.6558884679998</v>
      </c>
      <c r="AD49" s="56">
        <v>6157.3487635125121</v>
      </c>
      <c r="AE49" s="57">
        <v>1042.076062095975</v>
      </c>
      <c r="AF49" s="42">
        <f>IFERROR(_xlfn.XLOOKUP(AF$7,'Product Tgt'!$B:$B,'Product Tgt'!$G:$G)*G49/G$60,0)</f>
        <v>12848.201253044841</v>
      </c>
      <c r="AG49" s="42">
        <f>IFERROR(_xlfn.XLOOKUP(AG$7,'Product Tgt'!$B:$B,'Product Tgt'!$G:$G)*H49/H$60,0)</f>
        <v>24865.722249424678</v>
      </c>
      <c r="AH49" s="42">
        <f>IFERROR(_xlfn.XLOOKUP(AH$7,'Product Tgt'!$B:$B,'Product Tgt'!$G:$G)*I49/I$60,0)</f>
        <v>99665.717647451267</v>
      </c>
      <c r="AI49" s="42">
        <f>IFERROR(_xlfn.XLOOKUP(AI$7,'Product Tgt'!$B:$B,'Product Tgt'!$G:$G)*J49/J$60,0)</f>
        <v>145369.48703915274</v>
      </c>
      <c r="AJ49" s="42">
        <f>IFERROR(_xlfn.XLOOKUP(AJ$7,'Product Tgt'!$B:$B,'Product Tgt'!$G:$G)*K49/K$60,0)</f>
        <v>14165.841550285837</v>
      </c>
      <c r="AK49" s="42">
        <f>IFERROR(_xlfn.XLOOKUP(AK$7,'Product Tgt'!$B:$B,'Product Tgt'!$G:$G)*L49/L$60,0)</f>
        <v>10773.793014083551</v>
      </c>
      <c r="AL49" s="42">
        <f>IFERROR(_xlfn.XLOOKUP(AL$7,'Product Tgt'!$B:$B,'Product Tgt'!$G:$G)*M49/M$60,0)</f>
        <v>0</v>
      </c>
      <c r="AM49" s="42">
        <f>IFERROR(_xlfn.XLOOKUP(AM$7,'Product Tgt'!$B:$B,'Product Tgt'!$G:$G)*N49/N$60,0)</f>
        <v>3405.445682639021</v>
      </c>
      <c r="AN49" s="42">
        <f>IFERROR(_xlfn.XLOOKUP(AN$7,'Product Tgt'!$B:$B,'Product Tgt'!$G:$G)*O49/O$60,0)</f>
        <v>13842.099164738409</v>
      </c>
      <c r="AO49" s="42">
        <f>IFERROR(_xlfn.XLOOKUP(AO$7,'Product Tgt'!$B:$B,'Product Tgt'!$G:$G)*P49/P$60,0)</f>
        <v>2017.3240582221265</v>
      </c>
      <c r="AP49" s="42">
        <f>IFERROR(_xlfn.XLOOKUP(AP$7,'Product Tgt'!$B:$B,'Product Tgt'!$G:$G)*Q49/Q$60,0)</f>
        <v>1770.3364617161722</v>
      </c>
      <c r="AQ49" s="42">
        <f>IFERROR(_xlfn.XLOOKUP(AQ$7,'Product Tgt'!$B:$B,'Product Tgt'!$G:$G)*R49/R$60,0)</f>
        <v>2031.6531404068533</v>
      </c>
      <c r="AR49" s="42">
        <f>IFERROR(_xlfn.XLOOKUP(AR$7,'Product Tgt'!$B:$B,'Product Tgt'!$G:$G)*S49/S$60,0)</f>
        <v>20006.823658760186</v>
      </c>
      <c r="AS49" s="42">
        <f>IFERROR(_xlfn.XLOOKUP(AS$7,'Product Tgt'!$B:$B,'Product Tgt'!$G:$G)*T49/T$60,0)</f>
        <v>4048.7948568666238</v>
      </c>
      <c r="AT49" s="42">
        <f>IFERROR(_xlfn.XLOOKUP(AT$7,'Product Tgt'!$B:$B,'Product Tgt'!$G:$G)*U49/U$60,0)</f>
        <v>19834.923575117165</v>
      </c>
      <c r="AU49" s="42">
        <f>IFERROR(_xlfn.XLOOKUP(AU$7,'Product Tgt'!$B:$B,'Product Tgt'!$G:$G)*V49/V$60,0)</f>
        <v>7114.9451559539657</v>
      </c>
      <c r="AV49" s="42">
        <f>IFERROR(_xlfn.XLOOKUP(AV$7,'Product Tgt'!$B:$B,'Product Tgt'!$G:$G)*W49/W$60,0)</f>
        <v>11926.253913109043</v>
      </c>
      <c r="AW49" s="42">
        <f>IFERROR(_xlfn.XLOOKUP(AW$7,'Product Tgt'!$B:$B,'Product Tgt'!$G:$G)*X49/X$60,0)</f>
        <v>9135.2295877253619</v>
      </c>
      <c r="AX49" s="42">
        <f>IFERROR(_xlfn.XLOOKUP(AX$7,'Product Tgt'!$B:$B,'Product Tgt'!$G:$G)*Y49/Y$60,0)</f>
        <v>3762.1261976133769</v>
      </c>
      <c r="AY49" s="42">
        <f>IFERROR(_xlfn.XLOOKUP(AY$7,'Product Tgt'!$B:$B,'Product Tgt'!$G:$G)*Z49/Z$60,0)</f>
        <v>28110.30800192988</v>
      </c>
      <c r="AZ49" s="42">
        <f>IFERROR(_xlfn.XLOOKUP(AZ$7,'Product Tgt'!$B:$B,'Product Tgt'!$G:$G)*AA49/AA$60,0)</f>
        <v>5144.8376490000546</v>
      </c>
      <c r="BA49" s="42">
        <f>IFERROR(_xlfn.XLOOKUP(BA$7,'Product Tgt'!$B:$B,'Product Tgt'!$G:$G)*AB49/AB$60,0)</f>
        <v>22867.967158982068</v>
      </c>
      <c r="BB49" s="42">
        <f>IFERROR(_xlfn.XLOOKUP(BB$7,'Product Tgt'!$B:$B,'Product Tgt'!$G:$G)*AC49/AC$60,0)</f>
        <v>5695.1772394063928</v>
      </c>
      <c r="BC49" s="42">
        <f>IFERROR(_xlfn.XLOOKUP(BC$7,'Product Tgt'!$B:$B,'Product Tgt'!$G:$G)*AD49/AD$60,0)</f>
        <v>6168.7449902080325</v>
      </c>
      <c r="BD49" s="42">
        <f>IFERROR(_xlfn.XLOOKUP(BD$7,'Product Tgt'!$B:$B,'Product Tgt'!$G:$G)*AE49/AE$60,0)</f>
        <v>1044.0047712683368</v>
      </c>
      <c r="BE49" s="10">
        <f>ROUND(IFERROR(AF49/_xlfn.XLOOKUP(BE$7,'Product Tgt'!$B:$B,'Product Tgt'!$D:$D),0),0)</f>
        <v>0</v>
      </c>
      <c r="BF49" s="11">
        <f>ROUND(IFERROR(AG49/_xlfn.XLOOKUP(BF$7,'Product Tgt'!$B:$B,'Product Tgt'!$D:$D),0),0)</f>
        <v>0</v>
      </c>
      <c r="BG49" s="11">
        <f>ROUND(IFERROR(AH49/_xlfn.XLOOKUP(BG$7,'Product Tgt'!$B:$B,'Product Tgt'!$D:$D),0),0)</f>
        <v>0</v>
      </c>
      <c r="BH49" s="11">
        <f>ROUND(IFERROR(AI49/_xlfn.XLOOKUP(BH$7,'Product Tgt'!$B:$B,'Product Tgt'!$D:$D),0),0)</f>
        <v>0</v>
      </c>
      <c r="BI49" s="11">
        <f>ROUND(IFERROR(AM49/_xlfn.XLOOKUP(BI$7,'Product Tgt'!$B:$B,'Product Tgt'!$D:$D),0),0)</f>
        <v>0</v>
      </c>
      <c r="BJ49" s="11">
        <f>ROUND(IFERROR(#REF!/_xlfn.XLOOKUP(BJ$7,'Product Tgt'!$B:$B,'Product Tgt'!$D:$D),0),0)</f>
        <v>0</v>
      </c>
      <c r="BK49" s="11">
        <f>ROUND(IFERROR(#REF!/_xlfn.XLOOKUP(BK$7,'Product Tgt'!$B:$B,'Product Tgt'!$D:$D),0),0)</f>
        <v>0</v>
      </c>
      <c r="BL49" s="11">
        <f>ROUND(IFERROR(AN49/_xlfn.XLOOKUP(BL$7,'Product Tgt'!$B:$B,'Product Tgt'!$D:$D),0),0)</f>
        <v>0</v>
      </c>
      <c r="BM49" s="11">
        <f>ROUND(IFERROR(AQ49/_xlfn.XLOOKUP(BM$7,'Product Tgt'!$B:$B,'Product Tgt'!$D:$D),0),0)</f>
        <v>0</v>
      </c>
      <c r="BN49" s="11">
        <f>ROUND(IFERROR(AR49/_xlfn.XLOOKUP(BN$7,'Product Tgt'!$B:$B,'Product Tgt'!$D:$D),0),0)</f>
        <v>0</v>
      </c>
      <c r="BO49" s="11">
        <f>ROUND(IFERROR(AS49/_xlfn.XLOOKUP(BO$7,'Product Tgt'!$B:$B,'Product Tgt'!$D:$D),0),0)</f>
        <v>0</v>
      </c>
      <c r="BP49" s="11">
        <f>ROUND(IFERROR(AT49/_xlfn.XLOOKUP(BP$7,'Product Tgt'!$B:$B,'Product Tgt'!$D:$D),0),0)</f>
        <v>0</v>
      </c>
      <c r="BQ49" s="11">
        <f>ROUND(IFERROR(AU49/_xlfn.XLOOKUP(BQ$7,'Product Tgt'!$B:$B,'Product Tgt'!$D:$D),0),0)</f>
        <v>0</v>
      </c>
      <c r="BR49" s="11">
        <f>ROUND(IFERROR(AV49/_xlfn.XLOOKUP(BR$7,'Product Tgt'!$B:$B,'Product Tgt'!$D:$D),0),0)</f>
        <v>0</v>
      </c>
      <c r="BS49" s="11">
        <f>ROUND(IFERROR(AW49/_xlfn.XLOOKUP(BS$7,'Product Tgt'!$B:$B,'Product Tgt'!$D:$D),0),0)</f>
        <v>0</v>
      </c>
      <c r="BT49" s="11">
        <f>ROUND(IFERROR(AX49/_xlfn.XLOOKUP(BT$7,'Product Tgt'!$B:$B,'Product Tgt'!$D:$D),0),0)</f>
        <v>0</v>
      </c>
      <c r="BU49" s="11">
        <f>ROUND(IFERROR(AY49/_xlfn.XLOOKUP(BU$7,'Product Tgt'!$B:$B,'Product Tgt'!$D:$D),0),0)</f>
        <v>0</v>
      </c>
      <c r="BV49" s="11">
        <f>ROUND(IFERROR(AZ49/_xlfn.XLOOKUP(BV$7,'Product Tgt'!$B:$B,'Product Tgt'!$D:$D),0),0)</f>
        <v>0</v>
      </c>
      <c r="BW49" s="11">
        <f>ROUND(IFERROR(BA49/_xlfn.XLOOKUP(BW$7,'Product Tgt'!$B:$B,'Product Tgt'!$D:$D),0),0)</f>
        <v>0</v>
      </c>
      <c r="BX49" s="11">
        <f>ROUND(IFERROR(BB49/_xlfn.XLOOKUP(BX$7,'Product Tgt'!$B:$B,'Product Tgt'!$D:$D),0),0)</f>
        <v>0</v>
      </c>
      <c r="BY49" s="11">
        <f>ROUND(IFERROR(BC49/_xlfn.XLOOKUP(BY$7,'Product Tgt'!$B:$B,'Product Tgt'!$D:$D),0),0)</f>
        <v>0</v>
      </c>
      <c r="BZ49" s="13">
        <f>ROUND(IFERROR(BD49/_xlfn.XLOOKUP(BZ$7,'Product Tgt'!$B:$B,'Product Tgt'!$D:$D),0),0)</f>
        <v>0</v>
      </c>
    </row>
    <row r="50" spans="1:78" x14ac:dyDescent="0.25">
      <c r="A50" s="4" t="s">
        <v>65</v>
      </c>
      <c r="B50" s="3">
        <f>_xlfn.XLOOKUP(A50,'Terr Target'!$A:$A,'Terr Target'!$E:$E)</f>
        <v>645423.18292707193</v>
      </c>
      <c r="C50" s="3">
        <f t="shared" si="9"/>
        <v>645423.74583399366</v>
      </c>
      <c r="D50" s="5">
        <f t="shared" si="6"/>
        <v>0.56290692172478884</v>
      </c>
      <c r="E50" s="6">
        <f t="shared" si="7"/>
        <v>8.7215093240398292E-7</v>
      </c>
      <c r="F50" s="6">
        <f t="shared" si="8"/>
        <v>0.99999912784906764</v>
      </c>
      <c r="G50" s="55">
        <v>17463.888483997769</v>
      </c>
      <c r="H50" s="56">
        <v>35199.508693313015</v>
      </c>
      <c r="I50" s="56">
        <v>141366.32619967006</v>
      </c>
      <c r="J50" s="56">
        <v>154529.7998854715</v>
      </c>
      <c r="K50" s="56">
        <v>14469.175935126181</v>
      </c>
      <c r="L50" s="56">
        <v>6810.573005238758</v>
      </c>
      <c r="M50" s="56">
        <v>0</v>
      </c>
      <c r="N50" s="56">
        <v>12068.569924842242</v>
      </c>
      <c r="O50" s="56">
        <v>22602.222537186499</v>
      </c>
      <c r="P50" s="56">
        <v>4053.4611932888602</v>
      </c>
      <c r="Q50" s="56">
        <v>4103.8051490032267</v>
      </c>
      <c r="R50" s="56">
        <v>5136.7187391016378</v>
      </c>
      <c r="S50" s="56">
        <v>34532.314177821747</v>
      </c>
      <c r="T50" s="56">
        <v>14165.845874364302</v>
      </c>
      <c r="U50" s="56">
        <v>27344.545391097796</v>
      </c>
      <c r="V50" s="56">
        <v>6656.6096421598268</v>
      </c>
      <c r="W50" s="56">
        <v>28323.924281606105</v>
      </c>
      <c r="X50" s="56">
        <v>20580.676899340146</v>
      </c>
      <c r="Y50" s="56">
        <v>12227.827928539977</v>
      </c>
      <c r="Z50" s="56">
        <v>42875.650743442369</v>
      </c>
      <c r="AA50" s="56">
        <v>6730.9739166137269</v>
      </c>
      <c r="AB50" s="56">
        <v>23862.865500341042</v>
      </c>
      <c r="AC50" s="56">
        <v>8940.9674362794431</v>
      </c>
      <c r="AD50" s="56">
        <v>9684.4304859440508</v>
      </c>
      <c r="AE50" s="57">
        <v>1639.0030144528907</v>
      </c>
      <c r="AF50" s="42">
        <f>IFERROR(_xlfn.XLOOKUP(AF$7,'Product Tgt'!$B:$B,'Product Tgt'!$G:$G)*G50/G$60,0)</f>
        <v>17592.831953038047</v>
      </c>
      <c r="AG50" s="42">
        <f>IFERROR(_xlfn.XLOOKUP(AG$7,'Product Tgt'!$B:$B,'Product Tgt'!$G:$G)*H50/H$60,0)</f>
        <v>36038.915138240453</v>
      </c>
      <c r="AH50" s="42">
        <f>IFERROR(_xlfn.XLOOKUP(AH$7,'Product Tgt'!$B:$B,'Product Tgt'!$G:$G)*I50/I$60,0)</f>
        <v>141176.60487721823</v>
      </c>
      <c r="AI50" s="42">
        <f>IFERROR(_xlfn.XLOOKUP(AI$7,'Product Tgt'!$B:$B,'Product Tgt'!$G:$G)*J50/J$60,0)</f>
        <v>153864.62187574405</v>
      </c>
      <c r="AJ50" s="42">
        <f>IFERROR(_xlfn.XLOOKUP(AJ$7,'Product Tgt'!$B:$B,'Product Tgt'!$G:$G)*K50/K$60,0)</f>
        <v>14231.707360236385</v>
      </c>
      <c r="AK50" s="42">
        <f>IFERROR(_xlfn.XLOOKUP(AK$7,'Product Tgt'!$B:$B,'Product Tgt'!$G:$G)*L50/L$60,0)</f>
        <v>7009.2803945875221</v>
      </c>
      <c r="AL50" s="42">
        <f>IFERROR(_xlfn.XLOOKUP(AL$7,'Product Tgt'!$B:$B,'Product Tgt'!$G:$G)*M50/M$60,0)</f>
        <v>0</v>
      </c>
      <c r="AM50" s="42">
        <f>IFERROR(_xlfn.XLOOKUP(AM$7,'Product Tgt'!$B:$B,'Product Tgt'!$G:$G)*N50/N$60,0)</f>
        <v>11988.041571418829</v>
      </c>
      <c r="AN50" s="42">
        <f>IFERROR(_xlfn.XLOOKUP(AN$7,'Product Tgt'!$B:$B,'Product Tgt'!$G:$G)*O50/O$60,0)</f>
        <v>24650.470587293265</v>
      </c>
      <c r="AO50" s="42">
        <f>IFERROR(_xlfn.XLOOKUP(AO$7,'Product Tgt'!$B:$B,'Product Tgt'!$G:$G)*P50/P$60,0)</f>
        <v>3886.5455604678586</v>
      </c>
      <c r="AP50" s="42">
        <f>IFERROR(_xlfn.XLOOKUP(AP$7,'Product Tgt'!$B:$B,'Product Tgt'!$G:$G)*Q50/Q$60,0)</f>
        <v>3119.5070635354855</v>
      </c>
      <c r="AQ50" s="42">
        <f>IFERROR(_xlfn.XLOOKUP(AQ$7,'Product Tgt'!$B:$B,'Product Tgt'!$G:$G)*R50/R$60,0)</f>
        <v>4286.0705201489891</v>
      </c>
      <c r="AR50" s="42">
        <f>IFERROR(_xlfn.XLOOKUP(AR$7,'Product Tgt'!$B:$B,'Product Tgt'!$G:$G)*S50/S$60,0)</f>
        <v>33442.499078177141</v>
      </c>
      <c r="AS50" s="42">
        <f>IFERROR(_xlfn.XLOOKUP(AS$7,'Product Tgt'!$B:$B,'Product Tgt'!$G:$G)*T50/T$60,0)</f>
        <v>12859.285578631418</v>
      </c>
      <c r="AT50" s="42">
        <f>IFERROR(_xlfn.XLOOKUP(AT$7,'Product Tgt'!$B:$B,'Product Tgt'!$G:$G)*U50/U$60,0)</f>
        <v>23349.245894469255</v>
      </c>
      <c r="AU50" s="42">
        <f>IFERROR(_xlfn.XLOOKUP(AU$7,'Product Tgt'!$B:$B,'Product Tgt'!$G:$G)*V50/V$60,0)</f>
        <v>7014.3170410275543</v>
      </c>
      <c r="AV50" s="42">
        <f>IFERROR(_xlfn.XLOOKUP(AV$7,'Product Tgt'!$B:$B,'Product Tgt'!$G:$G)*W50/W$60,0)</f>
        <v>27302.548812444678</v>
      </c>
      <c r="AW50" s="42">
        <f>IFERROR(_xlfn.XLOOKUP(AW$7,'Product Tgt'!$B:$B,'Product Tgt'!$G:$G)*X50/X$60,0)</f>
        <v>21230.792280966813</v>
      </c>
      <c r="AX50" s="42">
        <f>IFERROR(_xlfn.XLOOKUP(AX$7,'Product Tgt'!$B:$B,'Product Tgt'!$G:$G)*Y50/Y$60,0)</f>
        <v>11767.707074486249</v>
      </c>
      <c r="AY50" s="42">
        <f>IFERROR(_xlfn.XLOOKUP(AY$7,'Product Tgt'!$B:$B,'Product Tgt'!$G:$G)*Z50/Z$60,0)</f>
        <v>41294.079880441954</v>
      </c>
      <c r="AZ50" s="42">
        <f>IFERROR(_xlfn.XLOOKUP(AZ$7,'Product Tgt'!$B:$B,'Product Tgt'!$G:$G)*AA50/AA$60,0)</f>
        <v>6727.3466616850756</v>
      </c>
      <c r="BA50" s="42">
        <f>IFERROR(_xlfn.XLOOKUP(BA$7,'Product Tgt'!$B:$B,'Product Tgt'!$G:$G)*AB50/AB$60,0)</f>
        <v>22289.419663142675</v>
      </c>
      <c r="BB50" s="42">
        <f>IFERROR(_xlfn.XLOOKUP(BB$7,'Product Tgt'!$B:$B,'Product Tgt'!$G:$G)*AC50/AC$60,0)</f>
        <v>8957.5156773641284</v>
      </c>
      <c r="BC50" s="42">
        <f>IFERROR(_xlfn.XLOOKUP(BC$7,'Product Tgt'!$B:$B,'Product Tgt'!$G:$G)*AD50/AD$60,0)</f>
        <v>9702.3547532665125</v>
      </c>
      <c r="BD50" s="42">
        <f>IFERROR(_xlfn.XLOOKUP(BD$7,'Product Tgt'!$B:$B,'Product Tgt'!$G:$G)*AE50/AE$60,0)</f>
        <v>1642.0365359610478</v>
      </c>
      <c r="BE50" s="10">
        <f>ROUND(IFERROR(AF50/_xlfn.XLOOKUP(BE$7,'Product Tgt'!$B:$B,'Product Tgt'!$D:$D),0),0)</f>
        <v>0</v>
      </c>
      <c r="BF50" s="11">
        <f>ROUND(IFERROR(AG50/_xlfn.XLOOKUP(BF$7,'Product Tgt'!$B:$B,'Product Tgt'!$D:$D),0),0)</f>
        <v>0</v>
      </c>
      <c r="BG50" s="11">
        <f>ROUND(IFERROR(AH50/_xlfn.XLOOKUP(BG$7,'Product Tgt'!$B:$B,'Product Tgt'!$D:$D),0),0)</f>
        <v>0</v>
      </c>
      <c r="BH50" s="11">
        <f>ROUND(IFERROR(AI50/_xlfn.XLOOKUP(BH$7,'Product Tgt'!$B:$B,'Product Tgt'!$D:$D),0),0)</f>
        <v>0</v>
      </c>
      <c r="BI50" s="11">
        <f>ROUND(IFERROR(AM50/_xlfn.XLOOKUP(BI$7,'Product Tgt'!$B:$B,'Product Tgt'!$D:$D),0),0)</f>
        <v>0</v>
      </c>
      <c r="BJ50" s="11">
        <f>ROUND(IFERROR(#REF!/_xlfn.XLOOKUP(BJ$7,'Product Tgt'!$B:$B,'Product Tgt'!$D:$D),0),0)</f>
        <v>0</v>
      </c>
      <c r="BK50" s="11">
        <f>ROUND(IFERROR(#REF!/_xlfn.XLOOKUP(BK$7,'Product Tgt'!$B:$B,'Product Tgt'!$D:$D),0),0)</f>
        <v>0</v>
      </c>
      <c r="BL50" s="11">
        <f>ROUND(IFERROR(AN50/_xlfn.XLOOKUP(BL$7,'Product Tgt'!$B:$B,'Product Tgt'!$D:$D),0),0)</f>
        <v>0</v>
      </c>
      <c r="BM50" s="11">
        <f>ROUND(IFERROR(AQ50/_xlfn.XLOOKUP(BM$7,'Product Tgt'!$B:$B,'Product Tgt'!$D:$D),0),0)</f>
        <v>0</v>
      </c>
      <c r="BN50" s="11">
        <f>ROUND(IFERROR(AR50/_xlfn.XLOOKUP(BN$7,'Product Tgt'!$B:$B,'Product Tgt'!$D:$D),0),0)</f>
        <v>0</v>
      </c>
      <c r="BO50" s="11">
        <f>ROUND(IFERROR(AS50/_xlfn.XLOOKUP(BO$7,'Product Tgt'!$B:$B,'Product Tgt'!$D:$D),0),0)</f>
        <v>0</v>
      </c>
      <c r="BP50" s="11">
        <f>ROUND(IFERROR(AT50/_xlfn.XLOOKUP(BP$7,'Product Tgt'!$B:$B,'Product Tgt'!$D:$D),0),0)</f>
        <v>0</v>
      </c>
      <c r="BQ50" s="11">
        <f>ROUND(IFERROR(AU50/_xlfn.XLOOKUP(BQ$7,'Product Tgt'!$B:$B,'Product Tgt'!$D:$D),0),0)</f>
        <v>0</v>
      </c>
      <c r="BR50" s="11">
        <f>ROUND(IFERROR(AV50/_xlfn.XLOOKUP(BR$7,'Product Tgt'!$B:$B,'Product Tgt'!$D:$D),0),0)</f>
        <v>0</v>
      </c>
      <c r="BS50" s="11">
        <f>ROUND(IFERROR(AW50/_xlfn.XLOOKUP(BS$7,'Product Tgt'!$B:$B,'Product Tgt'!$D:$D),0),0)</f>
        <v>0</v>
      </c>
      <c r="BT50" s="11">
        <f>ROUND(IFERROR(AX50/_xlfn.XLOOKUP(BT$7,'Product Tgt'!$B:$B,'Product Tgt'!$D:$D),0),0)</f>
        <v>0</v>
      </c>
      <c r="BU50" s="11">
        <f>ROUND(IFERROR(AY50/_xlfn.XLOOKUP(BU$7,'Product Tgt'!$B:$B,'Product Tgt'!$D:$D),0),0)</f>
        <v>0</v>
      </c>
      <c r="BV50" s="11">
        <f>ROUND(IFERROR(AZ50/_xlfn.XLOOKUP(BV$7,'Product Tgt'!$B:$B,'Product Tgt'!$D:$D),0),0)</f>
        <v>0</v>
      </c>
      <c r="BW50" s="11">
        <f>ROUND(IFERROR(BA50/_xlfn.XLOOKUP(BW$7,'Product Tgt'!$B:$B,'Product Tgt'!$D:$D),0),0)</f>
        <v>0</v>
      </c>
      <c r="BX50" s="11">
        <f>ROUND(IFERROR(BB50/_xlfn.XLOOKUP(BX$7,'Product Tgt'!$B:$B,'Product Tgt'!$D:$D),0),0)</f>
        <v>0</v>
      </c>
      <c r="BY50" s="11">
        <f>ROUND(IFERROR(BC50/_xlfn.XLOOKUP(BY$7,'Product Tgt'!$B:$B,'Product Tgt'!$D:$D),0),0)</f>
        <v>0</v>
      </c>
      <c r="BZ50" s="13">
        <f>ROUND(IFERROR(BD50/_xlfn.XLOOKUP(BZ$7,'Product Tgt'!$B:$B,'Product Tgt'!$D:$D),0),0)</f>
        <v>0</v>
      </c>
    </row>
    <row r="51" spans="1:78" x14ac:dyDescent="0.25">
      <c r="A51" s="4" t="s">
        <v>66</v>
      </c>
      <c r="B51" s="3">
        <f>_xlfn.XLOOKUP(A51,'Terr Target'!$A:$A,'Terr Target'!$E:$E)</f>
        <v>405001.57080161094</v>
      </c>
      <c r="C51" s="3">
        <f t="shared" si="9"/>
        <v>405003.22293916455</v>
      </c>
      <c r="D51" s="5">
        <f t="shared" si="6"/>
        <v>1.6521375536103733</v>
      </c>
      <c r="E51" s="6">
        <f t="shared" si="7"/>
        <v>4.0793195215104263E-6</v>
      </c>
      <c r="F51" s="6">
        <f t="shared" si="8"/>
        <v>0.99999592068047849</v>
      </c>
      <c r="G51" s="55">
        <v>11556.431480881685</v>
      </c>
      <c r="H51" s="56">
        <v>17177.774146103751</v>
      </c>
      <c r="I51" s="56">
        <v>65681.553667362576</v>
      </c>
      <c r="J51" s="56">
        <v>92121.459781836311</v>
      </c>
      <c r="K51" s="56">
        <v>10837.394583201138</v>
      </c>
      <c r="L51" s="56">
        <v>5082.3605513572802</v>
      </c>
      <c r="M51" s="56">
        <v>0</v>
      </c>
      <c r="N51" s="56">
        <v>2097.7919223393728</v>
      </c>
      <c r="O51" s="56">
        <v>4850.6616891456833</v>
      </c>
      <c r="P51" s="56">
        <v>1153.3121696546598</v>
      </c>
      <c r="Q51" s="56">
        <v>3431.42487926586</v>
      </c>
      <c r="R51" s="56">
        <v>2367.1647555135141</v>
      </c>
      <c r="S51" s="56">
        <v>30990.190789844055</v>
      </c>
      <c r="T51" s="56">
        <v>21625.095780017582</v>
      </c>
      <c r="U51" s="56">
        <v>30903.956410180046</v>
      </c>
      <c r="V51" s="56">
        <v>3143.4712120866557</v>
      </c>
      <c r="W51" s="56">
        <v>11026.148665228178</v>
      </c>
      <c r="X51" s="56">
        <v>13919.30077317876</v>
      </c>
      <c r="Y51" s="56">
        <v>5911.3455442109462</v>
      </c>
      <c r="Z51" s="56">
        <v>33825.994523063207</v>
      </c>
      <c r="AA51" s="56">
        <v>5138.9306196802236</v>
      </c>
      <c r="AB51" s="56">
        <v>20844.001261235288</v>
      </c>
      <c r="AC51" s="56">
        <v>9820.0455577454213</v>
      </c>
      <c r="AD51" s="56">
        <v>10636.606077648717</v>
      </c>
      <c r="AE51" s="57">
        <v>1800.1501946982844</v>
      </c>
      <c r="AF51" s="42">
        <f>IFERROR(_xlfn.XLOOKUP(AF$7,'Product Tgt'!$B:$B,'Product Tgt'!$G:$G)*G51/G$60,0)</f>
        <v>11641.757630681403</v>
      </c>
      <c r="AG51" s="42">
        <f>IFERROR(_xlfn.XLOOKUP(AG$7,'Product Tgt'!$B:$B,'Product Tgt'!$G:$G)*H51/H$60,0)</f>
        <v>17587.414361635703</v>
      </c>
      <c r="AH51" s="42">
        <f>IFERROR(_xlfn.XLOOKUP(AH$7,'Product Tgt'!$B:$B,'Product Tgt'!$G:$G)*I51/I$60,0)</f>
        <v>65593.405438873844</v>
      </c>
      <c r="AI51" s="42">
        <f>IFERROR(_xlfn.XLOOKUP(AI$7,'Product Tgt'!$B:$B,'Product Tgt'!$G:$G)*J51/J$60,0)</f>
        <v>91724.920283847678</v>
      </c>
      <c r="AJ51" s="42">
        <f>IFERROR(_xlfn.XLOOKUP(AJ$7,'Product Tgt'!$B:$B,'Product Tgt'!$G:$G)*K51/K$60,0)</f>
        <v>10659.530919179782</v>
      </c>
      <c r="AK51" s="42">
        <f>IFERROR(_xlfn.XLOOKUP(AK$7,'Product Tgt'!$B:$B,'Product Tgt'!$G:$G)*L51/L$60,0)</f>
        <v>5230.6450783879018</v>
      </c>
      <c r="AL51" s="42">
        <f>IFERROR(_xlfn.XLOOKUP(AL$7,'Product Tgt'!$B:$B,'Product Tgt'!$G:$G)*M51/M$60,0)</f>
        <v>0</v>
      </c>
      <c r="AM51" s="42">
        <f>IFERROR(_xlfn.XLOOKUP(AM$7,'Product Tgt'!$B:$B,'Product Tgt'!$G:$G)*N51/N$60,0)</f>
        <v>2083.7942630986377</v>
      </c>
      <c r="AN51" s="42">
        <f>IFERROR(_xlfn.XLOOKUP(AN$7,'Product Tgt'!$B:$B,'Product Tgt'!$G:$G)*O51/O$60,0)</f>
        <v>5290.2360863172007</v>
      </c>
      <c r="AO51" s="42">
        <f>IFERROR(_xlfn.XLOOKUP(AO$7,'Product Tgt'!$B:$B,'Product Tgt'!$G:$G)*P51/P$60,0)</f>
        <v>1105.8204529566453</v>
      </c>
      <c r="AP51" s="42">
        <f>IFERROR(_xlfn.XLOOKUP(AP$7,'Product Tgt'!$B:$B,'Product Tgt'!$G:$G)*Q51/Q$60,0)</f>
        <v>2608.3972703872723</v>
      </c>
      <c r="AQ51" s="42">
        <f>IFERROR(_xlfn.XLOOKUP(AQ$7,'Product Tgt'!$B:$B,'Product Tgt'!$G:$G)*R51/R$60,0)</f>
        <v>1975.1587716318238</v>
      </c>
      <c r="AR51" s="42">
        <f>IFERROR(_xlfn.XLOOKUP(AR$7,'Product Tgt'!$B:$B,'Product Tgt'!$G:$G)*S51/S$60,0)</f>
        <v>30012.162567069161</v>
      </c>
      <c r="AS51" s="42">
        <f>IFERROR(_xlfn.XLOOKUP(AS$7,'Product Tgt'!$B:$B,'Product Tgt'!$G:$G)*T51/T$60,0)</f>
        <v>19630.545522434772</v>
      </c>
      <c r="AT51" s="42">
        <f>IFERROR(_xlfn.XLOOKUP(AT$7,'Product Tgt'!$B:$B,'Product Tgt'!$G:$G)*U51/U$60,0)</f>
        <v>26388.592935546476</v>
      </c>
      <c r="AU51" s="42">
        <f>IFERROR(_xlfn.XLOOKUP(AU$7,'Product Tgt'!$B:$B,'Product Tgt'!$G:$G)*V51/V$60,0)</f>
        <v>3312.3924754831764</v>
      </c>
      <c r="AV51" s="42">
        <f>IFERROR(_xlfn.XLOOKUP(AV$7,'Product Tgt'!$B:$B,'Product Tgt'!$G:$G)*W51/W$60,0)</f>
        <v>10628.539998645751</v>
      </c>
      <c r="AW51" s="42">
        <f>IFERROR(_xlfn.XLOOKUP(AW$7,'Product Tgt'!$B:$B,'Product Tgt'!$G:$G)*X51/X$60,0)</f>
        <v>14358.992411038427</v>
      </c>
      <c r="AX51" s="42">
        <f>IFERROR(_xlfn.XLOOKUP(AX$7,'Product Tgt'!$B:$B,'Product Tgt'!$G:$G)*Y51/Y$60,0)</f>
        <v>5688.9075628863429</v>
      </c>
      <c r="AY51" s="42">
        <f>IFERROR(_xlfn.XLOOKUP(AY$7,'Product Tgt'!$B:$B,'Product Tgt'!$G:$G)*Z51/Z$60,0)</f>
        <v>32578.2418610731</v>
      </c>
      <c r="AZ51" s="42">
        <f>IFERROR(_xlfn.XLOOKUP(AZ$7,'Product Tgt'!$B:$B,'Product Tgt'!$G:$G)*AA51/AA$60,0)</f>
        <v>5136.1613010572191</v>
      </c>
      <c r="BA51" s="42">
        <f>IFERROR(_xlfn.XLOOKUP(BA$7,'Product Tgt'!$B:$B,'Product Tgt'!$G:$G)*AB51/AB$60,0)</f>
        <v>19469.610284821352</v>
      </c>
      <c r="BB51" s="42">
        <f>IFERROR(_xlfn.XLOOKUP(BB$7,'Product Tgt'!$B:$B,'Product Tgt'!$G:$G)*AC51/AC$60,0)</f>
        <v>9838.2208259711824</v>
      </c>
      <c r="BC51" s="42">
        <f>IFERROR(_xlfn.XLOOKUP(BC$7,'Product Tgt'!$B:$B,'Product Tgt'!$G:$G)*AD51/AD$60,0)</f>
        <v>10656.292663351016</v>
      </c>
      <c r="BD51" s="42">
        <f>IFERROR(_xlfn.XLOOKUP(BD$7,'Product Tgt'!$B:$B,'Product Tgt'!$G:$G)*AE51/AE$60,0)</f>
        <v>1803.4819727886095</v>
      </c>
      <c r="BE51" s="10">
        <f>ROUND(IFERROR(AF51/_xlfn.XLOOKUP(BE$7,'Product Tgt'!$B:$B,'Product Tgt'!$D:$D),0),0)</f>
        <v>0</v>
      </c>
      <c r="BF51" s="11">
        <f>ROUND(IFERROR(AG51/_xlfn.XLOOKUP(BF$7,'Product Tgt'!$B:$B,'Product Tgt'!$D:$D),0),0)</f>
        <v>0</v>
      </c>
      <c r="BG51" s="11">
        <f>ROUND(IFERROR(AH51/_xlfn.XLOOKUP(BG$7,'Product Tgt'!$B:$B,'Product Tgt'!$D:$D),0),0)</f>
        <v>0</v>
      </c>
      <c r="BH51" s="11">
        <f>ROUND(IFERROR(AI51/_xlfn.XLOOKUP(BH$7,'Product Tgt'!$B:$B,'Product Tgt'!$D:$D),0),0)</f>
        <v>0</v>
      </c>
      <c r="BI51" s="11">
        <f>ROUND(IFERROR(AM51/_xlfn.XLOOKUP(BI$7,'Product Tgt'!$B:$B,'Product Tgt'!$D:$D),0),0)</f>
        <v>0</v>
      </c>
      <c r="BJ51" s="11">
        <f>ROUND(IFERROR(#REF!/_xlfn.XLOOKUP(BJ$7,'Product Tgt'!$B:$B,'Product Tgt'!$D:$D),0),0)</f>
        <v>0</v>
      </c>
      <c r="BK51" s="11">
        <f>ROUND(IFERROR(#REF!/_xlfn.XLOOKUP(BK$7,'Product Tgt'!$B:$B,'Product Tgt'!$D:$D),0),0)</f>
        <v>0</v>
      </c>
      <c r="BL51" s="11">
        <f>ROUND(IFERROR(AN51/_xlfn.XLOOKUP(BL$7,'Product Tgt'!$B:$B,'Product Tgt'!$D:$D),0),0)</f>
        <v>0</v>
      </c>
      <c r="BM51" s="11">
        <f>ROUND(IFERROR(AQ51/_xlfn.XLOOKUP(BM$7,'Product Tgt'!$B:$B,'Product Tgt'!$D:$D),0),0)</f>
        <v>0</v>
      </c>
      <c r="BN51" s="11">
        <f>ROUND(IFERROR(AR51/_xlfn.XLOOKUP(BN$7,'Product Tgt'!$B:$B,'Product Tgt'!$D:$D),0),0)</f>
        <v>0</v>
      </c>
      <c r="BO51" s="11">
        <f>ROUND(IFERROR(AS51/_xlfn.XLOOKUP(BO$7,'Product Tgt'!$B:$B,'Product Tgt'!$D:$D),0),0)</f>
        <v>0</v>
      </c>
      <c r="BP51" s="11">
        <f>ROUND(IFERROR(AT51/_xlfn.XLOOKUP(BP$7,'Product Tgt'!$B:$B,'Product Tgt'!$D:$D),0),0)</f>
        <v>0</v>
      </c>
      <c r="BQ51" s="11">
        <f>ROUND(IFERROR(AU51/_xlfn.XLOOKUP(BQ$7,'Product Tgt'!$B:$B,'Product Tgt'!$D:$D),0),0)</f>
        <v>0</v>
      </c>
      <c r="BR51" s="11">
        <f>ROUND(IFERROR(AV51/_xlfn.XLOOKUP(BR$7,'Product Tgt'!$B:$B,'Product Tgt'!$D:$D),0),0)</f>
        <v>0</v>
      </c>
      <c r="BS51" s="11">
        <f>ROUND(IFERROR(AW51/_xlfn.XLOOKUP(BS$7,'Product Tgt'!$B:$B,'Product Tgt'!$D:$D),0),0)</f>
        <v>0</v>
      </c>
      <c r="BT51" s="11">
        <f>ROUND(IFERROR(AX51/_xlfn.XLOOKUP(BT$7,'Product Tgt'!$B:$B,'Product Tgt'!$D:$D),0),0)</f>
        <v>0</v>
      </c>
      <c r="BU51" s="11">
        <f>ROUND(IFERROR(AY51/_xlfn.XLOOKUP(BU$7,'Product Tgt'!$B:$B,'Product Tgt'!$D:$D),0),0)</f>
        <v>0</v>
      </c>
      <c r="BV51" s="11">
        <f>ROUND(IFERROR(AZ51/_xlfn.XLOOKUP(BV$7,'Product Tgt'!$B:$B,'Product Tgt'!$D:$D),0),0)</f>
        <v>0</v>
      </c>
      <c r="BW51" s="11">
        <f>ROUND(IFERROR(BA51/_xlfn.XLOOKUP(BW$7,'Product Tgt'!$B:$B,'Product Tgt'!$D:$D),0),0)</f>
        <v>0</v>
      </c>
      <c r="BX51" s="11">
        <f>ROUND(IFERROR(BB51/_xlfn.XLOOKUP(BX$7,'Product Tgt'!$B:$B,'Product Tgt'!$D:$D),0),0)</f>
        <v>0</v>
      </c>
      <c r="BY51" s="11">
        <f>ROUND(IFERROR(BC51/_xlfn.XLOOKUP(BY$7,'Product Tgt'!$B:$B,'Product Tgt'!$D:$D),0),0)</f>
        <v>0</v>
      </c>
      <c r="BZ51" s="13">
        <f>ROUND(IFERROR(BD51/_xlfn.XLOOKUP(BZ$7,'Product Tgt'!$B:$B,'Product Tgt'!$D:$D),0),0)</f>
        <v>0</v>
      </c>
    </row>
    <row r="52" spans="1:78" x14ac:dyDescent="0.25">
      <c r="A52" s="4" t="s">
        <v>67</v>
      </c>
      <c r="B52" s="3">
        <f>_xlfn.XLOOKUP(A52,'Terr Target'!$A:$A,'Terr Target'!$E:$E)</f>
        <v>286455.38627657545</v>
      </c>
      <c r="C52" s="3">
        <f t="shared" si="9"/>
        <v>286454.50240474811</v>
      </c>
      <c r="D52" s="5">
        <f t="shared" si="6"/>
        <v>-0.88387182733276859</v>
      </c>
      <c r="E52" s="6">
        <f t="shared" si="7"/>
        <v>3.085557461700829E-6</v>
      </c>
      <c r="F52" s="6">
        <f t="shared" si="8"/>
        <v>1.0000030855574618</v>
      </c>
      <c r="G52" s="55">
        <v>10489.824414240858</v>
      </c>
      <c r="H52" s="56">
        <v>15173.672111663418</v>
      </c>
      <c r="I52" s="56">
        <v>89966.615146817014</v>
      </c>
      <c r="J52" s="56">
        <v>66576.74222204402</v>
      </c>
      <c r="K52" s="56">
        <v>11529.537464021547</v>
      </c>
      <c r="L52" s="56">
        <v>6663.1068512372658</v>
      </c>
      <c r="M52" s="56">
        <v>0</v>
      </c>
      <c r="N52" s="56">
        <v>2645.8877970961821</v>
      </c>
      <c r="O52" s="56">
        <v>4035.9320055907242</v>
      </c>
      <c r="P52" s="56">
        <v>1606.4481508269346</v>
      </c>
      <c r="Q52" s="56">
        <v>1911.3335703059481</v>
      </c>
      <c r="R52" s="56">
        <v>1242.1632869736839</v>
      </c>
      <c r="S52" s="56">
        <v>7135.1430767656357</v>
      </c>
      <c r="T52" s="56">
        <v>1388.7480733291989</v>
      </c>
      <c r="U52" s="56">
        <v>6350.9104193412395</v>
      </c>
      <c r="V52" s="56">
        <v>1780.3732883264042</v>
      </c>
      <c r="W52" s="56">
        <v>7441.7701778730807</v>
      </c>
      <c r="X52" s="56">
        <v>7723.2846601520023</v>
      </c>
      <c r="Y52" s="56">
        <v>3781.7578744557563</v>
      </c>
      <c r="Z52" s="56">
        <v>23012.657087434247</v>
      </c>
      <c r="AA52" s="56">
        <v>2824.5114245700206</v>
      </c>
      <c r="AB52" s="56">
        <v>12579.943628916313</v>
      </c>
      <c r="AC52" s="56">
        <v>1748.9529821192402</v>
      </c>
      <c r="AD52" s="56">
        <v>1894.3826492188286</v>
      </c>
      <c r="AE52" s="57">
        <v>320.60727547204277</v>
      </c>
      <c r="AF52" s="42">
        <f>IFERROR(_xlfn.XLOOKUP(AF$7,'Product Tgt'!$B:$B,'Product Tgt'!$G:$G)*G52/G$60,0)</f>
        <v>10567.275341096867</v>
      </c>
      <c r="AG52" s="42">
        <f>IFERROR(_xlfn.XLOOKUP(AG$7,'Product Tgt'!$B:$B,'Product Tgt'!$G:$G)*H52/H$60,0)</f>
        <v>15535.520291838891</v>
      </c>
      <c r="AH52" s="42">
        <f>IFERROR(_xlfn.XLOOKUP(AH$7,'Product Tgt'!$B:$B,'Product Tgt'!$G:$G)*I52/I$60,0)</f>
        <v>89845.875040873681</v>
      </c>
      <c r="AI52" s="42">
        <f>IFERROR(_xlfn.XLOOKUP(AI$7,'Product Tgt'!$B:$B,'Product Tgt'!$G:$G)*J52/J$60,0)</f>
        <v>66290.16070237456</v>
      </c>
      <c r="AJ52" s="42">
        <f>IFERROR(_xlfn.XLOOKUP(AJ$7,'Product Tgt'!$B:$B,'Product Tgt'!$G:$G)*K52/K$60,0)</f>
        <v>11340.314329062423</v>
      </c>
      <c r="AK52" s="42">
        <f>IFERROR(_xlfn.XLOOKUP(AK$7,'Product Tgt'!$B:$B,'Product Tgt'!$G:$G)*L52/L$60,0)</f>
        <v>6857.5117223608522</v>
      </c>
      <c r="AL52" s="42">
        <f>IFERROR(_xlfn.XLOOKUP(AL$7,'Product Tgt'!$B:$B,'Product Tgt'!$G:$G)*M52/M$60,0)</f>
        <v>0</v>
      </c>
      <c r="AM52" s="42">
        <f>IFERROR(_xlfn.XLOOKUP(AM$7,'Product Tgt'!$B:$B,'Product Tgt'!$G:$G)*N52/N$60,0)</f>
        <v>2628.2329308634671</v>
      </c>
      <c r="AN52" s="42">
        <f>IFERROR(_xlfn.XLOOKUP(AN$7,'Product Tgt'!$B:$B,'Product Tgt'!$G:$G)*O52/O$60,0)</f>
        <v>4401.6743500532657</v>
      </c>
      <c r="AO52" s="42">
        <f>IFERROR(_xlfn.XLOOKUP(AO$7,'Product Tgt'!$B:$B,'Product Tgt'!$G:$G)*P52/P$60,0)</f>
        <v>1540.2969538860693</v>
      </c>
      <c r="AP52" s="42">
        <f>IFERROR(_xlfn.XLOOKUP(AP$7,'Product Tgt'!$B:$B,'Product Tgt'!$G:$G)*Q52/Q$60,0)</f>
        <v>1452.9000176312259</v>
      </c>
      <c r="AQ52" s="42">
        <f>IFERROR(_xlfn.XLOOKUP(AQ$7,'Product Tgt'!$B:$B,'Product Tgt'!$G:$G)*R52/R$60,0)</f>
        <v>1036.4592098418827</v>
      </c>
      <c r="AR52" s="42">
        <f>IFERROR(_xlfn.XLOOKUP(AR$7,'Product Tgt'!$B:$B,'Product Tgt'!$G:$G)*S52/S$60,0)</f>
        <v>6909.9630722301163</v>
      </c>
      <c r="AS52" s="42">
        <f>IFERROR(_xlfn.XLOOKUP(AS$7,'Product Tgt'!$B:$B,'Product Tgt'!$G:$G)*T52/T$60,0)</f>
        <v>1260.6594925638869</v>
      </c>
      <c r="AT52" s="42">
        <f>IFERROR(_xlfn.XLOOKUP(AT$7,'Product Tgt'!$B:$B,'Product Tgt'!$G:$G)*U52/U$60,0)</f>
        <v>5422.9816921082165</v>
      </c>
      <c r="AU52" s="42">
        <f>IFERROR(_xlfn.XLOOKUP(AU$7,'Product Tgt'!$B:$B,'Product Tgt'!$G:$G)*V52/V$60,0)</f>
        <v>1876.0455197198896</v>
      </c>
      <c r="AV52" s="42">
        <f>IFERROR(_xlfn.XLOOKUP(AV$7,'Product Tgt'!$B:$B,'Product Tgt'!$G:$G)*W52/W$60,0)</f>
        <v>7173.4160673604811</v>
      </c>
      <c r="AW52" s="42">
        <f>IFERROR(_xlfn.XLOOKUP(AW$7,'Product Tgt'!$B:$B,'Product Tgt'!$G:$G)*X52/X$60,0)</f>
        <v>7967.2526393785311</v>
      </c>
      <c r="AX52" s="42">
        <f>IFERROR(_xlfn.XLOOKUP(AX$7,'Product Tgt'!$B:$B,'Product Tgt'!$G:$G)*Y52/Y$60,0)</f>
        <v>3639.4541330890943</v>
      </c>
      <c r="AY52" s="42">
        <f>IFERROR(_xlfn.XLOOKUP(AY$7,'Product Tgt'!$B:$B,'Product Tgt'!$G:$G)*Z52/Z$60,0)</f>
        <v>22163.780223792179</v>
      </c>
      <c r="AZ52" s="42">
        <f>IFERROR(_xlfn.XLOOKUP(AZ$7,'Product Tgt'!$B:$B,'Product Tgt'!$G:$G)*AA52/AA$60,0)</f>
        <v>2822.989323442795</v>
      </c>
      <c r="BA52" s="42">
        <f>IFERROR(_xlfn.XLOOKUP(BA$7,'Product Tgt'!$B:$B,'Product Tgt'!$G:$G)*AB52/AB$60,0)</f>
        <v>11750.459846475114</v>
      </c>
      <c r="BB52" s="42">
        <f>IFERROR(_xlfn.XLOOKUP(BB$7,'Product Tgt'!$B:$B,'Product Tgt'!$G:$G)*AC52/AC$60,0)</f>
        <v>1752.1900026989654</v>
      </c>
      <c r="BC52" s="42">
        <f>IFERROR(_xlfn.XLOOKUP(BC$7,'Product Tgt'!$B:$B,'Product Tgt'!$G:$G)*AD52/AD$60,0)</f>
        <v>1897.8888358825582</v>
      </c>
      <c r="BD52" s="42">
        <f>IFERROR(_xlfn.XLOOKUP(BD$7,'Product Tgt'!$B:$B,'Product Tgt'!$G:$G)*AE52/AE$60,0)</f>
        <v>321.20066612309097</v>
      </c>
      <c r="BE52" s="10">
        <f>ROUND(IFERROR(AF52/_xlfn.XLOOKUP(BE$7,'Product Tgt'!$B:$B,'Product Tgt'!$D:$D),0),0)</f>
        <v>0</v>
      </c>
      <c r="BF52" s="11">
        <f>ROUND(IFERROR(AG52/_xlfn.XLOOKUP(BF$7,'Product Tgt'!$B:$B,'Product Tgt'!$D:$D),0),0)</f>
        <v>0</v>
      </c>
      <c r="BG52" s="11">
        <f>ROUND(IFERROR(AH52/_xlfn.XLOOKUP(BG$7,'Product Tgt'!$B:$B,'Product Tgt'!$D:$D),0),0)</f>
        <v>0</v>
      </c>
      <c r="BH52" s="11">
        <f>ROUND(IFERROR(AI52/_xlfn.XLOOKUP(BH$7,'Product Tgt'!$B:$B,'Product Tgt'!$D:$D),0),0)</f>
        <v>0</v>
      </c>
      <c r="BI52" s="11">
        <f>ROUND(IFERROR(AM52/_xlfn.XLOOKUP(BI$7,'Product Tgt'!$B:$B,'Product Tgt'!$D:$D),0),0)</f>
        <v>0</v>
      </c>
      <c r="BJ52" s="11">
        <f>ROUND(IFERROR(#REF!/_xlfn.XLOOKUP(BJ$7,'Product Tgt'!$B:$B,'Product Tgt'!$D:$D),0),0)</f>
        <v>0</v>
      </c>
      <c r="BK52" s="11">
        <f>ROUND(IFERROR(#REF!/_xlfn.XLOOKUP(BK$7,'Product Tgt'!$B:$B,'Product Tgt'!$D:$D),0),0)</f>
        <v>0</v>
      </c>
      <c r="BL52" s="11">
        <f>ROUND(IFERROR(AN52/_xlfn.XLOOKUP(BL$7,'Product Tgt'!$B:$B,'Product Tgt'!$D:$D),0),0)</f>
        <v>0</v>
      </c>
      <c r="BM52" s="11">
        <f>ROUND(IFERROR(AQ52/_xlfn.XLOOKUP(BM$7,'Product Tgt'!$B:$B,'Product Tgt'!$D:$D),0),0)</f>
        <v>0</v>
      </c>
      <c r="BN52" s="11">
        <f>ROUND(IFERROR(AR52/_xlfn.XLOOKUP(BN$7,'Product Tgt'!$B:$B,'Product Tgt'!$D:$D),0),0)</f>
        <v>0</v>
      </c>
      <c r="BO52" s="11">
        <f>ROUND(IFERROR(AS52/_xlfn.XLOOKUP(BO$7,'Product Tgt'!$B:$B,'Product Tgt'!$D:$D),0),0)</f>
        <v>0</v>
      </c>
      <c r="BP52" s="11">
        <f>ROUND(IFERROR(AT52/_xlfn.XLOOKUP(BP$7,'Product Tgt'!$B:$B,'Product Tgt'!$D:$D),0),0)</f>
        <v>0</v>
      </c>
      <c r="BQ52" s="11">
        <f>ROUND(IFERROR(AU52/_xlfn.XLOOKUP(BQ$7,'Product Tgt'!$B:$B,'Product Tgt'!$D:$D),0),0)</f>
        <v>0</v>
      </c>
      <c r="BR52" s="11">
        <f>ROUND(IFERROR(AV52/_xlfn.XLOOKUP(BR$7,'Product Tgt'!$B:$B,'Product Tgt'!$D:$D),0),0)</f>
        <v>0</v>
      </c>
      <c r="BS52" s="11">
        <f>ROUND(IFERROR(AW52/_xlfn.XLOOKUP(BS$7,'Product Tgt'!$B:$B,'Product Tgt'!$D:$D),0),0)</f>
        <v>0</v>
      </c>
      <c r="BT52" s="11">
        <f>ROUND(IFERROR(AX52/_xlfn.XLOOKUP(BT$7,'Product Tgt'!$B:$B,'Product Tgt'!$D:$D),0),0)</f>
        <v>0</v>
      </c>
      <c r="BU52" s="11">
        <f>ROUND(IFERROR(AY52/_xlfn.XLOOKUP(BU$7,'Product Tgt'!$B:$B,'Product Tgt'!$D:$D),0),0)</f>
        <v>0</v>
      </c>
      <c r="BV52" s="11">
        <f>ROUND(IFERROR(AZ52/_xlfn.XLOOKUP(BV$7,'Product Tgt'!$B:$B,'Product Tgt'!$D:$D),0),0)</f>
        <v>0</v>
      </c>
      <c r="BW52" s="11">
        <f>ROUND(IFERROR(BA52/_xlfn.XLOOKUP(BW$7,'Product Tgt'!$B:$B,'Product Tgt'!$D:$D),0),0)</f>
        <v>0</v>
      </c>
      <c r="BX52" s="11">
        <f>ROUND(IFERROR(BB52/_xlfn.XLOOKUP(BX$7,'Product Tgt'!$B:$B,'Product Tgt'!$D:$D),0),0)</f>
        <v>0</v>
      </c>
      <c r="BY52" s="11">
        <f>ROUND(IFERROR(BC52/_xlfn.XLOOKUP(BY$7,'Product Tgt'!$B:$B,'Product Tgt'!$D:$D),0),0)</f>
        <v>0</v>
      </c>
      <c r="BZ52" s="13">
        <f>ROUND(IFERROR(BD52/_xlfn.XLOOKUP(BZ$7,'Product Tgt'!$B:$B,'Product Tgt'!$D:$D),0),0)</f>
        <v>0</v>
      </c>
    </row>
    <row r="53" spans="1:78" x14ac:dyDescent="0.25">
      <c r="A53" s="4" t="s">
        <v>68</v>
      </c>
      <c r="B53" s="3">
        <f>_xlfn.XLOOKUP(A53,'Terr Target'!$A:$A,'Terr Target'!$E:$E)</f>
        <v>254423.94828111559</v>
      </c>
      <c r="C53" s="3">
        <f t="shared" si="9"/>
        <v>254422.94404561265</v>
      </c>
      <c r="D53" s="5">
        <f t="shared" si="6"/>
        <v>-1.0042355029436294</v>
      </c>
      <c r="E53" s="6">
        <f t="shared" si="7"/>
        <v>3.9471106142203561E-6</v>
      </c>
      <c r="F53" s="6">
        <f t="shared" si="8"/>
        <v>1.0000039471106141</v>
      </c>
      <c r="G53" s="55">
        <v>10171.090517839315</v>
      </c>
      <c r="H53" s="56">
        <v>13571.260789254309</v>
      </c>
      <c r="I53" s="56">
        <v>70909.575918877134</v>
      </c>
      <c r="J53" s="56">
        <v>53862.002377386423</v>
      </c>
      <c r="K53" s="56">
        <v>13999.9406277626</v>
      </c>
      <c r="L53" s="56">
        <v>8065.7676277003748</v>
      </c>
      <c r="M53" s="56">
        <v>0</v>
      </c>
      <c r="N53" s="56">
        <v>2853.9408590711269</v>
      </c>
      <c r="O53" s="56">
        <v>4995.8720739873861</v>
      </c>
      <c r="P53" s="56">
        <v>2315.6182779360793</v>
      </c>
      <c r="Q53" s="56">
        <v>2463.7726542610985</v>
      </c>
      <c r="R53" s="56">
        <v>1768.7409306404013</v>
      </c>
      <c r="S53" s="56">
        <v>6050.4368279778009</v>
      </c>
      <c r="T53" s="56">
        <v>1480.2883892810687</v>
      </c>
      <c r="U53" s="56">
        <v>5415.2580955306385</v>
      </c>
      <c r="V53" s="56">
        <v>2171.5742389616089</v>
      </c>
      <c r="W53" s="56">
        <v>8906.6657073475108</v>
      </c>
      <c r="X53" s="56">
        <v>8133.8514175586342</v>
      </c>
      <c r="Y53" s="56">
        <v>5271.6898837864055</v>
      </c>
      <c r="Z53" s="56">
        <v>18311.097317440155</v>
      </c>
      <c r="AA53" s="56">
        <v>3145.8456788455783</v>
      </c>
      <c r="AB53" s="56">
        <v>10183.806241268607</v>
      </c>
      <c r="AC53" s="56">
        <v>1522.1659270999958</v>
      </c>
      <c r="AD53" s="56">
        <v>1648.7377025060175</v>
      </c>
      <c r="AE53" s="57">
        <v>279.03407106608745</v>
      </c>
      <c r="AF53" s="42">
        <f>IFERROR(_xlfn.XLOOKUP(AF$7,'Product Tgt'!$B:$B,'Product Tgt'!$G:$G)*G53/G$60,0)</f>
        <v>10246.188093988783</v>
      </c>
      <c r="AG53" s="42">
        <f>IFERROR(_xlfn.XLOOKUP(AG$7,'Product Tgt'!$B:$B,'Product Tgt'!$G:$G)*H53/H$60,0)</f>
        <v>13894.896095404343</v>
      </c>
      <c r="AH53" s="42">
        <f>IFERROR(_xlfn.XLOOKUP(AH$7,'Product Tgt'!$B:$B,'Product Tgt'!$G:$G)*I53/I$60,0)</f>
        <v>70814.411399295408</v>
      </c>
      <c r="AI53" s="42">
        <f>IFERROR(_xlfn.XLOOKUP(AI$7,'Product Tgt'!$B:$B,'Product Tgt'!$G:$G)*J53/J$60,0)</f>
        <v>53630.151824497079</v>
      </c>
      <c r="AJ53" s="42">
        <f>IFERROR(_xlfn.XLOOKUP(AJ$7,'Product Tgt'!$B:$B,'Product Tgt'!$G:$G)*K53/K$60,0)</f>
        <v>13770.173157636975</v>
      </c>
      <c r="AK53" s="42">
        <f>IFERROR(_xlfn.XLOOKUP(AK$7,'Product Tgt'!$B:$B,'Product Tgt'!$G:$G)*L53/L$60,0)</f>
        <v>8301.096964477365</v>
      </c>
      <c r="AL53" s="42">
        <f>IFERROR(_xlfn.XLOOKUP(AL$7,'Product Tgt'!$B:$B,'Product Tgt'!$G:$G)*M53/M$60,0)</f>
        <v>0</v>
      </c>
      <c r="AM53" s="42">
        <f>IFERROR(_xlfn.XLOOKUP(AM$7,'Product Tgt'!$B:$B,'Product Tgt'!$G:$G)*N53/N$60,0)</f>
        <v>2834.897744635859</v>
      </c>
      <c r="AN53" s="42">
        <f>IFERROR(_xlfn.XLOOKUP(AN$7,'Product Tgt'!$B:$B,'Product Tgt'!$G:$G)*O53/O$60,0)</f>
        <v>5448.6056588059555</v>
      </c>
      <c r="AO53" s="42">
        <f>IFERROR(_xlfn.XLOOKUP(AO$7,'Product Tgt'!$B:$B,'Product Tgt'!$G:$G)*P53/P$60,0)</f>
        <v>2220.2644872365377</v>
      </c>
      <c r="AP53" s="42">
        <f>IFERROR(_xlfn.XLOOKUP(AP$7,'Product Tgt'!$B:$B,'Product Tgt'!$G:$G)*Q53/Q$60,0)</f>
        <v>1872.8365306963617</v>
      </c>
      <c r="AQ53" s="42">
        <f>IFERROR(_xlfn.XLOOKUP(AQ$7,'Product Tgt'!$B:$B,'Product Tgt'!$G:$G)*R53/R$60,0)</f>
        <v>1475.8348170576585</v>
      </c>
      <c r="AR53" s="42">
        <f>IFERROR(_xlfn.XLOOKUP(AR$7,'Product Tgt'!$B:$B,'Product Tgt'!$G:$G)*S53/S$60,0)</f>
        <v>5859.4893756691772</v>
      </c>
      <c r="AS53" s="42">
        <f>IFERROR(_xlfn.XLOOKUP(AS$7,'Product Tgt'!$B:$B,'Product Tgt'!$G:$G)*T53/T$60,0)</f>
        <v>1343.7567587083322</v>
      </c>
      <c r="AT53" s="42">
        <f>IFERROR(_xlfn.XLOOKUP(AT$7,'Product Tgt'!$B:$B,'Product Tgt'!$G:$G)*U53/U$60,0)</f>
        <v>4624.0371176814033</v>
      </c>
      <c r="AU53" s="42">
        <f>IFERROR(_xlfn.XLOOKUP(AU$7,'Product Tgt'!$B:$B,'Product Tgt'!$G:$G)*V53/V$60,0)</f>
        <v>2288.2685043947677</v>
      </c>
      <c r="AV53" s="42">
        <f>IFERROR(_xlfn.XLOOKUP(AV$7,'Product Tgt'!$B:$B,'Product Tgt'!$G:$G)*W53/W$60,0)</f>
        <v>8585.4867006865661</v>
      </c>
      <c r="AW53" s="42">
        <f>IFERROR(_xlfn.XLOOKUP(AW$7,'Product Tgt'!$B:$B,'Product Tgt'!$G:$G)*X53/X$60,0)</f>
        <v>8390.7886380535674</v>
      </c>
      <c r="AX53" s="42">
        <f>IFERROR(_xlfn.XLOOKUP(AX$7,'Product Tgt'!$B:$B,'Product Tgt'!$G:$G)*Y53/Y$60,0)</f>
        <v>5073.3215009624391</v>
      </c>
      <c r="AY53" s="42">
        <f>IFERROR(_xlfn.XLOOKUP(AY$7,'Product Tgt'!$B:$B,'Product Tgt'!$G:$G)*Z53/Z$60,0)</f>
        <v>17635.648724015417</v>
      </c>
      <c r="AZ53" s="42">
        <f>IFERROR(_xlfn.XLOOKUP(AZ$7,'Product Tgt'!$B:$B,'Product Tgt'!$G:$G)*AA53/AA$60,0)</f>
        <v>3144.150413883222</v>
      </c>
      <c r="BA53" s="42">
        <f>IFERROR(_xlfn.XLOOKUP(BA$7,'Product Tgt'!$B:$B,'Product Tgt'!$G:$G)*AB53/AB$60,0)</f>
        <v>9512.3165772578104</v>
      </c>
      <c r="BB53" s="42">
        <f>IFERROR(_xlfn.XLOOKUP(BB$7,'Product Tgt'!$B:$B,'Product Tgt'!$G:$G)*AC53/AC$60,0)</f>
        <v>1524.9832026254983</v>
      </c>
      <c r="BC53" s="42">
        <f>IFERROR(_xlfn.XLOOKUP(BC$7,'Product Tgt'!$B:$B,'Product Tgt'!$G:$G)*AD53/AD$60,0)</f>
        <v>1651.7892412998817</v>
      </c>
      <c r="BD53" s="42">
        <f>IFERROR(_xlfn.XLOOKUP(BD$7,'Product Tgt'!$B:$B,'Product Tgt'!$G:$G)*AE53/AE$60,0)</f>
        <v>279.55051664222339</v>
      </c>
      <c r="BE53" s="10">
        <f>ROUND(IFERROR(AF53/_xlfn.XLOOKUP(BE$7,'Product Tgt'!$B:$B,'Product Tgt'!$D:$D),0),0)</f>
        <v>0</v>
      </c>
      <c r="BF53" s="11">
        <f>ROUND(IFERROR(AG53/_xlfn.XLOOKUP(BF$7,'Product Tgt'!$B:$B,'Product Tgt'!$D:$D),0),0)</f>
        <v>0</v>
      </c>
      <c r="BG53" s="11">
        <f>ROUND(IFERROR(AH53/_xlfn.XLOOKUP(BG$7,'Product Tgt'!$B:$B,'Product Tgt'!$D:$D),0),0)</f>
        <v>0</v>
      </c>
      <c r="BH53" s="11">
        <f>ROUND(IFERROR(AI53/_xlfn.XLOOKUP(BH$7,'Product Tgt'!$B:$B,'Product Tgt'!$D:$D),0),0)</f>
        <v>0</v>
      </c>
      <c r="BI53" s="11">
        <f>ROUND(IFERROR(AM53/_xlfn.XLOOKUP(BI$7,'Product Tgt'!$B:$B,'Product Tgt'!$D:$D),0),0)</f>
        <v>0</v>
      </c>
      <c r="BJ53" s="11">
        <f>ROUND(IFERROR(#REF!/_xlfn.XLOOKUP(BJ$7,'Product Tgt'!$B:$B,'Product Tgt'!$D:$D),0),0)</f>
        <v>0</v>
      </c>
      <c r="BK53" s="11">
        <f>ROUND(IFERROR(#REF!/_xlfn.XLOOKUP(BK$7,'Product Tgt'!$B:$B,'Product Tgt'!$D:$D),0),0)</f>
        <v>0</v>
      </c>
      <c r="BL53" s="11">
        <f>ROUND(IFERROR(AN53/_xlfn.XLOOKUP(BL$7,'Product Tgt'!$B:$B,'Product Tgt'!$D:$D),0),0)</f>
        <v>0</v>
      </c>
      <c r="BM53" s="11">
        <f>ROUND(IFERROR(AQ53/_xlfn.XLOOKUP(BM$7,'Product Tgt'!$B:$B,'Product Tgt'!$D:$D),0),0)</f>
        <v>0</v>
      </c>
      <c r="BN53" s="11">
        <f>ROUND(IFERROR(AR53/_xlfn.XLOOKUP(BN$7,'Product Tgt'!$B:$B,'Product Tgt'!$D:$D),0),0)</f>
        <v>0</v>
      </c>
      <c r="BO53" s="11">
        <f>ROUND(IFERROR(AS53/_xlfn.XLOOKUP(BO$7,'Product Tgt'!$B:$B,'Product Tgt'!$D:$D),0),0)</f>
        <v>0</v>
      </c>
      <c r="BP53" s="11">
        <f>ROUND(IFERROR(AT53/_xlfn.XLOOKUP(BP$7,'Product Tgt'!$B:$B,'Product Tgt'!$D:$D),0),0)</f>
        <v>0</v>
      </c>
      <c r="BQ53" s="11">
        <f>ROUND(IFERROR(AU53/_xlfn.XLOOKUP(BQ$7,'Product Tgt'!$B:$B,'Product Tgt'!$D:$D),0),0)</f>
        <v>0</v>
      </c>
      <c r="BR53" s="11">
        <f>ROUND(IFERROR(AV53/_xlfn.XLOOKUP(BR$7,'Product Tgt'!$B:$B,'Product Tgt'!$D:$D),0),0)</f>
        <v>0</v>
      </c>
      <c r="BS53" s="11">
        <f>ROUND(IFERROR(AW53/_xlfn.XLOOKUP(BS$7,'Product Tgt'!$B:$B,'Product Tgt'!$D:$D),0),0)</f>
        <v>0</v>
      </c>
      <c r="BT53" s="11">
        <f>ROUND(IFERROR(AX53/_xlfn.XLOOKUP(BT$7,'Product Tgt'!$B:$B,'Product Tgt'!$D:$D),0),0)</f>
        <v>0</v>
      </c>
      <c r="BU53" s="11">
        <f>ROUND(IFERROR(AY53/_xlfn.XLOOKUP(BU$7,'Product Tgt'!$B:$B,'Product Tgt'!$D:$D),0),0)</f>
        <v>0</v>
      </c>
      <c r="BV53" s="11">
        <f>ROUND(IFERROR(AZ53/_xlfn.XLOOKUP(BV$7,'Product Tgt'!$B:$B,'Product Tgt'!$D:$D),0),0)</f>
        <v>0</v>
      </c>
      <c r="BW53" s="11">
        <f>ROUND(IFERROR(BA53/_xlfn.XLOOKUP(BW$7,'Product Tgt'!$B:$B,'Product Tgt'!$D:$D),0),0)</f>
        <v>0</v>
      </c>
      <c r="BX53" s="11">
        <f>ROUND(IFERROR(BB53/_xlfn.XLOOKUP(BX$7,'Product Tgt'!$B:$B,'Product Tgt'!$D:$D),0),0)</f>
        <v>0</v>
      </c>
      <c r="BY53" s="11">
        <f>ROUND(IFERROR(BC53/_xlfn.XLOOKUP(BY$7,'Product Tgt'!$B:$B,'Product Tgt'!$D:$D),0),0)</f>
        <v>0</v>
      </c>
      <c r="BZ53" s="13">
        <f>ROUND(IFERROR(BD53/_xlfn.XLOOKUP(BZ$7,'Product Tgt'!$B:$B,'Product Tgt'!$D:$D),0),0)</f>
        <v>0</v>
      </c>
    </row>
    <row r="54" spans="1:78" x14ac:dyDescent="0.25">
      <c r="A54" s="4" t="s">
        <v>69</v>
      </c>
      <c r="B54" s="3">
        <f>_xlfn.XLOOKUP(A54,'Terr Target'!$A:$A,'Terr Target'!$E:$E)</f>
        <v>494335.59096599108</v>
      </c>
      <c r="C54" s="3">
        <f t="shared" si="9"/>
        <v>494335.33816685365</v>
      </c>
      <c r="D54" s="5">
        <f t="shared" si="6"/>
        <v>-0.25279913743725047</v>
      </c>
      <c r="E54" s="6">
        <f t="shared" si="7"/>
        <v>5.1139200036701173E-7</v>
      </c>
      <c r="F54" s="6">
        <f t="shared" si="8"/>
        <v>1.0000005113920003</v>
      </c>
      <c r="G54" s="55">
        <v>17208.856949748384</v>
      </c>
      <c r="H54" s="56">
        <v>29579.14987746644</v>
      </c>
      <c r="I54" s="56">
        <v>115302.24489408059</v>
      </c>
      <c r="J54" s="56">
        <v>144994.44233665403</v>
      </c>
      <c r="K54" s="56">
        <v>13389.67460063553</v>
      </c>
      <c r="L54" s="56">
        <v>8475.9626004177171</v>
      </c>
      <c r="M54" s="56">
        <v>0</v>
      </c>
      <c r="N54" s="56">
        <v>3977.0922854134856</v>
      </c>
      <c r="O54" s="56">
        <v>19524.077895647792</v>
      </c>
      <c r="P54" s="56">
        <v>1925.2449161799364</v>
      </c>
      <c r="Q54" s="56">
        <v>3422.1533695674993</v>
      </c>
      <c r="R54" s="56">
        <v>4796.1862127071736</v>
      </c>
      <c r="S54" s="56">
        <v>17757.554405734249</v>
      </c>
      <c r="T54" s="56">
        <v>5298.3782807785874</v>
      </c>
      <c r="U54" s="56">
        <v>21906.151588973546</v>
      </c>
      <c r="V54" s="56">
        <v>5683.9261800675995</v>
      </c>
      <c r="W54" s="56">
        <v>12388.015467834522</v>
      </c>
      <c r="X54" s="56">
        <v>8181.0310806388698</v>
      </c>
      <c r="Y54" s="56">
        <v>6122.4513502078817</v>
      </c>
      <c r="Z54" s="56">
        <v>30571.812491881585</v>
      </c>
      <c r="AA54" s="56">
        <v>3909.007275446535</v>
      </c>
      <c r="AB54" s="56">
        <v>14218.796940962904</v>
      </c>
      <c r="AC54" s="56">
        <v>5286.5627153969326</v>
      </c>
      <c r="AD54" s="56">
        <v>5726.1531810420829</v>
      </c>
      <c r="AE54" s="57">
        <v>969.10007651648721</v>
      </c>
      <c r="AF54" s="42">
        <f>IFERROR(_xlfn.XLOOKUP(AF$7,'Product Tgt'!$B:$B,'Product Tgt'!$G:$G)*G54/G$60,0)</f>
        <v>17335.91741027249</v>
      </c>
      <c r="AG54" s="42">
        <f>IFERROR(_xlfn.XLOOKUP(AG$7,'Product Tgt'!$B:$B,'Product Tgt'!$G:$G)*H54/H$60,0)</f>
        <v>30284.527025168987</v>
      </c>
      <c r="AH54" s="42">
        <f>IFERROR(_xlfn.XLOOKUP(AH$7,'Product Tgt'!$B:$B,'Product Tgt'!$G:$G)*I54/I$60,0)</f>
        <v>115147.50299075016</v>
      </c>
      <c r="AI54" s="42">
        <f>IFERROR(_xlfn.XLOOKUP(AI$7,'Product Tgt'!$B:$B,'Product Tgt'!$G:$G)*J54/J$60,0)</f>
        <v>144370.3095503143</v>
      </c>
      <c r="AJ54" s="42">
        <f>IFERROR(_xlfn.XLOOKUP(AJ$7,'Product Tgt'!$B:$B,'Product Tgt'!$G:$G)*K54/K$60,0)</f>
        <v>13169.922835925006</v>
      </c>
      <c r="AK54" s="42">
        <f>IFERROR(_xlfn.XLOOKUP(AK$7,'Product Tgt'!$B:$B,'Product Tgt'!$G:$G)*L54/L$60,0)</f>
        <v>8723.2599128833845</v>
      </c>
      <c r="AL54" s="42">
        <f>IFERROR(_xlfn.XLOOKUP(AL$7,'Product Tgt'!$B:$B,'Product Tgt'!$G:$G)*M54/M$60,0)</f>
        <v>0</v>
      </c>
      <c r="AM54" s="42">
        <f>IFERROR(_xlfn.XLOOKUP(AM$7,'Product Tgt'!$B:$B,'Product Tgt'!$G:$G)*N54/N$60,0)</f>
        <v>3950.5548667175012</v>
      </c>
      <c r="AN54" s="42">
        <f>IFERROR(_xlfn.XLOOKUP(AN$7,'Product Tgt'!$B:$B,'Product Tgt'!$G:$G)*O54/O$60,0)</f>
        <v>21293.379760280754</v>
      </c>
      <c r="AO54" s="42">
        <f>IFERROR(_xlfn.XLOOKUP(AO$7,'Product Tgt'!$B:$B,'Product Tgt'!$G:$G)*P54/P$60,0)</f>
        <v>1845.9661323959342</v>
      </c>
      <c r="AP54" s="42">
        <f>IFERROR(_xlfn.XLOOKUP(AP$7,'Product Tgt'!$B:$B,'Product Tgt'!$G:$G)*Q54/Q$60,0)</f>
        <v>2601.3495332400303</v>
      </c>
      <c r="AQ54" s="42">
        <f>IFERROR(_xlfn.XLOOKUP(AQ$7,'Product Tgt'!$B:$B,'Product Tgt'!$G:$G)*R54/R$60,0)</f>
        <v>4001.9306836769551</v>
      </c>
      <c r="AR54" s="42">
        <f>IFERROR(_xlfn.XLOOKUP(AR$7,'Product Tgt'!$B:$B,'Product Tgt'!$G:$G)*S54/S$60,0)</f>
        <v>17197.13870858532</v>
      </c>
      <c r="AS54" s="42">
        <f>IFERROR(_xlfn.XLOOKUP(AS$7,'Product Tgt'!$B:$B,'Product Tgt'!$G:$G)*T54/T$60,0)</f>
        <v>4809.6922711442057</v>
      </c>
      <c r="AT54" s="42">
        <f>IFERROR(_xlfn.XLOOKUP(AT$7,'Product Tgt'!$B:$B,'Product Tgt'!$G:$G)*U54/U$60,0)</f>
        <v>18705.453418105881</v>
      </c>
      <c r="AU54" s="42">
        <f>IFERROR(_xlfn.XLOOKUP(AU$7,'Product Tgt'!$B:$B,'Product Tgt'!$G:$G)*V54/V$60,0)</f>
        <v>5989.3643172765087</v>
      </c>
      <c r="AV54" s="42">
        <f>IFERROR(_xlfn.XLOOKUP(AV$7,'Product Tgt'!$B:$B,'Product Tgt'!$G:$G)*W54/W$60,0)</f>
        <v>11941.297174682772</v>
      </c>
      <c r="AW54" s="42">
        <f>IFERROR(_xlfn.XLOOKUP(AW$7,'Product Tgt'!$B:$B,'Product Tgt'!$G:$G)*X54/X$60,0)</f>
        <v>8439.4586420403957</v>
      </c>
      <c r="AX54" s="42">
        <f>IFERROR(_xlfn.XLOOKUP(AX$7,'Product Tgt'!$B:$B,'Product Tgt'!$G:$G)*Y54/Y$60,0)</f>
        <v>5892.0696699435584</v>
      </c>
      <c r="AY54" s="42">
        <f>IFERROR(_xlfn.XLOOKUP(AY$7,'Product Tgt'!$B:$B,'Product Tgt'!$G:$G)*Z54/Z$60,0)</f>
        <v>29444.098112557156</v>
      </c>
      <c r="AZ54" s="42">
        <f>IFERROR(_xlfn.XLOOKUP(AZ$7,'Product Tgt'!$B:$B,'Product Tgt'!$G:$G)*AA54/AA$60,0)</f>
        <v>3906.900750286632</v>
      </c>
      <c r="BA54" s="42">
        <f>IFERROR(_xlfn.XLOOKUP(BA$7,'Product Tgt'!$B:$B,'Product Tgt'!$G:$G)*AB54/AB$60,0)</f>
        <v>13281.252082554882</v>
      </c>
      <c r="BB54" s="42">
        <f>IFERROR(_xlfn.XLOOKUP(BB$7,'Product Tgt'!$B:$B,'Product Tgt'!$G:$G)*AC54/AC$60,0)</f>
        <v>5296.3472621976198</v>
      </c>
      <c r="BC54" s="42">
        <f>IFERROR(_xlfn.XLOOKUP(BC$7,'Product Tgt'!$B:$B,'Product Tgt'!$G:$G)*AD54/AD$60,0)</f>
        <v>5736.7513365552368</v>
      </c>
      <c r="BD54" s="42">
        <f>IFERROR(_xlfn.XLOOKUP(BD$7,'Product Tgt'!$B:$B,'Product Tgt'!$G:$G)*AE54/AE$60,0)</f>
        <v>970.89371929795027</v>
      </c>
      <c r="BE54" s="10">
        <f>ROUND(IFERROR(AF54/_xlfn.XLOOKUP(BE$7,'Product Tgt'!$B:$B,'Product Tgt'!$D:$D),0),0)</f>
        <v>0</v>
      </c>
      <c r="BF54" s="11">
        <f>ROUND(IFERROR(AG54/_xlfn.XLOOKUP(BF$7,'Product Tgt'!$B:$B,'Product Tgt'!$D:$D),0),0)</f>
        <v>0</v>
      </c>
      <c r="BG54" s="11">
        <f>ROUND(IFERROR(AH54/_xlfn.XLOOKUP(BG$7,'Product Tgt'!$B:$B,'Product Tgt'!$D:$D),0),0)</f>
        <v>0</v>
      </c>
      <c r="BH54" s="11">
        <f>ROUND(IFERROR(AI54/_xlfn.XLOOKUP(BH$7,'Product Tgt'!$B:$B,'Product Tgt'!$D:$D),0),0)</f>
        <v>0</v>
      </c>
      <c r="BI54" s="11">
        <f>ROUND(IFERROR(AM54/_xlfn.XLOOKUP(BI$7,'Product Tgt'!$B:$B,'Product Tgt'!$D:$D),0),0)</f>
        <v>0</v>
      </c>
      <c r="BJ54" s="11">
        <f>ROUND(IFERROR(#REF!/_xlfn.XLOOKUP(BJ$7,'Product Tgt'!$B:$B,'Product Tgt'!$D:$D),0),0)</f>
        <v>0</v>
      </c>
      <c r="BK54" s="11">
        <f>ROUND(IFERROR(#REF!/_xlfn.XLOOKUP(BK$7,'Product Tgt'!$B:$B,'Product Tgt'!$D:$D),0),0)</f>
        <v>0</v>
      </c>
      <c r="BL54" s="11">
        <f>ROUND(IFERROR(AN54/_xlfn.XLOOKUP(BL$7,'Product Tgt'!$B:$B,'Product Tgt'!$D:$D),0),0)</f>
        <v>0</v>
      </c>
      <c r="BM54" s="11">
        <f>ROUND(IFERROR(AQ54/_xlfn.XLOOKUP(BM$7,'Product Tgt'!$B:$B,'Product Tgt'!$D:$D),0),0)</f>
        <v>0</v>
      </c>
      <c r="BN54" s="11">
        <f>ROUND(IFERROR(AR54/_xlfn.XLOOKUP(BN$7,'Product Tgt'!$B:$B,'Product Tgt'!$D:$D),0),0)</f>
        <v>0</v>
      </c>
      <c r="BO54" s="11">
        <f>ROUND(IFERROR(AS54/_xlfn.XLOOKUP(BO$7,'Product Tgt'!$B:$B,'Product Tgt'!$D:$D),0),0)</f>
        <v>0</v>
      </c>
      <c r="BP54" s="11">
        <f>ROUND(IFERROR(AT54/_xlfn.XLOOKUP(BP$7,'Product Tgt'!$B:$B,'Product Tgt'!$D:$D),0),0)</f>
        <v>0</v>
      </c>
      <c r="BQ54" s="11">
        <f>ROUND(IFERROR(AU54/_xlfn.XLOOKUP(BQ$7,'Product Tgt'!$B:$B,'Product Tgt'!$D:$D),0),0)</f>
        <v>0</v>
      </c>
      <c r="BR54" s="11">
        <f>ROUND(IFERROR(AV54/_xlfn.XLOOKUP(BR$7,'Product Tgt'!$B:$B,'Product Tgt'!$D:$D),0),0)</f>
        <v>0</v>
      </c>
      <c r="BS54" s="11">
        <f>ROUND(IFERROR(AW54/_xlfn.XLOOKUP(BS$7,'Product Tgt'!$B:$B,'Product Tgt'!$D:$D),0),0)</f>
        <v>0</v>
      </c>
      <c r="BT54" s="11">
        <f>ROUND(IFERROR(AX54/_xlfn.XLOOKUP(BT$7,'Product Tgt'!$B:$B,'Product Tgt'!$D:$D),0),0)</f>
        <v>0</v>
      </c>
      <c r="BU54" s="11">
        <f>ROUND(IFERROR(AY54/_xlfn.XLOOKUP(BU$7,'Product Tgt'!$B:$B,'Product Tgt'!$D:$D),0),0)</f>
        <v>0</v>
      </c>
      <c r="BV54" s="11">
        <f>ROUND(IFERROR(AZ54/_xlfn.XLOOKUP(BV$7,'Product Tgt'!$B:$B,'Product Tgt'!$D:$D),0),0)</f>
        <v>0</v>
      </c>
      <c r="BW54" s="11">
        <f>ROUND(IFERROR(BA54/_xlfn.XLOOKUP(BW$7,'Product Tgt'!$B:$B,'Product Tgt'!$D:$D),0),0)</f>
        <v>0</v>
      </c>
      <c r="BX54" s="11">
        <f>ROUND(IFERROR(BB54/_xlfn.XLOOKUP(BX$7,'Product Tgt'!$B:$B,'Product Tgt'!$D:$D),0),0)</f>
        <v>0</v>
      </c>
      <c r="BY54" s="11">
        <f>ROUND(IFERROR(BC54/_xlfn.XLOOKUP(BY$7,'Product Tgt'!$B:$B,'Product Tgt'!$D:$D),0),0)</f>
        <v>0</v>
      </c>
      <c r="BZ54" s="13">
        <f>ROUND(IFERROR(BD54/_xlfn.XLOOKUP(BZ$7,'Product Tgt'!$B:$B,'Product Tgt'!$D:$D),0),0)</f>
        <v>0</v>
      </c>
    </row>
    <row r="55" spans="1:78" x14ac:dyDescent="0.25">
      <c r="A55" s="4" t="s">
        <v>93</v>
      </c>
      <c r="B55" s="3">
        <f>_xlfn.XLOOKUP(A55,'Terr Target'!$A:$A,'Terr Target'!$E:$E)</f>
        <v>448364.54399606719</v>
      </c>
      <c r="C55" s="3">
        <f t="shared" si="9"/>
        <v>448364.35263338283</v>
      </c>
      <c r="D55" s="5">
        <f t="shared" si="6"/>
        <v>-0.19136268435977399</v>
      </c>
      <c r="E55" s="6">
        <f t="shared" si="7"/>
        <v>4.2680173665868314E-7</v>
      </c>
      <c r="F55" s="6">
        <f t="shared" si="8"/>
        <v>1.0000004268017366</v>
      </c>
      <c r="G55" s="55">
        <v>13691.586068901512</v>
      </c>
      <c r="H55" s="56">
        <v>21856.429691842539</v>
      </c>
      <c r="I55" s="56">
        <v>91362.215449362207</v>
      </c>
      <c r="J55" s="56">
        <v>146128.97112085004</v>
      </c>
      <c r="K55" s="56">
        <v>12294.786675779202</v>
      </c>
      <c r="L55" s="56">
        <v>8243.640985369293</v>
      </c>
      <c r="M55" s="56">
        <v>0</v>
      </c>
      <c r="N55" s="56">
        <v>6450.4566431362837</v>
      </c>
      <c r="O55" s="56">
        <v>11186.275455320405</v>
      </c>
      <c r="P55" s="56">
        <v>3284.0629496845495</v>
      </c>
      <c r="Q55" s="56">
        <v>2458.311142600081</v>
      </c>
      <c r="R55" s="56">
        <v>2358.251636916305</v>
      </c>
      <c r="S55" s="56">
        <v>15387.630812806741</v>
      </c>
      <c r="T55" s="56">
        <v>3289.0398364494072</v>
      </c>
      <c r="U55" s="56">
        <v>18806.41086270292</v>
      </c>
      <c r="V55" s="56">
        <v>8825.9367368575477</v>
      </c>
      <c r="W55" s="56">
        <v>16065.25000031544</v>
      </c>
      <c r="X55" s="56">
        <v>11849.87708071115</v>
      </c>
      <c r="Y55" s="56">
        <v>6743.430715233646</v>
      </c>
      <c r="Z55" s="56">
        <v>24769.353351892965</v>
      </c>
      <c r="AA55" s="56">
        <v>5043.6332381629818</v>
      </c>
      <c r="AB55" s="56">
        <v>13847.56531236865</v>
      </c>
      <c r="AC55" s="56">
        <v>4407.1947369073168</v>
      </c>
      <c r="AD55" s="56">
        <v>4773.6636300017753</v>
      </c>
      <c r="AE55" s="57">
        <v>807.89976146897186</v>
      </c>
      <c r="AF55" s="42">
        <f>IFERROR(_xlfn.XLOOKUP(AF$7,'Product Tgt'!$B:$B,'Product Tgt'!$G:$G)*G55/G$60,0)</f>
        <v>13792.67699180825</v>
      </c>
      <c r="AG55" s="42">
        <f>IFERROR(_xlfn.XLOOKUP(AG$7,'Product Tgt'!$B:$B,'Product Tgt'!$G:$G)*H55/H$60,0)</f>
        <v>22377.642306094782</v>
      </c>
      <c r="AH55" s="42">
        <f>IFERROR(_xlfn.XLOOKUP(AH$7,'Product Tgt'!$B:$B,'Product Tgt'!$G:$G)*I55/I$60,0)</f>
        <v>91239.602371671426</v>
      </c>
      <c r="AI55" s="42">
        <f>IFERROR(_xlfn.XLOOKUP(AI$7,'Product Tgt'!$B:$B,'Product Tgt'!$G:$G)*J55/J$60,0)</f>
        <v>145499.9547224225</v>
      </c>
      <c r="AJ55" s="42">
        <f>IFERROR(_xlfn.XLOOKUP(AJ$7,'Product Tgt'!$B:$B,'Product Tgt'!$G:$G)*K55/K$60,0)</f>
        <v>12093.004246457605</v>
      </c>
      <c r="AK55" s="42">
        <f>IFERROR(_xlfn.XLOOKUP(AK$7,'Product Tgt'!$B:$B,'Product Tgt'!$G:$G)*L55/L$60,0)</f>
        <v>8484.1600103722085</v>
      </c>
      <c r="AL55" s="42">
        <f>IFERROR(_xlfn.XLOOKUP(AL$7,'Product Tgt'!$B:$B,'Product Tgt'!$G:$G)*M55/M$60,0)</f>
        <v>0</v>
      </c>
      <c r="AM55" s="42">
        <f>IFERROR(_xlfn.XLOOKUP(AM$7,'Product Tgt'!$B:$B,'Product Tgt'!$G:$G)*N55/N$60,0)</f>
        <v>6407.4155325874981</v>
      </c>
      <c r="AN55" s="42">
        <f>IFERROR(_xlfn.XLOOKUP(AN$7,'Product Tgt'!$B:$B,'Product Tgt'!$G:$G)*O55/O$60,0)</f>
        <v>12199.992882959239</v>
      </c>
      <c r="AO55" s="42">
        <f>IFERROR(_xlfn.XLOOKUP(AO$7,'Product Tgt'!$B:$B,'Product Tgt'!$G:$G)*P55/P$60,0)</f>
        <v>3148.8300168077849</v>
      </c>
      <c r="AP55" s="42">
        <f>IFERROR(_xlfn.XLOOKUP(AP$7,'Product Tgt'!$B:$B,'Product Tgt'!$G:$G)*Q55/Q$60,0)</f>
        <v>1868.6849631668301</v>
      </c>
      <c r="AQ55" s="42">
        <f>IFERROR(_xlfn.XLOOKUP(AQ$7,'Product Tgt'!$B:$B,'Product Tgt'!$G:$G)*R55/R$60,0)</f>
        <v>1967.7216786542995</v>
      </c>
      <c r="AR55" s="42">
        <f>IFERROR(_xlfn.XLOOKUP(AR$7,'Product Tgt'!$B:$B,'Product Tgt'!$G:$G)*S55/S$60,0)</f>
        <v>14902.008206653005</v>
      </c>
      <c r="AS55" s="42">
        <f>IFERROR(_xlfn.XLOOKUP(AS$7,'Product Tgt'!$B:$B,'Product Tgt'!$G:$G)*T55/T$60,0)</f>
        <v>2985.6813995794009</v>
      </c>
      <c r="AT55" s="42">
        <f>IFERROR(_xlfn.XLOOKUP(AT$7,'Product Tgt'!$B:$B,'Product Tgt'!$G:$G)*U55/U$60,0)</f>
        <v>16058.614445593425</v>
      </c>
      <c r="AU55" s="42">
        <f>IFERROR(_xlfn.XLOOKUP(AU$7,'Product Tgt'!$B:$B,'Product Tgt'!$G:$G)*V55/V$60,0)</f>
        <v>9300.2176459733291</v>
      </c>
      <c r="AV55" s="42">
        <f>IFERROR(_xlfn.XLOOKUP(AV$7,'Product Tgt'!$B:$B,'Product Tgt'!$G:$G)*W55/W$60,0)</f>
        <v>15485.928713719437</v>
      </c>
      <c r="AW55" s="42">
        <f>IFERROR(_xlfn.XLOOKUP(AW$7,'Product Tgt'!$B:$B,'Product Tgt'!$G:$G)*X55/X$60,0)</f>
        <v>12224.198459849202</v>
      </c>
      <c r="AX55" s="42">
        <f>IFERROR(_xlfn.XLOOKUP(AX$7,'Product Tgt'!$B:$B,'Product Tgt'!$G:$G)*Y55/Y$60,0)</f>
        <v>6489.6822066613695</v>
      </c>
      <c r="AY55" s="42">
        <f>IFERROR(_xlfn.XLOOKUP(AY$7,'Product Tgt'!$B:$B,'Product Tgt'!$G:$G)*Z55/Z$60,0)</f>
        <v>23855.676547519164</v>
      </c>
      <c r="AZ55" s="42">
        <f>IFERROR(_xlfn.XLOOKUP(AZ$7,'Product Tgt'!$B:$B,'Product Tgt'!$G:$G)*AA55/AA$60,0)</f>
        <v>5040.9152743514915</v>
      </c>
      <c r="BA55" s="42">
        <f>IFERROR(_xlfn.XLOOKUP(BA$7,'Product Tgt'!$B:$B,'Product Tgt'!$G:$G)*AB55/AB$60,0)</f>
        <v>12934.498355017384</v>
      </c>
      <c r="BB55" s="42">
        <f>IFERROR(_xlfn.XLOOKUP(BB$7,'Product Tgt'!$B:$B,'Product Tgt'!$G:$G)*AC55/AC$60,0)</f>
        <v>4415.3517200898714</v>
      </c>
      <c r="BC55" s="42">
        <f>IFERROR(_xlfn.XLOOKUP(BC$7,'Product Tgt'!$B:$B,'Product Tgt'!$G:$G)*AD55/AD$60,0)</f>
        <v>4782.4988860486692</v>
      </c>
      <c r="BD55" s="42">
        <f>IFERROR(_xlfn.XLOOKUP(BD$7,'Product Tgt'!$B:$B,'Product Tgt'!$G:$G)*AE55/AE$60,0)</f>
        <v>809.39504932460102</v>
      </c>
      <c r="BE55" s="10">
        <f>ROUND(IFERROR(AF55/_xlfn.XLOOKUP(BE$7,'Product Tgt'!$B:$B,'Product Tgt'!$D:$D),0),0)</f>
        <v>0</v>
      </c>
      <c r="BF55" s="11">
        <f>ROUND(IFERROR(AG55/_xlfn.XLOOKUP(BF$7,'Product Tgt'!$B:$B,'Product Tgt'!$D:$D),0),0)</f>
        <v>0</v>
      </c>
      <c r="BG55" s="11">
        <f>ROUND(IFERROR(AH55/_xlfn.XLOOKUP(BG$7,'Product Tgt'!$B:$B,'Product Tgt'!$D:$D),0),0)</f>
        <v>0</v>
      </c>
      <c r="BH55" s="11">
        <f>ROUND(IFERROR(AI55/_xlfn.XLOOKUP(BH$7,'Product Tgt'!$B:$B,'Product Tgt'!$D:$D),0),0)</f>
        <v>0</v>
      </c>
      <c r="BI55" s="11">
        <f>ROUND(IFERROR(AM55/_xlfn.XLOOKUP(BI$7,'Product Tgt'!$B:$B,'Product Tgt'!$D:$D),0),0)</f>
        <v>0</v>
      </c>
      <c r="BJ55" s="11">
        <f>ROUND(IFERROR(#REF!/_xlfn.XLOOKUP(BJ$7,'Product Tgt'!$B:$B,'Product Tgt'!$D:$D),0),0)</f>
        <v>0</v>
      </c>
      <c r="BK55" s="11">
        <f>ROUND(IFERROR(#REF!/_xlfn.XLOOKUP(BK$7,'Product Tgt'!$B:$B,'Product Tgt'!$D:$D),0),0)</f>
        <v>0</v>
      </c>
      <c r="BL55" s="11">
        <f>ROUND(IFERROR(AN55/_xlfn.XLOOKUP(BL$7,'Product Tgt'!$B:$B,'Product Tgt'!$D:$D),0),0)</f>
        <v>0</v>
      </c>
      <c r="BM55" s="11">
        <f>ROUND(IFERROR(AQ55/_xlfn.XLOOKUP(BM$7,'Product Tgt'!$B:$B,'Product Tgt'!$D:$D),0),0)</f>
        <v>0</v>
      </c>
      <c r="BN55" s="11">
        <f>ROUND(IFERROR(AR55/_xlfn.XLOOKUP(BN$7,'Product Tgt'!$B:$B,'Product Tgt'!$D:$D),0),0)</f>
        <v>0</v>
      </c>
      <c r="BO55" s="11">
        <f>ROUND(IFERROR(AS55/_xlfn.XLOOKUP(BO$7,'Product Tgt'!$B:$B,'Product Tgt'!$D:$D),0),0)</f>
        <v>0</v>
      </c>
      <c r="BP55" s="11">
        <f>ROUND(IFERROR(AT55/_xlfn.XLOOKUP(BP$7,'Product Tgt'!$B:$B,'Product Tgt'!$D:$D),0),0)</f>
        <v>0</v>
      </c>
      <c r="BQ55" s="11">
        <f>ROUND(IFERROR(AU55/_xlfn.XLOOKUP(BQ$7,'Product Tgt'!$B:$B,'Product Tgt'!$D:$D),0),0)</f>
        <v>0</v>
      </c>
      <c r="BR55" s="11">
        <f>ROUND(IFERROR(AV55/_xlfn.XLOOKUP(BR$7,'Product Tgt'!$B:$B,'Product Tgt'!$D:$D),0),0)</f>
        <v>0</v>
      </c>
      <c r="BS55" s="11">
        <f>ROUND(IFERROR(AW55/_xlfn.XLOOKUP(BS$7,'Product Tgt'!$B:$B,'Product Tgt'!$D:$D),0),0)</f>
        <v>0</v>
      </c>
      <c r="BT55" s="11">
        <f>ROUND(IFERROR(AX55/_xlfn.XLOOKUP(BT$7,'Product Tgt'!$B:$B,'Product Tgt'!$D:$D),0),0)</f>
        <v>0</v>
      </c>
      <c r="BU55" s="11">
        <f>ROUND(IFERROR(AY55/_xlfn.XLOOKUP(BU$7,'Product Tgt'!$B:$B,'Product Tgt'!$D:$D),0),0)</f>
        <v>0</v>
      </c>
      <c r="BV55" s="11">
        <f>ROUND(IFERROR(AZ55/_xlfn.XLOOKUP(BV$7,'Product Tgt'!$B:$B,'Product Tgt'!$D:$D),0),0)</f>
        <v>0</v>
      </c>
      <c r="BW55" s="11">
        <f>ROUND(IFERROR(BA55/_xlfn.XLOOKUP(BW$7,'Product Tgt'!$B:$B,'Product Tgt'!$D:$D),0),0)</f>
        <v>0</v>
      </c>
      <c r="BX55" s="11">
        <f>ROUND(IFERROR(BB55/_xlfn.XLOOKUP(BX$7,'Product Tgt'!$B:$B,'Product Tgt'!$D:$D),0),0)</f>
        <v>0</v>
      </c>
      <c r="BY55" s="11">
        <f>ROUND(IFERROR(BC55/_xlfn.XLOOKUP(BY$7,'Product Tgt'!$B:$B,'Product Tgt'!$D:$D),0),0)</f>
        <v>0</v>
      </c>
      <c r="BZ55" s="13">
        <f>ROUND(IFERROR(BD55/_xlfn.XLOOKUP(BZ$7,'Product Tgt'!$B:$B,'Product Tgt'!$D:$D),0),0)</f>
        <v>0</v>
      </c>
    </row>
    <row r="56" spans="1:78" x14ac:dyDescent="0.25">
      <c r="A56" s="4" t="s">
        <v>94</v>
      </c>
      <c r="B56" s="3">
        <f>_xlfn.XLOOKUP(A56,'Terr Target'!$A:$A,'Terr Target'!$E:$E)</f>
        <v>612139.72073124314</v>
      </c>
      <c r="C56" s="3">
        <f t="shared" si="9"/>
        <v>612140.42926746595</v>
      </c>
      <c r="D56" s="5">
        <f t="shared" si="6"/>
        <v>0.70853622280992568</v>
      </c>
      <c r="E56" s="6">
        <f t="shared" si="7"/>
        <v>1.1574733328066803E-6</v>
      </c>
      <c r="F56" s="6">
        <f t="shared" si="8"/>
        <v>0.99999884252666715</v>
      </c>
      <c r="G56" s="55">
        <v>22593.809784154288</v>
      </c>
      <c r="H56" s="56">
        <v>25422.550690640979</v>
      </c>
      <c r="I56" s="56">
        <v>125096.38514056051</v>
      </c>
      <c r="J56" s="56">
        <v>201896.20396121391</v>
      </c>
      <c r="K56" s="56">
        <v>11712.646392609851</v>
      </c>
      <c r="L56" s="56">
        <v>3778.1715781282192</v>
      </c>
      <c r="M56" s="56">
        <v>0</v>
      </c>
      <c r="N56" s="56">
        <v>4069.955846064975</v>
      </c>
      <c r="O56" s="56">
        <v>7105.8663872490406</v>
      </c>
      <c r="P56" s="56">
        <v>1281.1985588836353</v>
      </c>
      <c r="Q56" s="56">
        <v>2269.9718298817311</v>
      </c>
      <c r="R56" s="56">
        <v>2377.0421932019262</v>
      </c>
      <c r="S56" s="56">
        <v>20528.403445427997</v>
      </c>
      <c r="T56" s="56">
        <v>6541.4483223454272</v>
      </c>
      <c r="U56" s="56">
        <v>29326.562497464703</v>
      </c>
      <c r="V56" s="56">
        <v>5846.5927138011311</v>
      </c>
      <c r="W56" s="56">
        <v>25840.886318778921</v>
      </c>
      <c r="X56" s="56">
        <v>46756.766291372965</v>
      </c>
      <c r="Y56" s="56">
        <v>6785.7670662621267</v>
      </c>
      <c r="Z56" s="56">
        <v>35501.808142194321</v>
      </c>
      <c r="AA56" s="56">
        <v>5596.3144875480875</v>
      </c>
      <c r="AB56" s="56">
        <v>14688.491361405591</v>
      </c>
      <c r="AC56" s="56">
        <v>6630.9911059714186</v>
      </c>
      <c r="AD56" s="56">
        <v>7182.3740413281157</v>
      </c>
      <c r="AE56" s="57">
        <v>1215.5523984348604</v>
      </c>
      <c r="AF56" s="42">
        <f>IFERROR(_xlfn.XLOOKUP(AF$7,'Product Tgt'!$B:$B,'Product Tgt'!$G:$G)*G56/G$60,0)</f>
        <v>22760.629688843583</v>
      </c>
      <c r="AG56" s="42">
        <f>IFERROR(_xlfn.XLOOKUP(AG$7,'Product Tgt'!$B:$B,'Product Tgt'!$G:$G)*H56/H$60,0)</f>
        <v>26028.804973396713</v>
      </c>
      <c r="AH56" s="42">
        <f>IFERROR(_xlfn.XLOOKUP(AH$7,'Product Tgt'!$B:$B,'Product Tgt'!$G:$G)*I56/I$60,0)</f>
        <v>124928.49896666866</v>
      </c>
      <c r="AI56" s="42">
        <f>IFERROR(_xlfn.XLOOKUP(AI$7,'Product Tgt'!$B:$B,'Product Tgt'!$G:$G)*J56/J$60,0)</f>
        <v>201027.13589005882</v>
      </c>
      <c r="AJ56" s="42">
        <f>IFERROR(_xlfn.XLOOKUP(AJ$7,'Product Tgt'!$B:$B,'Product Tgt'!$G:$G)*K56/K$60,0)</f>
        <v>11520.418068100442</v>
      </c>
      <c r="AK56" s="42">
        <f>IFERROR(_xlfn.XLOOKUP(AK$7,'Product Tgt'!$B:$B,'Product Tgt'!$G:$G)*L56/L$60,0)</f>
        <v>3888.404683363869</v>
      </c>
      <c r="AL56" s="42">
        <f>IFERROR(_xlfn.XLOOKUP(AL$7,'Product Tgt'!$B:$B,'Product Tgt'!$G:$G)*M56/M$60,0)</f>
        <v>0</v>
      </c>
      <c r="AM56" s="42">
        <f>IFERROR(_xlfn.XLOOKUP(AM$7,'Product Tgt'!$B:$B,'Product Tgt'!$G:$G)*N56/N$60,0)</f>
        <v>4042.7987889463052</v>
      </c>
      <c r="AN56" s="42">
        <f>IFERROR(_xlfn.XLOOKUP(AN$7,'Product Tgt'!$B:$B,'Product Tgt'!$G:$G)*O56/O$60,0)</f>
        <v>7749.8108908506674</v>
      </c>
      <c r="AO56" s="42">
        <f>IFERROR(_xlfn.XLOOKUP(AO$7,'Product Tgt'!$B:$B,'Product Tgt'!$G:$G)*P56/P$60,0)</f>
        <v>1228.4406667939115</v>
      </c>
      <c r="AP56" s="42">
        <f>IFERROR(_xlfn.XLOOKUP(AP$7,'Product Tgt'!$B:$B,'Product Tgt'!$G:$G)*Q56/Q$60,0)</f>
        <v>1725.5188539013805</v>
      </c>
      <c r="AQ56" s="42">
        <f>IFERROR(_xlfn.XLOOKUP(AQ$7,'Product Tgt'!$B:$B,'Product Tgt'!$G:$G)*R56/R$60,0)</f>
        <v>1983.4004910330921</v>
      </c>
      <c r="AR56" s="42">
        <f>IFERROR(_xlfn.XLOOKUP(AR$7,'Product Tgt'!$B:$B,'Product Tgt'!$G:$G)*S56/S$60,0)</f>
        <v>19880.54173737044</v>
      </c>
      <c r="AS56" s="42">
        <f>IFERROR(_xlfn.XLOOKUP(AS$7,'Product Tgt'!$B:$B,'Product Tgt'!$G:$G)*T56/T$60,0)</f>
        <v>5938.11007270147</v>
      </c>
      <c r="AT56" s="42">
        <f>IFERROR(_xlfn.XLOOKUP(AT$7,'Product Tgt'!$B:$B,'Product Tgt'!$G:$G)*U56/U$60,0)</f>
        <v>25041.671353430138</v>
      </c>
      <c r="AU56" s="42">
        <f>IFERROR(_xlfn.XLOOKUP(AU$7,'Product Tgt'!$B:$B,'Product Tgt'!$G:$G)*V56/V$60,0)</f>
        <v>6160.7720910395174</v>
      </c>
      <c r="AV56" s="42">
        <f>IFERROR(_xlfn.XLOOKUP(AV$7,'Product Tgt'!$B:$B,'Product Tgt'!$G:$G)*W56/W$60,0)</f>
        <v>24909.050492465474</v>
      </c>
      <c r="AW56" s="42">
        <f>IFERROR(_xlfn.XLOOKUP(AW$7,'Product Tgt'!$B:$B,'Product Tgt'!$G:$G)*X56/X$60,0)</f>
        <v>48233.748467897945</v>
      </c>
      <c r="AX56" s="42">
        <f>IFERROR(_xlfn.XLOOKUP(AX$7,'Product Tgt'!$B:$B,'Product Tgt'!$G:$G)*Y56/Y$60,0)</f>
        <v>6530.4254834246103</v>
      </c>
      <c r="AY56" s="42">
        <f>IFERROR(_xlfn.XLOOKUP(AY$7,'Product Tgt'!$B:$B,'Product Tgt'!$G:$G)*Z56/Z$60,0)</f>
        <v>34192.239089178533</v>
      </c>
      <c r="AZ56" s="42">
        <f>IFERROR(_xlfn.XLOOKUP(AZ$7,'Product Tgt'!$B:$B,'Product Tgt'!$G:$G)*AA56/AA$60,0)</f>
        <v>5593.298689305705</v>
      </c>
      <c r="BA56" s="42">
        <f>IFERROR(_xlfn.XLOOKUP(BA$7,'Product Tgt'!$B:$B,'Product Tgt'!$G:$G)*AB56/AB$60,0)</f>
        <v>13719.976260526468</v>
      </c>
      <c r="BB56" s="42">
        <f>IFERROR(_xlfn.XLOOKUP(BB$7,'Product Tgt'!$B:$B,'Product Tgt'!$G:$G)*AC56/AC$60,0)</f>
        <v>6643.2639657300579</v>
      </c>
      <c r="BC56" s="42">
        <f>IFERROR(_xlfn.XLOOKUP(BC$7,'Product Tgt'!$B:$B,'Product Tgt'!$G:$G)*AD56/AD$60,0)</f>
        <v>7195.6674190350996</v>
      </c>
      <c r="BD56" s="42">
        <f>IFERROR(_xlfn.XLOOKUP(BD$7,'Product Tgt'!$B:$B,'Product Tgt'!$G:$G)*AE56/AE$60,0)</f>
        <v>1217.8021834031786</v>
      </c>
      <c r="BE56" s="10">
        <f>ROUND(IFERROR(AF56/_xlfn.XLOOKUP(BE$7,'Product Tgt'!$B:$B,'Product Tgt'!$D:$D),0),0)</f>
        <v>0</v>
      </c>
      <c r="BF56" s="11">
        <f>ROUND(IFERROR(AG56/_xlfn.XLOOKUP(BF$7,'Product Tgt'!$B:$B,'Product Tgt'!$D:$D),0),0)</f>
        <v>0</v>
      </c>
      <c r="BG56" s="11">
        <f>ROUND(IFERROR(AH56/_xlfn.XLOOKUP(BG$7,'Product Tgt'!$B:$B,'Product Tgt'!$D:$D),0),0)</f>
        <v>0</v>
      </c>
      <c r="BH56" s="11">
        <f>ROUND(IFERROR(AI56/_xlfn.XLOOKUP(BH$7,'Product Tgt'!$B:$B,'Product Tgt'!$D:$D),0),0)</f>
        <v>0</v>
      </c>
      <c r="BI56" s="11">
        <f>ROUND(IFERROR(AM56/_xlfn.XLOOKUP(BI$7,'Product Tgt'!$B:$B,'Product Tgt'!$D:$D),0),0)</f>
        <v>0</v>
      </c>
      <c r="BJ56" s="11">
        <f>ROUND(IFERROR(#REF!/_xlfn.XLOOKUP(BJ$7,'Product Tgt'!$B:$B,'Product Tgt'!$D:$D),0),0)</f>
        <v>0</v>
      </c>
      <c r="BK56" s="11">
        <f>ROUND(IFERROR(#REF!/_xlfn.XLOOKUP(BK$7,'Product Tgt'!$B:$B,'Product Tgt'!$D:$D),0),0)</f>
        <v>0</v>
      </c>
      <c r="BL56" s="11">
        <f>ROUND(IFERROR(AN56/_xlfn.XLOOKUP(BL$7,'Product Tgt'!$B:$B,'Product Tgt'!$D:$D),0),0)</f>
        <v>0</v>
      </c>
      <c r="BM56" s="11">
        <f>ROUND(IFERROR(AQ56/_xlfn.XLOOKUP(BM$7,'Product Tgt'!$B:$B,'Product Tgt'!$D:$D),0),0)</f>
        <v>0</v>
      </c>
      <c r="BN56" s="11">
        <f>ROUND(IFERROR(AR56/_xlfn.XLOOKUP(BN$7,'Product Tgt'!$B:$B,'Product Tgt'!$D:$D),0),0)</f>
        <v>0</v>
      </c>
      <c r="BO56" s="11">
        <f>ROUND(IFERROR(AS56/_xlfn.XLOOKUP(BO$7,'Product Tgt'!$B:$B,'Product Tgt'!$D:$D),0),0)</f>
        <v>0</v>
      </c>
      <c r="BP56" s="11">
        <f>ROUND(IFERROR(AT56/_xlfn.XLOOKUP(BP$7,'Product Tgt'!$B:$B,'Product Tgt'!$D:$D),0),0)</f>
        <v>0</v>
      </c>
      <c r="BQ56" s="11">
        <f>ROUND(IFERROR(AU56/_xlfn.XLOOKUP(BQ$7,'Product Tgt'!$B:$B,'Product Tgt'!$D:$D),0),0)</f>
        <v>0</v>
      </c>
      <c r="BR56" s="11">
        <f>ROUND(IFERROR(AV56/_xlfn.XLOOKUP(BR$7,'Product Tgt'!$B:$B,'Product Tgt'!$D:$D),0),0)</f>
        <v>0</v>
      </c>
      <c r="BS56" s="11">
        <f>ROUND(IFERROR(AW56/_xlfn.XLOOKUP(BS$7,'Product Tgt'!$B:$B,'Product Tgt'!$D:$D),0),0)</f>
        <v>0</v>
      </c>
      <c r="BT56" s="11">
        <f>ROUND(IFERROR(AX56/_xlfn.XLOOKUP(BT$7,'Product Tgt'!$B:$B,'Product Tgt'!$D:$D),0),0)</f>
        <v>0</v>
      </c>
      <c r="BU56" s="11">
        <f>ROUND(IFERROR(AY56/_xlfn.XLOOKUP(BU$7,'Product Tgt'!$B:$B,'Product Tgt'!$D:$D),0),0)</f>
        <v>0</v>
      </c>
      <c r="BV56" s="11">
        <f>ROUND(IFERROR(AZ56/_xlfn.XLOOKUP(BV$7,'Product Tgt'!$B:$B,'Product Tgt'!$D:$D),0),0)</f>
        <v>0</v>
      </c>
      <c r="BW56" s="11">
        <f>ROUND(IFERROR(BA56/_xlfn.XLOOKUP(BW$7,'Product Tgt'!$B:$B,'Product Tgt'!$D:$D),0),0)</f>
        <v>0</v>
      </c>
      <c r="BX56" s="11">
        <f>ROUND(IFERROR(BB56/_xlfn.XLOOKUP(BX$7,'Product Tgt'!$B:$B,'Product Tgt'!$D:$D),0),0)</f>
        <v>0</v>
      </c>
      <c r="BY56" s="11">
        <f>ROUND(IFERROR(BC56/_xlfn.XLOOKUP(BY$7,'Product Tgt'!$B:$B,'Product Tgt'!$D:$D),0),0)</f>
        <v>0</v>
      </c>
      <c r="BZ56" s="13">
        <f>ROUND(IFERROR(BD56/_xlfn.XLOOKUP(BZ$7,'Product Tgt'!$B:$B,'Product Tgt'!$D:$D),0),0)</f>
        <v>0</v>
      </c>
    </row>
    <row r="57" spans="1:78" x14ac:dyDescent="0.25">
      <c r="A57" s="4" t="s">
        <v>95</v>
      </c>
      <c r="B57" s="3">
        <f>_xlfn.XLOOKUP(A57,'Terr Target'!$A:$A,'Terr Target'!$E:$E)</f>
        <v>603155.36514676746</v>
      </c>
      <c r="C57" s="3">
        <f t="shared" si="9"/>
        <v>603156.18723497202</v>
      </c>
      <c r="D57" s="5">
        <f t="shared" ref="D57:D59" si="10">C57-B57</f>
        <v>0.8220882045570761</v>
      </c>
      <c r="E57" s="6">
        <f t="shared" ref="E57:E59" si="11">ABS(D57)/C57</f>
        <v>1.3629773215553778E-6</v>
      </c>
      <c r="F57" s="6">
        <f t="shared" ref="F57:F59" si="12">(1-(D57/C57))</f>
        <v>0.99999863702267844</v>
      </c>
      <c r="G57" s="58">
        <v>20533.648926323127</v>
      </c>
      <c r="H57" s="59">
        <v>27840.846476510094</v>
      </c>
      <c r="I57" s="59">
        <v>124946.8259562825</v>
      </c>
      <c r="J57" s="59">
        <v>207119.35258322002</v>
      </c>
      <c r="K57" s="59">
        <v>11732.555077464151</v>
      </c>
      <c r="L57" s="59">
        <v>3731.2106609060343</v>
      </c>
      <c r="M57" s="59">
        <v>0</v>
      </c>
      <c r="N57" s="59">
        <v>2927.841140644327</v>
      </c>
      <c r="O57" s="59">
        <v>6792.1950366628816</v>
      </c>
      <c r="P57" s="59">
        <v>1241.9501768885541</v>
      </c>
      <c r="Q57" s="59">
        <v>2143.7120878872374</v>
      </c>
      <c r="R57" s="59">
        <v>2305.5260196399563</v>
      </c>
      <c r="S57" s="59">
        <v>22555.898062905217</v>
      </c>
      <c r="T57" s="59">
        <v>6544.9590293257297</v>
      </c>
      <c r="U57" s="59">
        <v>33270.888415595487</v>
      </c>
      <c r="V57" s="59">
        <v>5092.7937446333362</v>
      </c>
      <c r="W57" s="59">
        <v>19900.583544109053</v>
      </c>
      <c r="X57" s="59">
        <v>33576.16583322204</v>
      </c>
      <c r="Y57" s="59">
        <v>6282.1426434167488</v>
      </c>
      <c r="Z57" s="59">
        <v>36466.91607263215</v>
      </c>
      <c r="AA57" s="59">
        <v>5739.1794505044509</v>
      </c>
      <c r="AB57" s="59">
        <v>14540.963316129444</v>
      </c>
      <c r="AC57" s="59">
        <v>7333.5600341746913</v>
      </c>
      <c r="AD57" s="59">
        <v>7943.3632737864</v>
      </c>
      <c r="AE57" s="60">
        <v>1344.3430018446938</v>
      </c>
      <c r="AF57" s="42">
        <f>IFERROR(_xlfn.XLOOKUP(AF$7,'Product Tgt'!$B:$B,'Product Tgt'!$G:$G)*G57/G$60,0)</f>
        <v>20685.257769167107</v>
      </c>
      <c r="AG57" s="42">
        <f>IFERROR(_xlfn.XLOOKUP(AG$7,'Product Tgt'!$B:$B,'Product Tgt'!$G:$G)*H57/H$60,0)</f>
        <v>28504.770117269822</v>
      </c>
      <c r="AH57" s="42">
        <f>IFERROR(_xlfn.XLOOKUP(AH$7,'Product Tgt'!$B:$B,'Product Tgt'!$G:$G)*I57/I$60,0)</f>
        <v>124779.14049897564</v>
      </c>
      <c r="AI57" s="42">
        <f>IFERROR(_xlfn.XLOOKUP(AI$7,'Product Tgt'!$B:$B,'Product Tgt'!$G:$G)*J57/J$60,0)</f>
        <v>206227.80131718944</v>
      </c>
      <c r="AJ57" s="42">
        <f>IFERROR(_xlfn.XLOOKUP(AJ$7,'Product Tgt'!$B:$B,'Product Tgt'!$G:$G)*K57/K$60,0)</f>
        <v>11540.000010986749</v>
      </c>
      <c r="AK57" s="42">
        <f>IFERROR(_xlfn.XLOOKUP(AK$7,'Product Tgt'!$B:$B,'Product Tgt'!$G:$G)*L57/L$60,0)</f>
        <v>3840.07361986244</v>
      </c>
      <c r="AL57" s="42">
        <f>IFERROR(_xlfn.XLOOKUP(AL$7,'Product Tgt'!$B:$B,'Product Tgt'!$G:$G)*M57/M$60,0)</f>
        <v>0</v>
      </c>
      <c r="AM57" s="42">
        <f>IFERROR(_xlfn.XLOOKUP(AM$7,'Product Tgt'!$B:$B,'Product Tgt'!$G:$G)*N57/N$60,0)</f>
        <v>2908.3049215554279</v>
      </c>
      <c r="AN57" s="42">
        <f>IFERROR(_xlfn.XLOOKUP(AN$7,'Product Tgt'!$B:$B,'Product Tgt'!$G:$G)*O57/O$60,0)</f>
        <v>7407.7141616914314</v>
      </c>
      <c r="AO57" s="42">
        <f>IFERROR(_xlfn.XLOOKUP(AO$7,'Product Tgt'!$B:$B,'Product Tgt'!$G:$G)*P57/P$60,0)</f>
        <v>1190.8084760500888</v>
      </c>
      <c r="AP57" s="42">
        <f>IFERROR(_xlfn.XLOOKUP(AP$7,'Product Tgt'!$B:$B,'Product Tgt'!$G:$G)*Q57/Q$60,0)</f>
        <v>1629.5425239609451</v>
      </c>
      <c r="AQ57" s="42">
        <f>IFERROR(_xlfn.XLOOKUP(AQ$7,'Product Tgt'!$B:$B,'Product Tgt'!$G:$G)*R57/R$60,0)</f>
        <v>1923.7275015652228</v>
      </c>
      <c r="AR57" s="42">
        <f>IFERROR(_xlfn.XLOOKUP(AR$7,'Product Tgt'!$B:$B,'Product Tgt'!$G:$G)*S57/S$60,0)</f>
        <v>21844.05007703272</v>
      </c>
      <c r="AS57" s="42">
        <f>IFERROR(_xlfn.XLOOKUP(AS$7,'Product Tgt'!$B:$B,'Product Tgt'!$G:$G)*T57/T$60,0)</f>
        <v>5941.2969761905379</v>
      </c>
      <c r="AT57" s="42">
        <f>IFERROR(_xlfn.XLOOKUP(AT$7,'Product Tgt'!$B:$B,'Product Tgt'!$G:$G)*U57/U$60,0)</f>
        <v>28409.693547002484</v>
      </c>
      <c r="AU57" s="42">
        <f>IFERROR(_xlfn.XLOOKUP(AU$7,'Product Tgt'!$B:$B,'Product Tgt'!$G:$G)*V57/V$60,0)</f>
        <v>5366.4660945672495</v>
      </c>
      <c r="AV57" s="42">
        <f>IFERROR(_xlfn.XLOOKUP(AV$7,'Product Tgt'!$B:$B,'Product Tgt'!$G:$G)*W57/W$60,0)</f>
        <v>19182.958131335636</v>
      </c>
      <c r="AW57" s="42">
        <f>IFERROR(_xlfn.XLOOKUP(AW$7,'Product Tgt'!$B:$B,'Product Tgt'!$G:$G)*X57/X$60,0)</f>
        <v>34636.790902600849</v>
      </c>
      <c r="AX57" s="42">
        <f>IFERROR(_xlfn.XLOOKUP(AX$7,'Product Tgt'!$B:$B,'Product Tgt'!$G:$G)*Y57/Y$60,0)</f>
        <v>6045.7519405651265</v>
      </c>
      <c r="AY57" s="42">
        <f>IFERROR(_xlfn.XLOOKUP(AY$7,'Product Tgt'!$B:$B,'Product Tgt'!$G:$G)*Z57/Z$60,0)</f>
        <v>35121.746706712322</v>
      </c>
      <c r="AZ57" s="42">
        <f>IFERROR(_xlfn.XLOOKUP(AZ$7,'Product Tgt'!$B:$B,'Product Tgt'!$G:$G)*AA57/AA$60,0)</f>
        <v>5736.086663753802</v>
      </c>
      <c r="BA57" s="42">
        <f>IFERROR(_xlfn.XLOOKUP(BA$7,'Product Tgt'!$B:$B,'Product Tgt'!$G:$G)*AB57/AB$60,0)</f>
        <v>13582.175772433528</v>
      </c>
      <c r="BB57" s="42">
        <f>IFERROR(_xlfn.XLOOKUP(BB$7,'Product Tgt'!$B:$B,'Product Tgt'!$G:$G)*AC57/AC$60,0)</f>
        <v>7347.133231965583</v>
      </c>
      <c r="BC57" s="42">
        <f>IFERROR(_xlfn.XLOOKUP(BC$7,'Product Tgt'!$B:$B,'Product Tgt'!$G:$G)*AD57/AD$60,0)</f>
        <v>7958.0651157754992</v>
      </c>
      <c r="BD57" s="42">
        <f>IFERROR(_xlfn.XLOOKUP(BD$7,'Product Tgt'!$B:$B,'Product Tgt'!$G:$G)*AE57/AE$60,0)</f>
        <v>1346.8311567623332</v>
      </c>
    </row>
    <row r="58" spans="1:78" x14ac:dyDescent="0.25">
      <c r="A58" t="s">
        <v>70</v>
      </c>
      <c r="B58" s="3">
        <f>_xlfn.XLOOKUP(A58,'Terr Target'!$A:$A,'Terr Target'!$E:$E)</f>
        <v>363051.34380156768</v>
      </c>
      <c r="C58" s="3">
        <f t="shared" si="9"/>
        <v>363051.2668713624</v>
      </c>
      <c r="D58" s="5">
        <f t="shared" si="10"/>
        <v>-7.6930205279495567E-2</v>
      </c>
      <c r="E58" s="6">
        <f t="shared" si="11"/>
        <v>2.1189901344361305E-7</v>
      </c>
      <c r="F58" s="6">
        <f t="shared" si="12"/>
        <v>1.0000002118990134</v>
      </c>
      <c r="G58" s="55">
        <v>17794.528849839229</v>
      </c>
      <c r="H58" s="56">
        <v>15606.926226046482</v>
      </c>
      <c r="I58" s="56">
        <v>73991.626314120513</v>
      </c>
      <c r="J58" s="56">
        <v>84877.395929267586</v>
      </c>
      <c r="K58" s="56">
        <v>9371.4607927033485</v>
      </c>
      <c r="L58" s="56">
        <v>7204.2436744344504</v>
      </c>
      <c r="M58" s="56">
        <v>0</v>
      </c>
      <c r="N58" s="56">
        <v>2655.0138602450579</v>
      </c>
      <c r="O58" s="56">
        <v>8749.7781530498723</v>
      </c>
      <c r="P58" s="56">
        <v>2333.6234678897295</v>
      </c>
      <c r="Q58" s="56">
        <v>1360.5091665392786</v>
      </c>
      <c r="R58" s="56">
        <v>1203.6381346179348</v>
      </c>
      <c r="S58" s="56">
        <v>12896.58744879135</v>
      </c>
      <c r="T58" s="56">
        <v>2960.7061085140735</v>
      </c>
      <c r="U58" s="56">
        <v>17829.468261325455</v>
      </c>
      <c r="V58" s="56">
        <v>7395.2712180730077</v>
      </c>
      <c r="W58" s="56">
        <v>25527.681541299415</v>
      </c>
      <c r="X58" s="56">
        <v>17982.254162400808</v>
      </c>
      <c r="Y58" s="56">
        <v>5616.6333518229776</v>
      </c>
      <c r="Z58" s="56">
        <v>31565.274076613416</v>
      </c>
      <c r="AA58" s="56">
        <v>2170.2985314623124</v>
      </c>
      <c r="AB58" s="56">
        <v>9991.8385994084747</v>
      </c>
      <c r="AC58" s="56">
        <v>3960.83015061482</v>
      </c>
      <c r="AD58" s="56">
        <v>4290.1827496446404</v>
      </c>
      <c r="AE58" s="57">
        <v>726.07495809144666</v>
      </c>
      <c r="AF58" s="42">
        <f>IFERROR(_xlfn.XLOOKUP(AF$7,'Product Tgt'!$B:$B,'Product Tgt'!$G:$G)*G58/G$60,0)</f>
        <v>17925.913580218032</v>
      </c>
      <c r="AG58" s="42">
        <f>IFERROR(_xlfn.XLOOKUP(AG$7,'Product Tgt'!$B:$B,'Product Tgt'!$G:$G)*H58/H$60,0)</f>
        <v>15979.106263381473</v>
      </c>
      <c r="AH58" s="42">
        <f>IFERROR(_xlfn.XLOOKUP(AH$7,'Product Tgt'!$B:$B,'Product Tgt'!$G:$G)*I58/I$60,0)</f>
        <v>73892.325514757249</v>
      </c>
      <c r="AI58" s="42">
        <f>IFERROR(_xlfn.XLOOKUP(AI$7,'Product Tgt'!$B:$B,'Product Tgt'!$G:$G)*J58/J$60,0)</f>
        <v>84512.038714433147</v>
      </c>
      <c r="AJ58" s="42">
        <f>IFERROR(_xlfn.XLOOKUP(AJ$7,'Product Tgt'!$B:$B,'Product Tgt'!$G:$G)*K58/K$60,0)</f>
        <v>9217.6560805997178</v>
      </c>
      <c r="AK58" s="42">
        <f>IFERROR(_xlfn.XLOOKUP(AK$7,'Product Tgt'!$B:$B,'Product Tgt'!$G:$G)*L58/L$60,0)</f>
        <v>7414.4369212696383</v>
      </c>
      <c r="AL58" s="42">
        <f>IFERROR(_xlfn.XLOOKUP(AL$7,'Product Tgt'!$B:$B,'Product Tgt'!$G:$G)*M58/M$60,0)</f>
        <v>0</v>
      </c>
      <c r="AM58" s="42">
        <f>IFERROR(_xlfn.XLOOKUP(AM$7,'Product Tgt'!$B:$B,'Product Tgt'!$G:$G)*N58/N$60,0)</f>
        <v>2637.2980997354571</v>
      </c>
      <c r="AN58" s="42">
        <f>IFERROR(_xlfn.XLOOKUP(AN$7,'Product Tgt'!$B:$B,'Product Tgt'!$G:$G)*O58/O$60,0)</f>
        <v>9542.6964605908815</v>
      </c>
      <c r="AO58" s="42">
        <f>IFERROR(_xlfn.XLOOKUP(AO$7,'Product Tgt'!$B:$B,'Product Tgt'!$G:$G)*P58/P$60,0)</f>
        <v>2237.5282496713676</v>
      </c>
      <c r="AP58" s="42">
        <f>IFERROR(_xlfn.XLOOKUP(AP$7,'Product Tgt'!$B:$B,'Product Tgt'!$G:$G)*Q58/Q$60,0)</f>
        <v>1034.1909035459223</v>
      </c>
      <c r="AQ58" s="42">
        <f>IFERROR(_xlfn.XLOOKUP(AQ$7,'Product Tgt'!$B:$B,'Product Tgt'!$G:$G)*R58/R$60,0)</f>
        <v>1004.3138796840741</v>
      </c>
      <c r="AR58" s="42">
        <f>IFERROR(_xlfn.XLOOKUP(AR$7,'Product Tgt'!$B:$B,'Product Tgt'!$G:$G)*S58/S$60,0)</f>
        <v>12489.580386849158</v>
      </c>
      <c r="AS58" s="42">
        <f>IFERROR(_xlfn.XLOOKUP(AS$7,'Product Tgt'!$B:$B,'Product Tgt'!$G:$G)*T58/T$60,0)</f>
        <v>2687.6309188624073</v>
      </c>
      <c r="AT58" s="42">
        <f>IFERROR(_xlfn.XLOOKUP(AT$7,'Product Tgt'!$B:$B,'Product Tgt'!$G:$G)*U58/U$60,0)</f>
        <v>15224.412497889034</v>
      </c>
      <c r="AU58" s="42">
        <f>IFERROR(_xlfn.XLOOKUP(AU$7,'Product Tgt'!$B:$B,'Product Tgt'!$G:$G)*V58/V$60,0)</f>
        <v>7792.6722034911563</v>
      </c>
      <c r="AV58" s="42">
        <f>IFERROR(_xlfn.XLOOKUP(AV$7,'Product Tgt'!$B:$B,'Product Tgt'!$G:$G)*W58/W$60,0)</f>
        <v>24607.140042472558</v>
      </c>
      <c r="AW58" s="42">
        <f>IFERROR(_xlfn.XLOOKUP(AW$7,'Product Tgt'!$B:$B,'Product Tgt'!$G:$G)*X58/X$60,0)</f>
        <v>18550.288930376384</v>
      </c>
      <c r="AX58" s="42">
        <f>IFERROR(_xlfn.XLOOKUP(AX$7,'Product Tgt'!$B:$B,'Product Tgt'!$G:$G)*Y58/Y$60,0)</f>
        <v>5405.2850935836241</v>
      </c>
      <c r="AY58" s="42">
        <f>IFERROR(_xlfn.XLOOKUP(AY$7,'Product Tgt'!$B:$B,'Product Tgt'!$G:$G)*Z58/Z$60,0)</f>
        <v>30400.913492072792</v>
      </c>
      <c r="AZ58" s="42">
        <f>IFERROR(_xlfn.XLOOKUP(AZ$7,'Product Tgt'!$B:$B,'Product Tgt'!$G:$G)*AA58/AA$60,0)</f>
        <v>2169.128979159419</v>
      </c>
      <c r="BA58" s="42">
        <f>IFERROR(_xlfn.XLOOKUP(BA$7,'Product Tgt'!$B:$B,'Product Tgt'!$G:$G)*AB58/AB$60,0)</f>
        <v>9333.0067063999613</v>
      </c>
      <c r="BB58" s="42">
        <f>IFERROR(_xlfn.XLOOKUP(BB$7,'Product Tgt'!$B:$B,'Product Tgt'!$G:$G)*AC58/AC$60,0)</f>
        <v>3968.1609873162161</v>
      </c>
      <c r="BC58" s="42">
        <f>IFERROR(_xlfn.XLOOKUP(BC$7,'Product Tgt'!$B:$B,'Product Tgt'!$G:$G)*AD58/AD$60,0)</f>
        <v>4298.1231631339469</v>
      </c>
      <c r="BD58" s="42">
        <f>IFERROR(_xlfn.XLOOKUP(BD$7,'Product Tgt'!$B:$B,'Product Tgt'!$G:$G)*AE58/AE$60,0)</f>
        <v>727.41880186872004</v>
      </c>
    </row>
    <row r="59" spans="1:78" x14ac:dyDescent="0.25">
      <c r="A59" t="s">
        <v>71</v>
      </c>
      <c r="B59" s="3">
        <f>_xlfn.XLOOKUP(A59,'Terr Target'!$A:$A,'Terr Target'!$E:$E)</f>
        <v>505843.79712850874</v>
      </c>
      <c r="C59" s="3">
        <f t="shared" si="9"/>
        <v>505843.50494508183</v>
      </c>
      <c r="D59" s="5">
        <f t="shared" si="10"/>
        <v>-0.29218342690728605</v>
      </c>
      <c r="E59" s="6">
        <f t="shared" si="11"/>
        <v>5.776162470228963E-7</v>
      </c>
      <c r="F59" s="6">
        <f t="shared" si="12"/>
        <v>1.0000005776162471</v>
      </c>
      <c r="G59" s="55">
        <v>12538.228828903641</v>
      </c>
      <c r="H59" s="56">
        <v>21150.574529714282</v>
      </c>
      <c r="I59" s="56">
        <v>95488.834173411393</v>
      </c>
      <c r="J59" s="56">
        <v>133499.88998904213</v>
      </c>
      <c r="K59" s="56">
        <v>10296.900292908411</v>
      </c>
      <c r="L59" s="56">
        <v>7607.9323714696329</v>
      </c>
      <c r="M59" s="56">
        <v>0</v>
      </c>
      <c r="N59" s="56">
        <v>7535.3432859606919</v>
      </c>
      <c r="O59" s="56">
        <v>28550.706591823906</v>
      </c>
      <c r="P59" s="56">
        <v>4398.2240814897386</v>
      </c>
      <c r="Q59" s="56">
        <v>4697.7644684979414</v>
      </c>
      <c r="R59" s="56">
        <v>4567.8328158550703</v>
      </c>
      <c r="S59" s="56">
        <v>17569.198478767772</v>
      </c>
      <c r="T59" s="56">
        <v>7741.0157073052314</v>
      </c>
      <c r="U59" s="56">
        <v>18034.824540266636</v>
      </c>
      <c r="V59" s="56">
        <v>8203.2692670437209</v>
      </c>
      <c r="W59" s="56">
        <v>17990.992054589431</v>
      </c>
      <c r="X59" s="56">
        <v>15904.226478736926</v>
      </c>
      <c r="Y59" s="56">
        <v>9648.1955644179725</v>
      </c>
      <c r="Z59" s="56">
        <v>43200.221894796086</v>
      </c>
      <c r="AA59" s="56">
        <v>5317.0200298308519</v>
      </c>
      <c r="AB59" s="56">
        <v>27277.296098262817</v>
      </c>
      <c r="AC59" s="56">
        <v>5096.4333464637739</v>
      </c>
      <c r="AD59" s="56">
        <v>5520.2140956028243</v>
      </c>
      <c r="AE59" s="57">
        <v>934.24673306810257</v>
      </c>
      <c r="AF59" s="42">
        <f>IFERROR(_xlfn.XLOOKUP(AF$7,'Product Tgt'!$B:$B,'Product Tgt'!$G:$G)*G59/G$60,0)</f>
        <v>12630.804014682055</v>
      </c>
      <c r="AG59" s="42">
        <f>IFERROR(_xlfn.XLOOKUP(AG$7,'Product Tgt'!$B:$B,'Product Tgt'!$G:$G)*H59/H$60,0)</f>
        <v>21654.954540493614</v>
      </c>
      <c r="AH59" s="42">
        <f>IFERROR(_xlfn.XLOOKUP(AH$7,'Product Tgt'!$B:$B,'Product Tgt'!$G:$G)*I59/I$60,0)</f>
        <v>95360.682948252055</v>
      </c>
      <c r="AI59" s="42">
        <f>IFERROR(_xlfn.XLOOKUP(AI$7,'Product Tgt'!$B:$B,'Product Tgt'!$G:$G)*J59/J$60,0)</f>
        <v>132925.23583697851</v>
      </c>
      <c r="AJ59" s="42">
        <f>IFERROR(_xlfn.XLOOKUP(AJ$7,'Product Tgt'!$B:$B,'Product Tgt'!$G:$G)*K59/K$60,0)</f>
        <v>10127.907238341759</v>
      </c>
      <c r="AK59" s="42">
        <f>IFERROR(_xlfn.XLOOKUP(AK$7,'Product Tgt'!$B:$B,'Product Tgt'!$G:$G)*L59/L$60,0)</f>
        <v>7829.9037648771809</v>
      </c>
      <c r="AL59" s="42">
        <f>IFERROR(_xlfn.XLOOKUP(AL$7,'Product Tgt'!$B:$B,'Product Tgt'!$G:$G)*M59/M$60,0)</f>
        <v>0</v>
      </c>
      <c r="AM59" s="42">
        <f>IFERROR(_xlfn.XLOOKUP(AM$7,'Product Tgt'!$B:$B,'Product Tgt'!$G:$G)*N59/N$60,0)</f>
        <v>7485.0631955210192</v>
      </c>
      <c r="AN59" s="42">
        <f>IFERROR(_xlfn.XLOOKUP(AN$7,'Product Tgt'!$B:$B,'Product Tgt'!$G:$G)*O59/O$60,0)</f>
        <v>31138.01538456147</v>
      </c>
      <c r="AO59" s="42">
        <f>IFERROR(_xlfn.XLOOKUP(AO$7,'Product Tgt'!$B:$B,'Product Tgt'!$G:$G)*P59/P$60,0)</f>
        <v>4217.1116146759696</v>
      </c>
      <c r="AP59" s="42">
        <f>IFERROR(_xlfn.XLOOKUP(AP$7,'Product Tgt'!$B:$B,'Product Tgt'!$G:$G)*Q59/Q$60,0)</f>
        <v>3571.0051793918233</v>
      </c>
      <c r="AQ59" s="42">
        <f>IFERROR(_xlfn.XLOOKUP(AQ$7,'Product Tgt'!$B:$B,'Product Tgt'!$G:$G)*R59/R$60,0)</f>
        <v>3811.3929470137923</v>
      </c>
      <c r="AR59" s="42">
        <f>IFERROR(_xlfn.XLOOKUP(AR$7,'Product Tgt'!$B:$B,'Product Tgt'!$G:$G)*S59/S$60,0)</f>
        <v>17014.72715975286</v>
      </c>
      <c r="AS59" s="42">
        <f>IFERROR(_xlfn.XLOOKUP(AS$7,'Product Tgt'!$B:$B,'Product Tgt'!$G:$G)*T59/T$60,0)</f>
        <v>7027.0376038082168</v>
      </c>
      <c r="AT59" s="42">
        <f>IFERROR(_xlfn.XLOOKUP(AT$7,'Product Tgt'!$B:$B,'Product Tgt'!$G:$G)*U59/U$60,0)</f>
        <v>15399.764261262357</v>
      </c>
      <c r="AU59" s="42">
        <f>IFERROR(_xlfn.XLOOKUP(AU$7,'Product Tgt'!$B:$B,'Product Tgt'!$G:$G)*V59/V$60,0)</f>
        <v>8644.089785215745</v>
      </c>
      <c r="AV59" s="42">
        <f>IFERROR(_xlfn.XLOOKUP(AV$7,'Product Tgt'!$B:$B,'Product Tgt'!$G:$G)*W59/W$60,0)</f>
        <v>17342.22750601418</v>
      </c>
      <c r="AW59" s="42">
        <f>IFERROR(_xlfn.XLOOKUP(AW$7,'Product Tgt'!$B:$B,'Product Tgt'!$G:$G)*X59/X$60,0)</f>
        <v>16406.619199699009</v>
      </c>
      <c r="AX59" s="42">
        <f>IFERROR(_xlfn.XLOOKUP(AX$7,'Product Tgt'!$B:$B,'Product Tgt'!$G:$G)*Y59/Y$60,0)</f>
        <v>9285.1436790691514</v>
      </c>
      <c r="AY59" s="42">
        <f>IFERROR(_xlfn.XLOOKUP(AY$7,'Product Tgt'!$B:$B,'Product Tgt'!$G:$G)*Z59/Z$60,0)</f>
        <v>41606.678449058134</v>
      </c>
      <c r="AZ59" s="42">
        <f>IFERROR(_xlfn.XLOOKUP(AZ$7,'Product Tgt'!$B:$B,'Product Tgt'!$G:$G)*AA59/AA$60,0)</f>
        <v>5314.1547405951669</v>
      </c>
      <c r="BA59" s="42">
        <f>IFERROR(_xlfn.XLOOKUP(BA$7,'Product Tgt'!$B:$B,'Product Tgt'!$G:$G)*AB59/AB$60,0)</f>
        <v>25478.712940040456</v>
      </c>
      <c r="BB59" s="42">
        <f>IFERROR(_xlfn.XLOOKUP(BB$7,'Product Tgt'!$B:$B,'Product Tgt'!$G:$G)*AC59/AC$60,0)</f>
        <v>5105.8659954797076</v>
      </c>
      <c r="BC59" s="42">
        <f>IFERROR(_xlfn.XLOOKUP(BC$7,'Product Tgt'!$B:$B,'Product Tgt'!$G:$G)*AD59/AD$60,0)</f>
        <v>5530.4310921800015</v>
      </c>
      <c r="BD59" s="42">
        <f>IFERROR(_xlfn.XLOOKUP(BD$7,'Product Tgt'!$B:$B,'Product Tgt'!$G:$G)*AE59/AE$60,0)</f>
        <v>935.97586811770088</v>
      </c>
    </row>
    <row r="60" spans="1:78" ht="15.75" thickBot="1" x14ac:dyDescent="0.3">
      <c r="B60" s="5">
        <f>SUM(B8:B59)</f>
        <v>22152845.527466279</v>
      </c>
      <c r="C60" s="5">
        <f>SUM(C8:C59)</f>
        <v>22152845.527466275</v>
      </c>
      <c r="D60" s="5">
        <f>SUM(D8:D59)</f>
        <v>-1.8917489796876907E-9</v>
      </c>
      <c r="G60" s="52">
        <f>SUM(G8:G59)</f>
        <v>788177.54308363399</v>
      </c>
      <c r="H60" s="53">
        <f t="shared" ref="H60:AE60" si="13">SUM(H8:H59)</f>
        <v>1142711.2428904555</v>
      </c>
      <c r="I60" s="53">
        <f t="shared" si="13"/>
        <v>4747179.1734483037</v>
      </c>
      <c r="J60" s="53">
        <f t="shared" si="13"/>
        <v>5768343.4418047518</v>
      </c>
      <c r="K60" s="53">
        <f t="shared" si="13"/>
        <v>739133.5228468097</v>
      </c>
      <c r="L60" s="53">
        <f t="shared" si="13"/>
        <v>361743.94647333724</v>
      </c>
      <c r="M60" s="53">
        <f t="shared" si="13"/>
        <v>39883.783708335795</v>
      </c>
      <c r="N60" s="53">
        <f t="shared" si="13"/>
        <v>218721.23229438902</v>
      </c>
      <c r="O60" s="53">
        <f t="shared" si="13"/>
        <v>626671.97508036159</v>
      </c>
      <c r="P60" s="53">
        <f t="shared" si="13"/>
        <v>118836.51473040084</v>
      </c>
      <c r="Q60" s="53">
        <f t="shared" si="13"/>
        <v>118345.07942608181</v>
      </c>
      <c r="R60" s="53">
        <f t="shared" si="13"/>
        <v>134392.18447760661</v>
      </c>
      <c r="S60" s="53">
        <f t="shared" si="13"/>
        <v>1011444.6189312465</v>
      </c>
      <c r="T60" s="53">
        <f t="shared" si="13"/>
        <v>321595.30160329997</v>
      </c>
      <c r="U60" s="53">
        <f t="shared" si="13"/>
        <v>957915.58252162277</v>
      </c>
      <c r="V60" s="53">
        <f t="shared" si="13"/>
        <v>262088.12452327559</v>
      </c>
      <c r="W60" s="53">
        <f t="shared" si="13"/>
        <v>778961.76724292536</v>
      </c>
      <c r="X60" s="53">
        <f t="shared" si="13"/>
        <v>802519.8961699605</v>
      </c>
      <c r="Y60" s="53">
        <f t="shared" si="13"/>
        <v>303788.24583889754</v>
      </c>
      <c r="Z60" s="53">
        <f t="shared" si="13"/>
        <v>1632402.570740713</v>
      </c>
      <c r="AA60" s="53">
        <f t="shared" si="13"/>
        <v>202549.15172425087</v>
      </c>
      <c r="AB60" s="53">
        <f t="shared" si="13"/>
        <v>776848.03105562716</v>
      </c>
      <c r="AC60" s="53">
        <f t="shared" si="13"/>
        <v>269366.51492585079</v>
      </c>
      <c r="AD60" s="53">
        <f t="shared" si="13"/>
        <v>291764.99161101296</v>
      </c>
      <c r="AE60" s="54">
        <f t="shared" si="13"/>
        <v>49378.608422698278</v>
      </c>
    </row>
    <row r="61" spans="1:78" ht="15.75" thickTop="1" x14ac:dyDescent="0.25"/>
    <row r="62" spans="1:78" x14ac:dyDescent="0.25">
      <c r="C6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2" sqref="C2"/>
    </sheetView>
  </sheetViews>
  <sheetFormatPr defaultRowHeight="15" x14ac:dyDescent="0.25"/>
  <cols>
    <col min="1" max="1" width="9.140625" bestFit="1" customWidth="1"/>
    <col min="2" max="2" width="10.85546875" bestFit="1" customWidth="1"/>
    <col min="3" max="3" width="24.28515625" bestFit="1" customWidth="1"/>
    <col min="4" max="4" width="6.85546875" bestFit="1" customWidth="1"/>
    <col min="5" max="5" width="6.140625" bestFit="1" customWidth="1"/>
    <col min="6" max="6" width="9.7109375" bestFit="1" customWidth="1"/>
    <col min="7" max="7" width="14.28515625" bestFit="1" customWidth="1"/>
    <col min="8" max="8" width="10.85546875" bestFit="1" customWidth="1"/>
    <col min="9" max="9" width="9.5703125" bestFit="1" customWidth="1"/>
    <col min="10" max="10" width="14.28515625" bestFit="1" customWidth="1"/>
  </cols>
  <sheetData>
    <row r="1" spans="1:10" x14ac:dyDescent="0.25">
      <c r="A1" s="29" t="s">
        <v>114</v>
      </c>
      <c r="B1" s="29" t="s">
        <v>115</v>
      </c>
      <c r="C1" s="29" t="s">
        <v>116</v>
      </c>
      <c r="D1" s="29" t="s">
        <v>1</v>
      </c>
      <c r="E1" s="29" t="s">
        <v>0</v>
      </c>
      <c r="F1" s="29" t="s">
        <v>117</v>
      </c>
      <c r="G1" s="29" t="s">
        <v>190</v>
      </c>
      <c r="H1" s="38" t="s">
        <v>175</v>
      </c>
    </row>
    <row r="2" spans="1:10" x14ac:dyDescent="0.25">
      <c r="A2" s="31" t="s">
        <v>103</v>
      </c>
      <c r="B2" s="31">
        <v>542</v>
      </c>
      <c r="C2" s="31" t="s">
        <v>28</v>
      </c>
      <c r="D2" s="31">
        <v>60.38</v>
      </c>
      <c r="E2" s="31" t="s">
        <v>26</v>
      </c>
      <c r="F2" s="31" t="s">
        <v>25</v>
      </c>
      <c r="G2" s="39">
        <v>793997</v>
      </c>
      <c r="H2" s="5">
        <f>G2/D2</f>
        <v>13150</v>
      </c>
      <c r="I2" s="61">
        <f>_xlfn.XLOOKUP($B2,SYK_SORT!$B$2:$Z$2,SYK_SORT!$B$2:$Z$2)</f>
        <v>542</v>
      </c>
      <c r="J2" s="37"/>
    </row>
    <row r="3" spans="1:10" x14ac:dyDescent="0.25">
      <c r="A3" s="31" t="s">
        <v>103</v>
      </c>
      <c r="B3" s="31">
        <v>543</v>
      </c>
      <c r="C3" s="31" t="s">
        <v>29</v>
      </c>
      <c r="D3" s="31">
        <v>225.6</v>
      </c>
      <c r="E3" s="31" t="s">
        <v>26</v>
      </c>
      <c r="F3" s="31" t="s">
        <v>25</v>
      </c>
      <c r="G3" s="39">
        <v>1169961.6000000001</v>
      </c>
      <c r="H3" s="5">
        <f t="shared" ref="H3:H26" si="0">G3/D3</f>
        <v>5186.0000000000009</v>
      </c>
      <c r="I3" s="61">
        <f>_xlfn.XLOOKUP($B3,SYK_SORT!$B$2:$Z$2,SYK_SORT!$B$2:$Z$2)</f>
        <v>543</v>
      </c>
      <c r="J3" s="37"/>
    </row>
    <row r="4" spans="1:10" x14ac:dyDescent="0.25">
      <c r="A4" s="31" t="s">
        <v>103</v>
      </c>
      <c r="B4" s="31">
        <v>545</v>
      </c>
      <c r="C4" s="31" t="s">
        <v>30</v>
      </c>
      <c r="D4" s="31">
        <v>360.6</v>
      </c>
      <c r="E4" s="31" t="s">
        <v>26</v>
      </c>
      <c r="F4" s="31" t="s">
        <v>25</v>
      </c>
      <c r="G4" s="39">
        <v>4740808.2</v>
      </c>
      <c r="H4" s="5">
        <f t="shared" si="0"/>
        <v>13147</v>
      </c>
      <c r="I4" s="61">
        <f>_xlfn.XLOOKUP($B4,SYK_SORT!$B$2:$Z$2,SYK_SORT!$B$2:$Z$2)</f>
        <v>545</v>
      </c>
      <c r="J4" s="37"/>
    </row>
    <row r="5" spans="1:10" x14ac:dyDescent="0.25">
      <c r="A5" s="31" t="s">
        <v>103</v>
      </c>
      <c r="B5" s="31">
        <v>547</v>
      </c>
      <c r="C5" s="31" t="s">
        <v>31</v>
      </c>
      <c r="D5" s="31">
        <v>433.44</v>
      </c>
      <c r="E5" s="31" t="s">
        <v>26</v>
      </c>
      <c r="F5" s="31" t="s">
        <v>25</v>
      </c>
      <c r="G5" s="39">
        <v>5743513.4400000004</v>
      </c>
      <c r="H5" s="5">
        <f t="shared" si="0"/>
        <v>13251.000000000002</v>
      </c>
      <c r="I5" s="61">
        <f>_xlfn.XLOOKUP($B5,SYK_SORT!$B$2:$Z$2,SYK_SORT!$B$2:$Z$2)</f>
        <v>547</v>
      </c>
      <c r="J5" s="37"/>
    </row>
    <row r="6" spans="1:10" x14ac:dyDescent="0.25">
      <c r="A6" s="31" t="s">
        <v>104</v>
      </c>
      <c r="B6" s="31">
        <v>552</v>
      </c>
      <c r="C6" s="31" t="s">
        <v>111</v>
      </c>
      <c r="D6" s="31">
        <v>157.41999999999999</v>
      </c>
      <c r="E6" s="31" t="s">
        <v>26</v>
      </c>
      <c r="F6" s="31" t="s">
        <v>25</v>
      </c>
      <c r="G6" s="39">
        <v>372298.3</v>
      </c>
      <c r="H6" s="5">
        <f t="shared" si="0"/>
        <v>2365</v>
      </c>
      <c r="I6" s="61">
        <f>_xlfn.XLOOKUP($B6,SYK_SORT!$B$2:$Z$2,SYK_SORT!$B$2:$Z$2)</f>
        <v>552</v>
      </c>
      <c r="J6" s="37"/>
    </row>
    <row r="7" spans="1:10" x14ac:dyDescent="0.25">
      <c r="A7" s="31" t="s">
        <v>104</v>
      </c>
      <c r="B7" s="31">
        <v>551</v>
      </c>
      <c r="C7" s="31" t="s">
        <v>32</v>
      </c>
      <c r="D7" s="31">
        <v>269.86</v>
      </c>
      <c r="E7" s="31" t="s">
        <v>26</v>
      </c>
      <c r="F7" s="31" t="s">
        <v>25</v>
      </c>
      <c r="G7" s="39">
        <v>727002.84000000008</v>
      </c>
      <c r="H7" s="5">
        <f t="shared" si="0"/>
        <v>2694</v>
      </c>
      <c r="I7" s="61">
        <f>_xlfn.XLOOKUP($B7,SYK_SORT!$B$2:$Z$2,SYK_SORT!$B$2:$Z$2)</f>
        <v>551</v>
      </c>
      <c r="J7" s="37"/>
    </row>
    <row r="8" spans="1:10" x14ac:dyDescent="0.25">
      <c r="A8" s="31" t="s">
        <v>105</v>
      </c>
      <c r="B8" s="31">
        <v>578</v>
      </c>
      <c r="C8" s="31" t="s">
        <v>34</v>
      </c>
      <c r="D8" s="31">
        <v>225.56</v>
      </c>
      <c r="E8" s="31" t="s">
        <v>26</v>
      </c>
      <c r="F8" s="31" t="s">
        <v>25</v>
      </c>
      <c r="G8" s="39">
        <v>39924.119999999995</v>
      </c>
      <c r="H8" s="5">
        <f t="shared" si="0"/>
        <v>176.99999999999997</v>
      </c>
      <c r="I8" s="61">
        <f>_xlfn.XLOOKUP($B8,SYK_SORT!$B$2:$Z$2,SYK_SORT!$B$2:$Z$2)</f>
        <v>578</v>
      </c>
      <c r="J8" s="37"/>
    </row>
    <row r="9" spans="1:10" x14ac:dyDescent="0.25">
      <c r="A9" s="31" t="s">
        <v>106</v>
      </c>
      <c r="B9" s="31">
        <v>596</v>
      </c>
      <c r="C9" s="31" t="s">
        <v>112</v>
      </c>
      <c r="D9" s="31">
        <v>360.9</v>
      </c>
      <c r="E9" s="31" t="s">
        <v>26</v>
      </c>
      <c r="F9" s="31" t="s">
        <v>25</v>
      </c>
      <c r="G9" s="39">
        <v>217261.8</v>
      </c>
      <c r="H9" s="5">
        <f t="shared" si="0"/>
        <v>602</v>
      </c>
      <c r="I9" s="61">
        <f>_xlfn.XLOOKUP($B9,SYK_SORT!$B$2:$Z$2,SYK_SORT!$B$2:$Z$2)</f>
        <v>596</v>
      </c>
      <c r="J9" s="37"/>
    </row>
    <row r="10" spans="1:10" x14ac:dyDescent="0.25">
      <c r="A10" s="31" t="s">
        <v>106</v>
      </c>
      <c r="B10" s="31">
        <v>598</v>
      </c>
      <c r="C10" s="31" t="s">
        <v>113</v>
      </c>
      <c r="D10" s="31">
        <v>451.13</v>
      </c>
      <c r="E10" s="31" t="s">
        <v>26</v>
      </c>
      <c r="F10" s="31" t="s">
        <v>25</v>
      </c>
      <c r="G10" s="39">
        <v>683461.95</v>
      </c>
      <c r="H10" s="5">
        <f t="shared" si="0"/>
        <v>1515</v>
      </c>
      <c r="I10" s="61">
        <f>_xlfn.XLOOKUP($B10,SYK_SORT!$B$2:$Z$2,SYK_SORT!$B$2:$Z$2)</f>
        <v>598</v>
      </c>
      <c r="J10" s="37"/>
    </row>
    <row r="11" spans="1:10" x14ac:dyDescent="0.25">
      <c r="A11" s="31" t="s">
        <v>106</v>
      </c>
      <c r="B11" s="31">
        <v>597</v>
      </c>
      <c r="C11" s="31" t="s">
        <v>27</v>
      </c>
      <c r="D11" s="31">
        <v>299.85000000000002</v>
      </c>
      <c r="E11" s="31" t="s">
        <v>26</v>
      </c>
      <c r="F11" s="31" t="s">
        <v>25</v>
      </c>
      <c r="G11" s="39">
        <v>113943.00000000001</v>
      </c>
      <c r="H11" s="5">
        <f t="shared" si="0"/>
        <v>380</v>
      </c>
      <c r="I11" s="61">
        <f>_xlfn.XLOOKUP($B11,SYK_SORT!$B$2:$Z$2,SYK_SORT!$B$2:$Z$2)</f>
        <v>597</v>
      </c>
      <c r="J11" s="37"/>
    </row>
    <row r="12" spans="1:10" x14ac:dyDescent="0.25">
      <c r="A12" s="31" t="s">
        <v>107</v>
      </c>
      <c r="B12" s="31">
        <v>636</v>
      </c>
      <c r="C12" s="31" t="s">
        <v>39</v>
      </c>
      <c r="D12" s="31">
        <v>226.32</v>
      </c>
      <c r="E12" s="31" t="s">
        <v>26</v>
      </c>
      <c r="F12" s="31" t="s">
        <v>25</v>
      </c>
      <c r="G12" s="39">
        <v>817954.95820247673</v>
      </c>
      <c r="H12" s="5">
        <f t="shared" si="0"/>
        <v>3614.1523427115444</v>
      </c>
      <c r="I12" s="61">
        <f>_xlfn.XLOOKUP($B12,SYK_SORT!$B$2:$Z$2,SYK_SORT!$B$2:$Z$2)</f>
        <v>636</v>
      </c>
      <c r="J12" s="37"/>
    </row>
    <row r="13" spans="1:10" x14ac:dyDescent="0.25">
      <c r="A13" s="31" t="s">
        <v>107</v>
      </c>
      <c r="B13" s="31">
        <v>634</v>
      </c>
      <c r="C13" s="31" t="s">
        <v>37</v>
      </c>
      <c r="D13" s="31">
        <v>226.47</v>
      </c>
      <c r="E13" s="31" t="s">
        <v>26</v>
      </c>
      <c r="F13" s="31" t="s">
        <v>25</v>
      </c>
      <c r="G13" s="39">
        <v>979524.15126466018</v>
      </c>
      <c r="H13" s="5">
        <f t="shared" si="0"/>
        <v>4325.1828112538533</v>
      </c>
      <c r="I13" s="61">
        <f>_xlfn.XLOOKUP($B13,SYK_SORT!$B$2:$Z$2,SYK_SORT!$B$2:$Z$2)</f>
        <v>634</v>
      </c>
      <c r="J13" s="37"/>
    </row>
    <row r="14" spans="1:10" x14ac:dyDescent="0.25">
      <c r="A14" s="31" t="s">
        <v>107</v>
      </c>
      <c r="B14" s="31">
        <v>635</v>
      </c>
      <c r="C14" s="31" t="s">
        <v>38</v>
      </c>
      <c r="D14" s="31">
        <v>406.01</v>
      </c>
      <c r="E14" s="31" t="s">
        <v>26</v>
      </c>
      <c r="F14" s="31" t="s">
        <v>25</v>
      </c>
      <c r="G14" s="39">
        <v>291933.56053286284</v>
      </c>
      <c r="H14" s="5">
        <f t="shared" si="0"/>
        <v>719.03046854230888</v>
      </c>
      <c r="I14" s="61">
        <f>_xlfn.XLOOKUP($B14,SYK_SORT!$B$2:$Z$2,SYK_SORT!$B$2:$Z$2)</f>
        <v>635</v>
      </c>
      <c r="J14" s="37"/>
    </row>
    <row r="15" spans="1:10" x14ac:dyDescent="0.25">
      <c r="A15" s="31" t="s">
        <v>108</v>
      </c>
      <c r="B15" s="31">
        <v>666</v>
      </c>
      <c r="C15" s="31" t="s">
        <v>41</v>
      </c>
      <c r="D15" s="31">
        <v>113</v>
      </c>
      <c r="E15" s="31" t="s">
        <v>26</v>
      </c>
      <c r="F15" s="31" t="s">
        <v>25</v>
      </c>
      <c r="G15" s="39">
        <v>276172</v>
      </c>
      <c r="H15" s="5">
        <f t="shared" si="0"/>
        <v>2444</v>
      </c>
      <c r="I15" s="61">
        <f>_xlfn.XLOOKUP($B15,SYK_SORT!$B$2:$Z$2,SYK_SORT!$B$2:$Z$2)</f>
        <v>666</v>
      </c>
      <c r="J15" s="37"/>
    </row>
    <row r="16" spans="1:10" x14ac:dyDescent="0.25">
      <c r="A16" s="31" t="s">
        <v>108</v>
      </c>
      <c r="B16" s="31">
        <v>667</v>
      </c>
      <c r="C16" s="31" t="s">
        <v>42</v>
      </c>
      <c r="D16" s="31">
        <v>188</v>
      </c>
      <c r="E16" s="31" t="s">
        <v>26</v>
      </c>
      <c r="F16" s="31" t="s">
        <v>25</v>
      </c>
      <c r="G16" s="39">
        <v>750872</v>
      </c>
      <c r="H16" s="5">
        <f t="shared" si="0"/>
        <v>3994</v>
      </c>
      <c r="I16" s="61">
        <f>_xlfn.XLOOKUP($B16,SYK_SORT!$B$2:$Z$2,SYK_SORT!$B$2:$Z$2)</f>
        <v>667</v>
      </c>
      <c r="J16" s="37"/>
    </row>
    <row r="17" spans="1:10" x14ac:dyDescent="0.25">
      <c r="A17" s="31" t="s">
        <v>108</v>
      </c>
      <c r="B17" s="31">
        <v>668</v>
      </c>
      <c r="C17" s="31" t="s">
        <v>43</v>
      </c>
      <c r="D17" s="31">
        <v>180.6</v>
      </c>
      <c r="E17" s="31" t="s">
        <v>26</v>
      </c>
      <c r="F17" s="31" t="s">
        <v>25</v>
      </c>
      <c r="G17" s="39">
        <v>827870.4</v>
      </c>
      <c r="H17" s="5">
        <f t="shared" si="0"/>
        <v>4584</v>
      </c>
      <c r="I17" s="61">
        <f>_xlfn.XLOOKUP($B17,SYK_SORT!$B$2:$Z$2,SYK_SORT!$B$2:$Z$2)</f>
        <v>668</v>
      </c>
      <c r="J17" s="37"/>
    </row>
    <row r="18" spans="1:10" x14ac:dyDescent="0.25">
      <c r="A18" s="31" t="s">
        <v>108</v>
      </c>
      <c r="B18" s="31">
        <v>665</v>
      </c>
      <c r="C18" s="31" t="s">
        <v>40</v>
      </c>
      <c r="D18" s="31">
        <v>224.89</v>
      </c>
      <c r="E18" s="31" t="s">
        <v>26</v>
      </c>
      <c r="F18" s="31" t="s">
        <v>25</v>
      </c>
      <c r="G18" s="39">
        <v>292357</v>
      </c>
      <c r="H18" s="5">
        <f t="shared" si="0"/>
        <v>1300</v>
      </c>
      <c r="I18" s="61">
        <f>_xlfn.XLOOKUP($B18,SYK_SORT!$B$2:$Z$2,SYK_SORT!$B$2:$Z$2)</f>
        <v>665</v>
      </c>
      <c r="J18" s="37"/>
    </row>
    <row r="19" spans="1:10" x14ac:dyDescent="0.25">
      <c r="A19" s="31" t="s">
        <v>109</v>
      </c>
      <c r="B19" s="31">
        <v>769</v>
      </c>
      <c r="C19" s="31" t="s">
        <v>46</v>
      </c>
      <c r="D19" s="31">
        <v>337.5</v>
      </c>
      <c r="E19" s="31" t="s">
        <v>26</v>
      </c>
      <c r="F19" s="31" t="s">
        <v>25</v>
      </c>
      <c r="G19" s="39">
        <v>725625</v>
      </c>
      <c r="H19" s="5">
        <f t="shared" si="0"/>
        <v>2150</v>
      </c>
      <c r="I19" s="61">
        <f>_xlfn.XLOOKUP($B19,SYK_SORT!$B$2:$Z$2,SYK_SORT!$B$2:$Z$2)</f>
        <v>769</v>
      </c>
    </row>
    <row r="20" spans="1:10" x14ac:dyDescent="0.25">
      <c r="A20" s="31" t="s">
        <v>109</v>
      </c>
      <c r="B20" s="31">
        <v>770</v>
      </c>
      <c r="C20" s="31" t="s">
        <v>44</v>
      </c>
      <c r="D20" s="31">
        <v>562.5</v>
      </c>
      <c r="E20" s="31" t="s">
        <v>26</v>
      </c>
      <c r="F20" s="31" t="s">
        <v>25</v>
      </c>
      <c r="G20" s="39">
        <v>1572187.5</v>
      </c>
      <c r="H20" s="5">
        <f t="shared" si="0"/>
        <v>2795</v>
      </c>
      <c r="I20" s="61">
        <f>_xlfn.XLOOKUP($B20,SYK_SORT!$B$2:$Z$2,SYK_SORT!$B$2:$Z$2)</f>
        <v>770</v>
      </c>
    </row>
    <row r="21" spans="1:10" x14ac:dyDescent="0.25">
      <c r="A21" s="31" t="s">
        <v>109</v>
      </c>
      <c r="B21" s="31">
        <v>771</v>
      </c>
      <c r="C21" s="31" t="s">
        <v>45</v>
      </c>
      <c r="D21" s="31">
        <v>674.8</v>
      </c>
      <c r="E21" s="31" t="s">
        <v>26</v>
      </c>
      <c r="F21" s="31" t="s">
        <v>25</v>
      </c>
      <c r="G21" s="39">
        <v>202440</v>
      </c>
      <c r="H21" s="5">
        <f t="shared" si="0"/>
        <v>300</v>
      </c>
      <c r="I21" s="61">
        <f>_xlfn.XLOOKUP($B21,SYK_SORT!$B$2:$Z$2,SYK_SORT!$B$2:$Z$2)</f>
        <v>771</v>
      </c>
    </row>
    <row r="22" spans="1:10" x14ac:dyDescent="0.25">
      <c r="A22" s="31" t="s">
        <v>106</v>
      </c>
      <c r="B22" s="31">
        <v>788</v>
      </c>
      <c r="C22" s="31" t="s">
        <v>118</v>
      </c>
      <c r="D22" s="31">
        <v>449.8</v>
      </c>
      <c r="E22" s="31" t="s">
        <v>26</v>
      </c>
      <c r="F22" s="31" t="s">
        <v>25</v>
      </c>
      <c r="G22" s="39">
        <v>89960</v>
      </c>
      <c r="H22" s="5">
        <f t="shared" si="0"/>
        <v>200</v>
      </c>
      <c r="I22" s="61">
        <f>_xlfn.XLOOKUP($B22,SYK_SORT!$B$2:$Z$2,SYK_SORT!$B$2:$Z$2)</f>
        <v>788</v>
      </c>
    </row>
    <row r="23" spans="1:10" x14ac:dyDescent="0.25">
      <c r="A23" s="31" t="s">
        <v>106</v>
      </c>
      <c r="B23" s="31">
        <v>789</v>
      </c>
      <c r="C23" s="31" t="s">
        <v>119</v>
      </c>
      <c r="D23" s="31">
        <v>341.88</v>
      </c>
      <c r="E23" s="31" t="s">
        <v>26</v>
      </c>
      <c r="F23" s="31" t="s">
        <v>25</v>
      </c>
      <c r="G23" s="39">
        <v>112136.64</v>
      </c>
      <c r="H23" s="5">
        <f t="shared" si="0"/>
        <v>328</v>
      </c>
      <c r="I23" s="61">
        <f>_xlfn.XLOOKUP($B23,SYK_SORT!$B$2:$Z$2,SYK_SORT!$B$2:$Z$2)</f>
        <v>789</v>
      </c>
    </row>
    <row r="24" spans="1:10" x14ac:dyDescent="0.25">
      <c r="A24" s="31" t="s">
        <v>191</v>
      </c>
      <c r="B24" s="31">
        <v>813</v>
      </c>
      <c r="C24" s="31" t="s">
        <v>192</v>
      </c>
      <c r="D24" s="31">
        <v>299.8500749625187</v>
      </c>
      <c r="E24" s="31" t="s">
        <v>26</v>
      </c>
      <c r="F24" s="31" t="s">
        <v>25</v>
      </c>
      <c r="G24" s="39">
        <v>269865.06746626686</v>
      </c>
      <c r="H24" s="5">
        <f t="shared" si="0"/>
        <v>900.00000000000011</v>
      </c>
      <c r="I24" s="61">
        <f>_xlfn.XLOOKUP($B24,SYK_SORT!$B$2:$Z$2,SYK_SORT!$B$2:$Z$2)</f>
        <v>813</v>
      </c>
    </row>
    <row r="25" spans="1:10" x14ac:dyDescent="0.25">
      <c r="A25" t="s">
        <v>191</v>
      </c>
      <c r="B25">
        <v>814</v>
      </c>
      <c r="C25" t="s">
        <v>193</v>
      </c>
      <c r="D25">
        <v>449.7</v>
      </c>
      <c r="E25" t="s">
        <v>26</v>
      </c>
      <c r="F25" t="s">
        <v>25</v>
      </c>
      <c r="G25" s="5">
        <v>292305</v>
      </c>
      <c r="H25" s="5">
        <f t="shared" si="0"/>
        <v>650</v>
      </c>
      <c r="I25" s="61">
        <f>_xlfn.XLOOKUP($B25,SYK_SORT!$B$2:$Z$2,SYK_SORT!$B$2:$Z$2)</f>
        <v>814</v>
      </c>
    </row>
    <row r="26" spans="1:10" x14ac:dyDescent="0.25">
      <c r="A26" t="s">
        <v>191</v>
      </c>
      <c r="B26">
        <v>815</v>
      </c>
      <c r="C26" t="s">
        <v>194</v>
      </c>
      <c r="D26">
        <v>329.8</v>
      </c>
      <c r="E26" t="s">
        <v>26</v>
      </c>
      <c r="F26" t="s">
        <v>25</v>
      </c>
      <c r="G26" s="3">
        <v>49470</v>
      </c>
      <c r="H26" s="5">
        <f t="shared" si="0"/>
        <v>150</v>
      </c>
      <c r="I26" s="61">
        <f>_xlfn.XLOOKUP($B26,SYK_SORT!$B$2:$Z$2,SYK_SORT!$B$2:$Z$2)</f>
        <v>815</v>
      </c>
    </row>
    <row r="27" spans="1:10" x14ac:dyDescent="0.25">
      <c r="G27" s="5">
        <f>SUM(G2:G26)</f>
        <v>22152845.527466267</v>
      </c>
    </row>
    <row r="28" spans="1:10" x14ac:dyDescent="0.25">
      <c r="G28">
        <v>22152845.527466275</v>
      </c>
    </row>
    <row r="29" spans="1:10" x14ac:dyDescent="0.25">
      <c r="G29" s="5">
        <f>G27-G28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F665-9C0D-49AF-9571-4F243577DEBE}">
  <dimension ref="A1:E54"/>
  <sheetViews>
    <sheetView zoomScale="80" zoomScaleNormal="80" workbookViewId="0">
      <selection activeCell="E1" sqref="E1"/>
    </sheetView>
  </sheetViews>
  <sheetFormatPr defaultRowHeight="15" x14ac:dyDescent="0.25"/>
  <cols>
    <col min="1" max="1" width="17.7109375" bestFit="1" customWidth="1"/>
    <col min="2" max="2" width="11.5703125" bestFit="1" customWidth="1"/>
    <col min="3" max="3" width="16.42578125" bestFit="1" customWidth="1"/>
    <col min="4" max="4" width="12.28515625" bestFit="1" customWidth="1"/>
    <col min="5" max="5" width="14" bestFit="1" customWidth="1"/>
  </cols>
  <sheetData>
    <row r="1" spans="1:5" x14ac:dyDescent="0.25">
      <c r="A1" s="29" t="s">
        <v>3</v>
      </c>
      <c r="B1" s="29" t="s">
        <v>120</v>
      </c>
      <c r="C1" s="29" t="s">
        <v>2</v>
      </c>
      <c r="D1" s="29" t="s">
        <v>168</v>
      </c>
      <c r="E1" s="29" t="s">
        <v>169</v>
      </c>
    </row>
    <row r="2" spans="1:5" x14ac:dyDescent="0.25">
      <c r="A2" s="31" t="s">
        <v>179</v>
      </c>
      <c r="B2" s="31" t="s">
        <v>184</v>
      </c>
      <c r="C2" s="31" t="s">
        <v>22</v>
      </c>
      <c r="D2" s="31" t="s">
        <v>187</v>
      </c>
      <c r="E2" s="30">
        <v>458787.33051606524</v>
      </c>
    </row>
    <row r="3" spans="1:5" x14ac:dyDescent="0.25">
      <c r="A3" s="31" t="s">
        <v>86</v>
      </c>
      <c r="B3" s="31" t="s">
        <v>150</v>
      </c>
      <c r="C3" s="31" t="s">
        <v>22</v>
      </c>
      <c r="D3" s="31" t="s">
        <v>187</v>
      </c>
      <c r="E3" s="30">
        <v>349169.74494742614</v>
      </c>
    </row>
    <row r="4" spans="1:5" x14ac:dyDescent="0.25">
      <c r="A4" s="31" t="s">
        <v>90</v>
      </c>
      <c r="B4" s="31" t="s">
        <v>151</v>
      </c>
      <c r="C4" s="31" t="s">
        <v>22</v>
      </c>
      <c r="D4" s="31" t="s">
        <v>187</v>
      </c>
      <c r="E4" s="30">
        <v>324797.38463777112</v>
      </c>
    </row>
    <row r="5" spans="1:5" x14ac:dyDescent="0.25">
      <c r="A5" s="31" t="s">
        <v>50</v>
      </c>
      <c r="B5" s="31" t="s">
        <v>134</v>
      </c>
      <c r="C5" s="31" t="s">
        <v>188</v>
      </c>
      <c r="D5" s="31" t="s">
        <v>187</v>
      </c>
      <c r="E5" s="30">
        <v>368041.70621789614</v>
      </c>
    </row>
    <row r="6" spans="1:5" x14ac:dyDescent="0.25">
      <c r="A6" s="31" t="s">
        <v>189</v>
      </c>
      <c r="B6" s="31" t="s">
        <v>195</v>
      </c>
      <c r="C6" s="31" t="s">
        <v>188</v>
      </c>
      <c r="D6" s="31" t="s">
        <v>187</v>
      </c>
      <c r="E6" s="30">
        <v>349147.3425080821</v>
      </c>
    </row>
    <row r="7" spans="1:5" x14ac:dyDescent="0.25">
      <c r="A7" s="31" t="s">
        <v>49</v>
      </c>
      <c r="B7" s="31" t="s">
        <v>129</v>
      </c>
      <c r="C7" s="31" t="s">
        <v>19</v>
      </c>
      <c r="D7" s="31" t="s">
        <v>187</v>
      </c>
      <c r="E7" s="30">
        <v>491068.85771679704</v>
      </c>
    </row>
    <row r="8" spans="1:5" x14ac:dyDescent="0.25">
      <c r="A8" s="31" t="s">
        <v>63</v>
      </c>
      <c r="B8" s="31" t="s">
        <v>130</v>
      </c>
      <c r="C8" s="31" t="s">
        <v>19</v>
      </c>
      <c r="D8" s="31" t="s">
        <v>187</v>
      </c>
      <c r="E8" s="30">
        <v>246203.87766082364</v>
      </c>
    </row>
    <row r="9" spans="1:5" x14ac:dyDescent="0.25">
      <c r="A9" s="31" t="s">
        <v>77</v>
      </c>
      <c r="B9" s="31" t="s">
        <v>152</v>
      </c>
      <c r="C9" s="31" t="s">
        <v>183</v>
      </c>
      <c r="D9" s="31" t="s">
        <v>187</v>
      </c>
      <c r="E9" s="30">
        <v>915961.211895947</v>
      </c>
    </row>
    <row r="10" spans="1:5" x14ac:dyDescent="0.25">
      <c r="A10" s="31" t="s">
        <v>80</v>
      </c>
      <c r="B10" s="31" t="s">
        <v>153</v>
      </c>
      <c r="C10" s="31" t="s">
        <v>183</v>
      </c>
      <c r="D10" s="31" t="s">
        <v>187</v>
      </c>
      <c r="E10" s="30">
        <v>811435.86531651893</v>
      </c>
    </row>
    <row r="11" spans="1:5" x14ac:dyDescent="0.25">
      <c r="A11" s="31" t="s">
        <v>76</v>
      </c>
      <c r="B11" s="31" t="s">
        <v>154</v>
      </c>
      <c r="C11" s="31" t="s">
        <v>182</v>
      </c>
      <c r="D11" s="31" t="s">
        <v>187</v>
      </c>
      <c r="E11" s="30">
        <v>327757.60412500752</v>
      </c>
    </row>
    <row r="12" spans="1:5" x14ac:dyDescent="0.25">
      <c r="A12" s="31" t="s">
        <v>78</v>
      </c>
      <c r="B12" s="31" t="s">
        <v>155</v>
      </c>
      <c r="C12" s="31" t="s">
        <v>182</v>
      </c>
      <c r="D12" s="31" t="s">
        <v>187</v>
      </c>
      <c r="E12" s="30">
        <v>552125.87741571153</v>
      </c>
    </row>
    <row r="13" spans="1:5" x14ac:dyDescent="0.25">
      <c r="A13" s="31" t="s">
        <v>79</v>
      </c>
      <c r="B13" s="31" t="s">
        <v>156</v>
      </c>
      <c r="C13" s="31" t="s">
        <v>182</v>
      </c>
      <c r="D13" s="31" t="s">
        <v>187</v>
      </c>
      <c r="E13" s="30">
        <v>402649.41904353077</v>
      </c>
    </row>
    <row r="14" spans="1:5" x14ac:dyDescent="0.25">
      <c r="A14" s="31" t="s">
        <v>75</v>
      </c>
      <c r="B14" s="31" t="s">
        <v>121</v>
      </c>
      <c r="C14" s="31" t="s">
        <v>4</v>
      </c>
      <c r="D14" s="31" t="s">
        <v>187</v>
      </c>
      <c r="E14" s="30">
        <v>384584.06570374599</v>
      </c>
    </row>
    <row r="15" spans="1:5" x14ac:dyDescent="0.25">
      <c r="A15" s="31" t="s">
        <v>81</v>
      </c>
      <c r="B15" s="31" t="s">
        <v>122</v>
      </c>
      <c r="C15" s="31" t="s">
        <v>4</v>
      </c>
      <c r="D15" s="31" t="s">
        <v>187</v>
      </c>
      <c r="E15" s="30">
        <v>468633.22689905332</v>
      </c>
    </row>
    <row r="16" spans="1:5" x14ac:dyDescent="0.25">
      <c r="A16" s="31" t="s">
        <v>82</v>
      </c>
      <c r="B16" s="31" t="s">
        <v>123</v>
      </c>
      <c r="C16" s="31" t="s">
        <v>4</v>
      </c>
      <c r="D16" s="31" t="s">
        <v>187</v>
      </c>
      <c r="E16" s="30">
        <v>555801.72188038658</v>
      </c>
    </row>
    <row r="17" spans="1:5" x14ac:dyDescent="0.25">
      <c r="A17" s="31" t="s">
        <v>181</v>
      </c>
      <c r="B17" s="31" t="s">
        <v>186</v>
      </c>
      <c r="C17" s="31" t="s">
        <v>4</v>
      </c>
      <c r="D17" s="31" t="s">
        <v>187</v>
      </c>
      <c r="E17" s="30">
        <v>332983.18192519946</v>
      </c>
    </row>
    <row r="18" spans="1:5" x14ac:dyDescent="0.25">
      <c r="A18" s="31" t="s">
        <v>84</v>
      </c>
      <c r="B18" s="31" t="s">
        <v>164</v>
      </c>
      <c r="C18" s="31" t="s">
        <v>23</v>
      </c>
      <c r="D18" s="31" t="s">
        <v>187</v>
      </c>
      <c r="E18" s="30">
        <v>308959.51208081766</v>
      </c>
    </row>
    <row r="19" spans="1:5" x14ac:dyDescent="0.25">
      <c r="A19" s="31" t="s">
        <v>88</v>
      </c>
      <c r="B19" s="31" t="s">
        <v>165</v>
      </c>
      <c r="C19" s="31" t="s">
        <v>23</v>
      </c>
      <c r="D19" s="31" t="s">
        <v>187</v>
      </c>
      <c r="E19" s="30">
        <v>377835.35696540237</v>
      </c>
    </row>
    <row r="20" spans="1:5" x14ac:dyDescent="0.25">
      <c r="A20" s="31" t="s">
        <v>92</v>
      </c>
      <c r="B20" s="31" t="s">
        <v>166</v>
      </c>
      <c r="C20" s="31" t="s">
        <v>23</v>
      </c>
      <c r="D20" s="31" t="s">
        <v>187</v>
      </c>
      <c r="E20" s="30">
        <v>475615.90384503361</v>
      </c>
    </row>
    <row r="21" spans="1:5" x14ac:dyDescent="0.25">
      <c r="A21" s="31" t="s">
        <v>93</v>
      </c>
      <c r="B21" s="31" t="s">
        <v>167</v>
      </c>
      <c r="C21" s="31" t="s">
        <v>23</v>
      </c>
      <c r="D21" s="31" t="s">
        <v>187</v>
      </c>
      <c r="E21" s="30">
        <v>448364.54399606719</v>
      </c>
    </row>
    <row r="22" spans="1:5" x14ac:dyDescent="0.25">
      <c r="A22" s="31" t="s">
        <v>72</v>
      </c>
      <c r="B22" s="31" t="s">
        <v>160</v>
      </c>
      <c r="C22" s="31" t="s">
        <v>21</v>
      </c>
      <c r="D22" s="31" t="s">
        <v>187</v>
      </c>
      <c r="E22" s="30">
        <v>190803.22919385767</v>
      </c>
    </row>
    <row r="23" spans="1:5" x14ac:dyDescent="0.25">
      <c r="A23" s="31" t="s">
        <v>73</v>
      </c>
      <c r="B23" s="31" t="s">
        <v>161</v>
      </c>
      <c r="C23" s="31" t="s">
        <v>21</v>
      </c>
      <c r="D23" s="31" t="s">
        <v>187</v>
      </c>
      <c r="E23" s="30">
        <v>367688.38101800304</v>
      </c>
    </row>
    <row r="24" spans="1:5" x14ac:dyDescent="0.25">
      <c r="A24" s="31" t="s">
        <v>74</v>
      </c>
      <c r="B24" s="31" t="s">
        <v>162</v>
      </c>
      <c r="C24" s="31" t="s">
        <v>21</v>
      </c>
      <c r="D24" s="31" t="s">
        <v>187</v>
      </c>
      <c r="E24" s="30">
        <v>407086.4721616552</v>
      </c>
    </row>
    <row r="25" spans="1:5" x14ac:dyDescent="0.25">
      <c r="A25" s="31" t="s">
        <v>83</v>
      </c>
      <c r="B25" s="31" t="s">
        <v>163</v>
      </c>
      <c r="C25" s="31" t="s">
        <v>21</v>
      </c>
      <c r="D25" s="31" t="s">
        <v>187</v>
      </c>
      <c r="E25" s="30">
        <v>320885.23094027053</v>
      </c>
    </row>
    <row r="26" spans="1:5" x14ac:dyDescent="0.25">
      <c r="A26" s="31" t="s">
        <v>53</v>
      </c>
      <c r="B26" s="31" t="s">
        <v>140</v>
      </c>
      <c r="C26" s="31" t="s">
        <v>48</v>
      </c>
      <c r="D26" s="31" t="s">
        <v>187</v>
      </c>
      <c r="E26" s="30">
        <v>483424.82271031069</v>
      </c>
    </row>
    <row r="27" spans="1:5" x14ac:dyDescent="0.25">
      <c r="A27" s="31" t="s">
        <v>64</v>
      </c>
      <c r="B27" s="31" t="s">
        <v>141</v>
      </c>
      <c r="C27" s="31" t="s">
        <v>48</v>
      </c>
      <c r="D27" s="31" t="s">
        <v>187</v>
      </c>
      <c r="E27" s="30">
        <v>544965.2574492374</v>
      </c>
    </row>
    <row r="28" spans="1:5" x14ac:dyDescent="0.25">
      <c r="A28" s="31" t="s">
        <v>71</v>
      </c>
      <c r="B28" s="31" t="s">
        <v>142</v>
      </c>
      <c r="C28" s="31" t="s">
        <v>48</v>
      </c>
      <c r="D28" s="31" t="s">
        <v>187</v>
      </c>
      <c r="E28" s="30">
        <v>505843.79712850874</v>
      </c>
    </row>
    <row r="29" spans="1:5" x14ac:dyDescent="0.25">
      <c r="A29" s="31" t="s">
        <v>59</v>
      </c>
      <c r="B29" s="31" t="s">
        <v>143</v>
      </c>
      <c r="C29" s="31" t="s">
        <v>20</v>
      </c>
      <c r="D29" s="31" t="s">
        <v>187</v>
      </c>
      <c r="E29" s="30">
        <v>456722.86570509255</v>
      </c>
    </row>
    <row r="30" spans="1:5" x14ac:dyDescent="0.25">
      <c r="A30" s="31" t="s">
        <v>172</v>
      </c>
      <c r="B30" s="31" t="s">
        <v>176</v>
      </c>
      <c r="C30" s="31" t="s">
        <v>20</v>
      </c>
      <c r="D30" s="31" t="s">
        <v>187</v>
      </c>
      <c r="E30" s="30">
        <v>349197.14010537375</v>
      </c>
    </row>
    <row r="31" spans="1:5" x14ac:dyDescent="0.25">
      <c r="A31" s="31" t="s">
        <v>60</v>
      </c>
      <c r="B31" s="31" t="s">
        <v>144</v>
      </c>
      <c r="C31" s="31" t="s">
        <v>20</v>
      </c>
      <c r="D31" s="31" t="s">
        <v>187</v>
      </c>
      <c r="E31" s="30">
        <v>304829.03267498466</v>
      </c>
    </row>
    <row r="32" spans="1:5" x14ac:dyDescent="0.25">
      <c r="A32" s="31" t="s">
        <v>69</v>
      </c>
      <c r="B32" s="31" t="s">
        <v>145</v>
      </c>
      <c r="C32" s="31" t="s">
        <v>20</v>
      </c>
      <c r="D32" s="31" t="s">
        <v>187</v>
      </c>
      <c r="E32" s="30">
        <v>494335.59096599108</v>
      </c>
    </row>
    <row r="33" spans="1:5" x14ac:dyDescent="0.25">
      <c r="A33" s="31" t="s">
        <v>52</v>
      </c>
      <c r="B33" s="31" t="s">
        <v>135</v>
      </c>
      <c r="C33" s="31" t="s">
        <v>47</v>
      </c>
      <c r="D33" s="31" t="s">
        <v>187</v>
      </c>
      <c r="E33" s="30">
        <v>367998.04939641745</v>
      </c>
    </row>
    <row r="34" spans="1:5" x14ac:dyDescent="0.25">
      <c r="A34" s="31" t="s">
        <v>54</v>
      </c>
      <c r="B34" s="31" t="s">
        <v>136</v>
      </c>
      <c r="C34" s="31" t="s">
        <v>47</v>
      </c>
      <c r="D34" s="31" t="s">
        <v>187</v>
      </c>
      <c r="E34" s="30">
        <v>593396.5793447675</v>
      </c>
    </row>
    <row r="35" spans="1:5" x14ac:dyDescent="0.25">
      <c r="A35" s="31" t="s">
        <v>58</v>
      </c>
      <c r="B35" s="31" t="s">
        <v>137</v>
      </c>
      <c r="C35" s="31" t="s">
        <v>47</v>
      </c>
      <c r="D35" s="31" t="s">
        <v>187</v>
      </c>
      <c r="E35" s="30">
        <v>255506.65306615073</v>
      </c>
    </row>
    <row r="36" spans="1:5" x14ac:dyDescent="0.25">
      <c r="A36" s="31" t="s">
        <v>55</v>
      </c>
      <c r="B36" s="31" t="s">
        <v>138</v>
      </c>
      <c r="C36" s="31" t="s">
        <v>5</v>
      </c>
      <c r="D36" s="31" t="s">
        <v>187</v>
      </c>
      <c r="E36" s="30">
        <v>519959.40288273187</v>
      </c>
    </row>
    <row r="37" spans="1:5" x14ac:dyDescent="0.25">
      <c r="A37" s="31" t="s">
        <v>56</v>
      </c>
      <c r="B37" s="31" t="s">
        <v>139</v>
      </c>
      <c r="C37" s="31" t="s">
        <v>5</v>
      </c>
      <c r="D37" s="31" t="s">
        <v>187</v>
      </c>
      <c r="E37" s="30">
        <v>517463.24372232758</v>
      </c>
    </row>
    <row r="38" spans="1:5" x14ac:dyDescent="0.25">
      <c r="A38" s="31" t="s">
        <v>57</v>
      </c>
      <c r="B38" s="31" t="s">
        <v>146</v>
      </c>
      <c r="C38" s="31" t="s">
        <v>6</v>
      </c>
      <c r="D38" s="31" t="s">
        <v>187</v>
      </c>
      <c r="E38" s="30">
        <v>317490.10012954526</v>
      </c>
    </row>
    <row r="39" spans="1:5" x14ac:dyDescent="0.25">
      <c r="A39" s="31" t="s">
        <v>61</v>
      </c>
      <c r="B39" s="31" t="s">
        <v>147</v>
      </c>
      <c r="C39" s="31" t="s">
        <v>6</v>
      </c>
      <c r="D39" s="31" t="s">
        <v>187</v>
      </c>
      <c r="E39" s="30">
        <v>493963.14619969093</v>
      </c>
    </row>
    <row r="40" spans="1:5" x14ac:dyDescent="0.25">
      <c r="A40" s="31" t="s">
        <v>62</v>
      </c>
      <c r="B40" s="31" t="s">
        <v>148</v>
      </c>
      <c r="C40" s="31" t="s">
        <v>6</v>
      </c>
      <c r="D40" s="31" t="s">
        <v>187</v>
      </c>
      <c r="E40" s="30">
        <v>309246.57749646285</v>
      </c>
    </row>
    <row r="41" spans="1:5" x14ac:dyDescent="0.25">
      <c r="A41" s="31" t="s">
        <v>70</v>
      </c>
      <c r="B41" s="31" t="s">
        <v>149</v>
      </c>
      <c r="C41" s="31" t="s">
        <v>6</v>
      </c>
      <c r="D41" s="31" t="s">
        <v>187</v>
      </c>
      <c r="E41" s="30">
        <v>363051.34380156768</v>
      </c>
    </row>
    <row r="42" spans="1:5" x14ac:dyDescent="0.25">
      <c r="A42" s="31" t="s">
        <v>180</v>
      </c>
      <c r="B42" s="31" t="s">
        <v>185</v>
      </c>
      <c r="C42" s="31" t="s">
        <v>7</v>
      </c>
      <c r="D42" s="31" t="s">
        <v>187</v>
      </c>
      <c r="E42" s="30">
        <v>391562.72015087766</v>
      </c>
    </row>
    <row r="43" spans="1:5" x14ac:dyDescent="0.25">
      <c r="A43" s="31" t="s">
        <v>85</v>
      </c>
      <c r="B43" s="31" t="s">
        <v>157</v>
      </c>
      <c r="C43" s="31" t="s">
        <v>7</v>
      </c>
      <c r="D43" s="31" t="s">
        <v>187</v>
      </c>
      <c r="E43" s="30">
        <v>440755.65552801173</v>
      </c>
    </row>
    <row r="44" spans="1:5" x14ac:dyDescent="0.25">
      <c r="A44" s="31" t="s">
        <v>87</v>
      </c>
      <c r="B44" s="31" t="s">
        <v>158</v>
      </c>
      <c r="C44" s="31" t="s">
        <v>7</v>
      </c>
      <c r="D44" s="31" t="s">
        <v>187</v>
      </c>
      <c r="E44" s="30">
        <v>235866.95371795632</v>
      </c>
    </row>
    <row r="45" spans="1:5" x14ac:dyDescent="0.25">
      <c r="A45" s="31" t="s">
        <v>91</v>
      </c>
      <c r="B45" s="31" t="s">
        <v>159</v>
      </c>
      <c r="C45" s="31" t="s">
        <v>7</v>
      </c>
      <c r="D45" s="31" t="s">
        <v>187</v>
      </c>
      <c r="E45" s="30">
        <v>384691.10659119085</v>
      </c>
    </row>
    <row r="46" spans="1:5" x14ac:dyDescent="0.25">
      <c r="A46" s="31" t="s">
        <v>65</v>
      </c>
      <c r="B46" s="31" t="s">
        <v>127</v>
      </c>
      <c r="C46" s="31" t="s">
        <v>8</v>
      </c>
      <c r="D46" s="31" t="s">
        <v>187</v>
      </c>
      <c r="E46" s="30">
        <v>645423.18292707193</v>
      </c>
    </row>
    <row r="47" spans="1:5" x14ac:dyDescent="0.25">
      <c r="A47" s="31" t="s">
        <v>66</v>
      </c>
      <c r="B47" s="31" t="s">
        <v>128</v>
      </c>
      <c r="C47" s="31" t="s">
        <v>8</v>
      </c>
      <c r="D47" s="31" t="s">
        <v>187</v>
      </c>
      <c r="E47" s="30">
        <v>405001.57080161094</v>
      </c>
    </row>
    <row r="48" spans="1:5" x14ac:dyDescent="0.25">
      <c r="A48" s="31" t="s">
        <v>51</v>
      </c>
      <c r="B48" s="31" t="s">
        <v>131</v>
      </c>
      <c r="C48" s="31" t="s">
        <v>9</v>
      </c>
      <c r="D48" s="31" t="s">
        <v>187</v>
      </c>
      <c r="E48" s="30">
        <v>378686.72474503017</v>
      </c>
    </row>
    <row r="49" spans="1:5" x14ac:dyDescent="0.25">
      <c r="A49" s="31" t="s">
        <v>67</v>
      </c>
      <c r="B49" s="31" t="s">
        <v>132</v>
      </c>
      <c r="C49" s="31" t="s">
        <v>9</v>
      </c>
      <c r="D49" s="31" t="s">
        <v>187</v>
      </c>
      <c r="E49" s="30">
        <v>286455.38627657545</v>
      </c>
    </row>
    <row r="50" spans="1:5" x14ac:dyDescent="0.25">
      <c r="A50" s="31" t="s">
        <v>68</v>
      </c>
      <c r="B50" s="31" t="s">
        <v>133</v>
      </c>
      <c r="C50" s="31" t="s">
        <v>9</v>
      </c>
      <c r="D50" s="31" t="s">
        <v>187</v>
      </c>
      <c r="E50" s="30">
        <v>254423.94828111559</v>
      </c>
    </row>
    <row r="51" spans="1:5" x14ac:dyDescent="0.25">
      <c r="A51" s="31" t="s">
        <v>89</v>
      </c>
      <c r="B51" s="31" t="s">
        <v>124</v>
      </c>
      <c r="C51" s="31" t="s">
        <v>10</v>
      </c>
      <c r="D51" s="31" t="s">
        <v>187</v>
      </c>
      <c r="E51" s="30">
        <v>400902.54117858794</v>
      </c>
    </row>
    <row r="52" spans="1:5" x14ac:dyDescent="0.25">
      <c r="A52" t="s">
        <v>94</v>
      </c>
      <c r="B52" t="s">
        <v>125</v>
      </c>
      <c r="C52" t="s">
        <v>10</v>
      </c>
      <c r="D52" t="s">
        <v>187</v>
      </c>
      <c r="E52" s="30">
        <v>612139.72073124314</v>
      </c>
    </row>
    <row r="53" spans="1:5" x14ac:dyDescent="0.25">
      <c r="A53" t="s">
        <v>95</v>
      </c>
      <c r="B53" t="s">
        <v>126</v>
      </c>
      <c r="C53" t="s">
        <v>10</v>
      </c>
      <c r="D53" t="s">
        <v>187</v>
      </c>
      <c r="E53" s="5">
        <v>603155.36514676746</v>
      </c>
    </row>
    <row r="54" spans="1:5" x14ac:dyDescent="0.25">
      <c r="E54" s="5">
        <f>SUM(E2:E53)</f>
        <v>22152845.527466275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4E50-629E-4BEF-98F4-D1F77EDD41A4}">
  <dimension ref="A1:AB55"/>
  <sheetViews>
    <sheetView topLeftCell="K38" workbookViewId="0">
      <selection activeCell="S50" sqref="S50"/>
    </sheetView>
  </sheetViews>
  <sheetFormatPr defaultRowHeight="15" x14ac:dyDescent="0.25"/>
  <cols>
    <col min="1" max="1" width="16.140625" bestFit="1" customWidth="1"/>
    <col min="2" max="7" width="11.140625" bestFit="1" customWidth="1"/>
    <col min="8" max="8" width="18.42578125" customWidth="1"/>
    <col min="9" max="14" width="11.140625" bestFit="1" customWidth="1"/>
    <col min="15" max="15" width="16.140625" bestFit="1" customWidth="1"/>
    <col min="17" max="18" width="11" bestFit="1" customWidth="1"/>
    <col min="24" max="24" width="9.5703125" bestFit="1" customWidth="1"/>
    <col min="28" max="28" width="10.5703125" bestFit="1" customWidth="1"/>
  </cols>
  <sheetData>
    <row r="1" spans="1:28" x14ac:dyDescent="0.25"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213</v>
      </c>
      <c r="T1" t="s">
        <v>214</v>
      </c>
      <c r="U1" t="s">
        <v>44</v>
      </c>
      <c r="V1" t="s">
        <v>45</v>
      </c>
      <c r="W1" t="s">
        <v>46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</row>
    <row r="2" spans="1:28" x14ac:dyDescent="0.25">
      <c r="A2" t="s">
        <v>177</v>
      </c>
      <c r="B2" s="3">
        <v>542</v>
      </c>
      <c r="C2" s="3">
        <v>543</v>
      </c>
      <c r="D2" s="3">
        <v>545</v>
      </c>
      <c r="E2" s="3">
        <v>547</v>
      </c>
      <c r="F2" s="3">
        <v>551</v>
      </c>
      <c r="G2" s="3">
        <v>552</v>
      </c>
      <c r="H2" s="3">
        <v>578</v>
      </c>
      <c r="I2" s="3">
        <v>596</v>
      </c>
      <c r="J2" s="3">
        <v>598</v>
      </c>
      <c r="K2" s="3">
        <v>597</v>
      </c>
      <c r="L2" s="3">
        <v>788</v>
      </c>
      <c r="M2" s="3">
        <v>789</v>
      </c>
      <c r="N2" s="3">
        <v>634</v>
      </c>
      <c r="O2" s="3">
        <v>635</v>
      </c>
      <c r="P2">
        <v>636</v>
      </c>
      <c r="Q2">
        <v>666</v>
      </c>
      <c r="R2">
        <v>667</v>
      </c>
      <c r="S2">
        <v>668</v>
      </c>
      <c r="T2">
        <v>665</v>
      </c>
      <c r="U2">
        <v>770</v>
      </c>
      <c r="V2">
        <v>771</v>
      </c>
      <c r="W2">
        <v>769</v>
      </c>
      <c r="X2">
        <v>813</v>
      </c>
      <c r="Y2">
        <v>814</v>
      </c>
      <c r="Z2">
        <v>815</v>
      </c>
    </row>
    <row r="3" spans="1:28" x14ac:dyDescent="0.25">
      <c r="B3" s="3">
        <f>_xlfn.XLOOKUP(B$2,'Product Tgt'!$I:$I,'Product Tgt'!$I:$I)</f>
        <v>542</v>
      </c>
      <c r="C3" s="3">
        <f>_xlfn.XLOOKUP(C$2,'Product Tgt'!$I:$I,'Product Tgt'!$I:$I)</f>
        <v>543</v>
      </c>
      <c r="D3" s="3">
        <f>_xlfn.XLOOKUP(D$2,'Product Tgt'!$I:$I,'Product Tgt'!$I:$I)</f>
        <v>545</v>
      </c>
      <c r="E3" s="3">
        <f>_xlfn.XLOOKUP(E$2,'Product Tgt'!$I:$I,'Product Tgt'!$I:$I)</f>
        <v>547</v>
      </c>
      <c r="F3" s="3">
        <f>_xlfn.XLOOKUP(F$2,'Product Tgt'!$I:$I,'Product Tgt'!$I:$I)</f>
        <v>551</v>
      </c>
      <c r="G3" s="3">
        <f>_xlfn.XLOOKUP(G$2,'Product Tgt'!$I:$I,'Product Tgt'!$I:$I)</f>
        <v>552</v>
      </c>
      <c r="H3" s="3">
        <f>_xlfn.XLOOKUP(H$2,'Product Tgt'!$I:$I,'Product Tgt'!$I:$I)</f>
        <v>578</v>
      </c>
      <c r="I3" s="3">
        <f>_xlfn.XLOOKUP(I$2,'Product Tgt'!$I:$I,'Product Tgt'!$I:$I)</f>
        <v>596</v>
      </c>
      <c r="J3" s="3">
        <f>_xlfn.XLOOKUP(J$2,'Product Tgt'!$I:$I,'Product Tgt'!$I:$I)</f>
        <v>598</v>
      </c>
      <c r="K3" s="3">
        <f>_xlfn.XLOOKUP(K$2,'Product Tgt'!$I:$I,'Product Tgt'!$I:$I)</f>
        <v>597</v>
      </c>
      <c r="L3" s="3">
        <f>_xlfn.XLOOKUP(L$2,'Product Tgt'!$I:$I,'Product Tgt'!$I:$I)</f>
        <v>788</v>
      </c>
      <c r="M3" s="3">
        <f>_xlfn.XLOOKUP(M$2,'Product Tgt'!$I:$I,'Product Tgt'!$I:$I)</f>
        <v>789</v>
      </c>
      <c r="N3" s="3">
        <f>_xlfn.XLOOKUP(N$2,'Product Tgt'!$I:$I,'Product Tgt'!$I:$I)</f>
        <v>634</v>
      </c>
      <c r="O3" s="3">
        <f>_xlfn.XLOOKUP(O$2,'Product Tgt'!$I:$I,'Product Tgt'!$I:$I)</f>
        <v>635</v>
      </c>
      <c r="P3" s="3">
        <f>_xlfn.XLOOKUP(P$2,'Product Tgt'!$I:$I,'Product Tgt'!$I:$I)</f>
        <v>636</v>
      </c>
      <c r="Q3" s="3">
        <f>_xlfn.XLOOKUP(Q$2,'Product Tgt'!$I:$I,'Product Tgt'!$I:$I)</f>
        <v>666</v>
      </c>
      <c r="R3" s="3">
        <f>_xlfn.XLOOKUP(R$2,'Product Tgt'!$I:$I,'Product Tgt'!$I:$I)</f>
        <v>667</v>
      </c>
      <c r="S3" s="3">
        <f>_xlfn.XLOOKUP(S$2,'Product Tgt'!$I:$I,'Product Tgt'!$I:$I)</f>
        <v>668</v>
      </c>
      <c r="T3" s="3">
        <f>_xlfn.XLOOKUP(T$2,'Product Tgt'!$I:$I,'Product Tgt'!$I:$I)</f>
        <v>665</v>
      </c>
      <c r="U3" s="3">
        <f>_xlfn.XLOOKUP(U$2,'Product Tgt'!$I:$I,'Product Tgt'!$I:$I)</f>
        <v>770</v>
      </c>
      <c r="V3" s="3">
        <f>_xlfn.XLOOKUP(V$2,'Product Tgt'!$I:$I,'Product Tgt'!$I:$I)</f>
        <v>771</v>
      </c>
      <c r="W3" s="3">
        <f>_xlfn.XLOOKUP(W$2,'Product Tgt'!$I:$I,'Product Tgt'!$I:$I)</f>
        <v>769</v>
      </c>
      <c r="X3" s="39">
        <v>269865.06746626686</v>
      </c>
      <c r="Y3" s="39">
        <v>292305</v>
      </c>
      <c r="Z3" s="39">
        <v>49470</v>
      </c>
    </row>
    <row r="4" spans="1:28" x14ac:dyDescent="0.25">
      <c r="A4" t="s">
        <v>179</v>
      </c>
      <c r="B4" s="3">
        <v>15554.63</v>
      </c>
      <c r="C4" s="3">
        <v>19891.509999999998</v>
      </c>
      <c r="D4" s="3">
        <v>88540.07</v>
      </c>
      <c r="E4" s="3">
        <v>94182.87</v>
      </c>
      <c r="F4" s="3">
        <v>26995.360000000001</v>
      </c>
      <c r="G4" s="3">
        <v>13802.71</v>
      </c>
      <c r="H4" s="3">
        <v>0</v>
      </c>
      <c r="I4" s="3">
        <v>7357.63</v>
      </c>
      <c r="J4" s="3">
        <v>7680.26</v>
      </c>
      <c r="K4" s="3">
        <v>8108.24</v>
      </c>
      <c r="L4" s="3">
        <v>1703.75</v>
      </c>
      <c r="M4" s="3">
        <v>1643.35</v>
      </c>
      <c r="N4" s="3">
        <v>22818.639999999999</v>
      </c>
      <c r="O4" s="3">
        <v>19183.28</v>
      </c>
      <c r="P4">
        <v>13163.38</v>
      </c>
      <c r="Q4">
        <v>5493.96</v>
      </c>
      <c r="R4">
        <v>9134.5300000000007</v>
      </c>
      <c r="S4">
        <v>14378.36</v>
      </c>
      <c r="T4">
        <v>10574.1</v>
      </c>
      <c r="U4">
        <v>49288.5</v>
      </c>
      <c r="V4">
        <v>3396.2</v>
      </c>
      <c r="W4">
        <v>19734.330000000002</v>
      </c>
      <c r="X4" s="5">
        <f>X$3*$AB4</f>
        <v>6486.2388579856724</v>
      </c>
      <c r="Y4" s="5">
        <f>Y$3*$AB4</f>
        <v>7025.5852941044213</v>
      </c>
      <c r="Z4" s="5">
        <f t="shared" ref="Z4:Z55" si="0">Z$3*$AB4</f>
        <v>1189.017308972976</v>
      </c>
      <c r="AA4" s="5">
        <f>N4+O4+P4</f>
        <v>55165.299999999996</v>
      </c>
      <c r="AB4" s="6">
        <f>$AA4/SUM($AA$4:$AA$55)</f>
        <v>2.4035118434869131E-2</v>
      </c>
    </row>
    <row r="5" spans="1:28" x14ac:dyDescent="0.25">
      <c r="A5" t="s">
        <v>72</v>
      </c>
      <c r="B5" s="3">
        <v>1978.13</v>
      </c>
      <c r="C5" s="3">
        <v>5813.04</v>
      </c>
      <c r="D5" s="3">
        <v>15090.32</v>
      </c>
      <c r="E5" s="3">
        <v>34247.65</v>
      </c>
      <c r="F5" s="3">
        <v>3138.74</v>
      </c>
      <c r="G5" s="3">
        <v>2597.54</v>
      </c>
      <c r="H5" s="3">
        <v>0</v>
      </c>
      <c r="I5" s="3">
        <v>2471.77</v>
      </c>
      <c r="J5" s="3">
        <v>10098</v>
      </c>
      <c r="K5" s="3">
        <v>1717.78</v>
      </c>
      <c r="L5" s="3">
        <v>1186.98</v>
      </c>
      <c r="M5" s="3">
        <v>1470.67</v>
      </c>
      <c r="N5" s="3">
        <v>5439.31</v>
      </c>
      <c r="O5" s="3">
        <v>3438.74</v>
      </c>
      <c r="P5">
        <v>5135.88</v>
      </c>
      <c r="Q5">
        <v>5276.84</v>
      </c>
      <c r="R5">
        <v>12905.05</v>
      </c>
      <c r="S5">
        <v>7723.3</v>
      </c>
      <c r="T5">
        <v>4914.18</v>
      </c>
      <c r="U5">
        <v>45498.26</v>
      </c>
      <c r="V5">
        <v>3146.79</v>
      </c>
      <c r="W5">
        <v>15022.36</v>
      </c>
      <c r="X5" s="5">
        <f t="shared" ref="X5:Y55" si="1">X$3*$AB5</f>
        <v>1647.7332185103892</v>
      </c>
      <c r="Y5" s="5">
        <f t="shared" si="1"/>
        <v>1784.7462176514728</v>
      </c>
      <c r="Z5" s="5">
        <f t="shared" si="0"/>
        <v>302.0522925958104</v>
      </c>
      <c r="AA5" s="5">
        <f t="shared" ref="AA5:AA55" si="2">N5+O5+P5</f>
        <v>14013.93</v>
      </c>
      <c r="AB5" s="6">
        <f t="shared" ref="AB5:AB55" si="3">$AA5/SUM($AA$4:$AA$55)</f>
        <v>6.1057669819246088E-3</v>
      </c>
    </row>
    <row r="6" spans="1:28" x14ac:dyDescent="0.25">
      <c r="A6" t="s">
        <v>73</v>
      </c>
      <c r="B6" s="3">
        <v>8314</v>
      </c>
      <c r="C6" s="3">
        <v>13305.57</v>
      </c>
      <c r="D6" s="3">
        <v>54742.94</v>
      </c>
      <c r="E6" s="3">
        <v>104367.41</v>
      </c>
      <c r="F6" s="3">
        <v>9775.5400000000009</v>
      </c>
      <c r="G6" s="3">
        <v>10496.28</v>
      </c>
      <c r="H6" s="3">
        <v>0</v>
      </c>
      <c r="I6" s="3">
        <v>5661.26</v>
      </c>
      <c r="J6" s="3">
        <v>7826.25</v>
      </c>
      <c r="K6" s="3">
        <v>2302.31</v>
      </c>
      <c r="L6" s="3">
        <v>0</v>
      </c>
      <c r="M6" s="3">
        <v>6664.64</v>
      </c>
      <c r="N6" s="3">
        <v>12799.56</v>
      </c>
      <c r="O6" s="3">
        <v>3984.14</v>
      </c>
      <c r="P6">
        <v>15176.02</v>
      </c>
      <c r="Q6">
        <v>8226.2900000000009</v>
      </c>
      <c r="R6">
        <v>11490.35</v>
      </c>
      <c r="S6">
        <v>9571.4</v>
      </c>
      <c r="T6">
        <v>7779.87</v>
      </c>
      <c r="U6">
        <v>43323.81</v>
      </c>
      <c r="V6">
        <v>3980.92</v>
      </c>
      <c r="W6">
        <v>23048.28</v>
      </c>
      <c r="X6" s="5">
        <f t="shared" si="1"/>
        <v>3757.7676139591713</v>
      </c>
      <c r="Y6" s="5">
        <f t="shared" si="1"/>
        <v>4070.2350723316104</v>
      </c>
      <c r="Z6" s="5">
        <f t="shared" si="0"/>
        <v>688.85078609070922</v>
      </c>
      <c r="AA6" s="5">
        <f t="shared" si="2"/>
        <v>31959.72</v>
      </c>
      <c r="AB6" s="6">
        <f t="shared" si="3"/>
        <v>1.3924616658393152E-2</v>
      </c>
    </row>
    <row r="7" spans="1:28" x14ac:dyDescent="0.25">
      <c r="A7" t="s">
        <v>49</v>
      </c>
      <c r="B7" s="3">
        <v>13460.89</v>
      </c>
      <c r="C7" s="3">
        <v>18508.580000000002</v>
      </c>
      <c r="D7" s="3">
        <v>86905.65</v>
      </c>
      <c r="E7" s="3">
        <v>124802.72</v>
      </c>
      <c r="F7" s="3">
        <v>28771.77</v>
      </c>
      <c r="G7" s="3">
        <v>7936.94</v>
      </c>
      <c r="H7" s="3">
        <v>0</v>
      </c>
      <c r="I7" s="3">
        <v>5940.92</v>
      </c>
      <c r="J7" s="3">
        <v>6968.88</v>
      </c>
      <c r="K7" s="3">
        <v>2144.9499999999998</v>
      </c>
      <c r="L7" s="3">
        <v>3188.45</v>
      </c>
      <c r="M7" s="3">
        <v>2586.6999999999998</v>
      </c>
      <c r="N7" s="3">
        <v>27242.6</v>
      </c>
      <c r="O7" s="3">
        <v>12250.34</v>
      </c>
      <c r="P7">
        <v>18761.5</v>
      </c>
      <c r="Q7">
        <v>4554.1400000000003</v>
      </c>
      <c r="R7">
        <v>14665.99</v>
      </c>
      <c r="S7">
        <v>14726.56</v>
      </c>
      <c r="T7">
        <v>9657.83</v>
      </c>
      <c r="U7">
        <v>41889.15</v>
      </c>
      <c r="V7">
        <v>9251.31</v>
      </c>
      <c r="W7">
        <v>30345</v>
      </c>
      <c r="X7" s="5">
        <f t="shared" si="1"/>
        <v>6849.4545008944915</v>
      </c>
      <c r="Y7" s="5">
        <f t="shared" si="1"/>
        <v>7419.003195492246</v>
      </c>
      <c r="Z7" s="5">
        <f t="shared" si="0"/>
        <v>1255.5997608012228</v>
      </c>
      <c r="AA7" s="5">
        <f t="shared" si="2"/>
        <v>58254.44</v>
      </c>
      <c r="AB7" s="6">
        <f t="shared" si="3"/>
        <v>2.5381034178314589E-2</v>
      </c>
    </row>
    <row r="8" spans="1:28" x14ac:dyDescent="0.25">
      <c r="A8" t="s">
        <v>50</v>
      </c>
      <c r="B8" s="3">
        <v>18653.3</v>
      </c>
      <c r="C8" s="3">
        <v>21022</v>
      </c>
      <c r="D8" s="3">
        <v>82105.19</v>
      </c>
      <c r="E8" s="3">
        <v>109579.83</v>
      </c>
      <c r="F8" s="3">
        <v>7155.53</v>
      </c>
      <c r="G8" s="3">
        <v>2676.36</v>
      </c>
      <c r="H8" s="3">
        <v>0</v>
      </c>
      <c r="I8" s="3">
        <v>1889.85</v>
      </c>
      <c r="J8" s="3">
        <v>9049.49</v>
      </c>
      <c r="K8" s="3">
        <v>906.6</v>
      </c>
      <c r="L8" s="3">
        <v>1208.48</v>
      </c>
      <c r="M8" s="3">
        <v>1095.21</v>
      </c>
      <c r="N8" s="3">
        <v>25409.84</v>
      </c>
      <c r="O8" s="3">
        <v>7049.96</v>
      </c>
      <c r="P8">
        <v>24516.02</v>
      </c>
      <c r="Q8">
        <v>5450.87</v>
      </c>
      <c r="R8">
        <v>9720.7800000000007</v>
      </c>
      <c r="S8">
        <v>7994.08</v>
      </c>
      <c r="T8">
        <v>4378.47</v>
      </c>
      <c r="U8">
        <v>14802.41</v>
      </c>
      <c r="V8">
        <v>2409.64</v>
      </c>
      <c r="W8">
        <v>5882.42</v>
      </c>
      <c r="X8" s="5">
        <f t="shared" si="1"/>
        <v>6699.1166122471423</v>
      </c>
      <c r="Y8" s="5">
        <f t="shared" si="1"/>
        <v>7256.1643480873045</v>
      </c>
      <c r="Z8" s="5">
        <f t="shared" si="0"/>
        <v>1228.0407461380373</v>
      </c>
      <c r="AA8" s="5">
        <f t="shared" si="2"/>
        <v>56975.82</v>
      </c>
      <c r="AB8" s="6">
        <f t="shared" si="3"/>
        <v>2.482394877982691E-2</v>
      </c>
    </row>
    <row r="9" spans="1:28" x14ac:dyDescent="0.25">
      <c r="A9" t="s">
        <v>189</v>
      </c>
      <c r="B9" s="3">
        <v>21547.99</v>
      </c>
      <c r="C9" s="3">
        <v>13433</v>
      </c>
      <c r="D9" s="3">
        <v>77723.98</v>
      </c>
      <c r="E9" s="3">
        <v>102079.41</v>
      </c>
      <c r="F9" s="3">
        <v>8327.69</v>
      </c>
      <c r="G9" s="3">
        <v>3076.29</v>
      </c>
      <c r="H9" s="3">
        <v>0</v>
      </c>
      <c r="I9" s="3">
        <v>1268.46</v>
      </c>
      <c r="J9" s="3">
        <v>8275.93</v>
      </c>
      <c r="K9" s="3">
        <v>0</v>
      </c>
      <c r="L9" s="3">
        <v>1130.1199999999999</v>
      </c>
      <c r="M9" s="3">
        <v>1072.55</v>
      </c>
      <c r="N9" s="3">
        <v>28298.11</v>
      </c>
      <c r="O9" s="3">
        <v>4353.32</v>
      </c>
      <c r="P9">
        <v>23585.85</v>
      </c>
      <c r="Q9">
        <v>6138.96</v>
      </c>
      <c r="R9">
        <v>9673.43</v>
      </c>
      <c r="S9">
        <v>7805.62</v>
      </c>
      <c r="T9">
        <v>3536.13</v>
      </c>
      <c r="U9">
        <v>17104.78</v>
      </c>
      <c r="V9">
        <v>2119.14</v>
      </c>
      <c r="W9">
        <v>3958.1</v>
      </c>
      <c r="X9" s="5">
        <f t="shared" si="1"/>
        <v>6612.2803792133918</v>
      </c>
      <c r="Y9" s="5">
        <f t="shared" si="1"/>
        <v>7162.1074724225682</v>
      </c>
      <c r="Z9" s="5">
        <f t="shared" si="0"/>
        <v>1212.1224633883937</v>
      </c>
      <c r="AA9" s="5">
        <f t="shared" si="2"/>
        <v>56237.279999999999</v>
      </c>
      <c r="AB9" s="6">
        <f t="shared" si="3"/>
        <v>2.4502172294085179E-2</v>
      </c>
    </row>
    <row r="10" spans="1:28" x14ac:dyDescent="0.25">
      <c r="A10" t="s">
        <v>74</v>
      </c>
      <c r="B10" s="3">
        <v>9035.3700000000008</v>
      </c>
      <c r="C10" s="3">
        <v>15790.51</v>
      </c>
      <c r="D10" s="3">
        <v>69190.77</v>
      </c>
      <c r="E10" s="3">
        <v>107610.11</v>
      </c>
      <c r="F10" s="3">
        <v>13847.7</v>
      </c>
      <c r="G10" s="3">
        <v>7830.17</v>
      </c>
      <c r="H10" s="3">
        <v>0</v>
      </c>
      <c r="I10" s="3">
        <v>4852.12</v>
      </c>
      <c r="J10" s="3">
        <v>16595.990000000002</v>
      </c>
      <c r="K10" s="3">
        <v>2895.59</v>
      </c>
      <c r="L10" s="3">
        <v>2122.52</v>
      </c>
      <c r="M10" s="3">
        <v>4638.8999999999996</v>
      </c>
      <c r="N10" s="3">
        <v>17333.990000000002</v>
      </c>
      <c r="O10" s="3">
        <v>7495.59</v>
      </c>
      <c r="P10">
        <v>14384.51</v>
      </c>
      <c r="Q10">
        <v>8051.16</v>
      </c>
      <c r="R10">
        <v>14188.25</v>
      </c>
      <c r="S10">
        <v>14466.78</v>
      </c>
      <c r="T10">
        <v>9645.85</v>
      </c>
      <c r="U10">
        <v>39070.86</v>
      </c>
      <c r="V10">
        <v>4716.24</v>
      </c>
      <c r="W10">
        <v>18064.55</v>
      </c>
      <c r="X10" s="5">
        <f t="shared" si="1"/>
        <v>4610.7236675690592</v>
      </c>
      <c r="Y10" s="5">
        <f t="shared" si="1"/>
        <v>4994.1164831096239</v>
      </c>
      <c r="Z10" s="5">
        <f t="shared" si="0"/>
        <v>845.20942994281006</v>
      </c>
      <c r="AA10" s="5">
        <f t="shared" si="2"/>
        <v>39214.090000000004</v>
      </c>
      <c r="AB10" s="6">
        <f t="shared" si="3"/>
        <v>1.7085292701492016E-2</v>
      </c>
    </row>
    <row r="11" spans="1:28" x14ac:dyDescent="0.25">
      <c r="A11" t="s">
        <v>75</v>
      </c>
      <c r="B11" s="3">
        <v>12986.74</v>
      </c>
      <c r="C11" s="3">
        <v>17977.39</v>
      </c>
      <c r="D11" s="3">
        <v>88206.65</v>
      </c>
      <c r="E11" s="3">
        <v>108096.86</v>
      </c>
      <c r="F11" s="3">
        <v>13955.08</v>
      </c>
      <c r="G11" s="3">
        <v>13987.79</v>
      </c>
      <c r="H11" s="3">
        <v>0</v>
      </c>
      <c r="I11" s="3">
        <v>3357.38</v>
      </c>
      <c r="J11" s="3">
        <v>6603.87</v>
      </c>
      <c r="K11" s="3">
        <v>1370.37</v>
      </c>
      <c r="L11" s="3">
        <v>1169.44</v>
      </c>
      <c r="M11" s="3">
        <v>1346.49</v>
      </c>
      <c r="N11" s="3">
        <v>16121.4</v>
      </c>
      <c r="O11" s="3">
        <v>3053.64</v>
      </c>
      <c r="P11">
        <v>14773.85</v>
      </c>
      <c r="Q11">
        <v>2954.86</v>
      </c>
      <c r="R11">
        <v>12289.37</v>
      </c>
      <c r="S11">
        <v>10583.85</v>
      </c>
      <c r="T11">
        <v>2469.85</v>
      </c>
      <c r="U11">
        <v>27373.78</v>
      </c>
      <c r="V11">
        <v>7251.47</v>
      </c>
      <c r="W11">
        <v>13208.06</v>
      </c>
      <c r="X11" s="5">
        <f t="shared" si="1"/>
        <v>3991.6507207153995</v>
      </c>
      <c r="Y11" s="5">
        <f t="shared" si="1"/>
        <v>4323.566124632127</v>
      </c>
      <c r="Z11" s="5">
        <f t="shared" si="0"/>
        <v>731.72479494210268</v>
      </c>
      <c r="AA11" s="5">
        <f t="shared" si="2"/>
        <v>33948.89</v>
      </c>
      <c r="AB11" s="6">
        <f t="shared" si="3"/>
        <v>1.4791283503984287E-2</v>
      </c>
    </row>
    <row r="12" spans="1:28" x14ac:dyDescent="0.25">
      <c r="A12" t="s">
        <v>180</v>
      </c>
      <c r="B12" s="3">
        <v>15625.21</v>
      </c>
      <c r="C12" s="3">
        <v>34855.9</v>
      </c>
      <c r="D12" s="3">
        <v>102834.65</v>
      </c>
      <c r="E12" s="3">
        <v>89281.83</v>
      </c>
      <c r="F12" s="3">
        <v>5568.59</v>
      </c>
      <c r="G12" s="3">
        <v>4348.88</v>
      </c>
      <c r="H12" s="3">
        <v>0</v>
      </c>
      <c r="I12" s="3">
        <v>1622.57</v>
      </c>
      <c r="J12" s="3">
        <v>9707.9599999999991</v>
      </c>
      <c r="K12" s="3">
        <v>945.07</v>
      </c>
      <c r="L12" s="3">
        <v>1380.35</v>
      </c>
      <c r="M12" s="3">
        <v>0</v>
      </c>
      <c r="N12" s="3">
        <v>23099.58</v>
      </c>
      <c r="O12" s="3">
        <v>1518.27</v>
      </c>
      <c r="P12">
        <v>24734.69</v>
      </c>
      <c r="Q12">
        <v>3883.92</v>
      </c>
      <c r="R12">
        <v>11954.41</v>
      </c>
      <c r="S12">
        <v>14852.76</v>
      </c>
      <c r="T12">
        <v>2852.28</v>
      </c>
      <c r="U12">
        <v>25519.11</v>
      </c>
      <c r="V12">
        <v>3346.06</v>
      </c>
      <c r="W12">
        <v>8480.7999999999993</v>
      </c>
      <c r="X12" s="5">
        <f t="shared" si="1"/>
        <v>5802.7847702866156</v>
      </c>
      <c r="Y12" s="5">
        <f t="shared" si="1"/>
        <v>6285.3003473324761</v>
      </c>
      <c r="Z12" s="5">
        <f t="shared" si="0"/>
        <v>1063.7307202495256</v>
      </c>
      <c r="AA12" s="5">
        <f t="shared" si="2"/>
        <v>49352.54</v>
      </c>
      <c r="AB12" s="6">
        <f t="shared" si="3"/>
        <v>2.1502541343228737E-2</v>
      </c>
    </row>
    <row r="13" spans="1:28" x14ac:dyDescent="0.25">
      <c r="A13" t="s">
        <v>76</v>
      </c>
      <c r="B13" s="3">
        <v>10204.84</v>
      </c>
      <c r="C13" s="3">
        <v>29284.28</v>
      </c>
      <c r="D13" s="3">
        <v>93311.74</v>
      </c>
      <c r="E13" s="3">
        <v>66183.12</v>
      </c>
      <c r="F13" s="3">
        <v>6620.04</v>
      </c>
      <c r="G13" s="3">
        <v>5558.44</v>
      </c>
      <c r="H13" s="3">
        <v>0</v>
      </c>
      <c r="I13" s="3">
        <v>1516.54</v>
      </c>
      <c r="J13" s="3">
        <v>3291.85</v>
      </c>
      <c r="K13" s="3">
        <v>1210.79</v>
      </c>
      <c r="L13" s="3">
        <v>1255.21</v>
      </c>
      <c r="M13" s="3">
        <v>1218.5999999999999</v>
      </c>
      <c r="N13" s="3">
        <v>14440.84</v>
      </c>
      <c r="O13" s="3">
        <v>3088.92</v>
      </c>
      <c r="P13">
        <v>8719.7199999999993</v>
      </c>
      <c r="Q13">
        <v>1663.83</v>
      </c>
      <c r="R13">
        <v>12963.88</v>
      </c>
      <c r="S13">
        <v>19693.419999999998</v>
      </c>
      <c r="T13">
        <v>3402.63</v>
      </c>
      <c r="U13">
        <v>25346.76</v>
      </c>
      <c r="V13">
        <v>2924.45</v>
      </c>
      <c r="W13">
        <v>11421.41</v>
      </c>
      <c r="X13" s="5">
        <f t="shared" si="1"/>
        <v>3086.3676473782934</v>
      </c>
      <c r="Y13" s="5">
        <f t="shared" si="1"/>
        <v>3343.006575979613</v>
      </c>
      <c r="Z13" s="5">
        <f t="shared" si="0"/>
        <v>565.7738845168966</v>
      </c>
      <c r="AA13" s="5">
        <f t="shared" si="2"/>
        <v>26249.480000000003</v>
      </c>
      <c r="AB13" s="6">
        <f t="shared" si="3"/>
        <v>1.1436706782229565E-2</v>
      </c>
    </row>
    <row r="14" spans="1:28" x14ac:dyDescent="0.25">
      <c r="A14" t="s">
        <v>77</v>
      </c>
      <c r="B14" s="3">
        <v>43566.65</v>
      </c>
      <c r="C14" s="3">
        <v>66655.98</v>
      </c>
      <c r="D14" s="3">
        <v>199224.32000000001</v>
      </c>
      <c r="E14" s="3">
        <v>218659.64</v>
      </c>
      <c r="F14" s="3">
        <v>30415.38</v>
      </c>
      <c r="G14" s="3">
        <v>8410.1200000000008</v>
      </c>
      <c r="H14" s="3">
        <v>0</v>
      </c>
      <c r="I14" s="3">
        <v>7596.3</v>
      </c>
      <c r="J14" s="3">
        <v>38961.800000000003</v>
      </c>
      <c r="K14" s="3">
        <v>5118.95</v>
      </c>
      <c r="L14" s="3">
        <v>4731.18</v>
      </c>
      <c r="M14" s="3">
        <v>4285.84</v>
      </c>
      <c r="N14" s="3">
        <v>40159.519999999997</v>
      </c>
      <c r="O14" s="3">
        <v>4316.5</v>
      </c>
      <c r="P14">
        <v>29894.7</v>
      </c>
      <c r="Q14">
        <v>7333.63</v>
      </c>
      <c r="R14">
        <v>32143.79</v>
      </c>
      <c r="S14">
        <v>47897.29</v>
      </c>
      <c r="T14">
        <v>11476.9</v>
      </c>
      <c r="U14">
        <v>73755.28</v>
      </c>
      <c r="V14">
        <v>5002.7</v>
      </c>
      <c r="W14">
        <v>24521.97</v>
      </c>
      <c r="X14" s="5">
        <f t="shared" si="1"/>
        <v>8744.3783313128406</v>
      </c>
      <c r="Y14" s="5">
        <f t="shared" si="1"/>
        <v>9471.4945218091361</v>
      </c>
      <c r="Z14" s="5">
        <f t="shared" si="0"/>
        <v>1602.9655120298935</v>
      </c>
      <c r="AA14" s="5">
        <f t="shared" si="2"/>
        <v>74370.720000000001</v>
      </c>
      <c r="AB14" s="6">
        <f t="shared" si="3"/>
        <v>3.2402779705475913E-2</v>
      </c>
    </row>
    <row r="15" spans="1:28" x14ac:dyDescent="0.25">
      <c r="A15" t="s">
        <v>78</v>
      </c>
      <c r="B15" s="3">
        <v>25194.400000000001</v>
      </c>
      <c r="C15" s="3">
        <v>35509.49</v>
      </c>
      <c r="D15" s="3">
        <v>119997.33</v>
      </c>
      <c r="E15" s="3">
        <v>119215.94</v>
      </c>
      <c r="F15" s="3">
        <v>15135.18</v>
      </c>
      <c r="G15" s="3">
        <v>6267.21</v>
      </c>
      <c r="H15" s="3">
        <v>0</v>
      </c>
      <c r="I15" s="3">
        <v>5248.93</v>
      </c>
      <c r="J15" s="3">
        <v>19515.7</v>
      </c>
      <c r="K15" s="3">
        <v>3136.52</v>
      </c>
      <c r="L15" s="3">
        <v>3945.56</v>
      </c>
      <c r="M15" s="3">
        <v>2788.82</v>
      </c>
      <c r="N15" s="3">
        <v>19993.95</v>
      </c>
      <c r="O15" s="3">
        <v>3625.47</v>
      </c>
      <c r="P15">
        <v>19602.68</v>
      </c>
      <c r="Q15">
        <v>5817.41</v>
      </c>
      <c r="R15">
        <v>23570.46</v>
      </c>
      <c r="S15">
        <v>34498.589999999997</v>
      </c>
      <c r="T15">
        <v>9667.4599999999991</v>
      </c>
      <c r="U15">
        <v>45664.37</v>
      </c>
      <c r="V15">
        <v>4071.54</v>
      </c>
      <c r="W15">
        <v>22527.01</v>
      </c>
      <c r="X15" s="5">
        <f t="shared" si="1"/>
        <v>5081.9784274488238</v>
      </c>
      <c r="Y15" s="5">
        <f t="shared" si="1"/>
        <v>5504.5572151390597</v>
      </c>
      <c r="Z15" s="5">
        <f t="shared" si="0"/>
        <v>931.59694645294917</v>
      </c>
      <c r="AA15" s="5">
        <f t="shared" si="2"/>
        <v>43222.100000000006</v>
      </c>
      <c r="AB15" s="6">
        <f t="shared" si="3"/>
        <v>1.8831553395046476E-2</v>
      </c>
    </row>
    <row r="16" spans="1:28" x14ac:dyDescent="0.25">
      <c r="A16" t="s">
        <v>79</v>
      </c>
      <c r="B16" s="3">
        <v>15692.53</v>
      </c>
      <c r="C16" s="3">
        <v>26073.11</v>
      </c>
      <c r="D16" s="3">
        <v>91636</v>
      </c>
      <c r="E16" s="3">
        <v>104327.36</v>
      </c>
      <c r="F16" s="3">
        <v>10268.870000000001</v>
      </c>
      <c r="G16" s="3">
        <v>4409.51</v>
      </c>
      <c r="H16" s="3">
        <v>0</v>
      </c>
      <c r="I16" s="3">
        <v>3238.75</v>
      </c>
      <c r="J16" s="3">
        <v>12068.27</v>
      </c>
      <c r="K16" s="3">
        <v>2442.37</v>
      </c>
      <c r="L16" s="3">
        <v>2176.4899999999998</v>
      </c>
      <c r="M16" s="3">
        <v>2176.1999999999998</v>
      </c>
      <c r="N16" s="3">
        <v>18317.46</v>
      </c>
      <c r="O16" s="3">
        <v>2561.56</v>
      </c>
      <c r="P16">
        <v>16036.97</v>
      </c>
      <c r="Q16">
        <v>2898.21</v>
      </c>
      <c r="R16">
        <v>13574.01</v>
      </c>
      <c r="S16">
        <v>18020.63</v>
      </c>
      <c r="T16">
        <v>4806.28</v>
      </c>
      <c r="U16">
        <v>29881.58</v>
      </c>
      <c r="V16">
        <v>2734.49</v>
      </c>
      <c r="W16">
        <v>13832.1</v>
      </c>
      <c r="X16" s="5">
        <f t="shared" si="1"/>
        <v>4340.5171152701159</v>
      </c>
      <c r="Y16" s="5">
        <f t="shared" si="1"/>
        <v>4701.4416029878548</v>
      </c>
      <c r="Z16" s="5">
        <f t="shared" si="0"/>
        <v>795.6768310491068</v>
      </c>
      <c r="AA16" s="5">
        <f t="shared" si="2"/>
        <v>36915.99</v>
      </c>
      <c r="AB16" s="6">
        <f t="shared" si="3"/>
        <v>1.6084027310473151E-2</v>
      </c>
    </row>
    <row r="17" spans="1:28" x14ac:dyDescent="0.25">
      <c r="A17" t="s">
        <v>80</v>
      </c>
      <c r="B17" s="3">
        <v>50991.66</v>
      </c>
      <c r="C17" s="3">
        <v>54773.99</v>
      </c>
      <c r="D17" s="3">
        <v>188143.7</v>
      </c>
      <c r="E17" s="3">
        <v>217637.38</v>
      </c>
      <c r="F17" s="3">
        <v>20668.599999999999</v>
      </c>
      <c r="G17" s="3">
        <v>6432.31</v>
      </c>
      <c r="H17" s="3">
        <v>0</v>
      </c>
      <c r="I17" s="3">
        <v>5654.83</v>
      </c>
      <c r="J17" s="3">
        <v>33368.959999999999</v>
      </c>
      <c r="K17" s="3">
        <v>6788.24</v>
      </c>
      <c r="L17" s="3">
        <v>4557.55</v>
      </c>
      <c r="M17" s="3">
        <v>4316.37</v>
      </c>
      <c r="N17" s="3">
        <v>33190.17</v>
      </c>
      <c r="O17" s="3">
        <v>3274.71</v>
      </c>
      <c r="P17">
        <v>26236.15</v>
      </c>
      <c r="Q17">
        <v>6672.29</v>
      </c>
      <c r="R17">
        <v>33708.83</v>
      </c>
      <c r="S17">
        <v>45397.67</v>
      </c>
      <c r="T17">
        <v>15673.57</v>
      </c>
      <c r="U17">
        <v>28678.95</v>
      </c>
      <c r="V17">
        <v>2854.4</v>
      </c>
      <c r="W17">
        <v>11627.21</v>
      </c>
      <c r="X17" s="5">
        <f t="shared" si="1"/>
        <v>7372.2767250740126</v>
      </c>
      <c r="Y17" s="5">
        <f t="shared" si="1"/>
        <v>7985.2993510993356</v>
      </c>
      <c r="Z17" s="5">
        <f t="shared" si="0"/>
        <v>1351.4403068674301</v>
      </c>
      <c r="AA17" s="5">
        <f t="shared" si="2"/>
        <v>62701.03</v>
      </c>
      <c r="AB17" s="6">
        <f t="shared" si="3"/>
        <v>2.7318380975690924E-2</v>
      </c>
    </row>
    <row r="18" spans="1:28" x14ac:dyDescent="0.25">
      <c r="A18" t="s">
        <v>81</v>
      </c>
      <c r="B18" s="3">
        <v>15733.89</v>
      </c>
      <c r="C18" s="3">
        <v>15881.22</v>
      </c>
      <c r="D18" s="3">
        <v>100843.27</v>
      </c>
      <c r="E18" s="3">
        <v>123622.81</v>
      </c>
      <c r="F18" s="3">
        <v>12862.07</v>
      </c>
      <c r="G18" s="3">
        <v>8013.98</v>
      </c>
      <c r="H18" s="3">
        <v>0</v>
      </c>
      <c r="I18" s="3">
        <v>5381.24</v>
      </c>
      <c r="J18" s="3">
        <v>13635.04</v>
      </c>
      <c r="K18" s="3">
        <v>1685.13</v>
      </c>
      <c r="L18" s="3">
        <v>1954.7</v>
      </c>
      <c r="M18" s="3">
        <v>3443.28</v>
      </c>
      <c r="N18" s="3">
        <v>44132.12</v>
      </c>
      <c r="O18" s="3">
        <v>8737.6200000000008</v>
      </c>
      <c r="P18">
        <v>22627.97</v>
      </c>
      <c r="Q18">
        <v>3747.26</v>
      </c>
      <c r="R18">
        <v>21040.400000000001</v>
      </c>
      <c r="S18">
        <v>17057.98</v>
      </c>
      <c r="T18">
        <v>3165.93</v>
      </c>
      <c r="U18">
        <v>24351.13</v>
      </c>
      <c r="V18">
        <v>2053.5500000000002</v>
      </c>
      <c r="W18">
        <v>12220.98</v>
      </c>
      <c r="X18" s="5">
        <f t="shared" si="1"/>
        <v>8876.8878314979447</v>
      </c>
      <c r="Y18" s="5">
        <f t="shared" si="1"/>
        <v>9615.0225071659261</v>
      </c>
      <c r="Z18" s="5">
        <f t="shared" si="0"/>
        <v>1627.2563364619091</v>
      </c>
      <c r="AA18" s="5">
        <f t="shared" si="2"/>
        <v>75497.710000000006</v>
      </c>
      <c r="AB18" s="6">
        <f t="shared" si="3"/>
        <v>3.2893801020050718E-2</v>
      </c>
    </row>
    <row r="19" spans="1:28" x14ac:dyDescent="0.25">
      <c r="A19" t="s">
        <v>82</v>
      </c>
      <c r="B19" s="3">
        <v>22230.58</v>
      </c>
      <c r="C19" s="3">
        <v>22772.02</v>
      </c>
      <c r="D19" s="3">
        <v>103169.93</v>
      </c>
      <c r="E19" s="3">
        <v>130595.34</v>
      </c>
      <c r="F19" s="3">
        <v>18639.07</v>
      </c>
      <c r="G19" s="3">
        <v>11077.27</v>
      </c>
      <c r="H19" s="3">
        <v>0</v>
      </c>
      <c r="I19" s="3">
        <v>8947.83</v>
      </c>
      <c r="J19" s="3">
        <v>23621.08</v>
      </c>
      <c r="K19" s="3">
        <v>3171.18</v>
      </c>
      <c r="L19" s="3">
        <v>3071.32</v>
      </c>
      <c r="M19" s="3">
        <v>5671.41</v>
      </c>
      <c r="N19" s="3">
        <v>44031.88</v>
      </c>
      <c r="O19" s="3">
        <v>11328.21</v>
      </c>
      <c r="P19">
        <v>23786.75</v>
      </c>
      <c r="Q19">
        <v>6037.65</v>
      </c>
      <c r="R19">
        <v>24043.71</v>
      </c>
      <c r="S19">
        <v>17518.89</v>
      </c>
      <c r="T19">
        <v>6036.47</v>
      </c>
      <c r="U19">
        <v>40458.21</v>
      </c>
      <c r="V19">
        <v>3560.04</v>
      </c>
      <c r="W19">
        <v>18041.37</v>
      </c>
      <c r="X19" s="5">
        <f t="shared" si="1"/>
        <v>9305.9461127697086</v>
      </c>
      <c r="Y19" s="5">
        <f t="shared" si="1"/>
        <v>10079.758021416283</v>
      </c>
      <c r="Z19" s="5">
        <f t="shared" si="0"/>
        <v>1705.9086547252475</v>
      </c>
      <c r="AA19" s="5">
        <f t="shared" si="2"/>
        <v>79146.84</v>
      </c>
      <c r="AB19" s="6">
        <f t="shared" si="3"/>
        <v>3.448370031787442E-2</v>
      </c>
    </row>
    <row r="20" spans="1:28" x14ac:dyDescent="0.25">
      <c r="A20" t="s">
        <v>51</v>
      </c>
      <c r="B20" s="3">
        <v>12239.65</v>
      </c>
      <c r="C20" s="3">
        <v>20788.95</v>
      </c>
      <c r="D20" s="3">
        <v>107356.5</v>
      </c>
      <c r="E20" s="3">
        <v>84841.07</v>
      </c>
      <c r="F20" s="3">
        <v>10144.17</v>
      </c>
      <c r="G20" s="3">
        <v>5605.71</v>
      </c>
      <c r="H20" s="3">
        <v>0</v>
      </c>
      <c r="I20" s="3">
        <v>3505.49</v>
      </c>
      <c r="J20" s="3">
        <v>3427.78</v>
      </c>
      <c r="K20" s="3">
        <v>2761.77</v>
      </c>
      <c r="L20" s="3">
        <v>2223.1799999999998</v>
      </c>
      <c r="M20" s="3">
        <v>3134.6</v>
      </c>
      <c r="N20" s="3">
        <v>22024.59</v>
      </c>
      <c r="O20" s="3">
        <v>2704.72</v>
      </c>
      <c r="P20">
        <v>18540.86</v>
      </c>
      <c r="Q20">
        <v>3536.61</v>
      </c>
      <c r="R20">
        <v>9617.2000000000007</v>
      </c>
      <c r="S20">
        <v>10623.31</v>
      </c>
      <c r="T20">
        <v>7189.76</v>
      </c>
      <c r="U20">
        <v>25751.7</v>
      </c>
      <c r="V20">
        <v>3495.94</v>
      </c>
      <c r="W20">
        <v>13890.32</v>
      </c>
      <c r="X20" s="5">
        <f t="shared" si="1"/>
        <v>5087.6304134237635</v>
      </c>
      <c r="Y20" s="5">
        <f t="shared" si="1"/>
        <v>5510.6791774067824</v>
      </c>
      <c r="Z20" s="5">
        <f t="shared" si="0"/>
        <v>932.63303366796151</v>
      </c>
      <c r="AA20" s="5">
        <f t="shared" si="2"/>
        <v>43270.17</v>
      </c>
      <c r="AB20" s="6">
        <f t="shared" si="3"/>
        <v>1.8852497143075835E-2</v>
      </c>
    </row>
    <row r="21" spans="1:28" x14ac:dyDescent="0.25">
      <c r="A21" t="s">
        <v>83</v>
      </c>
      <c r="B21" s="3">
        <v>5569.74</v>
      </c>
      <c r="C21" s="3">
        <v>13018.95</v>
      </c>
      <c r="D21" s="3">
        <v>57469.760000000002</v>
      </c>
      <c r="E21" s="3">
        <v>87126.34</v>
      </c>
      <c r="F21" s="3">
        <v>10375.469999999999</v>
      </c>
      <c r="G21" s="3">
        <v>7536.83</v>
      </c>
      <c r="H21" s="3">
        <v>0</v>
      </c>
      <c r="I21" s="3">
        <v>3605.21</v>
      </c>
      <c r="J21" s="3">
        <v>13069.73</v>
      </c>
      <c r="K21" s="3">
        <v>1721.26</v>
      </c>
      <c r="L21" s="3">
        <v>2617.0700000000002</v>
      </c>
      <c r="M21" s="3">
        <v>3680.06</v>
      </c>
      <c r="N21" s="3">
        <v>16699.04</v>
      </c>
      <c r="O21" s="3">
        <v>4523.4399999999996</v>
      </c>
      <c r="P21">
        <v>18021.97</v>
      </c>
      <c r="Q21">
        <v>4758.96</v>
      </c>
      <c r="R21">
        <v>6688.21</v>
      </c>
      <c r="S21">
        <v>4994.55</v>
      </c>
      <c r="T21">
        <v>4603.54</v>
      </c>
      <c r="U21">
        <v>30887.89</v>
      </c>
      <c r="V21">
        <v>4390.18</v>
      </c>
      <c r="W21">
        <v>15311.63</v>
      </c>
      <c r="X21" s="5">
        <f t="shared" si="1"/>
        <v>4614.2933429216528</v>
      </c>
      <c r="Y21" s="5">
        <f t="shared" si="1"/>
        <v>4997.9829855945</v>
      </c>
      <c r="Z21" s="5">
        <f t="shared" si="0"/>
        <v>845.86380081544939</v>
      </c>
      <c r="AA21" s="5">
        <f t="shared" si="2"/>
        <v>39244.449999999997</v>
      </c>
      <c r="AB21" s="6">
        <f t="shared" si="3"/>
        <v>1.7098520331826347E-2</v>
      </c>
    </row>
    <row r="22" spans="1:28" x14ac:dyDescent="0.25">
      <c r="A22" t="s">
        <v>84</v>
      </c>
      <c r="B22" s="3">
        <v>6360.32</v>
      </c>
      <c r="C22" s="3">
        <v>11450.62</v>
      </c>
      <c r="D22" s="3">
        <v>60350.41</v>
      </c>
      <c r="E22" s="3">
        <v>94832.77</v>
      </c>
      <c r="F22" s="3">
        <v>9344.85</v>
      </c>
      <c r="G22" s="3">
        <v>5550.44</v>
      </c>
      <c r="H22" s="3">
        <v>0</v>
      </c>
      <c r="I22" s="3">
        <v>3922.66</v>
      </c>
      <c r="J22" s="3">
        <v>8290.82</v>
      </c>
      <c r="K22" s="3">
        <v>2637.3</v>
      </c>
      <c r="L22" s="3">
        <v>1307.48</v>
      </c>
      <c r="M22" s="3">
        <v>1448.48</v>
      </c>
      <c r="N22" s="3">
        <v>13687.85</v>
      </c>
      <c r="O22" s="3">
        <v>2917.83</v>
      </c>
      <c r="P22">
        <v>20047.72</v>
      </c>
      <c r="Q22">
        <v>4214.82</v>
      </c>
      <c r="R22">
        <v>9166.1299999999992</v>
      </c>
      <c r="S22">
        <v>6583.38</v>
      </c>
      <c r="T22">
        <v>3442.86</v>
      </c>
      <c r="U22">
        <v>22283.040000000001</v>
      </c>
      <c r="V22">
        <v>3497.89</v>
      </c>
      <c r="W22">
        <v>13516.5</v>
      </c>
      <c r="X22" s="5">
        <f t="shared" si="1"/>
        <v>4309.6422453479281</v>
      </c>
      <c r="Y22" s="5">
        <f t="shared" si="1"/>
        <v>4667.9994130173682</v>
      </c>
      <c r="Z22" s="5">
        <f t="shared" si="0"/>
        <v>790.01704029000257</v>
      </c>
      <c r="AA22" s="5">
        <f t="shared" si="2"/>
        <v>36653.4</v>
      </c>
      <c r="AB22" s="6">
        <f t="shared" si="3"/>
        <v>1.5969618764705935E-2</v>
      </c>
    </row>
    <row r="23" spans="1:28" x14ac:dyDescent="0.25">
      <c r="A23" t="s">
        <v>85</v>
      </c>
      <c r="B23" s="3">
        <v>17717.79</v>
      </c>
      <c r="C23" s="3">
        <v>22077.1</v>
      </c>
      <c r="D23" s="3">
        <v>97139.76</v>
      </c>
      <c r="E23" s="3">
        <v>120016.81</v>
      </c>
      <c r="F23" s="3">
        <v>15909.11</v>
      </c>
      <c r="G23" s="3">
        <v>7651.97</v>
      </c>
      <c r="H23" s="3">
        <v>0</v>
      </c>
      <c r="I23" s="3">
        <v>2834.08</v>
      </c>
      <c r="J23" s="3">
        <v>6354.8</v>
      </c>
      <c r="K23" s="3">
        <v>1231.24</v>
      </c>
      <c r="L23" s="3">
        <v>1337.98</v>
      </c>
      <c r="M23" s="3">
        <v>1671.01</v>
      </c>
      <c r="N23" s="3">
        <v>22536.01</v>
      </c>
      <c r="O23" s="3">
        <v>3037.16</v>
      </c>
      <c r="P23">
        <v>21713.53</v>
      </c>
      <c r="Q23">
        <v>5048</v>
      </c>
      <c r="R23">
        <v>18718.77</v>
      </c>
      <c r="S23">
        <v>24074.18</v>
      </c>
      <c r="T23">
        <v>5278.8</v>
      </c>
      <c r="U23">
        <v>28342.91</v>
      </c>
      <c r="V23">
        <v>2899.41</v>
      </c>
      <c r="W23">
        <v>9183.44</v>
      </c>
      <c r="X23" s="5">
        <f t="shared" si="1"/>
        <v>5559.8869399044524</v>
      </c>
      <c r="Y23" s="5">
        <f t="shared" si="1"/>
        <v>6022.2049753509464</v>
      </c>
      <c r="Z23" s="5">
        <f t="shared" si="0"/>
        <v>1019.2041878538215</v>
      </c>
      <c r="AA23" s="5">
        <f t="shared" si="2"/>
        <v>47286.7</v>
      </c>
      <c r="AB23" s="6">
        <f t="shared" si="3"/>
        <v>2.0602469938423722E-2</v>
      </c>
    </row>
    <row r="24" spans="1:28" x14ac:dyDescent="0.25">
      <c r="A24" t="s">
        <v>52</v>
      </c>
      <c r="B24" s="3">
        <v>13273.05</v>
      </c>
      <c r="C24" s="3">
        <v>23659.08</v>
      </c>
      <c r="D24" s="3">
        <v>86792.13</v>
      </c>
      <c r="E24" s="3">
        <v>108584.18</v>
      </c>
      <c r="F24" s="3">
        <v>8957.14</v>
      </c>
      <c r="G24" s="3">
        <v>5430.75</v>
      </c>
      <c r="H24" s="3">
        <v>0</v>
      </c>
      <c r="I24" s="3">
        <v>4501.3999999999996</v>
      </c>
      <c r="J24" s="3">
        <v>6825.28</v>
      </c>
      <c r="K24" s="3">
        <v>3382.28</v>
      </c>
      <c r="L24" s="3">
        <v>1519.06</v>
      </c>
      <c r="M24" s="3">
        <v>2041.78</v>
      </c>
      <c r="N24" s="3">
        <v>16737.38</v>
      </c>
      <c r="O24" s="3">
        <v>5531.16</v>
      </c>
      <c r="P24">
        <v>13365.8</v>
      </c>
      <c r="Q24">
        <v>3447.39</v>
      </c>
      <c r="R24">
        <v>18293.900000000001</v>
      </c>
      <c r="S24">
        <v>8078.17</v>
      </c>
      <c r="T24">
        <v>3420.87</v>
      </c>
      <c r="U24">
        <v>17031.599999999999</v>
      </c>
      <c r="V24">
        <v>2609.38</v>
      </c>
      <c r="W24">
        <v>9709.77</v>
      </c>
      <c r="X24" s="5">
        <f t="shared" si="1"/>
        <v>4189.8229645569436</v>
      </c>
      <c r="Y24" s="5">
        <f t="shared" si="1"/>
        <v>4538.216869465351</v>
      </c>
      <c r="Z24" s="5">
        <f t="shared" si="0"/>
        <v>768.0525086209642</v>
      </c>
      <c r="AA24" s="5">
        <f t="shared" si="2"/>
        <v>35634.339999999997</v>
      </c>
      <c r="AB24" s="6">
        <f t="shared" si="3"/>
        <v>1.5525621763108231E-2</v>
      </c>
    </row>
    <row r="25" spans="1:28" x14ac:dyDescent="0.25">
      <c r="A25" t="s">
        <v>53</v>
      </c>
      <c r="B25" s="3">
        <v>21810.89</v>
      </c>
      <c r="C25" s="3">
        <v>23922.26</v>
      </c>
      <c r="D25" s="3">
        <v>109958.19</v>
      </c>
      <c r="E25" s="3">
        <v>151607.91</v>
      </c>
      <c r="F25" s="3">
        <v>10577.38</v>
      </c>
      <c r="G25" s="3">
        <v>4839.91</v>
      </c>
      <c r="H25" s="3">
        <v>0</v>
      </c>
      <c r="I25" s="3">
        <v>4985.22</v>
      </c>
      <c r="J25" s="3">
        <v>9050.34</v>
      </c>
      <c r="K25" s="3">
        <v>1646.33</v>
      </c>
      <c r="L25" s="3">
        <v>2100.75</v>
      </c>
      <c r="M25" s="3">
        <v>2391.11</v>
      </c>
      <c r="N25" s="3">
        <v>17879.240000000002</v>
      </c>
      <c r="O25" s="3">
        <v>6890.6</v>
      </c>
      <c r="P25">
        <v>16409.169999999998</v>
      </c>
      <c r="Q25">
        <v>6357.01</v>
      </c>
      <c r="R25">
        <v>18808.759999999998</v>
      </c>
      <c r="S25">
        <v>16195.9</v>
      </c>
      <c r="T25">
        <v>7212.42</v>
      </c>
      <c r="U25">
        <v>28236.04</v>
      </c>
      <c r="V25">
        <v>4350.5</v>
      </c>
      <c r="W25">
        <v>11288.36</v>
      </c>
      <c r="X25" s="5">
        <f t="shared" si="1"/>
        <v>4841.7555020163145</v>
      </c>
      <c r="Y25" s="5">
        <f t="shared" si="1"/>
        <v>5244.3591729181016</v>
      </c>
      <c r="Z25" s="5">
        <f t="shared" si="0"/>
        <v>887.56076113736844</v>
      </c>
      <c r="AA25" s="5">
        <f t="shared" si="2"/>
        <v>41179.01</v>
      </c>
      <c r="AB25" s="6">
        <f t="shared" si="3"/>
        <v>1.7941393999138234E-2</v>
      </c>
    </row>
    <row r="26" spans="1:28" x14ac:dyDescent="0.25">
      <c r="A26" t="s">
        <v>86</v>
      </c>
      <c r="B26" s="3">
        <v>15101.27</v>
      </c>
      <c r="C26" s="3">
        <v>13119.79</v>
      </c>
      <c r="D26" s="3">
        <v>78731.75</v>
      </c>
      <c r="E26" s="3">
        <v>105344.04</v>
      </c>
      <c r="F26" s="3">
        <v>5505.6</v>
      </c>
      <c r="G26" s="3">
        <v>1995.39</v>
      </c>
      <c r="H26" s="3">
        <v>0</v>
      </c>
      <c r="I26" s="3">
        <v>1442.7</v>
      </c>
      <c r="J26" s="3">
        <v>3451.51</v>
      </c>
      <c r="K26" s="3">
        <v>1837.69</v>
      </c>
      <c r="L26" s="3">
        <v>1302.31</v>
      </c>
      <c r="M26" s="3">
        <v>1202.19</v>
      </c>
      <c r="N26" s="3">
        <v>12494.3</v>
      </c>
      <c r="O26" s="3">
        <v>6894.21</v>
      </c>
      <c r="P26">
        <v>15254.35</v>
      </c>
      <c r="Q26">
        <v>3804.44</v>
      </c>
      <c r="R26">
        <v>16049.18</v>
      </c>
      <c r="S26">
        <v>17241.900000000001</v>
      </c>
      <c r="T26">
        <v>5097.04</v>
      </c>
      <c r="U26">
        <v>23162.06</v>
      </c>
      <c r="V26">
        <v>3976.66</v>
      </c>
      <c r="W26">
        <v>11511.75</v>
      </c>
      <c r="X26" s="5">
        <f t="shared" si="1"/>
        <v>4073.2464916126182</v>
      </c>
      <c r="Y26" s="5">
        <f t="shared" si="1"/>
        <v>4411.9467810692286</v>
      </c>
      <c r="Z26" s="5">
        <f t="shared" si="0"/>
        <v>746.68242848906027</v>
      </c>
      <c r="AA26" s="5">
        <f t="shared" si="2"/>
        <v>34642.86</v>
      </c>
      <c r="AB26" s="6">
        <f t="shared" si="3"/>
        <v>1.5093641166142313E-2</v>
      </c>
    </row>
    <row r="27" spans="1:28" x14ac:dyDescent="0.25">
      <c r="A27" t="s">
        <v>54</v>
      </c>
      <c r="B27" s="3">
        <v>19160.419999999998</v>
      </c>
      <c r="C27" s="3">
        <v>24716.92</v>
      </c>
      <c r="D27" s="3">
        <v>131835.5</v>
      </c>
      <c r="E27" s="3">
        <v>133575.32999999999</v>
      </c>
      <c r="F27" s="3">
        <v>40206.47</v>
      </c>
      <c r="G27" s="3">
        <v>13574.33</v>
      </c>
      <c r="H27" s="3">
        <v>0</v>
      </c>
      <c r="I27" s="3">
        <v>9038.0499999999993</v>
      </c>
      <c r="J27" s="3">
        <v>34491.19</v>
      </c>
      <c r="K27" s="3">
        <v>5303.24</v>
      </c>
      <c r="L27" s="3">
        <v>5108.29</v>
      </c>
      <c r="M27" s="3">
        <v>4558.83</v>
      </c>
      <c r="N27" s="3">
        <v>23625.53</v>
      </c>
      <c r="O27" s="3">
        <v>9325.2000000000007</v>
      </c>
      <c r="P27">
        <v>19652.47</v>
      </c>
      <c r="Q27">
        <v>5062.8999999999996</v>
      </c>
      <c r="R27">
        <v>17935.93</v>
      </c>
      <c r="S27">
        <v>16047.01</v>
      </c>
      <c r="T27">
        <v>4717.97</v>
      </c>
      <c r="U27">
        <v>39071.42</v>
      </c>
      <c r="V27">
        <v>3739.67</v>
      </c>
      <c r="W27">
        <v>24716.27</v>
      </c>
      <c r="X27" s="5">
        <f t="shared" si="1"/>
        <v>6184.9916504467828</v>
      </c>
      <c r="Y27" s="5">
        <f t="shared" si="1"/>
        <v>6699.2886532445882</v>
      </c>
      <c r="Z27" s="5">
        <f t="shared" si="0"/>
        <v>1133.79452857806</v>
      </c>
      <c r="AA27" s="5">
        <f t="shared" si="2"/>
        <v>52603.199999999997</v>
      </c>
      <c r="AB27" s="6">
        <f t="shared" si="3"/>
        <v>2.2918830171377802E-2</v>
      </c>
    </row>
    <row r="28" spans="1:28" x14ac:dyDescent="0.25">
      <c r="A28" t="s">
        <v>55</v>
      </c>
      <c r="B28" s="3">
        <v>12844.2</v>
      </c>
      <c r="C28" s="3">
        <v>27559.72</v>
      </c>
      <c r="D28" s="3">
        <v>129260.39</v>
      </c>
      <c r="E28" s="3">
        <v>117353.01</v>
      </c>
      <c r="F28" s="3">
        <v>65945.5</v>
      </c>
      <c r="G28" s="3">
        <v>19878.16</v>
      </c>
      <c r="H28" s="3">
        <v>0</v>
      </c>
      <c r="I28" s="3">
        <v>4852.3</v>
      </c>
      <c r="J28" s="3">
        <v>14660.19</v>
      </c>
      <c r="K28" s="3">
        <v>2393.0700000000002</v>
      </c>
      <c r="L28" s="3">
        <v>3270.9</v>
      </c>
      <c r="M28" s="3">
        <v>3448.37</v>
      </c>
      <c r="N28" s="3">
        <v>14672.27</v>
      </c>
      <c r="O28" s="3">
        <v>2432.73</v>
      </c>
      <c r="P28">
        <v>10495.93</v>
      </c>
      <c r="Q28">
        <v>5887.58</v>
      </c>
      <c r="R28">
        <v>18245.34</v>
      </c>
      <c r="S28">
        <v>15686.74</v>
      </c>
      <c r="T28">
        <v>5399.63</v>
      </c>
      <c r="U28">
        <v>25787.81</v>
      </c>
      <c r="V28">
        <v>3921.33</v>
      </c>
      <c r="W28">
        <v>9105.08</v>
      </c>
      <c r="X28" s="5">
        <f t="shared" si="1"/>
        <v>3245.2687592117236</v>
      </c>
      <c r="Y28" s="5">
        <f t="shared" si="1"/>
        <v>3515.1206992730131</v>
      </c>
      <c r="Z28" s="5">
        <f t="shared" si="0"/>
        <v>594.90265644801138</v>
      </c>
      <c r="AA28" s="5">
        <f t="shared" si="2"/>
        <v>27600.93</v>
      </c>
      <c r="AB28" s="6">
        <f t="shared" si="3"/>
        <v>1.2025523679967887E-2</v>
      </c>
    </row>
    <row r="29" spans="1:28" x14ac:dyDescent="0.25">
      <c r="A29" t="s">
        <v>56</v>
      </c>
      <c r="B29" s="3">
        <v>11762.22</v>
      </c>
      <c r="C29" s="3">
        <v>29896.67</v>
      </c>
      <c r="D29" s="3">
        <v>133970.07999999999</v>
      </c>
      <c r="E29" s="3">
        <v>126342.95</v>
      </c>
      <c r="F29" s="3">
        <v>54742.86</v>
      </c>
      <c r="G29" s="3">
        <v>19082.52</v>
      </c>
      <c r="H29" s="3">
        <v>0</v>
      </c>
      <c r="I29" s="3">
        <v>3263.62</v>
      </c>
      <c r="J29" s="3">
        <v>14374.9</v>
      </c>
      <c r="K29" s="3">
        <v>1995.35</v>
      </c>
      <c r="L29" s="3">
        <v>3474.3</v>
      </c>
      <c r="M29" s="3">
        <v>3309.64</v>
      </c>
      <c r="N29" s="3">
        <v>13983.12</v>
      </c>
      <c r="O29" s="3">
        <v>2004.39</v>
      </c>
      <c r="P29">
        <v>10299.39</v>
      </c>
      <c r="Q29">
        <v>4326.24</v>
      </c>
      <c r="R29">
        <v>14831.71</v>
      </c>
      <c r="S29">
        <v>12857.22</v>
      </c>
      <c r="T29">
        <v>4392.7299999999996</v>
      </c>
      <c r="U29">
        <v>29124.9</v>
      </c>
      <c r="V29">
        <v>3931.32</v>
      </c>
      <c r="W29">
        <v>12391.62</v>
      </c>
      <c r="X29" s="5">
        <f t="shared" si="1"/>
        <v>3090.7674251020767</v>
      </c>
      <c r="Y29" s="5">
        <f t="shared" si="1"/>
        <v>3347.7722058539252</v>
      </c>
      <c r="Z29" s="5">
        <f t="shared" si="0"/>
        <v>566.58042463725792</v>
      </c>
      <c r="AA29" s="5">
        <f t="shared" si="2"/>
        <v>26286.9</v>
      </c>
      <c r="AB29" s="6">
        <f t="shared" si="3"/>
        <v>1.145301040301714E-2</v>
      </c>
    </row>
    <row r="30" spans="1:28" x14ac:dyDescent="0.25">
      <c r="A30" t="s">
        <v>57</v>
      </c>
      <c r="B30" s="3">
        <v>15227.76</v>
      </c>
      <c r="C30" s="3">
        <v>23618.79</v>
      </c>
      <c r="D30" s="3">
        <v>68612.479999999996</v>
      </c>
      <c r="E30" s="3">
        <v>65905.850000000006</v>
      </c>
      <c r="F30" s="3">
        <v>10965.98</v>
      </c>
      <c r="G30" s="3">
        <v>8412.19</v>
      </c>
      <c r="H30" s="3">
        <v>0</v>
      </c>
      <c r="I30" s="3">
        <v>1617.7</v>
      </c>
      <c r="J30" s="3">
        <v>4812.25</v>
      </c>
      <c r="K30" s="3">
        <v>1526.63</v>
      </c>
      <c r="L30" s="3">
        <v>1928.16</v>
      </c>
      <c r="M30" s="3">
        <v>1507.42</v>
      </c>
      <c r="N30" s="3">
        <v>5364.71</v>
      </c>
      <c r="O30" s="3">
        <v>2106.9899999999998</v>
      </c>
      <c r="P30">
        <v>7272.7</v>
      </c>
      <c r="Q30">
        <v>2906.21</v>
      </c>
      <c r="R30">
        <v>7025.9</v>
      </c>
      <c r="S30">
        <v>7760.22</v>
      </c>
      <c r="T30">
        <v>6115.21</v>
      </c>
      <c r="U30">
        <v>45532.18</v>
      </c>
      <c r="V30">
        <v>4387.62</v>
      </c>
      <c r="W30">
        <v>20440.009999999998</v>
      </c>
      <c r="X30" s="5">
        <f t="shared" si="1"/>
        <v>1733.620595151009</v>
      </c>
      <c r="Y30" s="5">
        <f t="shared" si="1"/>
        <v>1877.7753372209202</v>
      </c>
      <c r="Z30" s="5">
        <f t="shared" si="0"/>
        <v>317.79663684274618</v>
      </c>
      <c r="AA30" s="5">
        <f t="shared" si="2"/>
        <v>14744.4</v>
      </c>
      <c r="AB30" s="6">
        <f t="shared" si="3"/>
        <v>6.4240274275873498E-3</v>
      </c>
    </row>
    <row r="31" spans="1:28" x14ac:dyDescent="0.25">
      <c r="A31" t="s">
        <v>58</v>
      </c>
      <c r="B31" s="3">
        <v>5803</v>
      </c>
      <c r="C31" s="3">
        <v>8079.35</v>
      </c>
      <c r="D31" s="3">
        <v>37160.769999999997</v>
      </c>
      <c r="E31" s="3">
        <v>49931.9</v>
      </c>
      <c r="F31" s="3">
        <v>12986.26</v>
      </c>
      <c r="G31" s="3">
        <v>5574.16</v>
      </c>
      <c r="H31" s="3">
        <v>0</v>
      </c>
      <c r="I31" s="3">
        <v>4624.46</v>
      </c>
      <c r="J31" s="3">
        <v>4120.3999999999996</v>
      </c>
      <c r="K31" s="3">
        <v>2998.11</v>
      </c>
      <c r="L31" s="3">
        <v>1176</v>
      </c>
      <c r="M31" s="3">
        <v>1403.25</v>
      </c>
      <c r="N31" s="3">
        <v>15718.56</v>
      </c>
      <c r="O31" s="3">
        <v>5726.16</v>
      </c>
      <c r="P31">
        <v>13686.75</v>
      </c>
      <c r="Q31">
        <v>3591.06</v>
      </c>
      <c r="R31">
        <v>7740.99</v>
      </c>
      <c r="S31">
        <v>11760.82</v>
      </c>
      <c r="T31">
        <v>5095.1499999999996</v>
      </c>
      <c r="U31">
        <v>34622.1</v>
      </c>
      <c r="V31">
        <v>3403.15</v>
      </c>
      <c r="W31">
        <v>16983.439999999999</v>
      </c>
      <c r="X31" s="5">
        <f t="shared" si="1"/>
        <v>4130.6963952368233</v>
      </c>
      <c r="Y31" s="5">
        <f t="shared" si="1"/>
        <v>4474.1737830170541</v>
      </c>
      <c r="Z31" s="5">
        <f t="shared" si="0"/>
        <v>757.2137905470438</v>
      </c>
      <c r="AA31" s="5">
        <f t="shared" si="2"/>
        <v>35131.47</v>
      </c>
      <c r="AB31" s="6">
        <f t="shared" si="3"/>
        <v>1.5306524975683118E-2</v>
      </c>
    </row>
    <row r="32" spans="1:28" x14ac:dyDescent="0.25">
      <c r="A32" t="s">
        <v>181</v>
      </c>
      <c r="B32" s="3">
        <v>8199.27</v>
      </c>
      <c r="C32" s="3">
        <v>8342.8700000000008</v>
      </c>
      <c r="D32" s="3">
        <v>79651.740000000005</v>
      </c>
      <c r="E32" s="3">
        <v>82386.320000000007</v>
      </c>
      <c r="F32" s="3">
        <v>3936.12</v>
      </c>
      <c r="G32" s="3">
        <v>3372.19</v>
      </c>
      <c r="H32" s="3">
        <v>0</v>
      </c>
      <c r="I32" s="3">
        <v>1905.62</v>
      </c>
      <c r="J32" s="3">
        <v>7959.6</v>
      </c>
      <c r="K32" s="3">
        <v>803.24</v>
      </c>
      <c r="L32" s="3">
        <v>0</v>
      </c>
      <c r="M32" s="3">
        <v>3513.5</v>
      </c>
      <c r="N32" s="3">
        <v>25197.439999999999</v>
      </c>
      <c r="O32" s="3">
        <v>15778.28</v>
      </c>
      <c r="P32">
        <v>18832.54</v>
      </c>
      <c r="Q32">
        <v>2809.36</v>
      </c>
      <c r="R32">
        <v>20277.400000000001</v>
      </c>
      <c r="S32">
        <v>22979.599999999999</v>
      </c>
      <c r="T32">
        <v>1719.6</v>
      </c>
      <c r="U32">
        <v>14174.27</v>
      </c>
      <c r="V32">
        <v>1371.33</v>
      </c>
      <c r="W32">
        <v>5374.35</v>
      </c>
      <c r="X32" s="5">
        <f t="shared" si="1"/>
        <v>7032.1499210646953</v>
      </c>
      <c r="Y32" s="5">
        <f t="shared" si="1"/>
        <v>7616.8901813635339</v>
      </c>
      <c r="Z32" s="5">
        <f t="shared" si="0"/>
        <v>1289.0903586050667</v>
      </c>
      <c r="AA32" s="5">
        <f t="shared" si="2"/>
        <v>59808.26</v>
      </c>
      <c r="AB32" s="6">
        <f t="shared" si="3"/>
        <v>2.6058022207500843E-2</v>
      </c>
    </row>
    <row r="33" spans="1:28" x14ac:dyDescent="0.25">
      <c r="A33" t="s">
        <v>87</v>
      </c>
      <c r="B33" s="3">
        <v>8529.0400000000009</v>
      </c>
      <c r="C33" s="3">
        <v>13869.87</v>
      </c>
      <c r="D33" s="3">
        <v>51825.47</v>
      </c>
      <c r="E33" s="3">
        <v>56051.42</v>
      </c>
      <c r="F33" s="3">
        <v>5178.0200000000004</v>
      </c>
      <c r="G33" s="3">
        <v>2559.65</v>
      </c>
      <c r="H33" s="3">
        <v>0</v>
      </c>
      <c r="I33" s="3">
        <v>2955.37</v>
      </c>
      <c r="J33" s="3">
        <v>6465.46</v>
      </c>
      <c r="K33" s="3">
        <v>1616.73</v>
      </c>
      <c r="L33" s="3">
        <v>866.13</v>
      </c>
      <c r="M33" s="3">
        <v>894.53</v>
      </c>
      <c r="N33" s="3">
        <v>14690.81</v>
      </c>
      <c r="O33" s="3">
        <v>2813.37</v>
      </c>
      <c r="P33">
        <v>17795.29</v>
      </c>
      <c r="Q33">
        <v>2882.45</v>
      </c>
      <c r="R33">
        <v>7036.93</v>
      </c>
      <c r="S33">
        <v>6469.47</v>
      </c>
      <c r="T33">
        <v>1594.78</v>
      </c>
      <c r="U33">
        <v>18557.66</v>
      </c>
      <c r="V33">
        <v>3321.1</v>
      </c>
      <c r="W33">
        <v>6626.95</v>
      </c>
      <c r="X33" s="5">
        <f t="shared" si="1"/>
        <v>4150.4495394804262</v>
      </c>
      <c r="Y33" s="5">
        <f t="shared" si="1"/>
        <v>4495.5694489412772</v>
      </c>
      <c r="Z33" s="5">
        <f t="shared" si="0"/>
        <v>760.83481513872493</v>
      </c>
      <c r="AA33" s="5">
        <f t="shared" si="2"/>
        <v>35299.47</v>
      </c>
      <c r="AB33" s="6">
        <f t="shared" si="3"/>
        <v>1.537972134907469E-2</v>
      </c>
    </row>
    <row r="34" spans="1:28" x14ac:dyDescent="0.25">
      <c r="A34" t="s">
        <v>59</v>
      </c>
      <c r="B34" s="3">
        <v>9789.86</v>
      </c>
      <c r="C34" s="3">
        <v>20480.060000000001</v>
      </c>
      <c r="D34" s="3">
        <v>66608.19</v>
      </c>
      <c r="E34" s="3">
        <v>103500.44</v>
      </c>
      <c r="F34" s="3">
        <v>18458.689999999999</v>
      </c>
      <c r="G34" s="3">
        <v>10600.28</v>
      </c>
      <c r="H34" s="3">
        <v>0</v>
      </c>
      <c r="I34" s="3">
        <v>5655.48</v>
      </c>
      <c r="J34" s="3">
        <v>19921.27</v>
      </c>
      <c r="K34" s="3">
        <v>2261.02</v>
      </c>
      <c r="L34" s="3">
        <v>4552.79</v>
      </c>
      <c r="M34" s="3">
        <v>5834.32</v>
      </c>
      <c r="N34" s="3">
        <v>24561.53</v>
      </c>
      <c r="O34" s="3">
        <v>10130.44</v>
      </c>
      <c r="P34">
        <v>29283.82</v>
      </c>
      <c r="Q34">
        <v>9540.74</v>
      </c>
      <c r="R34">
        <v>19070.98</v>
      </c>
      <c r="S34">
        <v>13009.94</v>
      </c>
      <c r="T34">
        <v>9868.69</v>
      </c>
      <c r="U34">
        <v>43389.79</v>
      </c>
      <c r="V34">
        <v>5898.09</v>
      </c>
      <c r="W34">
        <v>18395.47</v>
      </c>
      <c r="X34" s="5">
        <f t="shared" si="1"/>
        <v>7522.1607617167183</v>
      </c>
      <c r="Y34" s="5">
        <f t="shared" si="1"/>
        <v>8147.6466076086372</v>
      </c>
      <c r="Z34" s="5">
        <f t="shared" si="0"/>
        <v>1378.9161241798781</v>
      </c>
      <c r="AA34" s="5">
        <f t="shared" si="2"/>
        <v>63975.79</v>
      </c>
      <c r="AB34" s="6">
        <f t="shared" si="3"/>
        <v>2.7873784600361395E-2</v>
      </c>
    </row>
    <row r="35" spans="1:28" x14ac:dyDescent="0.25">
      <c r="A35" t="s">
        <v>172</v>
      </c>
      <c r="B35" s="3">
        <v>6900.91</v>
      </c>
      <c r="C35" s="3">
        <v>18583.87</v>
      </c>
      <c r="D35" s="3">
        <v>70615.399999999994</v>
      </c>
      <c r="E35" s="3">
        <v>96120.52</v>
      </c>
      <c r="F35" s="3">
        <v>11371.95</v>
      </c>
      <c r="G35" s="3">
        <v>6439.12</v>
      </c>
      <c r="H35" s="3">
        <v>0</v>
      </c>
      <c r="I35" s="3">
        <v>4387.3900000000003</v>
      </c>
      <c r="J35" s="3">
        <v>18843.97</v>
      </c>
      <c r="K35" s="3">
        <v>2340.7800000000002</v>
      </c>
      <c r="L35" s="3">
        <v>2957.3</v>
      </c>
      <c r="M35" s="3">
        <v>3536.78</v>
      </c>
      <c r="N35" s="3">
        <v>11491.4</v>
      </c>
      <c r="O35" s="3">
        <v>4057.83</v>
      </c>
      <c r="P35">
        <v>14777.7</v>
      </c>
      <c r="Q35">
        <v>4677.4399999999996</v>
      </c>
      <c r="R35">
        <v>10265.030000000001</v>
      </c>
      <c r="S35">
        <v>8561.23</v>
      </c>
      <c r="T35">
        <v>6072.64</v>
      </c>
      <c r="U35">
        <v>26614.01</v>
      </c>
      <c r="V35">
        <v>3067.37</v>
      </c>
      <c r="W35">
        <v>12988.52</v>
      </c>
      <c r="X35" s="5">
        <f t="shared" si="1"/>
        <v>3565.7870402120798</v>
      </c>
      <c r="Y35" s="5">
        <f t="shared" si="1"/>
        <v>3862.2908499243949</v>
      </c>
      <c r="Z35" s="5">
        <f t="shared" si="0"/>
        <v>653.65809119159712</v>
      </c>
      <c r="AA35" s="5">
        <f t="shared" si="2"/>
        <v>30326.93</v>
      </c>
      <c r="AB35" s="6">
        <f t="shared" si="3"/>
        <v>1.3213221976785873E-2</v>
      </c>
    </row>
    <row r="36" spans="1:28" x14ac:dyDescent="0.25">
      <c r="A36" t="s">
        <v>88</v>
      </c>
      <c r="B36" s="3">
        <v>10078.07</v>
      </c>
      <c r="C36" s="3">
        <v>16886.39</v>
      </c>
      <c r="D36" s="3">
        <v>64339.59</v>
      </c>
      <c r="E36" s="3">
        <v>119177.88</v>
      </c>
      <c r="F36" s="3">
        <v>10276.379999999999</v>
      </c>
      <c r="G36" s="3">
        <v>7441.12</v>
      </c>
      <c r="H36" s="3">
        <v>0</v>
      </c>
      <c r="I36" s="3">
        <v>5056.97</v>
      </c>
      <c r="J36" s="3">
        <v>16428.53</v>
      </c>
      <c r="K36" s="3">
        <v>2614.81</v>
      </c>
      <c r="L36" s="3">
        <v>2099.5300000000002</v>
      </c>
      <c r="M36" s="3">
        <v>2176.96</v>
      </c>
      <c r="N36" s="3">
        <v>14380.21</v>
      </c>
      <c r="O36" s="3">
        <v>3754.9</v>
      </c>
      <c r="P36">
        <v>19361.060000000001</v>
      </c>
      <c r="Q36">
        <v>8986.6200000000008</v>
      </c>
      <c r="R36">
        <v>17179.03</v>
      </c>
      <c r="S36">
        <v>11177.1</v>
      </c>
      <c r="T36">
        <v>5686.23</v>
      </c>
      <c r="U36">
        <v>19836.73</v>
      </c>
      <c r="V36">
        <v>3617.6</v>
      </c>
      <c r="W36">
        <v>12369.04</v>
      </c>
      <c r="X36" s="5">
        <f t="shared" si="1"/>
        <v>4408.7336582894804</v>
      </c>
      <c r="Y36" s="5">
        <f t="shared" si="1"/>
        <v>4775.3305164159246</v>
      </c>
      <c r="Z36" s="5">
        <f t="shared" si="0"/>
        <v>808.18186704673474</v>
      </c>
      <c r="AA36" s="5">
        <f t="shared" si="2"/>
        <v>37496.17</v>
      </c>
      <c r="AB36" s="6">
        <f t="shared" si="3"/>
        <v>1.6336807500439351E-2</v>
      </c>
    </row>
    <row r="37" spans="1:28" x14ac:dyDescent="0.25">
      <c r="A37" t="s">
        <v>60</v>
      </c>
      <c r="B37" s="3">
        <v>6149.63</v>
      </c>
      <c r="C37" s="3">
        <v>13097.98</v>
      </c>
      <c r="D37" s="3">
        <v>50120.19</v>
      </c>
      <c r="E37" s="3">
        <v>85862.38</v>
      </c>
      <c r="F37" s="3">
        <v>6525.05</v>
      </c>
      <c r="G37" s="3">
        <v>4790.8999999999996</v>
      </c>
      <c r="H37" s="3">
        <v>0</v>
      </c>
      <c r="I37" s="3">
        <v>2137.5700000000002</v>
      </c>
      <c r="J37" s="3">
        <v>8511.65</v>
      </c>
      <c r="K37" s="3">
        <v>1586.63</v>
      </c>
      <c r="L37" s="3">
        <v>2895.45</v>
      </c>
      <c r="M37" s="3">
        <v>0</v>
      </c>
      <c r="N37" s="3">
        <v>17230.740000000002</v>
      </c>
      <c r="O37" s="3">
        <v>7210.37</v>
      </c>
      <c r="P37">
        <v>18480.82</v>
      </c>
      <c r="Q37">
        <v>4522.7700000000004</v>
      </c>
      <c r="R37">
        <v>8427.33</v>
      </c>
      <c r="S37">
        <v>5885.59</v>
      </c>
      <c r="T37">
        <v>4428.8</v>
      </c>
      <c r="U37">
        <v>34851.32</v>
      </c>
      <c r="V37">
        <v>3165.08</v>
      </c>
      <c r="W37">
        <v>14984.8</v>
      </c>
      <c r="X37" s="5">
        <f t="shared" si="1"/>
        <v>5046.6849672845246</v>
      </c>
      <c r="Y37" s="5">
        <f t="shared" si="1"/>
        <v>5466.3290184695707</v>
      </c>
      <c r="Z37" s="5">
        <f t="shared" si="0"/>
        <v>925.12716697863414</v>
      </c>
      <c r="AA37" s="5">
        <f t="shared" si="2"/>
        <v>42921.93</v>
      </c>
      <c r="AB37" s="6">
        <f t="shared" si="3"/>
        <v>1.8700771517659878E-2</v>
      </c>
    </row>
    <row r="38" spans="1:28" x14ac:dyDescent="0.25">
      <c r="A38" t="s">
        <v>89</v>
      </c>
      <c r="B38" s="3">
        <v>12352.06</v>
      </c>
      <c r="C38" s="3">
        <v>24391.53</v>
      </c>
      <c r="D38" s="3">
        <v>98137.98</v>
      </c>
      <c r="E38" s="3">
        <v>129191.91</v>
      </c>
      <c r="F38" s="3">
        <v>13098.6</v>
      </c>
      <c r="G38" s="3">
        <v>5253.48</v>
      </c>
      <c r="H38" s="3">
        <v>0</v>
      </c>
      <c r="I38" s="3">
        <v>1640.4</v>
      </c>
      <c r="J38" s="3">
        <v>5538.57</v>
      </c>
      <c r="K38" s="3">
        <v>657.48</v>
      </c>
      <c r="L38" s="3">
        <v>1289.04</v>
      </c>
      <c r="M38" s="3">
        <v>1559.96</v>
      </c>
      <c r="N38" s="3">
        <v>10354.870000000001</v>
      </c>
      <c r="O38" s="3">
        <v>4015.36</v>
      </c>
      <c r="P38">
        <v>16656.61</v>
      </c>
      <c r="Q38">
        <v>2748.4</v>
      </c>
      <c r="R38">
        <v>12390.85</v>
      </c>
      <c r="S38">
        <v>20659.38</v>
      </c>
      <c r="T38">
        <v>4271.72</v>
      </c>
      <c r="U38">
        <v>18952.43</v>
      </c>
      <c r="V38">
        <v>3546.61</v>
      </c>
      <c r="W38">
        <v>8918.2000000000007</v>
      </c>
      <c r="X38" s="5">
        <f t="shared" si="1"/>
        <v>3648.0812258521973</v>
      </c>
      <c r="Y38" s="5">
        <f t="shared" si="1"/>
        <v>3951.4279959781038</v>
      </c>
      <c r="Z38" s="5">
        <f t="shared" si="0"/>
        <v>668.74375382233211</v>
      </c>
      <c r="AA38" s="5">
        <f t="shared" si="2"/>
        <v>31026.840000000004</v>
      </c>
      <c r="AB38" s="6">
        <f t="shared" si="3"/>
        <v>1.3518167653574532E-2</v>
      </c>
    </row>
    <row r="39" spans="1:28" x14ac:dyDescent="0.25">
      <c r="A39" t="s">
        <v>61</v>
      </c>
      <c r="B39" s="3">
        <v>36553.370000000003</v>
      </c>
      <c r="C39" s="3">
        <v>24713.8</v>
      </c>
      <c r="D39" s="3">
        <v>118551.83</v>
      </c>
      <c r="E39" s="3">
        <v>126813.23</v>
      </c>
      <c r="F39" s="3">
        <v>12441.9</v>
      </c>
      <c r="G39" s="3">
        <v>4580.21</v>
      </c>
      <c r="H39" s="3">
        <v>0</v>
      </c>
      <c r="I39" s="3">
        <v>4516.4799999999996</v>
      </c>
      <c r="J39" s="3">
        <v>14180.46</v>
      </c>
      <c r="K39" s="3">
        <v>1365.67</v>
      </c>
      <c r="L39" s="3">
        <v>1754.98</v>
      </c>
      <c r="M39" s="3">
        <v>2104.61</v>
      </c>
      <c r="N39" s="3">
        <v>16079.71</v>
      </c>
      <c r="O39" s="3">
        <v>7553.45</v>
      </c>
      <c r="P39">
        <v>13718.36</v>
      </c>
      <c r="Q39">
        <v>4482.74</v>
      </c>
      <c r="R39">
        <v>14931.66</v>
      </c>
      <c r="S39">
        <v>17683.86</v>
      </c>
      <c r="T39">
        <v>4812.96</v>
      </c>
      <c r="U39">
        <v>39130.089999999997</v>
      </c>
      <c r="V39">
        <v>3639.06</v>
      </c>
      <c r="W39">
        <v>16735.88</v>
      </c>
      <c r="X39" s="5">
        <f t="shared" si="1"/>
        <v>4391.7259659392603</v>
      </c>
      <c r="Y39" s="5">
        <f t="shared" si="1"/>
        <v>4756.9085933448605</v>
      </c>
      <c r="Z39" s="5">
        <f t="shared" si="0"/>
        <v>805.06412176586196</v>
      </c>
      <c r="AA39" s="5">
        <f t="shared" si="2"/>
        <v>37351.520000000004</v>
      </c>
      <c r="AB39" s="6">
        <f t="shared" si="3"/>
        <v>1.6273784551563815E-2</v>
      </c>
    </row>
    <row r="40" spans="1:28" x14ac:dyDescent="0.25">
      <c r="A40" t="s">
        <v>62</v>
      </c>
      <c r="B40" s="3">
        <v>22204.959999999999</v>
      </c>
      <c r="C40" s="3">
        <v>18160.080000000002</v>
      </c>
      <c r="D40" s="3">
        <v>79783.25</v>
      </c>
      <c r="E40" s="3">
        <v>74077.8</v>
      </c>
      <c r="F40" s="3">
        <v>8882.52</v>
      </c>
      <c r="G40" s="3">
        <v>4636.54</v>
      </c>
      <c r="H40" s="3">
        <v>0</v>
      </c>
      <c r="I40" s="3">
        <v>2104.48</v>
      </c>
      <c r="J40" s="3">
        <v>7569.28</v>
      </c>
      <c r="K40" s="3">
        <v>1122.1600000000001</v>
      </c>
      <c r="L40" s="3">
        <v>1145.8699999999999</v>
      </c>
      <c r="M40" s="3">
        <v>1939.14</v>
      </c>
      <c r="N40" s="3">
        <v>11111.5</v>
      </c>
      <c r="O40" s="3">
        <v>4276.3</v>
      </c>
      <c r="P40">
        <v>9134.41</v>
      </c>
      <c r="Q40">
        <v>2445</v>
      </c>
      <c r="R40">
        <v>7834.62</v>
      </c>
      <c r="S40">
        <v>10169.51</v>
      </c>
      <c r="T40">
        <v>1677.52</v>
      </c>
      <c r="U40">
        <v>24147.39</v>
      </c>
      <c r="V40">
        <v>2769.45</v>
      </c>
      <c r="W40">
        <v>9190.06</v>
      </c>
      <c r="X40" s="5">
        <f t="shared" si="1"/>
        <v>2883.2782815589662</v>
      </c>
      <c r="Y40" s="5">
        <f t="shared" si="1"/>
        <v>3123.0298385931083</v>
      </c>
      <c r="Z40" s="5">
        <f t="shared" si="0"/>
        <v>528.54479435932012</v>
      </c>
      <c r="AA40" s="5">
        <f t="shared" si="2"/>
        <v>24522.21</v>
      </c>
      <c r="AB40" s="6">
        <f t="shared" si="3"/>
        <v>1.0684147854443504E-2</v>
      </c>
    </row>
    <row r="41" spans="1:28" x14ac:dyDescent="0.25">
      <c r="A41" t="s">
        <v>63</v>
      </c>
      <c r="B41" s="3">
        <v>6788.71</v>
      </c>
      <c r="C41" s="3">
        <v>11771.58</v>
      </c>
      <c r="D41" s="3">
        <v>42623.64</v>
      </c>
      <c r="E41" s="3">
        <v>61239.87</v>
      </c>
      <c r="F41" s="3">
        <v>10108.98</v>
      </c>
      <c r="G41" s="3">
        <v>4151.45</v>
      </c>
      <c r="H41" s="3">
        <v>0</v>
      </c>
      <c r="I41" s="3">
        <v>5082.2700000000004</v>
      </c>
      <c r="J41" s="3">
        <v>3934.94</v>
      </c>
      <c r="K41" s="3">
        <v>0</v>
      </c>
      <c r="L41" s="3">
        <v>1876.93</v>
      </c>
      <c r="M41" s="3">
        <v>0</v>
      </c>
      <c r="N41" s="3">
        <v>15534.26</v>
      </c>
      <c r="O41" s="3">
        <v>9775.1</v>
      </c>
      <c r="P41">
        <v>13169.22</v>
      </c>
      <c r="Q41">
        <v>2238.65</v>
      </c>
      <c r="R41">
        <v>8646.9699999999993</v>
      </c>
      <c r="S41">
        <v>10270.780000000001</v>
      </c>
      <c r="T41">
        <v>3380.64</v>
      </c>
      <c r="U41">
        <v>19649.7</v>
      </c>
      <c r="V41">
        <v>2608.64</v>
      </c>
      <c r="W41">
        <v>10041.74</v>
      </c>
      <c r="X41" s="5">
        <f t="shared" si="1"/>
        <v>4524.243696601131</v>
      </c>
      <c r="Y41" s="5">
        <f t="shared" si="1"/>
        <v>4900.4454935624481</v>
      </c>
      <c r="Z41" s="5">
        <f t="shared" si="0"/>
        <v>829.35645495812366</v>
      </c>
      <c r="AA41" s="5">
        <f t="shared" si="2"/>
        <v>38478.58</v>
      </c>
      <c r="AB41" s="6">
        <f t="shared" si="3"/>
        <v>1.6764836364627524E-2</v>
      </c>
    </row>
    <row r="42" spans="1:28" x14ac:dyDescent="0.25">
      <c r="A42" t="s">
        <v>90</v>
      </c>
      <c r="B42" s="3">
        <v>10265.75</v>
      </c>
      <c r="C42" s="3">
        <v>17824.86</v>
      </c>
      <c r="D42" s="3">
        <v>78758.36</v>
      </c>
      <c r="E42" s="3">
        <v>107527.32</v>
      </c>
      <c r="F42" s="3">
        <v>3716.11</v>
      </c>
      <c r="G42" s="3">
        <v>1949</v>
      </c>
      <c r="H42" s="3">
        <v>0</v>
      </c>
      <c r="I42" s="3">
        <v>1920.6</v>
      </c>
      <c r="J42" s="3">
        <v>4487.34</v>
      </c>
      <c r="K42" s="3">
        <v>1164.77</v>
      </c>
      <c r="L42" s="3">
        <v>1295.2</v>
      </c>
      <c r="M42" s="3">
        <v>1121.02</v>
      </c>
      <c r="N42" s="3">
        <v>12062.95</v>
      </c>
      <c r="O42" s="3">
        <v>7947.93</v>
      </c>
      <c r="P42">
        <v>11765.47</v>
      </c>
      <c r="Q42">
        <v>3551.36</v>
      </c>
      <c r="R42">
        <v>7531.07</v>
      </c>
      <c r="S42">
        <v>7338.05</v>
      </c>
      <c r="T42">
        <v>2391.62</v>
      </c>
      <c r="U42">
        <v>22496.23</v>
      </c>
      <c r="V42">
        <v>1454.94</v>
      </c>
      <c r="W42">
        <v>13442.59</v>
      </c>
      <c r="X42" s="5">
        <f t="shared" si="1"/>
        <v>3736.2072921737586</v>
      </c>
      <c r="Y42" s="5">
        <f t="shared" si="1"/>
        <v>4046.8819576856295</v>
      </c>
      <c r="Z42" s="5">
        <f t="shared" si="0"/>
        <v>684.89848085632502</v>
      </c>
      <c r="AA42" s="5">
        <f t="shared" si="2"/>
        <v>31776.35</v>
      </c>
      <c r="AB42" s="6">
        <f t="shared" si="3"/>
        <v>1.384472368822165E-2</v>
      </c>
    </row>
    <row r="43" spans="1:28" x14ac:dyDescent="0.25">
      <c r="A43" t="s">
        <v>64</v>
      </c>
      <c r="B43" s="3">
        <v>14987.45</v>
      </c>
      <c r="C43" s="3">
        <v>21258.42</v>
      </c>
      <c r="D43" s="3">
        <v>83121.55</v>
      </c>
      <c r="E43" s="3">
        <v>116376.86</v>
      </c>
      <c r="F43" s="3">
        <v>7559.67</v>
      </c>
      <c r="G43" s="3">
        <v>4378.3900000000003</v>
      </c>
      <c r="H43" s="3">
        <v>39924.120000000003</v>
      </c>
      <c r="I43" s="3">
        <v>8627.0300000000007</v>
      </c>
      <c r="J43" s="3">
        <v>26758.42</v>
      </c>
      <c r="K43" s="3">
        <v>2973.97</v>
      </c>
      <c r="L43" s="3">
        <v>3067.77</v>
      </c>
      <c r="M43" s="3">
        <v>4802.76</v>
      </c>
      <c r="N43" s="3">
        <v>22885.18</v>
      </c>
      <c r="O43" s="3">
        <v>11645.26</v>
      </c>
      <c r="P43">
        <v>27261.439999999999</v>
      </c>
      <c r="Q43">
        <v>11773.41</v>
      </c>
      <c r="R43">
        <v>20393.939999999999</v>
      </c>
      <c r="S43">
        <v>13272.01</v>
      </c>
      <c r="T43">
        <v>10673.55</v>
      </c>
      <c r="U43">
        <v>49672.800000000003</v>
      </c>
      <c r="V43">
        <v>6405.94</v>
      </c>
      <c r="W43">
        <v>30128.02</v>
      </c>
      <c r="X43" s="5">
        <f t="shared" si="1"/>
        <v>7265.3804685914474</v>
      </c>
      <c r="Y43" s="5">
        <f t="shared" si="1"/>
        <v>7869.5144125576253</v>
      </c>
      <c r="Z43" s="5">
        <f t="shared" si="0"/>
        <v>1331.8447443226278</v>
      </c>
      <c r="AA43" s="5">
        <f t="shared" si="2"/>
        <v>61791.880000000005</v>
      </c>
      <c r="AB43" s="6">
        <f t="shared" si="3"/>
        <v>2.6922270958613864E-2</v>
      </c>
    </row>
    <row r="44" spans="1:28" x14ac:dyDescent="0.25">
      <c r="A44" t="s">
        <v>91</v>
      </c>
      <c r="B44" s="3">
        <v>11197.95</v>
      </c>
      <c r="C44" s="3">
        <v>33038.78</v>
      </c>
      <c r="D44" s="3">
        <v>110090.42</v>
      </c>
      <c r="E44" s="3">
        <v>80305.08</v>
      </c>
      <c r="F44" s="3">
        <v>4980.16</v>
      </c>
      <c r="G44" s="3">
        <v>3160.95</v>
      </c>
      <c r="H44" s="3">
        <v>0</v>
      </c>
      <c r="I44" s="3">
        <v>1890.83</v>
      </c>
      <c r="J44" s="3">
        <v>4968.5200000000004</v>
      </c>
      <c r="K44" s="3">
        <v>1224.8</v>
      </c>
      <c r="L44" s="3">
        <v>1794.84</v>
      </c>
      <c r="M44" s="3">
        <v>2137.02</v>
      </c>
      <c r="N44" s="3">
        <v>23445.67</v>
      </c>
      <c r="O44" s="3">
        <v>4315.97</v>
      </c>
      <c r="P44">
        <v>30770.65</v>
      </c>
      <c r="Q44">
        <v>2802.64</v>
      </c>
      <c r="R44">
        <v>9381.67</v>
      </c>
      <c r="S44">
        <v>7764.45</v>
      </c>
      <c r="T44">
        <v>2818.64</v>
      </c>
      <c r="U44">
        <v>29084.74</v>
      </c>
      <c r="V44">
        <v>3442.42</v>
      </c>
      <c r="W44">
        <v>10755.72</v>
      </c>
      <c r="X44" s="5">
        <f t="shared" si="1"/>
        <v>6882.1236147521404</v>
      </c>
      <c r="Y44" s="5">
        <f t="shared" si="1"/>
        <v>7454.3888251175158</v>
      </c>
      <c r="Z44" s="5">
        <f t="shared" si="0"/>
        <v>1261.5884612940713</v>
      </c>
      <c r="AA44" s="5">
        <f t="shared" si="2"/>
        <v>58532.29</v>
      </c>
      <c r="AB44" s="6">
        <f t="shared" si="3"/>
        <v>2.5502091394664875E-2</v>
      </c>
    </row>
    <row r="45" spans="1:28" x14ac:dyDescent="0.25">
      <c r="A45" t="s">
        <v>92</v>
      </c>
      <c r="B45" s="3">
        <v>12717.83</v>
      </c>
      <c r="C45" s="3">
        <v>24217.62</v>
      </c>
      <c r="D45" s="3">
        <v>99516.37</v>
      </c>
      <c r="E45" s="3">
        <v>145583.51999999999</v>
      </c>
      <c r="F45" s="3">
        <v>14361.33</v>
      </c>
      <c r="G45" s="3">
        <v>10438.65</v>
      </c>
      <c r="H45" s="3">
        <v>0</v>
      </c>
      <c r="I45" s="3">
        <v>3418.59</v>
      </c>
      <c r="J45" s="3">
        <v>12655.91</v>
      </c>
      <c r="K45" s="3">
        <v>2097.9899999999998</v>
      </c>
      <c r="L45" s="3">
        <v>2322.3200000000002</v>
      </c>
      <c r="M45" s="3">
        <v>2427.96</v>
      </c>
      <c r="N45" s="3">
        <v>20600.16</v>
      </c>
      <c r="O45" s="3">
        <v>4447.51</v>
      </c>
      <c r="P45">
        <v>23162.95</v>
      </c>
      <c r="Q45">
        <v>6732.94</v>
      </c>
      <c r="R45">
        <v>12337.29</v>
      </c>
      <c r="S45">
        <v>8830.36</v>
      </c>
      <c r="T45">
        <v>3898.13</v>
      </c>
      <c r="U45">
        <v>29104.09</v>
      </c>
      <c r="V45">
        <v>5133</v>
      </c>
      <c r="W45">
        <v>24412.76</v>
      </c>
      <c r="X45" s="5">
        <f t="shared" si="1"/>
        <v>5668.5198269851007</v>
      </c>
      <c r="Y45" s="5">
        <f t="shared" si="1"/>
        <v>6139.8709495218272</v>
      </c>
      <c r="Z45" s="5">
        <f t="shared" si="0"/>
        <v>1039.1180988106423</v>
      </c>
      <c r="AA45" s="5">
        <f t="shared" si="2"/>
        <v>48210.619999999995</v>
      </c>
      <c r="AB45" s="6">
        <f t="shared" si="3"/>
        <v>2.1005015136661458E-2</v>
      </c>
    </row>
    <row r="46" spans="1:28" x14ac:dyDescent="0.25">
      <c r="A46" t="s">
        <v>65</v>
      </c>
      <c r="B46" s="3">
        <v>17514.55</v>
      </c>
      <c r="C46" s="3">
        <v>35301.620000000003</v>
      </c>
      <c r="D46" s="3">
        <v>141776.42000000001</v>
      </c>
      <c r="E46" s="3">
        <v>154978.07999999999</v>
      </c>
      <c r="F46" s="3">
        <v>14511.15</v>
      </c>
      <c r="G46" s="3">
        <v>6830.33</v>
      </c>
      <c r="H46" s="3">
        <v>0</v>
      </c>
      <c r="I46" s="3">
        <v>12103.58</v>
      </c>
      <c r="J46" s="3">
        <v>22667.79</v>
      </c>
      <c r="K46" s="3">
        <v>4065.22</v>
      </c>
      <c r="L46" s="3">
        <v>4115.71</v>
      </c>
      <c r="M46" s="3">
        <v>5151.62</v>
      </c>
      <c r="N46" s="3">
        <v>34632.49</v>
      </c>
      <c r="O46" s="3">
        <v>14206.94</v>
      </c>
      <c r="P46">
        <v>27423.87</v>
      </c>
      <c r="Q46">
        <v>6675.92</v>
      </c>
      <c r="R46">
        <v>28406.09</v>
      </c>
      <c r="S46">
        <v>20640.38</v>
      </c>
      <c r="T46">
        <v>12263.3</v>
      </c>
      <c r="U46">
        <v>43000.03</v>
      </c>
      <c r="V46">
        <v>6750.5</v>
      </c>
      <c r="W46">
        <v>23932.09</v>
      </c>
      <c r="X46" s="5">
        <f t="shared" si="1"/>
        <v>8966.9045559113947</v>
      </c>
      <c r="Y46" s="5">
        <f t="shared" si="1"/>
        <v>9712.5243397547692</v>
      </c>
      <c r="Z46" s="5">
        <f t="shared" si="0"/>
        <v>1643.7576472782487</v>
      </c>
      <c r="AA46" s="5">
        <f t="shared" si="2"/>
        <v>76263.3</v>
      </c>
      <c r="AB46" s="6">
        <f t="shared" si="3"/>
        <v>3.3227362993293888E-2</v>
      </c>
    </row>
    <row r="47" spans="1:28" x14ac:dyDescent="0.25">
      <c r="A47" t="s">
        <v>66</v>
      </c>
      <c r="B47" s="3">
        <v>11730.06</v>
      </c>
      <c r="C47" s="3">
        <v>17435.86</v>
      </c>
      <c r="D47" s="3">
        <v>66668.38</v>
      </c>
      <c r="E47" s="3">
        <v>93505.53</v>
      </c>
      <c r="F47" s="3">
        <v>11000.22</v>
      </c>
      <c r="G47" s="3">
        <v>5158.72</v>
      </c>
      <c r="H47" s="3">
        <v>0</v>
      </c>
      <c r="I47" s="3">
        <v>2129.31</v>
      </c>
      <c r="J47" s="3">
        <v>4923.54</v>
      </c>
      <c r="K47" s="3">
        <v>1170.6400000000001</v>
      </c>
      <c r="L47" s="3">
        <v>3482.98</v>
      </c>
      <c r="M47" s="3">
        <v>2402.73</v>
      </c>
      <c r="N47" s="3">
        <v>31455.8</v>
      </c>
      <c r="O47" s="3">
        <v>21950</v>
      </c>
      <c r="P47">
        <v>31368.27</v>
      </c>
      <c r="Q47">
        <v>3190.7</v>
      </c>
      <c r="R47">
        <v>11191.81</v>
      </c>
      <c r="S47">
        <v>14128.43</v>
      </c>
      <c r="T47">
        <v>6000.16</v>
      </c>
      <c r="U47">
        <v>34334.21</v>
      </c>
      <c r="V47">
        <v>5216.1400000000003</v>
      </c>
      <c r="W47">
        <v>21157.17</v>
      </c>
      <c r="X47" s="5">
        <f t="shared" si="1"/>
        <v>9967.5859096859349</v>
      </c>
      <c r="Y47" s="5">
        <f t="shared" si="1"/>
        <v>10796.414766408936</v>
      </c>
      <c r="Z47" s="5">
        <f t="shared" si="0"/>
        <v>1827.1963821838492</v>
      </c>
      <c r="AA47" s="5">
        <f t="shared" si="2"/>
        <v>84774.07</v>
      </c>
      <c r="AB47" s="6">
        <f t="shared" si="3"/>
        <v>3.6935443343113994E-2</v>
      </c>
    </row>
    <row r="48" spans="1:28" x14ac:dyDescent="0.25">
      <c r="A48" t="s">
        <v>67</v>
      </c>
      <c r="B48" s="3">
        <v>10359.24</v>
      </c>
      <c r="C48" s="3">
        <v>14984.78</v>
      </c>
      <c r="D48" s="3">
        <v>88846.65</v>
      </c>
      <c r="E48" s="3">
        <v>65747.95</v>
      </c>
      <c r="F48" s="3">
        <v>11386.01</v>
      </c>
      <c r="G48" s="3">
        <v>6580.16</v>
      </c>
      <c r="H48" s="3">
        <v>0</v>
      </c>
      <c r="I48" s="3">
        <v>2612.9499999999998</v>
      </c>
      <c r="J48" s="3">
        <v>3985.69</v>
      </c>
      <c r="K48" s="3">
        <v>1586.45</v>
      </c>
      <c r="L48" s="3">
        <v>1887.54</v>
      </c>
      <c r="M48" s="3">
        <v>1226.7</v>
      </c>
      <c r="N48" s="3">
        <v>7046.32</v>
      </c>
      <c r="O48" s="3">
        <v>1371.46</v>
      </c>
      <c r="P48">
        <v>6271.85</v>
      </c>
      <c r="Q48">
        <v>1758.21</v>
      </c>
      <c r="R48">
        <v>7349.13</v>
      </c>
      <c r="S48">
        <v>7627.14</v>
      </c>
      <c r="T48">
        <v>3734.68</v>
      </c>
      <c r="U48">
        <v>22726.18</v>
      </c>
      <c r="V48">
        <v>2789.35</v>
      </c>
      <c r="W48">
        <v>12423.34</v>
      </c>
      <c r="X48" s="5">
        <f t="shared" si="1"/>
        <v>1727.1808349711155</v>
      </c>
      <c r="Y48" s="5">
        <f t="shared" si="1"/>
        <v>1870.8000954193149</v>
      </c>
      <c r="Z48" s="5">
        <f t="shared" si="0"/>
        <v>316.61613971842257</v>
      </c>
      <c r="AA48" s="5">
        <f t="shared" si="2"/>
        <v>14689.63</v>
      </c>
      <c r="AB48" s="6">
        <f t="shared" si="3"/>
        <v>6.4001645384762999E-3</v>
      </c>
    </row>
    <row r="49" spans="1:28" x14ac:dyDescent="0.25">
      <c r="A49" t="s">
        <v>68</v>
      </c>
      <c r="B49" s="3">
        <v>10046.530000000001</v>
      </c>
      <c r="C49" s="3">
        <v>13405.06</v>
      </c>
      <c r="D49" s="3">
        <v>70041.179999999993</v>
      </c>
      <c r="E49" s="3">
        <v>53202.38</v>
      </c>
      <c r="F49" s="3">
        <v>13828.49</v>
      </c>
      <c r="G49" s="3">
        <v>7966.99</v>
      </c>
      <c r="H49" s="3">
        <v>0</v>
      </c>
      <c r="I49" s="3">
        <v>2818.99</v>
      </c>
      <c r="J49" s="3">
        <v>4934.6899999999996</v>
      </c>
      <c r="K49" s="3">
        <v>2287.2600000000002</v>
      </c>
      <c r="L49" s="3">
        <v>2433.6</v>
      </c>
      <c r="M49" s="3">
        <v>1747.08</v>
      </c>
      <c r="N49" s="3">
        <v>5976.34</v>
      </c>
      <c r="O49" s="3">
        <v>1462.16</v>
      </c>
      <c r="P49">
        <v>5348.94</v>
      </c>
      <c r="Q49">
        <v>2144.98</v>
      </c>
      <c r="R49">
        <v>8797.59</v>
      </c>
      <c r="S49">
        <v>8034.24</v>
      </c>
      <c r="T49">
        <v>5207.13</v>
      </c>
      <c r="U49">
        <v>18086.849999999999</v>
      </c>
      <c r="V49">
        <v>3107.32</v>
      </c>
      <c r="W49">
        <v>10059.09</v>
      </c>
      <c r="X49" s="5">
        <f t="shared" si="1"/>
        <v>1503.5246834905331</v>
      </c>
      <c r="Y49" s="5">
        <f t="shared" si="1"/>
        <v>1628.5463944407561</v>
      </c>
      <c r="Z49" s="5">
        <f t="shared" si="0"/>
        <v>275.61687324193633</v>
      </c>
      <c r="AA49" s="5">
        <f t="shared" si="2"/>
        <v>12787.439999999999</v>
      </c>
      <c r="AB49" s="6">
        <f t="shared" si="3"/>
        <v>5.5713942438232536E-3</v>
      </c>
    </row>
    <row r="50" spans="1:28" x14ac:dyDescent="0.25">
      <c r="A50" t="s">
        <v>69</v>
      </c>
      <c r="B50" s="3">
        <v>17177.259999999998</v>
      </c>
      <c r="C50" s="3">
        <v>29524.84</v>
      </c>
      <c r="D50" s="3">
        <v>115090.54</v>
      </c>
      <c r="E50" s="3">
        <v>144728.22</v>
      </c>
      <c r="F50" s="3">
        <v>13365.09</v>
      </c>
      <c r="G50" s="3">
        <v>8460.4</v>
      </c>
      <c r="H50" s="3">
        <v>0</v>
      </c>
      <c r="I50" s="3">
        <v>3969.79</v>
      </c>
      <c r="J50" s="3">
        <v>19488.23</v>
      </c>
      <c r="K50" s="3">
        <v>1921.71</v>
      </c>
      <c r="L50" s="3">
        <v>3415.87</v>
      </c>
      <c r="M50" s="3">
        <v>4787.38</v>
      </c>
      <c r="N50" s="3">
        <v>17724.95</v>
      </c>
      <c r="O50" s="3">
        <v>5288.65</v>
      </c>
      <c r="P50">
        <v>21865.93</v>
      </c>
      <c r="Q50">
        <v>5673.49</v>
      </c>
      <c r="R50">
        <v>12365.27</v>
      </c>
      <c r="S50">
        <v>8166.01</v>
      </c>
      <c r="T50">
        <v>6111.21</v>
      </c>
      <c r="U50">
        <v>30515.68</v>
      </c>
      <c r="V50">
        <v>3901.83</v>
      </c>
      <c r="W50">
        <v>14192.69</v>
      </c>
      <c r="X50" s="5">
        <f t="shared" si="1"/>
        <v>5276.8561290183097</v>
      </c>
      <c r="Y50" s="5">
        <f t="shared" si="1"/>
        <v>5715.6394685484938</v>
      </c>
      <c r="Z50" s="5">
        <f t="shared" si="0"/>
        <v>967.32072495884086</v>
      </c>
      <c r="AA50" s="5">
        <f t="shared" si="2"/>
        <v>44879.53</v>
      </c>
      <c r="AB50" s="6">
        <f t="shared" si="3"/>
        <v>1.955368354475118E-2</v>
      </c>
    </row>
    <row r="51" spans="1:28" x14ac:dyDescent="0.25">
      <c r="A51" t="s">
        <v>93</v>
      </c>
      <c r="B51" s="3">
        <v>13645.13</v>
      </c>
      <c r="C51" s="3">
        <v>21782.27</v>
      </c>
      <c r="D51" s="3">
        <v>91052.22</v>
      </c>
      <c r="E51" s="3">
        <v>145633.15</v>
      </c>
      <c r="F51" s="3">
        <v>12253.07</v>
      </c>
      <c r="G51" s="3">
        <v>8215.67</v>
      </c>
      <c r="H51" s="3">
        <v>0</v>
      </c>
      <c r="I51" s="3">
        <v>6428.57</v>
      </c>
      <c r="J51" s="3">
        <v>11148.32</v>
      </c>
      <c r="K51" s="3">
        <v>3272.92</v>
      </c>
      <c r="L51" s="3">
        <v>2449.9699999999998</v>
      </c>
      <c r="M51" s="3">
        <v>2350.25</v>
      </c>
      <c r="N51" s="3">
        <v>15335.42</v>
      </c>
      <c r="O51" s="3">
        <v>3277.88</v>
      </c>
      <c r="P51">
        <v>18742.599999999999</v>
      </c>
      <c r="Q51">
        <v>8795.99</v>
      </c>
      <c r="R51">
        <v>16010.74</v>
      </c>
      <c r="S51">
        <v>11809.67</v>
      </c>
      <c r="T51">
        <v>6720.55</v>
      </c>
      <c r="U51">
        <v>24685.31</v>
      </c>
      <c r="V51">
        <v>5026.5200000000004</v>
      </c>
      <c r="W51">
        <v>13800.58</v>
      </c>
      <c r="X51" s="5">
        <f t="shared" si="1"/>
        <v>4392.2409586284666</v>
      </c>
      <c r="Y51" s="5">
        <f t="shared" si="1"/>
        <v>4757.4664089207408</v>
      </c>
      <c r="Z51" s="5">
        <f t="shared" si="0"/>
        <v>805.158527049859</v>
      </c>
      <c r="AA51" s="5">
        <f t="shared" si="2"/>
        <v>37355.899999999994</v>
      </c>
      <c r="AB51" s="6">
        <f t="shared" si="3"/>
        <v>1.6275692885584375E-2</v>
      </c>
    </row>
    <row r="52" spans="1:28" x14ac:dyDescent="0.25">
      <c r="A52" t="s">
        <v>94</v>
      </c>
      <c r="B52" s="3">
        <v>22557.86</v>
      </c>
      <c r="C52" s="3">
        <v>25382.1</v>
      </c>
      <c r="D52" s="3">
        <v>124897.34</v>
      </c>
      <c r="E52" s="3">
        <v>201574.96</v>
      </c>
      <c r="F52" s="3">
        <v>11694.01</v>
      </c>
      <c r="G52" s="3">
        <v>3772.16</v>
      </c>
      <c r="H52" s="3">
        <v>0</v>
      </c>
      <c r="I52" s="3">
        <v>4063.48</v>
      </c>
      <c r="J52" s="3">
        <v>7094.56</v>
      </c>
      <c r="K52" s="3">
        <v>1279.1600000000001</v>
      </c>
      <c r="L52" s="3">
        <v>2266.36</v>
      </c>
      <c r="M52" s="3">
        <v>2373.2600000000002</v>
      </c>
      <c r="N52" s="3">
        <v>20495.740000000002</v>
      </c>
      <c r="O52" s="3">
        <v>6531.04</v>
      </c>
      <c r="P52">
        <v>29279.9</v>
      </c>
      <c r="Q52">
        <v>5837.29</v>
      </c>
      <c r="R52">
        <v>25799.77</v>
      </c>
      <c r="S52">
        <v>46682.37</v>
      </c>
      <c r="T52">
        <v>6774.97</v>
      </c>
      <c r="U52">
        <v>35445.32</v>
      </c>
      <c r="V52">
        <v>5587.41</v>
      </c>
      <c r="W52">
        <v>14665.12</v>
      </c>
      <c r="X52" s="5">
        <f t="shared" si="1"/>
        <v>6620.4403090378337</v>
      </c>
      <c r="Y52" s="5">
        <f t="shared" si="1"/>
        <v>7170.9459201317432</v>
      </c>
      <c r="Z52" s="5">
        <f t="shared" si="0"/>
        <v>1213.6182914042433</v>
      </c>
      <c r="AA52" s="5">
        <f t="shared" si="2"/>
        <v>56306.680000000008</v>
      </c>
      <c r="AB52" s="6">
        <f t="shared" si="3"/>
        <v>2.4532409367379084E-2</v>
      </c>
    </row>
    <row r="53" spans="1:28" x14ac:dyDescent="0.25">
      <c r="A53" t="s">
        <v>95</v>
      </c>
      <c r="B53">
        <v>20533.150000000001</v>
      </c>
      <c r="C53">
        <v>27840.17</v>
      </c>
      <c r="D53">
        <v>124943.79</v>
      </c>
      <c r="E53">
        <v>207114.32</v>
      </c>
      <c r="F53">
        <v>11732.27</v>
      </c>
      <c r="G53">
        <v>3731.12</v>
      </c>
      <c r="H53">
        <v>0</v>
      </c>
      <c r="I53">
        <v>2927.77</v>
      </c>
      <c r="J53">
        <v>6792.03</v>
      </c>
      <c r="K53">
        <v>1241.92</v>
      </c>
      <c r="L53">
        <v>2143.66</v>
      </c>
      <c r="M53">
        <v>2305.4699999999998</v>
      </c>
      <c r="N53">
        <v>22555.35</v>
      </c>
      <c r="O53">
        <v>6544.8</v>
      </c>
      <c r="P53">
        <v>33270.080000000002</v>
      </c>
      <c r="Q53">
        <v>5092.67</v>
      </c>
      <c r="R53">
        <v>19900.099999999999</v>
      </c>
      <c r="S53">
        <v>33575.35</v>
      </c>
      <c r="T53">
        <v>6281.99</v>
      </c>
      <c r="U53">
        <v>36466.03</v>
      </c>
      <c r="V53">
        <v>5739.04</v>
      </c>
      <c r="W53">
        <v>14540.61</v>
      </c>
      <c r="X53" s="5">
        <f t="shared" si="1"/>
        <v>7333.3818434324421</v>
      </c>
      <c r="Y53" s="5">
        <f t="shared" si="1"/>
        <v>7943.1702660533047</v>
      </c>
      <c r="Z53" s="5">
        <f t="shared" si="0"/>
        <v>1344.3103370166675</v>
      </c>
      <c r="AA53" s="5">
        <f t="shared" si="2"/>
        <v>62370.229999999996</v>
      </c>
      <c r="AB53" s="6">
        <f t="shared" si="3"/>
        <v>2.7174253830941329E-2</v>
      </c>
    </row>
    <row r="54" spans="1:28" x14ac:dyDescent="0.25">
      <c r="A54" t="s">
        <v>70</v>
      </c>
      <c r="B54">
        <v>17728.62</v>
      </c>
      <c r="C54">
        <v>15549.12</v>
      </c>
      <c r="D54">
        <v>73717.570000000007</v>
      </c>
      <c r="E54">
        <v>84563.02</v>
      </c>
      <c r="F54">
        <v>9336.75</v>
      </c>
      <c r="G54">
        <v>7177.56</v>
      </c>
      <c r="H54">
        <v>0</v>
      </c>
      <c r="I54">
        <v>2645.18</v>
      </c>
      <c r="J54">
        <v>8717.3700000000008</v>
      </c>
      <c r="K54">
        <v>2324.98</v>
      </c>
      <c r="L54">
        <v>1355.47</v>
      </c>
      <c r="M54">
        <v>1199.18</v>
      </c>
      <c r="N54">
        <v>12848.82</v>
      </c>
      <c r="O54">
        <v>2949.74</v>
      </c>
      <c r="P54">
        <v>17763.43</v>
      </c>
      <c r="Q54">
        <v>7367.88</v>
      </c>
      <c r="R54">
        <v>25433.13</v>
      </c>
      <c r="S54">
        <v>17915.650000000001</v>
      </c>
      <c r="T54">
        <v>5595.83</v>
      </c>
      <c r="U54">
        <v>31448.36</v>
      </c>
      <c r="V54">
        <v>2162.2600000000002</v>
      </c>
      <c r="W54">
        <v>9954.83</v>
      </c>
      <c r="X54" s="5">
        <f t="shared" si="1"/>
        <v>3946.1596998353416</v>
      </c>
      <c r="Y54" s="5">
        <f t="shared" si="1"/>
        <v>4274.2924154292587</v>
      </c>
      <c r="Z54" s="5">
        <f t="shared" si="0"/>
        <v>723.3856615223325</v>
      </c>
      <c r="AA54" s="5">
        <f t="shared" si="2"/>
        <v>33561.99</v>
      </c>
      <c r="AB54" s="6">
        <f t="shared" si="3"/>
        <v>1.4622713998834294E-2</v>
      </c>
    </row>
    <row r="55" spans="1:28" x14ac:dyDescent="0.25">
      <c r="A55" t="s">
        <v>71</v>
      </c>
      <c r="B55">
        <v>12491.75</v>
      </c>
      <c r="C55">
        <v>21072.17</v>
      </c>
      <c r="D55">
        <v>95134.86</v>
      </c>
      <c r="E55">
        <v>133005.01</v>
      </c>
      <c r="F55">
        <v>10258.73</v>
      </c>
      <c r="G55">
        <v>7579.73</v>
      </c>
      <c r="H55">
        <v>0</v>
      </c>
      <c r="I55">
        <v>7507.41</v>
      </c>
      <c r="J55">
        <v>28444.87</v>
      </c>
      <c r="K55">
        <v>4381.92</v>
      </c>
      <c r="L55">
        <v>4680.3500000000004</v>
      </c>
      <c r="M55">
        <v>4550.8999999999996</v>
      </c>
      <c r="N55">
        <v>17504.07</v>
      </c>
      <c r="O55">
        <v>7712.32</v>
      </c>
      <c r="P55">
        <v>17967.97</v>
      </c>
      <c r="Q55">
        <v>8172.86</v>
      </c>
      <c r="R55">
        <v>17924.3</v>
      </c>
      <c r="S55">
        <v>15845.27</v>
      </c>
      <c r="T55">
        <v>9612.43</v>
      </c>
      <c r="U55">
        <v>43040.08</v>
      </c>
      <c r="V55">
        <v>5297.31</v>
      </c>
      <c r="W55">
        <v>27176.18</v>
      </c>
      <c r="X55" s="5">
        <f t="shared" si="1"/>
        <v>5077.5410246883857</v>
      </c>
      <c r="Y55" s="5">
        <f t="shared" si="1"/>
        <v>5499.750831615368</v>
      </c>
      <c r="Z55" s="5">
        <f t="shared" si="0"/>
        <v>930.78350914288933</v>
      </c>
      <c r="AA55" s="5">
        <f t="shared" si="2"/>
        <v>43184.36</v>
      </c>
      <c r="AB55" s="6">
        <f t="shared" si="3"/>
        <v>1.8815110352595296E-2</v>
      </c>
    </row>
  </sheetData>
  <sortState xmlns:xlrd2="http://schemas.microsoft.com/office/spreadsheetml/2017/richdata2" columnSort="1" ref="B1:S55">
    <sortCondition ref="B1:S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333-F13F-4FEA-98A6-EC9EAB6AA8AD}">
  <dimension ref="A1:F1301"/>
  <sheetViews>
    <sheetView tabSelected="1" zoomScaleNormal="100" workbookViewId="0">
      <selection activeCell="C2" sqref="C2"/>
    </sheetView>
  </sheetViews>
  <sheetFormatPr defaultRowHeight="15" x14ac:dyDescent="0.25"/>
  <cols>
    <col min="1" max="1" width="11.42578125" bestFit="1" customWidth="1"/>
    <col min="2" max="2" width="16.85546875" bestFit="1" customWidth="1"/>
    <col min="3" max="3" width="9.28515625" bestFit="1" customWidth="1"/>
    <col min="4" max="5" width="12" bestFit="1" customWidth="1"/>
    <col min="6" max="6" width="11" bestFit="1" customWidth="1"/>
    <col min="7" max="7" width="8.140625" bestFit="1" customWidth="1"/>
    <col min="8" max="8" width="10.140625" bestFit="1" customWidth="1"/>
    <col min="9" max="9" width="8.140625" bestFit="1" customWidth="1"/>
    <col min="10" max="10" width="7.85546875" bestFit="1" customWidth="1"/>
  </cols>
  <sheetData>
    <row r="1" spans="1:6" x14ac:dyDescent="0.25">
      <c r="A1" t="s">
        <v>173</v>
      </c>
      <c r="B1" t="s">
        <v>3</v>
      </c>
      <c r="C1" t="s">
        <v>12</v>
      </c>
      <c r="D1" t="s">
        <v>24</v>
      </c>
      <c r="E1" t="s">
        <v>178</v>
      </c>
      <c r="F1" t="s">
        <v>174</v>
      </c>
    </row>
    <row r="2" spans="1:6" x14ac:dyDescent="0.25">
      <c r="A2">
        <v>542</v>
      </c>
      <c r="B2" t="s">
        <v>179</v>
      </c>
      <c r="C2">
        <v>202601</v>
      </c>
      <c r="D2">
        <v>15645.194834318429</v>
      </c>
      <c r="E2">
        <v>259.11220328450526</v>
      </c>
      <c r="F2">
        <v>60.38</v>
      </c>
    </row>
    <row r="3" spans="1:6" x14ac:dyDescent="0.25">
      <c r="A3">
        <v>542</v>
      </c>
      <c r="B3" t="s">
        <v>72</v>
      </c>
      <c r="C3">
        <v>202601</v>
      </c>
      <c r="D3">
        <v>2018.9043755568807</v>
      </c>
      <c r="E3">
        <v>33.436640867122897</v>
      </c>
      <c r="F3">
        <v>60.38</v>
      </c>
    </row>
    <row r="4" spans="1:6" x14ac:dyDescent="0.25">
      <c r="A4">
        <v>543</v>
      </c>
      <c r="B4" t="s">
        <v>179</v>
      </c>
      <c r="C4">
        <v>202601</v>
      </c>
      <c r="D4">
        <v>20334.305591558001</v>
      </c>
      <c r="E4">
        <v>90.134333295913123</v>
      </c>
      <c r="F4">
        <v>225.6</v>
      </c>
    </row>
    <row r="5" spans="1:6" x14ac:dyDescent="0.25">
      <c r="A5">
        <v>545</v>
      </c>
      <c r="B5" t="s">
        <v>179</v>
      </c>
      <c r="C5">
        <v>202601</v>
      </c>
      <c r="D5">
        <v>88284.224974767669</v>
      </c>
      <c r="E5">
        <v>244.82591507145776</v>
      </c>
      <c r="F5">
        <v>360.6</v>
      </c>
    </row>
    <row r="6" spans="1:6" x14ac:dyDescent="0.25">
      <c r="A6">
        <v>547</v>
      </c>
      <c r="B6" t="s">
        <v>179</v>
      </c>
      <c r="C6">
        <v>202601</v>
      </c>
      <c r="D6">
        <v>93632.137581272123</v>
      </c>
      <c r="E6">
        <v>216.02098925173524</v>
      </c>
      <c r="F6">
        <v>433.44</v>
      </c>
    </row>
    <row r="7" spans="1:6" x14ac:dyDescent="0.25">
      <c r="A7">
        <v>551</v>
      </c>
      <c r="B7" t="s">
        <v>179</v>
      </c>
      <c r="C7">
        <v>202601</v>
      </c>
      <c r="D7">
        <v>26511.165274246338</v>
      </c>
      <c r="E7">
        <v>98.240440503395604</v>
      </c>
      <c r="F7">
        <v>269.86</v>
      </c>
    </row>
    <row r="8" spans="1:6" x14ac:dyDescent="0.25">
      <c r="A8">
        <v>552</v>
      </c>
      <c r="B8" t="s">
        <v>179</v>
      </c>
      <c r="C8">
        <v>202601</v>
      </c>
      <c r="D8">
        <v>14183.409124901898</v>
      </c>
      <c r="E8">
        <v>90.099155919844364</v>
      </c>
      <c r="F8">
        <v>157.41999999999999</v>
      </c>
    </row>
    <row r="9" spans="1:6" x14ac:dyDescent="0.25">
      <c r="A9">
        <v>578</v>
      </c>
      <c r="B9" t="s">
        <v>179</v>
      </c>
      <c r="C9">
        <v>202601</v>
      </c>
      <c r="D9">
        <v>0</v>
      </c>
      <c r="E9">
        <v>0</v>
      </c>
      <c r="F9">
        <v>225.56</v>
      </c>
    </row>
    <row r="10" spans="1:6" x14ac:dyDescent="0.25">
      <c r="A10">
        <v>596</v>
      </c>
      <c r="B10" t="s">
        <v>179</v>
      </c>
      <c r="C10">
        <v>202601</v>
      </c>
      <c r="D10">
        <v>7297.2102528305522</v>
      </c>
      <c r="E10">
        <v>20.219479780633286</v>
      </c>
      <c r="F10">
        <v>360.9</v>
      </c>
    </row>
    <row r="11" spans="1:6" x14ac:dyDescent="0.25">
      <c r="A11">
        <v>598</v>
      </c>
      <c r="B11" t="s">
        <v>179</v>
      </c>
      <c r="C11">
        <v>202601</v>
      </c>
      <c r="D11">
        <v>8363.2769092159397</v>
      </c>
      <c r="E11">
        <v>18.538507545975527</v>
      </c>
      <c r="F11">
        <v>451.13</v>
      </c>
    </row>
    <row r="12" spans="1:6" x14ac:dyDescent="0.25">
      <c r="A12">
        <v>597</v>
      </c>
      <c r="B12" t="s">
        <v>179</v>
      </c>
      <c r="C12">
        <v>202601</v>
      </c>
      <c r="D12">
        <v>7762.3071736842558</v>
      </c>
      <c r="E12">
        <v>25.887300896062214</v>
      </c>
      <c r="F12">
        <v>299.85000000000002</v>
      </c>
    </row>
    <row r="13" spans="1:6" x14ac:dyDescent="0.25">
      <c r="A13">
        <v>788</v>
      </c>
      <c r="B13" t="s">
        <v>179</v>
      </c>
      <c r="C13">
        <v>202601</v>
      </c>
      <c r="D13">
        <v>1293.0984653740784</v>
      </c>
      <c r="E13">
        <v>2.874829847430143</v>
      </c>
      <c r="F13">
        <v>449.8</v>
      </c>
    </row>
    <row r="14" spans="1:6" x14ac:dyDescent="0.25">
      <c r="A14">
        <v>636</v>
      </c>
      <c r="B14" t="s">
        <v>179</v>
      </c>
      <c r="C14">
        <v>202601</v>
      </c>
      <c r="D14">
        <v>11222.666468355832</v>
      </c>
      <c r="E14">
        <v>49.58760369545702</v>
      </c>
      <c r="F14">
        <v>226.32</v>
      </c>
    </row>
    <row r="15" spans="1:6" x14ac:dyDescent="0.25">
      <c r="A15">
        <v>789</v>
      </c>
      <c r="B15" t="s">
        <v>179</v>
      </c>
      <c r="C15">
        <v>202601</v>
      </c>
      <c r="D15">
        <v>1369.0839559268607</v>
      </c>
      <c r="E15">
        <v>4.0045745756606435</v>
      </c>
      <c r="F15">
        <v>341.88</v>
      </c>
    </row>
    <row r="16" spans="1:6" x14ac:dyDescent="0.25">
      <c r="A16">
        <v>634</v>
      </c>
      <c r="B16" t="s">
        <v>179</v>
      </c>
      <c r="C16">
        <v>202601</v>
      </c>
      <c r="D16">
        <v>22064.255766139369</v>
      </c>
      <c r="E16">
        <v>97.426836959152951</v>
      </c>
      <c r="F16">
        <v>226.47</v>
      </c>
    </row>
    <row r="17" spans="1:6" x14ac:dyDescent="0.25">
      <c r="A17">
        <v>635</v>
      </c>
      <c r="B17" t="s">
        <v>179</v>
      </c>
      <c r="C17">
        <v>202601</v>
      </c>
      <c r="D17">
        <v>17386.961036055989</v>
      </c>
      <c r="E17">
        <v>42.823972404758479</v>
      </c>
      <c r="F17">
        <v>406.01</v>
      </c>
    </row>
    <row r="18" spans="1:6" x14ac:dyDescent="0.25">
      <c r="A18">
        <v>666</v>
      </c>
      <c r="B18" t="s">
        <v>179</v>
      </c>
      <c r="C18">
        <v>202601</v>
      </c>
      <c r="D18">
        <v>5780.218840839686</v>
      </c>
      <c r="E18">
        <v>51.152379122475097</v>
      </c>
      <c r="F18">
        <v>113</v>
      </c>
    </row>
    <row r="19" spans="1:6" x14ac:dyDescent="0.25">
      <c r="A19">
        <v>667</v>
      </c>
      <c r="B19" t="s">
        <v>179</v>
      </c>
      <c r="C19">
        <v>202601</v>
      </c>
      <c r="D19">
        <v>8791.4894671623078</v>
      </c>
      <c r="E19">
        <v>46.763241846608018</v>
      </c>
      <c r="F19">
        <v>188</v>
      </c>
    </row>
    <row r="20" spans="1:6" x14ac:dyDescent="0.25">
      <c r="A20">
        <v>668</v>
      </c>
      <c r="B20" t="s">
        <v>179</v>
      </c>
      <c r="C20">
        <v>202601</v>
      </c>
      <c r="D20">
        <v>14809.567854061565</v>
      </c>
      <c r="E20">
        <v>82.002036844194706</v>
      </c>
      <c r="F20">
        <v>180.6</v>
      </c>
    </row>
    <row r="21" spans="1:6" x14ac:dyDescent="0.25">
      <c r="A21">
        <v>665</v>
      </c>
      <c r="B21" t="s">
        <v>179</v>
      </c>
      <c r="C21">
        <v>202601</v>
      </c>
      <c r="D21">
        <v>10160.437998051848</v>
      </c>
      <c r="E21">
        <v>45.179590013125747</v>
      </c>
      <c r="F21">
        <v>224.89</v>
      </c>
    </row>
    <row r="22" spans="1:6" x14ac:dyDescent="0.25">
      <c r="A22">
        <v>769</v>
      </c>
      <c r="B22" t="s">
        <v>179</v>
      </c>
      <c r="C22">
        <v>202601</v>
      </c>
      <c r="D22">
        <v>18404.543089918192</v>
      </c>
      <c r="E22">
        <v>54.531979525683532</v>
      </c>
      <c r="F22">
        <v>337.5</v>
      </c>
    </row>
    <row r="23" spans="1:6" x14ac:dyDescent="0.25">
      <c r="A23">
        <v>770</v>
      </c>
      <c r="B23" t="s">
        <v>179</v>
      </c>
      <c r="C23">
        <v>202601</v>
      </c>
      <c r="D23">
        <v>47396.814770369667</v>
      </c>
      <c r="E23">
        <v>84.261004036212739</v>
      </c>
      <c r="F23">
        <v>562.5</v>
      </c>
    </row>
    <row r="24" spans="1:6" x14ac:dyDescent="0.25">
      <c r="A24">
        <v>771</v>
      </c>
      <c r="B24" t="s">
        <v>179</v>
      </c>
      <c r="C24">
        <v>202601</v>
      </c>
      <c r="D24">
        <v>3389.1098346894787</v>
      </c>
      <c r="E24">
        <v>5.0223915748213974</v>
      </c>
      <c r="F24">
        <v>674.8</v>
      </c>
    </row>
    <row r="25" spans="1:6" x14ac:dyDescent="0.25">
      <c r="A25">
        <v>813</v>
      </c>
      <c r="B25" t="s">
        <v>179</v>
      </c>
      <c r="C25">
        <v>202601</v>
      </c>
      <c r="D25">
        <v>6488.1739901256933</v>
      </c>
      <c r="E25">
        <v>21.638060257069188</v>
      </c>
      <c r="F25">
        <v>299.8500749625187</v>
      </c>
    </row>
    <row r="26" spans="1:6" x14ac:dyDescent="0.25">
      <c r="A26">
        <v>814</v>
      </c>
      <c r="B26" t="s">
        <v>179</v>
      </c>
      <c r="C26">
        <v>202601</v>
      </c>
      <c r="D26">
        <v>7027.6813371584558</v>
      </c>
      <c r="E26">
        <v>15.627487963438861</v>
      </c>
      <c r="F26">
        <v>449.7</v>
      </c>
    </row>
    <row r="27" spans="1:6" x14ac:dyDescent="0.25">
      <c r="A27">
        <v>815</v>
      </c>
      <c r="B27" t="s">
        <v>179</v>
      </c>
      <c r="C27">
        <v>202601</v>
      </c>
      <c r="D27">
        <v>1189.3720454635695</v>
      </c>
      <c r="E27">
        <v>3.6063433761781973</v>
      </c>
      <c r="F27">
        <v>329.8</v>
      </c>
    </row>
    <row r="28" spans="1:6" x14ac:dyDescent="0.25">
      <c r="A28">
        <v>543</v>
      </c>
      <c r="B28" t="s">
        <v>72</v>
      </c>
      <c r="C28">
        <v>202601</v>
      </c>
      <c r="D28">
        <v>6029.822580918757</v>
      </c>
      <c r="E28">
        <v>26.727936972157611</v>
      </c>
      <c r="F28">
        <v>225.6</v>
      </c>
    </row>
    <row r="29" spans="1:6" x14ac:dyDescent="0.25">
      <c r="A29">
        <v>545</v>
      </c>
      <c r="B29" t="s">
        <v>72</v>
      </c>
      <c r="C29">
        <v>202601</v>
      </c>
      <c r="D29">
        <v>15267.970988439563</v>
      </c>
      <c r="E29">
        <v>42.340463084968285</v>
      </c>
      <c r="F29">
        <v>360.6</v>
      </c>
    </row>
    <row r="30" spans="1:6" x14ac:dyDescent="0.25">
      <c r="A30">
        <v>547</v>
      </c>
      <c r="B30" t="s">
        <v>72</v>
      </c>
      <c r="C30">
        <v>202601</v>
      </c>
      <c r="D30">
        <v>34548.040752991066</v>
      </c>
      <c r="E30">
        <v>79.706627798521282</v>
      </c>
      <c r="F30">
        <v>433.44</v>
      </c>
    </row>
    <row r="31" spans="1:6" x14ac:dyDescent="0.25">
      <c r="A31">
        <v>551</v>
      </c>
      <c r="B31" t="s">
        <v>72</v>
      </c>
      <c r="C31">
        <v>202601</v>
      </c>
      <c r="D31">
        <v>3127.7689548590092</v>
      </c>
      <c r="E31">
        <v>11.590339267987138</v>
      </c>
      <c r="F31">
        <v>269.86</v>
      </c>
    </row>
    <row r="32" spans="1:6" x14ac:dyDescent="0.25">
      <c r="A32">
        <v>552</v>
      </c>
      <c r="B32" t="s">
        <v>72</v>
      </c>
      <c r="C32">
        <v>202601</v>
      </c>
      <c r="D32">
        <v>2708.4332700635023</v>
      </c>
      <c r="E32">
        <v>17.205140833842602</v>
      </c>
      <c r="F32">
        <v>157.41999999999999</v>
      </c>
    </row>
    <row r="33" spans="1:6" x14ac:dyDescent="0.25">
      <c r="A33">
        <v>578</v>
      </c>
      <c r="B33" t="s">
        <v>72</v>
      </c>
      <c r="C33">
        <v>202601</v>
      </c>
      <c r="D33">
        <v>0</v>
      </c>
      <c r="E33">
        <v>0</v>
      </c>
      <c r="F33">
        <v>225.56</v>
      </c>
    </row>
    <row r="34" spans="1:6" x14ac:dyDescent="0.25">
      <c r="A34">
        <v>596</v>
      </c>
      <c r="B34" t="s">
        <v>72</v>
      </c>
      <c r="C34">
        <v>202601</v>
      </c>
      <c r="D34">
        <v>2487.5201140984236</v>
      </c>
      <c r="E34">
        <v>6.8925467278980985</v>
      </c>
      <c r="F34">
        <v>360.9</v>
      </c>
    </row>
    <row r="35" spans="1:6" x14ac:dyDescent="0.25">
      <c r="A35">
        <v>598</v>
      </c>
      <c r="B35" t="s">
        <v>72</v>
      </c>
      <c r="C35">
        <v>202601</v>
      </c>
      <c r="D35">
        <v>11157.722328600228</v>
      </c>
      <c r="E35">
        <v>24.732831619711011</v>
      </c>
      <c r="F35">
        <v>451.13</v>
      </c>
    </row>
    <row r="36" spans="1:6" x14ac:dyDescent="0.25">
      <c r="A36">
        <v>597</v>
      </c>
      <c r="B36" t="s">
        <v>72</v>
      </c>
      <c r="C36">
        <v>202601</v>
      </c>
      <c r="D36">
        <v>1668.6736212445999</v>
      </c>
      <c r="E36">
        <v>5.5650279181077194</v>
      </c>
      <c r="F36">
        <v>299.85000000000002</v>
      </c>
    </row>
    <row r="37" spans="1:6" x14ac:dyDescent="0.25">
      <c r="A37">
        <v>788</v>
      </c>
      <c r="B37" t="s">
        <v>72</v>
      </c>
      <c r="C37">
        <v>202601</v>
      </c>
      <c r="D37">
        <v>914.13167508050185</v>
      </c>
      <c r="E37">
        <v>2.0323069699433121</v>
      </c>
      <c r="F37">
        <v>449.8</v>
      </c>
    </row>
    <row r="38" spans="1:6" x14ac:dyDescent="0.25">
      <c r="A38">
        <v>789</v>
      </c>
      <c r="B38" t="s">
        <v>72</v>
      </c>
      <c r="C38">
        <v>202601</v>
      </c>
      <c r="D38">
        <v>1243.2397123457795</v>
      </c>
      <c r="E38">
        <v>3.6364797950912</v>
      </c>
      <c r="F38">
        <v>341.88</v>
      </c>
    </row>
    <row r="39" spans="1:6" x14ac:dyDescent="0.25">
      <c r="A39">
        <v>634</v>
      </c>
      <c r="B39" t="s">
        <v>72</v>
      </c>
      <c r="C39">
        <v>202601</v>
      </c>
      <c r="D39">
        <v>5336.82505257909</v>
      </c>
      <c r="E39">
        <v>23.565262739343357</v>
      </c>
      <c r="F39">
        <v>226.47</v>
      </c>
    </row>
    <row r="40" spans="1:6" x14ac:dyDescent="0.25">
      <c r="A40">
        <v>635</v>
      </c>
      <c r="B40" t="s">
        <v>72</v>
      </c>
      <c r="C40">
        <v>202601</v>
      </c>
      <c r="D40">
        <v>3162.5673599488664</v>
      </c>
      <c r="E40">
        <v>7.7893829214769745</v>
      </c>
      <c r="F40">
        <v>406.01</v>
      </c>
    </row>
    <row r="41" spans="1:6" x14ac:dyDescent="0.25">
      <c r="A41">
        <v>636</v>
      </c>
      <c r="B41" t="s">
        <v>72</v>
      </c>
      <c r="C41">
        <v>202601</v>
      </c>
      <c r="D41">
        <v>4443.0697814155819</v>
      </c>
      <c r="E41">
        <v>19.631803558746828</v>
      </c>
      <c r="F41">
        <v>226.32</v>
      </c>
    </row>
    <row r="42" spans="1:6" x14ac:dyDescent="0.25">
      <c r="A42">
        <v>666</v>
      </c>
      <c r="B42" t="s">
        <v>72</v>
      </c>
      <c r="C42">
        <v>202601</v>
      </c>
      <c r="D42">
        <v>5633.4227469430516</v>
      </c>
      <c r="E42">
        <v>49.853298645513732</v>
      </c>
      <c r="F42">
        <v>113</v>
      </c>
    </row>
    <row r="43" spans="1:6" x14ac:dyDescent="0.25">
      <c r="A43">
        <v>667</v>
      </c>
      <c r="B43" t="s">
        <v>72</v>
      </c>
      <c r="C43">
        <v>202601</v>
      </c>
      <c r="D43">
        <v>12603.047528579604</v>
      </c>
      <c r="E43">
        <v>67.037486854146835</v>
      </c>
      <c r="F43">
        <v>188</v>
      </c>
    </row>
    <row r="44" spans="1:6" x14ac:dyDescent="0.25">
      <c r="A44">
        <v>668</v>
      </c>
      <c r="B44" t="s">
        <v>72</v>
      </c>
      <c r="C44">
        <v>202601</v>
      </c>
      <c r="D44">
        <v>8071.8961604257029</v>
      </c>
      <c r="E44">
        <v>44.694884609223159</v>
      </c>
      <c r="F44">
        <v>180.6</v>
      </c>
    </row>
    <row r="45" spans="1:6" x14ac:dyDescent="0.25">
      <c r="A45">
        <v>665</v>
      </c>
      <c r="B45" t="s">
        <v>72</v>
      </c>
      <c r="C45">
        <v>202601</v>
      </c>
      <c r="D45">
        <v>4791.369960169689</v>
      </c>
      <c r="E45">
        <v>21.305393570944414</v>
      </c>
      <c r="F45">
        <v>224.89</v>
      </c>
    </row>
    <row r="46" spans="1:6" x14ac:dyDescent="0.25">
      <c r="A46">
        <v>770</v>
      </c>
      <c r="B46" t="s">
        <v>72</v>
      </c>
      <c r="C46">
        <v>202601</v>
      </c>
      <c r="D46">
        <v>44395.399881348407</v>
      </c>
      <c r="E46">
        <v>78.925155344619384</v>
      </c>
      <c r="F46">
        <v>562.5</v>
      </c>
    </row>
    <row r="47" spans="1:6" x14ac:dyDescent="0.25">
      <c r="A47">
        <v>771</v>
      </c>
      <c r="B47" t="s">
        <v>72</v>
      </c>
      <c r="C47">
        <v>202601</v>
      </c>
      <c r="D47">
        <v>3186.3962063825934</v>
      </c>
      <c r="E47">
        <v>4.7219860794051476</v>
      </c>
      <c r="F47">
        <v>674.8</v>
      </c>
    </row>
    <row r="48" spans="1:6" x14ac:dyDescent="0.25">
      <c r="A48">
        <v>769</v>
      </c>
      <c r="B48" t="s">
        <v>72</v>
      </c>
      <c r="C48">
        <v>202601</v>
      </c>
      <c r="D48">
        <v>14216.09929073819</v>
      </c>
      <c r="E48">
        <v>42.121775676261301</v>
      </c>
      <c r="F48">
        <v>337.5</v>
      </c>
    </row>
    <row r="49" spans="1:6" x14ac:dyDescent="0.25">
      <c r="A49">
        <v>813</v>
      </c>
      <c r="B49" t="s">
        <v>72</v>
      </c>
      <c r="C49">
        <v>202601</v>
      </c>
      <c r="D49">
        <v>1672.461295612977</v>
      </c>
      <c r="E49">
        <v>5.5776584208692785</v>
      </c>
      <c r="F49">
        <v>299.8500749625187</v>
      </c>
    </row>
    <row r="50" spans="1:6" x14ac:dyDescent="0.25">
      <c r="A50">
        <v>814</v>
      </c>
      <c r="B50" t="s">
        <v>72</v>
      </c>
      <c r="C50">
        <v>202601</v>
      </c>
      <c r="D50">
        <v>1811.5304941246609</v>
      </c>
      <c r="E50">
        <v>4.0283088595167023</v>
      </c>
      <c r="F50">
        <v>449.7</v>
      </c>
    </row>
    <row r="51" spans="1:6" x14ac:dyDescent="0.25">
      <c r="A51">
        <v>815</v>
      </c>
      <c r="B51" t="s">
        <v>72</v>
      </c>
      <c r="C51">
        <v>202601</v>
      </c>
      <c r="D51">
        <v>306.58529120044784</v>
      </c>
      <c r="E51">
        <v>0.92960973681154591</v>
      </c>
      <c r="F51">
        <v>329.8</v>
      </c>
    </row>
    <row r="52" spans="1:6" x14ac:dyDescent="0.25">
      <c r="A52">
        <v>542</v>
      </c>
      <c r="B52" t="s">
        <v>73</v>
      </c>
      <c r="C52">
        <v>202601</v>
      </c>
      <c r="D52">
        <v>8442.3207631771111</v>
      </c>
      <c r="E52">
        <v>139.819820522973</v>
      </c>
      <c r="F52">
        <v>60.38</v>
      </c>
    </row>
    <row r="53" spans="1:6" x14ac:dyDescent="0.25">
      <c r="A53">
        <v>543</v>
      </c>
      <c r="B53" t="s">
        <v>73</v>
      </c>
      <c r="C53">
        <v>202601</v>
      </c>
      <c r="D53">
        <v>13731.741383379735</v>
      </c>
      <c r="E53">
        <v>60.867647975974002</v>
      </c>
      <c r="F53">
        <v>225.6</v>
      </c>
    </row>
    <row r="54" spans="1:6" x14ac:dyDescent="0.25">
      <c r="A54">
        <v>545</v>
      </c>
      <c r="B54" t="s">
        <v>73</v>
      </c>
      <c r="C54">
        <v>202601</v>
      </c>
      <c r="D54">
        <v>55106.382630766318</v>
      </c>
      <c r="E54">
        <v>152.8185874397291</v>
      </c>
      <c r="F54">
        <v>360.6</v>
      </c>
    </row>
    <row r="55" spans="1:6" x14ac:dyDescent="0.25">
      <c r="A55">
        <v>547</v>
      </c>
      <c r="B55" t="s">
        <v>73</v>
      </c>
      <c r="C55">
        <v>202601</v>
      </c>
      <c r="D55">
        <v>104748.65658490331</v>
      </c>
      <c r="E55">
        <v>241.66818148971785</v>
      </c>
      <c r="F55">
        <v>433.44</v>
      </c>
    </row>
    <row r="56" spans="1:6" x14ac:dyDescent="0.25">
      <c r="A56">
        <v>551</v>
      </c>
      <c r="B56" t="s">
        <v>73</v>
      </c>
      <c r="C56">
        <v>202601</v>
      </c>
      <c r="D56">
        <v>9691.9460666726227</v>
      </c>
      <c r="E56">
        <v>35.914718990115695</v>
      </c>
      <c r="F56">
        <v>269.86</v>
      </c>
    </row>
    <row r="57" spans="1:6" x14ac:dyDescent="0.25">
      <c r="A57">
        <v>552</v>
      </c>
      <c r="B57" t="s">
        <v>73</v>
      </c>
      <c r="C57">
        <v>202601</v>
      </c>
      <c r="D57">
        <v>10888.854944055121</v>
      </c>
      <c r="E57">
        <v>69.170721281000652</v>
      </c>
      <c r="F57">
        <v>157.41999999999999</v>
      </c>
    </row>
    <row r="58" spans="1:6" x14ac:dyDescent="0.25">
      <c r="A58">
        <v>578</v>
      </c>
      <c r="B58" t="s">
        <v>73</v>
      </c>
      <c r="C58">
        <v>202601</v>
      </c>
      <c r="D58">
        <v>0</v>
      </c>
      <c r="E58">
        <v>0</v>
      </c>
      <c r="F58">
        <v>225.56</v>
      </c>
    </row>
    <row r="59" spans="1:6" x14ac:dyDescent="0.25">
      <c r="A59">
        <v>596</v>
      </c>
      <c r="B59" t="s">
        <v>73</v>
      </c>
      <c r="C59">
        <v>202601</v>
      </c>
      <c r="D59">
        <v>5668.4269487073771</v>
      </c>
      <c r="E59">
        <v>15.706364501821495</v>
      </c>
      <c r="F59">
        <v>360.9</v>
      </c>
    </row>
    <row r="60" spans="1:6" x14ac:dyDescent="0.25">
      <c r="A60">
        <v>598</v>
      </c>
      <c r="B60" t="s">
        <v>73</v>
      </c>
      <c r="C60">
        <v>202601</v>
      </c>
      <c r="D60">
        <v>8603.691086871122</v>
      </c>
      <c r="E60">
        <v>19.071423064019513</v>
      </c>
      <c r="F60">
        <v>451.13</v>
      </c>
    </row>
    <row r="61" spans="1:6" x14ac:dyDescent="0.25">
      <c r="A61">
        <v>597</v>
      </c>
      <c r="B61" t="s">
        <v>73</v>
      </c>
      <c r="C61">
        <v>202601</v>
      </c>
      <c r="D61">
        <v>2225.1462845461556</v>
      </c>
      <c r="E61">
        <v>7.4208647141776067</v>
      </c>
      <c r="F61">
        <v>299.85000000000002</v>
      </c>
    </row>
    <row r="62" spans="1:6" x14ac:dyDescent="0.25">
      <c r="A62">
        <v>788</v>
      </c>
      <c r="B62" t="s">
        <v>73</v>
      </c>
      <c r="C62">
        <v>202601</v>
      </c>
      <c r="D62">
        <v>0</v>
      </c>
      <c r="E62">
        <v>0</v>
      </c>
      <c r="F62">
        <v>449.8</v>
      </c>
    </row>
    <row r="63" spans="1:6" x14ac:dyDescent="0.25">
      <c r="A63">
        <v>789</v>
      </c>
      <c r="B63" t="s">
        <v>73</v>
      </c>
      <c r="C63">
        <v>202601</v>
      </c>
      <c r="D63">
        <v>5605.4082081437655</v>
      </c>
      <c r="E63">
        <v>16.395835404655919</v>
      </c>
      <c r="F63">
        <v>341.88</v>
      </c>
    </row>
    <row r="64" spans="1:6" x14ac:dyDescent="0.25">
      <c r="A64">
        <v>634</v>
      </c>
      <c r="B64" t="s">
        <v>73</v>
      </c>
      <c r="C64">
        <v>202601</v>
      </c>
      <c r="D64">
        <v>12494.679046975038</v>
      </c>
      <c r="E64">
        <v>55.171453380028424</v>
      </c>
      <c r="F64">
        <v>226.47</v>
      </c>
    </row>
    <row r="65" spans="1:6" x14ac:dyDescent="0.25">
      <c r="A65">
        <v>635</v>
      </c>
      <c r="B65" t="s">
        <v>73</v>
      </c>
      <c r="C65">
        <v>202601</v>
      </c>
      <c r="D65">
        <v>3645.5742143256562</v>
      </c>
      <c r="E65">
        <v>8.9790256750465662</v>
      </c>
      <c r="F65">
        <v>406.01</v>
      </c>
    </row>
    <row r="66" spans="1:6" x14ac:dyDescent="0.25">
      <c r="A66">
        <v>636</v>
      </c>
      <c r="B66" t="s">
        <v>73</v>
      </c>
      <c r="C66">
        <v>202601</v>
      </c>
      <c r="D66">
        <v>13062.222149027513</v>
      </c>
      <c r="E66">
        <v>57.715721761344618</v>
      </c>
      <c r="F66">
        <v>226.32</v>
      </c>
    </row>
    <row r="67" spans="1:6" x14ac:dyDescent="0.25">
      <c r="A67">
        <v>666</v>
      </c>
      <c r="B67" t="s">
        <v>73</v>
      </c>
      <c r="C67">
        <v>202601</v>
      </c>
      <c r="D67">
        <v>8737.6237881038032</v>
      </c>
      <c r="E67">
        <v>77.32410431950268</v>
      </c>
      <c r="F67">
        <v>113</v>
      </c>
    </row>
    <row r="68" spans="1:6" x14ac:dyDescent="0.25">
      <c r="A68">
        <v>667</v>
      </c>
      <c r="B68" t="s">
        <v>73</v>
      </c>
      <c r="C68">
        <v>202601</v>
      </c>
      <c r="D68">
        <v>11164.519823649158</v>
      </c>
      <c r="E68">
        <v>59.385743742814668</v>
      </c>
      <c r="F68">
        <v>188</v>
      </c>
    </row>
    <row r="69" spans="1:6" x14ac:dyDescent="0.25">
      <c r="A69">
        <v>668</v>
      </c>
      <c r="B69" t="s">
        <v>73</v>
      </c>
      <c r="C69">
        <v>202601</v>
      </c>
      <c r="D69">
        <v>9952.6569950245575</v>
      </c>
      <c r="E69">
        <v>55.108842718851371</v>
      </c>
      <c r="F69">
        <v>180.6</v>
      </c>
    </row>
    <row r="70" spans="1:6" x14ac:dyDescent="0.25">
      <c r="A70">
        <v>665</v>
      </c>
      <c r="B70" t="s">
        <v>73</v>
      </c>
      <c r="C70">
        <v>202601</v>
      </c>
      <c r="D70">
        <v>7546.9573331409874</v>
      </c>
      <c r="E70">
        <v>33.55843893966378</v>
      </c>
      <c r="F70">
        <v>224.89</v>
      </c>
    </row>
    <row r="71" spans="1:6" x14ac:dyDescent="0.25">
      <c r="A71">
        <v>770</v>
      </c>
      <c r="B71" t="s">
        <v>73</v>
      </c>
      <c r="C71">
        <v>202601</v>
      </c>
      <c r="D71">
        <v>42059.173631778758</v>
      </c>
      <c r="E71">
        <v>74.771864234273352</v>
      </c>
      <c r="F71">
        <v>562.5</v>
      </c>
    </row>
    <row r="72" spans="1:6" x14ac:dyDescent="0.25">
      <c r="A72">
        <v>771</v>
      </c>
      <c r="B72" t="s">
        <v>73</v>
      </c>
      <c r="C72">
        <v>202601</v>
      </c>
      <c r="D72">
        <v>4010.5725233492144</v>
      </c>
      <c r="E72">
        <v>5.9433499160480361</v>
      </c>
      <c r="F72">
        <v>674.8</v>
      </c>
    </row>
    <row r="73" spans="1:6" x14ac:dyDescent="0.25">
      <c r="A73">
        <v>769</v>
      </c>
      <c r="B73" t="s">
        <v>73</v>
      </c>
      <c r="C73">
        <v>202601</v>
      </c>
      <c r="D73">
        <v>21700.598562418178</v>
      </c>
      <c r="E73">
        <v>64.298069814572372</v>
      </c>
      <c r="F73">
        <v>337.5</v>
      </c>
    </row>
    <row r="74" spans="1:6" x14ac:dyDescent="0.25">
      <c r="A74">
        <v>813</v>
      </c>
      <c r="B74" t="s">
        <v>73</v>
      </c>
      <c r="C74">
        <v>202601</v>
      </c>
      <c r="D74">
        <v>3794.8097433178064</v>
      </c>
      <c r="E74">
        <v>12.655690493964885</v>
      </c>
      <c r="F74">
        <v>299.8500749625187</v>
      </c>
    </row>
    <row r="75" spans="1:6" x14ac:dyDescent="0.25">
      <c r="A75">
        <v>814</v>
      </c>
      <c r="B75" t="s">
        <v>73</v>
      </c>
      <c r="C75">
        <v>202601</v>
      </c>
      <c r="D75">
        <v>4110.3573442648958</v>
      </c>
      <c r="E75">
        <v>9.1402209123079743</v>
      </c>
      <c r="F75">
        <v>449.7</v>
      </c>
    </row>
    <row r="76" spans="1:6" x14ac:dyDescent="0.25">
      <c r="A76">
        <v>815</v>
      </c>
      <c r="B76" t="s">
        <v>73</v>
      </c>
      <c r="C76">
        <v>202601</v>
      </c>
      <c r="D76">
        <v>695.64112081826954</v>
      </c>
      <c r="E76">
        <v>2.1092817489941464</v>
      </c>
      <c r="F76">
        <v>329.8</v>
      </c>
    </row>
    <row r="77" spans="1:6" x14ac:dyDescent="0.25">
      <c r="A77">
        <v>542</v>
      </c>
      <c r="B77" t="s">
        <v>49</v>
      </c>
      <c r="C77">
        <v>202601</v>
      </c>
      <c r="D77">
        <v>13573.057992433842</v>
      </c>
      <c r="E77">
        <v>224.79393826488641</v>
      </c>
      <c r="F77">
        <v>60.38</v>
      </c>
    </row>
    <row r="78" spans="1:6" x14ac:dyDescent="0.25">
      <c r="A78">
        <v>543</v>
      </c>
      <c r="B78" t="s">
        <v>49</v>
      </c>
      <c r="C78">
        <v>202601</v>
      </c>
      <c r="D78">
        <v>18967.816190902522</v>
      </c>
      <c r="E78">
        <v>84.07719942775941</v>
      </c>
      <c r="F78">
        <v>225.6</v>
      </c>
    </row>
    <row r="79" spans="1:6" x14ac:dyDescent="0.25">
      <c r="A79">
        <v>545</v>
      </c>
      <c r="B79" t="s">
        <v>49</v>
      </c>
      <c r="C79">
        <v>202601</v>
      </c>
      <c r="D79">
        <v>86870.815483082013</v>
      </c>
      <c r="E79">
        <v>240.90631026922352</v>
      </c>
      <c r="F79">
        <v>360.6</v>
      </c>
    </row>
    <row r="80" spans="1:6" x14ac:dyDescent="0.25">
      <c r="A80">
        <v>547</v>
      </c>
      <c r="B80" t="s">
        <v>49</v>
      </c>
      <c r="C80">
        <v>202601</v>
      </c>
      <c r="D80">
        <v>124382.62181254591</v>
      </c>
      <c r="E80">
        <v>286.96618173806274</v>
      </c>
      <c r="F80">
        <v>433.44</v>
      </c>
    </row>
    <row r="81" spans="1:6" x14ac:dyDescent="0.25">
      <c r="A81">
        <v>551</v>
      </c>
      <c r="B81" t="s">
        <v>49</v>
      </c>
      <c r="C81">
        <v>202601</v>
      </c>
      <c r="D81">
        <v>28326.238798923016</v>
      </c>
      <c r="E81">
        <v>104.96642258549994</v>
      </c>
      <c r="F81">
        <v>269.86</v>
      </c>
    </row>
    <row r="82" spans="1:6" x14ac:dyDescent="0.25">
      <c r="A82">
        <v>552</v>
      </c>
      <c r="B82" t="s">
        <v>49</v>
      </c>
      <c r="C82">
        <v>202601</v>
      </c>
      <c r="D82">
        <v>8176.2093451104975</v>
      </c>
      <c r="E82">
        <v>51.938821910243284</v>
      </c>
      <c r="F82">
        <v>157.41999999999999</v>
      </c>
    </row>
    <row r="83" spans="1:6" x14ac:dyDescent="0.25">
      <c r="A83">
        <v>578</v>
      </c>
      <c r="B83" t="s">
        <v>49</v>
      </c>
      <c r="C83">
        <v>202601</v>
      </c>
      <c r="D83">
        <v>0</v>
      </c>
      <c r="E83">
        <v>0</v>
      </c>
      <c r="F83">
        <v>225.56</v>
      </c>
    </row>
    <row r="84" spans="1:6" x14ac:dyDescent="0.25">
      <c r="A84">
        <v>596</v>
      </c>
      <c r="B84" t="s">
        <v>49</v>
      </c>
      <c r="C84">
        <v>202601</v>
      </c>
      <c r="D84">
        <v>5906.8406917353468</v>
      </c>
      <c r="E84">
        <v>16.366973376933629</v>
      </c>
      <c r="F84">
        <v>360.9</v>
      </c>
    </row>
    <row r="85" spans="1:6" x14ac:dyDescent="0.25">
      <c r="A85">
        <v>598</v>
      </c>
      <c r="B85" t="s">
        <v>49</v>
      </c>
      <c r="C85">
        <v>202601</v>
      </c>
      <c r="D85">
        <v>7607.5738829005595</v>
      </c>
      <c r="E85">
        <v>16.863373934122226</v>
      </c>
      <c r="F85">
        <v>451.13</v>
      </c>
    </row>
    <row r="86" spans="1:6" x14ac:dyDescent="0.25">
      <c r="A86">
        <v>597</v>
      </c>
      <c r="B86" t="s">
        <v>49</v>
      </c>
      <c r="C86">
        <v>202601</v>
      </c>
      <c r="D86">
        <v>2058.5624240982429</v>
      </c>
      <c r="E86">
        <v>6.8653074006944896</v>
      </c>
      <c r="F86">
        <v>299.85000000000002</v>
      </c>
    </row>
    <row r="87" spans="1:6" x14ac:dyDescent="0.25">
      <c r="A87">
        <v>788</v>
      </c>
      <c r="B87" t="s">
        <v>49</v>
      </c>
      <c r="C87">
        <v>202601</v>
      </c>
      <c r="D87">
        <v>2425.9842488883182</v>
      </c>
      <c r="E87">
        <v>5.3934732078441936</v>
      </c>
      <c r="F87">
        <v>449.8</v>
      </c>
    </row>
    <row r="88" spans="1:6" x14ac:dyDescent="0.25">
      <c r="A88">
        <v>789</v>
      </c>
      <c r="B88" t="s">
        <v>49</v>
      </c>
      <c r="C88">
        <v>202601</v>
      </c>
      <c r="D88">
        <v>2160.3728632560255</v>
      </c>
      <c r="E88">
        <v>6.3190969441208189</v>
      </c>
      <c r="F88">
        <v>341.88</v>
      </c>
    </row>
    <row r="89" spans="1:6" x14ac:dyDescent="0.25">
      <c r="A89">
        <v>634</v>
      </c>
      <c r="B89" t="s">
        <v>49</v>
      </c>
      <c r="C89">
        <v>202601</v>
      </c>
      <c r="D89">
        <v>26407.708570778628</v>
      </c>
      <c r="E89">
        <v>116.60576928855313</v>
      </c>
      <c r="F89">
        <v>226.47</v>
      </c>
    </row>
    <row r="90" spans="1:6" x14ac:dyDescent="0.25">
      <c r="A90">
        <v>635</v>
      </c>
      <c r="B90" t="s">
        <v>49</v>
      </c>
      <c r="C90">
        <v>202601</v>
      </c>
      <c r="D90">
        <v>11130.933698648043</v>
      </c>
      <c r="E90">
        <v>27.41541759722185</v>
      </c>
      <c r="F90">
        <v>406.01</v>
      </c>
    </row>
    <row r="91" spans="1:6" x14ac:dyDescent="0.25">
      <c r="A91">
        <v>636</v>
      </c>
      <c r="B91" t="s">
        <v>49</v>
      </c>
      <c r="C91">
        <v>202601</v>
      </c>
      <c r="D91">
        <v>16035.364397061734</v>
      </c>
      <c r="E91">
        <v>70.852617519714272</v>
      </c>
      <c r="F91">
        <v>226.32</v>
      </c>
    </row>
    <row r="92" spans="1:6" x14ac:dyDescent="0.25">
      <c r="A92">
        <v>666</v>
      </c>
      <c r="B92" t="s">
        <v>49</v>
      </c>
      <c r="C92">
        <v>202601</v>
      </c>
      <c r="D92">
        <v>4803.3894934054279</v>
      </c>
      <c r="E92">
        <v>42.507871623056886</v>
      </c>
      <c r="F92">
        <v>113</v>
      </c>
    </row>
    <row r="93" spans="1:6" x14ac:dyDescent="0.25">
      <c r="A93">
        <v>667</v>
      </c>
      <c r="B93" t="s">
        <v>49</v>
      </c>
      <c r="C93">
        <v>202601</v>
      </c>
      <c r="D93">
        <v>14150.450830315971</v>
      </c>
      <c r="E93">
        <v>75.268355480404097</v>
      </c>
      <c r="F93">
        <v>188</v>
      </c>
    </row>
    <row r="94" spans="1:6" x14ac:dyDescent="0.25">
      <c r="A94">
        <v>668</v>
      </c>
      <c r="B94" t="s">
        <v>49</v>
      </c>
      <c r="C94">
        <v>202601</v>
      </c>
      <c r="D94">
        <v>15206.069894279404</v>
      </c>
      <c r="E94">
        <v>84.197507720262479</v>
      </c>
      <c r="F94">
        <v>180.6</v>
      </c>
    </row>
    <row r="95" spans="1:6" x14ac:dyDescent="0.25">
      <c r="A95">
        <v>665</v>
      </c>
      <c r="B95" t="s">
        <v>49</v>
      </c>
      <c r="C95">
        <v>202601</v>
      </c>
      <c r="D95">
        <v>9303.1754555758471</v>
      </c>
      <c r="E95">
        <v>41.367670663772721</v>
      </c>
      <c r="F95">
        <v>224.89</v>
      </c>
    </row>
    <row r="96" spans="1:6" x14ac:dyDescent="0.25">
      <c r="A96">
        <v>770</v>
      </c>
      <c r="B96" t="s">
        <v>49</v>
      </c>
      <c r="C96">
        <v>202601</v>
      </c>
      <c r="D96">
        <v>40381.992280697385</v>
      </c>
      <c r="E96">
        <v>71.790208499017567</v>
      </c>
      <c r="F96">
        <v>562.5</v>
      </c>
    </row>
    <row r="97" spans="1:6" x14ac:dyDescent="0.25">
      <c r="A97">
        <v>771</v>
      </c>
      <c r="B97" t="s">
        <v>49</v>
      </c>
      <c r="C97">
        <v>202601</v>
      </c>
      <c r="D97">
        <v>9255.0391108390886</v>
      </c>
      <c r="E97">
        <v>13.715232825784069</v>
      </c>
      <c r="F97">
        <v>674.8</v>
      </c>
    </row>
    <row r="98" spans="1:6" x14ac:dyDescent="0.25">
      <c r="A98">
        <v>769</v>
      </c>
      <c r="B98" t="s">
        <v>49</v>
      </c>
      <c r="C98">
        <v>202601</v>
      </c>
      <c r="D98">
        <v>28370.855653017828</v>
      </c>
      <c r="E98">
        <v>84.061794527460236</v>
      </c>
      <c r="F98">
        <v>337.5</v>
      </c>
    </row>
    <row r="99" spans="1:6" x14ac:dyDescent="0.25">
      <c r="A99">
        <v>813</v>
      </c>
      <c r="B99" t="s">
        <v>49</v>
      </c>
      <c r="C99">
        <v>202601</v>
      </c>
      <c r="D99">
        <v>6868.5991766953775</v>
      </c>
      <c r="E99">
        <v>22.906778254279086</v>
      </c>
      <c r="F99">
        <v>299.8500749625187</v>
      </c>
    </row>
    <row r="100" spans="1:6" x14ac:dyDescent="0.25">
      <c r="A100">
        <v>814</v>
      </c>
      <c r="B100" t="s">
        <v>49</v>
      </c>
      <c r="C100">
        <v>202601</v>
      </c>
      <c r="D100">
        <v>7439.7397973522766</v>
      </c>
      <c r="E100">
        <v>16.543784294757121</v>
      </c>
      <c r="F100">
        <v>449.7</v>
      </c>
    </row>
    <row r="101" spans="1:6" x14ac:dyDescent="0.25">
      <c r="A101">
        <v>815</v>
      </c>
      <c r="B101" t="s">
        <v>49</v>
      </c>
      <c r="C101">
        <v>202601</v>
      </c>
      <c r="D101">
        <v>1259.1092447102069</v>
      </c>
      <c r="E101">
        <v>3.8177963757131801</v>
      </c>
      <c r="F101">
        <v>329.8</v>
      </c>
    </row>
    <row r="102" spans="1:6" x14ac:dyDescent="0.25">
      <c r="A102">
        <v>542</v>
      </c>
      <c r="B102" t="s">
        <v>50</v>
      </c>
      <c r="C102">
        <v>202601</v>
      </c>
      <c r="D102">
        <v>18563.921903382277</v>
      </c>
      <c r="E102">
        <v>307.4515055214024</v>
      </c>
      <c r="F102">
        <v>60.38</v>
      </c>
    </row>
    <row r="103" spans="1:6" x14ac:dyDescent="0.25">
      <c r="A103">
        <v>543</v>
      </c>
      <c r="B103" t="s">
        <v>50</v>
      </c>
      <c r="C103">
        <v>202601</v>
      </c>
      <c r="D103">
        <v>21263.18863634325</v>
      </c>
      <c r="E103">
        <v>94.251722678826468</v>
      </c>
      <c r="F103">
        <v>225.6</v>
      </c>
    </row>
    <row r="104" spans="1:6" x14ac:dyDescent="0.25">
      <c r="A104">
        <v>545</v>
      </c>
      <c r="B104" t="s">
        <v>50</v>
      </c>
      <c r="C104">
        <v>202601</v>
      </c>
      <c r="D104">
        <v>81004.029839363953</v>
      </c>
      <c r="E104">
        <v>224.63679933267872</v>
      </c>
      <c r="F104">
        <v>360.6</v>
      </c>
    </row>
    <row r="105" spans="1:6" x14ac:dyDescent="0.25">
      <c r="A105">
        <v>547</v>
      </c>
      <c r="B105" t="s">
        <v>50</v>
      </c>
      <c r="C105">
        <v>202601</v>
      </c>
      <c r="D105">
        <v>107789.48747662549</v>
      </c>
      <c r="E105">
        <v>248.68375663673288</v>
      </c>
      <c r="F105">
        <v>433.44</v>
      </c>
    </row>
    <row r="106" spans="1:6" x14ac:dyDescent="0.25">
      <c r="A106">
        <v>551</v>
      </c>
      <c r="B106" t="s">
        <v>50</v>
      </c>
      <c r="C106">
        <v>202601</v>
      </c>
      <c r="D106">
        <v>6953.0326273794026</v>
      </c>
      <c r="E106">
        <v>25.765332496032766</v>
      </c>
      <c r="F106">
        <v>269.86</v>
      </c>
    </row>
    <row r="107" spans="1:6" x14ac:dyDescent="0.25">
      <c r="A107">
        <v>552</v>
      </c>
      <c r="B107" t="s">
        <v>50</v>
      </c>
      <c r="C107">
        <v>202601</v>
      </c>
      <c r="D107">
        <v>2721.1567783714077</v>
      </c>
      <c r="E107">
        <v>17.285966067662354</v>
      </c>
      <c r="F107">
        <v>157.41999999999999</v>
      </c>
    </row>
    <row r="108" spans="1:6" x14ac:dyDescent="0.25">
      <c r="A108">
        <v>578</v>
      </c>
      <c r="B108" t="s">
        <v>50</v>
      </c>
      <c r="C108">
        <v>202601</v>
      </c>
      <c r="D108">
        <v>0</v>
      </c>
      <c r="E108">
        <v>0</v>
      </c>
      <c r="F108">
        <v>225.56</v>
      </c>
    </row>
    <row r="109" spans="1:6" x14ac:dyDescent="0.25">
      <c r="A109">
        <v>596</v>
      </c>
      <c r="B109" t="s">
        <v>50</v>
      </c>
      <c r="C109">
        <v>202601</v>
      </c>
      <c r="D109">
        <v>1854.5520086968866</v>
      </c>
      <c r="E109">
        <v>5.1386866408891292</v>
      </c>
      <c r="F109">
        <v>360.9</v>
      </c>
    </row>
    <row r="110" spans="1:6" x14ac:dyDescent="0.25">
      <c r="A110">
        <v>598</v>
      </c>
      <c r="B110" t="s">
        <v>50</v>
      </c>
      <c r="C110">
        <v>202601</v>
      </c>
      <c r="D110">
        <v>9750.2875824659386</v>
      </c>
      <c r="E110">
        <v>21.613033011473274</v>
      </c>
      <c r="F110">
        <v>451.13</v>
      </c>
    </row>
    <row r="111" spans="1:6" x14ac:dyDescent="0.25">
      <c r="A111">
        <v>597</v>
      </c>
      <c r="B111" t="s">
        <v>50</v>
      </c>
      <c r="C111">
        <v>202601</v>
      </c>
      <c r="D111">
        <v>858.76178726389924</v>
      </c>
      <c r="E111">
        <v>2.863971276517923</v>
      </c>
      <c r="F111">
        <v>299.85000000000002</v>
      </c>
    </row>
    <row r="112" spans="1:6" x14ac:dyDescent="0.25">
      <c r="A112">
        <v>788</v>
      </c>
      <c r="B112" t="s">
        <v>50</v>
      </c>
      <c r="C112">
        <v>202601</v>
      </c>
      <c r="D112">
        <v>907.52367089215409</v>
      </c>
      <c r="E112">
        <v>2.0176159868656161</v>
      </c>
      <c r="F112">
        <v>449.8</v>
      </c>
    </row>
    <row r="113" spans="1:6" x14ac:dyDescent="0.25">
      <c r="A113">
        <v>789</v>
      </c>
      <c r="B113" t="s">
        <v>50</v>
      </c>
      <c r="C113">
        <v>202601</v>
      </c>
      <c r="D113">
        <v>902.79714955655606</v>
      </c>
      <c r="E113">
        <v>2.6406843031372298</v>
      </c>
      <c r="F113">
        <v>341.88</v>
      </c>
    </row>
    <row r="114" spans="1:6" x14ac:dyDescent="0.25">
      <c r="A114">
        <v>634</v>
      </c>
      <c r="B114" t="s">
        <v>50</v>
      </c>
      <c r="C114">
        <v>202601</v>
      </c>
      <c r="D114">
        <v>24310.518605518049</v>
      </c>
      <c r="E114">
        <v>107.34542590858855</v>
      </c>
      <c r="F114">
        <v>226.47</v>
      </c>
    </row>
    <row r="115" spans="1:6" x14ac:dyDescent="0.25">
      <c r="A115">
        <v>635</v>
      </c>
      <c r="B115" t="s">
        <v>50</v>
      </c>
      <c r="C115">
        <v>202601</v>
      </c>
      <c r="D115">
        <v>6322.374753121082</v>
      </c>
      <c r="E115">
        <v>15.57196806266122</v>
      </c>
      <c r="F115">
        <v>406.01</v>
      </c>
    </row>
    <row r="116" spans="1:6" x14ac:dyDescent="0.25">
      <c r="A116">
        <v>636</v>
      </c>
      <c r="B116" t="s">
        <v>50</v>
      </c>
      <c r="C116">
        <v>202601</v>
      </c>
      <c r="D116">
        <v>20680.99221532471</v>
      </c>
      <c r="E116">
        <v>91.379428310908054</v>
      </c>
      <c r="F116">
        <v>226.32</v>
      </c>
    </row>
    <row r="117" spans="1:6" x14ac:dyDescent="0.25">
      <c r="A117">
        <v>666</v>
      </c>
      <c r="B117" t="s">
        <v>50</v>
      </c>
      <c r="C117">
        <v>202601</v>
      </c>
      <c r="D117">
        <v>5674.3664538197872</v>
      </c>
      <c r="E117">
        <v>50.21563233468838</v>
      </c>
      <c r="F117">
        <v>113</v>
      </c>
    </row>
    <row r="118" spans="1:6" x14ac:dyDescent="0.25">
      <c r="A118">
        <v>667</v>
      </c>
      <c r="B118" t="s">
        <v>50</v>
      </c>
      <c r="C118">
        <v>202601</v>
      </c>
      <c r="D118">
        <v>9256.9972499574451</v>
      </c>
      <c r="E118">
        <v>49.239347074241728</v>
      </c>
      <c r="F118">
        <v>188</v>
      </c>
    </row>
    <row r="119" spans="1:6" x14ac:dyDescent="0.25">
      <c r="A119">
        <v>668</v>
      </c>
      <c r="B119" t="s">
        <v>50</v>
      </c>
      <c r="C119">
        <v>202601</v>
      </c>
      <c r="D119">
        <v>8146.9357186843781</v>
      </c>
      <c r="E119">
        <v>45.110386039226903</v>
      </c>
      <c r="F119">
        <v>180.6</v>
      </c>
    </row>
    <row r="120" spans="1:6" x14ac:dyDescent="0.25">
      <c r="A120">
        <v>665</v>
      </c>
      <c r="B120" t="s">
        <v>50</v>
      </c>
      <c r="C120">
        <v>202601</v>
      </c>
      <c r="D120">
        <v>4162.7867340232597</v>
      </c>
      <c r="E120">
        <v>18.510323865104095</v>
      </c>
      <c r="F120">
        <v>224.89</v>
      </c>
    </row>
    <row r="121" spans="1:6" x14ac:dyDescent="0.25">
      <c r="A121">
        <v>770</v>
      </c>
      <c r="B121" t="s">
        <v>50</v>
      </c>
      <c r="C121">
        <v>202601</v>
      </c>
      <c r="D121">
        <v>14084.088684380935</v>
      </c>
      <c r="E121">
        <v>25.038379883343886</v>
      </c>
      <c r="F121">
        <v>562.5</v>
      </c>
    </row>
    <row r="122" spans="1:6" x14ac:dyDescent="0.25">
      <c r="A122">
        <v>771</v>
      </c>
      <c r="B122" t="s">
        <v>50</v>
      </c>
      <c r="C122">
        <v>202601</v>
      </c>
      <c r="D122">
        <v>2379.2348724812559</v>
      </c>
      <c r="E122">
        <v>3.5258370961488681</v>
      </c>
      <c r="F122">
        <v>674.8</v>
      </c>
    </row>
    <row r="123" spans="1:6" x14ac:dyDescent="0.25">
      <c r="A123">
        <v>769</v>
      </c>
      <c r="B123" t="s">
        <v>50</v>
      </c>
      <c r="C123">
        <v>202601</v>
      </c>
      <c r="D123">
        <v>5428.1451235468421</v>
      </c>
      <c r="E123">
        <v>16.08339295865731</v>
      </c>
      <c r="F123">
        <v>337.5</v>
      </c>
    </row>
    <row r="124" spans="1:6" x14ac:dyDescent="0.25">
      <c r="A124">
        <v>813</v>
      </c>
      <c r="B124" t="s">
        <v>50</v>
      </c>
      <c r="C124">
        <v>202601</v>
      </c>
      <c r="D124">
        <v>6630.4019075652141</v>
      </c>
      <c r="E124">
        <v>22.112390361729993</v>
      </c>
      <c r="F124">
        <v>299.8500749625187</v>
      </c>
    </row>
    <row r="125" spans="1:6" x14ac:dyDescent="0.25">
      <c r="A125">
        <v>814</v>
      </c>
      <c r="B125" t="s">
        <v>50</v>
      </c>
      <c r="C125">
        <v>202601</v>
      </c>
      <c r="D125">
        <v>7181.7358496505403</v>
      </c>
      <c r="E125">
        <v>15.970059705693886</v>
      </c>
      <c r="F125">
        <v>449.7</v>
      </c>
    </row>
    <row r="126" spans="1:6" x14ac:dyDescent="0.25">
      <c r="A126">
        <v>815</v>
      </c>
      <c r="B126" t="s">
        <v>50</v>
      </c>
      <c r="C126">
        <v>202601</v>
      </c>
      <c r="D126">
        <v>1215.4443902164248</v>
      </c>
      <c r="E126">
        <v>3.6853983936216639</v>
      </c>
      <c r="F126">
        <v>329.8</v>
      </c>
    </row>
    <row r="127" spans="1:6" x14ac:dyDescent="0.25">
      <c r="A127">
        <v>542</v>
      </c>
      <c r="B127" t="s">
        <v>189</v>
      </c>
      <c r="C127">
        <v>202601</v>
      </c>
      <c r="D127">
        <v>21399.581849453389</v>
      </c>
      <c r="E127">
        <v>354.41506872231514</v>
      </c>
      <c r="F127">
        <v>60.38</v>
      </c>
    </row>
    <row r="128" spans="1:6" x14ac:dyDescent="0.25">
      <c r="A128">
        <v>543</v>
      </c>
      <c r="B128" t="s">
        <v>189</v>
      </c>
      <c r="C128">
        <v>202601</v>
      </c>
      <c r="D128">
        <v>13558.506051476326</v>
      </c>
      <c r="E128">
        <v>60.099760866473076</v>
      </c>
      <c r="F128">
        <v>225.6</v>
      </c>
    </row>
    <row r="129" spans="1:6" x14ac:dyDescent="0.25">
      <c r="A129">
        <v>545</v>
      </c>
      <c r="B129" t="s">
        <v>189</v>
      </c>
      <c r="C129">
        <v>202601</v>
      </c>
      <c r="D129">
        <v>76520.096689871978</v>
      </c>
      <c r="E129">
        <v>212.20215388206316</v>
      </c>
      <c r="F129">
        <v>360.6</v>
      </c>
    </row>
    <row r="130" spans="1:6" x14ac:dyDescent="0.25">
      <c r="A130">
        <v>547</v>
      </c>
      <c r="B130" t="s">
        <v>189</v>
      </c>
      <c r="C130">
        <v>202601</v>
      </c>
      <c r="D130">
        <v>100200.15654990439</v>
      </c>
      <c r="E130">
        <v>231.17422607489939</v>
      </c>
      <c r="F130">
        <v>433.44</v>
      </c>
    </row>
    <row r="131" spans="1:6" x14ac:dyDescent="0.25">
      <c r="A131">
        <v>551</v>
      </c>
      <c r="B131" t="s">
        <v>189</v>
      </c>
      <c r="C131">
        <v>202601</v>
      </c>
      <c r="D131">
        <v>8074.980361799805</v>
      </c>
      <c r="E131">
        <v>29.922850225301286</v>
      </c>
      <c r="F131">
        <v>269.86</v>
      </c>
    </row>
    <row r="132" spans="1:6" x14ac:dyDescent="0.25">
      <c r="A132">
        <v>552</v>
      </c>
      <c r="B132" t="s">
        <v>189</v>
      </c>
      <c r="C132">
        <v>202601</v>
      </c>
      <c r="D132">
        <v>3121.1940601369538</v>
      </c>
      <c r="E132">
        <v>19.827176090312246</v>
      </c>
      <c r="F132">
        <v>157.41999999999999</v>
      </c>
    </row>
    <row r="133" spans="1:6" x14ac:dyDescent="0.25">
      <c r="A133">
        <v>578</v>
      </c>
      <c r="B133" t="s">
        <v>189</v>
      </c>
      <c r="C133">
        <v>202601</v>
      </c>
      <c r="D133">
        <v>0</v>
      </c>
      <c r="E133">
        <v>0</v>
      </c>
      <c r="F133">
        <v>225.56</v>
      </c>
    </row>
    <row r="134" spans="1:6" x14ac:dyDescent="0.25">
      <c r="A134">
        <v>596</v>
      </c>
      <c r="B134" t="s">
        <v>189</v>
      </c>
      <c r="C134">
        <v>202601</v>
      </c>
      <c r="D134">
        <v>1242.1467945084466</v>
      </c>
      <c r="E134">
        <v>3.4418032543874943</v>
      </c>
      <c r="F134">
        <v>360.9</v>
      </c>
    </row>
    <row r="135" spans="1:6" x14ac:dyDescent="0.25">
      <c r="A135">
        <v>598</v>
      </c>
      <c r="B135" t="s">
        <v>189</v>
      </c>
      <c r="C135">
        <v>202601</v>
      </c>
      <c r="D135">
        <v>8898.0449168315627</v>
      </c>
      <c r="E135">
        <v>19.723904233439502</v>
      </c>
      <c r="F135">
        <v>451.13</v>
      </c>
    </row>
    <row r="136" spans="1:6" x14ac:dyDescent="0.25">
      <c r="A136">
        <v>597</v>
      </c>
      <c r="B136" t="s">
        <v>189</v>
      </c>
      <c r="C136">
        <v>202601</v>
      </c>
      <c r="D136">
        <v>0</v>
      </c>
      <c r="E136">
        <v>0</v>
      </c>
      <c r="F136">
        <v>299.85000000000002</v>
      </c>
    </row>
    <row r="137" spans="1:6" x14ac:dyDescent="0.25">
      <c r="A137">
        <v>788</v>
      </c>
      <c r="B137" t="s">
        <v>189</v>
      </c>
      <c r="C137">
        <v>202601</v>
      </c>
      <c r="D137">
        <v>846.89100317335419</v>
      </c>
      <c r="E137">
        <v>1.8828168145250204</v>
      </c>
      <c r="F137">
        <v>449.8</v>
      </c>
    </row>
    <row r="138" spans="1:6" x14ac:dyDescent="0.25">
      <c r="A138">
        <v>789</v>
      </c>
      <c r="B138" t="s">
        <v>189</v>
      </c>
      <c r="C138">
        <v>202601</v>
      </c>
      <c r="D138">
        <v>882.25634439674491</v>
      </c>
      <c r="E138">
        <v>2.580602387962867</v>
      </c>
      <c r="F138">
        <v>341.88</v>
      </c>
    </row>
    <row r="139" spans="1:6" x14ac:dyDescent="0.25">
      <c r="A139">
        <v>634</v>
      </c>
      <c r="B139" t="s">
        <v>189</v>
      </c>
      <c r="C139">
        <v>202601</v>
      </c>
      <c r="D139">
        <v>27016.81741988668</v>
      </c>
      <c r="E139">
        <v>119.29534781598745</v>
      </c>
      <c r="F139">
        <v>226.47</v>
      </c>
    </row>
    <row r="140" spans="1:6" x14ac:dyDescent="0.25">
      <c r="A140">
        <v>635</v>
      </c>
      <c r="B140" t="s">
        <v>189</v>
      </c>
      <c r="C140">
        <v>202601</v>
      </c>
      <c r="D140">
        <v>3895.8178047906686</v>
      </c>
      <c r="E140">
        <v>9.5953740173657511</v>
      </c>
      <c r="F140">
        <v>406.01</v>
      </c>
    </row>
    <row r="141" spans="1:6" x14ac:dyDescent="0.25">
      <c r="A141">
        <v>636</v>
      </c>
      <c r="B141" t="s">
        <v>189</v>
      </c>
      <c r="C141">
        <v>202601</v>
      </c>
      <c r="D141">
        <v>19854.428956610889</v>
      </c>
      <c r="E141">
        <v>87.727239999164411</v>
      </c>
      <c r="F141">
        <v>226.32</v>
      </c>
    </row>
    <row r="142" spans="1:6" x14ac:dyDescent="0.25">
      <c r="A142">
        <v>666</v>
      </c>
      <c r="B142" t="s">
        <v>189</v>
      </c>
      <c r="C142">
        <v>202601</v>
      </c>
      <c r="D142">
        <v>6377.211531512351</v>
      </c>
      <c r="E142">
        <v>56.435500278870364</v>
      </c>
      <c r="F142">
        <v>113</v>
      </c>
    </row>
    <row r="143" spans="1:6" x14ac:dyDescent="0.25">
      <c r="A143">
        <v>667</v>
      </c>
      <c r="B143" t="s">
        <v>189</v>
      </c>
      <c r="C143">
        <v>202601</v>
      </c>
      <c r="D143">
        <v>9192.5071839445282</v>
      </c>
      <c r="E143">
        <v>48.896314808215578</v>
      </c>
      <c r="F143">
        <v>188</v>
      </c>
    </row>
    <row r="144" spans="1:6" x14ac:dyDescent="0.25">
      <c r="A144">
        <v>668</v>
      </c>
      <c r="B144" t="s">
        <v>189</v>
      </c>
      <c r="C144">
        <v>202601</v>
      </c>
      <c r="D144">
        <v>7938.120159102511</v>
      </c>
      <c r="E144">
        <v>43.954153704886551</v>
      </c>
      <c r="F144">
        <v>180.6</v>
      </c>
    </row>
    <row r="145" spans="1:6" x14ac:dyDescent="0.25">
      <c r="A145">
        <v>665</v>
      </c>
      <c r="B145" t="s">
        <v>189</v>
      </c>
      <c r="C145">
        <v>202601</v>
      </c>
      <c r="D145">
        <v>3354.8605324529117</v>
      </c>
      <c r="E145">
        <v>14.91778439438353</v>
      </c>
      <c r="F145">
        <v>224.89</v>
      </c>
    </row>
    <row r="146" spans="1:6" x14ac:dyDescent="0.25">
      <c r="A146">
        <v>770</v>
      </c>
      <c r="B146" t="s">
        <v>189</v>
      </c>
      <c r="C146">
        <v>202601</v>
      </c>
      <c r="D146">
        <v>16240.45822816936</v>
      </c>
      <c r="E146">
        <v>28.87192573896775</v>
      </c>
      <c r="F146">
        <v>562.5</v>
      </c>
    </row>
    <row r="147" spans="1:6" x14ac:dyDescent="0.25">
      <c r="A147">
        <v>771</v>
      </c>
      <c r="B147" t="s">
        <v>189</v>
      </c>
      <c r="C147">
        <v>202601</v>
      </c>
      <c r="D147">
        <v>2087.9940953206769</v>
      </c>
      <c r="E147">
        <v>3.0942413979263144</v>
      </c>
      <c r="F147">
        <v>674.8</v>
      </c>
    </row>
    <row r="148" spans="1:6" x14ac:dyDescent="0.25">
      <c r="A148">
        <v>769</v>
      </c>
      <c r="B148" t="s">
        <v>189</v>
      </c>
      <c r="C148">
        <v>202601</v>
      </c>
      <c r="D148">
        <v>3644.7407897185099</v>
      </c>
      <c r="E148">
        <v>10.799231969536326</v>
      </c>
      <c r="F148">
        <v>337.5</v>
      </c>
    </row>
    <row r="149" spans="1:6" x14ac:dyDescent="0.25">
      <c r="A149">
        <v>813</v>
      </c>
      <c r="B149" t="s">
        <v>189</v>
      </c>
      <c r="C149">
        <v>202601</v>
      </c>
      <c r="D149">
        <v>6530.6745478830417</v>
      </c>
      <c r="E149">
        <v>21.779799617189948</v>
      </c>
      <c r="F149">
        <v>299.8500749625187</v>
      </c>
    </row>
    <row r="150" spans="1:6" x14ac:dyDescent="0.25">
      <c r="A150">
        <v>814</v>
      </c>
      <c r="B150" t="s">
        <v>189</v>
      </c>
      <c r="C150">
        <v>202601</v>
      </c>
      <c r="D150">
        <v>7073.7159190030088</v>
      </c>
      <c r="E150">
        <v>15.72985527908163</v>
      </c>
      <c r="F150">
        <v>449.7</v>
      </c>
    </row>
    <row r="151" spans="1:6" x14ac:dyDescent="0.25">
      <c r="A151">
        <v>815</v>
      </c>
      <c r="B151" t="s">
        <v>189</v>
      </c>
      <c r="C151">
        <v>202601</v>
      </c>
      <c r="D151">
        <v>1197.1629856248733</v>
      </c>
      <c r="E151">
        <v>3.6299666028649886</v>
      </c>
      <c r="F151">
        <v>329.8</v>
      </c>
    </row>
    <row r="152" spans="1:6" x14ac:dyDescent="0.25">
      <c r="A152">
        <v>542</v>
      </c>
      <c r="B152" t="s">
        <v>74</v>
      </c>
      <c r="C152">
        <v>202601</v>
      </c>
      <c r="D152">
        <v>9119.6857903877954</v>
      </c>
      <c r="E152">
        <v>151.03818798257362</v>
      </c>
      <c r="F152">
        <v>60.38</v>
      </c>
    </row>
    <row r="153" spans="1:6" x14ac:dyDescent="0.25">
      <c r="A153">
        <v>543</v>
      </c>
      <c r="B153" t="s">
        <v>74</v>
      </c>
      <c r="C153">
        <v>202601</v>
      </c>
      <c r="D153">
        <v>16198.335630580046</v>
      </c>
      <c r="E153">
        <v>71.801133114273256</v>
      </c>
      <c r="F153">
        <v>225.6</v>
      </c>
    </row>
    <row r="154" spans="1:6" x14ac:dyDescent="0.25">
      <c r="A154">
        <v>545</v>
      </c>
      <c r="B154" t="s">
        <v>74</v>
      </c>
      <c r="C154">
        <v>202601</v>
      </c>
      <c r="D154">
        <v>69231.549890028211</v>
      </c>
      <c r="E154">
        <v>191.98987767617362</v>
      </c>
      <c r="F154">
        <v>360.6</v>
      </c>
    </row>
    <row r="155" spans="1:6" x14ac:dyDescent="0.25">
      <c r="A155">
        <v>547</v>
      </c>
      <c r="B155" t="s">
        <v>74</v>
      </c>
      <c r="C155">
        <v>202601</v>
      </c>
      <c r="D155">
        <v>107354.12485189841</v>
      </c>
      <c r="E155">
        <v>247.67932090231267</v>
      </c>
      <c r="F155">
        <v>433.44</v>
      </c>
    </row>
    <row r="156" spans="1:6" x14ac:dyDescent="0.25">
      <c r="A156">
        <v>551</v>
      </c>
      <c r="B156" t="s">
        <v>74</v>
      </c>
      <c r="C156">
        <v>202601</v>
      </c>
      <c r="D156">
        <v>13646.773478193574</v>
      </c>
      <c r="E156">
        <v>50.569826866499568</v>
      </c>
      <c r="F156">
        <v>269.86</v>
      </c>
    </row>
    <row r="157" spans="1:6" x14ac:dyDescent="0.25">
      <c r="A157">
        <v>552</v>
      </c>
      <c r="B157" t="s">
        <v>74</v>
      </c>
      <c r="C157">
        <v>202601</v>
      </c>
      <c r="D157">
        <v>8074.2111191222721</v>
      </c>
      <c r="E157">
        <v>51.290885015387325</v>
      </c>
      <c r="F157">
        <v>157.41999999999999</v>
      </c>
    </row>
    <row r="158" spans="1:6" x14ac:dyDescent="0.25">
      <c r="A158">
        <v>578</v>
      </c>
      <c r="B158" t="s">
        <v>74</v>
      </c>
      <c r="C158">
        <v>202601</v>
      </c>
      <c r="D158">
        <v>0</v>
      </c>
      <c r="E158">
        <v>0</v>
      </c>
      <c r="F158">
        <v>225.56</v>
      </c>
    </row>
    <row r="159" spans="1:6" x14ac:dyDescent="0.25">
      <c r="A159">
        <v>596</v>
      </c>
      <c r="B159" t="s">
        <v>74</v>
      </c>
      <c r="C159">
        <v>202601</v>
      </c>
      <c r="D159">
        <v>4829.0654456342136</v>
      </c>
      <c r="E159">
        <v>13.380619134481059</v>
      </c>
      <c r="F159">
        <v>360.9</v>
      </c>
    </row>
    <row r="160" spans="1:6" x14ac:dyDescent="0.25">
      <c r="A160">
        <v>598</v>
      </c>
      <c r="B160" t="s">
        <v>74</v>
      </c>
      <c r="C160">
        <v>202601</v>
      </c>
      <c r="D160">
        <v>18134.949949955506</v>
      </c>
      <c r="E160">
        <v>40.198944760835026</v>
      </c>
      <c r="F160">
        <v>451.13</v>
      </c>
    </row>
    <row r="161" spans="1:6" x14ac:dyDescent="0.25">
      <c r="A161">
        <v>597</v>
      </c>
      <c r="B161" t="s">
        <v>74</v>
      </c>
      <c r="C161">
        <v>202601</v>
      </c>
      <c r="D161">
        <v>2781.7233791789422</v>
      </c>
      <c r="E161">
        <v>9.2770497888242183</v>
      </c>
      <c r="F161">
        <v>299.85000000000002</v>
      </c>
    </row>
    <row r="162" spans="1:6" x14ac:dyDescent="0.25">
      <c r="A162">
        <v>788</v>
      </c>
      <c r="B162" t="s">
        <v>74</v>
      </c>
      <c r="C162">
        <v>202601</v>
      </c>
      <c r="D162">
        <v>1616.5537947243151</v>
      </c>
      <c r="E162">
        <v>3.5939390723083928</v>
      </c>
      <c r="F162">
        <v>449.8</v>
      </c>
    </row>
    <row r="163" spans="1:6" x14ac:dyDescent="0.25">
      <c r="A163">
        <v>789</v>
      </c>
      <c r="B163" t="s">
        <v>74</v>
      </c>
      <c r="C163">
        <v>202601</v>
      </c>
      <c r="D163">
        <v>3878.1773470916</v>
      </c>
      <c r="E163">
        <v>11.343680083923013</v>
      </c>
      <c r="F163">
        <v>341.88</v>
      </c>
    </row>
    <row r="164" spans="1:6" x14ac:dyDescent="0.25">
      <c r="A164">
        <v>634</v>
      </c>
      <c r="B164" t="s">
        <v>74</v>
      </c>
      <c r="C164">
        <v>202601</v>
      </c>
      <c r="D164">
        <v>16819.408200002548</v>
      </c>
      <c r="E164">
        <v>74.267709630425884</v>
      </c>
      <c r="F164">
        <v>226.47</v>
      </c>
    </row>
    <row r="165" spans="1:6" x14ac:dyDescent="0.25">
      <c r="A165">
        <v>635</v>
      </c>
      <c r="B165" t="s">
        <v>74</v>
      </c>
      <c r="C165">
        <v>202601</v>
      </c>
      <c r="D165">
        <v>6817.4079217639228</v>
      </c>
      <c r="E165">
        <v>16.791231550365566</v>
      </c>
      <c r="F165">
        <v>406.01</v>
      </c>
    </row>
    <row r="166" spans="1:6" x14ac:dyDescent="0.25">
      <c r="A166">
        <v>636</v>
      </c>
      <c r="B166" t="s">
        <v>74</v>
      </c>
      <c r="C166">
        <v>202601</v>
      </c>
      <c r="D166">
        <v>12306.55091082814</v>
      </c>
      <c r="E166">
        <v>54.376771433493019</v>
      </c>
      <c r="F166">
        <v>226.32</v>
      </c>
    </row>
    <row r="167" spans="1:6" x14ac:dyDescent="0.25">
      <c r="A167">
        <v>666</v>
      </c>
      <c r="B167" t="s">
        <v>74</v>
      </c>
      <c r="C167">
        <v>202601</v>
      </c>
      <c r="D167">
        <v>8500.214562155521</v>
      </c>
      <c r="E167">
        <v>75.223137718190458</v>
      </c>
      <c r="F167">
        <v>113</v>
      </c>
    </row>
    <row r="168" spans="1:6" x14ac:dyDescent="0.25">
      <c r="A168">
        <v>667</v>
      </c>
      <c r="B168" t="s">
        <v>74</v>
      </c>
      <c r="C168">
        <v>202601</v>
      </c>
      <c r="D168">
        <v>13703.065342019305</v>
      </c>
      <c r="E168">
        <v>72.888645436272895</v>
      </c>
      <c r="F168">
        <v>188</v>
      </c>
    </row>
    <row r="169" spans="1:6" x14ac:dyDescent="0.25">
      <c r="A169">
        <v>668</v>
      </c>
      <c r="B169" t="s">
        <v>74</v>
      </c>
      <c r="C169">
        <v>202601</v>
      </c>
      <c r="D169">
        <v>14952.628819624866</v>
      </c>
      <c r="E169">
        <v>82.794179510658182</v>
      </c>
      <c r="F169">
        <v>180.6</v>
      </c>
    </row>
    <row r="170" spans="1:6" x14ac:dyDescent="0.25">
      <c r="A170">
        <v>665</v>
      </c>
      <c r="B170" t="s">
        <v>74</v>
      </c>
      <c r="C170">
        <v>202601</v>
      </c>
      <c r="D170">
        <v>9300.8397892802532</v>
      </c>
      <c r="E170">
        <v>41.357284847170853</v>
      </c>
      <c r="F170">
        <v>224.89</v>
      </c>
    </row>
    <row r="171" spans="1:6" x14ac:dyDescent="0.25">
      <c r="A171">
        <v>770</v>
      </c>
      <c r="B171" t="s">
        <v>74</v>
      </c>
      <c r="C171">
        <v>202601</v>
      </c>
      <c r="D171">
        <v>37702.414919202718</v>
      </c>
      <c r="E171">
        <v>67.026515411915938</v>
      </c>
      <c r="F171">
        <v>562.5</v>
      </c>
    </row>
    <row r="172" spans="1:6" x14ac:dyDescent="0.25">
      <c r="A172">
        <v>771</v>
      </c>
      <c r="B172" t="s">
        <v>74</v>
      </c>
      <c r="C172">
        <v>202601</v>
      </c>
      <c r="D172">
        <v>4722.8149159786153</v>
      </c>
      <c r="E172">
        <v>6.9988365678402724</v>
      </c>
      <c r="F172">
        <v>674.8</v>
      </c>
    </row>
    <row r="173" spans="1:6" x14ac:dyDescent="0.25">
      <c r="A173">
        <v>769</v>
      </c>
      <c r="B173" t="s">
        <v>74</v>
      </c>
      <c r="C173">
        <v>202601</v>
      </c>
      <c r="D173">
        <v>16906.06148486639</v>
      </c>
      <c r="E173">
        <v>50.092034029233751</v>
      </c>
      <c r="F173">
        <v>337.5</v>
      </c>
    </row>
    <row r="174" spans="1:6" x14ac:dyDescent="0.25">
      <c r="A174">
        <v>813</v>
      </c>
      <c r="B174" t="s">
        <v>74</v>
      </c>
      <c r="C174">
        <v>202601</v>
      </c>
      <c r="D174">
        <v>4628.1911474370527</v>
      </c>
      <c r="E174">
        <v>15.435017476702573</v>
      </c>
      <c r="F174">
        <v>299.8500749625187</v>
      </c>
    </row>
    <row r="175" spans="1:6" x14ac:dyDescent="0.25">
      <c r="A175">
        <v>814</v>
      </c>
      <c r="B175" t="s">
        <v>74</v>
      </c>
      <c r="C175">
        <v>202601</v>
      </c>
      <c r="D175">
        <v>5013.0364261417189</v>
      </c>
      <c r="E175">
        <v>11.147512622062973</v>
      </c>
      <c r="F175">
        <v>449.7</v>
      </c>
    </row>
    <row r="176" spans="1:6" x14ac:dyDescent="0.25">
      <c r="A176">
        <v>815</v>
      </c>
      <c r="B176" t="s">
        <v>74</v>
      </c>
      <c r="C176">
        <v>202601</v>
      </c>
      <c r="D176">
        <v>848.41146063608437</v>
      </c>
      <c r="E176">
        <v>2.5725029127837611</v>
      </c>
      <c r="F176">
        <v>329.8</v>
      </c>
    </row>
    <row r="177" spans="1:6" x14ac:dyDescent="0.25">
      <c r="A177">
        <v>542</v>
      </c>
      <c r="B177" t="s">
        <v>75</v>
      </c>
      <c r="C177">
        <v>202601</v>
      </c>
      <c r="D177">
        <v>13120.908536605464</v>
      </c>
      <c r="E177">
        <v>217.30554052013022</v>
      </c>
      <c r="F177">
        <v>60.38</v>
      </c>
    </row>
    <row r="178" spans="1:6" x14ac:dyDescent="0.25">
      <c r="A178">
        <v>543</v>
      </c>
      <c r="B178" t="s">
        <v>75</v>
      </c>
      <c r="C178">
        <v>202601</v>
      </c>
      <c r="D178">
        <v>18459.957844467688</v>
      </c>
      <c r="E178">
        <v>81.826054275122729</v>
      </c>
      <c r="F178">
        <v>225.6</v>
      </c>
    </row>
    <row r="179" spans="1:6" x14ac:dyDescent="0.25">
      <c r="A179">
        <v>545</v>
      </c>
      <c r="B179" t="s">
        <v>75</v>
      </c>
      <c r="C179">
        <v>202601</v>
      </c>
      <c r="D179">
        <v>88346.031830937005</v>
      </c>
      <c r="E179">
        <v>244.99731511629784</v>
      </c>
      <c r="F179">
        <v>360.6</v>
      </c>
    </row>
    <row r="180" spans="1:6" x14ac:dyDescent="0.25">
      <c r="A180">
        <v>547</v>
      </c>
      <c r="B180" t="s">
        <v>75</v>
      </c>
      <c r="C180">
        <v>202601</v>
      </c>
      <c r="D180">
        <v>107946.50057491874</v>
      </c>
      <c r="E180">
        <v>249.046005386948</v>
      </c>
      <c r="F180">
        <v>433.44</v>
      </c>
    </row>
    <row r="181" spans="1:6" x14ac:dyDescent="0.25">
      <c r="A181">
        <v>551</v>
      </c>
      <c r="B181" t="s">
        <v>75</v>
      </c>
      <c r="C181">
        <v>202601</v>
      </c>
      <c r="D181">
        <v>13766.213334950224</v>
      </c>
      <c r="E181">
        <v>51.012426202290904</v>
      </c>
      <c r="F181">
        <v>269.86</v>
      </c>
    </row>
    <row r="182" spans="1:6" x14ac:dyDescent="0.25">
      <c r="A182">
        <v>552</v>
      </c>
      <c r="B182" t="s">
        <v>75</v>
      </c>
      <c r="C182">
        <v>202601</v>
      </c>
      <c r="D182">
        <v>14438.026743282066</v>
      </c>
      <c r="E182">
        <v>91.716597276598065</v>
      </c>
      <c r="F182">
        <v>157.41999999999999</v>
      </c>
    </row>
    <row r="183" spans="1:6" x14ac:dyDescent="0.25">
      <c r="A183">
        <v>578</v>
      </c>
      <c r="B183" t="s">
        <v>75</v>
      </c>
      <c r="C183">
        <v>202601</v>
      </c>
      <c r="D183">
        <v>0</v>
      </c>
      <c r="E183">
        <v>0</v>
      </c>
      <c r="F183">
        <v>225.56</v>
      </c>
    </row>
    <row r="184" spans="1:6" x14ac:dyDescent="0.25">
      <c r="A184">
        <v>596</v>
      </c>
      <c r="B184" t="s">
        <v>75</v>
      </c>
      <c r="C184">
        <v>202601</v>
      </c>
      <c r="D184">
        <v>3344.736316355712</v>
      </c>
      <c r="E184">
        <v>9.2677648000989539</v>
      </c>
      <c r="F184">
        <v>360.9</v>
      </c>
    </row>
    <row r="185" spans="1:6" x14ac:dyDescent="0.25">
      <c r="A185">
        <v>598</v>
      </c>
      <c r="B185" t="s">
        <v>75</v>
      </c>
      <c r="C185">
        <v>202601</v>
      </c>
      <c r="D185">
        <v>7223.3979369769377</v>
      </c>
      <c r="E185">
        <v>16.0117880366567</v>
      </c>
      <c r="F185">
        <v>451.13</v>
      </c>
    </row>
    <row r="186" spans="1:6" x14ac:dyDescent="0.25">
      <c r="A186">
        <v>597</v>
      </c>
      <c r="B186" t="s">
        <v>75</v>
      </c>
      <c r="C186">
        <v>202601</v>
      </c>
      <c r="D186">
        <v>1317.7849507557594</v>
      </c>
      <c r="E186">
        <v>4.3948139094739345</v>
      </c>
      <c r="F186">
        <v>299.85000000000002</v>
      </c>
    </row>
    <row r="187" spans="1:6" x14ac:dyDescent="0.25">
      <c r="A187">
        <v>788</v>
      </c>
      <c r="B187" t="s">
        <v>75</v>
      </c>
      <c r="C187">
        <v>202601</v>
      </c>
      <c r="D187">
        <v>891.55090108399463</v>
      </c>
      <c r="E187">
        <v>1.9821051602578803</v>
      </c>
      <c r="F187">
        <v>449.8</v>
      </c>
    </row>
    <row r="188" spans="1:6" x14ac:dyDescent="0.25">
      <c r="A188">
        <v>789</v>
      </c>
      <c r="B188" t="s">
        <v>75</v>
      </c>
      <c r="C188">
        <v>202601</v>
      </c>
      <c r="D188">
        <v>1126.7968275631044</v>
      </c>
      <c r="E188">
        <v>3.295884016506097</v>
      </c>
      <c r="F188">
        <v>341.88</v>
      </c>
    </row>
    <row r="189" spans="1:6" x14ac:dyDescent="0.25">
      <c r="A189">
        <v>634</v>
      </c>
      <c r="B189" t="s">
        <v>75</v>
      </c>
      <c r="C189">
        <v>202601</v>
      </c>
      <c r="D189">
        <v>15658.305115861605</v>
      </c>
      <c r="E189">
        <v>69.140747630421714</v>
      </c>
      <c r="F189">
        <v>226.47</v>
      </c>
    </row>
    <row r="190" spans="1:6" x14ac:dyDescent="0.25">
      <c r="A190">
        <v>635</v>
      </c>
      <c r="B190" t="s">
        <v>75</v>
      </c>
      <c r="C190">
        <v>202601</v>
      </c>
      <c r="D190">
        <v>2780.1045095077448</v>
      </c>
      <c r="E190">
        <v>6.8473793983097577</v>
      </c>
      <c r="F190">
        <v>406.01</v>
      </c>
    </row>
    <row r="191" spans="1:6" x14ac:dyDescent="0.25">
      <c r="A191">
        <v>636</v>
      </c>
      <c r="B191" t="s">
        <v>75</v>
      </c>
      <c r="C191">
        <v>202601</v>
      </c>
      <c r="D191">
        <v>12652.163455491875</v>
      </c>
      <c r="E191">
        <v>55.903868219741405</v>
      </c>
      <c r="F191">
        <v>226.32</v>
      </c>
    </row>
    <row r="192" spans="1:6" x14ac:dyDescent="0.25">
      <c r="A192">
        <v>666</v>
      </c>
      <c r="B192" t="s">
        <v>75</v>
      </c>
      <c r="C192">
        <v>202601</v>
      </c>
      <c r="D192">
        <v>3122.7568410297022</v>
      </c>
      <c r="E192">
        <v>27.63501629229825</v>
      </c>
      <c r="F192">
        <v>113</v>
      </c>
    </row>
    <row r="193" spans="1:6" x14ac:dyDescent="0.25">
      <c r="A193">
        <v>667</v>
      </c>
      <c r="B193" t="s">
        <v>75</v>
      </c>
      <c r="C193">
        <v>202601</v>
      </c>
      <c r="D193">
        <v>11880.872761365436</v>
      </c>
      <c r="E193">
        <v>63.196131709390613</v>
      </c>
      <c r="F193">
        <v>188</v>
      </c>
    </row>
    <row r="194" spans="1:6" x14ac:dyDescent="0.25">
      <c r="A194">
        <v>668</v>
      </c>
      <c r="B194" t="s">
        <v>75</v>
      </c>
      <c r="C194">
        <v>202601</v>
      </c>
      <c r="D194">
        <v>10950.127607271888</v>
      </c>
      <c r="E194">
        <v>60.631935809921863</v>
      </c>
      <c r="F194">
        <v>180.6</v>
      </c>
    </row>
    <row r="195" spans="1:6" x14ac:dyDescent="0.25">
      <c r="A195">
        <v>665</v>
      </c>
      <c r="B195" t="s">
        <v>75</v>
      </c>
      <c r="C195">
        <v>202601</v>
      </c>
      <c r="D195">
        <v>2383.8672449756973</v>
      </c>
      <c r="E195">
        <v>10.600147827718873</v>
      </c>
      <c r="F195">
        <v>224.89</v>
      </c>
    </row>
    <row r="196" spans="1:6" x14ac:dyDescent="0.25">
      <c r="A196">
        <v>770</v>
      </c>
      <c r="B196" t="s">
        <v>75</v>
      </c>
      <c r="C196">
        <v>202601</v>
      </c>
      <c r="D196">
        <v>26441.177948578217</v>
      </c>
      <c r="E196">
        <v>47.006538575250161</v>
      </c>
      <c r="F196">
        <v>562.5</v>
      </c>
    </row>
    <row r="197" spans="1:6" x14ac:dyDescent="0.25">
      <c r="A197">
        <v>771</v>
      </c>
      <c r="B197" t="s">
        <v>75</v>
      </c>
      <c r="C197">
        <v>202601</v>
      </c>
      <c r="D197">
        <v>7268.7697479441167</v>
      </c>
      <c r="E197">
        <v>10.771739401221277</v>
      </c>
      <c r="F197">
        <v>674.8</v>
      </c>
    </row>
    <row r="198" spans="1:6" x14ac:dyDescent="0.25">
      <c r="A198">
        <v>769</v>
      </c>
      <c r="B198" t="s">
        <v>75</v>
      </c>
      <c r="C198">
        <v>202601</v>
      </c>
      <c r="D198">
        <v>12373.260553432252</v>
      </c>
      <c r="E198">
        <v>36.661512750910376</v>
      </c>
      <c r="F198">
        <v>337.5</v>
      </c>
    </row>
    <row r="199" spans="1:6" x14ac:dyDescent="0.25">
      <c r="A199">
        <v>813</v>
      </c>
      <c r="B199" t="s">
        <v>75</v>
      </c>
      <c r="C199">
        <v>202601</v>
      </c>
      <c r="D199">
        <v>4010.7404093387267</v>
      </c>
      <c r="E199">
        <v>13.375819265144655</v>
      </c>
      <c r="F199">
        <v>299.8500749625187</v>
      </c>
    </row>
    <row r="200" spans="1:6" x14ac:dyDescent="0.25">
      <c r="A200">
        <v>814</v>
      </c>
      <c r="B200" t="s">
        <v>75</v>
      </c>
      <c r="C200">
        <v>202601</v>
      </c>
      <c r="D200">
        <v>4344.2431669978978</v>
      </c>
      <c r="E200">
        <v>9.6603139137155836</v>
      </c>
      <c r="F200">
        <v>449.7</v>
      </c>
    </row>
    <row r="201" spans="1:6" x14ac:dyDescent="0.25">
      <c r="A201">
        <v>815</v>
      </c>
      <c r="B201" t="s">
        <v>75</v>
      </c>
      <c r="C201">
        <v>202601</v>
      </c>
      <c r="D201">
        <v>735.22419894078428</v>
      </c>
      <c r="E201">
        <v>2.2293032108574415</v>
      </c>
      <c r="F201">
        <v>329.8</v>
      </c>
    </row>
    <row r="202" spans="1:6" x14ac:dyDescent="0.25">
      <c r="A202">
        <v>542</v>
      </c>
      <c r="B202" t="s">
        <v>180</v>
      </c>
      <c r="C202">
        <v>202601</v>
      </c>
      <c r="D202">
        <v>15615.408230912599</v>
      </c>
      <c r="E202">
        <v>258.61888424830403</v>
      </c>
      <c r="F202">
        <v>60.38</v>
      </c>
    </row>
    <row r="203" spans="1:6" x14ac:dyDescent="0.25">
      <c r="A203">
        <v>543</v>
      </c>
      <c r="B203" t="s">
        <v>180</v>
      </c>
      <c r="C203">
        <v>202601</v>
      </c>
      <c r="D203">
        <v>35403.32754077237</v>
      </c>
      <c r="E203">
        <v>156.92964335448747</v>
      </c>
      <c r="F203">
        <v>225.6</v>
      </c>
    </row>
    <row r="204" spans="1:6" x14ac:dyDescent="0.25">
      <c r="A204">
        <v>545</v>
      </c>
      <c r="B204" t="s">
        <v>180</v>
      </c>
      <c r="C204">
        <v>202601</v>
      </c>
      <c r="D204">
        <v>101879.99397730161</v>
      </c>
      <c r="E204">
        <v>282.52910143455796</v>
      </c>
      <c r="F204">
        <v>360.6</v>
      </c>
    </row>
    <row r="205" spans="1:6" x14ac:dyDescent="0.25">
      <c r="A205">
        <v>547</v>
      </c>
      <c r="B205" t="s">
        <v>180</v>
      </c>
      <c r="C205">
        <v>202601</v>
      </c>
      <c r="D205">
        <v>88190.598466157928</v>
      </c>
      <c r="E205">
        <v>203.4666815848974</v>
      </c>
      <c r="F205">
        <v>433.44</v>
      </c>
    </row>
    <row r="206" spans="1:6" x14ac:dyDescent="0.25">
      <c r="A206">
        <v>551</v>
      </c>
      <c r="B206" t="s">
        <v>180</v>
      </c>
      <c r="C206">
        <v>202601</v>
      </c>
      <c r="D206">
        <v>5433.6433044371142</v>
      </c>
      <c r="E206">
        <v>20.135045225068975</v>
      </c>
      <c r="F206">
        <v>269.86</v>
      </c>
    </row>
    <row r="207" spans="1:6" x14ac:dyDescent="0.25">
      <c r="A207">
        <v>552</v>
      </c>
      <c r="B207" t="s">
        <v>180</v>
      </c>
      <c r="C207">
        <v>202601</v>
      </c>
      <c r="D207">
        <v>4440.1728790445186</v>
      </c>
      <c r="E207">
        <v>28.205900641878536</v>
      </c>
      <c r="F207">
        <v>157.41999999999999</v>
      </c>
    </row>
    <row r="208" spans="1:6" x14ac:dyDescent="0.25">
      <c r="A208">
        <v>578</v>
      </c>
      <c r="B208" t="s">
        <v>180</v>
      </c>
      <c r="C208">
        <v>202601</v>
      </c>
      <c r="D208">
        <v>0</v>
      </c>
      <c r="E208">
        <v>0</v>
      </c>
      <c r="F208">
        <v>225.56</v>
      </c>
    </row>
    <row r="209" spans="1:6" x14ac:dyDescent="0.25">
      <c r="A209">
        <v>596</v>
      </c>
      <c r="B209" t="s">
        <v>180</v>
      </c>
      <c r="C209">
        <v>202601</v>
      </c>
      <c r="D209">
        <v>1598.9266674460644</v>
      </c>
      <c r="E209">
        <v>4.4303869976338719</v>
      </c>
      <c r="F209">
        <v>360.9</v>
      </c>
    </row>
    <row r="210" spans="1:6" x14ac:dyDescent="0.25">
      <c r="A210">
        <v>598</v>
      </c>
      <c r="B210" t="s">
        <v>180</v>
      </c>
      <c r="C210">
        <v>202601</v>
      </c>
      <c r="D210">
        <v>10503.516472569163</v>
      </c>
      <c r="E210">
        <v>23.28268231456379</v>
      </c>
      <c r="F210">
        <v>451.13</v>
      </c>
    </row>
    <row r="211" spans="1:6" x14ac:dyDescent="0.25">
      <c r="A211">
        <v>597</v>
      </c>
      <c r="B211" t="s">
        <v>180</v>
      </c>
      <c r="C211">
        <v>202601</v>
      </c>
      <c r="D211">
        <v>898.9476378166496</v>
      </c>
      <c r="E211">
        <v>2.9979911216163067</v>
      </c>
      <c r="F211">
        <v>299.85000000000002</v>
      </c>
    </row>
    <row r="212" spans="1:6" x14ac:dyDescent="0.25">
      <c r="A212">
        <v>788</v>
      </c>
      <c r="B212" t="s">
        <v>180</v>
      </c>
      <c r="C212">
        <v>202601</v>
      </c>
      <c r="D212">
        <v>1040.9290660250163</v>
      </c>
      <c r="E212">
        <v>2.314204237494478</v>
      </c>
      <c r="F212">
        <v>449.8</v>
      </c>
    </row>
    <row r="213" spans="1:6" x14ac:dyDescent="0.25">
      <c r="A213">
        <v>789</v>
      </c>
      <c r="B213" t="s">
        <v>180</v>
      </c>
      <c r="C213">
        <v>202601</v>
      </c>
      <c r="D213">
        <v>0</v>
      </c>
      <c r="E213">
        <v>0</v>
      </c>
      <c r="F213">
        <v>341.88</v>
      </c>
    </row>
    <row r="214" spans="1:6" x14ac:dyDescent="0.25">
      <c r="A214">
        <v>634</v>
      </c>
      <c r="B214" t="s">
        <v>180</v>
      </c>
      <c r="C214">
        <v>202601</v>
      </c>
      <c r="D214">
        <v>22192.682426229756</v>
      </c>
      <c r="E214">
        <v>97.993917190929295</v>
      </c>
      <c r="F214">
        <v>226.47</v>
      </c>
    </row>
    <row r="215" spans="1:6" x14ac:dyDescent="0.25">
      <c r="A215">
        <v>635</v>
      </c>
      <c r="B215" t="s">
        <v>180</v>
      </c>
      <c r="C215">
        <v>202601</v>
      </c>
      <c r="D215">
        <v>1367.2754449740753</v>
      </c>
      <c r="E215">
        <v>3.3675905642079638</v>
      </c>
      <c r="F215">
        <v>406.01</v>
      </c>
    </row>
    <row r="216" spans="1:6" x14ac:dyDescent="0.25">
      <c r="A216">
        <v>636</v>
      </c>
      <c r="B216" t="s">
        <v>180</v>
      </c>
      <c r="C216">
        <v>202601</v>
      </c>
      <c r="D216">
        <v>20952.762857513015</v>
      </c>
      <c r="E216">
        <v>92.580252993606464</v>
      </c>
      <c r="F216">
        <v>226.32</v>
      </c>
    </row>
    <row r="217" spans="1:6" x14ac:dyDescent="0.25">
      <c r="A217">
        <v>666</v>
      </c>
      <c r="B217" t="s">
        <v>180</v>
      </c>
      <c r="C217">
        <v>202601</v>
      </c>
      <c r="D217">
        <v>4060.0861840928173</v>
      </c>
      <c r="E217">
        <v>35.929966230909891</v>
      </c>
      <c r="F217">
        <v>113</v>
      </c>
    </row>
    <row r="218" spans="1:6" x14ac:dyDescent="0.25">
      <c r="A218">
        <v>667</v>
      </c>
      <c r="B218" t="s">
        <v>180</v>
      </c>
      <c r="C218">
        <v>202601</v>
      </c>
      <c r="D218">
        <v>11431.693948813834</v>
      </c>
      <c r="E218">
        <v>60.806882706456562</v>
      </c>
      <c r="F218">
        <v>188</v>
      </c>
    </row>
    <row r="219" spans="1:6" x14ac:dyDescent="0.25">
      <c r="A219">
        <v>668</v>
      </c>
      <c r="B219" t="s">
        <v>180</v>
      </c>
      <c r="C219">
        <v>202601</v>
      </c>
      <c r="D219">
        <v>15200.09788993479</v>
      </c>
      <c r="E219">
        <v>84.164440143603485</v>
      </c>
      <c r="F219">
        <v>180.6</v>
      </c>
    </row>
    <row r="220" spans="1:6" x14ac:dyDescent="0.25">
      <c r="A220">
        <v>665</v>
      </c>
      <c r="B220" t="s">
        <v>180</v>
      </c>
      <c r="C220">
        <v>202601</v>
      </c>
      <c r="D220">
        <v>2723.1236500780628</v>
      </c>
      <c r="E220">
        <v>12.108691582898587</v>
      </c>
      <c r="F220">
        <v>224.89</v>
      </c>
    </row>
    <row r="221" spans="1:6" x14ac:dyDescent="0.25">
      <c r="A221">
        <v>770</v>
      </c>
      <c r="B221" t="s">
        <v>180</v>
      </c>
      <c r="C221">
        <v>202601</v>
      </c>
      <c r="D221">
        <v>24382.333520739146</v>
      </c>
      <c r="E221">
        <v>43.346370703536259</v>
      </c>
      <c r="F221">
        <v>562.5</v>
      </c>
    </row>
    <row r="222" spans="1:6" x14ac:dyDescent="0.25">
      <c r="A222">
        <v>771</v>
      </c>
      <c r="B222" t="s">
        <v>180</v>
      </c>
      <c r="C222">
        <v>202601</v>
      </c>
      <c r="D222">
        <v>3317.6632255359755</v>
      </c>
      <c r="E222">
        <v>4.9165133751274093</v>
      </c>
      <c r="F222">
        <v>674.8</v>
      </c>
    </row>
    <row r="223" spans="1:6" x14ac:dyDescent="0.25">
      <c r="A223">
        <v>769</v>
      </c>
      <c r="B223" t="s">
        <v>180</v>
      </c>
      <c r="C223">
        <v>202601</v>
      </c>
      <c r="D223">
        <v>7858.6086862705461</v>
      </c>
      <c r="E223">
        <v>23.284766477838655</v>
      </c>
      <c r="F223">
        <v>337.5</v>
      </c>
    </row>
    <row r="224" spans="1:6" x14ac:dyDescent="0.25">
      <c r="A224">
        <v>813</v>
      </c>
      <c r="B224" t="s">
        <v>180</v>
      </c>
      <c r="C224">
        <v>202601</v>
      </c>
      <c r="D224">
        <v>5767.2954604403012</v>
      </c>
      <c r="E224">
        <v>19.233930360568408</v>
      </c>
      <c r="F224">
        <v>299.8500749625187</v>
      </c>
    </row>
    <row r="225" spans="1:6" x14ac:dyDescent="0.25">
      <c r="A225">
        <v>814</v>
      </c>
      <c r="B225" t="s">
        <v>180</v>
      </c>
      <c r="C225">
        <v>202601</v>
      </c>
      <c r="D225">
        <v>6246.8600156066113</v>
      </c>
      <c r="E225">
        <v>13.891171927077188</v>
      </c>
      <c r="F225">
        <v>449.7</v>
      </c>
    </row>
    <row r="226" spans="1:6" x14ac:dyDescent="0.25">
      <c r="A226">
        <v>815</v>
      </c>
      <c r="B226" t="s">
        <v>180</v>
      </c>
      <c r="C226">
        <v>202601</v>
      </c>
      <c r="D226">
        <v>1057.2250388192429</v>
      </c>
      <c r="E226">
        <v>3.2056550600947324</v>
      </c>
      <c r="F226">
        <v>329.8</v>
      </c>
    </row>
    <row r="227" spans="1:6" x14ac:dyDescent="0.25">
      <c r="A227">
        <v>542</v>
      </c>
      <c r="B227" t="s">
        <v>76</v>
      </c>
      <c r="C227">
        <v>202601</v>
      </c>
      <c r="D227">
        <v>10307.348343801234</v>
      </c>
      <c r="E227">
        <v>170.70798846971238</v>
      </c>
      <c r="F227">
        <v>60.38</v>
      </c>
    </row>
    <row r="228" spans="1:6" x14ac:dyDescent="0.25">
      <c r="A228">
        <v>543</v>
      </c>
      <c r="B228" t="s">
        <v>76</v>
      </c>
      <c r="C228">
        <v>202601</v>
      </c>
      <c r="D228">
        <v>30061.843321097636</v>
      </c>
      <c r="E228">
        <v>133.25285160061009</v>
      </c>
      <c r="F228">
        <v>225.6</v>
      </c>
    </row>
    <row r="229" spans="1:6" x14ac:dyDescent="0.25">
      <c r="A229">
        <v>545</v>
      </c>
      <c r="B229" t="s">
        <v>76</v>
      </c>
      <c r="C229">
        <v>202601</v>
      </c>
      <c r="D229">
        <v>93432.721345036582</v>
      </c>
      <c r="E229">
        <v>259.10349790636877</v>
      </c>
      <c r="F229">
        <v>360.6</v>
      </c>
    </row>
    <row r="230" spans="1:6" x14ac:dyDescent="0.25">
      <c r="A230">
        <v>547</v>
      </c>
      <c r="B230" t="s">
        <v>76</v>
      </c>
      <c r="C230">
        <v>202601</v>
      </c>
      <c r="D230">
        <v>66072.344477074614</v>
      </c>
      <c r="E230">
        <v>152.43711811802007</v>
      </c>
      <c r="F230">
        <v>433.44</v>
      </c>
    </row>
    <row r="231" spans="1:6" x14ac:dyDescent="0.25">
      <c r="A231">
        <v>551</v>
      </c>
      <c r="B231" t="s">
        <v>76</v>
      </c>
      <c r="C231">
        <v>202601</v>
      </c>
      <c r="D231">
        <v>6528.5956307712622</v>
      </c>
      <c r="E231">
        <v>24.192528091496559</v>
      </c>
      <c r="F231">
        <v>269.86</v>
      </c>
    </row>
    <row r="232" spans="1:6" x14ac:dyDescent="0.25">
      <c r="A232">
        <v>552</v>
      </c>
      <c r="B232" t="s">
        <v>76</v>
      </c>
      <c r="C232">
        <v>202601</v>
      </c>
      <c r="D232">
        <v>5735.7293713499748</v>
      </c>
      <c r="E232">
        <v>36.435836433426346</v>
      </c>
      <c r="F232">
        <v>157.41999999999999</v>
      </c>
    </row>
    <row r="233" spans="1:6" x14ac:dyDescent="0.25">
      <c r="A233">
        <v>578</v>
      </c>
      <c r="B233" t="s">
        <v>76</v>
      </c>
      <c r="C233">
        <v>202601</v>
      </c>
      <c r="D233">
        <v>0</v>
      </c>
      <c r="E233">
        <v>0</v>
      </c>
      <c r="F233">
        <v>225.56</v>
      </c>
    </row>
    <row r="234" spans="1:6" x14ac:dyDescent="0.25">
      <c r="A234">
        <v>596</v>
      </c>
      <c r="B234" t="s">
        <v>76</v>
      </c>
      <c r="C234">
        <v>202601</v>
      </c>
      <c r="D234">
        <v>1510.4009419190818</v>
      </c>
      <c r="E234">
        <v>4.185095433413915</v>
      </c>
      <c r="F234">
        <v>360.9</v>
      </c>
    </row>
    <row r="235" spans="1:6" x14ac:dyDescent="0.25">
      <c r="A235">
        <v>598</v>
      </c>
      <c r="B235" t="s">
        <v>76</v>
      </c>
      <c r="C235">
        <v>202601</v>
      </c>
      <c r="D235">
        <v>3599.6481654034233</v>
      </c>
      <c r="E235">
        <v>7.9791815339335077</v>
      </c>
      <c r="F235">
        <v>451.13</v>
      </c>
    </row>
    <row r="236" spans="1:6" x14ac:dyDescent="0.25">
      <c r="A236">
        <v>597</v>
      </c>
      <c r="B236" t="s">
        <v>76</v>
      </c>
      <c r="C236">
        <v>202601</v>
      </c>
      <c r="D236">
        <v>1163.9987606087332</v>
      </c>
      <c r="E236">
        <v>3.8819368371143339</v>
      </c>
      <c r="F236">
        <v>299.85000000000002</v>
      </c>
    </row>
    <row r="237" spans="1:6" x14ac:dyDescent="0.25">
      <c r="A237">
        <v>788</v>
      </c>
      <c r="B237" t="s">
        <v>76</v>
      </c>
      <c r="C237">
        <v>202601</v>
      </c>
      <c r="D237">
        <v>956.66873443143436</v>
      </c>
      <c r="E237">
        <v>2.1268757990916725</v>
      </c>
      <c r="F237">
        <v>449.8</v>
      </c>
    </row>
    <row r="238" spans="1:6" x14ac:dyDescent="0.25">
      <c r="A238">
        <v>789</v>
      </c>
      <c r="B238" t="s">
        <v>76</v>
      </c>
      <c r="C238">
        <v>202601</v>
      </c>
      <c r="D238">
        <v>1019.4845497171476</v>
      </c>
      <c r="E238">
        <v>2.9819952899179469</v>
      </c>
      <c r="F238">
        <v>341.88</v>
      </c>
    </row>
    <row r="239" spans="1:6" x14ac:dyDescent="0.25">
      <c r="A239">
        <v>634</v>
      </c>
      <c r="B239" t="s">
        <v>76</v>
      </c>
      <c r="C239">
        <v>202601</v>
      </c>
      <c r="D239">
        <v>14022.047866565772</v>
      </c>
      <c r="E239">
        <v>61.915696854178357</v>
      </c>
      <c r="F239">
        <v>226.47</v>
      </c>
    </row>
    <row r="240" spans="1:6" x14ac:dyDescent="0.25">
      <c r="A240">
        <v>635</v>
      </c>
      <c r="B240" t="s">
        <v>76</v>
      </c>
      <c r="C240">
        <v>202601</v>
      </c>
      <c r="D240">
        <v>2811.4278227319587</v>
      </c>
      <c r="E240">
        <v>6.9245285158788175</v>
      </c>
      <c r="F240">
        <v>406.01</v>
      </c>
    </row>
    <row r="241" spans="1:6" x14ac:dyDescent="0.25">
      <c r="A241">
        <v>636</v>
      </c>
      <c r="B241" t="s">
        <v>76</v>
      </c>
      <c r="C241">
        <v>202601</v>
      </c>
      <c r="D241">
        <v>7465.3580095502775</v>
      </c>
      <c r="E241">
        <v>32.985851933325726</v>
      </c>
      <c r="F241">
        <v>226.32</v>
      </c>
    </row>
    <row r="242" spans="1:6" x14ac:dyDescent="0.25">
      <c r="A242">
        <v>666</v>
      </c>
      <c r="B242" t="s">
        <v>76</v>
      </c>
      <c r="C242">
        <v>202601</v>
      </c>
      <c r="D242">
        <v>1757.8718094473907</v>
      </c>
      <c r="E242">
        <v>15.556387694224696</v>
      </c>
      <c r="F242">
        <v>113</v>
      </c>
    </row>
    <row r="243" spans="1:6" x14ac:dyDescent="0.25">
      <c r="A243">
        <v>667</v>
      </c>
      <c r="B243" t="s">
        <v>76</v>
      </c>
      <c r="C243">
        <v>202601</v>
      </c>
      <c r="D243">
        <v>12529.412822513688</v>
      </c>
      <c r="E243">
        <v>66.645812885711109</v>
      </c>
      <c r="F243">
        <v>188</v>
      </c>
    </row>
    <row r="244" spans="1:6" x14ac:dyDescent="0.25">
      <c r="A244">
        <v>668</v>
      </c>
      <c r="B244" t="s">
        <v>76</v>
      </c>
      <c r="C244">
        <v>202601</v>
      </c>
      <c r="D244">
        <v>20369.184347201786</v>
      </c>
      <c r="E244">
        <v>112.78618132448388</v>
      </c>
      <c r="F244">
        <v>180.6</v>
      </c>
    </row>
    <row r="245" spans="1:6" x14ac:dyDescent="0.25">
      <c r="A245">
        <v>665</v>
      </c>
      <c r="B245" t="s">
        <v>76</v>
      </c>
      <c r="C245">
        <v>202601</v>
      </c>
      <c r="D245">
        <v>3283.2443548638812</v>
      </c>
      <c r="E245">
        <v>14.599334585192233</v>
      </c>
      <c r="F245">
        <v>224.89</v>
      </c>
    </row>
    <row r="246" spans="1:6" x14ac:dyDescent="0.25">
      <c r="A246">
        <v>770</v>
      </c>
      <c r="B246" t="s">
        <v>76</v>
      </c>
      <c r="C246">
        <v>202601</v>
      </c>
      <c r="D246">
        <v>24476.283256522958</v>
      </c>
      <c r="E246">
        <v>43.513392456040812</v>
      </c>
      <c r="F246">
        <v>562.5</v>
      </c>
    </row>
    <row r="247" spans="1:6" x14ac:dyDescent="0.25">
      <c r="A247">
        <v>771</v>
      </c>
      <c r="B247" t="s">
        <v>76</v>
      </c>
      <c r="C247">
        <v>202601</v>
      </c>
      <c r="D247">
        <v>2930.5966535254929</v>
      </c>
      <c r="E247">
        <v>4.3429114604704999</v>
      </c>
      <c r="F247">
        <v>674.8</v>
      </c>
    </row>
    <row r="248" spans="1:6" x14ac:dyDescent="0.25">
      <c r="A248">
        <v>769</v>
      </c>
      <c r="B248" t="s">
        <v>76</v>
      </c>
      <c r="C248">
        <v>202601</v>
      </c>
      <c r="D248">
        <v>10696.503522398312</v>
      </c>
      <c r="E248">
        <v>31.693343770069074</v>
      </c>
      <c r="F248">
        <v>337.5</v>
      </c>
    </row>
    <row r="249" spans="1:6" x14ac:dyDescent="0.25">
      <c r="A249">
        <v>813</v>
      </c>
      <c r="B249" t="s">
        <v>76</v>
      </c>
      <c r="C249">
        <v>202601</v>
      </c>
      <c r="D249">
        <v>3100.2496742181602</v>
      </c>
      <c r="E249">
        <v>10.339332663517565</v>
      </c>
      <c r="F249">
        <v>299.8500749625187</v>
      </c>
    </row>
    <row r="250" spans="1:6" x14ac:dyDescent="0.25">
      <c r="A250">
        <v>814</v>
      </c>
      <c r="B250" t="s">
        <v>76</v>
      </c>
      <c r="C250">
        <v>202601</v>
      </c>
      <c r="D250">
        <v>3358.0429268994471</v>
      </c>
      <c r="E250">
        <v>7.4672958125404651</v>
      </c>
      <c r="F250">
        <v>449.7</v>
      </c>
    </row>
    <row r="251" spans="1:6" x14ac:dyDescent="0.25">
      <c r="A251">
        <v>815</v>
      </c>
      <c r="B251" t="s">
        <v>76</v>
      </c>
      <c r="C251">
        <v>202601</v>
      </c>
      <c r="D251">
        <v>568.31865207134854</v>
      </c>
      <c r="E251">
        <v>1.72322211058626</v>
      </c>
      <c r="F251">
        <v>329.8</v>
      </c>
    </row>
    <row r="252" spans="1:6" x14ac:dyDescent="0.25">
      <c r="A252">
        <v>542</v>
      </c>
      <c r="B252" t="s">
        <v>77</v>
      </c>
      <c r="C252">
        <v>202601</v>
      </c>
      <c r="D252">
        <v>43896.004488439372</v>
      </c>
      <c r="E252">
        <v>726.99576827491501</v>
      </c>
      <c r="F252">
        <v>60.38</v>
      </c>
    </row>
    <row r="253" spans="1:6" x14ac:dyDescent="0.25">
      <c r="A253">
        <v>543</v>
      </c>
      <c r="B253" t="s">
        <v>77</v>
      </c>
      <c r="C253">
        <v>202601</v>
      </c>
      <c r="D253">
        <v>68257.479202488699</v>
      </c>
      <c r="E253">
        <v>302.55974823798181</v>
      </c>
      <c r="F253">
        <v>225.6</v>
      </c>
    </row>
    <row r="254" spans="1:6" x14ac:dyDescent="0.25">
      <c r="A254">
        <v>545</v>
      </c>
      <c r="B254" t="s">
        <v>77</v>
      </c>
      <c r="C254">
        <v>202601</v>
      </c>
      <c r="D254">
        <v>198991.77909537201</v>
      </c>
      <c r="E254">
        <v>551.83521657063784</v>
      </c>
      <c r="F254">
        <v>360.6</v>
      </c>
    </row>
    <row r="255" spans="1:6" x14ac:dyDescent="0.25">
      <c r="A255">
        <v>547</v>
      </c>
      <c r="B255" t="s">
        <v>77</v>
      </c>
      <c r="C255">
        <v>202601</v>
      </c>
      <c r="D255">
        <v>217756.52657776311</v>
      </c>
      <c r="E255">
        <v>502.39139575895882</v>
      </c>
      <c r="F255">
        <v>433.44</v>
      </c>
    </row>
    <row r="256" spans="1:6" x14ac:dyDescent="0.25">
      <c r="A256">
        <v>551</v>
      </c>
      <c r="B256" t="s">
        <v>77</v>
      </c>
      <c r="C256">
        <v>202601</v>
      </c>
      <c r="D256">
        <v>29921.43888756544</v>
      </c>
      <c r="E256">
        <v>110.87763613564603</v>
      </c>
      <c r="F256">
        <v>269.86</v>
      </c>
    </row>
    <row r="257" spans="1:6" x14ac:dyDescent="0.25">
      <c r="A257">
        <v>552</v>
      </c>
      <c r="B257" t="s">
        <v>77</v>
      </c>
      <c r="C257">
        <v>202601</v>
      </c>
      <c r="D257">
        <v>8657.0114820514791</v>
      </c>
      <c r="E257">
        <v>54.993085262682506</v>
      </c>
      <c r="F257">
        <v>157.41999999999999</v>
      </c>
    </row>
    <row r="258" spans="1:6" x14ac:dyDescent="0.25">
      <c r="A258">
        <v>578</v>
      </c>
      <c r="B258" t="s">
        <v>77</v>
      </c>
      <c r="C258">
        <v>202601</v>
      </c>
      <c r="D258">
        <v>0</v>
      </c>
      <c r="E258">
        <v>0</v>
      </c>
      <c r="F258">
        <v>225.56</v>
      </c>
    </row>
    <row r="259" spans="1:6" x14ac:dyDescent="0.25">
      <c r="A259">
        <v>596</v>
      </c>
      <c r="B259" t="s">
        <v>77</v>
      </c>
      <c r="C259">
        <v>202601</v>
      </c>
      <c r="D259">
        <v>7546.9340915538151</v>
      </c>
      <c r="E259">
        <v>20.911427241767292</v>
      </c>
      <c r="F259">
        <v>360.9</v>
      </c>
    </row>
    <row r="260" spans="1:6" x14ac:dyDescent="0.25">
      <c r="A260">
        <v>598</v>
      </c>
      <c r="B260" t="s">
        <v>77</v>
      </c>
      <c r="C260">
        <v>202601</v>
      </c>
      <c r="D260">
        <v>42500.016700044733</v>
      </c>
      <c r="E260">
        <v>94.207915013509933</v>
      </c>
      <c r="F260">
        <v>451.13</v>
      </c>
    </row>
    <row r="261" spans="1:6" x14ac:dyDescent="0.25">
      <c r="A261">
        <v>597</v>
      </c>
      <c r="B261" t="s">
        <v>77</v>
      </c>
      <c r="C261">
        <v>202601</v>
      </c>
      <c r="D261">
        <v>4909.0183011791514</v>
      </c>
      <c r="E261">
        <v>16.371580127327501</v>
      </c>
      <c r="F261">
        <v>299.85000000000002</v>
      </c>
    </row>
    <row r="262" spans="1:6" x14ac:dyDescent="0.25">
      <c r="A262">
        <v>788</v>
      </c>
      <c r="B262" t="s">
        <v>77</v>
      </c>
      <c r="C262">
        <v>202601</v>
      </c>
      <c r="D262">
        <v>3597.0355718137625</v>
      </c>
      <c r="E262">
        <v>7.9969665891813309</v>
      </c>
      <c r="F262">
        <v>449.8</v>
      </c>
    </row>
    <row r="263" spans="1:6" x14ac:dyDescent="0.25">
      <c r="A263">
        <v>789</v>
      </c>
      <c r="B263" t="s">
        <v>77</v>
      </c>
      <c r="C263">
        <v>202601</v>
      </c>
      <c r="D263">
        <v>3576.7245830481779</v>
      </c>
      <c r="E263">
        <v>10.461929867345788</v>
      </c>
      <c r="F263">
        <v>341.88</v>
      </c>
    </row>
    <row r="264" spans="1:6" x14ac:dyDescent="0.25">
      <c r="A264">
        <v>634</v>
      </c>
      <c r="B264" t="s">
        <v>77</v>
      </c>
      <c r="C264">
        <v>202601</v>
      </c>
      <c r="D264">
        <v>38898.92269046235</v>
      </c>
      <c r="E264">
        <v>171.76192294989337</v>
      </c>
      <c r="F264">
        <v>226.47</v>
      </c>
    </row>
    <row r="265" spans="1:6" x14ac:dyDescent="0.25">
      <c r="A265">
        <v>635</v>
      </c>
      <c r="B265" t="s">
        <v>77</v>
      </c>
      <c r="C265">
        <v>202601</v>
      </c>
      <c r="D265">
        <v>3919.0616398426796</v>
      </c>
      <c r="E265">
        <v>9.6526234325328932</v>
      </c>
      <c r="F265">
        <v>406.01</v>
      </c>
    </row>
    <row r="266" spans="1:6" x14ac:dyDescent="0.25">
      <c r="A266">
        <v>636</v>
      </c>
      <c r="B266" t="s">
        <v>77</v>
      </c>
      <c r="C266">
        <v>202601</v>
      </c>
      <c r="D266">
        <v>25531.267205258202</v>
      </c>
      <c r="E266">
        <v>112.81047722365767</v>
      </c>
      <c r="F266">
        <v>226.32</v>
      </c>
    </row>
    <row r="267" spans="1:6" x14ac:dyDescent="0.25">
      <c r="A267">
        <v>666</v>
      </c>
      <c r="B267" t="s">
        <v>77</v>
      </c>
      <c r="C267">
        <v>202601</v>
      </c>
      <c r="D267">
        <v>7729.0713592948096</v>
      </c>
      <c r="E267">
        <v>68.398861586679729</v>
      </c>
      <c r="F267">
        <v>113</v>
      </c>
    </row>
    <row r="268" spans="1:6" x14ac:dyDescent="0.25">
      <c r="A268">
        <v>667</v>
      </c>
      <c r="B268" t="s">
        <v>77</v>
      </c>
      <c r="C268">
        <v>202601</v>
      </c>
      <c r="D268">
        <v>30990.092295981511</v>
      </c>
      <c r="E268">
        <v>164.84091646798677</v>
      </c>
      <c r="F268">
        <v>188</v>
      </c>
    </row>
    <row r="269" spans="1:6" x14ac:dyDescent="0.25">
      <c r="A269">
        <v>668</v>
      </c>
      <c r="B269" t="s">
        <v>77</v>
      </c>
      <c r="C269">
        <v>202601</v>
      </c>
      <c r="D269">
        <v>49418.949424976752</v>
      </c>
      <c r="E269">
        <v>273.63759371526442</v>
      </c>
      <c r="F269">
        <v>180.6</v>
      </c>
    </row>
    <row r="270" spans="1:6" x14ac:dyDescent="0.25">
      <c r="A270">
        <v>665</v>
      </c>
      <c r="B270" t="s">
        <v>77</v>
      </c>
      <c r="C270">
        <v>202601</v>
      </c>
      <c r="D270">
        <v>11046.969329544405</v>
      </c>
      <c r="E270">
        <v>49.121656496706862</v>
      </c>
      <c r="F270">
        <v>224.89</v>
      </c>
    </row>
    <row r="271" spans="1:6" x14ac:dyDescent="0.25">
      <c r="A271">
        <v>770</v>
      </c>
      <c r="B271" t="s">
        <v>77</v>
      </c>
      <c r="C271">
        <v>202601</v>
      </c>
      <c r="D271">
        <v>71047.075381283517</v>
      </c>
      <c r="E271">
        <v>126.30591178894848</v>
      </c>
      <c r="F271">
        <v>562.5</v>
      </c>
    </row>
    <row r="272" spans="1:6" x14ac:dyDescent="0.25">
      <c r="A272">
        <v>771</v>
      </c>
      <c r="B272" t="s">
        <v>77</v>
      </c>
      <c r="C272">
        <v>202601</v>
      </c>
      <c r="D272">
        <v>5000.8793853290144</v>
      </c>
      <c r="E272">
        <v>7.4109060244946869</v>
      </c>
      <c r="F272">
        <v>674.8</v>
      </c>
    </row>
    <row r="273" spans="1:6" x14ac:dyDescent="0.25">
      <c r="A273">
        <v>769</v>
      </c>
      <c r="B273" t="s">
        <v>77</v>
      </c>
      <c r="C273">
        <v>202601</v>
      </c>
      <c r="D273">
        <v>22909.074501757048</v>
      </c>
      <c r="E273">
        <v>67.878739264465324</v>
      </c>
      <c r="F273">
        <v>337.5</v>
      </c>
    </row>
    <row r="274" spans="1:6" x14ac:dyDescent="0.25">
      <c r="A274">
        <v>813</v>
      </c>
      <c r="B274" t="s">
        <v>77</v>
      </c>
      <c r="C274">
        <v>202601</v>
      </c>
      <c r="D274">
        <v>8762.0963251458543</v>
      </c>
      <c r="E274">
        <v>29.221591244361427</v>
      </c>
      <c r="F274">
        <v>299.8500749625187</v>
      </c>
    </row>
    <row r="275" spans="1:6" x14ac:dyDescent="0.25">
      <c r="A275">
        <v>814</v>
      </c>
      <c r="B275" t="s">
        <v>77</v>
      </c>
      <c r="C275">
        <v>202601</v>
      </c>
      <c r="D275">
        <v>9490.6858096478518</v>
      </c>
      <c r="E275">
        <v>21.104482565372141</v>
      </c>
      <c r="F275">
        <v>449.7</v>
      </c>
    </row>
    <row r="276" spans="1:6" x14ac:dyDescent="0.25">
      <c r="A276">
        <v>815</v>
      </c>
      <c r="B276" t="s">
        <v>77</v>
      </c>
      <c r="C276">
        <v>202601</v>
      </c>
      <c r="D276">
        <v>1606.2134653983992</v>
      </c>
      <c r="E276">
        <v>4.8702652073935688</v>
      </c>
      <c r="F276">
        <v>329.8</v>
      </c>
    </row>
    <row r="277" spans="1:6" x14ac:dyDescent="0.25">
      <c r="A277">
        <v>542</v>
      </c>
      <c r="B277" t="s">
        <v>78</v>
      </c>
      <c r="C277">
        <v>202601</v>
      </c>
      <c r="D277">
        <v>25468.781371193367</v>
      </c>
      <c r="E277">
        <v>421.80823735000604</v>
      </c>
      <c r="F277">
        <v>60.38</v>
      </c>
    </row>
    <row r="278" spans="1:6" x14ac:dyDescent="0.25">
      <c r="A278">
        <v>543</v>
      </c>
      <c r="B278" t="s">
        <v>78</v>
      </c>
      <c r="C278">
        <v>202601</v>
      </c>
      <c r="D278">
        <v>36482.860505296194</v>
      </c>
      <c r="E278">
        <v>161.71480720432712</v>
      </c>
      <c r="F278">
        <v>225.6</v>
      </c>
    </row>
    <row r="279" spans="1:6" x14ac:dyDescent="0.25">
      <c r="A279">
        <v>545</v>
      </c>
      <c r="B279" t="s">
        <v>78</v>
      </c>
      <c r="C279">
        <v>202601</v>
      </c>
      <c r="D279">
        <v>120253.48877731906</v>
      </c>
      <c r="E279">
        <v>333.48166604913769</v>
      </c>
      <c r="F279">
        <v>360.6</v>
      </c>
    </row>
    <row r="280" spans="1:6" x14ac:dyDescent="0.25">
      <c r="A280">
        <v>547</v>
      </c>
      <c r="B280" t="s">
        <v>78</v>
      </c>
      <c r="C280">
        <v>202601</v>
      </c>
      <c r="D280">
        <v>119116.02701053976</v>
      </c>
      <c r="E280">
        <v>274.81549236466356</v>
      </c>
      <c r="F280">
        <v>433.44</v>
      </c>
    </row>
    <row r="281" spans="1:6" x14ac:dyDescent="0.25">
      <c r="A281">
        <v>551</v>
      </c>
      <c r="B281" t="s">
        <v>78</v>
      </c>
      <c r="C281">
        <v>202601</v>
      </c>
      <c r="D281">
        <v>14938.608242991497</v>
      </c>
      <c r="E281">
        <v>55.356882246318449</v>
      </c>
      <c r="F281">
        <v>269.86</v>
      </c>
    </row>
    <row r="282" spans="1:6" x14ac:dyDescent="0.25">
      <c r="A282">
        <v>552</v>
      </c>
      <c r="B282" t="s">
        <v>78</v>
      </c>
      <c r="C282">
        <v>202601</v>
      </c>
      <c r="D282">
        <v>6472.5195135666891</v>
      </c>
      <c r="E282">
        <v>41.116246433532524</v>
      </c>
      <c r="F282">
        <v>157.41999999999999</v>
      </c>
    </row>
    <row r="283" spans="1:6" x14ac:dyDescent="0.25">
      <c r="A283">
        <v>578</v>
      </c>
      <c r="B283" t="s">
        <v>78</v>
      </c>
      <c r="C283">
        <v>202601</v>
      </c>
      <c r="D283">
        <v>0</v>
      </c>
      <c r="E283">
        <v>0</v>
      </c>
      <c r="F283">
        <v>225.56</v>
      </c>
    </row>
    <row r="284" spans="1:6" x14ac:dyDescent="0.25">
      <c r="A284">
        <v>596</v>
      </c>
      <c r="B284" t="s">
        <v>78</v>
      </c>
      <c r="C284">
        <v>202601</v>
      </c>
      <c r="D284">
        <v>5232.058011176885</v>
      </c>
      <c r="E284">
        <v>14.497251347123539</v>
      </c>
      <c r="F284">
        <v>360.9</v>
      </c>
    </row>
    <row r="285" spans="1:6" x14ac:dyDescent="0.25">
      <c r="A285">
        <v>598</v>
      </c>
      <c r="B285" t="s">
        <v>78</v>
      </c>
      <c r="C285">
        <v>202601</v>
      </c>
      <c r="D285">
        <v>21358.34226485953</v>
      </c>
      <c r="E285">
        <v>47.344096523972091</v>
      </c>
      <c r="F285">
        <v>451.13</v>
      </c>
    </row>
    <row r="286" spans="1:6" x14ac:dyDescent="0.25">
      <c r="A286">
        <v>597</v>
      </c>
      <c r="B286" t="s">
        <v>78</v>
      </c>
      <c r="C286">
        <v>202601</v>
      </c>
      <c r="D286">
        <v>3017.832596106889</v>
      </c>
      <c r="E286">
        <v>10.064474224135029</v>
      </c>
      <c r="F286">
        <v>299.85000000000002</v>
      </c>
    </row>
    <row r="287" spans="1:6" x14ac:dyDescent="0.25">
      <c r="A287">
        <v>788</v>
      </c>
      <c r="B287" t="s">
        <v>78</v>
      </c>
      <c r="C287">
        <v>202601</v>
      </c>
      <c r="D287">
        <v>3009.6585962871054</v>
      </c>
      <c r="E287">
        <v>6.6911040379882287</v>
      </c>
      <c r="F287">
        <v>449.8</v>
      </c>
    </row>
    <row r="288" spans="1:6" x14ac:dyDescent="0.25">
      <c r="A288">
        <v>789</v>
      </c>
      <c r="B288" t="s">
        <v>78</v>
      </c>
      <c r="C288">
        <v>202601</v>
      </c>
      <c r="D288">
        <v>2335.0885293315928</v>
      </c>
      <c r="E288">
        <v>6.8301407784356876</v>
      </c>
      <c r="F288">
        <v>341.88</v>
      </c>
    </row>
    <row r="289" spans="1:6" x14ac:dyDescent="0.25">
      <c r="A289">
        <v>634</v>
      </c>
      <c r="B289" t="s">
        <v>78</v>
      </c>
      <c r="C289">
        <v>202601</v>
      </c>
      <c r="D289">
        <v>19430.36604872697</v>
      </c>
      <c r="E289">
        <v>85.796644362286258</v>
      </c>
      <c r="F289">
        <v>226.47</v>
      </c>
    </row>
    <row r="290" spans="1:6" x14ac:dyDescent="0.25">
      <c r="A290">
        <v>635</v>
      </c>
      <c r="B290" t="s">
        <v>78</v>
      </c>
      <c r="C290">
        <v>202601</v>
      </c>
      <c r="D290">
        <v>3302.5392290234622</v>
      </c>
      <c r="E290">
        <v>8.1341327283157128</v>
      </c>
      <c r="F290">
        <v>406.01</v>
      </c>
    </row>
    <row r="291" spans="1:6" x14ac:dyDescent="0.25">
      <c r="A291">
        <v>636</v>
      </c>
      <c r="B291" t="s">
        <v>78</v>
      </c>
      <c r="C291">
        <v>202601</v>
      </c>
      <c r="D291">
        <v>16796.815121974261</v>
      </c>
      <c r="E291">
        <v>74.217104639334849</v>
      </c>
      <c r="F291">
        <v>226.32</v>
      </c>
    </row>
    <row r="292" spans="1:6" x14ac:dyDescent="0.25">
      <c r="A292">
        <v>666</v>
      </c>
      <c r="B292" t="s">
        <v>78</v>
      </c>
      <c r="C292">
        <v>202601</v>
      </c>
      <c r="D292">
        <v>6151.3624251946721</v>
      </c>
      <c r="E292">
        <v>54.43683562119179</v>
      </c>
      <c r="F292">
        <v>113</v>
      </c>
    </row>
    <row r="293" spans="1:6" x14ac:dyDescent="0.25">
      <c r="A293">
        <v>667</v>
      </c>
      <c r="B293" t="s">
        <v>78</v>
      </c>
      <c r="C293">
        <v>202601</v>
      </c>
      <c r="D293">
        <v>22799.596767731746</v>
      </c>
      <c r="E293">
        <v>121.27445089219013</v>
      </c>
      <c r="F293">
        <v>188</v>
      </c>
    </row>
    <row r="294" spans="1:6" x14ac:dyDescent="0.25">
      <c r="A294">
        <v>668</v>
      </c>
      <c r="B294" t="s">
        <v>78</v>
      </c>
      <c r="C294">
        <v>202601</v>
      </c>
      <c r="D294">
        <v>35712.251573822097</v>
      </c>
      <c r="E294">
        <v>197.74225677642357</v>
      </c>
      <c r="F294">
        <v>180.6</v>
      </c>
    </row>
    <row r="295" spans="1:6" x14ac:dyDescent="0.25">
      <c r="A295">
        <v>665</v>
      </c>
      <c r="B295" t="s">
        <v>78</v>
      </c>
      <c r="C295">
        <v>202601</v>
      </c>
      <c r="D295">
        <v>9336.0733426567022</v>
      </c>
      <c r="E295">
        <v>41.513955012035673</v>
      </c>
      <c r="F295">
        <v>224.89</v>
      </c>
    </row>
    <row r="296" spans="1:6" x14ac:dyDescent="0.25">
      <c r="A296">
        <v>770</v>
      </c>
      <c r="B296" t="s">
        <v>78</v>
      </c>
      <c r="C296">
        <v>202601</v>
      </c>
      <c r="D296">
        <v>44133.043646342325</v>
      </c>
      <c r="E296">
        <v>78.458744260164138</v>
      </c>
      <c r="F296">
        <v>562.5</v>
      </c>
    </row>
    <row r="297" spans="1:6" x14ac:dyDescent="0.25">
      <c r="A297">
        <v>771</v>
      </c>
      <c r="B297" t="s">
        <v>78</v>
      </c>
      <c r="C297">
        <v>202601</v>
      </c>
      <c r="D297">
        <v>4083.5130336920765</v>
      </c>
      <c r="E297">
        <v>6.0514419586426742</v>
      </c>
      <c r="F297">
        <v>674.8</v>
      </c>
    </row>
    <row r="298" spans="1:6" x14ac:dyDescent="0.25">
      <c r="A298">
        <v>769</v>
      </c>
      <c r="B298" t="s">
        <v>78</v>
      </c>
      <c r="C298">
        <v>202601</v>
      </c>
      <c r="D298">
        <v>21114.901507281906</v>
      </c>
      <c r="E298">
        <v>62.562671132687129</v>
      </c>
      <c r="F298">
        <v>337.5</v>
      </c>
    </row>
    <row r="299" spans="1:6" x14ac:dyDescent="0.25">
      <c r="A299">
        <v>813</v>
      </c>
      <c r="B299" t="s">
        <v>78</v>
      </c>
      <c r="C299">
        <v>202601</v>
      </c>
      <c r="D299">
        <v>5109.109625029836</v>
      </c>
      <c r="E299">
        <v>17.038880599474506</v>
      </c>
      <c r="F299">
        <v>299.8500749625187</v>
      </c>
    </row>
    <row r="300" spans="1:6" x14ac:dyDescent="0.25">
      <c r="A300">
        <v>814</v>
      </c>
      <c r="B300" t="s">
        <v>78</v>
      </c>
      <c r="C300">
        <v>202601</v>
      </c>
      <c r="D300">
        <v>5533.9444373659953</v>
      </c>
      <c r="E300">
        <v>12.305858210731589</v>
      </c>
      <c r="F300">
        <v>449.7</v>
      </c>
    </row>
    <row r="301" spans="1:6" x14ac:dyDescent="0.25">
      <c r="A301">
        <v>815</v>
      </c>
      <c r="B301" t="s">
        <v>78</v>
      </c>
      <c r="C301">
        <v>202601</v>
      </c>
      <c r="D301">
        <v>936.57047028444822</v>
      </c>
      <c r="E301">
        <v>2.8398134332457494</v>
      </c>
      <c r="F301">
        <v>329.8</v>
      </c>
    </row>
    <row r="302" spans="1:6" x14ac:dyDescent="0.25">
      <c r="A302">
        <v>542</v>
      </c>
      <c r="B302" t="s">
        <v>79</v>
      </c>
      <c r="C302">
        <v>202601</v>
      </c>
      <c r="D302">
        <v>15829.018160739523</v>
      </c>
      <c r="E302">
        <v>262.15664393407621</v>
      </c>
      <c r="F302">
        <v>60.38</v>
      </c>
    </row>
    <row r="303" spans="1:6" x14ac:dyDescent="0.25">
      <c r="A303">
        <v>543</v>
      </c>
      <c r="B303" t="s">
        <v>79</v>
      </c>
      <c r="C303">
        <v>202601</v>
      </c>
      <c r="D303">
        <v>26729.70398727517</v>
      </c>
      <c r="E303">
        <v>118.48273044004952</v>
      </c>
      <c r="F303">
        <v>225.6</v>
      </c>
    </row>
    <row r="304" spans="1:6" x14ac:dyDescent="0.25">
      <c r="A304">
        <v>545</v>
      </c>
      <c r="B304" t="s">
        <v>79</v>
      </c>
      <c r="C304">
        <v>202601</v>
      </c>
      <c r="D304">
        <v>91632.406033351523</v>
      </c>
      <c r="E304">
        <v>254.11094296547842</v>
      </c>
      <c r="F304">
        <v>360.6</v>
      </c>
    </row>
    <row r="305" spans="1:6" x14ac:dyDescent="0.25">
      <c r="A305">
        <v>547</v>
      </c>
      <c r="B305" t="s">
        <v>79</v>
      </c>
      <c r="C305">
        <v>202601</v>
      </c>
      <c r="D305">
        <v>104013.79793257755</v>
      </c>
      <c r="E305">
        <v>239.9727711622775</v>
      </c>
      <c r="F305">
        <v>433.44</v>
      </c>
    </row>
    <row r="306" spans="1:6" x14ac:dyDescent="0.25">
      <c r="A306">
        <v>551</v>
      </c>
      <c r="B306" t="s">
        <v>79</v>
      </c>
      <c r="C306">
        <v>202601</v>
      </c>
      <c r="D306">
        <v>10113.51373117585</v>
      </c>
      <c r="E306">
        <v>37.476890725471911</v>
      </c>
      <c r="F306">
        <v>269.86</v>
      </c>
    </row>
    <row r="307" spans="1:6" x14ac:dyDescent="0.25">
      <c r="A307">
        <v>552</v>
      </c>
      <c r="B307" t="s">
        <v>79</v>
      </c>
      <c r="C307">
        <v>202601</v>
      </c>
      <c r="D307">
        <v>4544.0836520346129</v>
      </c>
      <c r="E307">
        <v>28.865986863388471</v>
      </c>
      <c r="F307">
        <v>157.41999999999999</v>
      </c>
    </row>
    <row r="308" spans="1:6" x14ac:dyDescent="0.25">
      <c r="A308">
        <v>578</v>
      </c>
      <c r="B308" t="s">
        <v>79</v>
      </c>
      <c r="C308">
        <v>202601</v>
      </c>
      <c r="D308">
        <v>0</v>
      </c>
      <c r="E308">
        <v>0</v>
      </c>
      <c r="F308">
        <v>225.56</v>
      </c>
    </row>
    <row r="309" spans="1:6" x14ac:dyDescent="0.25">
      <c r="A309">
        <v>596</v>
      </c>
      <c r="B309" t="s">
        <v>79</v>
      </c>
      <c r="C309">
        <v>202601</v>
      </c>
      <c r="D309">
        <v>3221.3362531128269</v>
      </c>
      <c r="E309">
        <v>8.9258416545104655</v>
      </c>
      <c r="F309">
        <v>360.9</v>
      </c>
    </row>
    <row r="310" spans="1:6" x14ac:dyDescent="0.25">
      <c r="A310">
        <v>598</v>
      </c>
      <c r="B310" t="s">
        <v>79</v>
      </c>
      <c r="C310">
        <v>202601</v>
      </c>
      <c r="D310">
        <v>13179.085966855406</v>
      </c>
      <c r="E310">
        <v>29.213499361282569</v>
      </c>
      <c r="F310">
        <v>451.13</v>
      </c>
    </row>
    <row r="311" spans="1:6" x14ac:dyDescent="0.25">
      <c r="A311">
        <v>597</v>
      </c>
      <c r="B311" t="s">
        <v>79</v>
      </c>
      <c r="C311">
        <v>202601</v>
      </c>
      <c r="D311">
        <v>2344.8518316016193</v>
      </c>
      <c r="E311">
        <v>7.8200828134121032</v>
      </c>
      <c r="F311">
        <v>299.85000000000002</v>
      </c>
    </row>
    <row r="312" spans="1:6" x14ac:dyDescent="0.25">
      <c r="A312">
        <v>788</v>
      </c>
      <c r="B312" t="s">
        <v>79</v>
      </c>
      <c r="C312">
        <v>202601</v>
      </c>
      <c r="D312">
        <v>1656.6170330178229</v>
      </c>
      <c r="E312">
        <v>3.6830080769627007</v>
      </c>
      <c r="F312">
        <v>449.8</v>
      </c>
    </row>
    <row r="313" spans="1:6" x14ac:dyDescent="0.25">
      <c r="A313">
        <v>789</v>
      </c>
      <c r="B313" t="s">
        <v>79</v>
      </c>
      <c r="C313">
        <v>202601</v>
      </c>
      <c r="D313">
        <v>1818.1869516620034</v>
      </c>
      <c r="E313">
        <v>5.3182021518135114</v>
      </c>
      <c r="F313">
        <v>341.88</v>
      </c>
    </row>
    <row r="314" spans="1:6" x14ac:dyDescent="0.25">
      <c r="A314">
        <v>634</v>
      </c>
      <c r="B314" t="s">
        <v>79</v>
      </c>
      <c r="C314">
        <v>202601</v>
      </c>
      <c r="D314">
        <v>17762.516610964511</v>
      </c>
      <c r="E314">
        <v>78.432095248662122</v>
      </c>
      <c r="F314">
        <v>226.47</v>
      </c>
    </row>
    <row r="315" spans="1:6" x14ac:dyDescent="0.25">
      <c r="A315">
        <v>635</v>
      </c>
      <c r="B315" t="s">
        <v>79</v>
      </c>
      <c r="C315">
        <v>202601</v>
      </c>
      <c r="D315">
        <v>2328.332856443435</v>
      </c>
      <c r="E315">
        <v>5.7346687432413859</v>
      </c>
      <c r="F315">
        <v>406.01</v>
      </c>
    </row>
    <row r="316" spans="1:6" x14ac:dyDescent="0.25">
      <c r="A316">
        <v>636</v>
      </c>
      <c r="B316" t="s">
        <v>79</v>
      </c>
      <c r="C316">
        <v>202601</v>
      </c>
      <c r="D316">
        <v>13711.680119859913</v>
      </c>
      <c r="E316">
        <v>60.585366383262254</v>
      </c>
      <c r="F316">
        <v>226.32</v>
      </c>
    </row>
    <row r="317" spans="1:6" x14ac:dyDescent="0.25">
      <c r="A317">
        <v>666</v>
      </c>
      <c r="B317" t="s">
        <v>79</v>
      </c>
      <c r="C317">
        <v>202601</v>
      </c>
      <c r="D317">
        <v>3057.9357592131182</v>
      </c>
      <c r="E317">
        <v>27.061378400116091</v>
      </c>
      <c r="F317">
        <v>113</v>
      </c>
    </row>
    <row r="318" spans="1:6" x14ac:dyDescent="0.25">
      <c r="A318">
        <v>667</v>
      </c>
      <c r="B318" t="s">
        <v>79</v>
      </c>
      <c r="C318">
        <v>202601</v>
      </c>
      <c r="D318">
        <v>13101.594004525479</v>
      </c>
      <c r="E318">
        <v>69.68932981130574</v>
      </c>
      <c r="F318">
        <v>188</v>
      </c>
    </row>
    <row r="319" spans="1:6" x14ac:dyDescent="0.25">
      <c r="A319">
        <v>668</v>
      </c>
      <c r="B319" t="s">
        <v>79</v>
      </c>
      <c r="C319">
        <v>202601</v>
      </c>
      <c r="D319">
        <v>18614.12908936054</v>
      </c>
      <c r="E319">
        <v>103.06826738294873</v>
      </c>
      <c r="F319">
        <v>180.6</v>
      </c>
    </row>
    <row r="320" spans="1:6" x14ac:dyDescent="0.25">
      <c r="A320">
        <v>665</v>
      </c>
      <c r="B320" t="s">
        <v>79</v>
      </c>
      <c r="C320">
        <v>202601</v>
      </c>
      <c r="D320">
        <v>4631.4587836154433</v>
      </c>
      <c r="E320">
        <v>20.59432959942836</v>
      </c>
      <c r="F320">
        <v>224.89</v>
      </c>
    </row>
    <row r="321" spans="1:6" x14ac:dyDescent="0.25">
      <c r="A321">
        <v>770</v>
      </c>
      <c r="B321" t="s">
        <v>79</v>
      </c>
      <c r="C321">
        <v>202601</v>
      </c>
      <c r="D321">
        <v>28816.871583815839</v>
      </c>
      <c r="E321">
        <v>51.229993926783713</v>
      </c>
      <c r="F321">
        <v>562.5</v>
      </c>
    </row>
    <row r="322" spans="1:6" x14ac:dyDescent="0.25">
      <c r="A322">
        <v>771</v>
      </c>
      <c r="B322" t="s">
        <v>79</v>
      </c>
      <c r="C322">
        <v>202601</v>
      </c>
      <c r="D322">
        <v>2736.5818637026036</v>
      </c>
      <c r="E322">
        <v>4.0553969527305922</v>
      </c>
      <c r="F322">
        <v>674.8</v>
      </c>
    </row>
    <row r="323" spans="1:6" x14ac:dyDescent="0.25">
      <c r="A323">
        <v>769</v>
      </c>
      <c r="B323" t="s">
        <v>79</v>
      </c>
      <c r="C323">
        <v>202601</v>
      </c>
      <c r="D323">
        <v>12936.908090616096</v>
      </c>
      <c r="E323">
        <v>38.331579527751394</v>
      </c>
      <c r="F323">
        <v>337.5</v>
      </c>
    </row>
    <row r="324" spans="1:6" x14ac:dyDescent="0.25">
      <c r="A324">
        <v>813</v>
      </c>
      <c r="B324" t="s">
        <v>79</v>
      </c>
      <c r="C324">
        <v>202601</v>
      </c>
      <c r="D324">
        <v>4354.2237448207024</v>
      </c>
      <c r="E324">
        <v>14.521336188977044</v>
      </c>
      <c r="F324">
        <v>299.8500749625187</v>
      </c>
    </row>
    <row r="325" spans="1:6" x14ac:dyDescent="0.25">
      <c r="A325">
        <v>814</v>
      </c>
      <c r="B325" t="s">
        <v>79</v>
      </c>
      <c r="C325">
        <v>202601</v>
      </c>
      <c r="D325">
        <v>4716.2879719099274</v>
      </c>
      <c r="E325">
        <v>10.487631692038976</v>
      </c>
      <c r="F325">
        <v>449.7</v>
      </c>
    </row>
    <row r="326" spans="1:6" x14ac:dyDescent="0.25">
      <c r="A326">
        <v>815</v>
      </c>
      <c r="B326" t="s">
        <v>79</v>
      </c>
      <c r="C326">
        <v>202601</v>
      </c>
      <c r="D326">
        <v>798.18944585410429</v>
      </c>
      <c r="E326">
        <v>2.420222698162839</v>
      </c>
      <c r="F326">
        <v>329.8</v>
      </c>
    </row>
    <row r="327" spans="1:6" x14ac:dyDescent="0.25">
      <c r="A327">
        <v>542</v>
      </c>
      <c r="B327" t="s">
        <v>80</v>
      </c>
      <c r="C327">
        <v>202601</v>
      </c>
      <c r="D327">
        <v>51357.348142537849</v>
      </c>
      <c r="E327">
        <v>850.56886622288584</v>
      </c>
      <c r="F327">
        <v>60.38</v>
      </c>
    </row>
    <row r="328" spans="1:6" x14ac:dyDescent="0.25">
      <c r="A328">
        <v>543</v>
      </c>
      <c r="B328" t="s">
        <v>80</v>
      </c>
      <c r="C328">
        <v>202601</v>
      </c>
      <c r="D328">
        <v>56068.394586931485</v>
      </c>
      <c r="E328">
        <v>248.53011784987362</v>
      </c>
      <c r="F328">
        <v>225.6</v>
      </c>
    </row>
    <row r="329" spans="1:6" x14ac:dyDescent="0.25">
      <c r="A329">
        <v>545</v>
      </c>
      <c r="B329" t="s">
        <v>80</v>
      </c>
      <c r="C329">
        <v>202601</v>
      </c>
      <c r="D329">
        <v>187851.67751650346</v>
      </c>
      <c r="E329">
        <v>520.94197869246659</v>
      </c>
      <c r="F329">
        <v>360.6</v>
      </c>
    </row>
    <row r="330" spans="1:6" x14ac:dyDescent="0.25">
      <c r="A330">
        <v>547</v>
      </c>
      <c r="B330" t="s">
        <v>80</v>
      </c>
      <c r="C330">
        <v>202601</v>
      </c>
      <c r="D330">
        <v>216654.97008854317</v>
      </c>
      <c r="E330">
        <v>499.84996790453852</v>
      </c>
      <c r="F330">
        <v>433.44</v>
      </c>
    </row>
    <row r="331" spans="1:6" x14ac:dyDescent="0.25">
      <c r="A331">
        <v>551</v>
      </c>
      <c r="B331" t="s">
        <v>80</v>
      </c>
      <c r="C331">
        <v>202601</v>
      </c>
      <c r="D331">
        <v>20325.109944416632</v>
      </c>
      <c r="E331">
        <v>75.317238362175317</v>
      </c>
      <c r="F331">
        <v>269.86</v>
      </c>
    </row>
    <row r="332" spans="1:6" x14ac:dyDescent="0.25">
      <c r="A332">
        <v>552</v>
      </c>
      <c r="B332" t="s">
        <v>80</v>
      </c>
      <c r="C332">
        <v>202601</v>
      </c>
      <c r="D332">
        <v>6618.5885414449604</v>
      </c>
      <c r="E332">
        <v>42.044140143850598</v>
      </c>
      <c r="F332">
        <v>157.41999999999999</v>
      </c>
    </row>
    <row r="333" spans="1:6" x14ac:dyDescent="0.25">
      <c r="A333">
        <v>578</v>
      </c>
      <c r="B333" t="s">
        <v>80</v>
      </c>
      <c r="C333">
        <v>202601</v>
      </c>
      <c r="D333">
        <v>0</v>
      </c>
      <c r="E333">
        <v>0</v>
      </c>
      <c r="F333">
        <v>225.56</v>
      </c>
    </row>
    <row r="334" spans="1:6" x14ac:dyDescent="0.25">
      <c r="A334">
        <v>596</v>
      </c>
      <c r="B334" t="s">
        <v>80</v>
      </c>
      <c r="C334">
        <v>202601</v>
      </c>
      <c r="D334">
        <v>5615.9161920834504</v>
      </c>
      <c r="E334">
        <v>15.560865037637713</v>
      </c>
      <c r="F334">
        <v>360.9</v>
      </c>
    </row>
    <row r="335" spans="1:6" x14ac:dyDescent="0.25">
      <c r="A335">
        <v>598</v>
      </c>
      <c r="B335" t="s">
        <v>80</v>
      </c>
      <c r="C335">
        <v>202601</v>
      </c>
      <c r="D335">
        <v>36385.250965028215</v>
      </c>
      <c r="E335">
        <v>80.65358314682733</v>
      </c>
      <c r="F335">
        <v>451.13</v>
      </c>
    </row>
    <row r="336" spans="1:6" x14ac:dyDescent="0.25">
      <c r="A336">
        <v>597</v>
      </c>
      <c r="B336" t="s">
        <v>80</v>
      </c>
      <c r="C336">
        <v>202601</v>
      </c>
      <c r="D336">
        <v>6507.3410328322079</v>
      </c>
      <c r="E336">
        <v>21.701987769992353</v>
      </c>
      <c r="F336">
        <v>299.85000000000002</v>
      </c>
    </row>
    <row r="337" spans="1:6" x14ac:dyDescent="0.25">
      <c r="A337">
        <v>788</v>
      </c>
      <c r="B337" t="s">
        <v>80</v>
      </c>
      <c r="C337">
        <v>202601</v>
      </c>
      <c r="D337">
        <v>3463.6924160703502</v>
      </c>
      <c r="E337">
        <v>7.7005167098051359</v>
      </c>
      <c r="F337">
        <v>449.8</v>
      </c>
    </row>
    <row r="338" spans="1:6" x14ac:dyDescent="0.25">
      <c r="A338">
        <v>789</v>
      </c>
      <c r="B338" t="s">
        <v>80</v>
      </c>
      <c r="C338">
        <v>202601</v>
      </c>
      <c r="D338">
        <v>3600.8151456776004</v>
      </c>
      <c r="E338">
        <v>10.532394833501815</v>
      </c>
      <c r="F338">
        <v>341.88</v>
      </c>
    </row>
    <row r="339" spans="1:6" x14ac:dyDescent="0.25">
      <c r="A339">
        <v>634</v>
      </c>
      <c r="B339" t="s">
        <v>80</v>
      </c>
      <c r="C339">
        <v>202601</v>
      </c>
      <c r="D339">
        <v>32135.950711189187</v>
      </c>
      <c r="E339">
        <v>141.89937171011255</v>
      </c>
      <c r="F339">
        <v>226.47</v>
      </c>
    </row>
    <row r="340" spans="1:6" x14ac:dyDescent="0.25">
      <c r="A340">
        <v>635</v>
      </c>
      <c r="B340" t="s">
        <v>80</v>
      </c>
      <c r="C340">
        <v>202601</v>
      </c>
      <c r="D340">
        <v>2972.0479397065255</v>
      </c>
      <c r="E340">
        <v>7.3201348235425865</v>
      </c>
      <c r="F340">
        <v>406.01</v>
      </c>
    </row>
    <row r="341" spans="1:6" x14ac:dyDescent="0.25">
      <c r="A341">
        <v>636</v>
      </c>
      <c r="B341" t="s">
        <v>80</v>
      </c>
      <c r="C341">
        <v>202601</v>
      </c>
      <c r="D341">
        <v>22398.085183074989</v>
      </c>
      <c r="E341">
        <v>98.966442130942866</v>
      </c>
      <c r="F341">
        <v>226.32</v>
      </c>
    </row>
    <row r="342" spans="1:6" x14ac:dyDescent="0.25">
      <c r="A342">
        <v>666</v>
      </c>
      <c r="B342" t="s">
        <v>80</v>
      </c>
      <c r="C342">
        <v>202601</v>
      </c>
      <c r="D342">
        <v>7029.3610626238305</v>
      </c>
      <c r="E342">
        <v>62.206735067467527</v>
      </c>
      <c r="F342">
        <v>113</v>
      </c>
    </row>
    <row r="343" spans="1:6" x14ac:dyDescent="0.25">
      <c r="A343">
        <v>667</v>
      </c>
      <c r="B343" t="s">
        <v>80</v>
      </c>
      <c r="C343">
        <v>202601</v>
      </c>
      <c r="D343">
        <v>32486.436985380351</v>
      </c>
      <c r="E343">
        <v>172.80019673074653</v>
      </c>
      <c r="F343">
        <v>188</v>
      </c>
    </row>
    <row r="344" spans="1:6" x14ac:dyDescent="0.25">
      <c r="A344">
        <v>668</v>
      </c>
      <c r="B344" t="s">
        <v>80</v>
      </c>
      <c r="C344">
        <v>202601</v>
      </c>
      <c r="D344">
        <v>46821.869020246384</v>
      </c>
      <c r="E344">
        <v>259.25730354510733</v>
      </c>
      <c r="F344">
        <v>180.6</v>
      </c>
    </row>
    <row r="345" spans="1:6" x14ac:dyDescent="0.25">
      <c r="A345">
        <v>665</v>
      </c>
      <c r="B345" t="s">
        <v>80</v>
      </c>
      <c r="C345">
        <v>202601</v>
      </c>
      <c r="D345">
        <v>15080.616428994996</v>
      </c>
      <c r="E345">
        <v>67.05774569342789</v>
      </c>
      <c r="F345">
        <v>224.89</v>
      </c>
    </row>
    <row r="346" spans="1:6" x14ac:dyDescent="0.25">
      <c r="A346">
        <v>770</v>
      </c>
      <c r="B346" t="s">
        <v>80</v>
      </c>
      <c r="C346">
        <v>202601</v>
      </c>
      <c r="D346">
        <v>27615.248221046808</v>
      </c>
      <c r="E346">
        <v>49.093774615194327</v>
      </c>
      <c r="F346">
        <v>562.5</v>
      </c>
    </row>
    <row r="347" spans="1:6" x14ac:dyDescent="0.25">
      <c r="A347">
        <v>771</v>
      </c>
      <c r="B347" t="s">
        <v>80</v>
      </c>
      <c r="C347">
        <v>202601</v>
      </c>
      <c r="D347">
        <v>2852.2616857661869</v>
      </c>
      <c r="E347">
        <v>4.2268252604715277</v>
      </c>
      <c r="F347">
        <v>674.8</v>
      </c>
    </row>
    <row r="348" spans="1:6" x14ac:dyDescent="0.25">
      <c r="A348">
        <v>769</v>
      </c>
      <c r="B348" t="s">
        <v>80</v>
      </c>
      <c r="C348">
        <v>202601</v>
      </c>
      <c r="D348">
        <v>10858.262075306811</v>
      </c>
      <c r="E348">
        <v>32.172628371279444</v>
      </c>
      <c r="F348">
        <v>337.5</v>
      </c>
    </row>
    <row r="349" spans="1:6" x14ac:dyDescent="0.25">
      <c r="A349">
        <v>813</v>
      </c>
      <c r="B349" t="s">
        <v>80</v>
      </c>
      <c r="C349">
        <v>202601</v>
      </c>
      <c r="D349">
        <v>7384.3679343533886</v>
      </c>
      <c r="E349">
        <v>24.626867061068555</v>
      </c>
      <c r="F349">
        <v>299.8500749625187</v>
      </c>
    </row>
    <row r="350" spans="1:6" x14ac:dyDescent="0.25">
      <c r="A350">
        <v>814</v>
      </c>
      <c r="B350" t="s">
        <v>80</v>
      </c>
      <c r="C350">
        <v>202601</v>
      </c>
      <c r="D350">
        <v>7998.3959736507159</v>
      </c>
      <c r="E350">
        <v>17.786070655216179</v>
      </c>
      <c r="F350">
        <v>449.7</v>
      </c>
    </row>
    <row r="351" spans="1:6" x14ac:dyDescent="0.25">
      <c r="A351">
        <v>815</v>
      </c>
      <c r="B351" t="s">
        <v>80</v>
      </c>
      <c r="C351">
        <v>202601</v>
      </c>
      <c r="D351">
        <v>1353.6567927900674</v>
      </c>
      <c r="E351">
        <v>4.1044778435114226</v>
      </c>
      <c r="F351">
        <v>329.8</v>
      </c>
    </row>
    <row r="352" spans="1:6" x14ac:dyDescent="0.25">
      <c r="A352">
        <v>542</v>
      </c>
      <c r="B352" t="s">
        <v>81</v>
      </c>
      <c r="C352">
        <v>202601</v>
      </c>
      <c r="D352">
        <v>15639.567804511427</v>
      </c>
      <c r="E352">
        <v>259.01900968054696</v>
      </c>
      <c r="F352">
        <v>60.38</v>
      </c>
    </row>
    <row r="353" spans="1:6" x14ac:dyDescent="0.25">
      <c r="A353">
        <v>543</v>
      </c>
      <c r="B353" t="s">
        <v>81</v>
      </c>
      <c r="C353">
        <v>202601</v>
      </c>
      <c r="D353">
        <v>16044.005504201521</v>
      </c>
      <c r="E353">
        <v>71.117045674652132</v>
      </c>
      <c r="F353">
        <v>225.6</v>
      </c>
    </row>
    <row r="354" spans="1:6" x14ac:dyDescent="0.25">
      <c r="A354">
        <v>545</v>
      </c>
      <c r="B354" t="s">
        <v>81</v>
      </c>
      <c r="C354">
        <v>202601</v>
      </c>
      <c r="D354">
        <v>99370.509013905888</v>
      </c>
      <c r="E354">
        <v>275.5699085244201</v>
      </c>
      <c r="F354">
        <v>360.6</v>
      </c>
    </row>
    <row r="355" spans="1:6" x14ac:dyDescent="0.25">
      <c r="A355">
        <v>547</v>
      </c>
      <c r="B355" t="s">
        <v>81</v>
      </c>
      <c r="C355">
        <v>202601</v>
      </c>
      <c r="D355">
        <v>121456.00043945241</v>
      </c>
      <c r="E355">
        <v>280.21410215820509</v>
      </c>
      <c r="F355">
        <v>433.44</v>
      </c>
    </row>
    <row r="356" spans="1:6" x14ac:dyDescent="0.25">
      <c r="A356">
        <v>551</v>
      </c>
      <c r="B356" t="s">
        <v>81</v>
      </c>
      <c r="C356">
        <v>202601</v>
      </c>
      <c r="D356">
        <v>12482.969497786929</v>
      </c>
      <c r="E356">
        <v>46.257205579881898</v>
      </c>
      <c r="F356">
        <v>269.86</v>
      </c>
    </row>
    <row r="357" spans="1:6" x14ac:dyDescent="0.25">
      <c r="A357">
        <v>552</v>
      </c>
      <c r="B357" t="s">
        <v>81</v>
      </c>
      <c r="C357">
        <v>202601</v>
      </c>
      <c r="D357">
        <v>8138.2657625262791</v>
      </c>
      <c r="E357">
        <v>51.697787844786433</v>
      </c>
      <c r="F357">
        <v>157.41999999999999</v>
      </c>
    </row>
    <row r="358" spans="1:6" x14ac:dyDescent="0.25">
      <c r="A358">
        <v>578</v>
      </c>
      <c r="B358" t="s">
        <v>81</v>
      </c>
      <c r="C358">
        <v>202601</v>
      </c>
      <c r="D358">
        <v>0</v>
      </c>
      <c r="E358">
        <v>0</v>
      </c>
      <c r="F358">
        <v>225.56</v>
      </c>
    </row>
    <row r="359" spans="1:6" x14ac:dyDescent="0.25">
      <c r="A359">
        <v>596</v>
      </c>
      <c r="B359" t="s">
        <v>81</v>
      </c>
      <c r="C359">
        <v>202601</v>
      </c>
      <c r="D359">
        <v>5274.3460912999581</v>
      </c>
      <c r="E359">
        <v>14.614425301468435</v>
      </c>
      <c r="F359">
        <v>360.9</v>
      </c>
    </row>
    <row r="360" spans="1:6" x14ac:dyDescent="0.25">
      <c r="A360">
        <v>598</v>
      </c>
      <c r="B360" t="s">
        <v>81</v>
      </c>
      <c r="C360">
        <v>202601</v>
      </c>
      <c r="D360">
        <v>14673.182432384039</v>
      </c>
      <c r="E360">
        <v>32.525397185698225</v>
      </c>
      <c r="F360">
        <v>451.13</v>
      </c>
    </row>
    <row r="361" spans="1:6" x14ac:dyDescent="0.25">
      <c r="A361">
        <v>597</v>
      </c>
      <c r="B361" t="s">
        <v>81</v>
      </c>
      <c r="C361">
        <v>202601</v>
      </c>
      <c r="D361">
        <v>1594.2814272957439</v>
      </c>
      <c r="E361">
        <v>5.3169298892637782</v>
      </c>
      <c r="F361">
        <v>299.85000000000002</v>
      </c>
    </row>
    <row r="362" spans="1:6" x14ac:dyDescent="0.25">
      <c r="A362">
        <v>788</v>
      </c>
      <c r="B362" t="s">
        <v>81</v>
      </c>
      <c r="C362">
        <v>202601</v>
      </c>
      <c r="D362">
        <v>1466.132385960532</v>
      </c>
      <c r="E362">
        <v>3.2595206446432456</v>
      </c>
      <c r="F362">
        <v>449.8</v>
      </c>
    </row>
    <row r="363" spans="1:6" x14ac:dyDescent="0.25">
      <c r="A363">
        <v>789</v>
      </c>
      <c r="B363" t="s">
        <v>81</v>
      </c>
      <c r="C363">
        <v>202601</v>
      </c>
      <c r="D363">
        <v>2834.9127597869792</v>
      </c>
      <c r="E363">
        <v>8.2921281145050294</v>
      </c>
      <c r="F363">
        <v>341.88</v>
      </c>
    </row>
    <row r="364" spans="1:6" x14ac:dyDescent="0.25">
      <c r="A364">
        <v>634</v>
      </c>
      <c r="B364" t="s">
        <v>81</v>
      </c>
      <c r="C364">
        <v>202601</v>
      </c>
      <c r="D364">
        <v>42171.753909385683</v>
      </c>
      <c r="E364">
        <v>186.21342301137318</v>
      </c>
      <c r="F364">
        <v>226.47</v>
      </c>
    </row>
    <row r="365" spans="1:6" x14ac:dyDescent="0.25">
      <c r="A365">
        <v>635</v>
      </c>
      <c r="B365" t="s">
        <v>81</v>
      </c>
      <c r="C365">
        <v>202601</v>
      </c>
      <c r="D365">
        <v>7826.3869265572184</v>
      </c>
      <c r="E365">
        <v>19.276340303335431</v>
      </c>
      <c r="F365">
        <v>406.01</v>
      </c>
    </row>
    <row r="366" spans="1:6" x14ac:dyDescent="0.25">
      <c r="A366">
        <v>636</v>
      </c>
      <c r="B366" t="s">
        <v>81</v>
      </c>
      <c r="C366">
        <v>202601</v>
      </c>
      <c r="D366">
        <v>19065.209347575721</v>
      </c>
      <c r="E366">
        <v>84.240055441744971</v>
      </c>
      <c r="F366">
        <v>226.32</v>
      </c>
    </row>
    <row r="367" spans="1:6" x14ac:dyDescent="0.25">
      <c r="A367">
        <v>666</v>
      </c>
      <c r="B367" t="s">
        <v>81</v>
      </c>
      <c r="C367">
        <v>202601</v>
      </c>
      <c r="D367">
        <v>3896.1885175818475</v>
      </c>
      <c r="E367">
        <v>34.47954440337918</v>
      </c>
      <c r="F367">
        <v>113</v>
      </c>
    </row>
    <row r="368" spans="1:6" x14ac:dyDescent="0.25">
      <c r="A368">
        <v>667</v>
      </c>
      <c r="B368" t="s">
        <v>81</v>
      </c>
      <c r="C368">
        <v>202601</v>
      </c>
      <c r="D368">
        <v>20012.327080053874</v>
      </c>
      <c r="E368">
        <v>106.4485482981589</v>
      </c>
      <c r="F368">
        <v>188</v>
      </c>
    </row>
    <row r="369" spans="1:6" x14ac:dyDescent="0.25">
      <c r="A369">
        <v>668</v>
      </c>
      <c r="B369" t="s">
        <v>81</v>
      </c>
      <c r="C369">
        <v>202601</v>
      </c>
      <c r="D369">
        <v>17363.128541985192</v>
      </c>
      <c r="E369">
        <v>96.141354053074153</v>
      </c>
      <c r="F369">
        <v>180.6</v>
      </c>
    </row>
    <row r="370" spans="1:6" x14ac:dyDescent="0.25">
      <c r="A370">
        <v>665</v>
      </c>
      <c r="B370" t="s">
        <v>81</v>
      </c>
      <c r="C370">
        <v>202601</v>
      </c>
      <c r="D370">
        <v>3006.3370678688825</v>
      </c>
      <c r="E370">
        <v>13.368033562492252</v>
      </c>
      <c r="F370">
        <v>224.89</v>
      </c>
    </row>
    <row r="371" spans="1:6" x14ac:dyDescent="0.25">
      <c r="A371">
        <v>770</v>
      </c>
      <c r="B371" t="s">
        <v>81</v>
      </c>
      <c r="C371">
        <v>202601</v>
      </c>
      <c r="D371">
        <v>23141.42088006837</v>
      </c>
      <c r="E371">
        <v>41.140303786788216</v>
      </c>
      <c r="F371">
        <v>562.5</v>
      </c>
    </row>
    <row r="372" spans="1:6" x14ac:dyDescent="0.25">
      <c r="A372">
        <v>771</v>
      </c>
      <c r="B372" t="s">
        <v>81</v>
      </c>
      <c r="C372">
        <v>202601</v>
      </c>
      <c r="D372">
        <v>2025.1864565682026</v>
      </c>
      <c r="E372">
        <v>3.0011654661650899</v>
      </c>
      <c r="F372">
        <v>674.8</v>
      </c>
    </row>
    <row r="373" spans="1:6" x14ac:dyDescent="0.25">
      <c r="A373">
        <v>769</v>
      </c>
      <c r="B373" t="s">
        <v>81</v>
      </c>
      <c r="C373">
        <v>202601</v>
      </c>
      <c r="D373">
        <v>11263.569262855974</v>
      </c>
      <c r="E373">
        <v>33.373538556610292</v>
      </c>
      <c r="F373">
        <v>337.5</v>
      </c>
    </row>
    <row r="374" spans="1:6" x14ac:dyDescent="0.25">
      <c r="A374">
        <v>813</v>
      </c>
      <c r="B374" t="s">
        <v>81</v>
      </c>
      <c r="C374">
        <v>202601</v>
      </c>
      <c r="D374">
        <v>8775.2122317836493</v>
      </c>
      <c r="E374">
        <v>29.265332792998475</v>
      </c>
      <c r="F374">
        <v>299.8500749625187</v>
      </c>
    </row>
    <row r="375" spans="1:6" x14ac:dyDescent="0.25">
      <c r="A375">
        <v>814</v>
      </c>
      <c r="B375" t="s">
        <v>81</v>
      </c>
      <c r="C375">
        <v>202601</v>
      </c>
      <c r="D375">
        <v>9504.8923356193554</v>
      </c>
      <c r="E375">
        <v>21.136073683832233</v>
      </c>
      <c r="F375">
        <v>449.7</v>
      </c>
    </row>
    <row r="376" spans="1:6" x14ac:dyDescent="0.25">
      <c r="A376">
        <v>815</v>
      </c>
      <c r="B376" t="s">
        <v>81</v>
      </c>
      <c r="C376">
        <v>202601</v>
      </c>
      <c r="D376">
        <v>1608.6177925218149</v>
      </c>
      <c r="E376">
        <v>4.8775554654997419</v>
      </c>
      <c r="F376">
        <v>329.8</v>
      </c>
    </row>
    <row r="377" spans="1:6" x14ac:dyDescent="0.25">
      <c r="A377">
        <v>542</v>
      </c>
      <c r="B377" t="s">
        <v>82</v>
      </c>
      <c r="C377">
        <v>202601</v>
      </c>
      <c r="D377">
        <v>22209.83814079866</v>
      </c>
      <c r="E377">
        <v>367.83435145410169</v>
      </c>
      <c r="F377">
        <v>60.38</v>
      </c>
    </row>
    <row r="378" spans="1:6" x14ac:dyDescent="0.25">
      <c r="A378">
        <v>543</v>
      </c>
      <c r="B378" t="s">
        <v>82</v>
      </c>
      <c r="C378">
        <v>202601</v>
      </c>
      <c r="D378">
        <v>23122.588962381629</v>
      </c>
      <c r="E378">
        <v>102.49374540062779</v>
      </c>
      <c r="F378">
        <v>225.6</v>
      </c>
    </row>
    <row r="379" spans="1:6" x14ac:dyDescent="0.25">
      <c r="A379">
        <v>545</v>
      </c>
      <c r="B379" t="s">
        <v>82</v>
      </c>
      <c r="C379">
        <v>202601</v>
      </c>
      <c r="D379">
        <v>102180.89270562425</v>
      </c>
      <c r="E379">
        <v>283.36354050367237</v>
      </c>
      <c r="F379">
        <v>360.6</v>
      </c>
    </row>
    <row r="380" spans="1:6" x14ac:dyDescent="0.25">
      <c r="A380">
        <v>547</v>
      </c>
      <c r="B380" t="s">
        <v>82</v>
      </c>
      <c r="C380">
        <v>202601</v>
      </c>
      <c r="D380">
        <v>128959.69791822306</v>
      </c>
      <c r="E380">
        <v>297.52606570280329</v>
      </c>
      <c r="F380">
        <v>433.44</v>
      </c>
    </row>
    <row r="381" spans="1:6" x14ac:dyDescent="0.25">
      <c r="A381">
        <v>551</v>
      </c>
      <c r="B381" t="s">
        <v>82</v>
      </c>
      <c r="C381">
        <v>202601</v>
      </c>
      <c r="D381">
        <v>18181.815313508523</v>
      </c>
      <c r="E381">
        <v>67.374991897682207</v>
      </c>
      <c r="F381">
        <v>269.86</v>
      </c>
    </row>
    <row r="382" spans="1:6" x14ac:dyDescent="0.25">
      <c r="A382">
        <v>552</v>
      </c>
      <c r="B382" t="s">
        <v>82</v>
      </c>
      <c r="C382">
        <v>202601</v>
      </c>
      <c r="D382">
        <v>11306.347188515281</v>
      </c>
      <c r="E382">
        <v>71.822812784368452</v>
      </c>
      <c r="F382">
        <v>157.41999999999999</v>
      </c>
    </row>
    <row r="383" spans="1:6" x14ac:dyDescent="0.25">
      <c r="A383">
        <v>578</v>
      </c>
      <c r="B383" t="s">
        <v>82</v>
      </c>
      <c r="C383">
        <v>202601</v>
      </c>
      <c r="D383">
        <v>0</v>
      </c>
      <c r="E383">
        <v>0</v>
      </c>
      <c r="F383">
        <v>225.56</v>
      </c>
    </row>
    <row r="384" spans="1:6" x14ac:dyDescent="0.25">
      <c r="A384">
        <v>596</v>
      </c>
      <c r="B384" t="s">
        <v>82</v>
      </c>
      <c r="C384">
        <v>202601</v>
      </c>
      <c r="D384">
        <v>8814.7489664649038</v>
      </c>
      <c r="E384">
        <v>24.424352913452214</v>
      </c>
      <c r="F384">
        <v>360.9</v>
      </c>
    </row>
    <row r="385" spans="1:6" x14ac:dyDescent="0.25">
      <c r="A385">
        <v>598</v>
      </c>
      <c r="B385" t="s">
        <v>82</v>
      </c>
      <c r="C385">
        <v>202601</v>
      </c>
      <c r="D385">
        <v>25548.982774391643</v>
      </c>
      <c r="E385">
        <v>56.633304755595155</v>
      </c>
      <c r="F385">
        <v>451.13</v>
      </c>
    </row>
    <row r="386" spans="1:6" x14ac:dyDescent="0.25">
      <c r="A386">
        <v>597</v>
      </c>
      <c r="B386" t="s">
        <v>82</v>
      </c>
      <c r="C386">
        <v>202601</v>
      </c>
      <c r="D386">
        <v>3015.493748352068</v>
      </c>
      <c r="E386">
        <v>10.056674164922688</v>
      </c>
      <c r="F386">
        <v>299.85000000000002</v>
      </c>
    </row>
    <row r="387" spans="1:6" x14ac:dyDescent="0.25">
      <c r="A387">
        <v>788</v>
      </c>
      <c r="B387" t="s">
        <v>82</v>
      </c>
      <c r="C387">
        <v>202601</v>
      </c>
      <c r="D387">
        <v>2315.389738271414</v>
      </c>
      <c r="E387">
        <v>5.1475983509813563</v>
      </c>
      <c r="F387">
        <v>449.8</v>
      </c>
    </row>
    <row r="388" spans="1:6" x14ac:dyDescent="0.25">
      <c r="A388">
        <v>789</v>
      </c>
      <c r="B388" t="s">
        <v>82</v>
      </c>
      <c r="C388">
        <v>202601</v>
      </c>
      <c r="D388">
        <v>4693.1492469698396</v>
      </c>
      <c r="E388">
        <v>13.727475274862057</v>
      </c>
      <c r="F388">
        <v>341.88</v>
      </c>
    </row>
    <row r="389" spans="1:6" x14ac:dyDescent="0.25">
      <c r="A389">
        <v>634</v>
      </c>
      <c r="B389" t="s">
        <v>82</v>
      </c>
      <c r="C389">
        <v>202601</v>
      </c>
      <c r="D389">
        <v>42290.231640782004</v>
      </c>
      <c r="E389">
        <v>186.73657279455117</v>
      </c>
      <c r="F389">
        <v>226.47</v>
      </c>
    </row>
    <row r="390" spans="1:6" x14ac:dyDescent="0.25">
      <c r="A390">
        <v>635</v>
      </c>
      <c r="B390" t="s">
        <v>82</v>
      </c>
      <c r="C390">
        <v>202601</v>
      </c>
      <c r="D390">
        <v>10198.479217790909</v>
      </c>
      <c r="E390">
        <v>25.11878825100591</v>
      </c>
      <c r="F390">
        <v>406.01</v>
      </c>
    </row>
    <row r="391" spans="1:6" x14ac:dyDescent="0.25">
      <c r="A391">
        <v>636</v>
      </c>
      <c r="B391" t="s">
        <v>82</v>
      </c>
      <c r="C391">
        <v>202601</v>
      </c>
      <c r="D391">
        <v>20143.598404176828</v>
      </c>
      <c r="E391">
        <v>89.004941693959125</v>
      </c>
      <c r="F391">
        <v>226.32</v>
      </c>
    </row>
    <row r="392" spans="1:6" x14ac:dyDescent="0.25">
      <c r="A392">
        <v>666</v>
      </c>
      <c r="B392" t="s">
        <v>82</v>
      </c>
      <c r="C392">
        <v>202601</v>
      </c>
      <c r="D392">
        <v>6309.573889186976</v>
      </c>
      <c r="E392">
        <v>55.836937072451114</v>
      </c>
      <c r="F392">
        <v>113</v>
      </c>
    </row>
    <row r="393" spans="1:6" x14ac:dyDescent="0.25">
      <c r="A393">
        <v>667</v>
      </c>
      <c r="B393" t="s">
        <v>82</v>
      </c>
      <c r="C393">
        <v>202601</v>
      </c>
      <c r="D393">
        <v>22985.345899779022</v>
      </c>
      <c r="E393">
        <v>122.26247819031394</v>
      </c>
      <c r="F393">
        <v>188</v>
      </c>
    </row>
    <row r="394" spans="1:6" x14ac:dyDescent="0.25">
      <c r="A394">
        <v>668</v>
      </c>
      <c r="B394" t="s">
        <v>82</v>
      </c>
      <c r="C394">
        <v>202601</v>
      </c>
      <c r="D394">
        <v>17923.09172680154</v>
      </c>
      <c r="E394">
        <v>99.241925397572203</v>
      </c>
      <c r="F394">
        <v>180.6</v>
      </c>
    </row>
    <row r="395" spans="1:6" x14ac:dyDescent="0.25">
      <c r="A395">
        <v>665</v>
      </c>
      <c r="B395" t="s">
        <v>82</v>
      </c>
      <c r="C395">
        <v>202601</v>
      </c>
      <c r="D395">
        <v>5761.3647652621057</v>
      </c>
      <c r="E395">
        <v>25.618590267517924</v>
      </c>
      <c r="F395">
        <v>224.89</v>
      </c>
    </row>
    <row r="396" spans="1:6" x14ac:dyDescent="0.25">
      <c r="A396">
        <v>770</v>
      </c>
      <c r="B396" t="s">
        <v>82</v>
      </c>
      <c r="C396">
        <v>202601</v>
      </c>
      <c r="D396">
        <v>38644.129456643117</v>
      </c>
      <c r="E396">
        <v>68.700674589587763</v>
      </c>
      <c r="F396">
        <v>562.5</v>
      </c>
    </row>
    <row r="397" spans="1:6" x14ac:dyDescent="0.25">
      <c r="A397">
        <v>771</v>
      </c>
      <c r="B397" t="s">
        <v>82</v>
      </c>
      <c r="C397">
        <v>202601</v>
      </c>
      <c r="D397">
        <v>3528.7474120892061</v>
      </c>
      <c r="E397">
        <v>5.2293233729834121</v>
      </c>
      <c r="F397">
        <v>674.8</v>
      </c>
    </row>
    <row r="398" spans="1:6" x14ac:dyDescent="0.25">
      <c r="A398">
        <v>769</v>
      </c>
      <c r="B398" t="s">
        <v>82</v>
      </c>
      <c r="C398">
        <v>202601</v>
      </c>
      <c r="D398">
        <v>16712.65607670166</v>
      </c>
      <c r="E398">
        <v>49.518980968004918</v>
      </c>
      <c r="F398">
        <v>337.5</v>
      </c>
    </row>
    <row r="399" spans="1:6" x14ac:dyDescent="0.25">
      <c r="A399">
        <v>813</v>
      </c>
      <c r="B399" t="s">
        <v>82</v>
      </c>
      <c r="C399">
        <v>202601</v>
      </c>
      <c r="D399">
        <v>9246.2023206176818</v>
      </c>
      <c r="E399">
        <v>30.836084739259974</v>
      </c>
      <c r="F399">
        <v>299.8500749625187</v>
      </c>
    </row>
    <row r="400" spans="1:6" x14ac:dyDescent="0.25">
      <c r="A400">
        <v>814</v>
      </c>
      <c r="B400" t="s">
        <v>82</v>
      </c>
      <c r="C400">
        <v>202601</v>
      </c>
      <c r="D400">
        <v>10015.046388565986</v>
      </c>
      <c r="E400">
        <v>22.270505645021096</v>
      </c>
      <c r="F400">
        <v>449.7</v>
      </c>
    </row>
    <row r="401" spans="1:6" x14ac:dyDescent="0.25">
      <c r="A401">
        <v>815</v>
      </c>
      <c r="B401" t="s">
        <v>82</v>
      </c>
      <c r="C401">
        <v>202601</v>
      </c>
      <c r="D401">
        <v>1694.9567911679887</v>
      </c>
      <c r="E401">
        <v>5.1393474565433257</v>
      </c>
      <c r="F401">
        <v>329.8</v>
      </c>
    </row>
    <row r="402" spans="1:6" x14ac:dyDescent="0.25">
      <c r="A402">
        <v>542</v>
      </c>
      <c r="B402" t="s">
        <v>51</v>
      </c>
      <c r="C402">
        <v>202601</v>
      </c>
      <c r="D402">
        <v>12334.854857304357</v>
      </c>
      <c r="E402">
        <v>204.28709601365281</v>
      </c>
      <c r="F402">
        <v>60.38</v>
      </c>
    </row>
    <row r="403" spans="1:6" x14ac:dyDescent="0.25">
      <c r="A403">
        <v>543</v>
      </c>
      <c r="B403" t="s">
        <v>51</v>
      </c>
      <c r="C403">
        <v>202601</v>
      </c>
      <c r="D403">
        <v>21293.05136781263</v>
      </c>
      <c r="E403">
        <v>94.384092942431877</v>
      </c>
      <c r="F403">
        <v>225.6</v>
      </c>
    </row>
    <row r="404" spans="1:6" x14ac:dyDescent="0.25">
      <c r="A404">
        <v>545</v>
      </c>
      <c r="B404" t="s">
        <v>51</v>
      </c>
      <c r="C404">
        <v>202601</v>
      </c>
      <c r="D404">
        <v>107254.45629771102</v>
      </c>
      <c r="E404">
        <v>297.43332306630896</v>
      </c>
      <c r="F404">
        <v>360.6</v>
      </c>
    </row>
    <row r="405" spans="1:6" x14ac:dyDescent="0.25">
      <c r="A405">
        <v>547</v>
      </c>
      <c r="B405" t="s">
        <v>51</v>
      </c>
      <c r="C405">
        <v>202601</v>
      </c>
      <c r="D405">
        <v>84508.989450533598</v>
      </c>
      <c r="E405">
        <v>194.97275159314691</v>
      </c>
      <c r="F405">
        <v>433.44</v>
      </c>
    </row>
    <row r="406" spans="1:6" x14ac:dyDescent="0.25">
      <c r="A406">
        <v>551</v>
      </c>
      <c r="B406" t="s">
        <v>51</v>
      </c>
      <c r="C406">
        <v>202601</v>
      </c>
      <c r="D406">
        <v>9981.5954919753694</v>
      </c>
      <c r="E406">
        <v>36.988051182003147</v>
      </c>
      <c r="F406">
        <v>269.86</v>
      </c>
    </row>
    <row r="407" spans="1:6" x14ac:dyDescent="0.25">
      <c r="A407">
        <v>552</v>
      </c>
      <c r="B407" t="s">
        <v>51</v>
      </c>
      <c r="C407">
        <v>202601</v>
      </c>
      <c r="D407">
        <v>5771.5258775351149</v>
      </c>
      <c r="E407">
        <v>36.663231339951182</v>
      </c>
      <c r="F407">
        <v>157.41999999999999</v>
      </c>
    </row>
    <row r="408" spans="1:6" x14ac:dyDescent="0.25">
      <c r="A408">
        <v>578</v>
      </c>
      <c r="B408" t="s">
        <v>51</v>
      </c>
      <c r="C408">
        <v>202601</v>
      </c>
      <c r="D408">
        <v>0</v>
      </c>
      <c r="E408">
        <v>0</v>
      </c>
      <c r="F408">
        <v>225.56</v>
      </c>
    </row>
    <row r="409" spans="1:6" x14ac:dyDescent="0.25">
      <c r="A409">
        <v>596</v>
      </c>
      <c r="B409" t="s">
        <v>51</v>
      </c>
      <c r="C409">
        <v>202601</v>
      </c>
      <c r="D409">
        <v>3483.4645999483155</v>
      </c>
      <c r="E409">
        <v>9.6521601550244274</v>
      </c>
      <c r="F409">
        <v>360.9</v>
      </c>
    </row>
    <row r="410" spans="1:6" x14ac:dyDescent="0.25">
      <c r="A410">
        <v>598</v>
      </c>
      <c r="B410" t="s">
        <v>51</v>
      </c>
      <c r="C410">
        <v>202601</v>
      </c>
      <c r="D410">
        <v>3739.8763893944097</v>
      </c>
      <c r="E410">
        <v>8.2900192613978447</v>
      </c>
      <c r="F410">
        <v>451.13</v>
      </c>
    </row>
    <row r="411" spans="1:6" x14ac:dyDescent="0.25">
      <c r="A411">
        <v>597</v>
      </c>
      <c r="B411" t="s">
        <v>51</v>
      </c>
      <c r="C411">
        <v>202601</v>
      </c>
      <c r="D411">
        <v>2649.0825445757141</v>
      </c>
      <c r="E411">
        <v>8.8346924948331296</v>
      </c>
      <c r="F411">
        <v>299.85000000000002</v>
      </c>
    </row>
    <row r="412" spans="1:6" x14ac:dyDescent="0.25">
      <c r="A412">
        <v>788</v>
      </c>
      <c r="B412" t="s">
        <v>51</v>
      </c>
      <c r="C412">
        <v>202601</v>
      </c>
      <c r="D412">
        <v>1690.6126248327716</v>
      </c>
      <c r="E412">
        <v>3.7585874273738806</v>
      </c>
      <c r="F412">
        <v>449.8</v>
      </c>
    </row>
    <row r="413" spans="1:6" x14ac:dyDescent="0.25">
      <c r="A413">
        <v>789</v>
      </c>
      <c r="B413" t="s">
        <v>51</v>
      </c>
      <c r="C413">
        <v>202601</v>
      </c>
      <c r="D413">
        <v>2616.5310613049332</v>
      </c>
      <c r="E413">
        <v>7.6533610076779377</v>
      </c>
      <c r="F413">
        <v>341.88</v>
      </c>
    </row>
    <row r="414" spans="1:6" x14ac:dyDescent="0.25">
      <c r="A414">
        <v>634</v>
      </c>
      <c r="B414" t="s">
        <v>51</v>
      </c>
      <c r="C414">
        <v>202601</v>
      </c>
      <c r="D414">
        <v>21337.872337834127</v>
      </c>
      <c r="E414">
        <v>94.21942128243974</v>
      </c>
      <c r="F414">
        <v>226.47</v>
      </c>
    </row>
    <row r="415" spans="1:6" x14ac:dyDescent="0.25">
      <c r="A415">
        <v>635</v>
      </c>
      <c r="B415" t="s">
        <v>51</v>
      </c>
      <c r="C415">
        <v>202601</v>
      </c>
      <c r="D415">
        <v>2456.2178376370198</v>
      </c>
      <c r="E415">
        <v>6.0496486235241003</v>
      </c>
      <c r="F415">
        <v>406.01</v>
      </c>
    </row>
    <row r="416" spans="1:6" x14ac:dyDescent="0.25">
      <c r="A416">
        <v>636</v>
      </c>
      <c r="B416" t="s">
        <v>51</v>
      </c>
      <c r="C416">
        <v>202601</v>
      </c>
      <c r="D416">
        <v>15838.070272188699</v>
      </c>
      <c r="E416">
        <v>69.980869000480297</v>
      </c>
      <c r="F416">
        <v>226.32</v>
      </c>
    </row>
    <row r="417" spans="1:6" x14ac:dyDescent="0.25">
      <c r="A417">
        <v>666</v>
      </c>
      <c r="B417" t="s">
        <v>51</v>
      </c>
      <c r="C417">
        <v>202601</v>
      </c>
      <c r="D417">
        <v>3728.1185350935571</v>
      </c>
      <c r="E417">
        <v>32.992199425606699</v>
      </c>
      <c r="F417">
        <v>113</v>
      </c>
    </row>
    <row r="418" spans="1:6" x14ac:dyDescent="0.25">
      <c r="A418">
        <v>667</v>
      </c>
      <c r="B418" t="s">
        <v>51</v>
      </c>
      <c r="C418">
        <v>202601</v>
      </c>
      <c r="D418">
        <v>9274.0333847545971</v>
      </c>
      <c r="E418">
        <v>49.329964812524452</v>
      </c>
      <c r="F418">
        <v>188</v>
      </c>
    </row>
    <row r="419" spans="1:6" x14ac:dyDescent="0.25">
      <c r="A419">
        <v>668</v>
      </c>
      <c r="B419" t="s">
        <v>51</v>
      </c>
      <c r="C419">
        <v>202601</v>
      </c>
      <c r="D419">
        <v>10963.182436111829</v>
      </c>
      <c r="E419">
        <v>60.704221683897174</v>
      </c>
      <c r="F419">
        <v>180.6</v>
      </c>
    </row>
    <row r="420" spans="1:6" x14ac:dyDescent="0.25">
      <c r="A420">
        <v>665</v>
      </c>
      <c r="B420" t="s">
        <v>51</v>
      </c>
      <c r="C420">
        <v>202601</v>
      </c>
      <c r="D420">
        <v>6921.9293743754761</v>
      </c>
      <c r="E420">
        <v>30.779178150987043</v>
      </c>
      <c r="F420">
        <v>224.89</v>
      </c>
    </row>
    <row r="421" spans="1:6" x14ac:dyDescent="0.25">
      <c r="A421">
        <v>770</v>
      </c>
      <c r="B421" t="s">
        <v>51</v>
      </c>
      <c r="C421">
        <v>202601</v>
      </c>
      <c r="D421">
        <v>24811.5109826314</v>
      </c>
      <c r="E421">
        <v>44.109352858011377</v>
      </c>
      <c r="F421">
        <v>562.5</v>
      </c>
    </row>
    <row r="422" spans="1:6" x14ac:dyDescent="0.25">
      <c r="A422">
        <v>771</v>
      </c>
      <c r="B422" t="s">
        <v>51</v>
      </c>
      <c r="C422">
        <v>202601</v>
      </c>
      <c r="D422">
        <v>3495.4259808555253</v>
      </c>
      <c r="E422">
        <v>5.1799436586477849</v>
      </c>
      <c r="F422">
        <v>674.8</v>
      </c>
    </row>
    <row r="423" spans="1:6" x14ac:dyDescent="0.25">
      <c r="A423">
        <v>769</v>
      </c>
      <c r="B423" t="s">
        <v>51</v>
      </c>
      <c r="C423">
        <v>202601</v>
      </c>
      <c r="D423">
        <v>12979.520789231234</v>
      </c>
      <c r="E423">
        <v>38.457839375499951</v>
      </c>
      <c r="F423">
        <v>337.5</v>
      </c>
    </row>
    <row r="424" spans="1:6" x14ac:dyDescent="0.25">
      <c r="A424">
        <v>813</v>
      </c>
      <c r="B424" t="s">
        <v>51</v>
      </c>
      <c r="C424">
        <v>202601</v>
      </c>
      <c r="D424">
        <v>5099.0451594720689</v>
      </c>
      <c r="E424">
        <v>17.005315606839353</v>
      </c>
      <c r="F424">
        <v>299.8500749625187</v>
      </c>
    </row>
    <row r="425" spans="1:6" x14ac:dyDescent="0.25">
      <c r="A425">
        <v>814</v>
      </c>
      <c r="B425" t="s">
        <v>51</v>
      </c>
      <c r="C425">
        <v>202601</v>
      </c>
      <c r="D425">
        <v>5523.0430871746412</v>
      </c>
      <c r="E425">
        <v>12.281616827161756</v>
      </c>
      <c r="F425">
        <v>449.7</v>
      </c>
    </row>
    <row r="426" spans="1:6" x14ac:dyDescent="0.25">
      <c r="A426">
        <v>815</v>
      </c>
      <c r="B426" t="s">
        <v>51</v>
      </c>
      <c r="C426">
        <v>202601</v>
      </c>
      <c r="D426">
        <v>934.72551452260245</v>
      </c>
      <c r="E426">
        <v>2.834219267806557</v>
      </c>
      <c r="F426">
        <v>329.8</v>
      </c>
    </row>
    <row r="427" spans="1:6" x14ac:dyDescent="0.25">
      <c r="A427">
        <v>542</v>
      </c>
      <c r="B427" t="s">
        <v>83</v>
      </c>
      <c r="C427">
        <v>202601</v>
      </c>
      <c r="D427">
        <v>5605.0321199350838</v>
      </c>
      <c r="E427">
        <v>92.829283205284597</v>
      </c>
      <c r="F427">
        <v>60.38</v>
      </c>
    </row>
    <row r="428" spans="1:6" x14ac:dyDescent="0.25">
      <c r="A428">
        <v>543</v>
      </c>
      <c r="B428" t="s">
        <v>83</v>
      </c>
      <c r="C428">
        <v>202601</v>
      </c>
      <c r="D428">
        <v>13315.560277615092</v>
      </c>
      <c r="E428">
        <v>59.022873570988885</v>
      </c>
      <c r="F428">
        <v>225.6</v>
      </c>
    </row>
    <row r="429" spans="1:6" x14ac:dyDescent="0.25">
      <c r="A429">
        <v>545</v>
      </c>
      <c r="B429" t="s">
        <v>83</v>
      </c>
      <c r="C429">
        <v>202601</v>
      </c>
      <c r="D429">
        <v>57332.981037848505</v>
      </c>
      <c r="E429">
        <v>158.99329184095535</v>
      </c>
      <c r="F429">
        <v>360.6</v>
      </c>
    </row>
    <row r="430" spans="1:6" x14ac:dyDescent="0.25">
      <c r="A430">
        <v>547</v>
      </c>
      <c r="B430" t="s">
        <v>83</v>
      </c>
      <c r="C430">
        <v>202601</v>
      </c>
      <c r="D430">
        <v>86661.13660552552</v>
      </c>
      <c r="E430">
        <v>199.93802280713714</v>
      </c>
      <c r="F430">
        <v>433.44</v>
      </c>
    </row>
    <row r="431" spans="1:6" x14ac:dyDescent="0.25">
      <c r="A431">
        <v>551</v>
      </c>
      <c r="B431" t="s">
        <v>83</v>
      </c>
      <c r="C431">
        <v>202601</v>
      </c>
      <c r="D431">
        <v>10194.580628419755</v>
      </c>
      <c r="E431">
        <v>37.777294257836488</v>
      </c>
      <c r="F431">
        <v>269.86</v>
      </c>
    </row>
    <row r="432" spans="1:6" x14ac:dyDescent="0.25">
      <c r="A432">
        <v>552</v>
      </c>
      <c r="B432" t="s">
        <v>83</v>
      </c>
      <c r="C432">
        <v>202601</v>
      </c>
      <c r="D432">
        <v>7748.6648836322984</v>
      </c>
      <c r="E432">
        <v>49.222874371949558</v>
      </c>
      <c r="F432">
        <v>157.41999999999999</v>
      </c>
    </row>
    <row r="433" spans="1:6" x14ac:dyDescent="0.25">
      <c r="A433">
        <v>578</v>
      </c>
      <c r="B433" t="s">
        <v>83</v>
      </c>
      <c r="C433">
        <v>202601</v>
      </c>
      <c r="D433">
        <v>0</v>
      </c>
      <c r="E433">
        <v>0</v>
      </c>
      <c r="F433">
        <v>225.56</v>
      </c>
    </row>
    <row r="434" spans="1:6" x14ac:dyDescent="0.25">
      <c r="A434">
        <v>596</v>
      </c>
      <c r="B434" t="s">
        <v>83</v>
      </c>
      <c r="C434">
        <v>202601</v>
      </c>
      <c r="D434">
        <v>3577.4318952616632</v>
      </c>
      <c r="E434">
        <v>9.9125294964302118</v>
      </c>
      <c r="F434">
        <v>360.9</v>
      </c>
    </row>
    <row r="435" spans="1:6" x14ac:dyDescent="0.25">
      <c r="A435">
        <v>598</v>
      </c>
      <c r="B435" t="s">
        <v>83</v>
      </c>
      <c r="C435">
        <v>202601</v>
      </c>
      <c r="D435">
        <v>14239.313842975225</v>
      </c>
      <c r="E435">
        <v>31.56365979423941</v>
      </c>
      <c r="F435">
        <v>451.13</v>
      </c>
    </row>
    <row r="436" spans="1:6" x14ac:dyDescent="0.25">
      <c r="A436">
        <v>597</v>
      </c>
      <c r="B436" t="s">
        <v>83</v>
      </c>
      <c r="C436">
        <v>202601</v>
      </c>
      <c r="D436">
        <v>1648.6656838684271</v>
      </c>
      <c r="E436">
        <v>5.4983014302765616</v>
      </c>
      <c r="F436">
        <v>299.85000000000002</v>
      </c>
    </row>
    <row r="437" spans="1:6" x14ac:dyDescent="0.25">
      <c r="A437">
        <v>788</v>
      </c>
      <c r="B437" t="s">
        <v>83</v>
      </c>
      <c r="C437">
        <v>202601</v>
      </c>
      <c r="D437">
        <v>1987.2978322865583</v>
      </c>
      <c r="E437">
        <v>4.4181810410995075</v>
      </c>
      <c r="F437">
        <v>449.8</v>
      </c>
    </row>
    <row r="438" spans="1:6" x14ac:dyDescent="0.25">
      <c r="A438">
        <v>789</v>
      </c>
      <c r="B438" t="s">
        <v>83</v>
      </c>
      <c r="C438">
        <v>202601</v>
      </c>
      <c r="D438">
        <v>3067.4451359261516</v>
      </c>
      <c r="E438">
        <v>8.9722859948699885</v>
      </c>
      <c r="F438">
        <v>341.88</v>
      </c>
    </row>
    <row r="439" spans="1:6" x14ac:dyDescent="0.25">
      <c r="A439">
        <v>634</v>
      </c>
      <c r="B439" t="s">
        <v>83</v>
      </c>
      <c r="C439">
        <v>202601</v>
      </c>
      <c r="D439">
        <v>16155.221753602929</v>
      </c>
      <c r="E439">
        <v>71.334930691053685</v>
      </c>
      <c r="F439">
        <v>226.47</v>
      </c>
    </row>
    <row r="440" spans="1:6" x14ac:dyDescent="0.25">
      <c r="A440">
        <v>635</v>
      </c>
      <c r="B440" t="s">
        <v>83</v>
      </c>
      <c r="C440">
        <v>202601</v>
      </c>
      <c r="D440">
        <v>4101.9611370988678</v>
      </c>
      <c r="E440">
        <v>10.103103709511755</v>
      </c>
      <c r="F440">
        <v>406.01</v>
      </c>
    </row>
    <row r="441" spans="1:6" x14ac:dyDescent="0.25">
      <c r="A441">
        <v>636</v>
      </c>
      <c r="B441" t="s">
        <v>83</v>
      </c>
      <c r="C441">
        <v>202601</v>
      </c>
      <c r="D441">
        <v>15372.793454637829</v>
      </c>
      <c r="E441">
        <v>67.925032938484577</v>
      </c>
      <c r="F441">
        <v>226.32</v>
      </c>
    </row>
    <row r="442" spans="1:6" x14ac:dyDescent="0.25">
      <c r="A442">
        <v>666</v>
      </c>
      <c r="B442" t="s">
        <v>83</v>
      </c>
      <c r="C442">
        <v>202601</v>
      </c>
      <c r="D442">
        <v>5009.4810133816245</v>
      </c>
      <c r="E442">
        <v>44.331690383908182</v>
      </c>
      <c r="F442">
        <v>113</v>
      </c>
    </row>
    <row r="443" spans="1:6" x14ac:dyDescent="0.25">
      <c r="A443">
        <v>667</v>
      </c>
      <c r="B443" t="s">
        <v>83</v>
      </c>
      <c r="C443">
        <v>202601</v>
      </c>
      <c r="D443">
        <v>6440.3288996364226</v>
      </c>
      <c r="E443">
        <v>34.257068615087356</v>
      </c>
      <c r="F443">
        <v>188</v>
      </c>
    </row>
    <row r="444" spans="1:6" x14ac:dyDescent="0.25">
      <c r="A444">
        <v>668</v>
      </c>
      <c r="B444" t="s">
        <v>83</v>
      </c>
      <c r="C444">
        <v>202601</v>
      </c>
      <c r="D444">
        <v>5146.9658918883033</v>
      </c>
      <c r="E444">
        <v>28.499257430167795</v>
      </c>
      <c r="F444">
        <v>180.6</v>
      </c>
    </row>
    <row r="445" spans="1:6" x14ac:dyDescent="0.25">
      <c r="A445">
        <v>665</v>
      </c>
      <c r="B445" t="s">
        <v>83</v>
      </c>
      <c r="C445">
        <v>202601</v>
      </c>
      <c r="D445">
        <v>4425.7087493120926</v>
      </c>
      <c r="E445">
        <v>19.679437722051194</v>
      </c>
      <c r="F445">
        <v>224.89</v>
      </c>
    </row>
    <row r="446" spans="1:6" x14ac:dyDescent="0.25">
      <c r="A446">
        <v>770</v>
      </c>
      <c r="B446" t="s">
        <v>83</v>
      </c>
      <c r="C446">
        <v>202601</v>
      </c>
      <c r="D446">
        <v>29717.597030782799</v>
      </c>
      <c r="E446">
        <v>52.831283610280529</v>
      </c>
      <c r="F446">
        <v>562.5</v>
      </c>
    </row>
    <row r="447" spans="1:6" x14ac:dyDescent="0.25">
      <c r="A447">
        <v>771</v>
      </c>
      <c r="B447" t="s">
        <v>83</v>
      </c>
      <c r="C447">
        <v>202601</v>
      </c>
      <c r="D447">
        <v>4383.2536722134892</v>
      </c>
      <c r="E447">
        <v>6.4956337762499841</v>
      </c>
      <c r="F447">
        <v>674.8</v>
      </c>
    </row>
    <row r="448" spans="1:6" x14ac:dyDescent="0.25">
      <c r="A448">
        <v>769</v>
      </c>
      <c r="B448" t="s">
        <v>83</v>
      </c>
      <c r="C448">
        <v>202601</v>
      </c>
      <c r="D448">
        <v>14287.162099229276</v>
      </c>
      <c r="E448">
        <v>42.33233214586452</v>
      </c>
      <c r="F448">
        <v>337.5</v>
      </c>
    </row>
    <row r="449" spans="1:6" x14ac:dyDescent="0.25">
      <c r="A449">
        <v>813</v>
      </c>
      <c r="B449" t="s">
        <v>83</v>
      </c>
      <c r="C449">
        <v>202601</v>
      </c>
      <c r="D449">
        <v>4618.0288586789475</v>
      </c>
      <c r="E449">
        <v>15.401126243694291</v>
      </c>
      <c r="F449">
        <v>299.8500749625187</v>
      </c>
    </row>
    <row r="450" spans="1:6" x14ac:dyDescent="0.25">
      <c r="A450">
        <v>814</v>
      </c>
      <c r="B450" t="s">
        <v>83</v>
      </c>
      <c r="C450">
        <v>202601</v>
      </c>
      <c r="D450">
        <v>5002.0291185145115</v>
      </c>
      <c r="E450">
        <v>11.123035620445879</v>
      </c>
      <c r="F450">
        <v>449.7</v>
      </c>
    </row>
    <row r="451" spans="1:6" x14ac:dyDescent="0.25">
      <c r="A451">
        <v>815</v>
      </c>
      <c r="B451" t="s">
        <v>83</v>
      </c>
      <c r="C451">
        <v>202601</v>
      </c>
      <c r="D451">
        <v>846.54857252839599</v>
      </c>
      <c r="E451">
        <v>2.5668543739490479</v>
      </c>
      <c r="F451">
        <v>329.8</v>
      </c>
    </row>
    <row r="452" spans="1:6" x14ac:dyDescent="0.25">
      <c r="A452">
        <v>542</v>
      </c>
      <c r="B452" t="s">
        <v>84</v>
      </c>
      <c r="C452">
        <v>202601</v>
      </c>
      <c r="D452">
        <v>6402.8922282554695</v>
      </c>
      <c r="E452">
        <v>106.04326313771894</v>
      </c>
      <c r="F452">
        <v>60.38</v>
      </c>
    </row>
    <row r="453" spans="1:6" x14ac:dyDescent="0.25">
      <c r="A453">
        <v>543</v>
      </c>
      <c r="B453" t="s">
        <v>84</v>
      </c>
      <c r="C453">
        <v>202601</v>
      </c>
      <c r="D453">
        <v>11715.653823693166</v>
      </c>
      <c r="E453">
        <v>51.931089644029996</v>
      </c>
      <c r="F453">
        <v>225.6</v>
      </c>
    </row>
    <row r="454" spans="1:6" x14ac:dyDescent="0.25">
      <c r="A454">
        <v>545</v>
      </c>
      <c r="B454" t="s">
        <v>84</v>
      </c>
      <c r="C454">
        <v>202601</v>
      </c>
      <c r="D454">
        <v>60228.133905067698</v>
      </c>
      <c r="E454">
        <v>167.0220019552626</v>
      </c>
      <c r="F454">
        <v>360.6</v>
      </c>
    </row>
    <row r="455" spans="1:6" x14ac:dyDescent="0.25">
      <c r="A455">
        <v>547</v>
      </c>
      <c r="B455" t="s">
        <v>84</v>
      </c>
      <c r="C455">
        <v>202601</v>
      </c>
      <c r="D455">
        <v>94359.881895696715</v>
      </c>
      <c r="E455">
        <v>217.69998591661295</v>
      </c>
      <c r="F455">
        <v>433.44</v>
      </c>
    </row>
    <row r="456" spans="1:6" x14ac:dyDescent="0.25">
      <c r="A456">
        <v>551</v>
      </c>
      <c r="B456" t="s">
        <v>84</v>
      </c>
      <c r="C456">
        <v>202601</v>
      </c>
      <c r="D456">
        <v>9185.1861646181369</v>
      </c>
      <c r="E456">
        <v>34.036856757645211</v>
      </c>
      <c r="F456">
        <v>269.86</v>
      </c>
    </row>
    <row r="457" spans="1:6" x14ac:dyDescent="0.25">
      <c r="A457">
        <v>552</v>
      </c>
      <c r="B457" t="s">
        <v>84</v>
      </c>
      <c r="C457">
        <v>202601</v>
      </c>
      <c r="D457">
        <v>5708.4685662914781</v>
      </c>
      <c r="E457">
        <v>36.262663996261459</v>
      </c>
      <c r="F457">
        <v>157.41999999999999</v>
      </c>
    </row>
    <row r="458" spans="1:6" x14ac:dyDescent="0.25">
      <c r="A458">
        <v>578</v>
      </c>
      <c r="B458" t="s">
        <v>84</v>
      </c>
      <c r="C458">
        <v>202601</v>
      </c>
      <c r="D458">
        <v>0</v>
      </c>
      <c r="E458">
        <v>0</v>
      </c>
      <c r="F458">
        <v>225.56</v>
      </c>
    </row>
    <row r="459" spans="1:6" x14ac:dyDescent="0.25">
      <c r="A459">
        <v>596</v>
      </c>
      <c r="B459" t="s">
        <v>84</v>
      </c>
      <c r="C459">
        <v>202601</v>
      </c>
      <c r="D459">
        <v>3893.8168208511865</v>
      </c>
      <c r="E459">
        <v>10.789184873513957</v>
      </c>
      <c r="F459">
        <v>360.9</v>
      </c>
    </row>
    <row r="460" spans="1:6" x14ac:dyDescent="0.25">
      <c r="A460">
        <v>598</v>
      </c>
      <c r="B460" t="s">
        <v>84</v>
      </c>
      <c r="C460">
        <v>202601</v>
      </c>
      <c r="D460">
        <v>9035.9532454527816</v>
      </c>
      <c r="E460">
        <v>20.029599551022503</v>
      </c>
      <c r="F460">
        <v>451.13</v>
      </c>
    </row>
    <row r="461" spans="1:6" x14ac:dyDescent="0.25">
      <c r="A461">
        <v>597</v>
      </c>
      <c r="B461" t="s">
        <v>84</v>
      </c>
      <c r="C461">
        <v>202601</v>
      </c>
      <c r="D461">
        <v>2526.9677485954294</v>
      </c>
      <c r="E461">
        <v>8.4274395484256441</v>
      </c>
      <c r="F461">
        <v>299.85000000000002</v>
      </c>
    </row>
    <row r="462" spans="1:6" x14ac:dyDescent="0.25">
      <c r="A462">
        <v>788</v>
      </c>
      <c r="B462" t="s">
        <v>84</v>
      </c>
      <c r="C462">
        <v>202601</v>
      </c>
      <c r="D462">
        <v>993.20001264579253</v>
      </c>
      <c r="E462">
        <v>2.2080925136633893</v>
      </c>
      <c r="F462">
        <v>449.8</v>
      </c>
    </row>
    <row r="463" spans="1:6" x14ac:dyDescent="0.25">
      <c r="A463">
        <v>789</v>
      </c>
      <c r="B463" t="s">
        <v>84</v>
      </c>
      <c r="C463">
        <v>202601</v>
      </c>
      <c r="D463">
        <v>1207.7817126215273</v>
      </c>
      <c r="E463">
        <v>3.5327650421830095</v>
      </c>
      <c r="F463">
        <v>341.88</v>
      </c>
    </row>
    <row r="464" spans="1:6" x14ac:dyDescent="0.25">
      <c r="A464">
        <v>634</v>
      </c>
      <c r="B464" t="s">
        <v>84</v>
      </c>
      <c r="C464">
        <v>202601</v>
      </c>
      <c r="D464">
        <v>13246.791426402677</v>
      </c>
      <c r="E464">
        <v>58.492477707434439</v>
      </c>
      <c r="F464">
        <v>226.47</v>
      </c>
    </row>
    <row r="465" spans="1:6" x14ac:dyDescent="0.25">
      <c r="A465">
        <v>635</v>
      </c>
      <c r="B465" t="s">
        <v>84</v>
      </c>
      <c r="C465">
        <v>202601</v>
      </c>
      <c r="D465">
        <v>2646.8951298842526</v>
      </c>
      <c r="E465">
        <v>6.5192855591838939</v>
      </c>
      <c r="F465">
        <v>406.01</v>
      </c>
    </row>
    <row r="466" spans="1:6" x14ac:dyDescent="0.25">
      <c r="A466">
        <v>636</v>
      </c>
      <c r="B466" t="s">
        <v>84</v>
      </c>
      <c r="C466">
        <v>202601</v>
      </c>
      <c r="D466">
        <v>17106.830807343704</v>
      </c>
      <c r="E466">
        <v>75.586915903780948</v>
      </c>
      <c r="F466">
        <v>226.32</v>
      </c>
    </row>
    <row r="467" spans="1:6" x14ac:dyDescent="0.25">
      <c r="A467">
        <v>666</v>
      </c>
      <c r="B467" t="s">
        <v>84</v>
      </c>
      <c r="C467">
        <v>202601</v>
      </c>
      <c r="D467">
        <v>4438.2703691297211</v>
      </c>
      <c r="E467">
        <v>39.276728930351517</v>
      </c>
      <c r="F467">
        <v>113</v>
      </c>
    </row>
    <row r="468" spans="1:6" x14ac:dyDescent="0.25">
      <c r="A468">
        <v>667</v>
      </c>
      <c r="B468" t="s">
        <v>84</v>
      </c>
      <c r="C468">
        <v>202601</v>
      </c>
      <c r="D468">
        <v>8829.5424863900953</v>
      </c>
      <c r="E468">
        <v>46.965651523351568</v>
      </c>
      <c r="F468">
        <v>188</v>
      </c>
    </row>
    <row r="469" spans="1:6" x14ac:dyDescent="0.25">
      <c r="A469">
        <v>668</v>
      </c>
      <c r="B469" t="s">
        <v>84</v>
      </c>
      <c r="C469">
        <v>202601</v>
      </c>
      <c r="D469">
        <v>6786.6881103114192</v>
      </c>
      <c r="E469">
        <v>37.578560965179513</v>
      </c>
      <c r="F469">
        <v>180.6</v>
      </c>
    </row>
    <row r="470" spans="1:6" x14ac:dyDescent="0.25">
      <c r="A470">
        <v>665</v>
      </c>
      <c r="B470" t="s">
        <v>84</v>
      </c>
      <c r="C470">
        <v>202601</v>
      </c>
      <c r="D470">
        <v>3311.0391378768304</v>
      </c>
      <c r="E470">
        <v>14.722927377281474</v>
      </c>
      <c r="F470">
        <v>224.89</v>
      </c>
    </row>
    <row r="471" spans="1:6" x14ac:dyDescent="0.25">
      <c r="A471">
        <v>770</v>
      </c>
      <c r="B471" t="s">
        <v>84</v>
      </c>
      <c r="C471">
        <v>202601</v>
      </c>
      <c r="D471">
        <v>21446.376680533245</v>
      </c>
      <c r="E471">
        <v>38.126891876503549</v>
      </c>
      <c r="F471">
        <v>562.5</v>
      </c>
    </row>
    <row r="472" spans="1:6" x14ac:dyDescent="0.25">
      <c r="A472">
        <v>771</v>
      </c>
      <c r="B472" t="s">
        <v>84</v>
      </c>
      <c r="C472">
        <v>202601</v>
      </c>
      <c r="D472">
        <v>3493.6103743192461</v>
      </c>
      <c r="E472">
        <v>5.1772530739763578</v>
      </c>
      <c r="F472">
        <v>674.8</v>
      </c>
    </row>
    <row r="473" spans="1:6" x14ac:dyDescent="0.25">
      <c r="A473">
        <v>769</v>
      </c>
      <c r="B473" t="s">
        <v>84</v>
      </c>
      <c r="C473">
        <v>202601</v>
      </c>
      <c r="D473">
        <v>12616.614610953775</v>
      </c>
      <c r="E473">
        <v>37.382561810233405</v>
      </c>
      <c r="F473">
        <v>337.5</v>
      </c>
    </row>
    <row r="474" spans="1:6" x14ac:dyDescent="0.25">
      <c r="A474">
        <v>813</v>
      </c>
      <c r="B474" t="s">
        <v>84</v>
      </c>
      <c r="C474">
        <v>202601</v>
      </c>
      <c r="D474">
        <v>4314.6612494754072</v>
      </c>
      <c r="E474">
        <v>14.389395267000484</v>
      </c>
      <c r="F474">
        <v>299.8500749625187</v>
      </c>
    </row>
    <row r="475" spans="1:6" x14ac:dyDescent="0.25">
      <c r="A475">
        <v>814</v>
      </c>
      <c r="B475" t="s">
        <v>84</v>
      </c>
      <c r="C475">
        <v>202601</v>
      </c>
      <c r="D475">
        <v>4673.4357594673074</v>
      </c>
      <c r="E475">
        <v>10.392341026167017</v>
      </c>
      <c r="F475">
        <v>449.7</v>
      </c>
    </row>
    <row r="476" spans="1:6" x14ac:dyDescent="0.25">
      <c r="A476">
        <v>815</v>
      </c>
      <c r="B476" t="s">
        <v>84</v>
      </c>
      <c r="C476">
        <v>202601</v>
      </c>
      <c r="D476">
        <v>790.93709317612627</v>
      </c>
      <c r="E476">
        <v>2.3982325445000794</v>
      </c>
      <c r="F476">
        <v>329.8</v>
      </c>
    </row>
    <row r="477" spans="1:6" x14ac:dyDescent="0.25">
      <c r="A477">
        <v>542</v>
      </c>
      <c r="B477" t="s">
        <v>85</v>
      </c>
      <c r="C477">
        <v>202601</v>
      </c>
      <c r="D477">
        <v>17813.630021882826</v>
      </c>
      <c r="E477">
        <v>295.02533987881458</v>
      </c>
      <c r="F477">
        <v>60.38</v>
      </c>
    </row>
    <row r="478" spans="1:6" x14ac:dyDescent="0.25">
      <c r="A478">
        <v>543</v>
      </c>
      <c r="B478" t="s">
        <v>85</v>
      </c>
      <c r="C478">
        <v>202601</v>
      </c>
      <c r="D478">
        <v>22559.27848999566</v>
      </c>
      <c r="E478">
        <v>99.996801817356655</v>
      </c>
      <c r="F478">
        <v>225.6</v>
      </c>
    </row>
    <row r="479" spans="1:6" x14ac:dyDescent="0.25">
      <c r="A479">
        <v>545</v>
      </c>
      <c r="B479" t="s">
        <v>85</v>
      </c>
      <c r="C479">
        <v>202601</v>
      </c>
      <c r="D479">
        <v>96819.282775274492</v>
      </c>
      <c r="E479">
        <v>268.4949605526192</v>
      </c>
      <c r="F479">
        <v>360.6</v>
      </c>
    </row>
    <row r="480" spans="1:6" x14ac:dyDescent="0.25">
      <c r="A480">
        <v>547</v>
      </c>
      <c r="B480" t="s">
        <v>85</v>
      </c>
      <c r="C480">
        <v>202601</v>
      </c>
      <c r="D480">
        <v>119266.00832180095</v>
      </c>
      <c r="E480">
        <v>275.16151790744038</v>
      </c>
      <c r="F480">
        <v>433.44</v>
      </c>
    </row>
    <row r="481" spans="1:6" x14ac:dyDescent="0.25">
      <c r="A481">
        <v>551</v>
      </c>
      <c r="B481" t="s">
        <v>85</v>
      </c>
      <c r="C481">
        <v>202601</v>
      </c>
      <c r="D481">
        <v>15617.343607053495</v>
      </c>
      <c r="E481">
        <v>57.872021074088394</v>
      </c>
      <c r="F481">
        <v>269.86</v>
      </c>
    </row>
    <row r="482" spans="1:6" x14ac:dyDescent="0.25">
      <c r="A482">
        <v>552</v>
      </c>
      <c r="B482" t="s">
        <v>85</v>
      </c>
      <c r="C482">
        <v>202601</v>
      </c>
      <c r="D482">
        <v>7859.7930820361235</v>
      </c>
      <c r="E482">
        <v>49.928808804701589</v>
      </c>
      <c r="F482">
        <v>157.41999999999999</v>
      </c>
    </row>
    <row r="483" spans="1:6" x14ac:dyDescent="0.25">
      <c r="A483">
        <v>578</v>
      </c>
      <c r="B483" t="s">
        <v>85</v>
      </c>
      <c r="C483">
        <v>202601</v>
      </c>
      <c r="D483">
        <v>0</v>
      </c>
      <c r="E483">
        <v>0</v>
      </c>
      <c r="F483">
        <v>225.56</v>
      </c>
    </row>
    <row r="484" spans="1:6" x14ac:dyDescent="0.25">
      <c r="A484">
        <v>596</v>
      </c>
      <c r="B484" t="s">
        <v>85</v>
      </c>
      <c r="C484">
        <v>202601</v>
      </c>
      <c r="D484">
        <v>2809.6524902672363</v>
      </c>
      <c r="E484">
        <v>7.7851274321619188</v>
      </c>
      <c r="F484">
        <v>360.9</v>
      </c>
    </row>
    <row r="485" spans="1:6" x14ac:dyDescent="0.25">
      <c r="A485">
        <v>598</v>
      </c>
      <c r="B485" t="s">
        <v>85</v>
      </c>
      <c r="C485">
        <v>202601</v>
      </c>
      <c r="D485">
        <v>6917.0995837452601</v>
      </c>
      <c r="E485">
        <v>15.332829968623813</v>
      </c>
      <c r="F485">
        <v>451.13</v>
      </c>
    </row>
    <row r="486" spans="1:6" x14ac:dyDescent="0.25">
      <c r="A486">
        <v>597</v>
      </c>
      <c r="B486" t="s">
        <v>85</v>
      </c>
      <c r="C486">
        <v>202601</v>
      </c>
      <c r="D486">
        <v>1178.2258128457006</v>
      </c>
      <c r="E486">
        <v>3.9293840681864283</v>
      </c>
      <c r="F486">
        <v>299.85000000000002</v>
      </c>
    </row>
    <row r="487" spans="1:6" x14ac:dyDescent="0.25">
      <c r="A487">
        <v>788</v>
      </c>
      <c r="B487" t="s">
        <v>85</v>
      </c>
      <c r="C487">
        <v>202601</v>
      </c>
      <c r="D487">
        <v>1015.0722058177842</v>
      </c>
      <c r="E487">
        <v>2.2567189991502539</v>
      </c>
      <c r="F487">
        <v>449.8</v>
      </c>
    </row>
    <row r="488" spans="1:6" x14ac:dyDescent="0.25">
      <c r="A488">
        <v>789</v>
      </c>
      <c r="B488" t="s">
        <v>85</v>
      </c>
      <c r="C488">
        <v>202601</v>
      </c>
      <c r="D488">
        <v>1391.5558710941473</v>
      </c>
      <c r="E488">
        <v>4.0703049932553741</v>
      </c>
      <c r="F488">
        <v>341.88</v>
      </c>
    </row>
    <row r="489" spans="1:6" x14ac:dyDescent="0.25">
      <c r="A489">
        <v>634</v>
      </c>
      <c r="B489" t="s">
        <v>85</v>
      </c>
      <c r="C489">
        <v>202601</v>
      </c>
      <c r="D489">
        <v>21782.019388520224</v>
      </c>
      <c r="E489">
        <v>96.180595171635204</v>
      </c>
      <c r="F489">
        <v>226.47</v>
      </c>
    </row>
    <row r="490" spans="1:6" x14ac:dyDescent="0.25">
      <c r="A490">
        <v>635</v>
      </c>
      <c r="B490" t="s">
        <v>85</v>
      </c>
      <c r="C490">
        <v>202601</v>
      </c>
      <c r="D490">
        <v>2751.6302405573319</v>
      </c>
      <c r="E490">
        <v>6.7772474583318933</v>
      </c>
      <c r="F490">
        <v>406.01</v>
      </c>
    </row>
    <row r="491" spans="1:6" x14ac:dyDescent="0.25">
      <c r="A491">
        <v>636</v>
      </c>
      <c r="B491" t="s">
        <v>85</v>
      </c>
      <c r="C491">
        <v>202601</v>
      </c>
      <c r="D491">
        <v>18504.640732244108</v>
      </c>
      <c r="E491">
        <v>81.76317043232639</v>
      </c>
      <c r="F491">
        <v>226.32</v>
      </c>
    </row>
    <row r="492" spans="1:6" x14ac:dyDescent="0.25">
      <c r="A492">
        <v>666</v>
      </c>
      <c r="B492" t="s">
        <v>85</v>
      </c>
      <c r="C492">
        <v>202601</v>
      </c>
      <c r="D492">
        <v>5308.8410384137551</v>
      </c>
      <c r="E492">
        <v>46.980894145254467</v>
      </c>
      <c r="F492">
        <v>113</v>
      </c>
    </row>
    <row r="493" spans="1:6" x14ac:dyDescent="0.25">
      <c r="A493">
        <v>667</v>
      </c>
      <c r="B493" t="s">
        <v>85</v>
      </c>
      <c r="C493">
        <v>202601</v>
      </c>
      <c r="D493">
        <v>18008.400843225485</v>
      </c>
      <c r="E493">
        <v>95.789366187369595</v>
      </c>
      <c r="F493">
        <v>188</v>
      </c>
    </row>
    <row r="494" spans="1:6" x14ac:dyDescent="0.25">
      <c r="A494">
        <v>668</v>
      </c>
      <c r="B494" t="s">
        <v>85</v>
      </c>
      <c r="C494">
        <v>202601</v>
      </c>
      <c r="D494">
        <v>24785.981621954947</v>
      </c>
      <c r="E494">
        <v>137.24242315589672</v>
      </c>
      <c r="F494">
        <v>180.6</v>
      </c>
    </row>
    <row r="495" spans="1:6" x14ac:dyDescent="0.25">
      <c r="A495">
        <v>665</v>
      </c>
      <c r="B495" t="s">
        <v>85</v>
      </c>
      <c r="C495">
        <v>202601</v>
      </c>
      <c r="D495">
        <v>5070.2084176591925</v>
      </c>
      <c r="E495">
        <v>22.545281771795956</v>
      </c>
      <c r="F495">
        <v>224.89</v>
      </c>
    </row>
    <row r="496" spans="1:6" x14ac:dyDescent="0.25">
      <c r="A496">
        <v>770</v>
      </c>
      <c r="B496" t="s">
        <v>85</v>
      </c>
      <c r="C496">
        <v>202601</v>
      </c>
      <c r="D496">
        <v>27243.918976493649</v>
      </c>
      <c r="E496">
        <v>48.433633735988707</v>
      </c>
      <c r="F496">
        <v>562.5</v>
      </c>
    </row>
    <row r="497" spans="1:6" x14ac:dyDescent="0.25">
      <c r="A497">
        <v>771</v>
      </c>
      <c r="B497" t="s">
        <v>85</v>
      </c>
      <c r="C497">
        <v>202601</v>
      </c>
      <c r="D497">
        <v>2892.1685933141953</v>
      </c>
      <c r="E497">
        <v>4.2859641276143972</v>
      </c>
      <c r="F497">
        <v>674.8</v>
      </c>
    </row>
    <row r="498" spans="1:6" x14ac:dyDescent="0.25">
      <c r="A498">
        <v>769</v>
      </c>
      <c r="B498" t="s">
        <v>85</v>
      </c>
      <c r="C498">
        <v>202601</v>
      </c>
      <c r="D498">
        <v>8561.1012611618571</v>
      </c>
      <c r="E498">
        <v>25.366225958998093</v>
      </c>
      <c r="F498">
        <v>337.5</v>
      </c>
    </row>
    <row r="499" spans="1:6" x14ac:dyDescent="0.25">
      <c r="A499">
        <v>813</v>
      </c>
      <c r="B499" t="s">
        <v>85</v>
      </c>
      <c r="C499">
        <v>202601</v>
      </c>
      <c r="D499">
        <v>5559.2614269022024</v>
      </c>
      <c r="E499">
        <v>18.540136858718846</v>
      </c>
      <c r="F499">
        <v>299.8500749625187</v>
      </c>
    </row>
    <row r="500" spans="1:6" x14ac:dyDescent="0.25">
      <c r="A500">
        <v>814</v>
      </c>
      <c r="B500" t="s">
        <v>85</v>
      </c>
      <c r="C500">
        <v>202601</v>
      </c>
      <c r="D500">
        <v>6021.5274494309051</v>
      </c>
      <c r="E500">
        <v>13.390098842408062</v>
      </c>
      <c r="F500">
        <v>449.7</v>
      </c>
    </row>
    <row r="501" spans="1:6" x14ac:dyDescent="0.25">
      <c r="A501">
        <v>815</v>
      </c>
      <c r="B501" t="s">
        <v>85</v>
      </c>
      <c r="C501">
        <v>202601</v>
      </c>
      <c r="D501">
        <v>1019.089522667579</v>
      </c>
      <c r="E501">
        <v>3.0900228097864737</v>
      </c>
      <c r="F501">
        <v>329.8</v>
      </c>
    </row>
    <row r="502" spans="1:6" x14ac:dyDescent="0.25">
      <c r="A502">
        <v>542</v>
      </c>
      <c r="B502" t="s">
        <v>52</v>
      </c>
      <c r="C502">
        <v>202601</v>
      </c>
      <c r="D502">
        <v>13373.433314788879</v>
      </c>
      <c r="E502">
        <v>221.48779918497647</v>
      </c>
      <c r="F502">
        <v>60.38</v>
      </c>
    </row>
    <row r="503" spans="1:6" x14ac:dyDescent="0.25">
      <c r="A503">
        <v>543</v>
      </c>
      <c r="B503" t="s">
        <v>52</v>
      </c>
      <c r="C503">
        <v>202601</v>
      </c>
      <c r="D503">
        <v>24227.597023664632</v>
      </c>
      <c r="E503">
        <v>107.39183077865529</v>
      </c>
      <c r="F503">
        <v>225.6</v>
      </c>
    </row>
    <row r="504" spans="1:6" x14ac:dyDescent="0.25">
      <c r="A504">
        <v>545</v>
      </c>
      <c r="B504" t="s">
        <v>52</v>
      </c>
      <c r="C504">
        <v>202601</v>
      </c>
      <c r="D504">
        <v>86691.0952056323</v>
      </c>
      <c r="E504">
        <v>240.40791793020603</v>
      </c>
      <c r="F504">
        <v>360.6</v>
      </c>
    </row>
    <row r="505" spans="1:6" x14ac:dyDescent="0.25">
      <c r="A505">
        <v>547</v>
      </c>
      <c r="B505" t="s">
        <v>52</v>
      </c>
      <c r="C505">
        <v>202601</v>
      </c>
      <c r="D505">
        <v>108136.04187912209</v>
      </c>
      <c r="E505">
        <v>249.48330075471134</v>
      </c>
      <c r="F505">
        <v>433.44</v>
      </c>
    </row>
    <row r="506" spans="1:6" x14ac:dyDescent="0.25">
      <c r="A506">
        <v>551</v>
      </c>
      <c r="B506" t="s">
        <v>52</v>
      </c>
      <c r="C506">
        <v>202601</v>
      </c>
      <c r="D506">
        <v>8811.705036805115</v>
      </c>
      <c r="E506">
        <v>32.652875701493791</v>
      </c>
      <c r="F506">
        <v>269.86</v>
      </c>
    </row>
    <row r="507" spans="1:6" x14ac:dyDescent="0.25">
      <c r="A507">
        <v>552</v>
      </c>
      <c r="B507" t="s">
        <v>52</v>
      </c>
      <c r="C507">
        <v>202601</v>
      </c>
      <c r="D507">
        <v>5590.1952008136504</v>
      </c>
      <c r="E507">
        <v>35.511340368527833</v>
      </c>
      <c r="F507">
        <v>157.41999999999999</v>
      </c>
    </row>
    <row r="508" spans="1:6" x14ac:dyDescent="0.25">
      <c r="A508">
        <v>578</v>
      </c>
      <c r="B508" t="s">
        <v>52</v>
      </c>
      <c r="C508">
        <v>202601</v>
      </c>
      <c r="D508">
        <v>0</v>
      </c>
      <c r="E508">
        <v>0</v>
      </c>
      <c r="F508">
        <v>225.56</v>
      </c>
    </row>
    <row r="509" spans="1:6" x14ac:dyDescent="0.25">
      <c r="A509">
        <v>596</v>
      </c>
      <c r="B509" t="s">
        <v>52</v>
      </c>
      <c r="C509">
        <v>202601</v>
      </c>
      <c r="D509">
        <v>4472.1608674468935</v>
      </c>
      <c r="E509">
        <v>12.391689851612341</v>
      </c>
      <c r="F509">
        <v>360.9</v>
      </c>
    </row>
    <row r="510" spans="1:6" x14ac:dyDescent="0.25">
      <c r="A510">
        <v>598</v>
      </c>
      <c r="B510" t="s">
        <v>52</v>
      </c>
      <c r="C510">
        <v>202601</v>
      </c>
      <c r="D510">
        <v>7445.1237664227046</v>
      </c>
      <c r="E510">
        <v>16.503277916393731</v>
      </c>
      <c r="F510">
        <v>451.13</v>
      </c>
    </row>
    <row r="511" spans="1:6" x14ac:dyDescent="0.25">
      <c r="A511">
        <v>597</v>
      </c>
      <c r="B511" t="s">
        <v>52</v>
      </c>
      <c r="C511">
        <v>202601</v>
      </c>
      <c r="D511">
        <v>3243.5805117425998</v>
      </c>
      <c r="E511">
        <v>10.817343710997497</v>
      </c>
      <c r="F511">
        <v>299.85000000000002</v>
      </c>
    </row>
    <row r="512" spans="1:6" x14ac:dyDescent="0.25">
      <c r="A512">
        <v>788</v>
      </c>
      <c r="B512" t="s">
        <v>52</v>
      </c>
      <c r="C512">
        <v>202601</v>
      </c>
      <c r="D512">
        <v>1154.9190649859829</v>
      </c>
      <c r="E512">
        <v>2.56762797907066</v>
      </c>
      <c r="F512">
        <v>449.8</v>
      </c>
    </row>
    <row r="513" spans="1:6" x14ac:dyDescent="0.25">
      <c r="A513">
        <v>789</v>
      </c>
      <c r="B513" t="s">
        <v>52</v>
      </c>
      <c r="C513">
        <v>202601</v>
      </c>
      <c r="D513">
        <v>1703.9617924600666</v>
      </c>
      <c r="E513">
        <v>4.9840932270389215</v>
      </c>
      <c r="F513">
        <v>341.88</v>
      </c>
    </row>
    <row r="514" spans="1:6" x14ac:dyDescent="0.25">
      <c r="A514">
        <v>634</v>
      </c>
      <c r="B514" t="s">
        <v>52</v>
      </c>
      <c r="C514">
        <v>202601</v>
      </c>
      <c r="D514">
        <v>16212.048632460386</v>
      </c>
      <c r="E514">
        <v>71.585855223475008</v>
      </c>
      <c r="F514">
        <v>226.47</v>
      </c>
    </row>
    <row r="515" spans="1:6" x14ac:dyDescent="0.25">
      <c r="A515">
        <v>635</v>
      </c>
      <c r="B515" t="s">
        <v>52</v>
      </c>
      <c r="C515">
        <v>202601</v>
      </c>
      <c r="D515">
        <v>5021.8985108043398</v>
      </c>
      <c r="E515">
        <v>12.368903501894879</v>
      </c>
      <c r="F515">
        <v>406.01</v>
      </c>
    </row>
    <row r="516" spans="1:6" x14ac:dyDescent="0.25">
      <c r="A516">
        <v>636</v>
      </c>
      <c r="B516" t="s">
        <v>52</v>
      </c>
      <c r="C516">
        <v>202601</v>
      </c>
      <c r="D516">
        <v>11414.96254447408</v>
      </c>
      <c r="E516">
        <v>50.437268224081301</v>
      </c>
      <c r="F516">
        <v>226.32</v>
      </c>
    </row>
    <row r="517" spans="1:6" x14ac:dyDescent="0.25">
      <c r="A517">
        <v>666</v>
      </c>
      <c r="B517" t="s">
        <v>52</v>
      </c>
      <c r="C517">
        <v>202601</v>
      </c>
      <c r="D517">
        <v>3633.2903114952001</v>
      </c>
      <c r="E517">
        <v>32.153011606152212</v>
      </c>
      <c r="F517">
        <v>113</v>
      </c>
    </row>
    <row r="518" spans="1:6" x14ac:dyDescent="0.25">
      <c r="A518">
        <v>667</v>
      </c>
      <c r="B518" t="s">
        <v>52</v>
      </c>
      <c r="C518">
        <v>202601</v>
      </c>
      <c r="D518">
        <v>17637.35472326789</v>
      </c>
      <c r="E518">
        <v>93.81571661312708</v>
      </c>
      <c r="F518">
        <v>188</v>
      </c>
    </row>
    <row r="519" spans="1:6" x14ac:dyDescent="0.25">
      <c r="A519">
        <v>668</v>
      </c>
      <c r="B519" t="s">
        <v>52</v>
      </c>
      <c r="C519">
        <v>202601</v>
      </c>
      <c r="D519">
        <v>8334.8332637261537</v>
      </c>
      <c r="E519">
        <v>46.150793265371838</v>
      </c>
      <c r="F519">
        <v>180.6</v>
      </c>
    </row>
    <row r="520" spans="1:6" x14ac:dyDescent="0.25">
      <c r="A520">
        <v>665</v>
      </c>
      <c r="B520" t="s">
        <v>52</v>
      </c>
      <c r="C520">
        <v>202601</v>
      </c>
      <c r="D520">
        <v>3292.7327428374824</v>
      </c>
      <c r="E520">
        <v>14.641525825236705</v>
      </c>
      <c r="F520">
        <v>224.89</v>
      </c>
    </row>
    <row r="521" spans="1:6" x14ac:dyDescent="0.25">
      <c r="A521">
        <v>770</v>
      </c>
      <c r="B521" t="s">
        <v>52</v>
      </c>
      <c r="C521">
        <v>202601</v>
      </c>
      <c r="D521">
        <v>16406.271682614548</v>
      </c>
      <c r="E521">
        <v>29.166705213536975</v>
      </c>
      <c r="F521">
        <v>562.5</v>
      </c>
    </row>
    <row r="522" spans="1:6" x14ac:dyDescent="0.25">
      <c r="A522">
        <v>771</v>
      </c>
      <c r="B522" t="s">
        <v>52</v>
      </c>
      <c r="C522">
        <v>202601</v>
      </c>
      <c r="D522">
        <v>2608.4385532935457</v>
      </c>
      <c r="E522">
        <v>3.8654987452482898</v>
      </c>
      <c r="F522">
        <v>674.8</v>
      </c>
    </row>
    <row r="523" spans="1:6" x14ac:dyDescent="0.25">
      <c r="A523">
        <v>769</v>
      </c>
      <c r="B523" t="s">
        <v>52</v>
      </c>
      <c r="C523">
        <v>202601</v>
      </c>
      <c r="D523">
        <v>9071.1529915449046</v>
      </c>
      <c r="E523">
        <v>26.877490345318236</v>
      </c>
      <c r="F523">
        <v>337.5</v>
      </c>
    </row>
    <row r="524" spans="1:6" x14ac:dyDescent="0.25">
      <c r="A524">
        <v>813</v>
      </c>
      <c r="B524" t="s">
        <v>52</v>
      </c>
      <c r="C524">
        <v>202601</v>
      </c>
      <c r="D524">
        <v>4198.3256070372208</v>
      </c>
      <c r="E524">
        <v>14.001415899469134</v>
      </c>
      <c r="F524">
        <v>299.8500749625187</v>
      </c>
    </row>
    <row r="525" spans="1:6" x14ac:dyDescent="0.25">
      <c r="A525">
        <v>814</v>
      </c>
      <c r="B525" t="s">
        <v>52</v>
      </c>
      <c r="C525">
        <v>202601</v>
      </c>
      <c r="D525">
        <v>4547.4265272159164</v>
      </c>
      <c r="E525">
        <v>10.112133705172152</v>
      </c>
      <c r="F525">
        <v>449.7</v>
      </c>
    </row>
    <row r="526" spans="1:6" x14ac:dyDescent="0.25">
      <c r="A526">
        <v>815</v>
      </c>
      <c r="B526" t="s">
        <v>52</v>
      </c>
      <c r="C526">
        <v>202601</v>
      </c>
      <c r="D526">
        <v>769.61116060748634</v>
      </c>
      <c r="E526">
        <v>2.3335693165781879</v>
      </c>
      <c r="F526">
        <v>329.8</v>
      </c>
    </row>
    <row r="527" spans="1:6" x14ac:dyDescent="0.25">
      <c r="A527">
        <v>542</v>
      </c>
      <c r="B527" t="s">
        <v>53</v>
      </c>
      <c r="C527">
        <v>202601</v>
      </c>
      <c r="D527">
        <v>22048.390917926125</v>
      </c>
      <c r="E527">
        <v>365.16049880632863</v>
      </c>
      <c r="F527">
        <v>60.38</v>
      </c>
    </row>
    <row r="528" spans="1:6" x14ac:dyDescent="0.25">
      <c r="A528">
        <v>543</v>
      </c>
      <c r="B528" t="s">
        <v>53</v>
      </c>
      <c r="C528">
        <v>202601</v>
      </c>
      <c r="D528">
        <v>24577.9706738325</v>
      </c>
      <c r="E528">
        <v>108.9449054691157</v>
      </c>
      <c r="F528">
        <v>225.6</v>
      </c>
    </row>
    <row r="529" spans="1:6" x14ac:dyDescent="0.25">
      <c r="A529">
        <v>545</v>
      </c>
      <c r="B529" t="s">
        <v>53</v>
      </c>
      <c r="C529">
        <v>202601</v>
      </c>
      <c r="D529">
        <v>110192.75774928294</v>
      </c>
      <c r="E529">
        <v>305.58169092979182</v>
      </c>
      <c r="F529">
        <v>360.6</v>
      </c>
    </row>
    <row r="530" spans="1:6" x14ac:dyDescent="0.25">
      <c r="A530">
        <v>547</v>
      </c>
      <c r="B530" t="s">
        <v>53</v>
      </c>
      <c r="C530">
        <v>202601</v>
      </c>
      <c r="D530">
        <v>151480.62926461053</v>
      </c>
      <c r="E530">
        <v>349.48465592610404</v>
      </c>
      <c r="F530">
        <v>433.44</v>
      </c>
    </row>
    <row r="531" spans="1:6" x14ac:dyDescent="0.25">
      <c r="A531">
        <v>551</v>
      </c>
      <c r="B531" t="s">
        <v>53</v>
      </c>
      <c r="C531">
        <v>202601</v>
      </c>
      <c r="D531">
        <v>10439.98855644897</v>
      </c>
      <c r="E531">
        <v>38.686684045241869</v>
      </c>
      <c r="F531">
        <v>269.86</v>
      </c>
    </row>
    <row r="532" spans="1:6" x14ac:dyDescent="0.25">
      <c r="A532">
        <v>552</v>
      </c>
      <c r="B532" t="s">
        <v>53</v>
      </c>
      <c r="C532">
        <v>202601</v>
      </c>
      <c r="D532">
        <v>4998.4548641337906</v>
      </c>
      <c r="E532">
        <v>31.752349537122292</v>
      </c>
      <c r="F532">
        <v>157.41999999999999</v>
      </c>
    </row>
    <row r="533" spans="1:6" x14ac:dyDescent="0.25">
      <c r="A533">
        <v>578</v>
      </c>
      <c r="B533" t="s">
        <v>53</v>
      </c>
      <c r="C533">
        <v>202601</v>
      </c>
      <c r="D533">
        <v>0</v>
      </c>
      <c r="E533">
        <v>0</v>
      </c>
      <c r="F533">
        <v>225.56</v>
      </c>
    </row>
    <row r="534" spans="1:6" x14ac:dyDescent="0.25">
      <c r="A534">
        <v>596</v>
      </c>
      <c r="B534" t="s">
        <v>53</v>
      </c>
      <c r="C534">
        <v>202601</v>
      </c>
      <c r="D534">
        <v>4969.1884370438202</v>
      </c>
      <c r="E534">
        <v>13.768879016469439</v>
      </c>
      <c r="F534">
        <v>360.9</v>
      </c>
    </row>
    <row r="535" spans="1:6" x14ac:dyDescent="0.25">
      <c r="A535">
        <v>598</v>
      </c>
      <c r="B535" t="s">
        <v>53</v>
      </c>
      <c r="C535">
        <v>202601</v>
      </c>
      <c r="D535">
        <v>9904.8447094796647</v>
      </c>
      <c r="E535">
        <v>21.955632987120485</v>
      </c>
      <c r="F535">
        <v>451.13</v>
      </c>
    </row>
    <row r="536" spans="1:6" x14ac:dyDescent="0.25">
      <c r="A536">
        <v>597</v>
      </c>
      <c r="B536" t="s">
        <v>53</v>
      </c>
      <c r="C536">
        <v>202601</v>
      </c>
      <c r="D536">
        <v>1584.029785958661</v>
      </c>
      <c r="E536">
        <v>5.2827406568572988</v>
      </c>
      <c r="F536">
        <v>299.85000000000002</v>
      </c>
    </row>
    <row r="537" spans="1:6" x14ac:dyDescent="0.25">
      <c r="A537">
        <v>788</v>
      </c>
      <c r="B537" t="s">
        <v>53</v>
      </c>
      <c r="C537">
        <v>202601</v>
      </c>
      <c r="D537">
        <v>1602.4420084382064</v>
      </c>
      <c r="E537">
        <v>3.5625656034642206</v>
      </c>
      <c r="F537">
        <v>449.8</v>
      </c>
    </row>
    <row r="538" spans="1:6" x14ac:dyDescent="0.25">
      <c r="A538">
        <v>789</v>
      </c>
      <c r="B538" t="s">
        <v>53</v>
      </c>
      <c r="C538">
        <v>202601</v>
      </c>
      <c r="D538">
        <v>2002.0816704235981</v>
      </c>
      <c r="E538">
        <v>5.8560947420837666</v>
      </c>
      <c r="F538">
        <v>341.88</v>
      </c>
    </row>
    <row r="539" spans="1:6" x14ac:dyDescent="0.25">
      <c r="A539">
        <v>634</v>
      </c>
      <c r="B539" t="s">
        <v>53</v>
      </c>
      <c r="C539">
        <v>202601</v>
      </c>
      <c r="D539">
        <v>17375.239613676938</v>
      </c>
      <c r="E539">
        <v>76.722036533213839</v>
      </c>
      <c r="F539">
        <v>226.47</v>
      </c>
    </row>
    <row r="540" spans="1:6" x14ac:dyDescent="0.25">
      <c r="A540">
        <v>635</v>
      </c>
      <c r="B540" t="s">
        <v>53</v>
      </c>
      <c r="C540">
        <v>202601</v>
      </c>
      <c r="D540">
        <v>6276.8258126791188</v>
      </c>
      <c r="E540">
        <v>15.459781317403806</v>
      </c>
      <c r="F540">
        <v>406.01</v>
      </c>
    </row>
    <row r="541" spans="1:6" x14ac:dyDescent="0.25">
      <c r="A541">
        <v>636</v>
      </c>
      <c r="B541" t="s">
        <v>53</v>
      </c>
      <c r="C541">
        <v>202601</v>
      </c>
      <c r="D541">
        <v>14060.393451405911</v>
      </c>
      <c r="E541">
        <v>62.126164065950476</v>
      </c>
      <c r="F541">
        <v>226.32</v>
      </c>
    </row>
    <row r="542" spans="1:6" x14ac:dyDescent="0.25">
      <c r="A542">
        <v>666</v>
      </c>
      <c r="B542" t="s">
        <v>53</v>
      </c>
      <c r="C542">
        <v>202601</v>
      </c>
      <c r="D542">
        <v>6721.9287477606222</v>
      </c>
      <c r="E542">
        <v>59.486095112925859</v>
      </c>
      <c r="F542">
        <v>113</v>
      </c>
    </row>
    <row r="543" spans="1:6" x14ac:dyDescent="0.25">
      <c r="A543">
        <v>667</v>
      </c>
      <c r="B543" t="s">
        <v>53</v>
      </c>
      <c r="C543">
        <v>202601</v>
      </c>
      <c r="D543">
        <v>18193.599927221043</v>
      </c>
      <c r="E543">
        <v>96.774467697984264</v>
      </c>
      <c r="F543">
        <v>188</v>
      </c>
    </row>
    <row r="544" spans="1:6" x14ac:dyDescent="0.25">
      <c r="A544">
        <v>668</v>
      </c>
      <c r="B544" t="s">
        <v>53</v>
      </c>
      <c r="C544">
        <v>202601</v>
      </c>
      <c r="D544">
        <v>16765.647904781876</v>
      </c>
      <c r="E544">
        <v>92.833044876976061</v>
      </c>
      <c r="F544">
        <v>180.6</v>
      </c>
    </row>
    <row r="545" spans="1:6" x14ac:dyDescent="0.25">
      <c r="A545">
        <v>665</v>
      </c>
      <c r="B545" t="s">
        <v>53</v>
      </c>
      <c r="C545">
        <v>202601</v>
      </c>
      <c r="D545">
        <v>6965.1784502127821</v>
      </c>
      <c r="E545">
        <v>30.971490285085075</v>
      </c>
      <c r="F545">
        <v>224.89</v>
      </c>
    </row>
    <row r="546" spans="1:6" x14ac:dyDescent="0.25">
      <c r="A546">
        <v>770</v>
      </c>
      <c r="B546" t="s">
        <v>53</v>
      </c>
      <c r="C546">
        <v>202601</v>
      </c>
      <c r="D546">
        <v>27289.122162248852</v>
      </c>
      <c r="E546">
        <v>48.513994955109069</v>
      </c>
      <c r="F546">
        <v>562.5</v>
      </c>
    </row>
    <row r="547" spans="1:6" x14ac:dyDescent="0.25">
      <c r="A547">
        <v>771</v>
      </c>
      <c r="B547" t="s">
        <v>53</v>
      </c>
      <c r="C547">
        <v>202601</v>
      </c>
      <c r="D547">
        <v>4363.2870087384035</v>
      </c>
      <c r="E547">
        <v>6.4660447669508061</v>
      </c>
      <c r="F547">
        <v>674.8</v>
      </c>
    </row>
    <row r="548" spans="1:6" x14ac:dyDescent="0.25">
      <c r="A548">
        <v>769</v>
      </c>
      <c r="B548" t="s">
        <v>53</v>
      </c>
      <c r="C548">
        <v>202601</v>
      </c>
      <c r="D548">
        <v>10580.732309701629</v>
      </c>
      <c r="E548">
        <v>31.350317954671493</v>
      </c>
      <c r="F548">
        <v>337.5</v>
      </c>
    </row>
    <row r="549" spans="1:6" x14ac:dyDescent="0.25">
      <c r="A549">
        <v>813</v>
      </c>
      <c r="B549" t="s">
        <v>53</v>
      </c>
      <c r="C549">
        <v>202601</v>
      </c>
      <c r="D549">
        <v>4867.5971325905939</v>
      </c>
      <c r="E549">
        <v>16.233436437189631</v>
      </c>
      <c r="F549">
        <v>299.8500749625187</v>
      </c>
    </row>
    <row r="550" spans="1:6" x14ac:dyDescent="0.25">
      <c r="A550">
        <v>814</v>
      </c>
      <c r="B550" t="s">
        <v>53</v>
      </c>
      <c r="C550">
        <v>202601</v>
      </c>
      <c r="D550">
        <v>5272.3495975252399</v>
      </c>
      <c r="E550">
        <v>11.724148537970292</v>
      </c>
      <c r="F550">
        <v>449.7</v>
      </c>
    </row>
    <row r="551" spans="1:6" x14ac:dyDescent="0.25">
      <c r="A551">
        <v>815</v>
      </c>
      <c r="B551" t="s">
        <v>53</v>
      </c>
      <c r="C551">
        <v>202601</v>
      </c>
      <c r="D551">
        <v>892.2978894975231</v>
      </c>
      <c r="E551">
        <v>2.705572739531604</v>
      </c>
      <c r="F551">
        <v>329.8</v>
      </c>
    </row>
    <row r="552" spans="1:6" x14ac:dyDescent="0.25">
      <c r="A552">
        <v>542</v>
      </c>
      <c r="B552" t="s">
        <v>86</v>
      </c>
      <c r="C552">
        <v>202601</v>
      </c>
      <c r="D552">
        <v>15245.42714549819</v>
      </c>
      <c r="E552">
        <v>252.49134060116245</v>
      </c>
      <c r="F552">
        <v>60.38</v>
      </c>
    </row>
    <row r="553" spans="1:6" x14ac:dyDescent="0.25">
      <c r="A553">
        <v>543</v>
      </c>
      <c r="B553" t="s">
        <v>86</v>
      </c>
      <c r="C553">
        <v>202601</v>
      </c>
      <c r="D553">
        <v>13461.495508153912</v>
      </c>
      <c r="E553">
        <v>59.669749592880819</v>
      </c>
      <c r="F553">
        <v>225.6</v>
      </c>
    </row>
    <row r="554" spans="1:6" x14ac:dyDescent="0.25">
      <c r="A554">
        <v>545</v>
      </c>
      <c r="B554" t="s">
        <v>86</v>
      </c>
      <c r="C554">
        <v>202601</v>
      </c>
      <c r="D554">
        <v>78794.877742748329</v>
      </c>
      <c r="E554">
        <v>218.51047626940743</v>
      </c>
      <c r="F554">
        <v>360.6</v>
      </c>
    </row>
    <row r="555" spans="1:6" x14ac:dyDescent="0.25">
      <c r="A555">
        <v>547</v>
      </c>
      <c r="B555" t="s">
        <v>86</v>
      </c>
      <c r="C555">
        <v>202601</v>
      </c>
      <c r="D555">
        <v>105115.75670534784</v>
      </c>
      <c r="E555">
        <v>242.51512713489259</v>
      </c>
      <c r="F555">
        <v>433.44</v>
      </c>
    </row>
    <row r="556" spans="1:6" x14ac:dyDescent="0.25">
      <c r="A556">
        <v>551</v>
      </c>
      <c r="B556" t="s">
        <v>86</v>
      </c>
      <c r="C556">
        <v>202601</v>
      </c>
      <c r="D556">
        <v>5426.867053644768</v>
      </c>
      <c r="E556">
        <v>20.109934979784953</v>
      </c>
      <c r="F556">
        <v>269.86</v>
      </c>
    </row>
    <row r="557" spans="1:6" x14ac:dyDescent="0.25">
      <c r="A557">
        <v>552</v>
      </c>
      <c r="B557" t="s">
        <v>86</v>
      </c>
      <c r="C557">
        <v>202601</v>
      </c>
      <c r="D557">
        <v>2058.016687213671</v>
      </c>
      <c r="E557">
        <v>13.073413081016842</v>
      </c>
      <c r="F557">
        <v>157.41999999999999</v>
      </c>
    </row>
    <row r="558" spans="1:6" x14ac:dyDescent="0.25">
      <c r="A558">
        <v>578</v>
      </c>
      <c r="B558" t="s">
        <v>86</v>
      </c>
      <c r="C558">
        <v>202601</v>
      </c>
      <c r="D558">
        <v>0</v>
      </c>
      <c r="E558">
        <v>0</v>
      </c>
      <c r="F558">
        <v>225.56</v>
      </c>
    </row>
    <row r="559" spans="1:6" x14ac:dyDescent="0.25">
      <c r="A559">
        <v>596</v>
      </c>
      <c r="B559" t="s">
        <v>86</v>
      </c>
      <c r="C559">
        <v>202601</v>
      </c>
      <c r="D559">
        <v>1436.1499274185842</v>
      </c>
      <c r="E559">
        <v>3.9793569615366704</v>
      </c>
      <c r="F559">
        <v>360.9</v>
      </c>
    </row>
    <row r="560" spans="1:6" x14ac:dyDescent="0.25">
      <c r="A560">
        <v>598</v>
      </c>
      <c r="B560" t="s">
        <v>86</v>
      </c>
      <c r="C560">
        <v>202601</v>
      </c>
      <c r="D560">
        <v>3772.372094237528</v>
      </c>
      <c r="E560">
        <v>8.3620510589797359</v>
      </c>
      <c r="F560">
        <v>451.13</v>
      </c>
    </row>
    <row r="561" spans="1:6" x14ac:dyDescent="0.25">
      <c r="A561">
        <v>597</v>
      </c>
      <c r="B561" t="s">
        <v>86</v>
      </c>
      <c r="C561">
        <v>202601</v>
      </c>
      <c r="D561">
        <v>1765.799198016625</v>
      </c>
      <c r="E561">
        <v>5.8889417976208938</v>
      </c>
      <c r="F561">
        <v>299.85000000000002</v>
      </c>
    </row>
    <row r="562" spans="1:6" x14ac:dyDescent="0.25">
      <c r="A562">
        <v>788</v>
      </c>
      <c r="B562" t="s">
        <v>86</v>
      </c>
      <c r="C562">
        <v>202601</v>
      </c>
      <c r="D562">
        <v>992.07598358808889</v>
      </c>
      <c r="E562">
        <v>2.2055935606671606</v>
      </c>
      <c r="F562">
        <v>449.8</v>
      </c>
    </row>
    <row r="563" spans="1:6" x14ac:dyDescent="0.25">
      <c r="A563">
        <v>789</v>
      </c>
      <c r="B563" t="s">
        <v>86</v>
      </c>
      <c r="C563">
        <v>202601</v>
      </c>
      <c r="D563">
        <v>1005.2589686886174</v>
      </c>
      <c r="E563">
        <v>2.9403854237996296</v>
      </c>
      <c r="F563">
        <v>341.88</v>
      </c>
    </row>
    <row r="564" spans="1:6" x14ac:dyDescent="0.25">
      <c r="A564">
        <v>634</v>
      </c>
      <c r="B564" t="s">
        <v>86</v>
      </c>
      <c r="C564">
        <v>202601</v>
      </c>
      <c r="D564">
        <v>12125.96441479416</v>
      </c>
      <c r="E564">
        <v>53.543358567554911</v>
      </c>
      <c r="F564">
        <v>226.47</v>
      </c>
    </row>
    <row r="565" spans="1:6" x14ac:dyDescent="0.25">
      <c r="A565">
        <v>635</v>
      </c>
      <c r="B565" t="s">
        <v>86</v>
      </c>
      <c r="C565">
        <v>202601</v>
      </c>
      <c r="D565">
        <v>6271.7704781298671</v>
      </c>
      <c r="E565">
        <v>15.447330061155803</v>
      </c>
      <c r="F565">
        <v>406.01</v>
      </c>
    </row>
    <row r="566" spans="1:6" x14ac:dyDescent="0.25">
      <c r="A566">
        <v>636</v>
      </c>
      <c r="B566" t="s">
        <v>86</v>
      </c>
      <c r="C566">
        <v>202601</v>
      </c>
      <c r="D566">
        <v>13053.506134574114</v>
      </c>
      <c r="E566">
        <v>57.677209855841795</v>
      </c>
      <c r="F566">
        <v>226.32</v>
      </c>
    </row>
    <row r="567" spans="1:6" x14ac:dyDescent="0.25">
      <c r="A567">
        <v>666</v>
      </c>
      <c r="B567" t="s">
        <v>86</v>
      </c>
      <c r="C567">
        <v>202601</v>
      </c>
      <c r="D567">
        <v>4017.4858959675012</v>
      </c>
      <c r="E567">
        <v>35.55297253068585</v>
      </c>
      <c r="F567">
        <v>113</v>
      </c>
    </row>
    <row r="568" spans="1:6" x14ac:dyDescent="0.25">
      <c r="A568">
        <v>667</v>
      </c>
      <c r="B568" t="s">
        <v>86</v>
      </c>
      <c r="C568">
        <v>202601</v>
      </c>
      <c r="D568">
        <v>15503.649269441021</v>
      </c>
      <c r="E568">
        <v>82.466219518303305</v>
      </c>
      <c r="F568">
        <v>188</v>
      </c>
    </row>
    <row r="569" spans="1:6" x14ac:dyDescent="0.25">
      <c r="A569">
        <v>668</v>
      </c>
      <c r="B569" t="s">
        <v>86</v>
      </c>
      <c r="C569">
        <v>202601</v>
      </c>
      <c r="D569">
        <v>17824.731151693552</v>
      </c>
      <c r="E569">
        <v>98.697293198746138</v>
      </c>
      <c r="F569">
        <v>180.6</v>
      </c>
    </row>
    <row r="570" spans="1:6" x14ac:dyDescent="0.25">
      <c r="A570">
        <v>665</v>
      </c>
      <c r="B570" t="s">
        <v>86</v>
      </c>
      <c r="C570">
        <v>202601</v>
      </c>
      <c r="D570">
        <v>4915.7738163521644</v>
      </c>
      <c r="E570">
        <v>21.858570040251522</v>
      </c>
      <c r="F570">
        <v>224.89</v>
      </c>
    </row>
    <row r="571" spans="1:6" x14ac:dyDescent="0.25">
      <c r="A571">
        <v>770</v>
      </c>
      <c r="B571" t="s">
        <v>86</v>
      </c>
      <c r="C571">
        <v>202601</v>
      </c>
      <c r="D571">
        <v>22355.560903931044</v>
      </c>
      <c r="E571">
        <v>39.743219384766299</v>
      </c>
      <c r="F571">
        <v>562.5</v>
      </c>
    </row>
    <row r="572" spans="1:6" x14ac:dyDescent="0.25">
      <c r="A572">
        <v>771</v>
      </c>
      <c r="B572" t="s">
        <v>86</v>
      </c>
      <c r="C572">
        <v>202601</v>
      </c>
      <c r="D572">
        <v>3983.0492862354108</v>
      </c>
      <c r="E572">
        <v>5.9025626648420433</v>
      </c>
      <c r="F572">
        <v>674.8</v>
      </c>
    </row>
    <row r="573" spans="1:6" x14ac:dyDescent="0.25">
      <c r="A573">
        <v>769</v>
      </c>
      <c r="B573" t="s">
        <v>86</v>
      </c>
      <c r="C573">
        <v>202601</v>
      </c>
      <c r="D573">
        <v>10775.782992959685</v>
      </c>
      <c r="E573">
        <v>31.928245905065733</v>
      </c>
      <c r="F573">
        <v>337.5</v>
      </c>
    </row>
    <row r="574" spans="1:6" x14ac:dyDescent="0.25">
      <c r="A574">
        <v>813</v>
      </c>
      <c r="B574" t="s">
        <v>86</v>
      </c>
      <c r="C574">
        <v>202601</v>
      </c>
      <c r="D574">
        <v>4089.5457919559453</v>
      </c>
      <c r="E574">
        <v>13.63863521617308</v>
      </c>
      <c r="F574">
        <v>299.8500749625187</v>
      </c>
    </row>
    <row r="575" spans="1:6" x14ac:dyDescent="0.25">
      <c r="A575">
        <v>814</v>
      </c>
      <c r="B575" t="s">
        <v>86</v>
      </c>
      <c r="C575">
        <v>202601</v>
      </c>
      <c r="D575">
        <v>4429.6014076260799</v>
      </c>
      <c r="E575">
        <v>9.8501254339027788</v>
      </c>
      <c r="F575">
        <v>449.7</v>
      </c>
    </row>
    <row r="576" spans="1:6" x14ac:dyDescent="0.25">
      <c r="A576">
        <v>815</v>
      </c>
      <c r="B576" t="s">
        <v>86</v>
      </c>
      <c r="C576">
        <v>202601</v>
      </c>
      <c r="D576">
        <v>749.67031571564667</v>
      </c>
      <c r="E576">
        <v>2.2731058693621788</v>
      </c>
      <c r="F576">
        <v>329.8</v>
      </c>
    </row>
    <row r="577" spans="1:6" x14ac:dyDescent="0.25">
      <c r="A577">
        <v>542</v>
      </c>
      <c r="B577" t="s">
        <v>54</v>
      </c>
      <c r="C577">
        <v>202601</v>
      </c>
      <c r="D577">
        <v>19331.259048811859</v>
      </c>
      <c r="E577">
        <v>320.15997099721528</v>
      </c>
      <c r="F577">
        <v>60.38</v>
      </c>
    </row>
    <row r="578" spans="1:6" x14ac:dyDescent="0.25">
      <c r="A578">
        <v>543</v>
      </c>
      <c r="B578" t="s">
        <v>54</v>
      </c>
      <c r="C578">
        <v>202601</v>
      </c>
      <c r="D578">
        <v>25344.852640022666</v>
      </c>
      <c r="E578">
        <v>112.34420496463947</v>
      </c>
      <c r="F578">
        <v>225.6</v>
      </c>
    </row>
    <row r="579" spans="1:6" x14ac:dyDescent="0.25">
      <c r="A579">
        <v>545</v>
      </c>
      <c r="B579" t="s">
        <v>54</v>
      </c>
      <c r="C579">
        <v>202601</v>
      </c>
      <c r="D579">
        <v>131858.89848889195</v>
      </c>
      <c r="E579">
        <v>365.66527589820282</v>
      </c>
      <c r="F579">
        <v>360.6</v>
      </c>
    </row>
    <row r="580" spans="1:6" x14ac:dyDescent="0.25">
      <c r="A580">
        <v>547</v>
      </c>
      <c r="B580" t="s">
        <v>54</v>
      </c>
      <c r="C580">
        <v>202601</v>
      </c>
      <c r="D580">
        <v>133202.72166352544</v>
      </c>
      <c r="E580">
        <v>307.31524931599631</v>
      </c>
      <c r="F580">
        <v>433.44</v>
      </c>
    </row>
    <row r="581" spans="1:6" x14ac:dyDescent="0.25">
      <c r="A581">
        <v>551</v>
      </c>
      <c r="B581" t="s">
        <v>54</v>
      </c>
      <c r="C581">
        <v>202601</v>
      </c>
      <c r="D581">
        <v>39606.773416363241</v>
      </c>
      <c r="E581">
        <v>146.76785524480559</v>
      </c>
      <c r="F581">
        <v>269.86</v>
      </c>
    </row>
    <row r="582" spans="1:6" x14ac:dyDescent="0.25">
      <c r="A582">
        <v>552</v>
      </c>
      <c r="B582" t="s">
        <v>54</v>
      </c>
      <c r="C582">
        <v>202601</v>
      </c>
      <c r="D582">
        <v>13991.635896204652</v>
      </c>
      <c r="E582">
        <v>88.880929336835564</v>
      </c>
      <c r="F582">
        <v>157.41999999999999</v>
      </c>
    </row>
    <row r="583" spans="1:6" x14ac:dyDescent="0.25">
      <c r="A583">
        <v>578</v>
      </c>
      <c r="B583" t="s">
        <v>54</v>
      </c>
      <c r="C583">
        <v>202601</v>
      </c>
      <c r="D583">
        <v>0</v>
      </c>
      <c r="E583">
        <v>0</v>
      </c>
      <c r="F583">
        <v>225.56</v>
      </c>
    </row>
    <row r="584" spans="1:6" x14ac:dyDescent="0.25">
      <c r="A584">
        <v>596</v>
      </c>
      <c r="B584" t="s">
        <v>54</v>
      </c>
      <c r="C584">
        <v>202601</v>
      </c>
      <c r="D584">
        <v>8991.4033425899979</v>
      </c>
      <c r="E584">
        <v>24.913835806566912</v>
      </c>
      <c r="F584">
        <v>360.9</v>
      </c>
    </row>
    <row r="585" spans="1:6" x14ac:dyDescent="0.25">
      <c r="A585">
        <v>598</v>
      </c>
      <c r="B585" t="s">
        <v>54</v>
      </c>
      <c r="C585">
        <v>202601</v>
      </c>
      <c r="D585">
        <v>37674.071492230665</v>
      </c>
      <c r="E585">
        <v>83.510454840579584</v>
      </c>
      <c r="F585">
        <v>451.13</v>
      </c>
    </row>
    <row r="586" spans="1:6" x14ac:dyDescent="0.25">
      <c r="A586">
        <v>597</v>
      </c>
      <c r="B586" t="s">
        <v>54</v>
      </c>
      <c r="C586">
        <v>202601</v>
      </c>
      <c r="D586">
        <v>5092.5973117081903</v>
      </c>
      <c r="E586">
        <v>16.983816280500882</v>
      </c>
      <c r="F586">
        <v>299.85000000000002</v>
      </c>
    </row>
    <row r="587" spans="1:6" x14ac:dyDescent="0.25">
      <c r="A587">
        <v>788</v>
      </c>
      <c r="B587" t="s">
        <v>54</v>
      </c>
      <c r="C587">
        <v>202601</v>
      </c>
      <c r="D587">
        <v>3888.9745121995475</v>
      </c>
      <c r="E587">
        <v>8.6460082530003284</v>
      </c>
      <c r="F587">
        <v>449.8</v>
      </c>
    </row>
    <row r="588" spans="1:6" x14ac:dyDescent="0.25">
      <c r="A588">
        <v>789</v>
      </c>
      <c r="B588" t="s">
        <v>54</v>
      </c>
      <c r="C588">
        <v>202601</v>
      </c>
      <c r="D588">
        <v>3809.6689164719146</v>
      </c>
      <c r="E588">
        <v>11.143292723973074</v>
      </c>
      <c r="F588">
        <v>341.88</v>
      </c>
    </row>
    <row r="589" spans="1:6" x14ac:dyDescent="0.25">
      <c r="A589">
        <v>634</v>
      </c>
      <c r="B589" t="s">
        <v>54</v>
      </c>
      <c r="C589">
        <v>202601</v>
      </c>
      <c r="D589">
        <v>22914.738811466421</v>
      </c>
      <c r="E589">
        <v>101.18222639407612</v>
      </c>
      <c r="F589">
        <v>226.47</v>
      </c>
    </row>
    <row r="590" spans="1:6" x14ac:dyDescent="0.25">
      <c r="A590">
        <v>635</v>
      </c>
      <c r="B590" t="s">
        <v>54</v>
      </c>
      <c r="C590">
        <v>202601</v>
      </c>
      <c r="D590">
        <v>8477.9879521282146</v>
      </c>
      <c r="E590">
        <v>20.881229408458449</v>
      </c>
      <c r="F590">
        <v>406.01</v>
      </c>
    </row>
    <row r="591" spans="1:6" x14ac:dyDescent="0.25">
      <c r="A591">
        <v>636</v>
      </c>
      <c r="B591" t="s">
        <v>54</v>
      </c>
      <c r="C591">
        <v>202601</v>
      </c>
      <c r="D591">
        <v>16806.589958382439</v>
      </c>
      <c r="E591">
        <v>74.260294973411277</v>
      </c>
      <c r="F591">
        <v>226.32</v>
      </c>
    </row>
    <row r="592" spans="1:6" x14ac:dyDescent="0.25">
      <c r="A592">
        <v>666</v>
      </c>
      <c r="B592" t="s">
        <v>54</v>
      </c>
      <c r="C592">
        <v>202601</v>
      </c>
      <c r="D592">
        <v>5343.0835170100336</v>
      </c>
      <c r="E592">
        <v>47.283924929292333</v>
      </c>
      <c r="F592">
        <v>113</v>
      </c>
    </row>
    <row r="593" spans="1:6" x14ac:dyDescent="0.25">
      <c r="A593">
        <v>667</v>
      </c>
      <c r="B593" t="s">
        <v>54</v>
      </c>
      <c r="C593">
        <v>202601</v>
      </c>
      <c r="D593">
        <v>17315.457827970069</v>
      </c>
      <c r="E593">
        <v>92.103499084947174</v>
      </c>
      <c r="F593">
        <v>188</v>
      </c>
    </row>
    <row r="594" spans="1:6" x14ac:dyDescent="0.25">
      <c r="A594">
        <v>668</v>
      </c>
      <c r="B594" t="s">
        <v>54</v>
      </c>
      <c r="C594">
        <v>202601</v>
      </c>
      <c r="D594">
        <v>16579.101144221011</v>
      </c>
      <c r="E594">
        <v>91.800117077635718</v>
      </c>
      <c r="F594">
        <v>180.6</v>
      </c>
    </row>
    <row r="595" spans="1:6" x14ac:dyDescent="0.25">
      <c r="A595">
        <v>665</v>
      </c>
      <c r="B595" t="s">
        <v>54</v>
      </c>
      <c r="C595">
        <v>202601</v>
      </c>
      <c r="D595">
        <v>4547.3461736064901</v>
      </c>
      <c r="E595">
        <v>20.220312924569747</v>
      </c>
      <c r="F595">
        <v>224.89</v>
      </c>
    </row>
    <row r="596" spans="1:6" x14ac:dyDescent="0.25">
      <c r="A596">
        <v>770</v>
      </c>
      <c r="B596" t="s">
        <v>54</v>
      </c>
      <c r="C596">
        <v>202601</v>
      </c>
      <c r="D596">
        <v>37687.434570991376</v>
      </c>
      <c r="E596">
        <v>66.999883681762441</v>
      </c>
      <c r="F596">
        <v>562.5</v>
      </c>
    </row>
    <row r="597" spans="1:6" x14ac:dyDescent="0.25">
      <c r="A597">
        <v>771</v>
      </c>
      <c r="B597" t="s">
        <v>54</v>
      </c>
      <c r="C597">
        <v>202601</v>
      </c>
      <c r="D597">
        <v>3743.3418661857704</v>
      </c>
      <c r="E597">
        <v>5.5473353085147759</v>
      </c>
      <c r="F597">
        <v>674.8</v>
      </c>
    </row>
    <row r="598" spans="1:6" x14ac:dyDescent="0.25">
      <c r="A598">
        <v>769</v>
      </c>
      <c r="B598" t="s">
        <v>54</v>
      </c>
      <c r="C598">
        <v>202601</v>
      </c>
      <c r="D598">
        <v>23121.681243608386</v>
      </c>
      <c r="E598">
        <v>68.508685166247062</v>
      </c>
      <c r="F598">
        <v>337.5</v>
      </c>
    </row>
    <row r="599" spans="1:6" x14ac:dyDescent="0.25">
      <c r="A599">
        <v>813</v>
      </c>
      <c r="B599" t="s">
        <v>54</v>
      </c>
      <c r="C599">
        <v>202601</v>
      </c>
      <c r="D599">
        <v>6205.8674114132291</v>
      </c>
      <c r="E599">
        <v>20.696567817063123</v>
      </c>
      <c r="F599">
        <v>299.8500749625187</v>
      </c>
    </row>
    <row r="600" spans="1:6" x14ac:dyDescent="0.25">
      <c r="A600">
        <v>814</v>
      </c>
      <c r="B600" t="s">
        <v>54</v>
      </c>
      <c r="C600">
        <v>202601</v>
      </c>
      <c r="D600">
        <v>6721.9002841851525</v>
      </c>
      <c r="E600">
        <v>14.947521201212259</v>
      </c>
      <c r="F600">
        <v>449.7</v>
      </c>
    </row>
    <row r="601" spans="1:6" x14ac:dyDescent="0.25">
      <c r="A601">
        <v>815</v>
      </c>
      <c r="B601" t="s">
        <v>54</v>
      </c>
      <c r="C601">
        <v>202601</v>
      </c>
      <c r="D601">
        <v>1137.621344344569</v>
      </c>
      <c r="E601">
        <v>3.4494279695105186</v>
      </c>
      <c r="F601">
        <v>329.8</v>
      </c>
    </row>
    <row r="602" spans="1:6" x14ac:dyDescent="0.25">
      <c r="A602">
        <v>542</v>
      </c>
      <c r="B602" t="s">
        <v>55</v>
      </c>
      <c r="C602">
        <v>202601</v>
      </c>
      <c r="D602">
        <v>13036.75889267459</v>
      </c>
      <c r="E602">
        <v>215.91187301547848</v>
      </c>
      <c r="F602">
        <v>60.38</v>
      </c>
    </row>
    <row r="603" spans="1:6" x14ac:dyDescent="0.25">
      <c r="A603">
        <v>543</v>
      </c>
      <c r="B603" t="s">
        <v>55</v>
      </c>
      <c r="C603">
        <v>202601</v>
      </c>
      <c r="D603">
        <v>28430.053546323874</v>
      </c>
      <c r="E603">
        <v>126.01974089682568</v>
      </c>
      <c r="F603">
        <v>225.6</v>
      </c>
    </row>
    <row r="604" spans="1:6" x14ac:dyDescent="0.25">
      <c r="A604">
        <v>545</v>
      </c>
      <c r="B604" t="s">
        <v>55</v>
      </c>
      <c r="C604">
        <v>202601</v>
      </c>
      <c r="D604">
        <v>130061.86969788131</v>
      </c>
      <c r="E604">
        <v>360.68183499135137</v>
      </c>
      <c r="F604">
        <v>360.6</v>
      </c>
    </row>
    <row r="605" spans="1:6" x14ac:dyDescent="0.25">
      <c r="A605">
        <v>547</v>
      </c>
      <c r="B605" t="s">
        <v>55</v>
      </c>
      <c r="C605">
        <v>202601</v>
      </c>
      <c r="D605">
        <v>117730.37689726983</v>
      </c>
      <c r="E605">
        <v>271.61862517827109</v>
      </c>
      <c r="F605">
        <v>433.44</v>
      </c>
    </row>
    <row r="606" spans="1:6" x14ac:dyDescent="0.25">
      <c r="A606">
        <v>551</v>
      </c>
      <c r="B606" t="s">
        <v>55</v>
      </c>
      <c r="C606">
        <v>202601</v>
      </c>
      <c r="D606">
        <v>65353.092375381195</v>
      </c>
      <c r="E606">
        <v>242.17406201504926</v>
      </c>
      <c r="F606">
        <v>269.86</v>
      </c>
    </row>
    <row r="607" spans="1:6" x14ac:dyDescent="0.25">
      <c r="A607">
        <v>552</v>
      </c>
      <c r="B607" t="s">
        <v>55</v>
      </c>
      <c r="C607">
        <v>202601</v>
      </c>
      <c r="D607">
        <v>20612.645399625078</v>
      </c>
      <c r="E607">
        <v>130.94044847938687</v>
      </c>
      <c r="F607">
        <v>157.41999999999999</v>
      </c>
    </row>
    <row r="608" spans="1:6" x14ac:dyDescent="0.25">
      <c r="A608">
        <v>578</v>
      </c>
      <c r="B608" t="s">
        <v>55</v>
      </c>
      <c r="C608">
        <v>202601</v>
      </c>
      <c r="D608">
        <v>0</v>
      </c>
      <c r="E608">
        <v>0</v>
      </c>
      <c r="F608">
        <v>225.56</v>
      </c>
    </row>
    <row r="609" spans="1:6" x14ac:dyDescent="0.25">
      <c r="A609">
        <v>596</v>
      </c>
      <c r="B609" t="s">
        <v>55</v>
      </c>
      <c r="C609">
        <v>202601</v>
      </c>
      <c r="D609">
        <v>4856.3261078247051</v>
      </c>
      <c r="E609">
        <v>13.45615435806236</v>
      </c>
      <c r="F609">
        <v>360.9</v>
      </c>
    </row>
    <row r="610" spans="1:6" x14ac:dyDescent="0.25">
      <c r="A610">
        <v>598</v>
      </c>
      <c r="B610" t="s">
        <v>55</v>
      </c>
      <c r="C610">
        <v>202601</v>
      </c>
      <c r="D610">
        <v>16109.47681697748</v>
      </c>
      <c r="E610">
        <v>35.709167683322946</v>
      </c>
      <c r="F610">
        <v>451.13</v>
      </c>
    </row>
    <row r="611" spans="1:6" x14ac:dyDescent="0.25">
      <c r="A611">
        <v>597</v>
      </c>
      <c r="B611" t="s">
        <v>55</v>
      </c>
      <c r="C611">
        <v>202601</v>
      </c>
      <c r="D611">
        <v>2311.8567232857513</v>
      </c>
      <c r="E611">
        <v>7.7100440996690045</v>
      </c>
      <c r="F611">
        <v>299.85000000000002</v>
      </c>
    </row>
    <row r="612" spans="1:6" x14ac:dyDescent="0.25">
      <c r="A612">
        <v>788</v>
      </c>
      <c r="B612" t="s">
        <v>55</v>
      </c>
      <c r="C612">
        <v>202601</v>
      </c>
      <c r="D612">
        <v>2505.1531283790237</v>
      </c>
      <c r="E612">
        <v>5.5694822774100121</v>
      </c>
      <c r="F612">
        <v>449.8</v>
      </c>
    </row>
    <row r="613" spans="1:6" x14ac:dyDescent="0.25">
      <c r="A613">
        <v>789</v>
      </c>
      <c r="B613" t="s">
        <v>55</v>
      </c>
      <c r="C613">
        <v>202601</v>
      </c>
      <c r="D613">
        <v>2899.0463122097294</v>
      </c>
      <c r="E613">
        <v>8.4797189429324025</v>
      </c>
      <c r="F613">
        <v>341.88</v>
      </c>
    </row>
    <row r="614" spans="1:6" x14ac:dyDescent="0.25">
      <c r="A614">
        <v>634</v>
      </c>
      <c r="B614" t="s">
        <v>55</v>
      </c>
      <c r="C614">
        <v>202601</v>
      </c>
      <c r="D614">
        <v>14316.541611382025</v>
      </c>
      <c r="E614">
        <v>63.216062221848475</v>
      </c>
      <c r="F614">
        <v>226.47</v>
      </c>
    </row>
    <row r="615" spans="1:6" x14ac:dyDescent="0.25">
      <c r="A615">
        <v>635</v>
      </c>
      <c r="B615" t="s">
        <v>55</v>
      </c>
      <c r="C615">
        <v>202601</v>
      </c>
      <c r="D615">
        <v>2225.030707503241</v>
      </c>
      <c r="E615">
        <v>5.4802362195592256</v>
      </c>
      <c r="F615">
        <v>406.01</v>
      </c>
    </row>
    <row r="616" spans="1:6" x14ac:dyDescent="0.25">
      <c r="A616">
        <v>636</v>
      </c>
      <c r="B616" t="s">
        <v>55</v>
      </c>
      <c r="C616">
        <v>202601</v>
      </c>
      <c r="D616">
        <v>9030.0643713274167</v>
      </c>
      <c r="E616">
        <v>39.899542114384133</v>
      </c>
      <c r="F616">
        <v>226.32</v>
      </c>
    </row>
    <row r="617" spans="1:6" x14ac:dyDescent="0.25">
      <c r="A617">
        <v>666</v>
      </c>
      <c r="B617" t="s">
        <v>55</v>
      </c>
      <c r="C617">
        <v>202601</v>
      </c>
      <c r="D617">
        <v>6250.8185548097163</v>
      </c>
      <c r="E617">
        <v>55.316978361147932</v>
      </c>
      <c r="F617">
        <v>113</v>
      </c>
    </row>
    <row r="618" spans="1:6" x14ac:dyDescent="0.25">
      <c r="A618">
        <v>667</v>
      </c>
      <c r="B618" t="s">
        <v>55</v>
      </c>
      <c r="C618">
        <v>202601</v>
      </c>
      <c r="D618">
        <v>17720.235839250687</v>
      </c>
      <c r="E618">
        <v>94.25657361303557</v>
      </c>
      <c r="F618">
        <v>188</v>
      </c>
    </row>
    <row r="619" spans="1:6" x14ac:dyDescent="0.25">
      <c r="A619">
        <v>668</v>
      </c>
      <c r="B619" t="s">
        <v>55</v>
      </c>
      <c r="C619">
        <v>202601</v>
      </c>
      <c r="D619">
        <v>16304.482326662479</v>
      </c>
      <c r="E619">
        <v>90.279525618286158</v>
      </c>
      <c r="F619">
        <v>180.6</v>
      </c>
    </row>
    <row r="620" spans="1:6" x14ac:dyDescent="0.25">
      <c r="A620">
        <v>665</v>
      </c>
      <c r="B620" t="s">
        <v>55</v>
      </c>
      <c r="C620">
        <v>202601</v>
      </c>
      <c r="D620">
        <v>5235.694545112111</v>
      </c>
      <c r="E620">
        <v>23.281135422260267</v>
      </c>
      <c r="F620">
        <v>224.89</v>
      </c>
    </row>
    <row r="621" spans="1:6" x14ac:dyDescent="0.25">
      <c r="A621">
        <v>770</v>
      </c>
      <c r="B621" t="s">
        <v>55</v>
      </c>
      <c r="C621">
        <v>202601</v>
      </c>
      <c r="D621">
        <v>25024.148005687595</v>
      </c>
      <c r="E621">
        <v>44.487374232333501</v>
      </c>
      <c r="F621">
        <v>562.5</v>
      </c>
    </row>
    <row r="622" spans="1:6" x14ac:dyDescent="0.25">
      <c r="A622">
        <v>771</v>
      </c>
      <c r="B622" t="s">
        <v>55</v>
      </c>
      <c r="C622">
        <v>202601</v>
      </c>
      <c r="D622">
        <v>3948.8174864329376</v>
      </c>
      <c r="E622">
        <v>5.8518338565989003</v>
      </c>
      <c r="F622">
        <v>674.8</v>
      </c>
    </row>
    <row r="623" spans="1:6" x14ac:dyDescent="0.25">
      <c r="A623">
        <v>769</v>
      </c>
      <c r="B623" t="s">
        <v>55</v>
      </c>
      <c r="C623">
        <v>202601</v>
      </c>
      <c r="D623">
        <v>8568.9518610777486</v>
      </c>
      <c r="E623">
        <v>25.389486995785923</v>
      </c>
      <c r="F623">
        <v>337.5</v>
      </c>
    </row>
    <row r="624" spans="1:6" x14ac:dyDescent="0.25">
      <c r="A624">
        <v>813</v>
      </c>
      <c r="B624" t="s">
        <v>55</v>
      </c>
      <c r="C624">
        <v>202601</v>
      </c>
      <c r="D624">
        <v>3275.8311033475525</v>
      </c>
      <c r="E624">
        <v>10.92489672966409</v>
      </c>
      <c r="F624">
        <v>299.8500749625187</v>
      </c>
    </row>
    <row r="625" spans="1:6" x14ac:dyDescent="0.25">
      <c r="A625">
        <v>814</v>
      </c>
      <c r="B625" t="s">
        <v>55</v>
      </c>
      <c r="C625">
        <v>202601</v>
      </c>
      <c r="D625">
        <v>3548.2243761827358</v>
      </c>
      <c r="E625">
        <v>7.890203193646288</v>
      </c>
      <c r="F625">
        <v>449.7</v>
      </c>
    </row>
    <row r="626" spans="1:6" x14ac:dyDescent="0.25">
      <c r="A626">
        <v>815</v>
      </c>
      <c r="B626" t="s">
        <v>55</v>
      </c>
      <c r="C626">
        <v>202601</v>
      </c>
      <c r="D626">
        <v>600.5051569072026</v>
      </c>
      <c r="E626">
        <v>1.8208161216106811</v>
      </c>
      <c r="F626">
        <v>329.8</v>
      </c>
    </row>
    <row r="627" spans="1:6" x14ac:dyDescent="0.25">
      <c r="A627">
        <v>542</v>
      </c>
      <c r="B627" t="s">
        <v>56</v>
      </c>
      <c r="C627">
        <v>202601</v>
      </c>
      <c r="D627">
        <v>11955.777472427209</v>
      </c>
      <c r="E627">
        <v>198.00890149763512</v>
      </c>
      <c r="F627">
        <v>60.38</v>
      </c>
    </row>
    <row r="628" spans="1:6" x14ac:dyDescent="0.25">
      <c r="A628">
        <v>543</v>
      </c>
      <c r="B628" t="s">
        <v>56</v>
      </c>
      <c r="C628">
        <v>202601</v>
      </c>
      <c r="D628">
        <v>30885.287278062304</v>
      </c>
      <c r="E628">
        <v>136.90286914034709</v>
      </c>
      <c r="F628">
        <v>225.6</v>
      </c>
    </row>
    <row r="629" spans="1:6" x14ac:dyDescent="0.25">
      <c r="A629">
        <v>545</v>
      </c>
      <c r="B629" t="s">
        <v>56</v>
      </c>
      <c r="C629">
        <v>202601</v>
      </c>
      <c r="D629">
        <v>134995.19125232991</v>
      </c>
      <c r="E629">
        <v>374.36270452670522</v>
      </c>
      <c r="F629">
        <v>360.6</v>
      </c>
    </row>
    <row r="630" spans="1:6" x14ac:dyDescent="0.25">
      <c r="A630">
        <v>547</v>
      </c>
      <c r="B630" t="s">
        <v>56</v>
      </c>
      <c r="C630">
        <v>202601</v>
      </c>
      <c r="D630">
        <v>126932.04146137719</v>
      </c>
      <c r="E630">
        <v>292.84801001609725</v>
      </c>
      <c r="F630">
        <v>433.44</v>
      </c>
    </row>
    <row r="631" spans="1:6" x14ac:dyDescent="0.25">
      <c r="A631">
        <v>551</v>
      </c>
      <c r="B631" t="s">
        <v>56</v>
      </c>
      <c r="C631">
        <v>202601</v>
      </c>
      <c r="D631">
        <v>54329.33769551244</v>
      </c>
      <c r="E631">
        <v>201.32415954758926</v>
      </c>
      <c r="F631">
        <v>269.86</v>
      </c>
    </row>
    <row r="632" spans="1:6" x14ac:dyDescent="0.25">
      <c r="A632">
        <v>552</v>
      </c>
      <c r="B632" t="s">
        <v>56</v>
      </c>
      <c r="C632">
        <v>202601</v>
      </c>
      <c r="D632">
        <v>19816.147546714452</v>
      </c>
      <c r="E632">
        <v>125.88074924859899</v>
      </c>
      <c r="F632">
        <v>157.41999999999999</v>
      </c>
    </row>
    <row r="633" spans="1:6" x14ac:dyDescent="0.25">
      <c r="A633">
        <v>578</v>
      </c>
      <c r="B633" t="s">
        <v>56</v>
      </c>
      <c r="C633">
        <v>202601</v>
      </c>
      <c r="D633">
        <v>0</v>
      </c>
      <c r="E633">
        <v>0</v>
      </c>
      <c r="F633">
        <v>225.56</v>
      </c>
    </row>
    <row r="634" spans="1:6" x14ac:dyDescent="0.25">
      <c r="A634">
        <v>596</v>
      </c>
      <c r="B634" t="s">
        <v>56</v>
      </c>
      <c r="C634">
        <v>202601</v>
      </c>
      <c r="D634">
        <v>3271.0390985954377</v>
      </c>
      <c r="E634">
        <v>9.0635608162799617</v>
      </c>
      <c r="F634">
        <v>360.9</v>
      </c>
    </row>
    <row r="635" spans="1:6" x14ac:dyDescent="0.25">
      <c r="A635">
        <v>598</v>
      </c>
      <c r="B635" t="s">
        <v>56</v>
      </c>
      <c r="C635">
        <v>202601</v>
      </c>
      <c r="D635">
        <v>15818.766673481419</v>
      </c>
      <c r="E635">
        <v>35.064763313194469</v>
      </c>
      <c r="F635">
        <v>451.13</v>
      </c>
    </row>
    <row r="636" spans="1:6" x14ac:dyDescent="0.25">
      <c r="A636">
        <v>597</v>
      </c>
      <c r="B636" t="s">
        <v>56</v>
      </c>
      <c r="C636">
        <v>202601</v>
      </c>
      <c r="D636">
        <v>1930.4144022965436</v>
      </c>
      <c r="E636">
        <v>6.4379336411423829</v>
      </c>
      <c r="F636">
        <v>299.85000000000002</v>
      </c>
    </row>
    <row r="637" spans="1:6" x14ac:dyDescent="0.25">
      <c r="A637">
        <v>788</v>
      </c>
      <c r="B637" t="s">
        <v>56</v>
      </c>
      <c r="C637">
        <v>202601</v>
      </c>
      <c r="D637">
        <v>2664.7733584405028</v>
      </c>
      <c r="E637">
        <v>5.9243516194764396</v>
      </c>
      <c r="F637">
        <v>449.8</v>
      </c>
    </row>
    <row r="638" spans="1:6" x14ac:dyDescent="0.25">
      <c r="A638">
        <v>789</v>
      </c>
      <c r="B638" t="s">
        <v>56</v>
      </c>
      <c r="C638">
        <v>202601</v>
      </c>
      <c r="D638">
        <v>2786.4291361954765</v>
      </c>
      <c r="E638">
        <v>8.1503133736851421</v>
      </c>
      <c r="F638">
        <v>341.88</v>
      </c>
    </row>
    <row r="639" spans="1:6" x14ac:dyDescent="0.25">
      <c r="A639">
        <v>634</v>
      </c>
      <c r="B639" t="s">
        <v>56</v>
      </c>
      <c r="C639">
        <v>202601</v>
      </c>
      <c r="D639">
        <v>13663.779504242997</v>
      </c>
      <c r="E639">
        <v>60.333728547900371</v>
      </c>
      <c r="F639">
        <v>226.47</v>
      </c>
    </row>
    <row r="640" spans="1:6" x14ac:dyDescent="0.25">
      <c r="A640">
        <v>635</v>
      </c>
      <c r="B640" t="s">
        <v>56</v>
      </c>
      <c r="C640">
        <v>202601</v>
      </c>
      <c r="D640">
        <v>1835.9053034048052</v>
      </c>
      <c r="E640">
        <v>4.5218228698918876</v>
      </c>
      <c r="F640">
        <v>406.01</v>
      </c>
    </row>
    <row r="641" spans="1:6" x14ac:dyDescent="0.25">
      <c r="A641">
        <v>636</v>
      </c>
      <c r="B641" t="s">
        <v>56</v>
      </c>
      <c r="C641">
        <v>202601</v>
      </c>
      <c r="D641">
        <v>8873.7537968360521</v>
      </c>
      <c r="E641">
        <v>39.208880332432187</v>
      </c>
      <c r="F641">
        <v>226.32</v>
      </c>
    </row>
    <row r="642" spans="1:6" x14ac:dyDescent="0.25">
      <c r="A642">
        <v>666</v>
      </c>
      <c r="B642" t="s">
        <v>56</v>
      </c>
      <c r="C642">
        <v>202601</v>
      </c>
      <c r="D642">
        <v>4599.7754454636797</v>
      </c>
      <c r="E642">
        <v>40.705977393483892</v>
      </c>
      <c r="F642">
        <v>113</v>
      </c>
    </row>
    <row r="643" spans="1:6" x14ac:dyDescent="0.25">
      <c r="A643">
        <v>667</v>
      </c>
      <c r="B643" t="s">
        <v>56</v>
      </c>
      <c r="C643">
        <v>202601</v>
      </c>
      <c r="D643">
        <v>14425.627476437336</v>
      </c>
      <c r="E643">
        <v>76.732061044879444</v>
      </c>
      <c r="F643">
        <v>188</v>
      </c>
    </row>
    <row r="644" spans="1:6" x14ac:dyDescent="0.25">
      <c r="A644">
        <v>668</v>
      </c>
      <c r="B644" t="s">
        <v>56</v>
      </c>
      <c r="C644">
        <v>202601</v>
      </c>
      <c r="D644">
        <v>13382.810917473234</v>
      </c>
      <c r="E644">
        <v>74.101943064635847</v>
      </c>
      <c r="F644">
        <v>180.6</v>
      </c>
    </row>
    <row r="645" spans="1:6" x14ac:dyDescent="0.25">
      <c r="A645">
        <v>665</v>
      </c>
      <c r="B645" t="s">
        <v>56</v>
      </c>
      <c r="C645">
        <v>202601</v>
      </c>
      <c r="D645">
        <v>4265.5080001166189</v>
      </c>
      <c r="E645">
        <v>18.967086131515938</v>
      </c>
      <c r="F645">
        <v>224.89</v>
      </c>
    </row>
    <row r="646" spans="1:6" x14ac:dyDescent="0.25">
      <c r="A646">
        <v>770</v>
      </c>
      <c r="B646" t="s">
        <v>56</v>
      </c>
      <c r="C646">
        <v>202601</v>
      </c>
      <c r="D646">
        <v>28303.179910616775</v>
      </c>
      <c r="E646">
        <v>50.316764285540934</v>
      </c>
      <c r="F646">
        <v>562.5</v>
      </c>
    </row>
    <row r="647" spans="1:6" x14ac:dyDescent="0.25">
      <c r="A647">
        <v>771</v>
      </c>
      <c r="B647" t="s">
        <v>56</v>
      </c>
      <c r="C647">
        <v>202601</v>
      </c>
      <c r="D647">
        <v>3964.5875777259744</v>
      </c>
      <c r="E647">
        <v>5.8752038792619663</v>
      </c>
      <c r="F647">
        <v>674.8</v>
      </c>
    </row>
    <row r="648" spans="1:6" x14ac:dyDescent="0.25">
      <c r="A648">
        <v>769</v>
      </c>
      <c r="B648" t="s">
        <v>56</v>
      </c>
      <c r="C648">
        <v>202601</v>
      </c>
      <c r="D648">
        <v>11678.793374354804</v>
      </c>
      <c r="E648">
        <v>34.60383222031053</v>
      </c>
      <c r="F648">
        <v>337.5</v>
      </c>
    </row>
    <row r="649" spans="1:6" x14ac:dyDescent="0.25">
      <c r="A649">
        <v>813</v>
      </c>
      <c r="B649" t="s">
        <v>56</v>
      </c>
      <c r="C649">
        <v>202601</v>
      </c>
      <c r="D649">
        <v>3124.3746849693766</v>
      </c>
      <c r="E649">
        <v>10.419789574372873</v>
      </c>
      <c r="F649">
        <v>299.8500749625187</v>
      </c>
    </row>
    <row r="650" spans="1:6" x14ac:dyDescent="0.25">
      <c r="A650">
        <v>814</v>
      </c>
      <c r="B650" t="s">
        <v>56</v>
      </c>
      <c r="C650">
        <v>202601</v>
      </c>
      <c r="D650">
        <v>3384.1739905967365</v>
      </c>
      <c r="E650">
        <v>7.5254035814915206</v>
      </c>
      <c r="F650">
        <v>449.7</v>
      </c>
    </row>
    <row r="651" spans="1:6" x14ac:dyDescent="0.25">
      <c r="A651">
        <v>815</v>
      </c>
      <c r="B651" t="s">
        <v>56</v>
      </c>
      <c r="C651">
        <v>202601</v>
      </c>
      <c r="D651">
        <v>572.7411002713618</v>
      </c>
      <c r="E651">
        <v>1.7366315957288108</v>
      </c>
      <c r="F651">
        <v>329.8</v>
      </c>
    </row>
    <row r="652" spans="1:6" x14ac:dyDescent="0.25">
      <c r="A652">
        <v>542</v>
      </c>
      <c r="B652" t="s">
        <v>57</v>
      </c>
      <c r="C652">
        <v>202601</v>
      </c>
      <c r="D652">
        <v>15587.036556586239</v>
      </c>
      <c r="E652">
        <v>258.14899894975554</v>
      </c>
      <c r="F652">
        <v>60.38</v>
      </c>
    </row>
    <row r="653" spans="1:6" x14ac:dyDescent="0.25">
      <c r="A653">
        <v>543</v>
      </c>
      <c r="B653" t="s">
        <v>57</v>
      </c>
      <c r="C653">
        <v>202601</v>
      </c>
      <c r="D653">
        <v>24571.149702376799</v>
      </c>
      <c r="E653">
        <v>108.91467066656382</v>
      </c>
      <c r="F653">
        <v>225.6</v>
      </c>
    </row>
    <row r="654" spans="1:6" x14ac:dyDescent="0.25">
      <c r="A654">
        <v>545</v>
      </c>
      <c r="B654" t="s">
        <v>57</v>
      </c>
      <c r="C654">
        <v>202601</v>
      </c>
      <c r="D654">
        <v>69622.979452657091</v>
      </c>
      <c r="E654">
        <v>193.07537285817273</v>
      </c>
      <c r="F654">
        <v>360.6</v>
      </c>
    </row>
    <row r="655" spans="1:6" x14ac:dyDescent="0.25">
      <c r="A655">
        <v>547</v>
      </c>
      <c r="B655" t="s">
        <v>57</v>
      </c>
      <c r="C655">
        <v>202601</v>
      </c>
      <c r="D655">
        <v>66678.101067093507</v>
      </c>
      <c r="E655">
        <v>153.83467392740289</v>
      </c>
      <c r="F655">
        <v>433.44</v>
      </c>
    </row>
    <row r="656" spans="1:6" x14ac:dyDescent="0.25">
      <c r="A656">
        <v>551</v>
      </c>
      <c r="B656" t="s">
        <v>57</v>
      </c>
      <c r="C656">
        <v>202601</v>
      </c>
      <c r="D656">
        <v>10959.566666564671</v>
      </c>
      <c r="E656">
        <v>40.612045751740425</v>
      </c>
      <c r="F656">
        <v>269.86</v>
      </c>
    </row>
    <row r="657" spans="1:6" x14ac:dyDescent="0.25">
      <c r="A657">
        <v>552</v>
      </c>
      <c r="B657" t="s">
        <v>57</v>
      </c>
      <c r="C657">
        <v>202601</v>
      </c>
      <c r="D657">
        <v>8796.9389870523883</v>
      </c>
      <c r="E657">
        <v>55.88196536051575</v>
      </c>
      <c r="F657">
        <v>157.41999999999999</v>
      </c>
    </row>
    <row r="658" spans="1:6" x14ac:dyDescent="0.25">
      <c r="A658">
        <v>578</v>
      </c>
      <c r="B658" t="s">
        <v>57</v>
      </c>
      <c r="C658">
        <v>202601</v>
      </c>
      <c r="D658">
        <v>0</v>
      </c>
      <c r="E658">
        <v>0</v>
      </c>
      <c r="F658">
        <v>225.56</v>
      </c>
    </row>
    <row r="659" spans="1:6" x14ac:dyDescent="0.25">
      <c r="A659">
        <v>596</v>
      </c>
      <c r="B659" t="s">
        <v>57</v>
      </c>
      <c r="C659">
        <v>202601</v>
      </c>
      <c r="D659">
        <v>1632.7629630804797</v>
      </c>
      <c r="E659">
        <v>4.5241423194249926</v>
      </c>
      <c r="F659">
        <v>360.9</v>
      </c>
    </row>
    <row r="660" spans="1:6" x14ac:dyDescent="0.25">
      <c r="A660">
        <v>598</v>
      </c>
      <c r="B660" t="s">
        <v>57</v>
      </c>
      <c r="C660">
        <v>202601</v>
      </c>
      <c r="D660">
        <v>5332.7960529167667</v>
      </c>
      <c r="E660">
        <v>11.820974115923939</v>
      </c>
      <c r="F660">
        <v>451.13</v>
      </c>
    </row>
    <row r="661" spans="1:6" x14ac:dyDescent="0.25">
      <c r="A661">
        <v>597</v>
      </c>
      <c r="B661" t="s">
        <v>57</v>
      </c>
      <c r="C661">
        <v>202601</v>
      </c>
      <c r="D661">
        <v>1487.319465344289</v>
      </c>
      <c r="E661">
        <v>4.9602116569761181</v>
      </c>
      <c r="F661">
        <v>299.85000000000002</v>
      </c>
    </row>
    <row r="662" spans="1:6" x14ac:dyDescent="0.25">
      <c r="A662">
        <v>788</v>
      </c>
      <c r="B662" t="s">
        <v>57</v>
      </c>
      <c r="C662">
        <v>202601</v>
      </c>
      <c r="D662">
        <v>1489.2754696073157</v>
      </c>
      <c r="E662">
        <v>3.3109725869437874</v>
      </c>
      <c r="F662">
        <v>449.8</v>
      </c>
    </row>
    <row r="663" spans="1:6" x14ac:dyDescent="0.25">
      <c r="A663">
        <v>789</v>
      </c>
      <c r="B663" t="s">
        <v>57</v>
      </c>
      <c r="C663">
        <v>202601</v>
      </c>
      <c r="D663">
        <v>1278.0284584451633</v>
      </c>
      <c r="E663">
        <v>3.7382369791890819</v>
      </c>
      <c r="F663">
        <v>341.88</v>
      </c>
    </row>
    <row r="664" spans="1:6" x14ac:dyDescent="0.25">
      <c r="A664">
        <v>634</v>
      </c>
      <c r="B664" t="s">
        <v>57</v>
      </c>
      <c r="C664">
        <v>202601</v>
      </c>
      <c r="D664">
        <v>5279.0043065392083</v>
      </c>
      <c r="E664">
        <v>23.309949691081417</v>
      </c>
      <c r="F664">
        <v>226.47</v>
      </c>
    </row>
    <row r="665" spans="1:6" x14ac:dyDescent="0.25">
      <c r="A665">
        <v>635</v>
      </c>
      <c r="B665" t="s">
        <v>57</v>
      </c>
      <c r="C665">
        <v>202601</v>
      </c>
      <c r="D665">
        <v>1943.4328037775017</v>
      </c>
      <c r="E665">
        <v>4.7866624067818568</v>
      </c>
      <c r="F665">
        <v>406.01</v>
      </c>
    </row>
    <row r="666" spans="1:6" x14ac:dyDescent="0.25">
      <c r="A666">
        <v>636</v>
      </c>
      <c r="B666" t="s">
        <v>57</v>
      </c>
      <c r="C666">
        <v>202601</v>
      </c>
      <c r="D666">
        <v>6310.0173044347066</v>
      </c>
      <c r="E666">
        <v>27.880953094886475</v>
      </c>
      <c r="F666">
        <v>226.32</v>
      </c>
    </row>
    <row r="667" spans="1:6" x14ac:dyDescent="0.25">
      <c r="A667">
        <v>666</v>
      </c>
      <c r="B667" t="s">
        <v>57</v>
      </c>
      <c r="C667">
        <v>202601</v>
      </c>
      <c r="D667">
        <v>3111.6591647539476</v>
      </c>
      <c r="E667">
        <v>27.536806767734049</v>
      </c>
      <c r="F667">
        <v>113</v>
      </c>
    </row>
    <row r="668" spans="1:6" x14ac:dyDescent="0.25">
      <c r="A668">
        <v>667</v>
      </c>
      <c r="B668" t="s">
        <v>57</v>
      </c>
      <c r="C668">
        <v>202601</v>
      </c>
      <c r="D668">
        <v>6881.5212833005626</v>
      </c>
      <c r="E668">
        <v>36.603836613300864</v>
      </c>
      <c r="F668">
        <v>188</v>
      </c>
    </row>
    <row r="669" spans="1:6" x14ac:dyDescent="0.25">
      <c r="A669">
        <v>668</v>
      </c>
      <c r="B669" t="s">
        <v>57</v>
      </c>
      <c r="C669">
        <v>202601</v>
      </c>
      <c r="D669">
        <v>8134.1711470236305</v>
      </c>
      <c r="E669">
        <v>45.039707347860634</v>
      </c>
      <c r="F669">
        <v>180.6</v>
      </c>
    </row>
    <row r="670" spans="1:6" x14ac:dyDescent="0.25">
      <c r="A670">
        <v>665</v>
      </c>
      <c r="B670" t="s">
        <v>57</v>
      </c>
      <c r="C670">
        <v>202601</v>
      </c>
      <c r="D670">
        <v>5979.7996290200908</v>
      </c>
      <c r="E670">
        <v>26.589886740273428</v>
      </c>
      <c r="F670">
        <v>224.89</v>
      </c>
    </row>
    <row r="671" spans="1:6" x14ac:dyDescent="0.25">
      <c r="A671">
        <v>770</v>
      </c>
      <c r="B671" t="s">
        <v>57</v>
      </c>
      <c r="C671">
        <v>202601</v>
      </c>
      <c r="D671">
        <v>44558.261586380089</v>
      </c>
      <c r="E671">
        <v>79.214687264675717</v>
      </c>
      <c r="F671">
        <v>562.5</v>
      </c>
    </row>
    <row r="672" spans="1:6" x14ac:dyDescent="0.25">
      <c r="A672">
        <v>771</v>
      </c>
      <c r="B672" t="s">
        <v>57</v>
      </c>
      <c r="C672">
        <v>202601</v>
      </c>
      <c r="D672">
        <v>4455.8199448860423</v>
      </c>
      <c r="E672">
        <v>6.6031712283432755</v>
      </c>
      <c r="F672">
        <v>674.8</v>
      </c>
    </row>
    <row r="673" spans="1:6" x14ac:dyDescent="0.25">
      <c r="A673">
        <v>769</v>
      </c>
      <c r="B673" t="s">
        <v>57</v>
      </c>
      <c r="C673">
        <v>202601</v>
      </c>
      <c r="D673">
        <v>19399.475913698243</v>
      </c>
      <c r="E673">
        <v>57.479928633179981</v>
      </c>
      <c r="F673">
        <v>337.5</v>
      </c>
    </row>
    <row r="674" spans="1:6" x14ac:dyDescent="0.25">
      <c r="A674">
        <v>813</v>
      </c>
      <c r="B674" t="s">
        <v>57</v>
      </c>
      <c r="C674">
        <v>202601</v>
      </c>
      <c r="D674">
        <v>1764.7770494305385</v>
      </c>
      <c r="E674">
        <v>5.8855314598508466</v>
      </c>
      <c r="F674">
        <v>299.8500749625187</v>
      </c>
    </row>
    <row r="675" spans="1:6" x14ac:dyDescent="0.25">
      <c r="A675">
        <v>814</v>
      </c>
      <c r="B675" t="s">
        <v>57</v>
      </c>
      <c r="C675">
        <v>202601</v>
      </c>
      <c r="D675">
        <v>1911.5225259685576</v>
      </c>
      <c r="E675">
        <v>4.2506616098922789</v>
      </c>
      <c r="F675">
        <v>449.7</v>
      </c>
    </row>
    <row r="676" spans="1:6" x14ac:dyDescent="0.25">
      <c r="A676">
        <v>815</v>
      </c>
      <c r="B676" t="s">
        <v>57</v>
      </c>
      <c r="C676">
        <v>202601</v>
      </c>
      <c r="D676">
        <v>323.50804590980141</v>
      </c>
      <c r="E676">
        <v>0.98092190997514073</v>
      </c>
      <c r="F676">
        <v>329.8</v>
      </c>
    </row>
    <row r="677" spans="1:6" x14ac:dyDescent="0.25">
      <c r="A677">
        <v>542</v>
      </c>
      <c r="B677" t="s">
        <v>58</v>
      </c>
      <c r="C677">
        <v>202601</v>
      </c>
      <c r="D677">
        <v>5837.7485106833128</v>
      </c>
      <c r="E677">
        <v>96.683479805950853</v>
      </c>
      <c r="F677">
        <v>60.38</v>
      </c>
    </row>
    <row r="678" spans="1:6" x14ac:dyDescent="0.25">
      <c r="A678">
        <v>543</v>
      </c>
      <c r="B678" t="s">
        <v>58</v>
      </c>
      <c r="C678">
        <v>202601</v>
      </c>
      <c r="D678">
        <v>8260.5608758208728</v>
      </c>
      <c r="E678">
        <v>36.61596132899323</v>
      </c>
      <c r="F678">
        <v>225.6</v>
      </c>
    </row>
    <row r="679" spans="1:6" x14ac:dyDescent="0.25">
      <c r="A679">
        <v>545</v>
      </c>
      <c r="B679" t="s">
        <v>58</v>
      </c>
      <c r="C679">
        <v>202601</v>
      </c>
      <c r="D679">
        <v>37059.49289377829</v>
      </c>
      <c r="E679">
        <v>102.77174956677284</v>
      </c>
      <c r="F679">
        <v>360.6</v>
      </c>
    </row>
    <row r="680" spans="1:6" x14ac:dyDescent="0.25">
      <c r="A680">
        <v>547</v>
      </c>
      <c r="B680" t="s">
        <v>58</v>
      </c>
      <c r="C680">
        <v>202601</v>
      </c>
      <c r="D680">
        <v>49648.099670030068</v>
      </c>
      <c r="E680">
        <v>114.54434216968916</v>
      </c>
      <c r="F680">
        <v>433.44</v>
      </c>
    </row>
    <row r="681" spans="1:6" x14ac:dyDescent="0.25">
      <c r="A681">
        <v>551</v>
      </c>
      <c r="B681" t="s">
        <v>58</v>
      </c>
      <c r="C681">
        <v>202601</v>
      </c>
      <c r="D681">
        <v>12755.435987861436</v>
      </c>
      <c r="E681">
        <v>47.266864255026441</v>
      </c>
      <c r="F681">
        <v>269.86</v>
      </c>
    </row>
    <row r="682" spans="1:6" x14ac:dyDescent="0.25">
      <c r="A682">
        <v>552</v>
      </c>
      <c r="B682" t="s">
        <v>58</v>
      </c>
      <c r="C682">
        <v>202601</v>
      </c>
      <c r="D682">
        <v>5728.8469207420967</v>
      </c>
      <c r="E682">
        <v>36.392116127189027</v>
      </c>
      <c r="F682">
        <v>157.41999999999999</v>
      </c>
    </row>
    <row r="683" spans="1:6" x14ac:dyDescent="0.25">
      <c r="A683">
        <v>578</v>
      </c>
      <c r="B683" t="s">
        <v>58</v>
      </c>
      <c r="C683">
        <v>202601</v>
      </c>
      <c r="D683">
        <v>0</v>
      </c>
      <c r="E683">
        <v>0</v>
      </c>
      <c r="F683">
        <v>225.56</v>
      </c>
    </row>
    <row r="684" spans="1:6" x14ac:dyDescent="0.25">
      <c r="A684">
        <v>596</v>
      </c>
      <c r="B684" t="s">
        <v>58</v>
      </c>
      <c r="C684">
        <v>202601</v>
      </c>
      <c r="D684">
        <v>4587.2400028702559</v>
      </c>
      <c r="E684">
        <v>12.710556948933933</v>
      </c>
      <c r="F684">
        <v>360.9</v>
      </c>
    </row>
    <row r="685" spans="1:6" x14ac:dyDescent="0.25">
      <c r="A685">
        <v>598</v>
      </c>
      <c r="B685" t="s">
        <v>58</v>
      </c>
      <c r="C685">
        <v>202601</v>
      </c>
      <c r="D685">
        <v>4487.5722396755109</v>
      </c>
      <c r="E685">
        <v>9.947403718829408</v>
      </c>
      <c r="F685">
        <v>451.13</v>
      </c>
    </row>
    <row r="686" spans="1:6" x14ac:dyDescent="0.25">
      <c r="A686">
        <v>597</v>
      </c>
      <c r="B686" t="s">
        <v>58</v>
      </c>
      <c r="C686">
        <v>202601</v>
      </c>
      <c r="D686">
        <v>2870.6702787241043</v>
      </c>
      <c r="E686">
        <v>9.5736877729668297</v>
      </c>
      <c r="F686">
        <v>299.85000000000002</v>
      </c>
    </row>
    <row r="687" spans="1:6" x14ac:dyDescent="0.25">
      <c r="A687">
        <v>788</v>
      </c>
      <c r="B687" t="s">
        <v>58</v>
      </c>
      <c r="C687">
        <v>202601</v>
      </c>
      <c r="D687">
        <v>892.69801561078395</v>
      </c>
      <c r="E687">
        <v>1.984655437107123</v>
      </c>
      <c r="F687">
        <v>449.8</v>
      </c>
    </row>
    <row r="688" spans="1:6" x14ac:dyDescent="0.25">
      <c r="A688">
        <v>789</v>
      </c>
      <c r="B688" t="s">
        <v>58</v>
      </c>
      <c r="C688">
        <v>202601</v>
      </c>
      <c r="D688">
        <v>1169.2478580399425</v>
      </c>
      <c r="E688">
        <v>3.4200534048202367</v>
      </c>
      <c r="F688">
        <v>341.88</v>
      </c>
    </row>
    <row r="689" spans="1:6" x14ac:dyDescent="0.25">
      <c r="A689">
        <v>634</v>
      </c>
      <c r="B689" t="s">
        <v>58</v>
      </c>
      <c r="C689">
        <v>202601</v>
      </c>
      <c r="D689">
        <v>15201.40759108264</v>
      </c>
      <c r="E689">
        <v>67.123272800294259</v>
      </c>
      <c r="F689">
        <v>226.47</v>
      </c>
    </row>
    <row r="690" spans="1:6" x14ac:dyDescent="0.25">
      <c r="A690">
        <v>635</v>
      </c>
      <c r="B690" t="s">
        <v>58</v>
      </c>
      <c r="C690">
        <v>202601</v>
      </c>
      <c r="D690">
        <v>5190.8181454399928</v>
      </c>
      <c r="E690">
        <v>12.784951467796342</v>
      </c>
      <c r="F690">
        <v>406.01</v>
      </c>
    </row>
    <row r="691" spans="1:6" x14ac:dyDescent="0.25">
      <c r="A691">
        <v>636</v>
      </c>
      <c r="B691" t="s">
        <v>58</v>
      </c>
      <c r="C691">
        <v>202601</v>
      </c>
      <c r="D691">
        <v>11670.796385042067</v>
      </c>
      <c r="E691">
        <v>51.567675791101394</v>
      </c>
      <c r="F691">
        <v>226.32</v>
      </c>
    </row>
    <row r="692" spans="1:6" x14ac:dyDescent="0.25">
      <c r="A692">
        <v>666</v>
      </c>
      <c r="B692" t="s">
        <v>58</v>
      </c>
      <c r="C692">
        <v>202601</v>
      </c>
      <c r="D692">
        <v>3778.7918478688284</v>
      </c>
      <c r="E692">
        <v>33.440635821848041</v>
      </c>
      <c r="F692">
        <v>113</v>
      </c>
    </row>
    <row r="693" spans="1:6" x14ac:dyDescent="0.25">
      <c r="A693">
        <v>667</v>
      </c>
      <c r="B693" t="s">
        <v>58</v>
      </c>
      <c r="C693">
        <v>202601</v>
      </c>
      <c r="D693">
        <v>7451.5098567732684</v>
      </c>
      <c r="E693">
        <v>39.635690727517385</v>
      </c>
      <c r="F693">
        <v>188</v>
      </c>
    </row>
    <row r="694" spans="1:6" x14ac:dyDescent="0.25">
      <c r="A694">
        <v>668</v>
      </c>
      <c r="B694" t="s">
        <v>58</v>
      </c>
      <c r="C694">
        <v>202601</v>
      </c>
      <c r="D694">
        <v>12115.522712809592</v>
      </c>
      <c r="E694">
        <v>67.084843371038716</v>
      </c>
      <c r="F694">
        <v>180.6</v>
      </c>
    </row>
    <row r="695" spans="1:6" x14ac:dyDescent="0.25">
      <c r="A695">
        <v>665</v>
      </c>
      <c r="B695" t="s">
        <v>58</v>
      </c>
      <c r="C695">
        <v>202601</v>
      </c>
      <c r="D695">
        <v>4896.6325027278481</v>
      </c>
      <c r="E695">
        <v>21.773455923908791</v>
      </c>
      <c r="F695">
        <v>224.89</v>
      </c>
    </row>
    <row r="696" spans="1:6" x14ac:dyDescent="0.25">
      <c r="A696">
        <v>770</v>
      </c>
      <c r="B696" t="s">
        <v>58</v>
      </c>
      <c r="C696">
        <v>202601</v>
      </c>
      <c r="D696">
        <v>33298.792237430163</v>
      </c>
      <c r="E696">
        <v>59.197852866542512</v>
      </c>
      <c r="F696">
        <v>562.5</v>
      </c>
    </row>
    <row r="697" spans="1:6" x14ac:dyDescent="0.25">
      <c r="A697">
        <v>771</v>
      </c>
      <c r="B697" t="s">
        <v>58</v>
      </c>
      <c r="C697">
        <v>202601</v>
      </c>
      <c r="D697">
        <v>3396.6046365777488</v>
      </c>
      <c r="E697">
        <v>5.0334982759006355</v>
      </c>
      <c r="F697">
        <v>674.8</v>
      </c>
    </row>
    <row r="698" spans="1:6" x14ac:dyDescent="0.25">
      <c r="A698">
        <v>769</v>
      </c>
      <c r="B698" t="s">
        <v>58</v>
      </c>
      <c r="C698">
        <v>202601</v>
      </c>
      <c r="D698">
        <v>15841.628896140934</v>
      </c>
      <c r="E698">
        <v>46.93815969226943</v>
      </c>
      <c r="F698">
        <v>337.5</v>
      </c>
    </row>
    <row r="699" spans="1:6" x14ac:dyDescent="0.25">
      <c r="A699">
        <v>813</v>
      </c>
      <c r="B699" t="s">
        <v>58</v>
      </c>
      <c r="C699">
        <v>202601</v>
      </c>
      <c r="D699">
        <v>4132.6092722636513</v>
      </c>
      <c r="E699">
        <v>13.782251922999279</v>
      </c>
      <c r="F699">
        <v>299.8500749625187</v>
      </c>
    </row>
    <row r="700" spans="1:6" x14ac:dyDescent="0.25">
      <c r="A700">
        <v>814</v>
      </c>
      <c r="B700" t="s">
        <v>58</v>
      </c>
      <c r="C700">
        <v>202601</v>
      </c>
      <c r="D700">
        <v>4476.2457203914491</v>
      </c>
      <c r="E700">
        <v>9.9538486110550348</v>
      </c>
      <c r="F700">
        <v>449.7</v>
      </c>
    </row>
    <row r="701" spans="1:6" x14ac:dyDescent="0.25">
      <c r="A701">
        <v>815</v>
      </c>
      <c r="B701" t="s">
        <v>58</v>
      </c>
      <c r="C701">
        <v>202601</v>
      </c>
      <c r="D701">
        <v>757.56444736752644</v>
      </c>
      <c r="E701">
        <v>2.2970419871665446</v>
      </c>
      <c r="F701">
        <v>329.8</v>
      </c>
    </row>
    <row r="702" spans="1:6" x14ac:dyDescent="0.25">
      <c r="A702">
        <v>542</v>
      </c>
      <c r="B702" t="s">
        <v>181</v>
      </c>
      <c r="C702">
        <v>202601</v>
      </c>
      <c r="D702">
        <v>8120.9449394027779</v>
      </c>
      <c r="E702">
        <v>134.49726630345774</v>
      </c>
      <c r="F702">
        <v>60.38</v>
      </c>
    </row>
    <row r="703" spans="1:6" x14ac:dyDescent="0.25">
      <c r="A703">
        <v>543</v>
      </c>
      <c r="B703" t="s">
        <v>181</v>
      </c>
      <c r="C703">
        <v>202601</v>
      </c>
      <c r="D703">
        <v>8398.2182564275117</v>
      </c>
      <c r="E703">
        <v>37.226144753668052</v>
      </c>
      <c r="F703">
        <v>225.6</v>
      </c>
    </row>
    <row r="704" spans="1:6" x14ac:dyDescent="0.25">
      <c r="A704">
        <v>545</v>
      </c>
      <c r="B704" t="s">
        <v>181</v>
      </c>
      <c r="C704">
        <v>202601</v>
      </c>
      <c r="D704">
        <v>78207.535841224148</v>
      </c>
      <c r="E704">
        <v>216.88168563844744</v>
      </c>
      <c r="F704">
        <v>360.6</v>
      </c>
    </row>
    <row r="705" spans="1:6" x14ac:dyDescent="0.25">
      <c r="A705">
        <v>547</v>
      </c>
      <c r="B705" t="s">
        <v>181</v>
      </c>
      <c r="C705">
        <v>202601</v>
      </c>
      <c r="D705">
        <v>80652.569739332946</v>
      </c>
      <c r="E705">
        <v>186.07551158022551</v>
      </c>
      <c r="F705">
        <v>433.44</v>
      </c>
    </row>
    <row r="706" spans="1:6" x14ac:dyDescent="0.25">
      <c r="A706">
        <v>551</v>
      </c>
      <c r="B706" t="s">
        <v>181</v>
      </c>
      <c r="C706">
        <v>202601</v>
      </c>
      <c r="D706">
        <v>3806.4323099155818</v>
      </c>
      <c r="E706">
        <v>14.105211257376348</v>
      </c>
      <c r="F706">
        <v>269.86</v>
      </c>
    </row>
    <row r="707" spans="1:6" x14ac:dyDescent="0.25">
      <c r="A707">
        <v>552</v>
      </c>
      <c r="B707" t="s">
        <v>181</v>
      </c>
      <c r="C707">
        <v>202601</v>
      </c>
      <c r="D707">
        <v>3412.2307340306957</v>
      </c>
      <c r="E707">
        <v>21.67596705647755</v>
      </c>
      <c r="F707">
        <v>157.41999999999999</v>
      </c>
    </row>
    <row r="708" spans="1:6" x14ac:dyDescent="0.25">
      <c r="A708">
        <v>578</v>
      </c>
      <c r="B708" t="s">
        <v>181</v>
      </c>
      <c r="C708">
        <v>202601</v>
      </c>
      <c r="D708">
        <v>0</v>
      </c>
      <c r="E708">
        <v>0</v>
      </c>
      <c r="F708">
        <v>225.56</v>
      </c>
    </row>
    <row r="709" spans="1:6" x14ac:dyDescent="0.25">
      <c r="A709">
        <v>596</v>
      </c>
      <c r="B709" t="s">
        <v>181</v>
      </c>
      <c r="C709">
        <v>202601</v>
      </c>
      <c r="D709">
        <v>1861.0811256901236</v>
      </c>
      <c r="E709">
        <v>5.1567778489612737</v>
      </c>
      <c r="F709">
        <v>360.9</v>
      </c>
    </row>
    <row r="710" spans="1:6" x14ac:dyDescent="0.25">
      <c r="A710">
        <v>598</v>
      </c>
      <c r="B710" t="s">
        <v>181</v>
      </c>
      <c r="C710">
        <v>202601</v>
      </c>
      <c r="D710">
        <v>8534.967752748682</v>
      </c>
      <c r="E710">
        <v>18.919087076338709</v>
      </c>
      <c r="F710">
        <v>451.13</v>
      </c>
    </row>
    <row r="711" spans="1:6" x14ac:dyDescent="0.25">
      <c r="A711">
        <v>597</v>
      </c>
      <c r="B711" t="s">
        <v>181</v>
      </c>
      <c r="C711">
        <v>202601</v>
      </c>
      <c r="D711">
        <v>757.21575988248446</v>
      </c>
      <c r="E711">
        <v>2.5253151905368831</v>
      </c>
      <c r="F711">
        <v>299.85000000000002</v>
      </c>
    </row>
    <row r="712" spans="1:6" x14ac:dyDescent="0.25">
      <c r="A712">
        <v>788</v>
      </c>
      <c r="B712" t="s">
        <v>181</v>
      </c>
      <c r="C712">
        <v>202601</v>
      </c>
      <c r="D712">
        <v>0</v>
      </c>
      <c r="E712">
        <v>0</v>
      </c>
      <c r="F712">
        <v>449.8</v>
      </c>
    </row>
    <row r="713" spans="1:6" x14ac:dyDescent="0.25">
      <c r="A713">
        <v>789</v>
      </c>
      <c r="B713" t="s">
        <v>181</v>
      </c>
      <c r="C713">
        <v>202601</v>
      </c>
      <c r="D713">
        <v>2882.3721766176241</v>
      </c>
      <c r="E713">
        <v>8.4309470475535981</v>
      </c>
      <c r="F713">
        <v>341.88</v>
      </c>
    </row>
    <row r="714" spans="1:6" x14ac:dyDescent="0.25">
      <c r="A714">
        <v>634</v>
      </c>
      <c r="B714" t="s">
        <v>181</v>
      </c>
      <c r="C714">
        <v>202601</v>
      </c>
      <c r="D714">
        <v>23991.976826808161</v>
      </c>
      <c r="E714">
        <v>105.93887414142341</v>
      </c>
      <c r="F714">
        <v>226.47</v>
      </c>
    </row>
    <row r="715" spans="1:6" x14ac:dyDescent="0.25">
      <c r="A715">
        <v>635</v>
      </c>
      <c r="B715" t="s">
        <v>181</v>
      </c>
      <c r="C715">
        <v>202601</v>
      </c>
      <c r="D715">
        <v>14082.201715413163</v>
      </c>
      <c r="E715">
        <v>34.684371605165296</v>
      </c>
      <c r="F715">
        <v>406.01</v>
      </c>
    </row>
    <row r="716" spans="1:6" x14ac:dyDescent="0.25">
      <c r="A716">
        <v>636</v>
      </c>
      <c r="B716" t="s">
        <v>181</v>
      </c>
      <c r="C716">
        <v>202601</v>
      </c>
      <c r="D716">
        <v>15810.573486596679</v>
      </c>
      <c r="E716">
        <v>69.859373836146517</v>
      </c>
      <c r="F716">
        <v>226.32</v>
      </c>
    </row>
    <row r="717" spans="1:6" x14ac:dyDescent="0.25">
      <c r="A717">
        <v>666</v>
      </c>
      <c r="B717" t="s">
        <v>181</v>
      </c>
      <c r="C717">
        <v>202601</v>
      </c>
      <c r="D717">
        <v>2910.5580788297752</v>
      </c>
      <c r="E717">
        <v>25.757151140086506</v>
      </c>
      <c r="F717">
        <v>113</v>
      </c>
    </row>
    <row r="718" spans="1:6" x14ac:dyDescent="0.25">
      <c r="A718">
        <v>667</v>
      </c>
      <c r="B718" t="s">
        <v>181</v>
      </c>
      <c r="C718">
        <v>202601</v>
      </c>
      <c r="D718">
        <v>19217.576081498897</v>
      </c>
      <c r="E718">
        <v>102.22114936967499</v>
      </c>
      <c r="F718">
        <v>188</v>
      </c>
    </row>
    <row r="719" spans="1:6" x14ac:dyDescent="0.25">
      <c r="A719">
        <v>668</v>
      </c>
      <c r="B719" t="s">
        <v>181</v>
      </c>
      <c r="C719">
        <v>202601</v>
      </c>
      <c r="D719">
        <v>23306.957524154488</v>
      </c>
      <c r="E719">
        <v>129.05292095323637</v>
      </c>
      <c r="F719">
        <v>180.6</v>
      </c>
    </row>
    <row r="720" spans="1:6" x14ac:dyDescent="0.25">
      <c r="A720">
        <v>665</v>
      </c>
      <c r="B720" t="s">
        <v>181</v>
      </c>
      <c r="C720">
        <v>202601</v>
      </c>
      <c r="D720">
        <v>1627.0711341222034</v>
      </c>
      <c r="E720">
        <v>7.2349643564507247</v>
      </c>
      <c r="F720">
        <v>224.89</v>
      </c>
    </row>
    <row r="721" spans="1:6" x14ac:dyDescent="0.25">
      <c r="A721">
        <v>770</v>
      </c>
      <c r="B721" t="s">
        <v>181</v>
      </c>
      <c r="C721">
        <v>202601</v>
      </c>
      <c r="D721">
        <v>13421.910652169994</v>
      </c>
      <c r="E721">
        <v>23.861174492746656</v>
      </c>
      <c r="F721">
        <v>562.5</v>
      </c>
    </row>
    <row r="722" spans="1:6" x14ac:dyDescent="0.25">
      <c r="A722">
        <v>771</v>
      </c>
      <c r="B722" t="s">
        <v>181</v>
      </c>
      <c r="C722">
        <v>202601</v>
      </c>
      <c r="D722">
        <v>1347.5486403925183</v>
      </c>
      <c r="E722">
        <v>1.9969600480031393</v>
      </c>
      <c r="F722">
        <v>674.8</v>
      </c>
    </row>
    <row r="723" spans="1:6" x14ac:dyDescent="0.25">
      <c r="A723">
        <v>769</v>
      </c>
      <c r="B723" t="s">
        <v>181</v>
      </c>
      <c r="C723">
        <v>202601</v>
      </c>
      <c r="D723">
        <v>4935.5855844136877</v>
      </c>
      <c r="E723">
        <v>14.623957287151667</v>
      </c>
      <c r="F723">
        <v>337.5</v>
      </c>
    </row>
    <row r="724" spans="1:6" x14ac:dyDescent="0.25">
      <c r="A724">
        <v>813</v>
      </c>
      <c r="B724" t="s">
        <v>181</v>
      </c>
      <c r="C724">
        <v>202601</v>
      </c>
      <c r="D724">
        <v>6926.7220046373668</v>
      </c>
      <c r="E724">
        <v>23.100617885465621</v>
      </c>
      <c r="F724">
        <v>299.8500749625187</v>
      </c>
    </row>
    <row r="725" spans="1:6" x14ac:dyDescent="0.25">
      <c r="A725">
        <v>814</v>
      </c>
      <c r="B725" t="s">
        <v>181</v>
      </c>
      <c r="C725">
        <v>202601</v>
      </c>
      <c r="D725">
        <v>7502.6956789011429</v>
      </c>
      <c r="E725">
        <v>16.683779583947395</v>
      </c>
      <c r="F725">
        <v>449.7</v>
      </c>
    </row>
    <row r="726" spans="1:6" x14ac:dyDescent="0.25">
      <c r="A726">
        <v>815</v>
      </c>
      <c r="B726" t="s">
        <v>181</v>
      </c>
      <c r="C726">
        <v>202601</v>
      </c>
      <c r="D726">
        <v>1269.7639631044262</v>
      </c>
      <c r="E726">
        <v>3.8501029809109344</v>
      </c>
      <c r="F726">
        <v>329.8</v>
      </c>
    </row>
    <row r="727" spans="1:6" x14ac:dyDescent="0.25">
      <c r="A727">
        <v>542</v>
      </c>
      <c r="B727" t="s">
        <v>87</v>
      </c>
      <c r="C727">
        <v>202601</v>
      </c>
      <c r="D727">
        <v>8520.747325522756</v>
      </c>
      <c r="E727">
        <v>141.11870363568659</v>
      </c>
      <c r="F727">
        <v>60.38</v>
      </c>
    </row>
    <row r="728" spans="1:6" x14ac:dyDescent="0.25">
      <c r="A728">
        <v>543</v>
      </c>
      <c r="B728" t="s">
        <v>87</v>
      </c>
      <c r="C728">
        <v>202601</v>
      </c>
      <c r="D728">
        <v>14082.839471380064</v>
      </c>
      <c r="E728">
        <v>62.423933827039292</v>
      </c>
      <c r="F728">
        <v>225.6</v>
      </c>
    </row>
    <row r="729" spans="1:6" x14ac:dyDescent="0.25">
      <c r="A729">
        <v>545</v>
      </c>
      <c r="B729" t="s">
        <v>87</v>
      </c>
      <c r="C729">
        <v>202601</v>
      </c>
      <c r="D729">
        <v>51326.629006785428</v>
      </c>
      <c r="E729">
        <v>142.33674156069171</v>
      </c>
      <c r="F729">
        <v>360.6</v>
      </c>
    </row>
    <row r="730" spans="1:6" x14ac:dyDescent="0.25">
      <c r="A730">
        <v>547</v>
      </c>
      <c r="B730" t="s">
        <v>87</v>
      </c>
      <c r="C730">
        <v>202601</v>
      </c>
      <c r="D730">
        <v>55347.228943193819</v>
      </c>
      <c r="E730">
        <v>127.69294237540102</v>
      </c>
      <c r="F730">
        <v>433.44</v>
      </c>
    </row>
    <row r="731" spans="1:6" x14ac:dyDescent="0.25">
      <c r="A731">
        <v>551</v>
      </c>
      <c r="B731" t="s">
        <v>87</v>
      </c>
      <c r="C731">
        <v>202601</v>
      </c>
      <c r="D731">
        <v>5050.7940717030688</v>
      </c>
      <c r="E731">
        <v>18.71634948381779</v>
      </c>
      <c r="F731">
        <v>269.86</v>
      </c>
    </row>
    <row r="732" spans="1:6" x14ac:dyDescent="0.25">
      <c r="A732">
        <v>552</v>
      </c>
      <c r="B732" t="s">
        <v>87</v>
      </c>
      <c r="C732">
        <v>202601</v>
      </c>
      <c r="D732">
        <v>2612.4807368167735</v>
      </c>
      <c r="E732">
        <v>16.595608796955748</v>
      </c>
      <c r="F732">
        <v>157.41999999999999</v>
      </c>
    </row>
    <row r="733" spans="1:6" x14ac:dyDescent="0.25">
      <c r="A733">
        <v>578</v>
      </c>
      <c r="B733" t="s">
        <v>87</v>
      </c>
      <c r="C733">
        <v>202601</v>
      </c>
      <c r="D733">
        <v>0</v>
      </c>
      <c r="E733">
        <v>0</v>
      </c>
      <c r="F733">
        <v>225.56</v>
      </c>
    </row>
    <row r="734" spans="1:6" x14ac:dyDescent="0.25">
      <c r="A734">
        <v>596</v>
      </c>
      <c r="B734" t="s">
        <v>87</v>
      </c>
      <c r="C734">
        <v>202601</v>
      </c>
      <c r="D734">
        <v>2911.3004038267609</v>
      </c>
      <c r="E734">
        <v>8.0667786196363558</v>
      </c>
      <c r="F734">
        <v>360.9</v>
      </c>
    </row>
    <row r="735" spans="1:6" x14ac:dyDescent="0.25">
      <c r="A735">
        <v>598</v>
      </c>
      <c r="B735" t="s">
        <v>87</v>
      </c>
      <c r="C735">
        <v>202601</v>
      </c>
      <c r="D735">
        <v>6992.8824536338179</v>
      </c>
      <c r="E735">
        <v>15.500814518284791</v>
      </c>
      <c r="F735">
        <v>451.13</v>
      </c>
    </row>
    <row r="736" spans="1:6" x14ac:dyDescent="0.25">
      <c r="A736">
        <v>597</v>
      </c>
      <c r="B736" t="s">
        <v>87</v>
      </c>
      <c r="C736">
        <v>202601</v>
      </c>
      <c r="D736">
        <v>1537.297679516025</v>
      </c>
      <c r="E736">
        <v>5.1268890429082035</v>
      </c>
      <c r="F736">
        <v>299.85000000000002</v>
      </c>
    </row>
    <row r="737" spans="1:6" x14ac:dyDescent="0.25">
      <c r="A737">
        <v>788</v>
      </c>
      <c r="B737" t="s">
        <v>87</v>
      </c>
      <c r="C737">
        <v>202601</v>
      </c>
      <c r="D737">
        <v>652.92763989264472</v>
      </c>
      <c r="E737">
        <v>1.4515954644122826</v>
      </c>
      <c r="F737">
        <v>449.8</v>
      </c>
    </row>
    <row r="738" spans="1:6" x14ac:dyDescent="0.25">
      <c r="A738">
        <v>789</v>
      </c>
      <c r="B738" t="s">
        <v>87</v>
      </c>
      <c r="C738">
        <v>202601</v>
      </c>
      <c r="D738">
        <v>740.20355544306119</v>
      </c>
      <c r="E738">
        <v>2.1650975647685189</v>
      </c>
      <c r="F738">
        <v>341.88</v>
      </c>
    </row>
    <row r="739" spans="1:6" x14ac:dyDescent="0.25">
      <c r="A739">
        <v>634</v>
      </c>
      <c r="B739" t="s">
        <v>87</v>
      </c>
      <c r="C739">
        <v>202601</v>
      </c>
      <c r="D739">
        <v>14109.171521633914</v>
      </c>
      <c r="E739">
        <v>62.300399706954188</v>
      </c>
      <c r="F739">
        <v>226.47</v>
      </c>
    </row>
    <row r="740" spans="1:6" x14ac:dyDescent="0.25">
      <c r="A740">
        <v>635</v>
      </c>
      <c r="B740" t="s">
        <v>87</v>
      </c>
      <c r="C740">
        <v>202601</v>
      </c>
      <c r="D740">
        <v>2532.7009420937034</v>
      </c>
      <c r="E740">
        <v>6.2380260143683737</v>
      </c>
      <c r="F740">
        <v>406.01</v>
      </c>
    </row>
    <row r="741" spans="1:6" x14ac:dyDescent="0.25">
      <c r="A741">
        <v>636</v>
      </c>
      <c r="B741" t="s">
        <v>87</v>
      </c>
      <c r="C741">
        <v>202601</v>
      </c>
      <c r="D741">
        <v>15069.191503266875</v>
      </c>
      <c r="E741">
        <v>66.583560901674076</v>
      </c>
      <c r="F741">
        <v>226.32</v>
      </c>
    </row>
    <row r="742" spans="1:6" x14ac:dyDescent="0.25">
      <c r="A742">
        <v>666</v>
      </c>
      <c r="B742" t="s">
        <v>87</v>
      </c>
      <c r="C742">
        <v>202601</v>
      </c>
      <c r="D742">
        <v>3012.1515278955367</v>
      </c>
      <c r="E742">
        <v>26.656208211464925</v>
      </c>
      <c r="F742">
        <v>113</v>
      </c>
    </row>
    <row r="743" spans="1:6" x14ac:dyDescent="0.25">
      <c r="A743">
        <v>667</v>
      </c>
      <c r="B743" t="s">
        <v>87</v>
      </c>
      <c r="C743">
        <v>202601</v>
      </c>
      <c r="D743">
        <v>6726.9117357101859</v>
      </c>
      <c r="E743">
        <v>35.781445402713757</v>
      </c>
      <c r="F743">
        <v>188</v>
      </c>
    </row>
    <row r="744" spans="1:6" x14ac:dyDescent="0.25">
      <c r="A744">
        <v>668</v>
      </c>
      <c r="B744" t="s">
        <v>87</v>
      </c>
      <c r="C744">
        <v>202601</v>
      </c>
      <c r="D744">
        <v>6618.4757334500146</v>
      </c>
      <c r="E744">
        <v>36.647152455426436</v>
      </c>
      <c r="F744">
        <v>180.6</v>
      </c>
    </row>
    <row r="745" spans="1:6" x14ac:dyDescent="0.25">
      <c r="A745">
        <v>665</v>
      </c>
      <c r="B745" t="s">
        <v>87</v>
      </c>
      <c r="C745">
        <v>202601</v>
      </c>
      <c r="D745">
        <v>1522.0399159495032</v>
      </c>
      <c r="E745">
        <v>6.7679306147427782</v>
      </c>
      <c r="F745">
        <v>224.89</v>
      </c>
    </row>
    <row r="746" spans="1:6" x14ac:dyDescent="0.25">
      <c r="A746">
        <v>770</v>
      </c>
      <c r="B746" t="s">
        <v>87</v>
      </c>
      <c r="C746">
        <v>202601</v>
      </c>
      <c r="D746">
        <v>17724.868159227022</v>
      </c>
      <c r="E746">
        <v>31.510876727514706</v>
      </c>
      <c r="F746">
        <v>562.5</v>
      </c>
    </row>
    <row r="747" spans="1:6" x14ac:dyDescent="0.25">
      <c r="A747">
        <v>771</v>
      </c>
      <c r="B747" t="s">
        <v>87</v>
      </c>
      <c r="C747">
        <v>202601</v>
      </c>
      <c r="D747">
        <v>3291.7783417483915</v>
      </c>
      <c r="E747">
        <v>4.8781540334149254</v>
      </c>
      <c r="F747">
        <v>674.8</v>
      </c>
    </row>
    <row r="748" spans="1:6" x14ac:dyDescent="0.25">
      <c r="A748">
        <v>769</v>
      </c>
      <c r="B748" t="s">
        <v>87</v>
      </c>
      <c r="C748">
        <v>202601</v>
      </c>
      <c r="D748">
        <v>6138.6460433838683</v>
      </c>
      <c r="E748">
        <v>18.188580869285534</v>
      </c>
      <c r="F748">
        <v>337.5</v>
      </c>
    </row>
    <row r="749" spans="1:6" x14ac:dyDescent="0.25">
      <c r="A749">
        <v>813</v>
      </c>
      <c r="B749" t="s">
        <v>87</v>
      </c>
      <c r="C749">
        <v>202601</v>
      </c>
      <c r="D749">
        <v>4123.6417958736311</v>
      </c>
      <c r="E749">
        <v>13.752345389238561</v>
      </c>
      <c r="F749">
        <v>299.8500749625187</v>
      </c>
    </row>
    <row r="750" spans="1:6" x14ac:dyDescent="0.25">
      <c r="A750">
        <v>814</v>
      </c>
      <c r="B750" t="s">
        <v>87</v>
      </c>
      <c r="C750">
        <v>202601</v>
      </c>
      <c r="D750">
        <v>4466.532576668199</v>
      </c>
      <c r="E750">
        <v>9.9322494477834091</v>
      </c>
      <c r="F750">
        <v>449.7</v>
      </c>
    </row>
    <row r="751" spans="1:6" x14ac:dyDescent="0.25">
      <c r="A751">
        <v>815</v>
      </c>
      <c r="B751" t="s">
        <v>87</v>
      </c>
      <c r="C751">
        <v>202601</v>
      </c>
      <c r="D751">
        <v>755.92058489514579</v>
      </c>
      <c r="E751">
        <v>2.2920575648730921</v>
      </c>
      <c r="F751">
        <v>329.8</v>
      </c>
    </row>
    <row r="752" spans="1:6" x14ac:dyDescent="0.25">
      <c r="A752">
        <v>542</v>
      </c>
      <c r="B752" t="s">
        <v>59</v>
      </c>
      <c r="C752">
        <v>202601</v>
      </c>
      <c r="D752">
        <v>9821.7710437448568</v>
      </c>
      <c r="E752">
        <v>162.66596627599961</v>
      </c>
      <c r="F752">
        <v>60.38</v>
      </c>
    </row>
    <row r="753" spans="1:6" x14ac:dyDescent="0.25">
      <c r="A753">
        <v>543</v>
      </c>
      <c r="B753" t="s">
        <v>59</v>
      </c>
      <c r="C753">
        <v>202601</v>
      </c>
      <c r="D753">
        <v>20882.613573502265</v>
      </c>
      <c r="E753">
        <v>92.564776478290185</v>
      </c>
      <c r="F753">
        <v>225.6</v>
      </c>
    </row>
    <row r="754" spans="1:6" x14ac:dyDescent="0.25">
      <c r="A754">
        <v>545</v>
      </c>
      <c r="B754" t="s">
        <v>59</v>
      </c>
      <c r="C754">
        <v>202601</v>
      </c>
      <c r="D754">
        <v>66246.496321597748</v>
      </c>
      <c r="E754">
        <v>183.71185890626109</v>
      </c>
      <c r="F754">
        <v>360.6</v>
      </c>
    </row>
    <row r="755" spans="1:6" x14ac:dyDescent="0.25">
      <c r="A755">
        <v>547</v>
      </c>
      <c r="B755" t="s">
        <v>59</v>
      </c>
      <c r="C755">
        <v>202601</v>
      </c>
      <c r="D755">
        <v>102633.05295699087</v>
      </c>
      <c r="E755">
        <v>236.78722073872018</v>
      </c>
      <c r="F755">
        <v>433.44</v>
      </c>
    </row>
    <row r="756" spans="1:6" x14ac:dyDescent="0.25">
      <c r="A756">
        <v>551</v>
      </c>
      <c r="B756" t="s">
        <v>59</v>
      </c>
      <c r="C756">
        <v>202601</v>
      </c>
      <c r="D756">
        <v>18081.422897458782</v>
      </c>
      <c r="E756">
        <v>67.002975237007263</v>
      </c>
      <c r="F756">
        <v>269.86</v>
      </c>
    </row>
    <row r="757" spans="1:6" x14ac:dyDescent="0.25">
      <c r="A757">
        <v>552</v>
      </c>
      <c r="B757" t="s">
        <v>59</v>
      </c>
      <c r="C757">
        <v>202601</v>
      </c>
      <c r="D757">
        <v>10864.897610515112</v>
      </c>
      <c r="E757">
        <v>69.01853392526435</v>
      </c>
      <c r="F757">
        <v>157.41999999999999</v>
      </c>
    </row>
    <row r="758" spans="1:6" x14ac:dyDescent="0.25">
      <c r="A758">
        <v>578</v>
      </c>
      <c r="B758" t="s">
        <v>59</v>
      </c>
      <c r="C758">
        <v>202601</v>
      </c>
      <c r="D758">
        <v>0</v>
      </c>
      <c r="E758">
        <v>0</v>
      </c>
      <c r="F758">
        <v>225.56</v>
      </c>
    </row>
    <row r="759" spans="1:6" x14ac:dyDescent="0.25">
      <c r="A759">
        <v>596</v>
      </c>
      <c r="B759" t="s">
        <v>59</v>
      </c>
      <c r="C759">
        <v>202601</v>
      </c>
      <c r="D759">
        <v>5594.7465883443274</v>
      </c>
      <c r="E759">
        <v>15.50220722733258</v>
      </c>
      <c r="F759">
        <v>360.9</v>
      </c>
    </row>
    <row r="760" spans="1:6" x14ac:dyDescent="0.25">
      <c r="A760">
        <v>598</v>
      </c>
      <c r="B760" t="s">
        <v>59</v>
      </c>
      <c r="C760">
        <v>202601</v>
      </c>
      <c r="D760">
        <v>21637.625987561965</v>
      </c>
      <c r="E760">
        <v>47.96317245042885</v>
      </c>
      <c r="F760">
        <v>451.13</v>
      </c>
    </row>
    <row r="761" spans="1:6" x14ac:dyDescent="0.25">
      <c r="A761">
        <v>597</v>
      </c>
      <c r="B761" t="s">
        <v>59</v>
      </c>
      <c r="C761">
        <v>202601</v>
      </c>
      <c r="D761">
        <v>2159.0398958494397</v>
      </c>
      <c r="E761">
        <v>7.2003998527578439</v>
      </c>
      <c r="F761">
        <v>299.85000000000002</v>
      </c>
    </row>
    <row r="762" spans="1:6" x14ac:dyDescent="0.25">
      <c r="A762">
        <v>788</v>
      </c>
      <c r="B762" t="s">
        <v>59</v>
      </c>
      <c r="C762">
        <v>202601</v>
      </c>
      <c r="D762">
        <v>3446.6356833866498</v>
      </c>
      <c r="E762">
        <v>7.6625960057506664</v>
      </c>
      <c r="F762">
        <v>449.8</v>
      </c>
    </row>
    <row r="763" spans="1:6" x14ac:dyDescent="0.25">
      <c r="A763">
        <v>789</v>
      </c>
      <c r="B763" t="s">
        <v>59</v>
      </c>
      <c r="C763">
        <v>202601</v>
      </c>
      <c r="D763">
        <v>4848.2196934340554</v>
      </c>
      <c r="E763">
        <v>14.181056784351396</v>
      </c>
      <c r="F763">
        <v>341.88</v>
      </c>
    </row>
    <row r="764" spans="1:6" x14ac:dyDescent="0.25">
      <c r="A764">
        <v>634</v>
      </c>
      <c r="B764" t="s">
        <v>59</v>
      </c>
      <c r="C764">
        <v>202601</v>
      </c>
      <c r="D764">
        <v>23689.013579095346</v>
      </c>
      <c r="E764">
        <v>104.60111087161808</v>
      </c>
      <c r="F764">
        <v>226.47</v>
      </c>
    </row>
    <row r="765" spans="1:6" x14ac:dyDescent="0.25">
      <c r="A765">
        <v>635</v>
      </c>
      <c r="B765" t="s">
        <v>59</v>
      </c>
      <c r="C765">
        <v>202601</v>
      </c>
      <c r="D765">
        <v>9158.4326830612972</v>
      </c>
      <c r="E765">
        <v>22.557160373048195</v>
      </c>
      <c r="F765">
        <v>406.01</v>
      </c>
    </row>
    <row r="766" spans="1:6" x14ac:dyDescent="0.25">
      <c r="A766">
        <v>636</v>
      </c>
      <c r="B766" t="s">
        <v>59</v>
      </c>
      <c r="C766">
        <v>202601</v>
      </c>
      <c r="D766">
        <v>24902.812575006952</v>
      </c>
      <c r="E766">
        <v>110.0336363335408</v>
      </c>
      <c r="F766">
        <v>226.32</v>
      </c>
    </row>
    <row r="767" spans="1:6" x14ac:dyDescent="0.25">
      <c r="A767">
        <v>666</v>
      </c>
      <c r="B767" t="s">
        <v>59</v>
      </c>
      <c r="C767">
        <v>202601</v>
      </c>
      <c r="D767">
        <v>10012.27761063998</v>
      </c>
      <c r="E767">
        <v>88.604226642831676</v>
      </c>
      <c r="F767">
        <v>113</v>
      </c>
    </row>
    <row r="768" spans="1:6" x14ac:dyDescent="0.25">
      <c r="A768">
        <v>667</v>
      </c>
      <c r="B768" t="s">
        <v>59</v>
      </c>
      <c r="C768">
        <v>202601</v>
      </c>
      <c r="D768">
        <v>18308.01662860838</v>
      </c>
      <c r="E768">
        <v>97.383067173448836</v>
      </c>
      <c r="F768">
        <v>188</v>
      </c>
    </row>
    <row r="769" spans="1:6" x14ac:dyDescent="0.25">
      <c r="A769">
        <v>668</v>
      </c>
      <c r="B769" t="s">
        <v>59</v>
      </c>
      <c r="C769">
        <v>202601</v>
      </c>
      <c r="D769">
        <v>13365.96625448116</v>
      </c>
      <c r="E769">
        <v>74.008672505432784</v>
      </c>
      <c r="F769">
        <v>180.6</v>
      </c>
    </row>
    <row r="770" spans="1:6" x14ac:dyDescent="0.25">
      <c r="A770">
        <v>665</v>
      </c>
      <c r="B770" t="s">
        <v>59</v>
      </c>
      <c r="C770">
        <v>202601</v>
      </c>
      <c r="D770">
        <v>9458.4627438202369</v>
      </c>
      <c r="E770">
        <v>42.058173968696863</v>
      </c>
      <c r="F770">
        <v>224.89</v>
      </c>
    </row>
    <row r="771" spans="1:6" x14ac:dyDescent="0.25">
      <c r="A771">
        <v>770</v>
      </c>
      <c r="B771" t="s">
        <v>59</v>
      </c>
      <c r="C771">
        <v>202601</v>
      </c>
      <c r="D771">
        <v>41618.1850770249</v>
      </c>
      <c r="E771">
        <v>73.9878845813776</v>
      </c>
      <c r="F771">
        <v>562.5</v>
      </c>
    </row>
    <row r="772" spans="1:6" x14ac:dyDescent="0.25">
      <c r="A772">
        <v>771</v>
      </c>
      <c r="B772" t="s">
        <v>59</v>
      </c>
      <c r="C772">
        <v>202601</v>
      </c>
      <c r="D772">
        <v>5870.7801234829785</v>
      </c>
      <c r="E772">
        <v>8.7000298214033478</v>
      </c>
      <c r="F772">
        <v>674.8</v>
      </c>
    </row>
    <row r="773" spans="1:6" x14ac:dyDescent="0.25">
      <c r="A773">
        <v>769</v>
      </c>
      <c r="B773" t="s">
        <v>59</v>
      </c>
      <c r="C773">
        <v>202601</v>
      </c>
      <c r="D773">
        <v>17112.189311606686</v>
      </c>
      <c r="E773">
        <v>50.702783145501293</v>
      </c>
      <c r="F773">
        <v>337.5</v>
      </c>
    </row>
    <row r="774" spans="1:6" x14ac:dyDescent="0.25">
      <c r="A774">
        <v>813</v>
      </c>
      <c r="B774" t="s">
        <v>59</v>
      </c>
      <c r="C774">
        <v>202601</v>
      </c>
      <c r="D774">
        <v>7505.2332617671591</v>
      </c>
      <c r="E774">
        <v>25.029952927993477</v>
      </c>
      <c r="F774">
        <v>299.8500749625187</v>
      </c>
    </row>
    <row r="775" spans="1:6" x14ac:dyDescent="0.25">
      <c r="A775">
        <v>814</v>
      </c>
      <c r="B775" t="s">
        <v>59</v>
      </c>
      <c r="C775">
        <v>202601</v>
      </c>
      <c r="D775">
        <v>8129.3115451301501</v>
      </c>
      <c r="E775">
        <v>18.077188225773071</v>
      </c>
      <c r="F775">
        <v>449.7</v>
      </c>
    </row>
    <row r="776" spans="1:6" x14ac:dyDescent="0.25">
      <c r="A776">
        <v>815</v>
      </c>
      <c r="B776" t="s">
        <v>59</v>
      </c>
      <c r="C776">
        <v>202601</v>
      </c>
      <c r="D776">
        <v>1375.8130792753741</v>
      </c>
      <c r="E776">
        <v>4.1716588213322439</v>
      </c>
      <c r="F776">
        <v>329.8</v>
      </c>
    </row>
    <row r="777" spans="1:6" x14ac:dyDescent="0.25">
      <c r="A777">
        <v>542</v>
      </c>
      <c r="B777" t="s">
        <v>172</v>
      </c>
      <c r="C777">
        <v>202601</v>
      </c>
      <c r="D777">
        <v>6971.1835969964695</v>
      </c>
      <c r="E777">
        <v>115.45517716125322</v>
      </c>
      <c r="F777">
        <v>60.38</v>
      </c>
    </row>
    <row r="778" spans="1:6" x14ac:dyDescent="0.25">
      <c r="A778">
        <v>543</v>
      </c>
      <c r="B778" t="s">
        <v>172</v>
      </c>
      <c r="C778">
        <v>202601</v>
      </c>
      <c r="D778">
        <v>19079.92303940947</v>
      </c>
      <c r="E778">
        <v>84.574126947737014</v>
      </c>
      <c r="F778">
        <v>225.6</v>
      </c>
    </row>
    <row r="779" spans="1:6" x14ac:dyDescent="0.25">
      <c r="A779">
        <v>545</v>
      </c>
      <c r="B779" t="s">
        <v>172</v>
      </c>
      <c r="C779">
        <v>202601</v>
      </c>
      <c r="D779">
        <v>70716.626968373443</v>
      </c>
      <c r="E779">
        <v>196.1082278657056</v>
      </c>
      <c r="F779">
        <v>360.6</v>
      </c>
    </row>
    <row r="780" spans="1:6" x14ac:dyDescent="0.25">
      <c r="A780">
        <v>547</v>
      </c>
      <c r="B780" t="s">
        <v>172</v>
      </c>
      <c r="C780">
        <v>202601</v>
      </c>
      <c r="D780">
        <v>95972.762482972845</v>
      </c>
      <c r="E780">
        <v>221.42110207404218</v>
      </c>
      <c r="F780">
        <v>433.44</v>
      </c>
    </row>
    <row r="781" spans="1:6" x14ac:dyDescent="0.25">
      <c r="A781">
        <v>551</v>
      </c>
      <c r="B781" t="s">
        <v>172</v>
      </c>
      <c r="C781">
        <v>202601</v>
      </c>
      <c r="D781">
        <v>11216.400330288167</v>
      </c>
      <c r="E781">
        <v>41.563775032565651</v>
      </c>
      <c r="F781">
        <v>269.86</v>
      </c>
    </row>
    <row r="782" spans="1:6" x14ac:dyDescent="0.25">
      <c r="A782">
        <v>552</v>
      </c>
      <c r="B782" t="s">
        <v>172</v>
      </c>
      <c r="C782">
        <v>202601</v>
      </c>
      <c r="D782">
        <v>6645.4080318010665</v>
      </c>
      <c r="E782">
        <v>42.214509158944651</v>
      </c>
      <c r="F782">
        <v>157.41999999999999</v>
      </c>
    </row>
    <row r="783" spans="1:6" x14ac:dyDescent="0.25">
      <c r="A783">
        <v>578</v>
      </c>
      <c r="B783" t="s">
        <v>172</v>
      </c>
      <c r="C783">
        <v>202601</v>
      </c>
      <c r="D783">
        <v>0</v>
      </c>
      <c r="E783">
        <v>0</v>
      </c>
      <c r="F783">
        <v>225.56</v>
      </c>
    </row>
    <row r="784" spans="1:6" x14ac:dyDescent="0.25">
      <c r="A784">
        <v>596</v>
      </c>
      <c r="B784" t="s">
        <v>172</v>
      </c>
      <c r="C784">
        <v>202601</v>
      </c>
      <c r="D784">
        <v>4370.2272701517131</v>
      </c>
      <c r="E784">
        <v>12.109247077172938</v>
      </c>
      <c r="F784">
        <v>360.9</v>
      </c>
    </row>
    <row r="785" spans="1:6" x14ac:dyDescent="0.25">
      <c r="A785">
        <v>598</v>
      </c>
      <c r="B785" t="s">
        <v>172</v>
      </c>
      <c r="C785">
        <v>202601</v>
      </c>
      <c r="D785">
        <v>20608.758237364502</v>
      </c>
      <c r="E785">
        <v>45.68252662727928</v>
      </c>
      <c r="F785">
        <v>451.13</v>
      </c>
    </row>
    <row r="786" spans="1:6" x14ac:dyDescent="0.25">
      <c r="A786">
        <v>597</v>
      </c>
      <c r="B786" t="s">
        <v>172</v>
      </c>
      <c r="C786">
        <v>202601</v>
      </c>
      <c r="D786">
        <v>2250.627878199884</v>
      </c>
      <c r="E786">
        <v>7.5058458502580754</v>
      </c>
      <c r="F786">
        <v>299.85000000000002</v>
      </c>
    </row>
    <row r="787" spans="1:6" x14ac:dyDescent="0.25">
      <c r="A787">
        <v>788</v>
      </c>
      <c r="B787" t="s">
        <v>172</v>
      </c>
      <c r="C787">
        <v>202601</v>
      </c>
      <c r="D787">
        <v>2254.2390927528672</v>
      </c>
      <c r="E787">
        <v>5.0116476050530618</v>
      </c>
      <c r="F787">
        <v>449.8</v>
      </c>
    </row>
    <row r="788" spans="1:6" x14ac:dyDescent="0.25">
      <c r="A788">
        <v>789</v>
      </c>
      <c r="B788" t="s">
        <v>172</v>
      </c>
      <c r="C788">
        <v>202601</v>
      </c>
      <c r="D788">
        <v>2959.2858954697749</v>
      </c>
      <c r="E788">
        <v>8.6559199001689926</v>
      </c>
      <c r="F788">
        <v>341.88</v>
      </c>
    </row>
    <row r="789" spans="1:6" x14ac:dyDescent="0.25">
      <c r="A789">
        <v>634</v>
      </c>
      <c r="B789" t="s">
        <v>172</v>
      </c>
      <c r="C789">
        <v>202601</v>
      </c>
      <c r="D789">
        <v>11159.669548357671</v>
      </c>
      <c r="E789">
        <v>49.276590931945385</v>
      </c>
      <c r="F789">
        <v>226.47</v>
      </c>
    </row>
    <row r="790" spans="1:6" x14ac:dyDescent="0.25">
      <c r="A790">
        <v>635</v>
      </c>
      <c r="B790" t="s">
        <v>172</v>
      </c>
      <c r="C790">
        <v>202601</v>
      </c>
      <c r="D790">
        <v>3693.8013010124414</v>
      </c>
      <c r="E790">
        <v>9.0978086771568218</v>
      </c>
      <c r="F790">
        <v>406.01</v>
      </c>
    </row>
    <row r="791" spans="1:6" x14ac:dyDescent="0.25">
      <c r="A791">
        <v>636</v>
      </c>
      <c r="B791" t="s">
        <v>172</v>
      </c>
      <c r="C791">
        <v>202601</v>
      </c>
      <c r="D791">
        <v>12653.607221177284</v>
      </c>
      <c r="E791">
        <v>55.910247530829288</v>
      </c>
      <c r="F791">
        <v>226.32</v>
      </c>
    </row>
    <row r="792" spans="1:6" x14ac:dyDescent="0.25">
      <c r="A792">
        <v>666</v>
      </c>
      <c r="B792" t="s">
        <v>172</v>
      </c>
      <c r="C792">
        <v>202601</v>
      </c>
      <c r="D792">
        <v>4942.4909148708111</v>
      </c>
      <c r="E792">
        <v>43.73885765372399</v>
      </c>
      <c r="F792">
        <v>113</v>
      </c>
    </row>
    <row r="793" spans="1:6" x14ac:dyDescent="0.25">
      <c r="A793">
        <v>667</v>
      </c>
      <c r="B793" t="s">
        <v>172</v>
      </c>
      <c r="C793">
        <v>202601</v>
      </c>
      <c r="D793">
        <v>9922.3682924231198</v>
      </c>
      <c r="E793">
        <v>52.778554746931491</v>
      </c>
      <c r="F793">
        <v>188</v>
      </c>
    </row>
    <row r="794" spans="1:6" x14ac:dyDescent="0.25">
      <c r="A794">
        <v>668</v>
      </c>
      <c r="B794" t="s">
        <v>172</v>
      </c>
      <c r="C794">
        <v>202601</v>
      </c>
      <c r="D794">
        <v>8856.2132150339039</v>
      </c>
      <c r="E794">
        <v>49.037725443155615</v>
      </c>
      <c r="F794">
        <v>180.6</v>
      </c>
    </row>
    <row r="795" spans="1:6" x14ac:dyDescent="0.25">
      <c r="A795">
        <v>665</v>
      </c>
      <c r="B795" t="s">
        <v>172</v>
      </c>
      <c r="C795">
        <v>202601</v>
      </c>
      <c r="D795">
        <v>5860.3751609002256</v>
      </c>
      <c r="E795">
        <v>26.058851709281097</v>
      </c>
      <c r="F795">
        <v>224.89</v>
      </c>
    </row>
    <row r="796" spans="1:6" x14ac:dyDescent="0.25">
      <c r="A796">
        <v>770</v>
      </c>
      <c r="B796" t="s">
        <v>172</v>
      </c>
      <c r="C796">
        <v>202601</v>
      </c>
      <c r="D796">
        <v>25703.527973187065</v>
      </c>
      <c r="E796">
        <v>45.695160841221451</v>
      </c>
      <c r="F796">
        <v>562.5</v>
      </c>
    </row>
    <row r="797" spans="1:6" x14ac:dyDescent="0.25">
      <c r="A797">
        <v>771</v>
      </c>
      <c r="B797" t="s">
        <v>172</v>
      </c>
      <c r="C797">
        <v>202601</v>
      </c>
      <c r="D797">
        <v>3074.2375156170683</v>
      </c>
      <c r="E797">
        <v>4.5557758085611564</v>
      </c>
      <c r="F797">
        <v>674.8</v>
      </c>
    </row>
    <row r="798" spans="1:6" x14ac:dyDescent="0.25">
      <c r="A798">
        <v>769</v>
      </c>
      <c r="B798" t="s">
        <v>172</v>
      </c>
      <c r="C798">
        <v>202601</v>
      </c>
      <c r="D798">
        <v>12165.814426646653</v>
      </c>
      <c r="E798">
        <v>36.046857560434532</v>
      </c>
      <c r="F798">
        <v>337.5</v>
      </c>
    </row>
    <row r="799" spans="1:6" x14ac:dyDescent="0.25">
      <c r="A799">
        <v>813</v>
      </c>
      <c r="B799" t="s">
        <v>172</v>
      </c>
      <c r="C799">
        <v>202601</v>
      </c>
      <c r="D799">
        <v>3582.3153864884648</v>
      </c>
      <c r="E799">
        <v>11.947021813939031</v>
      </c>
      <c r="F799">
        <v>299.8500749625187</v>
      </c>
    </row>
    <row r="800" spans="1:6" x14ac:dyDescent="0.25">
      <c r="A800">
        <v>814</v>
      </c>
      <c r="B800" t="s">
        <v>172</v>
      </c>
      <c r="C800">
        <v>202601</v>
      </c>
      <c r="D800">
        <v>3880.1935681371656</v>
      </c>
      <c r="E800">
        <v>8.6284046434004136</v>
      </c>
      <c r="F800">
        <v>449.7</v>
      </c>
    </row>
    <row r="801" spans="1:6" x14ac:dyDescent="0.25">
      <c r="A801">
        <v>815</v>
      </c>
      <c r="B801" t="s">
        <v>172</v>
      </c>
      <c r="C801">
        <v>202601</v>
      </c>
      <c r="D801">
        <v>656.68796570618179</v>
      </c>
      <c r="E801">
        <v>1.9911703023231708</v>
      </c>
      <c r="F801">
        <v>329.8</v>
      </c>
    </row>
    <row r="802" spans="1:6" x14ac:dyDescent="0.25">
      <c r="A802">
        <v>542</v>
      </c>
      <c r="B802" t="s">
        <v>88</v>
      </c>
      <c r="C802">
        <v>202601</v>
      </c>
      <c r="D802">
        <v>10143.518276852548</v>
      </c>
      <c r="E802">
        <v>167.99467169348372</v>
      </c>
      <c r="F802">
        <v>60.38</v>
      </c>
    </row>
    <row r="803" spans="1:6" x14ac:dyDescent="0.25">
      <c r="A803">
        <v>543</v>
      </c>
      <c r="B803" t="s">
        <v>88</v>
      </c>
      <c r="C803">
        <v>202601</v>
      </c>
      <c r="D803">
        <v>17273.818952523161</v>
      </c>
      <c r="E803">
        <v>76.568346420758701</v>
      </c>
      <c r="F803">
        <v>225.6</v>
      </c>
    </row>
    <row r="804" spans="1:6" x14ac:dyDescent="0.25">
      <c r="A804">
        <v>545</v>
      </c>
      <c r="B804" t="s">
        <v>88</v>
      </c>
      <c r="C804">
        <v>202601</v>
      </c>
      <c r="D804">
        <v>64196.520766732232</v>
      </c>
      <c r="E804">
        <v>178.02695720114318</v>
      </c>
      <c r="F804">
        <v>360.6</v>
      </c>
    </row>
    <row r="805" spans="1:6" x14ac:dyDescent="0.25">
      <c r="A805">
        <v>547</v>
      </c>
      <c r="B805" t="s">
        <v>88</v>
      </c>
      <c r="C805">
        <v>202601</v>
      </c>
      <c r="D805">
        <v>118560.11942483537</v>
      </c>
      <c r="E805">
        <v>273.53294440945774</v>
      </c>
      <c r="F805">
        <v>433.44</v>
      </c>
    </row>
    <row r="806" spans="1:6" x14ac:dyDescent="0.25">
      <c r="A806">
        <v>551</v>
      </c>
      <c r="B806" t="s">
        <v>88</v>
      </c>
      <c r="C806">
        <v>202601</v>
      </c>
      <c r="D806">
        <v>10098.800747673909</v>
      </c>
      <c r="E806">
        <v>37.422369923938</v>
      </c>
      <c r="F806">
        <v>269.86</v>
      </c>
    </row>
    <row r="807" spans="1:6" x14ac:dyDescent="0.25">
      <c r="A807">
        <v>552</v>
      </c>
      <c r="B807" t="s">
        <v>88</v>
      </c>
      <c r="C807">
        <v>202601</v>
      </c>
      <c r="D807">
        <v>7651.4638351345611</v>
      </c>
      <c r="E807">
        <v>48.605411225603874</v>
      </c>
      <c r="F807">
        <v>157.41999999999999</v>
      </c>
    </row>
    <row r="808" spans="1:6" x14ac:dyDescent="0.25">
      <c r="A808">
        <v>578</v>
      </c>
      <c r="B808" t="s">
        <v>88</v>
      </c>
      <c r="C808">
        <v>202601</v>
      </c>
      <c r="D808">
        <v>0</v>
      </c>
      <c r="E808">
        <v>0</v>
      </c>
      <c r="F808">
        <v>225.56</v>
      </c>
    </row>
    <row r="809" spans="1:6" x14ac:dyDescent="0.25">
      <c r="A809">
        <v>596</v>
      </c>
      <c r="B809" t="s">
        <v>88</v>
      </c>
      <c r="C809">
        <v>202601</v>
      </c>
      <c r="D809">
        <v>5018.7925791670268</v>
      </c>
      <c r="E809">
        <v>13.906324685971258</v>
      </c>
      <c r="F809">
        <v>360.9</v>
      </c>
    </row>
    <row r="810" spans="1:6" x14ac:dyDescent="0.25">
      <c r="A810">
        <v>598</v>
      </c>
      <c r="B810" t="s">
        <v>88</v>
      </c>
      <c r="C810">
        <v>202601</v>
      </c>
      <c r="D810">
        <v>17901.491384162506</v>
      </c>
      <c r="E810">
        <v>39.681447441230922</v>
      </c>
      <c r="F810">
        <v>451.13</v>
      </c>
    </row>
    <row r="811" spans="1:6" x14ac:dyDescent="0.25">
      <c r="A811">
        <v>597</v>
      </c>
      <c r="B811" t="s">
        <v>88</v>
      </c>
      <c r="C811">
        <v>202601</v>
      </c>
      <c r="D811">
        <v>2504.9226600340448</v>
      </c>
      <c r="E811">
        <v>8.3539191596933282</v>
      </c>
      <c r="F811">
        <v>299.85000000000002</v>
      </c>
    </row>
    <row r="812" spans="1:6" x14ac:dyDescent="0.25">
      <c r="A812">
        <v>788</v>
      </c>
      <c r="B812" t="s">
        <v>88</v>
      </c>
      <c r="C812">
        <v>202601</v>
      </c>
      <c r="D812">
        <v>1594.5486221992896</v>
      </c>
      <c r="E812">
        <v>3.545016945752089</v>
      </c>
      <c r="F812">
        <v>449.8</v>
      </c>
    </row>
    <row r="813" spans="1:6" x14ac:dyDescent="0.25">
      <c r="A813">
        <v>789</v>
      </c>
      <c r="B813" t="s">
        <v>88</v>
      </c>
      <c r="C813">
        <v>202601</v>
      </c>
      <c r="D813">
        <v>1814.848662637178</v>
      </c>
      <c r="E813">
        <v>5.3084376466513925</v>
      </c>
      <c r="F813">
        <v>341.88</v>
      </c>
    </row>
    <row r="814" spans="1:6" x14ac:dyDescent="0.25">
      <c r="A814">
        <v>634</v>
      </c>
      <c r="B814" t="s">
        <v>88</v>
      </c>
      <c r="C814">
        <v>202601</v>
      </c>
      <c r="D814">
        <v>13914.086830816217</v>
      </c>
      <c r="E814">
        <v>61.438984549018485</v>
      </c>
      <c r="F814">
        <v>226.47</v>
      </c>
    </row>
    <row r="815" spans="1:6" x14ac:dyDescent="0.25">
      <c r="A815">
        <v>635</v>
      </c>
      <c r="B815" t="s">
        <v>88</v>
      </c>
      <c r="C815">
        <v>202601</v>
      </c>
      <c r="D815">
        <v>3405.5647742276578</v>
      </c>
      <c r="E815">
        <v>8.3878839787878565</v>
      </c>
      <c r="F815">
        <v>406.01</v>
      </c>
    </row>
    <row r="816" spans="1:6" x14ac:dyDescent="0.25">
      <c r="A816">
        <v>636</v>
      </c>
      <c r="B816" t="s">
        <v>88</v>
      </c>
      <c r="C816">
        <v>202601</v>
      </c>
      <c r="D816">
        <v>16517.629592062538</v>
      </c>
      <c r="E816">
        <v>72.98351710879524</v>
      </c>
      <c r="F816">
        <v>226.32</v>
      </c>
    </row>
    <row r="817" spans="1:6" x14ac:dyDescent="0.25">
      <c r="A817">
        <v>666</v>
      </c>
      <c r="B817" t="s">
        <v>88</v>
      </c>
      <c r="C817">
        <v>202601</v>
      </c>
      <c r="D817">
        <v>9461.1759811850225</v>
      </c>
      <c r="E817">
        <v>83.727221072433821</v>
      </c>
      <c r="F817">
        <v>113</v>
      </c>
    </row>
    <row r="818" spans="1:6" x14ac:dyDescent="0.25">
      <c r="A818">
        <v>667</v>
      </c>
      <c r="B818" t="s">
        <v>88</v>
      </c>
      <c r="C818">
        <v>202601</v>
      </c>
      <c r="D818">
        <v>16544.926658010994</v>
      </c>
      <c r="E818">
        <v>88.004929031973376</v>
      </c>
      <c r="F818">
        <v>188</v>
      </c>
    </row>
    <row r="819" spans="1:6" x14ac:dyDescent="0.25">
      <c r="A819">
        <v>668</v>
      </c>
      <c r="B819" t="s">
        <v>88</v>
      </c>
      <c r="C819">
        <v>202601</v>
      </c>
      <c r="D819">
        <v>11519.990577708995</v>
      </c>
      <c r="E819">
        <v>63.787323243128434</v>
      </c>
      <c r="F819">
        <v>180.6</v>
      </c>
    </row>
    <row r="820" spans="1:6" x14ac:dyDescent="0.25">
      <c r="A820">
        <v>665</v>
      </c>
      <c r="B820" t="s">
        <v>88</v>
      </c>
      <c r="C820">
        <v>202601</v>
      </c>
      <c r="D820">
        <v>5467.4320418137095</v>
      </c>
      <c r="E820">
        <v>24.311583626722886</v>
      </c>
      <c r="F820">
        <v>224.89</v>
      </c>
    </row>
    <row r="821" spans="1:6" x14ac:dyDescent="0.25">
      <c r="A821">
        <v>770</v>
      </c>
      <c r="B821" t="s">
        <v>88</v>
      </c>
      <c r="C821">
        <v>202601</v>
      </c>
      <c r="D821">
        <v>19088.139128929692</v>
      </c>
      <c r="E821">
        <v>33.934469562541672</v>
      </c>
      <c r="F821">
        <v>562.5</v>
      </c>
    </row>
    <row r="822" spans="1:6" x14ac:dyDescent="0.25">
      <c r="A822">
        <v>771</v>
      </c>
      <c r="B822" t="s">
        <v>88</v>
      </c>
      <c r="C822">
        <v>202601</v>
      </c>
      <c r="D822">
        <v>3612.4586583521304</v>
      </c>
      <c r="E822">
        <v>5.3533767906818772</v>
      </c>
      <c r="F822">
        <v>674.8</v>
      </c>
    </row>
    <row r="823" spans="1:6" x14ac:dyDescent="0.25">
      <c r="A823">
        <v>769</v>
      </c>
      <c r="B823" t="s">
        <v>88</v>
      </c>
      <c r="C823">
        <v>202601</v>
      </c>
      <c r="D823">
        <v>11543.263312401326</v>
      </c>
      <c r="E823">
        <v>34.202261666374298</v>
      </c>
      <c r="F823">
        <v>337.5</v>
      </c>
    </row>
    <row r="824" spans="1:6" x14ac:dyDescent="0.25">
      <c r="A824">
        <v>813</v>
      </c>
      <c r="B824" t="s">
        <v>88</v>
      </c>
      <c r="C824">
        <v>202601</v>
      </c>
      <c r="D824">
        <v>4412.9943090814177</v>
      </c>
      <c r="E824">
        <v>14.717336020786529</v>
      </c>
      <c r="F824">
        <v>299.8500749625187</v>
      </c>
    </row>
    <row r="825" spans="1:6" x14ac:dyDescent="0.25">
      <c r="A825">
        <v>814</v>
      </c>
      <c r="B825" t="s">
        <v>88</v>
      </c>
      <c r="C825">
        <v>202601</v>
      </c>
      <c r="D825">
        <v>4779.9454506177854</v>
      </c>
      <c r="E825">
        <v>10.629187126123606</v>
      </c>
      <c r="F825">
        <v>449.7</v>
      </c>
    </row>
    <row r="826" spans="1:6" x14ac:dyDescent="0.25">
      <c r="A826">
        <v>815</v>
      </c>
      <c r="B826" t="s">
        <v>88</v>
      </c>
      <c r="C826">
        <v>202601</v>
      </c>
      <c r="D826">
        <v>808.96290327589918</v>
      </c>
      <c r="E826">
        <v>2.4528893367977536</v>
      </c>
      <c r="F826">
        <v>329.8</v>
      </c>
    </row>
    <row r="827" spans="1:6" x14ac:dyDescent="0.25">
      <c r="A827">
        <v>542</v>
      </c>
      <c r="B827" t="s">
        <v>60</v>
      </c>
      <c r="C827">
        <v>202601</v>
      </c>
      <c r="D827">
        <v>6170.3445242450962</v>
      </c>
      <c r="E827">
        <v>102.19186028892176</v>
      </c>
      <c r="F827">
        <v>60.38</v>
      </c>
    </row>
    <row r="828" spans="1:6" x14ac:dyDescent="0.25">
      <c r="A828">
        <v>543</v>
      </c>
      <c r="B828" t="s">
        <v>60</v>
      </c>
      <c r="C828">
        <v>202601</v>
      </c>
      <c r="D828">
        <v>13356.880872481468</v>
      </c>
      <c r="E828">
        <v>59.206032236176725</v>
      </c>
      <c r="F828">
        <v>225.6</v>
      </c>
    </row>
    <row r="829" spans="1:6" x14ac:dyDescent="0.25">
      <c r="A829">
        <v>545</v>
      </c>
      <c r="B829" t="s">
        <v>60</v>
      </c>
      <c r="C829">
        <v>202601</v>
      </c>
      <c r="D829">
        <v>49853.435591881826</v>
      </c>
      <c r="E829">
        <v>138.25134662196845</v>
      </c>
      <c r="F829">
        <v>360.6</v>
      </c>
    </row>
    <row r="830" spans="1:6" x14ac:dyDescent="0.25">
      <c r="A830">
        <v>547</v>
      </c>
      <c r="B830" t="s">
        <v>60</v>
      </c>
      <c r="C830">
        <v>202601</v>
      </c>
      <c r="D830">
        <v>85152.043818904116</v>
      </c>
      <c r="E830">
        <v>196.45635801703608</v>
      </c>
      <c r="F830">
        <v>433.44</v>
      </c>
    </row>
    <row r="831" spans="1:6" x14ac:dyDescent="0.25">
      <c r="A831">
        <v>551</v>
      </c>
      <c r="B831" t="s">
        <v>60</v>
      </c>
      <c r="C831">
        <v>202601</v>
      </c>
      <c r="D831">
        <v>6392.3813203534155</v>
      </c>
      <c r="E831">
        <v>23.687768918525958</v>
      </c>
      <c r="F831">
        <v>269.86</v>
      </c>
    </row>
    <row r="832" spans="1:6" x14ac:dyDescent="0.25">
      <c r="A832">
        <v>552</v>
      </c>
      <c r="B832" t="s">
        <v>60</v>
      </c>
      <c r="C832">
        <v>202601</v>
      </c>
      <c r="D832">
        <v>4911.0291177655827</v>
      </c>
      <c r="E832">
        <v>31.196983342431604</v>
      </c>
      <c r="F832">
        <v>157.41999999999999</v>
      </c>
    </row>
    <row r="833" spans="1:6" x14ac:dyDescent="0.25">
      <c r="A833">
        <v>578</v>
      </c>
      <c r="B833" t="s">
        <v>60</v>
      </c>
      <c r="C833">
        <v>202601</v>
      </c>
      <c r="D833">
        <v>0</v>
      </c>
      <c r="E833">
        <v>0</v>
      </c>
      <c r="F833">
        <v>225.56</v>
      </c>
    </row>
    <row r="834" spans="1:6" x14ac:dyDescent="0.25">
      <c r="A834">
        <v>596</v>
      </c>
      <c r="B834" t="s">
        <v>60</v>
      </c>
      <c r="C834">
        <v>202601</v>
      </c>
      <c r="D834">
        <v>2114.8442906621103</v>
      </c>
      <c r="E834">
        <v>5.8599176798617636</v>
      </c>
      <c r="F834">
        <v>360.9</v>
      </c>
    </row>
    <row r="835" spans="1:6" x14ac:dyDescent="0.25">
      <c r="A835">
        <v>598</v>
      </c>
      <c r="B835" t="s">
        <v>60</v>
      </c>
      <c r="C835">
        <v>202601</v>
      </c>
      <c r="D835">
        <v>9245.9905937095373</v>
      </c>
      <c r="E835">
        <v>20.495180089352377</v>
      </c>
      <c r="F835">
        <v>451.13</v>
      </c>
    </row>
    <row r="836" spans="1:6" x14ac:dyDescent="0.25">
      <c r="A836">
        <v>597</v>
      </c>
      <c r="B836" t="s">
        <v>60</v>
      </c>
      <c r="C836">
        <v>202601</v>
      </c>
      <c r="D836">
        <v>1515.2316298859594</v>
      </c>
      <c r="E836">
        <v>5.0532987489943615</v>
      </c>
      <c r="F836">
        <v>299.85000000000002</v>
      </c>
    </row>
    <row r="837" spans="1:6" x14ac:dyDescent="0.25">
      <c r="A837">
        <v>788</v>
      </c>
      <c r="B837" t="s">
        <v>60</v>
      </c>
      <c r="C837">
        <v>202601</v>
      </c>
      <c r="D837">
        <v>2192.2038355613267</v>
      </c>
      <c r="E837">
        <v>4.873730181327983</v>
      </c>
      <c r="F837">
        <v>449.8</v>
      </c>
    </row>
    <row r="838" spans="1:6" x14ac:dyDescent="0.25">
      <c r="A838">
        <v>789</v>
      </c>
      <c r="B838" t="s">
        <v>60</v>
      </c>
      <c r="C838">
        <v>202601</v>
      </c>
      <c r="D838">
        <v>0</v>
      </c>
      <c r="E838">
        <v>0</v>
      </c>
      <c r="F838">
        <v>341.88</v>
      </c>
    </row>
    <row r="839" spans="1:6" x14ac:dyDescent="0.25">
      <c r="A839">
        <v>634</v>
      </c>
      <c r="B839" t="s">
        <v>60</v>
      </c>
      <c r="C839">
        <v>202601</v>
      </c>
      <c r="D839">
        <v>16620.442867186452</v>
      </c>
      <c r="E839">
        <v>73.389159125652185</v>
      </c>
      <c r="F839">
        <v>226.47</v>
      </c>
    </row>
    <row r="840" spans="1:6" x14ac:dyDescent="0.25">
      <c r="A840">
        <v>635</v>
      </c>
      <c r="B840" t="s">
        <v>60</v>
      </c>
      <c r="C840">
        <v>202601</v>
      </c>
      <c r="D840">
        <v>6519.2479971097637</v>
      </c>
      <c r="E840">
        <v>16.056865587324854</v>
      </c>
      <c r="F840">
        <v>406.01</v>
      </c>
    </row>
    <row r="841" spans="1:6" x14ac:dyDescent="0.25">
      <c r="A841">
        <v>636</v>
      </c>
      <c r="B841" t="s">
        <v>60</v>
      </c>
      <c r="C841">
        <v>202601</v>
      </c>
      <c r="D841">
        <v>15717.700556612661</v>
      </c>
      <c r="E841">
        <v>69.449012710377616</v>
      </c>
      <c r="F841">
        <v>226.32</v>
      </c>
    </row>
    <row r="842" spans="1:6" x14ac:dyDescent="0.25">
      <c r="A842">
        <v>666</v>
      </c>
      <c r="B842" t="s">
        <v>60</v>
      </c>
      <c r="C842">
        <v>202601</v>
      </c>
      <c r="D842">
        <v>4746.8163218297168</v>
      </c>
      <c r="E842">
        <v>42.007224086988643</v>
      </c>
      <c r="F842">
        <v>113</v>
      </c>
    </row>
    <row r="843" spans="1:6" x14ac:dyDescent="0.25">
      <c r="A843">
        <v>667</v>
      </c>
      <c r="B843" t="s">
        <v>60</v>
      </c>
      <c r="C843">
        <v>202601</v>
      </c>
      <c r="D843">
        <v>8091.0594132378083</v>
      </c>
      <c r="E843">
        <v>43.037550070413872</v>
      </c>
      <c r="F843">
        <v>188</v>
      </c>
    </row>
    <row r="844" spans="1:6" x14ac:dyDescent="0.25">
      <c r="A844">
        <v>668</v>
      </c>
      <c r="B844" t="s">
        <v>60</v>
      </c>
      <c r="C844">
        <v>202601</v>
      </c>
      <c r="D844">
        <v>6047.3091902194265</v>
      </c>
      <c r="E844">
        <v>33.484547011181768</v>
      </c>
      <c r="F844">
        <v>180.6</v>
      </c>
    </row>
    <row r="845" spans="1:6" x14ac:dyDescent="0.25">
      <c r="A845">
        <v>665</v>
      </c>
      <c r="B845" t="s">
        <v>60</v>
      </c>
      <c r="C845">
        <v>202601</v>
      </c>
      <c r="D845">
        <v>4245.161542916464</v>
      </c>
      <c r="E845">
        <v>18.87661320163842</v>
      </c>
      <c r="F845">
        <v>224.89</v>
      </c>
    </row>
    <row r="846" spans="1:6" x14ac:dyDescent="0.25">
      <c r="A846">
        <v>770</v>
      </c>
      <c r="B846" t="s">
        <v>60</v>
      </c>
      <c r="C846">
        <v>202601</v>
      </c>
      <c r="D846">
        <v>33431.966498279209</v>
      </c>
      <c r="E846">
        <v>59.434607108051928</v>
      </c>
      <c r="F846">
        <v>562.5</v>
      </c>
    </row>
    <row r="847" spans="1:6" x14ac:dyDescent="0.25">
      <c r="A847">
        <v>771</v>
      </c>
      <c r="B847" t="s">
        <v>60</v>
      </c>
      <c r="C847">
        <v>202601</v>
      </c>
      <c r="D847">
        <v>3150.7664605515156</v>
      </c>
      <c r="E847">
        <v>4.6691856261877831</v>
      </c>
      <c r="F847">
        <v>674.8</v>
      </c>
    </row>
    <row r="848" spans="1:6" x14ac:dyDescent="0.25">
      <c r="A848">
        <v>769</v>
      </c>
      <c r="B848" t="s">
        <v>60</v>
      </c>
      <c r="C848">
        <v>202601</v>
      </c>
      <c r="D848">
        <v>13940.961917326267</v>
      </c>
      <c r="E848">
        <v>41.306553829114868</v>
      </c>
      <c r="F848">
        <v>337.5</v>
      </c>
    </row>
    <row r="849" spans="1:6" x14ac:dyDescent="0.25">
      <c r="A849">
        <v>813</v>
      </c>
      <c r="B849" t="s">
        <v>60</v>
      </c>
      <c r="C849">
        <v>202601</v>
      </c>
      <c r="D849">
        <v>5035.8743018239693</v>
      </c>
      <c r="E849">
        <v>16.794640796582939</v>
      </c>
      <c r="F849">
        <v>299.8500749625187</v>
      </c>
    </row>
    <row r="850" spans="1:6" x14ac:dyDescent="0.25">
      <c r="A850">
        <v>814</v>
      </c>
      <c r="B850" t="s">
        <v>60</v>
      </c>
      <c r="C850">
        <v>202601</v>
      </c>
      <c r="D850">
        <v>5454.6194200501959</v>
      </c>
      <c r="E850">
        <v>12.129462797532124</v>
      </c>
      <c r="F850">
        <v>449.7</v>
      </c>
    </row>
    <row r="851" spans="1:6" x14ac:dyDescent="0.25">
      <c r="A851">
        <v>815</v>
      </c>
      <c r="B851" t="s">
        <v>60</v>
      </c>
      <c r="C851">
        <v>202601</v>
      </c>
      <c r="D851">
        <v>923.14542245217501</v>
      </c>
      <c r="E851">
        <v>2.7991067994304881</v>
      </c>
      <c r="F851">
        <v>329.8</v>
      </c>
    </row>
    <row r="852" spans="1:6" x14ac:dyDescent="0.25">
      <c r="A852">
        <v>542</v>
      </c>
      <c r="B852" t="s">
        <v>89</v>
      </c>
      <c r="C852">
        <v>202601</v>
      </c>
      <c r="D852">
        <v>12486.890282011254</v>
      </c>
      <c r="E852">
        <v>206.80507257388629</v>
      </c>
      <c r="F852">
        <v>60.38</v>
      </c>
    </row>
    <row r="853" spans="1:6" x14ac:dyDescent="0.25">
      <c r="A853">
        <v>543</v>
      </c>
      <c r="B853" t="s">
        <v>89</v>
      </c>
      <c r="C853">
        <v>202601</v>
      </c>
      <c r="D853">
        <v>25060.760656886341</v>
      </c>
      <c r="E853">
        <v>111.08493198974442</v>
      </c>
      <c r="F853">
        <v>225.6</v>
      </c>
    </row>
    <row r="854" spans="1:6" x14ac:dyDescent="0.25">
      <c r="A854">
        <v>545</v>
      </c>
      <c r="B854" t="s">
        <v>89</v>
      </c>
      <c r="C854">
        <v>202601</v>
      </c>
      <c r="D854">
        <v>98349.911745351492</v>
      </c>
      <c r="E854">
        <v>272.73963323724763</v>
      </c>
      <c r="F854">
        <v>360.6</v>
      </c>
    </row>
    <row r="855" spans="1:6" x14ac:dyDescent="0.25">
      <c r="A855">
        <v>547</v>
      </c>
      <c r="B855" t="s">
        <v>89</v>
      </c>
      <c r="C855">
        <v>202601</v>
      </c>
      <c r="D855">
        <v>129086.83389679452</v>
      </c>
      <c r="E855">
        <v>297.81938422110215</v>
      </c>
      <c r="F855">
        <v>433.44</v>
      </c>
    </row>
    <row r="856" spans="1:6" x14ac:dyDescent="0.25">
      <c r="A856">
        <v>551</v>
      </c>
      <c r="B856" t="s">
        <v>89</v>
      </c>
      <c r="C856">
        <v>202601</v>
      </c>
      <c r="D856">
        <v>12928.799068203631</v>
      </c>
      <c r="E856">
        <v>47.90928284371018</v>
      </c>
      <c r="F856">
        <v>269.86</v>
      </c>
    </row>
    <row r="857" spans="1:6" x14ac:dyDescent="0.25">
      <c r="A857">
        <v>552</v>
      </c>
      <c r="B857" t="s">
        <v>89</v>
      </c>
      <c r="C857">
        <v>202601</v>
      </c>
      <c r="D857">
        <v>5425.7148115209839</v>
      </c>
      <c r="E857">
        <v>34.466489718720517</v>
      </c>
      <c r="F857">
        <v>157.41999999999999</v>
      </c>
    </row>
    <row r="858" spans="1:6" x14ac:dyDescent="0.25">
      <c r="A858">
        <v>578</v>
      </c>
      <c r="B858" t="s">
        <v>89</v>
      </c>
      <c r="C858">
        <v>202601</v>
      </c>
      <c r="D858">
        <v>0</v>
      </c>
      <c r="E858">
        <v>0</v>
      </c>
      <c r="F858">
        <v>225.56</v>
      </c>
    </row>
    <row r="859" spans="1:6" x14ac:dyDescent="0.25">
      <c r="A859">
        <v>596</v>
      </c>
      <c r="B859" t="s">
        <v>89</v>
      </c>
      <c r="C859">
        <v>202601</v>
      </c>
      <c r="D859">
        <v>1635.1676563883789</v>
      </c>
      <c r="E859">
        <v>4.5308053654430012</v>
      </c>
      <c r="F859">
        <v>360.9</v>
      </c>
    </row>
    <row r="860" spans="1:6" x14ac:dyDescent="0.25">
      <c r="A860">
        <v>598</v>
      </c>
      <c r="B860" t="s">
        <v>89</v>
      </c>
      <c r="C860">
        <v>202601</v>
      </c>
      <c r="D860">
        <v>6061.6633811868205</v>
      </c>
      <c r="E860">
        <v>13.436622217956732</v>
      </c>
      <c r="F860">
        <v>451.13</v>
      </c>
    </row>
    <row r="861" spans="1:6" x14ac:dyDescent="0.25">
      <c r="A861">
        <v>597</v>
      </c>
      <c r="B861" t="s">
        <v>89</v>
      </c>
      <c r="C861">
        <v>202601</v>
      </c>
      <c r="D861">
        <v>632.6163155081814</v>
      </c>
      <c r="E861">
        <v>2.1097759396637699</v>
      </c>
      <c r="F861">
        <v>299.85000000000002</v>
      </c>
    </row>
    <row r="862" spans="1:6" x14ac:dyDescent="0.25">
      <c r="A862">
        <v>788</v>
      </c>
      <c r="B862" t="s">
        <v>89</v>
      </c>
      <c r="C862">
        <v>202601</v>
      </c>
      <c r="D862">
        <v>983.29930847125343</v>
      </c>
      <c r="E862">
        <v>2.1860811660099007</v>
      </c>
      <c r="F862">
        <v>449.8</v>
      </c>
    </row>
    <row r="863" spans="1:6" x14ac:dyDescent="0.25">
      <c r="A863">
        <v>789</v>
      </c>
      <c r="B863" t="s">
        <v>89</v>
      </c>
      <c r="C863">
        <v>202601</v>
      </c>
      <c r="D863">
        <v>1306.19220164783</v>
      </c>
      <c r="E863">
        <v>3.8206160104359133</v>
      </c>
      <c r="F863">
        <v>341.88</v>
      </c>
    </row>
    <row r="864" spans="1:6" x14ac:dyDescent="0.25">
      <c r="A864">
        <v>634</v>
      </c>
      <c r="B864" t="s">
        <v>89</v>
      </c>
      <c r="C864">
        <v>202601</v>
      </c>
      <c r="D864">
        <v>10063.239053583975</v>
      </c>
      <c r="E864">
        <v>44.435196951401842</v>
      </c>
      <c r="F864">
        <v>226.47</v>
      </c>
    </row>
    <row r="865" spans="1:6" x14ac:dyDescent="0.25">
      <c r="A865">
        <v>635</v>
      </c>
      <c r="B865" t="s">
        <v>89</v>
      </c>
      <c r="C865">
        <v>202601</v>
      </c>
      <c r="D865">
        <v>3657.7912408450493</v>
      </c>
      <c r="E865">
        <v>9.0091161322259286</v>
      </c>
      <c r="F865">
        <v>406.01</v>
      </c>
    </row>
    <row r="866" spans="1:6" x14ac:dyDescent="0.25">
      <c r="A866">
        <v>636</v>
      </c>
      <c r="B866" t="s">
        <v>89</v>
      </c>
      <c r="C866">
        <v>202601</v>
      </c>
      <c r="D866">
        <v>14272.789701966336</v>
      </c>
      <c r="E866">
        <v>63.064641666517922</v>
      </c>
      <c r="F866">
        <v>226.32</v>
      </c>
    </row>
    <row r="867" spans="1:6" x14ac:dyDescent="0.25">
      <c r="A867">
        <v>666</v>
      </c>
      <c r="B867" t="s">
        <v>89</v>
      </c>
      <c r="C867">
        <v>202601</v>
      </c>
      <c r="D867">
        <v>2906.24578386648</v>
      </c>
      <c r="E867">
        <v>25.71898923775646</v>
      </c>
      <c r="F867">
        <v>113</v>
      </c>
    </row>
    <row r="868" spans="1:6" x14ac:dyDescent="0.25">
      <c r="A868">
        <v>667</v>
      </c>
      <c r="B868" t="s">
        <v>89</v>
      </c>
      <c r="C868">
        <v>202601</v>
      </c>
      <c r="D868">
        <v>11985.908705286469</v>
      </c>
      <c r="E868">
        <v>63.754833538757815</v>
      </c>
      <c r="F868">
        <v>188</v>
      </c>
    </row>
    <row r="869" spans="1:6" x14ac:dyDescent="0.25">
      <c r="A869">
        <v>668</v>
      </c>
      <c r="B869" t="s">
        <v>89</v>
      </c>
      <c r="C869">
        <v>202601</v>
      </c>
      <c r="D869">
        <v>21386.707460201676</v>
      </c>
      <c r="E869">
        <v>118.42030708860287</v>
      </c>
      <c r="F869">
        <v>180.6</v>
      </c>
    </row>
    <row r="870" spans="1:6" x14ac:dyDescent="0.25">
      <c r="A870">
        <v>665</v>
      </c>
      <c r="B870" t="s">
        <v>89</v>
      </c>
      <c r="C870">
        <v>202601</v>
      </c>
      <c r="D870">
        <v>4125.3937571674533</v>
      </c>
      <c r="E870">
        <v>18.344051568177569</v>
      </c>
      <c r="F870">
        <v>224.89</v>
      </c>
    </row>
    <row r="871" spans="1:6" x14ac:dyDescent="0.25">
      <c r="A871">
        <v>770</v>
      </c>
      <c r="B871" t="s">
        <v>89</v>
      </c>
      <c r="C871">
        <v>202601</v>
      </c>
      <c r="D871">
        <v>18317.325738585023</v>
      </c>
      <c r="E871">
        <v>32.564134646373375</v>
      </c>
      <c r="F871">
        <v>562.5</v>
      </c>
    </row>
    <row r="872" spans="1:6" x14ac:dyDescent="0.25">
      <c r="A872">
        <v>771</v>
      </c>
      <c r="B872" t="s">
        <v>89</v>
      </c>
      <c r="C872">
        <v>202601</v>
      </c>
      <c r="D872">
        <v>3557.1275036205752</v>
      </c>
      <c r="E872">
        <v>5.2713804143754821</v>
      </c>
      <c r="F872">
        <v>674.8</v>
      </c>
    </row>
    <row r="873" spans="1:6" x14ac:dyDescent="0.25">
      <c r="A873">
        <v>769</v>
      </c>
      <c r="B873" t="s">
        <v>89</v>
      </c>
      <c r="C873">
        <v>202601</v>
      </c>
      <c r="D873">
        <v>8359.3685649876625</v>
      </c>
      <c r="E873">
        <v>24.768499451815295</v>
      </c>
      <c r="F873">
        <v>337.5</v>
      </c>
    </row>
    <row r="874" spans="1:6" x14ac:dyDescent="0.25">
      <c r="A874">
        <v>813</v>
      </c>
      <c r="B874" t="s">
        <v>89</v>
      </c>
      <c r="C874">
        <v>202601</v>
      </c>
      <c r="D874">
        <v>3667.6481160438502</v>
      </c>
      <c r="E874">
        <v>12.231606467006243</v>
      </c>
      <c r="F874">
        <v>299.8500749625187</v>
      </c>
    </row>
    <row r="875" spans="1:6" x14ac:dyDescent="0.25">
      <c r="A875">
        <v>814</v>
      </c>
      <c r="B875" t="s">
        <v>89</v>
      </c>
      <c r="C875">
        <v>202601</v>
      </c>
      <c r="D875">
        <v>3972.6219203758451</v>
      </c>
      <c r="E875">
        <v>8.8339380039489548</v>
      </c>
      <c r="F875">
        <v>449.7</v>
      </c>
    </row>
    <row r="876" spans="1:6" x14ac:dyDescent="0.25">
      <c r="A876">
        <v>815</v>
      </c>
      <c r="B876" t="s">
        <v>89</v>
      </c>
      <c r="C876">
        <v>202601</v>
      </c>
      <c r="D876">
        <v>672.33063546977621</v>
      </c>
      <c r="E876">
        <v>2.0386010778343731</v>
      </c>
      <c r="F876">
        <v>329.8</v>
      </c>
    </row>
    <row r="877" spans="1:6" x14ac:dyDescent="0.25">
      <c r="A877">
        <v>542</v>
      </c>
      <c r="B877" t="s">
        <v>61</v>
      </c>
      <c r="C877">
        <v>202601</v>
      </c>
      <c r="D877">
        <v>37034.008149418507</v>
      </c>
      <c r="E877">
        <v>613.34892595923327</v>
      </c>
      <c r="F877">
        <v>60.38</v>
      </c>
    </row>
    <row r="878" spans="1:6" x14ac:dyDescent="0.25">
      <c r="A878">
        <v>543</v>
      </c>
      <c r="B878" t="s">
        <v>61</v>
      </c>
      <c r="C878">
        <v>202601</v>
      </c>
      <c r="D878">
        <v>25447.968920290568</v>
      </c>
      <c r="E878">
        <v>112.80128067504685</v>
      </c>
      <c r="F878">
        <v>225.6</v>
      </c>
    </row>
    <row r="879" spans="1:6" x14ac:dyDescent="0.25">
      <c r="A879">
        <v>545</v>
      </c>
      <c r="B879" t="s">
        <v>61</v>
      </c>
      <c r="C879">
        <v>202601</v>
      </c>
      <c r="D879">
        <v>119070.31825704451</v>
      </c>
      <c r="E879">
        <v>330.20054979768304</v>
      </c>
      <c r="F879">
        <v>360.6</v>
      </c>
    </row>
    <row r="880" spans="1:6" x14ac:dyDescent="0.25">
      <c r="A880">
        <v>547</v>
      </c>
      <c r="B880" t="s">
        <v>61</v>
      </c>
      <c r="C880">
        <v>202601</v>
      </c>
      <c r="D880">
        <v>126990.01854433514</v>
      </c>
      <c r="E880">
        <v>292.9817703588389</v>
      </c>
      <c r="F880">
        <v>433.44</v>
      </c>
    </row>
    <row r="881" spans="1:6" x14ac:dyDescent="0.25">
      <c r="A881">
        <v>551</v>
      </c>
      <c r="B881" t="s">
        <v>61</v>
      </c>
      <c r="C881">
        <v>202601</v>
      </c>
      <c r="D881">
        <v>12307.742587616834</v>
      </c>
      <c r="E881">
        <v>45.607880336533142</v>
      </c>
      <c r="F881">
        <v>269.86</v>
      </c>
    </row>
    <row r="882" spans="1:6" x14ac:dyDescent="0.25">
      <c r="A882">
        <v>552</v>
      </c>
      <c r="B882" t="s">
        <v>61</v>
      </c>
      <c r="C882">
        <v>202601</v>
      </c>
      <c r="D882">
        <v>4740.8221366387397</v>
      </c>
      <c r="E882">
        <v>30.115754901783383</v>
      </c>
      <c r="F882">
        <v>157.41999999999999</v>
      </c>
    </row>
    <row r="883" spans="1:6" x14ac:dyDescent="0.25">
      <c r="A883">
        <v>578</v>
      </c>
      <c r="B883" t="s">
        <v>61</v>
      </c>
      <c r="C883">
        <v>202601</v>
      </c>
      <c r="D883">
        <v>0</v>
      </c>
      <c r="E883">
        <v>0</v>
      </c>
      <c r="F883">
        <v>225.56</v>
      </c>
    </row>
    <row r="884" spans="1:6" x14ac:dyDescent="0.25">
      <c r="A884">
        <v>596</v>
      </c>
      <c r="B884" t="s">
        <v>61</v>
      </c>
      <c r="C884">
        <v>202601</v>
      </c>
      <c r="D884">
        <v>4512.0199494501594</v>
      </c>
      <c r="E884">
        <v>12.502133414935328</v>
      </c>
      <c r="F884">
        <v>360.9</v>
      </c>
    </row>
    <row r="885" spans="1:6" x14ac:dyDescent="0.25">
      <c r="A885">
        <v>598</v>
      </c>
      <c r="B885" t="s">
        <v>61</v>
      </c>
      <c r="C885">
        <v>202601</v>
      </c>
      <c r="D885">
        <v>15554.028043159724</v>
      </c>
      <c r="E885">
        <v>34.477928852347937</v>
      </c>
      <c r="F885">
        <v>451.13</v>
      </c>
    </row>
    <row r="886" spans="1:6" x14ac:dyDescent="0.25">
      <c r="A886">
        <v>597</v>
      </c>
      <c r="B886" t="s">
        <v>61</v>
      </c>
      <c r="C886">
        <v>202601</v>
      </c>
      <c r="D886">
        <v>1316.9279144793143</v>
      </c>
      <c r="E886">
        <v>4.3919556927774357</v>
      </c>
      <c r="F886">
        <v>299.85000000000002</v>
      </c>
    </row>
    <row r="887" spans="1:6" x14ac:dyDescent="0.25">
      <c r="A887">
        <v>788</v>
      </c>
      <c r="B887" t="s">
        <v>61</v>
      </c>
      <c r="C887">
        <v>202601</v>
      </c>
      <c r="D887">
        <v>1341.6829578359325</v>
      </c>
      <c r="E887">
        <v>2.982843392254185</v>
      </c>
      <c r="F887">
        <v>449.8</v>
      </c>
    </row>
    <row r="888" spans="1:6" x14ac:dyDescent="0.25">
      <c r="A888">
        <v>789</v>
      </c>
      <c r="B888" t="s">
        <v>61</v>
      </c>
      <c r="C888">
        <v>202601</v>
      </c>
      <c r="D888">
        <v>1766.1339781815641</v>
      </c>
      <c r="E888">
        <v>5.1659470521281268</v>
      </c>
      <c r="F888">
        <v>341.88</v>
      </c>
    </row>
    <row r="889" spans="1:6" x14ac:dyDescent="0.25">
      <c r="A889">
        <v>634</v>
      </c>
      <c r="B889" t="s">
        <v>61</v>
      </c>
      <c r="C889">
        <v>202601</v>
      </c>
      <c r="D889">
        <v>15661.369740589136</v>
      </c>
      <c r="E889">
        <v>69.154279774756645</v>
      </c>
      <c r="F889">
        <v>226.47</v>
      </c>
    </row>
    <row r="890" spans="1:6" x14ac:dyDescent="0.25">
      <c r="A890">
        <v>635</v>
      </c>
      <c r="B890" t="s">
        <v>61</v>
      </c>
      <c r="C890">
        <v>202601</v>
      </c>
      <c r="D890">
        <v>6896.0146932617326</v>
      </c>
      <c r="E890">
        <v>16.984839519375711</v>
      </c>
      <c r="F890">
        <v>406.01</v>
      </c>
    </row>
    <row r="891" spans="1:6" x14ac:dyDescent="0.25">
      <c r="A891">
        <v>636</v>
      </c>
      <c r="B891" t="s">
        <v>61</v>
      </c>
      <c r="C891">
        <v>202601</v>
      </c>
      <c r="D891">
        <v>11781.018482168978</v>
      </c>
      <c r="E891">
        <v>52.054694601312207</v>
      </c>
      <c r="F891">
        <v>226.32</v>
      </c>
    </row>
    <row r="892" spans="1:6" x14ac:dyDescent="0.25">
      <c r="A892">
        <v>666</v>
      </c>
      <c r="B892" t="s">
        <v>61</v>
      </c>
      <c r="C892">
        <v>202601</v>
      </c>
      <c r="D892">
        <v>4750.6643033550235</v>
      </c>
      <c r="E892">
        <v>42.041277020840916</v>
      </c>
      <c r="F892">
        <v>113</v>
      </c>
    </row>
    <row r="893" spans="1:6" x14ac:dyDescent="0.25">
      <c r="A893">
        <v>667</v>
      </c>
      <c r="B893" t="s">
        <v>61</v>
      </c>
      <c r="C893">
        <v>202601</v>
      </c>
      <c r="D893">
        <v>14475.592549114643</v>
      </c>
      <c r="E893">
        <v>76.997832708056606</v>
      </c>
      <c r="F893">
        <v>188</v>
      </c>
    </row>
    <row r="894" spans="1:6" x14ac:dyDescent="0.25">
      <c r="A894">
        <v>668</v>
      </c>
      <c r="B894" t="s">
        <v>61</v>
      </c>
      <c r="C894">
        <v>202601</v>
      </c>
      <c r="D894">
        <v>18346.875131801477</v>
      </c>
      <c r="E894">
        <v>101.58845587929943</v>
      </c>
      <c r="F894">
        <v>180.6</v>
      </c>
    </row>
    <row r="895" spans="1:6" x14ac:dyDescent="0.25">
      <c r="A895">
        <v>665</v>
      </c>
      <c r="B895" t="s">
        <v>61</v>
      </c>
      <c r="C895">
        <v>202601</v>
      </c>
      <c r="D895">
        <v>4658.3624186148591</v>
      </c>
      <c r="E895">
        <v>20.713959796410954</v>
      </c>
      <c r="F895">
        <v>224.89</v>
      </c>
    </row>
    <row r="896" spans="1:6" x14ac:dyDescent="0.25">
      <c r="A896">
        <v>770</v>
      </c>
      <c r="B896" t="s">
        <v>61</v>
      </c>
      <c r="C896">
        <v>202601</v>
      </c>
      <c r="D896">
        <v>37902.373440855699</v>
      </c>
      <c r="E896">
        <v>67.381997228187913</v>
      </c>
      <c r="F896">
        <v>562.5</v>
      </c>
    </row>
    <row r="897" spans="1:6" x14ac:dyDescent="0.25">
      <c r="A897">
        <v>771</v>
      </c>
      <c r="B897" t="s">
        <v>61</v>
      </c>
      <c r="C897">
        <v>202601</v>
      </c>
      <c r="D897">
        <v>3657.9149765530474</v>
      </c>
      <c r="E897">
        <v>5.420739443617439</v>
      </c>
      <c r="F897">
        <v>674.8</v>
      </c>
    </row>
    <row r="898" spans="1:6" x14ac:dyDescent="0.25">
      <c r="A898">
        <v>769</v>
      </c>
      <c r="B898" t="s">
        <v>61</v>
      </c>
      <c r="C898">
        <v>202601</v>
      </c>
      <c r="D898">
        <v>15721.834182087314</v>
      </c>
      <c r="E898">
        <v>46.58321239136982</v>
      </c>
      <c r="F898">
        <v>337.5</v>
      </c>
    </row>
    <row r="899" spans="1:6" x14ac:dyDescent="0.25">
      <c r="A899">
        <v>813</v>
      </c>
      <c r="B899" t="s">
        <v>61</v>
      </c>
      <c r="C899">
        <v>202601</v>
      </c>
      <c r="D899">
        <v>4425.0357891824078</v>
      </c>
      <c r="E899">
        <v>14.757494356923331</v>
      </c>
      <c r="F899">
        <v>299.8500749625187</v>
      </c>
    </row>
    <row r="900" spans="1:6" x14ac:dyDescent="0.25">
      <c r="A900">
        <v>814</v>
      </c>
      <c r="B900" t="s">
        <v>61</v>
      </c>
      <c r="C900">
        <v>202601</v>
      </c>
      <c r="D900">
        <v>4792.9882088894165</v>
      </c>
      <c r="E900">
        <v>10.658190368889073</v>
      </c>
      <c r="F900">
        <v>449.7</v>
      </c>
    </row>
    <row r="901" spans="1:6" x14ac:dyDescent="0.25">
      <c r="A901">
        <v>815</v>
      </c>
      <c r="B901" t="s">
        <v>61</v>
      </c>
      <c r="C901">
        <v>202601</v>
      </c>
      <c r="D901">
        <v>811.17027315221867</v>
      </c>
      <c r="E901">
        <v>2.4595823928205536</v>
      </c>
      <c r="F901">
        <v>329.8</v>
      </c>
    </row>
    <row r="902" spans="1:6" x14ac:dyDescent="0.25">
      <c r="A902">
        <v>542</v>
      </c>
      <c r="B902" t="s">
        <v>62</v>
      </c>
      <c r="C902">
        <v>202601</v>
      </c>
      <c r="D902">
        <v>22485.108398081709</v>
      </c>
      <c r="E902">
        <v>372.39331563566924</v>
      </c>
      <c r="F902">
        <v>60.38</v>
      </c>
    </row>
    <row r="903" spans="1:6" x14ac:dyDescent="0.25">
      <c r="A903">
        <v>543</v>
      </c>
      <c r="B903" t="s">
        <v>62</v>
      </c>
      <c r="C903">
        <v>202601</v>
      </c>
      <c r="D903">
        <v>18689.730988666059</v>
      </c>
      <c r="E903">
        <v>82.844552254725443</v>
      </c>
      <c r="F903">
        <v>225.6</v>
      </c>
    </row>
    <row r="904" spans="1:6" x14ac:dyDescent="0.25">
      <c r="A904">
        <v>545</v>
      </c>
      <c r="B904" t="s">
        <v>62</v>
      </c>
      <c r="C904">
        <v>202601</v>
      </c>
      <c r="D904">
        <v>80090.069538091906</v>
      </c>
      <c r="E904">
        <v>222.10224497529646</v>
      </c>
      <c r="F904">
        <v>360.6</v>
      </c>
    </row>
    <row r="905" spans="1:6" x14ac:dyDescent="0.25">
      <c r="A905">
        <v>547</v>
      </c>
      <c r="B905" t="s">
        <v>62</v>
      </c>
      <c r="C905">
        <v>202601</v>
      </c>
      <c r="D905">
        <v>74142.084712078096</v>
      </c>
      <c r="E905">
        <v>171.05501271704986</v>
      </c>
      <c r="F905">
        <v>433.44</v>
      </c>
    </row>
    <row r="906" spans="1:6" x14ac:dyDescent="0.25">
      <c r="A906">
        <v>551</v>
      </c>
      <c r="B906" t="s">
        <v>62</v>
      </c>
      <c r="C906">
        <v>202601</v>
      </c>
      <c r="D906">
        <v>8782.1244518389522</v>
      </c>
      <c r="E906">
        <v>32.543261142218007</v>
      </c>
      <c r="F906">
        <v>269.86</v>
      </c>
    </row>
    <row r="907" spans="1:6" x14ac:dyDescent="0.25">
      <c r="A907">
        <v>552</v>
      </c>
      <c r="B907" t="s">
        <v>62</v>
      </c>
      <c r="C907">
        <v>202601</v>
      </c>
      <c r="D907">
        <v>4796.6052376359676</v>
      </c>
      <c r="E907">
        <v>30.470113312387042</v>
      </c>
      <c r="F907">
        <v>157.41999999999999</v>
      </c>
    </row>
    <row r="908" spans="1:6" x14ac:dyDescent="0.25">
      <c r="A908">
        <v>578</v>
      </c>
      <c r="B908" t="s">
        <v>62</v>
      </c>
      <c r="C908">
        <v>202601</v>
      </c>
      <c r="D908">
        <v>0</v>
      </c>
      <c r="E908">
        <v>0</v>
      </c>
      <c r="F908">
        <v>225.56</v>
      </c>
    </row>
    <row r="909" spans="1:6" x14ac:dyDescent="0.25">
      <c r="A909">
        <v>596</v>
      </c>
      <c r="B909" t="s">
        <v>62</v>
      </c>
      <c r="C909">
        <v>202601</v>
      </c>
      <c r="D909">
        <v>2101.2968893391276</v>
      </c>
      <c r="E909">
        <v>5.8223798540845877</v>
      </c>
      <c r="F909">
        <v>360.9</v>
      </c>
    </row>
    <row r="910" spans="1:6" x14ac:dyDescent="0.25">
      <c r="A910">
        <v>598</v>
      </c>
      <c r="B910" t="s">
        <v>62</v>
      </c>
      <c r="C910">
        <v>202601</v>
      </c>
      <c r="D910">
        <v>8298.1030604110201</v>
      </c>
      <c r="E910">
        <v>18.394039546053289</v>
      </c>
      <c r="F910">
        <v>451.13</v>
      </c>
    </row>
    <row r="911" spans="1:6" x14ac:dyDescent="0.25">
      <c r="A911">
        <v>597</v>
      </c>
      <c r="B911" t="s">
        <v>62</v>
      </c>
      <c r="C911">
        <v>202601</v>
      </c>
      <c r="D911">
        <v>1081.5403163120895</v>
      </c>
      <c r="E911">
        <v>3.6069378566352825</v>
      </c>
      <c r="F911">
        <v>299.85000000000002</v>
      </c>
    </row>
    <row r="912" spans="1:6" x14ac:dyDescent="0.25">
      <c r="A912">
        <v>788</v>
      </c>
      <c r="B912" t="s">
        <v>62</v>
      </c>
      <c r="C912">
        <v>202601</v>
      </c>
      <c r="D912">
        <v>875.55770904279257</v>
      </c>
      <c r="E912">
        <v>1.9465489307309749</v>
      </c>
      <c r="F912">
        <v>449.8</v>
      </c>
    </row>
    <row r="913" spans="1:6" x14ac:dyDescent="0.25">
      <c r="A913">
        <v>789</v>
      </c>
      <c r="B913" t="s">
        <v>62</v>
      </c>
      <c r="C913">
        <v>202601</v>
      </c>
      <c r="D913">
        <v>1626.4206372411475</v>
      </c>
      <c r="E913">
        <v>4.7572851212154772</v>
      </c>
      <c r="F913">
        <v>341.88</v>
      </c>
    </row>
    <row r="914" spans="1:6" x14ac:dyDescent="0.25">
      <c r="A914">
        <v>634</v>
      </c>
      <c r="B914" t="s">
        <v>62</v>
      </c>
      <c r="C914">
        <v>202601</v>
      </c>
      <c r="D914">
        <v>10816.728186787243</v>
      </c>
      <c r="E914">
        <v>47.762300467113711</v>
      </c>
      <c r="F914">
        <v>226.47</v>
      </c>
    </row>
    <row r="915" spans="1:6" x14ac:dyDescent="0.25">
      <c r="A915">
        <v>635</v>
      </c>
      <c r="B915" t="s">
        <v>62</v>
      </c>
      <c r="C915">
        <v>202601</v>
      </c>
      <c r="D915">
        <v>3902.0486487211992</v>
      </c>
      <c r="E915">
        <v>9.6107205456052789</v>
      </c>
      <c r="F915">
        <v>406.01</v>
      </c>
    </row>
    <row r="916" spans="1:6" x14ac:dyDescent="0.25">
      <c r="A916">
        <v>636</v>
      </c>
      <c r="B916" t="s">
        <v>62</v>
      </c>
      <c r="C916">
        <v>202601</v>
      </c>
      <c r="D916">
        <v>7840.3028382951788</v>
      </c>
      <c r="E916">
        <v>34.642554075181948</v>
      </c>
      <c r="F916">
        <v>226.32</v>
      </c>
    </row>
    <row r="917" spans="1:6" x14ac:dyDescent="0.25">
      <c r="A917">
        <v>666</v>
      </c>
      <c r="B917" t="s">
        <v>62</v>
      </c>
      <c r="C917">
        <v>202601</v>
      </c>
      <c r="D917">
        <v>2589.7709264902819</v>
      </c>
      <c r="E917">
        <v>22.91832678309984</v>
      </c>
      <c r="F917">
        <v>113</v>
      </c>
    </row>
    <row r="918" spans="1:6" x14ac:dyDescent="0.25">
      <c r="A918">
        <v>667</v>
      </c>
      <c r="B918" t="s">
        <v>62</v>
      </c>
      <c r="C918">
        <v>202601</v>
      </c>
      <c r="D918">
        <v>7591.3303336734589</v>
      </c>
      <c r="E918">
        <v>40.379416668475848</v>
      </c>
      <c r="F918">
        <v>188</v>
      </c>
    </row>
    <row r="919" spans="1:6" x14ac:dyDescent="0.25">
      <c r="A919">
        <v>668</v>
      </c>
      <c r="B919" t="s">
        <v>62</v>
      </c>
      <c r="C919">
        <v>202601</v>
      </c>
      <c r="D919">
        <v>10545.247081083724</v>
      </c>
      <c r="E919">
        <v>58.390072431249855</v>
      </c>
      <c r="F919">
        <v>180.6</v>
      </c>
    </row>
    <row r="920" spans="1:6" x14ac:dyDescent="0.25">
      <c r="A920">
        <v>665</v>
      </c>
      <c r="B920" t="s">
        <v>62</v>
      </c>
      <c r="C920">
        <v>202601</v>
      </c>
      <c r="D920">
        <v>1622.7829007421765</v>
      </c>
      <c r="E920">
        <v>7.2158962192279628</v>
      </c>
      <c r="F920">
        <v>224.89</v>
      </c>
    </row>
    <row r="921" spans="1:6" x14ac:dyDescent="0.25">
      <c r="A921">
        <v>770</v>
      </c>
      <c r="B921" t="s">
        <v>62</v>
      </c>
      <c r="C921">
        <v>202601</v>
      </c>
      <c r="D921">
        <v>23377.466910554005</v>
      </c>
      <c r="E921">
        <v>41.559941174318233</v>
      </c>
      <c r="F921">
        <v>562.5</v>
      </c>
    </row>
    <row r="922" spans="1:6" x14ac:dyDescent="0.25">
      <c r="A922">
        <v>771</v>
      </c>
      <c r="B922" t="s">
        <v>62</v>
      </c>
      <c r="C922">
        <v>202601</v>
      </c>
      <c r="D922">
        <v>2782.3362515722215</v>
      </c>
      <c r="E922">
        <v>4.1232013212392138</v>
      </c>
      <c r="F922">
        <v>674.8</v>
      </c>
    </row>
    <row r="923" spans="1:6" x14ac:dyDescent="0.25">
      <c r="A923">
        <v>769</v>
      </c>
      <c r="B923" t="s">
        <v>62</v>
      </c>
      <c r="C923">
        <v>202601</v>
      </c>
      <c r="D923">
        <v>8628.6866946933878</v>
      </c>
      <c r="E923">
        <v>25.566479095387816</v>
      </c>
      <c r="F923">
        <v>337.5</v>
      </c>
    </row>
    <row r="924" spans="1:6" x14ac:dyDescent="0.25">
      <c r="A924">
        <v>813</v>
      </c>
      <c r="B924" t="s">
        <v>62</v>
      </c>
      <c r="C924">
        <v>202601</v>
      </c>
      <c r="D924">
        <v>2903.6202065249527</v>
      </c>
      <c r="E924">
        <v>9.6835733887607187</v>
      </c>
      <c r="F924">
        <v>299.8500749625187</v>
      </c>
    </row>
    <row r="925" spans="1:6" x14ac:dyDescent="0.25">
      <c r="A925">
        <v>814</v>
      </c>
      <c r="B925" t="s">
        <v>62</v>
      </c>
      <c r="C925">
        <v>202601</v>
      </c>
      <c r="D925">
        <v>3145.0632437796689</v>
      </c>
      <c r="E925">
        <v>6.993691891882742</v>
      </c>
      <c r="F925">
        <v>449.7</v>
      </c>
    </row>
    <row r="926" spans="1:6" x14ac:dyDescent="0.25">
      <c r="A926">
        <v>815</v>
      </c>
      <c r="B926" t="s">
        <v>62</v>
      </c>
      <c r="C926">
        <v>202601</v>
      </c>
      <c r="D926">
        <v>532.27375060221391</v>
      </c>
      <c r="E926">
        <v>1.6139288981267856</v>
      </c>
      <c r="F926">
        <v>329.8</v>
      </c>
    </row>
    <row r="927" spans="1:6" x14ac:dyDescent="0.25">
      <c r="A927">
        <v>542</v>
      </c>
      <c r="B927" t="s">
        <v>63</v>
      </c>
      <c r="C927">
        <v>202601</v>
      </c>
      <c r="D927">
        <v>6780.9433540945738</v>
      </c>
      <c r="E927">
        <v>112.30446098202341</v>
      </c>
      <c r="F927">
        <v>60.38</v>
      </c>
    </row>
    <row r="928" spans="1:6" x14ac:dyDescent="0.25">
      <c r="A928">
        <v>543</v>
      </c>
      <c r="B928" t="s">
        <v>63</v>
      </c>
      <c r="C928">
        <v>202601</v>
      </c>
      <c r="D928">
        <v>11950.275583174674</v>
      </c>
      <c r="E928">
        <v>52.971079712653697</v>
      </c>
      <c r="F928">
        <v>225.6</v>
      </c>
    </row>
    <row r="929" spans="1:6" x14ac:dyDescent="0.25">
      <c r="A929">
        <v>545</v>
      </c>
      <c r="B929" t="s">
        <v>63</v>
      </c>
      <c r="C929">
        <v>202601</v>
      </c>
      <c r="D929">
        <v>42206.112430274348</v>
      </c>
      <c r="E929">
        <v>117.04412764912465</v>
      </c>
      <c r="F929">
        <v>360.6</v>
      </c>
    </row>
    <row r="930" spans="1:6" x14ac:dyDescent="0.25">
      <c r="A930">
        <v>547</v>
      </c>
      <c r="B930" t="s">
        <v>63</v>
      </c>
      <c r="C930">
        <v>202601</v>
      </c>
      <c r="D930">
        <v>60460.097963912238</v>
      </c>
      <c r="E930">
        <v>139.48896724785953</v>
      </c>
      <c r="F930">
        <v>433.44</v>
      </c>
    </row>
    <row r="931" spans="1:6" x14ac:dyDescent="0.25">
      <c r="A931">
        <v>551</v>
      </c>
      <c r="B931" t="s">
        <v>63</v>
      </c>
      <c r="C931">
        <v>202601</v>
      </c>
      <c r="D931">
        <v>9858.9031350033565</v>
      </c>
      <c r="E931">
        <v>36.533399299649282</v>
      </c>
      <c r="F931">
        <v>269.86</v>
      </c>
    </row>
    <row r="932" spans="1:6" x14ac:dyDescent="0.25">
      <c r="A932">
        <v>552</v>
      </c>
      <c r="B932" t="s">
        <v>63</v>
      </c>
      <c r="C932">
        <v>202601</v>
      </c>
      <c r="D932">
        <v>4236.4067103318057</v>
      </c>
      <c r="E932">
        <v>26.911489711166347</v>
      </c>
      <c r="F932">
        <v>157.41999999999999</v>
      </c>
    </row>
    <row r="933" spans="1:6" x14ac:dyDescent="0.25">
      <c r="A933">
        <v>578</v>
      </c>
      <c r="B933" t="s">
        <v>63</v>
      </c>
      <c r="C933">
        <v>202601</v>
      </c>
      <c r="D933">
        <v>0</v>
      </c>
      <c r="E933">
        <v>0</v>
      </c>
      <c r="F933">
        <v>225.56</v>
      </c>
    </row>
    <row r="934" spans="1:6" x14ac:dyDescent="0.25">
      <c r="A934">
        <v>596</v>
      </c>
      <c r="B934" t="s">
        <v>63</v>
      </c>
      <c r="C934">
        <v>202601</v>
      </c>
      <c r="D934">
        <v>5005.6239229576113</v>
      </c>
      <c r="E934">
        <v>13.86983630633863</v>
      </c>
      <c r="F934">
        <v>360.9</v>
      </c>
    </row>
    <row r="935" spans="1:6" x14ac:dyDescent="0.25">
      <c r="A935">
        <v>598</v>
      </c>
      <c r="B935" t="s">
        <v>63</v>
      </c>
      <c r="C935">
        <v>202601</v>
      </c>
      <c r="D935">
        <v>4255.2025474158554</v>
      </c>
      <c r="E935">
        <v>9.4323200572248691</v>
      </c>
      <c r="F935">
        <v>451.13</v>
      </c>
    </row>
    <row r="936" spans="1:6" x14ac:dyDescent="0.25">
      <c r="A936">
        <v>597</v>
      </c>
      <c r="B936" t="s">
        <v>63</v>
      </c>
      <c r="C936">
        <v>202601</v>
      </c>
      <c r="D936">
        <v>0</v>
      </c>
      <c r="E936">
        <v>0</v>
      </c>
      <c r="F936">
        <v>299.85000000000002</v>
      </c>
    </row>
    <row r="937" spans="1:6" x14ac:dyDescent="0.25">
      <c r="A937">
        <v>788</v>
      </c>
      <c r="B937" t="s">
        <v>63</v>
      </c>
      <c r="C937">
        <v>202601</v>
      </c>
      <c r="D937">
        <v>1414.6707431507875</v>
      </c>
      <c r="E937">
        <v>3.1451105894859661</v>
      </c>
      <c r="F937">
        <v>449.8</v>
      </c>
    </row>
    <row r="938" spans="1:6" x14ac:dyDescent="0.25">
      <c r="A938">
        <v>789</v>
      </c>
      <c r="B938" t="s">
        <v>63</v>
      </c>
      <c r="C938">
        <v>202601</v>
      </c>
      <c r="D938">
        <v>0</v>
      </c>
      <c r="E938">
        <v>0</v>
      </c>
      <c r="F938">
        <v>341.88</v>
      </c>
    </row>
    <row r="939" spans="1:6" x14ac:dyDescent="0.25">
      <c r="A939">
        <v>634</v>
      </c>
      <c r="B939" t="s">
        <v>63</v>
      </c>
      <c r="C939">
        <v>202601</v>
      </c>
      <c r="D939">
        <v>14916.662538723545</v>
      </c>
      <c r="E939">
        <v>65.865953718918817</v>
      </c>
      <c r="F939">
        <v>226.47</v>
      </c>
    </row>
    <row r="940" spans="1:6" x14ac:dyDescent="0.25">
      <c r="A940">
        <v>635</v>
      </c>
      <c r="B940" t="s">
        <v>63</v>
      </c>
      <c r="C940">
        <v>202601</v>
      </c>
      <c r="D940">
        <v>8798.3977765058826</v>
      </c>
      <c r="E940">
        <v>21.670396730390589</v>
      </c>
      <c r="F940">
        <v>406.01</v>
      </c>
    </row>
    <row r="941" spans="1:6" x14ac:dyDescent="0.25">
      <c r="A941">
        <v>636</v>
      </c>
      <c r="B941" t="s">
        <v>63</v>
      </c>
      <c r="C941">
        <v>202601</v>
      </c>
      <c r="D941">
        <v>11149.881683165278</v>
      </c>
      <c r="E941">
        <v>49.266002488358424</v>
      </c>
      <c r="F941">
        <v>226.32</v>
      </c>
    </row>
    <row r="942" spans="1:6" x14ac:dyDescent="0.25">
      <c r="A942">
        <v>666</v>
      </c>
      <c r="B942" t="s">
        <v>63</v>
      </c>
      <c r="C942">
        <v>202601</v>
      </c>
      <c r="D942">
        <v>2338.9802578429003</v>
      </c>
      <c r="E942">
        <v>20.698940334892924</v>
      </c>
      <c r="F942">
        <v>113</v>
      </c>
    </row>
    <row r="943" spans="1:6" x14ac:dyDescent="0.25">
      <c r="A943">
        <v>667</v>
      </c>
      <c r="B943" t="s">
        <v>63</v>
      </c>
      <c r="C943">
        <v>202601</v>
      </c>
      <c r="D943">
        <v>8264.5987735657691</v>
      </c>
      <c r="E943">
        <v>43.960631774286007</v>
      </c>
      <c r="F943">
        <v>188</v>
      </c>
    </row>
    <row r="944" spans="1:6" x14ac:dyDescent="0.25">
      <c r="A944">
        <v>668</v>
      </c>
      <c r="B944" t="s">
        <v>63</v>
      </c>
      <c r="C944">
        <v>202601</v>
      </c>
      <c r="D944">
        <v>10505.531471330411</v>
      </c>
      <c r="E944">
        <v>58.170163185661188</v>
      </c>
      <c r="F944">
        <v>180.6</v>
      </c>
    </row>
    <row r="945" spans="1:6" x14ac:dyDescent="0.25">
      <c r="A945">
        <v>665</v>
      </c>
      <c r="B945" t="s">
        <v>63</v>
      </c>
      <c r="C945">
        <v>202601</v>
      </c>
      <c r="D945">
        <v>3225.8896795210489</v>
      </c>
      <c r="E945">
        <v>14.344300233541061</v>
      </c>
      <c r="F945">
        <v>224.89</v>
      </c>
    </row>
    <row r="946" spans="1:6" x14ac:dyDescent="0.25">
      <c r="A946">
        <v>770</v>
      </c>
      <c r="B946" t="s">
        <v>63</v>
      </c>
      <c r="C946">
        <v>202601</v>
      </c>
      <c r="D946">
        <v>18764.675042264254</v>
      </c>
      <c r="E946">
        <v>33.359422297358677</v>
      </c>
      <c r="F946">
        <v>562.5</v>
      </c>
    </row>
    <row r="947" spans="1:6" x14ac:dyDescent="0.25">
      <c r="A947">
        <v>771</v>
      </c>
      <c r="B947" t="s">
        <v>63</v>
      </c>
      <c r="C947">
        <v>202601</v>
      </c>
      <c r="D947">
        <v>2585.1640268545607</v>
      </c>
      <c r="E947">
        <v>3.8310077457832854</v>
      </c>
      <c r="F947">
        <v>674.8</v>
      </c>
    </row>
    <row r="948" spans="1:6" x14ac:dyDescent="0.25">
      <c r="A948">
        <v>769</v>
      </c>
      <c r="B948" t="s">
        <v>63</v>
      </c>
      <c r="C948">
        <v>202601</v>
      </c>
      <c r="D948">
        <v>9300.2194189575112</v>
      </c>
      <c r="E948">
        <v>27.556205685800034</v>
      </c>
      <c r="F948">
        <v>337.5</v>
      </c>
    </row>
    <row r="949" spans="1:6" x14ac:dyDescent="0.25">
      <c r="A949">
        <v>813</v>
      </c>
      <c r="B949" t="s">
        <v>63</v>
      </c>
      <c r="C949">
        <v>202601</v>
      </c>
      <c r="D949">
        <v>4494.2487727622356</v>
      </c>
      <c r="E949">
        <v>14.988319657162057</v>
      </c>
      <c r="F949">
        <v>299.8500749625187</v>
      </c>
    </row>
    <row r="950" spans="1:6" x14ac:dyDescent="0.25">
      <c r="A950">
        <v>814</v>
      </c>
      <c r="B950" t="s">
        <v>63</v>
      </c>
      <c r="C950">
        <v>202601</v>
      </c>
      <c r="D950">
        <v>4867.9564193186161</v>
      </c>
      <c r="E950">
        <v>10.824897530172596</v>
      </c>
      <c r="F950">
        <v>449.7</v>
      </c>
    </row>
    <row r="951" spans="1:6" x14ac:dyDescent="0.25">
      <c r="A951">
        <v>815</v>
      </c>
      <c r="B951" t="s">
        <v>63</v>
      </c>
      <c r="C951">
        <v>202601</v>
      </c>
      <c r="D951">
        <v>823.8579704886738</v>
      </c>
      <c r="E951">
        <v>2.4980532761936742</v>
      </c>
      <c r="F951">
        <v>329.8</v>
      </c>
    </row>
    <row r="952" spans="1:6" x14ac:dyDescent="0.25">
      <c r="A952">
        <v>542</v>
      </c>
      <c r="B952" t="s">
        <v>90</v>
      </c>
      <c r="C952">
        <v>202601</v>
      </c>
      <c r="D952">
        <v>10373.885478100116</v>
      </c>
      <c r="E952">
        <v>171.80996154521554</v>
      </c>
      <c r="F952">
        <v>60.38</v>
      </c>
    </row>
    <row r="953" spans="1:6" x14ac:dyDescent="0.25">
      <c r="A953">
        <v>543</v>
      </c>
      <c r="B953" t="s">
        <v>90</v>
      </c>
      <c r="C953">
        <v>202601</v>
      </c>
      <c r="D953">
        <v>18307.000595238391</v>
      </c>
      <c r="E953">
        <v>81.148052283858121</v>
      </c>
      <c r="F953">
        <v>225.6</v>
      </c>
    </row>
    <row r="954" spans="1:6" x14ac:dyDescent="0.25">
      <c r="A954">
        <v>545</v>
      </c>
      <c r="B954" t="s">
        <v>90</v>
      </c>
      <c r="C954">
        <v>202601</v>
      </c>
      <c r="D954">
        <v>78898.616266034383</v>
      </c>
      <c r="E954">
        <v>218.7981593622695</v>
      </c>
      <c r="F954">
        <v>360.6</v>
      </c>
    </row>
    <row r="955" spans="1:6" x14ac:dyDescent="0.25">
      <c r="A955">
        <v>547</v>
      </c>
      <c r="B955" t="s">
        <v>90</v>
      </c>
      <c r="C955">
        <v>202601</v>
      </c>
      <c r="D955">
        <v>107399.26619723102</v>
      </c>
      <c r="E955">
        <v>247.78346760158504</v>
      </c>
      <c r="F955">
        <v>433.44</v>
      </c>
    </row>
    <row r="956" spans="1:6" x14ac:dyDescent="0.25">
      <c r="A956">
        <v>551</v>
      </c>
      <c r="B956" t="s">
        <v>90</v>
      </c>
      <c r="C956">
        <v>202601</v>
      </c>
      <c r="D956">
        <v>3666.5509925777051</v>
      </c>
      <c r="E956">
        <v>13.586863531378141</v>
      </c>
      <c r="F956">
        <v>269.86</v>
      </c>
    </row>
    <row r="957" spans="1:6" x14ac:dyDescent="0.25">
      <c r="A957">
        <v>552</v>
      </c>
      <c r="B957" t="s">
        <v>90</v>
      </c>
      <c r="C957">
        <v>202601</v>
      </c>
      <c r="D957">
        <v>2012.1371558285512</v>
      </c>
      <c r="E957">
        <v>12.781966432655008</v>
      </c>
      <c r="F957">
        <v>157.41999999999999</v>
      </c>
    </row>
    <row r="958" spans="1:6" x14ac:dyDescent="0.25">
      <c r="A958">
        <v>578</v>
      </c>
      <c r="B958" t="s">
        <v>90</v>
      </c>
      <c r="C958">
        <v>202601</v>
      </c>
      <c r="D958">
        <v>0</v>
      </c>
      <c r="E958">
        <v>0</v>
      </c>
      <c r="F958">
        <v>225.56</v>
      </c>
    </row>
    <row r="959" spans="1:6" x14ac:dyDescent="0.25">
      <c r="A959">
        <v>596</v>
      </c>
      <c r="B959" t="s">
        <v>90</v>
      </c>
      <c r="C959">
        <v>202601</v>
      </c>
      <c r="D959">
        <v>1913.7504882476837</v>
      </c>
      <c r="E959">
        <v>5.3027167864995395</v>
      </c>
      <c r="F959">
        <v>360.9</v>
      </c>
    </row>
    <row r="960" spans="1:6" x14ac:dyDescent="0.25">
      <c r="A960">
        <v>598</v>
      </c>
      <c r="B960" t="s">
        <v>90</v>
      </c>
      <c r="C960">
        <v>202601</v>
      </c>
      <c r="D960">
        <v>4909.2935953347742</v>
      </c>
      <c r="E960">
        <v>10.882214872286866</v>
      </c>
      <c r="F960">
        <v>451.13</v>
      </c>
    </row>
    <row r="961" spans="1:6" x14ac:dyDescent="0.25">
      <c r="A961">
        <v>597</v>
      </c>
      <c r="B961" t="s">
        <v>90</v>
      </c>
      <c r="C961">
        <v>202601</v>
      </c>
      <c r="D961">
        <v>1120.2988255325497</v>
      </c>
      <c r="E961">
        <v>3.7361975172004325</v>
      </c>
      <c r="F961">
        <v>299.85000000000002</v>
      </c>
    </row>
    <row r="962" spans="1:6" x14ac:dyDescent="0.25">
      <c r="A962">
        <v>788</v>
      </c>
      <c r="B962" t="s">
        <v>90</v>
      </c>
      <c r="C962">
        <v>202601</v>
      </c>
      <c r="D962">
        <v>987.62491582658333</v>
      </c>
      <c r="E962">
        <v>2.1956979009039204</v>
      </c>
      <c r="F962">
        <v>449.8</v>
      </c>
    </row>
    <row r="963" spans="1:6" x14ac:dyDescent="0.25">
      <c r="A963">
        <v>789</v>
      </c>
      <c r="B963" t="s">
        <v>90</v>
      </c>
      <c r="C963">
        <v>202601</v>
      </c>
      <c r="D963">
        <v>938.30244365264195</v>
      </c>
      <c r="E963">
        <v>2.7445373922213698</v>
      </c>
      <c r="F963">
        <v>341.88</v>
      </c>
    </row>
    <row r="964" spans="1:6" x14ac:dyDescent="0.25">
      <c r="A964">
        <v>634</v>
      </c>
      <c r="B964" t="s">
        <v>90</v>
      </c>
      <c r="C964">
        <v>202601</v>
      </c>
      <c r="D964">
        <v>11718.78344092652</v>
      </c>
      <c r="E964">
        <v>51.745411935031214</v>
      </c>
      <c r="F964">
        <v>226.47</v>
      </c>
    </row>
    <row r="965" spans="1:6" x14ac:dyDescent="0.25">
      <c r="A965">
        <v>635</v>
      </c>
      <c r="B965" t="s">
        <v>90</v>
      </c>
      <c r="C965">
        <v>202601</v>
      </c>
      <c r="D965">
        <v>7237.4291141229232</v>
      </c>
      <c r="E965">
        <v>17.82574102638586</v>
      </c>
      <c r="F965">
        <v>406.01</v>
      </c>
    </row>
    <row r="966" spans="1:6" x14ac:dyDescent="0.25">
      <c r="A966">
        <v>636</v>
      </c>
      <c r="B966" t="s">
        <v>90</v>
      </c>
      <c r="C966">
        <v>202601</v>
      </c>
      <c r="D966">
        <v>10077.838463561884</v>
      </c>
      <c r="E966">
        <v>44.529155459357916</v>
      </c>
      <c r="F966">
        <v>226.32</v>
      </c>
    </row>
    <row r="967" spans="1:6" x14ac:dyDescent="0.25">
      <c r="A967">
        <v>666</v>
      </c>
      <c r="B967" t="s">
        <v>90</v>
      </c>
      <c r="C967">
        <v>202601</v>
      </c>
      <c r="D967">
        <v>3753.9022667093514</v>
      </c>
      <c r="E967">
        <v>33.220374041675676</v>
      </c>
      <c r="F967">
        <v>113</v>
      </c>
    </row>
    <row r="968" spans="1:6" x14ac:dyDescent="0.25">
      <c r="A968">
        <v>667</v>
      </c>
      <c r="B968" t="s">
        <v>90</v>
      </c>
      <c r="C968">
        <v>202601</v>
      </c>
      <c r="D968">
        <v>7282.1968181432276</v>
      </c>
      <c r="E968">
        <v>38.735089458208655</v>
      </c>
      <c r="F968">
        <v>188</v>
      </c>
    </row>
    <row r="969" spans="1:6" x14ac:dyDescent="0.25">
      <c r="A969">
        <v>668</v>
      </c>
      <c r="B969" t="s">
        <v>90</v>
      </c>
      <c r="C969">
        <v>202601</v>
      </c>
      <c r="D969">
        <v>7593.5205748264771</v>
      </c>
      <c r="E969">
        <v>42.046071842893006</v>
      </c>
      <c r="F969">
        <v>180.6</v>
      </c>
    </row>
    <row r="970" spans="1:6" x14ac:dyDescent="0.25">
      <c r="A970">
        <v>665</v>
      </c>
      <c r="B970" t="s">
        <v>90</v>
      </c>
      <c r="C970">
        <v>202601</v>
      </c>
      <c r="D970">
        <v>2308.8231477619133</v>
      </c>
      <c r="E970">
        <v>10.266455368232974</v>
      </c>
      <c r="F970">
        <v>224.89</v>
      </c>
    </row>
    <row r="971" spans="1:6" x14ac:dyDescent="0.25">
      <c r="A971">
        <v>770</v>
      </c>
      <c r="B971" t="s">
        <v>90</v>
      </c>
      <c r="C971">
        <v>202601</v>
      </c>
      <c r="D971">
        <v>21734.155666084465</v>
      </c>
      <c r="E971">
        <v>38.638498961927937</v>
      </c>
      <c r="F971">
        <v>562.5</v>
      </c>
    </row>
    <row r="972" spans="1:6" x14ac:dyDescent="0.25">
      <c r="A972">
        <v>771</v>
      </c>
      <c r="B972" t="s">
        <v>90</v>
      </c>
      <c r="C972">
        <v>202601</v>
      </c>
      <c r="D972">
        <v>1458.7032299076122</v>
      </c>
      <c r="E972">
        <v>2.1616823205507001</v>
      </c>
      <c r="F972">
        <v>674.8</v>
      </c>
    </row>
    <row r="973" spans="1:6" x14ac:dyDescent="0.25">
      <c r="A973">
        <v>769</v>
      </c>
      <c r="B973" t="s">
        <v>90</v>
      </c>
      <c r="C973">
        <v>202601</v>
      </c>
      <c r="D973">
        <v>12595.490402111926</v>
      </c>
      <c r="E973">
        <v>37.319971561813112</v>
      </c>
      <c r="F973">
        <v>337.5</v>
      </c>
    </row>
    <row r="974" spans="1:6" x14ac:dyDescent="0.25">
      <c r="A974">
        <v>813</v>
      </c>
      <c r="B974" t="s">
        <v>90</v>
      </c>
      <c r="C974">
        <v>202601</v>
      </c>
      <c r="D974">
        <v>3754.8274856526609</v>
      </c>
      <c r="E974">
        <v>12.522349664651626</v>
      </c>
      <c r="F974">
        <v>299.8500749625187</v>
      </c>
    </row>
    <row r="975" spans="1:6" x14ac:dyDescent="0.25">
      <c r="A975">
        <v>814</v>
      </c>
      <c r="B975" t="s">
        <v>90</v>
      </c>
      <c r="C975">
        <v>202601</v>
      </c>
      <c r="D975">
        <v>4067.0504652511045</v>
      </c>
      <c r="E975">
        <v>9.0439192022483983</v>
      </c>
      <c r="F975">
        <v>449.7</v>
      </c>
    </row>
    <row r="976" spans="1:6" x14ac:dyDescent="0.25">
      <c r="A976">
        <v>815</v>
      </c>
      <c r="B976" t="s">
        <v>90</v>
      </c>
      <c r="C976">
        <v>202601</v>
      </c>
      <c r="D976">
        <v>688.31181990035066</v>
      </c>
      <c r="E976">
        <v>2.0870582774419364</v>
      </c>
      <c r="F976">
        <v>329.8</v>
      </c>
    </row>
    <row r="977" spans="1:6" x14ac:dyDescent="0.25">
      <c r="A977">
        <v>542</v>
      </c>
      <c r="B977" t="s">
        <v>64</v>
      </c>
      <c r="C977">
        <v>202601</v>
      </c>
      <c r="D977">
        <v>15082.854868939457</v>
      </c>
      <c r="E977">
        <v>249.79885506690059</v>
      </c>
      <c r="F977">
        <v>60.38</v>
      </c>
    </row>
    <row r="978" spans="1:6" x14ac:dyDescent="0.25">
      <c r="A978">
        <v>543</v>
      </c>
      <c r="B978" t="s">
        <v>64</v>
      </c>
      <c r="C978">
        <v>202601</v>
      </c>
      <c r="D978">
        <v>21743.381738419797</v>
      </c>
      <c r="E978">
        <v>96.380238202215409</v>
      </c>
      <c r="F978">
        <v>225.6</v>
      </c>
    </row>
    <row r="979" spans="1:6" x14ac:dyDescent="0.25">
      <c r="A979">
        <v>545</v>
      </c>
      <c r="B979" t="s">
        <v>64</v>
      </c>
      <c r="C979">
        <v>202601</v>
      </c>
      <c r="D979">
        <v>82926.129363684318</v>
      </c>
      <c r="E979">
        <v>229.96708087544181</v>
      </c>
      <c r="F979">
        <v>360.6</v>
      </c>
    </row>
    <row r="980" spans="1:6" x14ac:dyDescent="0.25">
      <c r="A980">
        <v>547</v>
      </c>
      <c r="B980" t="s">
        <v>64</v>
      </c>
      <c r="C980">
        <v>202601</v>
      </c>
      <c r="D980">
        <v>115758.84022664044</v>
      </c>
      <c r="E980">
        <v>267.07004481967618</v>
      </c>
      <c r="F980">
        <v>433.44</v>
      </c>
    </row>
    <row r="981" spans="1:6" x14ac:dyDescent="0.25">
      <c r="A981">
        <v>551</v>
      </c>
      <c r="B981" t="s">
        <v>64</v>
      </c>
      <c r="C981">
        <v>202601</v>
      </c>
      <c r="D981">
        <v>7428.0880912433631</v>
      </c>
      <c r="E981">
        <v>27.52570996532781</v>
      </c>
      <c r="F981">
        <v>269.86</v>
      </c>
    </row>
    <row r="982" spans="1:6" x14ac:dyDescent="0.25">
      <c r="A982">
        <v>552</v>
      </c>
      <c r="B982" t="s">
        <v>64</v>
      </c>
      <c r="C982">
        <v>202601</v>
      </c>
      <c r="D982">
        <v>4501.5826079404042</v>
      </c>
      <c r="E982">
        <v>28.596001829122123</v>
      </c>
      <c r="F982">
        <v>157.41999999999999</v>
      </c>
    </row>
    <row r="983" spans="1:6" x14ac:dyDescent="0.25">
      <c r="A983">
        <v>578</v>
      </c>
      <c r="B983" t="s">
        <v>64</v>
      </c>
      <c r="C983">
        <v>202601</v>
      </c>
      <c r="D983">
        <v>39924.119999999995</v>
      </c>
      <c r="E983">
        <v>176.99999999999997</v>
      </c>
      <c r="F983">
        <v>225.56</v>
      </c>
    </row>
    <row r="984" spans="1:6" x14ac:dyDescent="0.25">
      <c r="A984">
        <v>596</v>
      </c>
      <c r="B984" t="s">
        <v>64</v>
      </c>
      <c r="C984">
        <v>202601</v>
      </c>
      <c r="D984">
        <v>8560.8076200763935</v>
      </c>
      <c r="E984">
        <v>23.720719368457729</v>
      </c>
      <c r="F984">
        <v>360.9</v>
      </c>
    </row>
    <row r="985" spans="1:6" x14ac:dyDescent="0.25">
      <c r="A985">
        <v>598</v>
      </c>
      <c r="B985" t="s">
        <v>64</v>
      </c>
      <c r="C985">
        <v>202601</v>
      </c>
      <c r="D985">
        <v>29153.82444074261</v>
      </c>
      <c r="E985">
        <v>64.623998494320062</v>
      </c>
      <c r="F985">
        <v>451.13</v>
      </c>
    </row>
    <row r="986" spans="1:6" x14ac:dyDescent="0.25">
      <c r="A986">
        <v>597</v>
      </c>
      <c r="B986" t="s">
        <v>64</v>
      </c>
      <c r="C986">
        <v>202601</v>
      </c>
      <c r="D986">
        <v>2848.6252986636891</v>
      </c>
      <c r="E986">
        <v>9.5001677460853386</v>
      </c>
      <c r="F986">
        <v>299.85000000000002</v>
      </c>
    </row>
    <row r="987" spans="1:6" x14ac:dyDescent="0.25">
      <c r="A987">
        <v>788</v>
      </c>
      <c r="B987" t="s">
        <v>64</v>
      </c>
      <c r="C987">
        <v>202601</v>
      </c>
      <c r="D987">
        <v>2329.6090112045194</v>
      </c>
      <c r="E987">
        <v>5.179210785247931</v>
      </c>
      <c r="F987">
        <v>449.8</v>
      </c>
    </row>
    <row r="988" spans="1:6" x14ac:dyDescent="0.25">
      <c r="A988">
        <v>789</v>
      </c>
      <c r="B988" t="s">
        <v>64</v>
      </c>
      <c r="C988">
        <v>202601</v>
      </c>
      <c r="D988">
        <v>4003.367054167014</v>
      </c>
      <c r="E988">
        <v>11.709860343298859</v>
      </c>
      <c r="F988">
        <v>341.88</v>
      </c>
    </row>
    <row r="989" spans="1:6" x14ac:dyDescent="0.25">
      <c r="A989">
        <v>634</v>
      </c>
      <c r="B989" t="s">
        <v>64</v>
      </c>
      <c r="C989">
        <v>202601</v>
      </c>
      <c r="D989">
        <v>22140.54836450288</v>
      </c>
      <c r="E989">
        <v>97.763714242517239</v>
      </c>
      <c r="F989">
        <v>226.47</v>
      </c>
    </row>
    <row r="990" spans="1:6" x14ac:dyDescent="0.25">
      <c r="A990">
        <v>635</v>
      </c>
      <c r="B990" t="s">
        <v>64</v>
      </c>
      <c r="C990">
        <v>202601</v>
      </c>
      <c r="D990">
        <v>10560.500910614919</v>
      </c>
      <c r="E990">
        <v>26.010445335373316</v>
      </c>
      <c r="F990">
        <v>406.01</v>
      </c>
    </row>
    <row r="991" spans="1:6" x14ac:dyDescent="0.25">
      <c r="A991">
        <v>636</v>
      </c>
      <c r="B991" t="s">
        <v>64</v>
      </c>
      <c r="C991">
        <v>202601</v>
      </c>
      <c r="D991">
        <v>23254.764390399243</v>
      </c>
      <c r="E991">
        <v>102.75169843760712</v>
      </c>
      <c r="F991">
        <v>226.32</v>
      </c>
    </row>
    <row r="992" spans="1:6" x14ac:dyDescent="0.25">
      <c r="A992">
        <v>666</v>
      </c>
      <c r="B992" t="s">
        <v>64</v>
      </c>
      <c r="C992">
        <v>202601</v>
      </c>
      <c r="D992">
        <v>12393.545637756717</v>
      </c>
      <c r="E992">
        <v>109.67739502439572</v>
      </c>
      <c r="F992">
        <v>113</v>
      </c>
    </row>
    <row r="993" spans="1:6" x14ac:dyDescent="0.25">
      <c r="A993">
        <v>667</v>
      </c>
      <c r="B993" t="s">
        <v>64</v>
      </c>
      <c r="C993">
        <v>202601</v>
      </c>
      <c r="D993">
        <v>19638.662420280285</v>
      </c>
      <c r="E993">
        <v>104.46097032063982</v>
      </c>
      <c r="F993">
        <v>188</v>
      </c>
    </row>
    <row r="994" spans="1:6" x14ac:dyDescent="0.25">
      <c r="A994">
        <v>668</v>
      </c>
      <c r="B994" t="s">
        <v>64</v>
      </c>
      <c r="C994">
        <v>202601</v>
      </c>
      <c r="D994">
        <v>13677.422007890884</v>
      </c>
      <c r="E994">
        <v>75.733233709251849</v>
      </c>
      <c r="F994">
        <v>180.6</v>
      </c>
    </row>
    <row r="995" spans="1:6" x14ac:dyDescent="0.25">
      <c r="A995">
        <v>665</v>
      </c>
      <c r="B995" t="s">
        <v>64</v>
      </c>
      <c r="C995">
        <v>202601</v>
      </c>
      <c r="D995">
        <v>10261.537098523473</v>
      </c>
      <c r="E995">
        <v>45.629139128122517</v>
      </c>
      <c r="F995">
        <v>224.89</v>
      </c>
    </row>
    <row r="996" spans="1:6" x14ac:dyDescent="0.25">
      <c r="A996">
        <v>770</v>
      </c>
      <c r="B996" t="s">
        <v>64</v>
      </c>
      <c r="C996">
        <v>202601</v>
      </c>
      <c r="D996">
        <v>47792.165640069812</v>
      </c>
      <c r="E996">
        <v>84.96385002679078</v>
      </c>
      <c r="F996">
        <v>562.5</v>
      </c>
    </row>
    <row r="997" spans="1:6" x14ac:dyDescent="0.25">
      <c r="A997">
        <v>771</v>
      </c>
      <c r="B997" t="s">
        <v>64</v>
      </c>
      <c r="C997">
        <v>202601</v>
      </c>
      <c r="D997">
        <v>6396.0193162239293</v>
      </c>
      <c r="E997">
        <v>9.478392584801318</v>
      </c>
      <c r="F997">
        <v>674.8</v>
      </c>
    </row>
    <row r="998" spans="1:6" x14ac:dyDescent="0.25">
      <c r="A998">
        <v>769</v>
      </c>
      <c r="B998" t="s">
        <v>64</v>
      </c>
      <c r="C998">
        <v>202601</v>
      </c>
      <c r="D998">
        <v>28113.036653260941</v>
      </c>
      <c r="E998">
        <v>83.297886380032423</v>
      </c>
      <c r="F998">
        <v>337.5</v>
      </c>
    </row>
    <row r="999" spans="1:6" x14ac:dyDescent="0.25">
      <c r="A999">
        <v>813</v>
      </c>
      <c r="B999" t="s">
        <v>64</v>
      </c>
      <c r="C999">
        <v>202601</v>
      </c>
      <c r="D999">
        <v>7271.4735041760759</v>
      </c>
      <c r="E999">
        <v>24.250364136427216</v>
      </c>
      <c r="F999">
        <v>299.8500749625187</v>
      </c>
    </row>
    <row r="1000" spans="1:6" x14ac:dyDescent="0.25">
      <c r="A1000">
        <v>814</v>
      </c>
      <c r="B1000" t="s">
        <v>64</v>
      </c>
      <c r="C1000">
        <v>202601</v>
      </c>
      <c r="D1000">
        <v>7876.1140987759536</v>
      </c>
      <c r="E1000">
        <v>17.514151876308546</v>
      </c>
      <c r="F1000">
        <v>449.7</v>
      </c>
    </row>
    <row r="1001" spans="1:6" x14ac:dyDescent="0.25">
      <c r="A1001">
        <v>815</v>
      </c>
      <c r="B1001" t="s">
        <v>64</v>
      </c>
      <c r="C1001">
        <v>202601</v>
      </c>
      <c r="D1001">
        <v>1332.9616820322819</v>
      </c>
      <c r="E1001">
        <v>4.0417273560712008</v>
      </c>
      <c r="F1001">
        <v>329.8</v>
      </c>
    </row>
    <row r="1002" spans="1:6" x14ac:dyDescent="0.25">
      <c r="A1002">
        <v>542</v>
      </c>
      <c r="B1002" t="s">
        <v>91</v>
      </c>
      <c r="C1002">
        <v>202601</v>
      </c>
      <c r="D1002">
        <v>11198.214220725213</v>
      </c>
      <c r="E1002">
        <v>185.46230905474019</v>
      </c>
      <c r="F1002">
        <v>60.38</v>
      </c>
    </row>
    <row r="1003" spans="1:6" x14ac:dyDescent="0.25">
      <c r="A1003">
        <v>543</v>
      </c>
      <c r="B1003" t="s">
        <v>91</v>
      </c>
      <c r="C1003">
        <v>202601</v>
      </c>
      <c r="D1003">
        <v>33579.525261805858</v>
      </c>
      <c r="E1003">
        <v>148.84541339452952</v>
      </c>
      <c r="F1003">
        <v>225.6</v>
      </c>
    </row>
    <row r="1004" spans="1:6" x14ac:dyDescent="0.25">
      <c r="A1004">
        <v>545</v>
      </c>
      <c r="B1004" t="s">
        <v>91</v>
      </c>
      <c r="C1004">
        <v>202601</v>
      </c>
      <c r="D1004">
        <v>109139.442917362</v>
      </c>
      <c r="E1004">
        <v>302.66068474032721</v>
      </c>
      <c r="F1004">
        <v>360.6</v>
      </c>
    </row>
    <row r="1005" spans="1:6" x14ac:dyDescent="0.25">
      <c r="A1005">
        <v>547</v>
      </c>
      <c r="B1005" t="s">
        <v>91</v>
      </c>
      <c r="C1005">
        <v>202601</v>
      </c>
      <c r="D1005">
        <v>79375.229358441255</v>
      </c>
      <c r="E1005">
        <v>183.12852842017639</v>
      </c>
      <c r="F1005">
        <v>433.44</v>
      </c>
    </row>
    <row r="1006" spans="1:6" x14ac:dyDescent="0.25">
      <c r="A1006">
        <v>551</v>
      </c>
      <c r="B1006" t="s">
        <v>91</v>
      </c>
      <c r="C1006">
        <v>202601</v>
      </c>
      <c r="D1006">
        <v>4862.6380689848893</v>
      </c>
      <c r="E1006">
        <v>18.019113870098899</v>
      </c>
      <c r="F1006">
        <v>269.86</v>
      </c>
    </row>
    <row r="1007" spans="1:6" x14ac:dyDescent="0.25">
      <c r="A1007">
        <v>552</v>
      </c>
      <c r="B1007" t="s">
        <v>91</v>
      </c>
      <c r="C1007">
        <v>202601</v>
      </c>
      <c r="D1007">
        <v>3229.4074999416653</v>
      </c>
      <c r="E1007">
        <v>20.514594714405192</v>
      </c>
      <c r="F1007">
        <v>157.41999999999999</v>
      </c>
    </row>
    <row r="1008" spans="1:6" x14ac:dyDescent="0.25">
      <c r="A1008">
        <v>578</v>
      </c>
      <c r="B1008" t="s">
        <v>91</v>
      </c>
      <c r="C1008">
        <v>202601</v>
      </c>
      <c r="D1008">
        <v>0</v>
      </c>
      <c r="E1008">
        <v>0</v>
      </c>
      <c r="F1008">
        <v>225.56</v>
      </c>
    </row>
    <row r="1009" spans="1:6" x14ac:dyDescent="0.25">
      <c r="A1009">
        <v>596</v>
      </c>
      <c r="B1009" t="s">
        <v>91</v>
      </c>
      <c r="C1009">
        <v>202601</v>
      </c>
      <c r="D1009">
        <v>1864.4912771569875</v>
      </c>
      <c r="E1009">
        <v>5.1662268693737534</v>
      </c>
      <c r="F1009">
        <v>360.9</v>
      </c>
    </row>
    <row r="1010" spans="1:6" x14ac:dyDescent="0.25">
      <c r="A1010">
        <v>598</v>
      </c>
      <c r="B1010" t="s">
        <v>91</v>
      </c>
      <c r="C1010">
        <v>202601</v>
      </c>
      <c r="D1010">
        <v>5379.1858920820569</v>
      </c>
      <c r="E1010">
        <v>11.923804429060485</v>
      </c>
      <c r="F1010">
        <v>451.13</v>
      </c>
    </row>
    <row r="1011" spans="1:6" x14ac:dyDescent="0.25">
      <c r="A1011">
        <v>597</v>
      </c>
      <c r="B1011" t="s">
        <v>91</v>
      </c>
      <c r="C1011">
        <v>202601</v>
      </c>
      <c r="D1011">
        <v>1165.7847334450871</v>
      </c>
      <c r="E1011">
        <v>3.8878930580126299</v>
      </c>
      <c r="F1011">
        <v>299.85000000000002</v>
      </c>
    </row>
    <row r="1012" spans="1:6" x14ac:dyDescent="0.25">
      <c r="A1012">
        <v>788</v>
      </c>
      <c r="B1012" t="s">
        <v>91</v>
      </c>
      <c r="C1012">
        <v>202601</v>
      </c>
      <c r="D1012">
        <v>1354.3796615753738</v>
      </c>
      <c r="E1012">
        <v>3.0110708349830451</v>
      </c>
      <c r="F1012">
        <v>449.8</v>
      </c>
    </row>
    <row r="1013" spans="1:6" x14ac:dyDescent="0.25">
      <c r="A1013">
        <v>789</v>
      </c>
      <c r="B1013" t="s">
        <v>91</v>
      </c>
      <c r="C1013">
        <v>202601</v>
      </c>
      <c r="D1013">
        <v>1770.0989924384342</v>
      </c>
      <c r="E1013">
        <v>5.17754473042715</v>
      </c>
      <c r="F1013">
        <v>341.88</v>
      </c>
    </row>
    <row r="1014" spans="1:6" x14ac:dyDescent="0.25">
      <c r="A1014">
        <v>634</v>
      </c>
      <c r="B1014" t="s">
        <v>91</v>
      </c>
      <c r="C1014">
        <v>202601</v>
      </c>
      <c r="D1014">
        <v>22539.855663448001</v>
      </c>
      <c r="E1014">
        <v>99.526893908455875</v>
      </c>
      <c r="F1014">
        <v>226.47</v>
      </c>
    </row>
    <row r="1015" spans="1:6" x14ac:dyDescent="0.25">
      <c r="A1015">
        <v>635</v>
      </c>
      <c r="B1015" t="s">
        <v>91</v>
      </c>
      <c r="C1015">
        <v>202601</v>
      </c>
      <c r="D1015">
        <v>3889.2708501049501</v>
      </c>
      <c r="E1015">
        <v>9.5792489103838587</v>
      </c>
      <c r="F1015">
        <v>406.01</v>
      </c>
    </row>
    <row r="1016" spans="1:6" x14ac:dyDescent="0.25">
      <c r="A1016">
        <v>636</v>
      </c>
      <c r="B1016" t="s">
        <v>91</v>
      </c>
      <c r="C1016">
        <v>202601</v>
      </c>
      <c r="D1016">
        <v>26082.803174000255</v>
      </c>
      <c r="E1016">
        <v>115.24745128137265</v>
      </c>
      <c r="F1016">
        <v>226.32</v>
      </c>
    </row>
    <row r="1017" spans="1:6" x14ac:dyDescent="0.25">
      <c r="A1017">
        <v>666</v>
      </c>
      <c r="B1017" t="s">
        <v>91</v>
      </c>
      <c r="C1017">
        <v>202601</v>
      </c>
      <c r="D1017">
        <v>2931.6698489926207</v>
      </c>
      <c r="E1017">
        <v>25.943980964536465</v>
      </c>
      <c r="F1017">
        <v>113</v>
      </c>
    </row>
    <row r="1018" spans="1:6" x14ac:dyDescent="0.25">
      <c r="A1018">
        <v>667</v>
      </c>
      <c r="B1018" t="s">
        <v>91</v>
      </c>
      <c r="C1018">
        <v>202601</v>
      </c>
      <c r="D1018">
        <v>8977.2922280681032</v>
      </c>
      <c r="E1018">
        <v>47.751554404617572</v>
      </c>
      <c r="F1018">
        <v>188</v>
      </c>
    </row>
    <row r="1019" spans="1:6" x14ac:dyDescent="0.25">
      <c r="A1019">
        <v>668</v>
      </c>
      <c r="B1019" t="s">
        <v>91</v>
      </c>
      <c r="C1019">
        <v>202601</v>
      </c>
      <c r="D1019">
        <v>7951.2001667288941</v>
      </c>
      <c r="E1019">
        <v>44.026578996284023</v>
      </c>
      <c r="F1019">
        <v>180.6</v>
      </c>
    </row>
    <row r="1020" spans="1:6" x14ac:dyDescent="0.25">
      <c r="A1020">
        <v>665</v>
      </c>
      <c r="B1020" t="s">
        <v>91</v>
      </c>
      <c r="C1020">
        <v>202601</v>
      </c>
      <c r="D1020">
        <v>2692.7596060974997</v>
      </c>
      <c r="E1020">
        <v>11.973674267853172</v>
      </c>
      <c r="F1020">
        <v>224.89</v>
      </c>
    </row>
    <row r="1021" spans="1:6" x14ac:dyDescent="0.25">
      <c r="A1021">
        <v>770</v>
      </c>
      <c r="B1021" t="s">
        <v>91</v>
      </c>
      <c r="C1021">
        <v>202601</v>
      </c>
      <c r="D1021">
        <v>27807.227963089368</v>
      </c>
      <c r="E1021">
        <v>49.435071934381099</v>
      </c>
      <c r="F1021">
        <v>562.5</v>
      </c>
    </row>
    <row r="1022" spans="1:6" x14ac:dyDescent="0.25">
      <c r="A1022">
        <v>771</v>
      </c>
      <c r="B1022" t="s">
        <v>91</v>
      </c>
      <c r="C1022">
        <v>202601</v>
      </c>
      <c r="D1022">
        <v>3415.4285046307596</v>
      </c>
      <c r="E1022">
        <v>5.061393753157617</v>
      </c>
      <c r="F1022">
        <v>674.8</v>
      </c>
    </row>
    <row r="1023" spans="1:6" x14ac:dyDescent="0.25">
      <c r="A1023">
        <v>769</v>
      </c>
      <c r="B1023" t="s">
        <v>91</v>
      </c>
      <c r="C1023">
        <v>202601</v>
      </c>
      <c r="D1023">
        <v>9973.1212259640288</v>
      </c>
      <c r="E1023">
        <v>29.549988817671196</v>
      </c>
      <c r="F1023">
        <v>337.5</v>
      </c>
    </row>
    <row r="1024" spans="1:6" x14ac:dyDescent="0.25">
      <c r="A1024">
        <v>813</v>
      </c>
      <c r="B1024" t="s">
        <v>91</v>
      </c>
      <c r="C1024">
        <v>202601</v>
      </c>
      <c r="D1024">
        <v>6844.4881394852973</v>
      </c>
      <c r="E1024">
        <v>22.82636794518347</v>
      </c>
      <c r="F1024">
        <v>299.8500749625187</v>
      </c>
    </row>
    <row r="1025" spans="1:6" x14ac:dyDescent="0.25">
      <c r="A1025">
        <v>814</v>
      </c>
      <c r="B1025" t="s">
        <v>91</v>
      </c>
      <c r="C1025">
        <v>202601</v>
      </c>
      <c r="D1025">
        <v>7413.6238691298377</v>
      </c>
      <c r="E1025">
        <v>16.485710182632506</v>
      </c>
      <c r="F1025">
        <v>449.7</v>
      </c>
    </row>
    <row r="1026" spans="1:6" x14ac:dyDescent="0.25">
      <c r="A1026">
        <v>815</v>
      </c>
      <c r="B1026" t="s">
        <v>91</v>
      </c>
      <c r="C1026">
        <v>202601</v>
      </c>
      <c r="D1026">
        <v>1254.6893580535839</v>
      </c>
      <c r="E1026">
        <v>3.8043946575305756</v>
      </c>
      <c r="F1026">
        <v>329.8</v>
      </c>
    </row>
    <row r="1027" spans="1:6" x14ac:dyDescent="0.25">
      <c r="A1027">
        <v>542</v>
      </c>
      <c r="B1027" t="s">
        <v>92</v>
      </c>
      <c r="C1027">
        <v>202601</v>
      </c>
      <c r="D1027">
        <v>12848.201253044841</v>
      </c>
      <c r="E1027">
        <v>212.78902373376681</v>
      </c>
      <c r="F1027">
        <v>60.38</v>
      </c>
    </row>
    <row r="1028" spans="1:6" x14ac:dyDescent="0.25">
      <c r="A1028">
        <v>543</v>
      </c>
      <c r="B1028" t="s">
        <v>92</v>
      </c>
      <c r="C1028">
        <v>202601</v>
      </c>
      <c r="D1028">
        <v>24865.722249424678</v>
      </c>
      <c r="E1028">
        <v>110.22040004177606</v>
      </c>
      <c r="F1028">
        <v>225.6</v>
      </c>
    </row>
    <row r="1029" spans="1:6" x14ac:dyDescent="0.25">
      <c r="A1029">
        <v>545</v>
      </c>
      <c r="B1029" t="s">
        <v>92</v>
      </c>
      <c r="C1029">
        <v>202601</v>
      </c>
      <c r="D1029">
        <v>99665.717647451267</v>
      </c>
      <c r="E1029">
        <v>276.38856807390812</v>
      </c>
      <c r="F1029">
        <v>360.6</v>
      </c>
    </row>
    <row r="1030" spans="1:6" x14ac:dyDescent="0.25">
      <c r="A1030">
        <v>547</v>
      </c>
      <c r="B1030" t="s">
        <v>92</v>
      </c>
      <c r="C1030">
        <v>202601</v>
      </c>
      <c r="D1030">
        <v>145369.48703915274</v>
      </c>
      <c r="E1030">
        <v>335.38549058497773</v>
      </c>
      <c r="F1030">
        <v>433.44</v>
      </c>
    </row>
    <row r="1031" spans="1:6" x14ac:dyDescent="0.25">
      <c r="A1031">
        <v>551</v>
      </c>
      <c r="B1031" t="s">
        <v>92</v>
      </c>
      <c r="C1031">
        <v>202601</v>
      </c>
      <c r="D1031">
        <v>14165.841550285837</v>
      </c>
      <c r="E1031">
        <v>52.493298563276646</v>
      </c>
      <c r="F1031">
        <v>269.86</v>
      </c>
    </row>
    <row r="1032" spans="1:6" x14ac:dyDescent="0.25">
      <c r="A1032">
        <v>552</v>
      </c>
      <c r="B1032" t="s">
        <v>92</v>
      </c>
      <c r="C1032">
        <v>202601</v>
      </c>
      <c r="D1032">
        <v>10773.793014083551</v>
      </c>
      <c r="E1032">
        <v>68.43979808209599</v>
      </c>
      <c r="F1032">
        <v>157.41999999999999</v>
      </c>
    </row>
    <row r="1033" spans="1:6" x14ac:dyDescent="0.25">
      <c r="A1033">
        <v>578</v>
      </c>
      <c r="B1033" t="s">
        <v>92</v>
      </c>
      <c r="C1033">
        <v>202601</v>
      </c>
      <c r="D1033">
        <v>0</v>
      </c>
      <c r="E1033">
        <v>0</v>
      </c>
      <c r="F1033">
        <v>225.56</v>
      </c>
    </row>
    <row r="1034" spans="1:6" x14ac:dyDescent="0.25">
      <c r="A1034">
        <v>596</v>
      </c>
      <c r="B1034" t="s">
        <v>92</v>
      </c>
      <c r="C1034">
        <v>202601</v>
      </c>
      <c r="D1034">
        <v>3405.445682639021</v>
      </c>
      <c r="E1034">
        <v>9.4359813871959588</v>
      </c>
      <c r="F1034">
        <v>360.9</v>
      </c>
    </row>
    <row r="1035" spans="1:6" x14ac:dyDescent="0.25">
      <c r="A1035">
        <v>598</v>
      </c>
      <c r="B1035" t="s">
        <v>92</v>
      </c>
      <c r="C1035">
        <v>202601</v>
      </c>
      <c r="D1035">
        <v>13842.099164738409</v>
      </c>
      <c r="E1035">
        <v>30.683171513174493</v>
      </c>
      <c r="F1035">
        <v>451.13</v>
      </c>
    </row>
    <row r="1036" spans="1:6" x14ac:dyDescent="0.25">
      <c r="A1036">
        <v>597</v>
      </c>
      <c r="B1036" t="s">
        <v>92</v>
      </c>
      <c r="C1036">
        <v>202601</v>
      </c>
      <c r="D1036">
        <v>2017.3240582221265</v>
      </c>
      <c r="E1036">
        <v>6.7277774161151456</v>
      </c>
      <c r="F1036">
        <v>299.85000000000002</v>
      </c>
    </row>
    <row r="1037" spans="1:6" x14ac:dyDescent="0.25">
      <c r="A1037">
        <v>788</v>
      </c>
      <c r="B1037" t="s">
        <v>92</v>
      </c>
      <c r="C1037">
        <v>202601</v>
      </c>
      <c r="D1037">
        <v>1770.3364617161722</v>
      </c>
      <c r="E1037">
        <v>3.9358302839399113</v>
      </c>
      <c r="F1037">
        <v>449.8</v>
      </c>
    </row>
    <row r="1038" spans="1:6" x14ac:dyDescent="0.25">
      <c r="A1038">
        <v>789</v>
      </c>
      <c r="B1038" t="s">
        <v>92</v>
      </c>
      <c r="C1038">
        <v>202601</v>
      </c>
      <c r="D1038">
        <v>2031.6531404068533</v>
      </c>
      <c r="E1038">
        <v>5.9425913782814241</v>
      </c>
      <c r="F1038">
        <v>341.88</v>
      </c>
    </row>
    <row r="1039" spans="1:6" x14ac:dyDescent="0.25">
      <c r="A1039">
        <v>634</v>
      </c>
      <c r="B1039" t="s">
        <v>92</v>
      </c>
      <c r="C1039">
        <v>202601</v>
      </c>
      <c r="D1039">
        <v>20006.823658760186</v>
      </c>
      <c r="E1039">
        <v>88.342048212832538</v>
      </c>
      <c r="F1039">
        <v>226.47</v>
      </c>
    </row>
    <row r="1040" spans="1:6" x14ac:dyDescent="0.25">
      <c r="A1040">
        <v>635</v>
      </c>
      <c r="B1040" t="s">
        <v>92</v>
      </c>
      <c r="C1040">
        <v>202601</v>
      </c>
      <c r="D1040">
        <v>4048.7948568666238</v>
      </c>
      <c r="E1040">
        <v>9.9721555056935145</v>
      </c>
      <c r="F1040">
        <v>406.01</v>
      </c>
    </row>
    <row r="1041" spans="1:6" x14ac:dyDescent="0.25">
      <c r="A1041">
        <v>636</v>
      </c>
      <c r="B1041" t="s">
        <v>92</v>
      </c>
      <c r="C1041">
        <v>202601</v>
      </c>
      <c r="D1041">
        <v>19834.923575117165</v>
      </c>
      <c r="E1041">
        <v>87.641055033214769</v>
      </c>
      <c r="F1041">
        <v>226.32</v>
      </c>
    </row>
    <row r="1042" spans="1:6" x14ac:dyDescent="0.25">
      <c r="A1042">
        <v>666</v>
      </c>
      <c r="B1042" t="s">
        <v>92</v>
      </c>
      <c r="C1042">
        <v>202601</v>
      </c>
      <c r="D1042">
        <v>7114.9451559539657</v>
      </c>
      <c r="E1042">
        <v>62.964116424371376</v>
      </c>
      <c r="F1042">
        <v>113</v>
      </c>
    </row>
    <row r="1043" spans="1:6" x14ac:dyDescent="0.25">
      <c r="A1043">
        <v>667</v>
      </c>
      <c r="B1043" t="s">
        <v>92</v>
      </c>
      <c r="C1043">
        <v>202601</v>
      </c>
      <c r="D1043">
        <v>11926.253913109043</v>
      </c>
      <c r="E1043">
        <v>63.437520814409808</v>
      </c>
      <c r="F1043">
        <v>188</v>
      </c>
    </row>
    <row r="1044" spans="1:6" x14ac:dyDescent="0.25">
      <c r="A1044">
        <v>668</v>
      </c>
      <c r="B1044" t="s">
        <v>92</v>
      </c>
      <c r="C1044">
        <v>202601</v>
      </c>
      <c r="D1044">
        <v>9135.2295877253619</v>
      </c>
      <c r="E1044">
        <v>50.58266659870079</v>
      </c>
      <c r="F1044">
        <v>180.6</v>
      </c>
    </row>
    <row r="1045" spans="1:6" x14ac:dyDescent="0.25">
      <c r="A1045">
        <v>665</v>
      </c>
      <c r="B1045" t="s">
        <v>92</v>
      </c>
      <c r="C1045">
        <v>202601</v>
      </c>
      <c r="D1045">
        <v>3762.1261976133769</v>
      </c>
      <c r="E1045">
        <v>16.728739373086295</v>
      </c>
      <c r="F1045">
        <v>224.89</v>
      </c>
    </row>
    <row r="1046" spans="1:6" x14ac:dyDescent="0.25">
      <c r="A1046">
        <v>770</v>
      </c>
      <c r="B1046" t="s">
        <v>92</v>
      </c>
      <c r="C1046">
        <v>202601</v>
      </c>
      <c r="D1046">
        <v>28110.30800192988</v>
      </c>
      <c r="E1046">
        <v>49.973880892319784</v>
      </c>
      <c r="F1046">
        <v>562.5</v>
      </c>
    </row>
    <row r="1047" spans="1:6" x14ac:dyDescent="0.25">
      <c r="A1047">
        <v>771</v>
      </c>
      <c r="B1047" t="s">
        <v>92</v>
      </c>
      <c r="C1047">
        <v>202601</v>
      </c>
      <c r="D1047">
        <v>5144.8376490000546</v>
      </c>
      <c r="E1047">
        <v>7.6242407365146043</v>
      </c>
      <c r="F1047">
        <v>674.8</v>
      </c>
    </row>
    <row r="1048" spans="1:6" x14ac:dyDescent="0.25">
      <c r="A1048">
        <v>769</v>
      </c>
      <c r="B1048" t="s">
        <v>92</v>
      </c>
      <c r="C1048">
        <v>202601</v>
      </c>
      <c r="D1048">
        <v>22867.967158982068</v>
      </c>
      <c r="E1048">
        <v>67.756939730317242</v>
      </c>
      <c r="F1048">
        <v>337.5</v>
      </c>
    </row>
    <row r="1049" spans="1:6" x14ac:dyDescent="0.25">
      <c r="A1049">
        <v>813</v>
      </c>
      <c r="B1049" t="s">
        <v>92</v>
      </c>
      <c r="C1049">
        <v>202601</v>
      </c>
      <c r="D1049">
        <v>5695.1772394063928</v>
      </c>
      <c r="E1049">
        <v>18.993416093420322</v>
      </c>
      <c r="F1049">
        <v>299.8500749625187</v>
      </c>
    </row>
    <row r="1050" spans="1:6" x14ac:dyDescent="0.25">
      <c r="A1050">
        <v>814</v>
      </c>
      <c r="B1050" t="s">
        <v>92</v>
      </c>
      <c r="C1050">
        <v>202601</v>
      </c>
      <c r="D1050">
        <v>6168.7449902080325</v>
      </c>
      <c r="E1050">
        <v>13.71746717858135</v>
      </c>
      <c r="F1050">
        <v>449.7</v>
      </c>
    </row>
    <row r="1051" spans="1:6" x14ac:dyDescent="0.25">
      <c r="A1051">
        <v>815</v>
      </c>
      <c r="B1051" t="s">
        <v>92</v>
      </c>
      <c r="C1051">
        <v>202601</v>
      </c>
      <c r="D1051">
        <v>1044.0047712683368</v>
      </c>
      <c r="E1051">
        <v>3.1655693489033863</v>
      </c>
      <c r="F1051">
        <v>329.8</v>
      </c>
    </row>
    <row r="1052" spans="1:6" x14ac:dyDescent="0.25">
      <c r="A1052">
        <v>542</v>
      </c>
      <c r="B1052" t="s">
        <v>65</v>
      </c>
      <c r="C1052">
        <v>202601</v>
      </c>
      <c r="D1052">
        <v>17592.831953038047</v>
      </c>
      <c r="E1052">
        <v>291.36853184892425</v>
      </c>
      <c r="F1052">
        <v>60.38</v>
      </c>
    </row>
    <row r="1053" spans="1:6" x14ac:dyDescent="0.25">
      <c r="A1053">
        <v>543</v>
      </c>
      <c r="B1053" t="s">
        <v>65</v>
      </c>
      <c r="C1053">
        <v>202601</v>
      </c>
      <c r="D1053">
        <v>36038.915138240453</v>
      </c>
      <c r="E1053">
        <v>159.74696426525023</v>
      </c>
      <c r="F1053">
        <v>225.6</v>
      </c>
    </row>
    <row r="1054" spans="1:6" x14ac:dyDescent="0.25">
      <c r="A1054">
        <v>545</v>
      </c>
      <c r="B1054" t="s">
        <v>65</v>
      </c>
      <c r="C1054">
        <v>202601</v>
      </c>
      <c r="D1054">
        <v>141176.60487721823</v>
      </c>
      <c r="E1054">
        <v>391.50472789023354</v>
      </c>
      <c r="F1054">
        <v>360.6</v>
      </c>
    </row>
    <row r="1055" spans="1:6" x14ac:dyDescent="0.25">
      <c r="A1055">
        <v>547</v>
      </c>
      <c r="B1055" t="s">
        <v>65</v>
      </c>
      <c r="C1055">
        <v>202601</v>
      </c>
      <c r="D1055">
        <v>153864.62187574405</v>
      </c>
      <c r="E1055">
        <v>354.98482344902192</v>
      </c>
      <c r="F1055">
        <v>433.44</v>
      </c>
    </row>
    <row r="1056" spans="1:6" x14ac:dyDescent="0.25">
      <c r="A1056">
        <v>551</v>
      </c>
      <c r="B1056" t="s">
        <v>65</v>
      </c>
      <c r="C1056">
        <v>202601</v>
      </c>
      <c r="D1056">
        <v>14231.707360236385</v>
      </c>
      <c r="E1056">
        <v>52.737372564427424</v>
      </c>
      <c r="F1056">
        <v>269.86</v>
      </c>
    </row>
    <row r="1057" spans="1:6" x14ac:dyDescent="0.25">
      <c r="A1057">
        <v>552</v>
      </c>
      <c r="B1057" t="s">
        <v>65</v>
      </c>
      <c r="C1057">
        <v>202601</v>
      </c>
      <c r="D1057">
        <v>7009.2803945875221</v>
      </c>
      <c r="E1057">
        <v>44.525983957486488</v>
      </c>
      <c r="F1057">
        <v>157.41999999999999</v>
      </c>
    </row>
    <row r="1058" spans="1:6" x14ac:dyDescent="0.25">
      <c r="A1058">
        <v>578</v>
      </c>
      <c r="B1058" t="s">
        <v>65</v>
      </c>
      <c r="C1058">
        <v>202601</v>
      </c>
      <c r="D1058">
        <v>0</v>
      </c>
      <c r="E1058">
        <v>0</v>
      </c>
      <c r="F1058">
        <v>225.56</v>
      </c>
    </row>
    <row r="1059" spans="1:6" x14ac:dyDescent="0.25">
      <c r="A1059">
        <v>596</v>
      </c>
      <c r="B1059" t="s">
        <v>65</v>
      </c>
      <c r="C1059">
        <v>202601</v>
      </c>
      <c r="D1059">
        <v>11988.041571418829</v>
      </c>
      <c r="E1059">
        <v>33.217072794177973</v>
      </c>
      <c r="F1059">
        <v>360.9</v>
      </c>
    </row>
    <row r="1060" spans="1:6" x14ac:dyDescent="0.25">
      <c r="A1060">
        <v>598</v>
      </c>
      <c r="B1060" t="s">
        <v>65</v>
      </c>
      <c r="C1060">
        <v>202601</v>
      </c>
      <c r="D1060">
        <v>24650.470587293265</v>
      </c>
      <c r="E1060">
        <v>54.641612367373625</v>
      </c>
      <c r="F1060">
        <v>451.13</v>
      </c>
    </row>
    <row r="1061" spans="1:6" x14ac:dyDescent="0.25">
      <c r="A1061">
        <v>597</v>
      </c>
      <c r="B1061" t="s">
        <v>65</v>
      </c>
      <c r="C1061">
        <v>202601</v>
      </c>
      <c r="D1061">
        <v>3886.5455604678586</v>
      </c>
      <c r="E1061">
        <v>12.961632684568478</v>
      </c>
      <c r="F1061">
        <v>299.85000000000002</v>
      </c>
    </row>
    <row r="1062" spans="1:6" x14ac:dyDescent="0.25">
      <c r="A1062">
        <v>788</v>
      </c>
      <c r="B1062" t="s">
        <v>65</v>
      </c>
      <c r="C1062">
        <v>202601</v>
      </c>
      <c r="D1062">
        <v>3119.5070635354855</v>
      </c>
      <c r="E1062">
        <v>6.9353202835382071</v>
      </c>
      <c r="F1062">
        <v>449.8</v>
      </c>
    </row>
    <row r="1063" spans="1:6" x14ac:dyDescent="0.25">
      <c r="A1063">
        <v>789</v>
      </c>
      <c r="B1063" t="s">
        <v>65</v>
      </c>
      <c r="C1063">
        <v>202601</v>
      </c>
      <c r="D1063">
        <v>4286.0705201489891</v>
      </c>
      <c r="E1063">
        <v>12.536768808204602</v>
      </c>
      <c r="F1063">
        <v>341.88</v>
      </c>
    </row>
    <row r="1064" spans="1:6" x14ac:dyDescent="0.25">
      <c r="A1064">
        <v>634</v>
      </c>
      <c r="B1064" t="s">
        <v>65</v>
      </c>
      <c r="C1064">
        <v>202601</v>
      </c>
      <c r="D1064">
        <v>33442.499078177141</v>
      </c>
      <c r="E1064">
        <v>147.66856130249985</v>
      </c>
      <c r="F1064">
        <v>226.47</v>
      </c>
    </row>
    <row r="1065" spans="1:6" x14ac:dyDescent="0.25">
      <c r="A1065">
        <v>635</v>
      </c>
      <c r="B1065" t="s">
        <v>65</v>
      </c>
      <c r="C1065">
        <v>202601</v>
      </c>
      <c r="D1065">
        <v>12859.285578631418</v>
      </c>
      <c r="E1065">
        <v>31.672337081922656</v>
      </c>
      <c r="F1065">
        <v>406.01</v>
      </c>
    </row>
    <row r="1066" spans="1:6" x14ac:dyDescent="0.25">
      <c r="A1066">
        <v>636</v>
      </c>
      <c r="B1066" t="s">
        <v>65</v>
      </c>
      <c r="C1066">
        <v>202601</v>
      </c>
      <c r="D1066">
        <v>23349.245894469255</v>
      </c>
      <c r="E1066">
        <v>103.1691670840812</v>
      </c>
      <c r="F1066">
        <v>226.32</v>
      </c>
    </row>
    <row r="1067" spans="1:6" x14ac:dyDescent="0.25">
      <c r="A1067">
        <v>666</v>
      </c>
      <c r="B1067" t="s">
        <v>65</v>
      </c>
      <c r="C1067">
        <v>202601</v>
      </c>
      <c r="D1067">
        <v>7014.3170410275543</v>
      </c>
      <c r="E1067">
        <v>62.073602132987205</v>
      </c>
      <c r="F1067">
        <v>113</v>
      </c>
    </row>
    <row r="1068" spans="1:6" x14ac:dyDescent="0.25">
      <c r="A1068">
        <v>667</v>
      </c>
      <c r="B1068" t="s">
        <v>65</v>
      </c>
      <c r="C1068">
        <v>202601</v>
      </c>
      <c r="D1068">
        <v>27302.548812444678</v>
      </c>
      <c r="E1068">
        <v>145.22632347045041</v>
      </c>
      <c r="F1068">
        <v>188</v>
      </c>
    </row>
    <row r="1069" spans="1:6" x14ac:dyDescent="0.25">
      <c r="A1069">
        <v>668</v>
      </c>
      <c r="B1069" t="s">
        <v>65</v>
      </c>
      <c r="C1069">
        <v>202601</v>
      </c>
      <c r="D1069">
        <v>21230.792280966813</v>
      </c>
      <c r="E1069">
        <v>117.5569893741241</v>
      </c>
      <c r="F1069">
        <v>180.6</v>
      </c>
    </row>
    <row r="1070" spans="1:6" x14ac:dyDescent="0.25">
      <c r="A1070">
        <v>665</v>
      </c>
      <c r="B1070" t="s">
        <v>65</v>
      </c>
      <c r="C1070">
        <v>202601</v>
      </c>
      <c r="D1070">
        <v>11767.707074486249</v>
      </c>
      <c r="E1070">
        <v>52.326502176558535</v>
      </c>
      <c r="F1070">
        <v>224.89</v>
      </c>
    </row>
    <row r="1071" spans="1:6" x14ac:dyDescent="0.25">
      <c r="A1071">
        <v>770</v>
      </c>
      <c r="B1071" t="s">
        <v>65</v>
      </c>
      <c r="C1071">
        <v>202601</v>
      </c>
      <c r="D1071">
        <v>41294.079880441954</v>
      </c>
      <c r="E1071">
        <v>73.411697565230142</v>
      </c>
      <c r="F1071">
        <v>562.5</v>
      </c>
    </row>
    <row r="1072" spans="1:6" x14ac:dyDescent="0.25">
      <c r="A1072">
        <v>771</v>
      </c>
      <c r="B1072" t="s">
        <v>65</v>
      </c>
      <c r="C1072">
        <v>202601</v>
      </c>
      <c r="D1072">
        <v>6727.3466616850756</v>
      </c>
      <c r="E1072">
        <v>9.9693933931314103</v>
      </c>
      <c r="F1072">
        <v>674.8</v>
      </c>
    </row>
    <row r="1073" spans="1:6" x14ac:dyDescent="0.25">
      <c r="A1073">
        <v>769</v>
      </c>
      <c r="B1073" t="s">
        <v>65</v>
      </c>
      <c r="C1073">
        <v>202601</v>
      </c>
      <c r="D1073">
        <v>22289.419663142675</v>
      </c>
      <c r="E1073">
        <v>66.04272492783015</v>
      </c>
      <c r="F1073">
        <v>337.5</v>
      </c>
    </row>
    <row r="1074" spans="1:6" x14ac:dyDescent="0.25">
      <c r="A1074">
        <v>813</v>
      </c>
      <c r="B1074" t="s">
        <v>65</v>
      </c>
      <c r="C1074">
        <v>202601</v>
      </c>
      <c r="D1074">
        <v>8957.5156773641284</v>
      </c>
      <c r="E1074">
        <v>29.87331478400937</v>
      </c>
      <c r="F1074">
        <v>299.8500749625187</v>
      </c>
    </row>
    <row r="1075" spans="1:6" x14ac:dyDescent="0.25">
      <c r="A1075">
        <v>814</v>
      </c>
      <c r="B1075" t="s">
        <v>65</v>
      </c>
      <c r="C1075">
        <v>202601</v>
      </c>
      <c r="D1075">
        <v>9702.3547532665125</v>
      </c>
      <c r="E1075">
        <v>21.575171788451218</v>
      </c>
      <c r="F1075">
        <v>449.7</v>
      </c>
    </row>
    <row r="1076" spans="1:6" x14ac:dyDescent="0.25">
      <c r="A1076">
        <v>815</v>
      </c>
      <c r="B1076" t="s">
        <v>65</v>
      </c>
      <c r="C1076">
        <v>202601</v>
      </c>
      <c r="D1076">
        <v>1642.0365359610478</v>
      </c>
      <c r="E1076">
        <v>4.9788857973348932</v>
      </c>
      <c r="F1076">
        <v>329.8</v>
      </c>
    </row>
    <row r="1077" spans="1:6" x14ac:dyDescent="0.25">
      <c r="A1077">
        <v>542</v>
      </c>
      <c r="B1077" t="s">
        <v>66</v>
      </c>
      <c r="C1077">
        <v>202601</v>
      </c>
      <c r="D1077">
        <v>11641.757630681403</v>
      </c>
      <c r="E1077">
        <v>192.80817540048696</v>
      </c>
      <c r="F1077">
        <v>60.38</v>
      </c>
    </row>
    <row r="1078" spans="1:6" x14ac:dyDescent="0.25">
      <c r="A1078">
        <v>543</v>
      </c>
      <c r="B1078" t="s">
        <v>66</v>
      </c>
      <c r="C1078">
        <v>202601</v>
      </c>
      <c r="D1078">
        <v>17587.414361635703</v>
      </c>
      <c r="E1078">
        <v>77.95839699306606</v>
      </c>
      <c r="F1078">
        <v>225.6</v>
      </c>
    </row>
    <row r="1079" spans="1:6" x14ac:dyDescent="0.25">
      <c r="A1079">
        <v>545</v>
      </c>
      <c r="B1079" t="s">
        <v>66</v>
      </c>
      <c r="C1079">
        <v>202601</v>
      </c>
      <c r="D1079">
        <v>65593.405438873844</v>
      </c>
      <c r="E1079">
        <v>181.90073610336617</v>
      </c>
      <c r="F1079">
        <v>360.6</v>
      </c>
    </row>
    <row r="1080" spans="1:6" x14ac:dyDescent="0.25">
      <c r="A1080">
        <v>547</v>
      </c>
      <c r="B1080" t="s">
        <v>66</v>
      </c>
      <c r="C1080">
        <v>202601</v>
      </c>
      <c r="D1080">
        <v>91724.920283847678</v>
      </c>
      <c r="E1080">
        <v>211.62080168846364</v>
      </c>
      <c r="F1080">
        <v>433.44</v>
      </c>
    </row>
    <row r="1081" spans="1:6" x14ac:dyDescent="0.25">
      <c r="A1081">
        <v>551</v>
      </c>
      <c r="B1081" t="s">
        <v>66</v>
      </c>
      <c r="C1081">
        <v>202601</v>
      </c>
      <c r="D1081">
        <v>10659.530919179782</v>
      </c>
      <c r="E1081">
        <v>39.500225743644044</v>
      </c>
      <c r="F1081">
        <v>269.86</v>
      </c>
    </row>
    <row r="1082" spans="1:6" x14ac:dyDescent="0.25">
      <c r="A1082">
        <v>552</v>
      </c>
      <c r="B1082" t="s">
        <v>66</v>
      </c>
      <c r="C1082">
        <v>202601</v>
      </c>
      <c r="D1082">
        <v>5230.6450783879018</v>
      </c>
      <c r="E1082">
        <v>33.227322312208756</v>
      </c>
      <c r="F1082">
        <v>157.41999999999999</v>
      </c>
    </row>
    <row r="1083" spans="1:6" x14ac:dyDescent="0.25">
      <c r="A1083">
        <v>578</v>
      </c>
      <c r="B1083" t="s">
        <v>66</v>
      </c>
      <c r="C1083">
        <v>202601</v>
      </c>
      <c r="D1083">
        <v>0</v>
      </c>
      <c r="E1083">
        <v>0</v>
      </c>
      <c r="F1083">
        <v>225.56</v>
      </c>
    </row>
    <row r="1084" spans="1:6" x14ac:dyDescent="0.25">
      <c r="A1084">
        <v>596</v>
      </c>
      <c r="B1084" t="s">
        <v>66</v>
      </c>
      <c r="C1084">
        <v>202601</v>
      </c>
      <c r="D1084">
        <v>2083.7942630986377</v>
      </c>
      <c r="E1084">
        <v>5.7738826907692928</v>
      </c>
      <c r="F1084">
        <v>360.9</v>
      </c>
    </row>
    <row r="1085" spans="1:6" x14ac:dyDescent="0.25">
      <c r="A1085">
        <v>598</v>
      </c>
      <c r="B1085" t="s">
        <v>66</v>
      </c>
      <c r="C1085">
        <v>202601</v>
      </c>
      <c r="D1085">
        <v>5290.2360863172007</v>
      </c>
      <c r="E1085">
        <v>11.726633312608785</v>
      </c>
      <c r="F1085">
        <v>451.13</v>
      </c>
    </row>
    <row r="1086" spans="1:6" x14ac:dyDescent="0.25">
      <c r="A1086">
        <v>597</v>
      </c>
      <c r="B1086" t="s">
        <v>66</v>
      </c>
      <c r="C1086">
        <v>202601</v>
      </c>
      <c r="D1086">
        <v>1105.8204529566453</v>
      </c>
      <c r="E1086">
        <v>3.687912132588445</v>
      </c>
      <c r="F1086">
        <v>299.85000000000002</v>
      </c>
    </row>
    <row r="1087" spans="1:6" x14ac:dyDescent="0.25">
      <c r="A1087">
        <v>788</v>
      </c>
      <c r="B1087" t="s">
        <v>66</v>
      </c>
      <c r="C1087">
        <v>202601</v>
      </c>
      <c r="D1087">
        <v>2608.3972703872723</v>
      </c>
      <c r="E1087">
        <v>5.7990157189579197</v>
      </c>
      <c r="F1087">
        <v>449.8</v>
      </c>
    </row>
    <row r="1088" spans="1:6" x14ac:dyDescent="0.25">
      <c r="A1088">
        <v>789</v>
      </c>
      <c r="B1088" t="s">
        <v>66</v>
      </c>
      <c r="C1088">
        <v>202601</v>
      </c>
      <c r="D1088">
        <v>1975.1587716318238</v>
      </c>
      <c r="E1088">
        <v>5.7773451843682695</v>
      </c>
      <c r="F1088">
        <v>341.88</v>
      </c>
    </row>
    <row r="1089" spans="1:6" x14ac:dyDescent="0.25">
      <c r="A1089">
        <v>634</v>
      </c>
      <c r="B1089" t="s">
        <v>66</v>
      </c>
      <c r="C1089">
        <v>202601</v>
      </c>
      <c r="D1089">
        <v>30012.162567069161</v>
      </c>
      <c r="E1089">
        <v>132.52158152103661</v>
      </c>
      <c r="F1089">
        <v>226.47</v>
      </c>
    </row>
    <row r="1090" spans="1:6" x14ac:dyDescent="0.25">
      <c r="A1090">
        <v>635</v>
      </c>
      <c r="B1090" t="s">
        <v>66</v>
      </c>
      <c r="C1090">
        <v>202601</v>
      </c>
      <c r="D1090">
        <v>19630.545522434772</v>
      </c>
      <c r="E1090">
        <v>48.349906461502847</v>
      </c>
      <c r="F1090">
        <v>406.01</v>
      </c>
    </row>
    <row r="1091" spans="1:6" x14ac:dyDescent="0.25">
      <c r="A1091">
        <v>636</v>
      </c>
      <c r="B1091" t="s">
        <v>66</v>
      </c>
      <c r="C1091">
        <v>202601</v>
      </c>
      <c r="D1091">
        <v>26388.592935546476</v>
      </c>
      <c r="E1091">
        <v>116.59859020655036</v>
      </c>
      <c r="F1091">
        <v>226.32</v>
      </c>
    </row>
    <row r="1092" spans="1:6" x14ac:dyDescent="0.25">
      <c r="A1092">
        <v>666</v>
      </c>
      <c r="B1092" t="s">
        <v>66</v>
      </c>
      <c r="C1092">
        <v>202601</v>
      </c>
      <c r="D1092">
        <v>3312.3924754831764</v>
      </c>
      <c r="E1092">
        <v>29.313207747638728</v>
      </c>
      <c r="F1092">
        <v>113</v>
      </c>
    </row>
    <row r="1093" spans="1:6" x14ac:dyDescent="0.25">
      <c r="A1093">
        <v>667</v>
      </c>
      <c r="B1093" t="s">
        <v>66</v>
      </c>
      <c r="C1093">
        <v>202601</v>
      </c>
      <c r="D1093">
        <v>10628.539998645751</v>
      </c>
      <c r="E1093">
        <v>56.5347872268391</v>
      </c>
      <c r="F1093">
        <v>188</v>
      </c>
    </row>
    <row r="1094" spans="1:6" x14ac:dyDescent="0.25">
      <c r="A1094">
        <v>668</v>
      </c>
      <c r="B1094" t="s">
        <v>66</v>
      </c>
      <c r="C1094">
        <v>202601</v>
      </c>
      <c r="D1094">
        <v>14358.992411038427</v>
      </c>
      <c r="E1094">
        <v>79.50715620730027</v>
      </c>
      <c r="F1094">
        <v>180.6</v>
      </c>
    </row>
    <row r="1095" spans="1:6" x14ac:dyDescent="0.25">
      <c r="A1095">
        <v>665</v>
      </c>
      <c r="B1095" t="s">
        <v>66</v>
      </c>
      <c r="C1095">
        <v>202601</v>
      </c>
      <c r="D1095">
        <v>5688.9075628863429</v>
      </c>
      <c r="E1095">
        <v>25.296400742079875</v>
      </c>
      <c r="F1095">
        <v>224.89</v>
      </c>
    </row>
    <row r="1096" spans="1:6" x14ac:dyDescent="0.25">
      <c r="A1096">
        <v>770</v>
      </c>
      <c r="B1096" t="s">
        <v>66</v>
      </c>
      <c r="C1096">
        <v>202601</v>
      </c>
      <c r="D1096">
        <v>32578.2418610731</v>
      </c>
      <c r="E1096">
        <v>57.916874419685513</v>
      </c>
      <c r="F1096">
        <v>562.5</v>
      </c>
    </row>
    <row r="1097" spans="1:6" x14ac:dyDescent="0.25">
      <c r="A1097">
        <v>771</v>
      </c>
      <c r="B1097" t="s">
        <v>66</v>
      </c>
      <c r="C1097">
        <v>202601</v>
      </c>
      <c r="D1097">
        <v>5136.1613010572191</v>
      </c>
      <c r="E1097">
        <v>7.6113830780338168</v>
      </c>
      <c r="F1097">
        <v>674.8</v>
      </c>
    </row>
    <row r="1098" spans="1:6" x14ac:dyDescent="0.25">
      <c r="A1098">
        <v>769</v>
      </c>
      <c r="B1098" t="s">
        <v>66</v>
      </c>
      <c r="C1098">
        <v>202601</v>
      </c>
      <c r="D1098">
        <v>19469.610284821352</v>
      </c>
      <c r="E1098">
        <v>57.687734177248451</v>
      </c>
      <c r="F1098">
        <v>337.5</v>
      </c>
    </row>
    <row r="1099" spans="1:6" x14ac:dyDescent="0.25">
      <c r="A1099">
        <v>813</v>
      </c>
      <c r="B1099" t="s">
        <v>66</v>
      </c>
      <c r="C1099">
        <v>202601</v>
      </c>
      <c r="D1099">
        <v>9838.2208259711824</v>
      </c>
      <c r="E1099">
        <v>32.810466454613895</v>
      </c>
      <c r="F1099">
        <v>299.8500749625187</v>
      </c>
    </row>
    <row r="1100" spans="1:6" x14ac:dyDescent="0.25">
      <c r="A1100">
        <v>814</v>
      </c>
      <c r="B1100" t="s">
        <v>66</v>
      </c>
      <c r="C1100">
        <v>202601</v>
      </c>
      <c r="D1100">
        <v>10656.292663351016</v>
      </c>
      <c r="E1100">
        <v>23.696447994998923</v>
      </c>
      <c r="F1100">
        <v>449.7</v>
      </c>
    </row>
    <row r="1101" spans="1:6" x14ac:dyDescent="0.25">
      <c r="A1101">
        <v>815</v>
      </c>
      <c r="B1101" t="s">
        <v>66</v>
      </c>
      <c r="C1101">
        <v>202601</v>
      </c>
      <c r="D1101">
        <v>1803.4819727886095</v>
      </c>
      <c r="E1101">
        <v>5.4684110757689792</v>
      </c>
      <c r="F1101">
        <v>329.8</v>
      </c>
    </row>
    <row r="1102" spans="1:6" x14ac:dyDescent="0.25">
      <c r="A1102">
        <v>542</v>
      </c>
      <c r="B1102" t="s">
        <v>67</v>
      </c>
      <c r="C1102">
        <v>202601</v>
      </c>
      <c r="D1102">
        <v>10567.275341096867</v>
      </c>
      <c r="E1102">
        <v>175.01284102512201</v>
      </c>
      <c r="F1102">
        <v>60.38</v>
      </c>
    </row>
    <row r="1103" spans="1:6" x14ac:dyDescent="0.25">
      <c r="A1103">
        <v>543</v>
      </c>
      <c r="B1103" t="s">
        <v>67</v>
      </c>
      <c r="C1103">
        <v>202601</v>
      </c>
      <c r="D1103">
        <v>15535.520291838891</v>
      </c>
      <c r="E1103">
        <v>68.863121860988002</v>
      </c>
      <c r="F1103">
        <v>225.6</v>
      </c>
    </row>
    <row r="1104" spans="1:6" x14ac:dyDescent="0.25">
      <c r="A1104">
        <v>545</v>
      </c>
      <c r="B1104" t="s">
        <v>67</v>
      </c>
      <c r="C1104">
        <v>202601</v>
      </c>
      <c r="D1104">
        <v>89845.875040873681</v>
      </c>
      <c r="E1104">
        <v>249.15661409005457</v>
      </c>
      <c r="F1104">
        <v>360.6</v>
      </c>
    </row>
    <row r="1105" spans="1:6" x14ac:dyDescent="0.25">
      <c r="A1105">
        <v>547</v>
      </c>
      <c r="B1105" t="s">
        <v>67</v>
      </c>
      <c r="C1105">
        <v>202601</v>
      </c>
      <c r="D1105">
        <v>66290.16070237456</v>
      </c>
      <c r="E1105">
        <v>152.93964724615762</v>
      </c>
      <c r="F1105">
        <v>433.44</v>
      </c>
    </row>
    <row r="1106" spans="1:6" x14ac:dyDescent="0.25">
      <c r="A1106">
        <v>551</v>
      </c>
      <c r="B1106" t="s">
        <v>67</v>
      </c>
      <c r="C1106">
        <v>202601</v>
      </c>
      <c r="D1106">
        <v>11340.314329062423</v>
      </c>
      <c r="E1106">
        <v>42.022953861492709</v>
      </c>
      <c r="F1106">
        <v>269.86</v>
      </c>
    </row>
    <row r="1107" spans="1:6" x14ac:dyDescent="0.25">
      <c r="A1107">
        <v>552</v>
      </c>
      <c r="B1107" t="s">
        <v>67</v>
      </c>
      <c r="C1107">
        <v>202601</v>
      </c>
      <c r="D1107">
        <v>6857.5117223608522</v>
      </c>
      <c r="E1107">
        <v>43.561883638424931</v>
      </c>
      <c r="F1107">
        <v>157.41999999999999</v>
      </c>
    </row>
    <row r="1108" spans="1:6" x14ac:dyDescent="0.25">
      <c r="A1108">
        <v>578</v>
      </c>
      <c r="B1108" t="s">
        <v>67</v>
      </c>
      <c r="C1108">
        <v>202601</v>
      </c>
      <c r="D1108">
        <v>0</v>
      </c>
      <c r="E1108">
        <v>0</v>
      </c>
      <c r="F1108">
        <v>225.56</v>
      </c>
    </row>
    <row r="1109" spans="1:6" x14ac:dyDescent="0.25">
      <c r="A1109">
        <v>596</v>
      </c>
      <c r="B1109" t="s">
        <v>67</v>
      </c>
      <c r="C1109">
        <v>202601</v>
      </c>
      <c r="D1109">
        <v>2628.2329308634671</v>
      </c>
      <c r="E1109">
        <v>7.2824409278566566</v>
      </c>
      <c r="F1109">
        <v>360.9</v>
      </c>
    </row>
    <row r="1110" spans="1:6" x14ac:dyDescent="0.25">
      <c r="A1110">
        <v>598</v>
      </c>
      <c r="B1110" t="s">
        <v>67</v>
      </c>
      <c r="C1110">
        <v>202601</v>
      </c>
      <c r="D1110">
        <v>4401.6743500532657</v>
      </c>
      <c r="E1110">
        <v>9.7569976504627611</v>
      </c>
      <c r="F1110">
        <v>451.13</v>
      </c>
    </row>
    <row r="1111" spans="1:6" x14ac:dyDescent="0.25">
      <c r="A1111">
        <v>597</v>
      </c>
      <c r="B1111" t="s">
        <v>67</v>
      </c>
      <c r="C1111">
        <v>202601</v>
      </c>
      <c r="D1111">
        <v>1540.2969538860693</v>
      </c>
      <c r="E1111">
        <v>5.1368916254329475</v>
      </c>
      <c r="F1111">
        <v>299.85000000000002</v>
      </c>
    </row>
    <row r="1112" spans="1:6" x14ac:dyDescent="0.25">
      <c r="A1112">
        <v>788</v>
      </c>
      <c r="B1112" t="s">
        <v>67</v>
      </c>
      <c r="C1112">
        <v>202601</v>
      </c>
      <c r="D1112">
        <v>1452.9000176312259</v>
      </c>
      <c r="E1112">
        <v>3.2301023068724453</v>
      </c>
      <c r="F1112">
        <v>449.8</v>
      </c>
    </row>
    <row r="1113" spans="1:6" x14ac:dyDescent="0.25">
      <c r="A1113">
        <v>789</v>
      </c>
      <c r="B1113" t="s">
        <v>67</v>
      </c>
      <c r="C1113">
        <v>202601</v>
      </c>
      <c r="D1113">
        <v>1036.4592098418827</v>
      </c>
      <c r="E1113">
        <v>3.0316462204337276</v>
      </c>
      <c r="F1113">
        <v>341.88</v>
      </c>
    </row>
    <row r="1114" spans="1:6" x14ac:dyDescent="0.25">
      <c r="A1114">
        <v>634</v>
      </c>
      <c r="B1114" t="s">
        <v>67</v>
      </c>
      <c r="C1114">
        <v>202601</v>
      </c>
      <c r="D1114">
        <v>6909.9630722301163</v>
      </c>
      <c r="E1114">
        <v>30.511604504923902</v>
      </c>
      <c r="F1114">
        <v>226.47</v>
      </c>
    </row>
    <row r="1115" spans="1:6" x14ac:dyDescent="0.25">
      <c r="A1115">
        <v>635</v>
      </c>
      <c r="B1115" t="s">
        <v>67</v>
      </c>
      <c r="C1115">
        <v>202601</v>
      </c>
      <c r="D1115">
        <v>1260.6594925638869</v>
      </c>
      <c r="E1115">
        <v>3.1049961640449424</v>
      </c>
      <c r="F1115">
        <v>406.01</v>
      </c>
    </row>
    <row r="1116" spans="1:6" x14ac:dyDescent="0.25">
      <c r="A1116">
        <v>636</v>
      </c>
      <c r="B1116" t="s">
        <v>67</v>
      </c>
      <c r="C1116">
        <v>202601</v>
      </c>
      <c r="D1116">
        <v>5422.9816921082165</v>
      </c>
      <c r="E1116">
        <v>23.961566331337117</v>
      </c>
      <c r="F1116">
        <v>226.32</v>
      </c>
    </row>
    <row r="1117" spans="1:6" x14ac:dyDescent="0.25">
      <c r="A1117">
        <v>666</v>
      </c>
      <c r="B1117" t="s">
        <v>67</v>
      </c>
      <c r="C1117">
        <v>202601</v>
      </c>
      <c r="D1117">
        <v>1876.0455197198896</v>
      </c>
      <c r="E1117">
        <v>16.602172740883979</v>
      </c>
      <c r="F1117">
        <v>113</v>
      </c>
    </row>
    <row r="1118" spans="1:6" x14ac:dyDescent="0.25">
      <c r="A1118">
        <v>667</v>
      </c>
      <c r="B1118" t="s">
        <v>67</v>
      </c>
      <c r="C1118">
        <v>202601</v>
      </c>
      <c r="D1118">
        <v>7173.4160673604811</v>
      </c>
      <c r="E1118">
        <v>38.156468443406816</v>
      </c>
      <c r="F1118">
        <v>188</v>
      </c>
    </row>
    <row r="1119" spans="1:6" x14ac:dyDescent="0.25">
      <c r="A1119">
        <v>668</v>
      </c>
      <c r="B1119" t="s">
        <v>67</v>
      </c>
      <c r="C1119">
        <v>202601</v>
      </c>
      <c r="D1119">
        <v>7967.2526393785311</v>
      </c>
      <c r="E1119">
        <v>44.115463119482456</v>
      </c>
      <c r="F1119">
        <v>180.6</v>
      </c>
    </row>
    <row r="1120" spans="1:6" x14ac:dyDescent="0.25">
      <c r="A1120">
        <v>665</v>
      </c>
      <c r="B1120" t="s">
        <v>67</v>
      </c>
      <c r="C1120">
        <v>202601</v>
      </c>
      <c r="D1120">
        <v>3639.4541330890943</v>
      </c>
      <c r="E1120">
        <v>16.183263520339253</v>
      </c>
      <c r="F1120">
        <v>224.89</v>
      </c>
    </row>
    <row r="1121" spans="1:6" x14ac:dyDescent="0.25">
      <c r="A1121">
        <v>770</v>
      </c>
      <c r="B1121" t="s">
        <v>67</v>
      </c>
      <c r="C1121">
        <v>202601</v>
      </c>
      <c r="D1121">
        <v>22163.780223792179</v>
      </c>
      <c r="E1121">
        <v>39.402275953408321</v>
      </c>
      <c r="F1121">
        <v>562.5</v>
      </c>
    </row>
    <row r="1122" spans="1:6" x14ac:dyDescent="0.25">
      <c r="A1122">
        <v>771</v>
      </c>
      <c r="B1122" t="s">
        <v>67</v>
      </c>
      <c r="C1122">
        <v>202601</v>
      </c>
      <c r="D1122">
        <v>2822.989323442795</v>
      </c>
      <c r="E1122">
        <v>4.1834459446395895</v>
      </c>
      <c r="F1122">
        <v>674.8</v>
      </c>
    </row>
    <row r="1123" spans="1:6" x14ac:dyDescent="0.25">
      <c r="A1123">
        <v>769</v>
      </c>
      <c r="B1123" t="s">
        <v>67</v>
      </c>
      <c r="C1123">
        <v>202601</v>
      </c>
      <c r="D1123">
        <v>11750.459846475114</v>
      </c>
      <c r="E1123">
        <v>34.816177322889224</v>
      </c>
      <c r="F1123">
        <v>337.5</v>
      </c>
    </row>
    <row r="1124" spans="1:6" x14ac:dyDescent="0.25">
      <c r="A1124">
        <v>813</v>
      </c>
      <c r="B1124" t="s">
        <v>67</v>
      </c>
      <c r="C1124">
        <v>202601</v>
      </c>
      <c r="D1124">
        <v>1752.1900026989654</v>
      </c>
      <c r="E1124">
        <v>5.8435536590010502</v>
      </c>
      <c r="F1124">
        <v>299.8500749625187</v>
      </c>
    </row>
    <row r="1125" spans="1:6" x14ac:dyDescent="0.25">
      <c r="A1125">
        <v>814</v>
      </c>
      <c r="B1125" t="s">
        <v>67</v>
      </c>
      <c r="C1125">
        <v>202601</v>
      </c>
      <c r="D1125">
        <v>1897.8888358825582</v>
      </c>
      <c r="E1125">
        <v>4.2203443092785369</v>
      </c>
      <c r="F1125">
        <v>449.7</v>
      </c>
    </row>
    <row r="1126" spans="1:6" x14ac:dyDescent="0.25">
      <c r="A1126">
        <v>815</v>
      </c>
      <c r="B1126" t="s">
        <v>67</v>
      </c>
      <c r="C1126">
        <v>202601</v>
      </c>
      <c r="D1126">
        <v>321.20066612309097</v>
      </c>
      <c r="E1126">
        <v>0.97392560983350807</v>
      </c>
      <c r="F1126">
        <v>329.8</v>
      </c>
    </row>
    <row r="1127" spans="1:6" x14ac:dyDescent="0.25">
      <c r="A1127">
        <v>542</v>
      </c>
      <c r="B1127" t="s">
        <v>68</v>
      </c>
      <c r="C1127">
        <v>202601</v>
      </c>
      <c r="D1127">
        <v>10246.188093988783</v>
      </c>
      <c r="E1127">
        <v>169.69506614754525</v>
      </c>
      <c r="F1127">
        <v>60.38</v>
      </c>
    </row>
    <row r="1128" spans="1:6" x14ac:dyDescent="0.25">
      <c r="A1128">
        <v>543</v>
      </c>
      <c r="B1128" t="s">
        <v>68</v>
      </c>
      <c r="C1128">
        <v>202601</v>
      </c>
      <c r="D1128">
        <v>13894.896095404343</v>
      </c>
      <c r="E1128">
        <v>61.590851486721384</v>
      </c>
      <c r="F1128">
        <v>225.6</v>
      </c>
    </row>
    <row r="1129" spans="1:6" x14ac:dyDescent="0.25">
      <c r="A1129">
        <v>545</v>
      </c>
      <c r="B1129" t="s">
        <v>68</v>
      </c>
      <c r="C1129">
        <v>202601</v>
      </c>
      <c r="D1129">
        <v>70814.411399295408</v>
      </c>
      <c r="E1129">
        <v>196.37939933248865</v>
      </c>
      <c r="F1129">
        <v>360.6</v>
      </c>
    </row>
    <row r="1130" spans="1:6" x14ac:dyDescent="0.25">
      <c r="A1130">
        <v>547</v>
      </c>
      <c r="B1130" t="s">
        <v>68</v>
      </c>
      <c r="C1130">
        <v>202601</v>
      </c>
      <c r="D1130">
        <v>53630.151824497079</v>
      </c>
      <c r="E1130">
        <v>123.73143185792054</v>
      </c>
      <c r="F1130">
        <v>433.44</v>
      </c>
    </row>
    <row r="1131" spans="1:6" x14ac:dyDescent="0.25">
      <c r="A1131">
        <v>551</v>
      </c>
      <c r="B1131" t="s">
        <v>68</v>
      </c>
      <c r="C1131">
        <v>202601</v>
      </c>
      <c r="D1131">
        <v>13770.173157636975</v>
      </c>
      <c r="E1131">
        <v>51.027099820784755</v>
      </c>
      <c r="F1131">
        <v>269.86</v>
      </c>
    </row>
    <row r="1132" spans="1:6" x14ac:dyDescent="0.25">
      <c r="A1132">
        <v>552</v>
      </c>
      <c r="B1132" t="s">
        <v>68</v>
      </c>
      <c r="C1132">
        <v>202601</v>
      </c>
      <c r="D1132">
        <v>8301.096964477365</v>
      </c>
      <c r="E1132">
        <v>52.732162142531863</v>
      </c>
      <c r="F1132">
        <v>157.41999999999999</v>
      </c>
    </row>
    <row r="1133" spans="1:6" x14ac:dyDescent="0.25">
      <c r="A1133">
        <v>578</v>
      </c>
      <c r="B1133" t="s">
        <v>68</v>
      </c>
      <c r="C1133">
        <v>202601</v>
      </c>
      <c r="D1133">
        <v>0</v>
      </c>
      <c r="E1133">
        <v>0</v>
      </c>
      <c r="F1133">
        <v>225.56</v>
      </c>
    </row>
    <row r="1134" spans="1:6" x14ac:dyDescent="0.25">
      <c r="A1134">
        <v>596</v>
      </c>
      <c r="B1134" t="s">
        <v>68</v>
      </c>
      <c r="C1134">
        <v>202601</v>
      </c>
      <c r="D1134">
        <v>2834.897744635859</v>
      </c>
      <c r="E1134">
        <v>7.8550782616676615</v>
      </c>
      <c r="F1134">
        <v>360.9</v>
      </c>
    </row>
    <row r="1135" spans="1:6" x14ac:dyDescent="0.25">
      <c r="A1135">
        <v>598</v>
      </c>
      <c r="B1135" t="s">
        <v>68</v>
      </c>
      <c r="C1135">
        <v>202601</v>
      </c>
      <c r="D1135">
        <v>5448.6056588059555</v>
      </c>
      <c r="E1135">
        <v>12.077684168213056</v>
      </c>
      <c r="F1135">
        <v>451.13</v>
      </c>
    </row>
    <row r="1136" spans="1:6" x14ac:dyDescent="0.25">
      <c r="A1136">
        <v>597</v>
      </c>
      <c r="B1136" t="s">
        <v>68</v>
      </c>
      <c r="C1136">
        <v>202601</v>
      </c>
      <c r="D1136">
        <v>2220.2644872365377</v>
      </c>
      <c r="E1136">
        <v>7.4045839160798312</v>
      </c>
      <c r="F1136">
        <v>299.85000000000002</v>
      </c>
    </row>
    <row r="1137" spans="1:6" x14ac:dyDescent="0.25">
      <c r="A1137">
        <v>788</v>
      </c>
      <c r="B1137" t="s">
        <v>68</v>
      </c>
      <c r="C1137">
        <v>202601</v>
      </c>
      <c r="D1137">
        <v>1872.8365306963617</v>
      </c>
      <c r="E1137">
        <v>4.1637094946562065</v>
      </c>
      <c r="F1137">
        <v>449.8</v>
      </c>
    </row>
    <row r="1138" spans="1:6" x14ac:dyDescent="0.25">
      <c r="A1138">
        <v>789</v>
      </c>
      <c r="B1138" t="s">
        <v>68</v>
      </c>
      <c r="C1138">
        <v>202601</v>
      </c>
      <c r="D1138">
        <v>1475.8348170576585</v>
      </c>
      <c r="E1138">
        <v>4.3168211567148083</v>
      </c>
      <c r="F1138">
        <v>341.88</v>
      </c>
    </row>
    <row r="1139" spans="1:6" x14ac:dyDescent="0.25">
      <c r="A1139">
        <v>634</v>
      </c>
      <c r="B1139" t="s">
        <v>68</v>
      </c>
      <c r="C1139">
        <v>202601</v>
      </c>
      <c r="D1139">
        <v>5859.4893756691772</v>
      </c>
      <c r="E1139">
        <v>25.873137173440973</v>
      </c>
      <c r="F1139">
        <v>226.47</v>
      </c>
    </row>
    <row r="1140" spans="1:6" x14ac:dyDescent="0.25">
      <c r="A1140">
        <v>635</v>
      </c>
      <c r="B1140" t="s">
        <v>68</v>
      </c>
      <c r="C1140">
        <v>202601</v>
      </c>
      <c r="D1140">
        <v>1343.7567587083322</v>
      </c>
      <c r="E1140">
        <v>3.3096641922817964</v>
      </c>
      <c r="F1140">
        <v>406.01</v>
      </c>
    </row>
    <row r="1141" spans="1:6" x14ac:dyDescent="0.25">
      <c r="A1141">
        <v>636</v>
      </c>
      <c r="B1141" t="s">
        <v>68</v>
      </c>
      <c r="C1141">
        <v>202601</v>
      </c>
      <c r="D1141">
        <v>4624.0371176814033</v>
      </c>
      <c r="E1141">
        <v>20.431411796047204</v>
      </c>
      <c r="F1141">
        <v>226.32</v>
      </c>
    </row>
    <row r="1142" spans="1:6" x14ac:dyDescent="0.25">
      <c r="A1142">
        <v>666</v>
      </c>
      <c r="B1142" t="s">
        <v>68</v>
      </c>
      <c r="C1142">
        <v>202601</v>
      </c>
      <c r="D1142">
        <v>2288.2685043947677</v>
      </c>
      <c r="E1142">
        <v>20.250163755705909</v>
      </c>
      <c r="F1142">
        <v>113</v>
      </c>
    </row>
    <row r="1143" spans="1:6" x14ac:dyDescent="0.25">
      <c r="A1143">
        <v>667</v>
      </c>
      <c r="B1143" t="s">
        <v>68</v>
      </c>
      <c r="C1143">
        <v>202601</v>
      </c>
      <c r="D1143">
        <v>8585.4867006865661</v>
      </c>
      <c r="E1143">
        <v>45.667482450460462</v>
      </c>
      <c r="F1143">
        <v>188</v>
      </c>
    </row>
    <row r="1144" spans="1:6" x14ac:dyDescent="0.25">
      <c r="A1144">
        <v>668</v>
      </c>
      <c r="B1144" t="s">
        <v>68</v>
      </c>
      <c r="C1144">
        <v>202601</v>
      </c>
      <c r="D1144">
        <v>8390.7886380535674</v>
      </c>
      <c r="E1144">
        <v>46.460623688004247</v>
      </c>
      <c r="F1144">
        <v>180.6</v>
      </c>
    </row>
    <row r="1145" spans="1:6" x14ac:dyDescent="0.25">
      <c r="A1145">
        <v>665</v>
      </c>
      <c r="B1145" t="s">
        <v>68</v>
      </c>
      <c r="C1145">
        <v>202601</v>
      </c>
      <c r="D1145">
        <v>5073.3215009624391</v>
      </c>
      <c r="E1145">
        <v>22.559124465127127</v>
      </c>
      <c r="F1145">
        <v>224.89</v>
      </c>
    </row>
    <row r="1146" spans="1:6" x14ac:dyDescent="0.25">
      <c r="A1146">
        <v>770</v>
      </c>
      <c r="B1146" t="s">
        <v>68</v>
      </c>
      <c r="C1146">
        <v>202601</v>
      </c>
      <c r="D1146">
        <v>17635.648724015417</v>
      </c>
      <c r="E1146">
        <v>31.352264398249631</v>
      </c>
      <c r="F1146">
        <v>562.5</v>
      </c>
    </row>
    <row r="1147" spans="1:6" x14ac:dyDescent="0.25">
      <c r="A1147">
        <v>771</v>
      </c>
      <c r="B1147" t="s">
        <v>68</v>
      </c>
      <c r="C1147">
        <v>202601</v>
      </c>
      <c r="D1147">
        <v>3144.150413883222</v>
      </c>
      <c r="E1147">
        <v>4.6593811705441945</v>
      </c>
      <c r="F1147">
        <v>674.8</v>
      </c>
    </row>
    <row r="1148" spans="1:6" x14ac:dyDescent="0.25">
      <c r="A1148">
        <v>769</v>
      </c>
      <c r="B1148" t="s">
        <v>68</v>
      </c>
      <c r="C1148">
        <v>202601</v>
      </c>
      <c r="D1148">
        <v>9512.3165772578104</v>
      </c>
      <c r="E1148">
        <v>28.184641710393514</v>
      </c>
      <c r="F1148">
        <v>337.5</v>
      </c>
    </row>
    <row r="1149" spans="1:6" x14ac:dyDescent="0.25">
      <c r="A1149">
        <v>813</v>
      </c>
      <c r="B1149" t="s">
        <v>68</v>
      </c>
      <c r="C1149">
        <v>202601</v>
      </c>
      <c r="D1149">
        <v>1524.9832026254983</v>
      </c>
      <c r="E1149">
        <v>5.085818980756037</v>
      </c>
      <c r="F1149">
        <v>299.8500749625187</v>
      </c>
    </row>
    <row r="1150" spans="1:6" x14ac:dyDescent="0.25">
      <c r="A1150">
        <v>814</v>
      </c>
      <c r="B1150" t="s">
        <v>68</v>
      </c>
      <c r="C1150">
        <v>202601</v>
      </c>
      <c r="D1150">
        <v>1651.7892412998817</v>
      </c>
      <c r="E1150">
        <v>3.6730914861015829</v>
      </c>
      <c r="F1150">
        <v>449.7</v>
      </c>
    </row>
    <row r="1151" spans="1:6" x14ac:dyDescent="0.25">
      <c r="A1151">
        <v>815</v>
      </c>
      <c r="B1151" t="s">
        <v>68</v>
      </c>
      <c r="C1151">
        <v>202601</v>
      </c>
      <c r="D1151">
        <v>279.55051664222339</v>
      </c>
      <c r="E1151">
        <v>0.8476364967926725</v>
      </c>
      <c r="F1151">
        <v>329.8</v>
      </c>
    </row>
    <row r="1152" spans="1:6" x14ac:dyDescent="0.25">
      <c r="A1152">
        <v>542</v>
      </c>
      <c r="B1152" t="s">
        <v>69</v>
      </c>
      <c r="C1152">
        <v>202601</v>
      </c>
      <c r="D1152">
        <v>17335.91741027249</v>
      </c>
      <c r="E1152">
        <v>287.11357088891174</v>
      </c>
      <c r="F1152">
        <v>60.38</v>
      </c>
    </row>
    <row r="1153" spans="1:6" x14ac:dyDescent="0.25">
      <c r="A1153">
        <v>543</v>
      </c>
      <c r="B1153" t="s">
        <v>69</v>
      </c>
      <c r="C1153">
        <v>202601</v>
      </c>
      <c r="D1153">
        <v>30284.527025168987</v>
      </c>
      <c r="E1153">
        <v>134.23992475695474</v>
      </c>
      <c r="F1153">
        <v>225.6</v>
      </c>
    </row>
    <row r="1154" spans="1:6" x14ac:dyDescent="0.25">
      <c r="A1154">
        <v>545</v>
      </c>
      <c r="B1154" t="s">
        <v>69</v>
      </c>
      <c r="C1154">
        <v>202601</v>
      </c>
      <c r="D1154">
        <v>115147.50299075016</v>
      </c>
      <c r="E1154">
        <v>319.32197168815907</v>
      </c>
      <c r="F1154">
        <v>360.6</v>
      </c>
    </row>
    <row r="1155" spans="1:6" x14ac:dyDescent="0.25">
      <c r="A1155">
        <v>547</v>
      </c>
      <c r="B1155" t="s">
        <v>69</v>
      </c>
      <c r="C1155">
        <v>202601</v>
      </c>
      <c r="D1155">
        <v>144370.3095503143</v>
      </c>
      <c r="E1155">
        <v>333.08026382040026</v>
      </c>
      <c r="F1155">
        <v>433.44</v>
      </c>
    </row>
    <row r="1156" spans="1:6" x14ac:dyDescent="0.25">
      <c r="A1156">
        <v>551</v>
      </c>
      <c r="B1156" t="s">
        <v>69</v>
      </c>
      <c r="C1156">
        <v>202601</v>
      </c>
      <c r="D1156">
        <v>13169.922835925006</v>
      </c>
      <c r="E1156">
        <v>48.802797138979493</v>
      </c>
      <c r="F1156">
        <v>269.86</v>
      </c>
    </row>
    <row r="1157" spans="1:6" x14ac:dyDescent="0.25">
      <c r="A1157">
        <v>552</v>
      </c>
      <c r="B1157" t="s">
        <v>69</v>
      </c>
      <c r="C1157">
        <v>202601</v>
      </c>
      <c r="D1157">
        <v>8723.2599128833845</v>
      </c>
      <c r="E1157">
        <v>55.41392397969372</v>
      </c>
      <c r="F1157">
        <v>157.41999999999999</v>
      </c>
    </row>
    <row r="1158" spans="1:6" x14ac:dyDescent="0.25">
      <c r="A1158">
        <v>578</v>
      </c>
      <c r="B1158" t="s">
        <v>69</v>
      </c>
      <c r="C1158">
        <v>202601</v>
      </c>
      <c r="D1158">
        <v>0</v>
      </c>
      <c r="E1158">
        <v>0</v>
      </c>
      <c r="F1158">
        <v>225.56</v>
      </c>
    </row>
    <row r="1159" spans="1:6" x14ac:dyDescent="0.25">
      <c r="A1159">
        <v>596</v>
      </c>
      <c r="B1159" t="s">
        <v>69</v>
      </c>
      <c r="C1159">
        <v>202601</v>
      </c>
      <c r="D1159">
        <v>3950.5548667175012</v>
      </c>
      <c r="E1159">
        <v>10.946397524847606</v>
      </c>
      <c r="F1159">
        <v>360.9</v>
      </c>
    </row>
    <row r="1160" spans="1:6" x14ac:dyDescent="0.25">
      <c r="A1160">
        <v>598</v>
      </c>
      <c r="B1160" t="s">
        <v>69</v>
      </c>
      <c r="C1160">
        <v>202601</v>
      </c>
      <c r="D1160">
        <v>21293.379760280754</v>
      </c>
      <c r="E1160">
        <v>47.200097001486832</v>
      </c>
      <c r="F1160">
        <v>451.13</v>
      </c>
    </row>
    <row r="1161" spans="1:6" x14ac:dyDescent="0.25">
      <c r="A1161">
        <v>597</v>
      </c>
      <c r="B1161" t="s">
        <v>69</v>
      </c>
      <c r="C1161">
        <v>202601</v>
      </c>
      <c r="D1161">
        <v>1845.9661323959342</v>
      </c>
      <c r="E1161">
        <v>6.156298590615088</v>
      </c>
      <c r="F1161">
        <v>299.85000000000002</v>
      </c>
    </row>
    <row r="1162" spans="1:6" x14ac:dyDescent="0.25">
      <c r="A1162">
        <v>788</v>
      </c>
      <c r="B1162" t="s">
        <v>69</v>
      </c>
      <c r="C1162">
        <v>202601</v>
      </c>
      <c r="D1162">
        <v>2601.3495332400303</v>
      </c>
      <c r="E1162">
        <v>5.7833471170298578</v>
      </c>
      <c r="F1162">
        <v>449.8</v>
      </c>
    </row>
    <row r="1163" spans="1:6" x14ac:dyDescent="0.25">
      <c r="A1163">
        <v>789</v>
      </c>
      <c r="B1163" t="s">
        <v>69</v>
      </c>
      <c r="C1163">
        <v>202601</v>
      </c>
      <c r="D1163">
        <v>4001.9306836769551</v>
      </c>
      <c r="E1163">
        <v>11.70565895541405</v>
      </c>
      <c r="F1163">
        <v>341.88</v>
      </c>
    </row>
    <row r="1164" spans="1:6" x14ac:dyDescent="0.25">
      <c r="A1164">
        <v>634</v>
      </c>
      <c r="B1164" t="s">
        <v>69</v>
      </c>
      <c r="C1164">
        <v>202601</v>
      </c>
      <c r="D1164">
        <v>17197.13870858532</v>
      </c>
      <c r="E1164">
        <v>75.935614909636243</v>
      </c>
      <c r="F1164">
        <v>226.47</v>
      </c>
    </row>
    <row r="1165" spans="1:6" x14ac:dyDescent="0.25">
      <c r="A1165">
        <v>635</v>
      </c>
      <c r="B1165" t="s">
        <v>69</v>
      </c>
      <c r="C1165">
        <v>202601</v>
      </c>
      <c r="D1165">
        <v>4809.6922711442057</v>
      </c>
      <c r="E1165">
        <v>11.84624090821459</v>
      </c>
      <c r="F1165">
        <v>406.01</v>
      </c>
    </row>
    <row r="1166" spans="1:6" x14ac:dyDescent="0.25">
      <c r="A1166">
        <v>636</v>
      </c>
      <c r="B1166" t="s">
        <v>69</v>
      </c>
      <c r="C1166">
        <v>202601</v>
      </c>
      <c r="D1166">
        <v>18705.453418105881</v>
      </c>
      <c r="E1166">
        <v>82.650465792267056</v>
      </c>
      <c r="F1166">
        <v>226.32</v>
      </c>
    </row>
    <row r="1167" spans="1:6" x14ac:dyDescent="0.25">
      <c r="A1167">
        <v>666</v>
      </c>
      <c r="B1167" t="s">
        <v>69</v>
      </c>
      <c r="C1167">
        <v>202601</v>
      </c>
      <c r="D1167">
        <v>5989.3643172765087</v>
      </c>
      <c r="E1167">
        <v>53.003224046694768</v>
      </c>
      <c r="F1167">
        <v>113</v>
      </c>
    </row>
    <row r="1168" spans="1:6" x14ac:dyDescent="0.25">
      <c r="A1168">
        <v>667</v>
      </c>
      <c r="B1168" t="s">
        <v>69</v>
      </c>
      <c r="C1168">
        <v>202601</v>
      </c>
      <c r="D1168">
        <v>11941.297174682772</v>
      </c>
      <c r="E1168">
        <v>63.517538163206233</v>
      </c>
      <c r="F1168">
        <v>188</v>
      </c>
    </row>
    <row r="1169" spans="1:6" x14ac:dyDescent="0.25">
      <c r="A1169">
        <v>668</v>
      </c>
      <c r="B1169" t="s">
        <v>69</v>
      </c>
      <c r="C1169">
        <v>202601</v>
      </c>
      <c r="D1169">
        <v>8439.4586420403957</v>
      </c>
      <c r="E1169">
        <v>46.730114297012157</v>
      </c>
      <c r="F1169">
        <v>180.6</v>
      </c>
    </row>
    <row r="1170" spans="1:6" x14ac:dyDescent="0.25">
      <c r="A1170">
        <v>665</v>
      </c>
      <c r="B1170" t="s">
        <v>69</v>
      </c>
      <c r="C1170">
        <v>202601</v>
      </c>
      <c r="D1170">
        <v>5892.0696699435584</v>
      </c>
      <c r="E1170">
        <v>26.19978509468433</v>
      </c>
      <c r="F1170">
        <v>224.89</v>
      </c>
    </row>
    <row r="1171" spans="1:6" x14ac:dyDescent="0.25">
      <c r="A1171">
        <v>770</v>
      </c>
      <c r="B1171" t="s">
        <v>69</v>
      </c>
      <c r="C1171">
        <v>202601</v>
      </c>
      <c r="D1171">
        <v>29444.098112557156</v>
      </c>
      <c r="E1171">
        <v>52.345063311212719</v>
      </c>
      <c r="F1171">
        <v>562.5</v>
      </c>
    </row>
    <row r="1172" spans="1:6" x14ac:dyDescent="0.25">
      <c r="A1172">
        <v>771</v>
      </c>
      <c r="B1172" t="s">
        <v>69</v>
      </c>
      <c r="C1172">
        <v>202601</v>
      </c>
      <c r="D1172">
        <v>3906.900750286632</v>
      </c>
      <c r="E1172">
        <v>5.7897165831159345</v>
      </c>
      <c r="F1172">
        <v>674.8</v>
      </c>
    </row>
    <row r="1173" spans="1:6" x14ac:dyDescent="0.25">
      <c r="A1173">
        <v>769</v>
      </c>
      <c r="B1173" t="s">
        <v>69</v>
      </c>
      <c r="C1173">
        <v>202601</v>
      </c>
      <c r="D1173">
        <v>13281.252082554882</v>
      </c>
      <c r="E1173">
        <v>39.351858022384832</v>
      </c>
      <c r="F1173">
        <v>337.5</v>
      </c>
    </row>
    <row r="1174" spans="1:6" x14ac:dyDescent="0.25">
      <c r="A1174">
        <v>813</v>
      </c>
      <c r="B1174" t="s">
        <v>69</v>
      </c>
      <c r="C1174">
        <v>202601</v>
      </c>
      <c r="D1174">
        <v>5296.3472621976198</v>
      </c>
      <c r="E1174">
        <v>17.663318119429064</v>
      </c>
      <c r="F1174">
        <v>299.8500749625187</v>
      </c>
    </row>
    <row r="1175" spans="1:6" x14ac:dyDescent="0.25">
      <c r="A1175">
        <v>814</v>
      </c>
      <c r="B1175" t="s">
        <v>69</v>
      </c>
      <c r="C1175">
        <v>202601</v>
      </c>
      <c r="D1175">
        <v>5736.7513365552368</v>
      </c>
      <c r="E1175">
        <v>12.756840864032103</v>
      </c>
      <c r="F1175">
        <v>449.7</v>
      </c>
    </row>
    <row r="1176" spans="1:6" x14ac:dyDescent="0.25">
      <c r="A1176">
        <v>815</v>
      </c>
      <c r="B1176" t="s">
        <v>69</v>
      </c>
      <c r="C1176">
        <v>202601</v>
      </c>
      <c r="D1176">
        <v>970.89371929795027</v>
      </c>
      <c r="E1176">
        <v>2.9438863532381752</v>
      </c>
      <c r="F1176">
        <v>329.8</v>
      </c>
    </row>
    <row r="1177" spans="1:6" x14ac:dyDescent="0.25">
      <c r="A1177">
        <v>542</v>
      </c>
      <c r="B1177" t="s">
        <v>93</v>
      </c>
      <c r="C1177">
        <v>202601</v>
      </c>
      <c r="D1177">
        <v>13792.67699180825</v>
      </c>
      <c r="E1177">
        <v>228.43121881100114</v>
      </c>
      <c r="F1177">
        <v>60.38</v>
      </c>
    </row>
    <row r="1178" spans="1:6" x14ac:dyDescent="0.25">
      <c r="A1178">
        <v>543</v>
      </c>
      <c r="B1178" t="s">
        <v>93</v>
      </c>
      <c r="C1178">
        <v>202601</v>
      </c>
      <c r="D1178">
        <v>22377.642306094782</v>
      </c>
      <c r="E1178">
        <v>99.191676888718007</v>
      </c>
      <c r="F1178">
        <v>225.6</v>
      </c>
    </row>
    <row r="1179" spans="1:6" x14ac:dyDescent="0.25">
      <c r="A1179">
        <v>545</v>
      </c>
      <c r="B1179" t="s">
        <v>93</v>
      </c>
      <c r="C1179">
        <v>202601</v>
      </c>
      <c r="D1179">
        <v>91239.602371671426</v>
      </c>
      <c r="E1179">
        <v>253.02163719265508</v>
      </c>
      <c r="F1179">
        <v>360.6</v>
      </c>
    </row>
    <row r="1180" spans="1:6" x14ac:dyDescent="0.25">
      <c r="A1180">
        <v>547</v>
      </c>
      <c r="B1180" t="s">
        <v>93</v>
      </c>
      <c r="C1180">
        <v>202601</v>
      </c>
      <c r="D1180">
        <v>145499.9547224225</v>
      </c>
      <c r="E1180">
        <v>335.68649576048011</v>
      </c>
      <c r="F1180">
        <v>433.44</v>
      </c>
    </row>
    <row r="1181" spans="1:6" x14ac:dyDescent="0.25">
      <c r="A1181">
        <v>551</v>
      </c>
      <c r="B1181" t="s">
        <v>93</v>
      </c>
      <c r="C1181">
        <v>202601</v>
      </c>
      <c r="D1181">
        <v>12093.004246457605</v>
      </c>
      <c r="E1181">
        <v>44.812140541234733</v>
      </c>
      <c r="F1181">
        <v>269.86</v>
      </c>
    </row>
    <row r="1182" spans="1:6" x14ac:dyDescent="0.25">
      <c r="A1182">
        <v>552</v>
      </c>
      <c r="B1182" t="s">
        <v>93</v>
      </c>
      <c r="C1182">
        <v>202601</v>
      </c>
      <c r="D1182">
        <v>8484.1600103722085</v>
      </c>
      <c r="E1182">
        <v>53.895057873028897</v>
      </c>
      <c r="F1182">
        <v>157.41999999999999</v>
      </c>
    </row>
    <row r="1183" spans="1:6" x14ac:dyDescent="0.25">
      <c r="A1183">
        <v>578</v>
      </c>
      <c r="B1183" t="s">
        <v>93</v>
      </c>
      <c r="C1183">
        <v>202601</v>
      </c>
      <c r="D1183">
        <v>0</v>
      </c>
      <c r="E1183">
        <v>0</v>
      </c>
      <c r="F1183">
        <v>225.56</v>
      </c>
    </row>
    <row r="1184" spans="1:6" x14ac:dyDescent="0.25">
      <c r="A1184">
        <v>596</v>
      </c>
      <c r="B1184" t="s">
        <v>93</v>
      </c>
      <c r="C1184">
        <v>202601</v>
      </c>
      <c r="D1184">
        <v>6407.4155325874981</v>
      </c>
      <c r="E1184">
        <v>17.753991500658074</v>
      </c>
      <c r="F1184">
        <v>360.9</v>
      </c>
    </row>
    <row r="1185" spans="1:6" x14ac:dyDescent="0.25">
      <c r="A1185">
        <v>598</v>
      </c>
      <c r="B1185" t="s">
        <v>93</v>
      </c>
      <c r="C1185">
        <v>202601</v>
      </c>
      <c r="D1185">
        <v>12199.992882959239</v>
      </c>
      <c r="E1185">
        <v>27.043186848489878</v>
      </c>
      <c r="F1185">
        <v>451.13</v>
      </c>
    </row>
    <row r="1186" spans="1:6" x14ac:dyDescent="0.25">
      <c r="A1186">
        <v>597</v>
      </c>
      <c r="B1186" t="s">
        <v>93</v>
      </c>
      <c r="C1186">
        <v>202601</v>
      </c>
      <c r="D1186">
        <v>3148.8300168077849</v>
      </c>
      <c r="E1186">
        <v>10.501350731391645</v>
      </c>
      <c r="F1186">
        <v>299.85000000000002</v>
      </c>
    </row>
    <row r="1187" spans="1:6" x14ac:dyDescent="0.25">
      <c r="A1187">
        <v>788</v>
      </c>
      <c r="B1187" t="s">
        <v>93</v>
      </c>
      <c r="C1187">
        <v>202601</v>
      </c>
      <c r="D1187">
        <v>1868.6849631668301</v>
      </c>
      <c r="E1187">
        <v>4.1544796868982434</v>
      </c>
      <c r="F1187">
        <v>449.8</v>
      </c>
    </row>
    <row r="1188" spans="1:6" x14ac:dyDescent="0.25">
      <c r="A1188">
        <v>789</v>
      </c>
      <c r="B1188" t="s">
        <v>93</v>
      </c>
      <c r="C1188">
        <v>202601</v>
      </c>
      <c r="D1188">
        <v>1967.7216786542995</v>
      </c>
      <c r="E1188">
        <v>5.7555916656554915</v>
      </c>
      <c r="F1188">
        <v>341.88</v>
      </c>
    </row>
    <row r="1189" spans="1:6" x14ac:dyDescent="0.25">
      <c r="A1189">
        <v>634</v>
      </c>
      <c r="B1189" t="s">
        <v>93</v>
      </c>
      <c r="C1189">
        <v>202601</v>
      </c>
      <c r="D1189">
        <v>14902.008206653005</v>
      </c>
      <c r="E1189">
        <v>65.801246110535629</v>
      </c>
      <c r="F1189">
        <v>226.47</v>
      </c>
    </row>
    <row r="1190" spans="1:6" x14ac:dyDescent="0.25">
      <c r="A1190">
        <v>635</v>
      </c>
      <c r="B1190" t="s">
        <v>93</v>
      </c>
      <c r="C1190">
        <v>202601</v>
      </c>
      <c r="D1190">
        <v>2985.6813995794009</v>
      </c>
      <c r="E1190">
        <v>7.3537139468963844</v>
      </c>
      <c r="F1190">
        <v>406.01</v>
      </c>
    </row>
    <row r="1191" spans="1:6" x14ac:dyDescent="0.25">
      <c r="A1191">
        <v>636</v>
      </c>
      <c r="B1191" t="s">
        <v>93</v>
      </c>
      <c r="C1191">
        <v>202601</v>
      </c>
      <c r="D1191">
        <v>16058.614445593425</v>
      </c>
      <c r="E1191">
        <v>70.955348381024322</v>
      </c>
      <c r="F1191">
        <v>226.32</v>
      </c>
    </row>
    <row r="1192" spans="1:6" x14ac:dyDescent="0.25">
      <c r="A1192">
        <v>666</v>
      </c>
      <c r="B1192" t="s">
        <v>93</v>
      </c>
      <c r="C1192">
        <v>202601</v>
      </c>
      <c r="D1192">
        <v>9300.2176459733291</v>
      </c>
      <c r="E1192">
        <v>82.302811026312654</v>
      </c>
      <c r="F1192">
        <v>113</v>
      </c>
    </row>
    <row r="1193" spans="1:6" x14ac:dyDescent="0.25">
      <c r="A1193">
        <v>667</v>
      </c>
      <c r="B1193" t="s">
        <v>93</v>
      </c>
      <c r="C1193">
        <v>202601</v>
      </c>
      <c r="D1193">
        <v>15485.928713719437</v>
      </c>
      <c r="E1193">
        <v>82.371961243188494</v>
      </c>
      <c r="F1193">
        <v>188</v>
      </c>
    </row>
    <row r="1194" spans="1:6" x14ac:dyDescent="0.25">
      <c r="A1194">
        <v>668</v>
      </c>
      <c r="B1194" t="s">
        <v>93</v>
      </c>
      <c r="C1194">
        <v>202601</v>
      </c>
      <c r="D1194">
        <v>12224.198459849202</v>
      </c>
      <c r="E1194">
        <v>67.686591693517173</v>
      </c>
      <c r="F1194">
        <v>180.6</v>
      </c>
    </row>
    <row r="1195" spans="1:6" x14ac:dyDescent="0.25">
      <c r="A1195">
        <v>665</v>
      </c>
      <c r="B1195" t="s">
        <v>93</v>
      </c>
      <c r="C1195">
        <v>202601</v>
      </c>
      <c r="D1195">
        <v>6489.6822066613695</v>
      </c>
      <c r="E1195">
        <v>28.857139964699943</v>
      </c>
      <c r="F1195">
        <v>224.89</v>
      </c>
    </row>
    <row r="1196" spans="1:6" x14ac:dyDescent="0.25">
      <c r="A1196">
        <v>770</v>
      </c>
      <c r="B1196" t="s">
        <v>93</v>
      </c>
      <c r="C1196">
        <v>202601</v>
      </c>
      <c r="D1196">
        <v>23855.676547519164</v>
      </c>
      <c r="E1196">
        <v>42.410091640034068</v>
      </c>
      <c r="F1196">
        <v>562.5</v>
      </c>
    </row>
    <row r="1197" spans="1:6" x14ac:dyDescent="0.25">
      <c r="A1197">
        <v>771</v>
      </c>
      <c r="B1197" t="s">
        <v>93</v>
      </c>
      <c r="C1197">
        <v>202601</v>
      </c>
      <c r="D1197">
        <v>5040.9152743514915</v>
      </c>
      <c r="E1197">
        <v>7.4702360319375991</v>
      </c>
      <c r="F1197">
        <v>674.8</v>
      </c>
    </row>
    <row r="1198" spans="1:6" x14ac:dyDescent="0.25">
      <c r="A1198">
        <v>769</v>
      </c>
      <c r="B1198" t="s">
        <v>93</v>
      </c>
      <c r="C1198">
        <v>202601</v>
      </c>
      <c r="D1198">
        <v>12934.498355017384</v>
      </c>
      <c r="E1198">
        <v>38.32443957042188</v>
      </c>
      <c r="F1198">
        <v>337.5</v>
      </c>
    </row>
    <row r="1199" spans="1:6" x14ac:dyDescent="0.25">
      <c r="A1199">
        <v>813</v>
      </c>
      <c r="B1199" t="s">
        <v>93</v>
      </c>
      <c r="C1199">
        <v>202601</v>
      </c>
      <c r="D1199">
        <v>4415.3517200898714</v>
      </c>
      <c r="E1199">
        <v>14.725197986499722</v>
      </c>
      <c r="F1199">
        <v>299.8500749625187</v>
      </c>
    </row>
    <row r="1200" spans="1:6" x14ac:dyDescent="0.25">
      <c r="A1200">
        <v>814</v>
      </c>
      <c r="B1200" t="s">
        <v>93</v>
      </c>
      <c r="C1200">
        <v>202601</v>
      </c>
      <c r="D1200">
        <v>4782.4988860486692</v>
      </c>
      <c r="E1200">
        <v>10.634865212472024</v>
      </c>
      <c r="F1200">
        <v>449.7</v>
      </c>
    </row>
    <row r="1201" spans="1:6" x14ac:dyDescent="0.25">
      <c r="A1201">
        <v>815</v>
      </c>
      <c r="B1201" t="s">
        <v>93</v>
      </c>
      <c r="C1201">
        <v>202601</v>
      </c>
      <c r="D1201">
        <v>809.39504932460102</v>
      </c>
      <c r="E1201">
        <v>2.4541996644166191</v>
      </c>
      <c r="F1201">
        <v>329.8</v>
      </c>
    </row>
    <row r="1202" spans="1:6" x14ac:dyDescent="0.25">
      <c r="A1202">
        <v>542</v>
      </c>
      <c r="B1202" t="s">
        <v>94</v>
      </c>
      <c r="C1202">
        <v>202601</v>
      </c>
      <c r="D1202">
        <v>22760.629688843583</v>
      </c>
      <c r="E1202">
        <v>376.95643737733656</v>
      </c>
      <c r="F1202">
        <v>60.38</v>
      </c>
    </row>
    <row r="1203" spans="1:6" x14ac:dyDescent="0.25">
      <c r="A1203">
        <v>543</v>
      </c>
      <c r="B1203" t="s">
        <v>94</v>
      </c>
      <c r="C1203">
        <v>202601</v>
      </c>
      <c r="D1203">
        <v>26028.804973396713</v>
      </c>
      <c r="E1203">
        <v>115.3759085700209</v>
      </c>
      <c r="F1203">
        <v>225.6</v>
      </c>
    </row>
    <row r="1204" spans="1:6" x14ac:dyDescent="0.25">
      <c r="A1204">
        <v>545</v>
      </c>
      <c r="B1204" t="s">
        <v>94</v>
      </c>
      <c r="C1204">
        <v>202601</v>
      </c>
      <c r="D1204">
        <v>124928.49896666866</v>
      </c>
      <c r="E1204">
        <v>346.44619791089474</v>
      </c>
      <c r="F1204">
        <v>360.6</v>
      </c>
    </row>
    <row r="1205" spans="1:6" x14ac:dyDescent="0.25">
      <c r="A1205">
        <v>547</v>
      </c>
      <c r="B1205" t="s">
        <v>94</v>
      </c>
      <c r="C1205">
        <v>202601</v>
      </c>
      <c r="D1205">
        <v>201027.13589005882</v>
      </c>
      <c r="E1205">
        <v>463.7946103037533</v>
      </c>
      <c r="F1205">
        <v>433.44</v>
      </c>
    </row>
    <row r="1206" spans="1:6" x14ac:dyDescent="0.25">
      <c r="A1206">
        <v>551</v>
      </c>
      <c r="B1206" t="s">
        <v>94</v>
      </c>
      <c r="C1206">
        <v>202601</v>
      </c>
      <c r="D1206">
        <v>11520.418068100442</v>
      </c>
      <c r="E1206">
        <v>42.690350804492851</v>
      </c>
      <c r="F1206">
        <v>269.86</v>
      </c>
    </row>
    <row r="1207" spans="1:6" x14ac:dyDescent="0.25">
      <c r="A1207">
        <v>552</v>
      </c>
      <c r="B1207" t="s">
        <v>94</v>
      </c>
      <c r="C1207">
        <v>202601</v>
      </c>
      <c r="D1207">
        <v>3888.404683363869</v>
      </c>
      <c r="E1207">
        <v>24.700830157310822</v>
      </c>
      <c r="F1207">
        <v>157.41999999999999</v>
      </c>
    </row>
    <row r="1208" spans="1:6" x14ac:dyDescent="0.25">
      <c r="A1208">
        <v>578</v>
      </c>
      <c r="B1208" t="s">
        <v>94</v>
      </c>
      <c r="C1208">
        <v>202601</v>
      </c>
      <c r="D1208">
        <v>0</v>
      </c>
      <c r="E1208">
        <v>0</v>
      </c>
      <c r="F1208">
        <v>225.56</v>
      </c>
    </row>
    <row r="1209" spans="1:6" x14ac:dyDescent="0.25">
      <c r="A1209">
        <v>596</v>
      </c>
      <c r="B1209" t="s">
        <v>94</v>
      </c>
      <c r="C1209">
        <v>202601</v>
      </c>
      <c r="D1209">
        <v>4042.7987889463052</v>
      </c>
      <c r="E1209">
        <v>11.20199165681991</v>
      </c>
      <c r="F1209">
        <v>360.9</v>
      </c>
    </row>
    <row r="1210" spans="1:6" x14ac:dyDescent="0.25">
      <c r="A1210">
        <v>598</v>
      </c>
      <c r="B1210" t="s">
        <v>94</v>
      </c>
      <c r="C1210">
        <v>202601</v>
      </c>
      <c r="D1210">
        <v>7749.8108908506674</v>
      </c>
      <c r="E1210">
        <v>17.178664444507497</v>
      </c>
      <c r="F1210">
        <v>451.13</v>
      </c>
    </row>
    <row r="1211" spans="1:6" x14ac:dyDescent="0.25">
      <c r="A1211">
        <v>597</v>
      </c>
      <c r="B1211" t="s">
        <v>94</v>
      </c>
      <c r="C1211">
        <v>202601</v>
      </c>
      <c r="D1211">
        <v>1228.4406667939115</v>
      </c>
      <c r="E1211">
        <v>4.0968506479703564</v>
      </c>
      <c r="F1211">
        <v>299.85000000000002</v>
      </c>
    </row>
    <row r="1212" spans="1:6" x14ac:dyDescent="0.25">
      <c r="A1212">
        <v>788</v>
      </c>
      <c r="B1212" t="s">
        <v>94</v>
      </c>
      <c r="C1212">
        <v>202601</v>
      </c>
      <c r="D1212">
        <v>1725.5188539013805</v>
      </c>
      <c r="E1212">
        <v>3.8361913159212548</v>
      </c>
      <c r="F1212">
        <v>449.8</v>
      </c>
    </row>
    <row r="1213" spans="1:6" x14ac:dyDescent="0.25">
      <c r="A1213">
        <v>789</v>
      </c>
      <c r="B1213" t="s">
        <v>94</v>
      </c>
      <c r="C1213">
        <v>202601</v>
      </c>
      <c r="D1213">
        <v>1983.4004910330921</v>
      </c>
      <c r="E1213">
        <v>5.8014522377240318</v>
      </c>
      <c r="F1213">
        <v>341.88</v>
      </c>
    </row>
    <row r="1214" spans="1:6" x14ac:dyDescent="0.25">
      <c r="A1214">
        <v>634</v>
      </c>
      <c r="B1214" t="s">
        <v>94</v>
      </c>
      <c r="C1214">
        <v>202601</v>
      </c>
      <c r="D1214">
        <v>19880.54173737044</v>
      </c>
      <c r="E1214">
        <v>87.784438280436433</v>
      </c>
      <c r="F1214">
        <v>226.47</v>
      </c>
    </row>
    <row r="1215" spans="1:6" x14ac:dyDescent="0.25">
      <c r="A1215">
        <v>635</v>
      </c>
      <c r="B1215" t="s">
        <v>94</v>
      </c>
      <c r="C1215">
        <v>202601</v>
      </c>
      <c r="D1215">
        <v>5938.11007270147</v>
      </c>
      <c r="E1215">
        <v>14.625526643928648</v>
      </c>
      <c r="F1215">
        <v>406.01</v>
      </c>
    </row>
    <row r="1216" spans="1:6" x14ac:dyDescent="0.25">
      <c r="A1216">
        <v>636</v>
      </c>
      <c r="B1216" t="s">
        <v>94</v>
      </c>
      <c r="C1216">
        <v>202601</v>
      </c>
      <c r="D1216">
        <v>25041.671353430138</v>
      </c>
      <c r="E1216">
        <v>110.64718696284083</v>
      </c>
      <c r="F1216">
        <v>226.32</v>
      </c>
    </row>
    <row r="1217" spans="1:6" x14ac:dyDescent="0.25">
      <c r="A1217">
        <v>666</v>
      </c>
      <c r="B1217" t="s">
        <v>94</v>
      </c>
      <c r="C1217">
        <v>202601</v>
      </c>
      <c r="D1217">
        <v>6160.7720910395174</v>
      </c>
      <c r="E1217">
        <v>54.520107000349711</v>
      </c>
      <c r="F1217">
        <v>113</v>
      </c>
    </row>
    <row r="1218" spans="1:6" x14ac:dyDescent="0.25">
      <c r="A1218">
        <v>667</v>
      </c>
      <c r="B1218" t="s">
        <v>94</v>
      </c>
      <c r="C1218">
        <v>202601</v>
      </c>
      <c r="D1218">
        <v>24909.050492465474</v>
      </c>
      <c r="E1218">
        <v>132.49494942800783</v>
      </c>
      <c r="F1218">
        <v>188</v>
      </c>
    </row>
    <row r="1219" spans="1:6" x14ac:dyDescent="0.25">
      <c r="A1219">
        <v>668</v>
      </c>
      <c r="B1219" t="s">
        <v>94</v>
      </c>
      <c r="C1219">
        <v>202601</v>
      </c>
      <c r="D1219">
        <v>48233.748467897945</v>
      </c>
      <c r="E1219">
        <v>267.07501920209273</v>
      </c>
      <c r="F1219">
        <v>180.6</v>
      </c>
    </row>
    <row r="1220" spans="1:6" x14ac:dyDescent="0.25">
      <c r="A1220">
        <v>665</v>
      </c>
      <c r="B1220" t="s">
        <v>94</v>
      </c>
      <c r="C1220">
        <v>202601</v>
      </c>
      <c r="D1220">
        <v>6530.4254834246103</v>
      </c>
      <c r="E1220">
        <v>29.038309766661971</v>
      </c>
      <c r="F1220">
        <v>224.89</v>
      </c>
    </row>
    <row r="1221" spans="1:6" x14ac:dyDescent="0.25">
      <c r="A1221">
        <v>770</v>
      </c>
      <c r="B1221" t="s">
        <v>94</v>
      </c>
      <c r="C1221">
        <v>202601</v>
      </c>
      <c r="D1221">
        <v>34192.239089178533</v>
      </c>
      <c r="E1221">
        <v>60.786202825206281</v>
      </c>
      <c r="F1221">
        <v>562.5</v>
      </c>
    </row>
    <row r="1222" spans="1:6" x14ac:dyDescent="0.25">
      <c r="A1222">
        <v>771</v>
      </c>
      <c r="B1222" t="s">
        <v>94</v>
      </c>
      <c r="C1222">
        <v>202601</v>
      </c>
      <c r="D1222">
        <v>5593.298689305705</v>
      </c>
      <c r="E1222">
        <v>8.288824376564472</v>
      </c>
      <c r="F1222">
        <v>674.8</v>
      </c>
    </row>
    <row r="1223" spans="1:6" x14ac:dyDescent="0.25">
      <c r="A1223">
        <v>769</v>
      </c>
      <c r="B1223" t="s">
        <v>94</v>
      </c>
      <c r="C1223">
        <v>202601</v>
      </c>
      <c r="D1223">
        <v>13719.976260526468</v>
      </c>
      <c r="E1223">
        <v>40.651781512671015</v>
      </c>
      <c r="F1223">
        <v>337.5</v>
      </c>
    </row>
    <row r="1224" spans="1:6" x14ac:dyDescent="0.25">
      <c r="A1224">
        <v>813</v>
      </c>
      <c r="B1224" t="s">
        <v>94</v>
      </c>
      <c r="C1224">
        <v>202601</v>
      </c>
      <c r="D1224">
        <v>6643.2639657300579</v>
      </c>
      <c r="E1224">
        <v>22.155285325709745</v>
      </c>
      <c r="F1224">
        <v>299.8500749625187</v>
      </c>
    </row>
    <row r="1225" spans="1:6" x14ac:dyDescent="0.25">
      <c r="A1225">
        <v>814</v>
      </c>
      <c r="B1225" t="s">
        <v>94</v>
      </c>
      <c r="C1225">
        <v>202601</v>
      </c>
      <c r="D1225">
        <v>7195.6674190350996</v>
      </c>
      <c r="E1225">
        <v>16.00103940190149</v>
      </c>
      <c r="F1225">
        <v>449.7</v>
      </c>
    </row>
    <row r="1226" spans="1:6" x14ac:dyDescent="0.25">
      <c r="A1226">
        <v>815</v>
      </c>
      <c r="B1226" t="s">
        <v>94</v>
      </c>
      <c r="C1226">
        <v>202601</v>
      </c>
      <c r="D1226">
        <v>1217.8021834031786</v>
      </c>
      <c r="E1226">
        <v>3.692547554284956</v>
      </c>
      <c r="F1226">
        <v>329.8</v>
      </c>
    </row>
    <row r="1227" spans="1:6" x14ac:dyDescent="0.25">
      <c r="A1227">
        <v>542</v>
      </c>
      <c r="B1227" t="s">
        <v>95</v>
      </c>
      <c r="C1227">
        <v>202601</v>
      </c>
      <c r="D1227">
        <v>20685.257769167107</v>
      </c>
      <c r="E1227">
        <v>342.58459372585469</v>
      </c>
      <c r="F1227">
        <v>60.38</v>
      </c>
    </row>
    <row r="1228" spans="1:6" x14ac:dyDescent="0.25">
      <c r="A1228">
        <v>543</v>
      </c>
      <c r="B1228" t="s">
        <v>95</v>
      </c>
      <c r="C1228">
        <v>202601</v>
      </c>
      <c r="D1228">
        <v>28504.770117269822</v>
      </c>
      <c r="E1228">
        <v>126.35093137087688</v>
      </c>
      <c r="F1228">
        <v>225.6</v>
      </c>
    </row>
    <row r="1229" spans="1:6" x14ac:dyDescent="0.25">
      <c r="A1229">
        <v>545</v>
      </c>
      <c r="B1229" t="s">
        <v>95</v>
      </c>
      <c r="C1229">
        <v>202601</v>
      </c>
      <c r="D1229">
        <v>124779.14049897564</v>
      </c>
      <c r="E1229">
        <v>346.03200360226185</v>
      </c>
      <c r="F1229">
        <v>360.6</v>
      </c>
    </row>
    <row r="1230" spans="1:6" x14ac:dyDescent="0.25">
      <c r="A1230">
        <v>547</v>
      </c>
      <c r="B1230" t="s">
        <v>95</v>
      </c>
      <c r="C1230">
        <v>202601</v>
      </c>
      <c r="D1230">
        <v>206227.80131718944</v>
      </c>
      <c r="E1230">
        <v>475.79319240769064</v>
      </c>
      <c r="F1230">
        <v>433.44</v>
      </c>
    </row>
    <row r="1231" spans="1:6" x14ac:dyDescent="0.25">
      <c r="A1231">
        <v>551</v>
      </c>
      <c r="B1231" t="s">
        <v>95</v>
      </c>
      <c r="C1231">
        <v>202601</v>
      </c>
      <c r="D1231">
        <v>11540.000010986749</v>
      </c>
      <c r="E1231">
        <v>42.762914144322046</v>
      </c>
      <c r="F1231">
        <v>269.86</v>
      </c>
    </row>
    <row r="1232" spans="1:6" x14ac:dyDescent="0.25">
      <c r="A1232">
        <v>552</v>
      </c>
      <c r="B1232" t="s">
        <v>95</v>
      </c>
      <c r="C1232">
        <v>202601</v>
      </c>
      <c r="D1232">
        <v>3840.07361986244</v>
      </c>
      <c r="E1232">
        <v>24.393810315477324</v>
      </c>
      <c r="F1232">
        <v>157.41999999999999</v>
      </c>
    </row>
    <row r="1233" spans="1:6" x14ac:dyDescent="0.25">
      <c r="A1233">
        <v>578</v>
      </c>
      <c r="B1233" t="s">
        <v>95</v>
      </c>
      <c r="C1233">
        <v>202601</v>
      </c>
      <c r="D1233">
        <v>0</v>
      </c>
      <c r="E1233">
        <v>0</v>
      </c>
      <c r="F1233">
        <v>225.56</v>
      </c>
    </row>
    <row r="1234" spans="1:6" x14ac:dyDescent="0.25">
      <c r="A1234">
        <v>596</v>
      </c>
      <c r="B1234" t="s">
        <v>95</v>
      </c>
      <c r="C1234">
        <v>202601</v>
      </c>
      <c r="D1234">
        <v>2908.3049215554279</v>
      </c>
      <c r="E1234">
        <v>8.058478585634326</v>
      </c>
      <c r="F1234">
        <v>360.9</v>
      </c>
    </row>
    <row r="1235" spans="1:6" x14ac:dyDescent="0.25">
      <c r="A1235">
        <v>598</v>
      </c>
      <c r="B1235" t="s">
        <v>95</v>
      </c>
      <c r="C1235">
        <v>202601</v>
      </c>
      <c r="D1235">
        <v>7407.7141616914314</v>
      </c>
      <c r="E1235">
        <v>16.420353693373155</v>
      </c>
      <c r="F1235">
        <v>451.13</v>
      </c>
    </row>
    <row r="1236" spans="1:6" x14ac:dyDescent="0.25">
      <c r="A1236">
        <v>597</v>
      </c>
      <c r="B1236" t="s">
        <v>95</v>
      </c>
      <c r="C1236">
        <v>202601</v>
      </c>
      <c r="D1236">
        <v>1190.8084760500888</v>
      </c>
      <c r="E1236">
        <v>3.9713472604638609</v>
      </c>
      <c r="F1236">
        <v>299.85000000000002</v>
      </c>
    </row>
    <row r="1237" spans="1:6" x14ac:dyDescent="0.25">
      <c r="A1237">
        <v>788</v>
      </c>
      <c r="B1237" t="s">
        <v>95</v>
      </c>
      <c r="C1237">
        <v>202601</v>
      </c>
      <c r="D1237">
        <v>1629.5425239609451</v>
      </c>
      <c r="E1237">
        <v>3.6228157491350492</v>
      </c>
      <c r="F1237">
        <v>449.8</v>
      </c>
    </row>
    <row r="1238" spans="1:6" x14ac:dyDescent="0.25">
      <c r="A1238">
        <v>789</v>
      </c>
      <c r="B1238" t="s">
        <v>95</v>
      </c>
      <c r="C1238">
        <v>202601</v>
      </c>
      <c r="D1238">
        <v>1923.7275015652228</v>
      </c>
      <c r="E1238">
        <v>5.6269085689868454</v>
      </c>
      <c r="F1238">
        <v>341.88</v>
      </c>
    </row>
    <row r="1239" spans="1:6" x14ac:dyDescent="0.25">
      <c r="A1239">
        <v>634</v>
      </c>
      <c r="B1239" t="s">
        <v>95</v>
      </c>
      <c r="C1239">
        <v>202601</v>
      </c>
      <c r="D1239">
        <v>21844.05007703272</v>
      </c>
      <c r="E1239">
        <v>96.454497624553895</v>
      </c>
      <c r="F1239">
        <v>226.47</v>
      </c>
    </row>
    <row r="1240" spans="1:6" x14ac:dyDescent="0.25">
      <c r="A1240">
        <v>635</v>
      </c>
      <c r="B1240" t="s">
        <v>95</v>
      </c>
      <c r="C1240">
        <v>202601</v>
      </c>
      <c r="D1240">
        <v>5941.2969761905379</v>
      </c>
      <c r="E1240">
        <v>14.633375966578503</v>
      </c>
      <c r="F1240">
        <v>406.01</v>
      </c>
    </row>
    <row r="1241" spans="1:6" x14ac:dyDescent="0.25">
      <c r="A1241">
        <v>636</v>
      </c>
      <c r="B1241" t="s">
        <v>95</v>
      </c>
      <c r="C1241">
        <v>202601</v>
      </c>
      <c r="D1241">
        <v>28409.693547002484</v>
      </c>
      <c r="E1241">
        <v>125.52886862408309</v>
      </c>
      <c r="F1241">
        <v>226.32</v>
      </c>
    </row>
    <row r="1242" spans="1:6" x14ac:dyDescent="0.25">
      <c r="A1242">
        <v>666</v>
      </c>
      <c r="B1242" t="s">
        <v>95</v>
      </c>
      <c r="C1242">
        <v>202601</v>
      </c>
      <c r="D1242">
        <v>5366.4660945672495</v>
      </c>
      <c r="E1242">
        <v>47.490850394400439</v>
      </c>
      <c r="F1242">
        <v>113</v>
      </c>
    </row>
    <row r="1243" spans="1:6" x14ac:dyDescent="0.25">
      <c r="A1243">
        <v>667</v>
      </c>
      <c r="B1243" t="s">
        <v>95</v>
      </c>
      <c r="C1243">
        <v>202601</v>
      </c>
      <c r="D1243">
        <v>19182.958131335636</v>
      </c>
      <c r="E1243">
        <v>102.03701133689168</v>
      </c>
      <c r="F1243">
        <v>188</v>
      </c>
    </row>
    <row r="1244" spans="1:6" x14ac:dyDescent="0.25">
      <c r="A1244">
        <v>668</v>
      </c>
      <c r="B1244" t="s">
        <v>95</v>
      </c>
      <c r="C1244">
        <v>202601</v>
      </c>
      <c r="D1244">
        <v>34636.790902600849</v>
      </c>
      <c r="E1244">
        <v>191.78732504208665</v>
      </c>
      <c r="F1244">
        <v>180.6</v>
      </c>
    </row>
    <row r="1245" spans="1:6" x14ac:dyDescent="0.25">
      <c r="A1245">
        <v>665</v>
      </c>
      <c r="B1245" t="s">
        <v>95</v>
      </c>
      <c r="C1245">
        <v>202601</v>
      </c>
      <c r="D1245">
        <v>6045.7519405651265</v>
      </c>
      <c r="E1245">
        <v>26.883151498799975</v>
      </c>
      <c r="F1245">
        <v>224.89</v>
      </c>
    </row>
    <row r="1246" spans="1:6" x14ac:dyDescent="0.25">
      <c r="A1246">
        <v>770</v>
      </c>
      <c r="B1246" t="s">
        <v>95</v>
      </c>
      <c r="C1246">
        <v>202601</v>
      </c>
      <c r="D1246">
        <v>35121.746706712322</v>
      </c>
      <c r="E1246">
        <v>62.438660811933019</v>
      </c>
      <c r="F1246">
        <v>562.5</v>
      </c>
    </row>
    <row r="1247" spans="1:6" x14ac:dyDescent="0.25">
      <c r="A1247">
        <v>771</v>
      </c>
      <c r="B1247" t="s">
        <v>95</v>
      </c>
      <c r="C1247">
        <v>202601</v>
      </c>
      <c r="D1247">
        <v>5736.086663753802</v>
      </c>
      <c r="E1247">
        <v>8.5004248129131632</v>
      </c>
      <c r="F1247">
        <v>674.8</v>
      </c>
    </row>
    <row r="1248" spans="1:6" x14ac:dyDescent="0.25">
      <c r="A1248">
        <v>769</v>
      </c>
      <c r="B1248" t="s">
        <v>95</v>
      </c>
      <c r="C1248">
        <v>202601</v>
      </c>
      <c r="D1248">
        <v>13582.175772433528</v>
      </c>
      <c r="E1248">
        <v>40.243483770173412</v>
      </c>
      <c r="F1248">
        <v>337.5</v>
      </c>
    </row>
    <row r="1249" spans="1:6" x14ac:dyDescent="0.25">
      <c r="A1249">
        <v>813</v>
      </c>
      <c r="B1249" t="s">
        <v>95</v>
      </c>
      <c r="C1249">
        <v>202601</v>
      </c>
      <c r="D1249">
        <v>7347.133231965583</v>
      </c>
      <c r="E1249">
        <v>24.502689328605221</v>
      </c>
      <c r="F1249">
        <v>299.8500749625187</v>
      </c>
    </row>
    <row r="1250" spans="1:6" x14ac:dyDescent="0.25">
      <c r="A1250">
        <v>814</v>
      </c>
      <c r="B1250" t="s">
        <v>95</v>
      </c>
      <c r="C1250">
        <v>202601</v>
      </c>
      <c r="D1250">
        <v>7958.0651157754992</v>
      </c>
      <c r="E1250">
        <v>17.696386737325994</v>
      </c>
      <c r="F1250">
        <v>449.7</v>
      </c>
    </row>
    <row r="1251" spans="1:6" x14ac:dyDescent="0.25">
      <c r="A1251">
        <v>815</v>
      </c>
      <c r="B1251" t="s">
        <v>95</v>
      </c>
      <c r="C1251">
        <v>202601</v>
      </c>
      <c r="D1251">
        <v>1346.8311567623332</v>
      </c>
      <c r="E1251">
        <v>4.0837815547675351</v>
      </c>
      <c r="F1251">
        <v>329.8</v>
      </c>
    </row>
    <row r="1252" spans="1:6" x14ac:dyDescent="0.25">
      <c r="A1252">
        <v>542</v>
      </c>
      <c r="B1252" t="s">
        <v>70</v>
      </c>
      <c r="C1252">
        <v>202601</v>
      </c>
      <c r="D1252">
        <v>17925.913580218032</v>
      </c>
      <c r="E1252">
        <v>296.8849549555818</v>
      </c>
      <c r="F1252">
        <v>60.38</v>
      </c>
    </row>
    <row r="1253" spans="1:6" x14ac:dyDescent="0.25">
      <c r="A1253">
        <v>543</v>
      </c>
      <c r="B1253" t="s">
        <v>70</v>
      </c>
      <c r="C1253">
        <v>202601</v>
      </c>
      <c r="D1253">
        <v>15979.106263381473</v>
      </c>
      <c r="E1253">
        <v>70.829371734846958</v>
      </c>
      <c r="F1253">
        <v>225.6</v>
      </c>
    </row>
    <row r="1254" spans="1:6" x14ac:dyDescent="0.25">
      <c r="A1254">
        <v>545</v>
      </c>
      <c r="B1254" t="s">
        <v>70</v>
      </c>
      <c r="C1254">
        <v>202601</v>
      </c>
      <c r="D1254">
        <v>73892.325514757249</v>
      </c>
      <c r="E1254">
        <v>204.91493487176163</v>
      </c>
      <c r="F1254">
        <v>360.6</v>
      </c>
    </row>
    <row r="1255" spans="1:6" x14ac:dyDescent="0.25">
      <c r="A1255">
        <v>547</v>
      </c>
      <c r="B1255" t="s">
        <v>70</v>
      </c>
      <c r="C1255">
        <v>202601</v>
      </c>
      <c r="D1255">
        <v>84512.038714433147</v>
      </c>
      <c r="E1255">
        <v>194.97978662429205</v>
      </c>
      <c r="F1255">
        <v>433.44</v>
      </c>
    </row>
    <row r="1256" spans="1:6" x14ac:dyDescent="0.25">
      <c r="A1256">
        <v>551</v>
      </c>
      <c r="B1256" t="s">
        <v>70</v>
      </c>
      <c r="C1256">
        <v>202601</v>
      </c>
      <c r="D1256">
        <v>9217.6560805997178</v>
      </c>
      <c r="E1256">
        <v>34.157178094566504</v>
      </c>
      <c r="F1256">
        <v>269.86</v>
      </c>
    </row>
    <row r="1257" spans="1:6" x14ac:dyDescent="0.25">
      <c r="A1257">
        <v>552</v>
      </c>
      <c r="B1257" t="s">
        <v>70</v>
      </c>
      <c r="C1257">
        <v>202601</v>
      </c>
      <c r="D1257">
        <v>7414.4369212696383</v>
      </c>
      <c r="E1257">
        <v>47.099713640386476</v>
      </c>
      <c r="F1257">
        <v>157.41999999999999</v>
      </c>
    </row>
    <row r="1258" spans="1:6" x14ac:dyDescent="0.25">
      <c r="A1258">
        <v>578</v>
      </c>
      <c r="B1258" t="s">
        <v>70</v>
      </c>
      <c r="C1258">
        <v>202601</v>
      </c>
      <c r="D1258">
        <v>0</v>
      </c>
      <c r="E1258">
        <v>0</v>
      </c>
      <c r="F1258">
        <v>225.56</v>
      </c>
    </row>
    <row r="1259" spans="1:6" x14ac:dyDescent="0.25">
      <c r="A1259">
        <v>596</v>
      </c>
      <c r="B1259" t="s">
        <v>70</v>
      </c>
      <c r="C1259">
        <v>202601</v>
      </c>
      <c r="D1259">
        <v>2637.2980997354571</v>
      </c>
      <c r="E1259">
        <v>7.3075591569283933</v>
      </c>
      <c r="F1259">
        <v>360.9</v>
      </c>
    </row>
    <row r="1260" spans="1:6" x14ac:dyDescent="0.25">
      <c r="A1260">
        <v>598</v>
      </c>
      <c r="B1260" t="s">
        <v>70</v>
      </c>
      <c r="C1260">
        <v>202601</v>
      </c>
      <c r="D1260">
        <v>9542.6964605908815</v>
      </c>
      <c r="E1260">
        <v>21.152874915414362</v>
      </c>
      <c r="F1260">
        <v>451.13</v>
      </c>
    </row>
    <row r="1261" spans="1:6" x14ac:dyDescent="0.25">
      <c r="A1261">
        <v>597</v>
      </c>
      <c r="B1261" t="s">
        <v>70</v>
      </c>
      <c r="C1261">
        <v>202601</v>
      </c>
      <c r="D1261">
        <v>2237.5282496713676</v>
      </c>
      <c r="E1261">
        <v>7.4621585781936552</v>
      </c>
      <c r="F1261">
        <v>299.85000000000002</v>
      </c>
    </row>
    <row r="1262" spans="1:6" x14ac:dyDescent="0.25">
      <c r="A1262">
        <v>788</v>
      </c>
      <c r="B1262" t="s">
        <v>70</v>
      </c>
      <c r="C1262">
        <v>202601</v>
      </c>
      <c r="D1262">
        <v>1034.1909035459223</v>
      </c>
      <c r="E1262">
        <v>2.2992238851621214</v>
      </c>
      <c r="F1262">
        <v>449.8</v>
      </c>
    </row>
    <row r="1263" spans="1:6" x14ac:dyDescent="0.25">
      <c r="A1263">
        <v>789</v>
      </c>
      <c r="B1263" t="s">
        <v>70</v>
      </c>
      <c r="C1263">
        <v>202601</v>
      </c>
      <c r="D1263">
        <v>1004.3138796840741</v>
      </c>
      <c r="E1263">
        <v>2.9376210356969525</v>
      </c>
      <c r="F1263">
        <v>341.88</v>
      </c>
    </row>
    <row r="1264" spans="1:6" x14ac:dyDescent="0.25">
      <c r="A1264">
        <v>634</v>
      </c>
      <c r="B1264" t="s">
        <v>70</v>
      </c>
      <c r="C1264">
        <v>202601</v>
      </c>
      <c r="D1264">
        <v>12489.580386849158</v>
      </c>
      <c r="E1264">
        <v>55.148939757359294</v>
      </c>
      <c r="F1264">
        <v>226.47</v>
      </c>
    </row>
    <row r="1265" spans="1:6" x14ac:dyDescent="0.25">
      <c r="A1265">
        <v>635</v>
      </c>
      <c r="B1265" t="s">
        <v>70</v>
      </c>
      <c r="C1265">
        <v>202601</v>
      </c>
      <c r="D1265">
        <v>2687.6309188624073</v>
      </c>
      <c r="E1265">
        <v>6.6196175435639697</v>
      </c>
      <c r="F1265">
        <v>406.01</v>
      </c>
    </row>
    <row r="1266" spans="1:6" x14ac:dyDescent="0.25">
      <c r="A1266">
        <v>636</v>
      </c>
      <c r="B1266" t="s">
        <v>70</v>
      </c>
      <c r="C1266">
        <v>202601</v>
      </c>
      <c r="D1266">
        <v>15224.412497889034</v>
      </c>
      <c r="E1266">
        <v>67.269408350517125</v>
      </c>
      <c r="F1266">
        <v>226.32</v>
      </c>
    </row>
    <row r="1267" spans="1:6" x14ac:dyDescent="0.25">
      <c r="A1267">
        <v>666</v>
      </c>
      <c r="B1267" t="s">
        <v>70</v>
      </c>
      <c r="C1267">
        <v>202601</v>
      </c>
      <c r="D1267">
        <v>7792.6722034911563</v>
      </c>
      <c r="E1267">
        <v>68.96170091585094</v>
      </c>
      <c r="F1267">
        <v>113</v>
      </c>
    </row>
    <row r="1268" spans="1:6" x14ac:dyDescent="0.25">
      <c r="A1268">
        <v>667</v>
      </c>
      <c r="B1268" t="s">
        <v>70</v>
      </c>
      <c r="C1268">
        <v>202601</v>
      </c>
      <c r="D1268">
        <v>24607.140042472558</v>
      </c>
      <c r="E1268">
        <v>130.88904277910936</v>
      </c>
      <c r="F1268">
        <v>188</v>
      </c>
    </row>
    <row r="1269" spans="1:6" x14ac:dyDescent="0.25">
      <c r="A1269">
        <v>668</v>
      </c>
      <c r="B1269" t="s">
        <v>70</v>
      </c>
      <c r="C1269">
        <v>202601</v>
      </c>
      <c r="D1269">
        <v>18550.288930376384</v>
      </c>
      <c r="E1269">
        <v>102.71477813054477</v>
      </c>
      <c r="F1269">
        <v>180.6</v>
      </c>
    </row>
    <row r="1270" spans="1:6" x14ac:dyDescent="0.25">
      <c r="A1270">
        <v>665</v>
      </c>
      <c r="B1270" t="s">
        <v>70</v>
      </c>
      <c r="C1270">
        <v>202601</v>
      </c>
      <c r="D1270">
        <v>5405.2850935836241</v>
      </c>
      <c r="E1270">
        <v>24.035239866528634</v>
      </c>
      <c r="F1270">
        <v>224.89</v>
      </c>
    </row>
    <row r="1271" spans="1:6" x14ac:dyDescent="0.25">
      <c r="A1271">
        <v>770</v>
      </c>
      <c r="B1271" t="s">
        <v>70</v>
      </c>
      <c r="C1271">
        <v>202601</v>
      </c>
      <c r="D1271">
        <v>30400.913492072792</v>
      </c>
      <c r="E1271">
        <v>54.046068430351632</v>
      </c>
      <c r="F1271">
        <v>562.5</v>
      </c>
    </row>
    <row r="1272" spans="1:6" x14ac:dyDescent="0.25">
      <c r="A1272">
        <v>771</v>
      </c>
      <c r="B1272" t="s">
        <v>70</v>
      </c>
      <c r="C1272">
        <v>202601</v>
      </c>
      <c r="D1272">
        <v>2169.128979159419</v>
      </c>
      <c r="E1272">
        <v>3.2144768511550375</v>
      </c>
      <c r="F1272">
        <v>674.8</v>
      </c>
    </row>
    <row r="1273" spans="1:6" x14ac:dyDescent="0.25">
      <c r="A1273">
        <v>769</v>
      </c>
      <c r="B1273" t="s">
        <v>70</v>
      </c>
      <c r="C1273">
        <v>202601</v>
      </c>
      <c r="D1273">
        <v>9333.0067063999613</v>
      </c>
      <c r="E1273">
        <v>27.653353204148033</v>
      </c>
      <c r="F1273">
        <v>337.5</v>
      </c>
    </row>
    <row r="1274" spans="1:6" x14ac:dyDescent="0.25">
      <c r="A1274">
        <v>813</v>
      </c>
      <c r="B1274" t="s">
        <v>70</v>
      </c>
      <c r="C1274">
        <v>202601</v>
      </c>
      <c r="D1274">
        <v>3968.1609873162161</v>
      </c>
      <c r="E1274">
        <v>13.233816892699583</v>
      </c>
      <c r="F1274">
        <v>299.8500749625187</v>
      </c>
    </row>
    <row r="1275" spans="1:6" x14ac:dyDescent="0.25">
      <c r="A1275">
        <v>814</v>
      </c>
      <c r="B1275" t="s">
        <v>70</v>
      </c>
      <c r="C1275">
        <v>202601</v>
      </c>
      <c r="D1275">
        <v>4298.1231631339469</v>
      </c>
      <c r="E1275">
        <v>9.557756644727478</v>
      </c>
      <c r="F1275">
        <v>449.7</v>
      </c>
    </row>
    <row r="1276" spans="1:6" x14ac:dyDescent="0.25">
      <c r="A1276">
        <v>815</v>
      </c>
      <c r="B1276" t="s">
        <v>70</v>
      </c>
      <c r="C1276">
        <v>202601</v>
      </c>
      <c r="D1276">
        <v>727.41880186872004</v>
      </c>
      <c r="E1276">
        <v>2.2056361487832628</v>
      </c>
      <c r="F1276">
        <v>329.8</v>
      </c>
    </row>
    <row r="1277" spans="1:6" x14ac:dyDescent="0.25">
      <c r="A1277">
        <v>542</v>
      </c>
      <c r="B1277" t="s">
        <v>71</v>
      </c>
      <c r="C1277">
        <v>202601</v>
      </c>
      <c r="D1277">
        <v>12630.804014682055</v>
      </c>
      <c r="E1277">
        <v>209.18853949456863</v>
      </c>
      <c r="F1277">
        <v>60.38</v>
      </c>
    </row>
    <row r="1278" spans="1:6" x14ac:dyDescent="0.25">
      <c r="A1278">
        <v>543</v>
      </c>
      <c r="B1278" t="s">
        <v>71</v>
      </c>
      <c r="C1278">
        <v>202601</v>
      </c>
      <c r="D1278">
        <v>21654.954540493614</v>
      </c>
      <c r="E1278">
        <v>95.98827367240078</v>
      </c>
      <c r="F1278">
        <v>225.6</v>
      </c>
    </row>
    <row r="1279" spans="1:6" x14ac:dyDescent="0.25">
      <c r="A1279">
        <v>545</v>
      </c>
      <c r="B1279" t="s">
        <v>71</v>
      </c>
      <c r="C1279">
        <v>202601</v>
      </c>
      <c r="D1279">
        <v>95360.682948252055</v>
      </c>
      <c r="E1279">
        <v>264.45003590752094</v>
      </c>
      <c r="F1279">
        <v>360.6</v>
      </c>
    </row>
    <row r="1280" spans="1:6" x14ac:dyDescent="0.25">
      <c r="A1280">
        <v>547</v>
      </c>
      <c r="B1280" t="s">
        <v>71</v>
      </c>
      <c r="C1280">
        <v>202601</v>
      </c>
      <c r="D1280">
        <v>132925.23583697851</v>
      </c>
      <c r="E1280">
        <v>306.67505499487476</v>
      </c>
      <c r="F1280">
        <v>433.44</v>
      </c>
    </row>
    <row r="1281" spans="1:6" x14ac:dyDescent="0.25">
      <c r="A1281">
        <v>551</v>
      </c>
      <c r="B1281" t="s">
        <v>71</v>
      </c>
      <c r="C1281">
        <v>202601</v>
      </c>
      <c r="D1281">
        <v>10127.907238341759</v>
      </c>
      <c r="E1281">
        <v>37.530227667463713</v>
      </c>
      <c r="F1281">
        <v>269.86</v>
      </c>
    </row>
    <row r="1282" spans="1:6" x14ac:dyDescent="0.25">
      <c r="A1282">
        <v>552</v>
      </c>
      <c r="B1282" t="s">
        <v>71</v>
      </c>
      <c r="C1282">
        <v>202601</v>
      </c>
      <c r="D1282">
        <v>7829.9037648771809</v>
      </c>
      <c r="E1282">
        <v>49.738938920576686</v>
      </c>
      <c r="F1282">
        <v>157.41999999999999</v>
      </c>
    </row>
    <row r="1283" spans="1:6" x14ac:dyDescent="0.25">
      <c r="A1283">
        <v>578</v>
      </c>
      <c r="B1283" t="s">
        <v>71</v>
      </c>
      <c r="C1283">
        <v>202601</v>
      </c>
      <c r="D1283">
        <v>0</v>
      </c>
      <c r="E1283">
        <v>0</v>
      </c>
      <c r="F1283">
        <v>225.56</v>
      </c>
    </row>
    <row r="1284" spans="1:6" x14ac:dyDescent="0.25">
      <c r="A1284">
        <v>596</v>
      </c>
      <c r="B1284" t="s">
        <v>71</v>
      </c>
      <c r="C1284">
        <v>202601</v>
      </c>
      <c r="D1284">
        <v>7485.0631955210192</v>
      </c>
      <c r="E1284">
        <v>20.739992229207591</v>
      </c>
      <c r="F1284">
        <v>360.9</v>
      </c>
    </row>
    <row r="1285" spans="1:6" x14ac:dyDescent="0.25">
      <c r="A1285">
        <v>598</v>
      </c>
      <c r="B1285" t="s">
        <v>71</v>
      </c>
      <c r="C1285">
        <v>202601</v>
      </c>
      <c r="D1285">
        <v>31138.01538456147</v>
      </c>
      <c r="E1285">
        <v>69.022267161486639</v>
      </c>
      <c r="F1285">
        <v>451.13</v>
      </c>
    </row>
    <row r="1286" spans="1:6" x14ac:dyDescent="0.25">
      <c r="A1286">
        <v>597</v>
      </c>
      <c r="B1286" t="s">
        <v>71</v>
      </c>
      <c r="C1286">
        <v>202601</v>
      </c>
      <c r="D1286">
        <v>4217.1116146759696</v>
      </c>
      <c r="E1286">
        <v>14.064070750962046</v>
      </c>
      <c r="F1286">
        <v>299.85000000000002</v>
      </c>
    </row>
    <row r="1287" spans="1:6" x14ac:dyDescent="0.25">
      <c r="A1287">
        <v>788</v>
      </c>
      <c r="B1287" t="s">
        <v>71</v>
      </c>
      <c r="C1287">
        <v>202601</v>
      </c>
      <c r="D1287">
        <v>3571.0051793918233</v>
      </c>
      <c r="E1287">
        <v>7.9390955522272639</v>
      </c>
      <c r="F1287">
        <v>449.8</v>
      </c>
    </row>
    <row r="1288" spans="1:6" x14ac:dyDescent="0.25">
      <c r="A1288">
        <v>789</v>
      </c>
      <c r="B1288" t="s">
        <v>71</v>
      </c>
      <c r="C1288">
        <v>202601</v>
      </c>
      <c r="D1288">
        <v>3811.3929470137923</v>
      </c>
      <c r="E1288">
        <v>11.14833551835086</v>
      </c>
      <c r="F1288">
        <v>341.88</v>
      </c>
    </row>
    <row r="1289" spans="1:6" x14ac:dyDescent="0.25">
      <c r="A1289">
        <v>634</v>
      </c>
      <c r="B1289" t="s">
        <v>71</v>
      </c>
      <c r="C1289">
        <v>202601</v>
      </c>
      <c r="D1289">
        <v>17014.72715975286</v>
      </c>
      <c r="E1289">
        <v>75.130159225296325</v>
      </c>
      <c r="F1289">
        <v>226.47</v>
      </c>
    </row>
    <row r="1290" spans="1:6" x14ac:dyDescent="0.25">
      <c r="A1290">
        <v>635</v>
      </c>
      <c r="B1290" t="s">
        <v>71</v>
      </c>
      <c r="C1290">
        <v>202601</v>
      </c>
      <c r="D1290">
        <v>7027.0376038082168</v>
      </c>
      <c r="E1290">
        <v>17.307548099328137</v>
      </c>
      <c r="F1290">
        <v>406.01</v>
      </c>
    </row>
    <row r="1291" spans="1:6" x14ac:dyDescent="0.25">
      <c r="A1291">
        <v>636</v>
      </c>
      <c r="B1291" t="s">
        <v>71</v>
      </c>
      <c r="C1291">
        <v>202601</v>
      </c>
      <c r="D1291">
        <v>15399.764261262357</v>
      </c>
      <c r="E1291">
        <v>68.044204052944309</v>
      </c>
      <c r="F1291">
        <v>226.32</v>
      </c>
    </row>
    <row r="1292" spans="1:6" x14ac:dyDescent="0.25">
      <c r="A1292">
        <v>666</v>
      </c>
      <c r="B1292" t="s">
        <v>71</v>
      </c>
      <c r="C1292">
        <v>202601</v>
      </c>
      <c r="D1292">
        <v>8644.089785215745</v>
      </c>
      <c r="E1292">
        <v>76.496369780670307</v>
      </c>
      <c r="F1292">
        <v>113</v>
      </c>
    </row>
    <row r="1293" spans="1:6" x14ac:dyDescent="0.25">
      <c r="A1293">
        <v>667</v>
      </c>
      <c r="B1293" t="s">
        <v>71</v>
      </c>
      <c r="C1293">
        <v>202601</v>
      </c>
      <c r="D1293">
        <v>17342.22750601418</v>
      </c>
      <c r="E1293">
        <v>92.245890989437129</v>
      </c>
      <c r="F1293">
        <v>188</v>
      </c>
    </row>
    <row r="1294" spans="1:6" x14ac:dyDescent="0.25">
      <c r="A1294">
        <v>668</v>
      </c>
      <c r="B1294" t="s">
        <v>71</v>
      </c>
      <c r="C1294">
        <v>202601</v>
      </c>
      <c r="D1294">
        <v>16406.619199699009</v>
      </c>
      <c r="E1294">
        <v>90.845067550935823</v>
      </c>
      <c r="F1294">
        <v>180.6</v>
      </c>
    </row>
    <row r="1295" spans="1:6" x14ac:dyDescent="0.25">
      <c r="A1295">
        <v>665</v>
      </c>
      <c r="B1295" t="s">
        <v>71</v>
      </c>
      <c r="C1295">
        <v>202601</v>
      </c>
      <c r="D1295">
        <v>9285.1436790691514</v>
      </c>
      <c r="E1295">
        <v>41.287490235533603</v>
      </c>
      <c r="F1295">
        <v>224.89</v>
      </c>
    </row>
    <row r="1296" spans="1:6" x14ac:dyDescent="0.25">
      <c r="A1296">
        <v>770</v>
      </c>
      <c r="B1296" t="s">
        <v>71</v>
      </c>
      <c r="C1296">
        <v>202601</v>
      </c>
      <c r="D1296">
        <v>41606.678449058134</v>
      </c>
      <c r="E1296">
        <v>73.967428353881132</v>
      </c>
      <c r="F1296">
        <v>562.5</v>
      </c>
    </row>
    <row r="1297" spans="1:6" x14ac:dyDescent="0.25">
      <c r="A1297">
        <v>771</v>
      </c>
      <c r="B1297" t="s">
        <v>71</v>
      </c>
      <c r="C1297">
        <v>202601</v>
      </c>
      <c r="D1297">
        <v>5314.1547405951669</v>
      </c>
      <c r="E1297">
        <v>7.8751552172423933</v>
      </c>
      <c r="F1297">
        <v>674.8</v>
      </c>
    </row>
    <row r="1298" spans="1:6" x14ac:dyDescent="0.25">
      <c r="A1298">
        <v>769</v>
      </c>
      <c r="B1298" t="s">
        <v>71</v>
      </c>
      <c r="C1298">
        <v>202601</v>
      </c>
      <c r="D1298">
        <v>25478.712940040456</v>
      </c>
      <c r="E1298">
        <v>75.492482785305057</v>
      </c>
      <c r="F1298">
        <v>337.5</v>
      </c>
    </row>
    <row r="1299" spans="1:6" x14ac:dyDescent="0.25">
      <c r="A1299">
        <v>813</v>
      </c>
      <c r="B1299" t="s">
        <v>71</v>
      </c>
      <c r="C1299">
        <v>202601</v>
      </c>
      <c r="D1299">
        <v>5105.8659954797076</v>
      </c>
      <c r="E1299">
        <v>17.028063094924828</v>
      </c>
      <c r="F1299">
        <v>299.8500749625187</v>
      </c>
    </row>
    <row r="1300" spans="1:6" x14ac:dyDescent="0.25">
      <c r="A1300">
        <v>814</v>
      </c>
      <c r="B1300" t="s">
        <v>71</v>
      </c>
      <c r="C1300">
        <v>202601</v>
      </c>
      <c r="D1300">
        <v>5530.4310921800015</v>
      </c>
      <c r="E1300">
        <v>12.29804556855682</v>
      </c>
      <c r="F1300">
        <v>449.7</v>
      </c>
    </row>
    <row r="1301" spans="1:6" x14ac:dyDescent="0.25">
      <c r="A1301">
        <v>815</v>
      </c>
      <c r="B1301" t="s">
        <v>71</v>
      </c>
      <c r="C1301">
        <v>202601</v>
      </c>
      <c r="D1301">
        <v>935.97586811770088</v>
      </c>
      <c r="E1301">
        <v>2.8380105158208031</v>
      </c>
      <c r="F1301">
        <v>329.8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9A62-6AB5-48F9-A9BD-067CCF70EF37}">
  <dimension ref="A1:Z53"/>
  <sheetViews>
    <sheetView topLeftCell="A35" zoomScale="85" zoomScaleNormal="85" workbookViewId="0">
      <selection activeCell="A53" sqref="A53"/>
    </sheetView>
  </sheetViews>
  <sheetFormatPr defaultRowHeight="15" x14ac:dyDescent="0.25"/>
  <cols>
    <col min="1" max="1" width="16.5703125" bestFit="1" customWidth="1"/>
    <col min="3" max="3" width="10.140625" customWidth="1"/>
    <col min="21" max="21" width="10.140625" customWidth="1"/>
    <col min="44" max="44" width="10.140625" customWidth="1"/>
  </cols>
  <sheetData>
    <row r="1" spans="1:26" x14ac:dyDescent="0.25">
      <c r="A1" t="s">
        <v>3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240</v>
      </c>
      <c r="W1" s="1" t="s">
        <v>241</v>
      </c>
      <c r="X1" s="62" t="s">
        <v>242</v>
      </c>
      <c r="Y1" s="63" t="s">
        <v>243</v>
      </c>
      <c r="Z1" s="64" t="s">
        <v>244</v>
      </c>
    </row>
    <row r="2" spans="1:26" x14ac:dyDescent="0.25">
      <c r="A2" t="s">
        <v>179</v>
      </c>
      <c r="B2">
        <v>15645.194834318429</v>
      </c>
      <c r="C2">
        <v>20334.305591558001</v>
      </c>
      <c r="D2">
        <v>88284.224974767669</v>
      </c>
      <c r="E2">
        <v>93632.137581272123</v>
      </c>
      <c r="F2">
        <v>26511.165274246338</v>
      </c>
      <c r="G2">
        <v>14183.409124901898</v>
      </c>
      <c r="H2">
        <v>0</v>
      </c>
      <c r="I2">
        <v>7297.2102528305522</v>
      </c>
      <c r="J2">
        <v>8363.2769092159397</v>
      </c>
      <c r="K2">
        <v>7762.3071736842558</v>
      </c>
      <c r="L2">
        <v>1293.0984653740784</v>
      </c>
      <c r="M2">
        <v>1369.0839559268607</v>
      </c>
      <c r="N2">
        <v>22064.255766139369</v>
      </c>
      <c r="O2">
        <v>17386.961036055989</v>
      </c>
      <c r="P2">
        <v>11222.666468355832</v>
      </c>
      <c r="Q2">
        <v>5780.218840839686</v>
      </c>
      <c r="R2">
        <v>8791.4894671623078</v>
      </c>
      <c r="S2">
        <v>14809.567854061565</v>
      </c>
      <c r="T2">
        <v>10160.437998051848</v>
      </c>
      <c r="U2">
        <v>47396.814770369667</v>
      </c>
      <c r="V2">
        <v>3389.1098346894787</v>
      </c>
      <c r="W2">
        <v>18404.543089918192</v>
      </c>
      <c r="X2">
        <v>6488.1739901256933</v>
      </c>
      <c r="Y2">
        <v>7027.6813371584558</v>
      </c>
      <c r="Z2">
        <v>1189.3720454635695</v>
      </c>
    </row>
    <row r="3" spans="1:26" x14ac:dyDescent="0.25">
      <c r="A3" t="s">
        <v>72</v>
      </c>
      <c r="B3">
        <v>2018.9043755568807</v>
      </c>
      <c r="C3">
        <v>6029.822580918757</v>
      </c>
      <c r="D3">
        <v>15267.970988439563</v>
      </c>
      <c r="E3">
        <v>34548.040752991066</v>
      </c>
      <c r="F3">
        <v>3127.7689548590092</v>
      </c>
      <c r="G3">
        <v>2708.4332700635023</v>
      </c>
      <c r="H3">
        <v>0</v>
      </c>
      <c r="I3">
        <v>2487.5201140984236</v>
      </c>
      <c r="J3">
        <v>11157.722328600228</v>
      </c>
      <c r="K3">
        <v>1668.6736212445999</v>
      </c>
      <c r="L3">
        <v>914.13167508050185</v>
      </c>
      <c r="M3">
        <v>1243.2397123457795</v>
      </c>
      <c r="N3">
        <v>5336.82505257909</v>
      </c>
      <c r="O3">
        <v>3162.5673599488664</v>
      </c>
      <c r="P3">
        <v>4443.0697814155819</v>
      </c>
      <c r="Q3">
        <v>5633.4227469430516</v>
      </c>
      <c r="R3">
        <v>12603.047528579604</v>
      </c>
      <c r="S3">
        <v>8071.8961604257029</v>
      </c>
      <c r="T3">
        <v>4791.369960169689</v>
      </c>
      <c r="U3">
        <v>44395.399881348407</v>
      </c>
      <c r="V3">
        <v>3186.3962063825934</v>
      </c>
      <c r="W3">
        <v>14216.09929073819</v>
      </c>
      <c r="X3">
        <v>1672.461295612977</v>
      </c>
      <c r="Y3">
        <v>1811.5304941246609</v>
      </c>
      <c r="Z3">
        <v>306.58529120044784</v>
      </c>
    </row>
    <row r="4" spans="1:26" x14ac:dyDescent="0.25">
      <c r="A4" t="s">
        <v>73</v>
      </c>
      <c r="B4">
        <v>8442.3207631771111</v>
      </c>
      <c r="C4">
        <v>13731.741383379735</v>
      </c>
      <c r="D4">
        <v>55106.382630766318</v>
      </c>
      <c r="E4">
        <v>104748.65658490331</v>
      </c>
      <c r="F4">
        <v>9691.9460666726227</v>
      </c>
      <c r="G4">
        <v>10888.854944055121</v>
      </c>
      <c r="H4">
        <v>0</v>
      </c>
      <c r="I4">
        <v>5668.4269487073771</v>
      </c>
      <c r="J4">
        <v>8603.691086871122</v>
      </c>
      <c r="K4">
        <v>2225.1462845461556</v>
      </c>
      <c r="L4">
        <v>0</v>
      </c>
      <c r="M4">
        <v>5605.4082081437655</v>
      </c>
      <c r="N4">
        <v>12494.679046975038</v>
      </c>
      <c r="O4">
        <v>3645.5742143256562</v>
      </c>
      <c r="P4">
        <v>13062.222149027513</v>
      </c>
      <c r="Q4">
        <v>8737.6237881038032</v>
      </c>
      <c r="R4">
        <v>11164.519823649158</v>
      </c>
      <c r="S4">
        <v>9952.6569950245575</v>
      </c>
      <c r="T4">
        <v>7546.9573331409874</v>
      </c>
      <c r="U4">
        <v>42059.173631778758</v>
      </c>
      <c r="V4">
        <v>4010.5725233492144</v>
      </c>
      <c r="W4">
        <v>21700.598562418178</v>
      </c>
      <c r="X4">
        <v>3794.8097433178064</v>
      </c>
      <c r="Y4">
        <v>4110.3573442648958</v>
      </c>
      <c r="Z4">
        <v>695.64112081826954</v>
      </c>
    </row>
    <row r="5" spans="1:26" x14ac:dyDescent="0.25">
      <c r="A5" t="s">
        <v>49</v>
      </c>
      <c r="B5">
        <v>13573.057992433842</v>
      </c>
      <c r="C5">
        <v>18967.816190902522</v>
      </c>
      <c r="D5">
        <v>86870.815483082013</v>
      </c>
      <c r="E5">
        <v>124382.62181254591</v>
      </c>
      <c r="F5">
        <v>28326.238798923016</v>
      </c>
      <c r="G5">
        <v>8176.2093451104975</v>
      </c>
      <c r="H5">
        <v>0</v>
      </c>
      <c r="I5">
        <v>5906.8406917353468</v>
      </c>
      <c r="J5">
        <v>7607.5738829005595</v>
      </c>
      <c r="K5">
        <v>2058.5624240982429</v>
      </c>
      <c r="L5">
        <v>2425.9842488883182</v>
      </c>
      <c r="M5">
        <v>2160.3728632560255</v>
      </c>
      <c r="N5">
        <v>26407.708570778628</v>
      </c>
      <c r="O5">
        <v>11130.933698648043</v>
      </c>
      <c r="P5">
        <v>16035.364397061734</v>
      </c>
      <c r="Q5">
        <v>4803.3894934054279</v>
      </c>
      <c r="R5">
        <v>14150.450830315971</v>
      </c>
      <c r="S5">
        <v>15206.069894279404</v>
      </c>
      <c r="T5">
        <v>9303.1754555758471</v>
      </c>
      <c r="U5">
        <v>40381.992280697385</v>
      </c>
      <c r="V5">
        <v>9255.0391108390886</v>
      </c>
      <c r="W5">
        <v>28370.855653017828</v>
      </c>
      <c r="X5">
        <v>6868.5991766953775</v>
      </c>
      <c r="Y5">
        <v>7439.7397973522766</v>
      </c>
      <c r="Z5">
        <v>1259.1092447102069</v>
      </c>
    </row>
    <row r="6" spans="1:26" x14ac:dyDescent="0.25">
      <c r="A6" t="s">
        <v>50</v>
      </c>
      <c r="B6">
        <v>18563.921903382277</v>
      </c>
      <c r="C6">
        <v>21263.18863634325</v>
      </c>
      <c r="D6">
        <v>81004.029839363953</v>
      </c>
      <c r="E6">
        <v>107789.48747662549</v>
      </c>
      <c r="F6">
        <v>6953.0326273794026</v>
      </c>
      <c r="G6">
        <v>2721.1567783714077</v>
      </c>
      <c r="H6">
        <v>0</v>
      </c>
      <c r="I6">
        <v>1854.5520086968866</v>
      </c>
      <c r="J6">
        <v>9750.2875824659386</v>
      </c>
      <c r="K6">
        <v>858.76178726389924</v>
      </c>
      <c r="L6">
        <v>907.52367089215409</v>
      </c>
      <c r="M6">
        <v>902.79714955655606</v>
      </c>
      <c r="N6">
        <v>24310.518605518049</v>
      </c>
      <c r="O6">
        <v>6322.374753121082</v>
      </c>
      <c r="P6">
        <v>20680.99221532471</v>
      </c>
      <c r="Q6">
        <v>5674.3664538197872</v>
      </c>
      <c r="R6">
        <v>9256.9972499574451</v>
      </c>
      <c r="S6">
        <v>8146.9357186843781</v>
      </c>
      <c r="T6">
        <v>4162.7867340232597</v>
      </c>
      <c r="U6">
        <v>14084.088684380935</v>
      </c>
      <c r="V6">
        <v>2379.2348724812559</v>
      </c>
      <c r="W6">
        <v>5428.1451235468421</v>
      </c>
      <c r="X6">
        <v>6630.4019075652141</v>
      </c>
      <c r="Y6">
        <v>7181.7358496505403</v>
      </c>
      <c r="Z6">
        <v>1215.4443902164248</v>
      </c>
    </row>
    <row r="7" spans="1:26" x14ac:dyDescent="0.25">
      <c r="A7" t="s">
        <v>189</v>
      </c>
      <c r="B7">
        <v>21399.581849453389</v>
      </c>
      <c r="C7">
        <v>13558.506051476326</v>
      </c>
      <c r="D7">
        <v>76520.096689871978</v>
      </c>
      <c r="E7">
        <v>100200.15654990439</v>
      </c>
      <c r="F7">
        <v>8074.980361799805</v>
      </c>
      <c r="G7">
        <v>3121.1940601369538</v>
      </c>
      <c r="H7">
        <v>0</v>
      </c>
      <c r="I7">
        <v>1242.1467945084466</v>
      </c>
      <c r="J7">
        <v>8898.0449168315627</v>
      </c>
      <c r="K7">
        <v>0</v>
      </c>
      <c r="L7">
        <v>846.89100317335419</v>
      </c>
      <c r="M7">
        <v>882.25634439674491</v>
      </c>
      <c r="N7">
        <v>27016.81741988668</v>
      </c>
      <c r="O7">
        <v>3895.8178047906686</v>
      </c>
      <c r="P7">
        <v>19854.428956610889</v>
      </c>
      <c r="Q7">
        <v>6377.211531512351</v>
      </c>
      <c r="R7">
        <v>9192.5071839445282</v>
      </c>
      <c r="S7">
        <v>7938.120159102511</v>
      </c>
      <c r="T7">
        <v>3354.8605324529117</v>
      </c>
      <c r="U7">
        <v>16240.45822816936</v>
      </c>
      <c r="V7">
        <v>2087.9940953206769</v>
      </c>
      <c r="W7">
        <v>3644.7407897185099</v>
      </c>
      <c r="X7">
        <v>6530.6745478830417</v>
      </c>
      <c r="Y7">
        <v>7073.7159190030088</v>
      </c>
      <c r="Z7">
        <v>1197.1629856248733</v>
      </c>
    </row>
    <row r="8" spans="1:26" x14ac:dyDescent="0.25">
      <c r="A8" t="s">
        <v>74</v>
      </c>
      <c r="B8">
        <v>9119.6857903877954</v>
      </c>
      <c r="C8">
        <v>16198.335630580046</v>
      </c>
      <c r="D8">
        <v>69231.549890028211</v>
      </c>
      <c r="E8">
        <v>107354.12485189841</v>
      </c>
      <c r="F8">
        <v>13646.773478193574</v>
      </c>
      <c r="G8">
        <v>8074.2111191222721</v>
      </c>
      <c r="H8">
        <v>0</v>
      </c>
      <c r="I8">
        <v>4829.0654456342136</v>
      </c>
      <c r="J8">
        <v>18134.949949955506</v>
      </c>
      <c r="K8">
        <v>2781.7233791789422</v>
      </c>
      <c r="L8">
        <v>1616.5537947243151</v>
      </c>
      <c r="M8">
        <v>3878.1773470916</v>
      </c>
      <c r="N8">
        <v>16819.408200002548</v>
      </c>
      <c r="O8">
        <v>6817.4079217639228</v>
      </c>
      <c r="P8">
        <v>12306.55091082814</v>
      </c>
      <c r="Q8">
        <v>8500.214562155521</v>
      </c>
      <c r="R8">
        <v>13703.065342019305</v>
      </c>
      <c r="S8">
        <v>14952.628819624866</v>
      </c>
      <c r="T8">
        <v>9300.8397892802532</v>
      </c>
      <c r="U8">
        <v>37702.414919202718</v>
      </c>
      <c r="V8">
        <v>4722.8149159786153</v>
      </c>
      <c r="W8">
        <v>16906.06148486639</v>
      </c>
      <c r="X8">
        <v>4628.1911474370527</v>
      </c>
      <c r="Y8">
        <v>5013.0364261417189</v>
      </c>
      <c r="Z8">
        <v>848.41146063608437</v>
      </c>
    </row>
    <row r="9" spans="1:26" x14ac:dyDescent="0.25">
      <c r="A9" t="s">
        <v>75</v>
      </c>
      <c r="B9">
        <v>13120.908536605464</v>
      </c>
      <c r="C9">
        <v>18459.957844467688</v>
      </c>
      <c r="D9">
        <v>88346.031830937005</v>
      </c>
      <c r="E9">
        <v>107946.50057491874</v>
      </c>
      <c r="F9">
        <v>13766.213334950224</v>
      </c>
      <c r="G9">
        <v>14438.026743282066</v>
      </c>
      <c r="H9">
        <v>0</v>
      </c>
      <c r="I9">
        <v>3344.736316355712</v>
      </c>
      <c r="J9">
        <v>7223.3979369769377</v>
      </c>
      <c r="K9">
        <v>1317.7849507557594</v>
      </c>
      <c r="L9">
        <v>891.55090108399463</v>
      </c>
      <c r="M9">
        <v>1126.7968275631044</v>
      </c>
      <c r="N9">
        <v>15658.305115861605</v>
      </c>
      <c r="O9">
        <v>2780.1045095077448</v>
      </c>
      <c r="P9">
        <v>12652.163455491875</v>
      </c>
      <c r="Q9">
        <v>3122.7568410297022</v>
      </c>
      <c r="R9">
        <v>11880.872761365436</v>
      </c>
      <c r="S9">
        <v>10950.127607271888</v>
      </c>
      <c r="T9">
        <v>2383.8672449756973</v>
      </c>
      <c r="U9">
        <v>26441.177948578217</v>
      </c>
      <c r="V9">
        <v>7268.7697479441167</v>
      </c>
      <c r="W9">
        <v>12373.260553432252</v>
      </c>
      <c r="X9">
        <v>4010.7404093387267</v>
      </c>
      <c r="Y9">
        <v>4344.2431669978978</v>
      </c>
      <c r="Z9">
        <v>735.22419894078428</v>
      </c>
    </row>
    <row r="10" spans="1:26" x14ac:dyDescent="0.25">
      <c r="A10" t="s">
        <v>180</v>
      </c>
      <c r="B10">
        <v>15615.408230912599</v>
      </c>
      <c r="C10">
        <v>35403.32754077237</v>
      </c>
      <c r="D10">
        <v>101879.99397730161</v>
      </c>
      <c r="E10">
        <v>88190.598466157928</v>
      </c>
      <c r="F10">
        <v>5433.6433044371142</v>
      </c>
      <c r="G10">
        <v>4440.1728790445186</v>
      </c>
      <c r="H10">
        <v>0</v>
      </c>
      <c r="I10">
        <v>1598.9266674460644</v>
      </c>
      <c r="J10">
        <v>10503.516472569163</v>
      </c>
      <c r="K10">
        <v>898.9476378166496</v>
      </c>
      <c r="L10">
        <v>1040.9290660250163</v>
      </c>
      <c r="M10">
        <v>0</v>
      </c>
      <c r="N10">
        <v>22192.682426229756</v>
      </c>
      <c r="O10">
        <v>1367.2754449740753</v>
      </c>
      <c r="P10">
        <v>20952.762857513015</v>
      </c>
      <c r="Q10">
        <v>4060.0861840928173</v>
      </c>
      <c r="R10">
        <v>11431.693948813834</v>
      </c>
      <c r="S10">
        <v>15200.09788993479</v>
      </c>
      <c r="T10">
        <v>2723.1236500780628</v>
      </c>
      <c r="U10">
        <v>24382.333520739146</v>
      </c>
      <c r="V10">
        <v>3317.6632255359755</v>
      </c>
      <c r="W10">
        <v>7858.6086862705461</v>
      </c>
      <c r="X10">
        <v>5767.2954604403012</v>
      </c>
      <c r="Y10">
        <v>6246.8600156066113</v>
      </c>
      <c r="Z10">
        <v>1057.2250388192429</v>
      </c>
    </row>
    <row r="11" spans="1:26" x14ac:dyDescent="0.25">
      <c r="A11" t="s">
        <v>76</v>
      </c>
      <c r="B11">
        <v>10307.348343801234</v>
      </c>
      <c r="C11">
        <v>30061.843321097636</v>
      </c>
      <c r="D11">
        <v>93432.721345036582</v>
      </c>
      <c r="E11">
        <v>66072.344477074614</v>
      </c>
      <c r="F11">
        <v>6528.5956307712622</v>
      </c>
      <c r="G11">
        <v>5735.7293713499748</v>
      </c>
      <c r="H11">
        <v>0</v>
      </c>
      <c r="I11">
        <v>1510.4009419190818</v>
      </c>
      <c r="J11">
        <v>3599.6481654034233</v>
      </c>
      <c r="K11">
        <v>1163.9987606087332</v>
      </c>
      <c r="L11">
        <v>956.66873443143436</v>
      </c>
      <c r="M11">
        <v>1019.4845497171476</v>
      </c>
      <c r="N11">
        <v>14022.047866565772</v>
      </c>
      <c r="O11">
        <v>2811.4278227319587</v>
      </c>
      <c r="P11">
        <v>7465.3580095502775</v>
      </c>
      <c r="Q11">
        <v>1757.8718094473907</v>
      </c>
      <c r="R11">
        <v>12529.412822513688</v>
      </c>
      <c r="S11">
        <v>20369.184347201786</v>
      </c>
      <c r="T11">
        <v>3283.2443548638812</v>
      </c>
      <c r="U11">
        <v>24476.283256522958</v>
      </c>
      <c r="V11">
        <v>2930.5966535254929</v>
      </c>
      <c r="W11">
        <v>10696.503522398312</v>
      </c>
      <c r="X11">
        <v>3100.2496742181602</v>
      </c>
      <c r="Y11">
        <v>3358.0429268994471</v>
      </c>
      <c r="Z11">
        <v>568.31865207134854</v>
      </c>
    </row>
    <row r="12" spans="1:26" x14ac:dyDescent="0.25">
      <c r="A12" t="s">
        <v>77</v>
      </c>
      <c r="B12">
        <v>43896.004488439372</v>
      </c>
      <c r="C12">
        <v>68257.479202488699</v>
      </c>
      <c r="D12">
        <v>198991.77909537201</v>
      </c>
      <c r="E12">
        <v>217756.52657776311</v>
      </c>
      <c r="F12">
        <v>29921.43888756544</v>
      </c>
      <c r="G12">
        <v>8657.0114820514791</v>
      </c>
      <c r="H12">
        <v>0</v>
      </c>
      <c r="I12">
        <v>7546.9340915538151</v>
      </c>
      <c r="J12">
        <v>42500.016700044733</v>
      </c>
      <c r="K12">
        <v>4909.0183011791514</v>
      </c>
      <c r="L12">
        <v>3597.0355718137625</v>
      </c>
      <c r="M12">
        <v>3576.7245830481779</v>
      </c>
      <c r="N12">
        <v>38898.92269046235</v>
      </c>
      <c r="O12">
        <v>3919.0616398426796</v>
      </c>
      <c r="P12">
        <v>25531.267205258202</v>
      </c>
      <c r="Q12">
        <v>7729.0713592948096</v>
      </c>
      <c r="R12">
        <v>30990.092295981511</v>
      </c>
      <c r="S12">
        <v>49418.949424976752</v>
      </c>
      <c r="T12">
        <v>11046.969329544405</v>
      </c>
      <c r="U12">
        <v>71047.075381283517</v>
      </c>
      <c r="V12">
        <v>5000.8793853290144</v>
      </c>
      <c r="W12">
        <v>22909.074501757048</v>
      </c>
      <c r="X12">
        <v>8762.0963251458543</v>
      </c>
      <c r="Y12">
        <v>9490.6858096478518</v>
      </c>
      <c r="Z12">
        <v>1606.2134653983992</v>
      </c>
    </row>
    <row r="13" spans="1:26" x14ac:dyDescent="0.25">
      <c r="A13" t="s">
        <v>78</v>
      </c>
      <c r="B13">
        <v>25468.781371193367</v>
      </c>
      <c r="C13">
        <v>36482.860505296194</v>
      </c>
      <c r="D13">
        <v>120253.48877731906</v>
      </c>
      <c r="E13">
        <v>119116.02701053976</v>
      </c>
      <c r="F13">
        <v>14938.608242991497</v>
      </c>
      <c r="G13">
        <v>6472.5195135666891</v>
      </c>
      <c r="H13">
        <v>0</v>
      </c>
      <c r="I13">
        <v>5232.058011176885</v>
      </c>
      <c r="J13">
        <v>21358.34226485953</v>
      </c>
      <c r="K13">
        <v>3017.832596106889</v>
      </c>
      <c r="L13">
        <v>3009.6585962871054</v>
      </c>
      <c r="M13">
        <v>2335.0885293315928</v>
      </c>
      <c r="N13">
        <v>19430.36604872697</v>
      </c>
      <c r="O13">
        <v>3302.5392290234622</v>
      </c>
      <c r="P13">
        <v>16796.815121974261</v>
      </c>
      <c r="Q13">
        <v>6151.3624251946721</v>
      </c>
      <c r="R13">
        <v>22799.596767731746</v>
      </c>
      <c r="S13">
        <v>35712.251573822097</v>
      </c>
      <c r="T13">
        <v>9336.0733426567022</v>
      </c>
      <c r="U13">
        <v>44133.043646342325</v>
      </c>
      <c r="V13">
        <v>4083.5130336920765</v>
      </c>
      <c r="W13">
        <v>21114.901507281906</v>
      </c>
      <c r="X13">
        <v>5109.109625029836</v>
      </c>
      <c r="Y13">
        <v>5533.9444373659953</v>
      </c>
      <c r="Z13">
        <v>936.57047028444822</v>
      </c>
    </row>
    <row r="14" spans="1:26" x14ac:dyDescent="0.25">
      <c r="A14" t="s">
        <v>79</v>
      </c>
      <c r="B14">
        <v>15829.018160739523</v>
      </c>
      <c r="C14">
        <v>26729.70398727517</v>
      </c>
      <c r="D14">
        <v>91632.406033351523</v>
      </c>
      <c r="E14">
        <v>104013.79793257755</v>
      </c>
      <c r="F14">
        <v>10113.51373117585</v>
      </c>
      <c r="G14">
        <v>4544.0836520346129</v>
      </c>
      <c r="H14">
        <v>0</v>
      </c>
      <c r="I14">
        <v>3221.3362531128269</v>
      </c>
      <c r="J14">
        <v>13179.085966855406</v>
      </c>
      <c r="K14">
        <v>2344.8518316016193</v>
      </c>
      <c r="L14">
        <v>1656.6170330178229</v>
      </c>
      <c r="M14">
        <v>1818.1869516620034</v>
      </c>
      <c r="N14">
        <v>17762.516610964511</v>
      </c>
      <c r="O14">
        <v>2328.332856443435</v>
      </c>
      <c r="P14">
        <v>13711.680119859913</v>
      </c>
      <c r="Q14">
        <v>3057.9357592131182</v>
      </c>
      <c r="R14">
        <v>13101.594004525479</v>
      </c>
      <c r="S14">
        <v>18614.12908936054</v>
      </c>
      <c r="T14">
        <v>4631.4587836154433</v>
      </c>
      <c r="U14">
        <v>28816.871583815839</v>
      </c>
      <c r="V14">
        <v>2736.5818637026036</v>
      </c>
      <c r="W14">
        <v>12936.908090616096</v>
      </c>
      <c r="X14">
        <v>4354.2237448207024</v>
      </c>
      <c r="Y14">
        <v>4716.2879719099274</v>
      </c>
      <c r="Z14">
        <v>798.18944585410429</v>
      </c>
    </row>
    <row r="15" spans="1:26" x14ac:dyDescent="0.25">
      <c r="A15" t="s">
        <v>80</v>
      </c>
      <c r="B15">
        <v>51357.348142537849</v>
      </c>
      <c r="C15">
        <v>56068.394586931485</v>
      </c>
      <c r="D15">
        <v>187851.67751650346</v>
      </c>
      <c r="E15">
        <v>216654.97008854317</v>
      </c>
      <c r="F15">
        <v>20325.109944416632</v>
      </c>
      <c r="G15">
        <v>6618.5885414449604</v>
      </c>
      <c r="H15">
        <v>0</v>
      </c>
      <c r="I15">
        <v>5615.9161920834504</v>
      </c>
      <c r="J15">
        <v>36385.250965028215</v>
      </c>
      <c r="K15">
        <v>6507.3410328322079</v>
      </c>
      <c r="L15">
        <v>3463.6924160703502</v>
      </c>
      <c r="M15">
        <v>3600.8151456776004</v>
      </c>
      <c r="N15">
        <v>32135.950711189187</v>
      </c>
      <c r="O15">
        <v>2972.0479397065255</v>
      </c>
      <c r="P15">
        <v>22398.085183074989</v>
      </c>
      <c r="Q15">
        <v>7029.3610626238305</v>
      </c>
      <c r="R15">
        <v>32486.436985380351</v>
      </c>
      <c r="S15">
        <v>46821.869020246384</v>
      </c>
      <c r="T15">
        <v>15080.616428994996</v>
      </c>
      <c r="U15">
        <v>27615.248221046808</v>
      </c>
      <c r="V15">
        <v>2852.2616857661869</v>
      </c>
      <c r="W15">
        <v>10858.262075306811</v>
      </c>
      <c r="X15">
        <v>7384.3679343533886</v>
      </c>
      <c r="Y15">
        <v>7998.3959736507159</v>
      </c>
      <c r="Z15">
        <v>1353.6567927900674</v>
      </c>
    </row>
    <row r="16" spans="1:26" x14ac:dyDescent="0.25">
      <c r="A16" t="s">
        <v>81</v>
      </c>
      <c r="B16">
        <v>15639.567804511427</v>
      </c>
      <c r="C16">
        <v>16044.005504201521</v>
      </c>
      <c r="D16">
        <v>99370.509013905888</v>
      </c>
      <c r="E16">
        <v>121456.00043945241</v>
      </c>
      <c r="F16">
        <v>12482.969497786929</v>
      </c>
      <c r="G16">
        <v>8138.2657625262791</v>
      </c>
      <c r="H16">
        <v>0</v>
      </c>
      <c r="I16">
        <v>5274.3460912999581</v>
      </c>
      <c r="J16">
        <v>14673.182432384039</v>
      </c>
      <c r="K16">
        <v>1594.2814272957439</v>
      </c>
      <c r="L16">
        <v>1466.132385960532</v>
      </c>
      <c r="M16">
        <v>2834.9127597869792</v>
      </c>
      <c r="N16">
        <v>42171.753909385683</v>
      </c>
      <c r="O16">
        <v>7826.3869265572184</v>
      </c>
      <c r="P16">
        <v>19065.209347575721</v>
      </c>
      <c r="Q16">
        <v>3896.1885175818475</v>
      </c>
      <c r="R16">
        <v>20012.327080053874</v>
      </c>
      <c r="S16">
        <v>17363.128541985192</v>
      </c>
      <c r="T16">
        <v>3006.3370678688825</v>
      </c>
      <c r="U16">
        <v>23141.42088006837</v>
      </c>
      <c r="V16">
        <v>2025.1864565682026</v>
      </c>
      <c r="W16">
        <v>11263.569262855974</v>
      </c>
      <c r="X16">
        <v>8775.2122317836493</v>
      </c>
      <c r="Y16">
        <v>9504.8923356193554</v>
      </c>
      <c r="Z16">
        <v>1608.6177925218149</v>
      </c>
    </row>
    <row r="17" spans="1:26" x14ac:dyDescent="0.25">
      <c r="A17" t="s">
        <v>82</v>
      </c>
      <c r="B17">
        <v>22209.83814079866</v>
      </c>
      <c r="C17">
        <v>23122.588962381629</v>
      </c>
      <c r="D17">
        <v>102180.89270562425</v>
      </c>
      <c r="E17">
        <v>128959.69791822306</v>
      </c>
      <c r="F17">
        <v>18181.815313508523</v>
      </c>
      <c r="G17">
        <v>11306.347188515281</v>
      </c>
      <c r="H17">
        <v>0</v>
      </c>
      <c r="I17">
        <v>8814.7489664649038</v>
      </c>
      <c r="J17">
        <v>25548.982774391643</v>
      </c>
      <c r="K17">
        <v>3015.493748352068</v>
      </c>
      <c r="L17">
        <v>2315.389738271414</v>
      </c>
      <c r="M17">
        <v>4693.1492469698396</v>
      </c>
      <c r="N17">
        <v>42290.231640782004</v>
      </c>
      <c r="O17">
        <v>10198.479217790909</v>
      </c>
      <c r="P17">
        <v>20143.598404176828</v>
      </c>
      <c r="Q17">
        <v>6309.573889186976</v>
      </c>
      <c r="R17">
        <v>22985.345899779022</v>
      </c>
      <c r="S17">
        <v>17923.09172680154</v>
      </c>
      <c r="T17">
        <v>5761.3647652621057</v>
      </c>
      <c r="U17">
        <v>38644.129456643117</v>
      </c>
      <c r="V17">
        <v>3528.7474120892061</v>
      </c>
      <c r="W17">
        <v>16712.65607670166</v>
      </c>
      <c r="X17">
        <v>9246.2023206176818</v>
      </c>
      <c r="Y17">
        <v>10015.046388565986</v>
      </c>
      <c r="Z17">
        <v>1694.9567911679887</v>
      </c>
    </row>
    <row r="18" spans="1:26" x14ac:dyDescent="0.25">
      <c r="A18" t="s">
        <v>51</v>
      </c>
      <c r="B18">
        <v>12334.854857304357</v>
      </c>
      <c r="C18">
        <v>21293.05136781263</v>
      </c>
      <c r="D18">
        <v>107254.45629771102</v>
      </c>
      <c r="E18">
        <v>84508.989450533598</v>
      </c>
      <c r="F18">
        <v>9981.5954919753694</v>
      </c>
      <c r="G18">
        <v>5771.5258775351149</v>
      </c>
      <c r="H18">
        <v>0</v>
      </c>
      <c r="I18">
        <v>3483.4645999483155</v>
      </c>
      <c r="J18">
        <v>3739.8763893944097</v>
      </c>
      <c r="K18">
        <v>2649.0825445757141</v>
      </c>
      <c r="L18">
        <v>1690.6126248327716</v>
      </c>
      <c r="M18">
        <v>2616.5310613049332</v>
      </c>
      <c r="N18">
        <v>21337.872337834127</v>
      </c>
      <c r="O18">
        <v>2456.2178376370198</v>
      </c>
      <c r="P18">
        <v>15838.070272188699</v>
      </c>
      <c r="Q18">
        <v>3728.1185350935571</v>
      </c>
      <c r="R18">
        <v>9274.0333847545971</v>
      </c>
      <c r="S18">
        <v>10963.182436111829</v>
      </c>
      <c r="T18">
        <v>6921.9293743754761</v>
      </c>
      <c r="U18">
        <v>24811.5109826314</v>
      </c>
      <c r="V18">
        <v>3495.4259808555253</v>
      </c>
      <c r="W18">
        <v>12979.520789231234</v>
      </c>
      <c r="X18">
        <v>5099.0451594720689</v>
      </c>
      <c r="Y18">
        <v>5523.0430871746412</v>
      </c>
      <c r="Z18">
        <v>934.72551452260245</v>
      </c>
    </row>
    <row r="19" spans="1:26" x14ac:dyDescent="0.25">
      <c r="A19" t="s">
        <v>83</v>
      </c>
      <c r="B19">
        <v>5605.0321199350838</v>
      </c>
      <c r="C19">
        <v>13315.560277615092</v>
      </c>
      <c r="D19">
        <v>57332.981037848505</v>
      </c>
      <c r="E19">
        <v>86661.13660552552</v>
      </c>
      <c r="F19">
        <v>10194.580628419755</v>
      </c>
      <c r="G19">
        <v>7748.6648836322984</v>
      </c>
      <c r="H19">
        <v>0</v>
      </c>
      <c r="I19">
        <v>3577.4318952616632</v>
      </c>
      <c r="J19">
        <v>14239.313842975225</v>
      </c>
      <c r="K19">
        <v>1648.6656838684271</v>
      </c>
      <c r="L19">
        <v>1987.2978322865583</v>
      </c>
      <c r="M19">
        <v>3067.4451359261516</v>
      </c>
      <c r="N19">
        <v>16155.221753602929</v>
      </c>
      <c r="O19">
        <v>4101.9611370988678</v>
      </c>
      <c r="P19">
        <v>15372.793454637829</v>
      </c>
      <c r="Q19">
        <v>5009.4810133816245</v>
      </c>
      <c r="R19">
        <v>6440.3288996364226</v>
      </c>
      <c r="S19">
        <v>5146.9658918883033</v>
      </c>
      <c r="T19">
        <v>4425.7087493120926</v>
      </c>
      <c r="U19">
        <v>29717.597030782799</v>
      </c>
      <c r="V19">
        <v>4383.2536722134892</v>
      </c>
      <c r="W19">
        <v>14287.162099229276</v>
      </c>
      <c r="X19">
        <v>4618.0288586789475</v>
      </c>
      <c r="Y19">
        <v>5002.0291185145115</v>
      </c>
      <c r="Z19">
        <v>846.54857252839599</v>
      </c>
    </row>
    <row r="20" spans="1:26" x14ac:dyDescent="0.25">
      <c r="A20" t="s">
        <v>84</v>
      </c>
      <c r="B20">
        <v>6402.8922282554695</v>
      </c>
      <c r="C20">
        <v>11715.653823693166</v>
      </c>
      <c r="D20">
        <v>60228.133905067698</v>
      </c>
      <c r="E20">
        <v>94359.881895696715</v>
      </c>
      <c r="F20">
        <v>9185.1861646181369</v>
      </c>
      <c r="G20">
        <v>5708.4685662914781</v>
      </c>
      <c r="H20">
        <v>0</v>
      </c>
      <c r="I20">
        <v>3893.8168208511865</v>
      </c>
      <c r="J20">
        <v>9035.9532454527816</v>
      </c>
      <c r="K20">
        <v>2526.9677485954294</v>
      </c>
      <c r="L20">
        <v>993.20001264579253</v>
      </c>
      <c r="M20">
        <v>1207.7817126215273</v>
      </c>
      <c r="N20">
        <v>13246.791426402677</v>
      </c>
      <c r="O20">
        <v>2646.8951298842526</v>
      </c>
      <c r="P20">
        <v>17106.830807343704</v>
      </c>
      <c r="Q20">
        <v>4438.2703691297211</v>
      </c>
      <c r="R20">
        <v>8829.5424863900953</v>
      </c>
      <c r="S20">
        <v>6786.6881103114192</v>
      </c>
      <c r="T20">
        <v>3311.0391378768304</v>
      </c>
      <c r="U20">
        <v>21446.376680533245</v>
      </c>
      <c r="V20">
        <v>3493.6103743192461</v>
      </c>
      <c r="W20">
        <v>12616.614610953775</v>
      </c>
      <c r="X20">
        <v>4314.6612494754072</v>
      </c>
      <c r="Y20">
        <v>4673.4357594673074</v>
      </c>
      <c r="Z20">
        <v>790.93709317612627</v>
      </c>
    </row>
    <row r="21" spans="1:26" x14ac:dyDescent="0.25">
      <c r="A21" t="s">
        <v>85</v>
      </c>
      <c r="B21">
        <v>17813.630021882826</v>
      </c>
      <c r="C21">
        <v>22559.27848999566</v>
      </c>
      <c r="D21">
        <v>96819.282775274492</v>
      </c>
      <c r="E21">
        <v>119266.00832180095</v>
      </c>
      <c r="F21">
        <v>15617.343607053495</v>
      </c>
      <c r="G21">
        <v>7859.7930820361235</v>
      </c>
      <c r="H21">
        <v>0</v>
      </c>
      <c r="I21">
        <v>2809.6524902672363</v>
      </c>
      <c r="J21">
        <v>6917.0995837452601</v>
      </c>
      <c r="K21">
        <v>1178.2258128457006</v>
      </c>
      <c r="L21">
        <v>1015.0722058177842</v>
      </c>
      <c r="M21">
        <v>1391.5558710941473</v>
      </c>
      <c r="N21">
        <v>21782.019388520224</v>
      </c>
      <c r="O21">
        <v>2751.6302405573319</v>
      </c>
      <c r="P21">
        <v>18504.640732244108</v>
      </c>
      <c r="Q21">
        <v>5308.8410384137551</v>
      </c>
      <c r="R21">
        <v>18008.400843225485</v>
      </c>
      <c r="S21">
        <v>24785.981621954947</v>
      </c>
      <c r="T21">
        <v>5070.2084176591925</v>
      </c>
      <c r="U21">
        <v>27243.918976493649</v>
      </c>
      <c r="V21">
        <v>2892.1685933141953</v>
      </c>
      <c r="W21">
        <v>8561.1012611618571</v>
      </c>
      <c r="X21">
        <v>5559.2614269022024</v>
      </c>
      <c r="Y21">
        <v>6021.5274494309051</v>
      </c>
      <c r="Z21">
        <v>1019.089522667579</v>
      </c>
    </row>
    <row r="22" spans="1:26" x14ac:dyDescent="0.25">
      <c r="A22" t="s">
        <v>52</v>
      </c>
      <c r="B22">
        <v>13373.433314788879</v>
      </c>
      <c r="C22">
        <v>24227.597023664632</v>
      </c>
      <c r="D22">
        <v>86691.0952056323</v>
      </c>
      <c r="E22">
        <v>108136.04187912209</v>
      </c>
      <c r="F22">
        <v>8811.705036805115</v>
      </c>
      <c r="G22">
        <v>5590.1952008136504</v>
      </c>
      <c r="H22">
        <v>0</v>
      </c>
      <c r="I22">
        <v>4472.1608674468935</v>
      </c>
      <c r="J22">
        <v>7445.1237664227046</v>
      </c>
      <c r="K22">
        <v>3243.5805117425998</v>
      </c>
      <c r="L22">
        <v>1154.9190649859829</v>
      </c>
      <c r="M22">
        <v>1703.9617924600666</v>
      </c>
      <c r="N22">
        <v>16212.048632460386</v>
      </c>
      <c r="O22">
        <v>5021.8985108043398</v>
      </c>
      <c r="P22">
        <v>11414.96254447408</v>
      </c>
      <c r="Q22">
        <v>3633.2903114952001</v>
      </c>
      <c r="R22">
        <v>17637.35472326789</v>
      </c>
      <c r="S22">
        <v>8334.8332637261537</v>
      </c>
      <c r="T22">
        <v>3292.7327428374824</v>
      </c>
      <c r="U22">
        <v>16406.271682614548</v>
      </c>
      <c r="V22">
        <v>2608.4385532935457</v>
      </c>
      <c r="W22">
        <v>9071.1529915449046</v>
      </c>
      <c r="X22">
        <v>4198.3256070372208</v>
      </c>
      <c r="Y22">
        <v>4547.4265272159164</v>
      </c>
      <c r="Z22">
        <v>769.61116060748634</v>
      </c>
    </row>
    <row r="23" spans="1:26" x14ac:dyDescent="0.25">
      <c r="A23" t="s">
        <v>53</v>
      </c>
      <c r="B23">
        <v>22048.390917926125</v>
      </c>
      <c r="C23">
        <v>24577.9706738325</v>
      </c>
      <c r="D23">
        <v>110192.75774928294</v>
      </c>
      <c r="E23">
        <v>151480.62926461053</v>
      </c>
      <c r="F23">
        <v>10439.98855644897</v>
      </c>
      <c r="G23">
        <v>4998.4548641337906</v>
      </c>
      <c r="H23">
        <v>0</v>
      </c>
      <c r="I23">
        <v>4969.1884370438202</v>
      </c>
      <c r="J23">
        <v>9904.8447094796647</v>
      </c>
      <c r="K23">
        <v>1584.029785958661</v>
      </c>
      <c r="L23">
        <v>1602.4420084382064</v>
      </c>
      <c r="M23">
        <v>2002.0816704235981</v>
      </c>
      <c r="N23">
        <v>17375.239613676938</v>
      </c>
      <c r="O23">
        <v>6276.8258126791188</v>
      </c>
      <c r="P23">
        <v>14060.393451405911</v>
      </c>
      <c r="Q23">
        <v>6721.9287477606222</v>
      </c>
      <c r="R23">
        <v>18193.599927221043</v>
      </c>
      <c r="S23">
        <v>16765.647904781876</v>
      </c>
      <c r="T23">
        <v>6965.1784502127821</v>
      </c>
      <c r="U23">
        <v>27289.122162248852</v>
      </c>
      <c r="V23">
        <v>4363.2870087384035</v>
      </c>
      <c r="W23">
        <v>10580.732309701629</v>
      </c>
      <c r="X23">
        <v>4867.5971325905939</v>
      </c>
      <c r="Y23">
        <v>5272.3495975252399</v>
      </c>
      <c r="Z23">
        <v>892.2978894975231</v>
      </c>
    </row>
    <row r="24" spans="1:26" x14ac:dyDescent="0.25">
      <c r="A24" t="s">
        <v>86</v>
      </c>
      <c r="B24">
        <v>15245.42714549819</v>
      </c>
      <c r="C24">
        <v>13461.495508153912</v>
      </c>
      <c r="D24">
        <v>78794.877742748329</v>
      </c>
      <c r="E24">
        <v>105115.75670534784</v>
      </c>
      <c r="F24">
        <v>5426.867053644768</v>
      </c>
      <c r="G24">
        <v>2058.016687213671</v>
      </c>
      <c r="H24">
        <v>0</v>
      </c>
      <c r="I24">
        <v>1436.1499274185842</v>
      </c>
      <c r="J24">
        <v>3772.372094237528</v>
      </c>
      <c r="K24">
        <v>1765.799198016625</v>
      </c>
      <c r="L24">
        <v>992.07598358808889</v>
      </c>
      <c r="M24">
        <v>1005.2589686886174</v>
      </c>
      <c r="N24">
        <v>12125.96441479416</v>
      </c>
      <c r="O24">
        <v>6271.7704781298671</v>
      </c>
      <c r="P24">
        <v>13053.506134574114</v>
      </c>
      <c r="Q24">
        <v>4017.4858959675012</v>
      </c>
      <c r="R24">
        <v>15503.649269441021</v>
      </c>
      <c r="S24">
        <v>17824.731151693552</v>
      </c>
      <c r="T24">
        <v>4915.7738163521644</v>
      </c>
      <c r="U24">
        <v>22355.560903931044</v>
      </c>
      <c r="V24">
        <v>3983.0492862354108</v>
      </c>
      <c r="W24">
        <v>10775.782992959685</v>
      </c>
      <c r="X24">
        <v>4089.5457919559453</v>
      </c>
      <c r="Y24">
        <v>4429.6014076260799</v>
      </c>
      <c r="Z24">
        <v>749.67031571564667</v>
      </c>
    </row>
    <row r="25" spans="1:26" x14ac:dyDescent="0.25">
      <c r="A25" t="s">
        <v>54</v>
      </c>
      <c r="B25">
        <v>19331.259048811859</v>
      </c>
      <c r="C25">
        <v>25344.852640022666</v>
      </c>
      <c r="D25">
        <v>131858.89848889195</v>
      </c>
      <c r="E25">
        <v>133202.72166352544</v>
      </c>
      <c r="F25">
        <v>39606.773416363241</v>
      </c>
      <c r="G25">
        <v>13991.635896204652</v>
      </c>
      <c r="H25">
        <v>0</v>
      </c>
      <c r="I25">
        <v>8991.4033425899979</v>
      </c>
      <c r="J25">
        <v>37674.071492230665</v>
      </c>
      <c r="K25">
        <v>5092.5973117081903</v>
      </c>
      <c r="L25">
        <v>3888.9745121995475</v>
      </c>
      <c r="M25">
        <v>3809.6689164719146</v>
      </c>
      <c r="N25">
        <v>22914.738811466421</v>
      </c>
      <c r="O25">
        <v>8477.9879521282146</v>
      </c>
      <c r="P25">
        <v>16806.589958382439</v>
      </c>
      <c r="Q25">
        <v>5343.0835170100336</v>
      </c>
      <c r="R25">
        <v>17315.457827970069</v>
      </c>
      <c r="S25">
        <v>16579.101144221011</v>
      </c>
      <c r="T25">
        <v>4547.3461736064901</v>
      </c>
      <c r="U25">
        <v>37687.434570991376</v>
      </c>
      <c r="V25">
        <v>3743.3418661857704</v>
      </c>
      <c r="W25">
        <v>23121.681243608386</v>
      </c>
      <c r="X25">
        <v>6205.8674114132291</v>
      </c>
      <c r="Y25">
        <v>6721.9002841851525</v>
      </c>
      <c r="Z25">
        <v>1137.621344344569</v>
      </c>
    </row>
    <row r="26" spans="1:26" x14ac:dyDescent="0.25">
      <c r="A26" t="s">
        <v>55</v>
      </c>
      <c r="B26">
        <v>13036.75889267459</v>
      </c>
      <c r="C26">
        <v>28430.053546323874</v>
      </c>
      <c r="D26">
        <v>130061.86969788131</v>
      </c>
      <c r="E26">
        <v>117730.37689726983</v>
      </c>
      <c r="F26">
        <v>65353.092375381195</v>
      </c>
      <c r="G26">
        <v>20612.645399625078</v>
      </c>
      <c r="H26">
        <v>0</v>
      </c>
      <c r="I26">
        <v>4856.3261078247051</v>
      </c>
      <c r="J26">
        <v>16109.47681697748</v>
      </c>
      <c r="K26">
        <v>2311.8567232857513</v>
      </c>
      <c r="L26">
        <v>2505.1531283790237</v>
      </c>
      <c r="M26">
        <v>2899.0463122097294</v>
      </c>
      <c r="N26">
        <v>14316.541611382025</v>
      </c>
      <c r="O26">
        <v>2225.030707503241</v>
      </c>
      <c r="P26">
        <v>9030.0643713274167</v>
      </c>
      <c r="Q26">
        <v>6250.8185548097163</v>
      </c>
      <c r="R26">
        <v>17720.235839250687</v>
      </c>
      <c r="S26">
        <v>16304.482326662479</v>
      </c>
      <c r="T26">
        <v>5235.694545112111</v>
      </c>
      <c r="U26">
        <v>25024.148005687595</v>
      </c>
      <c r="V26">
        <v>3948.8174864329376</v>
      </c>
      <c r="W26">
        <v>8568.9518610777486</v>
      </c>
      <c r="X26">
        <v>3275.8311033475525</v>
      </c>
      <c r="Y26">
        <v>3548.2243761827358</v>
      </c>
      <c r="Z26">
        <v>600.5051569072026</v>
      </c>
    </row>
    <row r="27" spans="1:26" x14ac:dyDescent="0.25">
      <c r="A27" t="s">
        <v>56</v>
      </c>
      <c r="B27">
        <v>11955.777472427209</v>
      </c>
      <c r="C27">
        <v>30885.287278062304</v>
      </c>
      <c r="D27">
        <v>134995.19125232991</v>
      </c>
      <c r="E27">
        <v>126932.04146137719</v>
      </c>
      <c r="F27">
        <v>54329.33769551244</v>
      </c>
      <c r="G27">
        <v>19816.147546714452</v>
      </c>
      <c r="H27">
        <v>0</v>
      </c>
      <c r="I27">
        <v>3271.0390985954377</v>
      </c>
      <c r="J27">
        <v>15818.766673481419</v>
      </c>
      <c r="K27">
        <v>1930.4144022965436</v>
      </c>
      <c r="L27">
        <v>2664.7733584405028</v>
      </c>
      <c r="M27">
        <v>2786.4291361954765</v>
      </c>
      <c r="N27">
        <v>13663.779504242997</v>
      </c>
      <c r="O27">
        <v>1835.9053034048052</v>
      </c>
      <c r="P27">
        <v>8873.7537968360521</v>
      </c>
      <c r="Q27">
        <v>4599.7754454636797</v>
      </c>
      <c r="R27">
        <v>14425.627476437336</v>
      </c>
      <c r="S27">
        <v>13382.810917473234</v>
      </c>
      <c r="T27">
        <v>4265.5080001166189</v>
      </c>
      <c r="U27">
        <v>28303.179910616775</v>
      </c>
      <c r="V27">
        <v>3964.5875777259744</v>
      </c>
      <c r="W27">
        <v>11678.793374354804</v>
      </c>
      <c r="X27">
        <v>3124.3746849693766</v>
      </c>
      <c r="Y27">
        <v>3384.1739905967365</v>
      </c>
      <c r="Z27">
        <v>572.7411002713618</v>
      </c>
    </row>
    <row r="28" spans="1:26" x14ac:dyDescent="0.25">
      <c r="A28" t="s">
        <v>57</v>
      </c>
      <c r="B28">
        <v>15587.036556586239</v>
      </c>
      <c r="C28">
        <v>24571.149702376799</v>
      </c>
      <c r="D28">
        <v>69622.979452657091</v>
      </c>
      <c r="E28">
        <v>66678.101067093507</v>
      </c>
      <c r="F28">
        <v>10959.566666564671</v>
      </c>
      <c r="G28">
        <v>8796.9389870523883</v>
      </c>
      <c r="H28">
        <v>0</v>
      </c>
      <c r="I28">
        <v>1632.7629630804797</v>
      </c>
      <c r="J28">
        <v>5332.7960529167667</v>
      </c>
      <c r="K28">
        <v>1487.319465344289</v>
      </c>
      <c r="L28">
        <v>1489.2754696073157</v>
      </c>
      <c r="M28">
        <v>1278.0284584451633</v>
      </c>
      <c r="N28">
        <v>5279.0043065392083</v>
      </c>
      <c r="O28">
        <v>1943.4328037775017</v>
      </c>
      <c r="P28">
        <v>6310.0173044347066</v>
      </c>
      <c r="Q28">
        <v>3111.6591647539476</v>
      </c>
      <c r="R28">
        <v>6881.5212833005626</v>
      </c>
      <c r="S28">
        <v>8134.1711470236305</v>
      </c>
      <c r="T28">
        <v>5979.7996290200908</v>
      </c>
      <c r="U28">
        <v>44558.261586380089</v>
      </c>
      <c r="V28">
        <v>4455.8199448860423</v>
      </c>
      <c r="W28">
        <v>19399.475913698243</v>
      </c>
      <c r="X28">
        <v>1764.7770494305385</v>
      </c>
      <c r="Y28">
        <v>1911.5225259685576</v>
      </c>
      <c r="Z28">
        <v>323.50804590980141</v>
      </c>
    </row>
    <row r="29" spans="1:26" x14ac:dyDescent="0.25">
      <c r="A29" t="s">
        <v>58</v>
      </c>
      <c r="B29">
        <v>5837.7485106833128</v>
      </c>
      <c r="C29">
        <v>8260.5608758208728</v>
      </c>
      <c r="D29">
        <v>37059.49289377829</v>
      </c>
      <c r="E29">
        <v>49648.099670030068</v>
      </c>
      <c r="F29">
        <v>12755.435987861436</v>
      </c>
      <c r="G29">
        <v>5728.8469207420967</v>
      </c>
      <c r="H29">
        <v>0</v>
      </c>
      <c r="I29">
        <v>4587.2400028702559</v>
      </c>
      <c r="J29">
        <v>4487.5722396755109</v>
      </c>
      <c r="K29">
        <v>2870.6702787241043</v>
      </c>
      <c r="L29">
        <v>892.69801561078395</v>
      </c>
      <c r="M29">
        <v>1169.2478580399425</v>
      </c>
      <c r="N29">
        <v>15201.40759108264</v>
      </c>
      <c r="O29">
        <v>5190.8181454399928</v>
      </c>
      <c r="P29">
        <v>11670.796385042067</v>
      </c>
      <c r="Q29">
        <v>3778.7918478688284</v>
      </c>
      <c r="R29">
        <v>7451.5098567732684</v>
      </c>
      <c r="S29">
        <v>12115.522712809592</v>
      </c>
      <c r="T29">
        <v>4896.6325027278481</v>
      </c>
      <c r="U29">
        <v>33298.792237430163</v>
      </c>
      <c r="V29">
        <v>3396.6046365777488</v>
      </c>
      <c r="W29">
        <v>15841.628896140934</v>
      </c>
      <c r="X29">
        <v>4132.6092722636513</v>
      </c>
      <c r="Y29">
        <v>4476.2457203914491</v>
      </c>
      <c r="Z29">
        <v>757.56444736752644</v>
      </c>
    </row>
    <row r="30" spans="1:26" x14ac:dyDescent="0.25">
      <c r="A30" t="s">
        <v>181</v>
      </c>
      <c r="B30">
        <v>8120.9449394027779</v>
      </c>
      <c r="C30">
        <v>8398.2182564275117</v>
      </c>
      <c r="D30">
        <v>78207.535841224148</v>
      </c>
      <c r="E30">
        <v>80652.569739332946</v>
      </c>
      <c r="F30">
        <v>3806.4323099155818</v>
      </c>
      <c r="G30">
        <v>3412.2307340306957</v>
      </c>
      <c r="H30">
        <v>0</v>
      </c>
      <c r="I30">
        <v>1861.0811256901236</v>
      </c>
      <c r="J30">
        <v>8534.967752748682</v>
      </c>
      <c r="K30">
        <v>757.21575988248446</v>
      </c>
      <c r="L30">
        <v>0</v>
      </c>
      <c r="M30">
        <v>2882.3721766176241</v>
      </c>
      <c r="N30">
        <v>23991.976826808161</v>
      </c>
      <c r="O30">
        <v>14082.201715413163</v>
      </c>
      <c r="P30">
        <v>15810.573486596679</v>
      </c>
      <c r="Q30">
        <v>2910.5580788297752</v>
      </c>
      <c r="R30">
        <v>19217.576081498897</v>
      </c>
      <c r="S30">
        <v>23306.957524154488</v>
      </c>
      <c r="T30">
        <v>1627.0711341222034</v>
      </c>
      <c r="U30">
        <v>13421.910652169994</v>
      </c>
      <c r="V30">
        <v>1347.5486403925183</v>
      </c>
      <c r="W30">
        <v>4935.5855844136877</v>
      </c>
      <c r="X30">
        <v>6926.7220046373668</v>
      </c>
      <c r="Y30">
        <v>7502.6956789011429</v>
      </c>
      <c r="Z30">
        <v>1269.7639631044262</v>
      </c>
    </row>
    <row r="31" spans="1:26" x14ac:dyDescent="0.25">
      <c r="A31" t="s">
        <v>87</v>
      </c>
      <c r="B31">
        <v>8520.747325522756</v>
      </c>
      <c r="C31">
        <v>14082.839471380064</v>
      </c>
      <c r="D31">
        <v>51326.629006785428</v>
      </c>
      <c r="E31">
        <v>55347.228943193819</v>
      </c>
      <c r="F31">
        <v>5050.7940717030688</v>
      </c>
      <c r="G31">
        <v>2612.4807368167735</v>
      </c>
      <c r="H31">
        <v>0</v>
      </c>
      <c r="I31">
        <v>2911.3004038267609</v>
      </c>
      <c r="J31">
        <v>6992.8824536338179</v>
      </c>
      <c r="K31">
        <v>1537.297679516025</v>
      </c>
      <c r="L31">
        <v>652.92763989264472</v>
      </c>
      <c r="M31">
        <v>740.20355544306119</v>
      </c>
      <c r="N31">
        <v>14109.171521633914</v>
      </c>
      <c r="O31">
        <v>2532.7009420937034</v>
      </c>
      <c r="P31">
        <v>15069.191503266875</v>
      </c>
      <c r="Q31">
        <v>3012.1515278955367</v>
      </c>
      <c r="R31">
        <v>6726.9117357101859</v>
      </c>
      <c r="S31">
        <v>6618.4757334500146</v>
      </c>
      <c r="T31">
        <v>1522.0399159495032</v>
      </c>
      <c r="U31">
        <v>17724.868159227022</v>
      </c>
      <c r="V31">
        <v>3291.7783417483915</v>
      </c>
      <c r="W31">
        <v>6138.6460433838683</v>
      </c>
      <c r="X31">
        <v>4123.6417958736311</v>
      </c>
      <c r="Y31">
        <v>4466.532576668199</v>
      </c>
      <c r="Z31">
        <v>755.92058489514579</v>
      </c>
    </row>
    <row r="32" spans="1:26" x14ac:dyDescent="0.25">
      <c r="A32" t="s">
        <v>59</v>
      </c>
      <c r="B32">
        <v>9821.7710437448568</v>
      </c>
      <c r="C32">
        <v>20882.613573502265</v>
      </c>
      <c r="D32">
        <v>66246.496321597748</v>
      </c>
      <c r="E32">
        <v>102633.05295699087</v>
      </c>
      <c r="F32">
        <v>18081.422897458782</v>
      </c>
      <c r="G32">
        <v>10864.897610515112</v>
      </c>
      <c r="H32">
        <v>0</v>
      </c>
      <c r="I32">
        <v>5594.7465883443274</v>
      </c>
      <c r="J32">
        <v>21637.625987561965</v>
      </c>
      <c r="K32">
        <v>2159.0398958494397</v>
      </c>
      <c r="L32">
        <v>3446.6356833866498</v>
      </c>
      <c r="M32">
        <v>4848.2196934340554</v>
      </c>
      <c r="N32">
        <v>23689.013579095346</v>
      </c>
      <c r="O32">
        <v>9158.4326830612972</v>
      </c>
      <c r="P32">
        <v>24902.812575006952</v>
      </c>
      <c r="Q32">
        <v>10012.27761063998</v>
      </c>
      <c r="R32">
        <v>18308.01662860838</v>
      </c>
      <c r="S32">
        <v>13365.96625448116</v>
      </c>
      <c r="T32">
        <v>9458.4627438202369</v>
      </c>
      <c r="U32">
        <v>41618.1850770249</v>
      </c>
      <c r="V32">
        <v>5870.7801234829785</v>
      </c>
      <c r="W32">
        <v>17112.189311606686</v>
      </c>
      <c r="X32">
        <v>7505.2332617671591</v>
      </c>
      <c r="Y32">
        <v>8129.3115451301501</v>
      </c>
      <c r="Z32">
        <v>1375.8130792753741</v>
      </c>
    </row>
    <row r="33" spans="1:26" x14ac:dyDescent="0.25">
      <c r="A33" t="s">
        <v>172</v>
      </c>
      <c r="B33">
        <v>6971.1835969964695</v>
      </c>
      <c r="C33">
        <v>19079.92303940947</v>
      </c>
      <c r="D33">
        <v>70716.626968373443</v>
      </c>
      <c r="E33">
        <v>95972.762482972845</v>
      </c>
      <c r="F33">
        <v>11216.400330288167</v>
      </c>
      <c r="G33">
        <v>6645.4080318010665</v>
      </c>
      <c r="H33">
        <v>0</v>
      </c>
      <c r="I33">
        <v>4370.2272701517131</v>
      </c>
      <c r="J33">
        <v>20608.758237364502</v>
      </c>
      <c r="K33">
        <v>2250.627878199884</v>
      </c>
      <c r="L33">
        <v>2254.2390927528672</v>
      </c>
      <c r="M33">
        <v>2959.2858954697749</v>
      </c>
      <c r="N33">
        <v>11159.669548357671</v>
      </c>
      <c r="O33">
        <v>3693.8013010124414</v>
      </c>
      <c r="P33">
        <v>12653.607221177284</v>
      </c>
      <c r="Q33">
        <v>4942.4909148708111</v>
      </c>
      <c r="R33">
        <v>9922.3682924231198</v>
      </c>
      <c r="S33">
        <v>8856.2132150339039</v>
      </c>
      <c r="T33">
        <v>5860.3751609002256</v>
      </c>
      <c r="U33">
        <v>25703.527973187065</v>
      </c>
      <c r="V33">
        <v>3074.2375156170683</v>
      </c>
      <c r="W33">
        <v>12165.814426646653</v>
      </c>
      <c r="X33">
        <v>3582.3153864884648</v>
      </c>
      <c r="Y33">
        <v>3880.1935681371656</v>
      </c>
      <c r="Z33">
        <v>656.68796570618179</v>
      </c>
    </row>
    <row r="34" spans="1:26" x14ac:dyDescent="0.25">
      <c r="A34" t="s">
        <v>88</v>
      </c>
      <c r="B34">
        <v>10143.518276852548</v>
      </c>
      <c r="C34">
        <v>17273.818952523161</v>
      </c>
      <c r="D34">
        <v>64196.520766732232</v>
      </c>
      <c r="E34">
        <v>118560.11942483537</v>
      </c>
      <c r="F34">
        <v>10098.800747673909</v>
      </c>
      <c r="G34">
        <v>7651.4638351345611</v>
      </c>
      <c r="H34">
        <v>0</v>
      </c>
      <c r="I34">
        <v>5018.7925791670268</v>
      </c>
      <c r="J34">
        <v>17901.491384162506</v>
      </c>
      <c r="K34">
        <v>2504.9226600340448</v>
      </c>
      <c r="L34">
        <v>1594.5486221992896</v>
      </c>
      <c r="M34">
        <v>1814.848662637178</v>
      </c>
      <c r="N34">
        <v>13914.086830816217</v>
      </c>
      <c r="O34">
        <v>3405.5647742276578</v>
      </c>
      <c r="P34">
        <v>16517.629592062538</v>
      </c>
      <c r="Q34">
        <v>9461.1759811850225</v>
      </c>
      <c r="R34">
        <v>16544.926658010994</v>
      </c>
      <c r="S34">
        <v>11519.990577708995</v>
      </c>
      <c r="T34">
        <v>5467.4320418137095</v>
      </c>
      <c r="U34">
        <v>19088.139128929692</v>
      </c>
      <c r="V34">
        <v>3612.4586583521304</v>
      </c>
      <c r="W34">
        <v>11543.263312401326</v>
      </c>
      <c r="X34">
        <v>4412.9943090814177</v>
      </c>
      <c r="Y34">
        <v>4779.9454506177854</v>
      </c>
      <c r="Z34">
        <v>808.96290327589918</v>
      </c>
    </row>
    <row r="35" spans="1:26" x14ac:dyDescent="0.25">
      <c r="A35" t="s">
        <v>60</v>
      </c>
      <c r="B35">
        <v>6170.3445242450962</v>
      </c>
      <c r="C35">
        <v>13356.880872481468</v>
      </c>
      <c r="D35">
        <v>49853.435591881826</v>
      </c>
      <c r="E35">
        <v>85152.043818904116</v>
      </c>
      <c r="F35">
        <v>6392.3813203534155</v>
      </c>
      <c r="G35">
        <v>4911.0291177655827</v>
      </c>
      <c r="H35">
        <v>0</v>
      </c>
      <c r="I35">
        <v>2114.8442906621103</v>
      </c>
      <c r="J35">
        <v>9245.9905937095373</v>
      </c>
      <c r="K35">
        <v>1515.2316298859594</v>
      </c>
      <c r="L35">
        <v>2192.2038355613267</v>
      </c>
      <c r="M35">
        <v>0</v>
      </c>
      <c r="N35">
        <v>16620.442867186452</v>
      </c>
      <c r="O35">
        <v>6519.2479971097637</v>
      </c>
      <c r="P35">
        <v>15717.700556612661</v>
      </c>
      <c r="Q35">
        <v>4746.8163218297168</v>
      </c>
      <c r="R35">
        <v>8091.0594132378083</v>
      </c>
      <c r="S35">
        <v>6047.3091902194265</v>
      </c>
      <c r="T35">
        <v>4245.161542916464</v>
      </c>
      <c r="U35">
        <v>33431.966498279209</v>
      </c>
      <c r="V35">
        <v>3150.7664605515156</v>
      </c>
      <c r="W35">
        <v>13940.961917326267</v>
      </c>
      <c r="X35">
        <v>5035.8743018239693</v>
      </c>
      <c r="Y35">
        <v>5454.6194200501959</v>
      </c>
      <c r="Z35">
        <v>923.14542245217501</v>
      </c>
    </row>
    <row r="36" spans="1:26" x14ac:dyDescent="0.25">
      <c r="A36" t="s">
        <v>89</v>
      </c>
      <c r="B36">
        <v>12486.890282011254</v>
      </c>
      <c r="C36">
        <v>25060.760656886341</v>
      </c>
      <c r="D36">
        <v>98349.911745351492</v>
      </c>
      <c r="E36">
        <v>129086.83389679452</v>
      </c>
      <c r="F36">
        <v>12928.799068203631</v>
      </c>
      <c r="G36">
        <v>5425.7148115209839</v>
      </c>
      <c r="H36">
        <v>0</v>
      </c>
      <c r="I36">
        <v>1635.1676563883789</v>
      </c>
      <c r="J36">
        <v>6061.6633811868205</v>
      </c>
      <c r="K36">
        <v>632.6163155081814</v>
      </c>
      <c r="L36">
        <v>983.29930847125343</v>
      </c>
      <c r="M36">
        <v>1306.19220164783</v>
      </c>
      <c r="N36">
        <v>10063.239053583975</v>
      </c>
      <c r="O36">
        <v>3657.7912408450493</v>
      </c>
      <c r="P36">
        <v>14272.789701966336</v>
      </c>
      <c r="Q36">
        <v>2906.24578386648</v>
      </c>
      <c r="R36">
        <v>11985.908705286469</v>
      </c>
      <c r="S36">
        <v>21386.707460201676</v>
      </c>
      <c r="T36">
        <v>4125.3937571674533</v>
      </c>
      <c r="U36">
        <v>18317.325738585023</v>
      </c>
      <c r="V36">
        <v>3557.1275036205752</v>
      </c>
      <c r="W36">
        <v>8359.3685649876625</v>
      </c>
      <c r="X36">
        <v>3667.6481160438502</v>
      </c>
      <c r="Y36">
        <v>3972.6219203758451</v>
      </c>
      <c r="Z36">
        <v>672.33063546977621</v>
      </c>
    </row>
    <row r="37" spans="1:26" x14ac:dyDescent="0.25">
      <c r="A37" t="s">
        <v>61</v>
      </c>
      <c r="B37">
        <v>37034.008149418507</v>
      </c>
      <c r="C37">
        <v>25447.968920290568</v>
      </c>
      <c r="D37">
        <v>119070.31825704451</v>
      </c>
      <c r="E37">
        <v>126990.01854433514</v>
      </c>
      <c r="F37">
        <v>12307.742587616834</v>
      </c>
      <c r="G37">
        <v>4740.8221366387397</v>
      </c>
      <c r="H37">
        <v>0</v>
      </c>
      <c r="I37">
        <v>4512.0199494501594</v>
      </c>
      <c r="J37">
        <v>15554.028043159724</v>
      </c>
      <c r="K37">
        <v>1316.9279144793143</v>
      </c>
      <c r="L37">
        <v>1341.6829578359325</v>
      </c>
      <c r="M37">
        <v>1766.1339781815641</v>
      </c>
      <c r="N37">
        <v>15661.369740589136</v>
      </c>
      <c r="O37">
        <v>6896.0146932617326</v>
      </c>
      <c r="P37">
        <v>11781.018482168978</v>
      </c>
      <c r="Q37">
        <v>4750.6643033550235</v>
      </c>
      <c r="R37">
        <v>14475.592549114643</v>
      </c>
      <c r="S37">
        <v>18346.875131801477</v>
      </c>
      <c r="T37">
        <v>4658.3624186148591</v>
      </c>
      <c r="U37">
        <v>37902.373440855699</v>
      </c>
      <c r="V37">
        <v>3657.9149765530474</v>
      </c>
      <c r="W37">
        <v>15721.834182087314</v>
      </c>
      <c r="X37">
        <v>4425.0357891824078</v>
      </c>
      <c r="Y37">
        <v>4792.9882088894165</v>
      </c>
      <c r="Z37">
        <v>811.17027315221867</v>
      </c>
    </row>
    <row r="38" spans="1:26" x14ac:dyDescent="0.25">
      <c r="A38" t="s">
        <v>62</v>
      </c>
      <c r="B38">
        <v>22485.108398081709</v>
      </c>
      <c r="C38">
        <v>18689.730988666059</v>
      </c>
      <c r="D38">
        <v>80090.069538091906</v>
      </c>
      <c r="E38">
        <v>74142.084712078096</v>
      </c>
      <c r="F38">
        <v>8782.1244518389522</v>
      </c>
      <c r="G38">
        <v>4796.6052376359676</v>
      </c>
      <c r="H38">
        <v>0</v>
      </c>
      <c r="I38">
        <v>2101.2968893391276</v>
      </c>
      <c r="J38">
        <v>8298.1030604110201</v>
      </c>
      <c r="K38">
        <v>1081.5403163120895</v>
      </c>
      <c r="L38">
        <v>875.55770904279257</v>
      </c>
      <c r="M38">
        <v>1626.4206372411475</v>
      </c>
      <c r="N38">
        <v>10816.728186787243</v>
      </c>
      <c r="O38">
        <v>3902.0486487211992</v>
      </c>
      <c r="P38">
        <v>7840.3028382951788</v>
      </c>
      <c r="Q38">
        <v>2589.7709264902819</v>
      </c>
      <c r="R38">
        <v>7591.3303336734589</v>
      </c>
      <c r="S38">
        <v>10545.247081083724</v>
      </c>
      <c r="T38">
        <v>1622.7829007421765</v>
      </c>
      <c r="U38">
        <v>23377.466910554005</v>
      </c>
      <c r="V38">
        <v>2782.3362515722215</v>
      </c>
      <c r="W38">
        <v>8628.6866946933878</v>
      </c>
      <c r="X38">
        <v>2903.6202065249527</v>
      </c>
      <c r="Y38">
        <v>3145.0632437796689</v>
      </c>
      <c r="Z38">
        <v>532.27375060221391</v>
      </c>
    </row>
    <row r="39" spans="1:26" x14ac:dyDescent="0.25">
      <c r="A39" t="s">
        <v>63</v>
      </c>
      <c r="B39">
        <v>6780.9433540945738</v>
      </c>
      <c r="C39">
        <v>11950.275583174674</v>
      </c>
      <c r="D39">
        <v>42206.112430274348</v>
      </c>
      <c r="E39">
        <v>60460.097963912238</v>
      </c>
      <c r="F39">
        <v>9858.9031350033565</v>
      </c>
      <c r="G39">
        <v>4236.4067103318057</v>
      </c>
      <c r="H39">
        <v>0</v>
      </c>
      <c r="I39">
        <v>5005.6239229576113</v>
      </c>
      <c r="J39">
        <v>4255.2025474158554</v>
      </c>
      <c r="K39">
        <v>0</v>
      </c>
      <c r="L39">
        <v>1414.6707431507875</v>
      </c>
      <c r="M39">
        <v>0</v>
      </c>
      <c r="N39">
        <v>14916.662538723545</v>
      </c>
      <c r="O39">
        <v>8798.3977765058826</v>
      </c>
      <c r="P39">
        <v>11149.881683165278</v>
      </c>
      <c r="Q39">
        <v>2338.9802578429003</v>
      </c>
      <c r="R39">
        <v>8264.5987735657691</v>
      </c>
      <c r="S39">
        <v>10505.531471330411</v>
      </c>
      <c r="T39">
        <v>3225.8896795210489</v>
      </c>
      <c r="U39">
        <v>18764.675042264254</v>
      </c>
      <c r="V39">
        <v>2585.1640268545607</v>
      </c>
      <c r="W39">
        <v>9300.2194189575112</v>
      </c>
      <c r="X39">
        <v>4494.2487727622356</v>
      </c>
      <c r="Y39">
        <v>4867.9564193186161</v>
      </c>
      <c r="Z39">
        <v>823.8579704886738</v>
      </c>
    </row>
    <row r="40" spans="1:26" x14ac:dyDescent="0.25">
      <c r="A40" t="s">
        <v>90</v>
      </c>
      <c r="B40">
        <v>10373.885478100116</v>
      </c>
      <c r="C40">
        <v>18307.000595238391</v>
      </c>
      <c r="D40">
        <v>78898.616266034383</v>
      </c>
      <c r="E40">
        <v>107399.26619723102</v>
      </c>
      <c r="F40">
        <v>3666.5509925777051</v>
      </c>
      <c r="G40">
        <v>2012.1371558285512</v>
      </c>
      <c r="H40">
        <v>0</v>
      </c>
      <c r="I40">
        <v>1913.7504882476837</v>
      </c>
      <c r="J40">
        <v>4909.2935953347742</v>
      </c>
      <c r="K40">
        <v>1120.2988255325497</v>
      </c>
      <c r="L40">
        <v>987.62491582658333</v>
      </c>
      <c r="M40">
        <v>938.30244365264195</v>
      </c>
      <c r="N40">
        <v>11718.78344092652</v>
      </c>
      <c r="O40">
        <v>7237.4291141229232</v>
      </c>
      <c r="P40">
        <v>10077.838463561884</v>
      </c>
      <c r="Q40">
        <v>3753.9022667093514</v>
      </c>
      <c r="R40">
        <v>7282.1968181432276</v>
      </c>
      <c r="S40">
        <v>7593.5205748264771</v>
      </c>
      <c r="T40">
        <v>2308.8231477619133</v>
      </c>
      <c r="U40">
        <v>21734.155666084465</v>
      </c>
      <c r="V40">
        <v>1458.7032299076122</v>
      </c>
      <c r="W40">
        <v>12595.490402111926</v>
      </c>
      <c r="X40">
        <v>3754.8274856526609</v>
      </c>
      <c r="Y40">
        <v>4067.0504652511045</v>
      </c>
      <c r="Z40">
        <v>688.31181990035066</v>
      </c>
    </row>
    <row r="41" spans="1:26" x14ac:dyDescent="0.25">
      <c r="A41" t="s">
        <v>64</v>
      </c>
      <c r="B41">
        <v>15082.854868939457</v>
      </c>
      <c r="C41">
        <v>21743.381738419797</v>
      </c>
      <c r="D41">
        <v>82926.129363684318</v>
      </c>
      <c r="E41">
        <v>115758.84022664044</v>
      </c>
      <c r="F41">
        <v>7428.0880912433631</v>
      </c>
      <c r="G41">
        <v>4501.5826079404042</v>
      </c>
      <c r="H41">
        <v>39924.119999999995</v>
      </c>
      <c r="I41">
        <v>8560.8076200763935</v>
      </c>
      <c r="J41">
        <v>29153.82444074261</v>
      </c>
      <c r="K41">
        <v>2848.6252986636891</v>
      </c>
      <c r="L41">
        <v>2329.6090112045194</v>
      </c>
      <c r="M41">
        <v>4003.367054167014</v>
      </c>
      <c r="N41">
        <v>22140.54836450288</v>
      </c>
      <c r="O41">
        <v>10560.500910614919</v>
      </c>
      <c r="P41">
        <v>23254.764390399243</v>
      </c>
      <c r="Q41">
        <v>12393.545637756717</v>
      </c>
      <c r="R41">
        <v>19638.662420280285</v>
      </c>
      <c r="S41">
        <v>13677.422007890884</v>
      </c>
      <c r="T41">
        <v>10261.537098523473</v>
      </c>
      <c r="U41">
        <v>47792.165640069812</v>
      </c>
      <c r="V41">
        <v>6396.0193162239293</v>
      </c>
      <c r="W41">
        <v>28113.036653260941</v>
      </c>
      <c r="X41">
        <v>7271.4735041760759</v>
      </c>
      <c r="Y41">
        <v>7876.1140987759536</v>
      </c>
      <c r="Z41">
        <v>1332.9616820322819</v>
      </c>
    </row>
    <row r="42" spans="1:26" x14ac:dyDescent="0.25">
      <c r="A42" t="s">
        <v>91</v>
      </c>
      <c r="B42">
        <v>11198.214220725213</v>
      </c>
      <c r="C42">
        <v>33579.525261805858</v>
      </c>
      <c r="D42">
        <v>109139.442917362</v>
      </c>
      <c r="E42">
        <v>79375.229358441255</v>
      </c>
      <c r="F42">
        <v>4862.6380689848893</v>
      </c>
      <c r="G42">
        <v>3229.4074999416653</v>
      </c>
      <c r="H42">
        <v>0</v>
      </c>
      <c r="I42">
        <v>1864.4912771569875</v>
      </c>
      <c r="J42">
        <v>5379.1858920820569</v>
      </c>
      <c r="K42">
        <v>1165.7847334450871</v>
      </c>
      <c r="L42">
        <v>1354.3796615753738</v>
      </c>
      <c r="M42">
        <v>1770.0989924384342</v>
      </c>
      <c r="N42">
        <v>22539.855663448001</v>
      </c>
      <c r="O42">
        <v>3889.2708501049501</v>
      </c>
      <c r="P42">
        <v>26082.803174000255</v>
      </c>
      <c r="Q42">
        <v>2931.6698489926207</v>
      </c>
      <c r="R42">
        <v>8977.2922280681032</v>
      </c>
      <c r="S42">
        <v>7951.2001667288941</v>
      </c>
      <c r="T42">
        <v>2692.7596060974997</v>
      </c>
      <c r="U42">
        <v>27807.227963089368</v>
      </c>
      <c r="V42">
        <v>3415.4285046307596</v>
      </c>
      <c r="W42">
        <v>9973.1212259640288</v>
      </c>
      <c r="X42">
        <v>6844.4881394852973</v>
      </c>
      <c r="Y42">
        <v>7413.6238691298377</v>
      </c>
      <c r="Z42">
        <v>1254.6893580535839</v>
      </c>
    </row>
    <row r="43" spans="1:26" x14ac:dyDescent="0.25">
      <c r="A43" t="s">
        <v>92</v>
      </c>
      <c r="B43">
        <v>12848.201253044841</v>
      </c>
      <c r="C43">
        <v>24865.722249424678</v>
      </c>
      <c r="D43">
        <v>99665.717647451267</v>
      </c>
      <c r="E43">
        <v>145369.48703915274</v>
      </c>
      <c r="F43">
        <v>14165.841550285837</v>
      </c>
      <c r="G43">
        <v>10773.793014083551</v>
      </c>
      <c r="H43">
        <v>0</v>
      </c>
      <c r="I43">
        <v>3405.445682639021</v>
      </c>
      <c r="J43">
        <v>13842.099164738409</v>
      </c>
      <c r="K43">
        <v>2017.3240582221265</v>
      </c>
      <c r="L43">
        <v>1770.3364617161722</v>
      </c>
      <c r="M43">
        <v>2031.6531404068533</v>
      </c>
      <c r="N43">
        <v>20006.823658760186</v>
      </c>
      <c r="O43">
        <v>4048.7948568666238</v>
      </c>
      <c r="P43">
        <v>19834.923575117165</v>
      </c>
      <c r="Q43">
        <v>7114.9451559539657</v>
      </c>
      <c r="R43">
        <v>11926.253913109043</v>
      </c>
      <c r="S43">
        <v>9135.2295877253619</v>
      </c>
      <c r="T43">
        <v>3762.1261976133769</v>
      </c>
      <c r="U43">
        <v>28110.30800192988</v>
      </c>
      <c r="V43">
        <v>5144.8376490000546</v>
      </c>
      <c r="W43">
        <v>22867.967158982068</v>
      </c>
      <c r="X43">
        <v>5695.1772394063928</v>
      </c>
      <c r="Y43">
        <v>6168.7449902080325</v>
      </c>
      <c r="Z43">
        <v>1044.0047712683368</v>
      </c>
    </row>
    <row r="44" spans="1:26" x14ac:dyDescent="0.25">
      <c r="A44" t="s">
        <v>65</v>
      </c>
      <c r="B44">
        <v>17592.831953038047</v>
      </c>
      <c r="C44">
        <v>36038.915138240453</v>
      </c>
      <c r="D44">
        <v>141176.60487721823</v>
      </c>
      <c r="E44">
        <v>153864.62187574405</v>
      </c>
      <c r="F44">
        <v>14231.707360236385</v>
      </c>
      <c r="G44">
        <v>7009.2803945875221</v>
      </c>
      <c r="H44">
        <v>0</v>
      </c>
      <c r="I44">
        <v>11988.041571418829</v>
      </c>
      <c r="J44">
        <v>24650.470587293265</v>
      </c>
      <c r="K44">
        <v>3886.5455604678586</v>
      </c>
      <c r="L44">
        <v>3119.5070635354855</v>
      </c>
      <c r="M44">
        <v>4286.0705201489891</v>
      </c>
      <c r="N44">
        <v>33442.499078177141</v>
      </c>
      <c r="O44">
        <v>12859.285578631418</v>
      </c>
      <c r="P44">
        <v>23349.245894469255</v>
      </c>
      <c r="Q44">
        <v>7014.3170410275543</v>
      </c>
      <c r="R44">
        <v>27302.548812444678</v>
      </c>
      <c r="S44">
        <v>21230.792280966813</v>
      </c>
      <c r="T44">
        <v>11767.707074486249</v>
      </c>
      <c r="U44">
        <v>41294.079880441954</v>
      </c>
      <c r="V44">
        <v>6727.3466616850756</v>
      </c>
      <c r="W44">
        <v>22289.419663142675</v>
      </c>
      <c r="X44">
        <v>8957.5156773641284</v>
      </c>
      <c r="Y44">
        <v>9702.3547532665125</v>
      </c>
      <c r="Z44">
        <v>1642.0365359610478</v>
      </c>
    </row>
    <row r="45" spans="1:26" x14ac:dyDescent="0.25">
      <c r="A45" t="s">
        <v>66</v>
      </c>
      <c r="B45">
        <v>11641.757630681403</v>
      </c>
      <c r="C45">
        <v>17587.414361635703</v>
      </c>
      <c r="D45">
        <v>65593.405438873844</v>
      </c>
      <c r="E45">
        <v>91724.920283847678</v>
      </c>
      <c r="F45">
        <v>10659.530919179782</v>
      </c>
      <c r="G45">
        <v>5230.6450783879018</v>
      </c>
      <c r="H45">
        <v>0</v>
      </c>
      <c r="I45">
        <v>2083.7942630986377</v>
      </c>
      <c r="J45">
        <v>5290.2360863172007</v>
      </c>
      <c r="K45">
        <v>1105.8204529566453</v>
      </c>
      <c r="L45">
        <v>2608.3972703872723</v>
      </c>
      <c r="M45">
        <v>1975.1587716318238</v>
      </c>
      <c r="N45">
        <v>30012.162567069161</v>
      </c>
      <c r="O45">
        <v>19630.545522434772</v>
      </c>
      <c r="P45">
        <v>26388.592935546476</v>
      </c>
      <c r="Q45">
        <v>3312.3924754831764</v>
      </c>
      <c r="R45">
        <v>10628.539998645751</v>
      </c>
      <c r="S45">
        <v>14358.992411038427</v>
      </c>
      <c r="T45">
        <v>5688.9075628863429</v>
      </c>
      <c r="U45">
        <v>32578.2418610731</v>
      </c>
      <c r="V45">
        <v>5136.1613010572191</v>
      </c>
      <c r="W45">
        <v>19469.610284821352</v>
      </c>
      <c r="X45">
        <v>9838.2208259711824</v>
      </c>
      <c r="Y45">
        <v>10656.292663351016</v>
      </c>
      <c r="Z45">
        <v>1803.4819727886095</v>
      </c>
    </row>
    <row r="46" spans="1:26" x14ac:dyDescent="0.25">
      <c r="A46" t="s">
        <v>67</v>
      </c>
      <c r="B46">
        <v>10567.275341096867</v>
      </c>
      <c r="C46">
        <v>15535.520291838891</v>
      </c>
      <c r="D46">
        <v>89845.875040873681</v>
      </c>
      <c r="E46">
        <v>66290.16070237456</v>
      </c>
      <c r="F46">
        <v>11340.314329062423</v>
      </c>
      <c r="G46">
        <v>6857.5117223608522</v>
      </c>
      <c r="H46">
        <v>0</v>
      </c>
      <c r="I46">
        <v>2628.2329308634671</v>
      </c>
      <c r="J46">
        <v>4401.6743500532657</v>
      </c>
      <c r="K46">
        <v>1540.2969538860693</v>
      </c>
      <c r="L46">
        <v>1452.9000176312259</v>
      </c>
      <c r="M46">
        <v>1036.4592098418827</v>
      </c>
      <c r="N46">
        <v>6909.9630722301163</v>
      </c>
      <c r="O46">
        <v>1260.6594925638869</v>
      </c>
      <c r="P46">
        <v>5422.9816921082165</v>
      </c>
      <c r="Q46">
        <v>1876.0455197198896</v>
      </c>
      <c r="R46">
        <v>7173.4160673604811</v>
      </c>
      <c r="S46">
        <v>7967.2526393785311</v>
      </c>
      <c r="T46">
        <v>3639.4541330890943</v>
      </c>
      <c r="U46">
        <v>22163.780223792179</v>
      </c>
      <c r="V46">
        <v>2822.989323442795</v>
      </c>
      <c r="W46">
        <v>11750.459846475114</v>
      </c>
      <c r="X46">
        <v>1752.1900026989654</v>
      </c>
      <c r="Y46">
        <v>1897.8888358825582</v>
      </c>
      <c r="Z46">
        <v>321.20066612309097</v>
      </c>
    </row>
    <row r="47" spans="1:26" x14ac:dyDescent="0.25">
      <c r="A47" t="s">
        <v>68</v>
      </c>
      <c r="B47">
        <v>10246.188093988783</v>
      </c>
      <c r="C47">
        <v>13894.896095404343</v>
      </c>
      <c r="D47">
        <v>70814.411399295408</v>
      </c>
      <c r="E47">
        <v>53630.151824497079</v>
      </c>
      <c r="F47">
        <v>13770.173157636975</v>
      </c>
      <c r="G47">
        <v>8301.096964477365</v>
      </c>
      <c r="H47">
        <v>0</v>
      </c>
      <c r="I47">
        <v>2834.897744635859</v>
      </c>
      <c r="J47">
        <v>5448.6056588059555</v>
      </c>
      <c r="K47">
        <v>2220.2644872365377</v>
      </c>
      <c r="L47">
        <v>1872.8365306963617</v>
      </c>
      <c r="M47">
        <v>1475.8348170576585</v>
      </c>
      <c r="N47">
        <v>5859.4893756691772</v>
      </c>
      <c r="O47">
        <v>1343.7567587083322</v>
      </c>
      <c r="P47">
        <v>4624.0371176814033</v>
      </c>
      <c r="Q47">
        <v>2288.2685043947677</v>
      </c>
      <c r="R47">
        <v>8585.4867006865661</v>
      </c>
      <c r="S47">
        <v>8390.7886380535674</v>
      </c>
      <c r="T47">
        <v>5073.3215009624391</v>
      </c>
      <c r="U47">
        <v>17635.648724015417</v>
      </c>
      <c r="V47">
        <v>3144.150413883222</v>
      </c>
      <c r="W47">
        <v>9512.3165772578104</v>
      </c>
      <c r="X47">
        <v>1524.9832026254983</v>
      </c>
      <c r="Y47">
        <v>1651.7892412998817</v>
      </c>
      <c r="Z47">
        <v>279.55051664222339</v>
      </c>
    </row>
    <row r="48" spans="1:26" x14ac:dyDescent="0.25">
      <c r="A48" t="s">
        <v>69</v>
      </c>
      <c r="B48">
        <v>17335.91741027249</v>
      </c>
      <c r="C48">
        <v>30284.527025168987</v>
      </c>
      <c r="D48">
        <v>115147.50299075016</v>
      </c>
      <c r="E48">
        <v>144370.3095503143</v>
      </c>
      <c r="F48">
        <v>13169.922835925006</v>
      </c>
      <c r="G48">
        <v>8723.2599128833845</v>
      </c>
      <c r="H48">
        <v>0</v>
      </c>
      <c r="I48">
        <v>3950.5548667175012</v>
      </c>
      <c r="J48">
        <v>21293.379760280754</v>
      </c>
      <c r="K48">
        <v>1845.9661323959342</v>
      </c>
      <c r="L48">
        <v>2601.3495332400303</v>
      </c>
      <c r="M48">
        <v>4001.9306836769551</v>
      </c>
      <c r="N48">
        <v>17197.13870858532</v>
      </c>
      <c r="O48">
        <v>4809.6922711442057</v>
      </c>
      <c r="P48">
        <v>18705.453418105881</v>
      </c>
      <c r="Q48">
        <v>5989.3643172765087</v>
      </c>
      <c r="R48">
        <v>11941.297174682772</v>
      </c>
      <c r="S48">
        <v>8439.4586420403957</v>
      </c>
      <c r="T48">
        <v>5892.0696699435584</v>
      </c>
      <c r="U48">
        <v>29444.098112557156</v>
      </c>
      <c r="V48">
        <v>3906.900750286632</v>
      </c>
      <c r="W48">
        <v>13281.252082554882</v>
      </c>
      <c r="X48">
        <v>5296.3472621976198</v>
      </c>
      <c r="Y48">
        <v>5736.7513365552368</v>
      </c>
      <c r="Z48">
        <v>970.89371929795027</v>
      </c>
    </row>
    <row r="49" spans="1:26" x14ac:dyDescent="0.25">
      <c r="A49" t="s">
        <v>93</v>
      </c>
      <c r="B49">
        <v>13792.67699180825</v>
      </c>
      <c r="C49">
        <v>22377.642306094782</v>
      </c>
      <c r="D49">
        <v>91239.602371671426</v>
      </c>
      <c r="E49">
        <v>145499.9547224225</v>
      </c>
      <c r="F49">
        <v>12093.004246457605</v>
      </c>
      <c r="G49">
        <v>8484.1600103722085</v>
      </c>
      <c r="H49">
        <v>0</v>
      </c>
      <c r="I49">
        <v>6407.4155325874981</v>
      </c>
      <c r="J49">
        <v>12199.992882959239</v>
      </c>
      <c r="K49">
        <v>3148.8300168077849</v>
      </c>
      <c r="L49">
        <v>1868.6849631668301</v>
      </c>
      <c r="M49">
        <v>1967.7216786542995</v>
      </c>
      <c r="N49">
        <v>14902.008206653005</v>
      </c>
      <c r="O49">
        <v>2985.6813995794009</v>
      </c>
      <c r="P49">
        <v>16058.614445593425</v>
      </c>
      <c r="Q49">
        <v>9300.2176459733291</v>
      </c>
      <c r="R49">
        <v>15485.928713719437</v>
      </c>
      <c r="S49">
        <v>12224.198459849202</v>
      </c>
      <c r="T49">
        <v>6489.6822066613695</v>
      </c>
      <c r="U49">
        <v>23855.676547519164</v>
      </c>
      <c r="V49">
        <v>5040.9152743514915</v>
      </c>
      <c r="W49">
        <v>12934.498355017384</v>
      </c>
      <c r="X49">
        <v>4415.3517200898714</v>
      </c>
      <c r="Y49">
        <v>4782.4988860486692</v>
      </c>
      <c r="Z49">
        <v>809.39504932460102</v>
      </c>
    </row>
    <row r="50" spans="1:26" x14ac:dyDescent="0.25">
      <c r="A50" t="s">
        <v>94</v>
      </c>
      <c r="B50">
        <v>22760.629688843583</v>
      </c>
      <c r="C50">
        <v>26028.804973396713</v>
      </c>
      <c r="D50">
        <v>124928.49896666866</v>
      </c>
      <c r="E50">
        <v>201027.13589005882</v>
      </c>
      <c r="F50">
        <v>11520.418068100442</v>
      </c>
      <c r="G50">
        <v>3888.404683363869</v>
      </c>
      <c r="H50">
        <v>0</v>
      </c>
      <c r="I50">
        <v>4042.7987889463052</v>
      </c>
      <c r="J50">
        <v>7749.8108908506674</v>
      </c>
      <c r="K50">
        <v>1228.4406667939115</v>
      </c>
      <c r="L50">
        <v>1725.5188539013805</v>
      </c>
      <c r="M50">
        <v>1983.4004910330921</v>
      </c>
      <c r="N50">
        <v>19880.54173737044</v>
      </c>
      <c r="O50">
        <v>5938.11007270147</v>
      </c>
      <c r="P50">
        <v>25041.671353430138</v>
      </c>
      <c r="Q50">
        <v>6160.7720910395174</v>
      </c>
      <c r="R50">
        <v>24909.050492465474</v>
      </c>
      <c r="S50">
        <v>48233.748467897945</v>
      </c>
      <c r="T50">
        <v>6530.4254834246103</v>
      </c>
      <c r="U50">
        <v>34192.239089178533</v>
      </c>
      <c r="V50">
        <v>5593.298689305705</v>
      </c>
      <c r="W50">
        <v>13719.976260526468</v>
      </c>
      <c r="X50">
        <v>6643.2639657300579</v>
      </c>
      <c r="Y50">
        <v>7195.6674190350996</v>
      </c>
      <c r="Z50">
        <v>1217.8021834031786</v>
      </c>
    </row>
    <row r="51" spans="1:26" x14ac:dyDescent="0.25">
      <c r="A51" t="s">
        <v>95</v>
      </c>
      <c r="B51">
        <v>20685.257769167107</v>
      </c>
      <c r="C51">
        <v>28504.770117269822</v>
      </c>
      <c r="D51">
        <v>124779.14049897564</v>
      </c>
      <c r="E51">
        <v>206227.80131718944</v>
      </c>
      <c r="F51">
        <v>11540.000010986749</v>
      </c>
      <c r="G51">
        <v>3840.07361986244</v>
      </c>
      <c r="H51">
        <v>0</v>
      </c>
      <c r="I51">
        <v>2908.3049215554279</v>
      </c>
      <c r="J51">
        <v>7407.7141616914314</v>
      </c>
      <c r="K51">
        <v>1190.8084760500888</v>
      </c>
      <c r="L51">
        <v>1629.5425239609451</v>
      </c>
      <c r="M51">
        <v>1923.7275015652228</v>
      </c>
      <c r="N51">
        <v>21844.05007703272</v>
      </c>
      <c r="O51">
        <v>5941.2969761905379</v>
      </c>
      <c r="P51">
        <v>28409.693547002484</v>
      </c>
      <c r="Q51">
        <v>5366.4660945672495</v>
      </c>
      <c r="R51">
        <v>19182.958131335636</v>
      </c>
      <c r="S51">
        <v>34636.790902600849</v>
      </c>
      <c r="T51">
        <v>6045.7519405651265</v>
      </c>
      <c r="U51">
        <v>35121.746706712322</v>
      </c>
      <c r="V51">
        <v>5736.086663753802</v>
      </c>
      <c r="W51">
        <v>13582.175772433528</v>
      </c>
      <c r="X51">
        <v>7347.133231965583</v>
      </c>
      <c r="Y51">
        <v>7958.0651157754992</v>
      </c>
      <c r="Z51">
        <v>1346.8311567623332</v>
      </c>
    </row>
    <row r="52" spans="1:26" x14ac:dyDescent="0.25">
      <c r="A52" t="s">
        <v>70</v>
      </c>
      <c r="B52">
        <v>17925.913580218032</v>
      </c>
      <c r="C52">
        <v>15979.106263381473</v>
      </c>
      <c r="D52">
        <v>73892.325514757249</v>
      </c>
      <c r="E52">
        <v>84512.038714433147</v>
      </c>
      <c r="F52">
        <v>9217.6560805997178</v>
      </c>
      <c r="G52">
        <v>7414.4369212696383</v>
      </c>
      <c r="H52">
        <v>0</v>
      </c>
      <c r="I52">
        <v>2637.2980997354571</v>
      </c>
      <c r="J52">
        <v>9542.6964605908815</v>
      </c>
      <c r="K52">
        <v>2237.5282496713676</v>
      </c>
      <c r="L52">
        <v>1034.1909035459223</v>
      </c>
      <c r="M52">
        <v>1004.3138796840741</v>
      </c>
      <c r="N52">
        <v>12489.580386849158</v>
      </c>
      <c r="O52">
        <v>2687.6309188624073</v>
      </c>
      <c r="P52">
        <v>15224.412497889034</v>
      </c>
      <c r="Q52">
        <v>7792.6722034911563</v>
      </c>
      <c r="R52">
        <v>24607.140042472558</v>
      </c>
      <c r="S52">
        <v>18550.288930376384</v>
      </c>
      <c r="T52">
        <v>5405.2850935836241</v>
      </c>
      <c r="U52">
        <v>30400.913492072792</v>
      </c>
      <c r="V52">
        <v>2169.128979159419</v>
      </c>
      <c r="W52">
        <v>9333.0067063999613</v>
      </c>
      <c r="X52">
        <v>3968.1609873162161</v>
      </c>
      <c r="Y52">
        <v>4298.1231631339469</v>
      </c>
      <c r="Z52">
        <v>727.41880186872004</v>
      </c>
    </row>
    <row r="53" spans="1:26" x14ac:dyDescent="0.25">
      <c r="A53" t="s">
        <v>71</v>
      </c>
      <c r="B53">
        <v>12630.804014682055</v>
      </c>
      <c r="C53">
        <v>21654.954540493614</v>
      </c>
      <c r="D53">
        <v>95360.682948252055</v>
      </c>
      <c r="E53">
        <v>132925.23583697851</v>
      </c>
      <c r="F53">
        <v>10127.907238341759</v>
      </c>
      <c r="G53">
        <v>7829.9037648771809</v>
      </c>
      <c r="H53">
        <v>0</v>
      </c>
      <c r="I53">
        <v>7485.0631955210192</v>
      </c>
      <c r="J53">
        <v>31138.01538456147</v>
      </c>
      <c r="K53">
        <v>4217.1116146759696</v>
      </c>
      <c r="L53">
        <v>3571.0051793918233</v>
      </c>
      <c r="M53">
        <v>3811.3929470137923</v>
      </c>
      <c r="N53">
        <v>17014.72715975286</v>
      </c>
      <c r="O53">
        <v>7027.0376038082168</v>
      </c>
      <c r="P53">
        <v>15399.764261262357</v>
      </c>
      <c r="Q53">
        <v>8644.089785215745</v>
      </c>
      <c r="R53">
        <v>17342.22750601418</v>
      </c>
      <c r="S53">
        <v>16406.619199699009</v>
      </c>
      <c r="T53">
        <v>9285.1436790691514</v>
      </c>
      <c r="U53">
        <v>41606.678449058134</v>
      </c>
      <c r="V53">
        <v>5314.1547405951669</v>
      </c>
      <c r="W53">
        <v>25478.712940040456</v>
      </c>
      <c r="X53">
        <v>5105.8659954797076</v>
      </c>
      <c r="Y53">
        <v>5530.4310921800015</v>
      </c>
      <c r="Z53">
        <v>935.97586811770088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4AC9-A97F-489E-8A7A-E7B3CE7A8263}">
  <dimension ref="A1:B26"/>
  <sheetViews>
    <sheetView workbookViewId="0">
      <selection activeCell="B1" sqref="B1"/>
    </sheetView>
  </sheetViews>
  <sheetFormatPr defaultRowHeight="15" x14ac:dyDescent="0.25"/>
  <cols>
    <col min="1" max="1" width="11.140625" customWidth="1"/>
  </cols>
  <sheetData>
    <row r="1" spans="1:2" x14ac:dyDescent="0.25">
      <c r="A1" t="s">
        <v>110</v>
      </c>
      <c r="B1" t="s">
        <v>101</v>
      </c>
    </row>
    <row r="2" spans="1:2" x14ac:dyDescent="0.25">
      <c r="A2">
        <v>542</v>
      </c>
      <c r="B2">
        <v>60.38</v>
      </c>
    </row>
    <row r="3" spans="1:2" x14ac:dyDescent="0.25">
      <c r="A3">
        <v>543</v>
      </c>
      <c r="B3">
        <v>225.6</v>
      </c>
    </row>
    <row r="4" spans="1:2" x14ac:dyDescent="0.25">
      <c r="A4">
        <v>545</v>
      </c>
      <c r="B4">
        <v>360.6</v>
      </c>
    </row>
    <row r="5" spans="1:2" x14ac:dyDescent="0.25">
      <c r="A5">
        <v>547</v>
      </c>
      <c r="B5">
        <v>433.44</v>
      </c>
    </row>
    <row r="6" spans="1:2" x14ac:dyDescent="0.25">
      <c r="A6">
        <v>552</v>
      </c>
      <c r="B6">
        <v>157.41999999999999</v>
      </c>
    </row>
    <row r="7" spans="1:2" x14ac:dyDescent="0.25">
      <c r="A7">
        <v>551</v>
      </c>
      <c r="B7">
        <v>269.86</v>
      </c>
    </row>
    <row r="8" spans="1:2" x14ac:dyDescent="0.25">
      <c r="A8">
        <v>578</v>
      </c>
      <c r="B8">
        <v>225.56</v>
      </c>
    </row>
    <row r="9" spans="1:2" x14ac:dyDescent="0.25">
      <c r="A9">
        <v>596</v>
      </c>
      <c r="B9">
        <v>360.9</v>
      </c>
    </row>
    <row r="10" spans="1:2" x14ac:dyDescent="0.25">
      <c r="A10">
        <v>598</v>
      </c>
      <c r="B10">
        <v>451.13</v>
      </c>
    </row>
    <row r="11" spans="1:2" x14ac:dyDescent="0.25">
      <c r="A11">
        <v>597</v>
      </c>
      <c r="B11">
        <v>299.85000000000002</v>
      </c>
    </row>
    <row r="12" spans="1:2" x14ac:dyDescent="0.25">
      <c r="A12">
        <v>636</v>
      </c>
      <c r="B12">
        <v>226.32</v>
      </c>
    </row>
    <row r="13" spans="1:2" x14ac:dyDescent="0.25">
      <c r="A13">
        <v>634</v>
      </c>
      <c r="B13">
        <v>226.47</v>
      </c>
    </row>
    <row r="14" spans="1:2" x14ac:dyDescent="0.25">
      <c r="A14">
        <v>635</v>
      </c>
      <c r="B14">
        <v>406.01</v>
      </c>
    </row>
    <row r="15" spans="1:2" x14ac:dyDescent="0.25">
      <c r="A15">
        <v>666</v>
      </c>
      <c r="B15">
        <v>113</v>
      </c>
    </row>
    <row r="16" spans="1:2" x14ac:dyDescent="0.25">
      <c r="A16">
        <v>667</v>
      </c>
      <c r="B16">
        <v>188</v>
      </c>
    </row>
    <row r="17" spans="1:2" x14ac:dyDescent="0.25">
      <c r="A17">
        <v>668</v>
      </c>
      <c r="B17">
        <v>180.6</v>
      </c>
    </row>
    <row r="18" spans="1:2" x14ac:dyDescent="0.25">
      <c r="A18">
        <v>665</v>
      </c>
      <c r="B18">
        <v>224.89</v>
      </c>
    </row>
    <row r="19" spans="1:2" x14ac:dyDescent="0.25">
      <c r="A19">
        <v>769</v>
      </c>
      <c r="B19">
        <v>337.5</v>
      </c>
    </row>
    <row r="20" spans="1:2" x14ac:dyDescent="0.25">
      <c r="A20">
        <v>770</v>
      </c>
      <c r="B20">
        <v>562.5</v>
      </c>
    </row>
    <row r="21" spans="1:2" x14ac:dyDescent="0.25">
      <c r="A21">
        <v>771</v>
      </c>
      <c r="B21">
        <v>674.8</v>
      </c>
    </row>
    <row r="22" spans="1:2" x14ac:dyDescent="0.25">
      <c r="A22">
        <v>788</v>
      </c>
      <c r="B22">
        <v>449.8</v>
      </c>
    </row>
    <row r="23" spans="1:2" x14ac:dyDescent="0.25">
      <c r="A23">
        <v>789</v>
      </c>
      <c r="B23">
        <v>341.88</v>
      </c>
    </row>
    <row r="24" spans="1:2" x14ac:dyDescent="0.25">
      <c r="A24">
        <v>813</v>
      </c>
      <c r="B24">
        <v>299.8500749625187</v>
      </c>
    </row>
    <row r="25" spans="1:2" x14ac:dyDescent="0.25">
      <c r="A25">
        <v>814</v>
      </c>
      <c r="B25">
        <v>449.7</v>
      </c>
    </row>
    <row r="26" spans="1:2" x14ac:dyDescent="0.25">
      <c r="A26">
        <v>815</v>
      </c>
      <c r="B26">
        <v>329.8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77F6-BAA5-4F54-A16B-B3ACE193C43B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>
        <v>202601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0988-7CCC-42C7-BC8E-E0549CF507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Terr. Ratio Dev</vt:lpstr>
      <vt:lpstr>Product Tgt</vt:lpstr>
      <vt:lpstr>Terr Target</vt:lpstr>
      <vt:lpstr>SYK_SORT</vt:lpstr>
      <vt:lpstr>Output</vt:lpstr>
      <vt:lpstr>Input</vt:lpstr>
      <vt:lpstr>Price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BOS-AFSAR Jamil</dc:creator>
  <cp:lastModifiedBy>BOS-Rafian Ahmed Rizwan</cp:lastModifiedBy>
  <dcterms:created xsi:type="dcterms:W3CDTF">2015-06-05T18:17:20Z</dcterms:created>
  <dcterms:modified xsi:type="dcterms:W3CDTF">2026-01-29T11:24:24Z</dcterms:modified>
</cp:coreProperties>
</file>