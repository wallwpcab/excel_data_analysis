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lih\Downloads\"/>
    </mc:Choice>
  </mc:AlternateContent>
  <xr:revisionPtr revIDLastSave="0" documentId="13_ncr:1_{DCB354B1-A6AA-45DC-A0E6-A5D5F39859A8}" xr6:coauthVersionLast="47" xr6:coauthVersionMax="47" xr10:uidLastSave="{00000000-0000-0000-0000-000000000000}"/>
  <bookViews>
    <workbookView xWindow="-110" yWindow="-110" windowWidth="19420" windowHeight="10420" firstSheet="1" activeTab="3" xr2:uid="{CD01EC70-494F-4204-ACFD-FA16452235C8}"/>
  </bookViews>
  <sheets>
    <sheet name="3_Years_CountRx_with_RxShare_wi" sheetId="1" r:id="rId1"/>
    <sheet name="Sheet1" sheetId="3" r:id="rId2"/>
    <sheet name="BBB_Brands_Growths" sheetId="7" r:id="rId3"/>
    <sheet name="Updated_List_for_BBB_Rx&amp;IQVIA" sheetId="2" r:id="rId4"/>
    <sheet name="Phenergan Plus selected Market" sheetId="6" r:id="rId5"/>
    <sheet name="Sheet2" sheetId="5" r:id="rId6"/>
    <sheet name="Profenid selected mkt" sheetId="4" r:id="rId7"/>
  </sheets>
  <externalReferences>
    <externalReference r:id="rId8"/>
  </externalReferences>
  <definedNames>
    <definedName name="_xlnm._FilterDatabase" localSheetId="3" hidden="1">'Updated_List_for_BBB_Rx&amp;IQVIA'!$A$3:$V$56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" i="1" l="1"/>
  <c r="AM5" i="1"/>
  <c r="AN5" i="1" s="1"/>
  <c r="AL5" i="1"/>
  <c r="AK5" i="1"/>
  <c r="AJ6" i="1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N16" i="7"/>
  <c r="N17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AM6" i="1"/>
  <c r="AM7" i="1"/>
  <c r="AM8" i="1"/>
  <c r="N6" i="7" s="1"/>
  <c r="AM9" i="1"/>
  <c r="N7" i="7" s="1"/>
  <c r="AM10" i="1"/>
  <c r="N8" i="7" s="1"/>
  <c r="AM11" i="1"/>
  <c r="N9" i="7" s="1"/>
  <c r="AM12" i="1"/>
  <c r="N10" i="7" s="1"/>
  <c r="AM13" i="1"/>
  <c r="AM14" i="1"/>
  <c r="AM15" i="1"/>
  <c r="N13" i="7" s="1"/>
  <c r="AM16" i="1"/>
  <c r="N14" i="7" s="1"/>
  <c r="AM17" i="1"/>
  <c r="N15" i="7" s="1"/>
  <c r="AM20" i="1"/>
  <c r="N18" i="7" s="1"/>
  <c r="AM21" i="1"/>
  <c r="AM22" i="1"/>
  <c r="N20" i="7" s="1"/>
  <c r="AM23" i="1"/>
  <c r="AM24" i="1"/>
  <c r="N22" i="7" s="1"/>
  <c r="AM25" i="1"/>
  <c r="AM26" i="1"/>
  <c r="N24" i="7" s="1"/>
  <c r="AM27" i="1"/>
  <c r="N25" i="7" s="1"/>
  <c r="AM28" i="1"/>
  <c r="N26" i="7" s="1"/>
  <c r="AM29" i="1"/>
  <c r="AM30" i="1"/>
  <c r="N28" i="7" s="1"/>
  <c r="AM31" i="1"/>
  <c r="N29" i="7" s="1"/>
  <c r="AM32" i="1"/>
  <c r="N30" i="7" s="1"/>
  <c r="AM33" i="1"/>
  <c r="N31" i="7" s="1"/>
  <c r="AM34" i="1"/>
  <c r="N32" i="7" s="1"/>
  <c r="AM35" i="1"/>
  <c r="N33" i="7" s="1"/>
  <c r="AM37" i="1"/>
  <c r="N34" i="7" s="1"/>
  <c r="AM38" i="1"/>
  <c r="AM39" i="1"/>
  <c r="N36" i="7" s="1"/>
  <c r="AM40" i="1"/>
  <c r="AM41" i="1"/>
  <c r="N38" i="7" s="1"/>
  <c r="AM42" i="1"/>
  <c r="AM43" i="1"/>
  <c r="N40" i="7" s="1"/>
  <c r="AM44" i="1"/>
  <c r="N41" i="7" s="1"/>
  <c r="AM45" i="1"/>
  <c r="N42" i="7" s="1"/>
  <c r="AM46" i="1"/>
  <c r="AM47" i="1"/>
  <c r="N44" i="7" s="1"/>
  <c r="AM48" i="1"/>
  <c r="N45" i="7" s="1"/>
  <c r="AM49" i="1"/>
  <c r="N46" i="7" s="1"/>
  <c r="AM50" i="1"/>
  <c r="N47" i="7" s="1"/>
  <c r="AM51" i="1"/>
  <c r="N48" i="7" s="1"/>
  <c r="AM52" i="1"/>
  <c r="N49" i="7" s="1"/>
  <c r="AM53" i="1"/>
  <c r="N50" i="7" s="1"/>
  <c r="AM54" i="1"/>
  <c r="AM55" i="1"/>
  <c r="N52" i="7" s="1"/>
  <c r="AM56" i="1"/>
  <c r="N53" i="7" s="1"/>
  <c r="AM57" i="1"/>
  <c r="N54" i="7" s="1"/>
  <c r="N3" i="7"/>
  <c r="M9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L30" i="7"/>
  <c r="L46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K12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20" i="7"/>
  <c r="D2" i="7"/>
  <c r="C3" i="7"/>
  <c r="C4" i="7"/>
  <c r="C6" i="7"/>
  <c r="C7" i="7"/>
  <c r="C8" i="7"/>
  <c r="C9" i="7"/>
  <c r="C10" i="7"/>
  <c r="C11" i="7"/>
  <c r="C12" i="7"/>
  <c r="C13" i="7"/>
  <c r="C14" i="7"/>
  <c r="C16" i="7"/>
  <c r="C17" i="7"/>
  <c r="C18" i="7"/>
  <c r="C19" i="7"/>
  <c r="C20" i="7"/>
  <c r="C2" i="7"/>
  <c r="B3" i="7"/>
  <c r="B4" i="7"/>
  <c r="B6" i="7"/>
  <c r="B7" i="7"/>
  <c r="B8" i="7"/>
  <c r="B9" i="7"/>
  <c r="B10" i="7"/>
  <c r="B11" i="7"/>
  <c r="B12" i="7"/>
  <c r="B13" i="7"/>
  <c r="B14" i="7"/>
  <c r="B16" i="7"/>
  <c r="B20" i="7"/>
  <c r="B2" i="7"/>
  <c r="S5" i="2"/>
  <c r="AL7" i="1"/>
  <c r="M5" i="7" s="1"/>
  <c r="R54" i="2"/>
  <c r="Q54" i="2"/>
  <c r="S54" i="2"/>
  <c r="C7" i="6"/>
  <c r="B7" i="6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Q12" i="2"/>
  <c r="B9" i="4"/>
  <c r="B12" i="4" s="1"/>
  <c r="C9" i="4"/>
  <c r="C12" i="4" s="1"/>
  <c r="C8" i="4"/>
  <c r="B8" i="4"/>
  <c r="C7" i="4"/>
  <c r="B7" i="4"/>
  <c r="C3" i="4"/>
  <c r="B3" i="4"/>
  <c r="Q56" i="2"/>
  <c r="Q55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S31" i="2" s="1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1" i="2"/>
  <c r="Q10" i="2"/>
  <c r="Q9" i="2"/>
  <c r="Q8" i="2"/>
  <c r="Q7" i="2"/>
  <c r="Q6" i="2"/>
  <c r="Q5" i="2"/>
  <c r="Q4" i="2"/>
  <c r="AL6" i="1"/>
  <c r="M4" i="7" s="1"/>
  <c r="AL8" i="1"/>
  <c r="M6" i="7" s="1"/>
  <c r="AL9" i="1"/>
  <c r="M7" i="7" s="1"/>
  <c r="AL10" i="1"/>
  <c r="M8" i="7" s="1"/>
  <c r="AL11" i="1"/>
  <c r="AL12" i="1"/>
  <c r="M10" i="7" s="1"/>
  <c r="AL13" i="1"/>
  <c r="M11" i="7" s="1"/>
  <c r="AL14" i="1"/>
  <c r="M12" i="7" s="1"/>
  <c r="AL15" i="1"/>
  <c r="M13" i="7" s="1"/>
  <c r="AL16" i="1"/>
  <c r="M14" i="7" s="1"/>
  <c r="AL17" i="1"/>
  <c r="M15" i="7" s="1"/>
  <c r="AL20" i="1"/>
  <c r="M18" i="7" s="1"/>
  <c r="AL21" i="1"/>
  <c r="M19" i="7" s="1"/>
  <c r="AL22" i="1"/>
  <c r="M20" i="7" s="1"/>
  <c r="AL23" i="1"/>
  <c r="M21" i="7" s="1"/>
  <c r="AL24" i="1"/>
  <c r="M22" i="7" s="1"/>
  <c r="AL25" i="1"/>
  <c r="M23" i="7" s="1"/>
  <c r="AL26" i="1"/>
  <c r="M24" i="7" s="1"/>
  <c r="AL27" i="1"/>
  <c r="M25" i="7" s="1"/>
  <c r="AL28" i="1"/>
  <c r="M26" i="7" s="1"/>
  <c r="AL29" i="1"/>
  <c r="M27" i="7" s="1"/>
  <c r="AL30" i="1"/>
  <c r="M28" i="7" s="1"/>
  <c r="AL31" i="1"/>
  <c r="M29" i="7" s="1"/>
  <c r="AL32" i="1"/>
  <c r="M30" i="7" s="1"/>
  <c r="AL33" i="1"/>
  <c r="M31" i="7" s="1"/>
  <c r="AL34" i="1"/>
  <c r="M32" i="7" s="1"/>
  <c r="AL35" i="1"/>
  <c r="M33" i="7" s="1"/>
  <c r="AL37" i="1"/>
  <c r="M34" i="7" s="1"/>
  <c r="AL38" i="1"/>
  <c r="M35" i="7" s="1"/>
  <c r="AL39" i="1"/>
  <c r="M36" i="7" s="1"/>
  <c r="AL40" i="1"/>
  <c r="M37" i="7" s="1"/>
  <c r="AL41" i="1"/>
  <c r="M38" i="7" s="1"/>
  <c r="AL42" i="1"/>
  <c r="M39" i="7" s="1"/>
  <c r="AL43" i="1"/>
  <c r="M40" i="7" s="1"/>
  <c r="AL44" i="1"/>
  <c r="M41" i="7" s="1"/>
  <c r="AL45" i="1"/>
  <c r="M42" i="7" s="1"/>
  <c r="AL46" i="1"/>
  <c r="M43" i="7" s="1"/>
  <c r="AL47" i="1"/>
  <c r="M44" i="7" s="1"/>
  <c r="AL48" i="1"/>
  <c r="M45" i="7" s="1"/>
  <c r="AL49" i="1"/>
  <c r="M46" i="7" s="1"/>
  <c r="AL50" i="1"/>
  <c r="M47" i="7" s="1"/>
  <c r="AL51" i="1"/>
  <c r="M48" i="7" s="1"/>
  <c r="AL52" i="1"/>
  <c r="M49" i="7" s="1"/>
  <c r="AL53" i="1"/>
  <c r="M50" i="7" s="1"/>
  <c r="AL54" i="1"/>
  <c r="M51" i="7" s="1"/>
  <c r="AL55" i="1"/>
  <c r="M52" i="7" s="1"/>
  <c r="AL56" i="1"/>
  <c r="M53" i="7" s="1"/>
  <c r="AL57" i="1"/>
  <c r="M54" i="7" s="1"/>
  <c r="W23" i="1"/>
  <c r="W59" i="1"/>
  <c r="S6" i="1"/>
  <c r="W6" i="1" s="1"/>
  <c r="S8" i="1"/>
  <c r="W8" i="1" s="1"/>
  <c r="S9" i="1"/>
  <c r="S11" i="1"/>
  <c r="S12" i="1"/>
  <c r="S13" i="1"/>
  <c r="S15" i="1"/>
  <c r="S16" i="1"/>
  <c r="S20" i="1"/>
  <c r="S21" i="1"/>
  <c r="W21" i="1" s="1"/>
  <c r="S22" i="1"/>
  <c r="S23" i="1"/>
  <c r="S24" i="1"/>
  <c r="S25" i="1"/>
  <c r="S26" i="1"/>
  <c r="S27" i="1"/>
  <c r="S28" i="1"/>
  <c r="S29" i="1"/>
  <c r="S30" i="1"/>
  <c r="S31" i="1"/>
  <c r="S33" i="1"/>
  <c r="S34" i="1"/>
  <c r="S35" i="1"/>
  <c r="S38" i="1"/>
  <c r="S39" i="1"/>
  <c r="S40" i="1"/>
  <c r="W40" i="1" s="1"/>
  <c r="S41" i="1"/>
  <c r="S42" i="1"/>
  <c r="S43" i="1"/>
  <c r="S44" i="1"/>
  <c r="S45" i="1"/>
  <c r="W45" i="1" s="1"/>
  <c r="S46" i="1"/>
  <c r="S47" i="1"/>
  <c r="S48" i="1"/>
  <c r="W48" i="1" s="1"/>
  <c r="S50" i="1"/>
  <c r="S51" i="1"/>
  <c r="S52" i="1"/>
  <c r="S53" i="1"/>
  <c r="S54" i="1"/>
  <c r="S55" i="1"/>
  <c r="S56" i="1"/>
  <c r="S57" i="1"/>
  <c r="W57" i="1" s="1"/>
  <c r="S58" i="1"/>
  <c r="S59" i="1"/>
  <c r="S60" i="1"/>
  <c r="S61" i="1"/>
  <c r="S62" i="1"/>
  <c r="S63" i="1"/>
  <c r="S65" i="1"/>
  <c r="S66" i="1"/>
  <c r="S67" i="1"/>
  <c r="S68" i="1"/>
  <c r="S69" i="1"/>
  <c r="S70" i="1"/>
  <c r="S71" i="1"/>
  <c r="W71" i="1" s="1"/>
  <c r="S72" i="1"/>
  <c r="S73" i="1"/>
  <c r="S74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W19" i="1" s="1"/>
  <c r="R20" i="1"/>
  <c r="W20" i="1" s="1"/>
  <c r="R21" i="1"/>
  <c r="R22" i="1"/>
  <c r="R23" i="1"/>
  <c r="R24" i="1"/>
  <c r="R25" i="1"/>
  <c r="R26" i="1"/>
  <c r="R27" i="1"/>
  <c r="R28" i="1"/>
  <c r="W28" i="1" s="1"/>
  <c r="R29" i="1"/>
  <c r="R30" i="1"/>
  <c r="R31" i="1"/>
  <c r="R32" i="1"/>
  <c r="R33" i="1"/>
  <c r="W33" i="1" s="1"/>
  <c r="R34" i="1"/>
  <c r="R35" i="1"/>
  <c r="R37" i="1"/>
  <c r="W37" i="1" s="1"/>
  <c r="R38" i="1"/>
  <c r="R39" i="1"/>
  <c r="W39" i="1" s="1"/>
  <c r="R40" i="1"/>
  <c r="R41" i="1"/>
  <c r="R42" i="1"/>
  <c r="R43" i="1"/>
  <c r="R44" i="1"/>
  <c r="R45" i="1"/>
  <c r="R46" i="1"/>
  <c r="R47" i="1"/>
  <c r="R48" i="1"/>
  <c r="R49" i="1"/>
  <c r="R50" i="1"/>
  <c r="R51" i="1"/>
  <c r="W51" i="1" s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X6" i="1"/>
  <c r="X8" i="1"/>
  <c r="X9" i="1"/>
  <c r="X11" i="1"/>
  <c r="X12" i="1"/>
  <c r="X13" i="1"/>
  <c r="X16" i="1"/>
  <c r="X20" i="1"/>
  <c r="X21" i="1"/>
  <c r="X22" i="1"/>
  <c r="X23" i="1"/>
  <c r="X24" i="1"/>
  <c r="X26" i="1"/>
  <c r="X27" i="1"/>
  <c r="X28" i="1"/>
  <c r="X29" i="1"/>
  <c r="X30" i="1"/>
  <c r="X31" i="1"/>
  <c r="X33" i="1"/>
  <c r="X34" i="1"/>
  <c r="X35" i="1"/>
  <c r="X37" i="1"/>
  <c r="X38" i="1"/>
  <c r="X39" i="1"/>
  <c r="X40" i="1"/>
  <c r="X41" i="1"/>
  <c r="X42" i="1"/>
  <c r="X43" i="1"/>
  <c r="X44" i="1"/>
  <c r="X45" i="1"/>
  <c r="X46" i="1"/>
  <c r="X47" i="1"/>
  <c r="X48" i="1"/>
  <c r="X50" i="1"/>
  <c r="X51" i="1"/>
  <c r="X52" i="1"/>
  <c r="X53" i="1"/>
  <c r="X54" i="1"/>
  <c r="X55" i="1"/>
  <c r="X56" i="1"/>
  <c r="X57" i="1"/>
  <c r="X58" i="1"/>
  <c r="X59" i="1"/>
  <c r="X60" i="1"/>
  <c r="X61" i="1"/>
  <c r="X63" i="1"/>
  <c r="X65" i="1"/>
  <c r="X66" i="1"/>
  <c r="X67" i="1"/>
  <c r="X68" i="1"/>
  <c r="X69" i="1"/>
  <c r="X70" i="1"/>
  <c r="X71" i="1"/>
  <c r="X72" i="1"/>
  <c r="X73" i="1"/>
  <c r="X74" i="1"/>
  <c r="AK6" i="1"/>
  <c r="L4" i="7" s="1"/>
  <c r="AK8" i="1"/>
  <c r="L6" i="7" s="1"/>
  <c r="AK9" i="1"/>
  <c r="L7" i="7" s="1"/>
  <c r="AK11" i="1"/>
  <c r="L9" i="7" s="1"/>
  <c r="AK12" i="1"/>
  <c r="L10" i="7" s="1"/>
  <c r="AK13" i="1"/>
  <c r="L11" i="7" s="1"/>
  <c r="AK16" i="1"/>
  <c r="L14" i="7" s="1"/>
  <c r="AK19" i="1"/>
  <c r="L17" i="7" s="1"/>
  <c r="AK20" i="1"/>
  <c r="L18" i="7" s="1"/>
  <c r="AK21" i="1"/>
  <c r="L19" i="7" s="1"/>
  <c r="AK22" i="1"/>
  <c r="L20" i="7" s="1"/>
  <c r="AK23" i="1"/>
  <c r="L21" i="7" s="1"/>
  <c r="AK24" i="1"/>
  <c r="L22" i="7" s="1"/>
  <c r="AK26" i="1"/>
  <c r="L24" i="7" s="1"/>
  <c r="AK27" i="1"/>
  <c r="L25" i="7" s="1"/>
  <c r="AK28" i="1"/>
  <c r="L26" i="7" s="1"/>
  <c r="AK29" i="1"/>
  <c r="L27" i="7" s="1"/>
  <c r="AK30" i="1"/>
  <c r="L28" i="7" s="1"/>
  <c r="AK31" i="1"/>
  <c r="L29" i="7" s="1"/>
  <c r="AK33" i="1"/>
  <c r="L31" i="7" s="1"/>
  <c r="AK34" i="1"/>
  <c r="L32" i="7" s="1"/>
  <c r="AK35" i="1"/>
  <c r="L33" i="7" s="1"/>
  <c r="AK37" i="1"/>
  <c r="L34" i="7" s="1"/>
  <c r="AK38" i="1"/>
  <c r="L35" i="7" s="1"/>
  <c r="AK39" i="1"/>
  <c r="L36" i="7" s="1"/>
  <c r="AK40" i="1"/>
  <c r="L37" i="7" s="1"/>
  <c r="AK41" i="1"/>
  <c r="L38" i="7" s="1"/>
  <c r="AK42" i="1"/>
  <c r="L39" i="7" s="1"/>
  <c r="AK43" i="1"/>
  <c r="L40" i="7" s="1"/>
  <c r="AK44" i="1"/>
  <c r="L41" i="7" s="1"/>
  <c r="AK45" i="1"/>
  <c r="L42" i="7" s="1"/>
  <c r="AK46" i="1"/>
  <c r="L43" i="7" s="1"/>
  <c r="AK47" i="1"/>
  <c r="L44" i="7" s="1"/>
  <c r="AK48" i="1"/>
  <c r="L45" i="7" s="1"/>
  <c r="AK50" i="1"/>
  <c r="L47" i="7" s="1"/>
  <c r="AK51" i="1"/>
  <c r="L48" i="7" s="1"/>
  <c r="AK52" i="1"/>
  <c r="L49" i="7" s="1"/>
  <c r="AK53" i="1"/>
  <c r="L50" i="7" s="1"/>
  <c r="AK54" i="1"/>
  <c r="L51" i="7" s="1"/>
  <c r="AK55" i="1"/>
  <c r="L52" i="7" s="1"/>
  <c r="AK56" i="1"/>
  <c r="L53" i="7" s="1"/>
  <c r="AK57" i="1"/>
  <c r="L54" i="7" s="1"/>
  <c r="K4" i="7"/>
  <c r="AJ7" i="1"/>
  <c r="K5" i="7" s="1"/>
  <c r="AJ8" i="1"/>
  <c r="K6" i="7" s="1"/>
  <c r="AJ9" i="1"/>
  <c r="K7" i="7" s="1"/>
  <c r="AJ10" i="1"/>
  <c r="K8" i="7" s="1"/>
  <c r="AJ11" i="1"/>
  <c r="K9" i="7" s="1"/>
  <c r="AJ12" i="1"/>
  <c r="AN12" i="1" s="1"/>
  <c r="O10" i="7" s="1"/>
  <c r="AJ13" i="1"/>
  <c r="K11" i="7" s="1"/>
  <c r="AJ14" i="1"/>
  <c r="AJ15" i="1"/>
  <c r="K13" i="7" s="1"/>
  <c r="AJ16" i="1"/>
  <c r="K14" i="7" s="1"/>
  <c r="AJ17" i="1"/>
  <c r="K15" i="7" s="1"/>
  <c r="AJ18" i="1"/>
  <c r="K16" i="7" s="1"/>
  <c r="AJ19" i="1"/>
  <c r="AN19" i="1" s="1"/>
  <c r="O17" i="7" s="1"/>
  <c r="AJ20" i="1"/>
  <c r="AJ21" i="1"/>
  <c r="K19" i="7" s="1"/>
  <c r="AJ22" i="1"/>
  <c r="AN22" i="1" s="1"/>
  <c r="O20" i="7" s="1"/>
  <c r="AJ23" i="1"/>
  <c r="K21" i="7" s="1"/>
  <c r="AJ24" i="1"/>
  <c r="K22" i="7" s="1"/>
  <c r="AJ25" i="1"/>
  <c r="K23" i="7" s="1"/>
  <c r="AJ26" i="1"/>
  <c r="K24" i="7" s="1"/>
  <c r="AJ27" i="1"/>
  <c r="K25" i="7" s="1"/>
  <c r="AJ28" i="1"/>
  <c r="AJ29" i="1"/>
  <c r="K27" i="7" s="1"/>
  <c r="AJ30" i="1"/>
  <c r="AN30" i="1" s="1"/>
  <c r="O28" i="7" s="1"/>
  <c r="AJ31" i="1"/>
  <c r="K29" i="7" s="1"/>
  <c r="AJ32" i="1"/>
  <c r="K30" i="7" s="1"/>
  <c r="AJ33" i="1"/>
  <c r="K31" i="7" s="1"/>
  <c r="AJ34" i="1"/>
  <c r="K32" i="7" s="1"/>
  <c r="AJ35" i="1"/>
  <c r="K33" i="7" s="1"/>
  <c r="AJ37" i="1"/>
  <c r="AJ38" i="1"/>
  <c r="K35" i="7" s="1"/>
  <c r="AJ39" i="1"/>
  <c r="AN39" i="1" s="1"/>
  <c r="O36" i="7" s="1"/>
  <c r="AJ40" i="1"/>
  <c r="K37" i="7" s="1"/>
  <c r="AJ41" i="1"/>
  <c r="K38" i="7" s="1"/>
  <c r="AJ42" i="1"/>
  <c r="K39" i="7" s="1"/>
  <c r="AJ43" i="1"/>
  <c r="K40" i="7" s="1"/>
  <c r="AJ44" i="1"/>
  <c r="K41" i="7" s="1"/>
  <c r="AJ45" i="1"/>
  <c r="AJ46" i="1"/>
  <c r="K43" i="7" s="1"/>
  <c r="AJ47" i="1"/>
  <c r="AN47" i="1" s="1"/>
  <c r="O44" i="7" s="1"/>
  <c r="AJ48" i="1"/>
  <c r="K45" i="7" s="1"/>
  <c r="AJ49" i="1"/>
  <c r="K46" i="7" s="1"/>
  <c r="AJ50" i="1"/>
  <c r="K47" i="7" s="1"/>
  <c r="AJ51" i="1"/>
  <c r="K48" i="7" s="1"/>
  <c r="AJ52" i="1"/>
  <c r="K49" i="7" s="1"/>
  <c r="AJ53" i="1"/>
  <c r="AJ54" i="1"/>
  <c r="K51" i="7" s="1"/>
  <c r="AJ55" i="1"/>
  <c r="AN55" i="1" s="1"/>
  <c r="O52" i="7" s="1"/>
  <c r="AJ56" i="1"/>
  <c r="K53" i="7" s="1"/>
  <c r="AJ57" i="1"/>
  <c r="K54" i="7" s="1"/>
  <c r="V6" i="1"/>
  <c r="V8" i="1"/>
  <c r="V9" i="1"/>
  <c r="V11" i="1"/>
  <c r="V12" i="1"/>
  <c r="V13" i="1"/>
  <c r="V16" i="1"/>
  <c r="V19" i="1"/>
  <c r="V20" i="1"/>
  <c r="V21" i="1"/>
  <c r="V22" i="1"/>
  <c r="V23" i="1"/>
  <c r="V24" i="1"/>
  <c r="V26" i="1"/>
  <c r="V27" i="1"/>
  <c r="V28" i="1"/>
  <c r="V29" i="1"/>
  <c r="V30" i="1"/>
  <c r="V31" i="1"/>
  <c r="V32" i="1"/>
  <c r="V33" i="1"/>
  <c r="V34" i="1"/>
  <c r="V35" i="1"/>
  <c r="V37" i="1"/>
  <c r="V38" i="1"/>
  <c r="V39" i="1"/>
  <c r="V40" i="1"/>
  <c r="V41" i="1"/>
  <c r="V42" i="1"/>
  <c r="V43" i="1"/>
  <c r="V44" i="1"/>
  <c r="V45" i="1"/>
  <c r="V46" i="1"/>
  <c r="V47" i="1"/>
  <c r="V48" i="1"/>
  <c r="V50" i="1"/>
  <c r="V51" i="1"/>
  <c r="V52" i="1"/>
  <c r="V53" i="1"/>
  <c r="V54" i="1"/>
  <c r="V55" i="1"/>
  <c r="V56" i="1"/>
  <c r="V57" i="1"/>
  <c r="V58" i="1"/>
  <c r="V59" i="1"/>
  <c r="V60" i="1"/>
  <c r="V61" i="1"/>
  <c r="V63" i="1"/>
  <c r="V65" i="1"/>
  <c r="V66" i="1"/>
  <c r="V67" i="1"/>
  <c r="V68" i="1"/>
  <c r="V69" i="1"/>
  <c r="V70" i="1"/>
  <c r="V71" i="1"/>
  <c r="V72" i="1"/>
  <c r="V73" i="1"/>
  <c r="V74" i="1"/>
  <c r="W42" i="1" l="1"/>
  <c r="W70" i="1"/>
  <c r="W61" i="1"/>
  <c r="W53" i="1"/>
  <c r="W44" i="1"/>
  <c r="W34" i="1"/>
  <c r="W13" i="1"/>
  <c r="AN43" i="1"/>
  <c r="O40" i="7" s="1"/>
  <c r="W54" i="1"/>
  <c r="W73" i="1"/>
  <c r="W65" i="1"/>
  <c r="W60" i="1"/>
  <c r="W52" i="1"/>
  <c r="W43" i="1"/>
  <c r="W24" i="1"/>
  <c r="W68" i="1"/>
  <c r="W35" i="1"/>
  <c r="K44" i="7"/>
  <c r="W56" i="1"/>
  <c r="W47" i="1"/>
  <c r="W69" i="1"/>
  <c r="W12" i="1"/>
  <c r="W11" i="1"/>
  <c r="W72" i="1"/>
  <c r="W63" i="1"/>
  <c r="W55" i="1"/>
  <c r="W46" i="1"/>
  <c r="W38" i="1"/>
  <c r="W27" i="1"/>
  <c r="W16" i="1"/>
  <c r="K20" i="7"/>
  <c r="AN51" i="1"/>
  <c r="O48" i="7" s="1"/>
  <c r="AN18" i="1"/>
  <c r="O16" i="7" s="1"/>
  <c r="AN53" i="1"/>
  <c r="O50" i="7" s="1"/>
  <c r="AN45" i="1"/>
  <c r="O42" i="7" s="1"/>
  <c r="AN37" i="1"/>
  <c r="O34" i="7" s="1"/>
  <c r="AN28" i="1"/>
  <c r="O26" i="7" s="1"/>
  <c r="AN20" i="1"/>
  <c r="O18" i="7" s="1"/>
  <c r="W26" i="1"/>
  <c r="K17" i="7"/>
  <c r="AN54" i="1"/>
  <c r="O51" i="7" s="1"/>
  <c r="AN46" i="1"/>
  <c r="O43" i="7" s="1"/>
  <c r="AN38" i="1"/>
  <c r="O35" i="7" s="1"/>
  <c r="AN29" i="1"/>
  <c r="O27" i="7" s="1"/>
  <c r="AN21" i="1"/>
  <c r="O19" i="7" s="1"/>
  <c r="AN44" i="1"/>
  <c r="O41" i="7" s="1"/>
  <c r="AN16" i="1"/>
  <c r="O14" i="7" s="1"/>
  <c r="AN11" i="1"/>
  <c r="O9" i="7" s="1"/>
  <c r="AN35" i="1"/>
  <c r="O33" i="7" s="1"/>
  <c r="AN10" i="1"/>
  <c r="O8" i="7" s="1"/>
  <c r="W31" i="1"/>
  <c r="K36" i="7"/>
  <c r="AN34" i="1"/>
  <c r="O32" i="7" s="1"/>
  <c r="AN8" i="1"/>
  <c r="O6" i="7" s="1"/>
  <c r="W67" i="1"/>
  <c r="W58" i="1"/>
  <c r="W50" i="1"/>
  <c r="W41" i="1"/>
  <c r="W30" i="1"/>
  <c r="W22" i="1"/>
  <c r="W9" i="1"/>
  <c r="AN50" i="1"/>
  <c r="O47" i="7" s="1"/>
  <c r="AN42" i="1"/>
  <c r="O39" i="7" s="1"/>
  <c r="AN33" i="1"/>
  <c r="O31" i="7" s="1"/>
  <c r="AN25" i="1"/>
  <c r="O23" i="7" s="1"/>
  <c r="AN15" i="1"/>
  <c r="O13" i="7" s="1"/>
  <c r="AN7" i="1"/>
  <c r="O5" i="7" s="1"/>
  <c r="AN27" i="1"/>
  <c r="O25" i="7" s="1"/>
  <c r="W74" i="1"/>
  <c r="W66" i="1"/>
  <c r="W29" i="1"/>
  <c r="K28" i="7"/>
  <c r="AN14" i="1"/>
  <c r="O12" i="7" s="1"/>
  <c r="AN6" i="1"/>
  <c r="O4" i="7" s="1"/>
  <c r="AN26" i="1"/>
  <c r="O24" i="7" s="1"/>
  <c r="N39" i="7"/>
  <c r="N23" i="7"/>
  <c r="K52" i="7"/>
  <c r="AN56" i="1"/>
  <c r="O53" i="7" s="1"/>
  <c r="AN48" i="1"/>
  <c r="O45" i="7" s="1"/>
  <c r="AN40" i="1"/>
  <c r="O37" i="7" s="1"/>
  <c r="AN31" i="1"/>
  <c r="O29" i="7" s="1"/>
  <c r="AN23" i="1"/>
  <c r="O21" i="7" s="1"/>
  <c r="AN13" i="1"/>
  <c r="O11" i="7" s="1"/>
  <c r="AN52" i="1"/>
  <c r="O49" i="7" s="1"/>
  <c r="N37" i="7"/>
  <c r="N21" i="7"/>
  <c r="N5" i="7"/>
  <c r="N12" i="7"/>
  <c r="N4" i="7"/>
  <c r="K50" i="7"/>
  <c r="K42" i="7"/>
  <c r="K34" i="7"/>
  <c r="K26" i="7"/>
  <c r="K18" i="7"/>
  <c r="K10" i="7"/>
  <c r="O3" i="7"/>
  <c r="AN17" i="1"/>
  <c r="O15" i="7" s="1"/>
  <c r="AN9" i="1"/>
  <c r="O7" i="7" s="1"/>
  <c r="N51" i="7"/>
  <c r="N43" i="7"/>
  <c r="N35" i="7"/>
  <c r="N27" i="7"/>
  <c r="N19" i="7"/>
  <c r="N11" i="7"/>
  <c r="AN57" i="1"/>
  <c r="O54" i="7" s="1"/>
  <c r="AN41" i="1"/>
  <c r="O38" i="7" s="1"/>
  <c r="AN32" i="1"/>
  <c r="O30" i="7" s="1"/>
  <c r="AN24" i="1"/>
  <c r="O22" i="7" s="1"/>
  <c r="AN49" i="1"/>
  <c r="O46" i="7" s="1"/>
  <c r="S12" i="2"/>
  <c r="S34" i="2"/>
  <c r="S8" i="2"/>
  <c r="S33" i="2"/>
  <c r="S9" i="2"/>
  <c r="S10" i="2"/>
  <c r="S19" i="2"/>
  <c r="S21" i="2"/>
  <c r="S45" i="2"/>
  <c r="S22" i="2"/>
  <c r="S46" i="2"/>
  <c r="S43" i="2"/>
  <c r="S7" i="2"/>
  <c r="S20" i="2"/>
  <c r="S32" i="2"/>
  <c r="S44" i="2"/>
  <c r="S13" i="2"/>
  <c r="S25" i="2"/>
  <c r="S37" i="2"/>
  <c r="S11" i="2"/>
  <c r="S14" i="2"/>
  <c r="S26" i="2"/>
  <c r="S38" i="2"/>
  <c r="S29" i="2"/>
  <c r="S15" i="2"/>
  <c r="S27" i="2"/>
  <c r="S39" i="2"/>
  <c r="S16" i="2"/>
  <c r="S28" i="2"/>
  <c r="S40" i="2"/>
  <c r="S24" i="2"/>
  <c r="S36" i="2"/>
  <c r="S48" i="2"/>
  <c r="S6" i="2"/>
  <c r="S17" i="2"/>
  <c r="S41" i="2"/>
  <c r="S18" i="2"/>
  <c r="S30" i="2"/>
  <c r="S42" i="2"/>
  <c r="S4" i="2"/>
  <c r="S23" i="2"/>
  <c r="S35" i="2"/>
  <c r="S47" i="2"/>
  <c r="K56" i="2"/>
  <c r="M56" i="2" s="1"/>
  <c r="J56" i="2"/>
  <c r="K55" i="2"/>
  <c r="M55" i="2" s="1"/>
  <c r="J55" i="2"/>
  <c r="M54" i="2"/>
  <c r="K53" i="2"/>
  <c r="M53" i="2" s="1"/>
  <c r="J53" i="2"/>
  <c r="K52" i="2"/>
  <c r="M52" i="2" s="1"/>
  <c r="J52" i="2"/>
  <c r="K51" i="2"/>
  <c r="M51" i="2" s="1"/>
  <c r="J51" i="2"/>
  <c r="K50" i="2"/>
  <c r="M50" i="2" s="1"/>
  <c r="J50" i="2"/>
  <c r="K49" i="2"/>
  <c r="M49" i="2" s="1"/>
  <c r="J49" i="2"/>
  <c r="M48" i="2"/>
  <c r="L48" i="2"/>
  <c r="M47" i="2"/>
  <c r="L47" i="2"/>
  <c r="M46" i="2"/>
  <c r="L46" i="2"/>
  <c r="M45" i="2"/>
  <c r="L45" i="2"/>
  <c r="M44" i="2"/>
  <c r="L44" i="2"/>
  <c r="P44" i="2" s="1"/>
  <c r="M43" i="2"/>
  <c r="L43" i="2"/>
  <c r="M42" i="2"/>
  <c r="L42" i="2"/>
  <c r="M41" i="2"/>
  <c r="L41" i="2"/>
  <c r="M40" i="2"/>
  <c r="L40" i="2"/>
  <c r="P40" i="2" s="1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P32" i="2" s="1"/>
  <c r="M31" i="2"/>
  <c r="L31" i="2"/>
  <c r="M30" i="2"/>
  <c r="L30" i="2"/>
  <c r="M29" i="2"/>
  <c r="L29" i="2"/>
  <c r="M28" i="2"/>
  <c r="L28" i="2"/>
  <c r="P28" i="2" s="1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P20" i="2" s="1"/>
  <c r="M19" i="2"/>
  <c r="L19" i="2"/>
  <c r="M18" i="2"/>
  <c r="L18" i="2"/>
  <c r="M17" i="2"/>
  <c r="L17" i="2"/>
  <c r="M16" i="2"/>
  <c r="L16" i="2"/>
  <c r="P16" i="2" s="1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P8" i="2" s="1"/>
  <c r="M7" i="2"/>
  <c r="L7" i="2"/>
  <c r="M6" i="2"/>
  <c r="L6" i="2"/>
  <c r="M5" i="2"/>
  <c r="L5" i="2"/>
  <c r="M4" i="2"/>
  <c r="L4" i="2"/>
  <c r="P4" i="2" s="1"/>
  <c r="P9" i="2" l="1"/>
  <c r="P13" i="2"/>
  <c r="P21" i="2"/>
  <c r="P25" i="2"/>
  <c r="P33" i="2"/>
  <c r="P37" i="2"/>
  <c r="P45" i="2"/>
  <c r="P10" i="2"/>
  <c r="P14" i="2"/>
  <c r="P22" i="2"/>
  <c r="P26" i="2"/>
  <c r="P34" i="2"/>
  <c r="P38" i="2"/>
  <c r="P46" i="2"/>
  <c r="P7" i="2"/>
  <c r="P15" i="2"/>
  <c r="P19" i="2"/>
  <c r="P27" i="2"/>
  <c r="P31" i="2"/>
  <c r="P39" i="2"/>
  <c r="P43" i="2"/>
  <c r="P5" i="2"/>
  <c r="P11" i="2"/>
  <c r="P17" i="2"/>
  <c r="P23" i="2"/>
  <c r="P29" i="2"/>
  <c r="P35" i="2"/>
  <c r="P41" i="2"/>
  <c r="P47" i="2"/>
  <c r="L51" i="2"/>
  <c r="P51" i="2" s="1"/>
  <c r="B18" i="7" s="1"/>
  <c r="R51" i="2"/>
  <c r="L50" i="2"/>
  <c r="P50" i="2" s="1"/>
  <c r="B17" i="7" s="1"/>
  <c r="R50" i="2"/>
  <c r="L55" i="2"/>
  <c r="P55" i="2" s="1"/>
  <c r="R55" i="2"/>
  <c r="S55" i="2" s="1"/>
  <c r="L52" i="2"/>
  <c r="P52" i="2" s="1"/>
  <c r="B19" i="7" s="1"/>
  <c r="R52" i="2"/>
  <c r="L49" i="2"/>
  <c r="P49" i="2" s="1"/>
  <c r="R49" i="2"/>
  <c r="S49" i="2" s="1"/>
  <c r="L56" i="2"/>
  <c r="P56" i="2" s="1"/>
  <c r="R56" i="2"/>
  <c r="S56" i="2" s="1"/>
  <c r="L53" i="2"/>
  <c r="P53" i="2" s="1"/>
  <c r="R53" i="2"/>
  <c r="S53" i="2" s="1"/>
  <c r="P6" i="2"/>
  <c r="P12" i="2"/>
  <c r="P18" i="2"/>
  <c r="P24" i="2"/>
  <c r="P30" i="2"/>
  <c r="P36" i="2"/>
  <c r="P42" i="2"/>
  <c r="P48" i="2"/>
  <c r="L54" i="2"/>
  <c r="P54" i="2" s="1"/>
  <c r="S51" i="2" l="1"/>
  <c r="D18" i="7"/>
  <c r="S50" i="2"/>
  <c r="D17" i="7"/>
  <c r="S52" i="2"/>
  <c r="D19" i="7"/>
</calcChain>
</file>

<file path=xl/sharedStrings.xml><?xml version="1.0" encoding="utf-8"?>
<sst xmlns="http://schemas.openxmlformats.org/spreadsheetml/2006/main" count="720" uniqueCount="399">
  <si>
    <t>Column Labels</t>
  </si>
  <si>
    <t>Rx Share 23-24</t>
  </si>
  <si>
    <t>Rx Share 24-25</t>
  </si>
  <si>
    <t>Rx Yield 24-25</t>
  </si>
  <si>
    <t>Rx Yield 23-24</t>
  </si>
  <si>
    <t>Rx Penetration 23-24</t>
  </si>
  <si>
    <t>Rx Penetration 24-25</t>
  </si>
  <si>
    <t>Broader market</t>
  </si>
  <si>
    <t>FY 23-24</t>
  </si>
  <si>
    <t>FY 23-24 Sum of Count Rx</t>
  </si>
  <si>
    <t>FY 23-24 Sum of Count of Dr. Code</t>
  </si>
  <si>
    <t>FY 24-25</t>
  </si>
  <si>
    <t>FY 24-25 Sum of Count Rx</t>
  </si>
  <si>
    <t>FY 24-25 Sum of Count of Dr. Code</t>
  </si>
  <si>
    <t>Total Sum of Count Rx</t>
  </si>
  <si>
    <t>Total Sum of Count of Dr. Code</t>
  </si>
  <si>
    <t>FY 22-23</t>
  </si>
  <si>
    <t>FY 25-26</t>
  </si>
  <si>
    <t>Competitors</t>
  </si>
  <si>
    <t>Synovia</t>
  </si>
  <si>
    <t>Row Labels</t>
  </si>
  <si>
    <t>Sum of Count Rx</t>
  </si>
  <si>
    <t>Sum of Count of Dr. Code</t>
  </si>
  <si>
    <t>Count of Dr. Code</t>
  </si>
  <si>
    <t>Sum of Count of Dr Code</t>
  </si>
  <si>
    <t xml:space="preserve"> Sum of Count Rx</t>
  </si>
  <si>
    <t>Total Sum of Dr. Code</t>
  </si>
  <si>
    <t>AMARYL</t>
  </si>
  <si>
    <t>Amaryl</t>
  </si>
  <si>
    <t>AMARYL M</t>
  </si>
  <si>
    <t>Apidra</t>
  </si>
  <si>
    <t>APIDRA</t>
  </si>
  <si>
    <t>Avil</t>
  </si>
  <si>
    <t>AVAXIM</t>
  </si>
  <si>
    <t>Betanol</t>
  </si>
  <si>
    <t>AVIL</t>
  </si>
  <si>
    <t>Brodactam</t>
  </si>
  <si>
    <t>BETANOL</t>
  </si>
  <si>
    <t>Butapan</t>
  </si>
  <si>
    <t>BETANOL A</t>
  </si>
  <si>
    <t>Carbanem</t>
  </si>
  <si>
    <t>BRODACTAM</t>
  </si>
  <si>
    <t>CopiXa</t>
  </si>
  <si>
    <t>BUTAPAN</t>
  </si>
  <si>
    <t>Curazith</t>
  </si>
  <si>
    <t>CARBANEM</t>
  </si>
  <si>
    <t>Enterogermina</t>
  </si>
  <si>
    <t>CDENS</t>
  </si>
  <si>
    <t>Epilim</t>
  </si>
  <si>
    <t>COPIXA</t>
  </si>
  <si>
    <t>ERTU</t>
  </si>
  <si>
    <t>CURAZITH</t>
  </si>
  <si>
    <t>EXPRES</t>
  </si>
  <si>
    <t>DOXOVIA</t>
  </si>
  <si>
    <t>Farpem</t>
  </si>
  <si>
    <t>ELOXATIN</t>
  </si>
  <si>
    <t>Fimoxyclav</t>
  </si>
  <si>
    <t>ENDOXAN</t>
  </si>
  <si>
    <t>Fimoxyl</t>
  </si>
  <si>
    <t>ENTEROGERMINA</t>
  </si>
  <si>
    <t>Flagyl</t>
  </si>
  <si>
    <t>EPILIM</t>
  </si>
  <si>
    <t>Frisium</t>
  </si>
  <si>
    <t>Gavisyn</t>
  </si>
  <si>
    <t>ESCAP</t>
  </si>
  <si>
    <t>Imovane</t>
  </si>
  <si>
    <t>INCRIT</t>
  </si>
  <si>
    <t>FARPEM</t>
  </si>
  <si>
    <t>Kuracef</t>
  </si>
  <si>
    <t>FIMOXYCLAV</t>
  </si>
  <si>
    <t>Lantus</t>
  </si>
  <si>
    <t>FIMOXYL</t>
  </si>
  <si>
    <t>Lasix</t>
  </si>
  <si>
    <t>FLAGYL</t>
  </si>
  <si>
    <t>Leveron</t>
  </si>
  <si>
    <t>FRISIUM</t>
  </si>
  <si>
    <t>Luzol</t>
  </si>
  <si>
    <t>GAVISYN</t>
  </si>
  <si>
    <t>Metsa</t>
  </si>
  <si>
    <t>IMOVANE</t>
  </si>
  <si>
    <t>Monfast</t>
  </si>
  <si>
    <t>Oracyn-K</t>
  </si>
  <si>
    <t>INCRIT M</t>
  </si>
  <si>
    <t>Orva</t>
  </si>
  <si>
    <t>KURACEF</t>
  </si>
  <si>
    <t>Ovenox</t>
  </si>
  <si>
    <t>LANTUS+TOUJEO</t>
  </si>
  <si>
    <t>Pevisone</t>
  </si>
  <si>
    <t>LASILACTONE</t>
  </si>
  <si>
    <t>Phenergan Plus</t>
  </si>
  <si>
    <t>LASIX</t>
  </si>
  <si>
    <t>Profenid</t>
  </si>
  <si>
    <t>LEVERON</t>
  </si>
  <si>
    <t>Qpine</t>
  </si>
  <si>
    <t>LUZOL</t>
  </si>
  <si>
    <t>Renvela</t>
  </si>
  <si>
    <t>METSA</t>
  </si>
  <si>
    <t>Respite</t>
  </si>
  <si>
    <t>MONFAST</t>
  </si>
  <si>
    <t>Rozenon</t>
  </si>
  <si>
    <t>ORACYN K</t>
  </si>
  <si>
    <t>Sacutril</t>
  </si>
  <si>
    <t>ORVA</t>
  </si>
  <si>
    <t>Sandom</t>
  </si>
  <si>
    <t>OVENOX</t>
  </si>
  <si>
    <t>Sefrad</t>
  </si>
  <si>
    <t>PEVARYL</t>
  </si>
  <si>
    <t>Sefurox</t>
  </si>
  <si>
    <t>PEVISONE</t>
  </si>
  <si>
    <t>Sperdal</t>
  </si>
  <si>
    <t>PHENERGAN PLUS</t>
  </si>
  <si>
    <t>Stemetil</t>
  </si>
  <si>
    <t>PRAZAN</t>
  </si>
  <si>
    <t>Synkolin</t>
  </si>
  <si>
    <t>PROFENID</t>
  </si>
  <si>
    <t>Targocid</t>
  </si>
  <si>
    <t>QPINE</t>
  </si>
  <si>
    <t>Telfast</t>
  </si>
  <si>
    <t>RENVELA</t>
  </si>
  <si>
    <t>Toujeo</t>
  </si>
  <si>
    <t>RESPITE</t>
  </si>
  <si>
    <t>Tritace</t>
  </si>
  <si>
    <t>RETIN A</t>
  </si>
  <si>
    <t>Vaxigrip Tetra SH</t>
  </si>
  <si>
    <t>ROZENON</t>
  </si>
  <si>
    <t>Vortiox</t>
  </si>
  <si>
    <t>SACUTRIL</t>
  </si>
  <si>
    <t>VTAPA</t>
  </si>
  <si>
    <t>SANDOM</t>
  </si>
  <si>
    <t>Xerosec</t>
  </si>
  <si>
    <t>SEFRAD</t>
  </si>
  <si>
    <t>SEFUROX</t>
  </si>
  <si>
    <t>SPERDAL</t>
  </si>
  <si>
    <t>STEMETIL</t>
  </si>
  <si>
    <t>SYNKOLIN</t>
  </si>
  <si>
    <t>TARGOCID</t>
  </si>
  <si>
    <t>TAXOTERE</t>
  </si>
  <si>
    <t>TELFAST</t>
  </si>
  <si>
    <t>TRENTAL</t>
  </si>
  <si>
    <t>TRITACE</t>
  </si>
  <si>
    <t>TYPHIM</t>
  </si>
  <si>
    <t>VAXIGRIP</t>
  </si>
  <si>
    <t>VERORAB</t>
  </si>
  <si>
    <t>VORTIOX</t>
  </si>
  <si>
    <t>XEROSEC</t>
  </si>
  <si>
    <t>Grand Total</t>
  </si>
  <si>
    <t>LC TK</t>
  </si>
  <si>
    <t>Selected Market</t>
  </si>
  <si>
    <t>Brand to Molecule</t>
  </si>
  <si>
    <t>Molecule to TC III MS</t>
  </si>
  <si>
    <t>TCI/ II/III</t>
  </si>
  <si>
    <t>TC IV</t>
  </si>
  <si>
    <t>Molecule</t>
  </si>
  <si>
    <t>Revised Brand</t>
  </si>
  <si>
    <t>BRAND</t>
  </si>
  <si>
    <t>MAT Q2'25</t>
  </si>
  <si>
    <t>MAT Q2'24</t>
  </si>
  <si>
    <t xml:space="preserve"> CEPHALOSPORINS &amp; COMBS</t>
  </si>
  <si>
    <t xml:space="preserve">  CEPHALOSPORINS ORAL</t>
  </si>
  <si>
    <t xml:space="preserve">   CEFUROXIME AXETIL</t>
  </si>
  <si>
    <t xml:space="preserve">    SEFUROX            S.Y</t>
  </si>
  <si>
    <t xml:space="preserve">  INTESTINAL DISORDER PROD</t>
  </si>
  <si>
    <t xml:space="preserve">  ANTIDIARR MICRO-ORGANISMS</t>
  </si>
  <si>
    <t xml:space="preserve">   BACILLUS CLAUSII</t>
  </si>
  <si>
    <t xml:space="preserve">    ENTEROGERMINA      S.Y</t>
  </si>
  <si>
    <t xml:space="preserve"> ANTIDIARR MICRO-ORGANISMS</t>
  </si>
  <si>
    <t xml:space="preserve"> ANTIULCERANTS</t>
  </si>
  <si>
    <t xml:space="preserve">  PROTON PUMP INHIBITORS</t>
  </si>
  <si>
    <t xml:space="preserve">   OMEPRAZOLE</t>
  </si>
  <si>
    <t xml:space="preserve">    XEROSEC            S.Y</t>
  </si>
  <si>
    <t xml:space="preserve">   RABEPRAZOLE</t>
  </si>
  <si>
    <t xml:space="preserve">    RESPITE            S.Y</t>
  </si>
  <si>
    <t xml:space="preserve">   CEFIXIME</t>
  </si>
  <si>
    <t xml:space="preserve">    KURACEF            S.Y</t>
  </si>
  <si>
    <t xml:space="preserve">   CEFUROXIME AXETIL+CLAVULANIC ACID</t>
  </si>
  <si>
    <t xml:space="preserve">   CEFRADINE</t>
  </si>
  <si>
    <t xml:space="preserve">    SEFRAD             S.Y</t>
  </si>
  <si>
    <t xml:space="preserve"> LIPID-REGULATING PRODS</t>
  </si>
  <si>
    <t xml:space="preserve">  STATINS (HMG-COA RED)</t>
  </si>
  <si>
    <t xml:space="preserve">   ATORVASTATIN</t>
  </si>
  <si>
    <t xml:space="preserve">    ORVA               S.Y</t>
  </si>
  <si>
    <t xml:space="preserve">  DPP-IV INH &amp; BIGUAN COMB</t>
  </si>
  <si>
    <t xml:space="preserve">  DPP-IV INH A-DIAB PLAIN</t>
  </si>
  <si>
    <t xml:space="preserve">   SITAGLIPTIN, METFORMIN+SITAGLIPTIN</t>
  </si>
  <si>
    <t xml:space="preserve">    INCRIT+M             S.Y</t>
  </si>
  <si>
    <t xml:space="preserve">   SITAGLIPTIN</t>
  </si>
  <si>
    <t xml:space="preserve"> HUMAN INSULIN+ANALOGUES</t>
  </si>
  <si>
    <t xml:space="preserve">  H INSUL+ANA LONG ACT</t>
  </si>
  <si>
    <t xml:space="preserve">   INSULIN GLARGINE</t>
  </si>
  <si>
    <t xml:space="preserve">    LANTUS             S.Y</t>
  </si>
  <si>
    <t xml:space="preserve">    TOUJEO             S.Y</t>
  </si>
  <si>
    <t xml:space="preserve"> ANTILEUK ANTI-ASTHMATICS</t>
  </si>
  <si>
    <t xml:space="preserve">  ANTILEUK ANTI-ASTHM SYS</t>
  </si>
  <si>
    <t xml:space="preserve">   DAPAGLIFLOZIN</t>
  </si>
  <si>
    <t xml:space="preserve">    ERTU               S.Y</t>
  </si>
  <si>
    <t xml:space="preserve">   SGLT2 INHIB A-DIAB PLAIN</t>
  </si>
  <si>
    <t xml:space="preserve">  ANTI-ASTHMA &amp; COPD PROD</t>
  </si>
  <si>
    <t xml:space="preserve">   MONTELUKAST</t>
  </si>
  <si>
    <t xml:space="preserve">    MONFAST            S.Y</t>
  </si>
  <si>
    <t xml:space="preserve">   LEVETIRACETAM</t>
  </si>
  <si>
    <t xml:space="preserve">    LEVERON            S.Y</t>
  </si>
  <si>
    <t xml:space="preserve"> GABAPENTINOID PRODUCTS</t>
  </si>
  <si>
    <t xml:space="preserve">  GABAPENTINOID PRODUCTS</t>
  </si>
  <si>
    <t xml:space="preserve">   MIROGABALIN</t>
  </si>
  <si>
    <t xml:space="preserve">    SYNKOLIN           S.Y</t>
  </si>
  <si>
    <t xml:space="preserve">  DRUGS USED IN DIABETES</t>
  </si>
  <si>
    <t xml:space="preserve">   SULPHONYLUREA A-DIABS+BIGUANIDE &amp; S-UREA COMBS</t>
  </si>
  <si>
    <t xml:space="preserve">   GLIMEPIRIDE &amp;</t>
  </si>
  <si>
    <t xml:space="preserve">    AMARYL+M           S.Y</t>
  </si>
  <si>
    <t xml:space="preserve"> BETA BLOCKING AGENT PLAIN</t>
  </si>
  <si>
    <t xml:space="preserve">  BETA BLOCKING AGENT PLAIN</t>
  </si>
  <si>
    <t xml:space="preserve">   ATENOLOL</t>
  </si>
  <si>
    <t xml:space="preserve">    BETANOL            S.Y</t>
  </si>
  <si>
    <t xml:space="preserve">  FUNCTL.GI DISORDER DRUG</t>
  </si>
  <si>
    <t xml:space="preserve">  GASTROPROKINETICS</t>
  </si>
  <si>
    <t xml:space="preserve">    DOMPERIDONE</t>
  </si>
  <si>
    <t xml:space="preserve">    SANDOM             S.Y</t>
  </si>
  <si>
    <t xml:space="preserve">   DOMPERIDONE</t>
  </si>
  <si>
    <t xml:space="preserve"> ANTACIDS ANTIFLATULENTS</t>
  </si>
  <si>
    <t xml:space="preserve">  PLAIN ANTACIDS</t>
  </si>
  <si>
    <t xml:space="preserve">   ALGINIC ACID+CALCIUM+SODIUM</t>
  </si>
  <si>
    <t xml:space="preserve">    GAVISYN            S.Y</t>
  </si>
  <si>
    <t xml:space="preserve"> ANTIDEPRESS.&amp; MOOD STAB.</t>
  </si>
  <si>
    <t xml:space="preserve">  SSRI ANTIDEPRESSANTS</t>
  </si>
  <si>
    <t xml:space="preserve">   ESCITALOPRAM</t>
  </si>
  <si>
    <t xml:space="preserve">    EXPRES             S.Y</t>
  </si>
  <si>
    <t xml:space="preserve">  ANTIDEPRESSANTS ALL OTH</t>
  </si>
  <si>
    <t xml:space="preserve">   VORTIOXETINE</t>
  </si>
  <si>
    <t xml:space="preserve">    VORTIOX            S.Y</t>
  </si>
  <si>
    <t xml:space="preserve"> BROAD SPECTRUM PENICILLIN</t>
  </si>
  <si>
    <t xml:space="preserve">  BROAD SPECT PENICILL ORAL</t>
  </si>
  <si>
    <t xml:space="preserve">   AMOXICILLIN</t>
  </si>
  <si>
    <t xml:space="preserve">    FIMOXYL            S.Y</t>
  </si>
  <si>
    <t xml:space="preserve">  BROAD SPECT PENICILL INJ</t>
  </si>
  <si>
    <t xml:space="preserve">   PIPERACILLIN+TAZOBACTAM</t>
  </si>
  <si>
    <t xml:space="preserve">    BRODACTAM          S.Y</t>
  </si>
  <si>
    <t xml:space="preserve"> TOP CORTICOSTEROIDS COMBS</t>
  </si>
  <si>
    <t xml:space="preserve">  WITH ANTIFUNGALS</t>
  </si>
  <si>
    <t xml:space="preserve">   ECONAZOLE+TRIAMCINOLONE ACETONIDE</t>
  </si>
  <si>
    <t xml:space="preserve">    PEVISONE           S.Y</t>
  </si>
  <si>
    <t xml:space="preserve"> MED+NARROW SPECTRUM PENIC</t>
  </si>
  <si>
    <t xml:space="preserve">  MED/NARROW SPECT PEN PLAI</t>
  </si>
  <si>
    <t xml:space="preserve">   PENICILLIN V</t>
  </si>
  <si>
    <t xml:space="preserve">    ORACYN K           S.Y</t>
  </si>
  <si>
    <t xml:space="preserve">  BIGUANIDE A-DIABS PLAIN</t>
  </si>
  <si>
    <t xml:space="preserve">   METFORMIN</t>
  </si>
  <si>
    <t xml:space="preserve">    METSA              S.Y</t>
  </si>
  <si>
    <t xml:space="preserve"> ANTIFUNGALS DERMATOLOGICL</t>
  </si>
  <si>
    <t xml:space="preserve">  TOPICAL DERMAT ANTIFUNGAL</t>
  </si>
  <si>
    <t xml:space="preserve">   LULICONAZOLE</t>
  </si>
  <si>
    <t xml:space="preserve">    LUZOL              S.Y</t>
  </si>
  <si>
    <t xml:space="preserve"> OTHER ANTIBACTERIALS</t>
  </si>
  <si>
    <t xml:space="preserve">  ALL OTHER ANTIBACTERIALS</t>
  </si>
  <si>
    <t xml:space="preserve">   TEICOPLANIN</t>
  </si>
  <si>
    <t xml:space="preserve">    TARGOCID           S.Y</t>
  </si>
  <si>
    <t xml:space="preserve"> ANTISPASM+ANTICHOL PLAIN</t>
  </si>
  <si>
    <t xml:space="preserve">  ANTISPASM+ANTICHOL PLAIN</t>
  </si>
  <si>
    <t xml:space="preserve">   SCOPOLAMINE BUTYL HYDROXIDE</t>
  </si>
  <si>
    <t xml:space="preserve">    BUTAPAN            S.Y</t>
  </si>
  <si>
    <t xml:space="preserve"> ANTIEMETICS+ANTINAUSEANTS</t>
  </si>
  <si>
    <t xml:space="preserve">  OTHER A-EMETIC+A-NAUSEA</t>
  </si>
  <si>
    <t xml:space="preserve">   PROCHLORPERAZINE</t>
  </si>
  <si>
    <t xml:space="preserve">    STEMETIL           S.Y</t>
  </si>
  <si>
    <t xml:space="preserve">  SEROT ANTAG A-EMET+A-NAUS</t>
  </si>
  <si>
    <t xml:space="preserve">   QUETIAPINE</t>
  </si>
  <si>
    <t xml:space="preserve">    QPINE              S.Y</t>
  </si>
  <si>
    <t xml:space="preserve"> ANTIPSYCHOTICS</t>
  </si>
  <si>
    <t xml:space="preserve">  ATYPICAL ANTIPSYCHOTICS</t>
  </si>
  <si>
    <t xml:space="preserve">   RISPERIDONE</t>
  </si>
  <si>
    <t xml:space="preserve">    SPERDAL            S.Y</t>
  </si>
  <si>
    <t xml:space="preserve">  POT SPARING AGENTS PLAIN</t>
  </si>
  <si>
    <t xml:space="preserve">  THIAZIDES+ANALOGUES PLAIN</t>
  </si>
  <si>
    <t xml:space="preserve">   FUROSEMIDE</t>
  </si>
  <si>
    <t xml:space="preserve">    LASIX              S.Y</t>
  </si>
  <si>
    <t xml:space="preserve">  PSYCHOLEPTICS</t>
  </si>
  <si>
    <t xml:space="preserve"> TRANQUILLIZERS</t>
  </si>
  <si>
    <t xml:space="preserve">   CLOBAZAM</t>
  </si>
  <si>
    <t xml:space="preserve">    FRISIUM            S.Y</t>
  </si>
  <si>
    <t xml:space="preserve"> ECTOPARAS.INCL SCABICIDE</t>
  </si>
  <si>
    <t xml:space="preserve">  ECTOPARAS.INCL SCABICIDE</t>
  </si>
  <si>
    <t xml:space="preserve">   MEROPENEM</t>
  </si>
  <si>
    <t xml:space="preserve">    CARBANEM           S.Y</t>
  </si>
  <si>
    <t xml:space="preserve"> OTH B-LACTAM EX PEN,CEPH</t>
  </si>
  <si>
    <t xml:space="preserve">  PENEMS AND CARBAPENEMS</t>
  </si>
  <si>
    <t xml:space="preserve">   FAROPENEM</t>
  </si>
  <si>
    <t xml:space="preserve">    FARPEM             S.Y</t>
  </si>
  <si>
    <t xml:space="preserve"> TRICHOMONACIDES+ANAEROBICIDES+AMOEBICIDES</t>
  </si>
  <si>
    <t xml:space="preserve">   METRONIDAZOLE</t>
  </si>
  <si>
    <t xml:space="preserve">    FLAGYL             S.Y</t>
  </si>
  <si>
    <t xml:space="preserve"> ANTIRHEUMATIC NON-STEROID+TOP A-RHEUMATICS &amp; ANALG</t>
  </si>
  <si>
    <t xml:space="preserve">  ANTIRHEUMATICS NON-S PLN+TOP A-RHEUMATICS &amp; ANALG</t>
  </si>
  <si>
    <t xml:space="preserve">   KETOPROFEN</t>
  </si>
  <si>
    <t xml:space="preserve">    PROFENID           S.Y</t>
  </si>
  <si>
    <t xml:space="preserve">   KETOPROFEN+NAPROXEN+ACECLOFENAC+DICLOFENAC</t>
  </si>
  <si>
    <t xml:space="preserve"> ANGIOTEN-II ANTAG, COMB</t>
  </si>
  <si>
    <t xml:space="preserve">  AT2 ANTG COMB OTH DRUGS</t>
  </si>
  <si>
    <t xml:space="preserve">   SACUBITRIL+VALSARTAN</t>
  </si>
  <si>
    <t xml:space="preserve">    SACUTRIL           S.Y</t>
  </si>
  <si>
    <t xml:space="preserve">   ROSUVASTATIN</t>
  </si>
  <si>
    <t xml:space="preserve">    ROZENON            S.Y</t>
  </si>
  <si>
    <t xml:space="preserve"> RESPIRATORY SYSTEM</t>
  </si>
  <si>
    <t xml:space="preserve">  ANTIHISTAMINES SYSTEMIC</t>
  </si>
  <si>
    <t xml:space="preserve">   FEXOFENADINE</t>
  </si>
  <si>
    <t xml:space="preserve">    TELFAST            S.Y</t>
  </si>
  <si>
    <t xml:space="preserve"> ANTIHISTAMINES SYSTEMIC</t>
  </si>
  <si>
    <t xml:space="preserve">   DIPHENHYDRAMINE</t>
  </si>
  <si>
    <t xml:space="preserve">    AVIL               S.Y</t>
  </si>
  <si>
    <t xml:space="preserve">  H INSUL+ANA FAST ACT</t>
  </si>
  <si>
    <t xml:space="preserve">   INSULIN GLULISINE</t>
  </si>
  <si>
    <t xml:space="preserve">    APIDRA             S.Y</t>
  </si>
  <si>
    <t xml:space="preserve"> TOP ANTIPSORIASIS PRDS</t>
  </si>
  <si>
    <t xml:space="preserve">  TOP ANTIPSORIASIS PRDS</t>
  </si>
  <si>
    <t xml:space="preserve">   TAPINAROF</t>
  </si>
  <si>
    <t xml:space="preserve">    VTAPA              S.Y</t>
  </si>
  <si>
    <t xml:space="preserve"> DIRECT FACTOR XA INHIBS</t>
  </si>
  <si>
    <t xml:space="preserve">  DIRECT FACTOR XA INHIBS</t>
  </si>
  <si>
    <t xml:space="preserve">   APIXABAN</t>
  </si>
  <si>
    <t xml:space="preserve">    COPIXA             S.Y</t>
  </si>
  <si>
    <t xml:space="preserve">    APIXABAN</t>
  </si>
  <si>
    <t xml:space="preserve">  ANTITHROMBOTIC AGENTS</t>
  </si>
  <si>
    <t xml:space="preserve">  FRACTIONATED HEPARINS</t>
  </si>
  <si>
    <t xml:space="preserve">   ENOXAPARIN SODIUM</t>
  </si>
  <si>
    <t xml:space="preserve">    OVENOX             S.Y</t>
  </si>
  <si>
    <t xml:space="preserve">    HEPARINS</t>
  </si>
  <si>
    <t xml:space="preserve"> ACE INHIBITORS PLAIN</t>
  </si>
  <si>
    <t xml:space="preserve">   RAMIPRIL</t>
  </si>
  <si>
    <t xml:space="preserve">    TRITACE            S.Y</t>
  </si>
  <si>
    <t xml:space="preserve">   AMOXICILLIN+CLAVULANIC ACID</t>
  </si>
  <si>
    <t xml:space="preserve">    FIMOXYCLAV         S.Y</t>
  </si>
  <si>
    <t xml:space="preserve"> ANTI-EPILEPTICS</t>
  </si>
  <si>
    <t xml:space="preserve">   VALPROIC ACID</t>
  </si>
  <si>
    <t xml:space="preserve">    EPILIM CHRONO      S.Y</t>
  </si>
  <si>
    <t xml:space="preserve"> VIRAL VACCINES</t>
  </si>
  <si>
    <t xml:space="preserve">  INFLUENZA VACCINES</t>
  </si>
  <si>
    <t xml:space="preserve">    VAXIGRIP           S.Y</t>
  </si>
  <si>
    <t xml:space="preserve"> MACROLIDES &amp; SIMILAR TYPE</t>
  </si>
  <si>
    <t xml:space="preserve">   AZITHROMYCIN</t>
  </si>
  <si>
    <t xml:space="preserve">    CURAZITH           S.Y</t>
  </si>
  <si>
    <t xml:space="preserve"> SYSTEMIC NASAL PREPS</t>
  </si>
  <si>
    <t xml:space="preserve">    PHENERGAN PLUS     S.Y</t>
  </si>
  <si>
    <t xml:space="preserve"> HYPERKAL.HYPERPHOS.PRODS</t>
  </si>
  <si>
    <t xml:space="preserve">   SEVELAMER</t>
  </si>
  <si>
    <t xml:space="preserve">    RENVELA            S.Y</t>
  </si>
  <si>
    <t xml:space="preserve"> HYPNOTICS &amp; SEDATIVES</t>
  </si>
  <si>
    <t xml:space="preserve">   ZOPICLONE</t>
  </si>
  <si>
    <t xml:space="preserve">    IMOVANE            S.Y</t>
  </si>
  <si>
    <t>Rx Share Growth</t>
  </si>
  <si>
    <t>Rx Yield Growth</t>
  </si>
  <si>
    <t>Rx Penetration Growth</t>
  </si>
  <si>
    <t>Rx Share</t>
  </si>
  <si>
    <t>Rx Yield</t>
  </si>
  <si>
    <t>Rx Penetration</t>
  </si>
  <si>
    <t>IQVIA</t>
  </si>
  <si>
    <t>1. IQVIA Market Share Growth%</t>
  </si>
  <si>
    <t>2. IQVIA Growth%</t>
  </si>
  <si>
    <t>3. IQVIA Market Position</t>
  </si>
  <si>
    <t>4. Gap from Relevant Market growth</t>
  </si>
  <si>
    <t>Rx</t>
  </si>
  <si>
    <t>1. Rx Share growth</t>
  </si>
  <si>
    <t>2. Rxer penetration growth</t>
  </si>
  <si>
    <t>3. Rx Yield growth</t>
  </si>
  <si>
    <t>Generic Name</t>
  </si>
  <si>
    <t>Aceclofenac</t>
  </si>
  <si>
    <t>Diclofenac Sodium+Misoprostol</t>
  </si>
  <si>
    <t>Diclofenac+Lidocaine Hydrochloride</t>
  </si>
  <si>
    <t>Diclofenac+Liseed Oil+Methyl salicylate+Menthol</t>
  </si>
  <si>
    <t>Ketoprofen</t>
  </si>
  <si>
    <t>Naproxen</t>
  </si>
  <si>
    <t>Diclofenac</t>
  </si>
  <si>
    <t>MS Growth</t>
  </si>
  <si>
    <t>Growth%</t>
  </si>
  <si>
    <t>Mkt Growth</t>
  </si>
  <si>
    <t>Gap from Mkt Growth</t>
  </si>
  <si>
    <t>IQVIA Market position change</t>
  </si>
  <si>
    <t>BBB Brands</t>
  </si>
  <si>
    <t>Position Q2 2025</t>
  </si>
  <si>
    <t>Position Q2 2024</t>
  </si>
  <si>
    <t>Raised to top</t>
  </si>
  <si>
    <t>Maintained Top</t>
  </si>
  <si>
    <t>Improved</t>
  </si>
  <si>
    <t>down</t>
  </si>
  <si>
    <t>Stayed Same</t>
  </si>
  <si>
    <t>Downgraded</t>
  </si>
  <si>
    <t>Copixa</t>
  </si>
  <si>
    <t/>
  </si>
  <si>
    <t>Vaxigrip</t>
  </si>
  <si>
    <t xml:space="preserve"> SYSTEMIC NASAL PREPS+SELECTED ANTITUSSIVES</t>
  </si>
  <si>
    <t>  DEXTROMETHORPHAN+PHENYLEPHRINE+TRIPROLIDINE</t>
  </si>
  <si>
    <t>  DEXTROMETHORPHAN+PSEUDOEPHEDRINE+TRIPROLIDINE</t>
  </si>
  <si>
    <t>  DEXTROMETHORPHAN+GUAIFENESIN</t>
  </si>
  <si>
    <t> SYSTEMIC NASAL PREPS</t>
  </si>
  <si>
    <t>Phenergan Plus Market</t>
  </si>
  <si>
    <t>  DIPHENHYDRAMINE+GUAIFENESIN+LEVOMENTHOL</t>
  </si>
  <si>
    <t>Growth %</t>
  </si>
  <si>
    <t>Gap From Market Growth</t>
  </si>
  <si>
    <t>Market Rx Share Growth</t>
  </si>
  <si>
    <t>Gap From Market Rx Share Growth</t>
  </si>
  <si>
    <t>Gap from Market Rx Share Growth</t>
  </si>
  <si>
    <t>TOUJEO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</si>
</sst>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#,##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AEDFB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5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0" fontId="16" fillId="0" borderId="0" xfId="0" applyFont="1"/>
    <xf numFmtId="0" fontId="19" fillId="33" borderId="0" xfId="0" applyFont="1" applyFill="1"/>
    <xf numFmtId="0" fontId="19" fillId="34" borderId="0" xfId="0" applyFont="1" applyFill="1"/>
    <xf numFmtId="0" fontId="19" fillId="35" borderId="0" xfId="0" applyFont="1" applyFill="1"/>
    <xf numFmtId="0" fontId="19" fillId="36" borderId="0" xfId="0" applyFont="1" applyFill="1"/>
    <xf numFmtId="0" fontId="0" fillId="37" borderId="0" xfId="0" applyFill="1"/>
    <xf numFmtId="0" fontId="0" fillId="38" borderId="0" xfId="0" applyFill="1"/>
    <xf numFmtId="0" fontId="21" fillId="0" borderId="0" xfId="0" applyFont="1"/>
    <xf numFmtId="9" fontId="0" fillId="0" borderId="0" xfId="1" applyFont="1"/>
    <xf numFmtId="10" fontId="0" fillId="0" borderId="0" xfId="1" applyNumberFormat="1" applyFont="1" applyFill="1"/>
    <xf numFmtId="9" fontId="0" fillId="0" borderId="0" xfId="1" applyFont="1" applyFill="1"/>
    <xf numFmtId="10" fontId="0" fillId="0" borderId="0" xfId="0" applyNumberFormat="1"/>
    <xf numFmtId="165" fontId="0" fillId="0" borderId="0" xfId="1" applyNumberFormat="1" applyFont="1" applyFill="1"/>
    <xf numFmtId="164" fontId="0" fillId="0" borderId="0" xfId="43" applyNumberFormat="1" applyFont="1" applyFill="1"/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/>
    <xf numFmtId="3" fontId="0" fillId="0" borderId="0" xfId="0" applyNumberFormat="1"/>
    <xf numFmtId="164" fontId="0" fillId="0" borderId="0" xfId="44" applyNumberFormat="1" applyFont="1"/>
    <xf numFmtId="164" fontId="0" fillId="0" borderId="0" xfId="0" applyNumberFormat="1"/>
    <xf numFmtId="164" fontId="16" fillId="0" borderId="0" xfId="44" applyNumberFormat="1" applyFont="1"/>
    <xf numFmtId="0" fontId="16" fillId="41" borderId="0" xfId="0" applyFont="1" applyFill="1"/>
    <xf numFmtId="0" fontId="0" fillId="42" borderId="0" xfId="0" applyFill="1"/>
    <xf numFmtId="0" fontId="18" fillId="42" borderId="0" xfId="0" applyFont="1" applyFill="1"/>
    <xf numFmtId="164" fontId="0" fillId="42" borderId="0" xfId="43" applyNumberFormat="1" applyFont="1" applyFill="1"/>
    <xf numFmtId="3" fontId="0" fillId="42" borderId="0" xfId="0" applyNumberFormat="1" applyFill="1"/>
    <xf numFmtId="166" fontId="0" fillId="42" borderId="0" xfId="0" applyNumberFormat="1" applyFill="1"/>
    <xf numFmtId="0" fontId="0" fillId="40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164" fontId="0" fillId="43" borderId="0" xfId="44" applyNumberFormat="1" applyFont="1" applyFill="1"/>
    <xf numFmtId="164" fontId="0" fillId="44" borderId="0" xfId="44" applyNumberFormat="1" applyFont="1" applyFill="1"/>
    <xf numFmtId="0" fontId="22" fillId="45" borderId="11" xfId="0" applyFont="1" applyFill="1" applyBorder="1" applyAlignment="1">
      <alignment vertical="center"/>
    </xf>
    <xf numFmtId="0" fontId="22" fillId="45" borderId="12" xfId="0" applyFont="1" applyFill="1" applyBorder="1" applyAlignment="1">
      <alignment horizontal="right" vertical="center"/>
    </xf>
    <xf numFmtId="0" fontId="22" fillId="45" borderId="13" xfId="0" applyFont="1" applyFill="1" applyBorder="1" applyAlignment="1">
      <alignment vertical="center"/>
    </xf>
    <xf numFmtId="0" fontId="22" fillId="45" borderId="14" xfId="0" applyFont="1" applyFill="1" applyBorder="1" applyAlignment="1">
      <alignment horizontal="right" vertical="center"/>
    </xf>
    <xf numFmtId="0" fontId="22" fillId="46" borderId="13" xfId="0" applyFont="1" applyFill="1" applyBorder="1" applyAlignment="1">
      <alignment vertical="center"/>
    </xf>
    <xf numFmtId="0" fontId="22" fillId="46" borderId="14" xfId="0" applyFont="1" applyFill="1" applyBorder="1" applyAlignment="1">
      <alignment horizontal="right" vertical="center"/>
    </xf>
    <xf numFmtId="0" fontId="0" fillId="40" borderId="0" xfId="0" applyFill="1"/>
    <xf numFmtId="0" fontId="0" fillId="40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Comma 10" xfId="43" xr:uid="{12F8866D-7E9C-4266-BAD7-6D4272AF36FA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ynoviapharma-my.sharepoint.com/personal/afsar_hasanjamil_synoviapharma_com/Documents/Desktop/Workfiles_Jamil/Portfolio%20Prioritization%20FY%2025-26/IQVIA_market_data_analysis_Updated.xlsx" TargetMode="External"/><Relationship Id="rId1" Type="http://schemas.openxmlformats.org/officeDocument/2006/relationships/externalLinkPath" Target="https://synoviapharma-my.sharepoint.com/personal/afsar_hasanjamil_synoviapharma_com/Documents/Desktop/Workfiles_Jamil/Portfolio%20Prioritization%20FY%2025-26/IQVIA_market_data_analysis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 refreshError="1">
        <row r="3">
          <cell r="C3" t="str">
            <v>ATC III DESC</v>
          </cell>
          <cell r="D3" t="str">
            <v>MAT ~ 06/2025</v>
          </cell>
          <cell r="E3" t="str">
            <v>MAT ~ 06/2024</v>
          </cell>
        </row>
        <row r="4">
          <cell r="C4" t="str">
            <v>ATC IV DESC</v>
          </cell>
          <cell r="D4" t="str">
            <v>LC-TK</v>
          </cell>
          <cell r="E4" t="str">
            <v>LC-TK</v>
          </cell>
        </row>
        <row r="5">
          <cell r="C5" t="str">
            <v>COMPS DESC</v>
          </cell>
          <cell r="D5" t="str">
            <v>TAKA</v>
          </cell>
          <cell r="E5" t="str">
            <v>TAKA</v>
          </cell>
        </row>
        <row r="6">
          <cell r="C6" t="str">
            <v>PROD DESC</v>
          </cell>
          <cell r="D6" t="str">
            <v xml:space="preserve"> </v>
          </cell>
          <cell r="E6" t="str">
            <v xml:space="preserve"> </v>
          </cell>
        </row>
        <row r="7">
          <cell r="C7" t="str">
            <v xml:space="preserve"> </v>
          </cell>
          <cell r="D7" t="str">
            <v xml:space="preserve"> </v>
          </cell>
          <cell r="E7" t="str">
            <v xml:space="preserve"> </v>
          </cell>
        </row>
        <row r="8">
          <cell r="C8" t="str">
            <v xml:space="preserve"> </v>
          </cell>
          <cell r="D8" t="str">
            <v>+ 000</v>
          </cell>
          <cell r="E8" t="str">
            <v>+ 000</v>
          </cell>
        </row>
        <row r="10">
          <cell r="C10" t="str">
            <v>SELECTED TOTAL</v>
          </cell>
          <cell r="D10">
            <v>249926909</v>
          </cell>
          <cell r="E10">
            <v>222639211</v>
          </cell>
        </row>
        <row r="11">
          <cell r="C11" t="str">
            <v xml:space="preserve"> ANTIULCERANTS</v>
          </cell>
          <cell r="D11">
            <v>46191539</v>
          </cell>
          <cell r="E11">
            <v>41020392</v>
          </cell>
        </row>
        <row r="12">
          <cell r="C12" t="str">
            <v xml:space="preserve">  PROTON PUMP INHIBITORS</v>
          </cell>
          <cell r="D12">
            <v>44658522</v>
          </cell>
          <cell r="E12">
            <v>39724891</v>
          </cell>
        </row>
        <row r="13">
          <cell r="C13" t="str">
            <v xml:space="preserve">   ESOMEPRAZOLE</v>
          </cell>
          <cell r="D13">
            <v>27466830</v>
          </cell>
          <cell r="E13">
            <v>23756088</v>
          </cell>
        </row>
        <row r="14">
          <cell r="C14" t="str">
            <v xml:space="preserve">    SERGEL             HT3</v>
          </cell>
          <cell r="D14">
            <v>9353627</v>
          </cell>
          <cell r="E14">
            <v>8562896</v>
          </cell>
        </row>
        <row r="15">
          <cell r="C15" t="str">
            <v xml:space="preserve">    MAXPRO             RTA</v>
          </cell>
          <cell r="D15">
            <v>5583943</v>
          </cell>
          <cell r="E15">
            <v>4402282</v>
          </cell>
        </row>
        <row r="16">
          <cell r="C16" t="str">
            <v xml:space="preserve">    EXIUM              RD7</v>
          </cell>
          <cell r="D16">
            <v>2781246</v>
          </cell>
          <cell r="E16">
            <v>2268306</v>
          </cell>
        </row>
        <row r="17">
          <cell r="C17" t="str">
            <v xml:space="preserve">    NEXUM              SQA</v>
          </cell>
          <cell r="D17">
            <v>1899113</v>
          </cell>
          <cell r="E17">
            <v>1529864</v>
          </cell>
        </row>
        <row r="18">
          <cell r="C18" t="str">
            <v xml:space="preserve">    ESORAL             ESF</v>
          </cell>
          <cell r="D18">
            <v>1466879</v>
          </cell>
          <cell r="E18">
            <v>1292423</v>
          </cell>
        </row>
        <row r="19">
          <cell r="C19" t="str">
            <v xml:space="preserve">    REMMO              BXM</v>
          </cell>
          <cell r="D19">
            <v>1246454</v>
          </cell>
          <cell r="E19">
            <v>987402</v>
          </cell>
        </row>
        <row r="20">
          <cell r="C20" t="str">
            <v xml:space="preserve">    ESONIX             IAP</v>
          </cell>
          <cell r="D20">
            <v>949933</v>
          </cell>
          <cell r="E20">
            <v>867768</v>
          </cell>
        </row>
        <row r="21">
          <cell r="C21" t="str">
            <v xml:space="preserve">    OTHERA             A-I</v>
          </cell>
          <cell r="D21">
            <v>836321</v>
          </cell>
          <cell r="E21">
            <v>664183</v>
          </cell>
        </row>
        <row r="22">
          <cell r="C22" t="str">
            <v xml:space="preserve">    PROGUT             PPH</v>
          </cell>
          <cell r="D22">
            <v>510596</v>
          </cell>
          <cell r="E22">
            <v>401337</v>
          </cell>
        </row>
        <row r="23">
          <cell r="C23" t="str">
            <v xml:space="preserve">    ESONIX-M           IAP</v>
          </cell>
          <cell r="D23">
            <v>508365</v>
          </cell>
          <cell r="E23">
            <v>406611</v>
          </cell>
        </row>
        <row r="24">
          <cell r="C24" t="str">
            <v xml:space="preserve">    MAXIMA             ACM</v>
          </cell>
          <cell r="D24">
            <v>472114</v>
          </cell>
          <cell r="E24">
            <v>479642</v>
          </cell>
        </row>
        <row r="25">
          <cell r="C25" t="str">
            <v xml:space="preserve">    EXIUM-MUPS         RD7</v>
          </cell>
          <cell r="D25">
            <v>224468</v>
          </cell>
          <cell r="E25">
            <v>162854</v>
          </cell>
        </row>
        <row r="26">
          <cell r="C26" t="str">
            <v xml:space="preserve">    ESOTID             OPI</v>
          </cell>
          <cell r="D26">
            <v>180701</v>
          </cell>
          <cell r="E26">
            <v>220303</v>
          </cell>
        </row>
        <row r="27">
          <cell r="C27" t="str">
            <v xml:space="preserve">    OPTON              BXM</v>
          </cell>
          <cell r="D27">
            <v>174339</v>
          </cell>
          <cell r="E27">
            <v>216417</v>
          </cell>
        </row>
        <row r="28">
          <cell r="C28" t="str">
            <v xml:space="preserve">    ESOTID-MUPS        OPI</v>
          </cell>
          <cell r="D28">
            <v>160926</v>
          </cell>
          <cell r="E28">
            <v>143742</v>
          </cell>
        </row>
        <row r="29">
          <cell r="C29" t="str">
            <v xml:space="preserve">    PRONEX             D-I</v>
          </cell>
          <cell r="D29">
            <v>156811</v>
          </cell>
          <cell r="E29">
            <v>153592</v>
          </cell>
        </row>
        <row r="30">
          <cell r="C30" t="str">
            <v xml:space="preserve">    EMEP               ATP</v>
          </cell>
          <cell r="D30">
            <v>146778</v>
          </cell>
          <cell r="E30">
            <v>125665</v>
          </cell>
        </row>
        <row r="31">
          <cell r="C31" t="str">
            <v xml:space="preserve">    EMEP-MUPS          ATP</v>
          </cell>
          <cell r="D31">
            <v>132633</v>
          </cell>
          <cell r="E31">
            <v>0</v>
          </cell>
        </row>
        <row r="32">
          <cell r="C32" t="str">
            <v xml:space="preserve">    SOMPRAZ            SPI</v>
          </cell>
          <cell r="D32">
            <v>128558</v>
          </cell>
          <cell r="E32">
            <v>138200</v>
          </cell>
        </row>
        <row r="33">
          <cell r="C33" t="str">
            <v xml:space="preserve">    NEXCAP             UNH</v>
          </cell>
          <cell r="D33">
            <v>94988</v>
          </cell>
          <cell r="E33">
            <v>140529</v>
          </cell>
        </row>
        <row r="34">
          <cell r="C34" t="str">
            <v xml:space="preserve">    EXOR               OR/</v>
          </cell>
          <cell r="D34">
            <v>79215</v>
          </cell>
          <cell r="E34">
            <v>100204</v>
          </cell>
        </row>
        <row r="35">
          <cell r="C35" t="str">
            <v xml:space="preserve">    ESOLOK             IBN</v>
          </cell>
          <cell r="D35">
            <v>76848</v>
          </cell>
          <cell r="E35">
            <v>100070</v>
          </cell>
        </row>
        <row r="36">
          <cell r="C36" t="str">
            <v xml:space="preserve">    ESOPREX            BAC</v>
          </cell>
          <cell r="D36">
            <v>36701</v>
          </cell>
          <cell r="E36">
            <v>61349</v>
          </cell>
        </row>
        <row r="37">
          <cell r="C37" t="str">
            <v xml:space="preserve">    NEXPRO             UNH</v>
          </cell>
          <cell r="D37">
            <v>35968</v>
          </cell>
          <cell r="E37">
            <v>23622</v>
          </cell>
        </row>
        <row r="38">
          <cell r="C38" t="str">
            <v xml:space="preserve">    ESOPROL            ZIS</v>
          </cell>
          <cell r="D38">
            <v>25672</v>
          </cell>
          <cell r="E38">
            <v>22452</v>
          </cell>
        </row>
        <row r="39">
          <cell r="C39" t="str">
            <v xml:space="preserve">    ESOMEP             A-I</v>
          </cell>
          <cell r="D39">
            <v>23047</v>
          </cell>
          <cell r="E39">
            <v>35503</v>
          </cell>
        </row>
        <row r="40">
          <cell r="C40" t="str">
            <v xml:space="preserve">    ESOPREX MUPS       BAC</v>
          </cell>
          <cell r="D40">
            <v>21613</v>
          </cell>
          <cell r="E40">
            <v>20395</v>
          </cell>
        </row>
        <row r="41">
          <cell r="C41" t="str">
            <v xml:space="preserve">    ESOTAC             N8V</v>
          </cell>
          <cell r="D41">
            <v>18956</v>
          </cell>
          <cell r="E41">
            <v>26999</v>
          </cell>
        </row>
        <row r="42">
          <cell r="C42" t="str">
            <v xml:space="preserve">    EPRAZOL            LDB</v>
          </cell>
          <cell r="D42">
            <v>17989</v>
          </cell>
          <cell r="E42">
            <v>5127</v>
          </cell>
        </row>
        <row r="43">
          <cell r="C43" t="str">
            <v xml:space="preserve">    XELPRO             P-S</v>
          </cell>
          <cell r="D43">
            <v>17489</v>
          </cell>
          <cell r="E43">
            <v>17134</v>
          </cell>
        </row>
        <row r="44">
          <cell r="C44" t="str">
            <v xml:space="preserve">    NEPTOR             SDZ</v>
          </cell>
          <cell r="D44">
            <v>17217</v>
          </cell>
          <cell r="E44">
            <v>22560</v>
          </cell>
        </row>
        <row r="45">
          <cell r="C45" t="str">
            <v xml:space="preserve">    IMAX               D&amp;B</v>
          </cell>
          <cell r="D45">
            <v>13686</v>
          </cell>
          <cell r="E45">
            <v>27681</v>
          </cell>
        </row>
        <row r="46">
          <cell r="C46" t="str">
            <v xml:space="preserve">    EXILOK             OS9</v>
          </cell>
          <cell r="D46">
            <v>12383</v>
          </cell>
          <cell r="E46">
            <v>5919</v>
          </cell>
        </row>
        <row r="47">
          <cell r="C47" t="str">
            <v xml:space="preserve">    ESOCON             BP&amp;</v>
          </cell>
          <cell r="D47">
            <v>9863</v>
          </cell>
          <cell r="E47">
            <v>19950</v>
          </cell>
        </row>
        <row r="48">
          <cell r="C48" t="str">
            <v xml:space="preserve">    ZO-MUPS            EVR</v>
          </cell>
          <cell r="D48">
            <v>8624</v>
          </cell>
          <cell r="E48">
            <v>11047</v>
          </cell>
        </row>
        <row r="49">
          <cell r="C49" t="str">
            <v xml:space="preserve">    EMA                GBE</v>
          </cell>
          <cell r="D49">
            <v>7661</v>
          </cell>
          <cell r="E49">
            <v>13696</v>
          </cell>
        </row>
        <row r="50">
          <cell r="C50" t="str">
            <v xml:space="preserve">    UNICUS             GNR</v>
          </cell>
          <cell r="D50">
            <v>7209</v>
          </cell>
          <cell r="E50">
            <v>28355</v>
          </cell>
        </row>
        <row r="51">
          <cell r="C51" t="str">
            <v xml:space="preserve">    PEPTEX             D-B</v>
          </cell>
          <cell r="D51">
            <v>5050</v>
          </cell>
          <cell r="E51">
            <v>9544</v>
          </cell>
        </row>
        <row r="52">
          <cell r="C52" t="str">
            <v xml:space="preserve">    ESOMIUM            S-C</v>
          </cell>
          <cell r="D52">
            <v>3756</v>
          </cell>
          <cell r="E52">
            <v>1117</v>
          </cell>
        </row>
        <row r="53">
          <cell r="C53" t="str">
            <v xml:space="preserve">    ESOTOR             NJP</v>
          </cell>
          <cell r="D53">
            <v>3650</v>
          </cell>
          <cell r="E53">
            <v>4667</v>
          </cell>
        </row>
        <row r="54">
          <cell r="C54" t="str">
            <v xml:space="preserve">    ESOBEST            SH0</v>
          </cell>
          <cell r="D54">
            <v>2143</v>
          </cell>
          <cell r="E54">
            <v>1589</v>
          </cell>
        </row>
        <row r="55">
          <cell r="C55" t="str">
            <v xml:space="preserve">    ESOMUPS            J&amp;H</v>
          </cell>
          <cell r="D55">
            <v>1907</v>
          </cell>
          <cell r="E55">
            <v>8800</v>
          </cell>
        </row>
        <row r="56">
          <cell r="C56" t="str">
            <v xml:space="preserve">    NEXE               AX.</v>
          </cell>
          <cell r="D56">
            <v>1645</v>
          </cell>
          <cell r="E56">
            <v>2812</v>
          </cell>
        </row>
        <row r="57">
          <cell r="C57" t="str">
            <v xml:space="preserve">    GERDO              NUV</v>
          </cell>
          <cell r="D57">
            <v>1538</v>
          </cell>
          <cell r="E57">
            <v>3223</v>
          </cell>
        </row>
        <row r="58">
          <cell r="C58" t="str">
            <v xml:space="preserve">    ESOHIL             GD2</v>
          </cell>
          <cell r="D58">
            <v>1453</v>
          </cell>
          <cell r="E58">
            <v>1746</v>
          </cell>
        </row>
        <row r="59">
          <cell r="C59" t="str">
            <v xml:space="preserve">    PRONEX             D-I</v>
          </cell>
          <cell r="D59">
            <v>1143</v>
          </cell>
          <cell r="E59">
            <v>1873</v>
          </cell>
        </row>
        <row r="60">
          <cell r="C60" t="str">
            <v xml:space="preserve">    ONEPRO             ONA</v>
          </cell>
          <cell r="D60">
            <v>1078</v>
          </cell>
          <cell r="E60">
            <v>694</v>
          </cell>
        </row>
        <row r="61">
          <cell r="C61" t="str">
            <v xml:space="preserve">    ESOTEM             TMH</v>
          </cell>
          <cell r="D61">
            <v>1021</v>
          </cell>
          <cell r="E61">
            <v>1412</v>
          </cell>
        </row>
        <row r="62">
          <cell r="C62" t="str">
            <v xml:space="preserve">    ALTON              GNR</v>
          </cell>
          <cell r="D62">
            <v>788</v>
          </cell>
          <cell r="E62">
            <v>3633</v>
          </cell>
        </row>
        <row r="63">
          <cell r="C63" t="str">
            <v xml:space="preserve">    ESONAAF            NAF</v>
          </cell>
          <cell r="D63">
            <v>574</v>
          </cell>
          <cell r="E63">
            <v>406</v>
          </cell>
        </row>
        <row r="64">
          <cell r="C64" t="str">
            <v xml:space="preserve">    ESOMENTA           J&amp;H</v>
          </cell>
          <cell r="D64">
            <v>502</v>
          </cell>
          <cell r="E64">
            <v>1939</v>
          </cell>
        </row>
        <row r="65">
          <cell r="C65" t="str">
            <v xml:space="preserve">    ESPRAZO            PAC</v>
          </cell>
          <cell r="D65">
            <v>356</v>
          </cell>
          <cell r="E65">
            <v>604</v>
          </cell>
        </row>
        <row r="66">
          <cell r="C66" t="str">
            <v xml:space="preserve">    ESOTRON            JAY</v>
          </cell>
          <cell r="D66">
            <v>338</v>
          </cell>
          <cell r="E66">
            <v>1041</v>
          </cell>
        </row>
        <row r="67">
          <cell r="C67" t="str">
            <v xml:space="preserve">    ESOBEN             BNP</v>
          </cell>
          <cell r="D67">
            <v>305</v>
          </cell>
          <cell r="E67">
            <v>285</v>
          </cell>
        </row>
        <row r="68">
          <cell r="C68" t="str">
            <v xml:space="preserve">    ESOGAP             EMA</v>
          </cell>
          <cell r="D68">
            <v>190</v>
          </cell>
          <cell r="E68">
            <v>630</v>
          </cell>
        </row>
        <row r="69">
          <cell r="C69" t="str">
            <v xml:space="preserve">    ESONAM             S6C</v>
          </cell>
          <cell r="D69">
            <v>150</v>
          </cell>
          <cell r="E69">
            <v>68</v>
          </cell>
        </row>
        <row r="70">
          <cell r="C70" t="str">
            <v xml:space="preserve">    CURACID            R7G</v>
          </cell>
          <cell r="D70">
            <v>87</v>
          </cell>
          <cell r="E70">
            <v>225</v>
          </cell>
        </row>
        <row r="71">
          <cell r="C71" t="str">
            <v xml:space="preserve">    EPIZOL             NIP</v>
          </cell>
          <cell r="D71">
            <v>67</v>
          </cell>
          <cell r="E71">
            <v>132</v>
          </cell>
        </row>
        <row r="72">
          <cell r="C72" t="str">
            <v xml:space="preserve">    SOMPRAZOL          SH0</v>
          </cell>
          <cell r="D72">
            <v>37</v>
          </cell>
          <cell r="E72">
            <v>62</v>
          </cell>
        </row>
        <row r="73">
          <cell r="C73" t="str">
            <v xml:space="preserve">    ESOZ               A-H</v>
          </cell>
          <cell r="D73">
            <v>30</v>
          </cell>
          <cell r="E73">
            <v>504</v>
          </cell>
        </row>
        <row r="74">
          <cell r="C74" t="str">
            <v xml:space="preserve">    SOMAZOLE           AD0</v>
          </cell>
          <cell r="D74">
            <v>25</v>
          </cell>
          <cell r="E74">
            <v>0</v>
          </cell>
        </row>
        <row r="75">
          <cell r="C75" t="str">
            <v xml:space="preserve">    ESOMILOC           KUM</v>
          </cell>
          <cell r="D75">
            <v>21</v>
          </cell>
          <cell r="E75">
            <v>488</v>
          </cell>
        </row>
        <row r="76">
          <cell r="C76" t="str">
            <v xml:space="preserve">    ESMAX              CC/</v>
          </cell>
          <cell r="D76">
            <v>21</v>
          </cell>
          <cell r="E76">
            <v>102</v>
          </cell>
        </row>
        <row r="77">
          <cell r="C77" t="str">
            <v xml:space="preserve">    ESO                A/L</v>
          </cell>
          <cell r="D77">
            <v>12</v>
          </cell>
          <cell r="E77">
            <v>222</v>
          </cell>
        </row>
        <row r="78">
          <cell r="C78" t="str">
            <v xml:space="preserve">    ESOVER             VPM</v>
          </cell>
          <cell r="D78">
            <v>10</v>
          </cell>
          <cell r="E78">
            <v>0</v>
          </cell>
        </row>
        <row r="79">
          <cell r="C79" t="str">
            <v xml:space="preserve">    ASECTOR            NVO</v>
          </cell>
          <cell r="D79">
            <v>0</v>
          </cell>
          <cell r="E79">
            <v>0</v>
          </cell>
        </row>
        <row r="80">
          <cell r="C80" t="str">
            <v xml:space="preserve">    EMO                PDH</v>
          </cell>
          <cell r="D80">
            <v>0</v>
          </cell>
          <cell r="E80">
            <v>0</v>
          </cell>
        </row>
        <row r="81">
          <cell r="C81" t="str">
            <v xml:space="preserve">    ERAZOLE            KMP</v>
          </cell>
          <cell r="D81">
            <v>0</v>
          </cell>
          <cell r="E81">
            <v>0</v>
          </cell>
        </row>
        <row r="82">
          <cell r="C82" t="str">
            <v xml:space="preserve">    ESMOTAC            GCO</v>
          </cell>
          <cell r="D82">
            <v>0</v>
          </cell>
          <cell r="E82">
            <v>0</v>
          </cell>
        </row>
        <row r="83">
          <cell r="C83" t="str">
            <v xml:space="preserve">    ESOPRA             A.P</v>
          </cell>
          <cell r="D83">
            <v>0</v>
          </cell>
          <cell r="E83">
            <v>13</v>
          </cell>
        </row>
        <row r="84">
          <cell r="C84" t="str">
            <v xml:space="preserve">    ESPRAM             MY6</v>
          </cell>
          <cell r="D84">
            <v>0</v>
          </cell>
          <cell r="E84">
            <v>0</v>
          </cell>
        </row>
        <row r="85">
          <cell r="C85" t="str">
            <v xml:space="preserve">    GASPRO             ETH</v>
          </cell>
          <cell r="D85">
            <v>0</v>
          </cell>
          <cell r="E85">
            <v>0</v>
          </cell>
        </row>
        <row r="86">
          <cell r="C86" t="str">
            <v xml:space="preserve">    S-OME              S&amp;O</v>
          </cell>
          <cell r="D86">
            <v>0</v>
          </cell>
          <cell r="E86">
            <v>0</v>
          </cell>
        </row>
        <row r="87">
          <cell r="C87" t="str">
            <v xml:space="preserve">    ESOZOL             MED</v>
          </cell>
          <cell r="D87">
            <v>0</v>
          </cell>
          <cell r="E87">
            <v>0</v>
          </cell>
        </row>
        <row r="88">
          <cell r="C88" t="str">
            <v xml:space="preserve">    ESMOSEC            T2D</v>
          </cell>
          <cell r="D88">
            <v>0</v>
          </cell>
          <cell r="E88">
            <v>8</v>
          </cell>
        </row>
        <row r="89">
          <cell r="C89" t="str">
            <v xml:space="preserve">    EXOME              CHM</v>
          </cell>
          <cell r="D89">
            <v>0</v>
          </cell>
          <cell r="E89">
            <v>0</v>
          </cell>
        </row>
        <row r="90">
          <cell r="C90" t="str">
            <v xml:space="preserve">    ASOZIT             WTH</v>
          </cell>
          <cell r="D90">
            <v>0</v>
          </cell>
          <cell r="E90">
            <v>41</v>
          </cell>
        </row>
        <row r="91">
          <cell r="C91" t="str">
            <v xml:space="preserve">    ESOMO FAST         DSH</v>
          </cell>
          <cell r="D91">
            <v>0</v>
          </cell>
          <cell r="E91">
            <v>0</v>
          </cell>
        </row>
        <row r="92">
          <cell r="C92" t="str">
            <v xml:space="preserve">    PEPZOL             LOP</v>
          </cell>
          <cell r="D92">
            <v>0</v>
          </cell>
          <cell r="E92">
            <v>0</v>
          </cell>
        </row>
        <row r="93">
          <cell r="C93" t="str">
            <v xml:space="preserve">    ESOMO              AMT</v>
          </cell>
          <cell r="D93">
            <v>0</v>
          </cell>
          <cell r="E93">
            <v>0</v>
          </cell>
        </row>
        <row r="94">
          <cell r="C94" t="str">
            <v xml:space="preserve">    ESCAP              S.Y</v>
          </cell>
          <cell r="D94">
            <v>0</v>
          </cell>
          <cell r="E94">
            <v>0</v>
          </cell>
        </row>
        <row r="95">
          <cell r="C95" t="str">
            <v xml:space="preserve">    VERSAL             CSC</v>
          </cell>
          <cell r="D95">
            <v>0</v>
          </cell>
          <cell r="E95">
            <v>0</v>
          </cell>
        </row>
        <row r="96">
          <cell r="C96" t="str">
            <v xml:space="preserve">    ESOGEL             NVK</v>
          </cell>
          <cell r="D96">
            <v>0</v>
          </cell>
          <cell r="E96">
            <v>47</v>
          </cell>
        </row>
        <row r="97">
          <cell r="C97" t="str">
            <v xml:space="preserve">    SB EMEC            SBD</v>
          </cell>
          <cell r="D97">
            <v>0</v>
          </cell>
          <cell r="E97">
            <v>0</v>
          </cell>
        </row>
        <row r="98">
          <cell r="C98" t="str">
            <v xml:space="preserve">    RACEPER            AMD</v>
          </cell>
          <cell r="D98">
            <v>0</v>
          </cell>
          <cell r="E98">
            <v>0</v>
          </cell>
        </row>
        <row r="99">
          <cell r="C99" t="str">
            <v xml:space="preserve">    ESOSIL             SV6</v>
          </cell>
          <cell r="D99">
            <v>0</v>
          </cell>
          <cell r="E99">
            <v>2080</v>
          </cell>
        </row>
        <row r="100">
          <cell r="C100" t="str">
            <v xml:space="preserve">   PANTOPRAZOLE</v>
          </cell>
          <cell r="D100">
            <v>4864807</v>
          </cell>
          <cell r="E100">
            <v>4021252</v>
          </cell>
        </row>
        <row r="101">
          <cell r="C101" t="str">
            <v xml:space="preserve">    PANTONIX           IAP</v>
          </cell>
          <cell r="D101">
            <v>4426443</v>
          </cell>
          <cell r="E101">
            <v>3574985</v>
          </cell>
        </row>
        <row r="102">
          <cell r="C102" t="str">
            <v xml:space="preserve">    PANTOBEX           BXM</v>
          </cell>
          <cell r="D102">
            <v>208420</v>
          </cell>
          <cell r="E102">
            <v>187248</v>
          </cell>
        </row>
        <row r="103">
          <cell r="C103" t="str">
            <v xml:space="preserve">    PANSEC             D-I</v>
          </cell>
          <cell r="D103">
            <v>71499</v>
          </cell>
          <cell r="E103">
            <v>72498</v>
          </cell>
        </row>
        <row r="104">
          <cell r="C104" t="str">
            <v xml:space="preserve">    TRUPAN             SQA</v>
          </cell>
          <cell r="D104">
            <v>45931</v>
          </cell>
          <cell r="E104">
            <v>53405</v>
          </cell>
        </row>
        <row r="105">
          <cell r="C105" t="str">
            <v xml:space="preserve">    PANTID             OPI</v>
          </cell>
          <cell r="D105">
            <v>45024</v>
          </cell>
          <cell r="E105">
            <v>46425</v>
          </cell>
        </row>
        <row r="106">
          <cell r="C106" t="str">
            <v xml:space="preserve">    PANTOGUT           PPH</v>
          </cell>
          <cell r="D106">
            <v>14761</v>
          </cell>
          <cell r="E106">
            <v>14913</v>
          </cell>
        </row>
        <row r="107">
          <cell r="C107" t="str">
            <v xml:space="preserve">    PANTOLOK           IBN</v>
          </cell>
          <cell r="D107">
            <v>8341</v>
          </cell>
          <cell r="E107">
            <v>13822</v>
          </cell>
        </row>
        <row r="108">
          <cell r="C108" t="str">
            <v xml:space="preserve">    PROTON-P           ATP</v>
          </cell>
          <cell r="D108">
            <v>7839</v>
          </cell>
          <cell r="E108">
            <v>7447</v>
          </cell>
        </row>
        <row r="109">
          <cell r="C109" t="str">
            <v xml:space="preserve">    PANTIUM            J&amp;H</v>
          </cell>
          <cell r="D109">
            <v>7721</v>
          </cell>
          <cell r="E109">
            <v>11620</v>
          </cell>
        </row>
        <row r="110">
          <cell r="C110" t="str">
            <v xml:space="preserve">    PROTOCID           ACM</v>
          </cell>
          <cell r="D110">
            <v>5670</v>
          </cell>
          <cell r="E110">
            <v>5068</v>
          </cell>
        </row>
        <row r="111">
          <cell r="C111" t="str">
            <v xml:space="preserve">    PREGEL             HT3</v>
          </cell>
          <cell r="D111">
            <v>5500</v>
          </cell>
          <cell r="E111">
            <v>3918</v>
          </cell>
        </row>
        <row r="112">
          <cell r="C112" t="str">
            <v xml:space="preserve">    PROTONIL           RTA</v>
          </cell>
          <cell r="D112">
            <v>3847</v>
          </cell>
          <cell r="E112">
            <v>3469</v>
          </cell>
        </row>
        <row r="113">
          <cell r="C113" t="str">
            <v xml:space="preserve">    PANTEX             A-I</v>
          </cell>
          <cell r="D113">
            <v>3311</v>
          </cell>
          <cell r="E113">
            <v>5476</v>
          </cell>
        </row>
        <row r="114">
          <cell r="C114" t="str">
            <v xml:space="preserve">    PELICAN            D&amp;B</v>
          </cell>
          <cell r="D114">
            <v>3018</v>
          </cell>
          <cell r="E114">
            <v>2950</v>
          </cell>
        </row>
        <row r="115">
          <cell r="C115" t="str">
            <v xml:space="preserve">    PANPRO             BP&amp;</v>
          </cell>
          <cell r="D115">
            <v>2947</v>
          </cell>
          <cell r="E115">
            <v>4285</v>
          </cell>
        </row>
        <row r="116">
          <cell r="C116" t="str">
            <v xml:space="preserve">    PANTOGEN           GNR</v>
          </cell>
          <cell r="D116">
            <v>2084</v>
          </cell>
          <cell r="E116">
            <v>9231</v>
          </cell>
        </row>
        <row r="117">
          <cell r="C117" t="str">
            <v xml:space="preserve">    PANSOS             NJP</v>
          </cell>
          <cell r="D117">
            <v>822</v>
          </cell>
          <cell r="E117">
            <v>1036</v>
          </cell>
        </row>
        <row r="118">
          <cell r="C118" t="str">
            <v xml:space="preserve">    PANTODAC           ZIS</v>
          </cell>
          <cell r="D118">
            <v>601</v>
          </cell>
          <cell r="E118">
            <v>607</v>
          </cell>
        </row>
        <row r="119">
          <cell r="C119" t="str">
            <v xml:space="preserve">    GASPAIN            ETH</v>
          </cell>
          <cell r="D119">
            <v>254</v>
          </cell>
          <cell r="E119">
            <v>151</v>
          </cell>
        </row>
        <row r="120">
          <cell r="C120" t="str">
            <v xml:space="preserve">    PANORAL            ESF</v>
          </cell>
          <cell r="D120">
            <v>166</v>
          </cell>
          <cell r="E120">
            <v>1132</v>
          </cell>
        </row>
        <row r="121">
          <cell r="C121" t="str">
            <v xml:space="preserve">    PROTIUM            UNH</v>
          </cell>
          <cell r="D121">
            <v>150</v>
          </cell>
          <cell r="E121">
            <v>231</v>
          </cell>
        </row>
        <row r="122">
          <cell r="C122" t="str">
            <v xml:space="preserve">    P-LOCK             ONA</v>
          </cell>
          <cell r="D122">
            <v>135</v>
          </cell>
          <cell r="E122">
            <v>9</v>
          </cell>
        </row>
        <row r="123">
          <cell r="C123" t="str">
            <v xml:space="preserve">    PANTOSIL           SV6</v>
          </cell>
          <cell r="D123">
            <v>81</v>
          </cell>
          <cell r="E123">
            <v>20</v>
          </cell>
        </row>
        <row r="124">
          <cell r="C124" t="str">
            <v xml:space="preserve">    PANTROL            AX.</v>
          </cell>
          <cell r="D124">
            <v>59</v>
          </cell>
          <cell r="E124">
            <v>100</v>
          </cell>
        </row>
        <row r="125">
          <cell r="C125" t="str">
            <v xml:space="preserve">    PANOSA             S6C</v>
          </cell>
          <cell r="D125">
            <v>55</v>
          </cell>
          <cell r="E125">
            <v>14</v>
          </cell>
        </row>
        <row r="126">
          <cell r="C126" t="str">
            <v xml:space="preserve">    LABPAN             LDB</v>
          </cell>
          <cell r="D126">
            <v>29</v>
          </cell>
          <cell r="E126">
            <v>612</v>
          </cell>
        </row>
        <row r="127">
          <cell r="C127" t="str">
            <v xml:space="preserve">    PANTO              S&amp;O</v>
          </cell>
          <cell r="D127">
            <v>22</v>
          </cell>
          <cell r="E127">
            <v>65</v>
          </cell>
        </row>
        <row r="128">
          <cell r="C128" t="str">
            <v xml:space="preserve">    PANTOCURE          R7G</v>
          </cell>
          <cell r="D128">
            <v>14</v>
          </cell>
          <cell r="E128">
            <v>0</v>
          </cell>
        </row>
        <row r="129">
          <cell r="C129" t="str">
            <v xml:space="preserve">    PANPRAZO           PAC</v>
          </cell>
          <cell r="D129">
            <v>13</v>
          </cell>
          <cell r="E129">
            <v>0</v>
          </cell>
        </row>
        <row r="130">
          <cell r="C130" t="str">
            <v xml:space="preserve">    PANOZ              A-H</v>
          </cell>
          <cell r="D130">
            <v>10</v>
          </cell>
          <cell r="E130">
            <v>36</v>
          </cell>
        </row>
        <row r="131">
          <cell r="C131" t="str">
            <v xml:space="preserve">    PANTOMAX           PI0</v>
          </cell>
          <cell r="D131">
            <v>10</v>
          </cell>
          <cell r="E131">
            <v>0</v>
          </cell>
        </row>
        <row r="132">
          <cell r="C132" t="str">
            <v xml:space="preserve">    ZOPAN              KMP</v>
          </cell>
          <cell r="D132">
            <v>9</v>
          </cell>
          <cell r="E132">
            <v>14</v>
          </cell>
        </row>
        <row r="133">
          <cell r="C133" t="str">
            <v xml:space="preserve">    EXOPAN             EDR</v>
          </cell>
          <cell r="D133">
            <v>7</v>
          </cell>
          <cell r="E133">
            <v>0</v>
          </cell>
        </row>
        <row r="134">
          <cell r="C134" t="str">
            <v xml:space="preserve">    PANTOPRA           A.P</v>
          </cell>
          <cell r="D134">
            <v>5</v>
          </cell>
          <cell r="E134">
            <v>19</v>
          </cell>
        </row>
        <row r="135">
          <cell r="C135" t="str">
            <v xml:space="preserve">    TOPRA              JAY</v>
          </cell>
          <cell r="D135">
            <v>4</v>
          </cell>
          <cell r="E135">
            <v>122</v>
          </cell>
        </row>
        <row r="136">
          <cell r="C136" t="str">
            <v xml:space="preserve">    PANTOZOL           GCO</v>
          </cell>
          <cell r="D136">
            <v>2</v>
          </cell>
          <cell r="E136">
            <v>0</v>
          </cell>
        </row>
        <row r="137">
          <cell r="C137" t="str">
            <v xml:space="preserve">    EUROPAN            GBE</v>
          </cell>
          <cell r="D137">
            <v>0</v>
          </cell>
          <cell r="E137">
            <v>0</v>
          </cell>
        </row>
        <row r="138">
          <cell r="C138" t="str">
            <v xml:space="preserve">    OTONIX             PP-</v>
          </cell>
          <cell r="D138">
            <v>0</v>
          </cell>
          <cell r="E138">
            <v>0</v>
          </cell>
        </row>
        <row r="139">
          <cell r="C139" t="str">
            <v xml:space="preserve">    P                  A/L</v>
          </cell>
          <cell r="D139">
            <v>0</v>
          </cell>
          <cell r="E139">
            <v>0</v>
          </cell>
        </row>
        <row r="140">
          <cell r="C140" t="str">
            <v xml:space="preserve">    PAMEL              MED</v>
          </cell>
          <cell r="D140">
            <v>0</v>
          </cell>
          <cell r="E140">
            <v>0</v>
          </cell>
        </row>
        <row r="141">
          <cell r="C141" t="str">
            <v xml:space="preserve">    PANTAC             N8V</v>
          </cell>
          <cell r="D141">
            <v>0</v>
          </cell>
          <cell r="E141">
            <v>89</v>
          </cell>
        </row>
        <row r="142">
          <cell r="C142" t="str">
            <v xml:space="preserve">    PANTOSEC           T2D</v>
          </cell>
          <cell r="D142">
            <v>0</v>
          </cell>
          <cell r="E142">
            <v>6</v>
          </cell>
        </row>
        <row r="143">
          <cell r="C143" t="str">
            <v xml:space="preserve">    PANTON-AX          BRI</v>
          </cell>
          <cell r="D143">
            <v>0</v>
          </cell>
          <cell r="E143">
            <v>0</v>
          </cell>
        </row>
        <row r="144">
          <cell r="C144" t="str">
            <v xml:space="preserve">    PANZOL             AIC</v>
          </cell>
          <cell r="D144">
            <v>0</v>
          </cell>
          <cell r="E144">
            <v>0</v>
          </cell>
        </row>
        <row r="145">
          <cell r="C145" t="str">
            <v xml:space="preserve">    PENTOSA            P-S</v>
          </cell>
          <cell r="D145">
            <v>0</v>
          </cell>
          <cell r="E145">
            <v>0</v>
          </cell>
        </row>
        <row r="146">
          <cell r="C146" t="str">
            <v xml:space="preserve">    PANLOC             KUM</v>
          </cell>
          <cell r="D146">
            <v>0</v>
          </cell>
          <cell r="E146">
            <v>43</v>
          </cell>
        </row>
        <row r="147">
          <cell r="C147" t="str">
            <v xml:space="preserve">    PANTOCHEM          CHM</v>
          </cell>
          <cell r="D147">
            <v>0</v>
          </cell>
          <cell r="E147">
            <v>0</v>
          </cell>
        </row>
        <row r="148">
          <cell r="C148" t="str">
            <v xml:space="preserve">    EXIPRO             LOP</v>
          </cell>
          <cell r="D148">
            <v>0</v>
          </cell>
          <cell r="E148">
            <v>0</v>
          </cell>
        </row>
        <row r="149">
          <cell r="C149" t="str">
            <v xml:space="preserve">    PANTOVER           VPM</v>
          </cell>
          <cell r="D149">
            <v>0</v>
          </cell>
          <cell r="E149">
            <v>0</v>
          </cell>
        </row>
        <row r="150">
          <cell r="C150" t="str">
            <v xml:space="preserve">    PRAMAX             CC/</v>
          </cell>
          <cell r="D150">
            <v>0</v>
          </cell>
          <cell r="E150">
            <v>34</v>
          </cell>
        </row>
        <row r="151">
          <cell r="C151" t="str">
            <v xml:space="preserve">    PAGERD             NVK</v>
          </cell>
          <cell r="D151">
            <v>0</v>
          </cell>
          <cell r="E151">
            <v>0</v>
          </cell>
        </row>
        <row r="152">
          <cell r="C152" t="str">
            <v xml:space="preserve">    P-GUT              GBE</v>
          </cell>
          <cell r="D152">
            <v>0</v>
          </cell>
          <cell r="E152">
            <v>0</v>
          </cell>
        </row>
        <row r="153">
          <cell r="C153" t="str">
            <v xml:space="preserve">    PANOTEM            TMH</v>
          </cell>
          <cell r="D153">
            <v>0</v>
          </cell>
          <cell r="E153">
            <v>153</v>
          </cell>
        </row>
        <row r="154">
          <cell r="C154" t="str">
            <v xml:space="preserve">   OMEPRAZOLE</v>
          </cell>
          <cell r="D154">
            <v>4496179</v>
          </cell>
          <cell r="E154">
            <v>4594748</v>
          </cell>
        </row>
        <row r="155">
          <cell r="C155" t="str">
            <v xml:space="preserve">    SECLO              SQA</v>
          </cell>
          <cell r="D155">
            <v>2134866</v>
          </cell>
          <cell r="E155">
            <v>2382096</v>
          </cell>
        </row>
        <row r="156">
          <cell r="C156" t="str">
            <v xml:space="preserve">    LOSECTIL           ESF</v>
          </cell>
          <cell r="D156">
            <v>1165437</v>
          </cell>
          <cell r="E156">
            <v>1021144</v>
          </cell>
        </row>
        <row r="157">
          <cell r="C157" t="str">
            <v xml:space="preserve">    PPI                ACM</v>
          </cell>
          <cell r="D157">
            <v>221493</v>
          </cell>
          <cell r="E157">
            <v>216736</v>
          </cell>
        </row>
        <row r="158">
          <cell r="C158" t="str">
            <v xml:space="preserve">    XELDRIN            A-I</v>
          </cell>
          <cell r="D158">
            <v>176563</v>
          </cell>
          <cell r="E158">
            <v>194052</v>
          </cell>
        </row>
        <row r="159">
          <cell r="C159" t="str">
            <v xml:space="preserve">    OMETAC             N8V</v>
          </cell>
          <cell r="D159">
            <v>158194</v>
          </cell>
          <cell r="E159">
            <v>128687</v>
          </cell>
        </row>
        <row r="160">
          <cell r="C160" t="str">
            <v xml:space="preserve">    OMEP               ATP</v>
          </cell>
          <cell r="D160">
            <v>131977</v>
          </cell>
          <cell r="E160">
            <v>124727</v>
          </cell>
        </row>
        <row r="161">
          <cell r="C161" t="str">
            <v xml:space="preserve">    PRAZOLE            RTA</v>
          </cell>
          <cell r="D161">
            <v>77008</v>
          </cell>
          <cell r="E161">
            <v>75886</v>
          </cell>
        </row>
        <row r="162">
          <cell r="C162" t="str">
            <v xml:space="preserve">    REMMO              BXM</v>
          </cell>
          <cell r="D162">
            <v>71383</v>
          </cell>
          <cell r="E162">
            <v>28617</v>
          </cell>
        </row>
        <row r="163">
          <cell r="C163" t="str">
            <v xml:space="preserve">    OPAL               HT3</v>
          </cell>
          <cell r="D163">
            <v>54061</v>
          </cell>
          <cell r="E163">
            <v>48902</v>
          </cell>
        </row>
        <row r="164">
          <cell r="C164" t="str">
            <v xml:space="preserve">    COSEC              D-I</v>
          </cell>
          <cell r="D164">
            <v>52061</v>
          </cell>
          <cell r="E164">
            <v>56899</v>
          </cell>
        </row>
        <row r="165">
          <cell r="C165" t="str">
            <v xml:space="preserve">    PROBITOR           SDZ</v>
          </cell>
          <cell r="D165">
            <v>45180</v>
          </cell>
          <cell r="E165">
            <v>48495</v>
          </cell>
        </row>
        <row r="166">
          <cell r="C166" t="str">
            <v xml:space="preserve">    OMENIX             IAP</v>
          </cell>
          <cell r="D166">
            <v>41525</v>
          </cell>
          <cell r="E166">
            <v>40528</v>
          </cell>
        </row>
        <row r="167">
          <cell r="C167" t="str">
            <v xml:space="preserve">    XELOPES            BAC</v>
          </cell>
          <cell r="D167">
            <v>20734</v>
          </cell>
          <cell r="E167">
            <v>22631</v>
          </cell>
        </row>
        <row r="168">
          <cell r="C168" t="str">
            <v xml:space="preserve">    LOSECTIL V         ESF</v>
          </cell>
          <cell r="D168">
            <v>20215</v>
          </cell>
          <cell r="E168">
            <v>27422</v>
          </cell>
        </row>
        <row r="169">
          <cell r="C169" t="str">
            <v xml:space="preserve">    PROCEPTIN          BXM</v>
          </cell>
          <cell r="D169">
            <v>19178</v>
          </cell>
          <cell r="E169">
            <v>19516</v>
          </cell>
        </row>
        <row r="170">
          <cell r="C170" t="str">
            <v xml:space="preserve">    OMETID             OPI</v>
          </cell>
          <cell r="D170">
            <v>18968</v>
          </cell>
          <cell r="E170">
            <v>41787</v>
          </cell>
        </row>
        <row r="171">
          <cell r="C171" t="str">
            <v xml:space="preserve">    OMEGUT             PPH</v>
          </cell>
          <cell r="D171">
            <v>15873</v>
          </cell>
          <cell r="E171">
            <v>13202</v>
          </cell>
        </row>
        <row r="172">
          <cell r="C172" t="str">
            <v xml:space="preserve">    COSEC-MUPS         D-I</v>
          </cell>
          <cell r="D172">
            <v>13692</v>
          </cell>
          <cell r="E172">
            <v>16337</v>
          </cell>
        </row>
        <row r="173">
          <cell r="C173" t="str">
            <v xml:space="preserve">    PROCAP             OR/</v>
          </cell>
          <cell r="D173">
            <v>11878</v>
          </cell>
          <cell r="E173">
            <v>14128</v>
          </cell>
        </row>
        <row r="174">
          <cell r="C174" t="str">
            <v xml:space="preserve">    STOSEC             OS9</v>
          </cell>
          <cell r="D174">
            <v>9138</v>
          </cell>
          <cell r="E174">
            <v>6823</v>
          </cell>
        </row>
        <row r="175">
          <cell r="C175" t="str">
            <v xml:space="preserve">    PROLOK             IBN</v>
          </cell>
          <cell r="D175">
            <v>8105</v>
          </cell>
          <cell r="E175">
            <v>14465</v>
          </cell>
        </row>
        <row r="176">
          <cell r="C176" t="str">
            <v xml:space="preserve">    NUPRAZOL           NUV</v>
          </cell>
          <cell r="D176">
            <v>5558</v>
          </cell>
          <cell r="E176">
            <v>6639</v>
          </cell>
        </row>
        <row r="177">
          <cell r="C177" t="str">
            <v xml:space="preserve">    PREVAS             GNR</v>
          </cell>
          <cell r="D177">
            <v>5102</v>
          </cell>
          <cell r="E177">
            <v>11318</v>
          </cell>
        </row>
        <row r="178">
          <cell r="C178" t="str">
            <v xml:space="preserve">    ONELOCK            ONA</v>
          </cell>
          <cell r="D178">
            <v>1799</v>
          </cell>
          <cell r="E178">
            <v>0</v>
          </cell>
        </row>
        <row r="179">
          <cell r="C179" t="str">
            <v xml:space="preserve">    OMILOC             KUM</v>
          </cell>
          <cell r="D179">
            <v>1697</v>
          </cell>
          <cell r="E179">
            <v>1335</v>
          </cell>
        </row>
        <row r="180">
          <cell r="C180" t="str">
            <v xml:space="preserve">    OMECRON            NJP</v>
          </cell>
          <cell r="D180">
            <v>1563</v>
          </cell>
          <cell r="E180">
            <v>2750</v>
          </cell>
        </row>
        <row r="181">
          <cell r="C181" t="str">
            <v xml:space="preserve">    OMEPROL            ZIS</v>
          </cell>
          <cell r="D181">
            <v>1562</v>
          </cell>
          <cell r="E181">
            <v>1007</v>
          </cell>
        </row>
        <row r="182">
          <cell r="C182" t="str">
            <v xml:space="preserve">    PRAZOMAX           S-C</v>
          </cell>
          <cell r="D182">
            <v>1150</v>
          </cell>
          <cell r="E182">
            <v>466</v>
          </cell>
        </row>
        <row r="183">
          <cell r="C183" t="str">
            <v xml:space="preserve">    OP                 GBE</v>
          </cell>
          <cell r="D183">
            <v>1138</v>
          </cell>
          <cell r="E183">
            <v>1962</v>
          </cell>
        </row>
        <row r="184">
          <cell r="C184" t="str">
            <v xml:space="preserve">    OMAG-DR            R7G</v>
          </cell>
          <cell r="D184">
            <v>1070</v>
          </cell>
          <cell r="E184">
            <v>456</v>
          </cell>
        </row>
        <row r="185">
          <cell r="C185" t="str">
            <v xml:space="preserve">    EUPI               P-S</v>
          </cell>
          <cell r="D185">
            <v>979</v>
          </cell>
          <cell r="E185">
            <v>4287</v>
          </cell>
        </row>
        <row r="186">
          <cell r="C186" t="str">
            <v xml:space="preserve">    PEPTRAL            LDB</v>
          </cell>
          <cell r="D186">
            <v>972</v>
          </cell>
          <cell r="E186">
            <v>2888</v>
          </cell>
        </row>
        <row r="187">
          <cell r="C187" t="str">
            <v xml:space="preserve">    INHIBITA           D&amp;B</v>
          </cell>
          <cell r="D187">
            <v>849</v>
          </cell>
          <cell r="E187">
            <v>1629</v>
          </cell>
        </row>
        <row r="188">
          <cell r="C188" t="str">
            <v xml:space="preserve">    PRESEC             UNH</v>
          </cell>
          <cell r="D188">
            <v>784</v>
          </cell>
          <cell r="E188">
            <v>1502</v>
          </cell>
        </row>
        <row r="189">
          <cell r="C189" t="str">
            <v xml:space="preserve">    XEROSEC            S.Y</v>
          </cell>
          <cell r="D189">
            <v>779</v>
          </cell>
          <cell r="E189">
            <v>3165</v>
          </cell>
        </row>
        <row r="190">
          <cell r="C190" t="str">
            <v xml:space="preserve">    INPRO              BP&amp;</v>
          </cell>
          <cell r="D190">
            <v>756</v>
          </cell>
          <cell r="E190">
            <v>1449</v>
          </cell>
        </row>
        <row r="191">
          <cell r="C191" t="str">
            <v xml:space="preserve">    OMETEM             TMH</v>
          </cell>
          <cell r="D191">
            <v>546</v>
          </cell>
          <cell r="E191">
            <v>3163</v>
          </cell>
        </row>
        <row r="192">
          <cell r="C192" t="str">
            <v xml:space="preserve">    OME                S&amp;O</v>
          </cell>
          <cell r="D192">
            <v>324</v>
          </cell>
          <cell r="E192">
            <v>948</v>
          </cell>
        </row>
        <row r="193">
          <cell r="C193" t="str">
            <v xml:space="preserve">    O                  A/L</v>
          </cell>
          <cell r="D193">
            <v>303</v>
          </cell>
          <cell r="E193">
            <v>0</v>
          </cell>
        </row>
        <row r="194">
          <cell r="C194" t="str">
            <v xml:space="preserve">    ZILON              RD7</v>
          </cell>
          <cell r="D194">
            <v>276</v>
          </cell>
          <cell r="E194">
            <v>1622</v>
          </cell>
        </row>
        <row r="195">
          <cell r="C195" t="str">
            <v xml:space="preserve">    PRAZO              PAC</v>
          </cell>
          <cell r="D195">
            <v>211</v>
          </cell>
          <cell r="E195">
            <v>207</v>
          </cell>
        </row>
        <row r="196">
          <cell r="C196" t="str">
            <v xml:space="preserve">    REGERD             NVK</v>
          </cell>
          <cell r="D196">
            <v>192</v>
          </cell>
          <cell r="E196">
            <v>294</v>
          </cell>
        </row>
        <row r="197">
          <cell r="C197" t="str">
            <v xml:space="preserve">    ROME               RPH</v>
          </cell>
          <cell r="D197">
            <v>177</v>
          </cell>
          <cell r="E197">
            <v>383</v>
          </cell>
        </row>
        <row r="198">
          <cell r="C198" t="str">
            <v xml:space="preserve">    LOVANZO            EVR</v>
          </cell>
          <cell r="D198">
            <v>174</v>
          </cell>
          <cell r="E198">
            <v>1019</v>
          </cell>
        </row>
        <row r="199">
          <cell r="C199" t="str">
            <v xml:space="preserve">    PROMEZOL           SH0</v>
          </cell>
          <cell r="D199">
            <v>119</v>
          </cell>
          <cell r="E199">
            <v>205</v>
          </cell>
        </row>
        <row r="200">
          <cell r="C200" t="str">
            <v xml:space="preserve">    OMENAAF            NAF</v>
          </cell>
          <cell r="D200">
            <v>91</v>
          </cell>
          <cell r="E200">
            <v>0</v>
          </cell>
        </row>
        <row r="201">
          <cell r="C201" t="str">
            <v xml:space="preserve">    PRAZOVER           VPM</v>
          </cell>
          <cell r="D201">
            <v>78</v>
          </cell>
          <cell r="E201">
            <v>240</v>
          </cell>
        </row>
        <row r="202">
          <cell r="C202" t="str">
            <v xml:space="preserve">    PREVENCID          R7G</v>
          </cell>
          <cell r="D202">
            <v>69</v>
          </cell>
          <cell r="E202">
            <v>38</v>
          </cell>
        </row>
        <row r="203">
          <cell r="C203" t="str">
            <v xml:space="preserve">    OMENTA             J&amp;H</v>
          </cell>
          <cell r="D203">
            <v>49</v>
          </cell>
          <cell r="E203">
            <v>270</v>
          </cell>
        </row>
        <row r="204">
          <cell r="C204" t="str">
            <v xml:space="preserve">    OMIREX             JAY</v>
          </cell>
          <cell r="D204">
            <v>48</v>
          </cell>
          <cell r="E204">
            <v>173</v>
          </cell>
        </row>
        <row r="205">
          <cell r="C205" t="str">
            <v xml:space="preserve">    OMEBEN             BNP</v>
          </cell>
          <cell r="D205">
            <v>46</v>
          </cell>
          <cell r="E205">
            <v>85</v>
          </cell>
        </row>
        <row r="206">
          <cell r="C206" t="str">
            <v xml:space="preserve">    OMEL               MED</v>
          </cell>
          <cell r="D206">
            <v>41</v>
          </cell>
          <cell r="E206">
            <v>0</v>
          </cell>
        </row>
        <row r="207">
          <cell r="C207" t="str">
            <v xml:space="preserve">    LOTIL              ALB</v>
          </cell>
          <cell r="D207">
            <v>31</v>
          </cell>
          <cell r="E207">
            <v>506</v>
          </cell>
        </row>
        <row r="208">
          <cell r="C208" t="str">
            <v xml:space="preserve">    OM                 AMB</v>
          </cell>
          <cell r="D208">
            <v>28</v>
          </cell>
          <cell r="E208">
            <v>126</v>
          </cell>
        </row>
        <row r="209">
          <cell r="C209" t="str">
            <v xml:space="preserve">    DEU                MO6</v>
          </cell>
          <cell r="D209">
            <v>26</v>
          </cell>
          <cell r="E209">
            <v>90</v>
          </cell>
        </row>
        <row r="210">
          <cell r="C210" t="str">
            <v xml:space="preserve">    OMECAP             CHM</v>
          </cell>
          <cell r="D210">
            <v>21</v>
          </cell>
          <cell r="E210">
            <v>444</v>
          </cell>
        </row>
        <row r="211">
          <cell r="C211" t="str">
            <v xml:space="preserve">    OMEPRA             A.P</v>
          </cell>
          <cell r="D211">
            <v>21</v>
          </cell>
          <cell r="E211">
            <v>8</v>
          </cell>
        </row>
        <row r="212">
          <cell r="C212" t="str">
            <v xml:space="preserve">    OMEHIL             GD2</v>
          </cell>
          <cell r="D212">
            <v>9</v>
          </cell>
          <cell r="E212">
            <v>309</v>
          </cell>
        </row>
        <row r="213">
          <cell r="C213" t="str">
            <v xml:space="preserve">    OMEX               KMP</v>
          </cell>
          <cell r="D213">
            <v>7</v>
          </cell>
          <cell r="E213">
            <v>14</v>
          </cell>
        </row>
        <row r="214">
          <cell r="C214" t="str">
            <v xml:space="preserve">    ANASEC             NVO</v>
          </cell>
          <cell r="D214">
            <v>0</v>
          </cell>
          <cell r="E214">
            <v>0</v>
          </cell>
        </row>
        <row r="215">
          <cell r="C215" t="str">
            <v xml:space="preserve">    ASPRA              AX.</v>
          </cell>
          <cell r="D215">
            <v>0</v>
          </cell>
          <cell r="E215">
            <v>28</v>
          </cell>
        </row>
        <row r="216">
          <cell r="C216" t="str">
            <v xml:space="preserve">    EMEZ               EDR</v>
          </cell>
          <cell r="D216">
            <v>0</v>
          </cell>
          <cell r="E216">
            <v>0</v>
          </cell>
        </row>
        <row r="217">
          <cell r="C217" t="str">
            <v xml:space="preserve">    GASTRIL            ETH</v>
          </cell>
          <cell r="D217">
            <v>0</v>
          </cell>
          <cell r="E217">
            <v>0</v>
          </cell>
        </row>
        <row r="218">
          <cell r="C218" t="str">
            <v xml:space="preserve">    HEALER             AIC</v>
          </cell>
          <cell r="D218">
            <v>0</v>
          </cell>
          <cell r="E218">
            <v>0</v>
          </cell>
        </row>
        <row r="219">
          <cell r="C219" t="str">
            <v xml:space="preserve">    LUMISEC            RAS</v>
          </cell>
          <cell r="D219">
            <v>0</v>
          </cell>
          <cell r="E219">
            <v>0</v>
          </cell>
        </row>
        <row r="220">
          <cell r="C220" t="str">
            <v xml:space="preserve">    NORAIN             GSK</v>
          </cell>
          <cell r="D220">
            <v>0</v>
          </cell>
          <cell r="E220">
            <v>0</v>
          </cell>
        </row>
        <row r="221">
          <cell r="C221" t="str">
            <v xml:space="preserve">    OME                RPH</v>
          </cell>
          <cell r="D221">
            <v>0</v>
          </cell>
          <cell r="E221">
            <v>0</v>
          </cell>
        </row>
        <row r="222">
          <cell r="C222" t="str">
            <v xml:space="preserve">    OMEDIN             ACM</v>
          </cell>
          <cell r="D222">
            <v>0</v>
          </cell>
          <cell r="E222">
            <v>3</v>
          </cell>
        </row>
        <row r="223">
          <cell r="C223" t="str">
            <v xml:space="preserve">    OMEZOLE            MDM</v>
          </cell>
          <cell r="D223">
            <v>0</v>
          </cell>
          <cell r="E223">
            <v>12</v>
          </cell>
        </row>
        <row r="224">
          <cell r="C224" t="str">
            <v xml:space="preserve">    OMESIL             SV6</v>
          </cell>
          <cell r="D224">
            <v>0</v>
          </cell>
          <cell r="E224">
            <v>0</v>
          </cell>
        </row>
        <row r="225">
          <cell r="C225" t="str">
            <v xml:space="preserve">    OMECTIL            UCL</v>
          </cell>
          <cell r="D225">
            <v>0</v>
          </cell>
          <cell r="E225">
            <v>0</v>
          </cell>
        </row>
        <row r="226">
          <cell r="C226" t="str">
            <v xml:space="preserve">    OMITAC             GCO</v>
          </cell>
          <cell r="D226">
            <v>0</v>
          </cell>
          <cell r="E226">
            <v>8</v>
          </cell>
        </row>
        <row r="227">
          <cell r="C227" t="str">
            <v xml:space="preserve">    OMITIN             NIP</v>
          </cell>
          <cell r="D227">
            <v>0</v>
          </cell>
          <cell r="E227">
            <v>0</v>
          </cell>
        </row>
        <row r="228">
          <cell r="C228" t="str">
            <v xml:space="preserve">    OMIZIT             WTH</v>
          </cell>
          <cell r="D228">
            <v>0</v>
          </cell>
          <cell r="E228">
            <v>0</v>
          </cell>
        </row>
        <row r="229">
          <cell r="C229" t="str">
            <v xml:space="preserve">    OMPRA              PAC</v>
          </cell>
          <cell r="D229">
            <v>0</v>
          </cell>
          <cell r="E229">
            <v>0</v>
          </cell>
        </row>
        <row r="230">
          <cell r="C230" t="str">
            <v xml:space="preserve">    OMSEC              T2D</v>
          </cell>
          <cell r="D230">
            <v>0</v>
          </cell>
          <cell r="E230">
            <v>286</v>
          </cell>
        </row>
        <row r="231">
          <cell r="C231" t="str">
            <v xml:space="preserve">    OPEZEN             ZEN</v>
          </cell>
          <cell r="D231">
            <v>0</v>
          </cell>
          <cell r="E231">
            <v>0</v>
          </cell>
        </row>
        <row r="232">
          <cell r="C232" t="str">
            <v xml:space="preserve">    PEPLO              S6C</v>
          </cell>
          <cell r="D232">
            <v>0</v>
          </cell>
          <cell r="E232">
            <v>0</v>
          </cell>
        </row>
        <row r="233">
          <cell r="C233" t="str">
            <v xml:space="preserve">    PRAM               MY6</v>
          </cell>
          <cell r="D233">
            <v>0</v>
          </cell>
          <cell r="E233">
            <v>0</v>
          </cell>
        </row>
        <row r="234">
          <cell r="C234" t="str">
            <v xml:space="preserve">    PROMISEC           SH0</v>
          </cell>
          <cell r="D234">
            <v>0</v>
          </cell>
          <cell r="E234">
            <v>0</v>
          </cell>
        </row>
        <row r="235">
          <cell r="C235" t="str">
            <v xml:space="preserve">    PROTOBIT           IND</v>
          </cell>
          <cell r="D235">
            <v>0</v>
          </cell>
          <cell r="E235">
            <v>0</v>
          </cell>
        </row>
        <row r="236">
          <cell r="C236" t="str">
            <v xml:space="preserve">    PROTOLOC           BAC</v>
          </cell>
          <cell r="D236">
            <v>0</v>
          </cell>
          <cell r="E236">
            <v>0</v>
          </cell>
        </row>
        <row r="237">
          <cell r="C237" t="str">
            <v xml:space="preserve">    SECTIL             CSC</v>
          </cell>
          <cell r="D237">
            <v>0</v>
          </cell>
          <cell r="E237">
            <v>83</v>
          </cell>
        </row>
        <row r="238">
          <cell r="C238" t="str">
            <v xml:space="preserve">    SITO-20            PK-</v>
          </cell>
          <cell r="D238">
            <v>0</v>
          </cell>
          <cell r="E238">
            <v>0</v>
          </cell>
        </row>
        <row r="239">
          <cell r="C239" t="str">
            <v xml:space="preserve">    SOM                S4L</v>
          </cell>
          <cell r="D239">
            <v>0</v>
          </cell>
          <cell r="E239">
            <v>0</v>
          </cell>
        </row>
        <row r="240">
          <cell r="C240" t="str">
            <v xml:space="preserve">    TARGET             M4N</v>
          </cell>
          <cell r="D240">
            <v>0</v>
          </cell>
          <cell r="E240">
            <v>5</v>
          </cell>
        </row>
        <row r="241">
          <cell r="C241" t="str">
            <v xml:space="preserve">    ZOOM               EVR</v>
          </cell>
          <cell r="D241">
            <v>0</v>
          </cell>
          <cell r="E241">
            <v>91</v>
          </cell>
        </row>
        <row r="242">
          <cell r="C242" t="str">
            <v xml:space="preserve">    OMRAZOL            AD0</v>
          </cell>
          <cell r="D242">
            <v>0</v>
          </cell>
          <cell r="E242">
            <v>0</v>
          </cell>
        </row>
        <row r="243">
          <cell r="C243" t="str">
            <v xml:space="preserve">    OMECARE            NVW</v>
          </cell>
          <cell r="D243">
            <v>0</v>
          </cell>
          <cell r="E243">
            <v>0</v>
          </cell>
        </row>
        <row r="244">
          <cell r="C244" t="str">
            <v xml:space="preserve">    PROSECTIL          PI0</v>
          </cell>
          <cell r="D244">
            <v>0</v>
          </cell>
          <cell r="E244">
            <v>11</v>
          </cell>
        </row>
        <row r="245">
          <cell r="C245" t="str">
            <v xml:space="preserve">    PERIZOL            LOP</v>
          </cell>
          <cell r="D245">
            <v>0</v>
          </cell>
          <cell r="E245">
            <v>0</v>
          </cell>
        </row>
        <row r="246">
          <cell r="C246" t="str">
            <v xml:space="preserve">    OMELET             AMT</v>
          </cell>
          <cell r="D246">
            <v>0</v>
          </cell>
          <cell r="E246">
            <v>0</v>
          </cell>
        </row>
        <row r="247">
          <cell r="C247" t="str">
            <v xml:space="preserve">    OPMAX              CC/</v>
          </cell>
          <cell r="D247">
            <v>0</v>
          </cell>
          <cell r="E247">
            <v>136</v>
          </cell>
        </row>
        <row r="248">
          <cell r="C248" t="str">
            <v xml:space="preserve">    OMELOCK            ONA</v>
          </cell>
          <cell r="D248">
            <v>0</v>
          </cell>
          <cell r="E248">
            <v>0</v>
          </cell>
        </row>
        <row r="249">
          <cell r="C249" t="str">
            <v xml:space="preserve">    SB OMEC            SBD</v>
          </cell>
          <cell r="D249">
            <v>0</v>
          </cell>
          <cell r="E249">
            <v>11</v>
          </cell>
        </row>
        <row r="250">
          <cell r="C250" t="str">
            <v xml:space="preserve">    OMETOR             A-H</v>
          </cell>
          <cell r="D250">
            <v>0</v>
          </cell>
          <cell r="E250">
            <v>0</v>
          </cell>
        </row>
        <row r="251">
          <cell r="C251" t="str">
            <v xml:space="preserve">    ZOLAT              AMD</v>
          </cell>
          <cell r="D251">
            <v>0</v>
          </cell>
          <cell r="E251">
            <v>0</v>
          </cell>
        </row>
        <row r="252">
          <cell r="C252" t="str">
            <v xml:space="preserve">   DEXLANSOPRAZOLE</v>
          </cell>
          <cell r="D252">
            <v>3277608</v>
          </cell>
          <cell r="E252">
            <v>2573923</v>
          </cell>
        </row>
        <row r="253">
          <cell r="C253" t="str">
            <v xml:space="preserve">    DEXILEND           ZIS</v>
          </cell>
          <cell r="D253">
            <v>689686</v>
          </cell>
          <cell r="E253">
            <v>471830</v>
          </cell>
        </row>
        <row r="254">
          <cell r="C254" t="str">
            <v xml:space="preserve">    LANSO-D            SQA</v>
          </cell>
          <cell r="D254">
            <v>346153</v>
          </cell>
          <cell r="E254">
            <v>290580</v>
          </cell>
        </row>
        <row r="255">
          <cell r="C255" t="str">
            <v xml:space="preserve">    DEXLAN             IBN</v>
          </cell>
          <cell r="D255">
            <v>338362</v>
          </cell>
          <cell r="E255">
            <v>326090</v>
          </cell>
        </row>
        <row r="256">
          <cell r="C256" t="str">
            <v xml:space="preserve">    DDR                ACM</v>
          </cell>
          <cell r="D256">
            <v>317222</v>
          </cell>
          <cell r="E256">
            <v>226781</v>
          </cell>
        </row>
        <row r="257">
          <cell r="C257" t="str">
            <v xml:space="preserve">    DELANIX            IAP</v>
          </cell>
          <cell r="D257">
            <v>262801</v>
          </cell>
          <cell r="E257">
            <v>172476</v>
          </cell>
        </row>
        <row r="258">
          <cell r="C258" t="str">
            <v xml:space="preserve">    DEXTAC             N8V</v>
          </cell>
          <cell r="D258">
            <v>240479</v>
          </cell>
          <cell r="E258">
            <v>238010</v>
          </cell>
        </row>
        <row r="259">
          <cell r="C259" t="str">
            <v xml:space="preserve">    CANALIA            ATP</v>
          </cell>
          <cell r="D259">
            <v>176386</v>
          </cell>
          <cell r="E259">
            <v>112800</v>
          </cell>
        </row>
        <row r="260">
          <cell r="C260" t="str">
            <v xml:space="preserve">    SANBUR             OPI</v>
          </cell>
          <cell r="D260">
            <v>165945</v>
          </cell>
          <cell r="E260">
            <v>33310</v>
          </cell>
        </row>
        <row r="261">
          <cell r="C261" t="str">
            <v xml:space="preserve">    DEXOGUT            PPH</v>
          </cell>
          <cell r="D261">
            <v>165805</v>
          </cell>
          <cell r="E261">
            <v>123235</v>
          </cell>
        </row>
        <row r="262">
          <cell r="C262" t="str">
            <v xml:space="preserve">    DELANZO            NUV</v>
          </cell>
          <cell r="D262">
            <v>107736</v>
          </cell>
          <cell r="E262">
            <v>120205</v>
          </cell>
        </row>
        <row r="263">
          <cell r="C263" t="str">
            <v xml:space="preserve">    REGLER             HT3</v>
          </cell>
          <cell r="D263">
            <v>94291</v>
          </cell>
          <cell r="E263">
            <v>56344</v>
          </cell>
        </row>
        <row r="264">
          <cell r="C264" t="str">
            <v xml:space="preserve">    DSEC               D-I</v>
          </cell>
          <cell r="D264">
            <v>93535</v>
          </cell>
          <cell r="E264">
            <v>84929</v>
          </cell>
        </row>
        <row r="265">
          <cell r="C265" t="str">
            <v xml:space="preserve">    DELPRAZ            SPI</v>
          </cell>
          <cell r="D265">
            <v>49563</v>
          </cell>
          <cell r="E265">
            <v>24137</v>
          </cell>
        </row>
        <row r="266">
          <cell r="C266" t="str">
            <v xml:space="preserve">    DEXLION            OR/</v>
          </cell>
          <cell r="D266">
            <v>45428</v>
          </cell>
          <cell r="E266">
            <v>48525</v>
          </cell>
        </row>
        <row r="267">
          <cell r="C267" t="str">
            <v xml:space="preserve">    NEXDEX             RTA</v>
          </cell>
          <cell r="D267">
            <v>42500</v>
          </cell>
          <cell r="E267">
            <v>32859</v>
          </cell>
        </row>
        <row r="268">
          <cell r="C268" t="str">
            <v xml:space="preserve">    DEXEND             LDB</v>
          </cell>
          <cell r="D268">
            <v>39331</v>
          </cell>
          <cell r="E268">
            <v>50484</v>
          </cell>
        </row>
        <row r="269">
          <cell r="C269" t="str">
            <v xml:space="preserve">    DELZO              ESF</v>
          </cell>
          <cell r="D269">
            <v>26749</v>
          </cell>
          <cell r="E269">
            <v>30968</v>
          </cell>
        </row>
        <row r="270">
          <cell r="C270" t="str">
            <v xml:space="preserve">    LANTIDEX           OPI</v>
          </cell>
          <cell r="D270">
            <v>20176</v>
          </cell>
          <cell r="E270">
            <v>29407</v>
          </cell>
        </row>
        <row r="271">
          <cell r="C271" t="str">
            <v xml:space="preserve">    DLP                GNR</v>
          </cell>
          <cell r="D271">
            <v>19655</v>
          </cell>
          <cell r="E271">
            <v>62034</v>
          </cell>
        </row>
        <row r="272">
          <cell r="C272" t="str">
            <v xml:space="preserve">    DEXOPREX           BAC</v>
          </cell>
          <cell r="D272">
            <v>12138</v>
          </cell>
          <cell r="E272">
            <v>14714</v>
          </cell>
        </row>
        <row r="273">
          <cell r="C273" t="str">
            <v xml:space="preserve">    XANRA              OS9</v>
          </cell>
          <cell r="D273">
            <v>9991</v>
          </cell>
          <cell r="E273">
            <v>15630</v>
          </cell>
        </row>
        <row r="274">
          <cell r="C274" t="str">
            <v xml:space="preserve">    ONEDEX             ONA</v>
          </cell>
          <cell r="D274">
            <v>9499</v>
          </cell>
          <cell r="E274">
            <v>0</v>
          </cell>
        </row>
        <row r="275">
          <cell r="C275" t="str">
            <v xml:space="preserve">    GERDNIL            TMH</v>
          </cell>
          <cell r="D275">
            <v>2033</v>
          </cell>
          <cell r="E275">
            <v>2850</v>
          </cell>
        </row>
        <row r="276">
          <cell r="C276" t="str">
            <v xml:space="preserve">    DEXILA             GD2</v>
          </cell>
          <cell r="D276">
            <v>1160</v>
          </cell>
          <cell r="E276">
            <v>1643</v>
          </cell>
        </row>
        <row r="277">
          <cell r="C277" t="str">
            <v xml:space="preserve">    EXILANT            P-S</v>
          </cell>
          <cell r="D277">
            <v>558</v>
          </cell>
          <cell r="E277">
            <v>1222</v>
          </cell>
        </row>
        <row r="278">
          <cell r="C278" t="str">
            <v xml:space="preserve">    DEXNAAF            NAF</v>
          </cell>
          <cell r="D278">
            <v>341</v>
          </cell>
          <cell r="E278">
            <v>16</v>
          </cell>
        </row>
        <row r="279">
          <cell r="C279" t="str">
            <v xml:space="preserve">    LANPLUS            RD7</v>
          </cell>
          <cell r="D279">
            <v>85</v>
          </cell>
          <cell r="E279">
            <v>2826</v>
          </cell>
        </row>
        <row r="280">
          <cell r="C280" t="str">
            <v xml:space="preserve">    DESOPRA            A.P</v>
          </cell>
          <cell r="D280">
            <v>0</v>
          </cell>
          <cell r="E280">
            <v>17</v>
          </cell>
        </row>
        <row r="281">
          <cell r="C281" t="str">
            <v xml:space="preserve">   RABEPRAZOLE</v>
          </cell>
          <cell r="D281">
            <v>3188959</v>
          </cell>
          <cell r="E281">
            <v>3261185</v>
          </cell>
        </row>
        <row r="282">
          <cell r="C282" t="str">
            <v xml:space="preserve">    FINIX              OPI</v>
          </cell>
          <cell r="D282">
            <v>1713554</v>
          </cell>
          <cell r="E282">
            <v>1578212</v>
          </cell>
        </row>
        <row r="283">
          <cell r="C283" t="str">
            <v xml:space="preserve">    RABE               ATP</v>
          </cell>
          <cell r="D283">
            <v>566593</v>
          </cell>
          <cell r="E283">
            <v>563862</v>
          </cell>
        </row>
        <row r="284">
          <cell r="C284" t="str">
            <v xml:space="preserve">    ACIFIX             BXM</v>
          </cell>
          <cell r="D284">
            <v>406664</v>
          </cell>
          <cell r="E284">
            <v>413513</v>
          </cell>
        </row>
        <row r="285">
          <cell r="C285" t="str">
            <v xml:space="preserve">    PARICEL            A-I</v>
          </cell>
          <cell r="D285">
            <v>173371</v>
          </cell>
          <cell r="E285">
            <v>212994</v>
          </cell>
        </row>
        <row r="286">
          <cell r="C286" t="str">
            <v xml:space="preserve">    XOREL              IBN</v>
          </cell>
          <cell r="D286">
            <v>144185</v>
          </cell>
          <cell r="E286">
            <v>268992</v>
          </cell>
        </row>
        <row r="287">
          <cell r="C287" t="str">
            <v xml:space="preserve">    RABLET             NJP</v>
          </cell>
          <cell r="D287">
            <v>32628</v>
          </cell>
          <cell r="E287">
            <v>41812</v>
          </cell>
        </row>
        <row r="288">
          <cell r="C288" t="str">
            <v xml:space="preserve">    RABECA             SQA</v>
          </cell>
          <cell r="D288">
            <v>24423</v>
          </cell>
          <cell r="E288">
            <v>26871</v>
          </cell>
        </row>
        <row r="289">
          <cell r="C289" t="str">
            <v xml:space="preserve">    RABIZOL            ACM</v>
          </cell>
          <cell r="D289">
            <v>20624</v>
          </cell>
          <cell r="E289">
            <v>19606</v>
          </cell>
        </row>
        <row r="290">
          <cell r="C290" t="str">
            <v xml:space="preserve">    REXIET             LDB</v>
          </cell>
          <cell r="D290">
            <v>17600</v>
          </cell>
          <cell r="E290">
            <v>23817</v>
          </cell>
        </row>
        <row r="291">
          <cell r="C291" t="str">
            <v xml:space="preserve">    RASONIX            IAP</v>
          </cell>
          <cell r="D291">
            <v>17403</v>
          </cell>
          <cell r="E291">
            <v>18399</v>
          </cell>
        </row>
        <row r="292">
          <cell r="C292" t="str">
            <v xml:space="preserve">    RABIGUT            PPH</v>
          </cell>
          <cell r="D292">
            <v>16949</v>
          </cell>
          <cell r="E292">
            <v>14185</v>
          </cell>
        </row>
        <row r="293">
          <cell r="C293" t="str">
            <v xml:space="preserve">    RABEPES            BAC</v>
          </cell>
          <cell r="D293">
            <v>15093</v>
          </cell>
          <cell r="E293">
            <v>20852</v>
          </cell>
        </row>
        <row r="294">
          <cell r="C294" t="str">
            <v xml:space="preserve">    RABIFAST           ESF</v>
          </cell>
          <cell r="D294">
            <v>13966</v>
          </cell>
          <cell r="E294">
            <v>11580</v>
          </cell>
        </row>
        <row r="295">
          <cell r="C295" t="str">
            <v xml:space="preserve">    RABESEC            D-I</v>
          </cell>
          <cell r="D295">
            <v>9882</v>
          </cell>
          <cell r="E295">
            <v>13062</v>
          </cell>
        </row>
        <row r="296">
          <cell r="C296" t="str">
            <v xml:space="preserve">    RABEMAX            GNR</v>
          </cell>
          <cell r="D296">
            <v>5604</v>
          </cell>
          <cell r="E296">
            <v>19975</v>
          </cell>
        </row>
        <row r="297">
          <cell r="C297" t="str">
            <v xml:space="preserve">    PROMPTON           RD7</v>
          </cell>
          <cell r="D297">
            <v>3424</v>
          </cell>
          <cell r="E297">
            <v>2167</v>
          </cell>
        </row>
        <row r="298">
          <cell r="C298" t="str">
            <v xml:space="preserve">    RABEPES-M          BAC</v>
          </cell>
          <cell r="D298">
            <v>2256</v>
          </cell>
          <cell r="E298">
            <v>3253</v>
          </cell>
        </row>
        <row r="299">
          <cell r="C299" t="str">
            <v xml:space="preserve">    RABETAC            N8V</v>
          </cell>
          <cell r="D299">
            <v>1861</v>
          </cell>
          <cell r="E299">
            <v>2028</v>
          </cell>
        </row>
        <row r="300">
          <cell r="C300" t="str">
            <v xml:space="preserve">    RABENTA            D-B</v>
          </cell>
          <cell r="D300">
            <v>764</v>
          </cell>
          <cell r="E300">
            <v>1019</v>
          </cell>
        </row>
        <row r="301">
          <cell r="C301" t="str">
            <v xml:space="preserve">    RESPITE            S.Y</v>
          </cell>
          <cell r="D301">
            <v>553</v>
          </cell>
          <cell r="E301">
            <v>807</v>
          </cell>
        </row>
        <row r="302">
          <cell r="C302" t="str">
            <v xml:space="preserve">    NEXRAB             UNH</v>
          </cell>
          <cell r="D302">
            <v>470</v>
          </cell>
          <cell r="E302">
            <v>1201</v>
          </cell>
        </row>
        <row r="303">
          <cell r="C303" t="str">
            <v xml:space="preserve">    RABPRAZO           PAC</v>
          </cell>
          <cell r="D303">
            <v>251</v>
          </cell>
          <cell r="E303">
            <v>1276</v>
          </cell>
        </row>
        <row r="304">
          <cell r="C304" t="str">
            <v xml:space="preserve">    RABECON            BP&amp;</v>
          </cell>
          <cell r="D304">
            <v>217</v>
          </cell>
          <cell r="E304">
            <v>517</v>
          </cell>
        </row>
        <row r="305">
          <cell r="C305" t="str">
            <v xml:space="preserve">    RP                 GBE</v>
          </cell>
          <cell r="D305">
            <v>190</v>
          </cell>
          <cell r="E305">
            <v>336</v>
          </cell>
        </row>
        <row r="306">
          <cell r="C306" t="str">
            <v xml:space="preserve">    RMAX               D&amp;B</v>
          </cell>
          <cell r="D306">
            <v>134</v>
          </cell>
          <cell r="E306">
            <v>313</v>
          </cell>
        </row>
        <row r="307">
          <cell r="C307" t="str">
            <v xml:space="preserve">    RABETEM            TMH</v>
          </cell>
          <cell r="D307">
            <v>109</v>
          </cell>
          <cell r="E307">
            <v>0</v>
          </cell>
        </row>
        <row r="308">
          <cell r="C308" t="str">
            <v xml:space="preserve">    RABEPROL           S&amp;O</v>
          </cell>
          <cell r="D308">
            <v>56</v>
          </cell>
          <cell r="E308">
            <v>107</v>
          </cell>
        </row>
        <row r="309">
          <cell r="C309" t="str">
            <v xml:space="preserve">    PROFAST            RTA</v>
          </cell>
          <cell r="D309">
            <v>55</v>
          </cell>
          <cell r="E309">
            <v>0</v>
          </cell>
        </row>
        <row r="310">
          <cell r="C310" t="str">
            <v xml:space="preserve">    RAHA               P-S</v>
          </cell>
          <cell r="D310">
            <v>41</v>
          </cell>
          <cell r="E310">
            <v>174</v>
          </cell>
        </row>
        <row r="311">
          <cell r="C311" t="str">
            <v xml:space="preserve">    RABOZ              LOP</v>
          </cell>
          <cell r="D311">
            <v>20</v>
          </cell>
          <cell r="E311">
            <v>0</v>
          </cell>
        </row>
        <row r="312">
          <cell r="C312" t="str">
            <v xml:space="preserve">    RABENAAF           NAF</v>
          </cell>
          <cell r="D312">
            <v>18</v>
          </cell>
          <cell r="E312">
            <v>0</v>
          </cell>
        </row>
        <row r="313">
          <cell r="C313" t="str">
            <v xml:space="preserve">    RAZOLE             KMP</v>
          </cell>
          <cell r="D313">
            <v>0</v>
          </cell>
          <cell r="E313">
            <v>10</v>
          </cell>
        </row>
        <row r="314">
          <cell r="C314" t="str">
            <v xml:space="preserve">    ZORAB              UNH</v>
          </cell>
          <cell r="D314">
            <v>0</v>
          </cell>
          <cell r="E314">
            <v>0</v>
          </cell>
        </row>
        <row r="315">
          <cell r="C315" t="str">
            <v xml:space="preserve">    RABIPEP            NVK</v>
          </cell>
          <cell r="D315">
            <v>0</v>
          </cell>
          <cell r="E315">
            <v>0</v>
          </cell>
        </row>
        <row r="316">
          <cell r="C316" t="str">
            <v xml:space="preserve">    RABONAC            SH0</v>
          </cell>
          <cell r="D316">
            <v>0</v>
          </cell>
          <cell r="E316">
            <v>0</v>
          </cell>
        </row>
        <row r="317">
          <cell r="C317" t="str">
            <v xml:space="preserve">    SB-RABEC           SBD</v>
          </cell>
          <cell r="D317">
            <v>0</v>
          </cell>
          <cell r="E317">
            <v>0</v>
          </cell>
        </row>
        <row r="318">
          <cell r="C318" t="str">
            <v xml:space="preserve">    RASOZ              A-H</v>
          </cell>
          <cell r="D318">
            <v>0</v>
          </cell>
          <cell r="E318">
            <v>245</v>
          </cell>
        </row>
        <row r="319">
          <cell r="C319" t="str">
            <v xml:space="preserve">    GASTRAZOLE         AMD</v>
          </cell>
          <cell r="D319">
            <v>0</v>
          </cell>
          <cell r="E319">
            <v>0</v>
          </cell>
        </row>
        <row r="320">
          <cell r="C320" t="str">
            <v xml:space="preserve">   VONOPRAZAN</v>
          </cell>
          <cell r="D320">
            <v>667420</v>
          </cell>
          <cell r="E320">
            <v>1019947</v>
          </cell>
        </row>
        <row r="321">
          <cell r="C321" t="str">
            <v xml:space="preserve">    VONOMAX            PPH</v>
          </cell>
          <cell r="D321">
            <v>234038</v>
          </cell>
          <cell r="E321">
            <v>215074</v>
          </cell>
        </row>
        <row r="322">
          <cell r="C322" t="str">
            <v xml:space="preserve">    VONO               RD7</v>
          </cell>
          <cell r="D322">
            <v>94514</v>
          </cell>
          <cell r="E322">
            <v>116217</v>
          </cell>
        </row>
        <row r="323">
          <cell r="C323" t="str">
            <v xml:space="preserve">    VONOCAB            BXM</v>
          </cell>
          <cell r="D323">
            <v>65783</v>
          </cell>
          <cell r="E323">
            <v>91550</v>
          </cell>
        </row>
        <row r="324">
          <cell r="C324" t="str">
            <v xml:space="preserve">    BYGERD             IAP</v>
          </cell>
          <cell r="D324">
            <v>47232</v>
          </cell>
          <cell r="E324">
            <v>125056</v>
          </cell>
        </row>
        <row r="325">
          <cell r="C325" t="str">
            <v xml:space="preserve">    VONIZA             SQA</v>
          </cell>
          <cell r="D325">
            <v>47135</v>
          </cell>
          <cell r="E325">
            <v>82821</v>
          </cell>
        </row>
        <row r="326">
          <cell r="C326" t="str">
            <v xml:space="preserve">    VONOFIX            ATP</v>
          </cell>
          <cell r="D326">
            <v>35219</v>
          </cell>
          <cell r="E326">
            <v>71681</v>
          </cell>
        </row>
        <row r="327">
          <cell r="C327" t="str">
            <v xml:space="preserve">    VONIX              ACM</v>
          </cell>
          <cell r="D327">
            <v>31353</v>
          </cell>
          <cell r="E327">
            <v>58917</v>
          </cell>
        </row>
        <row r="328">
          <cell r="C328" t="str">
            <v xml:space="preserve">    ORNOVA             A-I</v>
          </cell>
          <cell r="D328">
            <v>25627</v>
          </cell>
          <cell r="E328">
            <v>48746</v>
          </cell>
        </row>
        <row r="329">
          <cell r="C329" t="str">
            <v xml:space="preserve">    VONOPA             BAC</v>
          </cell>
          <cell r="D329">
            <v>24532</v>
          </cell>
          <cell r="E329">
            <v>62265</v>
          </cell>
        </row>
        <row r="330">
          <cell r="C330" t="str">
            <v xml:space="preserve">    PCAB               RTA</v>
          </cell>
          <cell r="D330">
            <v>13979</v>
          </cell>
          <cell r="E330">
            <v>41393</v>
          </cell>
        </row>
        <row r="331">
          <cell r="C331" t="str">
            <v xml:space="preserve">    VINI               ESF</v>
          </cell>
          <cell r="D331">
            <v>13400</v>
          </cell>
          <cell r="E331">
            <v>39525</v>
          </cell>
        </row>
        <row r="332">
          <cell r="C332" t="str">
            <v xml:space="preserve">    UNIGERD            NJP</v>
          </cell>
          <cell r="D332">
            <v>7794</v>
          </cell>
          <cell r="E332">
            <v>5420</v>
          </cell>
        </row>
        <row r="333">
          <cell r="C333" t="str">
            <v xml:space="preserve">    KENZO              HT3</v>
          </cell>
          <cell r="D333">
            <v>6717</v>
          </cell>
          <cell r="E333">
            <v>17163</v>
          </cell>
        </row>
        <row r="334">
          <cell r="C334" t="str">
            <v xml:space="preserve">    VENOCID            D-I</v>
          </cell>
          <cell r="D334">
            <v>5391</v>
          </cell>
          <cell r="E334">
            <v>3101</v>
          </cell>
        </row>
        <row r="335">
          <cell r="C335" t="str">
            <v xml:space="preserve">    VONION             OR/</v>
          </cell>
          <cell r="D335">
            <v>4614</v>
          </cell>
          <cell r="E335">
            <v>8985</v>
          </cell>
        </row>
        <row r="336">
          <cell r="C336" t="str">
            <v xml:space="preserve">    VONTAC             N8V</v>
          </cell>
          <cell r="D336">
            <v>3695</v>
          </cell>
          <cell r="E336">
            <v>8425</v>
          </cell>
        </row>
        <row r="337">
          <cell r="C337" t="str">
            <v xml:space="preserve">    ARENA              UNH</v>
          </cell>
          <cell r="D337">
            <v>2127</v>
          </cell>
          <cell r="E337">
            <v>0</v>
          </cell>
        </row>
        <row r="338">
          <cell r="C338" t="str">
            <v xml:space="preserve">    VONITY             GNR</v>
          </cell>
          <cell r="D338">
            <v>2046</v>
          </cell>
          <cell r="E338">
            <v>12259</v>
          </cell>
        </row>
        <row r="339">
          <cell r="C339" t="str">
            <v xml:space="preserve">    VONOLEND           ZIS</v>
          </cell>
          <cell r="D339">
            <v>760</v>
          </cell>
          <cell r="E339">
            <v>4671</v>
          </cell>
        </row>
        <row r="340">
          <cell r="C340" t="str">
            <v xml:space="preserve">    VONOSIL            EVR</v>
          </cell>
          <cell r="D340">
            <v>496</v>
          </cell>
          <cell r="E340">
            <v>5532</v>
          </cell>
        </row>
        <row r="341">
          <cell r="C341" t="str">
            <v xml:space="preserve">    VONLIV             OPI</v>
          </cell>
          <cell r="D341">
            <v>411</v>
          </cell>
          <cell r="E341">
            <v>0</v>
          </cell>
        </row>
        <row r="342">
          <cell r="C342" t="str">
            <v xml:space="preserve">    VONOBEST           ONA</v>
          </cell>
          <cell r="D342">
            <v>230</v>
          </cell>
          <cell r="E342">
            <v>0</v>
          </cell>
        </row>
        <row r="343">
          <cell r="C343" t="str">
            <v xml:space="preserve">    VONOCID            D-I</v>
          </cell>
          <cell r="D343">
            <v>207</v>
          </cell>
          <cell r="E343">
            <v>480</v>
          </cell>
        </row>
        <row r="344">
          <cell r="C344" t="str">
            <v xml:space="preserve">    NOVONIL            P-S</v>
          </cell>
          <cell r="D344">
            <v>111</v>
          </cell>
          <cell r="E344">
            <v>498</v>
          </cell>
        </row>
        <row r="345">
          <cell r="C345" t="str">
            <v xml:space="preserve">    VONOPRA            ZIS</v>
          </cell>
          <cell r="D345">
            <v>8</v>
          </cell>
          <cell r="E345">
            <v>166</v>
          </cell>
        </row>
        <row r="346">
          <cell r="C346" t="str">
            <v xml:space="preserve">   AMOXICILLIN+CLARITHROMYCIN+RABEPRAZOLE</v>
          </cell>
          <cell r="D346">
            <v>200802</v>
          </cell>
          <cell r="E346">
            <v>133647</v>
          </cell>
        </row>
        <row r="347">
          <cell r="C347" t="str">
            <v xml:space="preserve">    FINIX-HP           OPI</v>
          </cell>
          <cell r="D347">
            <v>111665</v>
          </cell>
          <cell r="E347">
            <v>62162</v>
          </cell>
        </row>
        <row r="348">
          <cell r="C348" t="str">
            <v xml:space="preserve">    PYLOTRIP-R         SQA</v>
          </cell>
          <cell r="D348">
            <v>89137</v>
          </cell>
          <cell r="E348">
            <v>71485</v>
          </cell>
        </row>
        <row r="349">
          <cell r="C349" t="str">
            <v xml:space="preserve">    PYLOCURE           OPI</v>
          </cell>
          <cell r="D349">
            <v>0</v>
          </cell>
          <cell r="E349">
            <v>0</v>
          </cell>
        </row>
        <row r="350">
          <cell r="C350" t="str">
            <v xml:space="preserve">   AMOXICILLIN+CLARITHROMYCIN+ESOMEPRAZOLE</v>
          </cell>
          <cell r="D350">
            <v>195992</v>
          </cell>
          <cell r="E350">
            <v>133768</v>
          </cell>
        </row>
        <row r="351">
          <cell r="C351" t="str">
            <v xml:space="preserve">    MAXPRO HP          RTA</v>
          </cell>
          <cell r="D351">
            <v>195992</v>
          </cell>
          <cell r="E351">
            <v>133768</v>
          </cell>
        </row>
        <row r="352">
          <cell r="C352" t="str">
            <v xml:space="preserve">   AMOXICILLIN+CLARITHROMYCIN+LANSOPRAZOLE</v>
          </cell>
          <cell r="D352">
            <v>114987</v>
          </cell>
          <cell r="E352">
            <v>123550</v>
          </cell>
        </row>
        <row r="353">
          <cell r="C353" t="str">
            <v xml:space="preserve">    PYLOTRIP           SQA</v>
          </cell>
          <cell r="D353">
            <v>98396</v>
          </cell>
          <cell r="E353">
            <v>80439</v>
          </cell>
        </row>
        <row r="354">
          <cell r="C354" t="str">
            <v xml:space="preserve">    HELICON KIT        GNR</v>
          </cell>
          <cell r="D354">
            <v>16590</v>
          </cell>
          <cell r="E354">
            <v>42738</v>
          </cell>
        </row>
        <row r="355">
          <cell r="C355" t="str">
            <v xml:space="preserve">    TRIOKIT            OPI</v>
          </cell>
          <cell r="D355">
            <v>0</v>
          </cell>
          <cell r="E355">
            <v>372</v>
          </cell>
        </row>
        <row r="356">
          <cell r="C356" t="str">
            <v xml:space="preserve">   AMOXICILLIN+CLARITHROMYCIN+VONOPRAZAN</v>
          </cell>
          <cell r="D356">
            <v>108622</v>
          </cell>
          <cell r="E356">
            <v>39205</v>
          </cell>
        </row>
        <row r="357">
          <cell r="C357" t="str">
            <v xml:space="preserve">    VONOKIT            SQA</v>
          </cell>
          <cell r="D357">
            <v>58486</v>
          </cell>
          <cell r="E357">
            <v>20520</v>
          </cell>
        </row>
        <row r="358">
          <cell r="C358" t="str">
            <v xml:space="preserve">    VONOCAB-TRIO KIT   BXM</v>
          </cell>
          <cell r="D358">
            <v>30865</v>
          </cell>
          <cell r="E358">
            <v>12309</v>
          </cell>
        </row>
        <row r="359">
          <cell r="C359" t="str">
            <v xml:space="preserve">    VONOLEND-KIT       ZIS</v>
          </cell>
          <cell r="D359">
            <v>12351</v>
          </cell>
          <cell r="E359">
            <v>96</v>
          </cell>
        </row>
        <row r="360">
          <cell r="C360" t="str">
            <v xml:space="preserve">    HELICON V          GNR</v>
          </cell>
          <cell r="D360">
            <v>6921</v>
          </cell>
          <cell r="E360">
            <v>6281</v>
          </cell>
        </row>
        <row r="361">
          <cell r="C361" t="str">
            <v xml:space="preserve">   LANSOPRAZOLE</v>
          </cell>
          <cell r="D361">
            <v>73762</v>
          </cell>
          <cell r="E361">
            <v>67491</v>
          </cell>
        </row>
        <row r="362">
          <cell r="C362" t="str">
            <v xml:space="preserve">    LANSO              SQA</v>
          </cell>
          <cell r="D362">
            <v>62532</v>
          </cell>
          <cell r="E362">
            <v>55822</v>
          </cell>
        </row>
        <row r="363">
          <cell r="C363" t="str">
            <v xml:space="preserve">    LANSEC             D-I</v>
          </cell>
          <cell r="D363">
            <v>8553</v>
          </cell>
          <cell r="E363">
            <v>7057</v>
          </cell>
        </row>
        <row r="364">
          <cell r="C364" t="str">
            <v xml:space="preserve">    ZOTON              GNR</v>
          </cell>
          <cell r="D364">
            <v>1378</v>
          </cell>
          <cell r="E364">
            <v>3212</v>
          </cell>
        </row>
        <row r="365">
          <cell r="C365" t="str">
            <v xml:space="preserve">    ASLAN              UNH</v>
          </cell>
          <cell r="D365">
            <v>912</v>
          </cell>
          <cell r="E365">
            <v>549</v>
          </cell>
        </row>
        <row r="366">
          <cell r="C366" t="str">
            <v xml:space="preserve">    LANTID             OPI</v>
          </cell>
          <cell r="D366">
            <v>239</v>
          </cell>
          <cell r="E366">
            <v>240</v>
          </cell>
        </row>
        <row r="367">
          <cell r="C367" t="str">
            <v xml:space="preserve">    LANSINA            IBN</v>
          </cell>
          <cell r="D367">
            <v>76</v>
          </cell>
          <cell r="E367">
            <v>508</v>
          </cell>
        </row>
        <row r="368">
          <cell r="C368" t="str">
            <v xml:space="preserve">    LASOCON            BP&amp;</v>
          </cell>
          <cell r="D368">
            <v>72</v>
          </cell>
          <cell r="E368">
            <v>98</v>
          </cell>
        </row>
        <row r="369">
          <cell r="C369" t="str">
            <v xml:space="preserve">    LANOZOLE           MDM</v>
          </cell>
          <cell r="D369">
            <v>0</v>
          </cell>
          <cell r="E369">
            <v>0</v>
          </cell>
        </row>
        <row r="370">
          <cell r="C370" t="str">
            <v xml:space="preserve">    LANSODIN           ACM</v>
          </cell>
          <cell r="D370">
            <v>0</v>
          </cell>
          <cell r="E370">
            <v>0</v>
          </cell>
        </row>
        <row r="371">
          <cell r="C371" t="str">
            <v xml:space="preserve">    LANSOPROL          ZIS</v>
          </cell>
          <cell r="D371">
            <v>0</v>
          </cell>
          <cell r="E371">
            <v>0</v>
          </cell>
        </row>
        <row r="372">
          <cell r="C372" t="str">
            <v xml:space="preserve">    LAP                AMB</v>
          </cell>
          <cell r="D372">
            <v>0</v>
          </cell>
          <cell r="E372">
            <v>0</v>
          </cell>
        </row>
        <row r="373">
          <cell r="C373" t="str">
            <v xml:space="preserve">    PROTOLAN           BXM</v>
          </cell>
          <cell r="D373">
            <v>0</v>
          </cell>
          <cell r="E373">
            <v>4</v>
          </cell>
        </row>
        <row r="374">
          <cell r="C374" t="str">
            <v xml:space="preserve">   AMOXICILLIN+VONOPRAZAN</v>
          </cell>
          <cell r="D374">
            <v>2459</v>
          </cell>
          <cell r="E374">
            <v>0</v>
          </cell>
        </row>
        <row r="375">
          <cell r="C375" t="str">
            <v xml:space="preserve">    VONOMAX DUO        PPH</v>
          </cell>
          <cell r="D375">
            <v>2459</v>
          </cell>
          <cell r="E375">
            <v>0</v>
          </cell>
        </row>
        <row r="376">
          <cell r="C376" t="str">
            <v xml:space="preserve">   OMEPRAZOLE+SODIUM</v>
          </cell>
          <cell r="D376">
            <v>95</v>
          </cell>
          <cell r="E376">
            <v>87</v>
          </cell>
        </row>
        <row r="377">
          <cell r="C377" t="str">
            <v xml:space="preserve">    OMENIX IR          IAP</v>
          </cell>
          <cell r="D377">
            <v>65</v>
          </cell>
          <cell r="E377">
            <v>25</v>
          </cell>
        </row>
        <row r="378">
          <cell r="C378" t="str">
            <v xml:space="preserve">    OMETID IR          OPI</v>
          </cell>
          <cell r="D378">
            <v>23</v>
          </cell>
          <cell r="E378">
            <v>40</v>
          </cell>
        </row>
        <row r="379">
          <cell r="C379" t="str">
            <v xml:space="preserve">    LOSECTIL IR        ESF</v>
          </cell>
          <cell r="D379">
            <v>7</v>
          </cell>
          <cell r="E379">
            <v>23</v>
          </cell>
        </row>
        <row r="380">
          <cell r="C380" t="str">
            <v xml:space="preserve">    ASPRA-PLUS         AX.</v>
          </cell>
          <cell r="D380">
            <v>0</v>
          </cell>
          <cell r="E380">
            <v>0</v>
          </cell>
        </row>
        <row r="381">
          <cell r="C381" t="str">
            <v xml:space="preserve">    OMEP-IR            ATP</v>
          </cell>
          <cell r="D381">
            <v>0</v>
          </cell>
          <cell r="E381">
            <v>0</v>
          </cell>
        </row>
        <row r="382">
          <cell r="C382" t="str">
            <v xml:space="preserve">    OMESIL IR          SV6</v>
          </cell>
          <cell r="D382">
            <v>0</v>
          </cell>
          <cell r="E382">
            <v>0</v>
          </cell>
        </row>
        <row r="383">
          <cell r="C383" t="str">
            <v xml:space="preserve">    PRAZO-PLUS         PAC</v>
          </cell>
          <cell r="D383">
            <v>0</v>
          </cell>
          <cell r="E383">
            <v>0</v>
          </cell>
        </row>
        <row r="384">
          <cell r="C384" t="str">
            <v xml:space="preserve">   CLARITHROMYCIN+METRONIDAZOLE+OMEPRAZOLE</v>
          </cell>
          <cell r="D384">
            <v>0</v>
          </cell>
          <cell r="E384">
            <v>0</v>
          </cell>
        </row>
        <row r="385">
          <cell r="C385" t="str">
            <v xml:space="preserve">    HELI KIT           BXM</v>
          </cell>
          <cell r="D385">
            <v>0</v>
          </cell>
          <cell r="E385">
            <v>0</v>
          </cell>
        </row>
        <row r="386">
          <cell r="C386" t="str">
            <v xml:space="preserve">  H2 ANTAGONISTS</v>
          </cell>
          <cell r="D386">
            <v>770424</v>
          </cell>
          <cell r="E386">
            <v>653899</v>
          </cell>
        </row>
        <row r="387">
          <cell r="C387" t="str">
            <v xml:space="preserve">   FAMOTIDINE</v>
          </cell>
          <cell r="D387">
            <v>770389</v>
          </cell>
          <cell r="E387">
            <v>653644</v>
          </cell>
        </row>
        <row r="388">
          <cell r="C388" t="str">
            <v xml:space="preserve">    FAMOTACK           SQA</v>
          </cell>
          <cell r="D388">
            <v>330255</v>
          </cell>
          <cell r="E388">
            <v>302607</v>
          </cell>
        </row>
        <row r="389">
          <cell r="C389" t="str">
            <v xml:space="preserve">    FAMOMAX            BXM</v>
          </cell>
          <cell r="D389">
            <v>193785</v>
          </cell>
          <cell r="E389">
            <v>146310</v>
          </cell>
        </row>
        <row r="390">
          <cell r="C390" t="str">
            <v xml:space="preserve">    FAMOTID            D-I</v>
          </cell>
          <cell r="D390">
            <v>139431</v>
          </cell>
          <cell r="E390">
            <v>107189</v>
          </cell>
        </row>
        <row r="391">
          <cell r="C391" t="str">
            <v xml:space="preserve">    FAMODIN            ACM</v>
          </cell>
          <cell r="D391">
            <v>37847</v>
          </cell>
          <cell r="E391">
            <v>27765</v>
          </cell>
        </row>
        <row r="392">
          <cell r="C392" t="str">
            <v xml:space="preserve">    SERVIPEP           SDZ</v>
          </cell>
          <cell r="D392">
            <v>24447</v>
          </cell>
          <cell r="E392">
            <v>28171</v>
          </cell>
        </row>
        <row r="393">
          <cell r="C393" t="str">
            <v xml:space="preserve">    PEPTID             OPI</v>
          </cell>
          <cell r="D393">
            <v>21885</v>
          </cell>
          <cell r="E393">
            <v>12970</v>
          </cell>
        </row>
        <row r="394">
          <cell r="C394" t="str">
            <v xml:space="preserve">    REDUCID            IAP</v>
          </cell>
          <cell r="D394">
            <v>18572</v>
          </cell>
          <cell r="E394">
            <v>13966</v>
          </cell>
        </row>
        <row r="395">
          <cell r="C395" t="str">
            <v xml:space="preserve">    FAMOGEN            GNR</v>
          </cell>
          <cell r="D395">
            <v>3017</v>
          </cell>
          <cell r="E395">
            <v>14660</v>
          </cell>
        </row>
        <row r="396">
          <cell r="C396" t="str">
            <v xml:space="preserve">    FAMAS              IBN</v>
          </cell>
          <cell r="D396">
            <v>1150</v>
          </cell>
          <cell r="E396">
            <v>0</v>
          </cell>
        </row>
        <row r="397">
          <cell r="C397" t="str">
            <v xml:space="preserve">    AXIDIN             UNH</v>
          </cell>
          <cell r="D397">
            <v>0</v>
          </cell>
          <cell r="E397">
            <v>3</v>
          </cell>
        </row>
        <row r="398">
          <cell r="C398" t="str">
            <v xml:space="preserve">    FAMOTAB            PDH</v>
          </cell>
          <cell r="D398">
            <v>0</v>
          </cell>
          <cell r="E398">
            <v>2</v>
          </cell>
        </row>
        <row r="399">
          <cell r="C399" t="str">
            <v xml:space="preserve">    FAMOTE             JMS</v>
          </cell>
          <cell r="D399">
            <v>0</v>
          </cell>
          <cell r="E399">
            <v>0</v>
          </cell>
        </row>
        <row r="400">
          <cell r="C400" t="str">
            <v xml:space="preserve">    FEMOTAB            U.M</v>
          </cell>
          <cell r="D400">
            <v>0</v>
          </cell>
          <cell r="E400">
            <v>0</v>
          </cell>
        </row>
        <row r="401">
          <cell r="C401" t="str">
            <v xml:space="preserve">    GASEX              SPI</v>
          </cell>
          <cell r="D401">
            <v>0</v>
          </cell>
          <cell r="E401">
            <v>0</v>
          </cell>
        </row>
        <row r="402">
          <cell r="C402" t="str">
            <v xml:space="preserve">    YAMADIN            BXM</v>
          </cell>
          <cell r="D402">
            <v>0</v>
          </cell>
          <cell r="E402">
            <v>0</v>
          </cell>
        </row>
        <row r="403">
          <cell r="C403" t="str">
            <v xml:space="preserve">   RANITIDINE</v>
          </cell>
          <cell r="D403">
            <v>35</v>
          </cell>
          <cell r="E403">
            <v>256</v>
          </cell>
        </row>
        <row r="404">
          <cell r="C404" t="str">
            <v xml:space="preserve">    GASTROLOC          BAC</v>
          </cell>
          <cell r="D404">
            <v>35</v>
          </cell>
          <cell r="E404">
            <v>0</v>
          </cell>
        </row>
        <row r="405">
          <cell r="C405" t="str">
            <v xml:space="preserve">    ALIN               RPH</v>
          </cell>
          <cell r="D405">
            <v>0</v>
          </cell>
          <cell r="E405">
            <v>0</v>
          </cell>
        </row>
        <row r="406">
          <cell r="C406" t="str">
            <v xml:space="preserve">    DENITINE           DOC</v>
          </cell>
          <cell r="D406">
            <v>0</v>
          </cell>
          <cell r="E406">
            <v>0</v>
          </cell>
        </row>
        <row r="407">
          <cell r="C407" t="str">
            <v xml:space="preserve">    EDITIN-R           EDR</v>
          </cell>
          <cell r="D407">
            <v>0</v>
          </cell>
          <cell r="E407">
            <v>0</v>
          </cell>
        </row>
        <row r="408">
          <cell r="C408" t="str">
            <v xml:space="preserve">    GEPIN              GNR</v>
          </cell>
          <cell r="D408">
            <v>0</v>
          </cell>
          <cell r="E408">
            <v>0</v>
          </cell>
        </row>
        <row r="409">
          <cell r="C409" t="str">
            <v xml:space="preserve">    H-2                ALO</v>
          </cell>
          <cell r="D409">
            <v>0</v>
          </cell>
          <cell r="E409">
            <v>0</v>
          </cell>
        </row>
        <row r="410">
          <cell r="C410" t="str">
            <v xml:space="preserve">    LIBRET             LBA</v>
          </cell>
          <cell r="D410">
            <v>0</v>
          </cell>
          <cell r="E410">
            <v>0</v>
          </cell>
        </row>
        <row r="411">
          <cell r="C411" t="str">
            <v xml:space="preserve">    LUCIN-R            JNS</v>
          </cell>
          <cell r="D411">
            <v>0</v>
          </cell>
          <cell r="E411">
            <v>0</v>
          </cell>
        </row>
        <row r="412">
          <cell r="C412" t="str">
            <v xml:space="preserve">    NCR                PK-</v>
          </cell>
          <cell r="D412">
            <v>0</v>
          </cell>
          <cell r="E412">
            <v>0</v>
          </cell>
        </row>
        <row r="413">
          <cell r="C413" t="str">
            <v xml:space="preserve">    NEOCEPTIN R        BXM</v>
          </cell>
          <cell r="D413">
            <v>0</v>
          </cell>
          <cell r="E413">
            <v>0</v>
          </cell>
        </row>
        <row r="414">
          <cell r="C414" t="str">
            <v xml:space="preserve">    NEOCEPTIN-R        BXM</v>
          </cell>
          <cell r="D414">
            <v>0</v>
          </cell>
          <cell r="E414">
            <v>0</v>
          </cell>
        </row>
        <row r="415">
          <cell r="C415" t="str">
            <v xml:space="preserve">    NEOFAST-S          IAP</v>
          </cell>
          <cell r="D415">
            <v>0</v>
          </cell>
          <cell r="E415">
            <v>0</v>
          </cell>
        </row>
        <row r="416">
          <cell r="C416" t="str">
            <v xml:space="preserve">    NEOSETIN R         BRI</v>
          </cell>
          <cell r="D416">
            <v>0</v>
          </cell>
          <cell r="E416">
            <v>0</v>
          </cell>
        </row>
        <row r="417">
          <cell r="C417" t="str">
            <v xml:space="preserve">    NEOTACK            SQA</v>
          </cell>
          <cell r="D417">
            <v>0</v>
          </cell>
          <cell r="E417">
            <v>0</v>
          </cell>
        </row>
        <row r="418">
          <cell r="C418" t="str">
            <v xml:space="preserve">    NORMA H            RTA</v>
          </cell>
          <cell r="D418">
            <v>0</v>
          </cell>
          <cell r="E418">
            <v>48</v>
          </cell>
        </row>
        <row r="419">
          <cell r="C419" t="str">
            <v xml:space="preserve">    PEPTIDIN           CSC</v>
          </cell>
          <cell r="D419">
            <v>0</v>
          </cell>
          <cell r="E419">
            <v>0</v>
          </cell>
        </row>
        <row r="420">
          <cell r="C420" t="str">
            <v xml:space="preserve">    PEPTIL-H           ESF</v>
          </cell>
          <cell r="D420">
            <v>0</v>
          </cell>
          <cell r="E420">
            <v>0</v>
          </cell>
        </row>
        <row r="421">
          <cell r="C421" t="str">
            <v xml:space="preserve">    PEPTOSOL           OS9</v>
          </cell>
          <cell r="D421">
            <v>0</v>
          </cell>
          <cell r="E421">
            <v>4</v>
          </cell>
        </row>
        <row r="422">
          <cell r="C422" t="str">
            <v xml:space="preserve">    RADIN              KDH</v>
          </cell>
          <cell r="D422">
            <v>0</v>
          </cell>
          <cell r="E422">
            <v>52</v>
          </cell>
        </row>
        <row r="423">
          <cell r="C423" t="str">
            <v xml:space="preserve">    RANBEX             NVO</v>
          </cell>
          <cell r="D423">
            <v>0</v>
          </cell>
          <cell r="E423">
            <v>15</v>
          </cell>
        </row>
        <row r="424">
          <cell r="C424" t="str">
            <v xml:space="preserve">    RANI               A.P</v>
          </cell>
          <cell r="D424">
            <v>0</v>
          </cell>
          <cell r="E424">
            <v>0</v>
          </cell>
        </row>
        <row r="425">
          <cell r="C425" t="str">
            <v xml:space="preserve">    RANIDIN            ACM</v>
          </cell>
          <cell r="D425">
            <v>0</v>
          </cell>
          <cell r="E425">
            <v>0</v>
          </cell>
        </row>
        <row r="426">
          <cell r="C426" t="str">
            <v xml:space="preserve">    RANITID            OPI</v>
          </cell>
          <cell r="D426">
            <v>0</v>
          </cell>
          <cell r="E426">
            <v>0</v>
          </cell>
        </row>
        <row r="427">
          <cell r="C427" t="str">
            <v xml:space="preserve">    RANIX              CHM</v>
          </cell>
          <cell r="D427">
            <v>0</v>
          </cell>
          <cell r="E427">
            <v>0</v>
          </cell>
        </row>
        <row r="428">
          <cell r="C428" t="str">
            <v xml:space="preserve">    RANISIS            OAS</v>
          </cell>
          <cell r="D428">
            <v>0</v>
          </cell>
          <cell r="E428">
            <v>0</v>
          </cell>
        </row>
        <row r="429">
          <cell r="C429" t="str">
            <v xml:space="preserve">    RANITIDINE         ALB</v>
          </cell>
          <cell r="D429">
            <v>0</v>
          </cell>
          <cell r="E429">
            <v>0</v>
          </cell>
        </row>
        <row r="430">
          <cell r="C430" t="str">
            <v xml:space="preserve">    RHINE              HT3</v>
          </cell>
          <cell r="D430">
            <v>0</v>
          </cell>
          <cell r="E430">
            <v>73</v>
          </cell>
        </row>
        <row r="431">
          <cell r="C431" t="str">
            <v xml:space="preserve">    ROSTID             RAS</v>
          </cell>
          <cell r="D431">
            <v>0</v>
          </cell>
          <cell r="E431">
            <v>0</v>
          </cell>
        </row>
        <row r="432">
          <cell r="C432" t="str">
            <v xml:space="preserve">    RT                 SV6</v>
          </cell>
          <cell r="D432">
            <v>0</v>
          </cell>
          <cell r="E432">
            <v>64</v>
          </cell>
        </row>
        <row r="433">
          <cell r="C433" t="str">
            <v xml:space="preserve">    SADIN              S4L</v>
          </cell>
          <cell r="D433">
            <v>0</v>
          </cell>
          <cell r="E433">
            <v>0</v>
          </cell>
        </row>
        <row r="434">
          <cell r="C434" t="str">
            <v xml:space="preserve">    CEPTIN-R           LOP</v>
          </cell>
          <cell r="D434">
            <v>0</v>
          </cell>
          <cell r="E434">
            <v>0</v>
          </cell>
        </row>
        <row r="435">
          <cell r="C435" t="str">
            <v xml:space="preserve">   CIMETIDINE</v>
          </cell>
          <cell r="D435">
            <v>0</v>
          </cell>
          <cell r="E435">
            <v>0</v>
          </cell>
        </row>
        <row r="436">
          <cell r="C436" t="str">
            <v xml:space="preserve">    DIMET              DGP</v>
          </cell>
          <cell r="D436">
            <v>0</v>
          </cell>
          <cell r="E436">
            <v>0</v>
          </cell>
        </row>
        <row r="437">
          <cell r="C437" t="str">
            <v xml:space="preserve">  ALL OTHER ANTIULCERANTS</v>
          </cell>
          <cell r="D437">
            <v>627960</v>
          </cell>
          <cell r="E437">
            <v>518133</v>
          </cell>
        </row>
        <row r="438">
          <cell r="C438" t="str">
            <v xml:space="preserve">   SUCRALFATE</v>
          </cell>
          <cell r="D438">
            <v>626193</v>
          </cell>
          <cell r="E438">
            <v>516237</v>
          </cell>
        </row>
        <row r="439">
          <cell r="C439" t="str">
            <v xml:space="preserve">    ULFATE             IAP</v>
          </cell>
          <cell r="D439">
            <v>238452</v>
          </cell>
          <cell r="E439">
            <v>218446</v>
          </cell>
        </row>
        <row r="440">
          <cell r="C440" t="str">
            <v xml:space="preserve">    ULRIF              SQA</v>
          </cell>
          <cell r="D440">
            <v>130206</v>
          </cell>
          <cell r="E440">
            <v>93579</v>
          </cell>
        </row>
        <row r="441">
          <cell r="C441" t="str">
            <v xml:space="preserve">    GASTALFET          BXM</v>
          </cell>
          <cell r="D441">
            <v>99760</v>
          </cell>
          <cell r="E441">
            <v>86255</v>
          </cell>
        </row>
        <row r="442">
          <cell r="C442" t="str">
            <v xml:space="preserve">    SUCRATE            ACM</v>
          </cell>
          <cell r="D442">
            <v>66060</v>
          </cell>
          <cell r="E442">
            <v>58754</v>
          </cell>
        </row>
        <row r="443">
          <cell r="C443" t="str">
            <v xml:space="preserve">    UCRAFATE           UNH</v>
          </cell>
          <cell r="D443">
            <v>45244</v>
          </cell>
          <cell r="E443">
            <v>41922</v>
          </cell>
        </row>
        <row r="444">
          <cell r="C444" t="str">
            <v xml:space="preserve">    PROTECTO           ESF</v>
          </cell>
          <cell r="D444">
            <v>16826</v>
          </cell>
          <cell r="E444">
            <v>14544</v>
          </cell>
        </row>
        <row r="445">
          <cell r="C445" t="str">
            <v xml:space="preserve">    ULFIX              RTA</v>
          </cell>
          <cell r="D445">
            <v>15426</v>
          </cell>
          <cell r="E445">
            <v>0</v>
          </cell>
        </row>
        <row r="446">
          <cell r="C446" t="str">
            <v xml:space="preserve">    ULSIL              BAC</v>
          </cell>
          <cell r="D446">
            <v>11316</v>
          </cell>
          <cell r="E446">
            <v>2455</v>
          </cell>
        </row>
        <row r="447">
          <cell r="C447" t="str">
            <v xml:space="preserve">    RALFATE            OPI</v>
          </cell>
          <cell r="D447">
            <v>1579</v>
          </cell>
          <cell r="E447">
            <v>0</v>
          </cell>
        </row>
        <row r="448">
          <cell r="C448" t="str">
            <v xml:space="preserve">    SULAFATE           ONA</v>
          </cell>
          <cell r="D448">
            <v>1157</v>
          </cell>
          <cell r="E448">
            <v>0</v>
          </cell>
        </row>
        <row r="449">
          <cell r="C449" t="str">
            <v xml:space="preserve">    GESTALFET          BXM</v>
          </cell>
          <cell r="D449">
            <v>167</v>
          </cell>
          <cell r="E449">
            <v>282</v>
          </cell>
        </row>
        <row r="450">
          <cell r="C450" t="str">
            <v xml:space="preserve">    SUCROL             ACM</v>
          </cell>
          <cell r="D450">
            <v>0</v>
          </cell>
          <cell r="E450">
            <v>0</v>
          </cell>
        </row>
        <row r="451">
          <cell r="C451" t="str">
            <v xml:space="preserve">    ULSEC              A/L</v>
          </cell>
          <cell r="D451">
            <v>0</v>
          </cell>
          <cell r="E451">
            <v>0</v>
          </cell>
        </row>
        <row r="452">
          <cell r="C452" t="str">
            <v xml:space="preserve">   ANTHRAQUINONE+SALICYLIC ACID</v>
          </cell>
          <cell r="D452">
            <v>1767</v>
          </cell>
          <cell r="E452">
            <v>1895</v>
          </cell>
        </row>
        <row r="453">
          <cell r="C453" t="str">
            <v xml:space="preserve">    MEORAL             OPI</v>
          </cell>
          <cell r="D453">
            <v>1767</v>
          </cell>
          <cell r="E453">
            <v>1895</v>
          </cell>
        </row>
        <row r="454">
          <cell r="C454" t="str">
            <v xml:space="preserve">  PROSTAGLANDIN A-ULCERANTS</v>
          </cell>
          <cell r="D454">
            <v>118531</v>
          </cell>
          <cell r="E454">
            <v>108637</v>
          </cell>
        </row>
        <row r="455">
          <cell r="C455" t="str">
            <v xml:space="preserve">   MISOPROSTOL</v>
          </cell>
          <cell r="D455">
            <v>118531</v>
          </cell>
          <cell r="E455">
            <v>108637</v>
          </cell>
        </row>
        <row r="456">
          <cell r="C456" t="str">
            <v xml:space="preserve">    CYTOMIS            IAP</v>
          </cell>
          <cell r="D456">
            <v>106503</v>
          </cell>
          <cell r="E456">
            <v>94828</v>
          </cell>
        </row>
        <row r="457">
          <cell r="C457" t="str">
            <v xml:space="preserve">    ISOVENT            SQA</v>
          </cell>
          <cell r="D457">
            <v>10766</v>
          </cell>
          <cell r="E457">
            <v>10128</v>
          </cell>
        </row>
        <row r="458">
          <cell r="C458" t="str">
            <v xml:space="preserve">    INDULA             RTA</v>
          </cell>
          <cell r="D458">
            <v>1043</v>
          </cell>
          <cell r="E458">
            <v>680</v>
          </cell>
        </row>
        <row r="459">
          <cell r="C459" t="str">
            <v xml:space="preserve">    MIPTOL             ACM</v>
          </cell>
          <cell r="D459">
            <v>176</v>
          </cell>
          <cell r="E459">
            <v>248</v>
          </cell>
        </row>
        <row r="460">
          <cell r="C460" t="str">
            <v xml:space="preserve">    MISOTOL            ZIS</v>
          </cell>
          <cell r="D460">
            <v>44</v>
          </cell>
          <cell r="E460">
            <v>2687</v>
          </cell>
        </row>
        <row r="461">
          <cell r="C461" t="str">
            <v xml:space="preserve">    ASOTEC             SQA</v>
          </cell>
          <cell r="D461">
            <v>0</v>
          </cell>
          <cell r="E461">
            <v>0</v>
          </cell>
        </row>
        <row r="462">
          <cell r="C462" t="str">
            <v xml:space="preserve">    MISOCLEAR          ACM</v>
          </cell>
          <cell r="D462">
            <v>0</v>
          </cell>
          <cell r="E462">
            <v>0</v>
          </cell>
        </row>
        <row r="463">
          <cell r="C463" t="str">
            <v xml:space="preserve">    MISOPA             BXM</v>
          </cell>
          <cell r="D463">
            <v>0</v>
          </cell>
          <cell r="E463">
            <v>2</v>
          </cell>
        </row>
        <row r="464">
          <cell r="C464" t="str">
            <v xml:space="preserve">    MISOTAB            EMA</v>
          </cell>
          <cell r="D464">
            <v>0</v>
          </cell>
          <cell r="E464">
            <v>64</v>
          </cell>
        </row>
        <row r="465">
          <cell r="C465" t="str">
            <v xml:space="preserve">  BISMUTH ANTIULCERANTS</v>
          </cell>
          <cell r="D465">
            <v>16102</v>
          </cell>
          <cell r="E465">
            <v>14833</v>
          </cell>
        </row>
        <row r="466">
          <cell r="C466" t="str">
            <v xml:space="preserve">   BISMUTH</v>
          </cell>
          <cell r="D466">
            <v>16102</v>
          </cell>
          <cell r="E466">
            <v>14833</v>
          </cell>
        </row>
        <row r="467">
          <cell r="C467" t="str">
            <v xml:space="preserve">    PINK-BISMOL        ZIS</v>
          </cell>
          <cell r="D467">
            <v>9846</v>
          </cell>
          <cell r="E467">
            <v>9569</v>
          </cell>
        </row>
        <row r="468">
          <cell r="C468" t="str">
            <v xml:space="preserve">    PEPTOFIT           OPI</v>
          </cell>
          <cell r="D468">
            <v>4686</v>
          </cell>
          <cell r="E468">
            <v>3453</v>
          </cell>
        </row>
        <row r="469">
          <cell r="C469" t="str">
            <v xml:space="preserve">    PEPTOCID           IAP</v>
          </cell>
          <cell r="D469">
            <v>1469</v>
          </cell>
          <cell r="E469">
            <v>1700</v>
          </cell>
        </row>
        <row r="470">
          <cell r="C470" t="str">
            <v xml:space="preserve">    PEPTO              OS9</v>
          </cell>
          <cell r="D470">
            <v>101</v>
          </cell>
          <cell r="E470">
            <v>110</v>
          </cell>
        </row>
        <row r="471">
          <cell r="C471" t="str">
            <v xml:space="preserve"> CEPHALOSPORINS &amp; COMBS</v>
          </cell>
          <cell r="D471">
            <v>23967544</v>
          </cell>
          <cell r="E471">
            <v>23143740</v>
          </cell>
        </row>
        <row r="472">
          <cell r="C472" t="str">
            <v xml:space="preserve">  CEPHALOSPORINS ORAL</v>
          </cell>
          <cell r="D472">
            <v>22102079</v>
          </cell>
          <cell r="E472">
            <v>20722420</v>
          </cell>
        </row>
        <row r="473">
          <cell r="C473" t="str">
            <v xml:space="preserve">   CEFUROXIME AXETIL+CLAVULANIC ACID</v>
          </cell>
          <cell r="D473">
            <v>9224240</v>
          </cell>
          <cell r="E473">
            <v>8269465</v>
          </cell>
        </row>
        <row r="474">
          <cell r="C474" t="str">
            <v xml:space="preserve">    CEFACLAV           IAP</v>
          </cell>
          <cell r="D474">
            <v>1334445</v>
          </cell>
          <cell r="E474">
            <v>1197444</v>
          </cell>
        </row>
        <row r="475">
          <cell r="C475" t="str">
            <v xml:space="preserve">    CEFOTIL PLUS       SQA</v>
          </cell>
          <cell r="D475">
            <v>1152872</v>
          </cell>
          <cell r="E475">
            <v>1106382</v>
          </cell>
        </row>
        <row r="476">
          <cell r="C476" t="str">
            <v xml:space="preserve">    FUROTIL PLUS       HT3</v>
          </cell>
          <cell r="D476">
            <v>1022597</v>
          </cell>
          <cell r="E476">
            <v>826039</v>
          </cell>
        </row>
        <row r="477">
          <cell r="C477" t="str">
            <v xml:space="preserve">    FUROCLAV           RTA</v>
          </cell>
          <cell r="D477">
            <v>832540</v>
          </cell>
          <cell r="E477">
            <v>624934</v>
          </cell>
        </row>
        <row r="478">
          <cell r="C478" t="str">
            <v xml:space="preserve">    ROFUCLAV           RD7</v>
          </cell>
          <cell r="D478">
            <v>814801</v>
          </cell>
          <cell r="E478">
            <v>681300</v>
          </cell>
        </row>
        <row r="479">
          <cell r="C479" t="str">
            <v xml:space="preserve">    CLAVUSEF           OPI</v>
          </cell>
          <cell r="D479">
            <v>584977</v>
          </cell>
          <cell r="E479">
            <v>578271</v>
          </cell>
        </row>
        <row r="480">
          <cell r="C480" t="str">
            <v xml:space="preserve">    AXIM CV            ATP</v>
          </cell>
          <cell r="D480">
            <v>561161</v>
          </cell>
          <cell r="E480">
            <v>414367</v>
          </cell>
        </row>
        <row r="481">
          <cell r="C481" t="str">
            <v xml:space="preserve">    FAMICLAV           ACM</v>
          </cell>
          <cell r="D481">
            <v>401048</v>
          </cell>
          <cell r="E481">
            <v>368859</v>
          </cell>
        </row>
        <row r="482">
          <cell r="C482" t="str">
            <v xml:space="preserve">    KEFUCLAV           ESF</v>
          </cell>
          <cell r="D482">
            <v>400115</v>
          </cell>
          <cell r="E482">
            <v>342949</v>
          </cell>
        </row>
        <row r="483">
          <cell r="C483" t="str">
            <v xml:space="preserve">    CEROX-CV           A-I</v>
          </cell>
          <cell r="D483">
            <v>356000</v>
          </cell>
          <cell r="E483">
            <v>333862</v>
          </cell>
        </row>
        <row r="484">
          <cell r="C484" t="str">
            <v xml:space="preserve">    CLAVUROX           PPH</v>
          </cell>
          <cell r="D484">
            <v>324859</v>
          </cell>
          <cell r="E484">
            <v>239716</v>
          </cell>
        </row>
        <row r="485">
          <cell r="C485" t="str">
            <v xml:space="preserve">    FUCLAV             D-I</v>
          </cell>
          <cell r="D485">
            <v>293569</v>
          </cell>
          <cell r="E485">
            <v>292411</v>
          </cell>
        </row>
        <row r="486">
          <cell r="C486" t="str">
            <v xml:space="preserve">    TURBOCLAV          BXM</v>
          </cell>
          <cell r="D486">
            <v>213499</v>
          </cell>
          <cell r="E486">
            <v>216639</v>
          </cell>
        </row>
        <row r="487">
          <cell r="C487" t="str">
            <v xml:space="preserve">    XICLAV             ZIS</v>
          </cell>
          <cell r="D487">
            <v>174564</v>
          </cell>
          <cell r="E487">
            <v>194120</v>
          </cell>
        </row>
        <row r="488">
          <cell r="C488" t="str">
            <v xml:space="preserve">    AXICEF PLUS        UNH</v>
          </cell>
          <cell r="D488">
            <v>153741</v>
          </cell>
          <cell r="E488">
            <v>124007</v>
          </cell>
        </row>
        <row r="489">
          <cell r="C489" t="str">
            <v xml:space="preserve">    FIXCEF PLUS        N8V</v>
          </cell>
          <cell r="D489">
            <v>145078</v>
          </cell>
          <cell r="E489">
            <v>147644</v>
          </cell>
        </row>
        <row r="490">
          <cell r="C490" t="str">
            <v xml:space="preserve">    ZEROTIL-PLUS       BAC</v>
          </cell>
          <cell r="D490">
            <v>135522</v>
          </cell>
          <cell r="E490">
            <v>128335</v>
          </cell>
        </row>
        <row r="491">
          <cell r="C491" t="str">
            <v xml:space="preserve">    MEROCLAV           IBN</v>
          </cell>
          <cell r="D491">
            <v>81886</v>
          </cell>
          <cell r="E491">
            <v>102574</v>
          </cell>
        </row>
        <row r="492">
          <cell r="C492" t="str">
            <v xml:space="preserve">    CO-AXET            OR/</v>
          </cell>
          <cell r="D492">
            <v>46211</v>
          </cell>
          <cell r="E492">
            <v>62677</v>
          </cell>
        </row>
        <row r="493">
          <cell r="C493" t="str">
            <v xml:space="preserve">    XINAROX CV         NJP</v>
          </cell>
          <cell r="D493">
            <v>40711</v>
          </cell>
          <cell r="E493">
            <v>46813</v>
          </cell>
        </row>
        <row r="494">
          <cell r="C494" t="str">
            <v xml:space="preserve">    ROXTAL XP          EVR</v>
          </cell>
          <cell r="D494">
            <v>32698</v>
          </cell>
          <cell r="E494">
            <v>39938</v>
          </cell>
        </row>
        <row r="495">
          <cell r="C495" t="str">
            <v xml:space="preserve">    SECOCLAV           GNR</v>
          </cell>
          <cell r="D495">
            <v>27993</v>
          </cell>
          <cell r="E495">
            <v>93901</v>
          </cell>
        </row>
        <row r="496">
          <cell r="C496" t="str">
            <v xml:space="preserve">    ZINACLAV           D-B</v>
          </cell>
          <cell r="D496">
            <v>18956</v>
          </cell>
          <cell r="E496">
            <v>4408</v>
          </cell>
        </row>
        <row r="497">
          <cell r="C497" t="str">
            <v xml:space="preserve">    CLACEF             OS9</v>
          </cell>
          <cell r="D497">
            <v>13321</v>
          </cell>
          <cell r="E497">
            <v>11669</v>
          </cell>
        </row>
        <row r="498">
          <cell r="C498" t="str">
            <v xml:space="preserve">    NUCEF-CV           NUV</v>
          </cell>
          <cell r="D498">
            <v>11478</v>
          </cell>
          <cell r="E498">
            <v>8469</v>
          </cell>
        </row>
        <row r="499">
          <cell r="C499" t="str">
            <v xml:space="preserve">    ROXILAB PLUS       LDB</v>
          </cell>
          <cell r="D499">
            <v>10259</v>
          </cell>
          <cell r="E499">
            <v>7674</v>
          </cell>
        </row>
        <row r="500">
          <cell r="C500" t="str">
            <v xml:space="preserve">    FUXTIL-CV          P-S</v>
          </cell>
          <cell r="D500">
            <v>9486</v>
          </cell>
          <cell r="E500">
            <v>11557</v>
          </cell>
        </row>
        <row r="501">
          <cell r="C501" t="str">
            <v xml:space="preserve">    ROXIBAC PLUS       J&amp;H</v>
          </cell>
          <cell r="D501">
            <v>7298</v>
          </cell>
          <cell r="E501">
            <v>29537</v>
          </cell>
        </row>
        <row r="502">
          <cell r="C502" t="str">
            <v xml:space="preserve">    MEXCLAV            BP&amp;</v>
          </cell>
          <cell r="D502">
            <v>6973</v>
          </cell>
          <cell r="E502">
            <v>11991</v>
          </cell>
        </row>
        <row r="503">
          <cell r="C503" t="str">
            <v xml:space="preserve">    XIMECLAV           GBE</v>
          </cell>
          <cell r="D503">
            <v>5116</v>
          </cell>
          <cell r="E503">
            <v>7350</v>
          </cell>
        </row>
        <row r="504">
          <cell r="C504" t="str">
            <v xml:space="preserve">    SHARPKIL PLUS      ONA</v>
          </cell>
          <cell r="D504">
            <v>4786</v>
          </cell>
          <cell r="E504">
            <v>3472</v>
          </cell>
        </row>
        <row r="505">
          <cell r="C505" t="str">
            <v xml:space="preserve">    CLAVIMAX-CV        GD2</v>
          </cell>
          <cell r="D505">
            <v>1758</v>
          </cell>
          <cell r="E505">
            <v>3065</v>
          </cell>
        </row>
        <row r="506">
          <cell r="C506" t="str">
            <v xml:space="preserve">    CEFURAV-PLUS       TMH</v>
          </cell>
          <cell r="D506">
            <v>1419</v>
          </cell>
          <cell r="E506">
            <v>2247</v>
          </cell>
        </row>
        <row r="507">
          <cell r="C507" t="str">
            <v xml:space="preserve">    CEFURIM-CV         S&amp;O</v>
          </cell>
          <cell r="D507">
            <v>727</v>
          </cell>
          <cell r="E507">
            <v>852</v>
          </cell>
        </row>
        <row r="508">
          <cell r="C508" t="str">
            <v xml:space="preserve">    CLAVIATOR-CV       AMD</v>
          </cell>
          <cell r="D508">
            <v>724</v>
          </cell>
          <cell r="E508">
            <v>38</v>
          </cell>
        </row>
        <row r="509">
          <cell r="C509" t="str">
            <v xml:space="preserve">    PROBAC PLUS        SV6</v>
          </cell>
          <cell r="D509">
            <v>291</v>
          </cell>
          <cell r="E509">
            <v>1112</v>
          </cell>
        </row>
        <row r="510">
          <cell r="C510" t="str">
            <v xml:space="preserve">    FURONAAF-CV        NAF</v>
          </cell>
          <cell r="D510">
            <v>221</v>
          </cell>
          <cell r="E510">
            <v>450</v>
          </cell>
        </row>
        <row r="511">
          <cell r="C511" t="str">
            <v xml:space="preserve">    CEROCLAV           A-H</v>
          </cell>
          <cell r="D511">
            <v>185</v>
          </cell>
          <cell r="E511">
            <v>1478</v>
          </cell>
        </row>
        <row r="512">
          <cell r="C512" t="str">
            <v xml:space="preserve">    AXECLAV            A.P</v>
          </cell>
          <cell r="D512">
            <v>173</v>
          </cell>
          <cell r="E512">
            <v>169</v>
          </cell>
        </row>
        <row r="513">
          <cell r="C513" t="str">
            <v xml:space="preserve">    ROCLAV             CC/</v>
          </cell>
          <cell r="D513">
            <v>95</v>
          </cell>
          <cell r="E513">
            <v>408</v>
          </cell>
        </row>
        <row r="514">
          <cell r="C514" t="str">
            <v xml:space="preserve">    BENKILL-CV         BNP</v>
          </cell>
          <cell r="D514">
            <v>87</v>
          </cell>
          <cell r="E514">
            <v>307</v>
          </cell>
        </row>
        <row r="515">
          <cell r="C515" t="str">
            <v xml:space="preserve">    ROXICLAV           EMA</v>
          </cell>
          <cell r="D515">
            <v>0</v>
          </cell>
          <cell r="E515">
            <v>29</v>
          </cell>
        </row>
        <row r="516">
          <cell r="C516" t="str">
            <v xml:space="preserve">   CEFIXIME</v>
          </cell>
          <cell r="D516">
            <v>8474941</v>
          </cell>
          <cell r="E516">
            <v>8352896</v>
          </cell>
        </row>
        <row r="517">
          <cell r="C517" t="str">
            <v xml:space="preserve">    CEF-3              SQA</v>
          </cell>
          <cell r="D517">
            <v>2762826</v>
          </cell>
          <cell r="E517">
            <v>2693232</v>
          </cell>
        </row>
        <row r="518">
          <cell r="C518" t="str">
            <v xml:space="preserve">    DENVAR             HT3</v>
          </cell>
          <cell r="D518">
            <v>1348261</v>
          </cell>
          <cell r="E518">
            <v>1258120</v>
          </cell>
        </row>
        <row r="519">
          <cell r="C519" t="str">
            <v xml:space="preserve">    ORCEF              RTA</v>
          </cell>
          <cell r="D519">
            <v>492241</v>
          </cell>
          <cell r="E519">
            <v>478654</v>
          </cell>
        </row>
        <row r="520">
          <cell r="C520" t="str">
            <v xml:space="preserve">    ROFIXIM            RD7</v>
          </cell>
          <cell r="D520">
            <v>436885</v>
          </cell>
          <cell r="E520">
            <v>337652</v>
          </cell>
        </row>
        <row r="521">
          <cell r="C521" t="str">
            <v xml:space="preserve">    AFIX               ATP</v>
          </cell>
          <cell r="D521">
            <v>399440</v>
          </cell>
          <cell r="E521">
            <v>312090</v>
          </cell>
        </row>
        <row r="522">
          <cell r="C522" t="str">
            <v xml:space="preserve">    FIX-A              ACM</v>
          </cell>
          <cell r="D522">
            <v>393199</v>
          </cell>
          <cell r="E522">
            <v>414549</v>
          </cell>
        </row>
        <row r="523">
          <cell r="C523" t="str">
            <v xml:space="preserve">    ROXIM              ESF</v>
          </cell>
          <cell r="D523">
            <v>357858</v>
          </cell>
          <cell r="E523">
            <v>376415</v>
          </cell>
        </row>
        <row r="524">
          <cell r="C524" t="str">
            <v xml:space="preserve">    TRIOCIM            BXM</v>
          </cell>
          <cell r="D524">
            <v>337502</v>
          </cell>
          <cell r="E524">
            <v>325849</v>
          </cell>
        </row>
        <row r="525">
          <cell r="C525" t="str">
            <v xml:space="preserve">    T-CEF              D-I</v>
          </cell>
          <cell r="D525">
            <v>316971</v>
          </cell>
          <cell r="E525">
            <v>331091</v>
          </cell>
        </row>
        <row r="526">
          <cell r="C526" t="str">
            <v xml:space="preserve">    EMIXEF             IAP</v>
          </cell>
          <cell r="D526">
            <v>312715</v>
          </cell>
          <cell r="E526">
            <v>287752</v>
          </cell>
        </row>
        <row r="527">
          <cell r="C527" t="str">
            <v xml:space="preserve">    CEFTID             OPI</v>
          </cell>
          <cell r="D527">
            <v>288664</v>
          </cell>
          <cell r="E527">
            <v>307979</v>
          </cell>
        </row>
        <row r="528">
          <cell r="C528" t="str">
            <v xml:space="preserve">    CEFIM-3            A-I</v>
          </cell>
          <cell r="D528">
            <v>283874</v>
          </cell>
          <cell r="E528">
            <v>279452</v>
          </cell>
        </row>
        <row r="529">
          <cell r="C529" t="str">
            <v xml:space="preserve">    ZEMICEF            PPH</v>
          </cell>
          <cell r="D529">
            <v>162165</v>
          </cell>
          <cell r="E529">
            <v>158505</v>
          </cell>
        </row>
        <row r="530">
          <cell r="C530" t="str">
            <v xml:space="preserve">    ROFIXIME           RD7</v>
          </cell>
          <cell r="D530">
            <v>97585</v>
          </cell>
          <cell r="E530">
            <v>88130</v>
          </cell>
        </row>
        <row r="531">
          <cell r="C531" t="str">
            <v xml:space="preserve">    CEFIXIM            IBN</v>
          </cell>
          <cell r="D531">
            <v>89553</v>
          </cell>
          <cell r="E531">
            <v>129608</v>
          </cell>
        </row>
        <row r="532">
          <cell r="C532" t="str">
            <v xml:space="preserve">    DURACEF            N8V</v>
          </cell>
          <cell r="D532">
            <v>79726</v>
          </cell>
          <cell r="E532">
            <v>112252</v>
          </cell>
        </row>
        <row r="533">
          <cell r="C533" t="str">
            <v xml:space="preserve">    CEPHORAL           LDB</v>
          </cell>
          <cell r="D533">
            <v>44928</v>
          </cell>
          <cell r="E533">
            <v>47802</v>
          </cell>
        </row>
        <row r="534">
          <cell r="C534" t="str">
            <v xml:space="preserve">    STARCEF            BAC</v>
          </cell>
          <cell r="D534">
            <v>43934</v>
          </cell>
          <cell r="E534">
            <v>43614</v>
          </cell>
        </row>
        <row r="535">
          <cell r="C535" t="str">
            <v xml:space="preserve">    TRUSO              OR/</v>
          </cell>
          <cell r="D535">
            <v>38661</v>
          </cell>
          <cell r="E535">
            <v>61147</v>
          </cell>
        </row>
        <row r="536">
          <cell r="C536" t="str">
            <v xml:space="preserve">    BESTCEF            BP&amp;</v>
          </cell>
          <cell r="D536">
            <v>27974</v>
          </cell>
          <cell r="E536">
            <v>43872</v>
          </cell>
        </row>
        <row r="537">
          <cell r="C537" t="str">
            <v xml:space="preserve">    PREXIM             ZIS</v>
          </cell>
          <cell r="D537">
            <v>25814</v>
          </cell>
          <cell r="E537">
            <v>23364</v>
          </cell>
        </row>
        <row r="538">
          <cell r="C538" t="str">
            <v xml:space="preserve">    FIXPRO             NJP</v>
          </cell>
          <cell r="D538">
            <v>21539</v>
          </cell>
          <cell r="E538">
            <v>30124</v>
          </cell>
        </row>
        <row r="539">
          <cell r="C539" t="str">
            <v xml:space="preserve">    ODACEF             UNH</v>
          </cell>
          <cell r="D539">
            <v>16138</v>
          </cell>
          <cell r="E539">
            <v>19813</v>
          </cell>
        </row>
        <row r="540">
          <cell r="C540" t="str">
            <v xml:space="preserve">    TOCEF              GNR</v>
          </cell>
          <cell r="D540">
            <v>13354</v>
          </cell>
          <cell r="E540">
            <v>74646</v>
          </cell>
        </row>
        <row r="541">
          <cell r="C541" t="str">
            <v xml:space="preserve">    KURACEF            S.Y</v>
          </cell>
          <cell r="D541">
            <v>12903</v>
          </cell>
          <cell r="E541">
            <v>16141</v>
          </cell>
        </row>
        <row r="542">
          <cell r="C542" t="str">
            <v xml:space="preserve">    UNIBAC             OS9</v>
          </cell>
          <cell r="D542">
            <v>9985</v>
          </cell>
          <cell r="E542">
            <v>7261</v>
          </cell>
        </row>
        <row r="543">
          <cell r="C543" t="str">
            <v xml:space="preserve">    EVOFIX             EVR</v>
          </cell>
          <cell r="D543">
            <v>9150</v>
          </cell>
          <cell r="E543">
            <v>14459</v>
          </cell>
        </row>
        <row r="544">
          <cell r="C544" t="str">
            <v xml:space="preserve">    SANFIX             NUV</v>
          </cell>
          <cell r="D544">
            <v>8083</v>
          </cell>
          <cell r="E544">
            <v>8566</v>
          </cell>
        </row>
        <row r="545">
          <cell r="C545" t="str">
            <v xml:space="preserve">    ONEFIX             ONA</v>
          </cell>
          <cell r="D545">
            <v>6546</v>
          </cell>
          <cell r="E545">
            <v>3589</v>
          </cell>
        </row>
        <row r="546">
          <cell r="C546" t="str">
            <v xml:space="preserve">    VELOFIX            P-S</v>
          </cell>
          <cell r="D546">
            <v>4752</v>
          </cell>
          <cell r="E546">
            <v>4727</v>
          </cell>
        </row>
        <row r="547">
          <cell r="C547" t="str">
            <v xml:space="preserve">    PRIOXIM            D-B</v>
          </cell>
          <cell r="D547">
            <v>4603</v>
          </cell>
          <cell r="E547">
            <v>9504</v>
          </cell>
        </row>
        <row r="548">
          <cell r="C548" t="str">
            <v xml:space="preserve">    CEFIX              GBE</v>
          </cell>
          <cell r="D548">
            <v>4445</v>
          </cell>
          <cell r="E548">
            <v>11494</v>
          </cell>
        </row>
        <row r="549">
          <cell r="C549" t="str">
            <v xml:space="preserve">    FIX-A-MAX          ACM</v>
          </cell>
          <cell r="D549">
            <v>4438</v>
          </cell>
          <cell r="E549">
            <v>3782</v>
          </cell>
        </row>
        <row r="550">
          <cell r="C550" t="str">
            <v xml:space="preserve">    NGCEF              R7G</v>
          </cell>
          <cell r="D550">
            <v>2265</v>
          </cell>
          <cell r="E550">
            <v>3812</v>
          </cell>
        </row>
        <row r="551">
          <cell r="C551" t="str">
            <v xml:space="preserve">    BIOXIM             SH0</v>
          </cell>
          <cell r="D551">
            <v>1757</v>
          </cell>
          <cell r="E551">
            <v>3041</v>
          </cell>
        </row>
        <row r="552">
          <cell r="C552" t="str">
            <v xml:space="preserve">    CEFTID QS          OPI</v>
          </cell>
          <cell r="D552">
            <v>1593</v>
          </cell>
          <cell r="E552">
            <v>0</v>
          </cell>
        </row>
        <row r="553">
          <cell r="C553" t="str">
            <v xml:space="preserve">    CEFICAP            EMA</v>
          </cell>
          <cell r="D553">
            <v>1498</v>
          </cell>
          <cell r="E553">
            <v>761</v>
          </cell>
        </row>
        <row r="554">
          <cell r="C554" t="str">
            <v xml:space="preserve">    TRIXIM             ETH</v>
          </cell>
          <cell r="D554">
            <v>1424</v>
          </cell>
          <cell r="E554">
            <v>20</v>
          </cell>
        </row>
        <row r="555">
          <cell r="C555" t="str">
            <v xml:space="preserve">    CEFTEM             TMH</v>
          </cell>
          <cell r="D555">
            <v>1365</v>
          </cell>
          <cell r="E555">
            <v>3702</v>
          </cell>
        </row>
        <row r="556">
          <cell r="C556" t="str">
            <v xml:space="preserve">    OFEX               D&amp;B</v>
          </cell>
          <cell r="D556">
            <v>1319</v>
          </cell>
          <cell r="E556">
            <v>5039</v>
          </cell>
        </row>
        <row r="557">
          <cell r="C557" t="str">
            <v xml:space="preserve">    FIXBAC             J&amp;H</v>
          </cell>
          <cell r="D557">
            <v>1183</v>
          </cell>
          <cell r="E557">
            <v>7661</v>
          </cell>
        </row>
        <row r="558">
          <cell r="C558" t="str">
            <v xml:space="preserve">    TGOCEF             S&amp;O</v>
          </cell>
          <cell r="D558">
            <v>1017</v>
          </cell>
          <cell r="E558">
            <v>1859</v>
          </cell>
        </row>
        <row r="559">
          <cell r="C559" t="str">
            <v xml:space="preserve">    DURACEF-MAX        N8V</v>
          </cell>
          <cell r="D559">
            <v>850</v>
          </cell>
          <cell r="E559">
            <v>1036</v>
          </cell>
        </row>
        <row r="560">
          <cell r="C560" t="str">
            <v xml:space="preserve">    TRIFIX             PAC</v>
          </cell>
          <cell r="D560">
            <v>838</v>
          </cell>
          <cell r="E560">
            <v>2006</v>
          </cell>
        </row>
        <row r="561">
          <cell r="C561" t="str">
            <v xml:space="preserve">    ORGAXIM            NVK</v>
          </cell>
          <cell r="D561">
            <v>692</v>
          </cell>
          <cell r="E561">
            <v>0</v>
          </cell>
        </row>
        <row r="562">
          <cell r="C562" t="str">
            <v xml:space="preserve">    TEXIT              AX.</v>
          </cell>
          <cell r="D562">
            <v>457</v>
          </cell>
          <cell r="E562">
            <v>3321</v>
          </cell>
        </row>
        <row r="563">
          <cell r="C563" t="str">
            <v xml:space="preserve">    SUPRAXIM           SV6</v>
          </cell>
          <cell r="D563">
            <v>415</v>
          </cell>
          <cell r="E563">
            <v>95</v>
          </cell>
        </row>
        <row r="564">
          <cell r="C564" t="str">
            <v xml:space="preserve">    CEFIVIC            GD2</v>
          </cell>
          <cell r="D564">
            <v>403</v>
          </cell>
          <cell r="E564">
            <v>1174</v>
          </cell>
        </row>
        <row r="565">
          <cell r="C565" t="str">
            <v xml:space="preserve">    BACTAZIM           S6C</v>
          </cell>
          <cell r="D565">
            <v>306</v>
          </cell>
          <cell r="E565">
            <v>1091</v>
          </cell>
        </row>
        <row r="566">
          <cell r="C566" t="str">
            <v xml:space="preserve">    PREX-3             AMD</v>
          </cell>
          <cell r="D566">
            <v>204</v>
          </cell>
          <cell r="E566">
            <v>0</v>
          </cell>
        </row>
        <row r="567">
          <cell r="C567" t="str">
            <v xml:space="preserve">    CEFINAAF           NAF</v>
          </cell>
          <cell r="D567">
            <v>163</v>
          </cell>
          <cell r="E567">
            <v>573</v>
          </cell>
        </row>
        <row r="568">
          <cell r="C568" t="str">
            <v xml:space="preserve">    MICROCEF           CC/</v>
          </cell>
          <cell r="D568">
            <v>123</v>
          </cell>
          <cell r="E568">
            <v>49</v>
          </cell>
        </row>
        <row r="569">
          <cell r="C569" t="str">
            <v xml:space="preserve">    CEFADYL            KUM</v>
          </cell>
          <cell r="D569">
            <v>106</v>
          </cell>
          <cell r="E569">
            <v>675</v>
          </cell>
        </row>
        <row r="570">
          <cell r="C570" t="str">
            <v xml:space="preserve">    SAVER              A.P</v>
          </cell>
          <cell r="D570">
            <v>98</v>
          </cell>
          <cell r="E570">
            <v>46</v>
          </cell>
        </row>
        <row r="571">
          <cell r="C571" t="str">
            <v xml:space="preserve">    EXCEF              CHM</v>
          </cell>
          <cell r="D571">
            <v>74</v>
          </cell>
          <cell r="E571">
            <v>55</v>
          </cell>
        </row>
        <row r="572">
          <cell r="C572" t="str">
            <v xml:space="preserve">    PROFIX             MED</v>
          </cell>
          <cell r="D572">
            <v>29</v>
          </cell>
          <cell r="E572">
            <v>0</v>
          </cell>
        </row>
        <row r="573">
          <cell r="C573" t="str">
            <v xml:space="preserve">    AFIXIME            A/L</v>
          </cell>
          <cell r="D573">
            <v>18</v>
          </cell>
          <cell r="E573">
            <v>0</v>
          </cell>
        </row>
        <row r="574">
          <cell r="C574" t="str">
            <v xml:space="preserve">    CEFCIL             PI0</v>
          </cell>
          <cell r="D574">
            <v>16</v>
          </cell>
          <cell r="E574">
            <v>14</v>
          </cell>
        </row>
        <row r="575">
          <cell r="C575" t="str">
            <v xml:space="preserve">    C-3                A-H</v>
          </cell>
          <cell r="D575">
            <v>9</v>
          </cell>
          <cell r="E575">
            <v>67</v>
          </cell>
        </row>
        <row r="576">
          <cell r="C576" t="str">
            <v xml:space="preserve">    FEXIM              DOC</v>
          </cell>
          <cell r="D576">
            <v>4</v>
          </cell>
          <cell r="E576">
            <v>177</v>
          </cell>
        </row>
        <row r="577">
          <cell r="C577" t="str">
            <v xml:space="preserve">    3RD-CEF            MDM</v>
          </cell>
          <cell r="D577">
            <v>0</v>
          </cell>
          <cell r="E577">
            <v>0</v>
          </cell>
        </row>
        <row r="578">
          <cell r="C578" t="str">
            <v xml:space="preserve">    ANTIMA             JAY</v>
          </cell>
          <cell r="D578">
            <v>0</v>
          </cell>
          <cell r="E578">
            <v>1048</v>
          </cell>
        </row>
        <row r="579">
          <cell r="C579" t="str">
            <v xml:space="preserve">    CEBEX              NVO</v>
          </cell>
          <cell r="D579">
            <v>0</v>
          </cell>
          <cell r="E579">
            <v>0</v>
          </cell>
        </row>
        <row r="580">
          <cell r="C580" t="str">
            <v xml:space="preserve">    CEFIX              ATP</v>
          </cell>
          <cell r="D580">
            <v>0</v>
          </cell>
          <cell r="E580">
            <v>9</v>
          </cell>
        </row>
        <row r="581">
          <cell r="C581" t="str">
            <v xml:space="preserve">    CEFMIX             MO6</v>
          </cell>
          <cell r="D581">
            <v>0</v>
          </cell>
          <cell r="E581">
            <v>0</v>
          </cell>
        </row>
        <row r="582">
          <cell r="C582" t="str">
            <v xml:space="preserve">    D-FIX              DSH</v>
          </cell>
          <cell r="D582">
            <v>0</v>
          </cell>
          <cell r="E582">
            <v>0</v>
          </cell>
        </row>
        <row r="583">
          <cell r="C583" t="str">
            <v xml:space="preserve">    ELEXIM             E9X</v>
          </cell>
          <cell r="D583">
            <v>0</v>
          </cell>
          <cell r="E583">
            <v>0</v>
          </cell>
        </row>
        <row r="584">
          <cell r="C584" t="str">
            <v xml:space="preserve">    EXIBEN             BNP</v>
          </cell>
          <cell r="D584">
            <v>0</v>
          </cell>
          <cell r="E584">
            <v>18</v>
          </cell>
        </row>
        <row r="585">
          <cell r="C585" t="str">
            <v xml:space="preserve">    G-FIX              GCO</v>
          </cell>
          <cell r="D585">
            <v>0</v>
          </cell>
          <cell r="E585">
            <v>23</v>
          </cell>
        </row>
        <row r="586">
          <cell r="C586" t="str">
            <v xml:space="preserve">    KEFIM              KMP</v>
          </cell>
          <cell r="D586">
            <v>0</v>
          </cell>
          <cell r="E586">
            <v>7</v>
          </cell>
        </row>
        <row r="587">
          <cell r="C587" t="str">
            <v xml:space="preserve">    KEOR               RPH</v>
          </cell>
          <cell r="D587">
            <v>0</v>
          </cell>
          <cell r="E587">
            <v>191</v>
          </cell>
        </row>
        <row r="588">
          <cell r="C588" t="str">
            <v xml:space="preserve">    LOXIM              T2D</v>
          </cell>
          <cell r="D588">
            <v>0</v>
          </cell>
          <cell r="E588">
            <v>0</v>
          </cell>
        </row>
        <row r="589">
          <cell r="C589" t="str">
            <v xml:space="preserve">    RESCURE            M4N</v>
          </cell>
          <cell r="D589">
            <v>0</v>
          </cell>
          <cell r="E589">
            <v>0</v>
          </cell>
        </row>
        <row r="590">
          <cell r="C590" t="str">
            <v xml:space="preserve">    S-3                SL6</v>
          </cell>
          <cell r="D590">
            <v>0</v>
          </cell>
          <cell r="E590">
            <v>0</v>
          </cell>
        </row>
        <row r="591">
          <cell r="C591" t="str">
            <v xml:space="preserve">    SETIC              SDZ</v>
          </cell>
          <cell r="D591">
            <v>0</v>
          </cell>
          <cell r="E591">
            <v>61</v>
          </cell>
        </row>
        <row r="592">
          <cell r="C592" t="str">
            <v xml:space="preserve">    SUFIX              S4L</v>
          </cell>
          <cell r="D592">
            <v>0</v>
          </cell>
          <cell r="E592">
            <v>0</v>
          </cell>
        </row>
        <row r="593">
          <cell r="C593" t="str">
            <v xml:space="preserve">    TRICEF             AMB</v>
          </cell>
          <cell r="D593">
            <v>0</v>
          </cell>
          <cell r="E593">
            <v>0</v>
          </cell>
        </row>
        <row r="594">
          <cell r="C594" t="str">
            <v xml:space="preserve">    TRIOCEF            NIP</v>
          </cell>
          <cell r="D594">
            <v>0</v>
          </cell>
          <cell r="E594">
            <v>0</v>
          </cell>
        </row>
        <row r="595">
          <cell r="C595" t="str">
            <v xml:space="preserve">    TYFAX-3            WTH</v>
          </cell>
          <cell r="D595">
            <v>0</v>
          </cell>
          <cell r="E595">
            <v>0</v>
          </cell>
        </row>
        <row r="596">
          <cell r="C596" t="str">
            <v xml:space="preserve">    UNIFIX             SYH</v>
          </cell>
          <cell r="D596">
            <v>0</v>
          </cell>
          <cell r="E596">
            <v>0</v>
          </cell>
        </row>
        <row r="597">
          <cell r="C597" t="str">
            <v xml:space="preserve">    XYLOCEF            LBA</v>
          </cell>
          <cell r="D597">
            <v>0</v>
          </cell>
          <cell r="E597">
            <v>4</v>
          </cell>
        </row>
        <row r="598">
          <cell r="C598" t="str">
            <v xml:space="preserve">    ZENICEF            ZEN</v>
          </cell>
          <cell r="D598">
            <v>0</v>
          </cell>
          <cell r="E598">
            <v>0</v>
          </cell>
        </row>
        <row r="599">
          <cell r="C599" t="str">
            <v xml:space="preserve">    POLYXIM            LOP</v>
          </cell>
          <cell r="D599">
            <v>0</v>
          </cell>
          <cell r="E599">
            <v>0</v>
          </cell>
        </row>
        <row r="600">
          <cell r="C600" t="str">
            <v xml:space="preserve">    VERIXIM            VPM</v>
          </cell>
          <cell r="D600">
            <v>0</v>
          </cell>
          <cell r="E600">
            <v>25</v>
          </cell>
        </row>
        <row r="601">
          <cell r="C601" t="str">
            <v xml:space="preserve">   CEFUROXIME AXETIL</v>
          </cell>
          <cell r="D601">
            <v>2365456</v>
          </cell>
          <cell r="E601">
            <v>2149742</v>
          </cell>
        </row>
        <row r="602">
          <cell r="C602" t="str">
            <v xml:space="preserve">    FUROTIL            HT3</v>
          </cell>
          <cell r="D602">
            <v>585415</v>
          </cell>
          <cell r="E602">
            <v>470349</v>
          </cell>
        </row>
        <row r="603">
          <cell r="C603" t="str">
            <v xml:space="preserve">    CEFOTIL            SQA</v>
          </cell>
          <cell r="D603">
            <v>566365</v>
          </cell>
          <cell r="E603">
            <v>506095</v>
          </cell>
        </row>
        <row r="604">
          <cell r="C604" t="str">
            <v xml:space="preserve">    FUROCEF            RTA</v>
          </cell>
          <cell r="D604">
            <v>450835</v>
          </cell>
          <cell r="E604">
            <v>355425</v>
          </cell>
        </row>
        <row r="605">
          <cell r="C605" t="str">
            <v xml:space="preserve">    KILBAC             IAP</v>
          </cell>
          <cell r="D605">
            <v>209763</v>
          </cell>
          <cell r="E605">
            <v>203347</v>
          </cell>
        </row>
        <row r="606">
          <cell r="C606" t="str">
            <v xml:space="preserve">    FUREX              D-I</v>
          </cell>
          <cell r="D606">
            <v>96114</v>
          </cell>
          <cell r="E606">
            <v>72529</v>
          </cell>
        </row>
        <row r="607">
          <cell r="C607" t="str">
            <v xml:space="preserve">    TURBOCEF           BXM</v>
          </cell>
          <cell r="D607">
            <v>88771</v>
          </cell>
          <cell r="E607">
            <v>73739</v>
          </cell>
        </row>
        <row r="608">
          <cell r="C608" t="str">
            <v xml:space="preserve">    ROFUROX            RD7</v>
          </cell>
          <cell r="D608">
            <v>62247</v>
          </cell>
          <cell r="E608">
            <v>65679</v>
          </cell>
        </row>
        <row r="609">
          <cell r="C609" t="str">
            <v xml:space="preserve">    KILMAX             ESF</v>
          </cell>
          <cell r="D609">
            <v>60991</v>
          </cell>
          <cell r="E609">
            <v>57135</v>
          </cell>
        </row>
        <row r="610">
          <cell r="C610" t="str">
            <v xml:space="preserve">    FAMICEF            ACM</v>
          </cell>
          <cell r="D610">
            <v>43657</v>
          </cell>
          <cell r="E610">
            <v>46533</v>
          </cell>
        </row>
        <row r="611">
          <cell r="C611" t="str">
            <v xml:space="preserve">    FIXCEF             N8V</v>
          </cell>
          <cell r="D611">
            <v>38597</v>
          </cell>
          <cell r="E611">
            <v>58566</v>
          </cell>
        </row>
        <row r="612">
          <cell r="C612" t="str">
            <v xml:space="preserve">    AXIM               ATP</v>
          </cell>
          <cell r="D612">
            <v>32104</v>
          </cell>
          <cell r="E612">
            <v>48320</v>
          </cell>
        </row>
        <row r="613">
          <cell r="C613" t="str">
            <v xml:space="preserve">    AXICEF             UNH</v>
          </cell>
          <cell r="D613">
            <v>27199</v>
          </cell>
          <cell r="E613">
            <v>20643</v>
          </cell>
        </row>
        <row r="614">
          <cell r="C614" t="str">
            <v xml:space="preserve">    SEFUR              OPI</v>
          </cell>
          <cell r="D614">
            <v>25489</v>
          </cell>
          <cell r="E614">
            <v>24096</v>
          </cell>
        </row>
        <row r="615">
          <cell r="C615" t="str">
            <v xml:space="preserve">    AXET               OR/</v>
          </cell>
          <cell r="D615">
            <v>15806</v>
          </cell>
          <cell r="E615">
            <v>14389</v>
          </cell>
        </row>
        <row r="616">
          <cell r="C616" t="str">
            <v xml:space="preserve">    MEROCEF            IBN</v>
          </cell>
          <cell r="D616">
            <v>15399</v>
          </cell>
          <cell r="E616">
            <v>31496</v>
          </cell>
        </row>
        <row r="617">
          <cell r="C617" t="str">
            <v xml:space="preserve">    CEFOBAC            PPH</v>
          </cell>
          <cell r="D617">
            <v>10655</v>
          </cell>
          <cell r="E617">
            <v>8602</v>
          </cell>
        </row>
        <row r="618">
          <cell r="C618" t="str">
            <v xml:space="preserve">    CEROX-A            A-I</v>
          </cell>
          <cell r="D618">
            <v>10598</v>
          </cell>
          <cell r="E618">
            <v>25512</v>
          </cell>
        </row>
        <row r="619">
          <cell r="C619" t="str">
            <v xml:space="preserve">    ZEROTIL            BAC</v>
          </cell>
          <cell r="D619">
            <v>9959</v>
          </cell>
          <cell r="E619">
            <v>19289</v>
          </cell>
        </row>
        <row r="620">
          <cell r="C620" t="str">
            <v xml:space="preserve">    MEXTIL             BP&amp;</v>
          </cell>
          <cell r="D620">
            <v>4582</v>
          </cell>
          <cell r="E620">
            <v>8025</v>
          </cell>
        </row>
        <row r="621">
          <cell r="C621" t="str">
            <v xml:space="preserve">    XINAROX            NJP</v>
          </cell>
          <cell r="D621">
            <v>1873</v>
          </cell>
          <cell r="E621">
            <v>2609</v>
          </cell>
        </row>
        <row r="622">
          <cell r="C622" t="str">
            <v xml:space="preserve">    FUXTIL             P-S</v>
          </cell>
          <cell r="D622">
            <v>1651</v>
          </cell>
          <cell r="E622">
            <v>2050</v>
          </cell>
        </row>
        <row r="623">
          <cell r="C623" t="str">
            <v xml:space="preserve">    ROXILAB            LDB</v>
          </cell>
          <cell r="D623">
            <v>1568</v>
          </cell>
          <cell r="E623">
            <v>5565</v>
          </cell>
        </row>
        <row r="624">
          <cell r="C624" t="str">
            <v xml:space="preserve">    SECOMAX            GNR</v>
          </cell>
          <cell r="D624">
            <v>1204</v>
          </cell>
          <cell r="E624">
            <v>15809</v>
          </cell>
        </row>
        <row r="625">
          <cell r="C625" t="str">
            <v xml:space="preserve">    XIMETIL            GBE</v>
          </cell>
          <cell r="D625">
            <v>787</v>
          </cell>
          <cell r="E625">
            <v>3659</v>
          </cell>
        </row>
        <row r="626">
          <cell r="C626" t="str">
            <v xml:space="preserve">    CEFUSON            JAY</v>
          </cell>
          <cell r="D626">
            <v>734</v>
          </cell>
          <cell r="E626">
            <v>18</v>
          </cell>
        </row>
        <row r="627">
          <cell r="C627" t="str">
            <v xml:space="preserve">    ROXIBAC            J&amp;H</v>
          </cell>
          <cell r="D627">
            <v>617</v>
          </cell>
          <cell r="E627">
            <v>4251</v>
          </cell>
        </row>
        <row r="628">
          <cell r="C628" t="str">
            <v xml:space="preserve">    AXIBID             NUV</v>
          </cell>
          <cell r="D628">
            <v>580</v>
          </cell>
          <cell r="E628">
            <v>1220</v>
          </cell>
        </row>
        <row r="629">
          <cell r="C629" t="str">
            <v xml:space="preserve">    RECOFAST           R7G</v>
          </cell>
          <cell r="D629">
            <v>486</v>
          </cell>
          <cell r="E629">
            <v>1920</v>
          </cell>
        </row>
        <row r="630">
          <cell r="C630" t="str">
            <v xml:space="preserve">    XITIL              ZIS</v>
          </cell>
          <cell r="D630">
            <v>408</v>
          </cell>
          <cell r="E630">
            <v>251</v>
          </cell>
        </row>
        <row r="631">
          <cell r="C631" t="str">
            <v xml:space="preserve">    ROXIMAX            VPM</v>
          </cell>
          <cell r="D631">
            <v>335</v>
          </cell>
          <cell r="E631">
            <v>0</v>
          </cell>
        </row>
        <row r="632">
          <cell r="C632" t="str">
            <v xml:space="preserve">    CEFUXET            CHM</v>
          </cell>
          <cell r="D632">
            <v>192</v>
          </cell>
          <cell r="E632">
            <v>39</v>
          </cell>
        </row>
        <row r="633">
          <cell r="C633" t="str">
            <v xml:space="preserve">    AXETIL             A.P</v>
          </cell>
          <cell r="D633">
            <v>167</v>
          </cell>
          <cell r="E633">
            <v>168</v>
          </cell>
        </row>
        <row r="634">
          <cell r="C634" t="str">
            <v xml:space="preserve">    STAXIM             D&amp;B</v>
          </cell>
          <cell r="D634">
            <v>111</v>
          </cell>
          <cell r="E634">
            <v>961</v>
          </cell>
        </row>
        <row r="635">
          <cell r="C635" t="str">
            <v xml:space="preserve">    CEFUSIL            S6C</v>
          </cell>
          <cell r="D635">
            <v>73</v>
          </cell>
          <cell r="E635">
            <v>168</v>
          </cell>
        </row>
        <row r="636">
          <cell r="C636" t="str">
            <v xml:space="preserve">    UROXIME            EMA</v>
          </cell>
          <cell r="D636">
            <v>44</v>
          </cell>
          <cell r="E636">
            <v>572</v>
          </cell>
        </row>
        <row r="637">
          <cell r="C637" t="str">
            <v xml:space="preserve">    SEFUROX            S.Y</v>
          </cell>
          <cell r="D637">
            <v>33</v>
          </cell>
          <cell r="E637">
            <v>177</v>
          </cell>
        </row>
        <row r="638">
          <cell r="C638" t="str">
            <v xml:space="preserve">    CEROXIME           A/L</v>
          </cell>
          <cell r="D638">
            <v>17</v>
          </cell>
          <cell r="E638">
            <v>42</v>
          </cell>
        </row>
        <row r="639">
          <cell r="C639" t="str">
            <v xml:space="preserve">    ROXCEF             NJP</v>
          </cell>
          <cell r="D639">
            <v>17</v>
          </cell>
          <cell r="E639">
            <v>0</v>
          </cell>
        </row>
        <row r="640">
          <cell r="C640" t="str">
            <v xml:space="preserve">    SHARPKIL           ONA</v>
          </cell>
          <cell r="D640">
            <v>13</v>
          </cell>
          <cell r="E640">
            <v>0</v>
          </cell>
        </row>
        <row r="641">
          <cell r="C641" t="str">
            <v xml:space="preserve">    BACTIKIL           EDR</v>
          </cell>
          <cell r="D641">
            <v>0</v>
          </cell>
          <cell r="E641">
            <v>26</v>
          </cell>
        </row>
        <row r="642">
          <cell r="C642" t="str">
            <v xml:space="preserve">    CEFURIM            S&amp;O</v>
          </cell>
          <cell r="D642">
            <v>0</v>
          </cell>
          <cell r="E642">
            <v>41</v>
          </cell>
        </row>
        <row r="643">
          <cell r="C643" t="str">
            <v xml:space="preserve">    CEXITIL            MED</v>
          </cell>
          <cell r="D643">
            <v>0</v>
          </cell>
          <cell r="E643">
            <v>0</v>
          </cell>
        </row>
        <row r="644">
          <cell r="C644" t="str">
            <v xml:space="preserve">    FUROTIXOL          SH0</v>
          </cell>
          <cell r="D644">
            <v>0</v>
          </cell>
          <cell r="E644">
            <v>28</v>
          </cell>
        </row>
        <row r="645">
          <cell r="C645" t="str">
            <v xml:space="preserve">    MENAT              MY6</v>
          </cell>
          <cell r="D645">
            <v>0</v>
          </cell>
          <cell r="E645">
            <v>0</v>
          </cell>
        </row>
        <row r="646">
          <cell r="C646" t="str">
            <v xml:space="preserve">    PRIMOCEF           NVO</v>
          </cell>
          <cell r="D646">
            <v>0</v>
          </cell>
          <cell r="E646">
            <v>0</v>
          </cell>
        </row>
        <row r="647">
          <cell r="C647" t="str">
            <v xml:space="preserve">    PROBAC             SV6</v>
          </cell>
          <cell r="D647">
            <v>0</v>
          </cell>
          <cell r="E647">
            <v>101</v>
          </cell>
        </row>
        <row r="648">
          <cell r="C648" t="str">
            <v xml:space="preserve">    TIL                AX.</v>
          </cell>
          <cell r="D648">
            <v>0</v>
          </cell>
          <cell r="E648">
            <v>0</v>
          </cell>
        </row>
        <row r="649">
          <cell r="C649" t="str">
            <v xml:space="preserve">    XIMOROX            KUM</v>
          </cell>
          <cell r="D649">
            <v>0</v>
          </cell>
          <cell r="E649">
            <v>171</v>
          </cell>
        </row>
        <row r="650">
          <cell r="C650" t="str">
            <v xml:space="preserve">    XORIMAX            SDZ</v>
          </cell>
          <cell r="D650">
            <v>0</v>
          </cell>
          <cell r="E650">
            <v>0</v>
          </cell>
        </row>
        <row r="651">
          <cell r="C651" t="str">
            <v xml:space="preserve">    XEFRIM             BAC</v>
          </cell>
          <cell r="D651">
            <v>0</v>
          </cell>
          <cell r="E651">
            <v>57</v>
          </cell>
        </row>
        <row r="652">
          <cell r="C652" t="str">
            <v xml:space="preserve">    KFORE              KMP</v>
          </cell>
          <cell r="D652">
            <v>0</v>
          </cell>
          <cell r="E652">
            <v>0</v>
          </cell>
        </row>
        <row r="653">
          <cell r="C653" t="str">
            <v xml:space="preserve">    FUROTEC            APC</v>
          </cell>
          <cell r="D653">
            <v>0</v>
          </cell>
          <cell r="E653">
            <v>2</v>
          </cell>
        </row>
        <row r="654">
          <cell r="C654" t="str">
            <v xml:space="preserve">    CEFUACT            LOP</v>
          </cell>
          <cell r="D654">
            <v>0</v>
          </cell>
          <cell r="E654">
            <v>0</v>
          </cell>
        </row>
        <row r="655">
          <cell r="C655" t="str">
            <v xml:space="preserve">    WINFAX             WTH</v>
          </cell>
          <cell r="D655">
            <v>0</v>
          </cell>
          <cell r="E655">
            <v>0</v>
          </cell>
        </row>
        <row r="656">
          <cell r="C656" t="str">
            <v xml:space="preserve">    PICOCEF            CC/</v>
          </cell>
          <cell r="D656">
            <v>0</v>
          </cell>
          <cell r="E656">
            <v>66</v>
          </cell>
        </row>
        <row r="657">
          <cell r="C657" t="str">
            <v xml:space="preserve">    VEXOTIL            NVK</v>
          </cell>
          <cell r="D657">
            <v>0</v>
          </cell>
          <cell r="E657">
            <v>0</v>
          </cell>
        </row>
        <row r="658">
          <cell r="C658" t="str">
            <v xml:space="preserve">    BENKILL            BNP</v>
          </cell>
          <cell r="D658">
            <v>0</v>
          </cell>
          <cell r="E658">
            <v>0</v>
          </cell>
        </row>
        <row r="659">
          <cell r="C659" t="str">
            <v xml:space="preserve">    C-2                A-H</v>
          </cell>
          <cell r="D659">
            <v>0</v>
          </cell>
          <cell r="E659">
            <v>0</v>
          </cell>
        </row>
        <row r="660">
          <cell r="C660" t="str">
            <v xml:space="preserve">   CEFRADINE</v>
          </cell>
          <cell r="D660">
            <v>665079</v>
          </cell>
          <cell r="E660">
            <v>645258</v>
          </cell>
        </row>
        <row r="661">
          <cell r="C661" t="str">
            <v xml:space="preserve">    LEBAC              SQA</v>
          </cell>
          <cell r="D661">
            <v>331610</v>
          </cell>
          <cell r="E661">
            <v>294201</v>
          </cell>
        </row>
        <row r="662">
          <cell r="C662" t="str">
            <v xml:space="preserve">    SK CEF             ESF</v>
          </cell>
          <cell r="D662">
            <v>69535</v>
          </cell>
          <cell r="E662">
            <v>57047</v>
          </cell>
        </row>
        <row r="663">
          <cell r="C663" t="str">
            <v xml:space="preserve">    DICEF              D-I</v>
          </cell>
          <cell r="D663">
            <v>47798</v>
          </cell>
          <cell r="E663">
            <v>50464</v>
          </cell>
        </row>
        <row r="664">
          <cell r="C664" t="str">
            <v xml:space="preserve">    POLYCEF            RTA</v>
          </cell>
          <cell r="D664">
            <v>39072</v>
          </cell>
          <cell r="E664">
            <v>33903</v>
          </cell>
        </row>
        <row r="665">
          <cell r="C665" t="str">
            <v xml:space="preserve">    ROCEF              HT3</v>
          </cell>
          <cell r="D665">
            <v>34486</v>
          </cell>
          <cell r="E665">
            <v>30917</v>
          </cell>
        </row>
        <row r="666">
          <cell r="C666" t="str">
            <v xml:space="preserve">    SEFRIL             ACM</v>
          </cell>
          <cell r="D666">
            <v>28559</v>
          </cell>
          <cell r="E666">
            <v>23130</v>
          </cell>
        </row>
        <row r="667">
          <cell r="C667" t="str">
            <v xml:space="preserve">    INTRACEF           BXM</v>
          </cell>
          <cell r="D667">
            <v>22442</v>
          </cell>
          <cell r="E667">
            <v>27112</v>
          </cell>
        </row>
        <row r="668">
          <cell r="C668" t="str">
            <v xml:space="preserve">    SEFRAD             S.Y</v>
          </cell>
          <cell r="D668">
            <v>21471</v>
          </cell>
          <cell r="E668">
            <v>29021</v>
          </cell>
        </row>
        <row r="669">
          <cell r="C669" t="str">
            <v xml:space="preserve">    PROCEF             IAP</v>
          </cell>
          <cell r="D669">
            <v>18809</v>
          </cell>
          <cell r="E669">
            <v>27878</v>
          </cell>
        </row>
        <row r="670">
          <cell r="C670" t="str">
            <v xml:space="preserve">    AVLOSEF            A-I</v>
          </cell>
          <cell r="D670">
            <v>15037</v>
          </cell>
          <cell r="E670">
            <v>18157</v>
          </cell>
        </row>
        <row r="671">
          <cell r="C671" t="str">
            <v xml:space="preserve">    EXTRACEF           ATP</v>
          </cell>
          <cell r="D671">
            <v>10051</v>
          </cell>
          <cell r="E671">
            <v>12974</v>
          </cell>
        </row>
        <row r="672">
          <cell r="C672" t="str">
            <v xml:space="preserve">    SINACEPH           IBN</v>
          </cell>
          <cell r="D672">
            <v>7719</v>
          </cell>
          <cell r="E672">
            <v>13260</v>
          </cell>
        </row>
        <row r="673">
          <cell r="C673" t="str">
            <v xml:space="preserve">    ROXICEF            PPH</v>
          </cell>
          <cell r="D673">
            <v>5106</v>
          </cell>
          <cell r="E673">
            <v>5108</v>
          </cell>
        </row>
        <row r="674">
          <cell r="C674" t="str">
            <v xml:space="preserve">    CEFRACEF           NJP</v>
          </cell>
          <cell r="D674">
            <v>4649</v>
          </cell>
          <cell r="E674">
            <v>7381</v>
          </cell>
        </row>
        <row r="675">
          <cell r="C675" t="str">
            <v xml:space="preserve">    SUPRACEF           BP&amp;</v>
          </cell>
          <cell r="D675">
            <v>2502</v>
          </cell>
          <cell r="E675">
            <v>2033</v>
          </cell>
        </row>
        <row r="676">
          <cell r="C676" t="str">
            <v xml:space="preserve">    SEFIN              OR/</v>
          </cell>
          <cell r="D676">
            <v>2443</v>
          </cell>
          <cell r="E676">
            <v>3556</v>
          </cell>
        </row>
        <row r="677">
          <cell r="C677" t="str">
            <v xml:space="preserve">    ANCEF              UNH</v>
          </cell>
          <cell r="D677">
            <v>1156</v>
          </cell>
          <cell r="E677">
            <v>958</v>
          </cell>
        </row>
        <row r="678">
          <cell r="C678" t="str">
            <v xml:space="preserve">    CEFADIN            ZIS</v>
          </cell>
          <cell r="D678">
            <v>984</v>
          </cell>
          <cell r="E678">
            <v>2455</v>
          </cell>
        </row>
        <row r="679">
          <cell r="C679" t="str">
            <v xml:space="preserve">    CEPHRAN            OPI</v>
          </cell>
          <cell r="D679">
            <v>636</v>
          </cell>
          <cell r="E679">
            <v>1815</v>
          </cell>
        </row>
        <row r="680">
          <cell r="C680" t="str">
            <v xml:space="preserve">    VELOGEN            GNR</v>
          </cell>
          <cell r="D680">
            <v>549</v>
          </cell>
          <cell r="E680">
            <v>2766</v>
          </cell>
        </row>
        <row r="681">
          <cell r="C681" t="str">
            <v xml:space="preserve">    CEFASIA            P-S</v>
          </cell>
          <cell r="D681">
            <v>217</v>
          </cell>
          <cell r="E681">
            <v>704</v>
          </cell>
        </row>
        <row r="682">
          <cell r="C682" t="str">
            <v xml:space="preserve">    GIGACEF            PAC</v>
          </cell>
          <cell r="D682">
            <v>81</v>
          </cell>
          <cell r="E682">
            <v>35</v>
          </cell>
        </row>
        <row r="683">
          <cell r="C683" t="str">
            <v xml:space="preserve">    REOCEF             RPH</v>
          </cell>
          <cell r="D683">
            <v>58</v>
          </cell>
          <cell r="E683">
            <v>0</v>
          </cell>
        </row>
        <row r="684">
          <cell r="C684" t="str">
            <v xml:space="preserve">    APHRIN             AX.</v>
          </cell>
          <cell r="D684">
            <v>38</v>
          </cell>
          <cell r="E684">
            <v>62</v>
          </cell>
        </row>
        <row r="685">
          <cell r="C685" t="str">
            <v xml:space="preserve">    EUSEF              GBE</v>
          </cell>
          <cell r="D685">
            <v>31</v>
          </cell>
          <cell r="E685">
            <v>65</v>
          </cell>
        </row>
        <row r="686">
          <cell r="C686" t="str">
            <v xml:space="preserve">    CEFRAMED           MDM</v>
          </cell>
          <cell r="D686">
            <v>19</v>
          </cell>
          <cell r="E686">
            <v>0</v>
          </cell>
        </row>
        <row r="687">
          <cell r="C687" t="str">
            <v xml:space="preserve">    STACEF             SL6</v>
          </cell>
          <cell r="D687">
            <v>13</v>
          </cell>
          <cell r="E687">
            <v>0</v>
          </cell>
        </row>
        <row r="688">
          <cell r="C688" t="str">
            <v xml:space="preserve">    BETASEF            A.P</v>
          </cell>
          <cell r="D688">
            <v>7</v>
          </cell>
          <cell r="E688">
            <v>0</v>
          </cell>
        </row>
        <row r="689">
          <cell r="C689" t="str">
            <v xml:space="preserve">    ABAC               CHM</v>
          </cell>
          <cell r="D689">
            <v>0</v>
          </cell>
          <cell r="E689">
            <v>68</v>
          </cell>
        </row>
        <row r="690">
          <cell r="C690" t="str">
            <v xml:space="preserve">    ACEFRA             ALO</v>
          </cell>
          <cell r="D690">
            <v>0</v>
          </cell>
          <cell r="E690">
            <v>0</v>
          </cell>
        </row>
        <row r="691">
          <cell r="C691" t="str">
            <v xml:space="preserve">    BACTACEF           S6C</v>
          </cell>
          <cell r="D691">
            <v>0</v>
          </cell>
          <cell r="E691">
            <v>21</v>
          </cell>
        </row>
        <row r="692">
          <cell r="C692" t="str">
            <v xml:space="preserve">    BELOCEF            AIC</v>
          </cell>
          <cell r="D692">
            <v>0</v>
          </cell>
          <cell r="E692">
            <v>0</v>
          </cell>
        </row>
        <row r="693">
          <cell r="C693" t="str">
            <v xml:space="preserve">    BENOCEF            BNP</v>
          </cell>
          <cell r="D693">
            <v>0</v>
          </cell>
          <cell r="E693">
            <v>0</v>
          </cell>
        </row>
        <row r="694">
          <cell r="C694" t="str">
            <v xml:space="preserve">    CEFEX              DOC</v>
          </cell>
          <cell r="D694">
            <v>0</v>
          </cell>
          <cell r="E694">
            <v>0</v>
          </cell>
        </row>
        <row r="695">
          <cell r="C695" t="str">
            <v xml:space="preserve">    CEFLIN             NIP</v>
          </cell>
          <cell r="D695">
            <v>0</v>
          </cell>
          <cell r="E695">
            <v>0</v>
          </cell>
        </row>
        <row r="696">
          <cell r="C696" t="str">
            <v xml:space="preserve">    CEFRAX             UCL</v>
          </cell>
          <cell r="D696">
            <v>0</v>
          </cell>
          <cell r="E696">
            <v>0</v>
          </cell>
        </row>
        <row r="697">
          <cell r="C697" t="str">
            <v xml:space="preserve">    CEFRASYN           SYH</v>
          </cell>
          <cell r="D697">
            <v>0</v>
          </cell>
          <cell r="E697">
            <v>3</v>
          </cell>
        </row>
        <row r="698">
          <cell r="C698" t="str">
            <v xml:space="preserve">    CEFAMAK            MKD</v>
          </cell>
          <cell r="D698">
            <v>0</v>
          </cell>
          <cell r="E698">
            <v>6</v>
          </cell>
        </row>
        <row r="699">
          <cell r="C699" t="str">
            <v xml:space="preserve">    CUSEF              D&amp;B</v>
          </cell>
          <cell r="D699">
            <v>0</v>
          </cell>
          <cell r="E699">
            <v>0</v>
          </cell>
        </row>
        <row r="700">
          <cell r="C700" t="str">
            <v xml:space="preserve">    DOLOCEF            T2D</v>
          </cell>
          <cell r="D700">
            <v>0</v>
          </cell>
          <cell r="E700">
            <v>0</v>
          </cell>
        </row>
        <row r="701">
          <cell r="C701" t="str">
            <v xml:space="preserve">    EFRAD              EDR</v>
          </cell>
          <cell r="D701">
            <v>0</v>
          </cell>
          <cell r="E701">
            <v>0</v>
          </cell>
        </row>
        <row r="702">
          <cell r="C702" t="str">
            <v xml:space="preserve">    ELOCEF             ETH</v>
          </cell>
          <cell r="D702">
            <v>0</v>
          </cell>
          <cell r="E702">
            <v>0</v>
          </cell>
        </row>
        <row r="703">
          <cell r="C703" t="str">
            <v xml:space="preserve">    G-CEFRADINE        GNS</v>
          </cell>
          <cell r="D703">
            <v>0</v>
          </cell>
          <cell r="E703">
            <v>0</v>
          </cell>
        </row>
        <row r="704">
          <cell r="C704" t="str">
            <v xml:space="preserve">    LIBRADIN           LBA</v>
          </cell>
          <cell r="D704">
            <v>0</v>
          </cell>
          <cell r="E704">
            <v>0</v>
          </cell>
        </row>
        <row r="705">
          <cell r="C705" t="str">
            <v xml:space="preserve">    LINDEX             R7G</v>
          </cell>
          <cell r="D705">
            <v>0</v>
          </cell>
          <cell r="E705">
            <v>5</v>
          </cell>
        </row>
        <row r="706">
          <cell r="C706" t="str">
            <v xml:space="preserve">    MEGA-CEF           HUD</v>
          </cell>
          <cell r="D706">
            <v>0</v>
          </cell>
          <cell r="E706">
            <v>0</v>
          </cell>
        </row>
        <row r="707">
          <cell r="C707" t="str">
            <v xml:space="preserve">    MEGACIN            SDZ</v>
          </cell>
          <cell r="D707">
            <v>0</v>
          </cell>
          <cell r="E707">
            <v>0</v>
          </cell>
        </row>
        <row r="708">
          <cell r="C708" t="str">
            <v xml:space="preserve">    MULTICEF           DSH</v>
          </cell>
          <cell r="D708">
            <v>0</v>
          </cell>
          <cell r="E708">
            <v>0</v>
          </cell>
        </row>
        <row r="709">
          <cell r="C709" t="str">
            <v xml:space="preserve">    OCEF               OAS</v>
          </cell>
          <cell r="D709">
            <v>0</v>
          </cell>
          <cell r="E709">
            <v>21</v>
          </cell>
        </row>
        <row r="710">
          <cell r="C710" t="str">
            <v xml:space="preserve">    REVOC              NVO</v>
          </cell>
          <cell r="D710">
            <v>0</v>
          </cell>
          <cell r="E710">
            <v>0</v>
          </cell>
        </row>
        <row r="711">
          <cell r="C711" t="str">
            <v xml:space="preserve">    SEFDIN             KUM</v>
          </cell>
          <cell r="D711">
            <v>0</v>
          </cell>
          <cell r="E711">
            <v>0</v>
          </cell>
        </row>
        <row r="712">
          <cell r="C712" t="str">
            <v xml:space="preserve">    SEFRO              N8V</v>
          </cell>
          <cell r="D712">
            <v>0</v>
          </cell>
          <cell r="E712">
            <v>3</v>
          </cell>
        </row>
        <row r="713">
          <cell r="C713" t="str">
            <v xml:space="preserve">    SEFRATE            BRI</v>
          </cell>
          <cell r="D713">
            <v>0</v>
          </cell>
          <cell r="E713">
            <v>0</v>
          </cell>
        </row>
        <row r="714">
          <cell r="C714" t="str">
            <v xml:space="preserve">    SEFNIN             MO6</v>
          </cell>
          <cell r="D714">
            <v>0</v>
          </cell>
          <cell r="E714">
            <v>0</v>
          </cell>
        </row>
        <row r="715">
          <cell r="C715" t="str">
            <v xml:space="preserve">    SEFACIN            KUM</v>
          </cell>
          <cell r="D715">
            <v>0</v>
          </cell>
          <cell r="E715">
            <v>10</v>
          </cell>
        </row>
        <row r="716">
          <cell r="C716" t="str">
            <v xml:space="preserve">    SEPHAR             J&amp;H</v>
          </cell>
          <cell r="D716">
            <v>0</v>
          </cell>
          <cell r="E716">
            <v>0</v>
          </cell>
        </row>
        <row r="717">
          <cell r="C717" t="str">
            <v xml:space="preserve">    SICEF              SV6</v>
          </cell>
          <cell r="D717">
            <v>0</v>
          </cell>
          <cell r="E717">
            <v>33</v>
          </cell>
        </row>
        <row r="718">
          <cell r="C718" t="str">
            <v xml:space="preserve">    TYDIN              S&amp;O</v>
          </cell>
          <cell r="D718">
            <v>0</v>
          </cell>
          <cell r="E718">
            <v>0</v>
          </cell>
        </row>
        <row r="719">
          <cell r="C719" t="str">
            <v xml:space="preserve">    VECEF              A/L</v>
          </cell>
          <cell r="D719">
            <v>0</v>
          </cell>
          <cell r="E719">
            <v>0</v>
          </cell>
        </row>
        <row r="720">
          <cell r="C720" t="str">
            <v xml:space="preserve">    VELOX              KMP</v>
          </cell>
          <cell r="D720">
            <v>0</v>
          </cell>
          <cell r="E720">
            <v>0</v>
          </cell>
        </row>
        <row r="721">
          <cell r="C721" t="str">
            <v xml:space="preserve">    ZECEF              GCO</v>
          </cell>
          <cell r="D721">
            <v>0</v>
          </cell>
          <cell r="E721">
            <v>0</v>
          </cell>
        </row>
        <row r="722">
          <cell r="C722" t="str">
            <v xml:space="preserve">    ZENAF              CSC</v>
          </cell>
          <cell r="D722">
            <v>0</v>
          </cell>
          <cell r="E722">
            <v>89</v>
          </cell>
        </row>
        <row r="723">
          <cell r="C723" t="str">
            <v xml:space="preserve">    WINCEF             WTH</v>
          </cell>
          <cell r="D723">
            <v>0</v>
          </cell>
          <cell r="E723">
            <v>0</v>
          </cell>
        </row>
        <row r="724">
          <cell r="C724" t="str">
            <v xml:space="preserve">    LIDOCEF            LOP</v>
          </cell>
          <cell r="D724">
            <v>0</v>
          </cell>
          <cell r="E724">
            <v>0</v>
          </cell>
        </row>
        <row r="725">
          <cell r="C725" t="str">
            <v xml:space="preserve">    SEFCON             CC/</v>
          </cell>
          <cell r="D725">
            <v>0</v>
          </cell>
          <cell r="E725">
            <v>0</v>
          </cell>
        </row>
        <row r="726">
          <cell r="C726" t="str">
            <v xml:space="preserve">    ORGACEF            NVK</v>
          </cell>
          <cell r="D726">
            <v>0</v>
          </cell>
          <cell r="E726">
            <v>0</v>
          </cell>
        </row>
        <row r="727">
          <cell r="C727" t="str">
            <v xml:space="preserve">   CEFTIBUTEN</v>
          </cell>
          <cell r="D727">
            <v>613066</v>
          </cell>
          <cell r="E727">
            <v>589057</v>
          </cell>
        </row>
        <row r="728">
          <cell r="C728" t="str">
            <v xml:space="preserve">    ZOVENTA            HT3</v>
          </cell>
          <cell r="D728">
            <v>204087</v>
          </cell>
          <cell r="E728">
            <v>177652</v>
          </cell>
        </row>
        <row r="729">
          <cell r="C729" t="str">
            <v xml:space="preserve">    CEBUTEN            RTA</v>
          </cell>
          <cell r="D729">
            <v>96830</v>
          </cell>
          <cell r="E729">
            <v>91795</v>
          </cell>
        </row>
        <row r="730">
          <cell r="C730" t="str">
            <v xml:space="preserve">    ODITEN             OPI</v>
          </cell>
          <cell r="D730">
            <v>86707</v>
          </cell>
          <cell r="E730">
            <v>58806</v>
          </cell>
        </row>
        <row r="731">
          <cell r="C731" t="str">
            <v xml:space="preserve">    CEFTIBEN           SQA</v>
          </cell>
          <cell r="D731">
            <v>49696</v>
          </cell>
          <cell r="E731">
            <v>54027</v>
          </cell>
        </row>
        <row r="732">
          <cell r="C732" t="str">
            <v xml:space="preserve">    CEFAMAX            IAP</v>
          </cell>
          <cell r="D732">
            <v>42654</v>
          </cell>
          <cell r="E732">
            <v>34230</v>
          </cell>
        </row>
        <row r="733">
          <cell r="C733" t="str">
            <v xml:space="preserve">    LOGIBAC            ACM</v>
          </cell>
          <cell r="D733">
            <v>26498</v>
          </cell>
          <cell r="E733">
            <v>27164</v>
          </cell>
        </row>
        <row r="734">
          <cell r="C734" t="str">
            <v xml:space="preserve">    BUTIBAC            D-I</v>
          </cell>
          <cell r="D734">
            <v>25448</v>
          </cell>
          <cell r="E734">
            <v>33404</v>
          </cell>
        </row>
        <row r="735">
          <cell r="C735" t="str">
            <v xml:space="preserve">    INBUTEN            RD7</v>
          </cell>
          <cell r="D735">
            <v>21478</v>
          </cell>
          <cell r="E735">
            <v>23315</v>
          </cell>
        </row>
        <row r="736">
          <cell r="C736" t="str">
            <v xml:space="preserve">    ROIN               ZIS</v>
          </cell>
          <cell r="D736">
            <v>18909</v>
          </cell>
          <cell r="E736">
            <v>26222</v>
          </cell>
        </row>
        <row r="737">
          <cell r="C737" t="str">
            <v xml:space="preserve">    ORBUTEN            ATP</v>
          </cell>
          <cell r="D737">
            <v>15704</v>
          </cell>
          <cell r="E737">
            <v>19910</v>
          </cell>
        </row>
        <row r="738">
          <cell r="C738" t="str">
            <v xml:space="preserve">    CEFTERIA           A-I</v>
          </cell>
          <cell r="D738">
            <v>14281</v>
          </cell>
          <cell r="E738">
            <v>23925</v>
          </cell>
        </row>
        <row r="739">
          <cell r="C739" t="str">
            <v xml:space="preserve">    BUTICEF            IBN</v>
          </cell>
          <cell r="D739">
            <v>6510</v>
          </cell>
          <cell r="E739">
            <v>10121</v>
          </cell>
        </row>
        <row r="740">
          <cell r="C740" t="str">
            <v xml:space="preserve">    CEFTORIL           BXM</v>
          </cell>
          <cell r="D740">
            <v>3819</v>
          </cell>
          <cell r="E740">
            <v>7353</v>
          </cell>
        </row>
        <row r="741">
          <cell r="C741" t="str">
            <v xml:space="preserve">    CEBUMAX            GNR</v>
          </cell>
          <cell r="D741">
            <v>393</v>
          </cell>
          <cell r="E741">
            <v>829</v>
          </cell>
        </row>
        <row r="742">
          <cell r="C742" t="str">
            <v xml:space="preserve">    TIBUCEF            GBE</v>
          </cell>
          <cell r="D742">
            <v>53</v>
          </cell>
          <cell r="E742">
            <v>236</v>
          </cell>
        </row>
        <row r="743">
          <cell r="C743" t="str">
            <v xml:space="preserve">    CEFATEN            ESF</v>
          </cell>
          <cell r="D743">
            <v>0</v>
          </cell>
          <cell r="E743">
            <v>67</v>
          </cell>
        </row>
        <row r="744">
          <cell r="C744" t="str">
            <v xml:space="preserve">    TENCEF             N8V</v>
          </cell>
          <cell r="D744">
            <v>0</v>
          </cell>
          <cell r="E744">
            <v>0</v>
          </cell>
        </row>
        <row r="745">
          <cell r="C745" t="str">
            <v xml:space="preserve">   CEFADROXIL</v>
          </cell>
          <cell r="D745">
            <v>234429</v>
          </cell>
          <cell r="E745">
            <v>201017</v>
          </cell>
        </row>
        <row r="746">
          <cell r="C746" t="str">
            <v xml:space="preserve">    ADORA              IAP</v>
          </cell>
          <cell r="D746">
            <v>176261</v>
          </cell>
          <cell r="E746">
            <v>151329</v>
          </cell>
        </row>
        <row r="747">
          <cell r="C747" t="str">
            <v xml:space="preserve">    FODEXIL            SQA</v>
          </cell>
          <cell r="D747">
            <v>32500</v>
          </cell>
          <cell r="E747">
            <v>28247</v>
          </cell>
        </row>
        <row r="748">
          <cell r="C748" t="str">
            <v xml:space="preserve">    TWICEF             ACM</v>
          </cell>
          <cell r="D748">
            <v>13144</v>
          </cell>
          <cell r="E748">
            <v>9268</v>
          </cell>
        </row>
        <row r="749">
          <cell r="C749" t="str">
            <v xml:space="preserve">    AROCEF             ESF</v>
          </cell>
          <cell r="D749">
            <v>11224</v>
          </cell>
          <cell r="E749">
            <v>10142</v>
          </cell>
        </row>
        <row r="750">
          <cell r="C750" t="str">
            <v xml:space="preserve">    TRUBID             OPI</v>
          </cell>
          <cell r="D750">
            <v>766</v>
          </cell>
          <cell r="E750">
            <v>654</v>
          </cell>
        </row>
        <row r="751">
          <cell r="C751" t="str">
            <v xml:space="preserve">    FICEF              UNH</v>
          </cell>
          <cell r="D751">
            <v>527</v>
          </cell>
          <cell r="E751">
            <v>1377</v>
          </cell>
        </row>
        <row r="752">
          <cell r="C752" t="str">
            <v xml:space="preserve">    ADOCEF             ZIS</v>
          </cell>
          <cell r="D752">
            <v>7</v>
          </cell>
          <cell r="E752">
            <v>0</v>
          </cell>
        </row>
        <row r="753">
          <cell r="C753" t="str">
            <v xml:space="preserve">    ADOCIL             KMP</v>
          </cell>
          <cell r="D753">
            <v>0</v>
          </cell>
          <cell r="E753">
            <v>0</v>
          </cell>
        </row>
        <row r="754">
          <cell r="C754" t="str">
            <v xml:space="preserve">    BEXEN              NJP</v>
          </cell>
          <cell r="D754">
            <v>0</v>
          </cell>
          <cell r="E754">
            <v>0</v>
          </cell>
        </row>
        <row r="755">
          <cell r="C755" t="str">
            <v xml:space="preserve">    SEFANID            D-I</v>
          </cell>
          <cell r="D755">
            <v>0</v>
          </cell>
          <cell r="E755">
            <v>0</v>
          </cell>
        </row>
        <row r="756">
          <cell r="C756" t="str">
            <v xml:space="preserve">   CEFACLOR</v>
          </cell>
          <cell r="D756">
            <v>220141</v>
          </cell>
          <cell r="E756">
            <v>217508</v>
          </cell>
        </row>
        <row r="757">
          <cell r="C757" t="str">
            <v xml:space="preserve">    LORACEF            SQA</v>
          </cell>
          <cell r="D757">
            <v>118482</v>
          </cell>
          <cell r="E757">
            <v>120505</v>
          </cell>
        </row>
        <row r="758">
          <cell r="C758" t="str">
            <v xml:space="preserve">    OTICLOR            IAP</v>
          </cell>
          <cell r="D758">
            <v>28155</v>
          </cell>
          <cell r="E758">
            <v>23535</v>
          </cell>
        </row>
        <row r="759">
          <cell r="C759" t="str">
            <v xml:space="preserve">    CEFLON             ESF</v>
          </cell>
          <cell r="D759">
            <v>23759</v>
          </cell>
          <cell r="E759">
            <v>21243</v>
          </cell>
        </row>
        <row r="760">
          <cell r="C760" t="str">
            <v xml:space="preserve">    NAVACEF            N8V</v>
          </cell>
          <cell r="D760">
            <v>13736</v>
          </cell>
          <cell r="E760">
            <v>18360</v>
          </cell>
        </row>
        <row r="761">
          <cell r="C761" t="str">
            <v xml:space="preserve">    ALCLOR             ACM</v>
          </cell>
          <cell r="D761">
            <v>12516</v>
          </cell>
          <cell r="E761">
            <v>10900</v>
          </cell>
        </row>
        <row r="762">
          <cell r="C762" t="str">
            <v xml:space="preserve">    CLOBAC             OPI</v>
          </cell>
          <cell r="D762">
            <v>11703</v>
          </cell>
          <cell r="E762">
            <v>8391</v>
          </cell>
        </row>
        <row r="763">
          <cell r="C763" t="str">
            <v xml:space="preserve">    ABACLOR            A-I</v>
          </cell>
          <cell r="D763">
            <v>9469</v>
          </cell>
          <cell r="E763">
            <v>11084</v>
          </cell>
        </row>
        <row r="764">
          <cell r="C764" t="str">
            <v xml:space="preserve">    CLOROCEF           IBN</v>
          </cell>
          <cell r="D764">
            <v>1909</v>
          </cell>
          <cell r="E764">
            <v>3099</v>
          </cell>
        </row>
        <row r="765">
          <cell r="C765" t="str">
            <v xml:space="preserve">    CFL                SH0</v>
          </cell>
          <cell r="D765">
            <v>391</v>
          </cell>
          <cell r="E765">
            <v>338</v>
          </cell>
        </row>
        <row r="766">
          <cell r="C766" t="str">
            <v xml:space="preserve">    CECLOR             LLY</v>
          </cell>
          <cell r="D766">
            <v>21</v>
          </cell>
          <cell r="E766">
            <v>0</v>
          </cell>
        </row>
        <row r="767">
          <cell r="C767" t="str">
            <v xml:space="preserve">    BIOCEF             SDZ</v>
          </cell>
          <cell r="D767">
            <v>0</v>
          </cell>
          <cell r="E767">
            <v>0</v>
          </cell>
        </row>
        <row r="768">
          <cell r="C768" t="str">
            <v xml:space="preserve">    CEFCLOR            PDH</v>
          </cell>
          <cell r="D768">
            <v>0</v>
          </cell>
          <cell r="E768">
            <v>0</v>
          </cell>
        </row>
        <row r="769">
          <cell r="C769" t="str">
            <v xml:space="preserve">    CEFTICLOR          RTA</v>
          </cell>
          <cell r="D769">
            <v>0</v>
          </cell>
          <cell r="E769">
            <v>52</v>
          </cell>
        </row>
        <row r="770">
          <cell r="C770" t="str">
            <v xml:space="preserve">    CLOCEF             AIC</v>
          </cell>
          <cell r="D770">
            <v>0</v>
          </cell>
          <cell r="E770">
            <v>0</v>
          </cell>
        </row>
        <row r="771">
          <cell r="C771" t="str">
            <v xml:space="preserve">    OTICEF             A.P</v>
          </cell>
          <cell r="D771">
            <v>0</v>
          </cell>
          <cell r="E771">
            <v>0</v>
          </cell>
        </row>
        <row r="772">
          <cell r="C772" t="str">
            <v xml:space="preserve">   CEFPODOXIME PROXETIL+CLAVULANIC ACID</v>
          </cell>
          <cell r="D772">
            <v>158660</v>
          </cell>
          <cell r="E772">
            <v>105248</v>
          </cell>
        </row>
        <row r="773">
          <cell r="C773" t="str">
            <v xml:space="preserve">    DUO-5              IAP</v>
          </cell>
          <cell r="D773">
            <v>153761</v>
          </cell>
          <cell r="E773">
            <v>100333</v>
          </cell>
        </row>
        <row r="774">
          <cell r="C774" t="str">
            <v xml:space="preserve">    TRIOCLAV           ESF</v>
          </cell>
          <cell r="D774">
            <v>2420</v>
          </cell>
          <cell r="E774">
            <v>1389</v>
          </cell>
        </row>
        <row r="775">
          <cell r="C775" t="str">
            <v xml:space="preserve">    CLAVURAN           D-I</v>
          </cell>
          <cell r="D775">
            <v>2240</v>
          </cell>
          <cell r="E775">
            <v>3346</v>
          </cell>
        </row>
        <row r="776">
          <cell r="C776" t="str">
            <v xml:space="preserve">    COMBOCEF           A-I</v>
          </cell>
          <cell r="D776">
            <v>238</v>
          </cell>
          <cell r="E776">
            <v>180</v>
          </cell>
        </row>
        <row r="777">
          <cell r="C777" t="str">
            <v xml:space="preserve">   CEFPODOXIME PROXETIL</v>
          </cell>
          <cell r="D777">
            <v>74868</v>
          </cell>
          <cell r="E777">
            <v>113416</v>
          </cell>
        </row>
        <row r="778">
          <cell r="C778" t="str">
            <v xml:space="preserve">    VANPROX            SQA</v>
          </cell>
          <cell r="D778">
            <v>36794</v>
          </cell>
          <cell r="E778">
            <v>67161</v>
          </cell>
        </row>
        <row r="779">
          <cell r="C779" t="str">
            <v xml:space="preserve">    XIMEPROX           IAP</v>
          </cell>
          <cell r="D779">
            <v>17236</v>
          </cell>
          <cell r="E779">
            <v>20903</v>
          </cell>
        </row>
        <row r="780">
          <cell r="C780" t="str">
            <v xml:space="preserve">    CP                 ACM</v>
          </cell>
          <cell r="D780">
            <v>8515</v>
          </cell>
          <cell r="E780">
            <v>8848</v>
          </cell>
        </row>
        <row r="781">
          <cell r="C781" t="str">
            <v xml:space="preserve">    ROVANTIN           OPI</v>
          </cell>
          <cell r="D781">
            <v>4375</v>
          </cell>
          <cell r="E781">
            <v>5511</v>
          </cell>
        </row>
        <row r="782">
          <cell r="C782" t="str">
            <v xml:space="preserve">    CEFORAN            D-I</v>
          </cell>
          <cell r="D782">
            <v>3507</v>
          </cell>
          <cell r="E782">
            <v>2563</v>
          </cell>
        </row>
        <row r="783">
          <cell r="C783" t="str">
            <v xml:space="preserve">    STARIN             ESF</v>
          </cell>
          <cell r="D783">
            <v>1373</v>
          </cell>
          <cell r="E783">
            <v>2563</v>
          </cell>
        </row>
        <row r="784">
          <cell r="C784" t="str">
            <v xml:space="preserve">    ROXETIL            HT3</v>
          </cell>
          <cell r="D784">
            <v>1337</v>
          </cell>
          <cell r="E784">
            <v>1149</v>
          </cell>
        </row>
        <row r="785">
          <cell r="C785" t="str">
            <v xml:space="preserve">    PEDICEF            OR/</v>
          </cell>
          <cell r="D785">
            <v>796</v>
          </cell>
          <cell r="E785">
            <v>1021</v>
          </cell>
        </row>
        <row r="786">
          <cell r="C786" t="str">
            <v xml:space="preserve">    KIDCEF             BAC</v>
          </cell>
          <cell r="D786">
            <v>431</v>
          </cell>
          <cell r="E786">
            <v>158</v>
          </cell>
        </row>
        <row r="787">
          <cell r="C787" t="str">
            <v xml:space="preserve">    CEFDOX             A-I</v>
          </cell>
          <cell r="D787">
            <v>228</v>
          </cell>
          <cell r="E787">
            <v>550</v>
          </cell>
        </row>
        <row r="788">
          <cell r="C788" t="str">
            <v xml:space="preserve">    VERCEF             BXM</v>
          </cell>
          <cell r="D788">
            <v>153</v>
          </cell>
          <cell r="E788">
            <v>1797</v>
          </cell>
        </row>
        <row r="789">
          <cell r="C789" t="str">
            <v xml:space="preserve">    CEFOMIN            PPH</v>
          </cell>
          <cell r="D789">
            <v>70</v>
          </cell>
          <cell r="E789">
            <v>10</v>
          </cell>
        </row>
        <row r="790">
          <cell r="C790" t="str">
            <v xml:space="preserve">    ZEDOXIM            GBE</v>
          </cell>
          <cell r="D790">
            <v>44</v>
          </cell>
          <cell r="E790">
            <v>0</v>
          </cell>
        </row>
        <row r="791">
          <cell r="C791" t="str">
            <v xml:space="preserve">    DOFIXIM            IBN</v>
          </cell>
          <cell r="D791">
            <v>8</v>
          </cell>
          <cell r="E791">
            <v>287</v>
          </cell>
        </row>
        <row r="792">
          <cell r="C792" t="str">
            <v xml:space="preserve">    CEFOBID            UNH</v>
          </cell>
          <cell r="D792">
            <v>0</v>
          </cell>
          <cell r="E792">
            <v>0</v>
          </cell>
        </row>
        <row r="793">
          <cell r="C793" t="str">
            <v xml:space="preserve">    CEFODIM            PAC</v>
          </cell>
          <cell r="D793">
            <v>0</v>
          </cell>
          <cell r="E793">
            <v>0</v>
          </cell>
        </row>
        <row r="794">
          <cell r="C794" t="str">
            <v xml:space="preserve">    CEPDOXIM           A.P</v>
          </cell>
          <cell r="D794">
            <v>0</v>
          </cell>
          <cell r="E794">
            <v>0</v>
          </cell>
        </row>
        <row r="795">
          <cell r="C795" t="str">
            <v xml:space="preserve">    CEPOXID            AX.</v>
          </cell>
          <cell r="D795">
            <v>0</v>
          </cell>
          <cell r="E795">
            <v>11</v>
          </cell>
        </row>
        <row r="796">
          <cell r="C796" t="str">
            <v xml:space="preserve">    DESBAC             GNR</v>
          </cell>
          <cell r="D796">
            <v>0</v>
          </cell>
          <cell r="E796">
            <v>0</v>
          </cell>
        </row>
        <row r="797">
          <cell r="C797" t="str">
            <v xml:space="preserve">    DXPROXIL           MO6</v>
          </cell>
          <cell r="D797">
            <v>0</v>
          </cell>
          <cell r="E797">
            <v>0</v>
          </cell>
        </row>
        <row r="798">
          <cell r="C798" t="str">
            <v xml:space="preserve">    EPOXIM             PP-</v>
          </cell>
          <cell r="D798">
            <v>0</v>
          </cell>
          <cell r="E798">
            <v>0</v>
          </cell>
        </row>
        <row r="799">
          <cell r="C799" t="str">
            <v xml:space="preserve">    METOXIM            SDZ</v>
          </cell>
          <cell r="D799">
            <v>0</v>
          </cell>
          <cell r="E799">
            <v>156</v>
          </cell>
        </row>
        <row r="800">
          <cell r="C800" t="str">
            <v xml:space="preserve">    PODOXI             CHM</v>
          </cell>
          <cell r="D800">
            <v>0</v>
          </cell>
          <cell r="E800">
            <v>0</v>
          </cell>
        </row>
        <row r="801">
          <cell r="C801" t="str">
            <v xml:space="preserve">    SARELOX            S.Y</v>
          </cell>
          <cell r="D801">
            <v>0</v>
          </cell>
          <cell r="E801">
            <v>0</v>
          </cell>
        </row>
        <row r="802">
          <cell r="C802" t="str">
            <v xml:space="preserve">    SEFOX              N8V</v>
          </cell>
          <cell r="D802">
            <v>0</v>
          </cell>
          <cell r="E802">
            <v>0</v>
          </cell>
        </row>
        <row r="803">
          <cell r="C803" t="str">
            <v xml:space="preserve">    SUPOXIM            ETH</v>
          </cell>
          <cell r="D803">
            <v>0</v>
          </cell>
          <cell r="E803">
            <v>5</v>
          </cell>
        </row>
        <row r="804">
          <cell r="C804" t="str">
            <v xml:space="preserve">    TAXETIL            ATP</v>
          </cell>
          <cell r="D804">
            <v>0</v>
          </cell>
          <cell r="E804">
            <v>709</v>
          </cell>
        </row>
        <row r="805">
          <cell r="C805" t="str">
            <v xml:space="preserve">    TORAXIM            D&amp;B</v>
          </cell>
          <cell r="D805">
            <v>0</v>
          </cell>
          <cell r="E805">
            <v>1</v>
          </cell>
        </row>
        <row r="806">
          <cell r="C806" t="str">
            <v xml:space="preserve">    TRUCEF             RTA</v>
          </cell>
          <cell r="D806">
            <v>0</v>
          </cell>
          <cell r="E806">
            <v>12</v>
          </cell>
        </row>
        <row r="807">
          <cell r="C807" t="str">
            <v xml:space="preserve">    XIMOCEF            KUM</v>
          </cell>
          <cell r="D807">
            <v>0</v>
          </cell>
          <cell r="E807">
            <v>0</v>
          </cell>
        </row>
        <row r="808">
          <cell r="C808" t="str">
            <v xml:space="preserve">   CEFDITOREN PIVOXIL</v>
          </cell>
          <cell r="D808">
            <v>54192</v>
          </cell>
          <cell r="E808">
            <v>56705</v>
          </cell>
        </row>
        <row r="809">
          <cell r="C809" t="str">
            <v xml:space="preserve">    CEFTOREN           A-I</v>
          </cell>
          <cell r="D809">
            <v>36818</v>
          </cell>
          <cell r="E809">
            <v>37942</v>
          </cell>
        </row>
        <row r="810">
          <cell r="C810" t="str">
            <v xml:space="preserve">    CEFDITOR           OR/</v>
          </cell>
          <cell r="D810">
            <v>17323</v>
          </cell>
          <cell r="E810">
            <v>18744</v>
          </cell>
        </row>
        <row r="811">
          <cell r="C811" t="str">
            <v xml:space="preserve">    OROBAC             IAP</v>
          </cell>
          <cell r="D811">
            <v>52</v>
          </cell>
          <cell r="E811">
            <v>0</v>
          </cell>
        </row>
        <row r="812">
          <cell r="C812" t="str">
            <v xml:space="preserve">    CEFDIREN           IBN</v>
          </cell>
          <cell r="D812">
            <v>0</v>
          </cell>
          <cell r="E812">
            <v>19</v>
          </cell>
        </row>
        <row r="813">
          <cell r="C813" t="str">
            <v xml:space="preserve">   CEFDINIR</v>
          </cell>
          <cell r="D813">
            <v>10317</v>
          </cell>
          <cell r="E813">
            <v>16031</v>
          </cell>
        </row>
        <row r="814">
          <cell r="C814" t="str">
            <v xml:space="preserve">    CEFEXTA            UNH</v>
          </cell>
          <cell r="D814">
            <v>10296</v>
          </cell>
          <cell r="E814">
            <v>15123</v>
          </cell>
        </row>
        <row r="815">
          <cell r="C815" t="str">
            <v xml:space="preserve">    CEFDIR             SQA</v>
          </cell>
          <cell r="D815">
            <v>22</v>
          </cell>
          <cell r="E815">
            <v>908</v>
          </cell>
        </row>
        <row r="816">
          <cell r="C816" t="str">
            <v xml:space="preserve">   CEFUROXIME+CLAVULANIC ACID</v>
          </cell>
          <cell r="D816">
            <v>2598</v>
          </cell>
          <cell r="E816">
            <v>2030</v>
          </cell>
        </row>
        <row r="817">
          <cell r="C817" t="str">
            <v xml:space="preserve">    FUXTIL-CV          P-S</v>
          </cell>
          <cell r="D817">
            <v>2598</v>
          </cell>
          <cell r="E817">
            <v>2030</v>
          </cell>
        </row>
        <row r="818">
          <cell r="C818" t="str">
            <v xml:space="preserve">   MOXIFLOXACIN</v>
          </cell>
          <cell r="D818">
            <v>2552</v>
          </cell>
          <cell r="E818">
            <v>1158</v>
          </cell>
        </row>
        <row r="819">
          <cell r="C819" t="str">
            <v xml:space="preserve">    XIOMAX             RTA</v>
          </cell>
          <cell r="D819">
            <v>2552</v>
          </cell>
          <cell r="E819">
            <v>1158</v>
          </cell>
        </row>
        <row r="820">
          <cell r="C820" t="str">
            <v xml:space="preserve">   CEFAZOLIN</v>
          </cell>
          <cell r="D820">
            <v>723</v>
          </cell>
          <cell r="E820">
            <v>1722</v>
          </cell>
        </row>
        <row r="821">
          <cell r="C821" t="str">
            <v xml:space="preserve">    ANCEF              UNH</v>
          </cell>
          <cell r="D821">
            <v>723</v>
          </cell>
          <cell r="E821">
            <v>1722</v>
          </cell>
        </row>
        <row r="822">
          <cell r="C822" t="str">
            <v xml:space="preserve">   CEFUROXIME</v>
          </cell>
          <cell r="D822">
            <v>521</v>
          </cell>
          <cell r="E822">
            <v>1062</v>
          </cell>
        </row>
        <row r="823">
          <cell r="C823" t="str">
            <v xml:space="preserve">    CEFOBAC            PPH</v>
          </cell>
          <cell r="D823">
            <v>432</v>
          </cell>
          <cell r="E823">
            <v>703</v>
          </cell>
        </row>
        <row r="824">
          <cell r="C824" t="str">
            <v xml:space="preserve">    FUXTIL             P-S</v>
          </cell>
          <cell r="D824">
            <v>89</v>
          </cell>
          <cell r="E824">
            <v>327</v>
          </cell>
        </row>
        <row r="825">
          <cell r="C825" t="str">
            <v xml:space="preserve">    PICOCEF            CC/</v>
          </cell>
          <cell r="D825">
            <v>0</v>
          </cell>
          <cell r="E825">
            <v>32</v>
          </cell>
        </row>
        <row r="826">
          <cell r="C826" t="str">
            <v xml:space="preserve">   CEFALEXIN</v>
          </cell>
          <cell r="D826">
            <v>244</v>
          </cell>
          <cell r="E826">
            <v>79</v>
          </cell>
        </row>
        <row r="827">
          <cell r="C827" t="str">
            <v xml:space="preserve">    ACELEX             ACM</v>
          </cell>
          <cell r="D827">
            <v>240</v>
          </cell>
          <cell r="E827">
            <v>0</v>
          </cell>
        </row>
        <row r="828">
          <cell r="C828" t="str">
            <v xml:space="preserve">    CEPHAROL           SKL</v>
          </cell>
          <cell r="D828">
            <v>3</v>
          </cell>
          <cell r="E828">
            <v>0</v>
          </cell>
        </row>
        <row r="829">
          <cell r="C829" t="str">
            <v xml:space="preserve">    ARISTOCEF          ATP</v>
          </cell>
          <cell r="D829">
            <v>1</v>
          </cell>
          <cell r="E829">
            <v>79</v>
          </cell>
        </row>
        <row r="830">
          <cell r="C830" t="str">
            <v xml:space="preserve">    CEFALEX            D-I</v>
          </cell>
          <cell r="D830">
            <v>0</v>
          </cell>
          <cell r="E830">
            <v>0</v>
          </cell>
        </row>
        <row r="831">
          <cell r="C831" t="str">
            <v xml:space="preserve">    CEFLEX             THT</v>
          </cell>
          <cell r="D831">
            <v>0</v>
          </cell>
          <cell r="E831">
            <v>0</v>
          </cell>
        </row>
        <row r="832">
          <cell r="C832" t="str">
            <v xml:space="preserve">    CEPORAL            MDM</v>
          </cell>
          <cell r="D832">
            <v>0</v>
          </cell>
          <cell r="E832">
            <v>0</v>
          </cell>
        </row>
        <row r="833">
          <cell r="C833" t="str">
            <v xml:space="preserve">    DOCEP              HMK</v>
          </cell>
          <cell r="D833">
            <v>0</v>
          </cell>
          <cell r="E833">
            <v>0</v>
          </cell>
        </row>
        <row r="834">
          <cell r="C834" t="str">
            <v xml:space="preserve">    EDICEF             EDR</v>
          </cell>
          <cell r="D834">
            <v>0</v>
          </cell>
          <cell r="E834">
            <v>0</v>
          </cell>
        </row>
        <row r="835">
          <cell r="C835" t="str">
            <v xml:space="preserve">    REPHALEX           RPH</v>
          </cell>
          <cell r="D835">
            <v>0</v>
          </cell>
          <cell r="E835">
            <v>0</v>
          </cell>
        </row>
        <row r="836">
          <cell r="C836" t="str">
            <v xml:space="preserve">    SUPRALEX           BP&amp;</v>
          </cell>
          <cell r="D836">
            <v>0</v>
          </cell>
          <cell r="E836">
            <v>0</v>
          </cell>
        </row>
        <row r="837">
          <cell r="C837" t="str">
            <v xml:space="preserve">   CEFETAMET PIVOXIL</v>
          </cell>
          <cell r="D837">
            <v>50</v>
          </cell>
          <cell r="E837">
            <v>26</v>
          </cell>
        </row>
        <row r="838">
          <cell r="C838" t="str">
            <v xml:space="preserve">    TENAFET            IAP</v>
          </cell>
          <cell r="D838">
            <v>50</v>
          </cell>
          <cell r="E838">
            <v>26</v>
          </cell>
        </row>
        <row r="839">
          <cell r="C839" t="str">
            <v xml:space="preserve">   CEFPROZIL</v>
          </cell>
          <cell r="D839">
            <v>0</v>
          </cell>
          <cell r="E839">
            <v>0</v>
          </cell>
        </row>
        <row r="840">
          <cell r="C840" t="str">
            <v xml:space="preserve">    ANCA               SQA</v>
          </cell>
          <cell r="D840">
            <v>0</v>
          </cell>
          <cell r="E840">
            <v>0</v>
          </cell>
        </row>
        <row r="841">
          <cell r="C841" t="str">
            <v xml:space="preserve">  CEPHALOSPORINS INJECT</v>
          </cell>
          <cell r="D841">
            <v>1865465</v>
          </cell>
          <cell r="E841">
            <v>2421319</v>
          </cell>
        </row>
        <row r="842">
          <cell r="C842" t="str">
            <v xml:space="preserve">   CEFTRIAXONE</v>
          </cell>
          <cell r="D842">
            <v>1524614</v>
          </cell>
          <cell r="E842">
            <v>1944911</v>
          </cell>
        </row>
        <row r="843">
          <cell r="C843" t="str">
            <v xml:space="preserve">    CEFTRON            SQA</v>
          </cell>
          <cell r="D843">
            <v>407184</v>
          </cell>
          <cell r="E843">
            <v>479312</v>
          </cell>
        </row>
        <row r="844">
          <cell r="C844" t="str">
            <v xml:space="preserve">    ORICEF             HT3</v>
          </cell>
          <cell r="D844">
            <v>371377</v>
          </cell>
          <cell r="E844">
            <v>426180</v>
          </cell>
        </row>
        <row r="845">
          <cell r="C845" t="str">
            <v xml:space="preserve">    ROFECIN            RD7</v>
          </cell>
          <cell r="D845">
            <v>120895</v>
          </cell>
          <cell r="E845">
            <v>153756</v>
          </cell>
        </row>
        <row r="846">
          <cell r="C846" t="str">
            <v xml:space="preserve">    CEFTIZONE          RTA</v>
          </cell>
          <cell r="D846">
            <v>113213</v>
          </cell>
          <cell r="E846">
            <v>123804</v>
          </cell>
        </row>
        <row r="847">
          <cell r="C847" t="str">
            <v xml:space="preserve">    EXEPHIN            IAP</v>
          </cell>
          <cell r="D847">
            <v>95546</v>
          </cell>
          <cell r="E847">
            <v>121725</v>
          </cell>
        </row>
        <row r="848">
          <cell r="C848" t="str">
            <v xml:space="preserve">    TRIZON             ACM</v>
          </cell>
          <cell r="D848">
            <v>86682</v>
          </cell>
          <cell r="E848">
            <v>127351</v>
          </cell>
        </row>
        <row r="849">
          <cell r="C849" t="str">
            <v xml:space="preserve">    ARIXON             BXM</v>
          </cell>
          <cell r="D849">
            <v>70110</v>
          </cell>
          <cell r="E849">
            <v>110852</v>
          </cell>
        </row>
        <row r="850">
          <cell r="C850" t="str">
            <v xml:space="preserve">    TRAXON             OPI</v>
          </cell>
          <cell r="D850">
            <v>48768</v>
          </cell>
          <cell r="E850">
            <v>125498</v>
          </cell>
        </row>
        <row r="851">
          <cell r="C851" t="str">
            <v xml:space="preserve">    TRIJECT            ESF</v>
          </cell>
          <cell r="D851">
            <v>38647</v>
          </cell>
          <cell r="E851">
            <v>44143</v>
          </cell>
        </row>
        <row r="852">
          <cell r="C852" t="str">
            <v xml:space="preserve">    AXOSIN             IBN</v>
          </cell>
          <cell r="D852">
            <v>38048</v>
          </cell>
          <cell r="E852">
            <v>34969</v>
          </cell>
        </row>
        <row r="853">
          <cell r="C853" t="str">
            <v xml:space="preserve">    DICEPHIN           D-I</v>
          </cell>
          <cell r="D853">
            <v>29649</v>
          </cell>
          <cell r="E853">
            <v>51366</v>
          </cell>
        </row>
        <row r="854">
          <cell r="C854" t="str">
            <v xml:space="preserve">    AXON               ATP</v>
          </cell>
          <cell r="D854">
            <v>18881</v>
          </cell>
          <cell r="E854">
            <v>14334</v>
          </cell>
        </row>
        <row r="855">
          <cell r="C855" t="str">
            <v xml:space="preserve">    TRAXEF             BAC</v>
          </cell>
          <cell r="D855">
            <v>16633</v>
          </cell>
          <cell r="E855">
            <v>34422</v>
          </cell>
        </row>
        <row r="856">
          <cell r="C856" t="str">
            <v xml:space="preserve">    ACIPHIN            A-I</v>
          </cell>
          <cell r="D856">
            <v>10678</v>
          </cell>
          <cell r="E856">
            <v>10485</v>
          </cell>
        </row>
        <row r="857">
          <cell r="C857" t="str">
            <v xml:space="preserve">    IMACEF             GNR</v>
          </cell>
          <cell r="D857">
            <v>9271</v>
          </cell>
          <cell r="E857">
            <v>8956</v>
          </cell>
        </row>
        <row r="858">
          <cell r="C858" t="str">
            <v xml:space="preserve">    TRIPHIN            ZIS</v>
          </cell>
          <cell r="D858">
            <v>9178</v>
          </cell>
          <cell r="E858">
            <v>12319</v>
          </cell>
        </row>
        <row r="859">
          <cell r="C859" t="str">
            <v xml:space="preserve">    ERACEF             PPH</v>
          </cell>
          <cell r="D859">
            <v>7644</v>
          </cell>
          <cell r="E859">
            <v>12450</v>
          </cell>
        </row>
        <row r="860">
          <cell r="C860" t="str">
            <v xml:space="preserve">    WINNER             BP&amp;</v>
          </cell>
          <cell r="D860">
            <v>7378</v>
          </cell>
          <cell r="E860">
            <v>14286</v>
          </cell>
        </row>
        <row r="861">
          <cell r="C861" t="str">
            <v xml:space="preserve">    TOPCEF             N8V</v>
          </cell>
          <cell r="D861">
            <v>6345</v>
          </cell>
          <cell r="E861">
            <v>10089</v>
          </cell>
        </row>
        <row r="862">
          <cell r="C862" t="str">
            <v xml:space="preserve">    NIXON              NJP</v>
          </cell>
          <cell r="D862">
            <v>6029</v>
          </cell>
          <cell r="E862">
            <v>8471</v>
          </cell>
        </row>
        <row r="863">
          <cell r="C863" t="str">
            <v xml:space="preserve">    VERTEX             OR/</v>
          </cell>
          <cell r="D863">
            <v>4831</v>
          </cell>
          <cell r="E863">
            <v>7573</v>
          </cell>
        </row>
        <row r="864">
          <cell r="C864" t="str">
            <v xml:space="preserve">    CEFTRIAID          LDB</v>
          </cell>
          <cell r="D864">
            <v>4758</v>
          </cell>
          <cell r="E864">
            <v>3150</v>
          </cell>
        </row>
        <row r="865">
          <cell r="C865" t="str">
            <v xml:space="preserve">    TRIBAC             GBE</v>
          </cell>
          <cell r="D865">
            <v>1314</v>
          </cell>
          <cell r="E865">
            <v>4476</v>
          </cell>
        </row>
        <row r="866">
          <cell r="C866" t="str">
            <v xml:space="preserve">    ORYX               R7G</v>
          </cell>
          <cell r="D866">
            <v>469</v>
          </cell>
          <cell r="E866">
            <v>298</v>
          </cell>
        </row>
        <row r="867">
          <cell r="C867" t="str">
            <v xml:space="preserve">    KEPTRIX            AX.</v>
          </cell>
          <cell r="D867">
            <v>447</v>
          </cell>
          <cell r="E867">
            <v>266</v>
          </cell>
        </row>
        <row r="868">
          <cell r="C868" t="str">
            <v xml:space="preserve">    MAXZON             ONA</v>
          </cell>
          <cell r="D868">
            <v>385</v>
          </cell>
          <cell r="E868">
            <v>1876</v>
          </cell>
        </row>
        <row r="869">
          <cell r="C869" t="str">
            <v xml:space="preserve">    TRIMAX-IV          P-S</v>
          </cell>
          <cell r="D869">
            <v>176</v>
          </cell>
          <cell r="E869">
            <v>987</v>
          </cell>
        </row>
        <row r="870">
          <cell r="C870" t="str">
            <v xml:space="preserve">    RAKXON             J&amp;H</v>
          </cell>
          <cell r="D870">
            <v>45</v>
          </cell>
          <cell r="E870">
            <v>327</v>
          </cell>
        </row>
        <row r="871">
          <cell r="C871" t="str">
            <v xml:space="preserve">    BAKTICEF           OS9</v>
          </cell>
          <cell r="D871">
            <v>34</v>
          </cell>
          <cell r="E871">
            <v>127</v>
          </cell>
        </row>
        <row r="872">
          <cell r="C872" t="str">
            <v xml:space="preserve">    CEFIXON            T2D</v>
          </cell>
          <cell r="D872">
            <v>0</v>
          </cell>
          <cell r="E872">
            <v>219</v>
          </cell>
        </row>
        <row r="873">
          <cell r="C873" t="str">
            <v xml:space="preserve">    ODATRIX            UNH</v>
          </cell>
          <cell r="D873">
            <v>0</v>
          </cell>
          <cell r="E873">
            <v>0</v>
          </cell>
        </row>
        <row r="874">
          <cell r="C874" t="str">
            <v xml:space="preserve">    PARCEF             JAY</v>
          </cell>
          <cell r="D874">
            <v>0</v>
          </cell>
          <cell r="E874">
            <v>0</v>
          </cell>
        </row>
        <row r="875">
          <cell r="C875" t="str">
            <v xml:space="preserve">    RIT                KMP</v>
          </cell>
          <cell r="D875">
            <v>0</v>
          </cell>
          <cell r="E875">
            <v>0</v>
          </cell>
        </row>
        <row r="876">
          <cell r="C876" t="str">
            <v xml:space="preserve">    TRIMAX-IM          P-S</v>
          </cell>
          <cell r="D876">
            <v>0</v>
          </cell>
          <cell r="E876">
            <v>39</v>
          </cell>
        </row>
        <row r="877">
          <cell r="C877" t="str">
            <v xml:space="preserve">    ORIZONE            PI0</v>
          </cell>
          <cell r="D877">
            <v>0</v>
          </cell>
          <cell r="E877">
            <v>0</v>
          </cell>
        </row>
        <row r="878">
          <cell r="C878" t="str">
            <v xml:space="preserve">    XONE-3             D&amp;B</v>
          </cell>
          <cell r="D878">
            <v>0</v>
          </cell>
          <cell r="E878">
            <v>148</v>
          </cell>
        </row>
        <row r="879">
          <cell r="C879" t="str">
            <v xml:space="preserve">    HOLICEF            CC/</v>
          </cell>
          <cell r="D879">
            <v>0</v>
          </cell>
          <cell r="E879">
            <v>0</v>
          </cell>
        </row>
        <row r="880">
          <cell r="C880" t="str">
            <v xml:space="preserve">    CEFTOBAC           NVK</v>
          </cell>
          <cell r="D880">
            <v>0</v>
          </cell>
          <cell r="E880">
            <v>0</v>
          </cell>
        </row>
        <row r="881">
          <cell r="C881" t="str">
            <v xml:space="preserve">    AMIPHIN            AMD</v>
          </cell>
          <cell r="D881">
            <v>0</v>
          </cell>
          <cell r="E881">
            <v>0</v>
          </cell>
        </row>
        <row r="882">
          <cell r="C882" t="str">
            <v xml:space="preserve">    CEFAZ              A-H</v>
          </cell>
          <cell r="D882">
            <v>0</v>
          </cell>
          <cell r="E882">
            <v>101</v>
          </cell>
        </row>
        <row r="883">
          <cell r="C883" t="str">
            <v xml:space="preserve">    TEMTRIX            TMH</v>
          </cell>
          <cell r="D883">
            <v>0</v>
          </cell>
          <cell r="E883">
            <v>556</v>
          </cell>
        </row>
        <row r="884">
          <cell r="C884" t="str">
            <v xml:space="preserve">   CEFTRIAXONE+LIDOCAINE</v>
          </cell>
          <cell r="D884">
            <v>138456</v>
          </cell>
          <cell r="E884">
            <v>253348</v>
          </cell>
        </row>
        <row r="885">
          <cell r="C885" t="str">
            <v xml:space="preserve">    TRIZON             ACM</v>
          </cell>
          <cell r="D885">
            <v>81540</v>
          </cell>
          <cell r="E885">
            <v>84903</v>
          </cell>
        </row>
        <row r="886">
          <cell r="C886" t="str">
            <v xml:space="preserve">    DICEPHIN           D-I</v>
          </cell>
          <cell r="D886">
            <v>34552</v>
          </cell>
          <cell r="E886">
            <v>56953</v>
          </cell>
        </row>
        <row r="887">
          <cell r="C887" t="str">
            <v xml:space="preserve">    ACIPHIN            A-I</v>
          </cell>
          <cell r="D887">
            <v>11958</v>
          </cell>
          <cell r="E887">
            <v>102866</v>
          </cell>
        </row>
        <row r="888">
          <cell r="C888" t="str">
            <v xml:space="preserve">    CEFTIZONE          RTA</v>
          </cell>
          <cell r="D888">
            <v>10405</v>
          </cell>
          <cell r="E888">
            <v>8626</v>
          </cell>
        </row>
        <row r="889">
          <cell r="C889" t="str">
            <v xml:space="preserve">    ROCEPHIN           ROC</v>
          </cell>
          <cell r="D889">
            <v>0</v>
          </cell>
          <cell r="E889">
            <v>0</v>
          </cell>
        </row>
        <row r="890">
          <cell r="C890" t="str">
            <v xml:space="preserve">   CEFTAZIDIME</v>
          </cell>
          <cell r="D890">
            <v>59814</v>
          </cell>
          <cell r="E890">
            <v>78449</v>
          </cell>
        </row>
        <row r="891">
          <cell r="C891" t="str">
            <v xml:space="preserve">    TAZID              SQA</v>
          </cell>
          <cell r="D891">
            <v>42140</v>
          </cell>
          <cell r="E891">
            <v>56660</v>
          </cell>
        </row>
        <row r="892">
          <cell r="C892" t="str">
            <v xml:space="preserve">    CEFAZID            RTA</v>
          </cell>
          <cell r="D892">
            <v>7638</v>
          </cell>
          <cell r="E892">
            <v>10487</v>
          </cell>
        </row>
        <row r="893">
          <cell r="C893" t="str">
            <v xml:space="preserve">    SEROZID            OPI</v>
          </cell>
          <cell r="D893">
            <v>3018</v>
          </cell>
          <cell r="E893">
            <v>2623</v>
          </cell>
        </row>
        <row r="894">
          <cell r="C894" t="str">
            <v xml:space="preserve">    TRIZIDIM           ACM</v>
          </cell>
          <cell r="D894">
            <v>2875</v>
          </cell>
          <cell r="E894">
            <v>1578</v>
          </cell>
        </row>
        <row r="895">
          <cell r="C895" t="str">
            <v xml:space="preserve">    TRUM 3             D-I</v>
          </cell>
          <cell r="D895">
            <v>2399</v>
          </cell>
          <cell r="E895">
            <v>4255</v>
          </cell>
        </row>
        <row r="896">
          <cell r="C896" t="str">
            <v xml:space="preserve">    ZITUM              A-I</v>
          </cell>
          <cell r="D896">
            <v>951</v>
          </cell>
          <cell r="E896">
            <v>1606</v>
          </cell>
        </row>
        <row r="897">
          <cell r="C897" t="str">
            <v xml:space="preserve">    ZIDIM              OR/</v>
          </cell>
          <cell r="D897">
            <v>594</v>
          </cell>
          <cell r="E897">
            <v>418</v>
          </cell>
        </row>
        <row r="898">
          <cell r="C898" t="str">
            <v xml:space="preserve">    TAZIMAX            ESF</v>
          </cell>
          <cell r="D898">
            <v>159</v>
          </cell>
          <cell r="E898">
            <v>185</v>
          </cell>
        </row>
        <row r="899">
          <cell r="C899" t="str">
            <v xml:space="preserve">    CEFTAZIM           ATP</v>
          </cell>
          <cell r="D899">
            <v>24</v>
          </cell>
          <cell r="E899">
            <v>501</v>
          </cell>
        </row>
        <row r="900">
          <cell r="C900" t="str">
            <v xml:space="preserve">    ZIDIMAX            BP&amp;</v>
          </cell>
          <cell r="D900">
            <v>17</v>
          </cell>
          <cell r="E900">
            <v>16</v>
          </cell>
        </row>
        <row r="901">
          <cell r="C901" t="str">
            <v xml:space="preserve">    MAXBAC             R7G</v>
          </cell>
          <cell r="D901">
            <v>0</v>
          </cell>
          <cell r="E901">
            <v>0</v>
          </cell>
        </row>
        <row r="902">
          <cell r="C902" t="str">
            <v xml:space="preserve">    TIZIME             GBE</v>
          </cell>
          <cell r="D902">
            <v>0</v>
          </cell>
          <cell r="E902">
            <v>0</v>
          </cell>
        </row>
        <row r="903">
          <cell r="C903" t="str">
            <v xml:space="preserve">    ZIDICEF            PPH</v>
          </cell>
          <cell r="D903">
            <v>0</v>
          </cell>
          <cell r="E903">
            <v>0</v>
          </cell>
        </row>
        <row r="904">
          <cell r="C904" t="str">
            <v xml:space="preserve">    MAXIDIM            BXM</v>
          </cell>
          <cell r="D904">
            <v>0</v>
          </cell>
          <cell r="E904">
            <v>1</v>
          </cell>
        </row>
        <row r="905">
          <cell r="C905" t="str">
            <v xml:space="preserve">    CEFZON             N8V</v>
          </cell>
          <cell r="D905">
            <v>0</v>
          </cell>
          <cell r="E905">
            <v>0</v>
          </cell>
        </row>
        <row r="906">
          <cell r="C906" t="str">
            <v xml:space="preserve">    TAZIAID            LDB</v>
          </cell>
          <cell r="D906">
            <v>0</v>
          </cell>
          <cell r="E906">
            <v>0</v>
          </cell>
        </row>
        <row r="907">
          <cell r="C907" t="str">
            <v xml:space="preserve">    COZID              BAC</v>
          </cell>
          <cell r="D907">
            <v>0</v>
          </cell>
          <cell r="E907">
            <v>119</v>
          </cell>
        </row>
        <row r="908">
          <cell r="C908" t="str">
            <v xml:space="preserve">   CEFEPIME</v>
          </cell>
          <cell r="D908">
            <v>44722</v>
          </cell>
          <cell r="E908">
            <v>35426</v>
          </cell>
        </row>
        <row r="909">
          <cell r="C909" t="str">
            <v xml:space="preserve">    ULTRAPIME          IAP</v>
          </cell>
          <cell r="D909">
            <v>19712</v>
          </cell>
          <cell r="E909">
            <v>7530</v>
          </cell>
        </row>
        <row r="910">
          <cell r="C910" t="str">
            <v xml:space="preserve">    UNIPIM             D-I</v>
          </cell>
          <cell r="D910">
            <v>5045</v>
          </cell>
          <cell r="E910">
            <v>4863</v>
          </cell>
        </row>
        <row r="911">
          <cell r="C911" t="str">
            <v xml:space="preserve">    CEFTIPIME          RTA</v>
          </cell>
          <cell r="D911">
            <v>4946</v>
          </cell>
          <cell r="E911">
            <v>7944</v>
          </cell>
        </row>
        <row r="912">
          <cell r="C912" t="str">
            <v xml:space="preserve">    ZOPIME             HT3</v>
          </cell>
          <cell r="D912">
            <v>3977</v>
          </cell>
          <cell r="E912">
            <v>6874</v>
          </cell>
        </row>
        <row r="913">
          <cell r="C913" t="str">
            <v xml:space="preserve">    SUPERPIME          ACM</v>
          </cell>
          <cell r="D913">
            <v>3796</v>
          </cell>
          <cell r="E913">
            <v>802</v>
          </cell>
        </row>
        <row r="914">
          <cell r="C914" t="str">
            <v xml:space="preserve">    MAXPIME            SQA</v>
          </cell>
          <cell r="D914">
            <v>2346</v>
          </cell>
          <cell r="E914">
            <v>3606</v>
          </cell>
        </row>
        <row r="915">
          <cell r="C915" t="str">
            <v xml:space="preserve">    XENIM              OPI</v>
          </cell>
          <cell r="D915">
            <v>2297</v>
          </cell>
          <cell r="E915">
            <v>1777</v>
          </cell>
        </row>
        <row r="916">
          <cell r="C916" t="str">
            <v xml:space="preserve">    FORGEN             ATP</v>
          </cell>
          <cell r="D916">
            <v>694</v>
          </cell>
          <cell r="E916">
            <v>100</v>
          </cell>
        </row>
        <row r="917">
          <cell r="C917" t="str">
            <v xml:space="preserve">    GEN4               IBN</v>
          </cell>
          <cell r="D917">
            <v>642</v>
          </cell>
          <cell r="E917">
            <v>871</v>
          </cell>
        </row>
        <row r="918">
          <cell r="C918" t="str">
            <v xml:space="preserve">    XIMEPIME           GBE</v>
          </cell>
          <cell r="D918">
            <v>640</v>
          </cell>
          <cell r="E918">
            <v>507</v>
          </cell>
        </row>
        <row r="919">
          <cell r="C919" t="str">
            <v xml:space="preserve">    PIME-4             A-I</v>
          </cell>
          <cell r="D919">
            <v>618</v>
          </cell>
          <cell r="E919">
            <v>423</v>
          </cell>
        </row>
        <row r="920">
          <cell r="C920" t="str">
            <v xml:space="preserve">    TETRACEF           BXM</v>
          </cell>
          <cell r="D920">
            <v>9</v>
          </cell>
          <cell r="E920">
            <v>0</v>
          </cell>
        </row>
        <row r="921">
          <cell r="C921" t="str">
            <v xml:space="preserve">    CEFA-4             PPH</v>
          </cell>
          <cell r="D921">
            <v>0</v>
          </cell>
          <cell r="E921">
            <v>111</v>
          </cell>
        </row>
        <row r="922">
          <cell r="C922" t="str">
            <v xml:space="preserve">    EFEPIME            ZIS</v>
          </cell>
          <cell r="D922">
            <v>0</v>
          </cell>
          <cell r="E922">
            <v>18</v>
          </cell>
        </row>
        <row r="923">
          <cell r="C923" t="str">
            <v xml:space="preserve">    MAGNOVA            OR/</v>
          </cell>
          <cell r="D923">
            <v>0</v>
          </cell>
          <cell r="E923">
            <v>0</v>
          </cell>
        </row>
        <row r="924">
          <cell r="C924" t="str">
            <v xml:space="preserve">   CEFUROXIME</v>
          </cell>
          <cell r="D924">
            <v>43669</v>
          </cell>
          <cell r="E924">
            <v>48360</v>
          </cell>
        </row>
        <row r="925">
          <cell r="C925" t="str">
            <v xml:space="preserve">    CEFOTIL            SQA</v>
          </cell>
          <cell r="D925">
            <v>15287</v>
          </cell>
          <cell r="E925">
            <v>12642</v>
          </cell>
        </row>
        <row r="926">
          <cell r="C926" t="str">
            <v xml:space="preserve">    FUROCEF            RTA</v>
          </cell>
          <cell r="D926">
            <v>15191</v>
          </cell>
          <cell r="E926">
            <v>17222</v>
          </cell>
        </row>
        <row r="927">
          <cell r="C927" t="str">
            <v xml:space="preserve">    KILBAC             IAP</v>
          </cell>
          <cell r="D927">
            <v>7358</v>
          </cell>
          <cell r="E927">
            <v>8266</v>
          </cell>
        </row>
        <row r="928">
          <cell r="C928" t="str">
            <v xml:space="preserve">    ROFUROX            RD7</v>
          </cell>
          <cell r="D928">
            <v>1721</v>
          </cell>
          <cell r="E928">
            <v>1526</v>
          </cell>
        </row>
        <row r="929">
          <cell r="C929" t="str">
            <v xml:space="preserve">    KILMAX             ESF</v>
          </cell>
          <cell r="D929">
            <v>1251</v>
          </cell>
          <cell r="E929">
            <v>606</v>
          </cell>
        </row>
        <row r="930">
          <cell r="C930" t="str">
            <v xml:space="preserve">    AXIM               ATP</v>
          </cell>
          <cell r="D930">
            <v>902</v>
          </cell>
          <cell r="E930">
            <v>899</v>
          </cell>
        </row>
        <row r="931">
          <cell r="C931" t="str">
            <v xml:space="preserve">    SEFUR              OPI</v>
          </cell>
          <cell r="D931">
            <v>851</v>
          </cell>
          <cell r="E931">
            <v>1992</v>
          </cell>
        </row>
        <row r="932">
          <cell r="C932" t="str">
            <v xml:space="preserve">    FUREX              D-I</v>
          </cell>
          <cell r="D932">
            <v>632</v>
          </cell>
          <cell r="E932">
            <v>2559</v>
          </cell>
        </row>
        <row r="933">
          <cell r="C933" t="str">
            <v xml:space="preserve">    TURBOCEF           BXM</v>
          </cell>
          <cell r="D933">
            <v>282</v>
          </cell>
          <cell r="E933">
            <v>990</v>
          </cell>
        </row>
        <row r="934">
          <cell r="C934" t="str">
            <v xml:space="preserve">    FIXCEF             N8V</v>
          </cell>
          <cell r="D934">
            <v>164</v>
          </cell>
          <cell r="E934">
            <v>399</v>
          </cell>
        </row>
        <row r="935">
          <cell r="C935" t="str">
            <v xml:space="preserve">    CEFOBAC            PPH</v>
          </cell>
          <cell r="D935">
            <v>12</v>
          </cell>
          <cell r="E935">
            <v>39</v>
          </cell>
        </row>
        <row r="936">
          <cell r="C936" t="str">
            <v xml:space="preserve">    CEROX-A            A-I</v>
          </cell>
          <cell r="D936">
            <v>9</v>
          </cell>
          <cell r="E936">
            <v>735</v>
          </cell>
        </row>
        <row r="937">
          <cell r="C937" t="str">
            <v xml:space="preserve">    MEROCEF            IBN</v>
          </cell>
          <cell r="D937">
            <v>9</v>
          </cell>
          <cell r="E937">
            <v>13</v>
          </cell>
        </row>
        <row r="938">
          <cell r="C938" t="str">
            <v xml:space="preserve">    AXET               OR/</v>
          </cell>
          <cell r="D938">
            <v>0</v>
          </cell>
          <cell r="E938">
            <v>19</v>
          </cell>
        </row>
        <row r="939">
          <cell r="C939" t="str">
            <v xml:space="preserve">    FAMICEF            ACM</v>
          </cell>
          <cell r="D939">
            <v>0</v>
          </cell>
          <cell r="E939">
            <v>171</v>
          </cell>
        </row>
        <row r="940">
          <cell r="C940" t="str">
            <v xml:space="preserve">    MEXTIL             BP&amp;</v>
          </cell>
          <cell r="D940">
            <v>0</v>
          </cell>
          <cell r="E940">
            <v>84</v>
          </cell>
        </row>
        <row r="941">
          <cell r="C941" t="str">
            <v xml:space="preserve">    ZINACEF            GSK</v>
          </cell>
          <cell r="D941">
            <v>0</v>
          </cell>
          <cell r="E941">
            <v>10</v>
          </cell>
        </row>
        <row r="942">
          <cell r="C942" t="str">
            <v xml:space="preserve">    FUXTIL             P-S</v>
          </cell>
          <cell r="D942">
            <v>0</v>
          </cell>
          <cell r="E942">
            <v>186</v>
          </cell>
        </row>
        <row r="943">
          <cell r="C943" t="str">
            <v xml:space="preserve">   CEFUROXIME AXETIL</v>
          </cell>
          <cell r="D943">
            <v>31160</v>
          </cell>
          <cell r="E943">
            <v>31559</v>
          </cell>
        </row>
        <row r="944">
          <cell r="C944" t="str">
            <v xml:space="preserve">    FUROTIL            HT3</v>
          </cell>
          <cell r="D944">
            <v>29773</v>
          </cell>
          <cell r="E944">
            <v>27705</v>
          </cell>
        </row>
        <row r="945">
          <cell r="C945" t="str">
            <v xml:space="preserve">    CEROX-A            A-I</v>
          </cell>
          <cell r="D945">
            <v>1260</v>
          </cell>
          <cell r="E945">
            <v>3693</v>
          </cell>
        </row>
        <row r="946">
          <cell r="C946" t="str">
            <v xml:space="preserve">    ZEROTIL            BAC</v>
          </cell>
          <cell r="D946">
            <v>127</v>
          </cell>
          <cell r="E946">
            <v>140</v>
          </cell>
        </row>
        <row r="947">
          <cell r="C947" t="str">
            <v xml:space="preserve">    XIMETIL            GBE</v>
          </cell>
          <cell r="D947">
            <v>0</v>
          </cell>
          <cell r="E947">
            <v>21</v>
          </cell>
        </row>
        <row r="948">
          <cell r="C948" t="str">
            <v xml:space="preserve">    ROXILAB            LDB</v>
          </cell>
          <cell r="D948">
            <v>0</v>
          </cell>
          <cell r="E948">
            <v>0</v>
          </cell>
        </row>
        <row r="949">
          <cell r="C949" t="str">
            <v xml:space="preserve">   CEFOPERAZONE</v>
          </cell>
          <cell r="D949">
            <v>11232</v>
          </cell>
          <cell r="E949">
            <v>15742</v>
          </cell>
        </row>
        <row r="950">
          <cell r="C950" t="str">
            <v xml:space="preserve">    CEFOPAR            OPI</v>
          </cell>
          <cell r="D950">
            <v>9929</v>
          </cell>
          <cell r="E950">
            <v>10704</v>
          </cell>
        </row>
        <row r="951">
          <cell r="C951" t="str">
            <v xml:space="preserve">    CEFOPEN            SQA</v>
          </cell>
          <cell r="D951">
            <v>1118</v>
          </cell>
          <cell r="E951">
            <v>4657</v>
          </cell>
        </row>
        <row r="952">
          <cell r="C952" t="str">
            <v xml:space="preserve">    CEFAZONE           IAP</v>
          </cell>
          <cell r="D952">
            <v>185</v>
          </cell>
          <cell r="E952">
            <v>12</v>
          </cell>
        </row>
        <row r="953">
          <cell r="C953" t="str">
            <v xml:space="preserve">    CEFAKING           D-I</v>
          </cell>
          <cell r="D953">
            <v>0</v>
          </cell>
          <cell r="E953">
            <v>370</v>
          </cell>
        </row>
        <row r="954">
          <cell r="C954" t="str">
            <v xml:space="preserve">   CEFOTAXIME</v>
          </cell>
          <cell r="D954">
            <v>10878</v>
          </cell>
          <cell r="E954">
            <v>11251</v>
          </cell>
        </row>
        <row r="955">
          <cell r="C955" t="str">
            <v xml:space="preserve">    MAXCEF             SQA</v>
          </cell>
          <cell r="D955">
            <v>4570</v>
          </cell>
          <cell r="E955">
            <v>5330</v>
          </cell>
        </row>
        <row r="956">
          <cell r="C956" t="str">
            <v xml:space="preserve">    CEFOTIME           IAP</v>
          </cell>
          <cell r="D956">
            <v>2972</v>
          </cell>
          <cell r="E956">
            <v>1252</v>
          </cell>
        </row>
        <row r="957">
          <cell r="C957" t="str">
            <v xml:space="preserve">    CEFOTAX            RTA</v>
          </cell>
          <cell r="D957">
            <v>1910</v>
          </cell>
          <cell r="E957">
            <v>3278</v>
          </cell>
        </row>
        <row r="958">
          <cell r="C958" t="str">
            <v xml:space="preserve">    CEFTAX             OPI</v>
          </cell>
          <cell r="D958">
            <v>1337</v>
          </cell>
          <cell r="E958">
            <v>1368</v>
          </cell>
        </row>
        <row r="959">
          <cell r="C959" t="str">
            <v xml:space="preserve">    TORPED             OR/</v>
          </cell>
          <cell r="D959">
            <v>89</v>
          </cell>
          <cell r="E959">
            <v>9</v>
          </cell>
        </row>
        <row r="960">
          <cell r="C960" t="str">
            <v xml:space="preserve">    CEFOT              A-I</v>
          </cell>
          <cell r="D960">
            <v>0</v>
          </cell>
          <cell r="E960">
            <v>14</v>
          </cell>
        </row>
        <row r="961">
          <cell r="C961" t="str">
            <v xml:space="preserve">    CETAXIM            GBE</v>
          </cell>
          <cell r="D961">
            <v>0</v>
          </cell>
          <cell r="E961">
            <v>0</v>
          </cell>
        </row>
        <row r="962">
          <cell r="C962" t="str">
            <v xml:space="preserve">    TAXCEPH            IBN</v>
          </cell>
          <cell r="D962">
            <v>0</v>
          </cell>
          <cell r="E962">
            <v>0</v>
          </cell>
        </row>
        <row r="963">
          <cell r="C963" t="str">
            <v xml:space="preserve">   CEFRADINE</v>
          </cell>
          <cell r="D963">
            <v>757</v>
          </cell>
          <cell r="E963">
            <v>1665</v>
          </cell>
        </row>
        <row r="964">
          <cell r="C964" t="str">
            <v xml:space="preserve">    DICEF              D-I</v>
          </cell>
          <cell r="D964">
            <v>213</v>
          </cell>
          <cell r="E964">
            <v>358</v>
          </cell>
        </row>
        <row r="965">
          <cell r="C965" t="str">
            <v xml:space="preserve">    LEBAC              SQA</v>
          </cell>
          <cell r="D965">
            <v>144</v>
          </cell>
          <cell r="E965">
            <v>606</v>
          </cell>
        </row>
        <row r="966">
          <cell r="C966" t="str">
            <v xml:space="preserve">    INTRACEF           BXM</v>
          </cell>
          <cell r="D966">
            <v>128</v>
          </cell>
          <cell r="E966">
            <v>86</v>
          </cell>
        </row>
        <row r="967">
          <cell r="C967" t="str">
            <v xml:space="preserve">    SINACEPH           IBN</v>
          </cell>
          <cell r="D967">
            <v>94</v>
          </cell>
          <cell r="E967">
            <v>41</v>
          </cell>
        </row>
        <row r="968">
          <cell r="C968" t="str">
            <v xml:space="preserve">    POLYCEF            RTA</v>
          </cell>
          <cell r="D968">
            <v>67</v>
          </cell>
          <cell r="E968">
            <v>73</v>
          </cell>
        </row>
        <row r="969">
          <cell r="C969" t="str">
            <v xml:space="preserve">    SEFRAD             S.Y</v>
          </cell>
          <cell r="D969">
            <v>38</v>
          </cell>
          <cell r="E969">
            <v>181</v>
          </cell>
        </row>
        <row r="970">
          <cell r="C970" t="str">
            <v xml:space="preserve">    SK CEF             ESF</v>
          </cell>
          <cell r="D970">
            <v>35</v>
          </cell>
          <cell r="E970">
            <v>111</v>
          </cell>
        </row>
        <row r="971">
          <cell r="C971" t="str">
            <v xml:space="preserve">    CEPHRAN            OPI</v>
          </cell>
          <cell r="D971">
            <v>20</v>
          </cell>
          <cell r="E971">
            <v>37</v>
          </cell>
        </row>
        <row r="972">
          <cell r="C972" t="str">
            <v xml:space="preserve">    ROXICEF            PPH</v>
          </cell>
          <cell r="D972">
            <v>16</v>
          </cell>
          <cell r="E972">
            <v>0</v>
          </cell>
        </row>
        <row r="973">
          <cell r="C973" t="str">
            <v xml:space="preserve">    EXTRACEF           ATP</v>
          </cell>
          <cell r="D973">
            <v>3</v>
          </cell>
          <cell r="E973">
            <v>0</v>
          </cell>
        </row>
        <row r="974">
          <cell r="C974" t="str">
            <v xml:space="preserve">    AVLOSEF            A-I</v>
          </cell>
          <cell r="D974">
            <v>0</v>
          </cell>
          <cell r="E974">
            <v>12</v>
          </cell>
        </row>
        <row r="975">
          <cell r="C975" t="str">
            <v xml:space="preserve">    CEFADIN            ZIS</v>
          </cell>
          <cell r="D975">
            <v>0</v>
          </cell>
          <cell r="E975">
            <v>0</v>
          </cell>
        </row>
        <row r="976">
          <cell r="C976" t="str">
            <v xml:space="preserve">    LINDEX             R7G</v>
          </cell>
          <cell r="D976">
            <v>0</v>
          </cell>
          <cell r="E976">
            <v>0</v>
          </cell>
        </row>
        <row r="977">
          <cell r="C977" t="str">
            <v xml:space="preserve">    PROCEF             IAP</v>
          </cell>
          <cell r="D977">
            <v>0</v>
          </cell>
          <cell r="E977">
            <v>29</v>
          </cell>
        </row>
        <row r="978">
          <cell r="C978" t="str">
            <v xml:space="preserve">    SEFIN              OR/</v>
          </cell>
          <cell r="D978">
            <v>0</v>
          </cell>
          <cell r="E978">
            <v>0</v>
          </cell>
        </row>
        <row r="979">
          <cell r="C979" t="str">
            <v xml:space="preserve">    SEFRIL             ACM</v>
          </cell>
          <cell r="D979">
            <v>0</v>
          </cell>
          <cell r="E979">
            <v>131</v>
          </cell>
        </row>
        <row r="980">
          <cell r="C980" t="str">
            <v xml:space="preserve">   CEFAZOLIN</v>
          </cell>
          <cell r="D980">
            <v>163</v>
          </cell>
          <cell r="E980">
            <v>316</v>
          </cell>
        </row>
        <row r="981">
          <cell r="C981" t="str">
            <v xml:space="preserve">    ZOLIBAC            SQA</v>
          </cell>
          <cell r="D981">
            <v>163</v>
          </cell>
          <cell r="E981">
            <v>272</v>
          </cell>
        </row>
        <row r="982">
          <cell r="C982" t="str">
            <v xml:space="preserve">    CEFAZOL            IAP</v>
          </cell>
          <cell r="D982">
            <v>0</v>
          </cell>
          <cell r="E982">
            <v>45</v>
          </cell>
        </row>
        <row r="983">
          <cell r="C983" t="str">
            <v xml:space="preserve">   AVIBACTAM+CEFTAZIDIME</v>
          </cell>
          <cell r="D983">
            <v>0</v>
          </cell>
          <cell r="E983">
            <v>293</v>
          </cell>
        </row>
        <row r="984">
          <cell r="C984" t="str">
            <v xml:space="preserve">    ZAVICEF            ATP</v>
          </cell>
          <cell r="D984">
            <v>0</v>
          </cell>
          <cell r="E984">
            <v>293</v>
          </cell>
        </row>
        <row r="985">
          <cell r="C985" t="str">
            <v xml:space="preserve"> CALCIUM</v>
          </cell>
          <cell r="D985">
            <v>13358360</v>
          </cell>
          <cell r="E985">
            <v>11651618</v>
          </cell>
        </row>
        <row r="986">
          <cell r="C986" t="str">
            <v xml:space="preserve">  CALCIUM</v>
          </cell>
          <cell r="D986">
            <v>13358360</v>
          </cell>
          <cell r="E986">
            <v>11651618</v>
          </cell>
        </row>
        <row r="987">
          <cell r="C987" t="str">
            <v xml:space="preserve">   CALCIUM+COLECALCIFEROL</v>
          </cell>
          <cell r="D987">
            <v>11828411</v>
          </cell>
          <cell r="E987">
            <v>10326846</v>
          </cell>
        </row>
        <row r="988">
          <cell r="C988" t="str">
            <v xml:space="preserve">    CORALCAL-DX        RD7</v>
          </cell>
          <cell r="D988">
            <v>1379932</v>
          </cell>
          <cell r="E988">
            <v>1259331</v>
          </cell>
        </row>
        <row r="989">
          <cell r="C989" t="str">
            <v xml:space="preserve">    CORALCAL-D         RD7</v>
          </cell>
          <cell r="D989">
            <v>1252260</v>
          </cell>
          <cell r="E989">
            <v>1232864</v>
          </cell>
        </row>
        <row r="990">
          <cell r="C990" t="str">
            <v xml:space="preserve">    CALBORAL DX        SQA</v>
          </cell>
          <cell r="D990">
            <v>666990</v>
          </cell>
          <cell r="E990">
            <v>504284</v>
          </cell>
        </row>
        <row r="991">
          <cell r="C991" t="str">
            <v xml:space="preserve">    REEF D             HT3</v>
          </cell>
          <cell r="D991">
            <v>620369</v>
          </cell>
          <cell r="E991">
            <v>453409</v>
          </cell>
        </row>
        <row r="992">
          <cell r="C992" t="str">
            <v xml:space="preserve">    KALCORAL           PPH</v>
          </cell>
          <cell r="D992">
            <v>565347</v>
          </cell>
          <cell r="E992">
            <v>451831</v>
          </cell>
        </row>
        <row r="993">
          <cell r="C993" t="str">
            <v xml:space="preserve">    CALBO-D            SQA</v>
          </cell>
          <cell r="D993">
            <v>497616</v>
          </cell>
          <cell r="E993">
            <v>462103</v>
          </cell>
        </row>
        <row r="994">
          <cell r="C994" t="str">
            <v xml:space="preserve">    OSTOCAL GX         ESF</v>
          </cell>
          <cell r="D994">
            <v>425638</v>
          </cell>
          <cell r="E994">
            <v>265911</v>
          </cell>
        </row>
        <row r="995">
          <cell r="C995" t="str">
            <v xml:space="preserve">    OVOCAL             BAC</v>
          </cell>
          <cell r="D995">
            <v>425624</v>
          </cell>
          <cell r="E995">
            <v>480098</v>
          </cell>
        </row>
        <row r="996">
          <cell r="C996" t="str">
            <v xml:space="preserve">    CALBORAL-D         SQA</v>
          </cell>
          <cell r="D996">
            <v>379011</v>
          </cell>
          <cell r="E996">
            <v>317145</v>
          </cell>
        </row>
        <row r="997">
          <cell r="C997" t="str">
            <v xml:space="preserve">    ROCAL-D            HT3</v>
          </cell>
          <cell r="D997">
            <v>315937</v>
          </cell>
          <cell r="E997">
            <v>321383</v>
          </cell>
        </row>
        <row r="998">
          <cell r="C998" t="str">
            <v xml:space="preserve">    MARINCAL-DX        IAP</v>
          </cell>
          <cell r="D998">
            <v>291938</v>
          </cell>
          <cell r="E998">
            <v>278077</v>
          </cell>
        </row>
        <row r="999">
          <cell r="C999" t="str">
            <v xml:space="preserve">    CORALEX            ACM</v>
          </cell>
          <cell r="D999">
            <v>276251</v>
          </cell>
          <cell r="E999">
            <v>205738</v>
          </cell>
        </row>
        <row r="1000">
          <cell r="C1000" t="str">
            <v xml:space="preserve">    MARINCAL-D         IAP</v>
          </cell>
          <cell r="D1000">
            <v>262745</v>
          </cell>
          <cell r="E1000">
            <v>240610</v>
          </cell>
        </row>
        <row r="1001">
          <cell r="C1001" t="str">
            <v xml:space="preserve">    CORA-DX            A-I</v>
          </cell>
          <cell r="D1001">
            <v>223626</v>
          </cell>
          <cell r="E1001">
            <v>184536</v>
          </cell>
        </row>
        <row r="1002">
          <cell r="C1002" t="str">
            <v xml:space="preserve">    OSTOCAL G          ESF</v>
          </cell>
          <cell r="D1002">
            <v>220873</v>
          </cell>
          <cell r="E1002">
            <v>139988</v>
          </cell>
        </row>
        <row r="1003">
          <cell r="C1003" t="str">
            <v xml:space="preserve">    BECORAL-DX         BXM</v>
          </cell>
          <cell r="D1003">
            <v>212710</v>
          </cell>
          <cell r="E1003">
            <v>174611</v>
          </cell>
        </row>
        <row r="1004">
          <cell r="C1004" t="str">
            <v xml:space="preserve">    BECORAL            BXM</v>
          </cell>
          <cell r="D1004">
            <v>204203</v>
          </cell>
          <cell r="E1004">
            <v>156726</v>
          </cell>
        </row>
        <row r="1005">
          <cell r="C1005" t="str">
            <v xml:space="preserve">    FOSSICAL-D         ATP</v>
          </cell>
          <cell r="D1005">
            <v>200460</v>
          </cell>
          <cell r="E1005">
            <v>171096</v>
          </cell>
        </row>
        <row r="1006">
          <cell r="C1006" t="str">
            <v xml:space="preserve">    BIOCAL-DX          A-I</v>
          </cell>
          <cell r="D1006">
            <v>188249</v>
          </cell>
          <cell r="E1006">
            <v>190834</v>
          </cell>
        </row>
        <row r="1007">
          <cell r="C1007" t="str">
            <v xml:space="preserve">    OSTOCAL-D          ESF</v>
          </cell>
          <cell r="D1007">
            <v>178558</v>
          </cell>
          <cell r="E1007">
            <v>217067</v>
          </cell>
        </row>
        <row r="1008">
          <cell r="C1008" t="str">
            <v xml:space="preserve">    CORALCIN-DX        RTA</v>
          </cell>
          <cell r="D1008">
            <v>171824</v>
          </cell>
          <cell r="E1008">
            <v>135938</v>
          </cell>
        </row>
        <row r="1009">
          <cell r="C1009" t="str">
            <v xml:space="preserve">    FOSSICAL-DX        ATP</v>
          </cell>
          <cell r="D1009">
            <v>162927</v>
          </cell>
          <cell r="E1009">
            <v>143086</v>
          </cell>
        </row>
        <row r="1010">
          <cell r="C1010" t="str">
            <v xml:space="preserve">    ALGECAL DX         OPI</v>
          </cell>
          <cell r="D1010">
            <v>161593</v>
          </cell>
          <cell r="E1010">
            <v>140492</v>
          </cell>
        </row>
        <row r="1011">
          <cell r="C1011" t="str">
            <v xml:space="preserve">    CORALCIN-D         RTA</v>
          </cell>
          <cell r="D1011">
            <v>117691</v>
          </cell>
          <cell r="E1011">
            <v>99546</v>
          </cell>
        </row>
        <row r="1012">
          <cell r="C1012" t="str">
            <v xml:space="preserve">    SEACAL DX          D-I</v>
          </cell>
          <cell r="D1012">
            <v>112749</v>
          </cell>
          <cell r="E1012">
            <v>82277</v>
          </cell>
        </row>
        <row r="1013">
          <cell r="C1013" t="str">
            <v xml:space="preserve">    MAACAL             PPH</v>
          </cell>
          <cell r="D1013">
            <v>101293</v>
          </cell>
          <cell r="E1013">
            <v>47960</v>
          </cell>
        </row>
        <row r="1014">
          <cell r="C1014" t="str">
            <v xml:space="preserve">    CORA-D             A-I</v>
          </cell>
          <cell r="D1014">
            <v>97560</v>
          </cell>
          <cell r="E1014">
            <v>94569</v>
          </cell>
        </row>
        <row r="1015">
          <cell r="C1015" t="str">
            <v xml:space="preserve">    ACICAL-D           A-I</v>
          </cell>
          <cell r="D1015">
            <v>92725</v>
          </cell>
          <cell r="E1015">
            <v>76371</v>
          </cell>
        </row>
        <row r="1016">
          <cell r="C1016" t="str">
            <v xml:space="preserve">    OKICAL DX          UNH</v>
          </cell>
          <cell r="D1016">
            <v>89329</v>
          </cell>
          <cell r="E1016">
            <v>86287</v>
          </cell>
        </row>
        <row r="1017">
          <cell r="C1017" t="str">
            <v xml:space="preserve">    KINDICAL-DX        N8V</v>
          </cell>
          <cell r="D1017">
            <v>87800</v>
          </cell>
          <cell r="E1017">
            <v>88695</v>
          </cell>
        </row>
        <row r="1018">
          <cell r="C1018" t="str">
            <v xml:space="preserve">    BIOCAL-D           A-I</v>
          </cell>
          <cell r="D1018">
            <v>84121</v>
          </cell>
          <cell r="E1018">
            <v>94793</v>
          </cell>
        </row>
        <row r="1019">
          <cell r="C1019" t="str">
            <v xml:space="preserve">    PHYTOCAL           ESF</v>
          </cell>
          <cell r="D1019">
            <v>80652</v>
          </cell>
          <cell r="E1019">
            <v>32949</v>
          </cell>
        </row>
        <row r="1020">
          <cell r="C1020" t="str">
            <v xml:space="preserve">    CORALCAL VITA      RD7</v>
          </cell>
          <cell r="D1020">
            <v>71645</v>
          </cell>
          <cell r="E1020">
            <v>23212</v>
          </cell>
        </row>
        <row r="1021">
          <cell r="C1021" t="str">
            <v xml:space="preserve">    REEFCAL-DX         ZIS</v>
          </cell>
          <cell r="D1021">
            <v>71041</v>
          </cell>
          <cell r="E1021">
            <v>69739</v>
          </cell>
        </row>
        <row r="1022">
          <cell r="C1022" t="str">
            <v xml:space="preserve">    OSTOCAL DX         ESF</v>
          </cell>
          <cell r="D1022">
            <v>66646</v>
          </cell>
          <cell r="E1022">
            <v>80168</v>
          </cell>
        </row>
        <row r="1023">
          <cell r="C1023" t="str">
            <v xml:space="preserve">    KINDICAL-D         N8V</v>
          </cell>
          <cell r="D1023">
            <v>64961</v>
          </cell>
          <cell r="E1023">
            <v>72052</v>
          </cell>
        </row>
        <row r="1024">
          <cell r="C1024" t="str">
            <v xml:space="preserve">    ARISTOCAL-D        BXM</v>
          </cell>
          <cell r="D1024">
            <v>59960</v>
          </cell>
          <cell r="E1024">
            <v>40035</v>
          </cell>
        </row>
        <row r="1025">
          <cell r="C1025" t="str">
            <v xml:space="preserve">    G-CALBO            SQA</v>
          </cell>
          <cell r="D1025">
            <v>57470</v>
          </cell>
          <cell r="E1025">
            <v>39482</v>
          </cell>
        </row>
        <row r="1026">
          <cell r="C1026" t="str">
            <v xml:space="preserve">    ALGECAL            OPI</v>
          </cell>
          <cell r="D1026">
            <v>55119</v>
          </cell>
          <cell r="E1026">
            <v>55712</v>
          </cell>
        </row>
        <row r="1027">
          <cell r="C1027" t="str">
            <v xml:space="preserve">    CALCIN-D           RTA</v>
          </cell>
          <cell r="D1027">
            <v>54687</v>
          </cell>
          <cell r="E1027">
            <v>56099</v>
          </cell>
        </row>
        <row r="1028">
          <cell r="C1028" t="str">
            <v xml:space="preserve">    SEACAL-D           D-I</v>
          </cell>
          <cell r="D1028">
            <v>54232</v>
          </cell>
          <cell r="E1028">
            <v>49735</v>
          </cell>
        </row>
        <row r="1029">
          <cell r="C1029" t="str">
            <v xml:space="preserve">    OKICAL D           UNH</v>
          </cell>
          <cell r="D1029">
            <v>53071</v>
          </cell>
          <cell r="E1029">
            <v>51727</v>
          </cell>
        </row>
        <row r="1030">
          <cell r="C1030" t="str">
            <v xml:space="preserve">    CORABON-D          NUV</v>
          </cell>
          <cell r="D1030">
            <v>50632</v>
          </cell>
          <cell r="E1030">
            <v>52811</v>
          </cell>
        </row>
        <row r="1031">
          <cell r="C1031" t="str">
            <v xml:space="preserve">    GRINCAL-DX         IAP</v>
          </cell>
          <cell r="D1031">
            <v>50078</v>
          </cell>
          <cell r="E1031">
            <v>12045</v>
          </cell>
        </row>
        <row r="1032">
          <cell r="C1032" t="str">
            <v xml:space="preserve">    REEFCAL-D          ZIS</v>
          </cell>
          <cell r="D1032">
            <v>49631</v>
          </cell>
          <cell r="E1032">
            <v>50724</v>
          </cell>
        </row>
        <row r="1033">
          <cell r="C1033" t="str">
            <v xml:space="preserve">    CORABON DX         NUV</v>
          </cell>
          <cell r="D1033">
            <v>48808</v>
          </cell>
          <cell r="E1033">
            <v>48779</v>
          </cell>
        </row>
        <row r="1034">
          <cell r="C1034" t="str">
            <v xml:space="preserve">    GRINCAL-D          IAP</v>
          </cell>
          <cell r="D1034">
            <v>46751</v>
          </cell>
          <cell r="E1034">
            <v>9604</v>
          </cell>
        </row>
        <row r="1035">
          <cell r="C1035" t="str">
            <v xml:space="preserve">    CORALMAX-DX        OR/</v>
          </cell>
          <cell r="D1035">
            <v>43660</v>
          </cell>
          <cell r="E1035">
            <v>48236</v>
          </cell>
        </row>
        <row r="1036">
          <cell r="C1036" t="str">
            <v xml:space="preserve">    CALGI-DX           NJP</v>
          </cell>
          <cell r="D1036">
            <v>42706</v>
          </cell>
          <cell r="E1036">
            <v>54</v>
          </cell>
        </row>
        <row r="1037">
          <cell r="C1037" t="str">
            <v xml:space="preserve">    ALGITA DX          LDB</v>
          </cell>
          <cell r="D1037">
            <v>39095</v>
          </cell>
          <cell r="E1037">
            <v>49796</v>
          </cell>
        </row>
        <row r="1038">
          <cell r="C1038" t="str">
            <v xml:space="preserve">    OSTOREF-DX         OPI</v>
          </cell>
          <cell r="D1038">
            <v>35489</v>
          </cell>
          <cell r="E1038">
            <v>32469</v>
          </cell>
        </row>
        <row r="1039">
          <cell r="C1039" t="str">
            <v xml:space="preserve">    CORALTAB D         IBN</v>
          </cell>
          <cell r="D1039">
            <v>35270</v>
          </cell>
          <cell r="E1039">
            <v>28435</v>
          </cell>
        </row>
        <row r="1040">
          <cell r="C1040" t="str">
            <v xml:space="preserve">    A-CAL D            ACM</v>
          </cell>
          <cell r="D1040">
            <v>34562</v>
          </cell>
          <cell r="E1040">
            <v>41023</v>
          </cell>
        </row>
        <row r="1041">
          <cell r="C1041" t="str">
            <v xml:space="preserve">    ORGANICAL          IAP</v>
          </cell>
          <cell r="D1041">
            <v>33532</v>
          </cell>
          <cell r="E1041">
            <v>0</v>
          </cell>
        </row>
        <row r="1042">
          <cell r="C1042" t="str">
            <v xml:space="preserve">    OSTOGEN-D          OPI</v>
          </cell>
          <cell r="D1042">
            <v>30231</v>
          </cell>
          <cell r="E1042">
            <v>36860</v>
          </cell>
        </row>
        <row r="1043">
          <cell r="C1043" t="str">
            <v xml:space="preserve">    SHELCAL-D          OPI</v>
          </cell>
          <cell r="D1043">
            <v>27766</v>
          </cell>
          <cell r="E1043">
            <v>0</v>
          </cell>
        </row>
        <row r="1044">
          <cell r="C1044" t="str">
            <v xml:space="preserve">    CORALMAX-D         OR/</v>
          </cell>
          <cell r="D1044">
            <v>27034</v>
          </cell>
          <cell r="E1044">
            <v>31449</v>
          </cell>
        </row>
        <row r="1045">
          <cell r="C1045" t="str">
            <v xml:space="preserve">    CALGI-D            NJP</v>
          </cell>
          <cell r="D1045">
            <v>26103</v>
          </cell>
          <cell r="E1045">
            <v>13425</v>
          </cell>
        </row>
        <row r="1046">
          <cell r="C1046" t="str">
            <v xml:space="preserve">    ALGITA-D           LDB</v>
          </cell>
          <cell r="D1046">
            <v>24421</v>
          </cell>
          <cell r="E1046">
            <v>38145</v>
          </cell>
        </row>
        <row r="1047">
          <cell r="C1047" t="str">
            <v xml:space="preserve">    CALBON-D           ATP</v>
          </cell>
          <cell r="D1047">
            <v>24344</v>
          </cell>
          <cell r="E1047">
            <v>27816</v>
          </cell>
        </row>
        <row r="1048">
          <cell r="C1048" t="str">
            <v xml:space="preserve">    SANDOCAL-D         SDZ</v>
          </cell>
          <cell r="D1048">
            <v>23982</v>
          </cell>
          <cell r="E1048">
            <v>9131</v>
          </cell>
        </row>
        <row r="1049">
          <cell r="C1049" t="str">
            <v xml:space="preserve">    OSTOREF-D          OPI</v>
          </cell>
          <cell r="D1049">
            <v>22746</v>
          </cell>
          <cell r="E1049">
            <v>16803</v>
          </cell>
        </row>
        <row r="1050">
          <cell r="C1050" t="str">
            <v xml:space="preserve">    OCEANCAL DX        GNR</v>
          </cell>
          <cell r="D1050">
            <v>18769</v>
          </cell>
          <cell r="E1050">
            <v>53292</v>
          </cell>
        </row>
        <row r="1051">
          <cell r="C1051" t="str">
            <v xml:space="preserve">    EGGCAL-DX          PI0</v>
          </cell>
          <cell r="D1051">
            <v>18096</v>
          </cell>
          <cell r="E1051">
            <v>0</v>
          </cell>
        </row>
        <row r="1052">
          <cell r="C1052" t="str">
            <v xml:space="preserve">    CORSIL-D           D-B</v>
          </cell>
          <cell r="D1052">
            <v>17833</v>
          </cell>
          <cell r="E1052">
            <v>23581</v>
          </cell>
        </row>
        <row r="1053">
          <cell r="C1053" t="str">
            <v xml:space="preserve">    SHELCAL-DX         OPI</v>
          </cell>
          <cell r="D1053">
            <v>16758</v>
          </cell>
          <cell r="E1053">
            <v>0</v>
          </cell>
        </row>
        <row r="1054">
          <cell r="C1054" t="str">
            <v xml:space="preserve">    CORA-DX VITA       A-I</v>
          </cell>
          <cell r="D1054">
            <v>16635</v>
          </cell>
          <cell r="E1054">
            <v>17508</v>
          </cell>
        </row>
        <row r="1055">
          <cell r="C1055" t="str">
            <v xml:space="preserve">    AQUACAL-D          PPH</v>
          </cell>
          <cell r="D1055">
            <v>16300</v>
          </cell>
          <cell r="E1055">
            <v>14600</v>
          </cell>
        </row>
        <row r="1056">
          <cell r="C1056" t="str">
            <v xml:space="preserve">    OCEANCAL D         GNR</v>
          </cell>
          <cell r="D1056">
            <v>16189</v>
          </cell>
          <cell r="E1056">
            <v>40104</v>
          </cell>
        </row>
        <row r="1057">
          <cell r="C1057" t="str">
            <v xml:space="preserve">    AQUACAL-DX         PPH</v>
          </cell>
          <cell r="D1057">
            <v>15193</v>
          </cell>
          <cell r="E1057">
            <v>19582</v>
          </cell>
        </row>
        <row r="1058">
          <cell r="C1058" t="str">
            <v xml:space="preserve">    CORSIL-DX          D-B</v>
          </cell>
          <cell r="D1058">
            <v>13681</v>
          </cell>
          <cell r="E1058">
            <v>7287</v>
          </cell>
        </row>
        <row r="1059">
          <cell r="C1059" t="str">
            <v xml:space="preserve">    SURECAL            ZIS</v>
          </cell>
          <cell r="D1059">
            <v>12767</v>
          </cell>
          <cell r="E1059">
            <v>15363</v>
          </cell>
        </row>
        <row r="1060">
          <cell r="C1060" t="str">
            <v xml:space="preserve">    CALDIL-PLUS        D-I</v>
          </cell>
          <cell r="D1060">
            <v>12713</v>
          </cell>
          <cell r="E1060">
            <v>19255</v>
          </cell>
        </row>
        <row r="1061">
          <cell r="C1061" t="str">
            <v xml:space="preserve">    PROBAL             P-S</v>
          </cell>
          <cell r="D1061">
            <v>12647</v>
          </cell>
          <cell r="E1061">
            <v>6891</v>
          </cell>
        </row>
        <row r="1062">
          <cell r="C1062" t="str">
            <v xml:space="preserve">    STARCAL-D          NJP</v>
          </cell>
          <cell r="D1062">
            <v>12084</v>
          </cell>
          <cell r="E1062">
            <v>28958</v>
          </cell>
        </row>
        <row r="1063">
          <cell r="C1063" t="str">
            <v xml:space="preserve">    CORALCIN-DV        RTA</v>
          </cell>
          <cell r="D1063">
            <v>11517</v>
          </cell>
          <cell r="E1063">
            <v>0</v>
          </cell>
        </row>
        <row r="1064">
          <cell r="C1064" t="str">
            <v xml:space="preserve">    EGGCAL-D           PI0</v>
          </cell>
          <cell r="D1064">
            <v>11265</v>
          </cell>
          <cell r="E1064">
            <v>0</v>
          </cell>
        </row>
        <row r="1065">
          <cell r="C1065" t="str">
            <v xml:space="preserve">    CALVIMAX-D         IAP</v>
          </cell>
          <cell r="D1065">
            <v>10654</v>
          </cell>
          <cell r="E1065">
            <v>9832</v>
          </cell>
        </row>
        <row r="1066">
          <cell r="C1066" t="str">
            <v xml:space="preserve">    CORALTAB           IBN</v>
          </cell>
          <cell r="D1066">
            <v>9374</v>
          </cell>
          <cell r="E1066">
            <v>11034</v>
          </cell>
        </row>
        <row r="1067">
          <cell r="C1067" t="str">
            <v xml:space="preserve">    ORTHOCAL-D         BP&amp;</v>
          </cell>
          <cell r="D1067">
            <v>7422</v>
          </cell>
          <cell r="E1067">
            <v>5903</v>
          </cell>
        </row>
        <row r="1068">
          <cell r="C1068" t="str">
            <v xml:space="preserve">    CALCIN-DX          RTA</v>
          </cell>
          <cell r="D1068">
            <v>7178</v>
          </cell>
          <cell r="E1068">
            <v>6742</v>
          </cell>
        </row>
        <row r="1069">
          <cell r="C1069" t="str">
            <v xml:space="preserve">    IPICAL-D           IBN</v>
          </cell>
          <cell r="D1069">
            <v>6627</v>
          </cell>
          <cell r="E1069">
            <v>10032</v>
          </cell>
        </row>
        <row r="1070">
          <cell r="C1070" t="str">
            <v xml:space="preserve">    ACICAL-DX          A-I</v>
          </cell>
          <cell r="D1070">
            <v>5785</v>
          </cell>
          <cell r="E1070">
            <v>5198</v>
          </cell>
        </row>
        <row r="1071">
          <cell r="C1071" t="str">
            <v xml:space="preserve">    CALBO-D VITA       SQA</v>
          </cell>
          <cell r="D1071">
            <v>5780</v>
          </cell>
          <cell r="E1071">
            <v>5263</v>
          </cell>
        </row>
        <row r="1072">
          <cell r="C1072" t="str">
            <v xml:space="preserve">    OSTOCAL-VITA       ESF</v>
          </cell>
          <cell r="D1072">
            <v>5695</v>
          </cell>
          <cell r="E1072">
            <v>7826</v>
          </cell>
        </row>
        <row r="1073">
          <cell r="C1073" t="str">
            <v xml:space="preserve">    LABCAL-D           LDB</v>
          </cell>
          <cell r="D1073">
            <v>5407</v>
          </cell>
          <cell r="E1073">
            <v>11518</v>
          </cell>
        </row>
        <row r="1074">
          <cell r="C1074" t="str">
            <v xml:space="preserve">    CALCIXEN           EVR</v>
          </cell>
          <cell r="D1074">
            <v>4969</v>
          </cell>
          <cell r="E1074">
            <v>7374</v>
          </cell>
        </row>
        <row r="1075">
          <cell r="C1075" t="str">
            <v xml:space="preserve">    OSTELIN-D          EVR</v>
          </cell>
          <cell r="D1075">
            <v>3816</v>
          </cell>
          <cell r="E1075">
            <v>3561</v>
          </cell>
        </row>
        <row r="1076">
          <cell r="C1076" t="str">
            <v xml:space="preserve">    IPICAL-DX          IBN</v>
          </cell>
          <cell r="D1076">
            <v>3363</v>
          </cell>
          <cell r="E1076">
            <v>5022</v>
          </cell>
        </row>
        <row r="1077">
          <cell r="C1077" t="str">
            <v xml:space="preserve">    XELCORAL           ONA</v>
          </cell>
          <cell r="D1077">
            <v>3328</v>
          </cell>
          <cell r="E1077">
            <v>3171</v>
          </cell>
        </row>
        <row r="1078">
          <cell r="C1078" t="str">
            <v xml:space="preserve">    MAXICAL-DX         OR/</v>
          </cell>
          <cell r="D1078">
            <v>3170</v>
          </cell>
          <cell r="E1078">
            <v>3484</v>
          </cell>
        </row>
        <row r="1079">
          <cell r="C1079" t="str">
            <v xml:space="preserve">    CORAL CD           R7G</v>
          </cell>
          <cell r="D1079">
            <v>3108</v>
          </cell>
          <cell r="E1079">
            <v>2599</v>
          </cell>
        </row>
        <row r="1080">
          <cell r="C1080" t="str">
            <v xml:space="preserve">    D-CORAL DX         GD2</v>
          </cell>
          <cell r="D1080">
            <v>2985</v>
          </cell>
          <cell r="E1080">
            <v>5443</v>
          </cell>
        </row>
        <row r="1081">
          <cell r="C1081" t="str">
            <v xml:space="preserve">    CORCAL-D           OS9</v>
          </cell>
          <cell r="D1081">
            <v>2816</v>
          </cell>
          <cell r="E1081">
            <v>2288</v>
          </cell>
        </row>
        <row r="1082">
          <cell r="C1082" t="str">
            <v xml:space="preserve">    FIZYCAL-D          IAP</v>
          </cell>
          <cell r="D1082">
            <v>2774</v>
          </cell>
          <cell r="E1082">
            <v>2762</v>
          </cell>
        </row>
        <row r="1083">
          <cell r="C1083" t="str">
            <v xml:space="preserve">    A-CAL DX           ACM</v>
          </cell>
          <cell r="D1083">
            <v>2668</v>
          </cell>
          <cell r="E1083">
            <v>832</v>
          </cell>
        </row>
        <row r="1084">
          <cell r="C1084" t="str">
            <v xml:space="preserve">    ALGEUM DX          RD7</v>
          </cell>
          <cell r="D1084">
            <v>2577</v>
          </cell>
          <cell r="E1084">
            <v>4613</v>
          </cell>
        </row>
        <row r="1085">
          <cell r="C1085" t="str">
            <v xml:space="preserve">    ULTRACAL-D         PPH</v>
          </cell>
          <cell r="D1085">
            <v>2438</v>
          </cell>
          <cell r="E1085">
            <v>2223</v>
          </cell>
        </row>
        <row r="1086">
          <cell r="C1086" t="str">
            <v xml:space="preserve">    BONI D             D&amp;B</v>
          </cell>
          <cell r="D1086">
            <v>2029</v>
          </cell>
          <cell r="E1086">
            <v>3977</v>
          </cell>
        </row>
        <row r="1087">
          <cell r="C1087" t="str">
            <v xml:space="preserve">    CALMET-D           S&amp;O</v>
          </cell>
          <cell r="D1087">
            <v>1763</v>
          </cell>
          <cell r="E1087">
            <v>3495</v>
          </cell>
        </row>
        <row r="1088">
          <cell r="C1088" t="str">
            <v xml:space="preserve">    DIMCAL-DX          ONA</v>
          </cell>
          <cell r="D1088">
            <v>1750</v>
          </cell>
          <cell r="E1088">
            <v>0</v>
          </cell>
        </row>
        <row r="1089">
          <cell r="C1089" t="str">
            <v xml:space="preserve">    OSCAL-D            UNH</v>
          </cell>
          <cell r="D1089">
            <v>1646</v>
          </cell>
          <cell r="E1089">
            <v>2320</v>
          </cell>
        </row>
        <row r="1090">
          <cell r="C1090" t="str">
            <v xml:space="preserve">    CAL-D              PAC</v>
          </cell>
          <cell r="D1090">
            <v>1613</v>
          </cell>
          <cell r="E1090">
            <v>3228</v>
          </cell>
        </row>
        <row r="1091">
          <cell r="C1091" t="str">
            <v xml:space="preserve">    MIRACAL-D          N8V</v>
          </cell>
          <cell r="D1091">
            <v>1599</v>
          </cell>
          <cell r="E1091">
            <v>3181</v>
          </cell>
        </row>
        <row r="1092">
          <cell r="C1092" t="str">
            <v xml:space="preserve">    ALGEUM-D           RD7</v>
          </cell>
          <cell r="D1092">
            <v>1542</v>
          </cell>
          <cell r="E1092">
            <v>3505</v>
          </cell>
        </row>
        <row r="1093">
          <cell r="C1093" t="str">
            <v xml:space="preserve">    D-CORAL            GD2</v>
          </cell>
          <cell r="D1093">
            <v>1537</v>
          </cell>
          <cell r="E1093">
            <v>3261</v>
          </cell>
        </row>
        <row r="1094">
          <cell r="C1094" t="str">
            <v xml:space="preserve">    CALREEF            SV6</v>
          </cell>
          <cell r="D1094">
            <v>1332</v>
          </cell>
          <cell r="E1094">
            <v>806</v>
          </cell>
        </row>
        <row r="1095">
          <cell r="C1095" t="str">
            <v xml:space="preserve">    MAXICAL D          OR/</v>
          </cell>
          <cell r="D1095">
            <v>1292</v>
          </cell>
          <cell r="E1095">
            <v>1483</v>
          </cell>
        </row>
        <row r="1096">
          <cell r="C1096" t="str">
            <v xml:space="preserve">    CORASIS-D          TMH</v>
          </cell>
          <cell r="D1096">
            <v>1228</v>
          </cell>
          <cell r="E1096">
            <v>4535</v>
          </cell>
        </row>
        <row r="1097">
          <cell r="C1097" t="str">
            <v xml:space="preserve">    CORCAL-DX          OS9</v>
          </cell>
          <cell r="D1097">
            <v>1180</v>
          </cell>
          <cell r="E1097">
            <v>0</v>
          </cell>
        </row>
        <row r="1098">
          <cell r="C1098" t="str">
            <v xml:space="preserve">    DIMCAL-D           ONA</v>
          </cell>
          <cell r="D1098">
            <v>1013</v>
          </cell>
          <cell r="E1098">
            <v>0</v>
          </cell>
        </row>
        <row r="1099">
          <cell r="C1099" t="str">
            <v xml:space="preserve">    CALCORAL-DX        PPH</v>
          </cell>
          <cell r="D1099">
            <v>935</v>
          </cell>
          <cell r="E1099">
            <v>965</v>
          </cell>
        </row>
        <row r="1100">
          <cell r="C1100" t="str">
            <v xml:space="preserve">    OCORAL             KUM</v>
          </cell>
          <cell r="D1100">
            <v>877</v>
          </cell>
          <cell r="E1100">
            <v>1054</v>
          </cell>
        </row>
        <row r="1101">
          <cell r="C1101" t="str">
            <v xml:space="preserve">    TEMCAL-D           TMH</v>
          </cell>
          <cell r="D1101">
            <v>831</v>
          </cell>
          <cell r="E1101">
            <v>943</v>
          </cell>
        </row>
        <row r="1102">
          <cell r="C1102" t="str">
            <v xml:space="preserve">    CARBOCAL-D         GBE</v>
          </cell>
          <cell r="D1102">
            <v>768</v>
          </cell>
          <cell r="E1102">
            <v>1263</v>
          </cell>
        </row>
        <row r="1103">
          <cell r="C1103" t="str">
            <v xml:space="preserve">    NATCAL DX          J&amp;H</v>
          </cell>
          <cell r="D1103">
            <v>750</v>
          </cell>
          <cell r="E1103">
            <v>3419</v>
          </cell>
        </row>
        <row r="1104">
          <cell r="C1104" t="str">
            <v xml:space="preserve">    OSSI-D             KUM</v>
          </cell>
          <cell r="D1104">
            <v>694</v>
          </cell>
          <cell r="E1104">
            <v>699</v>
          </cell>
        </row>
        <row r="1105">
          <cell r="C1105" t="str">
            <v xml:space="preserve">    PROTEBON-D         BAC</v>
          </cell>
          <cell r="D1105">
            <v>676</v>
          </cell>
          <cell r="E1105">
            <v>621</v>
          </cell>
        </row>
        <row r="1106">
          <cell r="C1106" t="str">
            <v xml:space="preserve">    CADMIN-D           GNR</v>
          </cell>
          <cell r="D1106">
            <v>533</v>
          </cell>
          <cell r="E1106">
            <v>1249</v>
          </cell>
        </row>
        <row r="1107">
          <cell r="C1107" t="str">
            <v xml:space="preserve">    EUROCAL D          EMA</v>
          </cell>
          <cell r="D1107">
            <v>480</v>
          </cell>
          <cell r="E1107">
            <v>1446</v>
          </cell>
        </row>
        <row r="1108">
          <cell r="C1108" t="str">
            <v xml:space="preserve">    OSCORAC-DX         NVK</v>
          </cell>
          <cell r="D1108">
            <v>451</v>
          </cell>
          <cell r="E1108">
            <v>11</v>
          </cell>
        </row>
        <row r="1109">
          <cell r="C1109" t="str">
            <v xml:space="preserve">    CALVIMAX           IAP</v>
          </cell>
          <cell r="D1109">
            <v>412</v>
          </cell>
          <cell r="E1109">
            <v>493</v>
          </cell>
        </row>
        <row r="1110">
          <cell r="C1110" t="str">
            <v xml:space="preserve">    APOCAL-D           AX.</v>
          </cell>
          <cell r="D1110">
            <v>373</v>
          </cell>
          <cell r="E1110">
            <v>375</v>
          </cell>
        </row>
        <row r="1111">
          <cell r="C1111" t="str">
            <v xml:space="preserve">    OSTACID-D          R7G</v>
          </cell>
          <cell r="D1111">
            <v>317</v>
          </cell>
          <cell r="E1111">
            <v>360</v>
          </cell>
        </row>
        <row r="1112">
          <cell r="C1112" t="str">
            <v xml:space="preserve">    BEUCAL-D           J&amp;H</v>
          </cell>
          <cell r="D1112">
            <v>314</v>
          </cell>
          <cell r="E1112">
            <v>1689</v>
          </cell>
        </row>
        <row r="1113">
          <cell r="C1113" t="str">
            <v xml:space="preserve">    OSCORAC-D          NVK</v>
          </cell>
          <cell r="D1113">
            <v>306</v>
          </cell>
          <cell r="E1113">
            <v>7</v>
          </cell>
        </row>
        <row r="1114">
          <cell r="C1114" t="str">
            <v xml:space="preserve">    CALCORAL D         PPH</v>
          </cell>
          <cell r="D1114">
            <v>277</v>
          </cell>
          <cell r="E1114">
            <v>971</v>
          </cell>
        </row>
        <row r="1115">
          <cell r="C1115" t="str">
            <v xml:space="preserve">    NEOCAL-D           WTH</v>
          </cell>
          <cell r="D1115">
            <v>251</v>
          </cell>
          <cell r="E1115">
            <v>374</v>
          </cell>
        </row>
        <row r="1116">
          <cell r="C1116" t="str">
            <v xml:space="preserve">    NAAFCAL D          NAF</v>
          </cell>
          <cell r="D1116">
            <v>250</v>
          </cell>
          <cell r="E1116">
            <v>469</v>
          </cell>
        </row>
        <row r="1117">
          <cell r="C1117" t="str">
            <v xml:space="preserve">    CALSIL PLUS        SV6</v>
          </cell>
          <cell r="D1117">
            <v>181</v>
          </cell>
          <cell r="E1117">
            <v>110</v>
          </cell>
        </row>
        <row r="1118">
          <cell r="C1118" t="str">
            <v xml:space="preserve">    LIFECAL-D          NAF</v>
          </cell>
          <cell r="D1118">
            <v>120</v>
          </cell>
          <cell r="E1118">
            <v>19</v>
          </cell>
        </row>
        <row r="1119">
          <cell r="C1119" t="str">
            <v xml:space="preserve">    ONECAL-D           ONA</v>
          </cell>
          <cell r="D1119">
            <v>106</v>
          </cell>
          <cell r="E1119">
            <v>275</v>
          </cell>
        </row>
        <row r="1120">
          <cell r="C1120" t="str">
            <v xml:space="preserve">    NAAFCAL DS         NAF</v>
          </cell>
          <cell r="D1120">
            <v>99</v>
          </cell>
          <cell r="E1120">
            <v>0</v>
          </cell>
        </row>
        <row r="1121">
          <cell r="C1121" t="str">
            <v xml:space="preserve">    XTRACAL-D          P-S</v>
          </cell>
          <cell r="D1121">
            <v>69</v>
          </cell>
          <cell r="E1121">
            <v>305</v>
          </cell>
        </row>
        <row r="1122">
          <cell r="C1122" t="str">
            <v xml:space="preserve">    CASALT-D           KMP</v>
          </cell>
          <cell r="D1122">
            <v>54</v>
          </cell>
          <cell r="E1122">
            <v>20</v>
          </cell>
        </row>
        <row r="1123">
          <cell r="C1123" t="str">
            <v xml:space="preserve">    OSTOGEN CORAL D    OPI</v>
          </cell>
          <cell r="D1123">
            <v>26</v>
          </cell>
          <cell r="E1123">
            <v>181</v>
          </cell>
        </row>
        <row r="1124">
          <cell r="C1124" t="str">
            <v xml:space="preserve">    CALDICAL-D         ZIS</v>
          </cell>
          <cell r="D1124">
            <v>23</v>
          </cell>
          <cell r="E1124">
            <v>53</v>
          </cell>
        </row>
        <row r="1125">
          <cell r="C1125" t="str">
            <v xml:space="preserve">    VITOCAL D          ESF</v>
          </cell>
          <cell r="D1125">
            <v>20</v>
          </cell>
          <cell r="E1125">
            <v>39</v>
          </cell>
        </row>
        <row r="1126">
          <cell r="C1126" t="str">
            <v xml:space="preserve">    MAXICAL            OR/</v>
          </cell>
          <cell r="D1126">
            <v>20</v>
          </cell>
          <cell r="E1126">
            <v>28</v>
          </cell>
        </row>
        <row r="1127">
          <cell r="C1127" t="str">
            <v xml:space="preserve">    CORALIUM-D         AMD</v>
          </cell>
          <cell r="D1127">
            <v>9</v>
          </cell>
          <cell r="E1127">
            <v>6</v>
          </cell>
        </row>
        <row r="1128">
          <cell r="C1128" t="str">
            <v xml:space="preserve">    CORALBEN D         BNP</v>
          </cell>
          <cell r="D1128">
            <v>8</v>
          </cell>
          <cell r="E1128">
            <v>107</v>
          </cell>
        </row>
        <row r="1129">
          <cell r="C1129" t="str">
            <v xml:space="preserve">    CADMIN             GNR</v>
          </cell>
          <cell r="D1129">
            <v>0</v>
          </cell>
          <cell r="E1129">
            <v>72</v>
          </cell>
        </row>
        <row r="1130">
          <cell r="C1130" t="str">
            <v xml:space="preserve">    CALCICAL-D         T2D</v>
          </cell>
          <cell r="D1130">
            <v>0</v>
          </cell>
          <cell r="E1130">
            <v>13</v>
          </cell>
        </row>
        <row r="1131">
          <cell r="C1131" t="str">
            <v xml:space="preserve">    CALCIUM-D          N8V</v>
          </cell>
          <cell r="D1131">
            <v>0</v>
          </cell>
          <cell r="E1131">
            <v>0</v>
          </cell>
        </row>
        <row r="1132">
          <cell r="C1132" t="str">
            <v xml:space="preserve">    EVECAL-D           EVR</v>
          </cell>
          <cell r="D1132">
            <v>0</v>
          </cell>
          <cell r="E1132">
            <v>2</v>
          </cell>
        </row>
        <row r="1133">
          <cell r="C1133" t="str">
            <v xml:space="preserve">    ISOCAL-D           DOC</v>
          </cell>
          <cell r="D1133">
            <v>0</v>
          </cell>
          <cell r="E1133">
            <v>0</v>
          </cell>
        </row>
        <row r="1134">
          <cell r="C1134" t="str">
            <v xml:space="preserve">    OSTOPLUS-D         DSH</v>
          </cell>
          <cell r="D1134">
            <v>0</v>
          </cell>
          <cell r="E1134">
            <v>0</v>
          </cell>
        </row>
        <row r="1135">
          <cell r="C1135" t="str">
            <v xml:space="preserve">    REJUVEN-D          NVO</v>
          </cell>
          <cell r="D1135">
            <v>0</v>
          </cell>
          <cell r="E1135">
            <v>0</v>
          </cell>
        </row>
        <row r="1136">
          <cell r="C1136" t="str">
            <v xml:space="preserve">    BONMAX-D           NVW</v>
          </cell>
          <cell r="D1136">
            <v>0</v>
          </cell>
          <cell r="E1136">
            <v>0</v>
          </cell>
        </row>
        <row r="1137">
          <cell r="C1137" t="str">
            <v xml:space="preserve">    NUTRIBON           VPM</v>
          </cell>
          <cell r="D1137">
            <v>0</v>
          </cell>
          <cell r="E1137">
            <v>0</v>
          </cell>
        </row>
        <row r="1138">
          <cell r="C1138" t="str">
            <v xml:space="preserve">    ADCAL D            AMT</v>
          </cell>
          <cell r="D1138">
            <v>0</v>
          </cell>
          <cell r="E1138">
            <v>0</v>
          </cell>
        </row>
        <row r="1139">
          <cell r="C1139" t="str">
            <v xml:space="preserve">    MONOCAL D          CC/</v>
          </cell>
          <cell r="D1139">
            <v>0</v>
          </cell>
          <cell r="E1139">
            <v>68</v>
          </cell>
        </row>
        <row r="1140">
          <cell r="C1140" t="str">
            <v xml:space="preserve">    NOVACAL-D          LOP</v>
          </cell>
          <cell r="D1140">
            <v>0</v>
          </cell>
          <cell r="E1140">
            <v>0</v>
          </cell>
        </row>
        <row r="1141">
          <cell r="C1141" t="str">
            <v xml:space="preserve">    MYCAL-D            NVK</v>
          </cell>
          <cell r="D1141">
            <v>0</v>
          </cell>
          <cell r="E1141">
            <v>0</v>
          </cell>
        </row>
        <row r="1142">
          <cell r="C1142" t="str">
            <v xml:space="preserve">    SB CORAC D         SBD</v>
          </cell>
          <cell r="D1142">
            <v>0</v>
          </cell>
          <cell r="E1142">
            <v>0</v>
          </cell>
        </row>
        <row r="1143">
          <cell r="C1143" t="str">
            <v xml:space="preserve">    CALGUM             ESF</v>
          </cell>
          <cell r="D1143">
            <v>0</v>
          </cell>
          <cell r="E1143">
            <v>0</v>
          </cell>
        </row>
        <row r="1144">
          <cell r="C1144" t="str">
            <v xml:space="preserve">    CALCIBO-D          A-H</v>
          </cell>
          <cell r="D1144">
            <v>0</v>
          </cell>
          <cell r="E1144">
            <v>42</v>
          </cell>
        </row>
        <row r="1145">
          <cell r="C1145" t="str">
            <v xml:space="preserve">    BONWELL-D          AMD</v>
          </cell>
          <cell r="D1145">
            <v>0</v>
          </cell>
          <cell r="E1145">
            <v>0</v>
          </cell>
        </row>
        <row r="1146">
          <cell r="C1146" t="str">
            <v xml:space="preserve">   CALCIUM</v>
          </cell>
          <cell r="D1146">
            <v>613578</v>
          </cell>
          <cell r="E1146">
            <v>742800</v>
          </cell>
        </row>
        <row r="1147">
          <cell r="C1147" t="str">
            <v xml:space="preserve">    CALBO              SQA</v>
          </cell>
          <cell r="D1147">
            <v>264256</v>
          </cell>
          <cell r="E1147">
            <v>322800</v>
          </cell>
        </row>
        <row r="1148">
          <cell r="C1148" t="str">
            <v xml:space="preserve">    HYPOPHOS           PPH</v>
          </cell>
          <cell r="D1148">
            <v>96474</v>
          </cell>
          <cell r="E1148">
            <v>93829</v>
          </cell>
        </row>
        <row r="1149">
          <cell r="C1149" t="str">
            <v xml:space="preserve">    CALORATE           BXM</v>
          </cell>
          <cell r="D1149">
            <v>71839</v>
          </cell>
          <cell r="E1149">
            <v>77148</v>
          </cell>
        </row>
        <row r="1150">
          <cell r="C1150" t="str">
            <v xml:space="preserve">    OSTOCAL            ESF</v>
          </cell>
          <cell r="D1150">
            <v>51632</v>
          </cell>
          <cell r="E1150">
            <v>75982</v>
          </cell>
        </row>
        <row r="1151">
          <cell r="C1151" t="str">
            <v xml:space="preserve">    CALCIN-O           RTA</v>
          </cell>
          <cell r="D1151">
            <v>28642</v>
          </cell>
          <cell r="E1151">
            <v>25117</v>
          </cell>
        </row>
        <row r="1152">
          <cell r="C1152" t="str">
            <v xml:space="preserve">    LOFOS              SQA</v>
          </cell>
          <cell r="D1152">
            <v>22292</v>
          </cell>
          <cell r="E1152">
            <v>23545</v>
          </cell>
        </row>
        <row r="1153">
          <cell r="C1153" t="str">
            <v xml:space="preserve">    ROCAL-JR           HT3</v>
          </cell>
          <cell r="D1153">
            <v>19010</v>
          </cell>
          <cell r="E1153">
            <v>24967</v>
          </cell>
        </row>
        <row r="1154">
          <cell r="C1154" t="str">
            <v xml:space="preserve">    REMOPHOS           A-I</v>
          </cell>
          <cell r="D1154">
            <v>11564</v>
          </cell>
          <cell r="E1154">
            <v>10899</v>
          </cell>
        </row>
        <row r="1155">
          <cell r="C1155" t="str">
            <v xml:space="preserve">    INTRACAL           IAP</v>
          </cell>
          <cell r="D1155">
            <v>7677</v>
          </cell>
          <cell r="E1155">
            <v>8014</v>
          </cell>
        </row>
        <row r="1156">
          <cell r="C1156" t="str">
            <v xml:space="preserve">    SANDOCAL           SDZ</v>
          </cell>
          <cell r="D1156">
            <v>4912</v>
          </cell>
          <cell r="E1156">
            <v>3304</v>
          </cell>
        </row>
        <row r="1157">
          <cell r="C1157" t="str">
            <v xml:space="preserve">    CALDIL-OT          D-I</v>
          </cell>
          <cell r="D1157">
            <v>3929</v>
          </cell>
          <cell r="E1157">
            <v>4453</v>
          </cell>
        </row>
        <row r="1158">
          <cell r="C1158" t="str">
            <v xml:space="preserve">    CALDIL             D-I</v>
          </cell>
          <cell r="D1158">
            <v>3876</v>
          </cell>
          <cell r="E1158">
            <v>4963</v>
          </cell>
        </row>
        <row r="1159">
          <cell r="C1159" t="str">
            <v xml:space="preserve">    A-CAL              ACM</v>
          </cell>
          <cell r="D1159">
            <v>3230</v>
          </cell>
          <cell r="E1159">
            <v>6211</v>
          </cell>
        </row>
        <row r="1160">
          <cell r="C1160" t="str">
            <v xml:space="preserve">    ORTICAL            OPI</v>
          </cell>
          <cell r="D1160">
            <v>2989</v>
          </cell>
          <cell r="E1160">
            <v>4278</v>
          </cell>
        </row>
        <row r="1161">
          <cell r="C1161" t="str">
            <v xml:space="preserve">    ACICAL             A-I</v>
          </cell>
          <cell r="D1161">
            <v>2423</v>
          </cell>
          <cell r="E1161">
            <v>6087</v>
          </cell>
        </row>
        <row r="1162">
          <cell r="C1162" t="str">
            <v xml:space="preserve">    OSTOGEN            OPI</v>
          </cell>
          <cell r="D1162">
            <v>2371</v>
          </cell>
          <cell r="E1162">
            <v>4950</v>
          </cell>
        </row>
        <row r="1163">
          <cell r="C1163" t="str">
            <v xml:space="preserve">    O-CAL              ACM</v>
          </cell>
          <cell r="D1163">
            <v>2223</v>
          </cell>
          <cell r="E1163">
            <v>4281</v>
          </cell>
        </row>
        <row r="1164">
          <cell r="C1164" t="str">
            <v xml:space="preserve">    ORCICAL            IBN</v>
          </cell>
          <cell r="D1164">
            <v>2048</v>
          </cell>
          <cell r="E1164">
            <v>3163</v>
          </cell>
        </row>
        <row r="1165">
          <cell r="C1165" t="str">
            <v xml:space="preserve">    ROCAL-O            HT3</v>
          </cell>
          <cell r="D1165">
            <v>1921</v>
          </cell>
          <cell r="E1165">
            <v>3629</v>
          </cell>
        </row>
        <row r="1166">
          <cell r="C1166" t="str">
            <v xml:space="preserve">    HUMPHRY            BAC</v>
          </cell>
          <cell r="D1166">
            <v>1655</v>
          </cell>
          <cell r="E1166">
            <v>4431</v>
          </cell>
        </row>
        <row r="1167">
          <cell r="C1167" t="str">
            <v xml:space="preserve">    CALBOSTAR          SQA</v>
          </cell>
          <cell r="D1167">
            <v>1450</v>
          </cell>
          <cell r="E1167">
            <v>3930</v>
          </cell>
        </row>
        <row r="1168">
          <cell r="C1168" t="str">
            <v xml:space="preserve">    CALAC              OPI</v>
          </cell>
          <cell r="D1168">
            <v>1272</v>
          </cell>
          <cell r="E1168">
            <v>2488</v>
          </cell>
        </row>
        <row r="1169">
          <cell r="C1169" t="str">
            <v xml:space="preserve">    ROTATE             ZIS</v>
          </cell>
          <cell r="D1169">
            <v>1049</v>
          </cell>
          <cell r="E1169">
            <v>1319</v>
          </cell>
        </row>
        <row r="1170">
          <cell r="C1170" t="str">
            <v xml:space="preserve">    ARISTOCAL          BXM</v>
          </cell>
          <cell r="D1170">
            <v>711</v>
          </cell>
          <cell r="E1170">
            <v>3176</v>
          </cell>
        </row>
        <row r="1171">
          <cell r="C1171" t="str">
            <v xml:space="preserve">    ROTACAL            A-I</v>
          </cell>
          <cell r="D1171">
            <v>605</v>
          </cell>
          <cell r="E1171">
            <v>1073</v>
          </cell>
        </row>
        <row r="1172">
          <cell r="C1172" t="str">
            <v xml:space="preserve">    OSTORATE           OS9</v>
          </cell>
          <cell r="D1172">
            <v>536</v>
          </cell>
          <cell r="E1172">
            <v>262</v>
          </cell>
        </row>
        <row r="1173">
          <cell r="C1173" t="str">
            <v xml:space="preserve">    BONI GOLD          D&amp;B</v>
          </cell>
          <cell r="D1173">
            <v>425</v>
          </cell>
          <cell r="E1173">
            <v>1217</v>
          </cell>
        </row>
        <row r="1174">
          <cell r="C1174" t="str">
            <v xml:space="preserve">    IPICAL             IBN</v>
          </cell>
          <cell r="D1174">
            <v>375</v>
          </cell>
          <cell r="E1174">
            <v>524</v>
          </cell>
        </row>
        <row r="1175">
          <cell r="C1175" t="str">
            <v xml:space="preserve">    CALBORATE          SQA</v>
          </cell>
          <cell r="D1175">
            <v>362</v>
          </cell>
          <cell r="E1175">
            <v>7432</v>
          </cell>
        </row>
        <row r="1176">
          <cell r="C1176" t="str">
            <v xml:space="preserve">    ORTHORATE          BP&amp;</v>
          </cell>
          <cell r="D1176">
            <v>358</v>
          </cell>
          <cell r="E1176">
            <v>471</v>
          </cell>
        </row>
        <row r="1177">
          <cell r="C1177" t="str">
            <v xml:space="preserve">    ROCAL              HT3</v>
          </cell>
          <cell r="D1177">
            <v>294</v>
          </cell>
          <cell r="E1177">
            <v>1645</v>
          </cell>
        </row>
        <row r="1178">
          <cell r="C1178" t="str">
            <v xml:space="preserve">    CALBON             ATP</v>
          </cell>
          <cell r="D1178">
            <v>163</v>
          </cell>
          <cell r="E1178">
            <v>573</v>
          </cell>
        </row>
        <row r="1179">
          <cell r="C1179" t="str">
            <v xml:space="preserve">    ORTHOCAL           BP&amp;</v>
          </cell>
          <cell r="D1179">
            <v>143</v>
          </cell>
          <cell r="E1179">
            <v>476</v>
          </cell>
        </row>
        <row r="1180">
          <cell r="C1180" t="str">
            <v xml:space="preserve">    CAL                PAC</v>
          </cell>
          <cell r="D1180">
            <v>130</v>
          </cell>
          <cell r="E1180">
            <v>1846</v>
          </cell>
        </row>
        <row r="1181">
          <cell r="C1181" t="str">
            <v xml:space="preserve">    CALCIUM JAYSON     JAY</v>
          </cell>
          <cell r="D1181">
            <v>102</v>
          </cell>
          <cell r="E1181">
            <v>67</v>
          </cell>
        </row>
        <row r="1182">
          <cell r="C1182" t="str">
            <v xml:space="preserve">    EFFICAL            GBE</v>
          </cell>
          <cell r="D1182">
            <v>92</v>
          </cell>
          <cell r="E1182">
            <v>400</v>
          </cell>
        </row>
        <row r="1183">
          <cell r="C1183" t="str">
            <v xml:space="preserve">    MAXICAL            OR/</v>
          </cell>
          <cell r="D1183">
            <v>90</v>
          </cell>
          <cell r="E1183">
            <v>254</v>
          </cell>
        </row>
        <row r="1184">
          <cell r="C1184" t="str">
            <v xml:space="preserve">    JASOCAL            JAY</v>
          </cell>
          <cell r="D1184">
            <v>86</v>
          </cell>
          <cell r="E1184">
            <v>623</v>
          </cell>
        </row>
        <row r="1185">
          <cell r="C1185" t="str">
            <v xml:space="preserve">    CALCIN             RTA</v>
          </cell>
          <cell r="D1185">
            <v>81</v>
          </cell>
          <cell r="E1185">
            <v>1177</v>
          </cell>
        </row>
        <row r="1186">
          <cell r="C1186" t="str">
            <v xml:space="preserve">    CARBOCAL           GBE</v>
          </cell>
          <cell r="D1186">
            <v>65</v>
          </cell>
          <cell r="E1186">
            <v>738</v>
          </cell>
        </row>
        <row r="1187">
          <cell r="C1187" t="str">
            <v xml:space="preserve">    EUROCAL            EMA</v>
          </cell>
          <cell r="D1187">
            <v>47</v>
          </cell>
          <cell r="E1187">
            <v>59</v>
          </cell>
        </row>
        <row r="1188">
          <cell r="C1188" t="str">
            <v xml:space="preserve">    MIRACAL            N8V</v>
          </cell>
          <cell r="D1188">
            <v>39</v>
          </cell>
          <cell r="E1188">
            <v>98</v>
          </cell>
        </row>
        <row r="1189">
          <cell r="C1189" t="str">
            <v xml:space="preserve">    OSSI               KUM</v>
          </cell>
          <cell r="D1189">
            <v>27</v>
          </cell>
          <cell r="E1189">
            <v>0</v>
          </cell>
        </row>
        <row r="1190">
          <cell r="C1190" t="str">
            <v xml:space="preserve">    OSCAL              UNH</v>
          </cell>
          <cell r="D1190">
            <v>26</v>
          </cell>
          <cell r="E1190">
            <v>355</v>
          </cell>
        </row>
        <row r="1191">
          <cell r="C1191" t="str">
            <v xml:space="preserve">    OSTACID            R7G</v>
          </cell>
          <cell r="D1191">
            <v>18</v>
          </cell>
          <cell r="E1191">
            <v>8</v>
          </cell>
        </row>
        <row r="1192">
          <cell r="C1192" t="str">
            <v xml:space="preserve">    ROTACAL MAX        A-I</v>
          </cell>
          <cell r="D1192">
            <v>14</v>
          </cell>
          <cell r="E1192">
            <v>38</v>
          </cell>
        </row>
        <row r="1193">
          <cell r="C1193" t="str">
            <v xml:space="preserve">    CALETAL            UCL</v>
          </cell>
          <cell r="D1193">
            <v>10</v>
          </cell>
          <cell r="E1193">
            <v>5</v>
          </cell>
        </row>
        <row r="1194">
          <cell r="C1194" t="str">
            <v xml:space="preserve">    KIDCAL             ACM</v>
          </cell>
          <cell r="D1194">
            <v>10</v>
          </cell>
          <cell r="E1194">
            <v>68</v>
          </cell>
        </row>
        <row r="1195">
          <cell r="C1195" t="str">
            <v xml:space="preserve">    SILCAL             S6C</v>
          </cell>
          <cell r="D1195">
            <v>10</v>
          </cell>
          <cell r="E1195">
            <v>27</v>
          </cell>
        </row>
        <row r="1196">
          <cell r="C1196" t="str">
            <v xml:space="preserve">    CALCI-D            RPH</v>
          </cell>
          <cell r="D1196">
            <v>6</v>
          </cell>
          <cell r="E1196">
            <v>25</v>
          </cell>
        </row>
        <row r="1197">
          <cell r="C1197" t="str">
            <v xml:space="preserve">    BONACAL            M4N</v>
          </cell>
          <cell r="D1197">
            <v>5</v>
          </cell>
          <cell r="E1197">
            <v>0</v>
          </cell>
        </row>
        <row r="1198">
          <cell r="C1198" t="str">
            <v xml:space="preserve">    CALTATE            GCO</v>
          </cell>
          <cell r="D1198">
            <v>4</v>
          </cell>
          <cell r="E1198">
            <v>4</v>
          </cell>
        </row>
        <row r="1199">
          <cell r="C1199" t="str">
            <v xml:space="preserve">    MONOCAL            CC/</v>
          </cell>
          <cell r="D1199">
            <v>3</v>
          </cell>
          <cell r="E1199">
            <v>2</v>
          </cell>
        </row>
        <row r="1200">
          <cell r="C1200" t="str">
            <v xml:space="preserve">    MYOCAL             NIP</v>
          </cell>
          <cell r="D1200">
            <v>1</v>
          </cell>
          <cell r="E1200">
            <v>0</v>
          </cell>
        </row>
        <row r="1201">
          <cell r="C1201" t="str">
            <v xml:space="preserve">    CAL-D              NIP</v>
          </cell>
          <cell r="D1201">
            <v>0</v>
          </cell>
          <cell r="E1201">
            <v>0</v>
          </cell>
        </row>
        <row r="1202">
          <cell r="C1202" t="str">
            <v xml:space="preserve">    CAL-PLUS           KUM</v>
          </cell>
          <cell r="D1202">
            <v>0</v>
          </cell>
          <cell r="E1202">
            <v>0</v>
          </cell>
        </row>
        <row r="1203">
          <cell r="C1203" t="str">
            <v xml:space="preserve">    CALCI-R            RPH</v>
          </cell>
          <cell r="D1203">
            <v>0</v>
          </cell>
          <cell r="E1203">
            <v>0</v>
          </cell>
        </row>
        <row r="1204">
          <cell r="C1204" t="str">
            <v xml:space="preserve">    CALCI              RAS</v>
          </cell>
          <cell r="D1204">
            <v>0</v>
          </cell>
          <cell r="E1204">
            <v>12</v>
          </cell>
        </row>
        <row r="1205">
          <cell r="C1205" t="str">
            <v xml:space="preserve">    CALCICAR           IAP</v>
          </cell>
          <cell r="D1205">
            <v>0</v>
          </cell>
          <cell r="E1205">
            <v>0</v>
          </cell>
        </row>
        <row r="1206">
          <cell r="C1206" t="str">
            <v xml:space="preserve">    CALCIFIL           GCO</v>
          </cell>
          <cell r="D1206">
            <v>0</v>
          </cell>
          <cell r="E1206">
            <v>0</v>
          </cell>
        </row>
        <row r="1207">
          <cell r="C1207" t="str">
            <v xml:space="preserve">    CALCITAB           ATP</v>
          </cell>
          <cell r="D1207">
            <v>0</v>
          </cell>
          <cell r="E1207">
            <v>0</v>
          </cell>
        </row>
        <row r="1208">
          <cell r="C1208" t="str">
            <v xml:space="preserve">    CALCITATE          AMB</v>
          </cell>
          <cell r="D1208">
            <v>0</v>
          </cell>
          <cell r="E1208">
            <v>0</v>
          </cell>
        </row>
        <row r="1209">
          <cell r="C1209" t="str">
            <v xml:space="preserve">    CALCIUM            N8V</v>
          </cell>
          <cell r="D1209">
            <v>0</v>
          </cell>
          <cell r="E1209">
            <v>0</v>
          </cell>
        </row>
        <row r="1210">
          <cell r="C1210" t="str">
            <v xml:space="preserve">    CALCIUM GLUCONATE  CHM</v>
          </cell>
          <cell r="D1210">
            <v>0</v>
          </cell>
          <cell r="E1210">
            <v>0</v>
          </cell>
        </row>
        <row r="1211">
          <cell r="C1211" t="str">
            <v xml:space="preserve">    CALCIUM GLUCONATE  RPH</v>
          </cell>
          <cell r="D1211">
            <v>0</v>
          </cell>
          <cell r="E1211">
            <v>0</v>
          </cell>
        </row>
        <row r="1212">
          <cell r="C1212" t="str">
            <v xml:space="preserve">    CALDICAL           ZIS</v>
          </cell>
          <cell r="D1212">
            <v>0</v>
          </cell>
          <cell r="E1212">
            <v>0</v>
          </cell>
        </row>
        <row r="1213">
          <cell r="C1213" t="str">
            <v xml:space="preserve">    CALFEED            ALO</v>
          </cell>
          <cell r="D1213">
            <v>0</v>
          </cell>
          <cell r="E1213">
            <v>0</v>
          </cell>
        </row>
        <row r="1214">
          <cell r="C1214" t="str">
            <v xml:space="preserve">    CALFOR             A/L</v>
          </cell>
          <cell r="D1214">
            <v>0</v>
          </cell>
          <cell r="E1214">
            <v>0</v>
          </cell>
        </row>
        <row r="1215">
          <cell r="C1215" t="str">
            <v xml:space="preserve">    CALMET             S&amp;O</v>
          </cell>
          <cell r="D1215">
            <v>0</v>
          </cell>
          <cell r="E1215">
            <v>24</v>
          </cell>
        </row>
        <row r="1216">
          <cell r="C1216" t="str">
            <v xml:space="preserve">    CALPO              MED</v>
          </cell>
          <cell r="D1216">
            <v>0</v>
          </cell>
          <cell r="E1216">
            <v>0</v>
          </cell>
        </row>
        <row r="1217">
          <cell r="C1217" t="str">
            <v xml:space="preserve">    CALSON             HUD</v>
          </cell>
          <cell r="D1217">
            <v>0</v>
          </cell>
          <cell r="E1217">
            <v>0</v>
          </cell>
        </row>
        <row r="1218">
          <cell r="C1218" t="str">
            <v xml:space="preserve">    CALSIL             SV6</v>
          </cell>
          <cell r="D1218">
            <v>0</v>
          </cell>
          <cell r="E1218">
            <v>0</v>
          </cell>
        </row>
        <row r="1219">
          <cell r="C1219" t="str">
            <v xml:space="preserve">    CARB               OPI</v>
          </cell>
          <cell r="D1219">
            <v>0</v>
          </cell>
          <cell r="E1219">
            <v>0</v>
          </cell>
        </row>
        <row r="1220">
          <cell r="C1220" t="str">
            <v xml:space="preserve">    COSTIN             GNR</v>
          </cell>
          <cell r="D1220">
            <v>0</v>
          </cell>
          <cell r="E1220">
            <v>0</v>
          </cell>
        </row>
        <row r="1221">
          <cell r="C1221" t="str">
            <v xml:space="preserve">    D LACTATE          DOC</v>
          </cell>
          <cell r="D1221">
            <v>0</v>
          </cell>
          <cell r="E1221">
            <v>0</v>
          </cell>
        </row>
        <row r="1222">
          <cell r="C1222" t="str">
            <v xml:space="preserve">    EDICAL             EDR</v>
          </cell>
          <cell r="D1222">
            <v>0</v>
          </cell>
          <cell r="E1222">
            <v>0</v>
          </cell>
        </row>
        <row r="1223">
          <cell r="C1223" t="str">
            <v xml:space="preserve">    ISOCAL             DOC</v>
          </cell>
          <cell r="D1223">
            <v>0</v>
          </cell>
          <cell r="E1223">
            <v>0</v>
          </cell>
        </row>
        <row r="1224">
          <cell r="C1224" t="str">
            <v xml:space="preserve">    MYSTOCAL           MY6</v>
          </cell>
          <cell r="D1224">
            <v>0</v>
          </cell>
          <cell r="E1224">
            <v>0</v>
          </cell>
        </row>
        <row r="1225">
          <cell r="C1225" t="str">
            <v xml:space="preserve">    NEOCAL             U7P</v>
          </cell>
          <cell r="D1225">
            <v>0</v>
          </cell>
          <cell r="E1225">
            <v>0</v>
          </cell>
        </row>
        <row r="1226">
          <cell r="C1226" t="str">
            <v xml:space="preserve">    NEOCAL             WTH</v>
          </cell>
          <cell r="D1226">
            <v>0</v>
          </cell>
          <cell r="E1226">
            <v>8</v>
          </cell>
        </row>
        <row r="1227">
          <cell r="C1227" t="str">
            <v xml:space="preserve">    ORACAL             AIC</v>
          </cell>
          <cell r="D1227">
            <v>0</v>
          </cell>
          <cell r="E1227">
            <v>0</v>
          </cell>
        </row>
        <row r="1228">
          <cell r="C1228" t="str">
            <v xml:space="preserve">    OSTOPLUS           DSH</v>
          </cell>
          <cell r="D1228">
            <v>0</v>
          </cell>
          <cell r="E1228">
            <v>0</v>
          </cell>
        </row>
        <row r="1229">
          <cell r="C1229" t="str">
            <v xml:space="preserve">    REJUVEN            NVO</v>
          </cell>
          <cell r="D1229">
            <v>0</v>
          </cell>
          <cell r="E1229">
            <v>0</v>
          </cell>
        </row>
        <row r="1230">
          <cell r="C1230" t="str">
            <v xml:space="preserve">    SYCAL              SYH</v>
          </cell>
          <cell r="D1230">
            <v>0</v>
          </cell>
          <cell r="E1230">
            <v>0</v>
          </cell>
        </row>
        <row r="1231">
          <cell r="C1231" t="str">
            <v xml:space="preserve">    CALOFAST           ESF</v>
          </cell>
          <cell r="D1231">
            <v>0</v>
          </cell>
          <cell r="E1231">
            <v>0</v>
          </cell>
        </row>
        <row r="1232">
          <cell r="C1232" t="str">
            <v xml:space="preserve">    PROTEBON-P         BAC</v>
          </cell>
          <cell r="D1232">
            <v>0</v>
          </cell>
          <cell r="E1232">
            <v>0</v>
          </cell>
        </row>
        <row r="1233">
          <cell r="C1233" t="str">
            <v xml:space="preserve">    CALCID             OPI</v>
          </cell>
          <cell r="D1233">
            <v>0</v>
          </cell>
          <cell r="E1233">
            <v>1</v>
          </cell>
        </row>
        <row r="1234">
          <cell r="C1234" t="str">
            <v xml:space="preserve">    MIRACAL-J          N8V</v>
          </cell>
          <cell r="D1234">
            <v>0</v>
          </cell>
          <cell r="E1234">
            <v>35</v>
          </cell>
        </row>
        <row r="1235">
          <cell r="C1235" t="str">
            <v xml:space="preserve">    EASYCAL            CHM</v>
          </cell>
          <cell r="D1235">
            <v>0</v>
          </cell>
          <cell r="E1235">
            <v>0</v>
          </cell>
        </row>
        <row r="1236">
          <cell r="C1236" t="str">
            <v xml:space="preserve">    MYCAL              NVK</v>
          </cell>
          <cell r="D1236">
            <v>0</v>
          </cell>
          <cell r="E1236">
            <v>0</v>
          </cell>
        </row>
        <row r="1237">
          <cell r="C1237" t="str">
            <v xml:space="preserve">    STARCAL            NJP</v>
          </cell>
          <cell r="D1237">
            <v>0</v>
          </cell>
          <cell r="E1237">
            <v>288</v>
          </cell>
        </row>
        <row r="1238">
          <cell r="C1238" t="str">
            <v xml:space="preserve">    CDENS              S.Y</v>
          </cell>
          <cell r="D1238">
            <v>0</v>
          </cell>
          <cell r="E1238">
            <v>0</v>
          </cell>
        </row>
        <row r="1239">
          <cell r="C1239" t="str">
            <v xml:space="preserve">    FORBON             S-C</v>
          </cell>
          <cell r="D1239">
            <v>0</v>
          </cell>
          <cell r="E1239">
            <v>0</v>
          </cell>
        </row>
        <row r="1240">
          <cell r="C1240" t="str">
            <v xml:space="preserve">    SB CAL D           SBD</v>
          </cell>
          <cell r="D1240">
            <v>0</v>
          </cell>
          <cell r="E1240">
            <v>0</v>
          </cell>
        </row>
        <row r="1241">
          <cell r="C1241" t="str">
            <v xml:space="preserve">   ASCORBIC ACID+CALCIUM+COLECALCIFEROL</v>
          </cell>
          <cell r="D1241">
            <v>299429</v>
          </cell>
          <cell r="E1241">
            <v>124966</v>
          </cell>
        </row>
        <row r="1242">
          <cell r="C1242" t="str">
            <v xml:space="preserve">    CAVIC-C PLUS       IAP</v>
          </cell>
          <cell r="D1242">
            <v>242372</v>
          </cell>
          <cell r="E1242">
            <v>60401</v>
          </cell>
        </row>
        <row r="1243">
          <cell r="C1243" t="str">
            <v xml:space="preserve">    CORACAD-C          ESF</v>
          </cell>
          <cell r="D1243">
            <v>22749</v>
          </cell>
          <cell r="E1243">
            <v>29438</v>
          </cell>
        </row>
        <row r="1244">
          <cell r="C1244" t="str">
            <v xml:space="preserve">    ALGECAL C PLUS     OPI</v>
          </cell>
          <cell r="D1244">
            <v>12128</v>
          </cell>
          <cell r="E1244">
            <v>10689</v>
          </cell>
        </row>
        <row r="1245">
          <cell r="C1245" t="str">
            <v xml:space="preserve">    OSTOGEN-C-PLUS     OPI</v>
          </cell>
          <cell r="D1245">
            <v>11623</v>
          </cell>
          <cell r="E1245">
            <v>12979</v>
          </cell>
        </row>
        <row r="1246">
          <cell r="C1246" t="str">
            <v xml:space="preserve">    CORA-C             A-I</v>
          </cell>
          <cell r="D1246">
            <v>10379</v>
          </cell>
          <cell r="E1246">
            <v>11424</v>
          </cell>
        </row>
        <row r="1247">
          <cell r="C1247" t="str">
            <v xml:space="preserve">    CALFIX-C PLUS      OS9</v>
          </cell>
          <cell r="D1247">
            <v>178</v>
          </cell>
          <cell r="E1247">
            <v>16</v>
          </cell>
        </row>
        <row r="1248">
          <cell r="C1248" t="str">
            <v xml:space="preserve">    CALBO-FORTE        SQA</v>
          </cell>
          <cell r="D1248">
            <v>0</v>
          </cell>
          <cell r="E1248">
            <v>19</v>
          </cell>
        </row>
        <row r="1249">
          <cell r="C1249" t="str">
            <v xml:space="preserve">   ASCORBIC ACID+CALCIUM</v>
          </cell>
          <cell r="D1249">
            <v>250318</v>
          </cell>
          <cell r="E1249">
            <v>136769</v>
          </cell>
        </row>
        <row r="1250">
          <cell r="C1250" t="str">
            <v xml:space="preserve">    CAVIC-C            IAP</v>
          </cell>
          <cell r="D1250">
            <v>199585</v>
          </cell>
          <cell r="E1250">
            <v>87152</v>
          </cell>
        </row>
        <row r="1251">
          <cell r="C1251" t="str">
            <v xml:space="preserve">    ALGECAL C          OPI</v>
          </cell>
          <cell r="D1251">
            <v>14151</v>
          </cell>
          <cell r="E1251">
            <v>13365</v>
          </cell>
        </row>
        <row r="1252">
          <cell r="C1252" t="str">
            <v xml:space="preserve">    OSTOGEN-C          OPI</v>
          </cell>
          <cell r="D1252">
            <v>9665</v>
          </cell>
          <cell r="E1252">
            <v>12214</v>
          </cell>
        </row>
        <row r="1253">
          <cell r="C1253" t="str">
            <v xml:space="preserve">    CALBO-C            SQA</v>
          </cell>
          <cell r="D1253">
            <v>9123</v>
          </cell>
          <cell r="E1253">
            <v>9929</v>
          </cell>
        </row>
        <row r="1254">
          <cell r="C1254" t="str">
            <v xml:space="preserve">    SANTE              HT3</v>
          </cell>
          <cell r="D1254">
            <v>8934</v>
          </cell>
          <cell r="E1254">
            <v>8732</v>
          </cell>
        </row>
        <row r="1255">
          <cell r="C1255" t="str">
            <v xml:space="preserve">    KALCORAL-C         PPH</v>
          </cell>
          <cell r="D1255">
            <v>5388</v>
          </cell>
          <cell r="E1255">
            <v>0</v>
          </cell>
        </row>
        <row r="1256">
          <cell r="C1256" t="str">
            <v xml:space="preserve">    OSTOCAL-C          ESF</v>
          </cell>
          <cell r="D1256">
            <v>1705</v>
          </cell>
          <cell r="E1256">
            <v>2855</v>
          </cell>
        </row>
        <row r="1257">
          <cell r="C1257" t="str">
            <v xml:space="preserve">    ACICAL-C           A-I</v>
          </cell>
          <cell r="D1257">
            <v>971</v>
          </cell>
          <cell r="E1257">
            <v>1300</v>
          </cell>
        </row>
        <row r="1258">
          <cell r="C1258" t="str">
            <v xml:space="preserve">    ULTRACAL-C         PPH</v>
          </cell>
          <cell r="D1258">
            <v>759</v>
          </cell>
          <cell r="E1258">
            <v>828</v>
          </cell>
        </row>
        <row r="1259">
          <cell r="C1259" t="str">
            <v xml:space="preserve">    C-4                A.P</v>
          </cell>
          <cell r="D1259">
            <v>21</v>
          </cell>
          <cell r="E1259">
            <v>3</v>
          </cell>
        </row>
        <row r="1260">
          <cell r="C1260" t="str">
            <v xml:space="preserve">    CALCEFER           RTA</v>
          </cell>
          <cell r="D1260">
            <v>10</v>
          </cell>
          <cell r="E1260">
            <v>179</v>
          </cell>
        </row>
        <row r="1261">
          <cell r="C1261" t="str">
            <v xml:space="preserve">    CALFIX-C           OS9</v>
          </cell>
          <cell r="D1261">
            <v>7</v>
          </cell>
          <cell r="E1261">
            <v>214</v>
          </cell>
        </row>
        <row r="1262">
          <cell r="C1262" t="str">
            <v xml:space="preserve">   CALCITRIOL+CALCIUM</v>
          </cell>
          <cell r="D1262">
            <v>180959</v>
          </cell>
          <cell r="E1262">
            <v>202048</v>
          </cell>
        </row>
        <row r="1263">
          <cell r="C1263" t="str">
            <v xml:space="preserve">    DICALTROL PLUS     D-I</v>
          </cell>
          <cell r="D1263">
            <v>145013</v>
          </cell>
          <cell r="E1263">
            <v>168195</v>
          </cell>
        </row>
        <row r="1264">
          <cell r="C1264" t="str">
            <v xml:space="preserve">    CALBOTOL           SQA</v>
          </cell>
          <cell r="D1264">
            <v>25932</v>
          </cell>
          <cell r="E1264">
            <v>30206</v>
          </cell>
        </row>
        <row r="1265">
          <cell r="C1265" t="str">
            <v xml:space="preserve">    ACTICAL            A-I</v>
          </cell>
          <cell r="D1265">
            <v>3925</v>
          </cell>
          <cell r="E1265">
            <v>0</v>
          </cell>
        </row>
        <row r="1266">
          <cell r="C1266" t="str">
            <v xml:space="preserve">    CITRITOL           OPI</v>
          </cell>
          <cell r="D1266">
            <v>3704</v>
          </cell>
          <cell r="E1266">
            <v>3647</v>
          </cell>
        </row>
        <row r="1267">
          <cell r="C1267" t="str">
            <v xml:space="preserve">    COLITROL PLUS      IAP</v>
          </cell>
          <cell r="D1267">
            <v>2384</v>
          </cell>
          <cell r="E1267">
            <v>0</v>
          </cell>
        </row>
        <row r="1268">
          <cell r="C1268" t="str">
            <v xml:space="preserve">   BORON+CALCIUM+COLECALCIFEROL+COPPER+MANGANESE+ZINC</v>
          </cell>
          <cell r="D1268">
            <v>50919</v>
          </cell>
          <cell r="E1268">
            <v>28606</v>
          </cell>
        </row>
        <row r="1269">
          <cell r="C1269" t="str">
            <v xml:space="preserve">    CALBOPLEX          SQA</v>
          </cell>
          <cell r="D1269">
            <v>49390</v>
          </cell>
          <cell r="E1269">
            <v>28077</v>
          </cell>
        </row>
        <row r="1270">
          <cell r="C1270" t="str">
            <v xml:space="preserve">    ACICAL-M           A-I</v>
          </cell>
          <cell r="D1270">
            <v>1529</v>
          </cell>
          <cell r="E1270">
            <v>529</v>
          </cell>
        </row>
        <row r="1271">
          <cell r="C1271" t="str">
            <v xml:space="preserve">   BORON+CALCIUM+COLECALCIFEROL+COPPER+MAGNESIUM+MANGANESE+ZINC</v>
          </cell>
          <cell r="D1271">
            <v>50298</v>
          </cell>
          <cell r="E1271">
            <v>54965</v>
          </cell>
        </row>
        <row r="1272">
          <cell r="C1272" t="str">
            <v xml:space="preserve">    CALVIMAX PLUS      IAP</v>
          </cell>
          <cell r="D1272">
            <v>20280</v>
          </cell>
          <cell r="E1272">
            <v>18034</v>
          </cell>
        </row>
        <row r="1273">
          <cell r="C1273" t="str">
            <v xml:space="preserve">    ROCAL-M            HT3</v>
          </cell>
          <cell r="D1273">
            <v>19394</v>
          </cell>
          <cell r="E1273">
            <v>22806</v>
          </cell>
        </row>
        <row r="1274">
          <cell r="C1274" t="str">
            <v xml:space="preserve">    OSTOCAL M          ESF</v>
          </cell>
          <cell r="D1274">
            <v>6625</v>
          </cell>
          <cell r="E1274">
            <v>8382</v>
          </cell>
        </row>
        <row r="1275">
          <cell r="C1275" t="str">
            <v xml:space="preserve">    OSTOGEN-PLUS       OPI</v>
          </cell>
          <cell r="D1275">
            <v>1700</v>
          </cell>
          <cell r="E1275">
            <v>2924</v>
          </cell>
        </row>
        <row r="1276">
          <cell r="C1276" t="str">
            <v xml:space="preserve">    IPICAL-M           IBN</v>
          </cell>
          <cell r="D1276">
            <v>1334</v>
          </cell>
          <cell r="E1276">
            <v>926</v>
          </cell>
        </row>
        <row r="1277">
          <cell r="C1277" t="str">
            <v xml:space="preserve">    CALCIN-M           RTA</v>
          </cell>
          <cell r="D1277">
            <v>472</v>
          </cell>
          <cell r="E1277">
            <v>1136</v>
          </cell>
        </row>
        <row r="1278">
          <cell r="C1278" t="str">
            <v xml:space="preserve">    ARISTOCAL-M        BXM</v>
          </cell>
          <cell r="D1278">
            <v>459</v>
          </cell>
          <cell r="E1278">
            <v>266</v>
          </cell>
        </row>
        <row r="1279">
          <cell r="C1279" t="str">
            <v xml:space="preserve">    CALBON -M          ATP</v>
          </cell>
          <cell r="D1279">
            <v>24</v>
          </cell>
          <cell r="E1279">
            <v>446</v>
          </cell>
        </row>
        <row r="1280">
          <cell r="C1280" t="str">
            <v xml:space="preserve">    STARCAL M          NJP</v>
          </cell>
          <cell r="D1280">
            <v>4</v>
          </cell>
          <cell r="E1280">
            <v>19</v>
          </cell>
        </row>
        <row r="1281">
          <cell r="C1281" t="str">
            <v xml:space="preserve">    CADMIN-PLUS        GNR</v>
          </cell>
          <cell r="D1281">
            <v>4</v>
          </cell>
          <cell r="E1281">
            <v>0</v>
          </cell>
        </row>
        <row r="1282">
          <cell r="C1282" t="str">
            <v xml:space="preserve">    APOCAL-DM          AX.</v>
          </cell>
          <cell r="D1282">
            <v>0</v>
          </cell>
          <cell r="E1282">
            <v>0</v>
          </cell>
        </row>
        <row r="1283">
          <cell r="C1283" t="str">
            <v xml:space="preserve">    MIRACAL-M          N8V</v>
          </cell>
          <cell r="D1283">
            <v>0</v>
          </cell>
          <cell r="E1283">
            <v>0</v>
          </cell>
        </row>
        <row r="1284">
          <cell r="C1284" t="str">
            <v xml:space="preserve">    ONECAL-M           ONA</v>
          </cell>
          <cell r="D1284">
            <v>0</v>
          </cell>
          <cell r="E1284">
            <v>25</v>
          </cell>
        </row>
        <row r="1285">
          <cell r="C1285" t="str">
            <v xml:space="preserve">    XTRACAL-M          P-S</v>
          </cell>
          <cell r="D1285">
            <v>0</v>
          </cell>
          <cell r="E1285">
            <v>0</v>
          </cell>
        </row>
        <row r="1286">
          <cell r="C1286" t="str">
            <v xml:space="preserve">   CALCIUM+COLECALCIFEROL+MENAQUINONE-7</v>
          </cell>
          <cell r="D1286">
            <v>49336</v>
          </cell>
          <cell r="E1286">
            <v>0</v>
          </cell>
        </row>
        <row r="1287">
          <cell r="C1287" t="str">
            <v xml:space="preserve">    KALCORAL-K         PPH</v>
          </cell>
          <cell r="D1287">
            <v>27478</v>
          </cell>
          <cell r="E1287">
            <v>0</v>
          </cell>
        </row>
        <row r="1288">
          <cell r="C1288" t="str">
            <v xml:space="preserve">    FOSIBON-DK         ATP</v>
          </cell>
          <cell r="D1288">
            <v>21858</v>
          </cell>
          <cell r="E1288">
            <v>0</v>
          </cell>
        </row>
        <row r="1289">
          <cell r="C1289" t="str">
            <v xml:space="preserve">   CALCIUM DOBESILATE</v>
          </cell>
          <cell r="D1289">
            <v>31030</v>
          </cell>
          <cell r="E1289">
            <v>30188</v>
          </cell>
        </row>
        <row r="1290">
          <cell r="C1290" t="str">
            <v xml:space="preserve">    CADOSIL            UNH</v>
          </cell>
          <cell r="D1290">
            <v>31030</v>
          </cell>
          <cell r="E1290">
            <v>30188</v>
          </cell>
        </row>
        <row r="1291">
          <cell r="C1291" t="str">
            <v xml:space="preserve">   CALCIUM+COLECALCIFEROL+MINERALS</v>
          </cell>
          <cell r="D1291">
            <v>1662</v>
          </cell>
          <cell r="E1291">
            <v>2665</v>
          </cell>
        </row>
        <row r="1292">
          <cell r="C1292" t="str">
            <v xml:space="preserve">    ACICAL-MX          A-I</v>
          </cell>
          <cell r="D1292">
            <v>1662</v>
          </cell>
          <cell r="E1292">
            <v>2665</v>
          </cell>
        </row>
        <row r="1293">
          <cell r="C1293" t="str">
            <v xml:space="preserve">   BORON+CALCIUM+COLECALCIFEROL+COPPER+MAGNESIUM+ZINC</v>
          </cell>
          <cell r="D1293">
            <v>1234</v>
          </cell>
          <cell r="E1293">
            <v>69</v>
          </cell>
        </row>
        <row r="1294">
          <cell r="C1294" t="str">
            <v xml:space="preserve">    OSCAL-M            UNH</v>
          </cell>
          <cell r="D1294">
            <v>1234</v>
          </cell>
          <cell r="E1294">
            <v>69</v>
          </cell>
        </row>
        <row r="1295">
          <cell r="C1295" t="str">
            <v xml:space="preserve">   ASCORBIC ACID+BORON+CALCIUM+COLECALCIFEROL+COPPER+MAGNESIUM+MANGANESE+VITAMIN E+ZINC</v>
          </cell>
          <cell r="D1295">
            <v>876</v>
          </cell>
          <cell r="E1295">
            <v>1239</v>
          </cell>
        </row>
        <row r="1296">
          <cell r="C1296" t="str">
            <v xml:space="preserve">    MAXICAL M          OR/</v>
          </cell>
          <cell r="D1296">
            <v>581</v>
          </cell>
          <cell r="E1296">
            <v>824</v>
          </cell>
        </row>
        <row r="1297">
          <cell r="C1297" t="str">
            <v xml:space="preserve">    NUTRUM BONE        ACM</v>
          </cell>
          <cell r="D1297">
            <v>276</v>
          </cell>
          <cell r="E1297">
            <v>308</v>
          </cell>
        </row>
        <row r="1298">
          <cell r="C1298" t="str">
            <v xml:space="preserve">    OSTOGEN-BONE       OPI</v>
          </cell>
          <cell r="D1298">
            <v>19</v>
          </cell>
          <cell r="E1298">
            <v>107</v>
          </cell>
        </row>
        <row r="1299">
          <cell r="C1299" t="str">
            <v xml:space="preserve">   BORON+CALCIUM+COLECALCIFEROL+MAGNESIUM+MANGANESE+ZINC</v>
          </cell>
          <cell r="D1299">
            <v>277</v>
          </cell>
          <cell r="E1299">
            <v>337</v>
          </cell>
        </row>
        <row r="1300">
          <cell r="C1300" t="str">
            <v xml:space="preserve">    CALCIN-M           RTA</v>
          </cell>
          <cell r="D1300">
            <v>277</v>
          </cell>
          <cell r="E1300">
            <v>337</v>
          </cell>
        </row>
        <row r="1301">
          <cell r="C1301" t="str">
            <v xml:space="preserve">   ASCORBIC ACID+BORON+CALCIUM+COLECALCIFEROL+COPPER+MAGNESIUM+VITAMIN E+ZINC</v>
          </cell>
          <cell r="D1301">
            <v>32</v>
          </cell>
          <cell r="E1301">
            <v>119</v>
          </cell>
        </row>
        <row r="1302">
          <cell r="C1302" t="str">
            <v xml:space="preserve">    CALBON-PLUS        ATP</v>
          </cell>
          <cell r="D1302">
            <v>32</v>
          </cell>
          <cell r="E1302">
            <v>119</v>
          </cell>
        </row>
        <row r="1303">
          <cell r="C1303" t="str">
            <v xml:space="preserve">   LACTOSE</v>
          </cell>
          <cell r="D1303">
            <v>0</v>
          </cell>
          <cell r="E1303">
            <v>0</v>
          </cell>
        </row>
        <row r="1304">
          <cell r="C1304" t="str">
            <v xml:space="preserve">    LACTAB             KMP</v>
          </cell>
          <cell r="D1304">
            <v>0</v>
          </cell>
          <cell r="E1304">
            <v>0</v>
          </cell>
        </row>
        <row r="1305">
          <cell r="C1305" t="str">
            <v xml:space="preserve"> ANTIRHEUMATIC NON-STEROID</v>
          </cell>
          <cell r="D1305">
            <v>11089637</v>
          </cell>
          <cell r="E1305">
            <v>9419842</v>
          </cell>
        </row>
        <row r="1306">
          <cell r="C1306" t="str">
            <v xml:space="preserve">  ANTIRHEUMATICS NON-S PLN</v>
          </cell>
          <cell r="D1306">
            <v>9624684</v>
          </cell>
          <cell r="E1306">
            <v>8149601</v>
          </cell>
        </row>
        <row r="1307">
          <cell r="C1307" t="str">
            <v xml:space="preserve">   ESOMEPRAZOLE+NAPROXEN</v>
          </cell>
          <cell r="D1307">
            <v>2800381</v>
          </cell>
          <cell r="E1307">
            <v>2313640</v>
          </cell>
        </row>
        <row r="1308">
          <cell r="C1308" t="str">
            <v xml:space="preserve">    NAPROSYN-PLUS      RD7</v>
          </cell>
          <cell r="D1308">
            <v>611089</v>
          </cell>
          <cell r="E1308">
            <v>471647</v>
          </cell>
        </row>
        <row r="1309">
          <cell r="C1309" t="str">
            <v xml:space="preserve">    DINOVO             BXM</v>
          </cell>
          <cell r="D1309">
            <v>444873</v>
          </cell>
          <cell r="E1309">
            <v>354769</v>
          </cell>
        </row>
        <row r="1310">
          <cell r="C1310" t="str">
            <v xml:space="preserve">    NESO               ATP</v>
          </cell>
          <cell r="D1310">
            <v>409411</v>
          </cell>
          <cell r="E1310">
            <v>300823</v>
          </cell>
        </row>
        <row r="1311">
          <cell r="C1311" t="str">
            <v xml:space="preserve">    SOLIVO             HT3</v>
          </cell>
          <cell r="D1311">
            <v>389410</v>
          </cell>
          <cell r="E1311">
            <v>296645</v>
          </cell>
        </row>
        <row r="1312">
          <cell r="C1312" t="str">
            <v xml:space="preserve">    ANAFLEX MAX        A-I</v>
          </cell>
          <cell r="D1312">
            <v>134246</v>
          </cell>
          <cell r="E1312">
            <v>111153</v>
          </cell>
        </row>
        <row r="1313">
          <cell r="C1313" t="str">
            <v xml:space="preserve">    NAPRO-A-PLUS       ACM</v>
          </cell>
          <cell r="D1313">
            <v>127644</v>
          </cell>
          <cell r="E1313">
            <v>99245</v>
          </cell>
        </row>
        <row r="1314">
          <cell r="C1314" t="str">
            <v xml:space="preserve">    NAPROX  PLUS       ESF</v>
          </cell>
          <cell r="D1314">
            <v>112836</v>
          </cell>
          <cell r="E1314">
            <v>109495</v>
          </cell>
        </row>
        <row r="1315">
          <cell r="C1315" t="str">
            <v xml:space="preserve">    XENOLE             SQA</v>
          </cell>
          <cell r="D1315">
            <v>103644</v>
          </cell>
          <cell r="E1315">
            <v>101043</v>
          </cell>
        </row>
        <row r="1316">
          <cell r="C1316" t="str">
            <v xml:space="preserve">    NAPSEC             D-I</v>
          </cell>
          <cell r="D1316">
            <v>79819</v>
          </cell>
          <cell r="E1316">
            <v>58250</v>
          </cell>
        </row>
        <row r="1317">
          <cell r="C1317" t="str">
            <v xml:space="preserve">    NAPXON             ZIS</v>
          </cell>
          <cell r="D1317">
            <v>65358</v>
          </cell>
          <cell r="E1317">
            <v>69741</v>
          </cell>
        </row>
        <row r="1318">
          <cell r="C1318" t="str">
            <v xml:space="preserve">    NIMOVO             NJP</v>
          </cell>
          <cell r="D1318">
            <v>63937</v>
          </cell>
          <cell r="E1318">
            <v>98360</v>
          </cell>
        </row>
        <row r="1319">
          <cell r="C1319" t="str">
            <v xml:space="preserve">    PROGESIC           IAP</v>
          </cell>
          <cell r="D1319">
            <v>56218</v>
          </cell>
          <cell r="E1319">
            <v>34327</v>
          </cell>
        </row>
        <row r="1320">
          <cell r="C1320" t="str">
            <v xml:space="preserve">    NASPRO PLUS        PPH</v>
          </cell>
          <cell r="D1320">
            <v>51247</v>
          </cell>
          <cell r="E1320">
            <v>43712</v>
          </cell>
        </row>
        <row r="1321">
          <cell r="C1321" t="str">
            <v xml:space="preserve">    NUPRALGIN PLUS     IBN</v>
          </cell>
          <cell r="D1321">
            <v>33446</v>
          </cell>
          <cell r="E1321">
            <v>29803</v>
          </cell>
        </row>
        <row r="1322">
          <cell r="C1322" t="str">
            <v xml:space="preserve">    NAXIN PLUS         OPI</v>
          </cell>
          <cell r="D1322">
            <v>26786</v>
          </cell>
          <cell r="E1322">
            <v>21697</v>
          </cell>
        </row>
        <row r="1323">
          <cell r="C1323" t="str">
            <v xml:space="preserve">    ESONA              N8V</v>
          </cell>
          <cell r="D1323">
            <v>25334</v>
          </cell>
          <cell r="E1323">
            <v>34244</v>
          </cell>
        </row>
        <row r="1324">
          <cell r="C1324" t="str">
            <v xml:space="preserve">    DUOFIX             OS9</v>
          </cell>
          <cell r="D1324">
            <v>12282</v>
          </cell>
          <cell r="E1324">
            <v>14094</v>
          </cell>
        </row>
        <row r="1325">
          <cell r="C1325" t="str">
            <v xml:space="preserve">    XENAPRO PLUS       RTA</v>
          </cell>
          <cell r="D1325">
            <v>7539</v>
          </cell>
          <cell r="E1325">
            <v>5270</v>
          </cell>
        </row>
        <row r="1326">
          <cell r="C1326" t="str">
            <v xml:space="preserve">    DEMOVO             D&amp;B</v>
          </cell>
          <cell r="D1326">
            <v>7018</v>
          </cell>
          <cell r="E1326">
            <v>7828</v>
          </cell>
        </row>
        <row r="1327">
          <cell r="C1327" t="str">
            <v xml:space="preserve">    NAPROZOL           GNR</v>
          </cell>
          <cell r="D1327">
            <v>6948</v>
          </cell>
          <cell r="E1327">
            <v>18428</v>
          </cell>
        </row>
        <row r="1328">
          <cell r="C1328" t="str">
            <v xml:space="preserve">    NAXIPRAZ           SPI</v>
          </cell>
          <cell r="D1328">
            <v>5818</v>
          </cell>
          <cell r="E1328">
            <v>0</v>
          </cell>
        </row>
        <row r="1329">
          <cell r="C1329" t="str">
            <v xml:space="preserve">    NOVOXEN            OR/</v>
          </cell>
          <cell r="D1329">
            <v>5422</v>
          </cell>
          <cell r="E1329">
            <v>6558</v>
          </cell>
        </row>
        <row r="1330">
          <cell r="C1330" t="str">
            <v xml:space="preserve">    ANNOVA PLUS        BAC</v>
          </cell>
          <cell r="D1330">
            <v>4851</v>
          </cell>
          <cell r="E1330">
            <v>0</v>
          </cell>
        </row>
        <row r="1331">
          <cell r="C1331" t="str">
            <v xml:space="preserve">    NAPEXA             UNH</v>
          </cell>
          <cell r="D1331">
            <v>4796</v>
          </cell>
          <cell r="E1331">
            <v>10047</v>
          </cell>
        </row>
        <row r="1332">
          <cell r="C1332" t="str">
            <v xml:space="preserve">    PAINCARE           LDB</v>
          </cell>
          <cell r="D1332">
            <v>3934</v>
          </cell>
          <cell r="E1332">
            <v>7932</v>
          </cell>
        </row>
        <row r="1333">
          <cell r="C1333" t="str">
            <v xml:space="preserve">    NAPROTEC           SH0</v>
          </cell>
          <cell r="D1333">
            <v>1673</v>
          </cell>
          <cell r="E1333">
            <v>1330</v>
          </cell>
        </row>
        <row r="1334">
          <cell r="C1334" t="str">
            <v xml:space="preserve">    NESOTEM            TMH</v>
          </cell>
          <cell r="D1334">
            <v>1591</v>
          </cell>
          <cell r="E1334">
            <v>1733</v>
          </cell>
        </row>
        <row r="1335">
          <cell r="C1335" t="str">
            <v xml:space="preserve">    NASOPAIN           J&amp;H</v>
          </cell>
          <cell r="D1335">
            <v>1067</v>
          </cell>
          <cell r="E1335">
            <v>2594</v>
          </cell>
        </row>
        <row r="1336">
          <cell r="C1336" t="str">
            <v xml:space="preserve">    NX PLUS            ONA</v>
          </cell>
          <cell r="D1336">
            <v>796</v>
          </cell>
          <cell r="E1336">
            <v>368</v>
          </cell>
        </row>
        <row r="1337">
          <cell r="C1337" t="str">
            <v xml:space="preserve">    EMAPROX            GBE</v>
          </cell>
          <cell r="D1337">
            <v>597</v>
          </cell>
          <cell r="E1337">
            <v>1129</v>
          </cell>
        </row>
        <row r="1338">
          <cell r="C1338" t="str">
            <v xml:space="preserve">    PROGUT-N           PPH</v>
          </cell>
          <cell r="D1338">
            <v>459</v>
          </cell>
          <cell r="E1338">
            <v>216</v>
          </cell>
        </row>
        <row r="1339">
          <cell r="C1339" t="str">
            <v xml:space="preserve">    ANAPROX            AMD</v>
          </cell>
          <cell r="D1339">
            <v>97</v>
          </cell>
          <cell r="E1339">
            <v>5</v>
          </cell>
        </row>
        <row r="1340">
          <cell r="C1340" t="str">
            <v xml:space="preserve">    NAPRONIL PLUS      P-S</v>
          </cell>
          <cell r="D1340">
            <v>86</v>
          </cell>
          <cell r="E1340">
            <v>332</v>
          </cell>
        </row>
        <row r="1341">
          <cell r="C1341" t="str">
            <v xml:space="preserve">    NAPROFLEX          S&amp;O</v>
          </cell>
          <cell r="D1341">
            <v>67</v>
          </cell>
          <cell r="E1341">
            <v>213</v>
          </cell>
        </row>
        <row r="1342">
          <cell r="C1342" t="str">
            <v xml:space="preserve">    TWIST              CHM</v>
          </cell>
          <cell r="D1342">
            <v>42</v>
          </cell>
          <cell r="E1342">
            <v>19</v>
          </cell>
        </row>
        <row r="1343">
          <cell r="C1343" t="str">
            <v xml:space="preserve">    INFLECT            KMP</v>
          </cell>
          <cell r="D1343">
            <v>0</v>
          </cell>
          <cell r="E1343">
            <v>0</v>
          </cell>
        </row>
        <row r="1344">
          <cell r="C1344" t="str">
            <v xml:space="preserve">    NOVAXEN PLUS       LOP</v>
          </cell>
          <cell r="D1344">
            <v>0</v>
          </cell>
          <cell r="E1344">
            <v>0</v>
          </cell>
        </row>
        <row r="1345">
          <cell r="C1345" t="str">
            <v xml:space="preserve">    ESOXEN             NVK</v>
          </cell>
          <cell r="D1345">
            <v>0</v>
          </cell>
          <cell r="E1345">
            <v>185</v>
          </cell>
        </row>
        <row r="1346">
          <cell r="C1346" t="str">
            <v xml:space="preserve">    ENAR               MED</v>
          </cell>
          <cell r="D1346">
            <v>0</v>
          </cell>
          <cell r="E1346">
            <v>362</v>
          </cell>
        </row>
        <row r="1347">
          <cell r="C1347" t="str">
            <v xml:space="preserve">    GREATNAP           EDR</v>
          </cell>
          <cell r="D1347">
            <v>0</v>
          </cell>
          <cell r="E1347">
            <v>0</v>
          </cell>
        </row>
        <row r="1348">
          <cell r="C1348" t="str">
            <v xml:space="preserve">    NAPRESO            EMA</v>
          </cell>
          <cell r="D1348">
            <v>0</v>
          </cell>
          <cell r="E1348">
            <v>0</v>
          </cell>
        </row>
        <row r="1349">
          <cell r="C1349" t="str">
            <v xml:space="preserve">    XENAP PLUS         A-H</v>
          </cell>
          <cell r="D1349">
            <v>0</v>
          </cell>
          <cell r="E1349">
            <v>44</v>
          </cell>
        </row>
        <row r="1350">
          <cell r="C1350" t="str">
            <v xml:space="preserve">   ACECLOFENAC</v>
          </cell>
          <cell r="D1350">
            <v>1421771</v>
          </cell>
          <cell r="E1350">
            <v>1305010</v>
          </cell>
        </row>
        <row r="1351">
          <cell r="C1351" t="str">
            <v xml:space="preserve">    FLEXI              SQA</v>
          </cell>
          <cell r="D1351">
            <v>339695</v>
          </cell>
          <cell r="E1351">
            <v>325313</v>
          </cell>
        </row>
        <row r="1352">
          <cell r="C1352" t="str">
            <v xml:space="preserve">    RESERVIX           IAP</v>
          </cell>
          <cell r="D1352">
            <v>310961</v>
          </cell>
          <cell r="E1352">
            <v>281088</v>
          </cell>
        </row>
        <row r="1353">
          <cell r="C1353" t="str">
            <v xml:space="preserve">    MERVAN             ATP</v>
          </cell>
          <cell r="D1353">
            <v>296216</v>
          </cell>
          <cell r="E1353">
            <v>286524</v>
          </cell>
        </row>
        <row r="1354">
          <cell r="C1354" t="str">
            <v xml:space="preserve">    TERNILLA           HT3</v>
          </cell>
          <cell r="D1354">
            <v>186551</v>
          </cell>
          <cell r="E1354">
            <v>141255</v>
          </cell>
        </row>
        <row r="1355">
          <cell r="C1355" t="str">
            <v xml:space="preserve">    ZOLFIN             BXM</v>
          </cell>
          <cell r="D1355">
            <v>81922</v>
          </cell>
          <cell r="E1355">
            <v>68037</v>
          </cell>
        </row>
        <row r="1356">
          <cell r="C1356" t="str">
            <v xml:space="preserve">    AVENAC             RD7</v>
          </cell>
          <cell r="D1356">
            <v>66875</v>
          </cell>
          <cell r="E1356">
            <v>61503</v>
          </cell>
        </row>
        <row r="1357">
          <cell r="C1357" t="str">
            <v xml:space="preserve">    VAXTIN             SDZ</v>
          </cell>
          <cell r="D1357">
            <v>38298</v>
          </cell>
          <cell r="E1357">
            <v>36154</v>
          </cell>
        </row>
        <row r="1358">
          <cell r="C1358" t="str">
            <v xml:space="preserve">    MOVEX              OPI</v>
          </cell>
          <cell r="D1358">
            <v>26156</v>
          </cell>
          <cell r="E1358">
            <v>22323</v>
          </cell>
        </row>
        <row r="1359">
          <cell r="C1359" t="str">
            <v xml:space="preserve">    APITAC             ACM</v>
          </cell>
          <cell r="D1359">
            <v>14128</v>
          </cell>
          <cell r="E1359">
            <v>11504</v>
          </cell>
        </row>
        <row r="1360">
          <cell r="C1360" t="str">
            <v xml:space="preserve">    FLEXIVAN           NJP</v>
          </cell>
          <cell r="D1360">
            <v>13632</v>
          </cell>
          <cell r="E1360">
            <v>14639</v>
          </cell>
        </row>
        <row r="1361">
          <cell r="C1361" t="str">
            <v xml:space="preserve">    NOFENAC            D-I</v>
          </cell>
          <cell r="D1361">
            <v>8805</v>
          </cell>
          <cell r="E1361">
            <v>8613</v>
          </cell>
        </row>
        <row r="1362">
          <cell r="C1362" t="str">
            <v xml:space="preserve">    CECLOFEN           RTA</v>
          </cell>
          <cell r="D1362">
            <v>6218</v>
          </cell>
          <cell r="E1362">
            <v>4758</v>
          </cell>
        </row>
        <row r="1363">
          <cell r="C1363" t="str">
            <v xml:space="preserve">    PAINO              ESF</v>
          </cell>
          <cell r="D1363">
            <v>6030</v>
          </cell>
          <cell r="E1363">
            <v>7346</v>
          </cell>
        </row>
        <row r="1364">
          <cell r="C1364" t="str">
            <v xml:space="preserve">    PRESERVIN          IBN</v>
          </cell>
          <cell r="D1364">
            <v>5746</v>
          </cell>
          <cell r="E1364">
            <v>6921</v>
          </cell>
        </row>
        <row r="1365">
          <cell r="C1365" t="str">
            <v xml:space="preserve">    FREEMAX            NUV</v>
          </cell>
          <cell r="D1365">
            <v>3533</v>
          </cell>
          <cell r="E1365">
            <v>4116</v>
          </cell>
        </row>
        <row r="1366">
          <cell r="C1366" t="str">
            <v xml:space="preserve">    NOAK               OR/</v>
          </cell>
          <cell r="D1366">
            <v>2631</v>
          </cell>
          <cell r="E1366">
            <v>2280</v>
          </cell>
        </row>
        <row r="1367">
          <cell r="C1367" t="str">
            <v xml:space="preserve">    CLOF               BP&amp;</v>
          </cell>
          <cell r="D1367">
            <v>2555</v>
          </cell>
          <cell r="E1367">
            <v>3707</v>
          </cell>
        </row>
        <row r="1368">
          <cell r="C1368" t="str">
            <v xml:space="preserve">    ACEBID             BAC</v>
          </cell>
          <cell r="D1368">
            <v>2092</v>
          </cell>
          <cell r="E1368">
            <v>3738</v>
          </cell>
        </row>
        <row r="1369">
          <cell r="C1369" t="str">
            <v xml:space="preserve">    ACECOL             ZIS</v>
          </cell>
          <cell r="D1369">
            <v>1769</v>
          </cell>
          <cell r="E1369">
            <v>1938</v>
          </cell>
        </row>
        <row r="1370">
          <cell r="C1370" t="str">
            <v xml:space="preserve">    LABENAC            LDB</v>
          </cell>
          <cell r="D1370">
            <v>1696</v>
          </cell>
          <cell r="E1370">
            <v>2712</v>
          </cell>
        </row>
        <row r="1371">
          <cell r="C1371" t="str">
            <v xml:space="preserve">    OSTOFLEX           S&amp;O</v>
          </cell>
          <cell r="D1371">
            <v>1330</v>
          </cell>
          <cell r="E1371">
            <v>1504</v>
          </cell>
        </row>
        <row r="1372">
          <cell r="C1372" t="str">
            <v xml:space="preserve">    ACEFENAC           GNR</v>
          </cell>
          <cell r="D1372">
            <v>1152</v>
          </cell>
          <cell r="E1372">
            <v>3882</v>
          </cell>
        </row>
        <row r="1373">
          <cell r="C1373" t="str">
            <v xml:space="preserve">    XTRAFEN            D&amp;B</v>
          </cell>
          <cell r="D1373">
            <v>1000</v>
          </cell>
          <cell r="E1373">
            <v>1032</v>
          </cell>
        </row>
        <row r="1374">
          <cell r="C1374" t="str">
            <v xml:space="preserve">    AROS               GBE</v>
          </cell>
          <cell r="D1374">
            <v>593</v>
          </cell>
          <cell r="E1374">
            <v>725</v>
          </cell>
        </row>
        <row r="1375">
          <cell r="C1375" t="str">
            <v xml:space="preserve">    APECLO             AX.</v>
          </cell>
          <cell r="D1375">
            <v>567</v>
          </cell>
          <cell r="E1375">
            <v>437</v>
          </cell>
        </row>
        <row r="1376">
          <cell r="C1376" t="str">
            <v xml:space="preserve">    AC PR              PAC</v>
          </cell>
          <cell r="D1376">
            <v>448</v>
          </cell>
          <cell r="E1376">
            <v>909</v>
          </cell>
        </row>
        <row r="1377">
          <cell r="C1377" t="str">
            <v xml:space="preserve">    CELOFEN            A-I</v>
          </cell>
          <cell r="D1377">
            <v>422</v>
          </cell>
          <cell r="E1377">
            <v>404</v>
          </cell>
        </row>
        <row r="1378">
          <cell r="C1378" t="str">
            <v xml:space="preserve">    ACLONAC            P-S</v>
          </cell>
          <cell r="D1378">
            <v>241</v>
          </cell>
          <cell r="E1378">
            <v>205</v>
          </cell>
        </row>
        <row r="1379">
          <cell r="C1379" t="str">
            <v xml:space="preserve">    ACLOPAIN           J&amp;H</v>
          </cell>
          <cell r="D1379">
            <v>149</v>
          </cell>
          <cell r="E1379">
            <v>252</v>
          </cell>
        </row>
        <row r="1380">
          <cell r="C1380" t="str">
            <v xml:space="preserve">    EXIPAIN            OS9</v>
          </cell>
          <cell r="D1380">
            <v>104</v>
          </cell>
          <cell r="E1380">
            <v>157</v>
          </cell>
        </row>
        <row r="1381">
          <cell r="C1381" t="str">
            <v xml:space="preserve">    FLEXIDOL           S-C</v>
          </cell>
          <cell r="D1381">
            <v>74</v>
          </cell>
          <cell r="E1381">
            <v>398</v>
          </cell>
        </row>
        <row r="1382">
          <cell r="C1382" t="str">
            <v xml:space="preserve">    XYFEN              SPR</v>
          </cell>
          <cell r="D1382">
            <v>63</v>
          </cell>
          <cell r="E1382">
            <v>134</v>
          </cell>
        </row>
        <row r="1383">
          <cell r="C1383" t="str">
            <v xml:space="preserve">    REPIDOR            RPH</v>
          </cell>
          <cell r="D1383">
            <v>51</v>
          </cell>
          <cell r="E1383">
            <v>32</v>
          </cell>
        </row>
        <row r="1384">
          <cell r="C1384" t="str">
            <v xml:space="preserve">    TUFFOX             ESF</v>
          </cell>
          <cell r="D1384">
            <v>18</v>
          </cell>
          <cell r="E1384">
            <v>0</v>
          </cell>
        </row>
        <row r="1385">
          <cell r="C1385" t="str">
            <v xml:space="preserve">    PONOS              ONA</v>
          </cell>
          <cell r="D1385">
            <v>17</v>
          </cell>
          <cell r="E1385">
            <v>5</v>
          </cell>
        </row>
        <row r="1386">
          <cell r="C1386" t="str">
            <v xml:space="preserve">    FENAAF             NAF</v>
          </cell>
          <cell r="D1386">
            <v>17</v>
          </cell>
          <cell r="E1386">
            <v>0</v>
          </cell>
        </row>
        <row r="1387">
          <cell r="C1387" t="str">
            <v xml:space="preserve">    ACLO               A.P</v>
          </cell>
          <cell r="D1387">
            <v>13</v>
          </cell>
          <cell r="E1387">
            <v>230</v>
          </cell>
        </row>
        <row r="1388">
          <cell r="C1388" t="str">
            <v xml:space="preserve">    ACECLOFEN          A-H</v>
          </cell>
          <cell r="D1388">
            <v>2</v>
          </cell>
          <cell r="E1388">
            <v>0</v>
          </cell>
        </row>
        <row r="1389">
          <cell r="C1389" t="str">
            <v xml:space="preserve">    ACENAC             MED</v>
          </cell>
          <cell r="D1389">
            <v>0</v>
          </cell>
          <cell r="E1389">
            <v>56</v>
          </cell>
        </row>
        <row r="1390">
          <cell r="C1390" t="str">
            <v xml:space="preserve">    ACELOCK            BRI</v>
          </cell>
          <cell r="D1390">
            <v>0</v>
          </cell>
          <cell r="E1390">
            <v>0</v>
          </cell>
        </row>
        <row r="1391">
          <cell r="C1391" t="str">
            <v xml:space="preserve">    ACELON             CPH</v>
          </cell>
          <cell r="D1391">
            <v>0</v>
          </cell>
          <cell r="E1391">
            <v>0</v>
          </cell>
        </row>
        <row r="1392">
          <cell r="C1392" t="str">
            <v xml:space="preserve">    ALONA              KMP</v>
          </cell>
          <cell r="D1392">
            <v>0</v>
          </cell>
          <cell r="E1392">
            <v>0</v>
          </cell>
        </row>
        <row r="1393">
          <cell r="C1393" t="str">
            <v xml:space="preserve">    CASYN              ETH</v>
          </cell>
          <cell r="D1393">
            <v>0</v>
          </cell>
          <cell r="E1393">
            <v>0</v>
          </cell>
        </row>
        <row r="1394">
          <cell r="C1394" t="str">
            <v xml:space="preserve">    ECENA              EDR</v>
          </cell>
          <cell r="D1394">
            <v>0</v>
          </cell>
          <cell r="E1394">
            <v>25</v>
          </cell>
        </row>
        <row r="1395">
          <cell r="C1395" t="str">
            <v xml:space="preserve">    ORIFEN             SV6</v>
          </cell>
          <cell r="D1395">
            <v>0</v>
          </cell>
          <cell r="E1395">
            <v>33</v>
          </cell>
        </row>
        <row r="1396">
          <cell r="C1396" t="str">
            <v xml:space="preserve">    PAINEX             CHM</v>
          </cell>
          <cell r="D1396">
            <v>0</v>
          </cell>
          <cell r="E1396">
            <v>0</v>
          </cell>
        </row>
        <row r="1397">
          <cell r="C1397" t="str">
            <v xml:space="preserve">    PANKIL             EVR</v>
          </cell>
          <cell r="D1397">
            <v>0</v>
          </cell>
          <cell r="E1397">
            <v>0</v>
          </cell>
        </row>
        <row r="1398">
          <cell r="C1398" t="str">
            <v xml:space="preserve">    QRIP               S.Y</v>
          </cell>
          <cell r="D1398">
            <v>0</v>
          </cell>
          <cell r="E1398">
            <v>0</v>
          </cell>
        </row>
        <row r="1399">
          <cell r="C1399" t="str">
            <v xml:space="preserve">    SERVEX             NVO</v>
          </cell>
          <cell r="D1399">
            <v>0</v>
          </cell>
          <cell r="E1399">
            <v>0</v>
          </cell>
        </row>
        <row r="1400">
          <cell r="C1400" t="str">
            <v xml:space="preserve">    SILFEENAC          S6C</v>
          </cell>
          <cell r="D1400">
            <v>0</v>
          </cell>
          <cell r="E1400">
            <v>0</v>
          </cell>
        </row>
        <row r="1401">
          <cell r="C1401" t="str">
            <v xml:space="preserve">    UAC                U7P</v>
          </cell>
          <cell r="D1401">
            <v>0</v>
          </cell>
          <cell r="E1401">
            <v>0</v>
          </cell>
        </row>
        <row r="1402">
          <cell r="C1402" t="str">
            <v xml:space="preserve">    XERIFEN            PP-</v>
          </cell>
          <cell r="D1402">
            <v>0</v>
          </cell>
          <cell r="E1402">
            <v>0</v>
          </cell>
        </row>
        <row r="1403">
          <cell r="C1403" t="str">
            <v xml:space="preserve">    XE-FAST            DSH</v>
          </cell>
          <cell r="D1403">
            <v>0</v>
          </cell>
          <cell r="E1403">
            <v>0</v>
          </cell>
        </row>
        <row r="1404">
          <cell r="C1404" t="str">
            <v xml:space="preserve">    XERIFLAM           KUM</v>
          </cell>
          <cell r="D1404">
            <v>0</v>
          </cell>
          <cell r="E1404">
            <v>10</v>
          </cell>
        </row>
        <row r="1405">
          <cell r="C1405" t="str">
            <v xml:space="preserve">    XPAIN              GCO</v>
          </cell>
          <cell r="D1405">
            <v>0</v>
          </cell>
          <cell r="E1405">
            <v>13</v>
          </cell>
        </row>
        <row r="1406">
          <cell r="C1406" t="str">
            <v xml:space="preserve">    ZERODOL            N8V</v>
          </cell>
          <cell r="D1406">
            <v>0</v>
          </cell>
          <cell r="E1406">
            <v>0</v>
          </cell>
        </row>
        <row r="1407">
          <cell r="C1407" t="str">
            <v xml:space="preserve">    PENAC-AC           APC</v>
          </cell>
          <cell r="D1407">
            <v>0</v>
          </cell>
          <cell r="E1407">
            <v>0</v>
          </cell>
        </row>
        <row r="1408">
          <cell r="C1408" t="str">
            <v xml:space="preserve">    XEROLIN            NVW</v>
          </cell>
          <cell r="D1408">
            <v>0</v>
          </cell>
          <cell r="E1408">
            <v>8</v>
          </cell>
        </row>
        <row r="1409">
          <cell r="C1409" t="str">
            <v xml:space="preserve">    POLYNAC            LOP</v>
          </cell>
          <cell r="D1409">
            <v>0</v>
          </cell>
          <cell r="E1409">
            <v>0</v>
          </cell>
        </row>
        <row r="1410">
          <cell r="C1410" t="str">
            <v xml:space="preserve">    ACEDOL             CC/</v>
          </cell>
          <cell r="D1410">
            <v>0</v>
          </cell>
          <cell r="E1410">
            <v>0</v>
          </cell>
        </row>
        <row r="1411">
          <cell r="C1411" t="str">
            <v xml:space="preserve">    ORCENAC            NVK</v>
          </cell>
          <cell r="D1411">
            <v>0</v>
          </cell>
          <cell r="E1411">
            <v>70</v>
          </cell>
        </row>
        <row r="1412">
          <cell r="C1412" t="str">
            <v xml:space="preserve">    FIXONAC            EMA</v>
          </cell>
          <cell r="D1412">
            <v>0</v>
          </cell>
          <cell r="E1412">
            <v>21</v>
          </cell>
        </row>
        <row r="1413">
          <cell r="C1413" t="str">
            <v xml:space="preserve">    SB-ACELO           SBD</v>
          </cell>
          <cell r="D1413">
            <v>0</v>
          </cell>
          <cell r="E1413">
            <v>0</v>
          </cell>
        </row>
        <row r="1414">
          <cell r="C1414" t="str">
            <v xml:space="preserve">    FLECO              AD0</v>
          </cell>
          <cell r="D1414">
            <v>0</v>
          </cell>
          <cell r="E1414">
            <v>0</v>
          </cell>
        </row>
        <row r="1415">
          <cell r="C1415" t="str">
            <v xml:space="preserve">    CLAIM              AMD</v>
          </cell>
          <cell r="D1415">
            <v>0</v>
          </cell>
          <cell r="E1415">
            <v>0</v>
          </cell>
        </row>
        <row r="1416">
          <cell r="C1416" t="str">
            <v xml:space="preserve">    CAREPAIN           GD2</v>
          </cell>
          <cell r="D1416">
            <v>0</v>
          </cell>
          <cell r="E1416">
            <v>0</v>
          </cell>
        </row>
        <row r="1417">
          <cell r="C1417" t="str">
            <v xml:space="preserve">   NAPROXEN</v>
          </cell>
          <cell r="D1417">
            <v>1407059</v>
          </cell>
          <cell r="E1417">
            <v>1157045</v>
          </cell>
        </row>
        <row r="1418">
          <cell r="C1418" t="str">
            <v xml:space="preserve">    NAPROSYN           ROC</v>
          </cell>
          <cell r="D1418">
            <v>694894</v>
          </cell>
          <cell r="E1418">
            <v>551701</v>
          </cell>
        </row>
        <row r="1419">
          <cell r="C1419" t="str">
            <v xml:space="preserve">    NAPRYN             HT3</v>
          </cell>
          <cell r="D1419">
            <v>249928</v>
          </cell>
          <cell r="E1419">
            <v>218331</v>
          </cell>
        </row>
        <row r="1420">
          <cell r="C1420" t="str">
            <v xml:space="preserve">    NAPROX             ESF</v>
          </cell>
          <cell r="D1420">
            <v>138048</v>
          </cell>
          <cell r="E1420">
            <v>128186</v>
          </cell>
        </row>
        <row r="1421">
          <cell r="C1421" t="str">
            <v xml:space="preserve">    ANAFLEX            A-I</v>
          </cell>
          <cell r="D1421">
            <v>69103</v>
          </cell>
          <cell r="E1421">
            <v>54012</v>
          </cell>
        </row>
        <row r="1422">
          <cell r="C1422" t="str">
            <v xml:space="preserve">    NAPDAS             ESF</v>
          </cell>
          <cell r="D1422">
            <v>61416</v>
          </cell>
          <cell r="E1422">
            <v>0</v>
          </cell>
        </row>
        <row r="1423">
          <cell r="C1423" t="str">
            <v xml:space="preserve">    NAPRO-A            ACM</v>
          </cell>
          <cell r="D1423">
            <v>58942</v>
          </cell>
          <cell r="E1423">
            <v>65170</v>
          </cell>
        </row>
        <row r="1424">
          <cell r="C1424" t="str">
            <v xml:space="preserve">    DIPROXEN           D-I</v>
          </cell>
          <cell r="D1424">
            <v>36396</v>
          </cell>
          <cell r="E1424">
            <v>33040</v>
          </cell>
        </row>
        <row r="1425">
          <cell r="C1425" t="str">
            <v xml:space="preserve">    NAPSOD             UNH</v>
          </cell>
          <cell r="D1425">
            <v>31962</v>
          </cell>
          <cell r="E1425">
            <v>37182</v>
          </cell>
        </row>
        <row r="1426">
          <cell r="C1426" t="str">
            <v xml:space="preserve">    SONAP              SQA</v>
          </cell>
          <cell r="D1426">
            <v>27187</v>
          </cell>
          <cell r="E1426">
            <v>34350</v>
          </cell>
        </row>
        <row r="1427">
          <cell r="C1427" t="str">
            <v xml:space="preserve">    NAPRO              ATP</v>
          </cell>
          <cell r="D1427">
            <v>15985</v>
          </cell>
          <cell r="E1427">
            <v>10074</v>
          </cell>
        </row>
        <row r="1428">
          <cell r="C1428" t="str">
            <v xml:space="preserve">    NASPRO             PPH</v>
          </cell>
          <cell r="D1428">
            <v>5269</v>
          </cell>
          <cell r="E1428">
            <v>4135</v>
          </cell>
        </row>
        <row r="1429">
          <cell r="C1429" t="str">
            <v xml:space="preserve">    SERVINAPROX        SDZ</v>
          </cell>
          <cell r="D1429">
            <v>4104</v>
          </cell>
          <cell r="E1429">
            <v>3484</v>
          </cell>
        </row>
        <row r="1430">
          <cell r="C1430" t="str">
            <v xml:space="preserve">    ECLESS             IAP</v>
          </cell>
          <cell r="D1430">
            <v>3861</v>
          </cell>
          <cell r="E1430">
            <v>4155</v>
          </cell>
        </row>
        <row r="1431">
          <cell r="C1431" t="str">
            <v xml:space="preserve">    NAXIN              OPI</v>
          </cell>
          <cell r="D1431">
            <v>3135</v>
          </cell>
          <cell r="E1431">
            <v>3766</v>
          </cell>
        </row>
        <row r="1432">
          <cell r="C1432" t="str">
            <v xml:space="preserve">    ANNOVA             BAC</v>
          </cell>
          <cell r="D1432">
            <v>2447</v>
          </cell>
          <cell r="E1432">
            <v>0</v>
          </cell>
        </row>
        <row r="1433">
          <cell r="C1433" t="str">
            <v xml:space="preserve">    NAPXON-P           ZIS</v>
          </cell>
          <cell r="D1433">
            <v>1464</v>
          </cell>
          <cell r="E1433">
            <v>4273</v>
          </cell>
        </row>
        <row r="1434">
          <cell r="C1434" t="str">
            <v xml:space="preserve">    XENAPRO            RTA</v>
          </cell>
          <cell r="D1434">
            <v>971</v>
          </cell>
          <cell r="E1434">
            <v>2449</v>
          </cell>
        </row>
        <row r="1435">
          <cell r="C1435" t="str">
            <v xml:space="preserve">    NUPRALGIN          IBN</v>
          </cell>
          <cell r="D1435">
            <v>778</v>
          </cell>
          <cell r="E1435">
            <v>1065</v>
          </cell>
        </row>
        <row r="1436">
          <cell r="C1436" t="str">
            <v xml:space="preserve">    RANOXEN            R7G</v>
          </cell>
          <cell r="D1436">
            <v>290</v>
          </cell>
          <cell r="E1436">
            <v>51</v>
          </cell>
        </row>
        <row r="1437">
          <cell r="C1437" t="str">
            <v xml:space="preserve">    NUPRAFEN           BXM</v>
          </cell>
          <cell r="D1437">
            <v>247</v>
          </cell>
          <cell r="E1437">
            <v>420</v>
          </cell>
        </row>
        <row r="1438">
          <cell r="C1438" t="str">
            <v xml:space="preserve">    NAPASIN            SKL</v>
          </cell>
          <cell r="D1438">
            <v>178</v>
          </cell>
          <cell r="E1438">
            <v>130</v>
          </cell>
        </row>
        <row r="1439">
          <cell r="C1439" t="str">
            <v xml:space="preserve">    NAPRONIL           P-S</v>
          </cell>
          <cell r="D1439">
            <v>122</v>
          </cell>
          <cell r="E1439">
            <v>103</v>
          </cell>
        </row>
        <row r="1440">
          <cell r="C1440" t="str">
            <v xml:space="preserve">    NAPROSYN           MPX</v>
          </cell>
          <cell r="D1440">
            <v>119</v>
          </cell>
          <cell r="E1440">
            <v>31</v>
          </cell>
        </row>
        <row r="1441">
          <cell r="C1441" t="str">
            <v xml:space="preserve">    NAPOXEN            EDR</v>
          </cell>
          <cell r="D1441">
            <v>105</v>
          </cell>
          <cell r="E1441">
            <v>76</v>
          </cell>
        </row>
        <row r="1442">
          <cell r="C1442" t="str">
            <v xml:space="preserve">    NAPROSON           JAY</v>
          </cell>
          <cell r="D1442">
            <v>48</v>
          </cell>
          <cell r="E1442">
            <v>421</v>
          </cell>
        </row>
        <row r="1443">
          <cell r="C1443" t="str">
            <v xml:space="preserve">    NAID               PAC</v>
          </cell>
          <cell r="D1443">
            <v>37</v>
          </cell>
          <cell r="E1443">
            <v>369</v>
          </cell>
        </row>
        <row r="1444">
          <cell r="C1444" t="str">
            <v xml:space="preserve">    NAPROXIN           MPX</v>
          </cell>
          <cell r="D1444">
            <v>23</v>
          </cell>
          <cell r="E1444">
            <v>0</v>
          </cell>
        </row>
        <row r="1445">
          <cell r="C1445" t="str">
            <v xml:space="preserve">    NAPROPAIN          J&amp;H</v>
          </cell>
          <cell r="D1445">
            <v>0</v>
          </cell>
          <cell r="E1445">
            <v>44</v>
          </cell>
        </row>
        <row r="1446">
          <cell r="C1446" t="str">
            <v xml:space="preserve">    NAPROCID           GCO</v>
          </cell>
          <cell r="D1446">
            <v>0</v>
          </cell>
          <cell r="E1446">
            <v>0</v>
          </cell>
        </row>
        <row r="1447">
          <cell r="C1447" t="str">
            <v xml:space="preserve">    NAPROXEN           AIC</v>
          </cell>
          <cell r="D1447">
            <v>0</v>
          </cell>
          <cell r="E1447">
            <v>0</v>
          </cell>
        </row>
        <row r="1448">
          <cell r="C1448" t="str">
            <v xml:space="preserve">    NAPIUM             KUM</v>
          </cell>
          <cell r="D1448">
            <v>0</v>
          </cell>
          <cell r="E1448">
            <v>0</v>
          </cell>
        </row>
        <row r="1449">
          <cell r="C1449" t="str">
            <v xml:space="preserve">    NAXO               N8V</v>
          </cell>
          <cell r="D1449">
            <v>0</v>
          </cell>
          <cell r="E1449">
            <v>6</v>
          </cell>
        </row>
        <row r="1450">
          <cell r="C1450" t="str">
            <v xml:space="preserve">    NPX                NJP</v>
          </cell>
          <cell r="D1450">
            <v>0</v>
          </cell>
          <cell r="E1450">
            <v>0</v>
          </cell>
        </row>
        <row r="1451">
          <cell r="C1451" t="str">
            <v xml:space="preserve">    OXZEN              UCL</v>
          </cell>
          <cell r="D1451">
            <v>0</v>
          </cell>
          <cell r="E1451">
            <v>0</v>
          </cell>
        </row>
        <row r="1452">
          <cell r="C1452" t="str">
            <v xml:space="preserve">    PAIROX             A/L</v>
          </cell>
          <cell r="D1452">
            <v>0</v>
          </cell>
          <cell r="E1452">
            <v>0</v>
          </cell>
        </row>
        <row r="1453">
          <cell r="C1453" t="str">
            <v xml:space="preserve">    RELEVE             GNR</v>
          </cell>
          <cell r="D1453">
            <v>0</v>
          </cell>
          <cell r="E1453">
            <v>0</v>
          </cell>
        </row>
        <row r="1454">
          <cell r="C1454" t="str">
            <v xml:space="preserve">    TICOFLEX           IAP</v>
          </cell>
          <cell r="D1454">
            <v>0</v>
          </cell>
          <cell r="E1454">
            <v>0</v>
          </cell>
        </row>
        <row r="1455">
          <cell r="C1455" t="str">
            <v xml:space="preserve">    GLOXEN             GBE</v>
          </cell>
          <cell r="D1455">
            <v>0</v>
          </cell>
          <cell r="E1455">
            <v>0</v>
          </cell>
        </row>
        <row r="1456">
          <cell r="C1456" t="str">
            <v xml:space="preserve">    NIPOXEN            NJP</v>
          </cell>
          <cell r="D1456">
            <v>0</v>
          </cell>
          <cell r="E1456">
            <v>0</v>
          </cell>
        </row>
        <row r="1457">
          <cell r="C1457" t="str">
            <v xml:space="preserve">    NAPIER             CC/</v>
          </cell>
          <cell r="D1457">
            <v>0</v>
          </cell>
          <cell r="E1457">
            <v>10</v>
          </cell>
        </row>
        <row r="1458">
          <cell r="C1458" t="str">
            <v xml:space="preserve">    NAPROXEN           NVK</v>
          </cell>
          <cell r="D1458">
            <v>0</v>
          </cell>
          <cell r="E1458">
            <v>11</v>
          </cell>
        </row>
        <row r="1459">
          <cell r="C1459" t="str">
            <v xml:space="preserve">    NX-1               ONA</v>
          </cell>
          <cell r="D1459">
            <v>0</v>
          </cell>
          <cell r="E1459">
            <v>0</v>
          </cell>
        </row>
        <row r="1460">
          <cell r="C1460" t="str">
            <v xml:space="preserve">    XENAP              A-H</v>
          </cell>
          <cell r="D1460">
            <v>0</v>
          </cell>
          <cell r="E1460">
            <v>0</v>
          </cell>
        </row>
        <row r="1461">
          <cell r="C1461" t="str">
            <v xml:space="preserve">   DICLOFENAC</v>
          </cell>
          <cell r="D1461">
            <v>1301355</v>
          </cell>
          <cell r="E1461">
            <v>1393850</v>
          </cell>
        </row>
        <row r="1462">
          <cell r="C1462" t="str">
            <v xml:space="preserve">    VOLTALIN           NVR</v>
          </cell>
          <cell r="D1462">
            <v>860051</v>
          </cell>
          <cell r="E1462">
            <v>956424</v>
          </cell>
        </row>
        <row r="1463">
          <cell r="C1463" t="str">
            <v xml:space="preserve">    CLOFENAC           SQA</v>
          </cell>
          <cell r="D1463">
            <v>255216</v>
          </cell>
          <cell r="E1463">
            <v>228270</v>
          </cell>
        </row>
        <row r="1464">
          <cell r="C1464" t="str">
            <v xml:space="preserve">    DICLOFEN           OPI</v>
          </cell>
          <cell r="D1464">
            <v>58177</v>
          </cell>
          <cell r="E1464">
            <v>69292</v>
          </cell>
        </row>
        <row r="1465">
          <cell r="C1465" t="str">
            <v xml:space="preserve">    A FENAC            ACM</v>
          </cell>
          <cell r="D1465">
            <v>35117</v>
          </cell>
          <cell r="E1465">
            <v>36237</v>
          </cell>
        </row>
        <row r="1466">
          <cell r="C1466" t="str">
            <v xml:space="preserve">    VOLTALIN FORTE     NVR</v>
          </cell>
          <cell r="D1466">
            <v>17436</v>
          </cell>
          <cell r="E1466">
            <v>20912</v>
          </cell>
        </row>
        <row r="1467">
          <cell r="C1467" t="str">
            <v xml:space="preserve">    NOPAIN             D-I</v>
          </cell>
          <cell r="D1467">
            <v>16752</v>
          </cell>
          <cell r="E1467">
            <v>18775</v>
          </cell>
        </row>
        <row r="1468">
          <cell r="C1468" t="str">
            <v xml:space="preserve">    ERDON              ATP</v>
          </cell>
          <cell r="D1468">
            <v>16105</v>
          </cell>
          <cell r="E1468">
            <v>14965</v>
          </cell>
        </row>
        <row r="1469">
          <cell r="C1469" t="str">
            <v xml:space="preserve">    ANUVA              NVR</v>
          </cell>
          <cell r="D1469">
            <v>11721</v>
          </cell>
          <cell r="E1469">
            <v>10482</v>
          </cell>
        </row>
        <row r="1470">
          <cell r="C1470" t="str">
            <v xml:space="preserve">    DICLOFEN           OPI</v>
          </cell>
          <cell r="D1470">
            <v>10736</v>
          </cell>
          <cell r="E1470">
            <v>9611</v>
          </cell>
        </row>
        <row r="1471">
          <cell r="C1471" t="str">
            <v xml:space="preserve">    A-FENAC K          ACM</v>
          </cell>
          <cell r="D1471">
            <v>9302</v>
          </cell>
          <cell r="E1471">
            <v>11263</v>
          </cell>
        </row>
        <row r="1472">
          <cell r="C1472" t="str">
            <v xml:space="preserve">    ANODYNE            IBN</v>
          </cell>
          <cell r="D1472">
            <v>5217</v>
          </cell>
          <cell r="E1472">
            <v>8471</v>
          </cell>
        </row>
        <row r="1473">
          <cell r="C1473" t="str">
            <v xml:space="preserve">    DICLONAC PLUS      ZIS</v>
          </cell>
          <cell r="D1473">
            <v>1964</v>
          </cell>
          <cell r="E1473">
            <v>3791</v>
          </cell>
        </row>
        <row r="1474">
          <cell r="C1474" t="str">
            <v xml:space="preserve">    DICLONAC           ZIS</v>
          </cell>
          <cell r="D1474">
            <v>1535</v>
          </cell>
          <cell r="E1474">
            <v>2295</v>
          </cell>
        </row>
        <row r="1475">
          <cell r="C1475" t="str">
            <v xml:space="preserve">    MOBIFEN            A-I</v>
          </cell>
          <cell r="D1475">
            <v>578</v>
          </cell>
          <cell r="E1475">
            <v>335</v>
          </cell>
        </row>
        <row r="1476">
          <cell r="C1476" t="str">
            <v xml:space="preserve">    DECAFEN            RTA</v>
          </cell>
          <cell r="D1476">
            <v>402</v>
          </cell>
          <cell r="E1476">
            <v>441</v>
          </cell>
        </row>
        <row r="1477">
          <cell r="C1477" t="str">
            <v xml:space="preserve">    GENAC              GBE</v>
          </cell>
          <cell r="D1477">
            <v>364</v>
          </cell>
          <cell r="E1477">
            <v>541</v>
          </cell>
        </row>
        <row r="1478">
          <cell r="C1478" t="str">
            <v xml:space="preserve">    VOLCAN             BP&amp;</v>
          </cell>
          <cell r="D1478">
            <v>245</v>
          </cell>
          <cell r="E1478">
            <v>373</v>
          </cell>
        </row>
        <row r="1479">
          <cell r="C1479" t="str">
            <v xml:space="preserve">    ORAFEN             R7G</v>
          </cell>
          <cell r="D1479">
            <v>145</v>
          </cell>
          <cell r="E1479">
            <v>7</v>
          </cell>
        </row>
        <row r="1480">
          <cell r="C1480" t="str">
            <v xml:space="preserve">    INTAFENAC K        IAP</v>
          </cell>
          <cell r="D1480">
            <v>99</v>
          </cell>
          <cell r="E1480">
            <v>281</v>
          </cell>
        </row>
        <row r="1481">
          <cell r="C1481" t="str">
            <v xml:space="preserve">    INTAFENAC          IAP</v>
          </cell>
          <cell r="D1481">
            <v>92</v>
          </cell>
          <cell r="E1481">
            <v>23</v>
          </cell>
        </row>
        <row r="1482">
          <cell r="C1482" t="str">
            <v xml:space="preserve">    EDIFENAC           EDR</v>
          </cell>
          <cell r="D1482">
            <v>58</v>
          </cell>
          <cell r="E1482">
            <v>0</v>
          </cell>
        </row>
        <row r="1483">
          <cell r="C1483" t="str">
            <v xml:space="preserve">    APNAC              SPR</v>
          </cell>
          <cell r="D1483">
            <v>20</v>
          </cell>
          <cell r="E1483">
            <v>0</v>
          </cell>
        </row>
        <row r="1484">
          <cell r="C1484" t="str">
            <v xml:space="preserve">    VOLTANAC           JMS</v>
          </cell>
          <cell r="D1484">
            <v>7</v>
          </cell>
          <cell r="E1484">
            <v>0</v>
          </cell>
        </row>
        <row r="1485">
          <cell r="C1485" t="str">
            <v xml:space="preserve">    DICLOTAB           T2D</v>
          </cell>
          <cell r="D1485">
            <v>7</v>
          </cell>
          <cell r="E1485">
            <v>0</v>
          </cell>
        </row>
        <row r="1486">
          <cell r="C1486" t="str">
            <v xml:space="preserve">    NORTID             ESF</v>
          </cell>
          <cell r="D1486">
            <v>4</v>
          </cell>
          <cell r="E1486">
            <v>5</v>
          </cell>
        </row>
        <row r="1487">
          <cell r="C1487" t="str">
            <v xml:space="preserve">    DICLOFENAC         NTI</v>
          </cell>
          <cell r="D1487">
            <v>2</v>
          </cell>
          <cell r="E1487">
            <v>0</v>
          </cell>
        </row>
        <row r="1488">
          <cell r="C1488" t="str">
            <v xml:space="preserve">    VOLTAROL           T2D</v>
          </cell>
          <cell r="D1488">
            <v>0</v>
          </cell>
          <cell r="E1488">
            <v>5</v>
          </cell>
        </row>
        <row r="1489">
          <cell r="C1489" t="str">
            <v xml:space="preserve">    APAIN-TR           KMP</v>
          </cell>
          <cell r="D1489">
            <v>0</v>
          </cell>
          <cell r="E1489">
            <v>0</v>
          </cell>
        </row>
        <row r="1490">
          <cell r="C1490" t="str">
            <v xml:space="preserve">    C-FENAC            CHM</v>
          </cell>
          <cell r="D1490">
            <v>0</v>
          </cell>
          <cell r="E1490">
            <v>6</v>
          </cell>
        </row>
        <row r="1491">
          <cell r="C1491" t="str">
            <v xml:space="preserve">    CLOFEN             CSC</v>
          </cell>
          <cell r="D1491">
            <v>0</v>
          </cell>
          <cell r="E1491">
            <v>0</v>
          </cell>
        </row>
        <row r="1492">
          <cell r="C1492" t="str">
            <v xml:space="preserve">    DCF                D7P</v>
          </cell>
          <cell r="D1492">
            <v>0</v>
          </cell>
          <cell r="E1492">
            <v>0</v>
          </cell>
        </row>
        <row r="1493">
          <cell r="C1493" t="str">
            <v xml:space="preserve">    DICLOBERL          MEN</v>
          </cell>
          <cell r="D1493">
            <v>0</v>
          </cell>
          <cell r="E1493">
            <v>45</v>
          </cell>
        </row>
        <row r="1494">
          <cell r="C1494" t="str">
            <v xml:space="preserve">    DICLO              ALO</v>
          </cell>
          <cell r="D1494">
            <v>0</v>
          </cell>
          <cell r="E1494">
            <v>0</v>
          </cell>
        </row>
        <row r="1495">
          <cell r="C1495" t="str">
            <v xml:space="preserve">    DICLOREX           MDM</v>
          </cell>
          <cell r="D1495">
            <v>0</v>
          </cell>
          <cell r="E1495">
            <v>0</v>
          </cell>
        </row>
        <row r="1496">
          <cell r="C1496" t="str">
            <v xml:space="preserve">    DICLOMOL           WMC</v>
          </cell>
          <cell r="D1496">
            <v>0</v>
          </cell>
          <cell r="E1496">
            <v>9</v>
          </cell>
        </row>
        <row r="1497">
          <cell r="C1497" t="str">
            <v xml:space="preserve">    DIFEN              PP-</v>
          </cell>
          <cell r="D1497">
            <v>0</v>
          </cell>
          <cell r="E1497">
            <v>0</v>
          </cell>
        </row>
        <row r="1498">
          <cell r="C1498" t="str">
            <v xml:space="preserve">    DILOCK-TR          BRI</v>
          </cell>
          <cell r="D1498">
            <v>0</v>
          </cell>
          <cell r="E1498">
            <v>0</v>
          </cell>
        </row>
        <row r="1499">
          <cell r="C1499" t="str">
            <v xml:space="preserve">    DILOCK             BRI</v>
          </cell>
          <cell r="D1499">
            <v>0</v>
          </cell>
          <cell r="E1499">
            <v>0</v>
          </cell>
        </row>
        <row r="1500">
          <cell r="C1500" t="str">
            <v xml:space="preserve">    DINAC              N8V</v>
          </cell>
          <cell r="D1500">
            <v>0</v>
          </cell>
          <cell r="E1500">
            <v>0</v>
          </cell>
        </row>
        <row r="1501">
          <cell r="C1501" t="str">
            <v xml:space="preserve">    DIX-TR             AX.</v>
          </cell>
          <cell r="D1501">
            <v>0</v>
          </cell>
          <cell r="E1501">
            <v>0</v>
          </cell>
        </row>
        <row r="1502">
          <cell r="C1502" t="str">
            <v xml:space="preserve">    FENAC              SON</v>
          </cell>
          <cell r="D1502">
            <v>0</v>
          </cell>
          <cell r="E1502">
            <v>0</v>
          </cell>
        </row>
        <row r="1503">
          <cell r="C1503" t="str">
            <v xml:space="preserve">    HITFLAM            AMB</v>
          </cell>
          <cell r="D1503">
            <v>0</v>
          </cell>
          <cell r="E1503">
            <v>455</v>
          </cell>
        </row>
        <row r="1504">
          <cell r="C1504" t="str">
            <v xml:space="preserve">    LOCOPAIN           A/L</v>
          </cell>
          <cell r="D1504">
            <v>0</v>
          </cell>
          <cell r="E1504">
            <v>0</v>
          </cell>
        </row>
        <row r="1505">
          <cell r="C1505" t="str">
            <v xml:space="preserve">    MEDIFEN            MED</v>
          </cell>
          <cell r="D1505">
            <v>0</v>
          </cell>
          <cell r="E1505">
            <v>0</v>
          </cell>
        </row>
        <row r="1506">
          <cell r="C1506" t="str">
            <v xml:space="preserve">    MOOV               P6Y</v>
          </cell>
          <cell r="D1506">
            <v>0</v>
          </cell>
          <cell r="E1506">
            <v>0</v>
          </cell>
        </row>
        <row r="1507">
          <cell r="C1507" t="str">
            <v xml:space="preserve">    NASIDA             D&amp;B</v>
          </cell>
          <cell r="D1507">
            <v>0</v>
          </cell>
          <cell r="E1507">
            <v>0</v>
          </cell>
        </row>
        <row r="1508">
          <cell r="C1508" t="str">
            <v xml:space="preserve">    NORFEN             KUM</v>
          </cell>
          <cell r="D1508">
            <v>0</v>
          </cell>
          <cell r="E1508">
            <v>0</v>
          </cell>
        </row>
        <row r="1509">
          <cell r="C1509" t="str">
            <v xml:space="preserve">    PANFRE             PAC</v>
          </cell>
          <cell r="D1509">
            <v>0</v>
          </cell>
          <cell r="E1509">
            <v>454</v>
          </cell>
        </row>
        <row r="1510">
          <cell r="C1510" t="str">
            <v xml:space="preserve">    PENAC              APC</v>
          </cell>
          <cell r="D1510">
            <v>0</v>
          </cell>
          <cell r="E1510">
            <v>0</v>
          </cell>
        </row>
        <row r="1511">
          <cell r="C1511" t="str">
            <v xml:space="preserve">    PROFLAM            NVO</v>
          </cell>
          <cell r="D1511">
            <v>0</v>
          </cell>
          <cell r="E1511">
            <v>25</v>
          </cell>
        </row>
        <row r="1512">
          <cell r="C1512" t="str">
            <v xml:space="preserve">    REFAIN             MO6</v>
          </cell>
          <cell r="D1512">
            <v>0</v>
          </cell>
          <cell r="E1512">
            <v>0</v>
          </cell>
        </row>
        <row r="1513">
          <cell r="C1513" t="str">
            <v xml:space="preserve">    REUTREN            GCO</v>
          </cell>
          <cell r="D1513">
            <v>0</v>
          </cell>
          <cell r="E1513">
            <v>0</v>
          </cell>
        </row>
        <row r="1514">
          <cell r="C1514" t="str">
            <v xml:space="preserve">    SIFEN              SV6</v>
          </cell>
          <cell r="D1514">
            <v>0</v>
          </cell>
          <cell r="E1514">
            <v>22</v>
          </cell>
        </row>
        <row r="1515">
          <cell r="C1515" t="str">
            <v xml:space="preserve">    SOLUDOL            WMC</v>
          </cell>
          <cell r="D1515">
            <v>0</v>
          </cell>
          <cell r="E1515">
            <v>0</v>
          </cell>
        </row>
        <row r="1516">
          <cell r="C1516" t="str">
            <v xml:space="preserve">    TOLFENAC           GBX</v>
          </cell>
          <cell r="D1516">
            <v>0</v>
          </cell>
          <cell r="E1516">
            <v>0</v>
          </cell>
        </row>
        <row r="1517">
          <cell r="C1517" t="str">
            <v xml:space="preserve">    ULTARAN            SKL</v>
          </cell>
          <cell r="D1517">
            <v>0</v>
          </cell>
          <cell r="E1517">
            <v>0</v>
          </cell>
        </row>
        <row r="1518">
          <cell r="C1518" t="str">
            <v xml:space="preserve">    ULTRAFEN           BXM</v>
          </cell>
          <cell r="D1518">
            <v>0</v>
          </cell>
          <cell r="E1518">
            <v>24</v>
          </cell>
        </row>
        <row r="1519">
          <cell r="C1519" t="str">
            <v xml:space="preserve">    VOLFEN             NTI</v>
          </cell>
          <cell r="D1519">
            <v>0</v>
          </cell>
          <cell r="E1519">
            <v>0</v>
          </cell>
        </row>
        <row r="1520">
          <cell r="C1520" t="str">
            <v xml:space="preserve">    VOLMAX SR          ESF</v>
          </cell>
          <cell r="D1520">
            <v>0</v>
          </cell>
          <cell r="E1520">
            <v>0</v>
          </cell>
        </row>
        <row r="1521">
          <cell r="C1521" t="str">
            <v xml:space="preserve">    VOLTID             P-S</v>
          </cell>
          <cell r="D1521">
            <v>0</v>
          </cell>
          <cell r="E1521">
            <v>6</v>
          </cell>
        </row>
        <row r="1522">
          <cell r="C1522" t="str">
            <v xml:space="preserve">    ALTERIN-TR         EMA</v>
          </cell>
          <cell r="D1522">
            <v>0</v>
          </cell>
          <cell r="E1522">
            <v>0</v>
          </cell>
        </row>
        <row r="1523">
          <cell r="C1523" t="str">
            <v xml:space="preserve">    TENAC-TR           TMH</v>
          </cell>
          <cell r="D1523">
            <v>0</v>
          </cell>
          <cell r="E1523">
            <v>0</v>
          </cell>
        </row>
        <row r="1524">
          <cell r="C1524" t="str">
            <v xml:space="preserve">    MOOV               A-H</v>
          </cell>
          <cell r="D1524">
            <v>0</v>
          </cell>
          <cell r="E1524">
            <v>4</v>
          </cell>
        </row>
        <row r="1525">
          <cell r="C1525" t="str">
            <v xml:space="preserve">    DICLOFAST          AMD</v>
          </cell>
          <cell r="D1525">
            <v>0</v>
          </cell>
          <cell r="E1525">
            <v>0</v>
          </cell>
        </row>
        <row r="1526">
          <cell r="C1526" t="str">
            <v xml:space="preserve">   NABUMETONE</v>
          </cell>
          <cell r="D1526">
            <v>926473</v>
          </cell>
          <cell r="E1526">
            <v>675683</v>
          </cell>
        </row>
        <row r="1527">
          <cell r="C1527" t="str">
            <v xml:space="preserve">    NABUMET            ESF</v>
          </cell>
          <cell r="D1527">
            <v>366308</v>
          </cell>
          <cell r="E1527">
            <v>268803</v>
          </cell>
        </row>
        <row r="1528">
          <cell r="C1528" t="str">
            <v xml:space="preserve">    BUFLEX             BXM</v>
          </cell>
          <cell r="D1528">
            <v>147883</v>
          </cell>
          <cell r="E1528">
            <v>99275</v>
          </cell>
        </row>
        <row r="1529">
          <cell r="C1529" t="str">
            <v xml:space="preserve">    ALKANON            RTA</v>
          </cell>
          <cell r="D1529">
            <v>104341</v>
          </cell>
          <cell r="E1529">
            <v>75438</v>
          </cell>
        </row>
        <row r="1530">
          <cell r="C1530" t="str">
            <v xml:space="preserve">    NABU               A-I</v>
          </cell>
          <cell r="D1530">
            <v>90296</v>
          </cell>
          <cell r="E1530">
            <v>75069</v>
          </cell>
        </row>
        <row r="1531">
          <cell r="C1531" t="str">
            <v xml:space="preserve">    FLAMFIX            SQA</v>
          </cell>
          <cell r="D1531">
            <v>63270</v>
          </cell>
          <cell r="E1531">
            <v>24376</v>
          </cell>
        </row>
        <row r="1532">
          <cell r="C1532" t="str">
            <v xml:space="preserve">    NABUMAX            PPH</v>
          </cell>
          <cell r="D1532">
            <v>58252</v>
          </cell>
          <cell r="E1532">
            <v>53252</v>
          </cell>
        </row>
        <row r="1533">
          <cell r="C1533" t="str">
            <v xml:space="preserve">    ELIVIER            IAP</v>
          </cell>
          <cell r="D1533">
            <v>28918</v>
          </cell>
          <cell r="E1533">
            <v>24892</v>
          </cell>
        </row>
        <row r="1534">
          <cell r="C1534" t="str">
            <v xml:space="preserve">    NAMETON            ACM</v>
          </cell>
          <cell r="D1534">
            <v>24848</v>
          </cell>
          <cell r="E1534">
            <v>20960</v>
          </cell>
        </row>
        <row r="1535">
          <cell r="C1535" t="str">
            <v xml:space="preserve">    NABUFLEX           UNH</v>
          </cell>
          <cell r="D1535">
            <v>18301</v>
          </cell>
          <cell r="E1535">
            <v>9477</v>
          </cell>
        </row>
        <row r="1536">
          <cell r="C1536" t="str">
            <v xml:space="preserve">    NABUTON            N8V</v>
          </cell>
          <cell r="D1536">
            <v>14519</v>
          </cell>
          <cell r="E1536">
            <v>17090</v>
          </cell>
        </row>
        <row r="1537">
          <cell r="C1537" t="str">
            <v xml:space="preserve">    NABUFEN            ZIS</v>
          </cell>
          <cell r="D1537">
            <v>8821</v>
          </cell>
          <cell r="E1537">
            <v>7052</v>
          </cell>
        </row>
        <row r="1538">
          <cell r="C1538" t="str">
            <v xml:space="preserve">    APONIA             ONA</v>
          </cell>
          <cell r="D1538">
            <v>716</v>
          </cell>
          <cell r="E1538">
            <v>0</v>
          </cell>
        </row>
        <row r="1539">
          <cell r="C1539" t="str">
            <v xml:space="preserve">   SULINDAC</v>
          </cell>
          <cell r="D1539">
            <v>374543</v>
          </cell>
          <cell r="E1539">
            <v>280890</v>
          </cell>
        </row>
        <row r="1540">
          <cell r="C1540" t="str">
            <v xml:space="preserve">    LINDAC             PPH</v>
          </cell>
          <cell r="D1540">
            <v>287250</v>
          </cell>
          <cell r="E1540">
            <v>209170</v>
          </cell>
        </row>
        <row r="1541">
          <cell r="C1541" t="str">
            <v xml:space="preserve">    SUDAC              D-I</v>
          </cell>
          <cell r="D1541">
            <v>46183</v>
          </cell>
          <cell r="E1541">
            <v>37774</v>
          </cell>
        </row>
        <row r="1542">
          <cell r="C1542" t="str">
            <v xml:space="preserve">    OLIDA              IAP</v>
          </cell>
          <cell r="D1542">
            <v>21929</v>
          </cell>
          <cell r="E1542">
            <v>14518</v>
          </cell>
        </row>
        <row r="1543">
          <cell r="C1543" t="str">
            <v xml:space="preserve">    SULIDAC            ESF</v>
          </cell>
          <cell r="D1543">
            <v>15288</v>
          </cell>
          <cell r="E1543">
            <v>13435</v>
          </cell>
        </row>
        <row r="1544">
          <cell r="C1544" t="str">
            <v xml:space="preserve">    CLINOREL           OPI</v>
          </cell>
          <cell r="D1544">
            <v>3892</v>
          </cell>
          <cell r="E1544">
            <v>5991</v>
          </cell>
        </row>
        <row r="1545">
          <cell r="C1545" t="str">
            <v xml:space="preserve">   TENOXICAM</v>
          </cell>
          <cell r="D1545">
            <v>337704</v>
          </cell>
          <cell r="E1545">
            <v>293192</v>
          </cell>
        </row>
        <row r="1546">
          <cell r="C1546" t="str">
            <v xml:space="preserve">    RADITIL            RD7</v>
          </cell>
          <cell r="D1546">
            <v>226108</v>
          </cell>
          <cell r="E1546">
            <v>181680</v>
          </cell>
        </row>
        <row r="1547">
          <cell r="C1547" t="str">
            <v xml:space="preserve">    OXICAM             A-I</v>
          </cell>
          <cell r="D1547">
            <v>62773</v>
          </cell>
          <cell r="E1547">
            <v>57143</v>
          </cell>
        </row>
        <row r="1548">
          <cell r="C1548" t="str">
            <v xml:space="preserve">    XTEN               SQA</v>
          </cell>
          <cell r="D1548">
            <v>16331</v>
          </cell>
          <cell r="E1548">
            <v>14872</v>
          </cell>
        </row>
        <row r="1549">
          <cell r="C1549" t="str">
            <v xml:space="preserve">    XICOTIL            ATP</v>
          </cell>
          <cell r="D1549">
            <v>10066</v>
          </cell>
          <cell r="E1549">
            <v>10110</v>
          </cell>
        </row>
        <row r="1550">
          <cell r="C1550" t="str">
            <v xml:space="preserve">    TENORIX            OR/</v>
          </cell>
          <cell r="D1550">
            <v>6630</v>
          </cell>
          <cell r="E1550">
            <v>8995</v>
          </cell>
        </row>
        <row r="1551">
          <cell r="C1551" t="str">
            <v xml:space="preserve">    TENOPAIN           IAP</v>
          </cell>
          <cell r="D1551">
            <v>4540</v>
          </cell>
          <cell r="E1551">
            <v>5497</v>
          </cell>
        </row>
        <row r="1552">
          <cell r="C1552" t="str">
            <v xml:space="preserve">    ENOCAM             ACM</v>
          </cell>
          <cell r="D1552">
            <v>4361</v>
          </cell>
          <cell r="E1552">
            <v>6256</v>
          </cell>
        </row>
        <row r="1553">
          <cell r="C1553" t="str">
            <v xml:space="preserve">    TENOXIM            ESF</v>
          </cell>
          <cell r="D1553">
            <v>2875</v>
          </cell>
          <cell r="E1553">
            <v>4348</v>
          </cell>
        </row>
        <row r="1554">
          <cell r="C1554" t="str">
            <v xml:space="preserve">    OXIFLAM            IBN</v>
          </cell>
          <cell r="D1554">
            <v>1810</v>
          </cell>
          <cell r="E1554">
            <v>2198</v>
          </cell>
        </row>
        <row r="1555">
          <cell r="C1555" t="str">
            <v xml:space="preserve">    INOTEN             OPI</v>
          </cell>
          <cell r="D1555">
            <v>1675</v>
          </cell>
          <cell r="E1555">
            <v>1004</v>
          </cell>
        </row>
        <row r="1556">
          <cell r="C1556" t="str">
            <v xml:space="preserve">    TENOFLEX           BAC</v>
          </cell>
          <cell r="D1556">
            <v>488</v>
          </cell>
          <cell r="E1556">
            <v>1088</v>
          </cell>
        </row>
        <row r="1557">
          <cell r="C1557" t="str">
            <v xml:space="preserve">    TEXICAM            AX.</v>
          </cell>
          <cell r="D1557">
            <v>46</v>
          </cell>
          <cell r="E1557">
            <v>0</v>
          </cell>
        </row>
        <row r="1558">
          <cell r="C1558" t="str">
            <v xml:space="preserve">    TILCOTIL           ROC</v>
          </cell>
          <cell r="D1558">
            <v>0</v>
          </cell>
          <cell r="E1558">
            <v>0</v>
          </cell>
        </row>
        <row r="1559">
          <cell r="C1559" t="str">
            <v xml:space="preserve">    TILKOTIL           RD7</v>
          </cell>
          <cell r="D1559">
            <v>0</v>
          </cell>
          <cell r="E1559">
            <v>0</v>
          </cell>
        </row>
        <row r="1560">
          <cell r="C1560" t="str">
            <v xml:space="preserve">   LORNOXICAM</v>
          </cell>
          <cell r="D1560">
            <v>320980</v>
          </cell>
          <cell r="E1560">
            <v>111930</v>
          </cell>
        </row>
        <row r="1561">
          <cell r="C1561" t="str">
            <v xml:space="preserve">    ORNOPAIN           IAP</v>
          </cell>
          <cell r="D1561">
            <v>102590</v>
          </cell>
          <cell r="E1561">
            <v>17985</v>
          </cell>
        </row>
        <row r="1562">
          <cell r="C1562" t="str">
            <v xml:space="preserve">    CAMLOR             PPH</v>
          </cell>
          <cell r="D1562">
            <v>71653</v>
          </cell>
          <cell r="E1562">
            <v>50638</v>
          </cell>
        </row>
        <row r="1563">
          <cell r="C1563" t="str">
            <v xml:space="preserve">    LORNO              SQA</v>
          </cell>
          <cell r="D1563">
            <v>71098</v>
          </cell>
          <cell r="E1563">
            <v>0</v>
          </cell>
        </row>
        <row r="1564">
          <cell r="C1564" t="str">
            <v xml:space="preserve">    LOXODOL            N8V</v>
          </cell>
          <cell r="D1564">
            <v>44382</v>
          </cell>
          <cell r="E1564">
            <v>27377</v>
          </cell>
        </row>
        <row r="1565">
          <cell r="C1565" t="str">
            <v xml:space="preserve">    LORICAM            OR/</v>
          </cell>
          <cell r="D1565">
            <v>31257</v>
          </cell>
          <cell r="E1565">
            <v>15930</v>
          </cell>
        </row>
        <row r="1566">
          <cell r="C1566" t="str">
            <v xml:space="preserve">   INDOMETACIN</v>
          </cell>
          <cell r="D1566">
            <v>237621</v>
          </cell>
          <cell r="E1566">
            <v>176015</v>
          </cell>
        </row>
        <row r="1567">
          <cell r="C1567" t="str">
            <v xml:space="preserve">    INDOMET            OPI</v>
          </cell>
          <cell r="D1567">
            <v>149098</v>
          </cell>
          <cell r="E1567">
            <v>107446</v>
          </cell>
        </row>
        <row r="1568">
          <cell r="C1568" t="str">
            <v xml:space="preserve">    REUMACAP           ATP</v>
          </cell>
          <cell r="D1568">
            <v>85043</v>
          </cell>
          <cell r="E1568">
            <v>62820</v>
          </cell>
        </row>
        <row r="1569">
          <cell r="C1569" t="str">
            <v xml:space="preserve">    INDO-A             ACM</v>
          </cell>
          <cell r="D1569">
            <v>3006</v>
          </cell>
          <cell r="E1569">
            <v>3047</v>
          </cell>
        </row>
        <row r="1570">
          <cell r="C1570" t="str">
            <v xml:space="preserve">    IMET               PAC</v>
          </cell>
          <cell r="D1570">
            <v>457</v>
          </cell>
          <cell r="E1570">
            <v>2692</v>
          </cell>
        </row>
        <row r="1571">
          <cell r="C1571" t="str">
            <v xml:space="preserve">    REUMACID           ATP</v>
          </cell>
          <cell r="D1571">
            <v>17</v>
          </cell>
          <cell r="E1571">
            <v>6</v>
          </cell>
        </row>
        <row r="1572">
          <cell r="C1572" t="str">
            <v xml:space="preserve">    INDOCAP            GBE</v>
          </cell>
          <cell r="D1572">
            <v>0</v>
          </cell>
          <cell r="E1572">
            <v>1</v>
          </cell>
        </row>
        <row r="1573">
          <cell r="C1573" t="str">
            <v xml:space="preserve">    INDOREX            MDM</v>
          </cell>
          <cell r="D1573">
            <v>0</v>
          </cell>
          <cell r="E1573">
            <v>0</v>
          </cell>
        </row>
        <row r="1574">
          <cell r="C1574" t="str">
            <v xml:space="preserve">    INDOXYL            JAY</v>
          </cell>
          <cell r="D1574">
            <v>0</v>
          </cell>
          <cell r="E1574">
            <v>0</v>
          </cell>
        </row>
        <row r="1575">
          <cell r="C1575" t="str">
            <v xml:space="preserve">    REUMACID           R.N</v>
          </cell>
          <cell r="D1575">
            <v>0</v>
          </cell>
          <cell r="E1575">
            <v>2</v>
          </cell>
        </row>
        <row r="1576">
          <cell r="C1576" t="str">
            <v xml:space="preserve">    RINDOCIN           AX.</v>
          </cell>
          <cell r="D1576">
            <v>0</v>
          </cell>
          <cell r="E1576">
            <v>0</v>
          </cell>
        </row>
        <row r="1577">
          <cell r="C1577" t="str">
            <v xml:space="preserve">    INSAID             A-I</v>
          </cell>
          <cell r="D1577">
            <v>0</v>
          </cell>
          <cell r="E1577">
            <v>1</v>
          </cell>
        </row>
        <row r="1578">
          <cell r="C1578" t="str">
            <v xml:space="preserve">   IBUPROFEN</v>
          </cell>
          <cell r="D1578">
            <v>183203</v>
          </cell>
          <cell r="E1578">
            <v>141807</v>
          </cell>
        </row>
        <row r="1579">
          <cell r="C1579" t="str">
            <v xml:space="preserve">    FLAMEX             A-I</v>
          </cell>
          <cell r="D1579">
            <v>134046</v>
          </cell>
          <cell r="E1579">
            <v>104989</v>
          </cell>
        </row>
        <row r="1580">
          <cell r="C1580" t="str">
            <v xml:space="preserve">    PROFEN             ACM</v>
          </cell>
          <cell r="D1580">
            <v>36266</v>
          </cell>
          <cell r="E1580">
            <v>23750</v>
          </cell>
        </row>
        <row r="1581">
          <cell r="C1581" t="str">
            <v xml:space="preserve">    BUFEN              D-I</v>
          </cell>
          <cell r="D1581">
            <v>9806</v>
          </cell>
          <cell r="E1581">
            <v>8488</v>
          </cell>
        </row>
        <row r="1582">
          <cell r="C1582" t="str">
            <v xml:space="preserve">    ADVEL              OPI</v>
          </cell>
          <cell r="D1582">
            <v>3066</v>
          </cell>
          <cell r="E1582">
            <v>4322</v>
          </cell>
        </row>
        <row r="1583">
          <cell r="C1583" t="str">
            <v xml:space="preserve">    ANTIFLAM           ATP</v>
          </cell>
          <cell r="D1583">
            <v>12</v>
          </cell>
          <cell r="E1583">
            <v>0</v>
          </cell>
        </row>
        <row r="1584">
          <cell r="C1584" t="str">
            <v xml:space="preserve">    NEUROFEN           GBE</v>
          </cell>
          <cell r="D1584">
            <v>8</v>
          </cell>
          <cell r="E1584">
            <v>126</v>
          </cell>
        </row>
        <row r="1585">
          <cell r="C1585" t="str">
            <v xml:space="preserve">    DEFLAM             DSH</v>
          </cell>
          <cell r="D1585">
            <v>0</v>
          </cell>
          <cell r="E1585">
            <v>0</v>
          </cell>
        </row>
        <row r="1586">
          <cell r="C1586" t="str">
            <v xml:space="preserve">    IBUTAB             KMP</v>
          </cell>
          <cell r="D1586">
            <v>0</v>
          </cell>
          <cell r="E1586">
            <v>0</v>
          </cell>
        </row>
        <row r="1587">
          <cell r="C1587" t="str">
            <v xml:space="preserve">    INFLAM             S.Y</v>
          </cell>
          <cell r="D1587">
            <v>0</v>
          </cell>
          <cell r="E1587">
            <v>0</v>
          </cell>
        </row>
        <row r="1588">
          <cell r="C1588" t="str">
            <v xml:space="preserve">    INTAFLAM           IAP</v>
          </cell>
          <cell r="D1588">
            <v>0</v>
          </cell>
          <cell r="E1588">
            <v>0</v>
          </cell>
        </row>
        <row r="1589">
          <cell r="C1589" t="str">
            <v xml:space="preserve">    OPSOFEN            OPI</v>
          </cell>
          <cell r="D1589">
            <v>0</v>
          </cell>
          <cell r="E1589">
            <v>23</v>
          </cell>
        </row>
        <row r="1590">
          <cell r="C1590" t="str">
            <v xml:space="preserve">    REUMAFEN           BXM</v>
          </cell>
          <cell r="D1590">
            <v>0</v>
          </cell>
          <cell r="E1590">
            <v>109</v>
          </cell>
        </row>
        <row r="1591">
          <cell r="C1591" t="str">
            <v xml:space="preserve">   KETOPROFEN</v>
          </cell>
          <cell r="D1591">
            <v>156457</v>
          </cell>
          <cell r="E1591">
            <v>156668</v>
          </cell>
        </row>
        <row r="1592">
          <cell r="C1592" t="str">
            <v xml:space="preserve">    PROFENID           S.Y</v>
          </cell>
          <cell r="D1592">
            <v>71677</v>
          </cell>
          <cell r="E1592">
            <v>77623</v>
          </cell>
        </row>
        <row r="1593">
          <cell r="C1593" t="str">
            <v xml:space="preserve">    PROFENID E         S.Y</v>
          </cell>
          <cell r="D1593">
            <v>52722</v>
          </cell>
          <cell r="E1593">
            <v>46432</v>
          </cell>
        </row>
        <row r="1594">
          <cell r="C1594" t="str">
            <v xml:space="preserve">    KOP                SQA</v>
          </cell>
          <cell r="D1594">
            <v>31295</v>
          </cell>
          <cell r="E1594">
            <v>31878</v>
          </cell>
        </row>
        <row r="1595">
          <cell r="C1595" t="str">
            <v xml:space="preserve">    TOP                BP&amp;</v>
          </cell>
          <cell r="D1595">
            <v>657</v>
          </cell>
          <cell r="E1595">
            <v>717</v>
          </cell>
        </row>
        <row r="1596">
          <cell r="C1596" t="str">
            <v xml:space="preserve">    KETOFEN            ESF</v>
          </cell>
          <cell r="D1596">
            <v>74</v>
          </cell>
          <cell r="E1596">
            <v>7</v>
          </cell>
        </row>
        <row r="1597">
          <cell r="C1597" t="str">
            <v xml:space="preserve">    KETO-A             ACM</v>
          </cell>
          <cell r="D1597">
            <v>32</v>
          </cell>
          <cell r="E1597">
            <v>12</v>
          </cell>
        </row>
        <row r="1598">
          <cell r="C1598" t="str">
            <v xml:space="preserve">    KETONAC            N8V</v>
          </cell>
          <cell r="D1598">
            <v>0</v>
          </cell>
          <cell r="E1598">
            <v>0</v>
          </cell>
        </row>
        <row r="1599">
          <cell r="C1599" t="str">
            <v xml:space="preserve">   DEXIBUPROFEN</v>
          </cell>
          <cell r="D1599">
            <v>61953</v>
          </cell>
          <cell r="E1599">
            <v>34993</v>
          </cell>
        </row>
        <row r="1600">
          <cell r="C1600" t="str">
            <v xml:space="preserve">    PURIFEN            IAP</v>
          </cell>
          <cell r="D1600">
            <v>61329</v>
          </cell>
          <cell r="E1600">
            <v>31522</v>
          </cell>
        </row>
        <row r="1601">
          <cell r="C1601" t="str">
            <v xml:space="preserve">    FLAMEX-DX          A-I</v>
          </cell>
          <cell r="D1601">
            <v>309</v>
          </cell>
          <cell r="E1601">
            <v>2010</v>
          </cell>
        </row>
        <row r="1602">
          <cell r="C1602" t="str">
            <v xml:space="preserve">    DEXIFEN            BXM</v>
          </cell>
          <cell r="D1602">
            <v>229</v>
          </cell>
          <cell r="E1602">
            <v>433</v>
          </cell>
        </row>
        <row r="1603">
          <cell r="C1603" t="str">
            <v xml:space="preserve">    DEXPRO             OR/</v>
          </cell>
          <cell r="D1603">
            <v>84</v>
          </cell>
          <cell r="E1603">
            <v>58</v>
          </cell>
        </row>
        <row r="1604">
          <cell r="C1604" t="str">
            <v xml:space="preserve">    FENDEX             A/L</v>
          </cell>
          <cell r="D1604">
            <v>3</v>
          </cell>
          <cell r="E1604">
            <v>0</v>
          </cell>
        </row>
        <row r="1605">
          <cell r="C1605" t="str">
            <v xml:space="preserve">    ARTOFLEX           OPI</v>
          </cell>
          <cell r="D1605">
            <v>0</v>
          </cell>
          <cell r="E1605">
            <v>0</v>
          </cell>
        </row>
        <row r="1606">
          <cell r="C1606" t="str">
            <v xml:space="preserve">    DEX-I              EDR</v>
          </cell>
          <cell r="D1606">
            <v>0</v>
          </cell>
          <cell r="E1606">
            <v>0</v>
          </cell>
        </row>
        <row r="1607">
          <cell r="C1607" t="str">
            <v xml:space="preserve">    DEXIBU             GNR</v>
          </cell>
          <cell r="D1607">
            <v>0</v>
          </cell>
          <cell r="E1607">
            <v>3</v>
          </cell>
        </row>
        <row r="1608">
          <cell r="C1608" t="str">
            <v xml:space="preserve">    DIP                A.P</v>
          </cell>
          <cell r="D1608">
            <v>0</v>
          </cell>
          <cell r="E1608">
            <v>0</v>
          </cell>
        </row>
        <row r="1609">
          <cell r="C1609" t="str">
            <v xml:space="preserve">    INFLAM-D           S.Y</v>
          </cell>
          <cell r="D1609">
            <v>0</v>
          </cell>
          <cell r="E1609">
            <v>41</v>
          </cell>
        </row>
        <row r="1610">
          <cell r="C1610" t="str">
            <v xml:space="preserve">    XFLAM              SQA</v>
          </cell>
          <cell r="D1610">
            <v>0</v>
          </cell>
          <cell r="E1610">
            <v>924</v>
          </cell>
        </row>
        <row r="1611">
          <cell r="C1611" t="str">
            <v xml:space="preserve">   ETODOLAC</v>
          </cell>
          <cell r="D1611">
            <v>41023</v>
          </cell>
          <cell r="E1611">
            <v>32275</v>
          </cell>
        </row>
        <row r="1612">
          <cell r="C1612" t="str">
            <v xml:space="preserve">    EDOPAIN            IAP</v>
          </cell>
          <cell r="D1612">
            <v>38329</v>
          </cell>
          <cell r="E1612">
            <v>30875</v>
          </cell>
        </row>
        <row r="1613">
          <cell r="C1613" t="str">
            <v xml:space="preserve">    EDOLAC             OPI</v>
          </cell>
          <cell r="D1613">
            <v>2694</v>
          </cell>
          <cell r="E1613">
            <v>1401</v>
          </cell>
        </row>
        <row r="1614">
          <cell r="C1614" t="str">
            <v xml:space="preserve">    PANODIN            SQA</v>
          </cell>
          <cell r="D1614">
            <v>0</v>
          </cell>
          <cell r="E1614">
            <v>0</v>
          </cell>
        </row>
        <row r="1615">
          <cell r="C1615" t="str">
            <v xml:space="preserve">   ACEMETACIN</v>
          </cell>
          <cell r="D1615">
            <v>30116</v>
          </cell>
          <cell r="E1615">
            <v>39096</v>
          </cell>
        </row>
        <row r="1616">
          <cell r="C1616" t="str">
            <v xml:space="preserve">    TENDONIL           OR/</v>
          </cell>
          <cell r="D1616">
            <v>30116</v>
          </cell>
          <cell r="E1616">
            <v>39096</v>
          </cell>
        </row>
        <row r="1617">
          <cell r="C1617" t="str">
            <v xml:space="preserve">   DICLOFENAC+LIDOCAINE</v>
          </cell>
          <cell r="D1617">
            <v>10052</v>
          </cell>
          <cell r="E1617">
            <v>13764</v>
          </cell>
        </row>
        <row r="1618">
          <cell r="C1618" t="str">
            <v xml:space="preserve">    CLOFENAC PLUS      SQA</v>
          </cell>
          <cell r="D1618">
            <v>6796</v>
          </cell>
          <cell r="E1618">
            <v>5172</v>
          </cell>
        </row>
        <row r="1619">
          <cell r="C1619" t="str">
            <v xml:space="preserve">    DICLOFEN PLUS      OPI</v>
          </cell>
          <cell r="D1619">
            <v>1114</v>
          </cell>
          <cell r="E1619">
            <v>2860</v>
          </cell>
        </row>
        <row r="1620">
          <cell r="C1620" t="str">
            <v xml:space="preserve">    A-FENAC PLUS       ACM</v>
          </cell>
          <cell r="D1620">
            <v>957</v>
          </cell>
          <cell r="E1620">
            <v>2285</v>
          </cell>
        </row>
        <row r="1621">
          <cell r="C1621" t="str">
            <v xml:space="preserve">    MOBIFEN PLUS       A-I</v>
          </cell>
          <cell r="D1621">
            <v>520</v>
          </cell>
          <cell r="E1621">
            <v>2796</v>
          </cell>
        </row>
        <row r="1622">
          <cell r="C1622" t="str">
            <v xml:space="preserve">    INTAFENAC PLUS     IAP</v>
          </cell>
          <cell r="D1622">
            <v>394</v>
          </cell>
          <cell r="E1622">
            <v>327</v>
          </cell>
        </row>
        <row r="1623">
          <cell r="C1623" t="str">
            <v xml:space="preserve">    ANODYNE-PLUS       IBN</v>
          </cell>
          <cell r="D1623">
            <v>244</v>
          </cell>
          <cell r="E1623">
            <v>174</v>
          </cell>
        </row>
        <row r="1624">
          <cell r="C1624" t="str">
            <v xml:space="preserve">    ORFENAC-PLUS       OR/</v>
          </cell>
          <cell r="D1624">
            <v>26</v>
          </cell>
          <cell r="E1624">
            <v>149</v>
          </cell>
        </row>
        <row r="1625">
          <cell r="C1625" t="str">
            <v xml:space="preserve">    C-FENAC PLUS       CHM</v>
          </cell>
          <cell r="D1625">
            <v>0</v>
          </cell>
          <cell r="E1625">
            <v>0</v>
          </cell>
        </row>
        <row r="1626">
          <cell r="C1626" t="str">
            <v xml:space="preserve">    DIFENAC PLUS       RPH</v>
          </cell>
          <cell r="D1626">
            <v>0</v>
          </cell>
          <cell r="E1626">
            <v>0</v>
          </cell>
        </row>
        <row r="1627">
          <cell r="C1627" t="str">
            <v xml:space="preserve">    DIX PLUS           AX.</v>
          </cell>
          <cell r="D1627">
            <v>0</v>
          </cell>
          <cell r="E1627">
            <v>0</v>
          </cell>
        </row>
        <row r="1628">
          <cell r="C1628" t="str">
            <v xml:space="preserve">    GENAC PLUS         GBE</v>
          </cell>
          <cell r="D1628">
            <v>0</v>
          </cell>
          <cell r="E1628">
            <v>0</v>
          </cell>
        </row>
        <row r="1629">
          <cell r="C1629" t="str">
            <v xml:space="preserve">    ARTHROFEN PLUS     HT3</v>
          </cell>
          <cell r="D1629">
            <v>0</v>
          </cell>
          <cell r="E1629">
            <v>0</v>
          </cell>
        </row>
        <row r="1630">
          <cell r="C1630" t="str">
            <v xml:space="preserve">   TOLFENAMIC ACID</v>
          </cell>
          <cell r="D1630">
            <v>8780</v>
          </cell>
          <cell r="E1630">
            <v>11153</v>
          </cell>
        </row>
        <row r="1631">
          <cell r="C1631" t="str">
            <v xml:space="preserve">    MIGRATOL           BAC</v>
          </cell>
          <cell r="D1631">
            <v>6482</v>
          </cell>
          <cell r="E1631">
            <v>8226</v>
          </cell>
        </row>
        <row r="1632">
          <cell r="C1632" t="str">
            <v xml:space="preserve">    NAMITOL            A-I</v>
          </cell>
          <cell r="D1632">
            <v>2297</v>
          </cell>
          <cell r="E1632">
            <v>2927</v>
          </cell>
        </row>
        <row r="1633">
          <cell r="C1633" t="str">
            <v xml:space="preserve">   GLUCOSAMINE</v>
          </cell>
          <cell r="D1633">
            <v>3267</v>
          </cell>
          <cell r="E1633">
            <v>10618</v>
          </cell>
        </row>
        <row r="1634">
          <cell r="C1634" t="str">
            <v xml:space="preserve">    JOINIX             IAP</v>
          </cell>
          <cell r="D1634">
            <v>3148</v>
          </cell>
          <cell r="E1634">
            <v>9807</v>
          </cell>
        </row>
        <row r="1635">
          <cell r="C1635" t="str">
            <v xml:space="preserve">    GLUSTIN            GNR</v>
          </cell>
          <cell r="D1635">
            <v>73</v>
          </cell>
          <cell r="E1635">
            <v>651</v>
          </cell>
        </row>
        <row r="1636">
          <cell r="C1636" t="str">
            <v xml:space="preserve">    TILEX              SQA</v>
          </cell>
          <cell r="D1636">
            <v>45</v>
          </cell>
          <cell r="E1636">
            <v>141</v>
          </cell>
        </row>
        <row r="1637">
          <cell r="C1637" t="str">
            <v xml:space="preserve">    GLUCART            OR/</v>
          </cell>
          <cell r="D1637">
            <v>0</v>
          </cell>
          <cell r="E1637">
            <v>19</v>
          </cell>
        </row>
        <row r="1638">
          <cell r="C1638" t="str">
            <v xml:space="preserve">   MEFENAMIC ACID</v>
          </cell>
          <cell r="D1638">
            <v>1828</v>
          </cell>
          <cell r="E1638">
            <v>1317</v>
          </cell>
        </row>
        <row r="1639">
          <cell r="C1639" t="str">
            <v xml:space="preserve">    FENATON            D-I</v>
          </cell>
          <cell r="D1639">
            <v>1358</v>
          </cell>
          <cell r="E1639">
            <v>784</v>
          </cell>
        </row>
        <row r="1640">
          <cell r="C1640" t="str">
            <v xml:space="preserve">    MYFOCIN            IAP</v>
          </cell>
          <cell r="D1640">
            <v>470</v>
          </cell>
          <cell r="E1640">
            <v>532</v>
          </cell>
        </row>
        <row r="1641">
          <cell r="C1641" t="str">
            <v xml:space="preserve">    FENAMIC            BXM</v>
          </cell>
          <cell r="D1641">
            <v>0</v>
          </cell>
          <cell r="E1641">
            <v>0</v>
          </cell>
        </row>
        <row r="1642">
          <cell r="C1642" t="str">
            <v xml:space="preserve">   MELOXICAM</v>
          </cell>
          <cell r="D1642">
            <v>105</v>
          </cell>
          <cell r="E1642">
            <v>92</v>
          </cell>
        </row>
        <row r="1643">
          <cell r="C1643" t="str">
            <v xml:space="preserve">    MELCAM             SQA</v>
          </cell>
          <cell r="D1643">
            <v>105</v>
          </cell>
          <cell r="E1643">
            <v>92</v>
          </cell>
        </row>
        <row r="1644">
          <cell r="C1644" t="str">
            <v xml:space="preserve">   DICLOFENAC+MISOPROSTOL</v>
          </cell>
          <cell r="D1644">
            <v>12</v>
          </cell>
          <cell r="E1644">
            <v>486</v>
          </cell>
        </row>
        <row r="1645">
          <cell r="C1645" t="str">
            <v xml:space="preserve">    NOPAIN EXTRA       D-I</v>
          </cell>
          <cell r="D1645">
            <v>12</v>
          </cell>
          <cell r="E1645">
            <v>337</v>
          </cell>
        </row>
        <row r="1646">
          <cell r="C1646" t="str">
            <v xml:space="preserve">    ARTHROFEN          HT3</v>
          </cell>
          <cell r="D1646">
            <v>0</v>
          </cell>
          <cell r="E1646">
            <v>148</v>
          </cell>
        </row>
        <row r="1647">
          <cell r="C1647" t="str">
            <v xml:space="preserve">    DIMIS              EVR</v>
          </cell>
          <cell r="D1647">
            <v>0</v>
          </cell>
          <cell r="E1647">
            <v>0</v>
          </cell>
        </row>
        <row r="1648">
          <cell r="C1648" t="str">
            <v xml:space="preserve">    MICLOFENAC         SQA</v>
          </cell>
          <cell r="D1648">
            <v>0</v>
          </cell>
          <cell r="E1648">
            <v>0</v>
          </cell>
        </row>
        <row r="1649">
          <cell r="C1649" t="str">
            <v xml:space="preserve">    MISOCLO            GNR</v>
          </cell>
          <cell r="D1649">
            <v>0</v>
          </cell>
          <cell r="E1649">
            <v>0</v>
          </cell>
        </row>
        <row r="1650">
          <cell r="C1650" t="str">
            <v xml:space="preserve">    ULTRAFEN-PLUS      BXM</v>
          </cell>
          <cell r="D1650">
            <v>0</v>
          </cell>
          <cell r="E1650">
            <v>0</v>
          </cell>
        </row>
        <row r="1651">
          <cell r="C1651" t="str">
            <v xml:space="preserve">    PANFRE PLUS        PAC</v>
          </cell>
          <cell r="D1651">
            <v>0</v>
          </cell>
          <cell r="E1651">
            <v>0</v>
          </cell>
        </row>
        <row r="1652">
          <cell r="C1652" t="str">
            <v xml:space="preserve">   PIROXICAM</v>
          </cell>
          <cell r="D1652">
            <v>3</v>
          </cell>
          <cell r="E1652">
            <v>0</v>
          </cell>
        </row>
        <row r="1653">
          <cell r="C1653" t="str">
            <v xml:space="preserve">    FLEXICAM           RTA</v>
          </cell>
          <cell r="D1653">
            <v>3</v>
          </cell>
          <cell r="E1653">
            <v>0</v>
          </cell>
        </row>
        <row r="1654">
          <cell r="C1654" t="str">
            <v xml:space="preserve">   OXAPROZIN</v>
          </cell>
          <cell r="D1654">
            <v>0</v>
          </cell>
          <cell r="E1654">
            <v>78</v>
          </cell>
        </row>
        <row r="1655">
          <cell r="C1655" t="str">
            <v xml:space="preserve">    DEMARIN            A-I</v>
          </cell>
          <cell r="D1655">
            <v>0</v>
          </cell>
          <cell r="E1655">
            <v>78</v>
          </cell>
        </row>
        <row r="1656">
          <cell r="C1656" t="str">
            <v xml:space="preserve">   NIMESULIDE</v>
          </cell>
          <cell r="D1656">
            <v>0</v>
          </cell>
          <cell r="E1656">
            <v>0</v>
          </cell>
        </row>
        <row r="1657">
          <cell r="C1657" t="str">
            <v xml:space="preserve">    NIMO               ATP</v>
          </cell>
          <cell r="D1657">
            <v>0</v>
          </cell>
          <cell r="E1657">
            <v>0</v>
          </cell>
        </row>
        <row r="1658">
          <cell r="C1658" t="str">
            <v xml:space="preserve">    NISE               OPI</v>
          </cell>
          <cell r="D1658">
            <v>0</v>
          </cell>
          <cell r="E1658">
            <v>0</v>
          </cell>
        </row>
        <row r="1659">
          <cell r="C1659" t="str">
            <v xml:space="preserve">    QUICK              OAS</v>
          </cell>
          <cell r="D1659">
            <v>0</v>
          </cell>
          <cell r="E1659">
            <v>0</v>
          </cell>
        </row>
        <row r="1660">
          <cell r="C1660" t="str">
            <v xml:space="preserve">   METIAZINIC ACID</v>
          </cell>
          <cell r="D1660">
            <v>0</v>
          </cell>
          <cell r="E1660">
            <v>0</v>
          </cell>
        </row>
        <row r="1661">
          <cell r="C1661" t="str">
            <v xml:space="preserve">    NOVARIN            AIC</v>
          </cell>
          <cell r="D1661">
            <v>0</v>
          </cell>
          <cell r="E1661">
            <v>0</v>
          </cell>
        </row>
        <row r="1662">
          <cell r="C1662" t="str">
            <v xml:space="preserve">   FLURBIPROFEN</v>
          </cell>
          <cell r="D1662">
            <v>0</v>
          </cell>
          <cell r="E1662">
            <v>0</v>
          </cell>
        </row>
        <row r="1663">
          <cell r="C1663" t="str">
            <v xml:space="preserve">    URBIFEN            GNR</v>
          </cell>
          <cell r="D1663">
            <v>0</v>
          </cell>
          <cell r="E1663">
            <v>0</v>
          </cell>
        </row>
        <row r="1664">
          <cell r="C1664" t="str">
            <v xml:space="preserve">  COXIBS PLAIN</v>
          </cell>
          <cell r="D1664">
            <v>1464952</v>
          </cell>
          <cell r="E1664">
            <v>1270241</v>
          </cell>
        </row>
        <row r="1665">
          <cell r="C1665" t="str">
            <v xml:space="preserve">   ETORICOXIB</v>
          </cell>
          <cell r="D1665">
            <v>1439540</v>
          </cell>
          <cell r="E1665">
            <v>1247426</v>
          </cell>
        </row>
        <row r="1666">
          <cell r="C1666" t="str">
            <v xml:space="preserve">    ETORIX             ESF</v>
          </cell>
          <cell r="D1666">
            <v>793377</v>
          </cell>
          <cell r="E1666">
            <v>685508</v>
          </cell>
        </row>
        <row r="1667">
          <cell r="C1667" t="str">
            <v xml:space="preserve">    TORY               SQA</v>
          </cell>
          <cell r="D1667">
            <v>458368</v>
          </cell>
          <cell r="E1667">
            <v>364778</v>
          </cell>
        </row>
        <row r="1668">
          <cell r="C1668" t="str">
            <v xml:space="preserve">    DANILO             HT3</v>
          </cell>
          <cell r="D1668">
            <v>60060</v>
          </cell>
          <cell r="E1668">
            <v>51963</v>
          </cell>
        </row>
        <row r="1669">
          <cell r="C1669" t="str">
            <v xml:space="preserve">    ORICOX             IAP</v>
          </cell>
          <cell r="D1669">
            <v>25480</v>
          </cell>
          <cell r="E1669">
            <v>27440</v>
          </cell>
        </row>
        <row r="1670">
          <cell r="C1670" t="str">
            <v xml:space="preserve">    FABETOR            RD7</v>
          </cell>
          <cell r="D1670">
            <v>17292</v>
          </cell>
          <cell r="E1670">
            <v>12488</v>
          </cell>
        </row>
        <row r="1671">
          <cell r="C1671" t="str">
            <v xml:space="preserve">    SETORIB            ACM</v>
          </cell>
          <cell r="D1671">
            <v>13734</v>
          </cell>
          <cell r="E1671">
            <v>10766</v>
          </cell>
        </row>
        <row r="1672">
          <cell r="C1672" t="str">
            <v xml:space="preserve">    ETOCOX             GNR</v>
          </cell>
          <cell r="D1672">
            <v>12500</v>
          </cell>
          <cell r="E1672">
            <v>29794</v>
          </cell>
        </row>
        <row r="1673">
          <cell r="C1673" t="str">
            <v xml:space="preserve">    ETOVAN             ATP</v>
          </cell>
          <cell r="D1673">
            <v>9849</v>
          </cell>
          <cell r="E1673">
            <v>8253</v>
          </cell>
        </row>
        <row r="1674">
          <cell r="C1674" t="str">
            <v xml:space="preserve">    RITO               OPI</v>
          </cell>
          <cell r="D1674">
            <v>6978</v>
          </cell>
          <cell r="E1674">
            <v>3704</v>
          </cell>
        </row>
        <row r="1675">
          <cell r="C1675" t="str">
            <v xml:space="preserve">    ETOSHINE           SPI</v>
          </cell>
          <cell r="D1675">
            <v>5530</v>
          </cell>
          <cell r="E1675">
            <v>5483</v>
          </cell>
        </row>
        <row r="1676">
          <cell r="C1676" t="str">
            <v xml:space="preserve">    TORCOX             N8V</v>
          </cell>
          <cell r="D1676">
            <v>4929</v>
          </cell>
          <cell r="E1676">
            <v>6779</v>
          </cell>
        </row>
        <row r="1677">
          <cell r="C1677" t="str">
            <v xml:space="preserve">    ETO                D&amp;B</v>
          </cell>
          <cell r="D1677">
            <v>4904</v>
          </cell>
          <cell r="E1677">
            <v>5202</v>
          </cell>
        </row>
        <row r="1678">
          <cell r="C1678" t="str">
            <v xml:space="preserve">    COX-E              PPH</v>
          </cell>
          <cell r="D1678">
            <v>3867</v>
          </cell>
          <cell r="E1678">
            <v>7431</v>
          </cell>
        </row>
        <row r="1679">
          <cell r="C1679" t="str">
            <v xml:space="preserve">    COXIA              A-I</v>
          </cell>
          <cell r="D1679">
            <v>3743</v>
          </cell>
          <cell r="E1679">
            <v>4023</v>
          </cell>
        </row>
        <row r="1680">
          <cell r="C1680" t="str">
            <v xml:space="preserve">    EROFLAM            OR/</v>
          </cell>
          <cell r="D1680">
            <v>3308</v>
          </cell>
          <cell r="E1680">
            <v>3788</v>
          </cell>
        </row>
        <row r="1681">
          <cell r="C1681" t="str">
            <v xml:space="preserve">    ETORICA            LDB</v>
          </cell>
          <cell r="D1681">
            <v>3107</v>
          </cell>
          <cell r="E1681">
            <v>2727</v>
          </cell>
        </row>
        <row r="1682">
          <cell r="C1682" t="str">
            <v xml:space="preserve">    ALGIREX            IBN</v>
          </cell>
          <cell r="D1682">
            <v>2587</v>
          </cell>
          <cell r="E1682">
            <v>4370</v>
          </cell>
        </row>
        <row r="1683">
          <cell r="C1683" t="str">
            <v xml:space="preserve">    E-COXIB            D-I</v>
          </cell>
          <cell r="D1683">
            <v>2012</v>
          </cell>
          <cell r="E1683">
            <v>183</v>
          </cell>
        </row>
        <row r="1684">
          <cell r="C1684" t="str">
            <v xml:space="preserve">    BIOCOX             BP&amp;</v>
          </cell>
          <cell r="D1684">
            <v>1963</v>
          </cell>
          <cell r="E1684">
            <v>3801</v>
          </cell>
        </row>
        <row r="1685">
          <cell r="C1685" t="str">
            <v xml:space="preserve">    TORIMON            NUV</v>
          </cell>
          <cell r="D1685">
            <v>1776</v>
          </cell>
          <cell r="E1685">
            <v>1618</v>
          </cell>
        </row>
        <row r="1686">
          <cell r="C1686" t="str">
            <v xml:space="preserve">    COXITOR            BAC</v>
          </cell>
          <cell r="D1686">
            <v>1549</v>
          </cell>
          <cell r="E1686">
            <v>2813</v>
          </cell>
        </row>
        <row r="1687">
          <cell r="C1687" t="str">
            <v xml:space="preserve">    TEMCOX             TMH</v>
          </cell>
          <cell r="D1687">
            <v>892</v>
          </cell>
          <cell r="E1687">
            <v>1773</v>
          </cell>
        </row>
        <row r="1688">
          <cell r="C1688" t="str">
            <v xml:space="preserve">    ETOSTAR            ONA</v>
          </cell>
          <cell r="D1688">
            <v>483</v>
          </cell>
          <cell r="E1688">
            <v>0</v>
          </cell>
        </row>
        <row r="1689">
          <cell r="C1689" t="str">
            <v xml:space="preserve">    ETRIB              NJP</v>
          </cell>
          <cell r="D1689">
            <v>236</v>
          </cell>
          <cell r="E1689">
            <v>138</v>
          </cell>
        </row>
        <row r="1690">
          <cell r="C1690" t="str">
            <v xml:space="preserve">    ETONIL             P-S</v>
          </cell>
          <cell r="D1690">
            <v>234</v>
          </cell>
          <cell r="E1690">
            <v>696</v>
          </cell>
        </row>
        <row r="1691">
          <cell r="C1691" t="str">
            <v xml:space="preserve">    ETOSIS             NVK</v>
          </cell>
          <cell r="D1691">
            <v>168</v>
          </cell>
          <cell r="E1691">
            <v>0</v>
          </cell>
        </row>
        <row r="1692">
          <cell r="C1692" t="str">
            <v xml:space="preserve">    COXSAFE            SH0</v>
          </cell>
          <cell r="D1692">
            <v>113</v>
          </cell>
          <cell r="E1692">
            <v>219</v>
          </cell>
        </row>
        <row r="1693">
          <cell r="C1693" t="str">
            <v xml:space="preserve">    ETNAAF             NAF</v>
          </cell>
          <cell r="D1693">
            <v>100</v>
          </cell>
          <cell r="E1693">
            <v>0</v>
          </cell>
        </row>
        <row r="1694">
          <cell r="C1694" t="str">
            <v xml:space="preserve">    RIBOX              BXM</v>
          </cell>
          <cell r="D1694">
            <v>99</v>
          </cell>
          <cell r="E1694">
            <v>294</v>
          </cell>
        </row>
        <row r="1695">
          <cell r="C1695" t="str">
            <v xml:space="preserve">    ETOFLAM            J&amp;H</v>
          </cell>
          <cell r="D1695">
            <v>73</v>
          </cell>
          <cell r="E1695">
            <v>347</v>
          </cell>
        </row>
        <row r="1696">
          <cell r="C1696" t="str">
            <v xml:space="preserve">    ETORIFLEX          S&amp;O</v>
          </cell>
          <cell r="D1696">
            <v>64</v>
          </cell>
          <cell r="E1696">
            <v>6</v>
          </cell>
        </row>
        <row r="1697">
          <cell r="C1697" t="str">
            <v xml:space="preserve">    AROXIA             AD0</v>
          </cell>
          <cell r="D1697">
            <v>60</v>
          </cell>
          <cell r="E1697">
            <v>191</v>
          </cell>
        </row>
        <row r="1698">
          <cell r="C1698" t="str">
            <v xml:space="preserve">    RIOX               UNH</v>
          </cell>
          <cell r="D1698">
            <v>52</v>
          </cell>
          <cell r="E1698">
            <v>390</v>
          </cell>
        </row>
        <row r="1699">
          <cell r="C1699" t="str">
            <v xml:space="preserve">    EFLAM              AX.</v>
          </cell>
          <cell r="D1699">
            <v>29</v>
          </cell>
          <cell r="E1699">
            <v>29</v>
          </cell>
        </row>
        <row r="1700">
          <cell r="C1700" t="str">
            <v xml:space="preserve">    ETOXIB             GBE</v>
          </cell>
          <cell r="D1700">
            <v>25</v>
          </cell>
          <cell r="E1700">
            <v>84</v>
          </cell>
        </row>
        <row r="1701">
          <cell r="C1701" t="str">
            <v xml:space="preserve">    ARTORIX            A/L</v>
          </cell>
          <cell r="D1701">
            <v>0</v>
          </cell>
          <cell r="E1701">
            <v>0</v>
          </cell>
        </row>
        <row r="1702">
          <cell r="C1702" t="str">
            <v xml:space="preserve">    COXPAIN            NVO</v>
          </cell>
          <cell r="D1702">
            <v>0</v>
          </cell>
          <cell r="E1702">
            <v>0</v>
          </cell>
        </row>
        <row r="1703">
          <cell r="C1703" t="str">
            <v xml:space="preserve">    ECOX               A.P</v>
          </cell>
          <cell r="D1703">
            <v>0</v>
          </cell>
          <cell r="E1703">
            <v>0</v>
          </cell>
        </row>
        <row r="1704">
          <cell r="C1704" t="str">
            <v xml:space="preserve">    COXFREE            KMP</v>
          </cell>
          <cell r="D1704">
            <v>0</v>
          </cell>
          <cell r="E1704">
            <v>0</v>
          </cell>
        </row>
        <row r="1705">
          <cell r="C1705" t="str">
            <v xml:space="preserve">    COXET              PAC</v>
          </cell>
          <cell r="D1705">
            <v>0</v>
          </cell>
          <cell r="E1705">
            <v>322</v>
          </cell>
        </row>
        <row r="1706">
          <cell r="C1706" t="str">
            <v xml:space="preserve">    VARGUS             SDZ</v>
          </cell>
          <cell r="D1706">
            <v>0</v>
          </cell>
          <cell r="E1706">
            <v>0</v>
          </cell>
        </row>
        <row r="1707">
          <cell r="C1707" t="str">
            <v xml:space="preserve">    X-DOL              CC/</v>
          </cell>
          <cell r="D1707">
            <v>0</v>
          </cell>
          <cell r="E1707">
            <v>12</v>
          </cell>
        </row>
        <row r="1708">
          <cell r="C1708" t="str">
            <v xml:space="preserve">    TORBI              EMA</v>
          </cell>
          <cell r="D1708">
            <v>0</v>
          </cell>
          <cell r="E1708">
            <v>0</v>
          </cell>
        </row>
        <row r="1709">
          <cell r="C1709" t="str">
            <v xml:space="preserve">    SB-ETO             SBD</v>
          </cell>
          <cell r="D1709">
            <v>0</v>
          </cell>
          <cell r="E1709">
            <v>14</v>
          </cell>
        </row>
        <row r="1710">
          <cell r="C1710" t="str">
            <v xml:space="preserve">   PARECOXIB</v>
          </cell>
          <cell r="D1710">
            <v>21142</v>
          </cell>
          <cell r="E1710">
            <v>19153</v>
          </cell>
        </row>
        <row r="1711">
          <cell r="C1711" t="str">
            <v xml:space="preserve">    COXPAR             IAP</v>
          </cell>
          <cell r="D1711">
            <v>10654</v>
          </cell>
          <cell r="E1711">
            <v>8464</v>
          </cell>
        </row>
        <row r="1712">
          <cell r="C1712" t="str">
            <v xml:space="preserve">    PARIX              ESF</v>
          </cell>
          <cell r="D1712">
            <v>10488</v>
          </cell>
          <cell r="E1712">
            <v>10689</v>
          </cell>
        </row>
        <row r="1713">
          <cell r="C1713" t="str">
            <v xml:space="preserve">   ROFECOXIB</v>
          </cell>
          <cell r="D1713">
            <v>4091</v>
          </cell>
          <cell r="E1713">
            <v>3618</v>
          </cell>
        </row>
        <row r="1714">
          <cell r="C1714" t="str">
            <v xml:space="preserve">    RECOX              RTA</v>
          </cell>
          <cell r="D1714">
            <v>4063</v>
          </cell>
          <cell r="E1714">
            <v>3430</v>
          </cell>
        </row>
        <row r="1715">
          <cell r="C1715" t="str">
            <v xml:space="preserve">    FEXIB              RTA</v>
          </cell>
          <cell r="D1715">
            <v>28</v>
          </cell>
          <cell r="E1715">
            <v>0</v>
          </cell>
        </row>
        <row r="1716">
          <cell r="C1716" t="str">
            <v xml:space="preserve">    RECOX              BXM</v>
          </cell>
          <cell r="D1716">
            <v>0</v>
          </cell>
          <cell r="E1716">
            <v>188</v>
          </cell>
        </row>
        <row r="1717">
          <cell r="C1717" t="str">
            <v xml:space="preserve">    RIB                ACM</v>
          </cell>
          <cell r="D1717">
            <v>0</v>
          </cell>
          <cell r="E1717">
            <v>0</v>
          </cell>
        </row>
        <row r="1718">
          <cell r="C1718" t="str">
            <v xml:space="preserve">    ROFECOX            A.P</v>
          </cell>
          <cell r="D1718">
            <v>0</v>
          </cell>
          <cell r="E1718">
            <v>0</v>
          </cell>
        </row>
        <row r="1719">
          <cell r="C1719" t="str">
            <v xml:space="preserve">    ROFENTA            IAP</v>
          </cell>
          <cell r="D1719">
            <v>0</v>
          </cell>
          <cell r="E1719">
            <v>0</v>
          </cell>
        </row>
        <row r="1720">
          <cell r="C1720" t="str">
            <v xml:space="preserve">    ROFIN              DSH</v>
          </cell>
          <cell r="D1720">
            <v>0</v>
          </cell>
          <cell r="E1720">
            <v>0</v>
          </cell>
        </row>
        <row r="1721">
          <cell r="C1721" t="str">
            <v xml:space="preserve">   CELECOXIB</v>
          </cell>
          <cell r="D1721">
            <v>133</v>
          </cell>
          <cell r="E1721">
            <v>13</v>
          </cell>
        </row>
        <row r="1722">
          <cell r="C1722" t="str">
            <v xml:space="preserve">    SELECOX            SQA</v>
          </cell>
          <cell r="D1722">
            <v>98</v>
          </cell>
          <cell r="E1722">
            <v>6</v>
          </cell>
        </row>
        <row r="1723">
          <cell r="C1723" t="str">
            <v xml:space="preserve">    CELOX-R            RTA</v>
          </cell>
          <cell r="D1723">
            <v>35</v>
          </cell>
          <cell r="E1723">
            <v>0</v>
          </cell>
        </row>
        <row r="1724">
          <cell r="C1724" t="str">
            <v xml:space="preserve">    ACICOX             A-I</v>
          </cell>
          <cell r="D1724">
            <v>0</v>
          </cell>
          <cell r="E1724">
            <v>0</v>
          </cell>
        </row>
        <row r="1725">
          <cell r="C1725" t="str">
            <v xml:space="preserve">    CIOX               UNH</v>
          </cell>
          <cell r="D1725">
            <v>0</v>
          </cell>
          <cell r="E1725">
            <v>0</v>
          </cell>
        </row>
        <row r="1726">
          <cell r="C1726" t="str">
            <v xml:space="preserve">    DICOXIB            D-I</v>
          </cell>
          <cell r="D1726">
            <v>0</v>
          </cell>
          <cell r="E1726">
            <v>7</v>
          </cell>
        </row>
        <row r="1727">
          <cell r="C1727" t="str">
            <v xml:space="preserve">   VALDECOXIB</v>
          </cell>
          <cell r="D1727">
            <v>46</v>
          </cell>
          <cell r="E1727">
            <v>31</v>
          </cell>
        </row>
        <row r="1728">
          <cell r="C1728" t="str">
            <v xml:space="preserve">    VALORA             GBE</v>
          </cell>
          <cell r="D1728">
            <v>46</v>
          </cell>
          <cell r="E1728">
            <v>0</v>
          </cell>
        </row>
        <row r="1729">
          <cell r="C1729" t="str">
            <v xml:space="preserve">    DECOX              AX.</v>
          </cell>
          <cell r="D1729">
            <v>0</v>
          </cell>
          <cell r="E1729">
            <v>0</v>
          </cell>
        </row>
        <row r="1730">
          <cell r="C1730" t="str">
            <v xml:space="preserve">    DELOX              U7P</v>
          </cell>
          <cell r="D1730">
            <v>0</v>
          </cell>
          <cell r="E1730">
            <v>0</v>
          </cell>
        </row>
        <row r="1731">
          <cell r="C1731" t="str">
            <v xml:space="preserve">    V-COX              BXM</v>
          </cell>
          <cell r="D1731">
            <v>0</v>
          </cell>
          <cell r="E1731">
            <v>0</v>
          </cell>
        </row>
        <row r="1732">
          <cell r="C1732" t="str">
            <v xml:space="preserve">    VALGIN             ETH</v>
          </cell>
          <cell r="D1732">
            <v>0</v>
          </cell>
          <cell r="E1732">
            <v>0</v>
          </cell>
        </row>
        <row r="1733">
          <cell r="C1733" t="str">
            <v xml:space="preserve">    VAXIB              SDZ</v>
          </cell>
          <cell r="D1733">
            <v>0</v>
          </cell>
          <cell r="E1733">
            <v>0</v>
          </cell>
        </row>
        <row r="1734">
          <cell r="C1734" t="str">
            <v xml:space="preserve">    VEXTRA             OR/</v>
          </cell>
          <cell r="D1734">
            <v>0</v>
          </cell>
          <cell r="E1734">
            <v>0</v>
          </cell>
        </row>
        <row r="1735">
          <cell r="C1735" t="str">
            <v xml:space="preserve">    VIB                ACM</v>
          </cell>
          <cell r="D1735">
            <v>0</v>
          </cell>
          <cell r="E1735">
            <v>0</v>
          </cell>
        </row>
        <row r="1736">
          <cell r="C1736" t="str">
            <v xml:space="preserve">    XTRA               SQA</v>
          </cell>
          <cell r="D1736">
            <v>0</v>
          </cell>
          <cell r="E1736">
            <v>31</v>
          </cell>
        </row>
        <row r="1737">
          <cell r="C1737" t="str">
            <v xml:space="preserve"> ANGIOTEN-II ANTAG, COMB</v>
          </cell>
          <cell r="D1737">
            <v>10758172</v>
          </cell>
          <cell r="E1737">
            <v>8893678</v>
          </cell>
        </row>
        <row r="1738">
          <cell r="C1738" t="str">
            <v xml:space="preserve">  AT2 ANTG COMB CALC ANTAG</v>
          </cell>
          <cell r="D1738">
            <v>6865321</v>
          </cell>
          <cell r="E1738">
            <v>5768367</v>
          </cell>
        </row>
        <row r="1739">
          <cell r="C1739" t="str">
            <v xml:space="preserve">   AMLODIPINE+OLMESARTAN MEDOXOMIL</v>
          </cell>
          <cell r="D1739">
            <v>5158440</v>
          </cell>
          <cell r="E1739">
            <v>4446972</v>
          </cell>
        </row>
        <row r="1740">
          <cell r="C1740" t="str">
            <v xml:space="preserve">    BIZORAN            BXM</v>
          </cell>
          <cell r="D1740">
            <v>2135878</v>
          </cell>
          <cell r="E1740">
            <v>1894394</v>
          </cell>
        </row>
        <row r="1741">
          <cell r="C1741" t="str">
            <v xml:space="preserve">    ABECAB             A-I</v>
          </cell>
          <cell r="D1741">
            <v>756328</v>
          </cell>
          <cell r="E1741">
            <v>541555</v>
          </cell>
        </row>
        <row r="1742">
          <cell r="C1742" t="str">
            <v xml:space="preserve">    CAMLOSART          SQA</v>
          </cell>
          <cell r="D1742">
            <v>609334</v>
          </cell>
          <cell r="E1742">
            <v>510946</v>
          </cell>
        </row>
        <row r="1743">
          <cell r="C1743" t="str">
            <v xml:space="preserve">    CALNOR             OPI</v>
          </cell>
          <cell r="D1743">
            <v>266189</v>
          </cell>
          <cell r="E1743">
            <v>219316</v>
          </cell>
        </row>
        <row r="1744">
          <cell r="C1744" t="str">
            <v xml:space="preserve">    DUOPRES            IAP</v>
          </cell>
          <cell r="D1744">
            <v>204392</v>
          </cell>
          <cell r="E1744">
            <v>189182</v>
          </cell>
        </row>
        <row r="1745">
          <cell r="C1745" t="str">
            <v xml:space="preserve">    DUOVAS             RD7</v>
          </cell>
          <cell r="D1745">
            <v>175748</v>
          </cell>
          <cell r="E1745">
            <v>184497</v>
          </cell>
        </row>
        <row r="1746">
          <cell r="C1746" t="str">
            <v xml:space="preserve">    OLMEDIP            IBN</v>
          </cell>
          <cell r="D1746">
            <v>173018</v>
          </cell>
          <cell r="E1746">
            <v>169707</v>
          </cell>
        </row>
        <row r="1747">
          <cell r="C1747" t="str">
            <v xml:space="preserve">    DUOBLOCK           ATP</v>
          </cell>
          <cell r="D1747">
            <v>140741</v>
          </cell>
          <cell r="E1747">
            <v>119874</v>
          </cell>
        </row>
        <row r="1748">
          <cell r="C1748" t="str">
            <v xml:space="preserve">    RANSYS AM          HT3</v>
          </cell>
          <cell r="D1748">
            <v>123637</v>
          </cell>
          <cell r="E1748">
            <v>91407</v>
          </cell>
        </row>
        <row r="1749">
          <cell r="C1749" t="str">
            <v xml:space="preserve">    DISARTAN           D-I</v>
          </cell>
          <cell r="D1749">
            <v>119362</v>
          </cell>
          <cell r="E1749">
            <v>120669</v>
          </cell>
        </row>
        <row r="1750">
          <cell r="C1750" t="str">
            <v xml:space="preserve">    OLMEZEST-AM        SPI</v>
          </cell>
          <cell r="D1750">
            <v>110231</v>
          </cell>
          <cell r="E1750">
            <v>100646</v>
          </cell>
        </row>
        <row r="1751">
          <cell r="C1751" t="str">
            <v xml:space="preserve">    ORBAPIN            ACM</v>
          </cell>
          <cell r="D1751">
            <v>102935</v>
          </cell>
          <cell r="E1751">
            <v>95148</v>
          </cell>
        </row>
        <row r="1752">
          <cell r="C1752" t="str">
            <v xml:space="preserve">    OLMEVAS AM         PPH</v>
          </cell>
          <cell r="D1752">
            <v>89410</v>
          </cell>
          <cell r="E1752">
            <v>68653</v>
          </cell>
        </row>
        <row r="1753">
          <cell r="C1753" t="str">
            <v xml:space="preserve">    OLMESTA M          ESF</v>
          </cell>
          <cell r="D1753">
            <v>52770</v>
          </cell>
          <cell r="E1753">
            <v>46539</v>
          </cell>
        </row>
        <row r="1754">
          <cell r="C1754" t="str">
            <v xml:space="preserve">    REZOR MAX          RTA</v>
          </cell>
          <cell r="D1754">
            <v>46560</v>
          </cell>
          <cell r="E1754">
            <v>41706</v>
          </cell>
        </row>
        <row r="1755">
          <cell r="C1755" t="str">
            <v xml:space="preserve">    OLMESAFE-AM        OR/</v>
          </cell>
          <cell r="D1755">
            <v>19226</v>
          </cell>
          <cell r="E1755">
            <v>24236</v>
          </cell>
        </row>
        <row r="1756">
          <cell r="C1756" t="str">
            <v xml:space="preserve">    BELSAR-M           BAC</v>
          </cell>
          <cell r="D1756">
            <v>9888</v>
          </cell>
          <cell r="E1756">
            <v>3670</v>
          </cell>
        </row>
        <row r="1757">
          <cell r="C1757" t="str">
            <v xml:space="preserve">    DUOFAST            LDB</v>
          </cell>
          <cell r="D1757">
            <v>5205</v>
          </cell>
          <cell r="E1757">
            <v>6451</v>
          </cell>
        </row>
        <row r="1758">
          <cell r="C1758" t="str">
            <v xml:space="preserve">    OLMEPRES-AM        GNR</v>
          </cell>
          <cell r="D1758">
            <v>4811</v>
          </cell>
          <cell r="E1758">
            <v>6120</v>
          </cell>
        </row>
        <row r="1759">
          <cell r="C1759" t="str">
            <v xml:space="preserve">    LOVAPRES PLUS      NJP</v>
          </cell>
          <cell r="D1759">
            <v>4808</v>
          </cell>
          <cell r="E1759">
            <v>3521</v>
          </cell>
        </row>
        <row r="1760">
          <cell r="C1760" t="str">
            <v xml:space="preserve">    OLPRES-A           ZIS</v>
          </cell>
          <cell r="D1760">
            <v>3396</v>
          </cell>
          <cell r="E1760">
            <v>2122</v>
          </cell>
        </row>
        <row r="1761">
          <cell r="C1761" t="str">
            <v xml:space="preserve">    OLMEPIN            N8V</v>
          </cell>
          <cell r="D1761">
            <v>2741</v>
          </cell>
          <cell r="E1761">
            <v>3316</v>
          </cell>
        </row>
        <row r="1762">
          <cell r="C1762" t="str">
            <v xml:space="preserve">    TENIVASC           UNH</v>
          </cell>
          <cell r="D1762">
            <v>1261</v>
          </cell>
          <cell r="E1762">
            <v>1736</v>
          </cell>
        </row>
        <row r="1763">
          <cell r="C1763" t="str">
            <v xml:space="preserve">    CALSART            GBE</v>
          </cell>
          <cell r="D1763">
            <v>320</v>
          </cell>
          <cell r="E1763">
            <v>441</v>
          </cell>
        </row>
        <row r="1764">
          <cell r="C1764" t="str">
            <v xml:space="preserve">    AMLOSART           SQA</v>
          </cell>
          <cell r="D1764">
            <v>108</v>
          </cell>
          <cell r="E1764">
            <v>174</v>
          </cell>
        </row>
        <row r="1765">
          <cell r="C1765" t="str">
            <v xml:space="preserve">    OLMEFAST-AM        GD2</v>
          </cell>
          <cell r="D1765">
            <v>91</v>
          </cell>
          <cell r="E1765">
            <v>462</v>
          </cell>
        </row>
        <row r="1766">
          <cell r="C1766" t="str">
            <v xml:space="preserve">    OLMEPRES PLUS      GNR</v>
          </cell>
          <cell r="D1766">
            <v>49</v>
          </cell>
          <cell r="E1766">
            <v>486</v>
          </cell>
        </row>
        <row r="1767">
          <cell r="C1767" t="str">
            <v xml:space="preserve">   AMLODIPINE+TELMISARTAN</v>
          </cell>
          <cell r="D1767">
            <v>1563716</v>
          </cell>
          <cell r="E1767">
            <v>1173477</v>
          </cell>
        </row>
        <row r="1768">
          <cell r="C1768" t="str">
            <v xml:space="preserve">    TELMIDIP           IAP</v>
          </cell>
          <cell r="D1768">
            <v>631508</v>
          </cell>
          <cell r="E1768">
            <v>467628</v>
          </cell>
        </row>
        <row r="1769">
          <cell r="C1769" t="str">
            <v xml:space="preserve">    TELMACAL           BXM</v>
          </cell>
          <cell r="D1769">
            <v>277807</v>
          </cell>
          <cell r="E1769">
            <v>263676</v>
          </cell>
        </row>
        <row r="1770">
          <cell r="C1770" t="str">
            <v xml:space="preserve">    ARBITEL AM         A-I</v>
          </cell>
          <cell r="D1770">
            <v>134978</v>
          </cell>
          <cell r="E1770">
            <v>95842</v>
          </cell>
        </row>
        <row r="1771">
          <cell r="C1771" t="str">
            <v xml:space="preserve">    TELMIVAS AM        PPH</v>
          </cell>
          <cell r="D1771">
            <v>112926</v>
          </cell>
          <cell r="E1771">
            <v>61480</v>
          </cell>
        </row>
        <row r="1772">
          <cell r="C1772" t="str">
            <v xml:space="preserve">    CAMLOTEL           SQA</v>
          </cell>
          <cell r="D1772">
            <v>70665</v>
          </cell>
          <cell r="E1772">
            <v>60141</v>
          </cell>
        </row>
        <row r="1773">
          <cell r="C1773" t="str">
            <v xml:space="preserve">    TELISA-A           ACM</v>
          </cell>
          <cell r="D1773">
            <v>66159</v>
          </cell>
          <cell r="E1773">
            <v>24698</v>
          </cell>
        </row>
        <row r="1774">
          <cell r="C1774" t="str">
            <v xml:space="preserve">    TELMITAN MAX       OPI</v>
          </cell>
          <cell r="D1774">
            <v>59308</v>
          </cell>
          <cell r="E1774">
            <v>51818</v>
          </cell>
        </row>
        <row r="1775">
          <cell r="C1775" t="str">
            <v xml:space="preserve">    TELPRO MAX         RTA</v>
          </cell>
          <cell r="D1775">
            <v>51930</v>
          </cell>
          <cell r="E1775">
            <v>39570</v>
          </cell>
        </row>
        <row r="1776">
          <cell r="C1776" t="str">
            <v xml:space="preserve">    TEMCARD-A          ATP</v>
          </cell>
          <cell r="D1776">
            <v>44702</v>
          </cell>
          <cell r="E1776">
            <v>29066</v>
          </cell>
        </row>
        <row r="1777">
          <cell r="C1777" t="str">
            <v xml:space="preserve">    TEMS A             ESF</v>
          </cell>
          <cell r="D1777">
            <v>43143</v>
          </cell>
          <cell r="E1777">
            <v>14298</v>
          </cell>
        </row>
        <row r="1778">
          <cell r="C1778" t="str">
            <v xml:space="preserve">    TELAMLO            UNH</v>
          </cell>
          <cell r="D1778">
            <v>20590</v>
          </cell>
          <cell r="E1778">
            <v>23216</v>
          </cell>
        </row>
        <row r="1779">
          <cell r="C1779" t="str">
            <v xml:space="preserve">    TEANA-AM           HT3</v>
          </cell>
          <cell r="D1779">
            <v>17451</v>
          </cell>
          <cell r="E1779">
            <v>0</v>
          </cell>
        </row>
        <row r="1780">
          <cell r="C1780" t="str">
            <v xml:space="preserve">    PRESART-AM         GNR</v>
          </cell>
          <cell r="D1780">
            <v>14405</v>
          </cell>
          <cell r="E1780">
            <v>32343</v>
          </cell>
        </row>
        <row r="1781">
          <cell r="C1781" t="str">
            <v xml:space="preserve">    TELMICARD          D-I</v>
          </cell>
          <cell r="D1781">
            <v>9450</v>
          </cell>
          <cell r="E1781">
            <v>6427</v>
          </cell>
        </row>
        <row r="1782">
          <cell r="C1782" t="str">
            <v xml:space="preserve">    CARDOTEL           P-S</v>
          </cell>
          <cell r="D1782">
            <v>3433</v>
          </cell>
          <cell r="E1782">
            <v>3276</v>
          </cell>
        </row>
        <row r="1783">
          <cell r="C1783" t="str">
            <v xml:space="preserve">    TRUSERT-A          ZIS</v>
          </cell>
          <cell r="D1783">
            <v>3185</v>
          </cell>
          <cell r="E1783">
            <v>0</v>
          </cell>
        </row>
        <row r="1784">
          <cell r="C1784" t="str">
            <v xml:space="preserve">    TESLAR-M           BAC</v>
          </cell>
          <cell r="D1784">
            <v>2075</v>
          </cell>
          <cell r="E1784">
            <v>0</v>
          </cell>
        </row>
        <row r="1785">
          <cell r="C1785" t="str">
            <v xml:space="preserve">   AMLODIPINE+VALSARTAN</v>
          </cell>
          <cell r="D1785">
            <v>143165</v>
          </cell>
          <cell r="E1785">
            <v>147918</v>
          </cell>
        </row>
        <row r="1786">
          <cell r="C1786" t="str">
            <v xml:space="preserve">    CO-DISYS           HT3</v>
          </cell>
          <cell r="D1786">
            <v>53240</v>
          </cell>
          <cell r="E1786">
            <v>49543</v>
          </cell>
        </row>
        <row r="1787">
          <cell r="C1787" t="str">
            <v xml:space="preserve">    EXFORGE            NVR</v>
          </cell>
          <cell r="D1787">
            <v>52758</v>
          </cell>
          <cell r="E1787">
            <v>65356</v>
          </cell>
        </row>
        <row r="1788">
          <cell r="C1788" t="str">
            <v xml:space="preserve">    AMLOSARTAN         IAP</v>
          </cell>
          <cell r="D1788">
            <v>22392</v>
          </cell>
          <cell r="E1788">
            <v>17418</v>
          </cell>
        </row>
        <row r="1789">
          <cell r="C1789" t="str">
            <v xml:space="preserve">    AMLOVAS-VS         PPH</v>
          </cell>
          <cell r="D1789">
            <v>14680</v>
          </cell>
          <cell r="E1789">
            <v>15584</v>
          </cell>
        </row>
        <row r="1790">
          <cell r="C1790" t="str">
            <v xml:space="preserve">    CAMOVAL            SQA</v>
          </cell>
          <cell r="D1790">
            <v>95</v>
          </cell>
          <cell r="E1790">
            <v>17</v>
          </cell>
        </row>
        <row r="1791">
          <cell r="C1791" t="str">
            <v xml:space="preserve">    AVODIL-VL          OPI</v>
          </cell>
          <cell r="D1791">
            <v>0</v>
          </cell>
          <cell r="E1791">
            <v>0</v>
          </cell>
        </row>
        <row r="1792">
          <cell r="C1792" t="str">
            <v xml:space="preserve">    VALDIPIN           RTA</v>
          </cell>
          <cell r="D1792">
            <v>0</v>
          </cell>
          <cell r="E1792">
            <v>0</v>
          </cell>
        </row>
        <row r="1793">
          <cell r="C1793" t="str">
            <v xml:space="preserve">  AT2 ANTG COMB C2 &amp;/O DIU</v>
          </cell>
          <cell r="D1793">
            <v>2610219</v>
          </cell>
          <cell r="E1793">
            <v>2135711</v>
          </cell>
        </row>
        <row r="1794">
          <cell r="C1794" t="str">
            <v xml:space="preserve">   HYDROCHLOROTHIAZIDE+LOSARTAN</v>
          </cell>
          <cell r="D1794">
            <v>1525545</v>
          </cell>
          <cell r="E1794">
            <v>1355137</v>
          </cell>
        </row>
        <row r="1795">
          <cell r="C1795" t="str">
            <v xml:space="preserve">    ANGILOCK-PLUS      SQA</v>
          </cell>
          <cell r="D1795">
            <v>678745</v>
          </cell>
          <cell r="E1795">
            <v>546678</v>
          </cell>
        </row>
        <row r="1796">
          <cell r="C1796" t="str">
            <v xml:space="preserve">    OSARTIL PLUS       IAP</v>
          </cell>
          <cell r="D1796">
            <v>595748</v>
          </cell>
          <cell r="E1796">
            <v>562794</v>
          </cell>
        </row>
        <row r="1797">
          <cell r="C1797" t="str">
            <v xml:space="preserve">    PROSAN-HZ          BXM</v>
          </cell>
          <cell r="D1797">
            <v>84816</v>
          </cell>
          <cell r="E1797">
            <v>77167</v>
          </cell>
        </row>
        <row r="1798">
          <cell r="C1798" t="str">
            <v xml:space="preserve">    LOSART PLUS        ACM</v>
          </cell>
          <cell r="D1798">
            <v>49838</v>
          </cell>
          <cell r="E1798">
            <v>36727</v>
          </cell>
        </row>
        <row r="1799">
          <cell r="C1799" t="str">
            <v xml:space="preserve">    LOSARDIL           D-I</v>
          </cell>
          <cell r="D1799">
            <v>32252</v>
          </cell>
          <cell r="E1799">
            <v>43477</v>
          </cell>
        </row>
        <row r="1800">
          <cell r="C1800" t="str">
            <v xml:space="preserve">    OSTAN PLUS         RTA</v>
          </cell>
          <cell r="D1800">
            <v>23491</v>
          </cell>
          <cell r="E1800">
            <v>18061</v>
          </cell>
        </row>
        <row r="1801">
          <cell r="C1801" t="str">
            <v xml:space="preserve">    CARDOPLUS          ESF</v>
          </cell>
          <cell r="D1801">
            <v>12444</v>
          </cell>
          <cell r="E1801">
            <v>12513</v>
          </cell>
        </row>
        <row r="1802">
          <cell r="C1802" t="str">
            <v xml:space="preserve">    LARB-PLUS          OPI</v>
          </cell>
          <cell r="D1802">
            <v>12081</v>
          </cell>
          <cell r="E1802">
            <v>9997</v>
          </cell>
        </row>
        <row r="1803">
          <cell r="C1803" t="str">
            <v xml:space="preserve">    LOSAN PLUS         OR/</v>
          </cell>
          <cell r="D1803">
            <v>6818</v>
          </cell>
          <cell r="E1803">
            <v>7449</v>
          </cell>
        </row>
        <row r="1804">
          <cell r="C1804" t="str">
            <v xml:space="preserve">    OSARTAN-HZ         ATP</v>
          </cell>
          <cell r="D1804">
            <v>6578</v>
          </cell>
          <cell r="E1804">
            <v>4677</v>
          </cell>
        </row>
        <row r="1805">
          <cell r="C1805" t="str">
            <v xml:space="preserve">    LOSACOR PLUS       HT3</v>
          </cell>
          <cell r="D1805">
            <v>6336</v>
          </cell>
          <cell r="E1805">
            <v>8747</v>
          </cell>
        </row>
        <row r="1806">
          <cell r="C1806" t="str">
            <v xml:space="preserve">    LOSARVA PLUS       NJP</v>
          </cell>
          <cell r="D1806">
            <v>5707</v>
          </cell>
          <cell r="E1806">
            <v>7587</v>
          </cell>
        </row>
        <row r="1807">
          <cell r="C1807" t="str">
            <v xml:space="preserve">    LOSATAN-HZ         PPH</v>
          </cell>
          <cell r="D1807">
            <v>2221</v>
          </cell>
          <cell r="E1807">
            <v>1413</v>
          </cell>
        </row>
        <row r="1808">
          <cell r="C1808" t="str">
            <v xml:space="preserve">    LOPO-PLUS          BP&amp;</v>
          </cell>
          <cell r="D1808">
            <v>2187</v>
          </cell>
          <cell r="E1808">
            <v>3032</v>
          </cell>
        </row>
        <row r="1809">
          <cell r="C1809" t="str">
            <v xml:space="preserve">    LOSIUM PLUS        IBN</v>
          </cell>
          <cell r="D1809">
            <v>2055</v>
          </cell>
          <cell r="E1809">
            <v>3049</v>
          </cell>
        </row>
        <row r="1810">
          <cell r="C1810" t="str">
            <v xml:space="preserve">    LOSARDIL-PLUS      D-I</v>
          </cell>
          <cell r="D1810">
            <v>1888</v>
          </cell>
          <cell r="E1810">
            <v>1861</v>
          </cell>
        </row>
        <row r="1811">
          <cell r="C1811" t="str">
            <v xml:space="preserve">    CARDISAN PLUS      BAC</v>
          </cell>
          <cell r="D1811">
            <v>805</v>
          </cell>
          <cell r="E1811">
            <v>444</v>
          </cell>
        </row>
        <row r="1812">
          <cell r="C1812" t="str">
            <v xml:space="preserve">    ANREB PLUS         GNR</v>
          </cell>
          <cell r="D1812">
            <v>479</v>
          </cell>
          <cell r="E1812">
            <v>6520</v>
          </cell>
        </row>
        <row r="1813">
          <cell r="C1813" t="str">
            <v xml:space="preserve">    LOK-50 PLUS        GBE</v>
          </cell>
          <cell r="D1813">
            <v>274</v>
          </cell>
          <cell r="E1813">
            <v>794</v>
          </cell>
        </row>
        <row r="1814">
          <cell r="C1814" t="str">
            <v xml:space="preserve">    XELOTAN-PLUS       P-S</v>
          </cell>
          <cell r="D1814">
            <v>204</v>
          </cell>
          <cell r="E1814">
            <v>81</v>
          </cell>
        </row>
        <row r="1815">
          <cell r="C1815" t="str">
            <v xml:space="preserve">    ANIN PLUS          D&amp;B</v>
          </cell>
          <cell r="D1815">
            <v>151</v>
          </cell>
          <cell r="E1815">
            <v>404</v>
          </cell>
        </row>
        <row r="1816">
          <cell r="C1816" t="str">
            <v xml:space="preserve">    ANGITAN PLUS       CHM</v>
          </cell>
          <cell r="D1816">
            <v>121</v>
          </cell>
          <cell r="E1816">
            <v>52</v>
          </cell>
        </row>
        <row r="1817">
          <cell r="C1817" t="str">
            <v xml:space="preserve">    LOSARDIL-HS        D-I</v>
          </cell>
          <cell r="D1817">
            <v>69</v>
          </cell>
          <cell r="E1817">
            <v>265</v>
          </cell>
        </row>
        <row r="1818">
          <cell r="C1818" t="str">
            <v xml:space="preserve">    LOSPIL PLUS        WTH</v>
          </cell>
          <cell r="D1818">
            <v>65</v>
          </cell>
          <cell r="E1818">
            <v>163</v>
          </cell>
        </row>
        <row r="1819">
          <cell r="C1819" t="str">
            <v xml:space="preserve">    LK PLUS            PAC</v>
          </cell>
          <cell r="D1819">
            <v>62</v>
          </cell>
          <cell r="E1819">
            <v>153</v>
          </cell>
        </row>
        <row r="1820">
          <cell r="C1820" t="str">
            <v xml:space="preserve">    PRECON PLUS        RD7</v>
          </cell>
          <cell r="D1820">
            <v>51</v>
          </cell>
          <cell r="E1820">
            <v>718</v>
          </cell>
        </row>
        <row r="1821">
          <cell r="C1821" t="str">
            <v xml:space="preserve">    LOSAN-D            OR/</v>
          </cell>
          <cell r="D1821">
            <v>46</v>
          </cell>
          <cell r="E1821">
            <v>304</v>
          </cell>
        </row>
        <row r="1822">
          <cell r="C1822" t="str">
            <v xml:space="preserve">    ACUSAN PLUS        CC/</v>
          </cell>
          <cell r="D1822">
            <v>11</v>
          </cell>
          <cell r="E1822">
            <v>0</v>
          </cell>
        </row>
        <row r="1823">
          <cell r="C1823" t="str">
            <v xml:space="preserve">    ARATEN-PLUS        UNH</v>
          </cell>
          <cell r="D1823">
            <v>0</v>
          </cell>
          <cell r="E1823">
            <v>0</v>
          </cell>
        </row>
        <row r="1824">
          <cell r="C1824" t="str">
            <v xml:space="preserve">    LOSARDIL-H         D-I</v>
          </cell>
          <cell r="D1824">
            <v>0</v>
          </cell>
          <cell r="E1824">
            <v>6</v>
          </cell>
        </row>
        <row r="1825">
          <cell r="C1825" t="str">
            <v xml:space="preserve">    LOSACARD-HZ        NVO</v>
          </cell>
          <cell r="D1825">
            <v>0</v>
          </cell>
          <cell r="E1825">
            <v>6</v>
          </cell>
        </row>
        <row r="1826">
          <cell r="C1826" t="str">
            <v xml:space="preserve">    REPACE H           SPI</v>
          </cell>
          <cell r="D1826">
            <v>0</v>
          </cell>
          <cell r="E1826">
            <v>0</v>
          </cell>
        </row>
        <row r="1827">
          <cell r="C1827" t="str">
            <v xml:space="preserve">    LOPASS-50 PLUS     SDZ</v>
          </cell>
          <cell r="D1827">
            <v>0</v>
          </cell>
          <cell r="E1827">
            <v>0</v>
          </cell>
        </row>
        <row r="1828">
          <cell r="C1828" t="str">
            <v xml:space="preserve">    PERTILOS PLUS      N8V</v>
          </cell>
          <cell r="D1828">
            <v>0</v>
          </cell>
          <cell r="E1828">
            <v>0</v>
          </cell>
        </row>
        <row r="1829">
          <cell r="C1829" t="str">
            <v xml:space="preserve">    PRESLO-H           LDB</v>
          </cell>
          <cell r="D1829">
            <v>0</v>
          </cell>
          <cell r="E1829">
            <v>0</v>
          </cell>
        </row>
        <row r="1830">
          <cell r="C1830" t="str">
            <v xml:space="preserve">    SB-LOSAK PLUS      SBD</v>
          </cell>
          <cell r="D1830">
            <v>0</v>
          </cell>
          <cell r="E1830">
            <v>0</v>
          </cell>
        </row>
        <row r="1831">
          <cell r="C1831" t="str">
            <v xml:space="preserve">    PRESLOW-50 PLUS    LDB</v>
          </cell>
          <cell r="D1831">
            <v>0</v>
          </cell>
          <cell r="E1831">
            <v>0</v>
          </cell>
        </row>
        <row r="1832">
          <cell r="C1832" t="str">
            <v xml:space="preserve">   HYDROCHLOROTHIAZIDE+OLMESARTAN MEDOXOMIL</v>
          </cell>
          <cell r="D1832">
            <v>683358</v>
          </cell>
          <cell r="E1832">
            <v>528474</v>
          </cell>
        </row>
        <row r="1833">
          <cell r="C1833" t="str">
            <v xml:space="preserve">    ABETIS PLUS        A-I</v>
          </cell>
          <cell r="D1833">
            <v>378324</v>
          </cell>
          <cell r="E1833">
            <v>267727</v>
          </cell>
        </row>
        <row r="1834">
          <cell r="C1834" t="str">
            <v xml:space="preserve">    OLMESAN PLUS       BXM</v>
          </cell>
          <cell r="D1834">
            <v>149935</v>
          </cell>
          <cell r="E1834">
            <v>127571</v>
          </cell>
        </row>
        <row r="1835">
          <cell r="C1835" t="str">
            <v xml:space="preserve">    OLMECAR PLUS       SQA</v>
          </cell>
          <cell r="D1835">
            <v>42075</v>
          </cell>
          <cell r="E1835">
            <v>35036</v>
          </cell>
        </row>
        <row r="1836">
          <cell r="C1836" t="str">
            <v xml:space="preserve">    RANSYS PLUS        HT3</v>
          </cell>
          <cell r="D1836">
            <v>28974</v>
          </cell>
          <cell r="E1836">
            <v>19134</v>
          </cell>
        </row>
        <row r="1837">
          <cell r="C1837" t="str">
            <v xml:space="preserve">    OLMEZEST-H         SPI</v>
          </cell>
          <cell r="D1837">
            <v>21436</v>
          </cell>
          <cell r="E1837">
            <v>19570</v>
          </cell>
        </row>
        <row r="1838">
          <cell r="C1838" t="str">
            <v xml:space="preserve">    OLSART PLUS        OPI</v>
          </cell>
          <cell r="D1838">
            <v>17884</v>
          </cell>
          <cell r="E1838">
            <v>19414</v>
          </cell>
        </row>
        <row r="1839">
          <cell r="C1839" t="str">
            <v xml:space="preserve">    SEVITAN-HTZ        RD7</v>
          </cell>
          <cell r="D1839">
            <v>11764</v>
          </cell>
          <cell r="E1839">
            <v>5478</v>
          </cell>
        </row>
        <row r="1840">
          <cell r="C1840" t="str">
            <v xml:space="preserve">    OLMEVAS HZ         PPH</v>
          </cell>
          <cell r="D1840">
            <v>6644</v>
          </cell>
          <cell r="E1840">
            <v>5817</v>
          </cell>
        </row>
        <row r="1841">
          <cell r="C1841" t="str">
            <v xml:space="preserve">    OLMETIC PLUS       D-I</v>
          </cell>
          <cell r="D1841">
            <v>6414</v>
          </cell>
          <cell r="E1841">
            <v>6571</v>
          </cell>
        </row>
        <row r="1842">
          <cell r="C1842" t="str">
            <v xml:space="preserve">    OLMESTA PLUS       ESF</v>
          </cell>
          <cell r="D1842">
            <v>6394</v>
          </cell>
          <cell r="E1842">
            <v>7095</v>
          </cell>
        </row>
        <row r="1843">
          <cell r="C1843" t="str">
            <v xml:space="preserve">    ORBAS PLUS         ACM</v>
          </cell>
          <cell r="D1843">
            <v>6144</v>
          </cell>
          <cell r="E1843">
            <v>4842</v>
          </cell>
        </row>
        <row r="1844">
          <cell r="C1844" t="str">
            <v xml:space="preserve">    XYOTIL PLUS        IAP</v>
          </cell>
          <cell r="D1844">
            <v>4922</v>
          </cell>
          <cell r="E1844">
            <v>5397</v>
          </cell>
        </row>
        <row r="1845">
          <cell r="C1845" t="str">
            <v xml:space="preserve">    OLMESAFE-HT        OR/</v>
          </cell>
          <cell r="D1845">
            <v>1674</v>
          </cell>
          <cell r="E1845">
            <v>3916</v>
          </cell>
        </row>
        <row r="1846">
          <cell r="C1846" t="str">
            <v xml:space="preserve">    TENIZIDE           UNH</v>
          </cell>
          <cell r="D1846">
            <v>473</v>
          </cell>
          <cell r="E1846">
            <v>698</v>
          </cell>
        </row>
        <row r="1847">
          <cell r="C1847" t="str">
            <v xml:space="preserve">    OLPRES-HZ          ZIS</v>
          </cell>
          <cell r="D1847">
            <v>131</v>
          </cell>
          <cell r="E1847">
            <v>10</v>
          </cell>
        </row>
        <row r="1848">
          <cell r="C1848" t="str">
            <v xml:space="preserve">    OLSART-HZ          OPI</v>
          </cell>
          <cell r="D1848">
            <v>98</v>
          </cell>
          <cell r="E1848">
            <v>132</v>
          </cell>
        </row>
        <row r="1849">
          <cell r="C1849" t="str">
            <v xml:space="preserve">    PRESNOR-PLUS       D-B</v>
          </cell>
          <cell r="D1849">
            <v>75</v>
          </cell>
          <cell r="E1849">
            <v>67</v>
          </cell>
        </row>
        <row r="1850">
          <cell r="C1850" t="str">
            <v xml:space="preserve">   HYDROCHLOROTHIAZIDE+TELMISARTAN</v>
          </cell>
          <cell r="D1850">
            <v>355160</v>
          </cell>
          <cell r="E1850">
            <v>207682</v>
          </cell>
        </row>
        <row r="1851">
          <cell r="C1851" t="str">
            <v xml:space="preserve">    TELMIPRES PLUS     IAP</v>
          </cell>
          <cell r="D1851">
            <v>138237</v>
          </cell>
          <cell r="E1851">
            <v>83488</v>
          </cell>
        </row>
        <row r="1852">
          <cell r="C1852" t="str">
            <v xml:space="preserve">    TELMA PLUS         BXM</v>
          </cell>
          <cell r="D1852">
            <v>80015</v>
          </cell>
          <cell r="E1852">
            <v>32891</v>
          </cell>
        </row>
        <row r="1853">
          <cell r="C1853" t="str">
            <v xml:space="preserve">    ARBITEL PLUS       A-I</v>
          </cell>
          <cell r="D1853">
            <v>64014</v>
          </cell>
          <cell r="E1853">
            <v>42053</v>
          </cell>
        </row>
        <row r="1854">
          <cell r="C1854" t="str">
            <v xml:space="preserve">    TELMILOK-PLUS      SQA</v>
          </cell>
          <cell r="D1854">
            <v>18872</v>
          </cell>
          <cell r="E1854">
            <v>14673</v>
          </cell>
        </row>
        <row r="1855">
          <cell r="C1855" t="str">
            <v xml:space="preserve">    TELCARDIS PLUS     UNH</v>
          </cell>
          <cell r="D1855">
            <v>13705</v>
          </cell>
          <cell r="E1855">
            <v>5615</v>
          </cell>
        </row>
        <row r="1856">
          <cell r="C1856" t="str">
            <v xml:space="preserve">    TELMIVAS-HZ        PPH</v>
          </cell>
          <cell r="D1856">
            <v>12606</v>
          </cell>
          <cell r="E1856">
            <v>3710</v>
          </cell>
        </row>
        <row r="1857">
          <cell r="C1857" t="str">
            <v xml:space="preserve">    TELMITAN-PLUS      OPI</v>
          </cell>
          <cell r="D1857">
            <v>10418</v>
          </cell>
          <cell r="E1857">
            <v>8590</v>
          </cell>
        </row>
        <row r="1858">
          <cell r="C1858" t="str">
            <v xml:space="preserve">    TELISA-PLUS        ACM</v>
          </cell>
          <cell r="D1858">
            <v>6543</v>
          </cell>
          <cell r="E1858">
            <v>0</v>
          </cell>
        </row>
        <row r="1859">
          <cell r="C1859" t="str">
            <v xml:space="preserve">    MITOSAN PLUS       SDZ</v>
          </cell>
          <cell r="D1859">
            <v>3194</v>
          </cell>
          <cell r="E1859">
            <v>2959</v>
          </cell>
        </row>
        <row r="1860">
          <cell r="C1860" t="str">
            <v xml:space="preserve">    TEANA-PLUS         HT3</v>
          </cell>
          <cell r="D1860">
            <v>2969</v>
          </cell>
          <cell r="E1860">
            <v>0</v>
          </cell>
        </row>
        <row r="1861">
          <cell r="C1861" t="str">
            <v xml:space="preserve">    TEMS PLUS          ESF</v>
          </cell>
          <cell r="D1861">
            <v>2645</v>
          </cell>
          <cell r="E1861">
            <v>6203</v>
          </cell>
        </row>
        <row r="1862">
          <cell r="C1862" t="str">
            <v xml:space="preserve">    PRESART-HZ         GNR</v>
          </cell>
          <cell r="D1862">
            <v>1874</v>
          </cell>
          <cell r="E1862">
            <v>7501</v>
          </cell>
        </row>
        <row r="1863">
          <cell r="C1863" t="str">
            <v xml:space="preserve">    TRUSERT-HZ         ZIS</v>
          </cell>
          <cell r="D1863">
            <v>67</v>
          </cell>
          <cell r="E1863">
            <v>0</v>
          </cell>
        </row>
        <row r="1864">
          <cell r="C1864" t="str">
            <v xml:space="preserve">   HYDROCHLOROTHIAZIDE+VALSARTAN</v>
          </cell>
          <cell r="D1864">
            <v>25634</v>
          </cell>
          <cell r="E1864">
            <v>23919</v>
          </cell>
        </row>
        <row r="1865">
          <cell r="C1865" t="str">
            <v xml:space="preserve">    DISYS PLUS         HT3</v>
          </cell>
          <cell r="D1865">
            <v>19529</v>
          </cell>
          <cell r="E1865">
            <v>15230</v>
          </cell>
        </row>
        <row r="1866">
          <cell r="C1866" t="str">
            <v xml:space="preserve">    CO-DIOVAN          NVR</v>
          </cell>
          <cell r="D1866">
            <v>4842</v>
          </cell>
          <cell r="E1866">
            <v>8356</v>
          </cell>
        </row>
        <row r="1867">
          <cell r="C1867" t="str">
            <v xml:space="preserve">    VALSARTIL PLUS     IAP</v>
          </cell>
          <cell r="D1867">
            <v>1170</v>
          </cell>
          <cell r="E1867">
            <v>261</v>
          </cell>
        </row>
        <row r="1868">
          <cell r="C1868" t="str">
            <v xml:space="preserve">    CARDOVAN PLUS      ESF</v>
          </cell>
          <cell r="D1868">
            <v>93</v>
          </cell>
          <cell r="E1868">
            <v>72</v>
          </cell>
        </row>
        <row r="1869">
          <cell r="C1869" t="str">
            <v xml:space="preserve">   AZILSARTAN MEDOXOMIL+CHLORTALIDONE</v>
          </cell>
          <cell r="D1869">
            <v>13363</v>
          </cell>
          <cell r="E1869">
            <v>11114</v>
          </cell>
        </row>
        <row r="1870">
          <cell r="C1870" t="str">
            <v xml:space="preserve">    AZISAN PLUS        RTA</v>
          </cell>
          <cell r="D1870">
            <v>13363</v>
          </cell>
          <cell r="E1870">
            <v>11114</v>
          </cell>
        </row>
        <row r="1871">
          <cell r="C1871" t="str">
            <v xml:space="preserve">   HYDROCHLOROTHIAZIDE+IRBESARTAN</v>
          </cell>
          <cell r="D1871">
            <v>7158</v>
          </cell>
          <cell r="E1871">
            <v>9387</v>
          </cell>
        </row>
        <row r="1872">
          <cell r="C1872" t="str">
            <v xml:space="preserve">    CAVAZIDE           UNH</v>
          </cell>
          <cell r="D1872">
            <v>7158</v>
          </cell>
          <cell r="E1872">
            <v>9387</v>
          </cell>
        </row>
        <row r="1873">
          <cell r="C1873" t="str">
            <v xml:space="preserve">    ARBITAN PLUS       OPI</v>
          </cell>
          <cell r="D1873">
            <v>0</v>
          </cell>
          <cell r="E1873">
            <v>0</v>
          </cell>
        </row>
        <row r="1874">
          <cell r="C1874" t="str">
            <v xml:space="preserve">   CANDESARTAN CILEXETIL+HYDROCHLOROTHIAZIDE</v>
          </cell>
          <cell r="D1874">
            <v>0</v>
          </cell>
          <cell r="E1874">
            <v>0</v>
          </cell>
        </row>
        <row r="1875">
          <cell r="C1875" t="str">
            <v xml:space="preserve">    GIRAN-H            ATP</v>
          </cell>
          <cell r="D1875">
            <v>0</v>
          </cell>
          <cell r="E1875">
            <v>0</v>
          </cell>
        </row>
        <row r="1876">
          <cell r="C1876" t="str">
            <v xml:space="preserve">  AT2 ANTG COMB OTH DRUGS</v>
          </cell>
          <cell r="D1876">
            <v>1265337</v>
          </cell>
          <cell r="E1876">
            <v>989387</v>
          </cell>
        </row>
        <row r="1877">
          <cell r="C1877" t="str">
            <v xml:space="preserve">   SACUBITRIL+VALSARTAN</v>
          </cell>
          <cell r="D1877">
            <v>1265337</v>
          </cell>
          <cell r="E1877">
            <v>989387</v>
          </cell>
        </row>
        <row r="1878">
          <cell r="C1878" t="str">
            <v xml:space="preserve">    SABITAR            IAP</v>
          </cell>
          <cell r="D1878">
            <v>413873</v>
          </cell>
          <cell r="E1878">
            <v>316013</v>
          </cell>
        </row>
        <row r="1879">
          <cell r="C1879" t="str">
            <v xml:space="preserve">    ENTRESTO           NVR</v>
          </cell>
          <cell r="D1879">
            <v>312668</v>
          </cell>
          <cell r="E1879">
            <v>291978</v>
          </cell>
        </row>
        <row r="1880">
          <cell r="C1880" t="str">
            <v xml:space="preserve">    ARNIS              ESF</v>
          </cell>
          <cell r="D1880">
            <v>113207</v>
          </cell>
          <cell r="E1880">
            <v>20862</v>
          </cell>
        </row>
        <row r="1881">
          <cell r="C1881" t="str">
            <v xml:space="preserve">    VALMOR             SQA</v>
          </cell>
          <cell r="D1881">
            <v>100379</v>
          </cell>
          <cell r="E1881">
            <v>89442</v>
          </cell>
        </row>
        <row r="1882">
          <cell r="C1882" t="str">
            <v xml:space="preserve">    VIVANTA            BXM</v>
          </cell>
          <cell r="D1882">
            <v>92458</v>
          </cell>
          <cell r="E1882">
            <v>90450</v>
          </cell>
        </row>
        <row r="1883">
          <cell r="C1883" t="str">
            <v xml:space="preserve">    ARNIGEN            GNR</v>
          </cell>
          <cell r="D1883">
            <v>75562</v>
          </cell>
          <cell r="E1883">
            <v>127051</v>
          </cell>
        </row>
        <row r="1884">
          <cell r="C1884" t="str">
            <v xml:space="preserve">    NEPITAN            HT3</v>
          </cell>
          <cell r="D1884">
            <v>41977</v>
          </cell>
          <cell r="E1884">
            <v>13682</v>
          </cell>
        </row>
        <row r="1885">
          <cell r="C1885" t="str">
            <v xml:space="preserve">    ARNIVAS            OPI</v>
          </cell>
          <cell r="D1885">
            <v>35246</v>
          </cell>
          <cell r="E1885">
            <v>14075</v>
          </cell>
        </row>
        <row r="1886">
          <cell r="C1886" t="str">
            <v xml:space="preserve">    SABICARD           ATP</v>
          </cell>
          <cell r="D1886">
            <v>22989</v>
          </cell>
          <cell r="E1886">
            <v>4997</v>
          </cell>
        </row>
        <row r="1887">
          <cell r="C1887" t="str">
            <v xml:space="preserve">    ENTROVAS           RTA</v>
          </cell>
          <cell r="D1887">
            <v>21187</v>
          </cell>
          <cell r="E1887">
            <v>6346</v>
          </cell>
        </row>
        <row r="1888">
          <cell r="C1888" t="str">
            <v xml:space="preserve">    SAVATRIL           D-I</v>
          </cell>
          <cell r="D1888">
            <v>16203</v>
          </cell>
          <cell r="E1888">
            <v>12032</v>
          </cell>
        </row>
        <row r="1889">
          <cell r="C1889" t="str">
            <v xml:space="preserve">    SACUVA             ACM</v>
          </cell>
          <cell r="D1889">
            <v>10625</v>
          </cell>
          <cell r="E1889">
            <v>0</v>
          </cell>
        </row>
        <row r="1890">
          <cell r="C1890" t="str">
            <v xml:space="preserve">    SACUTRIL           S.Y</v>
          </cell>
          <cell r="D1890">
            <v>6349</v>
          </cell>
          <cell r="E1890">
            <v>2459</v>
          </cell>
        </row>
        <row r="1891">
          <cell r="C1891" t="str">
            <v xml:space="preserve">    COVISTA            A-I</v>
          </cell>
          <cell r="D1891">
            <v>2613</v>
          </cell>
          <cell r="E1891">
            <v>0</v>
          </cell>
        </row>
        <row r="1892">
          <cell r="C1892" t="str">
            <v xml:space="preserve">  AT2 ANTG COMB B-BLOCKERS</v>
          </cell>
          <cell r="D1892">
            <v>17295</v>
          </cell>
          <cell r="E1892">
            <v>213</v>
          </cell>
        </row>
        <row r="1893">
          <cell r="C1893" t="str">
            <v xml:space="preserve">   NEBIVOLOL+VALSARTAN</v>
          </cell>
          <cell r="D1893">
            <v>17295</v>
          </cell>
          <cell r="E1893">
            <v>213</v>
          </cell>
        </row>
        <row r="1894">
          <cell r="C1894" t="str">
            <v xml:space="preserve">    NEVALTO            BXM</v>
          </cell>
          <cell r="D1894">
            <v>17295</v>
          </cell>
          <cell r="E1894">
            <v>213</v>
          </cell>
        </row>
        <row r="1895">
          <cell r="C1895" t="str">
            <v xml:space="preserve"> LIPID-REGULATING PRODS</v>
          </cell>
          <cell r="D1895">
            <v>10624523</v>
          </cell>
          <cell r="E1895">
            <v>8984411</v>
          </cell>
        </row>
        <row r="1896">
          <cell r="C1896" t="str">
            <v xml:space="preserve">  STATINS (HMG-COA RED)</v>
          </cell>
          <cell r="D1896">
            <v>10116859</v>
          </cell>
          <cell r="E1896">
            <v>8541969</v>
          </cell>
        </row>
        <row r="1897">
          <cell r="C1897" t="str">
            <v xml:space="preserve">   ROSUVASTATIN</v>
          </cell>
          <cell r="D1897">
            <v>6013377</v>
          </cell>
          <cell r="E1897">
            <v>4776706</v>
          </cell>
        </row>
        <row r="1898">
          <cell r="C1898" t="str">
            <v xml:space="preserve">    ROSUVA             SQA</v>
          </cell>
          <cell r="D1898">
            <v>1478508</v>
          </cell>
          <cell r="E1898">
            <v>1154354</v>
          </cell>
        </row>
        <row r="1899">
          <cell r="C1899" t="str">
            <v xml:space="preserve">    ROSU               PPH</v>
          </cell>
          <cell r="D1899">
            <v>961745</v>
          </cell>
          <cell r="E1899">
            <v>660557</v>
          </cell>
        </row>
        <row r="1900">
          <cell r="C1900" t="str">
            <v xml:space="preserve">    ROSUTIN            BXM</v>
          </cell>
          <cell r="D1900">
            <v>777136</v>
          </cell>
          <cell r="E1900">
            <v>685999</v>
          </cell>
        </row>
        <row r="1901">
          <cell r="C1901" t="str">
            <v xml:space="preserve">    ROCOVAS            IAP</v>
          </cell>
          <cell r="D1901">
            <v>412171</v>
          </cell>
          <cell r="E1901">
            <v>299749</v>
          </cell>
        </row>
        <row r="1902">
          <cell r="C1902" t="str">
            <v xml:space="preserve">    ROVAST             HT3</v>
          </cell>
          <cell r="D1902">
            <v>374717</v>
          </cell>
          <cell r="E1902">
            <v>292254</v>
          </cell>
        </row>
        <row r="1903">
          <cell r="C1903" t="str">
            <v xml:space="preserve">    ROLIP              RTA</v>
          </cell>
          <cell r="D1903">
            <v>367517</v>
          </cell>
          <cell r="E1903">
            <v>253799</v>
          </cell>
        </row>
        <row r="1904">
          <cell r="C1904" t="str">
            <v xml:space="preserve">    ROSTAB             ACM</v>
          </cell>
          <cell r="D1904">
            <v>260624</v>
          </cell>
          <cell r="E1904">
            <v>173706</v>
          </cell>
        </row>
        <row r="1905">
          <cell r="C1905" t="str">
            <v xml:space="preserve">    ROPITOR            OPI</v>
          </cell>
          <cell r="D1905">
            <v>197347</v>
          </cell>
          <cell r="E1905">
            <v>143378</v>
          </cell>
        </row>
        <row r="1906">
          <cell r="C1906" t="str">
            <v xml:space="preserve">    RUVASTIN           ATP</v>
          </cell>
          <cell r="D1906">
            <v>194474</v>
          </cell>
          <cell r="E1906">
            <v>151738</v>
          </cell>
        </row>
        <row r="1907">
          <cell r="C1907" t="str">
            <v xml:space="preserve">    ROSETOR            A-I</v>
          </cell>
          <cell r="D1907">
            <v>182206</v>
          </cell>
          <cell r="E1907">
            <v>182805</v>
          </cell>
        </row>
        <row r="1908">
          <cell r="C1908" t="str">
            <v xml:space="preserve">    ROSTATIN           D-I</v>
          </cell>
          <cell r="D1908">
            <v>148103</v>
          </cell>
          <cell r="E1908">
            <v>132191</v>
          </cell>
        </row>
        <row r="1909">
          <cell r="C1909" t="str">
            <v xml:space="preserve">    CORESTIN           UNH</v>
          </cell>
          <cell r="D1909">
            <v>131867</v>
          </cell>
          <cell r="E1909">
            <v>108366</v>
          </cell>
        </row>
        <row r="1910">
          <cell r="C1910" t="str">
            <v xml:space="preserve">    CREVA              RD7</v>
          </cell>
          <cell r="D1910">
            <v>96376</v>
          </cell>
          <cell r="E1910">
            <v>81352</v>
          </cell>
        </row>
        <row r="1911">
          <cell r="C1911" t="str">
            <v xml:space="preserve">    CRESTON            ESF</v>
          </cell>
          <cell r="D1911">
            <v>93553</v>
          </cell>
          <cell r="E1911">
            <v>71441</v>
          </cell>
        </row>
        <row r="1912">
          <cell r="C1912" t="str">
            <v xml:space="preserve">    ROSUGEN            GNR</v>
          </cell>
          <cell r="D1912">
            <v>88531</v>
          </cell>
          <cell r="E1912">
            <v>132364</v>
          </cell>
        </row>
        <row r="1913">
          <cell r="C1913" t="str">
            <v xml:space="preserve">    CHOLCUT            ZIS</v>
          </cell>
          <cell r="D1913">
            <v>51269</v>
          </cell>
          <cell r="E1913">
            <v>43301</v>
          </cell>
        </row>
        <row r="1914">
          <cell r="C1914" t="str">
            <v xml:space="preserve">    ROVEX              OR/</v>
          </cell>
          <cell r="D1914">
            <v>40398</v>
          </cell>
          <cell r="E1914">
            <v>46893</v>
          </cell>
        </row>
        <row r="1915">
          <cell r="C1915" t="str">
            <v xml:space="preserve">    ROZAVEL            SPI</v>
          </cell>
          <cell r="D1915">
            <v>39714</v>
          </cell>
          <cell r="E1915">
            <v>39273</v>
          </cell>
        </row>
        <row r="1916">
          <cell r="C1916" t="str">
            <v xml:space="preserve">    ROZENON            S.Y</v>
          </cell>
          <cell r="D1916">
            <v>33380</v>
          </cell>
          <cell r="E1916">
            <v>26220</v>
          </cell>
        </row>
        <row r="1917">
          <cell r="C1917" t="str">
            <v xml:space="preserve">    RESVA              BAC</v>
          </cell>
          <cell r="D1917">
            <v>21780</v>
          </cell>
          <cell r="E1917">
            <v>17640</v>
          </cell>
        </row>
        <row r="1918">
          <cell r="C1918" t="str">
            <v xml:space="preserve">    RTV                D&amp;B</v>
          </cell>
          <cell r="D1918">
            <v>14091</v>
          </cell>
          <cell r="E1918">
            <v>13733</v>
          </cell>
        </row>
        <row r="1919">
          <cell r="C1919" t="str">
            <v xml:space="preserve">    ROSUMAX            LDB</v>
          </cell>
          <cell r="D1919">
            <v>12334</v>
          </cell>
          <cell r="E1919">
            <v>22459</v>
          </cell>
        </row>
        <row r="1920">
          <cell r="C1920" t="str">
            <v xml:space="preserve">    ROVATOR            NJP</v>
          </cell>
          <cell r="D1920">
            <v>10314</v>
          </cell>
          <cell r="E1920">
            <v>12020</v>
          </cell>
        </row>
        <row r="1921">
          <cell r="C1921" t="str">
            <v xml:space="preserve">    NESTOR             N8V</v>
          </cell>
          <cell r="D1921">
            <v>10237</v>
          </cell>
          <cell r="E1921">
            <v>10525</v>
          </cell>
        </row>
        <row r="1922">
          <cell r="C1922" t="str">
            <v xml:space="preserve">    RESTAT             IBN</v>
          </cell>
          <cell r="D1922">
            <v>9078</v>
          </cell>
          <cell r="E1922">
            <v>12844</v>
          </cell>
        </row>
        <row r="1923">
          <cell r="C1923" t="str">
            <v xml:space="preserve">    ROVIUS             D-B</v>
          </cell>
          <cell r="D1923">
            <v>3399</v>
          </cell>
          <cell r="E1923">
            <v>4764</v>
          </cell>
        </row>
        <row r="1924">
          <cell r="C1924" t="str">
            <v xml:space="preserve">    BESTCOL            BP&amp;</v>
          </cell>
          <cell r="D1924">
            <v>1162</v>
          </cell>
          <cell r="E1924">
            <v>2058</v>
          </cell>
        </row>
        <row r="1925">
          <cell r="C1925" t="str">
            <v xml:space="preserve">    COROVAS            GD2</v>
          </cell>
          <cell r="D1925">
            <v>796</v>
          </cell>
          <cell r="E1925">
            <v>771</v>
          </cell>
        </row>
        <row r="1926">
          <cell r="C1926" t="str">
            <v xml:space="preserve">    PRESTORIN          P-S</v>
          </cell>
          <cell r="D1926">
            <v>514</v>
          </cell>
          <cell r="E1926">
            <v>151</v>
          </cell>
        </row>
        <row r="1927">
          <cell r="C1927" t="str">
            <v xml:space="preserve">    ROSULUX            ONA</v>
          </cell>
          <cell r="D1927">
            <v>36</v>
          </cell>
          <cell r="E1927">
            <v>0</v>
          </cell>
        </row>
        <row r="1928">
          <cell r="C1928" t="str">
            <v xml:space="preserve">    SB ROSTIN          SBD</v>
          </cell>
          <cell r="D1928">
            <v>0</v>
          </cell>
          <cell r="E1928">
            <v>0</v>
          </cell>
        </row>
        <row r="1929">
          <cell r="C1929" t="str">
            <v xml:space="preserve">   ATORVASTATIN</v>
          </cell>
          <cell r="D1929">
            <v>4091860</v>
          </cell>
          <cell r="E1929">
            <v>3756605</v>
          </cell>
        </row>
        <row r="1930">
          <cell r="C1930" t="str">
            <v xml:space="preserve">    ATOVA              BXM</v>
          </cell>
          <cell r="D1930">
            <v>1846393</v>
          </cell>
          <cell r="E1930">
            <v>1645499</v>
          </cell>
        </row>
        <row r="1931">
          <cell r="C1931" t="str">
            <v xml:space="preserve">    TIGINOR            IAP</v>
          </cell>
          <cell r="D1931">
            <v>431783</v>
          </cell>
          <cell r="E1931">
            <v>360697</v>
          </cell>
        </row>
        <row r="1932">
          <cell r="C1932" t="str">
            <v xml:space="preserve">    ANZITOR            SQA</v>
          </cell>
          <cell r="D1932">
            <v>302770</v>
          </cell>
          <cell r="E1932">
            <v>248210</v>
          </cell>
        </row>
        <row r="1933">
          <cell r="C1933" t="str">
            <v xml:space="preserve">    AVAS               OPI</v>
          </cell>
          <cell r="D1933">
            <v>233307</v>
          </cell>
          <cell r="E1933">
            <v>201460</v>
          </cell>
        </row>
        <row r="1934">
          <cell r="C1934" t="str">
            <v xml:space="preserve">    TAVEN              RTA</v>
          </cell>
          <cell r="D1934">
            <v>186255</v>
          </cell>
          <cell r="E1934">
            <v>127253</v>
          </cell>
        </row>
        <row r="1935">
          <cell r="C1935" t="str">
            <v xml:space="preserve">    LIPICON            ESF</v>
          </cell>
          <cell r="D1935">
            <v>125127</v>
          </cell>
          <cell r="E1935">
            <v>130138</v>
          </cell>
        </row>
        <row r="1936">
          <cell r="C1936" t="str">
            <v xml:space="preserve">    ATASIN             A-I</v>
          </cell>
          <cell r="D1936">
            <v>119240</v>
          </cell>
          <cell r="E1936">
            <v>119001</v>
          </cell>
        </row>
        <row r="1937">
          <cell r="C1937" t="str">
            <v xml:space="preserve">    TCL-R              ATP</v>
          </cell>
          <cell r="D1937">
            <v>119232</v>
          </cell>
          <cell r="E1937">
            <v>124675</v>
          </cell>
        </row>
        <row r="1938">
          <cell r="C1938" t="str">
            <v xml:space="preserve">    STACOR             UNH</v>
          </cell>
          <cell r="D1938">
            <v>109234</v>
          </cell>
          <cell r="E1938">
            <v>120157</v>
          </cell>
        </row>
        <row r="1939">
          <cell r="C1939" t="str">
            <v xml:space="preserve">    XELPID             HT3</v>
          </cell>
          <cell r="D1939">
            <v>108841</v>
          </cell>
          <cell r="E1939">
            <v>103659</v>
          </cell>
        </row>
        <row r="1940">
          <cell r="C1940" t="str">
            <v xml:space="preserve">    ATV                D&amp;B</v>
          </cell>
          <cell r="D1940">
            <v>104431</v>
          </cell>
          <cell r="E1940">
            <v>109424</v>
          </cell>
        </row>
        <row r="1941">
          <cell r="C1941" t="str">
            <v xml:space="preserve">    DIVASTIN           D-I</v>
          </cell>
          <cell r="D1941">
            <v>103755</v>
          </cell>
          <cell r="E1941">
            <v>97698</v>
          </cell>
        </row>
        <row r="1942">
          <cell r="C1942" t="str">
            <v xml:space="preserve">    LIPTOR             ACM</v>
          </cell>
          <cell r="D1942">
            <v>69503</v>
          </cell>
          <cell r="E1942">
            <v>64616</v>
          </cell>
        </row>
        <row r="1943">
          <cell r="C1943" t="str">
            <v xml:space="preserve">    XEROVA             BAC</v>
          </cell>
          <cell r="D1943">
            <v>46779</v>
          </cell>
          <cell r="E1943">
            <v>58739</v>
          </cell>
        </row>
        <row r="1944">
          <cell r="C1944" t="str">
            <v xml:space="preserve">    FRENVAS            RD7</v>
          </cell>
          <cell r="D1944">
            <v>45833</v>
          </cell>
          <cell r="E1944">
            <v>52931</v>
          </cell>
        </row>
        <row r="1945">
          <cell r="C1945" t="str">
            <v xml:space="preserve">    AZTOR              SPI</v>
          </cell>
          <cell r="D1945">
            <v>42098</v>
          </cell>
          <cell r="E1945">
            <v>77734</v>
          </cell>
        </row>
        <row r="1946">
          <cell r="C1946" t="str">
            <v xml:space="preserve">    LOCOL              PPH</v>
          </cell>
          <cell r="D1946">
            <v>33269</v>
          </cell>
          <cell r="E1946">
            <v>29211</v>
          </cell>
        </row>
        <row r="1947">
          <cell r="C1947" t="str">
            <v xml:space="preserve">    VASS               SDZ</v>
          </cell>
          <cell r="D1947">
            <v>21103</v>
          </cell>
          <cell r="E1947">
            <v>24262</v>
          </cell>
        </row>
        <row r="1948">
          <cell r="C1948" t="str">
            <v xml:space="preserve">    ORVA               S.Y</v>
          </cell>
          <cell r="D1948">
            <v>14677</v>
          </cell>
          <cell r="E1948">
            <v>18935</v>
          </cell>
        </row>
        <row r="1949">
          <cell r="C1949" t="str">
            <v xml:space="preserve">    COLOSTAT           IBN</v>
          </cell>
          <cell r="D1949">
            <v>10788</v>
          </cell>
          <cell r="E1949">
            <v>8738</v>
          </cell>
        </row>
        <row r="1950">
          <cell r="C1950" t="str">
            <v xml:space="preserve">    AVATOR             NJP</v>
          </cell>
          <cell r="D1950">
            <v>8149</v>
          </cell>
          <cell r="E1950">
            <v>11672</v>
          </cell>
        </row>
        <row r="1951">
          <cell r="C1951" t="str">
            <v xml:space="preserve">    ZAPITOR            AX.</v>
          </cell>
          <cell r="D1951">
            <v>2844</v>
          </cell>
          <cell r="E1951">
            <v>3435</v>
          </cell>
        </row>
        <row r="1952">
          <cell r="C1952" t="str">
            <v xml:space="preserve">    LIPITIN            GNR</v>
          </cell>
          <cell r="D1952">
            <v>2378</v>
          </cell>
          <cell r="E1952">
            <v>12400</v>
          </cell>
        </row>
        <row r="1953">
          <cell r="C1953" t="str">
            <v xml:space="preserve">    TROVA              BP&amp;</v>
          </cell>
          <cell r="D1953">
            <v>1425</v>
          </cell>
          <cell r="E1953">
            <v>1442</v>
          </cell>
        </row>
        <row r="1954">
          <cell r="C1954" t="str">
            <v xml:space="preserve">    LIPIGENT           PAC</v>
          </cell>
          <cell r="D1954">
            <v>1252</v>
          </cell>
          <cell r="E1954">
            <v>1291</v>
          </cell>
        </row>
        <row r="1955">
          <cell r="C1955" t="str">
            <v xml:space="preserve">    AVOCARD            WTH</v>
          </cell>
          <cell r="D1955">
            <v>780</v>
          </cell>
          <cell r="E1955">
            <v>1448</v>
          </cell>
        </row>
        <row r="1956">
          <cell r="C1956" t="str">
            <v xml:space="preserve">    LIPEX              OR/</v>
          </cell>
          <cell r="D1956">
            <v>114</v>
          </cell>
          <cell r="E1956">
            <v>106</v>
          </cell>
        </row>
        <row r="1957">
          <cell r="C1957" t="str">
            <v xml:space="preserve">    TEMVAS             TMH</v>
          </cell>
          <cell r="D1957">
            <v>111</v>
          </cell>
          <cell r="E1957">
            <v>55</v>
          </cell>
        </row>
        <row r="1958">
          <cell r="C1958" t="str">
            <v xml:space="preserve">    XELITOR            NVO</v>
          </cell>
          <cell r="D1958">
            <v>104</v>
          </cell>
          <cell r="E1958">
            <v>163</v>
          </cell>
        </row>
        <row r="1959">
          <cell r="C1959" t="str">
            <v xml:space="preserve">    LIPOSTAT           N8V</v>
          </cell>
          <cell r="D1959">
            <v>89</v>
          </cell>
          <cell r="E1959">
            <v>1105</v>
          </cell>
        </row>
        <row r="1960">
          <cell r="C1960" t="str">
            <v xml:space="preserve">    LIPLO              GBE</v>
          </cell>
          <cell r="D1960">
            <v>89</v>
          </cell>
          <cell r="E1960">
            <v>85</v>
          </cell>
        </row>
        <row r="1961">
          <cell r="C1961" t="str">
            <v xml:space="preserve">    LIVAS              T2D</v>
          </cell>
          <cell r="D1961">
            <v>28</v>
          </cell>
          <cell r="E1961">
            <v>0</v>
          </cell>
        </row>
        <row r="1962">
          <cell r="C1962" t="str">
            <v xml:space="preserve">    LIPICUT            R7G</v>
          </cell>
          <cell r="D1962">
            <v>27</v>
          </cell>
          <cell r="E1962">
            <v>55</v>
          </cell>
        </row>
        <row r="1963">
          <cell r="C1963" t="str">
            <v xml:space="preserve">    LIPILES            P-S</v>
          </cell>
          <cell r="D1963">
            <v>24</v>
          </cell>
          <cell r="E1963">
            <v>11</v>
          </cell>
        </row>
        <row r="1964">
          <cell r="C1964" t="str">
            <v xml:space="preserve">    OPTIVAS            CC/</v>
          </cell>
          <cell r="D1964">
            <v>18</v>
          </cell>
          <cell r="E1964">
            <v>0</v>
          </cell>
        </row>
        <row r="1965">
          <cell r="C1965" t="str">
            <v xml:space="preserve">    SITOVA             S6C</v>
          </cell>
          <cell r="D1965">
            <v>13</v>
          </cell>
          <cell r="E1965">
            <v>60</v>
          </cell>
        </row>
        <row r="1966">
          <cell r="C1966" t="str">
            <v xml:space="preserve">    ATOVIN             A.P</v>
          </cell>
          <cell r="D1966">
            <v>0</v>
          </cell>
          <cell r="E1966">
            <v>61</v>
          </cell>
        </row>
        <row r="1967">
          <cell r="C1967" t="str">
            <v xml:space="preserve">    ATOVEX             J&amp;H</v>
          </cell>
          <cell r="D1967">
            <v>0</v>
          </cell>
          <cell r="E1967">
            <v>0</v>
          </cell>
        </row>
        <row r="1968">
          <cell r="C1968" t="str">
            <v xml:space="preserve">    ATROVAST           NUV</v>
          </cell>
          <cell r="D1968">
            <v>0</v>
          </cell>
          <cell r="E1968">
            <v>0</v>
          </cell>
        </row>
        <row r="1969">
          <cell r="C1969" t="str">
            <v xml:space="preserve">    ORVATIN            KMP</v>
          </cell>
          <cell r="D1969">
            <v>0</v>
          </cell>
          <cell r="E1969">
            <v>0</v>
          </cell>
        </row>
        <row r="1970">
          <cell r="C1970" t="str">
            <v xml:space="preserve">    VASTIN             PDH</v>
          </cell>
          <cell r="D1970">
            <v>0</v>
          </cell>
          <cell r="E1970">
            <v>0</v>
          </cell>
        </row>
        <row r="1971">
          <cell r="C1971" t="str">
            <v xml:space="preserve">    TIGILO             LDB</v>
          </cell>
          <cell r="D1971">
            <v>0</v>
          </cell>
          <cell r="E1971">
            <v>37</v>
          </cell>
        </row>
        <row r="1972">
          <cell r="C1972" t="str">
            <v xml:space="preserve">    ONVAS              ONA</v>
          </cell>
          <cell r="D1972">
            <v>0</v>
          </cell>
          <cell r="E1972">
            <v>142</v>
          </cell>
        </row>
        <row r="1973">
          <cell r="C1973" t="str">
            <v xml:space="preserve">    ASTER              EMA</v>
          </cell>
          <cell r="D1973">
            <v>0</v>
          </cell>
          <cell r="E1973">
            <v>0</v>
          </cell>
        </row>
        <row r="1974">
          <cell r="C1974" t="str">
            <v xml:space="preserve">    SB-ATOR            SBD</v>
          </cell>
          <cell r="D1974">
            <v>0</v>
          </cell>
          <cell r="E1974">
            <v>0</v>
          </cell>
        </row>
        <row r="1975">
          <cell r="C1975" t="str">
            <v xml:space="preserve">   PITAVASTATIN</v>
          </cell>
          <cell r="D1975">
            <v>11407</v>
          </cell>
          <cell r="E1975">
            <v>8654</v>
          </cell>
        </row>
        <row r="1976">
          <cell r="C1976" t="str">
            <v xml:space="preserve">    PITAVAS            ATP</v>
          </cell>
          <cell r="D1976">
            <v>11407</v>
          </cell>
          <cell r="E1976">
            <v>8579</v>
          </cell>
        </row>
        <row r="1977">
          <cell r="C1977" t="str">
            <v xml:space="preserve">    PIVALO             SQA</v>
          </cell>
          <cell r="D1977">
            <v>0</v>
          </cell>
          <cell r="E1977">
            <v>75</v>
          </cell>
        </row>
        <row r="1978">
          <cell r="C1978" t="str">
            <v xml:space="preserve">   LOVASTATIN</v>
          </cell>
          <cell r="D1978">
            <v>134</v>
          </cell>
          <cell r="E1978">
            <v>4</v>
          </cell>
        </row>
        <row r="1979">
          <cell r="C1979" t="str">
            <v xml:space="preserve">    AZTATIN            SPI</v>
          </cell>
          <cell r="D1979">
            <v>134</v>
          </cell>
          <cell r="E1979">
            <v>4</v>
          </cell>
        </row>
        <row r="1980">
          <cell r="C1980" t="str">
            <v xml:space="preserve">   FLUVASTATIN</v>
          </cell>
          <cell r="D1980">
            <v>81</v>
          </cell>
          <cell r="E1980">
            <v>0</v>
          </cell>
        </row>
        <row r="1981">
          <cell r="C1981" t="str">
            <v xml:space="preserve">    LESCOL             NVR</v>
          </cell>
          <cell r="D1981">
            <v>81</v>
          </cell>
          <cell r="E1981">
            <v>0</v>
          </cell>
        </row>
        <row r="1982">
          <cell r="C1982" t="str">
            <v xml:space="preserve">    FLUVAS             SV6</v>
          </cell>
          <cell r="D1982">
            <v>0</v>
          </cell>
          <cell r="E1982">
            <v>0</v>
          </cell>
        </row>
        <row r="1983">
          <cell r="C1983" t="str">
            <v xml:space="preserve">   SIMVASTATIN</v>
          </cell>
          <cell r="D1983">
            <v>0</v>
          </cell>
          <cell r="E1983">
            <v>0</v>
          </cell>
        </row>
        <row r="1984">
          <cell r="C1984" t="str">
            <v xml:space="preserve">    AVASTIN            BXM</v>
          </cell>
          <cell r="D1984">
            <v>0</v>
          </cell>
          <cell r="E1984">
            <v>0</v>
          </cell>
        </row>
        <row r="1985">
          <cell r="C1985" t="str">
            <v xml:space="preserve">    SIMACOR            SQA</v>
          </cell>
          <cell r="D1985">
            <v>0</v>
          </cell>
          <cell r="E1985">
            <v>0</v>
          </cell>
        </row>
        <row r="1986">
          <cell r="C1986" t="str">
            <v xml:space="preserve">    SIMVATIN           ACM</v>
          </cell>
          <cell r="D1986">
            <v>0</v>
          </cell>
          <cell r="E1986">
            <v>0</v>
          </cell>
        </row>
        <row r="1987">
          <cell r="C1987" t="str">
            <v xml:space="preserve">  FIBRATES</v>
          </cell>
          <cell r="D1987">
            <v>493533</v>
          </cell>
          <cell r="E1987">
            <v>428147</v>
          </cell>
        </row>
        <row r="1988">
          <cell r="C1988" t="str">
            <v xml:space="preserve">   CIPROFIBRATE</v>
          </cell>
          <cell r="D1988">
            <v>337683</v>
          </cell>
          <cell r="E1988">
            <v>265774</v>
          </cell>
        </row>
        <row r="1989">
          <cell r="C1989" t="str">
            <v xml:space="preserve">    CIFIBET            ESF</v>
          </cell>
          <cell r="D1989">
            <v>155667</v>
          </cell>
          <cell r="E1989">
            <v>135546</v>
          </cell>
        </row>
        <row r="1990">
          <cell r="C1990" t="str">
            <v xml:space="preserve">    MINIBET            SQA</v>
          </cell>
          <cell r="D1990">
            <v>87476</v>
          </cell>
          <cell r="E1990">
            <v>75948</v>
          </cell>
        </row>
        <row r="1991">
          <cell r="C1991" t="str">
            <v xml:space="preserve">    DUPALAKI           IAP</v>
          </cell>
          <cell r="D1991">
            <v>35533</v>
          </cell>
          <cell r="E1991">
            <v>24550</v>
          </cell>
        </row>
        <row r="1992">
          <cell r="C1992" t="str">
            <v xml:space="preserve">    CIBRATE            BXM</v>
          </cell>
          <cell r="D1992">
            <v>19287</v>
          </cell>
          <cell r="E1992">
            <v>16031</v>
          </cell>
        </row>
        <row r="1993">
          <cell r="C1993" t="str">
            <v xml:space="preserve">    CENTIVA            ATP</v>
          </cell>
          <cell r="D1993">
            <v>18506</v>
          </cell>
          <cell r="E1993">
            <v>9037</v>
          </cell>
        </row>
        <row r="1994">
          <cell r="C1994" t="str">
            <v xml:space="preserve">    TGDROP             HT3</v>
          </cell>
          <cell r="D1994">
            <v>16436</v>
          </cell>
          <cell r="E1994">
            <v>2190</v>
          </cell>
        </row>
        <row r="1995">
          <cell r="C1995" t="str">
            <v xml:space="preserve">    CIFIRATE           OPI</v>
          </cell>
          <cell r="D1995">
            <v>4624</v>
          </cell>
          <cell r="E1995">
            <v>2384</v>
          </cell>
        </row>
        <row r="1996">
          <cell r="C1996" t="str">
            <v xml:space="preserve">    MENATROL           D-I</v>
          </cell>
          <cell r="D1996">
            <v>153</v>
          </cell>
          <cell r="E1996">
            <v>88</v>
          </cell>
        </row>
        <row r="1997">
          <cell r="C1997" t="str">
            <v xml:space="preserve">   FENOFIBRATE</v>
          </cell>
          <cell r="D1997">
            <v>155850</v>
          </cell>
          <cell r="E1997">
            <v>162373</v>
          </cell>
        </row>
        <row r="1998">
          <cell r="C1998" t="str">
            <v xml:space="preserve">    NOFIATE            IAP</v>
          </cell>
          <cell r="D1998">
            <v>59337</v>
          </cell>
          <cell r="E1998">
            <v>58853</v>
          </cell>
        </row>
        <row r="1999">
          <cell r="C1999" t="str">
            <v xml:space="preserve">    LIPIRED            SQA</v>
          </cell>
          <cell r="D1999">
            <v>31444</v>
          </cell>
          <cell r="E1999">
            <v>29349</v>
          </cell>
        </row>
        <row r="2000">
          <cell r="C2000" t="str">
            <v xml:space="preserve">    FENOCAP            OR/</v>
          </cell>
          <cell r="D2000">
            <v>31340</v>
          </cell>
          <cell r="E2000">
            <v>36679</v>
          </cell>
        </row>
        <row r="2001">
          <cell r="C2001" t="str">
            <v xml:space="preserve">    FENATROL           D-I</v>
          </cell>
          <cell r="D2001">
            <v>25766</v>
          </cell>
          <cell r="E2001">
            <v>26184</v>
          </cell>
        </row>
        <row r="2002">
          <cell r="C2002" t="str">
            <v xml:space="preserve">    LIPIDOF            ACM</v>
          </cell>
          <cell r="D2002">
            <v>2191</v>
          </cell>
          <cell r="E2002">
            <v>3655</v>
          </cell>
        </row>
        <row r="2003">
          <cell r="C2003" t="str">
            <v xml:space="preserve">    TIGICON            ATP</v>
          </cell>
          <cell r="D2003">
            <v>1962</v>
          </cell>
          <cell r="E2003">
            <v>2500</v>
          </cell>
        </row>
        <row r="2004">
          <cell r="C2004" t="str">
            <v xml:space="preserve">    FENOBATE           RTA</v>
          </cell>
          <cell r="D2004">
            <v>1685</v>
          </cell>
          <cell r="E2004">
            <v>2291</v>
          </cell>
        </row>
        <row r="2005">
          <cell r="C2005" t="str">
            <v xml:space="preserve">    TIGIRATE           OPI</v>
          </cell>
          <cell r="D2005">
            <v>1237</v>
          </cell>
          <cell r="E2005">
            <v>1212</v>
          </cell>
        </row>
        <row r="2006">
          <cell r="C2006" t="str">
            <v xml:space="preserve">    LOFAT              BXM</v>
          </cell>
          <cell r="D2006">
            <v>490</v>
          </cell>
          <cell r="E2006">
            <v>622</v>
          </cell>
        </row>
        <row r="2007">
          <cell r="C2007" t="str">
            <v xml:space="preserve">    FENOLID            GNR</v>
          </cell>
          <cell r="D2007">
            <v>219</v>
          </cell>
          <cell r="E2007">
            <v>574</v>
          </cell>
        </row>
        <row r="2008">
          <cell r="C2008" t="str">
            <v xml:space="preserve">    FENORAT            PAC</v>
          </cell>
          <cell r="D2008">
            <v>173</v>
          </cell>
          <cell r="E2008">
            <v>443</v>
          </cell>
        </row>
        <row r="2009">
          <cell r="C2009" t="str">
            <v xml:space="preserve">    TRIGENT            UNH</v>
          </cell>
          <cell r="D2009">
            <v>6</v>
          </cell>
          <cell r="E2009">
            <v>0</v>
          </cell>
        </row>
        <row r="2010">
          <cell r="C2010" t="str">
            <v xml:space="preserve">    FENOCOL            PP-</v>
          </cell>
          <cell r="D2010">
            <v>0</v>
          </cell>
          <cell r="E2010">
            <v>0</v>
          </cell>
        </row>
        <row r="2011">
          <cell r="C2011" t="str">
            <v xml:space="preserve">    NOFICON            ESF</v>
          </cell>
          <cell r="D2011">
            <v>0</v>
          </cell>
          <cell r="E2011">
            <v>0</v>
          </cell>
        </row>
        <row r="2012">
          <cell r="C2012" t="str">
            <v xml:space="preserve">    TIZABET            A-I</v>
          </cell>
          <cell r="D2012">
            <v>0</v>
          </cell>
          <cell r="E2012">
            <v>10</v>
          </cell>
        </row>
        <row r="2013">
          <cell r="C2013" t="str">
            <v xml:space="preserve">   GEMFIBROZIL</v>
          </cell>
          <cell r="D2013">
            <v>0</v>
          </cell>
          <cell r="E2013">
            <v>0</v>
          </cell>
        </row>
        <row r="2014">
          <cell r="C2014" t="str">
            <v xml:space="preserve">    DELIPID            SQA</v>
          </cell>
          <cell r="D2014">
            <v>0</v>
          </cell>
          <cell r="E2014">
            <v>0</v>
          </cell>
        </row>
        <row r="2015">
          <cell r="C2015" t="str">
            <v xml:space="preserve">    GELICON            ESF</v>
          </cell>
          <cell r="D2015">
            <v>0</v>
          </cell>
          <cell r="E2015">
            <v>0</v>
          </cell>
        </row>
        <row r="2016">
          <cell r="C2016" t="str">
            <v xml:space="preserve">  LIPID-REGULATING PRD OTH</v>
          </cell>
          <cell r="D2016">
            <v>14131</v>
          </cell>
          <cell r="E2016">
            <v>14294</v>
          </cell>
        </row>
        <row r="2017">
          <cell r="C2017" t="str">
            <v xml:space="preserve">   EZETIMIBE</v>
          </cell>
          <cell r="D2017">
            <v>12600</v>
          </cell>
          <cell r="E2017">
            <v>8050</v>
          </cell>
        </row>
        <row r="2018">
          <cell r="C2018" t="str">
            <v xml:space="preserve">    EZETROL            UNH</v>
          </cell>
          <cell r="D2018">
            <v>11828</v>
          </cell>
          <cell r="E2018">
            <v>7786</v>
          </cell>
        </row>
        <row r="2019">
          <cell r="C2019" t="str">
            <v xml:space="preserve">    EZETA              BXM</v>
          </cell>
          <cell r="D2019">
            <v>746</v>
          </cell>
          <cell r="E2019">
            <v>264</v>
          </cell>
        </row>
        <row r="2020">
          <cell r="C2020" t="str">
            <v xml:space="preserve">    EZETIM             IAP</v>
          </cell>
          <cell r="D2020">
            <v>26</v>
          </cell>
          <cell r="E2020">
            <v>0</v>
          </cell>
        </row>
        <row r="2021">
          <cell r="C2021" t="str">
            <v xml:space="preserve">   BEMPEDOIC ACID</v>
          </cell>
          <cell r="D2021">
            <v>1472</v>
          </cell>
          <cell r="E2021">
            <v>5604</v>
          </cell>
        </row>
        <row r="2022">
          <cell r="C2022" t="str">
            <v xml:space="preserve">    WINOLIP            IAP</v>
          </cell>
          <cell r="D2022">
            <v>1303</v>
          </cell>
          <cell r="E2022">
            <v>1013</v>
          </cell>
        </row>
        <row r="2023">
          <cell r="C2023" t="str">
            <v xml:space="preserve">    BEMPID             ESF</v>
          </cell>
          <cell r="D2023">
            <v>169</v>
          </cell>
          <cell r="E2023">
            <v>4591</v>
          </cell>
        </row>
        <row r="2024">
          <cell r="C2024" t="str">
            <v xml:space="preserve">   BEMPEDOIC ACID+EZETIMIBE</v>
          </cell>
          <cell r="D2024">
            <v>59</v>
          </cell>
          <cell r="E2024">
            <v>278</v>
          </cell>
        </row>
        <row r="2025">
          <cell r="C2025" t="str">
            <v xml:space="preserve">    WINOLIP-EZ         IAP</v>
          </cell>
          <cell r="D2025">
            <v>59</v>
          </cell>
          <cell r="E2025">
            <v>278</v>
          </cell>
        </row>
        <row r="2026">
          <cell r="C2026" t="str">
            <v xml:space="preserve">   INOSITOL</v>
          </cell>
          <cell r="D2026">
            <v>0</v>
          </cell>
          <cell r="E2026">
            <v>0</v>
          </cell>
        </row>
        <row r="2027">
          <cell r="C2027" t="str">
            <v xml:space="preserve">    NICOSIT            IAP</v>
          </cell>
          <cell r="D2027">
            <v>0</v>
          </cell>
          <cell r="E2027">
            <v>0</v>
          </cell>
        </row>
        <row r="2028">
          <cell r="C2028" t="str">
            <v xml:space="preserve">   NICOTINIC ACID</v>
          </cell>
          <cell r="D2028">
            <v>0</v>
          </cell>
          <cell r="E2028">
            <v>362</v>
          </cell>
        </row>
        <row r="2029">
          <cell r="C2029" t="str">
            <v xml:space="preserve">    NIAPID             D-I</v>
          </cell>
          <cell r="D2029">
            <v>0</v>
          </cell>
          <cell r="E2029">
            <v>0</v>
          </cell>
        </row>
        <row r="2030">
          <cell r="C2030" t="str">
            <v xml:space="preserve">    RIDEL              IAP</v>
          </cell>
          <cell r="D2030">
            <v>0</v>
          </cell>
          <cell r="E2030">
            <v>362</v>
          </cell>
        </row>
        <row r="2031">
          <cell r="C2031" t="str">
            <v xml:space="preserve"> NON-NARCOTIC ANALGESICS</v>
          </cell>
          <cell r="D2031">
            <v>10497466</v>
          </cell>
          <cell r="E2031">
            <v>10251398</v>
          </cell>
        </row>
        <row r="2032">
          <cell r="C2032" t="str">
            <v xml:space="preserve">  NON-NARCOTIC ANALGESICS</v>
          </cell>
          <cell r="D2032">
            <v>10497466</v>
          </cell>
          <cell r="E2032">
            <v>10251398</v>
          </cell>
        </row>
        <row r="2033">
          <cell r="C2033" t="str">
            <v xml:space="preserve">   PARACETAMOL</v>
          </cell>
          <cell r="D2033">
            <v>5490080</v>
          </cell>
          <cell r="E2033">
            <v>5499108</v>
          </cell>
        </row>
        <row r="2034">
          <cell r="C2034" t="str">
            <v xml:space="preserve">    NAPA               BXM</v>
          </cell>
          <cell r="D2034">
            <v>3235262</v>
          </cell>
          <cell r="E2034">
            <v>3270875</v>
          </cell>
        </row>
        <row r="2035">
          <cell r="C2035" t="str">
            <v xml:space="preserve">    ACE                SQA</v>
          </cell>
          <cell r="D2035">
            <v>938378</v>
          </cell>
          <cell r="E2035">
            <v>882214</v>
          </cell>
        </row>
        <row r="2036">
          <cell r="C2036" t="str">
            <v xml:space="preserve">    RENOVA             OPI</v>
          </cell>
          <cell r="D2036">
            <v>339306</v>
          </cell>
          <cell r="E2036">
            <v>412724</v>
          </cell>
        </row>
        <row r="2037">
          <cell r="C2037" t="str">
            <v xml:space="preserve">    NAPA-ONE           BXM</v>
          </cell>
          <cell r="D2037">
            <v>220893</v>
          </cell>
          <cell r="E2037">
            <v>159409</v>
          </cell>
        </row>
        <row r="2038">
          <cell r="C2038" t="str">
            <v xml:space="preserve">    NAPA RAPID         BXM</v>
          </cell>
          <cell r="D2038">
            <v>217405</v>
          </cell>
          <cell r="E2038">
            <v>222805</v>
          </cell>
        </row>
        <row r="2039">
          <cell r="C2039" t="str">
            <v xml:space="preserve">    XPA                ATP</v>
          </cell>
          <cell r="D2039">
            <v>162943</v>
          </cell>
          <cell r="E2039">
            <v>169186</v>
          </cell>
        </row>
        <row r="2040">
          <cell r="C2040" t="str">
            <v xml:space="preserve">    FAST               ACM</v>
          </cell>
          <cell r="D2040">
            <v>144101</v>
          </cell>
          <cell r="E2040">
            <v>124656</v>
          </cell>
        </row>
        <row r="2041">
          <cell r="C2041" t="str">
            <v xml:space="preserve">    ACE-POWER          SQA</v>
          </cell>
          <cell r="D2041">
            <v>50405</v>
          </cell>
          <cell r="E2041">
            <v>46623</v>
          </cell>
        </row>
        <row r="2042">
          <cell r="C2042" t="str">
            <v xml:space="preserve">    TAMEN              ESF</v>
          </cell>
          <cell r="D2042">
            <v>48071</v>
          </cell>
          <cell r="E2042">
            <v>78238</v>
          </cell>
        </row>
        <row r="2043">
          <cell r="C2043" t="str">
            <v xml:space="preserve">    RESET              IAP</v>
          </cell>
          <cell r="D2043">
            <v>43120</v>
          </cell>
          <cell r="E2043">
            <v>41490</v>
          </cell>
        </row>
        <row r="2044">
          <cell r="C2044" t="str">
            <v xml:space="preserve">    RESET ER           IAP</v>
          </cell>
          <cell r="D2044">
            <v>32302</v>
          </cell>
          <cell r="E2044">
            <v>22182</v>
          </cell>
        </row>
        <row r="2045">
          <cell r="C2045" t="str">
            <v xml:space="preserve">    XCEL               A-I</v>
          </cell>
          <cell r="D2045">
            <v>16955</v>
          </cell>
          <cell r="E2045">
            <v>25633</v>
          </cell>
        </row>
        <row r="2046">
          <cell r="C2046" t="str">
            <v xml:space="preserve">    TAMEN-XR           ESF</v>
          </cell>
          <cell r="D2046">
            <v>14893</v>
          </cell>
          <cell r="E2046">
            <v>15875</v>
          </cell>
        </row>
        <row r="2047">
          <cell r="C2047" t="str">
            <v xml:space="preserve">    LONGPARA           IBN</v>
          </cell>
          <cell r="D2047">
            <v>8092</v>
          </cell>
          <cell r="E2047">
            <v>11039</v>
          </cell>
        </row>
        <row r="2048">
          <cell r="C2048" t="str">
            <v xml:space="preserve">    FAST-ONE           ACM</v>
          </cell>
          <cell r="D2048">
            <v>5141</v>
          </cell>
          <cell r="E2048">
            <v>0</v>
          </cell>
        </row>
        <row r="2049">
          <cell r="C2049" t="str">
            <v xml:space="preserve">    QCET               OS9</v>
          </cell>
          <cell r="D2049">
            <v>3964</v>
          </cell>
          <cell r="E2049">
            <v>2016</v>
          </cell>
        </row>
        <row r="2050">
          <cell r="C2050" t="str">
            <v xml:space="preserve">    RENOVA-MAX         OPI</v>
          </cell>
          <cell r="D2050">
            <v>2953</v>
          </cell>
          <cell r="E2050">
            <v>1871</v>
          </cell>
        </row>
        <row r="2051">
          <cell r="C2051" t="str">
            <v xml:space="preserve">    SINAPOL            IBN</v>
          </cell>
          <cell r="D2051">
            <v>1404</v>
          </cell>
          <cell r="E2051">
            <v>2193</v>
          </cell>
        </row>
        <row r="2052">
          <cell r="C2052" t="str">
            <v xml:space="preserve">    ACETA              BP&amp;</v>
          </cell>
          <cell r="D2052">
            <v>998</v>
          </cell>
          <cell r="E2052">
            <v>1974</v>
          </cell>
        </row>
        <row r="2053">
          <cell r="C2053" t="str">
            <v xml:space="preserve">    TAMINO             NJP</v>
          </cell>
          <cell r="D2053">
            <v>981</v>
          </cell>
          <cell r="E2053">
            <v>829</v>
          </cell>
        </row>
        <row r="2054">
          <cell r="C2054" t="str">
            <v xml:space="preserve">    ACETA EXTEND       BP&amp;</v>
          </cell>
          <cell r="D2054">
            <v>735</v>
          </cell>
          <cell r="E2054">
            <v>1368</v>
          </cell>
        </row>
        <row r="2055">
          <cell r="C2055" t="str">
            <v xml:space="preserve">    UCET-EXTEND        UNH</v>
          </cell>
          <cell r="D2055">
            <v>502</v>
          </cell>
          <cell r="E2055">
            <v>1430</v>
          </cell>
        </row>
        <row r="2056">
          <cell r="C2056" t="str">
            <v xml:space="preserve">    FEVAC              OR/</v>
          </cell>
          <cell r="D2056">
            <v>396</v>
          </cell>
          <cell r="E2056">
            <v>549</v>
          </cell>
        </row>
        <row r="2057">
          <cell r="C2057" t="str">
            <v xml:space="preserve">    POL                GBE</v>
          </cell>
          <cell r="D2057">
            <v>309</v>
          </cell>
          <cell r="E2057">
            <v>287</v>
          </cell>
        </row>
        <row r="2058">
          <cell r="C2058" t="str">
            <v xml:space="preserve">    ZERIN              JAY</v>
          </cell>
          <cell r="D2058">
            <v>270</v>
          </cell>
          <cell r="E2058">
            <v>0</v>
          </cell>
        </row>
        <row r="2059">
          <cell r="C2059" t="str">
            <v xml:space="preserve">    PAMIX              ZIS</v>
          </cell>
          <cell r="D2059">
            <v>170</v>
          </cell>
          <cell r="E2059">
            <v>514</v>
          </cell>
        </row>
        <row r="2060">
          <cell r="C2060" t="str">
            <v xml:space="preserve">    MOMODOL            D-I</v>
          </cell>
          <cell r="D2060">
            <v>43</v>
          </cell>
          <cell r="E2060">
            <v>0</v>
          </cell>
        </row>
        <row r="2061">
          <cell r="C2061" t="str">
            <v xml:space="preserve">    CETAM              PAC</v>
          </cell>
          <cell r="D2061">
            <v>33</v>
          </cell>
          <cell r="E2061">
            <v>76</v>
          </cell>
        </row>
        <row r="2062">
          <cell r="C2062" t="str">
            <v xml:space="preserve">    2 A                MY6</v>
          </cell>
          <cell r="D2062">
            <v>24</v>
          </cell>
          <cell r="E2062">
            <v>0</v>
          </cell>
        </row>
        <row r="2063">
          <cell r="C2063" t="str">
            <v xml:space="preserve">    ATP XR             GNR</v>
          </cell>
          <cell r="D2063">
            <v>19</v>
          </cell>
          <cell r="E2063">
            <v>3019</v>
          </cell>
        </row>
        <row r="2064">
          <cell r="C2064" t="str">
            <v xml:space="preserve">    FEVA               AD0</v>
          </cell>
          <cell r="D2064">
            <v>7</v>
          </cell>
          <cell r="E2064">
            <v>9</v>
          </cell>
        </row>
        <row r="2065">
          <cell r="C2065" t="str">
            <v xml:space="preserve">    NOVAL              U.L</v>
          </cell>
          <cell r="D2065">
            <v>2</v>
          </cell>
          <cell r="E2065">
            <v>0</v>
          </cell>
        </row>
        <row r="2066">
          <cell r="C2066" t="str">
            <v xml:space="preserve">    REMALGIN           RM2</v>
          </cell>
          <cell r="D2066">
            <v>0</v>
          </cell>
          <cell r="E2066">
            <v>0</v>
          </cell>
        </row>
        <row r="2067">
          <cell r="C2067" t="str">
            <v xml:space="preserve">    ACTOL              S&amp;O</v>
          </cell>
          <cell r="D2067">
            <v>0</v>
          </cell>
          <cell r="E2067">
            <v>0</v>
          </cell>
        </row>
        <row r="2068">
          <cell r="C2068" t="str">
            <v xml:space="preserve">    ANA                CPL</v>
          </cell>
          <cell r="D2068">
            <v>0</v>
          </cell>
          <cell r="E2068">
            <v>0</v>
          </cell>
        </row>
        <row r="2069">
          <cell r="C2069" t="str">
            <v xml:space="preserve">    ANAPOL             PK-</v>
          </cell>
          <cell r="D2069">
            <v>0</v>
          </cell>
          <cell r="E2069">
            <v>0</v>
          </cell>
        </row>
        <row r="2070">
          <cell r="C2070" t="str">
            <v xml:space="preserve">    APA                OPI</v>
          </cell>
          <cell r="D2070">
            <v>0</v>
          </cell>
          <cell r="E2070">
            <v>0</v>
          </cell>
        </row>
        <row r="2071">
          <cell r="C2071" t="str">
            <v xml:space="preserve">    ATP                GNR</v>
          </cell>
          <cell r="D2071">
            <v>0</v>
          </cell>
          <cell r="E2071">
            <v>7</v>
          </cell>
        </row>
        <row r="2072">
          <cell r="C2072" t="str">
            <v xml:space="preserve">    AVLOPOL            A-I</v>
          </cell>
          <cell r="D2072">
            <v>0</v>
          </cell>
          <cell r="E2072">
            <v>0</v>
          </cell>
        </row>
        <row r="2073">
          <cell r="C2073" t="str">
            <v xml:space="preserve">    BIOCETAMOL         BP&amp;</v>
          </cell>
          <cell r="D2073">
            <v>0</v>
          </cell>
          <cell r="E2073">
            <v>0</v>
          </cell>
        </row>
        <row r="2074">
          <cell r="C2074" t="str">
            <v xml:space="preserve">    DEPYRIN            D&amp;B</v>
          </cell>
          <cell r="D2074">
            <v>0</v>
          </cell>
          <cell r="E2074">
            <v>0</v>
          </cell>
        </row>
        <row r="2075">
          <cell r="C2075" t="str">
            <v xml:space="preserve">    FEA                N8V</v>
          </cell>
          <cell r="D2075">
            <v>0</v>
          </cell>
          <cell r="E2075">
            <v>0</v>
          </cell>
        </row>
        <row r="2076">
          <cell r="C2076" t="str">
            <v xml:space="preserve">    GESIC              PPH</v>
          </cell>
          <cell r="D2076">
            <v>0</v>
          </cell>
          <cell r="E2076">
            <v>0</v>
          </cell>
        </row>
        <row r="2077">
          <cell r="C2077" t="str">
            <v xml:space="preserve">    GETAMOL            GEE</v>
          </cell>
          <cell r="D2077">
            <v>0</v>
          </cell>
          <cell r="E2077">
            <v>0</v>
          </cell>
        </row>
        <row r="2078">
          <cell r="C2078" t="str">
            <v xml:space="preserve">    HEPA               HUD</v>
          </cell>
          <cell r="D2078">
            <v>0</v>
          </cell>
          <cell r="E2078">
            <v>0</v>
          </cell>
        </row>
        <row r="2079">
          <cell r="C2079" t="str">
            <v xml:space="preserve">    NIPA               NIP</v>
          </cell>
          <cell r="D2079">
            <v>0</v>
          </cell>
          <cell r="E2079">
            <v>0</v>
          </cell>
        </row>
        <row r="2080">
          <cell r="C2080" t="str">
            <v xml:space="preserve">    NOVA               CSC</v>
          </cell>
          <cell r="D2080">
            <v>0</v>
          </cell>
          <cell r="E2080">
            <v>0</v>
          </cell>
        </row>
        <row r="2081">
          <cell r="C2081" t="str">
            <v xml:space="preserve">    PARA               AIC</v>
          </cell>
          <cell r="D2081">
            <v>0</v>
          </cell>
          <cell r="E2081">
            <v>0</v>
          </cell>
        </row>
        <row r="2082">
          <cell r="C2082" t="str">
            <v xml:space="preserve">    PARACETAMOL        A.D</v>
          </cell>
          <cell r="D2082">
            <v>0</v>
          </cell>
          <cell r="E2082">
            <v>0</v>
          </cell>
        </row>
        <row r="2083">
          <cell r="C2083" t="str">
            <v xml:space="preserve">    PARACETAMOL        RIB</v>
          </cell>
          <cell r="D2083">
            <v>0</v>
          </cell>
          <cell r="E2083">
            <v>5</v>
          </cell>
        </row>
        <row r="2084">
          <cell r="C2084" t="str">
            <v xml:space="preserve">    PARAPYROL          GSK</v>
          </cell>
          <cell r="D2084">
            <v>0</v>
          </cell>
          <cell r="E2084">
            <v>0</v>
          </cell>
        </row>
        <row r="2085">
          <cell r="C2085" t="str">
            <v xml:space="preserve">    PARAXIA            P-S</v>
          </cell>
          <cell r="D2085">
            <v>0</v>
          </cell>
          <cell r="E2085">
            <v>5</v>
          </cell>
        </row>
        <row r="2086">
          <cell r="C2086" t="str">
            <v xml:space="preserve">    PREFER             M4N</v>
          </cell>
          <cell r="D2086">
            <v>0</v>
          </cell>
          <cell r="E2086">
            <v>0</v>
          </cell>
        </row>
        <row r="2087">
          <cell r="C2087" t="str">
            <v xml:space="preserve">    PYRAC              MDM</v>
          </cell>
          <cell r="D2087">
            <v>0</v>
          </cell>
          <cell r="E2087">
            <v>0</v>
          </cell>
        </row>
        <row r="2088">
          <cell r="C2088" t="str">
            <v xml:space="preserve">    RAPIDON            OPI</v>
          </cell>
          <cell r="D2088">
            <v>0</v>
          </cell>
          <cell r="E2088">
            <v>0</v>
          </cell>
        </row>
        <row r="2089">
          <cell r="C2089" t="str">
            <v xml:space="preserve">    SERIDOL            SON</v>
          </cell>
          <cell r="D2089">
            <v>0</v>
          </cell>
          <cell r="E2089">
            <v>0</v>
          </cell>
        </row>
        <row r="2090">
          <cell r="C2090" t="str">
            <v xml:space="preserve">    SILPOL             S6C</v>
          </cell>
          <cell r="D2090">
            <v>0</v>
          </cell>
          <cell r="E2090">
            <v>3</v>
          </cell>
        </row>
        <row r="2091">
          <cell r="C2091" t="str">
            <v xml:space="preserve">    TEMFAL             ATP</v>
          </cell>
          <cell r="D2091">
            <v>0</v>
          </cell>
          <cell r="E2091">
            <v>0</v>
          </cell>
        </row>
        <row r="2092">
          <cell r="C2092" t="str">
            <v xml:space="preserve">    TENDAMOL           MED</v>
          </cell>
          <cell r="D2092">
            <v>0</v>
          </cell>
          <cell r="E2092">
            <v>0</v>
          </cell>
        </row>
        <row r="2093">
          <cell r="C2093" t="str">
            <v xml:space="preserve">    TYLEN              J&amp;H</v>
          </cell>
          <cell r="D2093">
            <v>0</v>
          </cell>
          <cell r="E2093">
            <v>3</v>
          </cell>
        </row>
        <row r="2094">
          <cell r="C2094" t="str">
            <v xml:space="preserve">    PAINIL             KUM</v>
          </cell>
          <cell r="D2094">
            <v>0</v>
          </cell>
          <cell r="E2094">
            <v>0</v>
          </cell>
        </row>
        <row r="2095">
          <cell r="C2095" t="str">
            <v xml:space="preserve">    TAMEN ULTRA        ESF</v>
          </cell>
          <cell r="D2095">
            <v>0</v>
          </cell>
          <cell r="E2095">
            <v>0</v>
          </cell>
        </row>
        <row r="2096">
          <cell r="C2096" t="str">
            <v xml:space="preserve">    TEMOL              TMH</v>
          </cell>
          <cell r="D2096">
            <v>0</v>
          </cell>
          <cell r="E2096">
            <v>0</v>
          </cell>
        </row>
        <row r="2097">
          <cell r="C2097" t="str">
            <v xml:space="preserve">    FEVIMOL            GD2</v>
          </cell>
          <cell r="D2097">
            <v>0</v>
          </cell>
          <cell r="E2097">
            <v>0</v>
          </cell>
        </row>
        <row r="2098">
          <cell r="C2098" t="str">
            <v xml:space="preserve">   CAFFEINE+PARACETAMOL</v>
          </cell>
          <cell r="D2098">
            <v>2137227</v>
          </cell>
          <cell r="E2098">
            <v>2080697</v>
          </cell>
        </row>
        <row r="2099">
          <cell r="C2099" t="str">
            <v xml:space="preserve">    NAPA EXTRA         BXM</v>
          </cell>
          <cell r="D2099">
            <v>1641184</v>
          </cell>
          <cell r="E2099">
            <v>1477151</v>
          </cell>
        </row>
        <row r="2100">
          <cell r="C2100" t="str">
            <v xml:space="preserve">    ACE PLUS           SQA</v>
          </cell>
          <cell r="D2100">
            <v>374875</v>
          </cell>
          <cell r="E2100">
            <v>455440</v>
          </cell>
        </row>
        <row r="2101">
          <cell r="C2101" t="str">
            <v xml:space="preserve">    TAMEN TURBO        ESF</v>
          </cell>
          <cell r="D2101">
            <v>41037</v>
          </cell>
          <cell r="E2101">
            <v>48387</v>
          </cell>
        </row>
        <row r="2102">
          <cell r="C2102" t="str">
            <v xml:space="preserve">    RENOVA PLUS        OPI</v>
          </cell>
          <cell r="D2102">
            <v>15390</v>
          </cell>
          <cell r="E2102">
            <v>24808</v>
          </cell>
        </row>
        <row r="2103">
          <cell r="C2103" t="str">
            <v xml:space="preserve">    FAST PLUS          ACM</v>
          </cell>
          <cell r="D2103">
            <v>13186</v>
          </cell>
          <cell r="E2103">
            <v>15848</v>
          </cell>
        </row>
        <row r="2104">
          <cell r="C2104" t="str">
            <v xml:space="preserve">    PYRENOL            D&amp;B</v>
          </cell>
          <cell r="D2104">
            <v>12299</v>
          </cell>
          <cell r="E2104">
            <v>18062</v>
          </cell>
        </row>
        <row r="2105">
          <cell r="C2105" t="str">
            <v xml:space="preserve">    CAFEDON            HT3</v>
          </cell>
          <cell r="D2105">
            <v>12232</v>
          </cell>
          <cell r="E2105">
            <v>5806</v>
          </cell>
        </row>
        <row r="2106">
          <cell r="C2106" t="str">
            <v xml:space="preserve">    RESET PLUS         IAP</v>
          </cell>
          <cell r="D2106">
            <v>9602</v>
          </cell>
          <cell r="E2106">
            <v>10090</v>
          </cell>
        </row>
        <row r="2107">
          <cell r="C2107" t="str">
            <v xml:space="preserve">    XPA-C              ATP</v>
          </cell>
          <cell r="D2107">
            <v>6373</v>
          </cell>
          <cell r="E2107">
            <v>8908</v>
          </cell>
        </row>
        <row r="2108">
          <cell r="C2108" t="str">
            <v xml:space="preserve">    HEDEX              OR/</v>
          </cell>
          <cell r="D2108">
            <v>3138</v>
          </cell>
          <cell r="E2108">
            <v>3262</v>
          </cell>
        </row>
        <row r="2109">
          <cell r="C2109" t="str">
            <v xml:space="preserve">    XCEL PLUS          A-I</v>
          </cell>
          <cell r="D2109">
            <v>2720</v>
          </cell>
          <cell r="E2109">
            <v>3110</v>
          </cell>
        </row>
        <row r="2110">
          <cell r="C2110" t="str">
            <v xml:space="preserve">    PAC                IBN</v>
          </cell>
          <cell r="D2110">
            <v>1772</v>
          </cell>
          <cell r="E2110">
            <v>3052</v>
          </cell>
        </row>
        <row r="2111">
          <cell r="C2111" t="str">
            <v xml:space="preserve">    POL-PLUS           GBE</v>
          </cell>
          <cell r="D2111">
            <v>735</v>
          </cell>
          <cell r="E2111">
            <v>545</v>
          </cell>
        </row>
        <row r="2112">
          <cell r="C2112" t="str">
            <v xml:space="preserve">    MOMODOL-EXTRA      D-I</v>
          </cell>
          <cell r="D2112">
            <v>670</v>
          </cell>
          <cell r="E2112">
            <v>496</v>
          </cell>
        </row>
        <row r="2113">
          <cell r="C2113" t="str">
            <v xml:space="preserve">    ATP EXTRA          GNR</v>
          </cell>
          <cell r="D2113">
            <v>432</v>
          </cell>
          <cell r="E2113">
            <v>1615</v>
          </cell>
        </row>
        <row r="2114">
          <cell r="C2114" t="str">
            <v xml:space="preserve">    DUET               SV6</v>
          </cell>
          <cell r="D2114">
            <v>342</v>
          </cell>
          <cell r="E2114">
            <v>387</v>
          </cell>
        </row>
        <row r="2115">
          <cell r="C2115" t="str">
            <v xml:space="preserve">    PYRA PLUS          RTA</v>
          </cell>
          <cell r="D2115">
            <v>275</v>
          </cell>
          <cell r="E2115">
            <v>728</v>
          </cell>
        </row>
        <row r="2116">
          <cell r="C2116" t="str">
            <v xml:space="preserve">    QCET-CAFE          OS9</v>
          </cell>
          <cell r="D2116">
            <v>267</v>
          </cell>
          <cell r="E2116">
            <v>225</v>
          </cell>
        </row>
        <row r="2117">
          <cell r="C2117" t="str">
            <v xml:space="preserve">    ACETA-X            BP&amp;</v>
          </cell>
          <cell r="D2117">
            <v>252</v>
          </cell>
          <cell r="E2117">
            <v>328</v>
          </cell>
        </row>
        <row r="2118">
          <cell r="C2118" t="str">
            <v xml:space="preserve">    TEMOL-EXTRA        TMH</v>
          </cell>
          <cell r="D2118">
            <v>188</v>
          </cell>
          <cell r="E2118">
            <v>59</v>
          </cell>
        </row>
        <row r="2119">
          <cell r="C2119" t="str">
            <v xml:space="preserve">    TYLEN-PLUS         J&amp;H</v>
          </cell>
          <cell r="D2119">
            <v>83</v>
          </cell>
          <cell r="E2119">
            <v>148</v>
          </cell>
        </row>
        <row r="2120">
          <cell r="C2120" t="str">
            <v xml:space="preserve">    UCET-EXTRA         UNH</v>
          </cell>
          <cell r="D2120">
            <v>73</v>
          </cell>
          <cell r="E2120">
            <v>1202</v>
          </cell>
        </row>
        <row r="2121">
          <cell r="C2121" t="str">
            <v xml:space="preserve">    TAMINO-PLUS        NJP</v>
          </cell>
          <cell r="D2121">
            <v>55</v>
          </cell>
          <cell r="E2121">
            <v>237</v>
          </cell>
        </row>
        <row r="2122">
          <cell r="C2122" t="str">
            <v xml:space="preserve">    TAMEN-X            ESF</v>
          </cell>
          <cell r="D2122">
            <v>27</v>
          </cell>
          <cell r="E2122">
            <v>750</v>
          </cell>
        </row>
        <row r="2123">
          <cell r="C2123" t="str">
            <v xml:space="preserve">    CETAM-PLUS         PAC</v>
          </cell>
          <cell r="D2123">
            <v>21</v>
          </cell>
          <cell r="E2123">
            <v>34</v>
          </cell>
        </row>
        <row r="2124">
          <cell r="C2124" t="str">
            <v xml:space="preserve">    ASTA PLUS          RPH</v>
          </cell>
          <cell r="D2124">
            <v>0</v>
          </cell>
          <cell r="E2124">
            <v>0</v>
          </cell>
        </row>
        <row r="2125">
          <cell r="C2125" t="str">
            <v xml:space="preserve">    ATOPEN PLUS        KMP</v>
          </cell>
          <cell r="D2125">
            <v>0</v>
          </cell>
          <cell r="E2125">
            <v>0</v>
          </cell>
        </row>
        <row r="2126">
          <cell r="C2126" t="str">
            <v xml:space="preserve">    BENALGIN-PLUS      BNP</v>
          </cell>
          <cell r="D2126">
            <v>0</v>
          </cell>
          <cell r="E2126">
            <v>0</v>
          </cell>
        </row>
        <row r="2127">
          <cell r="C2127" t="str">
            <v xml:space="preserve">    CAFENOL            GNR</v>
          </cell>
          <cell r="D2127">
            <v>0</v>
          </cell>
          <cell r="E2127">
            <v>0</v>
          </cell>
        </row>
        <row r="2128">
          <cell r="C2128" t="str">
            <v xml:space="preserve">    CAFFO              S&amp;O</v>
          </cell>
          <cell r="D2128">
            <v>0</v>
          </cell>
          <cell r="E2128">
            <v>0</v>
          </cell>
        </row>
        <row r="2129">
          <cell r="C2129" t="str">
            <v xml:space="preserve">    FEA PLUS           N8V</v>
          </cell>
          <cell r="D2129">
            <v>0</v>
          </cell>
          <cell r="E2129">
            <v>0</v>
          </cell>
        </row>
        <row r="2130">
          <cell r="C2130" t="str">
            <v xml:space="preserve">    P+C                A.P</v>
          </cell>
          <cell r="D2130">
            <v>0</v>
          </cell>
          <cell r="E2130">
            <v>0</v>
          </cell>
        </row>
        <row r="2131">
          <cell r="C2131" t="str">
            <v xml:space="preserve">    PAX                S4L</v>
          </cell>
          <cell r="D2131">
            <v>0</v>
          </cell>
          <cell r="E2131">
            <v>0</v>
          </cell>
        </row>
        <row r="2132">
          <cell r="C2132" t="str">
            <v xml:space="preserve">    TACS               R7G</v>
          </cell>
          <cell r="D2132">
            <v>0</v>
          </cell>
          <cell r="E2132">
            <v>0</v>
          </cell>
        </row>
        <row r="2133">
          <cell r="C2133" t="str">
            <v xml:space="preserve">    TY-PLUS            EDR</v>
          </cell>
          <cell r="D2133">
            <v>0</v>
          </cell>
          <cell r="E2133">
            <v>0</v>
          </cell>
        </row>
        <row r="2134">
          <cell r="C2134" t="str">
            <v xml:space="preserve">    ZETA               OR/</v>
          </cell>
          <cell r="D2134">
            <v>0</v>
          </cell>
          <cell r="E2134">
            <v>10</v>
          </cell>
        </row>
        <row r="2135">
          <cell r="C2135" t="str">
            <v xml:space="preserve">    ZERIN-XR           JAY</v>
          </cell>
          <cell r="D2135">
            <v>0</v>
          </cell>
          <cell r="E2135">
            <v>0</v>
          </cell>
        </row>
        <row r="2136">
          <cell r="C2136" t="str">
            <v xml:space="preserve">    PARAXIA-PLUS       P-S</v>
          </cell>
          <cell r="D2136">
            <v>0</v>
          </cell>
          <cell r="E2136">
            <v>0</v>
          </cell>
        </row>
        <row r="2137">
          <cell r="C2137" t="str">
            <v xml:space="preserve">    DUAL               MED</v>
          </cell>
          <cell r="D2137">
            <v>0</v>
          </cell>
          <cell r="E2137">
            <v>0</v>
          </cell>
        </row>
        <row r="2138">
          <cell r="C2138" t="str">
            <v xml:space="preserve">    PYREXIL PLUS       VPM</v>
          </cell>
          <cell r="D2138">
            <v>0</v>
          </cell>
          <cell r="E2138">
            <v>0</v>
          </cell>
        </row>
        <row r="2139">
          <cell r="C2139" t="str">
            <v xml:space="preserve">    CLOFAMOL           ZIS</v>
          </cell>
          <cell r="D2139">
            <v>0</v>
          </cell>
          <cell r="E2139">
            <v>0</v>
          </cell>
        </row>
        <row r="2140">
          <cell r="C2140" t="str">
            <v xml:space="preserve">    PYREX PLUS         CC/</v>
          </cell>
          <cell r="D2140">
            <v>0</v>
          </cell>
          <cell r="E2140">
            <v>0</v>
          </cell>
        </row>
        <row r="2141">
          <cell r="C2141" t="str">
            <v xml:space="preserve">    TEMFIN             NVK</v>
          </cell>
          <cell r="D2141">
            <v>0</v>
          </cell>
          <cell r="E2141">
            <v>0</v>
          </cell>
        </row>
        <row r="2142">
          <cell r="C2142" t="str">
            <v xml:space="preserve">    CAFTYL             ONA</v>
          </cell>
          <cell r="D2142">
            <v>0</v>
          </cell>
          <cell r="E2142">
            <v>9</v>
          </cell>
        </row>
        <row r="2143">
          <cell r="C2143" t="str">
            <v xml:space="preserve">    PAMIX EXTRA        ZIS</v>
          </cell>
          <cell r="D2143">
            <v>0</v>
          </cell>
          <cell r="E2143">
            <v>0</v>
          </cell>
        </row>
        <row r="2144">
          <cell r="C2144" t="str">
            <v xml:space="preserve">    PARAGESIC C        S-C</v>
          </cell>
          <cell r="D2144">
            <v>0</v>
          </cell>
          <cell r="E2144">
            <v>0</v>
          </cell>
        </row>
        <row r="2145">
          <cell r="C2145" t="str">
            <v xml:space="preserve">    SB-OPA PLUS        SBD</v>
          </cell>
          <cell r="D2145">
            <v>0</v>
          </cell>
          <cell r="E2145">
            <v>0</v>
          </cell>
        </row>
        <row r="2146">
          <cell r="C2146" t="str">
            <v xml:space="preserve">    CLOFAMOL EXTRA     ZIS</v>
          </cell>
          <cell r="D2146">
            <v>0</v>
          </cell>
          <cell r="E2146">
            <v>0</v>
          </cell>
        </row>
        <row r="2147">
          <cell r="C2147" t="str">
            <v xml:space="preserve">    RELIV PLUS         A-H</v>
          </cell>
          <cell r="D2147">
            <v>0</v>
          </cell>
          <cell r="E2147">
            <v>0</v>
          </cell>
        </row>
        <row r="2148">
          <cell r="C2148" t="str">
            <v xml:space="preserve">   KETOROLAC</v>
          </cell>
          <cell r="D2148">
            <v>1678528</v>
          </cell>
          <cell r="E2148">
            <v>1602362</v>
          </cell>
        </row>
        <row r="2149">
          <cell r="C2149" t="str">
            <v xml:space="preserve">    ROLAC              RTA</v>
          </cell>
          <cell r="D2149">
            <v>649632</v>
          </cell>
          <cell r="E2149">
            <v>626987</v>
          </cell>
        </row>
        <row r="2150">
          <cell r="C2150" t="str">
            <v xml:space="preserve">    TORADOLIN          RD7</v>
          </cell>
          <cell r="D2150">
            <v>243819</v>
          </cell>
          <cell r="E2150">
            <v>256277</v>
          </cell>
        </row>
        <row r="2151">
          <cell r="C2151" t="str">
            <v xml:space="preserve">    TORAX              SQA</v>
          </cell>
          <cell r="D2151">
            <v>233898</v>
          </cell>
          <cell r="E2151">
            <v>182329</v>
          </cell>
        </row>
        <row r="2152">
          <cell r="C2152" t="str">
            <v xml:space="preserve">    TORAMAX            PPH</v>
          </cell>
          <cell r="D2152">
            <v>145085</v>
          </cell>
          <cell r="E2152">
            <v>135730</v>
          </cell>
        </row>
        <row r="2153">
          <cell r="C2153" t="str">
            <v xml:space="preserve">    ZEROPAIN           HT3</v>
          </cell>
          <cell r="D2153">
            <v>107435</v>
          </cell>
          <cell r="E2153">
            <v>94890</v>
          </cell>
        </row>
        <row r="2154">
          <cell r="C2154" t="str">
            <v xml:space="preserve">    ETORAC             IAP</v>
          </cell>
          <cell r="D2154">
            <v>51931</v>
          </cell>
          <cell r="E2154">
            <v>45441</v>
          </cell>
        </row>
        <row r="2155">
          <cell r="C2155" t="str">
            <v xml:space="preserve">    TODOL              OPI</v>
          </cell>
          <cell r="D2155">
            <v>43778</v>
          </cell>
          <cell r="E2155">
            <v>44428</v>
          </cell>
        </row>
        <row r="2156">
          <cell r="C2156" t="str">
            <v xml:space="preserve">    PAIR               D-I</v>
          </cell>
          <cell r="D2156">
            <v>31185</v>
          </cell>
          <cell r="E2156">
            <v>30124</v>
          </cell>
        </row>
        <row r="2157">
          <cell r="C2157" t="str">
            <v xml:space="preserve">    XIDOLAC            BXM</v>
          </cell>
          <cell r="D2157">
            <v>28835</v>
          </cell>
          <cell r="E2157">
            <v>27193</v>
          </cell>
        </row>
        <row r="2158">
          <cell r="C2158" t="str">
            <v xml:space="preserve">    WINOP              ACM</v>
          </cell>
          <cell r="D2158">
            <v>25704</v>
          </cell>
          <cell r="E2158">
            <v>28654</v>
          </cell>
        </row>
        <row r="2159">
          <cell r="C2159" t="str">
            <v xml:space="preserve">    XIDOLAC MELTAB     BXM</v>
          </cell>
          <cell r="D2159">
            <v>17260</v>
          </cell>
          <cell r="E2159">
            <v>12305</v>
          </cell>
        </row>
        <row r="2160">
          <cell r="C2160" t="str">
            <v xml:space="preserve">    ORADOL             ATP</v>
          </cell>
          <cell r="D2160">
            <v>11309</v>
          </cell>
          <cell r="E2160">
            <v>9539</v>
          </cell>
        </row>
        <row r="2161">
          <cell r="C2161" t="str">
            <v xml:space="preserve">    KETONIC            ESF</v>
          </cell>
          <cell r="D2161">
            <v>10657</v>
          </cell>
          <cell r="E2161">
            <v>20875</v>
          </cell>
        </row>
        <row r="2162">
          <cell r="C2162" t="str">
            <v xml:space="preserve">    MINOLAC            A-I</v>
          </cell>
          <cell r="D2162">
            <v>10533</v>
          </cell>
          <cell r="E2162">
            <v>14650</v>
          </cell>
        </row>
        <row r="2163">
          <cell r="C2163" t="str">
            <v xml:space="preserve">    TORALIN            NJP</v>
          </cell>
          <cell r="D2163">
            <v>9319</v>
          </cell>
          <cell r="E2163">
            <v>8725</v>
          </cell>
        </row>
        <row r="2164">
          <cell r="C2164" t="str">
            <v xml:space="preserve">    ETOLAC             IBN</v>
          </cell>
          <cell r="D2164">
            <v>7676</v>
          </cell>
          <cell r="E2164">
            <v>7801</v>
          </cell>
        </row>
        <row r="2165">
          <cell r="C2165" t="str">
            <v xml:space="preserve">    KETORIN            OR/</v>
          </cell>
          <cell r="D2165">
            <v>6239</v>
          </cell>
          <cell r="E2165">
            <v>3166</v>
          </cell>
        </row>
        <row r="2166">
          <cell r="C2166" t="str">
            <v xml:space="preserve">    ACUPAIN 30         BAC</v>
          </cell>
          <cell r="D2166">
            <v>5876</v>
          </cell>
          <cell r="E2166">
            <v>2289</v>
          </cell>
        </row>
        <row r="2167">
          <cell r="C2167" t="str">
            <v xml:space="preserve">    ACUPAIN            BAC</v>
          </cell>
          <cell r="D2167">
            <v>4558</v>
          </cell>
          <cell r="E2167">
            <v>2860</v>
          </cell>
        </row>
        <row r="2168">
          <cell r="C2168" t="str">
            <v xml:space="preserve">    TORADOL            ROC</v>
          </cell>
          <cell r="D2168">
            <v>4542</v>
          </cell>
          <cell r="E2168">
            <v>6559</v>
          </cell>
        </row>
        <row r="2169">
          <cell r="C2169" t="str">
            <v xml:space="preserve">    KETOSHOT           NUV</v>
          </cell>
          <cell r="D2169">
            <v>4078</v>
          </cell>
          <cell r="E2169">
            <v>6313</v>
          </cell>
        </row>
        <row r="2170">
          <cell r="C2170" t="str">
            <v xml:space="preserve">    DOLTRO             UNH</v>
          </cell>
          <cell r="D2170">
            <v>3884</v>
          </cell>
          <cell r="E2170">
            <v>3174</v>
          </cell>
        </row>
        <row r="2171">
          <cell r="C2171" t="str">
            <v xml:space="preserve">    ANALAC             ZIS</v>
          </cell>
          <cell r="D2171">
            <v>3286</v>
          </cell>
          <cell r="E2171">
            <v>3047</v>
          </cell>
        </row>
        <row r="2172">
          <cell r="C2172" t="str">
            <v xml:space="preserve">    DELTORA            D-B</v>
          </cell>
          <cell r="D2172">
            <v>3283</v>
          </cell>
          <cell r="E2172">
            <v>5820</v>
          </cell>
        </row>
        <row r="2173">
          <cell r="C2173" t="str">
            <v xml:space="preserve">    ROTALAC            P-S</v>
          </cell>
          <cell r="D2173">
            <v>2646</v>
          </cell>
          <cell r="E2173">
            <v>2181</v>
          </cell>
        </row>
        <row r="2174">
          <cell r="C2174" t="str">
            <v xml:space="preserve">    ORC                N8V</v>
          </cell>
          <cell r="D2174">
            <v>1924</v>
          </cell>
          <cell r="E2174">
            <v>2605</v>
          </cell>
        </row>
        <row r="2175">
          <cell r="C2175" t="str">
            <v xml:space="preserve">    TOROAID            GNR</v>
          </cell>
          <cell r="D2175">
            <v>1383</v>
          </cell>
          <cell r="E2175">
            <v>2732</v>
          </cell>
        </row>
        <row r="2176">
          <cell r="C2176" t="str">
            <v xml:space="preserve">    ACTIFAST           S-C</v>
          </cell>
          <cell r="D2176">
            <v>1355</v>
          </cell>
          <cell r="E2176">
            <v>232</v>
          </cell>
        </row>
        <row r="2177">
          <cell r="C2177" t="str">
            <v xml:space="preserve">    ROKET              GBE</v>
          </cell>
          <cell r="D2177">
            <v>1113</v>
          </cell>
          <cell r="E2177">
            <v>5780</v>
          </cell>
        </row>
        <row r="2178">
          <cell r="C2178" t="str">
            <v xml:space="preserve">    PERILAC            BP&amp;</v>
          </cell>
          <cell r="D2178">
            <v>1021</v>
          </cell>
          <cell r="E2178">
            <v>1398</v>
          </cell>
        </row>
        <row r="2179">
          <cell r="C2179" t="str">
            <v xml:space="preserve">    DOLOKET            KUM</v>
          </cell>
          <cell r="D2179">
            <v>827</v>
          </cell>
          <cell r="E2179">
            <v>103</v>
          </cell>
        </row>
        <row r="2180">
          <cell r="C2180" t="str">
            <v xml:space="preserve">    KETOLAB            LDB</v>
          </cell>
          <cell r="D2180">
            <v>623</v>
          </cell>
          <cell r="E2180">
            <v>2525</v>
          </cell>
        </row>
        <row r="2181">
          <cell r="C2181" t="str">
            <v xml:space="preserve">    EMODOL             JAY</v>
          </cell>
          <cell r="D2181">
            <v>553</v>
          </cell>
          <cell r="E2181">
            <v>773</v>
          </cell>
        </row>
        <row r="2182">
          <cell r="C2182" t="str">
            <v xml:space="preserve">    TOROSIC            OS9</v>
          </cell>
          <cell r="D2182">
            <v>505</v>
          </cell>
          <cell r="E2182">
            <v>422</v>
          </cell>
        </row>
        <row r="2183">
          <cell r="C2183" t="str">
            <v xml:space="preserve">    KELORAC            ONA</v>
          </cell>
          <cell r="D2183">
            <v>396</v>
          </cell>
          <cell r="E2183">
            <v>131</v>
          </cell>
        </row>
        <row r="2184">
          <cell r="C2184" t="str">
            <v xml:space="preserve">    ANGESIC            WTH</v>
          </cell>
          <cell r="D2184">
            <v>387</v>
          </cell>
          <cell r="E2184">
            <v>879</v>
          </cell>
        </row>
        <row r="2185">
          <cell r="C2185" t="str">
            <v xml:space="preserve">    DOLGENAL           EVR</v>
          </cell>
          <cell r="D2185">
            <v>386</v>
          </cell>
          <cell r="E2185">
            <v>229</v>
          </cell>
        </row>
        <row r="2186">
          <cell r="C2186" t="str">
            <v xml:space="preserve">    KET                D&amp;B</v>
          </cell>
          <cell r="D2186">
            <v>337</v>
          </cell>
          <cell r="E2186">
            <v>341</v>
          </cell>
        </row>
        <row r="2187">
          <cell r="C2187" t="str">
            <v xml:space="preserve">    KETEKS             J&amp;H</v>
          </cell>
          <cell r="D2187">
            <v>265</v>
          </cell>
          <cell r="E2187">
            <v>386</v>
          </cell>
        </row>
        <row r="2188">
          <cell r="C2188" t="str">
            <v xml:space="preserve">    TEMOKET            TMH</v>
          </cell>
          <cell r="D2188">
            <v>248</v>
          </cell>
          <cell r="E2188">
            <v>289</v>
          </cell>
        </row>
        <row r="2189">
          <cell r="C2189" t="str">
            <v xml:space="preserve">    REPOPAIN           NVK</v>
          </cell>
          <cell r="D2189">
            <v>200</v>
          </cell>
          <cell r="E2189">
            <v>50</v>
          </cell>
        </row>
        <row r="2190">
          <cell r="C2190" t="str">
            <v xml:space="preserve">    KILPAN             D7P</v>
          </cell>
          <cell r="D2190">
            <v>99</v>
          </cell>
          <cell r="E2190">
            <v>0</v>
          </cell>
        </row>
        <row r="2191">
          <cell r="C2191" t="str">
            <v xml:space="preserve">    KETOSTAR           GD2</v>
          </cell>
          <cell r="D2191">
            <v>74</v>
          </cell>
          <cell r="E2191">
            <v>188</v>
          </cell>
        </row>
        <row r="2192">
          <cell r="C2192" t="str">
            <v xml:space="preserve">    EUROLAC            EMA</v>
          </cell>
          <cell r="D2192">
            <v>65</v>
          </cell>
          <cell r="E2192">
            <v>137</v>
          </cell>
        </row>
        <row r="2193">
          <cell r="C2193" t="str">
            <v xml:space="preserve">    KETONAAF           NAF</v>
          </cell>
          <cell r="D2193">
            <v>62</v>
          </cell>
          <cell r="E2193">
            <v>98</v>
          </cell>
        </row>
        <row r="2194">
          <cell r="C2194" t="str">
            <v xml:space="preserve">    KENODOL            R7G</v>
          </cell>
          <cell r="D2194">
            <v>52</v>
          </cell>
          <cell r="E2194">
            <v>211</v>
          </cell>
        </row>
        <row r="2195">
          <cell r="C2195" t="str">
            <v xml:space="preserve">    MAXDOL             CC/</v>
          </cell>
          <cell r="D2195">
            <v>38</v>
          </cell>
          <cell r="E2195">
            <v>927</v>
          </cell>
        </row>
        <row r="2196">
          <cell r="C2196" t="str">
            <v xml:space="preserve">    KEPROS             MO6</v>
          </cell>
          <cell r="D2196">
            <v>33</v>
          </cell>
          <cell r="E2196">
            <v>0</v>
          </cell>
        </row>
        <row r="2197">
          <cell r="C2197" t="str">
            <v xml:space="preserve">    KELAC              CHM</v>
          </cell>
          <cell r="D2197">
            <v>33</v>
          </cell>
          <cell r="E2197">
            <v>20</v>
          </cell>
        </row>
        <row r="2198">
          <cell r="C2198" t="str">
            <v xml:space="preserve">    KETOPRIX           SH0</v>
          </cell>
          <cell r="D2198">
            <v>31</v>
          </cell>
          <cell r="E2198">
            <v>68</v>
          </cell>
        </row>
        <row r="2199">
          <cell r="C2199" t="str">
            <v xml:space="preserve">    XIROKET            AMD</v>
          </cell>
          <cell r="D2199">
            <v>23</v>
          </cell>
          <cell r="E2199">
            <v>0</v>
          </cell>
        </row>
        <row r="2200">
          <cell r="C2200" t="str">
            <v xml:space="preserve">    AROLAK             AMB</v>
          </cell>
          <cell r="D2200">
            <v>17</v>
          </cell>
          <cell r="E2200">
            <v>0</v>
          </cell>
        </row>
        <row r="2201">
          <cell r="C2201" t="str">
            <v xml:space="preserve">    KETOROZ            A-H</v>
          </cell>
          <cell r="D2201">
            <v>17</v>
          </cell>
          <cell r="E2201">
            <v>0</v>
          </cell>
        </row>
        <row r="2202">
          <cell r="C2202" t="str">
            <v xml:space="preserve">    KETOLAC            NIP</v>
          </cell>
          <cell r="D2202">
            <v>9</v>
          </cell>
          <cell r="E2202">
            <v>13</v>
          </cell>
        </row>
        <row r="2203">
          <cell r="C2203" t="str">
            <v xml:space="preserve">    KETOFLEX           S&amp;O</v>
          </cell>
          <cell r="D2203">
            <v>4</v>
          </cell>
          <cell r="E2203">
            <v>0</v>
          </cell>
        </row>
        <row r="2204">
          <cell r="C2204" t="str">
            <v xml:space="preserve">    EKET               EDR</v>
          </cell>
          <cell r="D2204">
            <v>0</v>
          </cell>
          <cell r="E2204">
            <v>0</v>
          </cell>
        </row>
        <row r="2205">
          <cell r="C2205" t="str">
            <v xml:space="preserve">    KETOROLAC          BRI</v>
          </cell>
          <cell r="D2205">
            <v>0</v>
          </cell>
          <cell r="E2205">
            <v>0</v>
          </cell>
        </row>
        <row r="2206">
          <cell r="C2206" t="str">
            <v xml:space="preserve">    KETROMIN           PAC</v>
          </cell>
          <cell r="D2206">
            <v>0</v>
          </cell>
          <cell r="E2206">
            <v>39</v>
          </cell>
        </row>
        <row r="2207">
          <cell r="C2207" t="str">
            <v xml:space="preserve">    KFLAM              AX.</v>
          </cell>
          <cell r="D2207">
            <v>0</v>
          </cell>
          <cell r="E2207">
            <v>0</v>
          </cell>
        </row>
        <row r="2208">
          <cell r="C2208" t="str">
            <v xml:space="preserve">    KTMET              NJP</v>
          </cell>
          <cell r="D2208">
            <v>0</v>
          </cell>
          <cell r="E2208">
            <v>0</v>
          </cell>
        </row>
        <row r="2209">
          <cell r="C2209" t="str">
            <v xml:space="preserve">    LOPADOL            PPH</v>
          </cell>
          <cell r="D2209">
            <v>0</v>
          </cell>
          <cell r="E2209">
            <v>0</v>
          </cell>
        </row>
        <row r="2210">
          <cell r="C2210" t="str">
            <v xml:space="preserve">    OFPAIN             KMP</v>
          </cell>
          <cell r="D2210">
            <v>0</v>
          </cell>
          <cell r="E2210">
            <v>0</v>
          </cell>
        </row>
        <row r="2211">
          <cell r="C2211" t="str">
            <v xml:space="preserve">    ROMILAC            T2D</v>
          </cell>
          <cell r="D2211">
            <v>0</v>
          </cell>
          <cell r="E2211">
            <v>43</v>
          </cell>
        </row>
        <row r="2212">
          <cell r="C2212" t="str">
            <v xml:space="preserve">    TOLEC              A.P</v>
          </cell>
          <cell r="D2212">
            <v>0</v>
          </cell>
          <cell r="E2212">
            <v>107</v>
          </cell>
        </row>
        <row r="2213">
          <cell r="C2213" t="str">
            <v xml:space="preserve">    TOROLAC            SV6</v>
          </cell>
          <cell r="D2213">
            <v>0</v>
          </cell>
          <cell r="E2213">
            <v>0</v>
          </cell>
        </row>
        <row r="2214">
          <cell r="C2214" t="str">
            <v xml:space="preserve">    XENOLAC            S4L</v>
          </cell>
          <cell r="D2214">
            <v>0</v>
          </cell>
          <cell r="E2214">
            <v>0</v>
          </cell>
        </row>
        <row r="2215">
          <cell r="C2215" t="str">
            <v xml:space="preserve">    SURPIM             A/L</v>
          </cell>
          <cell r="D2215">
            <v>0</v>
          </cell>
          <cell r="E2215">
            <v>0</v>
          </cell>
        </row>
        <row r="2216">
          <cell r="C2216" t="str">
            <v xml:space="preserve">    LACOR              AD0</v>
          </cell>
          <cell r="D2216">
            <v>0</v>
          </cell>
          <cell r="E2216">
            <v>0</v>
          </cell>
        </row>
        <row r="2217">
          <cell r="C2217" t="str">
            <v xml:space="preserve">    KETOACT            LOP</v>
          </cell>
          <cell r="D2217">
            <v>0</v>
          </cell>
          <cell r="E2217">
            <v>91</v>
          </cell>
        </row>
        <row r="2218">
          <cell r="C2218" t="str">
            <v xml:space="preserve">    KETOFAST           VPM</v>
          </cell>
          <cell r="D2218">
            <v>0</v>
          </cell>
          <cell r="E2218">
            <v>98</v>
          </cell>
        </row>
        <row r="2219">
          <cell r="C2219" t="str">
            <v xml:space="preserve">    TORO               AMT</v>
          </cell>
          <cell r="D2219">
            <v>0</v>
          </cell>
          <cell r="E2219">
            <v>0</v>
          </cell>
        </row>
        <row r="2220">
          <cell r="C2220" t="str">
            <v xml:space="preserve">    KNIL               RPH</v>
          </cell>
          <cell r="D2220">
            <v>0</v>
          </cell>
          <cell r="E2220">
            <v>63</v>
          </cell>
        </row>
        <row r="2221">
          <cell r="C2221" t="str">
            <v xml:space="preserve">    KELORAC            ONA</v>
          </cell>
          <cell r="D2221">
            <v>0</v>
          </cell>
          <cell r="E2221">
            <v>24</v>
          </cell>
        </row>
        <row r="2222">
          <cell r="C2222" t="str">
            <v xml:space="preserve">    SB KETOR           SBD</v>
          </cell>
          <cell r="D2222">
            <v>0</v>
          </cell>
          <cell r="E2222">
            <v>0</v>
          </cell>
        </row>
        <row r="2223">
          <cell r="C2223" t="str">
            <v xml:space="preserve">   PARACETAMOL+TRAMADOL</v>
          </cell>
          <cell r="D2223">
            <v>640234</v>
          </cell>
          <cell r="E2223">
            <v>575078</v>
          </cell>
        </row>
        <row r="2224">
          <cell r="C2224" t="str">
            <v xml:space="preserve">    NAPADOL            BXM</v>
          </cell>
          <cell r="D2224">
            <v>555951</v>
          </cell>
          <cell r="E2224">
            <v>488830</v>
          </cell>
        </row>
        <row r="2225">
          <cell r="C2225" t="str">
            <v xml:space="preserve">    UTRACET            UNH</v>
          </cell>
          <cell r="D2225">
            <v>20581</v>
          </cell>
          <cell r="E2225">
            <v>20024</v>
          </cell>
        </row>
        <row r="2226">
          <cell r="C2226" t="str">
            <v xml:space="preserve">    RESADOL            IAP</v>
          </cell>
          <cell r="D2226">
            <v>19294</v>
          </cell>
          <cell r="E2226">
            <v>11019</v>
          </cell>
        </row>
        <row r="2227">
          <cell r="C2227" t="str">
            <v xml:space="preserve">    ANADOL-PLUS        SQA</v>
          </cell>
          <cell r="D2227">
            <v>18932</v>
          </cell>
          <cell r="E2227">
            <v>0</v>
          </cell>
        </row>
        <row r="2228">
          <cell r="C2228" t="str">
            <v xml:space="preserve">    FASTDOL            ACM</v>
          </cell>
          <cell r="D2228">
            <v>9158</v>
          </cell>
          <cell r="E2228">
            <v>10460</v>
          </cell>
        </row>
        <row r="2229">
          <cell r="C2229" t="str">
            <v xml:space="preserve">    FEVEDOL            D-I</v>
          </cell>
          <cell r="D2229">
            <v>5384</v>
          </cell>
          <cell r="E2229">
            <v>4954</v>
          </cell>
        </row>
        <row r="2230">
          <cell r="C2230" t="str">
            <v xml:space="preserve">    RENOVA T           OPI</v>
          </cell>
          <cell r="D2230">
            <v>3141</v>
          </cell>
          <cell r="E2230">
            <v>4631</v>
          </cell>
        </row>
        <row r="2231">
          <cell r="C2231" t="str">
            <v xml:space="preserve">    NOVODOL            OR/</v>
          </cell>
          <cell r="D2231">
            <v>1829</v>
          </cell>
          <cell r="E2231">
            <v>2020</v>
          </cell>
        </row>
        <row r="2232">
          <cell r="C2232" t="str">
            <v xml:space="preserve">    DOLCETA            RD7</v>
          </cell>
          <cell r="D2232">
            <v>1794</v>
          </cell>
          <cell r="E2232">
            <v>1614</v>
          </cell>
        </row>
        <row r="2233">
          <cell r="C2233" t="str">
            <v xml:space="preserve">    P-DOL              PPH</v>
          </cell>
          <cell r="D2233">
            <v>1374</v>
          </cell>
          <cell r="E2233">
            <v>1668</v>
          </cell>
        </row>
        <row r="2234">
          <cell r="C2234" t="str">
            <v xml:space="preserve">    ACETRAM            SQA</v>
          </cell>
          <cell r="D2234">
            <v>1293</v>
          </cell>
          <cell r="E2234">
            <v>28110</v>
          </cell>
        </row>
        <row r="2235">
          <cell r="C2235" t="str">
            <v xml:space="preserve">    TRD-P              MMH</v>
          </cell>
          <cell r="D2235">
            <v>920</v>
          </cell>
          <cell r="E2235">
            <v>1224</v>
          </cell>
        </row>
        <row r="2236">
          <cell r="C2236" t="str">
            <v xml:space="preserve">    SYNDOL PLUS        HT3</v>
          </cell>
          <cell r="D2236">
            <v>322</v>
          </cell>
          <cell r="E2236">
            <v>191</v>
          </cell>
        </row>
        <row r="2237">
          <cell r="C2237" t="str">
            <v xml:space="preserve">    XCEL-MAX           A-I</v>
          </cell>
          <cell r="D2237">
            <v>230</v>
          </cell>
          <cell r="E2237">
            <v>152</v>
          </cell>
        </row>
        <row r="2238">
          <cell r="C2238" t="str">
            <v xml:space="preserve">    ACETA-T            BP&amp;</v>
          </cell>
          <cell r="D2238">
            <v>33</v>
          </cell>
          <cell r="E2238">
            <v>101</v>
          </cell>
        </row>
        <row r="2239">
          <cell r="C2239" t="str">
            <v xml:space="preserve">    PYREDOL            D&amp;B</v>
          </cell>
          <cell r="D2239">
            <v>0</v>
          </cell>
          <cell r="E2239">
            <v>42</v>
          </cell>
        </row>
        <row r="2240">
          <cell r="C2240" t="str">
            <v xml:space="preserve">    TRACET             OPI</v>
          </cell>
          <cell r="D2240">
            <v>0</v>
          </cell>
          <cell r="E2240">
            <v>0</v>
          </cell>
        </row>
        <row r="2241">
          <cell r="C2241" t="str">
            <v xml:space="preserve">    TRAMP              GNR</v>
          </cell>
          <cell r="D2241">
            <v>0</v>
          </cell>
          <cell r="E2241">
            <v>39</v>
          </cell>
        </row>
        <row r="2242">
          <cell r="C2242" t="str">
            <v xml:space="preserve">    ALKAFEN            N8V</v>
          </cell>
          <cell r="D2242">
            <v>0</v>
          </cell>
          <cell r="E2242">
            <v>0</v>
          </cell>
        </row>
        <row r="2243">
          <cell r="C2243" t="str">
            <v xml:space="preserve">    NORDOL             NVW</v>
          </cell>
          <cell r="D2243">
            <v>0</v>
          </cell>
          <cell r="E2243">
            <v>0</v>
          </cell>
        </row>
        <row r="2244">
          <cell r="C2244" t="str">
            <v xml:space="preserve">    TAMENOL            ESF</v>
          </cell>
          <cell r="D2244">
            <v>0</v>
          </cell>
          <cell r="E2244">
            <v>0</v>
          </cell>
        </row>
        <row r="2245">
          <cell r="C2245" t="str">
            <v xml:space="preserve">    FAPDOL             BAC</v>
          </cell>
          <cell r="D2245">
            <v>0</v>
          </cell>
          <cell r="E2245">
            <v>0</v>
          </cell>
        </row>
        <row r="2246">
          <cell r="C2246" t="str">
            <v xml:space="preserve">    DOLORAN PLUS       SDZ</v>
          </cell>
          <cell r="D2246">
            <v>0</v>
          </cell>
          <cell r="E2246">
            <v>0</v>
          </cell>
        </row>
        <row r="2247">
          <cell r="C2247" t="str">
            <v xml:space="preserve">    TACSDOL            R7G</v>
          </cell>
          <cell r="D2247">
            <v>0</v>
          </cell>
          <cell r="E2247">
            <v>0</v>
          </cell>
        </row>
        <row r="2248">
          <cell r="C2248" t="str">
            <v xml:space="preserve">   TRAMADOL</v>
          </cell>
          <cell r="D2248">
            <v>480093</v>
          </cell>
          <cell r="E2248">
            <v>420784</v>
          </cell>
        </row>
        <row r="2249">
          <cell r="C2249" t="str">
            <v xml:space="preserve">    ANADOL             SQA</v>
          </cell>
          <cell r="D2249">
            <v>232489</v>
          </cell>
          <cell r="E2249">
            <v>187230</v>
          </cell>
        </row>
        <row r="2250">
          <cell r="C2250" t="str">
            <v xml:space="preserve">    UTRAMAL            UNH</v>
          </cell>
          <cell r="D2250">
            <v>208361</v>
          </cell>
          <cell r="E2250">
            <v>191446</v>
          </cell>
        </row>
        <row r="2251">
          <cell r="C2251" t="str">
            <v xml:space="preserve">    TRD-CONTIN         MMH</v>
          </cell>
          <cell r="D2251">
            <v>35511</v>
          </cell>
          <cell r="E2251">
            <v>37246</v>
          </cell>
        </row>
        <row r="2252">
          <cell r="C2252" t="str">
            <v xml:space="preserve">    TRANAL             OPI</v>
          </cell>
          <cell r="D2252">
            <v>2265</v>
          </cell>
          <cell r="E2252">
            <v>2988</v>
          </cell>
        </row>
        <row r="2253">
          <cell r="C2253" t="str">
            <v xml:space="preserve">    WINPAIN            IAP</v>
          </cell>
          <cell r="D2253">
            <v>798</v>
          </cell>
          <cell r="E2253">
            <v>1529</v>
          </cell>
        </row>
        <row r="2254">
          <cell r="C2254" t="str">
            <v xml:space="preserve">    KINGDOL            D-I</v>
          </cell>
          <cell r="D2254">
            <v>358</v>
          </cell>
          <cell r="E2254">
            <v>174</v>
          </cell>
        </row>
        <row r="2255">
          <cell r="C2255" t="str">
            <v xml:space="preserve">    SYNDOL             HT3</v>
          </cell>
          <cell r="D2255">
            <v>272</v>
          </cell>
          <cell r="E2255">
            <v>149</v>
          </cell>
        </row>
        <row r="2256">
          <cell r="C2256" t="str">
            <v xml:space="preserve">    TRUMEN             GNR</v>
          </cell>
          <cell r="D2256">
            <v>39</v>
          </cell>
          <cell r="E2256">
            <v>22</v>
          </cell>
        </row>
        <row r="2257">
          <cell r="C2257" t="str">
            <v xml:space="preserve">    DOLORAN            SDZ</v>
          </cell>
          <cell r="D2257">
            <v>0</v>
          </cell>
          <cell r="E2257">
            <v>0</v>
          </cell>
        </row>
        <row r="2258">
          <cell r="C2258" t="str">
            <v xml:space="preserve">    DOLOREX            BP&amp;</v>
          </cell>
          <cell r="D2258">
            <v>0</v>
          </cell>
          <cell r="E2258">
            <v>0</v>
          </cell>
        </row>
        <row r="2259">
          <cell r="C2259" t="str">
            <v xml:space="preserve">    IMADOL             D&amp;B</v>
          </cell>
          <cell r="D2259">
            <v>0</v>
          </cell>
          <cell r="E2259">
            <v>0</v>
          </cell>
        </row>
        <row r="2260">
          <cell r="C2260" t="str">
            <v xml:space="preserve">    LUCIDOL            BXM</v>
          </cell>
          <cell r="D2260">
            <v>0</v>
          </cell>
          <cell r="E2260">
            <v>0</v>
          </cell>
        </row>
        <row r="2261">
          <cell r="C2261" t="str">
            <v xml:space="preserve">    RAPIDOL            RTA</v>
          </cell>
          <cell r="D2261">
            <v>0</v>
          </cell>
          <cell r="E2261">
            <v>0</v>
          </cell>
        </row>
        <row r="2262">
          <cell r="C2262" t="str">
            <v xml:space="preserve">    TRADOL             T2D</v>
          </cell>
          <cell r="D2262">
            <v>0</v>
          </cell>
          <cell r="E2262">
            <v>0</v>
          </cell>
        </row>
        <row r="2263">
          <cell r="C2263" t="str">
            <v xml:space="preserve">    TRAMAL             GRT</v>
          </cell>
          <cell r="D2263">
            <v>0</v>
          </cell>
          <cell r="E2263">
            <v>0</v>
          </cell>
        </row>
        <row r="2264">
          <cell r="C2264" t="str">
            <v xml:space="preserve">    XTRAPEL            BAC</v>
          </cell>
          <cell r="D2264">
            <v>0</v>
          </cell>
          <cell r="E2264">
            <v>0</v>
          </cell>
        </row>
        <row r="2265">
          <cell r="C2265" t="str">
            <v xml:space="preserve">   MEFENAMIC ACID</v>
          </cell>
          <cell r="D2265">
            <v>43920</v>
          </cell>
          <cell r="E2265">
            <v>43463</v>
          </cell>
        </row>
        <row r="2266">
          <cell r="C2266" t="str">
            <v xml:space="preserve">    DYSMEN             RTA</v>
          </cell>
          <cell r="D2266">
            <v>24198</v>
          </cell>
          <cell r="E2266">
            <v>11024</v>
          </cell>
        </row>
        <row r="2267">
          <cell r="C2267" t="str">
            <v xml:space="preserve">    HPR                PAC</v>
          </cell>
          <cell r="D2267">
            <v>18616</v>
          </cell>
          <cell r="E2267">
            <v>29620</v>
          </cell>
        </row>
        <row r="2268">
          <cell r="C2268" t="str">
            <v xml:space="preserve">    FLAMIC             GBE</v>
          </cell>
          <cell r="D2268">
            <v>1090</v>
          </cell>
          <cell r="E2268">
            <v>2792</v>
          </cell>
        </row>
        <row r="2269">
          <cell r="C2269" t="str">
            <v xml:space="preserve">    MEFALGIN           CSC</v>
          </cell>
          <cell r="D2269">
            <v>16</v>
          </cell>
          <cell r="E2269">
            <v>0</v>
          </cell>
        </row>
        <row r="2270">
          <cell r="C2270" t="str">
            <v xml:space="preserve">    AMIFEN             OPI</v>
          </cell>
          <cell r="D2270">
            <v>0</v>
          </cell>
          <cell r="E2270">
            <v>27</v>
          </cell>
        </row>
        <row r="2271">
          <cell r="C2271" t="str">
            <v xml:space="preserve">   ORPHENADRINE+PARACETAMOL</v>
          </cell>
          <cell r="D2271">
            <v>10460</v>
          </cell>
          <cell r="E2271">
            <v>11818</v>
          </cell>
        </row>
        <row r="2272">
          <cell r="C2272" t="str">
            <v xml:space="preserve">    PANGESIC           RTA</v>
          </cell>
          <cell r="D2272">
            <v>10460</v>
          </cell>
          <cell r="E2272">
            <v>11818</v>
          </cell>
        </row>
        <row r="2273">
          <cell r="C2273" t="str">
            <v xml:space="preserve">   TOLFENAMIC ACID</v>
          </cell>
          <cell r="D2273">
            <v>7454</v>
          </cell>
          <cell r="E2273">
            <v>8247</v>
          </cell>
        </row>
        <row r="2274">
          <cell r="C2274" t="str">
            <v xml:space="preserve">    MIGESIC            RTA</v>
          </cell>
          <cell r="D2274">
            <v>3847</v>
          </cell>
          <cell r="E2274">
            <v>4277</v>
          </cell>
        </row>
        <row r="2275">
          <cell r="C2275" t="str">
            <v xml:space="preserve">    TOLFORT            HT3</v>
          </cell>
          <cell r="D2275">
            <v>3301</v>
          </cell>
          <cell r="E2275">
            <v>3100</v>
          </cell>
        </row>
        <row r="2276">
          <cell r="C2276" t="str">
            <v xml:space="preserve">    TOFIX              TMH</v>
          </cell>
          <cell r="D2276">
            <v>306</v>
          </cell>
          <cell r="E2276">
            <v>871</v>
          </cell>
        </row>
        <row r="2277">
          <cell r="C2277" t="str">
            <v xml:space="preserve">    X-TOL              NVK</v>
          </cell>
          <cell r="D2277">
            <v>0</v>
          </cell>
          <cell r="E2277">
            <v>0</v>
          </cell>
        </row>
        <row r="2278">
          <cell r="C2278" t="str">
            <v xml:space="preserve">   NALBUPHINE</v>
          </cell>
          <cell r="D2278">
            <v>7338</v>
          </cell>
          <cell r="E2278">
            <v>5922</v>
          </cell>
        </row>
        <row r="2279">
          <cell r="C2279" t="str">
            <v xml:space="preserve">    RALTROX            OPI</v>
          </cell>
          <cell r="D2279">
            <v>6926</v>
          </cell>
          <cell r="E2279">
            <v>5750</v>
          </cell>
        </row>
        <row r="2280">
          <cell r="C2280" t="str">
            <v xml:space="preserve">    NABULEX            GNR</v>
          </cell>
          <cell r="D2280">
            <v>412</v>
          </cell>
          <cell r="E2280">
            <v>171</v>
          </cell>
        </row>
        <row r="2281">
          <cell r="C2281" t="str">
            <v xml:space="preserve">    RADIRIF            SQA</v>
          </cell>
          <cell r="D2281">
            <v>0</v>
          </cell>
          <cell r="E2281">
            <v>0</v>
          </cell>
        </row>
        <row r="2282">
          <cell r="C2282" t="str">
            <v xml:space="preserve">   ACETYLSALICYLIC ACID</v>
          </cell>
          <cell r="D2282">
            <v>1513</v>
          </cell>
          <cell r="E2282">
            <v>1186</v>
          </cell>
        </row>
        <row r="2283">
          <cell r="C2283" t="str">
            <v xml:space="preserve">    ECOSPRIN           ACM</v>
          </cell>
          <cell r="D2283">
            <v>1476</v>
          </cell>
          <cell r="E2283">
            <v>1182</v>
          </cell>
        </row>
        <row r="2284">
          <cell r="C2284" t="str">
            <v xml:space="preserve">    SOLRIN             OPI</v>
          </cell>
          <cell r="D2284">
            <v>37</v>
          </cell>
          <cell r="E2284">
            <v>4</v>
          </cell>
        </row>
        <row r="2285">
          <cell r="C2285" t="str">
            <v xml:space="preserve">    ASPRIN             ALO</v>
          </cell>
          <cell r="D2285">
            <v>0</v>
          </cell>
          <cell r="E2285">
            <v>0</v>
          </cell>
        </row>
        <row r="2286">
          <cell r="C2286" t="str">
            <v xml:space="preserve">   KETOPROFEN</v>
          </cell>
          <cell r="D2286">
            <v>339</v>
          </cell>
          <cell r="E2286">
            <v>308</v>
          </cell>
        </row>
        <row r="2287">
          <cell r="C2287" t="str">
            <v xml:space="preserve">    KETORIN            OR/</v>
          </cell>
          <cell r="D2287">
            <v>339</v>
          </cell>
          <cell r="E2287">
            <v>308</v>
          </cell>
        </row>
        <row r="2288">
          <cell r="C2288" t="str">
            <v xml:space="preserve">   METAMIZOLE SODIUM</v>
          </cell>
          <cell r="D2288">
            <v>164</v>
          </cell>
          <cell r="E2288">
            <v>750</v>
          </cell>
        </row>
        <row r="2289">
          <cell r="C2289" t="str">
            <v xml:space="preserve">    PYRALGIN           RTA</v>
          </cell>
          <cell r="D2289">
            <v>164</v>
          </cell>
          <cell r="E2289">
            <v>750</v>
          </cell>
        </row>
        <row r="2290">
          <cell r="C2290" t="str">
            <v xml:space="preserve">   PENTAZOCINE</v>
          </cell>
          <cell r="D2290">
            <v>58</v>
          </cell>
          <cell r="E2290">
            <v>1223</v>
          </cell>
        </row>
        <row r="2291">
          <cell r="C2291" t="str">
            <v xml:space="preserve">    PENTAZO            GNR</v>
          </cell>
          <cell r="D2291">
            <v>58</v>
          </cell>
          <cell r="E2291">
            <v>1131</v>
          </cell>
        </row>
        <row r="2292">
          <cell r="C2292" t="str">
            <v xml:space="preserve">    STOPAIN            BXM</v>
          </cell>
          <cell r="D2292">
            <v>0</v>
          </cell>
          <cell r="E2292">
            <v>92</v>
          </cell>
        </row>
        <row r="2293">
          <cell r="C2293" t="str">
            <v xml:space="preserve">   NEFOPAM</v>
          </cell>
          <cell r="D2293">
            <v>31</v>
          </cell>
          <cell r="E2293">
            <v>2</v>
          </cell>
        </row>
        <row r="2294">
          <cell r="C2294" t="str">
            <v xml:space="preserve">    ACUTEN             A-I</v>
          </cell>
          <cell r="D2294">
            <v>31</v>
          </cell>
          <cell r="E2294">
            <v>2</v>
          </cell>
        </row>
        <row r="2295">
          <cell r="C2295" t="str">
            <v xml:space="preserve">    EFOPAM             ESF</v>
          </cell>
          <cell r="D2295">
            <v>0</v>
          </cell>
          <cell r="E2295">
            <v>0</v>
          </cell>
        </row>
        <row r="2296">
          <cell r="C2296" t="str">
            <v xml:space="preserve">    XRIPA              SQA</v>
          </cell>
          <cell r="D2296">
            <v>0</v>
          </cell>
          <cell r="E2296">
            <v>0</v>
          </cell>
        </row>
        <row r="2297">
          <cell r="C2297" t="str">
            <v xml:space="preserve">   METHIONINE+PARACETAMOL</v>
          </cell>
          <cell r="D2297">
            <v>20</v>
          </cell>
          <cell r="E2297">
            <v>420</v>
          </cell>
        </row>
        <row r="2298">
          <cell r="C2298" t="str">
            <v xml:space="preserve">    FAST-M             ACM</v>
          </cell>
          <cell r="D2298">
            <v>20</v>
          </cell>
          <cell r="E2298">
            <v>402</v>
          </cell>
        </row>
        <row r="2299">
          <cell r="C2299" t="str">
            <v xml:space="preserve">    NAPA-SOFT          BXM</v>
          </cell>
          <cell r="D2299">
            <v>0</v>
          </cell>
          <cell r="E2299">
            <v>15</v>
          </cell>
        </row>
        <row r="2300">
          <cell r="C2300" t="str">
            <v xml:space="preserve">    RENOMET            OPI</v>
          </cell>
          <cell r="D2300">
            <v>0</v>
          </cell>
          <cell r="E2300">
            <v>4</v>
          </cell>
        </row>
        <row r="2301">
          <cell r="C2301" t="str">
            <v xml:space="preserve">    NORSOFT            NVW</v>
          </cell>
          <cell r="D2301">
            <v>0</v>
          </cell>
          <cell r="E2301">
            <v>0</v>
          </cell>
        </row>
        <row r="2302">
          <cell r="C2302" t="str">
            <v xml:space="preserve">    TAMEPRO            ESF</v>
          </cell>
          <cell r="D2302">
            <v>0</v>
          </cell>
          <cell r="E2302">
            <v>0</v>
          </cell>
        </row>
        <row r="2303">
          <cell r="C2303" t="str">
            <v xml:space="preserve">   IBUPROFEN</v>
          </cell>
          <cell r="D2303">
            <v>9</v>
          </cell>
          <cell r="E2303">
            <v>30</v>
          </cell>
        </row>
        <row r="2304">
          <cell r="C2304" t="str">
            <v xml:space="preserve">    PROFEN             EDR</v>
          </cell>
          <cell r="D2304">
            <v>9</v>
          </cell>
          <cell r="E2304">
            <v>16</v>
          </cell>
        </row>
        <row r="2305">
          <cell r="C2305" t="str">
            <v xml:space="preserve">    INFLAM             S.Y</v>
          </cell>
          <cell r="D2305">
            <v>0</v>
          </cell>
          <cell r="E2305">
            <v>0</v>
          </cell>
        </row>
        <row r="2306">
          <cell r="C2306" t="str">
            <v xml:space="preserve">    OPSOFEN            OPI</v>
          </cell>
          <cell r="D2306">
            <v>0</v>
          </cell>
          <cell r="E2306">
            <v>14</v>
          </cell>
        </row>
        <row r="2307">
          <cell r="C2307" t="str">
            <v xml:space="preserve">   INDOMETACIN</v>
          </cell>
          <cell r="D2307">
            <v>0</v>
          </cell>
          <cell r="E2307">
            <v>0</v>
          </cell>
        </row>
        <row r="2308">
          <cell r="C2308" t="str">
            <v xml:space="preserve">    IMET               MEN</v>
          </cell>
          <cell r="D2308">
            <v>0</v>
          </cell>
          <cell r="E2308">
            <v>0</v>
          </cell>
        </row>
        <row r="2309">
          <cell r="C2309" t="str">
            <v xml:space="preserve">   ACETYLSALICYLIC ACID+PARACETAMOL</v>
          </cell>
          <cell r="D2309">
            <v>0</v>
          </cell>
          <cell r="E2309">
            <v>0</v>
          </cell>
        </row>
        <row r="2310">
          <cell r="C2310" t="str">
            <v xml:space="preserve">    PARAPYRIN          U.M</v>
          </cell>
          <cell r="D2310">
            <v>0</v>
          </cell>
          <cell r="E2310">
            <v>0</v>
          </cell>
        </row>
        <row r="2311">
          <cell r="C2311" t="str">
            <v xml:space="preserve"> ANTIHISTAMINES SYSTEMIC</v>
          </cell>
          <cell r="D2311">
            <v>10295291</v>
          </cell>
          <cell r="E2311">
            <v>8930055</v>
          </cell>
        </row>
        <row r="2312">
          <cell r="C2312" t="str">
            <v xml:space="preserve">  ANTIHISTAMINES SYSTEMIC</v>
          </cell>
          <cell r="D2312">
            <v>10295291</v>
          </cell>
          <cell r="E2312">
            <v>8930055</v>
          </cell>
        </row>
        <row r="2313">
          <cell r="C2313" t="str">
            <v xml:space="preserve">   FEXOFENADINE</v>
          </cell>
          <cell r="D2313">
            <v>3475404</v>
          </cell>
          <cell r="E2313">
            <v>3159382</v>
          </cell>
        </row>
        <row r="2314">
          <cell r="C2314" t="str">
            <v xml:space="preserve">    FEXO               SQA</v>
          </cell>
          <cell r="D2314">
            <v>1699528</v>
          </cell>
          <cell r="E2314">
            <v>1557963</v>
          </cell>
        </row>
        <row r="2315">
          <cell r="C2315" t="str">
            <v xml:space="preserve">    FENADIN            RTA</v>
          </cell>
          <cell r="D2315">
            <v>816496</v>
          </cell>
          <cell r="E2315">
            <v>678561</v>
          </cell>
        </row>
        <row r="2316">
          <cell r="C2316" t="str">
            <v xml:space="preserve">    FIXAL              OPI</v>
          </cell>
          <cell r="D2316">
            <v>130278</v>
          </cell>
          <cell r="E2316">
            <v>118102</v>
          </cell>
        </row>
        <row r="2317">
          <cell r="C2317" t="str">
            <v xml:space="preserve">    FENOFEX            IAP</v>
          </cell>
          <cell r="D2317">
            <v>110166</v>
          </cell>
          <cell r="E2317">
            <v>79930</v>
          </cell>
        </row>
        <row r="2318">
          <cell r="C2318" t="str">
            <v xml:space="preserve">    FEXOFAST           D-I</v>
          </cell>
          <cell r="D2318">
            <v>106560</v>
          </cell>
          <cell r="E2318">
            <v>101250</v>
          </cell>
        </row>
        <row r="2319">
          <cell r="C2319" t="str">
            <v xml:space="preserve">    AXODIN             BXM</v>
          </cell>
          <cell r="D2319">
            <v>73194</v>
          </cell>
          <cell r="E2319">
            <v>56468</v>
          </cell>
        </row>
        <row r="2320">
          <cell r="C2320" t="str">
            <v xml:space="preserve">    TELFAST            S.Y</v>
          </cell>
          <cell r="D2320">
            <v>71797</v>
          </cell>
          <cell r="E2320">
            <v>61647</v>
          </cell>
        </row>
        <row r="2321">
          <cell r="C2321" t="str">
            <v xml:space="preserve">    VIFAS              HT3</v>
          </cell>
          <cell r="D2321">
            <v>60841</v>
          </cell>
          <cell r="E2321">
            <v>66746</v>
          </cell>
        </row>
        <row r="2322">
          <cell r="C2322" t="str">
            <v xml:space="preserve">    FASTEL             RD7</v>
          </cell>
          <cell r="D2322">
            <v>51418</v>
          </cell>
          <cell r="E2322">
            <v>53603</v>
          </cell>
        </row>
        <row r="2323">
          <cell r="C2323" t="str">
            <v xml:space="preserve">    DINAFEX            ESF</v>
          </cell>
          <cell r="D2323">
            <v>50063</v>
          </cell>
          <cell r="E2323">
            <v>63130</v>
          </cell>
        </row>
        <row r="2324">
          <cell r="C2324" t="str">
            <v xml:space="preserve">    RITCH              A-I</v>
          </cell>
          <cell r="D2324">
            <v>46171</v>
          </cell>
          <cell r="E2324">
            <v>44564</v>
          </cell>
        </row>
        <row r="2325">
          <cell r="C2325" t="str">
            <v xml:space="preserve">    ALANIL             ACM</v>
          </cell>
          <cell r="D2325">
            <v>42213</v>
          </cell>
          <cell r="E2325">
            <v>37572</v>
          </cell>
        </row>
        <row r="2326">
          <cell r="C2326" t="str">
            <v xml:space="preserve">    FEXOMIN            IBN</v>
          </cell>
          <cell r="D2326">
            <v>32872</v>
          </cell>
          <cell r="E2326">
            <v>34825</v>
          </cell>
        </row>
        <row r="2327">
          <cell r="C2327" t="str">
            <v xml:space="preserve">    FEXORAL            PPH</v>
          </cell>
          <cell r="D2327">
            <v>30704</v>
          </cell>
          <cell r="E2327">
            <v>24320</v>
          </cell>
        </row>
        <row r="2328">
          <cell r="C2328" t="str">
            <v xml:space="preserve">    FONDY              NUV</v>
          </cell>
          <cell r="D2328">
            <v>21008</v>
          </cell>
          <cell r="E2328">
            <v>15076</v>
          </cell>
        </row>
        <row r="2329">
          <cell r="C2329" t="str">
            <v xml:space="preserve">    AFEXA              UNH</v>
          </cell>
          <cell r="D2329">
            <v>19246</v>
          </cell>
          <cell r="E2329">
            <v>10362</v>
          </cell>
        </row>
        <row r="2330">
          <cell r="C2330" t="str">
            <v xml:space="preserve">    AXOFEN             ATP</v>
          </cell>
          <cell r="D2330">
            <v>18736</v>
          </cell>
          <cell r="E2330">
            <v>21780</v>
          </cell>
        </row>
        <row r="2331">
          <cell r="C2331" t="str">
            <v xml:space="preserve">    SARDIN             LDB</v>
          </cell>
          <cell r="D2331">
            <v>16739</v>
          </cell>
          <cell r="E2331">
            <v>20733</v>
          </cell>
        </row>
        <row r="2332">
          <cell r="C2332" t="str">
            <v xml:space="preserve">    FEXOCOLD           D-B</v>
          </cell>
          <cell r="D2332">
            <v>12442</v>
          </cell>
          <cell r="E2332">
            <v>13117</v>
          </cell>
        </row>
        <row r="2333">
          <cell r="C2333" t="str">
            <v xml:space="preserve">    NOSEDEX            OR/</v>
          </cell>
          <cell r="D2333">
            <v>10628</v>
          </cell>
          <cell r="E2333">
            <v>11874</v>
          </cell>
        </row>
        <row r="2334">
          <cell r="C2334" t="str">
            <v xml:space="preserve">    ODAFEN             N8V</v>
          </cell>
          <cell r="D2334">
            <v>10143</v>
          </cell>
          <cell r="E2334">
            <v>16149</v>
          </cell>
        </row>
        <row r="2335">
          <cell r="C2335" t="str">
            <v xml:space="preserve">    PERFEX             BAC</v>
          </cell>
          <cell r="D2335">
            <v>7202</v>
          </cell>
          <cell r="E2335">
            <v>11544</v>
          </cell>
        </row>
        <row r="2336">
          <cell r="C2336" t="str">
            <v xml:space="preserve">    DELFEX             D&amp;B</v>
          </cell>
          <cell r="D2336">
            <v>5156</v>
          </cell>
          <cell r="E2336">
            <v>13131</v>
          </cell>
        </row>
        <row r="2337">
          <cell r="C2337" t="str">
            <v xml:space="preserve">    FEXONA             GBE</v>
          </cell>
          <cell r="D2337">
            <v>3749</v>
          </cell>
          <cell r="E2337">
            <v>9382</v>
          </cell>
        </row>
        <row r="2338">
          <cell r="C2338" t="str">
            <v xml:space="preserve">    FEXODIN            PAC</v>
          </cell>
          <cell r="D2338">
            <v>3622</v>
          </cell>
          <cell r="E2338">
            <v>5678</v>
          </cell>
        </row>
        <row r="2339">
          <cell r="C2339" t="str">
            <v xml:space="preserve">    TELFEX             P-S</v>
          </cell>
          <cell r="D2339">
            <v>3568</v>
          </cell>
          <cell r="E2339">
            <v>4294</v>
          </cell>
        </row>
        <row r="2340">
          <cell r="C2340" t="str">
            <v xml:space="preserve">    ALERFAST           BP&amp;</v>
          </cell>
          <cell r="D2340">
            <v>3151</v>
          </cell>
          <cell r="E2340">
            <v>5622</v>
          </cell>
        </row>
        <row r="2341">
          <cell r="C2341" t="str">
            <v xml:space="preserve">    FEXTEN             NJP</v>
          </cell>
          <cell r="D2341">
            <v>2952</v>
          </cell>
          <cell r="E2341">
            <v>3601</v>
          </cell>
        </row>
        <row r="2342">
          <cell r="C2342" t="str">
            <v xml:space="preserve">    FEXOFEN            S&amp;O</v>
          </cell>
          <cell r="D2342">
            <v>2678</v>
          </cell>
          <cell r="E2342">
            <v>4788</v>
          </cell>
        </row>
        <row r="2343">
          <cell r="C2343" t="str">
            <v xml:space="preserve">    TELFADIN           ONA</v>
          </cell>
          <cell r="D2343">
            <v>2144</v>
          </cell>
          <cell r="E2343">
            <v>3029</v>
          </cell>
        </row>
        <row r="2344">
          <cell r="C2344" t="str">
            <v xml:space="preserve">    ALERFEX            KUM</v>
          </cell>
          <cell r="D2344">
            <v>2090</v>
          </cell>
          <cell r="E2344">
            <v>2013</v>
          </cell>
        </row>
        <row r="2345">
          <cell r="C2345" t="str">
            <v xml:space="preserve">    FENOX              S-C</v>
          </cell>
          <cell r="D2345">
            <v>1804</v>
          </cell>
          <cell r="E2345">
            <v>833</v>
          </cell>
        </row>
        <row r="2346">
          <cell r="C2346" t="str">
            <v xml:space="preserve">    ALAGRA             A.P</v>
          </cell>
          <cell r="D2346">
            <v>1665</v>
          </cell>
          <cell r="E2346">
            <v>887</v>
          </cell>
        </row>
        <row r="2347">
          <cell r="C2347" t="str">
            <v xml:space="preserve">    FEXOSUN            SPI</v>
          </cell>
          <cell r="D2347">
            <v>1211</v>
          </cell>
          <cell r="E2347">
            <v>0</v>
          </cell>
        </row>
        <row r="2348">
          <cell r="C2348" t="str">
            <v xml:space="preserve">    ALAFREE            AX.</v>
          </cell>
          <cell r="D2348">
            <v>757</v>
          </cell>
          <cell r="E2348">
            <v>544</v>
          </cell>
        </row>
        <row r="2349">
          <cell r="C2349" t="str">
            <v xml:space="preserve">    FEXOCON            CC/</v>
          </cell>
          <cell r="D2349">
            <v>549</v>
          </cell>
          <cell r="E2349">
            <v>1310</v>
          </cell>
        </row>
        <row r="2350">
          <cell r="C2350" t="str">
            <v xml:space="preserve">    FIXEN              SH0</v>
          </cell>
          <cell r="D2350">
            <v>506</v>
          </cell>
          <cell r="E2350">
            <v>412</v>
          </cell>
        </row>
        <row r="2351">
          <cell r="C2351" t="str">
            <v xml:space="preserve">    RINOFEN            J&amp;H</v>
          </cell>
          <cell r="D2351">
            <v>387</v>
          </cell>
          <cell r="E2351">
            <v>1164</v>
          </cell>
        </row>
        <row r="2352">
          <cell r="C2352" t="str">
            <v xml:space="preserve">    SIFENA             SV6</v>
          </cell>
          <cell r="D2352">
            <v>293</v>
          </cell>
          <cell r="E2352">
            <v>399</v>
          </cell>
        </row>
        <row r="2353">
          <cell r="C2353" t="str">
            <v xml:space="preserve">    FEXONAAF           NAF</v>
          </cell>
          <cell r="D2353">
            <v>220</v>
          </cell>
          <cell r="E2353">
            <v>220</v>
          </cell>
        </row>
        <row r="2354">
          <cell r="C2354" t="str">
            <v xml:space="preserve">    FEXOBEST           GD2</v>
          </cell>
          <cell r="D2354">
            <v>139</v>
          </cell>
          <cell r="E2354">
            <v>1217</v>
          </cell>
        </row>
        <row r="2355">
          <cell r="C2355" t="str">
            <v xml:space="preserve">    RYNOFEX            AMD</v>
          </cell>
          <cell r="D2355">
            <v>93</v>
          </cell>
          <cell r="E2355">
            <v>0</v>
          </cell>
        </row>
        <row r="2356">
          <cell r="C2356" t="str">
            <v xml:space="preserve">    X-DIN              BNP</v>
          </cell>
          <cell r="D2356">
            <v>83</v>
          </cell>
          <cell r="E2356">
            <v>181</v>
          </cell>
        </row>
        <row r="2357">
          <cell r="C2357" t="str">
            <v xml:space="preserve">    FEXON              A-H</v>
          </cell>
          <cell r="D2357">
            <v>59</v>
          </cell>
          <cell r="E2357">
            <v>140</v>
          </cell>
        </row>
        <row r="2358">
          <cell r="C2358" t="str">
            <v xml:space="preserve">    XOFAST             AD0</v>
          </cell>
          <cell r="D2358">
            <v>31</v>
          </cell>
          <cell r="E2358">
            <v>17</v>
          </cell>
        </row>
        <row r="2359">
          <cell r="C2359" t="str">
            <v xml:space="preserve">    FURIA              NVK</v>
          </cell>
          <cell r="D2359">
            <v>15</v>
          </cell>
          <cell r="E2359">
            <v>0</v>
          </cell>
        </row>
        <row r="2360">
          <cell r="C2360" t="str">
            <v xml:space="preserve">    FEXOTAB            VPM</v>
          </cell>
          <cell r="D2360">
            <v>13</v>
          </cell>
          <cell r="E2360">
            <v>172</v>
          </cell>
        </row>
        <row r="2361">
          <cell r="C2361" t="str">
            <v xml:space="preserve">    FEGRA              CHM</v>
          </cell>
          <cell r="D2361">
            <v>13</v>
          </cell>
          <cell r="E2361">
            <v>19</v>
          </cell>
        </row>
        <row r="2362">
          <cell r="C2362" t="str">
            <v xml:space="preserve">    RAFEX              TMH</v>
          </cell>
          <cell r="D2362">
            <v>6</v>
          </cell>
          <cell r="E2362">
            <v>43</v>
          </cell>
        </row>
        <row r="2363">
          <cell r="C2363" t="str">
            <v xml:space="preserve">    XOFENA             A/L</v>
          </cell>
          <cell r="D2363">
            <v>3</v>
          </cell>
          <cell r="E2363">
            <v>17</v>
          </cell>
        </row>
        <row r="2364">
          <cell r="C2364" t="str">
            <v xml:space="preserve">    ELFEXO             LOP</v>
          </cell>
          <cell r="D2364">
            <v>0</v>
          </cell>
          <cell r="E2364">
            <v>0</v>
          </cell>
        </row>
        <row r="2365">
          <cell r="C2365" t="str">
            <v xml:space="preserve">    NOLARGY            EDR</v>
          </cell>
          <cell r="D2365">
            <v>0</v>
          </cell>
          <cell r="E2365">
            <v>0</v>
          </cell>
        </row>
        <row r="2366">
          <cell r="C2366" t="str">
            <v xml:space="preserve">    ALFEX              MED</v>
          </cell>
          <cell r="D2366">
            <v>0</v>
          </cell>
          <cell r="E2366">
            <v>951</v>
          </cell>
        </row>
        <row r="2367">
          <cell r="C2367" t="str">
            <v xml:space="preserve">    XOFEDIN            AMT</v>
          </cell>
          <cell r="D2367">
            <v>0</v>
          </cell>
          <cell r="E2367">
            <v>0</v>
          </cell>
        </row>
        <row r="2368">
          <cell r="C2368" t="str">
            <v xml:space="preserve">    SB FEXEC           SBD</v>
          </cell>
          <cell r="D2368">
            <v>0</v>
          </cell>
          <cell r="E2368">
            <v>0</v>
          </cell>
        </row>
        <row r="2369">
          <cell r="C2369" t="str">
            <v xml:space="preserve">   BILASTINE</v>
          </cell>
          <cell r="D2369">
            <v>2194992</v>
          </cell>
          <cell r="E2369">
            <v>1555126</v>
          </cell>
        </row>
        <row r="2370">
          <cell r="C2370" t="str">
            <v xml:space="preserve">    BILTIN             ESF</v>
          </cell>
          <cell r="D2370">
            <v>497874</v>
          </cell>
          <cell r="E2370">
            <v>336400</v>
          </cell>
        </row>
        <row r="2371">
          <cell r="C2371" t="str">
            <v xml:space="preserve">    BILASTIN           PPH</v>
          </cell>
          <cell r="D2371">
            <v>441037</v>
          </cell>
          <cell r="E2371">
            <v>332698</v>
          </cell>
        </row>
        <row r="2372">
          <cell r="C2372" t="str">
            <v xml:space="preserve">    BILLI              BXM</v>
          </cell>
          <cell r="D2372">
            <v>221235</v>
          </cell>
          <cell r="E2372">
            <v>163247</v>
          </cell>
        </row>
        <row r="2373">
          <cell r="C2373" t="str">
            <v xml:space="preserve">    BILAN              ACM</v>
          </cell>
          <cell r="D2373">
            <v>164455</v>
          </cell>
          <cell r="E2373">
            <v>124594</v>
          </cell>
        </row>
        <row r="2374">
          <cell r="C2374" t="str">
            <v xml:space="preserve">    BELTAS             OPI</v>
          </cell>
          <cell r="D2374">
            <v>154338</v>
          </cell>
          <cell r="E2374">
            <v>40357</v>
          </cell>
        </row>
        <row r="2375">
          <cell r="C2375" t="str">
            <v xml:space="preserve">    BILFAST            NJP</v>
          </cell>
          <cell r="D2375">
            <v>148534</v>
          </cell>
          <cell r="E2375">
            <v>113734</v>
          </cell>
        </row>
        <row r="2376">
          <cell r="C2376" t="str">
            <v xml:space="preserve">    BILISTA            SQA</v>
          </cell>
          <cell r="D2376">
            <v>140628</v>
          </cell>
          <cell r="E2376">
            <v>110052</v>
          </cell>
        </row>
        <row r="2377">
          <cell r="C2377" t="str">
            <v xml:space="preserve">    ZILAS              HT3</v>
          </cell>
          <cell r="D2377">
            <v>88463</v>
          </cell>
          <cell r="E2377">
            <v>82364</v>
          </cell>
        </row>
        <row r="2378">
          <cell r="C2378" t="str">
            <v xml:space="preserve">    TINABIL            IAP</v>
          </cell>
          <cell r="D2378">
            <v>65876</v>
          </cell>
          <cell r="E2378">
            <v>56443</v>
          </cell>
        </row>
        <row r="2379">
          <cell r="C2379" t="str">
            <v xml:space="preserve">    ALLERTIN           N8V</v>
          </cell>
          <cell r="D2379">
            <v>50511</v>
          </cell>
          <cell r="E2379">
            <v>41022</v>
          </cell>
        </row>
        <row r="2380">
          <cell r="C2380" t="str">
            <v xml:space="preserve">    MYLASTIN           D-I</v>
          </cell>
          <cell r="D2380">
            <v>36066</v>
          </cell>
          <cell r="E2380">
            <v>36180</v>
          </cell>
        </row>
        <row r="2381">
          <cell r="C2381" t="str">
            <v xml:space="preserve">    OPEXA              RTA</v>
          </cell>
          <cell r="D2381">
            <v>33976</v>
          </cell>
          <cell r="E2381">
            <v>4222</v>
          </cell>
        </row>
        <row r="2382">
          <cell r="C2382" t="str">
            <v xml:space="preserve">    BILAMIN            IBN</v>
          </cell>
          <cell r="D2382">
            <v>27273</v>
          </cell>
          <cell r="E2382">
            <v>28984</v>
          </cell>
        </row>
        <row r="2383">
          <cell r="C2383" t="str">
            <v xml:space="preserve">    BILANEX            BAC</v>
          </cell>
          <cell r="D2383">
            <v>25254</v>
          </cell>
          <cell r="E2383">
            <v>12611</v>
          </cell>
        </row>
        <row r="2384">
          <cell r="C2384" t="str">
            <v xml:space="preserve">    FIXTAT             RD7</v>
          </cell>
          <cell r="D2384">
            <v>17628</v>
          </cell>
          <cell r="E2384">
            <v>5403</v>
          </cell>
        </row>
        <row r="2385">
          <cell r="C2385" t="str">
            <v xml:space="preserve">    BILATIS            LDB</v>
          </cell>
          <cell r="D2385">
            <v>16567</v>
          </cell>
          <cell r="E2385">
            <v>6568</v>
          </cell>
        </row>
        <row r="2386">
          <cell r="C2386" t="str">
            <v xml:space="preserve">    BILARGO            ZIS</v>
          </cell>
          <cell r="D2386">
            <v>14556</v>
          </cell>
          <cell r="E2386">
            <v>14786</v>
          </cell>
        </row>
        <row r="2387">
          <cell r="C2387" t="str">
            <v xml:space="preserve">    BILAHIST           UNH</v>
          </cell>
          <cell r="D2387">
            <v>13282</v>
          </cell>
          <cell r="E2387">
            <v>4007</v>
          </cell>
        </row>
        <row r="2388">
          <cell r="C2388" t="str">
            <v xml:space="preserve">    BILXEN             EVR</v>
          </cell>
          <cell r="D2388">
            <v>12178</v>
          </cell>
          <cell r="E2388">
            <v>15054</v>
          </cell>
        </row>
        <row r="2389">
          <cell r="C2389" t="str">
            <v xml:space="preserve">    BYLOZA             NUV</v>
          </cell>
          <cell r="D2389">
            <v>10080</v>
          </cell>
          <cell r="E2389">
            <v>11005</v>
          </cell>
        </row>
        <row r="2390">
          <cell r="C2390" t="str">
            <v xml:space="preserve">    BISLOR             OR/</v>
          </cell>
          <cell r="D2390">
            <v>6272</v>
          </cell>
          <cell r="E2390">
            <v>8653</v>
          </cell>
        </row>
        <row r="2391">
          <cell r="C2391" t="str">
            <v xml:space="preserve">    BILASI             TMH</v>
          </cell>
          <cell r="D2391">
            <v>3419</v>
          </cell>
          <cell r="E2391">
            <v>3459</v>
          </cell>
        </row>
        <row r="2392">
          <cell r="C2392" t="str">
            <v xml:space="preserve">    BILBEST            ONA</v>
          </cell>
          <cell r="D2392">
            <v>3288</v>
          </cell>
          <cell r="E2392">
            <v>0</v>
          </cell>
        </row>
        <row r="2393">
          <cell r="C2393" t="str">
            <v xml:space="preserve">    BILAMIN-KIDS       IBN</v>
          </cell>
          <cell r="D2393">
            <v>1490</v>
          </cell>
          <cell r="E2393">
            <v>0</v>
          </cell>
        </row>
        <row r="2394">
          <cell r="C2394" t="str">
            <v xml:space="preserve">    BLAST              GNR</v>
          </cell>
          <cell r="D2394">
            <v>710</v>
          </cell>
          <cell r="E2394">
            <v>3281</v>
          </cell>
        </row>
        <row r="2395">
          <cell r="C2395" t="str">
            <v xml:space="preserve">   CETIRIZINE</v>
          </cell>
          <cell r="D2395">
            <v>1340307</v>
          </cell>
          <cell r="E2395">
            <v>1152928</v>
          </cell>
        </row>
        <row r="2396">
          <cell r="C2396" t="str">
            <v xml:space="preserve">    ALATROL            SQA</v>
          </cell>
          <cell r="D2396">
            <v>1011547</v>
          </cell>
          <cell r="E2396">
            <v>851381</v>
          </cell>
        </row>
        <row r="2397">
          <cell r="C2397" t="str">
            <v xml:space="preserve">    ATRIZIN            BXM</v>
          </cell>
          <cell r="D2397">
            <v>107907</v>
          </cell>
          <cell r="E2397">
            <v>92367</v>
          </cell>
        </row>
        <row r="2398">
          <cell r="C2398" t="str">
            <v xml:space="preserve">    RHINIL             ATP</v>
          </cell>
          <cell r="D2398">
            <v>67800</v>
          </cell>
          <cell r="E2398">
            <v>56517</v>
          </cell>
        </row>
        <row r="2399">
          <cell r="C2399" t="str">
            <v xml:space="preserve">    RIZ                OR/</v>
          </cell>
          <cell r="D2399">
            <v>43320</v>
          </cell>
          <cell r="E2399">
            <v>47765</v>
          </cell>
        </row>
        <row r="2400">
          <cell r="C2400" t="str">
            <v xml:space="preserve">    ACITRIN            A-I</v>
          </cell>
          <cell r="D2400">
            <v>26778</v>
          </cell>
          <cell r="E2400">
            <v>24725</v>
          </cell>
        </row>
        <row r="2401">
          <cell r="C2401" t="str">
            <v xml:space="preserve">    CITIN              OPI</v>
          </cell>
          <cell r="D2401">
            <v>22773</v>
          </cell>
          <cell r="E2401">
            <v>17908</v>
          </cell>
        </row>
        <row r="2402">
          <cell r="C2402" t="str">
            <v xml:space="preserve">    ARCET              NJP</v>
          </cell>
          <cell r="D2402">
            <v>19261</v>
          </cell>
          <cell r="E2402">
            <v>21509</v>
          </cell>
        </row>
        <row r="2403">
          <cell r="C2403" t="str">
            <v xml:space="preserve">    CETISOFT           ACM</v>
          </cell>
          <cell r="D2403">
            <v>10160</v>
          </cell>
          <cell r="E2403">
            <v>8766</v>
          </cell>
        </row>
        <row r="2404">
          <cell r="C2404" t="str">
            <v xml:space="preserve">    CETRIN             D-I</v>
          </cell>
          <cell r="D2404">
            <v>9048</v>
          </cell>
          <cell r="E2404">
            <v>594</v>
          </cell>
        </row>
        <row r="2405">
          <cell r="C2405" t="str">
            <v xml:space="preserve">    CETIZIN            ACM</v>
          </cell>
          <cell r="D2405">
            <v>5921</v>
          </cell>
          <cell r="E2405">
            <v>4958</v>
          </cell>
        </row>
        <row r="2406">
          <cell r="C2406" t="str">
            <v xml:space="preserve">    CTZ                D&amp;B</v>
          </cell>
          <cell r="D2406">
            <v>5471</v>
          </cell>
          <cell r="E2406">
            <v>7551</v>
          </cell>
        </row>
        <row r="2407">
          <cell r="C2407" t="str">
            <v xml:space="preserve">    ONTIN              ESF</v>
          </cell>
          <cell r="D2407">
            <v>3710</v>
          </cell>
          <cell r="E2407">
            <v>4318</v>
          </cell>
        </row>
        <row r="2408">
          <cell r="C2408" t="str">
            <v xml:space="preserve">    NOSEMIN            IBN</v>
          </cell>
          <cell r="D2408">
            <v>3518</v>
          </cell>
          <cell r="E2408">
            <v>4092</v>
          </cell>
        </row>
        <row r="2409">
          <cell r="C2409" t="str">
            <v xml:space="preserve">    ADTRIZIN           TMH</v>
          </cell>
          <cell r="D2409">
            <v>652</v>
          </cell>
          <cell r="E2409">
            <v>2709</v>
          </cell>
        </row>
        <row r="2410">
          <cell r="C2410" t="str">
            <v xml:space="preserve">    CEZIN              MED</v>
          </cell>
          <cell r="D2410">
            <v>591</v>
          </cell>
          <cell r="E2410">
            <v>308</v>
          </cell>
        </row>
        <row r="2411">
          <cell r="C2411" t="str">
            <v xml:space="preserve">    SARCET             WTH</v>
          </cell>
          <cell r="D2411">
            <v>335</v>
          </cell>
          <cell r="E2411">
            <v>1416</v>
          </cell>
        </row>
        <row r="2412">
          <cell r="C2412" t="str">
            <v xml:space="preserve">    ETIZIN             EDR</v>
          </cell>
          <cell r="D2412">
            <v>335</v>
          </cell>
          <cell r="E2412">
            <v>2533</v>
          </cell>
        </row>
        <row r="2413">
          <cell r="C2413" t="str">
            <v xml:space="preserve">    ACTIZEN            AMB</v>
          </cell>
          <cell r="D2413">
            <v>318</v>
          </cell>
          <cell r="E2413">
            <v>422</v>
          </cell>
        </row>
        <row r="2414">
          <cell r="C2414" t="str">
            <v xml:space="preserve">    PROCET             S&amp;O</v>
          </cell>
          <cell r="D2414">
            <v>202</v>
          </cell>
          <cell r="E2414">
            <v>453</v>
          </cell>
        </row>
        <row r="2415">
          <cell r="C2415" t="str">
            <v xml:space="preserve">    CZ                 NVK</v>
          </cell>
          <cell r="D2415">
            <v>180</v>
          </cell>
          <cell r="E2415">
            <v>0</v>
          </cell>
        </row>
        <row r="2416">
          <cell r="C2416" t="str">
            <v xml:space="preserve">    ALAT               PMI</v>
          </cell>
          <cell r="D2416">
            <v>58</v>
          </cell>
          <cell r="E2416">
            <v>1471</v>
          </cell>
        </row>
        <row r="2417">
          <cell r="C2417" t="str">
            <v xml:space="preserve">    ALARGOL            ETH</v>
          </cell>
          <cell r="D2417">
            <v>57</v>
          </cell>
          <cell r="E2417">
            <v>3</v>
          </cell>
        </row>
        <row r="2418">
          <cell r="C2418" t="str">
            <v xml:space="preserve">    ORGY               KUM</v>
          </cell>
          <cell r="D2418">
            <v>54</v>
          </cell>
          <cell r="E2418">
            <v>178</v>
          </cell>
        </row>
        <row r="2419">
          <cell r="C2419" t="str">
            <v xml:space="preserve">    SARTEC             R7G</v>
          </cell>
          <cell r="D2419">
            <v>46</v>
          </cell>
          <cell r="E2419">
            <v>32</v>
          </cell>
        </row>
        <row r="2420">
          <cell r="C2420" t="str">
            <v xml:space="preserve">    DYNO               RPH</v>
          </cell>
          <cell r="D2420">
            <v>38</v>
          </cell>
          <cell r="E2420">
            <v>63</v>
          </cell>
        </row>
        <row r="2421">
          <cell r="C2421" t="str">
            <v xml:space="preserve">    CETRIL             CHM</v>
          </cell>
          <cell r="D2421">
            <v>37</v>
          </cell>
          <cell r="E2421">
            <v>1</v>
          </cell>
        </row>
        <row r="2422">
          <cell r="C2422" t="str">
            <v xml:space="preserve">    ALENIL             ESF</v>
          </cell>
          <cell r="D2422">
            <v>28</v>
          </cell>
          <cell r="E2422">
            <v>99</v>
          </cell>
        </row>
        <row r="2423">
          <cell r="C2423" t="str">
            <v xml:space="preserve">    TIZ                EMA</v>
          </cell>
          <cell r="D2423">
            <v>27</v>
          </cell>
          <cell r="E2423">
            <v>140</v>
          </cell>
        </row>
        <row r="2424">
          <cell r="C2424" t="str">
            <v xml:space="preserve">    DYZIN              AIC</v>
          </cell>
          <cell r="D2424">
            <v>26</v>
          </cell>
          <cell r="E2424">
            <v>75</v>
          </cell>
        </row>
        <row r="2425">
          <cell r="C2425" t="str">
            <v xml:space="preserve">    TRIN               GBE</v>
          </cell>
          <cell r="D2425">
            <v>22</v>
          </cell>
          <cell r="E2425">
            <v>100</v>
          </cell>
        </row>
        <row r="2426">
          <cell r="C2426" t="str">
            <v xml:space="preserve">    MOSET              MO6</v>
          </cell>
          <cell r="D2426">
            <v>22</v>
          </cell>
          <cell r="E2426">
            <v>0</v>
          </cell>
        </row>
        <row r="2427">
          <cell r="C2427" t="str">
            <v xml:space="preserve">    TRIZIN             N8V</v>
          </cell>
          <cell r="D2427">
            <v>19</v>
          </cell>
          <cell r="E2427">
            <v>103</v>
          </cell>
        </row>
        <row r="2428">
          <cell r="C2428" t="str">
            <v xml:space="preserve">    CELOZIN            LOP</v>
          </cell>
          <cell r="D2428">
            <v>14</v>
          </cell>
          <cell r="E2428">
            <v>0</v>
          </cell>
        </row>
        <row r="2429">
          <cell r="C2429" t="str">
            <v xml:space="preserve">    SILATROL           S6C</v>
          </cell>
          <cell r="D2429">
            <v>12</v>
          </cell>
          <cell r="E2429">
            <v>91</v>
          </cell>
        </row>
        <row r="2430">
          <cell r="C2430" t="str">
            <v xml:space="preserve">    PROLER             HMK</v>
          </cell>
          <cell r="D2430">
            <v>12</v>
          </cell>
          <cell r="E2430">
            <v>49</v>
          </cell>
        </row>
        <row r="2431">
          <cell r="C2431" t="str">
            <v xml:space="preserve">    SENTROL            GD2</v>
          </cell>
          <cell r="D2431">
            <v>7</v>
          </cell>
          <cell r="E2431">
            <v>67</v>
          </cell>
        </row>
        <row r="2432">
          <cell r="C2432" t="str">
            <v xml:space="preserve">    ALLERNIL           KMP</v>
          </cell>
          <cell r="D2432">
            <v>2</v>
          </cell>
          <cell r="E2432">
            <v>0</v>
          </cell>
        </row>
        <row r="2433">
          <cell r="C2433" t="str">
            <v xml:space="preserve">    ADTRIZIN           A2C</v>
          </cell>
          <cell r="D2433">
            <v>0</v>
          </cell>
          <cell r="E2433">
            <v>0</v>
          </cell>
        </row>
        <row r="2434">
          <cell r="C2434" t="str">
            <v xml:space="preserve">    ALAREX             PPH</v>
          </cell>
          <cell r="D2434">
            <v>0</v>
          </cell>
          <cell r="E2434">
            <v>0</v>
          </cell>
        </row>
        <row r="2435">
          <cell r="C2435" t="str">
            <v xml:space="preserve">    ACETRIN            RM2</v>
          </cell>
          <cell r="D2435">
            <v>0</v>
          </cell>
          <cell r="E2435">
            <v>0</v>
          </cell>
        </row>
        <row r="2436">
          <cell r="C2436" t="str">
            <v xml:space="preserve">    ANTRIN             CPH</v>
          </cell>
          <cell r="D2436">
            <v>0</v>
          </cell>
          <cell r="E2436">
            <v>0</v>
          </cell>
        </row>
        <row r="2437">
          <cell r="C2437" t="str">
            <v xml:space="preserve">    ASITROL            A/L</v>
          </cell>
          <cell r="D2437">
            <v>0</v>
          </cell>
          <cell r="E2437">
            <v>0</v>
          </cell>
        </row>
        <row r="2438">
          <cell r="C2438" t="str">
            <v xml:space="preserve">    CETRIZET           SPI</v>
          </cell>
          <cell r="D2438">
            <v>0</v>
          </cell>
          <cell r="E2438">
            <v>0</v>
          </cell>
        </row>
        <row r="2439">
          <cell r="C2439" t="str">
            <v xml:space="preserve">    CETZIN             CSC</v>
          </cell>
          <cell r="D2439">
            <v>0</v>
          </cell>
          <cell r="E2439">
            <v>0</v>
          </cell>
        </row>
        <row r="2440">
          <cell r="C2440" t="str">
            <v xml:space="preserve">    CITROL             RAS</v>
          </cell>
          <cell r="D2440">
            <v>0</v>
          </cell>
          <cell r="E2440">
            <v>0</v>
          </cell>
        </row>
        <row r="2441">
          <cell r="C2441" t="str">
            <v xml:space="preserve">    CITROL             JAL</v>
          </cell>
          <cell r="D2441">
            <v>0</v>
          </cell>
          <cell r="E2441">
            <v>0</v>
          </cell>
        </row>
        <row r="2442">
          <cell r="C2442" t="str">
            <v xml:space="preserve">    CIZIN              NIP</v>
          </cell>
          <cell r="D2442">
            <v>0</v>
          </cell>
          <cell r="E2442">
            <v>0</v>
          </cell>
        </row>
        <row r="2443">
          <cell r="C2443" t="str">
            <v xml:space="preserve">    HISTACET           MDM</v>
          </cell>
          <cell r="D2443">
            <v>0</v>
          </cell>
          <cell r="E2443">
            <v>0</v>
          </cell>
        </row>
        <row r="2444">
          <cell r="C2444" t="str">
            <v xml:space="preserve">    NOLER              A.P</v>
          </cell>
          <cell r="D2444">
            <v>0</v>
          </cell>
          <cell r="E2444">
            <v>13</v>
          </cell>
        </row>
        <row r="2445">
          <cell r="C2445" t="str">
            <v xml:space="preserve">    RIZIN              GCO</v>
          </cell>
          <cell r="D2445">
            <v>0</v>
          </cell>
          <cell r="E2445">
            <v>0</v>
          </cell>
        </row>
        <row r="2446">
          <cell r="C2446" t="str">
            <v xml:space="preserve">    ZYRTEC             DSH</v>
          </cell>
          <cell r="D2446">
            <v>0</v>
          </cell>
          <cell r="E2446">
            <v>0</v>
          </cell>
        </row>
        <row r="2447">
          <cell r="C2447" t="str">
            <v xml:space="preserve">    ALATIN             CC/</v>
          </cell>
          <cell r="D2447">
            <v>0</v>
          </cell>
          <cell r="E2447">
            <v>48</v>
          </cell>
        </row>
        <row r="2448">
          <cell r="C2448" t="str">
            <v xml:space="preserve">    SB CETIZ           SBD</v>
          </cell>
          <cell r="D2448">
            <v>0</v>
          </cell>
          <cell r="E2448">
            <v>0</v>
          </cell>
        </row>
        <row r="2449">
          <cell r="C2449" t="str">
            <v xml:space="preserve">    CETRIZ             A-H</v>
          </cell>
          <cell r="D2449">
            <v>0</v>
          </cell>
          <cell r="E2449">
            <v>104</v>
          </cell>
        </row>
        <row r="2450">
          <cell r="C2450" t="str">
            <v xml:space="preserve">   RUPATADINE</v>
          </cell>
          <cell r="D2450">
            <v>1068886</v>
          </cell>
          <cell r="E2450">
            <v>1101133</v>
          </cell>
        </row>
        <row r="2451">
          <cell r="C2451" t="str">
            <v xml:space="preserve">    RUPA               ATP</v>
          </cell>
          <cell r="D2451">
            <v>584064</v>
          </cell>
          <cell r="E2451">
            <v>565536</v>
          </cell>
        </row>
        <row r="2452">
          <cell r="C2452" t="str">
            <v xml:space="preserve">    RUPADIN            BAC</v>
          </cell>
          <cell r="D2452">
            <v>113464</v>
          </cell>
          <cell r="E2452">
            <v>148912</v>
          </cell>
        </row>
        <row r="2453">
          <cell r="C2453" t="str">
            <v xml:space="preserve">    RUPIN              ZIS</v>
          </cell>
          <cell r="D2453">
            <v>95212</v>
          </cell>
          <cell r="E2453">
            <v>112610</v>
          </cell>
        </row>
        <row r="2454">
          <cell r="C2454" t="str">
            <v xml:space="preserve">    ROSELA             HT3</v>
          </cell>
          <cell r="D2454">
            <v>48561</v>
          </cell>
          <cell r="E2454">
            <v>37672</v>
          </cell>
        </row>
        <row r="2455">
          <cell r="C2455" t="str">
            <v xml:space="preserve">    MINISTA            RD7</v>
          </cell>
          <cell r="D2455">
            <v>43051</v>
          </cell>
          <cell r="E2455">
            <v>33953</v>
          </cell>
        </row>
        <row r="2456">
          <cell r="C2456" t="str">
            <v xml:space="preserve">    DUVENT             BXM</v>
          </cell>
          <cell r="D2456">
            <v>42178</v>
          </cell>
          <cell r="E2456">
            <v>45785</v>
          </cell>
        </row>
        <row r="2457">
          <cell r="C2457" t="str">
            <v xml:space="preserve">    RUPEX              IAP</v>
          </cell>
          <cell r="D2457">
            <v>35251</v>
          </cell>
          <cell r="E2457">
            <v>28081</v>
          </cell>
        </row>
        <row r="2458">
          <cell r="C2458" t="str">
            <v xml:space="preserve">    DIPA               D-I</v>
          </cell>
          <cell r="D2458">
            <v>27242</v>
          </cell>
          <cell r="E2458">
            <v>28158</v>
          </cell>
        </row>
        <row r="2459">
          <cell r="C2459" t="str">
            <v xml:space="preserve">    RUPATROL           SQA</v>
          </cell>
          <cell r="D2459">
            <v>16888</v>
          </cell>
          <cell r="E2459">
            <v>19558</v>
          </cell>
        </row>
        <row r="2460">
          <cell r="C2460" t="str">
            <v xml:space="preserve">    STARK              RTA</v>
          </cell>
          <cell r="D2460">
            <v>10296</v>
          </cell>
          <cell r="E2460">
            <v>4697</v>
          </cell>
        </row>
        <row r="2461">
          <cell r="C2461" t="str">
            <v xml:space="preserve">    RUPA AID           LDB</v>
          </cell>
          <cell r="D2461">
            <v>8414</v>
          </cell>
          <cell r="E2461">
            <v>11697</v>
          </cell>
        </row>
        <row r="2462">
          <cell r="C2462" t="str">
            <v xml:space="preserve">    RUPAMINE           IBN</v>
          </cell>
          <cell r="D2462">
            <v>8028</v>
          </cell>
          <cell r="E2462">
            <v>8592</v>
          </cell>
        </row>
        <row r="2463">
          <cell r="C2463" t="str">
            <v xml:space="preserve">    URTINEX            EVR</v>
          </cell>
          <cell r="D2463">
            <v>5808</v>
          </cell>
          <cell r="E2463">
            <v>8506</v>
          </cell>
        </row>
        <row r="2464">
          <cell r="C2464" t="str">
            <v xml:space="preserve">    ALARUP             PPH</v>
          </cell>
          <cell r="D2464">
            <v>5333</v>
          </cell>
          <cell r="E2464">
            <v>3529</v>
          </cell>
        </row>
        <row r="2465">
          <cell r="C2465" t="str">
            <v xml:space="preserve">    LARGIX             A-I</v>
          </cell>
          <cell r="D2465">
            <v>5143</v>
          </cell>
          <cell r="E2465">
            <v>6712</v>
          </cell>
        </row>
        <row r="2466">
          <cell r="C2466" t="str">
            <v xml:space="preserve">    RUFAST             OPI</v>
          </cell>
          <cell r="D2466">
            <v>4552</v>
          </cell>
          <cell r="E2466">
            <v>8058</v>
          </cell>
        </row>
        <row r="2467">
          <cell r="C2467" t="str">
            <v xml:space="preserve">    RUPENTA            OR/</v>
          </cell>
          <cell r="D2467">
            <v>3367</v>
          </cell>
          <cell r="E2467">
            <v>5031</v>
          </cell>
        </row>
        <row r="2468">
          <cell r="C2468" t="str">
            <v xml:space="preserve">    RUPADAY            ESF</v>
          </cell>
          <cell r="D2468">
            <v>3012</v>
          </cell>
          <cell r="E2468">
            <v>1878</v>
          </cell>
        </row>
        <row r="2469">
          <cell r="C2469" t="str">
            <v xml:space="preserve">    RUPANEX            SH0</v>
          </cell>
          <cell r="D2469">
            <v>2115</v>
          </cell>
          <cell r="E2469">
            <v>872</v>
          </cell>
        </row>
        <row r="2470">
          <cell r="C2470" t="str">
            <v xml:space="preserve">    RUPOMA             GNR</v>
          </cell>
          <cell r="D2470">
            <v>1241</v>
          </cell>
          <cell r="E2470">
            <v>10690</v>
          </cell>
        </row>
        <row r="2471">
          <cell r="C2471" t="str">
            <v xml:space="preserve">    RUMAR              D-B</v>
          </cell>
          <cell r="D2471">
            <v>1215</v>
          </cell>
          <cell r="E2471">
            <v>1932</v>
          </cell>
        </row>
        <row r="2472">
          <cell r="C2472" t="str">
            <v xml:space="preserve">    EXALIN             OS9</v>
          </cell>
          <cell r="D2472">
            <v>1154</v>
          </cell>
          <cell r="E2472">
            <v>1850</v>
          </cell>
        </row>
        <row r="2473">
          <cell r="C2473" t="str">
            <v xml:space="preserve">    RUFECTA            BP&amp;</v>
          </cell>
          <cell r="D2473">
            <v>1081</v>
          </cell>
          <cell r="E2473">
            <v>2575</v>
          </cell>
        </row>
        <row r="2474">
          <cell r="C2474" t="str">
            <v xml:space="preserve">    RUPAHIST           UNH</v>
          </cell>
          <cell r="D2474">
            <v>946</v>
          </cell>
          <cell r="E2474">
            <v>1821</v>
          </cell>
        </row>
        <row r="2475">
          <cell r="C2475" t="str">
            <v xml:space="preserve">    NERUPA             TMH</v>
          </cell>
          <cell r="D2475">
            <v>780</v>
          </cell>
          <cell r="E2475">
            <v>777</v>
          </cell>
        </row>
        <row r="2476">
          <cell r="C2476" t="str">
            <v xml:space="preserve">    RUPATID            NJP</v>
          </cell>
          <cell r="D2476">
            <v>475</v>
          </cell>
          <cell r="E2476">
            <v>1591</v>
          </cell>
        </row>
        <row r="2477">
          <cell r="C2477" t="str">
            <v xml:space="preserve">    RUPAXEN            NVK</v>
          </cell>
          <cell r="D2477">
            <v>15</v>
          </cell>
          <cell r="E2477">
            <v>0</v>
          </cell>
        </row>
        <row r="2478">
          <cell r="C2478" t="str">
            <v xml:space="preserve">    PAFTROL            N8V</v>
          </cell>
          <cell r="D2478">
            <v>0</v>
          </cell>
          <cell r="E2478">
            <v>0</v>
          </cell>
        </row>
        <row r="2479">
          <cell r="C2479" t="str">
            <v xml:space="preserve">    RUPASTIN           ACM</v>
          </cell>
          <cell r="D2479">
            <v>0</v>
          </cell>
          <cell r="E2479">
            <v>0</v>
          </cell>
        </row>
        <row r="2480">
          <cell r="C2480" t="str">
            <v xml:space="preserve">    RUPASTAR           LOP</v>
          </cell>
          <cell r="D2480">
            <v>0</v>
          </cell>
          <cell r="E2480">
            <v>0</v>
          </cell>
        </row>
        <row r="2481">
          <cell r="C2481" t="str">
            <v xml:space="preserve">    RUPAFEN            S&amp;O</v>
          </cell>
          <cell r="D2481">
            <v>0</v>
          </cell>
          <cell r="E2481">
            <v>0</v>
          </cell>
        </row>
        <row r="2482">
          <cell r="C2482" t="str">
            <v xml:space="preserve">    RUPALER            A.P</v>
          </cell>
          <cell r="D2482">
            <v>0</v>
          </cell>
          <cell r="E2482">
            <v>35</v>
          </cell>
        </row>
        <row r="2483">
          <cell r="C2483" t="str">
            <v xml:space="preserve">    RUNAR              P-S</v>
          </cell>
          <cell r="D2483">
            <v>0</v>
          </cell>
          <cell r="E2483">
            <v>25</v>
          </cell>
        </row>
        <row r="2484">
          <cell r="C2484" t="str">
            <v xml:space="preserve">   LEVOCETIRIZINE</v>
          </cell>
          <cell r="D2484">
            <v>957002</v>
          </cell>
          <cell r="E2484">
            <v>838054</v>
          </cell>
        </row>
        <row r="2485">
          <cell r="C2485" t="str">
            <v xml:space="preserve">    ALCET              HT3</v>
          </cell>
          <cell r="D2485">
            <v>865351</v>
          </cell>
          <cell r="E2485">
            <v>763413</v>
          </cell>
        </row>
        <row r="2486">
          <cell r="C2486" t="str">
            <v xml:space="preserve">    SEASONIX           IAP</v>
          </cell>
          <cell r="D2486">
            <v>72908</v>
          </cell>
          <cell r="E2486">
            <v>62883</v>
          </cell>
        </row>
        <row r="2487">
          <cell r="C2487" t="str">
            <v xml:space="preserve">    NETIS              OPI</v>
          </cell>
          <cell r="D2487">
            <v>7999</v>
          </cell>
          <cell r="E2487">
            <v>6885</v>
          </cell>
        </row>
        <row r="2488">
          <cell r="C2488" t="str">
            <v xml:space="preserve">    CLARIGEN           D-I</v>
          </cell>
          <cell r="D2488">
            <v>7605</v>
          </cell>
          <cell r="E2488">
            <v>1117</v>
          </cell>
        </row>
        <row r="2489">
          <cell r="C2489" t="str">
            <v xml:space="preserve">    ACITRIN-L          A-I</v>
          </cell>
          <cell r="D2489">
            <v>1505</v>
          </cell>
          <cell r="E2489">
            <v>1354</v>
          </cell>
        </row>
        <row r="2490">
          <cell r="C2490" t="str">
            <v xml:space="preserve">    RINOTIN            BP&amp;</v>
          </cell>
          <cell r="D2490">
            <v>1196</v>
          </cell>
          <cell r="E2490">
            <v>1111</v>
          </cell>
        </row>
        <row r="2491">
          <cell r="C2491" t="str">
            <v xml:space="preserve">    RINOCET            J&amp;H</v>
          </cell>
          <cell r="D2491">
            <v>223</v>
          </cell>
          <cell r="E2491">
            <v>703</v>
          </cell>
        </row>
        <row r="2492">
          <cell r="C2492" t="str">
            <v xml:space="preserve">    VERIZIN            SH0</v>
          </cell>
          <cell r="D2492">
            <v>117</v>
          </cell>
          <cell r="E2492">
            <v>87</v>
          </cell>
        </row>
        <row r="2493">
          <cell r="C2493" t="str">
            <v xml:space="preserve">    LEVOREX            PPH</v>
          </cell>
          <cell r="D2493">
            <v>47</v>
          </cell>
          <cell r="E2493">
            <v>0</v>
          </cell>
        </row>
        <row r="2494">
          <cell r="C2494" t="str">
            <v xml:space="preserve">    POLAN              GBE</v>
          </cell>
          <cell r="D2494">
            <v>29</v>
          </cell>
          <cell r="E2494">
            <v>42</v>
          </cell>
        </row>
        <row r="2495">
          <cell r="C2495" t="str">
            <v xml:space="preserve">    LECET              PAC</v>
          </cell>
          <cell r="D2495">
            <v>23</v>
          </cell>
          <cell r="E2495">
            <v>172</v>
          </cell>
        </row>
        <row r="2496">
          <cell r="C2496" t="str">
            <v xml:space="preserve">    CURIN              BXM</v>
          </cell>
          <cell r="D2496">
            <v>0</v>
          </cell>
          <cell r="E2496">
            <v>172</v>
          </cell>
        </row>
        <row r="2497">
          <cell r="C2497" t="str">
            <v xml:space="preserve">    LEVOCET            A.P</v>
          </cell>
          <cell r="D2497">
            <v>0</v>
          </cell>
          <cell r="E2497">
            <v>20</v>
          </cell>
        </row>
        <row r="2498">
          <cell r="C2498" t="str">
            <v xml:space="preserve">    LINGIN             SDZ</v>
          </cell>
          <cell r="D2498">
            <v>0</v>
          </cell>
          <cell r="E2498">
            <v>0</v>
          </cell>
        </row>
        <row r="2499">
          <cell r="C2499" t="str">
            <v xml:space="preserve">    LOZIN              KMP</v>
          </cell>
          <cell r="D2499">
            <v>0</v>
          </cell>
          <cell r="E2499">
            <v>0</v>
          </cell>
        </row>
        <row r="2500">
          <cell r="C2500" t="str">
            <v xml:space="preserve">    MEGATROL           PP-</v>
          </cell>
          <cell r="D2500">
            <v>0</v>
          </cell>
          <cell r="E2500">
            <v>0</v>
          </cell>
        </row>
        <row r="2501">
          <cell r="C2501" t="str">
            <v xml:space="preserve">    PUROTROL           SQA</v>
          </cell>
          <cell r="D2501">
            <v>0</v>
          </cell>
          <cell r="E2501">
            <v>0</v>
          </cell>
        </row>
        <row r="2502">
          <cell r="C2502" t="str">
            <v xml:space="preserve">    SINACET            IBN</v>
          </cell>
          <cell r="D2502">
            <v>0</v>
          </cell>
          <cell r="E2502">
            <v>26</v>
          </cell>
        </row>
        <row r="2503">
          <cell r="C2503" t="str">
            <v xml:space="preserve">    LVC                NVK</v>
          </cell>
          <cell r="D2503">
            <v>0</v>
          </cell>
          <cell r="E2503">
            <v>67</v>
          </cell>
        </row>
        <row r="2504">
          <cell r="C2504" t="str">
            <v xml:space="preserve">    LEVOTIZ            EMA</v>
          </cell>
          <cell r="D2504">
            <v>0</v>
          </cell>
          <cell r="E2504">
            <v>0</v>
          </cell>
        </row>
        <row r="2505">
          <cell r="C2505" t="str">
            <v xml:space="preserve">   DESLORATADINE</v>
          </cell>
          <cell r="D2505">
            <v>325331</v>
          </cell>
          <cell r="E2505">
            <v>282437</v>
          </cell>
        </row>
        <row r="2506">
          <cell r="C2506" t="str">
            <v xml:space="preserve">    DESLOR             OR/</v>
          </cell>
          <cell r="D2506">
            <v>251086</v>
          </cell>
          <cell r="E2506">
            <v>219177</v>
          </cell>
        </row>
        <row r="2507">
          <cell r="C2507" t="str">
            <v xml:space="preserve">    DESATROL           N8V</v>
          </cell>
          <cell r="D2507">
            <v>23788</v>
          </cell>
          <cell r="E2507">
            <v>19765</v>
          </cell>
        </row>
        <row r="2508">
          <cell r="C2508" t="str">
            <v xml:space="preserve">    NEOCILOR           IAP</v>
          </cell>
          <cell r="D2508">
            <v>21002</v>
          </cell>
          <cell r="E2508">
            <v>13315</v>
          </cell>
        </row>
        <row r="2509">
          <cell r="C2509" t="str">
            <v xml:space="preserve">    ASLOR              D-I</v>
          </cell>
          <cell r="D2509">
            <v>12362</v>
          </cell>
          <cell r="E2509">
            <v>13697</v>
          </cell>
        </row>
        <row r="2510">
          <cell r="C2510" t="str">
            <v xml:space="preserve">    DESTIN             UNH</v>
          </cell>
          <cell r="D2510">
            <v>6261</v>
          </cell>
          <cell r="E2510">
            <v>6483</v>
          </cell>
        </row>
        <row r="2511">
          <cell r="C2511" t="str">
            <v xml:space="preserve">    MOMENTO            BXM</v>
          </cell>
          <cell r="D2511">
            <v>4061</v>
          </cell>
          <cell r="E2511">
            <v>3385</v>
          </cell>
        </row>
        <row r="2512">
          <cell r="C2512" t="str">
            <v xml:space="preserve">    DES                OPI</v>
          </cell>
          <cell r="D2512">
            <v>2741</v>
          </cell>
          <cell r="E2512">
            <v>2285</v>
          </cell>
        </row>
        <row r="2513">
          <cell r="C2513" t="str">
            <v xml:space="preserve">    DESLORIN           A-I</v>
          </cell>
          <cell r="D2513">
            <v>1027</v>
          </cell>
          <cell r="E2513">
            <v>1035</v>
          </cell>
        </row>
        <row r="2514">
          <cell r="C2514" t="str">
            <v xml:space="preserve">    DELOT              AX.</v>
          </cell>
          <cell r="D2514">
            <v>939</v>
          </cell>
          <cell r="E2514">
            <v>200</v>
          </cell>
        </row>
        <row r="2515">
          <cell r="C2515" t="str">
            <v xml:space="preserve">    DESOTEM            TMH</v>
          </cell>
          <cell r="D2515">
            <v>559</v>
          </cell>
          <cell r="E2515">
            <v>966</v>
          </cell>
        </row>
        <row r="2516">
          <cell r="C2516" t="str">
            <v xml:space="preserve">    DELOSIA            P-S</v>
          </cell>
          <cell r="D2516">
            <v>433</v>
          </cell>
          <cell r="E2516">
            <v>250</v>
          </cell>
        </row>
        <row r="2517">
          <cell r="C2517" t="str">
            <v xml:space="preserve">    DESLONA            GBE</v>
          </cell>
          <cell r="D2517">
            <v>353</v>
          </cell>
          <cell r="E2517">
            <v>61</v>
          </cell>
        </row>
        <row r="2518">
          <cell r="C2518" t="str">
            <v xml:space="preserve">    SEDNO              SQA</v>
          </cell>
          <cell r="D2518">
            <v>305</v>
          </cell>
          <cell r="E2518">
            <v>665</v>
          </cell>
        </row>
        <row r="2519">
          <cell r="C2519" t="str">
            <v xml:space="preserve">    ALERTADIN          BAC</v>
          </cell>
          <cell r="D2519">
            <v>197</v>
          </cell>
          <cell r="E2519">
            <v>523</v>
          </cell>
        </row>
        <row r="2520">
          <cell r="C2520" t="str">
            <v xml:space="preserve">    DESODIN            ESF</v>
          </cell>
          <cell r="D2520">
            <v>111</v>
          </cell>
          <cell r="E2520">
            <v>109</v>
          </cell>
        </row>
        <row r="2521">
          <cell r="C2521" t="str">
            <v xml:space="preserve">    DESTACIN           R7G</v>
          </cell>
          <cell r="D2521">
            <v>53</v>
          </cell>
          <cell r="E2521">
            <v>276</v>
          </cell>
        </row>
        <row r="2522">
          <cell r="C2522" t="str">
            <v xml:space="preserve">    SARINEX            D&amp;B</v>
          </cell>
          <cell r="D2522">
            <v>48</v>
          </cell>
          <cell r="E2522">
            <v>108</v>
          </cell>
        </row>
        <row r="2523">
          <cell r="C2523" t="str">
            <v xml:space="preserve">    DELORIN            P6Y</v>
          </cell>
          <cell r="D2523">
            <v>4</v>
          </cell>
          <cell r="E2523">
            <v>0</v>
          </cell>
        </row>
        <row r="2524">
          <cell r="C2524" t="str">
            <v xml:space="preserve">    DERAT              PAC</v>
          </cell>
          <cell r="D2524">
            <v>2</v>
          </cell>
          <cell r="E2524">
            <v>115</v>
          </cell>
        </row>
        <row r="2525">
          <cell r="C2525" t="str">
            <v xml:space="preserve">    DEEN               KMP</v>
          </cell>
          <cell r="D2525">
            <v>0</v>
          </cell>
          <cell r="E2525">
            <v>0</v>
          </cell>
        </row>
        <row r="2526">
          <cell r="C2526" t="str">
            <v xml:space="preserve">    DORA               MY6</v>
          </cell>
          <cell r="D2526">
            <v>0</v>
          </cell>
          <cell r="E2526">
            <v>1</v>
          </cell>
        </row>
        <row r="2527">
          <cell r="C2527" t="str">
            <v xml:space="preserve">    ORINEX             ACM</v>
          </cell>
          <cell r="D2527">
            <v>0</v>
          </cell>
          <cell r="E2527">
            <v>0</v>
          </cell>
        </row>
        <row r="2528">
          <cell r="C2528" t="str">
            <v xml:space="preserve">    RELERGY            GNR</v>
          </cell>
          <cell r="D2528">
            <v>0</v>
          </cell>
          <cell r="E2528">
            <v>0</v>
          </cell>
        </row>
        <row r="2529">
          <cell r="C2529" t="str">
            <v xml:space="preserve">    DESLOSIL           S6C</v>
          </cell>
          <cell r="D2529">
            <v>0</v>
          </cell>
          <cell r="E2529">
            <v>21</v>
          </cell>
        </row>
        <row r="2530">
          <cell r="C2530" t="str">
            <v xml:space="preserve">    DELOTAD            NVK</v>
          </cell>
          <cell r="D2530">
            <v>0</v>
          </cell>
          <cell r="E2530">
            <v>0</v>
          </cell>
        </row>
        <row r="2531">
          <cell r="C2531" t="str">
            <v xml:space="preserve">    DESMIN             EMA</v>
          </cell>
          <cell r="D2531">
            <v>0</v>
          </cell>
          <cell r="E2531">
            <v>0</v>
          </cell>
        </row>
        <row r="2532">
          <cell r="C2532" t="str">
            <v xml:space="preserve">   EBASTINE</v>
          </cell>
          <cell r="D2532">
            <v>319790</v>
          </cell>
          <cell r="E2532">
            <v>264391</v>
          </cell>
        </row>
        <row r="2533">
          <cell r="C2533" t="str">
            <v xml:space="preserve">    EBATIN             PPH</v>
          </cell>
          <cell r="D2533">
            <v>253234</v>
          </cell>
          <cell r="E2533">
            <v>195183</v>
          </cell>
        </row>
        <row r="2534">
          <cell r="C2534" t="str">
            <v xml:space="preserve">    TEBAST             SQA</v>
          </cell>
          <cell r="D2534">
            <v>24788</v>
          </cell>
          <cell r="E2534">
            <v>25826</v>
          </cell>
        </row>
        <row r="2535">
          <cell r="C2535" t="str">
            <v xml:space="preserve">    EBASTEN            A-I</v>
          </cell>
          <cell r="D2535">
            <v>19752</v>
          </cell>
          <cell r="E2535">
            <v>18356</v>
          </cell>
        </row>
        <row r="2536">
          <cell r="C2536" t="str">
            <v xml:space="preserve">    EXLER              RD7</v>
          </cell>
          <cell r="D2536">
            <v>8261</v>
          </cell>
          <cell r="E2536">
            <v>7115</v>
          </cell>
        </row>
        <row r="2537">
          <cell r="C2537" t="str">
            <v xml:space="preserve">    EBANEX             OPI</v>
          </cell>
          <cell r="D2537">
            <v>4513</v>
          </cell>
          <cell r="E2537">
            <v>5743</v>
          </cell>
        </row>
        <row r="2538">
          <cell r="C2538" t="str">
            <v xml:space="preserve">    STIBA              ESF</v>
          </cell>
          <cell r="D2538">
            <v>4063</v>
          </cell>
          <cell r="E2538">
            <v>6542</v>
          </cell>
        </row>
        <row r="2539">
          <cell r="C2539" t="str">
            <v xml:space="preserve">    EBAMINE            IBN</v>
          </cell>
          <cell r="D2539">
            <v>2107</v>
          </cell>
          <cell r="E2539">
            <v>2691</v>
          </cell>
        </row>
        <row r="2540">
          <cell r="C2540" t="str">
            <v xml:space="preserve">    EBARIL             IAP</v>
          </cell>
          <cell r="D2540">
            <v>1297</v>
          </cell>
          <cell r="E2540">
            <v>903</v>
          </cell>
        </row>
        <row r="2541">
          <cell r="C2541" t="str">
            <v xml:space="preserve">    EBATROL            D&amp;B</v>
          </cell>
          <cell r="D2541">
            <v>668</v>
          </cell>
          <cell r="E2541">
            <v>732</v>
          </cell>
        </row>
        <row r="2542">
          <cell r="C2542" t="str">
            <v xml:space="preserve">    EBANIL             OS9</v>
          </cell>
          <cell r="D2542">
            <v>341</v>
          </cell>
          <cell r="E2542">
            <v>359</v>
          </cell>
        </row>
        <row r="2543">
          <cell r="C2543" t="str">
            <v xml:space="preserve">    NEOBASTIN          ONA</v>
          </cell>
          <cell r="D2543">
            <v>224</v>
          </cell>
          <cell r="E2543">
            <v>0</v>
          </cell>
        </row>
        <row r="2544">
          <cell r="C2544" t="str">
            <v xml:space="preserve">    RINOBAS            J&amp;H</v>
          </cell>
          <cell r="D2544">
            <v>202</v>
          </cell>
          <cell r="E2544">
            <v>709</v>
          </cell>
        </row>
        <row r="2545">
          <cell r="C2545" t="str">
            <v xml:space="preserve">    RHITIN             ACM</v>
          </cell>
          <cell r="D2545">
            <v>193</v>
          </cell>
          <cell r="E2545">
            <v>0</v>
          </cell>
        </row>
        <row r="2546">
          <cell r="C2546" t="str">
            <v xml:space="preserve">    ETEEN              EMA</v>
          </cell>
          <cell r="D2546">
            <v>78</v>
          </cell>
          <cell r="E2546">
            <v>138</v>
          </cell>
        </row>
        <row r="2547">
          <cell r="C2547" t="str">
            <v xml:space="preserve">    URTIN              D-I</v>
          </cell>
          <cell r="D2547">
            <v>70</v>
          </cell>
          <cell r="E2547">
            <v>0</v>
          </cell>
        </row>
        <row r="2548">
          <cell r="C2548" t="str">
            <v xml:space="preserve">    ALESTIN            NVW</v>
          </cell>
          <cell r="D2548">
            <v>0</v>
          </cell>
          <cell r="E2548">
            <v>0</v>
          </cell>
        </row>
        <row r="2549">
          <cell r="C2549" t="str">
            <v xml:space="preserve">    EBAHIST            GBE</v>
          </cell>
          <cell r="D2549">
            <v>0</v>
          </cell>
          <cell r="E2549">
            <v>94</v>
          </cell>
        </row>
        <row r="2550">
          <cell r="C2550" t="str">
            <v xml:space="preserve">   MEBHYDROLIN</v>
          </cell>
          <cell r="D2550">
            <v>140663</v>
          </cell>
          <cell r="E2550">
            <v>119607</v>
          </cell>
        </row>
        <row r="2551">
          <cell r="C2551" t="str">
            <v xml:space="preserve">    BEXIDAL            BXM</v>
          </cell>
          <cell r="D2551">
            <v>104298</v>
          </cell>
          <cell r="E2551">
            <v>92676</v>
          </cell>
        </row>
        <row r="2552">
          <cell r="C2552" t="str">
            <v xml:space="preserve">    MEBOLIN            ACM</v>
          </cell>
          <cell r="D2552">
            <v>33665</v>
          </cell>
          <cell r="E2552">
            <v>24095</v>
          </cell>
        </row>
        <row r="2553">
          <cell r="C2553" t="str">
            <v xml:space="preserve">    MEDROLIN           OPI</v>
          </cell>
          <cell r="D2553">
            <v>2384</v>
          </cell>
          <cell r="E2553">
            <v>1344</v>
          </cell>
        </row>
        <row r="2554">
          <cell r="C2554" t="str">
            <v xml:space="preserve">    MEBIDAL            ESF</v>
          </cell>
          <cell r="D2554">
            <v>317</v>
          </cell>
          <cell r="E2554">
            <v>1447</v>
          </cell>
        </row>
        <row r="2555">
          <cell r="C2555" t="str">
            <v xml:space="preserve">    MEBAMIN            SQA</v>
          </cell>
          <cell r="D2555">
            <v>0</v>
          </cell>
          <cell r="E2555">
            <v>0</v>
          </cell>
        </row>
        <row r="2556">
          <cell r="C2556" t="str">
            <v xml:space="preserve">    MEBASTIN           IAP</v>
          </cell>
          <cell r="D2556">
            <v>0</v>
          </cell>
          <cell r="E2556">
            <v>44</v>
          </cell>
        </row>
        <row r="2557">
          <cell r="C2557" t="str">
            <v xml:space="preserve">   LORATADINE</v>
          </cell>
          <cell r="D2557">
            <v>109159</v>
          </cell>
          <cell r="E2557">
            <v>93367</v>
          </cell>
        </row>
        <row r="2558">
          <cell r="C2558" t="str">
            <v xml:space="preserve">    ORADIN             ESF</v>
          </cell>
          <cell r="D2558">
            <v>63664</v>
          </cell>
          <cell r="E2558">
            <v>59107</v>
          </cell>
        </row>
        <row r="2559">
          <cell r="C2559" t="str">
            <v xml:space="preserve">    LORATIN            SQA</v>
          </cell>
          <cell r="D2559">
            <v>20541</v>
          </cell>
          <cell r="E2559">
            <v>15310</v>
          </cell>
        </row>
        <row r="2560">
          <cell r="C2560" t="str">
            <v xml:space="preserve">    LORATIN-FT         SQA</v>
          </cell>
          <cell r="D2560">
            <v>10127</v>
          </cell>
          <cell r="E2560">
            <v>6656</v>
          </cell>
        </row>
        <row r="2561">
          <cell r="C2561" t="str">
            <v xml:space="preserve">    LORAT              D-I</v>
          </cell>
          <cell r="D2561">
            <v>6500</v>
          </cell>
          <cell r="E2561">
            <v>5302</v>
          </cell>
        </row>
        <row r="2562">
          <cell r="C2562" t="str">
            <v xml:space="preserve">    LORA               OPI</v>
          </cell>
          <cell r="D2562">
            <v>3434</v>
          </cell>
          <cell r="E2562">
            <v>2258</v>
          </cell>
        </row>
        <row r="2563">
          <cell r="C2563" t="str">
            <v xml:space="preserve">    ALEZE              UNH</v>
          </cell>
          <cell r="D2563">
            <v>2966</v>
          </cell>
          <cell r="E2563">
            <v>1935</v>
          </cell>
        </row>
        <row r="2564">
          <cell r="C2564" t="str">
            <v xml:space="preserve">    LORFAST            BP&amp;</v>
          </cell>
          <cell r="D2564">
            <v>1441</v>
          </cell>
          <cell r="E2564">
            <v>1196</v>
          </cell>
        </row>
        <row r="2565">
          <cell r="C2565" t="str">
            <v xml:space="preserve">    SILORA             IBN</v>
          </cell>
          <cell r="D2565">
            <v>201</v>
          </cell>
          <cell r="E2565">
            <v>434</v>
          </cell>
        </row>
        <row r="2566">
          <cell r="C2566" t="str">
            <v xml:space="preserve">    LORIN              GNR</v>
          </cell>
          <cell r="D2566">
            <v>146</v>
          </cell>
          <cell r="E2566">
            <v>661</v>
          </cell>
        </row>
        <row r="2567">
          <cell r="C2567" t="str">
            <v xml:space="preserve">    LORATEC            DSH</v>
          </cell>
          <cell r="D2567">
            <v>85</v>
          </cell>
          <cell r="E2567">
            <v>0</v>
          </cell>
        </row>
        <row r="2568">
          <cell r="C2568" t="str">
            <v xml:space="preserve">    ORADIN-FT          ESF</v>
          </cell>
          <cell r="D2568">
            <v>48</v>
          </cell>
          <cell r="E2568">
            <v>403</v>
          </cell>
        </row>
        <row r="2569">
          <cell r="C2569" t="str">
            <v xml:space="preserve">    LORADIN            ATP</v>
          </cell>
          <cell r="D2569">
            <v>4</v>
          </cell>
          <cell r="E2569">
            <v>0</v>
          </cell>
        </row>
        <row r="2570">
          <cell r="C2570" t="str">
            <v xml:space="preserve">    ALARON             A-I</v>
          </cell>
          <cell r="D2570">
            <v>0</v>
          </cell>
          <cell r="E2570">
            <v>0</v>
          </cell>
        </row>
        <row r="2571">
          <cell r="C2571" t="str">
            <v xml:space="preserve">    ANALOR             T2D</v>
          </cell>
          <cell r="D2571">
            <v>0</v>
          </cell>
          <cell r="E2571">
            <v>0</v>
          </cell>
        </row>
        <row r="2572">
          <cell r="C2572" t="str">
            <v xml:space="preserve">    DIN                MLL</v>
          </cell>
          <cell r="D2572">
            <v>0</v>
          </cell>
          <cell r="E2572">
            <v>0</v>
          </cell>
        </row>
        <row r="2573">
          <cell r="C2573" t="str">
            <v xml:space="preserve">    ELADIN             JAY</v>
          </cell>
          <cell r="D2573">
            <v>0</v>
          </cell>
          <cell r="E2573">
            <v>0</v>
          </cell>
        </row>
        <row r="2574">
          <cell r="C2574" t="str">
            <v xml:space="preserve">    ENCILOR            IAP</v>
          </cell>
          <cell r="D2574">
            <v>0</v>
          </cell>
          <cell r="E2574">
            <v>74</v>
          </cell>
        </row>
        <row r="2575">
          <cell r="C2575" t="str">
            <v xml:space="preserve">    LORASTINE          UCL</v>
          </cell>
          <cell r="D2575">
            <v>0</v>
          </cell>
          <cell r="E2575">
            <v>30</v>
          </cell>
        </row>
        <row r="2576">
          <cell r="C2576" t="str">
            <v xml:space="preserve">    ORIN               ACM</v>
          </cell>
          <cell r="D2576">
            <v>0</v>
          </cell>
          <cell r="E2576">
            <v>0</v>
          </cell>
        </row>
        <row r="2577">
          <cell r="C2577" t="str">
            <v xml:space="preserve">   DIPHENHYDRAMINE</v>
          </cell>
          <cell r="D2577">
            <v>98837</v>
          </cell>
          <cell r="E2577">
            <v>98878</v>
          </cell>
        </row>
        <row r="2578">
          <cell r="C2578" t="str">
            <v xml:space="preserve">    ADRYL              SQA</v>
          </cell>
          <cell r="D2578">
            <v>35181</v>
          </cell>
          <cell r="E2578">
            <v>34249</v>
          </cell>
        </row>
        <row r="2579">
          <cell r="C2579" t="str">
            <v xml:space="preserve">    PEDEAMIN           BXM</v>
          </cell>
          <cell r="D2579">
            <v>32098</v>
          </cell>
          <cell r="E2579">
            <v>35505</v>
          </cell>
        </row>
        <row r="2580">
          <cell r="C2580" t="str">
            <v xml:space="preserve">    PHENADRYL          ACM</v>
          </cell>
          <cell r="D2580">
            <v>21512</v>
          </cell>
          <cell r="E2580">
            <v>18181</v>
          </cell>
        </row>
        <row r="2581">
          <cell r="C2581" t="str">
            <v xml:space="preserve">    RYMIN              OPI</v>
          </cell>
          <cell r="D2581">
            <v>5739</v>
          </cell>
          <cell r="E2581">
            <v>5268</v>
          </cell>
        </row>
        <row r="2582">
          <cell r="C2582" t="str">
            <v xml:space="preserve">    DORENTA            ESF</v>
          </cell>
          <cell r="D2582">
            <v>4070</v>
          </cell>
          <cell r="E2582">
            <v>5512</v>
          </cell>
        </row>
        <row r="2583">
          <cell r="C2583" t="str">
            <v xml:space="preserve">    DIDRYL             GCO</v>
          </cell>
          <cell r="D2583">
            <v>236</v>
          </cell>
          <cell r="E2583">
            <v>163</v>
          </cell>
        </row>
        <row r="2584">
          <cell r="C2584" t="str">
            <v xml:space="preserve">    DIFIN              NIP</v>
          </cell>
          <cell r="D2584">
            <v>0</v>
          </cell>
          <cell r="E2584">
            <v>0</v>
          </cell>
        </row>
        <row r="2585">
          <cell r="C2585" t="str">
            <v xml:space="preserve">    PEDIPHEN           S&amp;O</v>
          </cell>
          <cell r="D2585">
            <v>0</v>
          </cell>
          <cell r="E2585">
            <v>0</v>
          </cell>
        </row>
        <row r="2586">
          <cell r="C2586" t="str">
            <v xml:space="preserve">   PHENIRAMINE</v>
          </cell>
          <cell r="D2586">
            <v>64973</v>
          </cell>
          <cell r="E2586">
            <v>70335</v>
          </cell>
        </row>
        <row r="2587">
          <cell r="C2587" t="str">
            <v xml:space="preserve">    AVIL               S.Y</v>
          </cell>
          <cell r="D2587">
            <v>57332</v>
          </cell>
          <cell r="E2587">
            <v>64721</v>
          </cell>
        </row>
        <row r="2588">
          <cell r="C2588" t="str">
            <v xml:space="preserve">    AMARIN             OPI</v>
          </cell>
          <cell r="D2588">
            <v>6338</v>
          </cell>
          <cell r="E2588">
            <v>3978</v>
          </cell>
        </row>
        <row r="2589">
          <cell r="C2589" t="str">
            <v xml:space="preserve">    ALERVIL            IAP</v>
          </cell>
          <cell r="D2589">
            <v>1303</v>
          </cell>
          <cell r="E2589">
            <v>1619</v>
          </cell>
        </row>
        <row r="2590">
          <cell r="C2590" t="str">
            <v xml:space="preserve">    AEROVIL            BXM</v>
          </cell>
          <cell r="D2590">
            <v>0</v>
          </cell>
          <cell r="E2590">
            <v>0</v>
          </cell>
        </row>
        <row r="2591">
          <cell r="C2591" t="str">
            <v xml:space="preserve">    PHENADRYL-M        ACM</v>
          </cell>
          <cell r="D2591">
            <v>0</v>
          </cell>
          <cell r="E2591">
            <v>17</v>
          </cell>
        </row>
        <row r="2592">
          <cell r="C2592" t="str">
            <v xml:space="preserve">   CHLORPHENAMINE</v>
          </cell>
          <cell r="D2592">
            <v>52014</v>
          </cell>
          <cell r="E2592">
            <v>53096</v>
          </cell>
        </row>
        <row r="2593">
          <cell r="C2593" t="str">
            <v xml:space="preserve">    HISTAL             OPI</v>
          </cell>
          <cell r="D2593">
            <v>18037</v>
          </cell>
          <cell r="E2593">
            <v>18382</v>
          </cell>
        </row>
        <row r="2594">
          <cell r="C2594" t="str">
            <v xml:space="preserve">    HISTACIN           JAY</v>
          </cell>
          <cell r="D2594">
            <v>12374</v>
          </cell>
          <cell r="E2594">
            <v>18072</v>
          </cell>
        </row>
        <row r="2595">
          <cell r="C2595" t="str">
            <v xml:space="preserve">    HISTALEX           ACM</v>
          </cell>
          <cell r="D2595">
            <v>11642</v>
          </cell>
          <cell r="E2595">
            <v>9453</v>
          </cell>
        </row>
        <row r="2596">
          <cell r="C2596" t="str">
            <v xml:space="preserve">    ANTISTA            SQA</v>
          </cell>
          <cell r="D2596">
            <v>7172</v>
          </cell>
          <cell r="E2596">
            <v>4031</v>
          </cell>
        </row>
        <row r="2597">
          <cell r="C2597" t="str">
            <v xml:space="preserve">    CLORAMIN           OR/</v>
          </cell>
          <cell r="D2597">
            <v>2297</v>
          </cell>
          <cell r="E2597">
            <v>2135</v>
          </cell>
        </row>
        <row r="2598">
          <cell r="C2598" t="str">
            <v xml:space="preserve">    BIOCIN             BP&amp;</v>
          </cell>
          <cell r="D2598">
            <v>369</v>
          </cell>
          <cell r="E2598">
            <v>668</v>
          </cell>
        </row>
        <row r="2599">
          <cell r="C2599" t="str">
            <v xml:space="preserve">    ANTISMINE          S6C</v>
          </cell>
          <cell r="D2599">
            <v>85</v>
          </cell>
          <cell r="E2599">
            <v>109</v>
          </cell>
        </row>
        <row r="2600">
          <cell r="C2600" t="str">
            <v xml:space="preserve">    NIRAMIN            UCL</v>
          </cell>
          <cell r="D2600">
            <v>27</v>
          </cell>
          <cell r="E2600">
            <v>8</v>
          </cell>
        </row>
        <row r="2601">
          <cell r="C2601" t="str">
            <v xml:space="preserve">    SEDILUX M          MOD</v>
          </cell>
          <cell r="D2601">
            <v>6</v>
          </cell>
          <cell r="E2601">
            <v>26</v>
          </cell>
        </row>
        <row r="2602">
          <cell r="C2602" t="str">
            <v xml:space="preserve">    ERAMIN             PDH</v>
          </cell>
          <cell r="D2602">
            <v>4</v>
          </cell>
          <cell r="E2602">
            <v>0</v>
          </cell>
        </row>
        <row r="2603">
          <cell r="C2603" t="str">
            <v xml:space="preserve">    ALEJESS            AD0</v>
          </cell>
          <cell r="D2603">
            <v>0</v>
          </cell>
          <cell r="E2603">
            <v>0</v>
          </cell>
        </row>
        <row r="2604">
          <cell r="C2604" t="str">
            <v xml:space="preserve">    ALLERFIN           BIK</v>
          </cell>
          <cell r="D2604">
            <v>0</v>
          </cell>
          <cell r="E2604">
            <v>0</v>
          </cell>
        </row>
        <row r="2605">
          <cell r="C2605" t="str">
            <v xml:space="preserve">    DISTAMIN           DOC</v>
          </cell>
          <cell r="D2605">
            <v>0</v>
          </cell>
          <cell r="E2605">
            <v>0</v>
          </cell>
        </row>
        <row r="2606">
          <cell r="C2606" t="str">
            <v xml:space="preserve">    EXPILIN            GCO</v>
          </cell>
          <cell r="D2606">
            <v>0</v>
          </cell>
          <cell r="E2606">
            <v>189</v>
          </cell>
        </row>
        <row r="2607">
          <cell r="C2607" t="str">
            <v xml:space="preserve">    FLUMIN             CSC</v>
          </cell>
          <cell r="D2607">
            <v>0</v>
          </cell>
          <cell r="E2607">
            <v>0</v>
          </cell>
        </row>
        <row r="2608">
          <cell r="C2608" t="str">
            <v xml:space="preserve">    HISPACIN           PAR</v>
          </cell>
          <cell r="D2608">
            <v>0</v>
          </cell>
          <cell r="E2608">
            <v>0</v>
          </cell>
        </row>
        <row r="2609">
          <cell r="C2609" t="str">
            <v xml:space="preserve">    HISTACO            SPR</v>
          </cell>
          <cell r="D2609">
            <v>0</v>
          </cell>
          <cell r="E2609">
            <v>6</v>
          </cell>
        </row>
        <row r="2610">
          <cell r="C2610" t="str">
            <v xml:space="preserve">    HISTALOCK          SON</v>
          </cell>
          <cell r="D2610">
            <v>0</v>
          </cell>
          <cell r="E2610">
            <v>0</v>
          </cell>
        </row>
        <row r="2611">
          <cell r="C2611" t="str">
            <v xml:space="preserve">    HITAGEN            GNR</v>
          </cell>
          <cell r="D2611">
            <v>0</v>
          </cell>
          <cell r="E2611">
            <v>0</v>
          </cell>
        </row>
        <row r="2612">
          <cell r="C2612" t="str">
            <v xml:space="preserve">    PHERAMIN           AIC</v>
          </cell>
          <cell r="D2612">
            <v>0</v>
          </cell>
          <cell r="E2612">
            <v>0</v>
          </cell>
        </row>
        <row r="2613">
          <cell r="C2613" t="str">
            <v xml:space="preserve">    PIRITON            GSK</v>
          </cell>
          <cell r="D2613">
            <v>0</v>
          </cell>
          <cell r="E2613">
            <v>0</v>
          </cell>
        </row>
        <row r="2614">
          <cell r="C2614" t="str">
            <v xml:space="preserve">    PROMALIN           U.L</v>
          </cell>
          <cell r="D2614">
            <v>0</v>
          </cell>
          <cell r="E2614">
            <v>0</v>
          </cell>
        </row>
        <row r="2615">
          <cell r="C2615" t="str">
            <v xml:space="preserve">    REMACIN            RM2</v>
          </cell>
          <cell r="D2615">
            <v>0</v>
          </cell>
          <cell r="E2615">
            <v>7</v>
          </cell>
        </row>
        <row r="2616">
          <cell r="C2616" t="str">
            <v xml:space="preserve">    WINKOL             GBE</v>
          </cell>
          <cell r="D2616">
            <v>0</v>
          </cell>
          <cell r="E2616">
            <v>8</v>
          </cell>
        </row>
        <row r="2617">
          <cell r="C2617" t="str">
            <v xml:space="preserve">   MIZOLASTINE</v>
          </cell>
          <cell r="D2617">
            <v>51331</v>
          </cell>
          <cell r="E2617">
            <v>39741</v>
          </cell>
        </row>
        <row r="2618">
          <cell r="C2618" t="str">
            <v xml:space="preserve">    MASTEL             A-I</v>
          </cell>
          <cell r="D2618">
            <v>40811</v>
          </cell>
          <cell r="E2618">
            <v>28705</v>
          </cell>
        </row>
        <row r="2619">
          <cell r="C2619" t="str">
            <v xml:space="preserve">    ALERGIX            IAP</v>
          </cell>
          <cell r="D2619">
            <v>6238</v>
          </cell>
          <cell r="E2619">
            <v>5221</v>
          </cell>
        </row>
        <row r="2620">
          <cell r="C2620" t="str">
            <v xml:space="preserve">    RHINOR             OPI</v>
          </cell>
          <cell r="D2620">
            <v>4282</v>
          </cell>
          <cell r="E2620">
            <v>5815</v>
          </cell>
        </row>
        <row r="2621">
          <cell r="C2621" t="str">
            <v xml:space="preserve">   DIMETINDENE</v>
          </cell>
          <cell r="D2621">
            <v>33998</v>
          </cell>
          <cell r="E2621">
            <v>31301</v>
          </cell>
        </row>
        <row r="2622">
          <cell r="C2622" t="str">
            <v xml:space="preserve">    FENAT              D-I</v>
          </cell>
          <cell r="D2622">
            <v>33998</v>
          </cell>
          <cell r="E2622">
            <v>31301</v>
          </cell>
        </row>
        <row r="2623">
          <cell r="C2623" t="str">
            <v xml:space="preserve">   OLOPATADINE</v>
          </cell>
          <cell r="D2623">
            <v>30137</v>
          </cell>
          <cell r="E2623">
            <v>14094</v>
          </cell>
        </row>
        <row r="2624">
          <cell r="C2624" t="str">
            <v xml:space="preserve">    OLONEX             BAC</v>
          </cell>
          <cell r="D2624">
            <v>30137</v>
          </cell>
          <cell r="E2624">
            <v>14094</v>
          </cell>
        </row>
        <row r="2625">
          <cell r="C2625" t="str">
            <v xml:space="preserve">   ANTIHISTAMINES</v>
          </cell>
          <cell r="D2625">
            <v>29185</v>
          </cell>
          <cell r="E2625">
            <v>52044</v>
          </cell>
        </row>
        <row r="2626">
          <cell r="C2626" t="str">
            <v xml:space="preserve">    SINAMIN            IBN</v>
          </cell>
          <cell r="D2626">
            <v>21160</v>
          </cell>
          <cell r="E2626">
            <v>42188</v>
          </cell>
        </row>
        <row r="2627">
          <cell r="C2627" t="str">
            <v xml:space="preserve">    OTOSIL             OPI</v>
          </cell>
          <cell r="D2627">
            <v>8024</v>
          </cell>
          <cell r="E2627">
            <v>9856</v>
          </cell>
        </row>
        <row r="2628">
          <cell r="C2628" t="str">
            <v xml:space="preserve">    JEFRADIN           JAY</v>
          </cell>
          <cell r="D2628">
            <v>0</v>
          </cell>
          <cell r="E2628">
            <v>0</v>
          </cell>
        </row>
        <row r="2629">
          <cell r="C2629" t="str">
            <v xml:space="preserve">   DIPHENHYDRAMINE+MENTHOL</v>
          </cell>
          <cell r="D2629">
            <v>1854</v>
          </cell>
          <cell r="E2629">
            <v>1649</v>
          </cell>
        </row>
        <row r="2630">
          <cell r="C2630" t="str">
            <v xml:space="preserve">    MENDIL             GBE</v>
          </cell>
          <cell r="D2630">
            <v>1854</v>
          </cell>
          <cell r="E2630">
            <v>1649</v>
          </cell>
        </row>
        <row r="2631">
          <cell r="C2631" t="str">
            <v xml:space="preserve">   TERFENADINE</v>
          </cell>
          <cell r="D2631">
            <v>1413</v>
          </cell>
          <cell r="E2631">
            <v>2418</v>
          </cell>
        </row>
        <row r="2632">
          <cell r="C2632" t="str">
            <v xml:space="preserve">    HISTAFEN           JAY</v>
          </cell>
          <cell r="D2632">
            <v>1413</v>
          </cell>
          <cell r="E2632">
            <v>2410</v>
          </cell>
        </row>
        <row r="2633">
          <cell r="C2633" t="str">
            <v xml:space="preserve">    FENADIN            OPI</v>
          </cell>
          <cell r="D2633">
            <v>0</v>
          </cell>
          <cell r="E2633">
            <v>8</v>
          </cell>
        </row>
        <row r="2634">
          <cell r="C2634" t="str">
            <v xml:space="preserve">    HISTADIN           BC.</v>
          </cell>
          <cell r="D2634">
            <v>0</v>
          </cell>
          <cell r="E2634">
            <v>0</v>
          </cell>
        </row>
        <row r="2635">
          <cell r="C2635" t="str">
            <v xml:space="preserve">   PROMETHAZINE</v>
          </cell>
          <cell r="D2635">
            <v>13</v>
          </cell>
          <cell r="E2635">
            <v>71</v>
          </cell>
        </row>
        <row r="2636">
          <cell r="C2636" t="str">
            <v xml:space="preserve">    PROGAN             AMB</v>
          </cell>
          <cell r="D2636">
            <v>13</v>
          </cell>
          <cell r="E2636">
            <v>6</v>
          </cell>
        </row>
        <row r="2637">
          <cell r="C2637" t="str">
            <v xml:space="preserve">    METHAZINE          JNS</v>
          </cell>
          <cell r="D2637">
            <v>0</v>
          </cell>
          <cell r="E2637">
            <v>0</v>
          </cell>
        </row>
        <row r="2638">
          <cell r="C2638" t="str">
            <v xml:space="preserve">    PHENEREX           JAY</v>
          </cell>
          <cell r="D2638">
            <v>0</v>
          </cell>
          <cell r="E2638">
            <v>0</v>
          </cell>
        </row>
        <row r="2639">
          <cell r="C2639" t="str">
            <v xml:space="preserve">    PHENERGAN          S.Y</v>
          </cell>
          <cell r="D2639">
            <v>0</v>
          </cell>
          <cell r="E2639">
            <v>65</v>
          </cell>
        </row>
        <row r="2640">
          <cell r="C2640" t="str">
            <v xml:space="preserve">    PROMET             OPI</v>
          </cell>
          <cell r="D2640">
            <v>0</v>
          </cell>
          <cell r="E2640">
            <v>0</v>
          </cell>
        </row>
        <row r="2641">
          <cell r="C2641" t="str">
            <v xml:space="preserve">    SENTOGAN           SCF</v>
          </cell>
          <cell r="D2641">
            <v>0</v>
          </cell>
          <cell r="E2641">
            <v>0</v>
          </cell>
        </row>
        <row r="2642">
          <cell r="C2642" t="str">
            <v xml:space="preserve">   METHAPYRILENE</v>
          </cell>
          <cell r="D2642">
            <v>2</v>
          </cell>
          <cell r="E2642">
            <v>0</v>
          </cell>
        </row>
        <row r="2643">
          <cell r="C2643" t="str">
            <v xml:space="preserve">    HISTADYL           RPH</v>
          </cell>
          <cell r="D2643">
            <v>2</v>
          </cell>
          <cell r="E2643">
            <v>0</v>
          </cell>
        </row>
        <row r="2644">
          <cell r="C2644" t="str">
            <v xml:space="preserve">   COMPOSITION UNKNOWN</v>
          </cell>
          <cell r="D2644">
            <v>1</v>
          </cell>
          <cell r="E2644">
            <v>3</v>
          </cell>
        </row>
        <row r="2645">
          <cell r="C2645" t="str">
            <v xml:space="preserve">    ALERGIN            NIP</v>
          </cell>
          <cell r="D2645">
            <v>1</v>
          </cell>
          <cell r="E2645">
            <v>0</v>
          </cell>
        </row>
        <row r="2646">
          <cell r="C2646" t="str">
            <v xml:space="preserve">    ALLERGAN           CPL</v>
          </cell>
          <cell r="D2646">
            <v>0</v>
          </cell>
          <cell r="E2646">
            <v>0</v>
          </cell>
        </row>
        <row r="2647">
          <cell r="C2647" t="str">
            <v xml:space="preserve">    HISTA M            MKD</v>
          </cell>
          <cell r="D2647">
            <v>0</v>
          </cell>
          <cell r="E2647">
            <v>0</v>
          </cell>
        </row>
        <row r="2648">
          <cell r="C2648" t="str">
            <v xml:space="preserve">    HISTACOM           CML</v>
          </cell>
          <cell r="D2648">
            <v>0</v>
          </cell>
          <cell r="E2648">
            <v>0</v>
          </cell>
        </row>
        <row r="2649">
          <cell r="C2649" t="str">
            <v xml:space="preserve">    HISTALIN           SHB</v>
          </cell>
          <cell r="D2649">
            <v>0</v>
          </cell>
          <cell r="E2649">
            <v>1</v>
          </cell>
        </row>
        <row r="2650">
          <cell r="C2650" t="str">
            <v xml:space="preserve">    PHENARZINE         PAR</v>
          </cell>
          <cell r="D2650">
            <v>0</v>
          </cell>
          <cell r="E2650">
            <v>2</v>
          </cell>
        </row>
        <row r="2651">
          <cell r="C2651" t="str">
            <v xml:space="preserve">   HYDROXYZINE</v>
          </cell>
          <cell r="D2651">
            <v>0</v>
          </cell>
          <cell r="E2651">
            <v>0</v>
          </cell>
        </row>
        <row r="2652">
          <cell r="C2652" t="str">
            <v xml:space="preserve">    ATARAX             A-I</v>
          </cell>
          <cell r="D2652">
            <v>0</v>
          </cell>
          <cell r="E2652">
            <v>0</v>
          </cell>
        </row>
        <row r="2653">
          <cell r="C2653" t="str">
            <v xml:space="preserve">   DOXYLAMINE</v>
          </cell>
          <cell r="D2653">
            <v>0</v>
          </cell>
          <cell r="E2653">
            <v>0</v>
          </cell>
        </row>
        <row r="2654">
          <cell r="C2654" t="str">
            <v xml:space="preserve">    DOXAMIL            A-I</v>
          </cell>
          <cell r="D2654">
            <v>0</v>
          </cell>
          <cell r="E2654">
            <v>0</v>
          </cell>
        </row>
        <row r="2655">
          <cell r="C2655" t="str">
            <v xml:space="preserve"> DPP-IV INHIBITOR A-DIABS</v>
          </cell>
          <cell r="D2655">
            <v>9873169</v>
          </cell>
          <cell r="E2655">
            <v>8563265</v>
          </cell>
        </row>
        <row r="2656">
          <cell r="C2656" t="str">
            <v xml:space="preserve">  DPP-IV INH &amp; BIGUAN COMB</v>
          </cell>
          <cell r="D2656">
            <v>7229082</v>
          </cell>
          <cell r="E2656">
            <v>6215894</v>
          </cell>
        </row>
        <row r="2657">
          <cell r="C2657" t="str">
            <v xml:space="preserve">   LINAGLIPTIN+METFORMIN</v>
          </cell>
          <cell r="D2657">
            <v>3494936</v>
          </cell>
          <cell r="E2657">
            <v>3019473</v>
          </cell>
        </row>
        <row r="2658">
          <cell r="C2658" t="str">
            <v xml:space="preserve">    LINATAB M          IAP</v>
          </cell>
          <cell r="D2658">
            <v>686263</v>
          </cell>
          <cell r="E2658">
            <v>563954</v>
          </cell>
        </row>
        <row r="2659">
          <cell r="C2659" t="str">
            <v xml:space="preserve">    LIJENTA-M          NJP</v>
          </cell>
          <cell r="D2659">
            <v>646091</v>
          </cell>
          <cell r="E2659">
            <v>621200</v>
          </cell>
        </row>
        <row r="2660">
          <cell r="C2660" t="str">
            <v xml:space="preserve">    LINAMET            PPH</v>
          </cell>
          <cell r="D2660">
            <v>305679</v>
          </cell>
          <cell r="E2660">
            <v>235104</v>
          </cell>
        </row>
        <row r="2661">
          <cell r="C2661" t="str">
            <v xml:space="preserve">    LINAX PLUS         IBN</v>
          </cell>
          <cell r="D2661">
            <v>243593</v>
          </cell>
          <cell r="E2661">
            <v>205887</v>
          </cell>
        </row>
        <row r="2662">
          <cell r="C2662" t="str">
            <v xml:space="preserve">    LINAGLIP-M         ATP</v>
          </cell>
          <cell r="D2662">
            <v>233873</v>
          </cell>
          <cell r="E2662">
            <v>198620</v>
          </cell>
        </row>
        <row r="2663">
          <cell r="C2663" t="str">
            <v xml:space="preserve">    LIGAZID M          ESF</v>
          </cell>
          <cell r="D2663">
            <v>233731</v>
          </cell>
          <cell r="E2663">
            <v>211154</v>
          </cell>
        </row>
        <row r="2664">
          <cell r="C2664" t="str">
            <v xml:space="preserve">    LINO-M             ACM</v>
          </cell>
          <cell r="D2664">
            <v>219953</v>
          </cell>
          <cell r="E2664">
            <v>176736</v>
          </cell>
        </row>
        <row r="2665">
          <cell r="C2665" t="str">
            <v xml:space="preserve">    LIGLIMET           SQA</v>
          </cell>
          <cell r="D2665">
            <v>182225</v>
          </cell>
          <cell r="E2665">
            <v>150088</v>
          </cell>
        </row>
        <row r="2666">
          <cell r="C2666" t="str">
            <v xml:space="preserve">    CARLINA-M          RD7</v>
          </cell>
          <cell r="D2666">
            <v>112523</v>
          </cell>
          <cell r="E2666">
            <v>91029</v>
          </cell>
        </row>
        <row r="2667">
          <cell r="C2667" t="str">
            <v xml:space="preserve">    TRANETA M          BXM</v>
          </cell>
          <cell r="D2667">
            <v>106440</v>
          </cell>
          <cell r="E2667">
            <v>85551</v>
          </cell>
        </row>
        <row r="2668">
          <cell r="C2668" t="str">
            <v xml:space="preserve">    LINADUS-M          OPI</v>
          </cell>
          <cell r="D2668">
            <v>83497</v>
          </cell>
          <cell r="E2668">
            <v>71897</v>
          </cell>
        </row>
        <row r="2669">
          <cell r="C2669" t="str">
            <v xml:space="preserve">    ISENTIN-M          HT3</v>
          </cell>
          <cell r="D2669">
            <v>77749</v>
          </cell>
          <cell r="E2669">
            <v>49024</v>
          </cell>
        </row>
        <row r="2670">
          <cell r="C2670" t="str">
            <v xml:space="preserve">    GLITIN M           A-I</v>
          </cell>
          <cell r="D2670">
            <v>68664</v>
          </cell>
          <cell r="E2670">
            <v>57158</v>
          </cell>
        </row>
        <row r="2671">
          <cell r="C2671" t="str">
            <v xml:space="preserve">    GLINTA-M           RTA</v>
          </cell>
          <cell r="D2671">
            <v>68037</v>
          </cell>
          <cell r="E2671">
            <v>44641</v>
          </cell>
        </row>
        <row r="2672">
          <cell r="C2672" t="str">
            <v xml:space="preserve">    ADLINAMEG          UNH</v>
          </cell>
          <cell r="D2672">
            <v>57265</v>
          </cell>
          <cell r="E2672">
            <v>51988</v>
          </cell>
        </row>
        <row r="2673">
          <cell r="C2673" t="str">
            <v xml:space="preserve">    LINAROL M          D-I</v>
          </cell>
          <cell r="D2673">
            <v>56160</v>
          </cell>
          <cell r="E2673">
            <v>62838</v>
          </cell>
        </row>
        <row r="2674">
          <cell r="C2674" t="str">
            <v xml:space="preserve">    LINASTAR-M         OR/</v>
          </cell>
          <cell r="D2674">
            <v>29517</v>
          </cell>
          <cell r="E2674">
            <v>34082</v>
          </cell>
        </row>
        <row r="2675">
          <cell r="C2675" t="str">
            <v xml:space="preserve">    LINERA-M           ZIS</v>
          </cell>
          <cell r="D2675">
            <v>18539</v>
          </cell>
          <cell r="E2675">
            <v>12153</v>
          </cell>
        </row>
        <row r="2676">
          <cell r="C2676" t="str">
            <v xml:space="preserve">    LIJENTA-MX         NJP</v>
          </cell>
          <cell r="D2676">
            <v>13633</v>
          </cell>
          <cell r="E2676">
            <v>18056</v>
          </cell>
        </row>
        <row r="2677">
          <cell r="C2677" t="str">
            <v xml:space="preserve">    GLIPXEN-M          BAC</v>
          </cell>
          <cell r="D2677">
            <v>13264</v>
          </cell>
          <cell r="E2677">
            <v>12174</v>
          </cell>
        </row>
        <row r="2678">
          <cell r="C2678" t="str">
            <v xml:space="preserve">    LINATIN M          D&amp;B</v>
          </cell>
          <cell r="D2678">
            <v>11119</v>
          </cell>
          <cell r="E2678">
            <v>14525</v>
          </cell>
        </row>
        <row r="2679">
          <cell r="C2679" t="str">
            <v xml:space="preserve">    LINAPTIN M         GNR</v>
          </cell>
          <cell r="D2679">
            <v>9319</v>
          </cell>
          <cell r="E2679">
            <v>29918</v>
          </cell>
        </row>
        <row r="2680">
          <cell r="C2680" t="str">
            <v xml:space="preserve">    DIPLIN-M           N8V</v>
          </cell>
          <cell r="D2680">
            <v>7703</v>
          </cell>
          <cell r="E2680">
            <v>9170</v>
          </cell>
        </row>
        <row r="2681">
          <cell r="C2681" t="str">
            <v xml:space="preserve">    LINAMET ER         PPH</v>
          </cell>
          <cell r="D2681">
            <v>4446</v>
          </cell>
          <cell r="E2681">
            <v>6473</v>
          </cell>
        </row>
        <row r="2682">
          <cell r="C2682" t="str">
            <v xml:space="preserve">    RENOLINA-M         D-B</v>
          </cell>
          <cell r="D2682">
            <v>2269</v>
          </cell>
          <cell r="E2682">
            <v>1661</v>
          </cell>
        </row>
        <row r="2683">
          <cell r="C2683" t="str">
            <v xml:space="preserve">    LINALIT-M          WTH</v>
          </cell>
          <cell r="D2683">
            <v>1521</v>
          </cell>
          <cell r="E2683">
            <v>3360</v>
          </cell>
        </row>
        <row r="2684">
          <cell r="C2684" t="str">
            <v xml:space="preserve">    LIGAZID MX         ESF</v>
          </cell>
          <cell r="D2684">
            <v>912</v>
          </cell>
          <cell r="E2684">
            <v>0</v>
          </cell>
        </row>
        <row r="2685">
          <cell r="C2685" t="str">
            <v xml:space="preserve">    LINADUS-M-XR       OPI</v>
          </cell>
          <cell r="D2685">
            <v>644</v>
          </cell>
          <cell r="E2685">
            <v>889</v>
          </cell>
        </row>
        <row r="2686">
          <cell r="C2686" t="str">
            <v xml:space="preserve">    TAJENTA-M          GD2</v>
          </cell>
          <cell r="D2686">
            <v>307</v>
          </cell>
          <cell r="E2686">
            <v>140</v>
          </cell>
        </row>
        <row r="2687">
          <cell r="C2687" t="str">
            <v xml:space="preserve">    SB METLINA         SBD</v>
          </cell>
          <cell r="D2687">
            <v>0</v>
          </cell>
          <cell r="E2687">
            <v>0</v>
          </cell>
        </row>
        <row r="2688">
          <cell r="C2688" t="str">
            <v xml:space="preserve">   METFORMIN+VILDAGLIPTIN</v>
          </cell>
          <cell r="D2688">
            <v>1887016</v>
          </cell>
          <cell r="E2688">
            <v>1674079</v>
          </cell>
        </row>
        <row r="2689">
          <cell r="C2689" t="str">
            <v xml:space="preserve">    GALVUS-MET         NVR</v>
          </cell>
          <cell r="D2689">
            <v>654069</v>
          </cell>
          <cell r="E2689">
            <v>654230</v>
          </cell>
        </row>
        <row r="2690">
          <cell r="C2690" t="str">
            <v xml:space="preserve">    VIGLIMET           SQA</v>
          </cell>
          <cell r="D2690">
            <v>384037</v>
          </cell>
          <cell r="E2690">
            <v>316471</v>
          </cell>
        </row>
        <row r="2691">
          <cell r="C2691" t="str">
            <v xml:space="preserve">    GLUVAN PLUS        ATP</v>
          </cell>
          <cell r="D2691">
            <v>196500</v>
          </cell>
          <cell r="E2691">
            <v>184577</v>
          </cell>
        </row>
        <row r="2692">
          <cell r="C2692" t="str">
            <v xml:space="preserve">    APTIN M            A-I</v>
          </cell>
          <cell r="D2692">
            <v>194740</v>
          </cell>
          <cell r="E2692">
            <v>117133</v>
          </cell>
        </row>
        <row r="2693">
          <cell r="C2693" t="str">
            <v xml:space="preserve">    DIALIPTIN-M        D-I</v>
          </cell>
          <cell r="D2693">
            <v>162809</v>
          </cell>
          <cell r="E2693">
            <v>161734</v>
          </cell>
        </row>
        <row r="2694">
          <cell r="C2694" t="str">
            <v xml:space="preserve">    VILDAMET           OPI</v>
          </cell>
          <cell r="D2694">
            <v>142542</v>
          </cell>
          <cell r="E2694">
            <v>122880</v>
          </cell>
        </row>
        <row r="2695">
          <cell r="C2695" t="str">
            <v xml:space="preserve">    VILDAPIN PLUS      ACM</v>
          </cell>
          <cell r="D2695">
            <v>94420</v>
          </cell>
          <cell r="E2695">
            <v>66348</v>
          </cell>
        </row>
        <row r="2696">
          <cell r="C2696" t="str">
            <v xml:space="preserve">    VIPTIN-PLUS        GNR</v>
          </cell>
          <cell r="D2696">
            <v>26005</v>
          </cell>
          <cell r="E2696">
            <v>31351</v>
          </cell>
        </row>
        <row r="2697">
          <cell r="C2697" t="str">
            <v xml:space="preserve">    VIGAMET            ESF</v>
          </cell>
          <cell r="D2697">
            <v>19723</v>
          </cell>
          <cell r="E2697">
            <v>17039</v>
          </cell>
        </row>
        <row r="2698">
          <cell r="C2698" t="str">
            <v xml:space="preserve">    EDVILA-M           HT3</v>
          </cell>
          <cell r="D2698">
            <v>9108</v>
          </cell>
          <cell r="E2698">
            <v>0</v>
          </cell>
        </row>
        <row r="2699">
          <cell r="C2699" t="str">
            <v xml:space="preserve">    GALET-M            WTH</v>
          </cell>
          <cell r="D2699">
            <v>2662</v>
          </cell>
          <cell r="E2699">
            <v>1720</v>
          </cell>
        </row>
        <row r="2700">
          <cell r="C2700" t="str">
            <v xml:space="preserve">    VILDAGIL-M         SH0</v>
          </cell>
          <cell r="D2700">
            <v>332</v>
          </cell>
          <cell r="E2700">
            <v>380</v>
          </cell>
        </row>
        <row r="2701">
          <cell r="C2701" t="str">
            <v xml:space="preserve">    GALVAN PLUS        ATP</v>
          </cell>
          <cell r="D2701">
            <v>69</v>
          </cell>
          <cell r="E2701">
            <v>216</v>
          </cell>
        </row>
        <row r="2702">
          <cell r="C2702" t="str">
            <v xml:space="preserve">    REDIA M            HT3</v>
          </cell>
          <cell r="D2702">
            <v>0</v>
          </cell>
          <cell r="E2702">
            <v>0</v>
          </cell>
        </row>
        <row r="2703">
          <cell r="C2703" t="str">
            <v xml:space="preserve">    SB METVILDA        SBD</v>
          </cell>
          <cell r="D2703">
            <v>0</v>
          </cell>
          <cell r="E2703">
            <v>0</v>
          </cell>
        </row>
        <row r="2704">
          <cell r="C2704" t="str">
            <v xml:space="preserve">    INDAGMET           P-S</v>
          </cell>
          <cell r="D2704">
            <v>0</v>
          </cell>
          <cell r="E2704">
            <v>0</v>
          </cell>
        </row>
        <row r="2705">
          <cell r="C2705" t="str">
            <v xml:space="preserve">   METFORMIN+SITAGLIPTIN</v>
          </cell>
          <cell r="D2705">
            <v>1847131</v>
          </cell>
          <cell r="E2705">
            <v>1522342</v>
          </cell>
        </row>
        <row r="2706">
          <cell r="C2706" t="str">
            <v xml:space="preserve">    GLIPITA M          BXM</v>
          </cell>
          <cell r="D2706">
            <v>766439</v>
          </cell>
          <cell r="E2706">
            <v>625660</v>
          </cell>
        </row>
        <row r="2707">
          <cell r="C2707" t="str">
            <v xml:space="preserve">    SITAGIL-M          IAP</v>
          </cell>
          <cell r="D2707">
            <v>388514</v>
          </cell>
          <cell r="E2707">
            <v>328573</v>
          </cell>
        </row>
        <row r="2708">
          <cell r="C2708" t="str">
            <v xml:space="preserve">    SIGLIMET           SQA</v>
          </cell>
          <cell r="D2708">
            <v>265188</v>
          </cell>
          <cell r="E2708">
            <v>186825</v>
          </cell>
        </row>
        <row r="2709">
          <cell r="C2709" t="str">
            <v xml:space="preserve">    JANMET             ACM</v>
          </cell>
          <cell r="D2709">
            <v>138868</v>
          </cell>
          <cell r="E2709">
            <v>112025</v>
          </cell>
        </row>
        <row r="2710">
          <cell r="C2710" t="str">
            <v xml:space="preserve">    SITOMET            A-I</v>
          </cell>
          <cell r="D2710">
            <v>84583</v>
          </cell>
          <cell r="E2710">
            <v>65856</v>
          </cell>
        </row>
        <row r="2711">
          <cell r="C2711" t="str">
            <v xml:space="preserve">    SILINOR M          HT3</v>
          </cell>
          <cell r="D2711">
            <v>52665</v>
          </cell>
          <cell r="E2711">
            <v>43343</v>
          </cell>
        </row>
        <row r="2712">
          <cell r="C2712" t="str">
            <v xml:space="preserve">    SLIPTIN-M          D-I</v>
          </cell>
          <cell r="D2712">
            <v>35858</v>
          </cell>
          <cell r="E2712">
            <v>36545</v>
          </cell>
        </row>
        <row r="2713">
          <cell r="C2713" t="str">
            <v xml:space="preserve">    SITADUS M          OPI</v>
          </cell>
          <cell r="D2713">
            <v>34491</v>
          </cell>
          <cell r="E2713">
            <v>34181</v>
          </cell>
        </row>
        <row r="2714">
          <cell r="C2714" t="str">
            <v xml:space="preserve">    RADIGLIP M         RD7</v>
          </cell>
          <cell r="D2714">
            <v>20275</v>
          </cell>
          <cell r="E2714">
            <v>22191</v>
          </cell>
        </row>
        <row r="2715">
          <cell r="C2715" t="str">
            <v xml:space="preserve">    TAGLIMET           IBN</v>
          </cell>
          <cell r="D2715">
            <v>19448</v>
          </cell>
          <cell r="E2715">
            <v>15155</v>
          </cell>
        </row>
        <row r="2716">
          <cell r="C2716" t="str">
            <v xml:space="preserve">    GLUCODIP M         SPI</v>
          </cell>
          <cell r="D2716">
            <v>18608</v>
          </cell>
          <cell r="E2716">
            <v>27443</v>
          </cell>
        </row>
        <row r="2717">
          <cell r="C2717" t="str">
            <v xml:space="preserve">    SITAZID M          ESF</v>
          </cell>
          <cell r="D2717">
            <v>7362</v>
          </cell>
          <cell r="E2717">
            <v>6577</v>
          </cell>
        </row>
        <row r="2718">
          <cell r="C2718" t="str">
            <v xml:space="preserve">    INCRIT-M           S.Y</v>
          </cell>
          <cell r="D2718">
            <v>4874</v>
          </cell>
          <cell r="E2718">
            <v>4491</v>
          </cell>
        </row>
        <row r="2719">
          <cell r="C2719" t="str">
            <v xml:space="preserve">    GLIPITA M XR       BXM</v>
          </cell>
          <cell r="D2719">
            <v>4010</v>
          </cell>
          <cell r="E2719">
            <v>8615</v>
          </cell>
        </row>
        <row r="2720">
          <cell r="C2720" t="str">
            <v xml:space="preserve">    SITACRET-M         RTA</v>
          </cell>
          <cell r="D2720">
            <v>2530</v>
          </cell>
          <cell r="E2720">
            <v>0</v>
          </cell>
        </row>
        <row r="2721">
          <cell r="C2721" t="str">
            <v xml:space="preserve">    JANMET-XR          ACM</v>
          </cell>
          <cell r="D2721">
            <v>2291</v>
          </cell>
          <cell r="E2721">
            <v>4307</v>
          </cell>
        </row>
        <row r="2722">
          <cell r="C2722" t="str">
            <v xml:space="preserve">    SITAMET            RTA</v>
          </cell>
          <cell r="D2722">
            <v>1051</v>
          </cell>
          <cell r="E2722">
            <v>277</v>
          </cell>
        </row>
        <row r="2723">
          <cell r="C2723" t="str">
            <v xml:space="preserve">    SITALIA M          D&amp;B</v>
          </cell>
          <cell r="D2723">
            <v>77</v>
          </cell>
          <cell r="E2723">
            <v>278</v>
          </cell>
        </row>
        <row r="2724">
          <cell r="C2724" t="str">
            <v xml:space="preserve">    SB METSITA         SBD</v>
          </cell>
          <cell r="D2724">
            <v>0</v>
          </cell>
          <cell r="E2724">
            <v>0</v>
          </cell>
        </row>
        <row r="2725">
          <cell r="C2725" t="str">
            <v xml:space="preserve">    SLIPTIN-M          D-I</v>
          </cell>
          <cell r="D2725">
            <v>0</v>
          </cell>
          <cell r="E2725">
            <v>0</v>
          </cell>
        </row>
        <row r="2726">
          <cell r="C2726" t="str">
            <v xml:space="preserve">  DPP-IV INH A-DIAB PLAIN</v>
          </cell>
          <cell r="D2726">
            <v>2644087</v>
          </cell>
          <cell r="E2726">
            <v>2347371</v>
          </cell>
        </row>
        <row r="2727">
          <cell r="C2727" t="str">
            <v xml:space="preserve">   LINAGLIPTIN</v>
          </cell>
          <cell r="D2727">
            <v>1966367</v>
          </cell>
          <cell r="E2727">
            <v>1712150</v>
          </cell>
        </row>
        <row r="2728">
          <cell r="C2728" t="str">
            <v xml:space="preserve">    LINATAB            IAP</v>
          </cell>
          <cell r="D2728">
            <v>362267</v>
          </cell>
          <cell r="E2728">
            <v>304939</v>
          </cell>
        </row>
        <row r="2729">
          <cell r="C2729" t="str">
            <v xml:space="preserve">    LIJENTA            NJP</v>
          </cell>
          <cell r="D2729">
            <v>297586</v>
          </cell>
          <cell r="E2729">
            <v>314862</v>
          </cell>
        </row>
        <row r="2730">
          <cell r="C2730" t="str">
            <v xml:space="preserve">    LINAGLIP           ATP</v>
          </cell>
          <cell r="D2730">
            <v>178030</v>
          </cell>
          <cell r="E2730">
            <v>153015</v>
          </cell>
        </row>
        <row r="2731">
          <cell r="C2731" t="str">
            <v xml:space="preserve">    LIGAZID            ESF</v>
          </cell>
          <cell r="D2731">
            <v>124873</v>
          </cell>
          <cell r="E2731">
            <v>109886</v>
          </cell>
        </row>
        <row r="2732">
          <cell r="C2732" t="str">
            <v xml:space="preserve">    LINO               ACM</v>
          </cell>
          <cell r="D2732">
            <v>114404</v>
          </cell>
          <cell r="E2732">
            <v>96711</v>
          </cell>
        </row>
        <row r="2733">
          <cell r="C2733" t="str">
            <v xml:space="preserve">    CARLINA            RD7</v>
          </cell>
          <cell r="D2733">
            <v>103715</v>
          </cell>
          <cell r="E2733">
            <v>74946</v>
          </cell>
        </row>
        <row r="2734">
          <cell r="C2734" t="str">
            <v xml:space="preserve">    LINITA             SQA</v>
          </cell>
          <cell r="D2734">
            <v>102226</v>
          </cell>
          <cell r="E2734">
            <v>96546</v>
          </cell>
        </row>
        <row r="2735">
          <cell r="C2735" t="str">
            <v xml:space="preserve">    LINAX              IBN</v>
          </cell>
          <cell r="D2735">
            <v>99611</v>
          </cell>
          <cell r="E2735">
            <v>95820</v>
          </cell>
        </row>
        <row r="2736">
          <cell r="C2736" t="str">
            <v xml:space="preserve">    LINAJEN            PPH</v>
          </cell>
          <cell r="D2736">
            <v>91849</v>
          </cell>
          <cell r="E2736">
            <v>81185</v>
          </cell>
        </row>
        <row r="2737">
          <cell r="C2737" t="str">
            <v xml:space="preserve">    ADLINA             UNH</v>
          </cell>
          <cell r="D2737">
            <v>78685</v>
          </cell>
          <cell r="E2737">
            <v>28875</v>
          </cell>
        </row>
        <row r="2738">
          <cell r="C2738" t="str">
            <v xml:space="preserve">    LINAROL            D-I</v>
          </cell>
          <cell r="D2738">
            <v>75271</v>
          </cell>
          <cell r="E2738">
            <v>76735</v>
          </cell>
        </row>
        <row r="2739">
          <cell r="C2739" t="str">
            <v xml:space="preserve">    LINADUS            OPI</v>
          </cell>
          <cell r="D2739">
            <v>65163</v>
          </cell>
          <cell r="E2739">
            <v>50978</v>
          </cell>
        </row>
        <row r="2740">
          <cell r="C2740" t="str">
            <v xml:space="preserve">    TRANETA            BXM</v>
          </cell>
          <cell r="D2740">
            <v>61151</v>
          </cell>
          <cell r="E2740">
            <v>53802</v>
          </cell>
        </row>
        <row r="2741">
          <cell r="C2741" t="str">
            <v xml:space="preserve">    GLINTA             RTA</v>
          </cell>
          <cell r="D2741">
            <v>57462</v>
          </cell>
          <cell r="E2741">
            <v>35778</v>
          </cell>
        </row>
        <row r="2742">
          <cell r="C2742" t="str">
            <v xml:space="preserve">    GLITIN             A-I</v>
          </cell>
          <cell r="D2742">
            <v>57382</v>
          </cell>
          <cell r="E2742">
            <v>44401</v>
          </cell>
        </row>
        <row r="2743">
          <cell r="C2743" t="str">
            <v xml:space="preserve">    ISENTIN            HT3</v>
          </cell>
          <cell r="D2743">
            <v>40150</v>
          </cell>
          <cell r="E2743">
            <v>23800</v>
          </cell>
        </row>
        <row r="2744">
          <cell r="C2744" t="str">
            <v xml:space="preserve">    LINASTAR           OR/</v>
          </cell>
          <cell r="D2744">
            <v>14920</v>
          </cell>
          <cell r="E2744">
            <v>17509</v>
          </cell>
        </row>
        <row r="2745">
          <cell r="C2745" t="str">
            <v xml:space="preserve">    LINERA             ZIS</v>
          </cell>
          <cell r="D2745">
            <v>11174</v>
          </cell>
          <cell r="E2745">
            <v>8788</v>
          </cell>
        </row>
        <row r="2746">
          <cell r="C2746" t="str">
            <v xml:space="preserve">    GLIPXEN            BAC</v>
          </cell>
          <cell r="D2746">
            <v>8962</v>
          </cell>
          <cell r="E2746">
            <v>9870</v>
          </cell>
        </row>
        <row r="2747">
          <cell r="C2747" t="str">
            <v xml:space="preserve">    LINAPTIN           GNR</v>
          </cell>
          <cell r="D2747">
            <v>8733</v>
          </cell>
          <cell r="E2747">
            <v>18862</v>
          </cell>
        </row>
        <row r="2748">
          <cell r="C2748" t="str">
            <v xml:space="preserve">    DIPLIN             N8V</v>
          </cell>
          <cell r="D2748">
            <v>6641</v>
          </cell>
          <cell r="E2748">
            <v>4478</v>
          </cell>
        </row>
        <row r="2749">
          <cell r="C2749" t="str">
            <v xml:space="preserve">    LINADI             PAC</v>
          </cell>
          <cell r="D2749">
            <v>2559</v>
          </cell>
          <cell r="E2749">
            <v>5157</v>
          </cell>
        </row>
        <row r="2750">
          <cell r="C2750" t="str">
            <v xml:space="preserve">    LINALIT            WTH</v>
          </cell>
          <cell r="D2750">
            <v>2045</v>
          </cell>
          <cell r="E2750">
            <v>3427</v>
          </cell>
        </row>
        <row r="2751">
          <cell r="C2751" t="str">
            <v xml:space="preserve">    LINATIN            D&amp;B</v>
          </cell>
          <cell r="D2751">
            <v>987</v>
          </cell>
          <cell r="E2751">
            <v>1076</v>
          </cell>
        </row>
        <row r="2752">
          <cell r="C2752" t="str">
            <v xml:space="preserve">    DIALINA            BP&amp;</v>
          </cell>
          <cell r="D2752">
            <v>396</v>
          </cell>
          <cell r="E2752">
            <v>562</v>
          </cell>
        </row>
        <row r="2753">
          <cell r="C2753" t="str">
            <v xml:space="preserve">    LINAXITIN          P-S</v>
          </cell>
          <cell r="D2753">
            <v>126</v>
          </cell>
          <cell r="E2753">
            <v>32</v>
          </cell>
        </row>
        <row r="2754">
          <cell r="C2754" t="str">
            <v xml:space="preserve">    SB-LINA            SBD</v>
          </cell>
          <cell r="D2754">
            <v>0</v>
          </cell>
          <cell r="E2754">
            <v>0</v>
          </cell>
        </row>
        <row r="2755">
          <cell r="C2755" t="str">
            <v xml:space="preserve">    TEMOLINA           TMH</v>
          </cell>
          <cell r="D2755">
            <v>0</v>
          </cell>
          <cell r="E2755">
            <v>111</v>
          </cell>
        </row>
        <row r="2756">
          <cell r="C2756" t="str">
            <v xml:space="preserve">    TAJENTA            GD2</v>
          </cell>
          <cell r="D2756">
            <v>0</v>
          </cell>
          <cell r="E2756">
            <v>0</v>
          </cell>
        </row>
        <row r="2757">
          <cell r="C2757" t="str">
            <v xml:space="preserve">   SITAGLIPTIN</v>
          </cell>
          <cell r="D2757">
            <v>330567</v>
          </cell>
          <cell r="E2757">
            <v>300424</v>
          </cell>
        </row>
        <row r="2758">
          <cell r="C2758" t="str">
            <v xml:space="preserve">    GLIPITA            BXM</v>
          </cell>
          <cell r="D2758">
            <v>144511</v>
          </cell>
          <cell r="E2758">
            <v>114605</v>
          </cell>
        </row>
        <row r="2759">
          <cell r="C2759" t="str">
            <v xml:space="preserve">    SITAGIL            IAP</v>
          </cell>
          <cell r="D2759">
            <v>103269</v>
          </cell>
          <cell r="E2759">
            <v>97400</v>
          </cell>
        </row>
        <row r="2760">
          <cell r="C2760" t="str">
            <v xml:space="preserve">    SILINOR            HT3</v>
          </cell>
          <cell r="D2760">
            <v>16209</v>
          </cell>
          <cell r="E2760">
            <v>12471</v>
          </cell>
        </row>
        <row r="2761">
          <cell r="C2761" t="str">
            <v xml:space="preserve">    SITADUS            OPI</v>
          </cell>
          <cell r="D2761">
            <v>16184</v>
          </cell>
          <cell r="E2761">
            <v>12304</v>
          </cell>
        </row>
        <row r="2762">
          <cell r="C2762" t="str">
            <v xml:space="preserve">    SLIPTIN            D-I</v>
          </cell>
          <cell r="D2762">
            <v>15309</v>
          </cell>
          <cell r="E2762">
            <v>20681</v>
          </cell>
        </row>
        <row r="2763">
          <cell r="C2763" t="str">
            <v xml:space="preserve">    SIGLITA            SQA</v>
          </cell>
          <cell r="D2763">
            <v>12619</v>
          </cell>
          <cell r="E2763">
            <v>12245</v>
          </cell>
        </row>
        <row r="2764">
          <cell r="C2764" t="str">
            <v xml:space="preserve">    JANVIA             ACM</v>
          </cell>
          <cell r="D2764">
            <v>9118</v>
          </cell>
          <cell r="E2764">
            <v>9869</v>
          </cell>
        </row>
        <row r="2765">
          <cell r="C2765" t="str">
            <v xml:space="preserve">    SITAP              A-I</v>
          </cell>
          <cell r="D2765">
            <v>5500</v>
          </cell>
          <cell r="E2765">
            <v>5067</v>
          </cell>
        </row>
        <row r="2766">
          <cell r="C2766" t="str">
            <v xml:space="preserve">    GLUCODIP           SPI</v>
          </cell>
          <cell r="D2766">
            <v>3737</v>
          </cell>
          <cell r="E2766">
            <v>6997</v>
          </cell>
        </row>
        <row r="2767">
          <cell r="C2767" t="str">
            <v xml:space="preserve">    RADIGLIP           RD7</v>
          </cell>
          <cell r="D2767">
            <v>2276</v>
          </cell>
          <cell r="E2767">
            <v>5339</v>
          </cell>
        </row>
        <row r="2768">
          <cell r="C2768" t="str">
            <v xml:space="preserve">    INCRIT             S.Y</v>
          </cell>
          <cell r="D2768">
            <v>754</v>
          </cell>
          <cell r="E2768">
            <v>1020</v>
          </cell>
        </row>
        <row r="2769">
          <cell r="C2769" t="str">
            <v xml:space="preserve">    SGN                PAC</v>
          </cell>
          <cell r="D2769">
            <v>590</v>
          </cell>
          <cell r="E2769">
            <v>2113</v>
          </cell>
        </row>
        <row r="2770">
          <cell r="C2770" t="str">
            <v xml:space="preserve">    SITAZID            ESF</v>
          </cell>
          <cell r="D2770">
            <v>490</v>
          </cell>
          <cell r="E2770">
            <v>187</v>
          </cell>
        </row>
        <row r="2771">
          <cell r="C2771" t="str">
            <v xml:space="preserve">    SIGTIL             WTH</v>
          </cell>
          <cell r="D2771">
            <v>0</v>
          </cell>
          <cell r="E2771">
            <v>127</v>
          </cell>
        </row>
        <row r="2772">
          <cell r="C2772" t="str">
            <v xml:space="preserve">    SUCOSIT            GBE</v>
          </cell>
          <cell r="D2772">
            <v>0</v>
          </cell>
          <cell r="E2772">
            <v>0</v>
          </cell>
        </row>
        <row r="2773">
          <cell r="C2773" t="str">
            <v xml:space="preserve">    SB SITA            SBD</v>
          </cell>
          <cell r="D2773">
            <v>0</v>
          </cell>
          <cell r="E2773">
            <v>0</v>
          </cell>
        </row>
        <row r="2774">
          <cell r="C2774" t="str">
            <v xml:space="preserve">   VILDAGLIPTIN</v>
          </cell>
          <cell r="D2774">
            <v>325348</v>
          </cell>
          <cell r="E2774">
            <v>306385</v>
          </cell>
        </row>
        <row r="2775">
          <cell r="C2775" t="str">
            <v xml:space="preserve">    GALVUS             NVR</v>
          </cell>
          <cell r="D2775">
            <v>117197</v>
          </cell>
          <cell r="E2775">
            <v>147466</v>
          </cell>
        </row>
        <row r="2776">
          <cell r="C2776" t="str">
            <v xml:space="preserve">    DIALIPTIN          D-I</v>
          </cell>
          <cell r="D2776">
            <v>70135</v>
          </cell>
          <cell r="E2776">
            <v>47165</v>
          </cell>
        </row>
        <row r="2777">
          <cell r="C2777" t="str">
            <v xml:space="preserve">    GLUVAN             ATP</v>
          </cell>
          <cell r="D2777">
            <v>47761</v>
          </cell>
          <cell r="E2777">
            <v>44490</v>
          </cell>
        </row>
        <row r="2778">
          <cell r="C2778" t="str">
            <v xml:space="preserve">    APTIN              A-I</v>
          </cell>
          <cell r="D2778">
            <v>45087</v>
          </cell>
          <cell r="E2778">
            <v>18820</v>
          </cell>
        </row>
        <row r="2779">
          <cell r="C2779" t="str">
            <v xml:space="preserve">    VIGLITA            SQA</v>
          </cell>
          <cell r="D2779">
            <v>16939</v>
          </cell>
          <cell r="E2779">
            <v>14717</v>
          </cell>
        </row>
        <row r="2780">
          <cell r="C2780" t="str">
            <v xml:space="preserve">    VILDUS             OPI</v>
          </cell>
          <cell r="D2780">
            <v>13363</v>
          </cell>
          <cell r="E2780">
            <v>13133</v>
          </cell>
        </row>
        <row r="2781">
          <cell r="C2781" t="str">
            <v xml:space="preserve">    VILDAPIN           ACM</v>
          </cell>
          <cell r="D2781">
            <v>7814</v>
          </cell>
          <cell r="E2781">
            <v>6740</v>
          </cell>
        </row>
        <row r="2782">
          <cell r="C2782" t="str">
            <v xml:space="preserve">    VIPTIN             GNR</v>
          </cell>
          <cell r="D2782">
            <v>6806</v>
          </cell>
          <cell r="E2782">
            <v>13311</v>
          </cell>
        </row>
        <row r="2783">
          <cell r="C2783" t="str">
            <v xml:space="preserve">    VILAGLI            D-B</v>
          </cell>
          <cell r="D2783">
            <v>195</v>
          </cell>
          <cell r="E2783">
            <v>72</v>
          </cell>
        </row>
        <row r="2784">
          <cell r="C2784" t="str">
            <v xml:space="preserve">    VIGATIN            ESF</v>
          </cell>
          <cell r="D2784">
            <v>35</v>
          </cell>
          <cell r="E2784">
            <v>327</v>
          </cell>
        </row>
        <row r="2785">
          <cell r="C2785" t="str">
            <v xml:space="preserve">    GALVAN             ATP</v>
          </cell>
          <cell r="D2785">
            <v>9</v>
          </cell>
          <cell r="E2785">
            <v>0</v>
          </cell>
        </row>
        <row r="2786">
          <cell r="C2786" t="str">
            <v xml:space="preserve">    VIDA               PAC</v>
          </cell>
          <cell r="D2786">
            <v>8</v>
          </cell>
          <cell r="E2786">
            <v>137</v>
          </cell>
        </row>
        <row r="2787">
          <cell r="C2787" t="str">
            <v xml:space="preserve">    REDIA              HT3</v>
          </cell>
          <cell r="D2787">
            <v>0</v>
          </cell>
          <cell r="E2787">
            <v>0</v>
          </cell>
        </row>
        <row r="2788">
          <cell r="C2788" t="str">
            <v xml:space="preserve">    SB VILDA           SBD</v>
          </cell>
          <cell r="D2788">
            <v>0</v>
          </cell>
          <cell r="E2788">
            <v>0</v>
          </cell>
        </row>
        <row r="2789">
          <cell r="C2789" t="str">
            <v xml:space="preserve">    VILIP              TMH</v>
          </cell>
          <cell r="D2789">
            <v>0</v>
          </cell>
          <cell r="E2789">
            <v>7</v>
          </cell>
        </row>
        <row r="2790">
          <cell r="C2790" t="str">
            <v xml:space="preserve">   OMARIGLIPTIN</v>
          </cell>
          <cell r="D2790">
            <v>12861</v>
          </cell>
          <cell r="E2790">
            <v>13526</v>
          </cell>
        </row>
        <row r="2791">
          <cell r="C2791" t="str">
            <v xml:space="preserve">    MARZEV             A-I</v>
          </cell>
          <cell r="D2791">
            <v>6720</v>
          </cell>
          <cell r="E2791">
            <v>7719</v>
          </cell>
        </row>
        <row r="2792">
          <cell r="C2792" t="str">
            <v xml:space="preserve">    WIKITIN            ATP</v>
          </cell>
          <cell r="D2792">
            <v>3245</v>
          </cell>
          <cell r="E2792">
            <v>2895</v>
          </cell>
        </row>
        <row r="2793">
          <cell r="C2793" t="str">
            <v xml:space="preserve">    MAKARIO            IAP</v>
          </cell>
          <cell r="D2793">
            <v>1225</v>
          </cell>
          <cell r="E2793">
            <v>0</v>
          </cell>
        </row>
        <row r="2794">
          <cell r="C2794" t="str">
            <v xml:space="preserve">    OMARI              ACM</v>
          </cell>
          <cell r="D2794">
            <v>1141</v>
          </cell>
          <cell r="E2794">
            <v>1416</v>
          </cell>
        </row>
        <row r="2795">
          <cell r="C2795" t="str">
            <v xml:space="preserve">    OMAGLIP            N8V</v>
          </cell>
          <cell r="D2795">
            <v>337</v>
          </cell>
          <cell r="E2795">
            <v>0</v>
          </cell>
        </row>
        <row r="2796">
          <cell r="C2796" t="str">
            <v xml:space="preserve">    OMARIGLIP          OR/</v>
          </cell>
          <cell r="D2796">
            <v>101</v>
          </cell>
          <cell r="E2796">
            <v>1121</v>
          </cell>
        </row>
        <row r="2797">
          <cell r="C2797" t="str">
            <v xml:space="preserve">    OMAGLO             ZIS</v>
          </cell>
          <cell r="D2797">
            <v>91</v>
          </cell>
          <cell r="E2797">
            <v>375</v>
          </cell>
        </row>
        <row r="2798">
          <cell r="C2798" t="str">
            <v xml:space="preserve">   ALOGLIPTIN</v>
          </cell>
          <cell r="D2798">
            <v>8443</v>
          </cell>
          <cell r="E2798">
            <v>14109</v>
          </cell>
        </row>
        <row r="2799">
          <cell r="C2799" t="str">
            <v xml:space="preserve">    ALOGLIP            N8V</v>
          </cell>
          <cell r="D2799">
            <v>8443</v>
          </cell>
          <cell r="E2799">
            <v>13178</v>
          </cell>
        </row>
        <row r="2800">
          <cell r="C2800" t="str">
            <v xml:space="preserve">    ALODIA             ACM</v>
          </cell>
          <cell r="D2800">
            <v>0</v>
          </cell>
          <cell r="E2800">
            <v>272</v>
          </cell>
        </row>
        <row r="2801">
          <cell r="C2801" t="str">
            <v xml:space="preserve">    AGLIP              ESF</v>
          </cell>
          <cell r="D2801">
            <v>0</v>
          </cell>
          <cell r="E2801">
            <v>659</v>
          </cell>
        </row>
        <row r="2802">
          <cell r="C2802" t="str">
            <v xml:space="preserve">   SAXAGLIPTIN</v>
          </cell>
          <cell r="D2802">
            <v>501</v>
          </cell>
          <cell r="E2802">
            <v>777</v>
          </cell>
        </row>
        <row r="2803">
          <cell r="C2803" t="str">
            <v xml:space="preserve">    GLYZA              IBN</v>
          </cell>
          <cell r="D2803">
            <v>501</v>
          </cell>
          <cell r="E2803">
            <v>762</v>
          </cell>
        </row>
        <row r="2804">
          <cell r="C2804" t="str">
            <v xml:space="preserve">    SIXTIN             D-I</v>
          </cell>
          <cell r="D2804">
            <v>0</v>
          </cell>
          <cell r="E2804">
            <v>15</v>
          </cell>
        </row>
        <row r="2805">
          <cell r="C2805" t="str">
            <v xml:space="preserve"> HUMAN INSULIN+ANALOGUES</v>
          </cell>
          <cell r="D2805">
            <v>9711384</v>
          </cell>
          <cell r="E2805">
            <v>10300408</v>
          </cell>
        </row>
        <row r="2806">
          <cell r="C2806" t="str">
            <v xml:space="preserve">  H INSUL+AN I- OR L-A+F-A</v>
          </cell>
          <cell r="D2806">
            <v>5926289</v>
          </cell>
          <cell r="E2806">
            <v>6412471</v>
          </cell>
        </row>
        <row r="2807">
          <cell r="C2807" t="str">
            <v xml:space="preserve">   INSULIN HUMAN BASE+INSULIN HUMAN ISOPHANE</v>
          </cell>
          <cell r="D2807">
            <v>4176937</v>
          </cell>
          <cell r="E2807">
            <v>4424044</v>
          </cell>
        </row>
        <row r="2808">
          <cell r="C2808" t="str">
            <v xml:space="preserve">    MIXTARD 30         N-N</v>
          </cell>
          <cell r="D2808">
            <v>1435485</v>
          </cell>
          <cell r="E2808">
            <v>1561937</v>
          </cell>
        </row>
        <row r="2809">
          <cell r="C2809" t="str">
            <v xml:space="preserve">    MAXSULIN 30/70     IAP</v>
          </cell>
          <cell r="D2809">
            <v>812507</v>
          </cell>
          <cell r="E2809">
            <v>756932</v>
          </cell>
        </row>
        <row r="2810">
          <cell r="C2810" t="str">
            <v xml:space="preserve">    ANSULIN-30/70      SQA</v>
          </cell>
          <cell r="D2810">
            <v>459974</v>
          </cell>
          <cell r="E2810">
            <v>400720</v>
          </cell>
        </row>
        <row r="2811">
          <cell r="C2811" t="str">
            <v xml:space="preserve">    GENSULIN-M30       BXM</v>
          </cell>
          <cell r="D2811">
            <v>284974</v>
          </cell>
          <cell r="E2811">
            <v>254965</v>
          </cell>
        </row>
        <row r="2812">
          <cell r="C2812" t="str">
            <v xml:space="preserve">    MIXTARD 30 FLEXPEN N-N</v>
          </cell>
          <cell r="D2812">
            <v>261369</v>
          </cell>
          <cell r="E2812">
            <v>495045</v>
          </cell>
        </row>
        <row r="2813">
          <cell r="C2813" t="str">
            <v xml:space="preserve">    DIASULIN-30/70     A-I</v>
          </cell>
          <cell r="D2813">
            <v>201485</v>
          </cell>
          <cell r="E2813">
            <v>178306</v>
          </cell>
        </row>
        <row r="2814">
          <cell r="C2814" t="str">
            <v xml:space="preserve">    MAXSULIN 50/50     IAP</v>
          </cell>
          <cell r="D2814">
            <v>198748</v>
          </cell>
          <cell r="E2814">
            <v>139821</v>
          </cell>
        </row>
        <row r="2815">
          <cell r="C2815" t="str">
            <v xml:space="preserve">    ANSULIN-50/50      SQA</v>
          </cell>
          <cell r="D2815">
            <v>146490</v>
          </cell>
          <cell r="E2815">
            <v>100316</v>
          </cell>
        </row>
        <row r="2816">
          <cell r="C2816" t="str">
            <v xml:space="preserve">    INSULET 30/70      ATP</v>
          </cell>
          <cell r="D2816">
            <v>83255</v>
          </cell>
          <cell r="E2816">
            <v>77901</v>
          </cell>
        </row>
        <row r="2817">
          <cell r="C2817" t="str">
            <v xml:space="preserve">    MYSULIN 30/70      D-I</v>
          </cell>
          <cell r="D2817">
            <v>59907</v>
          </cell>
          <cell r="E2817">
            <v>60153</v>
          </cell>
        </row>
        <row r="2818">
          <cell r="C2818" t="str">
            <v xml:space="preserve">    INSUL 30/70        PPH</v>
          </cell>
          <cell r="D2818">
            <v>59576</v>
          </cell>
          <cell r="E2818">
            <v>66520</v>
          </cell>
        </row>
        <row r="2819">
          <cell r="C2819" t="str">
            <v xml:space="preserve">    DIASULIN-50/50     A-I</v>
          </cell>
          <cell r="D2819">
            <v>53428</v>
          </cell>
          <cell r="E2819">
            <v>40925</v>
          </cell>
        </row>
        <row r="2820">
          <cell r="C2820" t="str">
            <v xml:space="preserve">    HUMULIN 70/30      LLY</v>
          </cell>
          <cell r="D2820">
            <v>49865</v>
          </cell>
          <cell r="E2820">
            <v>200404</v>
          </cell>
        </row>
        <row r="2821">
          <cell r="C2821" t="str">
            <v xml:space="preserve">    MIXTARD 50         N-N</v>
          </cell>
          <cell r="D2821">
            <v>24706</v>
          </cell>
          <cell r="E2821">
            <v>48056</v>
          </cell>
        </row>
        <row r="2822">
          <cell r="C2822" t="str">
            <v xml:space="preserve">    INSULET 50/50      ATP</v>
          </cell>
          <cell r="D2822">
            <v>23147</v>
          </cell>
          <cell r="E2822">
            <v>14008</v>
          </cell>
        </row>
        <row r="2823">
          <cell r="C2823" t="str">
            <v xml:space="preserve">    MYSULIN 50/50      D-I</v>
          </cell>
          <cell r="D2823">
            <v>16625</v>
          </cell>
          <cell r="E2823">
            <v>10616</v>
          </cell>
        </row>
        <row r="2824">
          <cell r="C2824" t="str">
            <v xml:space="preserve">    INSUL-50/50        PPH</v>
          </cell>
          <cell r="D2824">
            <v>2619</v>
          </cell>
          <cell r="E2824">
            <v>1934</v>
          </cell>
        </row>
        <row r="2825">
          <cell r="C2825" t="str">
            <v xml:space="preserve">    INSUL 50/50        PPH</v>
          </cell>
          <cell r="D2825">
            <v>1766</v>
          </cell>
          <cell r="E2825">
            <v>3576</v>
          </cell>
        </row>
        <row r="2826">
          <cell r="C2826" t="str">
            <v xml:space="preserve">    MYSULIN 50/50 PEN  D-I</v>
          </cell>
          <cell r="D2826">
            <v>1012</v>
          </cell>
          <cell r="E2826">
            <v>857</v>
          </cell>
        </row>
        <row r="2827">
          <cell r="C2827" t="str">
            <v xml:space="preserve">    INSUMAN-COMB       S.Y</v>
          </cell>
          <cell r="D2827">
            <v>0</v>
          </cell>
          <cell r="E2827">
            <v>482</v>
          </cell>
        </row>
        <row r="2828">
          <cell r="C2828" t="str">
            <v xml:space="preserve">    MIXTARD 30-NOVOLET N-N</v>
          </cell>
          <cell r="D2828">
            <v>0</v>
          </cell>
          <cell r="E2828">
            <v>0</v>
          </cell>
        </row>
        <row r="2829">
          <cell r="C2829" t="str">
            <v xml:space="preserve">    INSUMAN-COMB CRT   S.Y</v>
          </cell>
          <cell r="D2829">
            <v>0</v>
          </cell>
          <cell r="E2829">
            <v>10570</v>
          </cell>
        </row>
        <row r="2830">
          <cell r="C2830" t="str">
            <v xml:space="preserve">   INSULIN ASPART+INSULIN ASPART PROTAMINE CRYSTALLINE</v>
          </cell>
          <cell r="D2830">
            <v>781888</v>
          </cell>
          <cell r="E2830">
            <v>973428</v>
          </cell>
        </row>
        <row r="2831">
          <cell r="C2831" t="str">
            <v xml:space="preserve">    NOVOMIX-30 PENFILL N-N</v>
          </cell>
          <cell r="D2831">
            <v>469900</v>
          </cell>
          <cell r="E2831">
            <v>584237</v>
          </cell>
        </row>
        <row r="2832">
          <cell r="C2832" t="str">
            <v xml:space="preserve">    NOVOMIX-30 FLEXPEN N-N</v>
          </cell>
          <cell r="D2832">
            <v>209061</v>
          </cell>
          <cell r="E2832">
            <v>288025</v>
          </cell>
        </row>
        <row r="2833">
          <cell r="C2833" t="str">
            <v xml:space="preserve">    GLYSET-MIX         IAP</v>
          </cell>
          <cell r="D2833">
            <v>62393</v>
          </cell>
          <cell r="E2833">
            <v>68870</v>
          </cell>
        </row>
        <row r="2834">
          <cell r="C2834" t="str">
            <v xml:space="preserve">    ACILOG MIX         A-I</v>
          </cell>
          <cell r="D2834">
            <v>40313</v>
          </cell>
          <cell r="E2834">
            <v>31516</v>
          </cell>
        </row>
        <row r="2835">
          <cell r="C2835" t="str">
            <v xml:space="preserve">    INSULET ASP 30/70  ATP</v>
          </cell>
          <cell r="D2835">
            <v>222</v>
          </cell>
          <cell r="E2835">
            <v>780</v>
          </cell>
        </row>
        <row r="2836">
          <cell r="C2836" t="str">
            <v xml:space="preserve">   INSULIN LISPRO+INSULIN LISPRO PROTAMINE</v>
          </cell>
          <cell r="D2836">
            <v>701382</v>
          </cell>
          <cell r="E2836">
            <v>686799</v>
          </cell>
        </row>
        <row r="2837">
          <cell r="C2837" t="str">
            <v xml:space="preserve">    HUMALOG-MIX 25     LLY</v>
          </cell>
          <cell r="D2837">
            <v>375668</v>
          </cell>
          <cell r="E2837">
            <v>396301</v>
          </cell>
        </row>
        <row r="2838">
          <cell r="C2838" t="str">
            <v xml:space="preserve">    HUMALOG-MIX-50     LLY</v>
          </cell>
          <cell r="D2838">
            <v>325714</v>
          </cell>
          <cell r="E2838">
            <v>290498</v>
          </cell>
        </row>
        <row r="2839">
          <cell r="C2839" t="str">
            <v xml:space="preserve">   INSULIN ASPART+INSULIN DEGLUDEC</v>
          </cell>
          <cell r="D2839">
            <v>227111</v>
          </cell>
          <cell r="E2839">
            <v>295465</v>
          </cell>
        </row>
        <row r="2840">
          <cell r="C2840" t="str">
            <v xml:space="preserve">    RYZODEG            N-N</v>
          </cell>
          <cell r="D2840">
            <v>227111</v>
          </cell>
          <cell r="E2840">
            <v>295465</v>
          </cell>
        </row>
        <row r="2841">
          <cell r="C2841" t="str">
            <v xml:space="preserve">   INSULIN ASPART+INSULIN ASPART PROTAMINE</v>
          </cell>
          <cell r="D2841">
            <v>38971</v>
          </cell>
          <cell r="E2841">
            <v>32734</v>
          </cell>
        </row>
        <row r="2842">
          <cell r="C2842" t="str">
            <v xml:space="preserve">    ACILOG-MIX BIOPEN  A-I</v>
          </cell>
          <cell r="D2842">
            <v>33797</v>
          </cell>
          <cell r="E2842">
            <v>32606</v>
          </cell>
        </row>
        <row r="2843">
          <cell r="C2843" t="str">
            <v xml:space="preserve">    RAPIMIX            SQA</v>
          </cell>
          <cell r="D2843">
            <v>5173</v>
          </cell>
          <cell r="E2843">
            <v>0</v>
          </cell>
        </row>
        <row r="2844">
          <cell r="C2844" t="str">
            <v xml:space="preserve">    MYPART MIX PENSET  D-I</v>
          </cell>
          <cell r="D2844">
            <v>0</v>
          </cell>
          <cell r="E2844">
            <v>128</v>
          </cell>
        </row>
        <row r="2845">
          <cell r="C2845" t="str">
            <v xml:space="preserve">  H INSUL+ANA FAST ACT</v>
          </cell>
          <cell r="D2845">
            <v>2013416</v>
          </cell>
          <cell r="E2845">
            <v>2238792</v>
          </cell>
        </row>
        <row r="2846">
          <cell r="C2846" t="str">
            <v xml:space="preserve">   INSULIN HUMAN BASE</v>
          </cell>
          <cell r="D2846">
            <v>945172</v>
          </cell>
          <cell r="E2846">
            <v>1252005</v>
          </cell>
        </row>
        <row r="2847">
          <cell r="C2847" t="str">
            <v xml:space="preserve">    INS ACTRAPID HM    N-N</v>
          </cell>
          <cell r="D2847">
            <v>257095</v>
          </cell>
          <cell r="E2847">
            <v>379020</v>
          </cell>
        </row>
        <row r="2848">
          <cell r="C2848" t="str">
            <v xml:space="preserve">    MAXSULIN R         IAP</v>
          </cell>
          <cell r="D2848">
            <v>243226</v>
          </cell>
          <cell r="E2848">
            <v>237131</v>
          </cell>
        </row>
        <row r="2849">
          <cell r="C2849" t="str">
            <v xml:space="preserve">    ANSULIN-R          SQA</v>
          </cell>
          <cell r="D2849">
            <v>131873</v>
          </cell>
          <cell r="E2849">
            <v>120227</v>
          </cell>
        </row>
        <row r="2850">
          <cell r="C2850" t="str">
            <v xml:space="preserve">    GENSULIN-R         BXM</v>
          </cell>
          <cell r="D2850">
            <v>96779</v>
          </cell>
          <cell r="E2850">
            <v>76216</v>
          </cell>
        </row>
        <row r="2851">
          <cell r="C2851" t="str">
            <v xml:space="preserve">    DIASULIN-R         A-I</v>
          </cell>
          <cell r="D2851">
            <v>59426</v>
          </cell>
          <cell r="E2851">
            <v>61587</v>
          </cell>
        </row>
        <row r="2852">
          <cell r="C2852" t="str">
            <v xml:space="preserve">    ACTRAPID-PENFILL   N-N</v>
          </cell>
          <cell r="D2852">
            <v>57802</v>
          </cell>
          <cell r="E2852">
            <v>103716</v>
          </cell>
        </row>
        <row r="2853">
          <cell r="C2853" t="str">
            <v xml:space="preserve">    ACTRAPID FLEXPEN   N-N</v>
          </cell>
          <cell r="D2853">
            <v>50030</v>
          </cell>
          <cell r="E2853">
            <v>152405</v>
          </cell>
        </row>
        <row r="2854">
          <cell r="C2854" t="str">
            <v xml:space="preserve">    INSUL R            PPH</v>
          </cell>
          <cell r="D2854">
            <v>17505</v>
          </cell>
          <cell r="E2854">
            <v>17728</v>
          </cell>
        </row>
        <row r="2855">
          <cell r="C2855" t="str">
            <v xml:space="preserve">    INSULET-R          ATP</v>
          </cell>
          <cell r="D2855">
            <v>15623</v>
          </cell>
          <cell r="E2855">
            <v>12788</v>
          </cell>
        </row>
        <row r="2856">
          <cell r="C2856" t="str">
            <v xml:space="preserve">    MYSULIN-R          D-I</v>
          </cell>
          <cell r="D2856">
            <v>8213</v>
          </cell>
          <cell r="E2856">
            <v>8812</v>
          </cell>
        </row>
        <row r="2857">
          <cell r="C2857" t="str">
            <v xml:space="preserve">    HUMULIN-R          LLY</v>
          </cell>
          <cell r="D2857">
            <v>6086</v>
          </cell>
          <cell r="E2857">
            <v>80845</v>
          </cell>
        </row>
        <row r="2858">
          <cell r="C2858" t="str">
            <v xml:space="preserve">    MYSULIN            D-I</v>
          </cell>
          <cell r="D2858">
            <v>1514</v>
          </cell>
          <cell r="E2858">
            <v>1528</v>
          </cell>
        </row>
        <row r="2859">
          <cell r="C2859" t="str">
            <v xml:space="preserve">    ACTRAPID-NOVOLET   N-N</v>
          </cell>
          <cell r="D2859">
            <v>0</v>
          </cell>
          <cell r="E2859">
            <v>0</v>
          </cell>
        </row>
        <row r="2860">
          <cell r="C2860" t="str">
            <v xml:space="preserve">   INSULIN ASPART</v>
          </cell>
          <cell r="D2860">
            <v>570414</v>
          </cell>
          <cell r="E2860">
            <v>629057</v>
          </cell>
        </row>
        <row r="2861">
          <cell r="C2861" t="str">
            <v xml:space="preserve">    NOVORAPID-PENFILL  N-N</v>
          </cell>
          <cell r="D2861">
            <v>253954</v>
          </cell>
          <cell r="E2861">
            <v>281175</v>
          </cell>
        </row>
        <row r="2862">
          <cell r="C2862" t="str">
            <v xml:space="preserve">    NOVORAPID-FLEXPEN  N-N</v>
          </cell>
          <cell r="D2862">
            <v>162778</v>
          </cell>
          <cell r="E2862">
            <v>246923</v>
          </cell>
        </row>
        <row r="2863">
          <cell r="C2863" t="str">
            <v xml:space="preserve">    ACILOG-BIOPEN      A-I</v>
          </cell>
          <cell r="D2863">
            <v>88211</v>
          </cell>
          <cell r="E2863">
            <v>27109</v>
          </cell>
        </row>
        <row r="2864">
          <cell r="C2864" t="str">
            <v xml:space="preserve">    RAPILOG            SQA</v>
          </cell>
          <cell r="D2864">
            <v>21603</v>
          </cell>
          <cell r="E2864">
            <v>15636</v>
          </cell>
        </row>
        <row r="2865">
          <cell r="C2865" t="str">
            <v xml:space="preserve">    ACILOG             A-I</v>
          </cell>
          <cell r="D2865">
            <v>19835</v>
          </cell>
          <cell r="E2865">
            <v>16488</v>
          </cell>
        </row>
        <row r="2866">
          <cell r="C2866" t="str">
            <v xml:space="preserve">    GLYSET-VITA        IAP</v>
          </cell>
          <cell r="D2866">
            <v>15596</v>
          </cell>
          <cell r="E2866">
            <v>8774</v>
          </cell>
        </row>
        <row r="2867">
          <cell r="C2867" t="str">
            <v xml:space="preserve">    ACILOG-CARTRIDGE   A-I</v>
          </cell>
          <cell r="D2867">
            <v>6685</v>
          </cell>
          <cell r="E2867">
            <v>4255</v>
          </cell>
        </row>
        <row r="2868">
          <cell r="C2868" t="str">
            <v xml:space="preserve">    GLYSET-R           IAP</v>
          </cell>
          <cell r="D2868">
            <v>1220</v>
          </cell>
          <cell r="E2868">
            <v>2161</v>
          </cell>
        </row>
        <row r="2869">
          <cell r="C2869" t="str">
            <v xml:space="preserve">    INSULET ASP        ATP</v>
          </cell>
          <cell r="D2869">
            <v>532</v>
          </cell>
          <cell r="E2869">
            <v>605</v>
          </cell>
        </row>
        <row r="2870">
          <cell r="C2870" t="str">
            <v xml:space="preserve">    FIASP              N-N</v>
          </cell>
          <cell r="D2870">
            <v>0</v>
          </cell>
          <cell r="E2870">
            <v>25828</v>
          </cell>
        </row>
        <row r="2871">
          <cell r="C2871" t="str">
            <v xml:space="preserve">    MYPART             D-I</v>
          </cell>
          <cell r="D2871">
            <v>0</v>
          </cell>
          <cell r="E2871">
            <v>0</v>
          </cell>
        </row>
        <row r="2872">
          <cell r="C2872" t="str">
            <v xml:space="preserve">    MYPART PENSET      D-I</v>
          </cell>
          <cell r="D2872">
            <v>0</v>
          </cell>
          <cell r="E2872">
            <v>102</v>
          </cell>
        </row>
        <row r="2873">
          <cell r="C2873" t="str">
            <v xml:space="preserve">   INSULIN LISPRO</v>
          </cell>
          <cell r="D2873">
            <v>448853</v>
          </cell>
          <cell r="E2873">
            <v>304750</v>
          </cell>
        </row>
        <row r="2874">
          <cell r="C2874" t="str">
            <v xml:space="preserve">    HUMALOG-KWIKPEN    LLY</v>
          </cell>
          <cell r="D2874">
            <v>387870</v>
          </cell>
          <cell r="E2874">
            <v>248839</v>
          </cell>
        </row>
        <row r="2875">
          <cell r="C2875" t="str">
            <v xml:space="preserve">    HUMALOG-U-200      LLY</v>
          </cell>
          <cell r="D2875">
            <v>60983</v>
          </cell>
          <cell r="E2875">
            <v>55911</v>
          </cell>
        </row>
        <row r="2876">
          <cell r="C2876" t="str">
            <v xml:space="preserve">   INSULIN GLULISINE</v>
          </cell>
          <cell r="D2876">
            <v>48977</v>
          </cell>
          <cell r="E2876">
            <v>52981</v>
          </cell>
        </row>
        <row r="2877">
          <cell r="C2877" t="str">
            <v xml:space="preserve">    APIDRA             S.Y</v>
          </cell>
          <cell r="D2877">
            <v>48977</v>
          </cell>
          <cell r="E2877">
            <v>52981</v>
          </cell>
        </row>
        <row r="2878">
          <cell r="C2878" t="str">
            <v xml:space="preserve">  H INSUL+ANA LONG ACT</v>
          </cell>
          <cell r="D2878">
            <v>1164205</v>
          </cell>
          <cell r="E2878">
            <v>1052868</v>
          </cell>
        </row>
        <row r="2879">
          <cell r="C2879" t="str">
            <v xml:space="preserve">   INSULIN GLARGINE</v>
          </cell>
          <cell r="D2879">
            <v>1031108</v>
          </cell>
          <cell r="E2879">
            <v>795035</v>
          </cell>
        </row>
        <row r="2880">
          <cell r="C2880" t="str">
            <v xml:space="preserve">    LANTUS             S.Y</v>
          </cell>
          <cell r="D2880">
            <v>302155</v>
          </cell>
          <cell r="E2880">
            <v>304882</v>
          </cell>
        </row>
        <row r="2881">
          <cell r="C2881" t="str">
            <v xml:space="preserve">    ABASAGLAR          LLY</v>
          </cell>
          <cell r="D2881">
            <v>243925</v>
          </cell>
          <cell r="E2881">
            <v>158977</v>
          </cell>
        </row>
        <row r="2882">
          <cell r="C2882" t="str">
            <v xml:space="preserve">    GLARINE            A-I</v>
          </cell>
          <cell r="D2882">
            <v>206556</v>
          </cell>
          <cell r="E2882">
            <v>103162</v>
          </cell>
        </row>
        <row r="2883">
          <cell r="C2883" t="str">
            <v xml:space="preserve">    VIBRENTA           IAP</v>
          </cell>
          <cell r="D2883">
            <v>205112</v>
          </cell>
          <cell r="E2883">
            <v>160740</v>
          </cell>
        </row>
        <row r="2884">
          <cell r="C2884" t="str">
            <v xml:space="preserve">    LARSULIN           SQA</v>
          </cell>
          <cell r="D2884">
            <v>54395</v>
          </cell>
          <cell r="E2884">
            <v>46526</v>
          </cell>
        </row>
        <row r="2885">
          <cell r="C2885" t="str">
            <v xml:space="preserve">    SEMGLEE            BXM</v>
          </cell>
          <cell r="D2885">
            <v>8264</v>
          </cell>
          <cell r="E2885">
            <v>11321</v>
          </cell>
        </row>
        <row r="2886">
          <cell r="C2886" t="str">
            <v xml:space="preserve">    TOUJEO             S.Y</v>
          </cell>
          <cell r="D2886">
            <v>5747</v>
          </cell>
          <cell r="E2886">
            <v>4571</v>
          </cell>
        </row>
        <row r="2887">
          <cell r="C2887" t="str">
            <v xml:space="preserve">    INSULET GN         ATP</v>
          </cell>
          <cell r="D2887">
            <v>3931</v>
          </cell>
          <cell r="E2887">
            <v>2483</v>
          </cell>
        </row>
        <row r="2888">
          <cell r="C2888" t="str">
            <v xml:space="preserve">    INSUL GLARGINE     PPH</v>
          </cell>
          <cell r="D2888">
            <v>1024</v>
          </cell>
          <cell r="E2888">
            <v>2372</v>
          </cell>
        </row>
        <row r="2889">
          <cell r="C2889" t="str">
            <v xml:space="preserve">   INSULIN DEGLUDEC</v>
          </cell>
          <cell r="D2889">
            <v>75306</v>
          </cell>
          <cell r="E2889">
            <v>128858</v>
          </cell>
        </row>
        <row r="2890">
          <cell r="C2890" t="str">
            <v xml:space="preserve">    TRESIBA            N-N</v>
          </cell>
          <cell r="D2890">
            <v>75306</v>
          </cell>
          <cell r="E2890">
            <v>128858</v>
          </cell>
        </row>
        <row r="2891">
          <cell r="C2891" t="str">
            <v xml:space="preserve">   INSULIN DETEMIR</v>
          </cell>
          <cell r="D2891">
            <v>57791</v>
          </cell>
          <cell r="E2891">
            <v>128975</v>
          </cell>
        </row>
        <row r="2892">
          <cell r="C2892" t="str">
            <v xml:space="preserve">    LEVEMIR            N-N</v>
          </cell>
          <cell r="D2892">
            <v>57791</v>
          </cell>
          <cell r="E2892">
            <v>128975</v>
          </cell>
        </row>
        <row r="2893">
          <cell r="C2893" t="str">
            <v xml:space="preserve">  H INSUL+ANA INTERMED ACT</v>
          </cell>
          <cell r="D2893">
            <v>607473</v>
          </cell>
          <cell r="E2893">
            <v>596277</v>
          </cell>
        </row>
        <row r="2894">
          <cell r="C2894" t="str">
            <v xml:space="preserve">   INSULIN HUMAN ISOPHANE</v>
          </cell>
          <cell r="D2894">
            <v>607473</v>
          </cell>
          <cell r="E2894">
            <v>596277</v>
          </cell>
        </row>
        <row r="2895">
          <cell r="C2895" t="str">
            <v xml:space="preserve">    MAXSULIN N         IAP</v>
          </cell>
          <cell r="D2895">
            <v>145730</v>
          </cell>
          <cell r="E2895">
            <v>118243</v>
          </cell>
        </row>
        <row r="2896">
          <cell r="C2896" t="str">
            <v xml:space="preserve">    ANSULIN-N          SQA</v>
          </cell>
          <cell r="D2896">
            <v>126609</v>
          </cell>
          <cell r="E2896">
            <v>82704</v>
          </cell>
        </row>
        <row r="2897">
          <cell r="C2897" t="str">
            <v xml:space="preserve">    INSULATARD-HM      N-N</v>
          </cell>
          <cell r="D2897">
            <v>85334</v>
          </cell>
          <cell r="E2897">
            <v>100173</v>
          </cell>
        </row>
        <row r="2898">
          <cell r="C2898" t="str">
            <v xml:space="preserve">    INSULATARD         N-N</v>
          </cell>
          <cell r="D2898">
            <v>74972</v>
          </cell>
          <cell r="E2898">
            <v>90597</v>
          </cell>
        </row>
        <row r="2899">
          <cell r="C2899" t="str">
            <v xml:space="preserve">    GENSULIN-N         BXM</v>
          </cell>
          <cell r="D2899">
            <v>66795</v>
          </cell>
          <cell r="E2899">
            <v>53308</v>
          </cell>
        </row>
        <row r="2900">
          <cell r="C2900" t="str">
            <v xml:space="preserve">    DIASULIN-N         A-I</v>
          </cell>
          <cell r="D2900">
            <v>62408</v>
          </cell>
          <cell r="E2900">
            <v>46546</v>
          </cell>
        </row>
        <row r="2901">
          <cell r="C2901" t="str">
            <v xml:space="preserve">    INSUL N            PPH</v>
          </cell>
          <cell r="D2901">
            <v>19639</v>
          </cell>
          <cell r="E2901">
            <v>14225</v>
          </cell>
        </row>
        <row r="2902">
          <cell r="C2902" t="str">
            <v xml:space="preserve">    INSULET-N          ATP</v>
          </cell>
          <cell r="D2902">
            <v>17144</v>
          </cell>
          <cell r="E2902">
            <v>10328</v>
          </cell>
        </row>
        <row r="2903">
          <cell r="C2903" t="str">
            <v xml:space="preserve">    INSULATARD FLEXPEN N-N</v>
          </cell>
          <cell r="D2903">
            <v>5670</v>
          </cell>
          <cell r="E2903">
            <v>7728</v>
          </cell>
        </row>
        <row r="2904">
          <cell r="C2904" t="str">
            <v xml:space="preserve">    HUMULIN-N          LLY</v>
          </cell>
          <cell r="D2904">
            <v>3172</v>
          </cell>
          <cell r="E2904">
            <v>72426</v>
          </cell>
        </row>
        <row r="2905">
          <cell r="C2905" t="str">
            <v xml:space="preserve">    INSULATARD-NOVOLET N-N</v>
          </cell>
          <cell r="D2905">
            <v>0</v>
          </cell>
          <cell r="E2905">
            <v>0</v>
          </cell>
        </row>
        <row r="2906">
          <cell r="C2906" t="str">
            <v xml:space="preserve"> ANTILEUK ANTI-ASTHMATICS</v>
          </cell>
          <cell r="D2906">
            <v>8654963</v>
          </cell>
          <cell r="E2906">
            <v>8390654</v>
          </cell>
        </row>
        <row r="2907">
          <cell r="C2907" t="str">
            <v xml:space="preserve">  ANTILEUK ANTI-ASTHM SYS</v>
          </cell>
          <cell r="D2907">
            <v>8654963</v>
          </cell>
          <cell r="E2907">
            <v>8390654</v>
          </cell>
        </row>
        <row r="2908">
          <cell r="C2908" t="str">
            <v xml:space="preserve">   MONTELUKAST</v>
          </cell>
          <cell r="D2908">
            <v>8654884</v>
          </cell>
          <cell r="E2908">
            <v>8390445</v>
          </cell>
        </row>
        <row r="2909">
          <cell r="C2909" t="str">
            <v xml:space="preserve">    MONAS              ACM</v>
          </cell>
          <cell r="D2909">
            <v>2624504</v>
          </cell>
          <cell r="E2909">
            <v>2326463</v>
          </cell>
        </row>
        <row r="2910">
          <cell r="C2910" t="str">
            <v xml:space="preserve">    MONTAIR            IAP</v>
          </cell>
          <cell r="D2910">
            <v>1118633</v>
          </cell>
          <cell r="E2910">
            <v>1101791</v>
          </cell>
        </row>
        <row r="2911">
          <cell r="C2911" t="str">
            <v xml:space="preserve">    AERON              HT3</v>
          </cell>
          <cell r="D2911">
            <v>748385</v>
          </cell>
          <cell r="E2911">
            <v>645297</v>
          </cell>
        </row>
        <row r="2912">
          <cell r="C2912" t="str">
            <v xml:space="preserve">    MONTENE            SQA</v>
          </cell>
          <cell r="D2912">
            <v>647763</v>
          </cell>
          <cell r="E2912">
            <v>596730</v>
          </cell>
        </row>
        <row r="2913">
          <cell r="C2913" t="str">
            <v xml:space="preserve">    LUMONA             ESF</v>
          </cell>
          <cell r="D2913">
            <v>626237</v>
          </cell>
          <cell r="E2913">
            <v>520607</v>
          </cell>
        </row>
        <row r="2914">
          <cell r="C2914" t="str">
            <v xml:space="preserve">    M-KAST             D-I</v>
          </cell>
          <cell r="D2914">
            <v>549524</v>
          </cell>
          <cell r="E2914">
            <v>682507</v>
          </cell>
        </row>
        <row r="2915">
          <cell r="C2915" t="str">
            <v xml:space="preserve">    PROVAIR            UNH</v>
          </cell>
          <cell r="D2915">
            <v>366044</v>
          </cell>
          <cell r="E2915">
            <v>495114</v>
          </cell>
        </row>
        <row r="2916">
          <cell r="C2916" t="str">
            <v xml:space="preserve">    TRILOCK            OPI</v>
          </cell>
          <cell r="D2916">
            <v>333408</v>
          </cell>
          <cell r="E2916">
            <v>258244</v>
          </cell>
        </row>
        <row r="2917">
          <cell r="C2917" t="str">
            <v xml:space="preserve">    XYFLO              RD7</v>
          </cell>
          <cell r="D2917">
            <v>316103</v>
          </cell>
          <cell r="E2917">
            <v>285781</v>
          </cell>
        </row>
        <row r="2918">
          <cell r="C2918" t="str">
            <v xml:space="preserve">    REVERSAIR          A-I</v>
          </cell>
          <cell r="D2918">
            <v>231947</v>
          </cell>
          <cell r="E2918">
            <v>241916</v>
          </cell>
        </row>
        <row r="2919">
          <cell r="C2919" t="str">
            <v xml:space="preserve">    MONOCAST           BXM</v>
          </cell>
          <cell r="D2919">
            <v>212730</v>
          </cell>
          <cell r="E2919">
            <v>217564</v>
          </cell>
        </row>
        <row r="2920">
          <cell r="C2920" t="str">
            <v xml:space="preserve">    M-LUCAS            PPH</v>
          </cell>
          <cell r="D2920">
            <v>198366</v>
          </cell>
          <cell r="E2920">
            <v>137838</v>
          </cell>
        </row>
        <row r="2921">
          <cell r="C2921" t="str">
            <v xml:space="preserve">    MONTRIL            ATP</v>
          </cell>
          <cell r="D2921">
            <v>146244</v>
          </cell>
          <cell r="E2921">
            <v>159195</v>
          </cell>
        </row>
        <row r="2922">
          <cell r="C2922" t="str">
            <v xml:space="preserve">    ODMON              RTA</v>
          </cell>
          <cell r="D2922">
            <v>132842</v>
          </cell>
          <cell r="E2922">
            <v>126928</v>
          </cell>
        </row>
        <row r="2923">
          <cell r="C2923" t="str">
            <v xml:space="preserve">    AROKAST            N8V</v>
          </cell>
          <cell r="D2923">
            <v>78860</v>
          </cell>
          <cell r="E2923">
            <v>112191</v>
          </cell>
        </row>
        <row r="2924">
          <cell r="C2924" t="str">
            <v xml:space="preserve">    MONTIVA            NJP</v>
          </cell>
          <cell r="D2924">
            <v>50649</v>
          </cell>
          <cell r="E2924">
            <v>78966</v>
          </cell>
        </row>
        <row r="2925">
          <cell r="C2925" t="str">
            <v xml:space="preserve">    MONTELA            D&amp;B</v>
          </cell>
          <cell r="D2925">
            <v>38157</v>
          </cell>
          <cell r="E2925">
            <v>53641</v>
          </cell>
        </row>
        <row r="2926">
          <cell r="C2926" t="str">
            <v xml:space="preserve">    MONTILAB           LDB</v>
          </cell>
          <cell r="D2926">
            <v>36211</v>
          </cell>
          <cell r="E2926">
            <v>44780</v>
          </cell>
        </row>
        <row r="2927">
          <cell r="C2927" t="str">
            <v xml:space="preserve">    TELUKAST           GNR</v>
          </cell>
          <cell r="D2927">
            <v>33628</v>
          </cell>
          <cell r="E2927">
            <v>84568</v>
          </cell>
        </row>
        <row r="2928">
          <cell r="C2928" t="str">
            <v xml:space="preserve">    MONTEX             IBN</v>
          </cell>
          <cell r="D2928">
            <v>31877</v>
          </cell>
          <cell r="E2928">
            <v>43177</v>
          </cell>
        </row>
        <row r="2929">
          <cell r="C2929" t="str">
            <v xml:space="preserve">    AROVENT            OR/</v>
          </cell>
          <cell r="D2929">
            <v>28657</v>
          </cell>
          <cell r="E2929">
            <v>45808</v>
          </cell>
        </row>
        <row r="2930">
          <cell r="C2930" t="str">
            <v xml:space="preserve">    MONTINEX           BAC</v>
          </cell>
          <cell r="D2930">
            <v>23442</v>
          </cell>
          <cell r="E2930">
            <v>31469</v>
          </cell>
        </row>
        <row r="2931">
          <cell r="C2931" t="str">
            <v xml:space="preserve">    MONFAST            S.Y</v>
          </cell>
          <cell r="D2931">
            <v>15077</v>
          </cell>
          <cell r="E2931">
            <v>5809</v>
          </cell>
        </row>
        <row r="2932">
          <cell r="C2932" t="str">
            <v xml:space="preserve">    MONALAST           ZIS</v>
          </cell>
          <cell r="D2932">
            <v>12392</v>
          </cell>
          <cell r="E2932">
            <v>20052</v>
          </cell>
        </row>
        <row r="2933">
          <cell r="C2933" t="str">
            <v xml:space="preserve">    LUMENTA            SDZ</v>
          </cell>
          <cell r="D2933">
            <v>10075</v>
          </cell>
          <cell r="E2933">
            <v>14891</v>
          </cell>
        </row>
        <row r="2934">
          <cell r="C2934" t="str">
            <v xml:space="preserve">    PULMONT            NUV</v>
          </cell>
          <cell r="D2934">
            <v>7785</v>
          </cell>
          <cell r="E2934">
            <v>6546</v>
          </cell>
        </row>
        <row r="2935">
          <cell r="C2935" t="str">
            <v xml:space="preserve">    MONTEK             SPI</v>
          </cell>
          <cell r="D2935">
            <v>7690</v>
          </cell>
          <cell r="E2935">
            <v>10303</v>
          </cell>
        </row>
        <row r="2936">
          <cell r="C2936" t="str">
            <v xml:space="preserve">    LUMINUS            D-B</v>
          </cell>
          <cell r="D2936">
            <v>5268</v>
          </cell>
          <cell r="E2936">
            <v>7992</v>
          </cell>
        </row>
        <row r="2937">
          <cell r="C2937" t="str">
            <v xml:space="preserve">    CROMA              SH0</v>
          </cell>
          <cell r="D2937">
            <v>3881</v>
          </cell>
          <cell r="E2937">
            <v>2308</v>
          </cell>
        </row>
        <row r="2938">
          <cell r="C2938" t="str">
            <v xml:space="preserve">    AIRUP              P-S</v>
          </cell>
          <cell r="D2938">
            <v>2959</v>
          </cell>
          <cell r="E2938">
            <v>2406</v>
          </cell>
        </row>
        <row r="2939">
          <cell r="C2939" t="str">
            <v xml:space="preserve">    LOCTRIL            OS9</v>
          </cell>
          <cell r="D2939">
            <v>2908</v>
          </cell>
          <cell r="E2939">
            <v>4339</v>
          </cell>
        </row>
        <row r="2940">
          <cell r="C2940" t="str">
            <v xml:space="preserve">    AIRWAY             ONA</v>
          </cell>
          <cell r="D2940">
            <v>2451</v>
          </cell>
          <cell r="E2940">
            <v>755</v>
          </cell>
        </row>
        <row r="2941">
          <cell r="C2941" t="str">
            <v xml:space="preserve">    MONTIFAST          GBE</v>
          </cell>
          <cell r="D2941">
            <v>2027</v>
          </cell>
          <cell r="E2941">
            <v>5900</v>
          </cell>
        </row>
        <row r="2942">
          <cell r="C2942" t="str">
            <v xml:space="preserve">    FREEGEST           BP&amp;</v>
          </cell>
          <cell r="D2942">
            <v>1669</v>
          </cell>
          <cell r="E2942">
            <v>3032</v>
          </cell>
        </row>
        <row r="2943">
          <cell r="C2943" t="str">
            <v xml:space="preserve">    TEKAST             TMH</v>
          </cell>
          <cell r="D2943">
            <v>1261</v>
          </cell>
          <cell r="E2943">
            <v>2926</v>
          </cell>
        </row>
        <row r="2944">
          <cell r="C2944" t="str">
            <v xml:space="preserve">    MONTELUK           A-H</v>
          </cell>
          <cell r="D2944">
            <v>1062</v>
          </cell>
          <cell r="E2944">
            <v>355</v>
          </cell>
        </row>
        <row r="2945">
          <cell r="C2945" t="str">
            <v xml:space="preserve">    ASMONT             S&amp;O</v>
          </cell>
          <cell r="D2945">
            <v>1025</v>
          </cell>
          <cell r="E2945">
            <v>2939</v>
          </cell>
        </row>
        <row r="2946">
          <cell r="C2946" t="str">
            <v xml:space="preserve">    AIRMONT            GD2</v>
          </cell>
          <cell r="D2946">
            <v>993</v>
          </cell>
          <cell r="E2946">
            <v>1098</v>
          </cell>
        </row>
        <row r="2947">
          <cell r="C2947" t="str">
            <v xml:space="preserve">    MONTEKAST          PAC</v>
          </cell>
          <cell r="D2947">
            <v>977</v>
          </cell>
          <cell r="E2947">
            <v>3216</v>
          </cell>
        </row>
        <row r="2948">
          <cell r="C2948" t="str">
            <v xml:space="preserve">    MONTINEX-FAST      BAC</v>
          </cell>
          <cell r="D2948">
            <v>289</v>
          </cell>
          <cell r="E2948">
            <v>0</v>
          </cell>
        </row>
        <row r="2949">
          <cell r="C2949" t="str">
            <v xml:space="preserve">    MONTELON           AX.</v>
          </cell>
          <cell r="D2949">
            <v>233</v>
          </cell>
          <cell r="E2949">
            <v>410</v>
          </cell>
        </row>
        <row r="2950">
          <cell r="C2950" t="str">
            <v xml:space="preserve">    MAXAIR             J&amp;H</v>
          </cell>
          <cell r="D2950">
            <v>231</v>
          </cell>
          <cell r="E2950">
            <v>2114</v>
          </cell>
        </row>
        <row r="2951">
          <cell r="C2951" t="str">
            <v xml:space="preserve">    MONTENAAF          NAF</v>
          </cell>
          <cell r="D2951">
            <v>168</v>
          </cell>
          <cell r="E2951">
            <v>91</v>
          </cell>
        </row>
        <row r="2952">
          <cell r="C2952" t="str">
            <v xml:space="preserve">    MOKAST             A.P</v>
          </cell>
          <cell r="D2952">
            <v>95</v>
          </cell>
          <cell r="E2952">
            <v>184</v>
          </cell>
        </row>
        <row r="2953">
          <cell r="C2953" t="str">
            <v xml:space="preserve">    EZEVENT            S-C</v>
          </cell>
          <cell r="D2953">
            <v>88</v>
          </cell>
          <cell r="E2953">
            <v>131</v>
          </cell>
        </row>
        <row r="2954">
          <cell r="C2954" t="str">
            <v xml:space="preserve">    MONOVAS            WTH</v>
          </cell>
          <cell r="D2954">
            <v>30</v>
          </cell>
          <cell r="E2954">
            <v>709</v>
          </cell>
        </row>
        <row r="2955">
          <cell r="C2955" t="str">
            <v xml:space="preserve">    SILMON             SV6</v>
          </cell>
          <cell r="D2955">
            <v>27</v>
          </cell>
          <cell r="E2955">
            <v>670</v>
          </cell>
        </row>
        <row r="2956">
          <cell r="C2956" t="str">
            <v xml:space="preserve">    NOZMA              NVK</v>
          </cell>
          <cell r="D2956">
            <v>6</v>
          </cell>
          <cell r="E2956">
            <v>12</v>
          </cell>
        </row>
        <row r="2957">
          <cell r="C2957" t="str">
            <v xml:space="preserve">    MONPROX            R7G</v>
          </cell>
          <cell r="D2957">
            <v>3</v>
          </cell>
          <cell r="E2957">
            <v>158</v>
          </cell>
        </row>
        <row r="2958">
          <cell r="C2958" t="str">
            <v xml:space="preserve">    ASMAFAST           GBE</v>
          </cell>
          <cell r="D2958">
            <v>0</v>
          </cell>
          <cell r="E2958">
            <v>0</v>
          </cell>
        </row>
        <row r="2959">
          <cell r="C2959" t="str">
            <v xml:space="preserve">    MOLUKAT            KMP</v>
          </cell>
          <cell r="D2959">
            <v>0</v>
          </cell>
          <cell r="E2959">
            <v>349</v>
          </cell>
        </row>
        <row r="2960">
          <cell r="C2960" t="str">
            <v xml:space="preserve">    MONARK             HMK</v>
          </cell>
          <cell r="D2960">
            <v>0</v>
          </cell>
          <cell r="E2960">
            <v>0</v>
          </cell>
        </row>
        <row r="2961">
          <cell r="C2961" t="str">
            <v xml:space="preserve">    AMEKAST            BAC</v>
          </cell>
          <cell r="D2961">
            <v>0</v>
          </cell>
          <cell r="E2961">
            <v>14</v>
          </cell>
        </row>
        <row r="2962">
          <cell r="C2962" t="str">
            <v xml:space="preserve">    LIAM               A/L</v>
          </cell>
          <cell r="D2962">
            <v>0</v>
          </cell>
          <cell r="E2962">
            <v>0</v>
          </cell>
        </row>
        <row r="2963">
          <cell r="C2963" t="str">
            <v xml:space="preserve">    MEDIKAST           LOP</v>
          </cell>
          <cell r="D2963">
            <v>0</v>
          </cell>
          <cell r="E2963">
            <v>0</v>
          </cell>
        </row>
        <row r="2964">
          <cell r="C2964" t="str">
            <v xml:space="preserve">    MTS                MED</v>
          </cell>
          <cell r="D2964">
            <v>0</v>
          </cell>
          <cell r="E2964">
            <v>0</v>
          </cell>
        </row>
        <row r="2965">
          <cell r="C2965" t="str">
            <v xml:space="preserve">    MONTILET           AMT</v>
          </cell>
          <cell r="D2965">
            <v>0</v>
          </cell>
          <cell r="E2965">
            <v>0</v>
          </cell>
        </row>
        <row r="2966">
          <cell r="C2966" t="str">
            <v xml:space="preserve">    BROCAST            CC/</v>
          </cell>
          <cell r="D2966">
            <v>0</v>
          </cell>
          <cell r="E2966">
            <v>161</v>
          </cell>
        </row>
        <row r="2967">
          <cell r="C2967" t="str">
            <v xml:space="preserve">    MONKAST            P-S</v>
          </cell>
          <cell r="D2967">
            <v>0</v>
          </cell>
          <cell r="E2967">
            <v>0</v>
          </cell>
        </row>
        <row r="2968">
          <cell r="C2968" t="str">
            <v xml:space="preserve">    FLOMONT            NIP</v>
          </cell>
          <cell r="D2968">
            <v>0</v>
          </cell>
          <cell r="E2968">
            <v>0</v>
          </cell>
        </row>
        <row r="2969">
          <cell r="C2969" t="str">
            <v xml:space="preserve">    SB MONEC           SBD</v>
          </cell>
          <cell r="D2969">
            <v>0</v>
          </cell>
          <cell r="E2969">
            <v>0</v>
          </cell>
        </row>
        <row r="2970">
          <cell r="C2970" t="str">
            <v xml:space="preserve">    VENTILAST          AMD</v>
          </cell>
          <cell r="D2970">
            <v>0</v>
          </cell>
          <cell r="E2970">
            <v>0</v>
          </cell>
        </row>
        <row r="2971">
          <cell r="C2971" t="str">
            <v xml:space="preserve">   ZAFIRLUKAST</v>
          </cell>
          <cell r="D2971">
            <v>79</v>
          </cell>
          <cell r="E2971">
            <v>160</v>
          </cell>
        </row>
        <row r="2972">
          <cell r="C2972" t="str">
            <v xml:space="preserve">    ACCOLATE           A-I</v>
          </cell>
          <cell r="D2972">
            <v>76</v>
          </cell>
          <cell r="E2972">
            <v>12</v>
          </cell>
        </row>
        <row r="2973">
          <cell r="C2973" t="str">
            <v xml:space="preserve">    FREESY             SQA</v>
          </cell>
          <cell r="D2973">
            <v>3</v>
          </cell>
          <cell r="E2973">
            <v>148</v>
          </cell>
        </row>
        <row r="2974">
          <cell r="C2974" t="str">
            <v xml:space="preserve">   SALBUTAMOL+THEOPHYLLIN-7-YLACETIC ACID</v>
          </cell>
          <cell r="D2974">
            <v>0</v>
          </cell>
          <cell r="E2974">
            <v>49</v>
          </cell>
        </row>
        <row r="2975">
          <cell r="C2975" t="str">
            <v xml:space="preserve">    ASMATAB            VPM</v>
          </cell>
          <cell r="D2975">
            <v>0</v>
          </cell>
          <cell r="E2975">
            <v>49</v>
          </cell>
        </row>
        <row r="2976">
          <cell r="C2976" t="str">
            <v xml:space="preserve"> ANTI-EPILEPTICS</v>
          </cell>
          <cell r="D2976">
            <v>7700978</v>
          </cell>
          <cell r="E2976">
            <v>6876898</v>
          </cell>
        </row>
        <row r="2977">
          <cell r="C2977" t="str">
            <v xml:space="preserve">  ANTI-EPILEPTICS</v>
          </cell>
          <cell r="D2977">
            <v>7700978</v>
          </cell>
          <cell r="E2977">
            <v>6876898</v>
          </cell>
        </row>
        <row r="2978">
          <cell r="C2978" t="str">
            <v xml:space="preserve">   CLONAZEPAM</v>
          </cell>
          <cell r="D2978">
            <v>4678991</v>
          </cell>
          <cell r="E2978">
            <v>4162328</v>
          </cell>
        </row>
        <row r="2979">
          <cell r="C2979" t="str">
            <v xml:space="preserve">    RIVOTRIL           ROC</v>
          </cell>
          <cell r="D2979">
            <v>1909394</v>
          </cell>
          <cell r="E2979">
            <v>1666796</v>
          </cell>
        </row>
        <row r="2980">
          <cell r="C2980" t="str">
            <v xml:space="preserve">    DISOPAN            IAP</v>
          </cell>
          <cell r="D2980">
            <v>840772</v>
          </cell>
          <cell r="E2980">
            <v>737464</v>
          </cell>
        </row>
        <row r="2981">
          <cell r="C2981" t="str">
            <v xml:space="preserve">    PASE               OPI</v>
          </cell>
          <cell r="D2981">
            <v>477403</v>
          </cell>
          <cell r="E2981">
            <v>369792</v>
          </cell>
        </row>
        <row r="2982">
          <cell r="C2982" t="str">
            <v xml:space="preserve">    EPITRA             SQA</v>
          </cell>
          <cell r="D2982">
            <v>334945</v>
          </cell>
          <cell r="E2982">
            <v>285585</v>
          </cell>
        </row>
        <row r="2983">
          <cell r="C2983" t="str">
            <v xml:space="preserve">    CLONATRIL          HT3</v>
          </cell>
          <cell r="D2983">
            <v>271440</v>
          </cell>
          <cell r="E2983">
            <v>206250</v>
          </cell>
        </row>
        <row r="2984">
          <cell r="C2984" t="str">
            <v xml:space="preserve">    DENIXIL            RTA</v>
          </cell>
          <cell r="D2984">
            <v>132045</v>
          </cell>
          <cell r="E2984">
            <v>109311</v>
          </cell>
        </row>
        <row r="2985">
          <cell r="C2985" t="str">
            <v xml:space="preserve">    AROTRIL            ATP</v>
          </cell>
          <cell r="D2985">
            <v>102905</v>
          </cell>
          <cell r="E2985">
            <v>103016</v>
          </cell>
        </row>
        <row r="2986">
          <cell r="C2986" t="str">
            <v xml:space="preserve">    CLORON             ESF</v>
          </cell>
          <cell r="D2986">
            <v>91182</v>
          </cell>
          <cell r="E2986">
            <v>90800</v>
          </cell>
        </row>
        <row r="2987">
          <cell r="C2987" t="str">
            <v xml:space="preserve">    LEPTIC             ACM</v>
          </cell>
          <cell r="D2987">
            <v>86920</v>
          </cell>
          <cell r="E2987">
            <v>86671</v>
          </cell>
        </row>
        <row r="2988">
          <cell r="C2988" t="str">
            <v xml:space="preserve">    EPICLON            GNR</v>
          </cell>
          <cell r="D2988">
            <v>81695</v>
          </cell>
          <cell r="E2988">
            <v>131602</v>
          </cell>
        </row>
        <row r="2989">
          <cell r="C2989" t="str">
            <v xml:space="preserve">    RIVO               OR/</v>
          </cell>
          <cell r="D2989">
            <v>74570</v>
          </cell>
          <cell r="E2989">
            <v>95718</v>
          </cell>
        </row>
        <row r="2990">
          <cell r="C2990" t="str">
            <v xml:space="preserve">    CLONIUM            A-I</v>
          </cell>
          <cell r="D2990">
            <v>73568</v>
          </cell>
          <cell r="E2990">
            <v>58360</v>
          </cell>
        </row>
        <row r="2991">
          <cell r="C2991" t="str">
            <v xml:space="preserve">    PANDURA            NJP</v>
          </cell>
          <cell r="D2991">
            <v>52798</v>
          </cell>
          <cell r="E2991">
            <v>59257</v>
          </cell>
        </row>
        <row r="2992">
          <cell r="C2992" t="str">
            <v xml:space="preserve">    XETRIL             BXM</v>
          </cell>
          <cell r="D2992">
            <v>30530</v>
          </cell>
          <cell r="E2992">
            <v>31932</v>
          </cell>
        </row>
        <row r="2993">
          <cell r="C2993" t="str">
            <v xml:space="preserve">    EPNIL              SDZ</v>
          </cell>
          <cell r="D2993">
            <v>26759</v>
          </cell>
          <cell r="E2993">
            <v>31609</v>
          </cell>
        </row>
        <row r="2994">
          <cell r="C2994" t="str">
            <v xml:space="preserve">    LONAZEP            SPI</v>
          </cell>
          <cell r="D2994">
            <v>21515</v>
          </cell>
          <cell r="E2994">
            <v>25116</v>
          </cell>
        </row>
        <row r="2995">
          <cell r="C2995" t="str">
            <v xml:space="preserve">    CONPAN             N8V</v>
          </cell>
          <cell r="D2995">
            <v>13145</v>
          </cell>
          <cell r="E2995">
            <v>10985</v>
          </cell>
        </row>
        <row r="2996">
          <cell r="C2996" t="str">
            <v xml:space="preserve">    RIVOTRIL           RD7</v>
          </cell>
          <cell r="D2996">
            <v>13074</v>
          </cell>
          <cell r="E2996">
            <v>2742</v>
          </cell>
        </row>
        <row r="2997">
          <cell r="C2997" t="str">
            <v xml:space="preserve">    COMFY              LDB</v>
          </cell>
          <cell r="D2997">
            <v>12189</v>
          </cell>
          <cell r="E2997">
            <v>13324</v>
          </cell>
        </row>
        <row r="2998">
          <cell r="C2998" t="str">
            <v xml:space="preserve">    CLONAPIN           PPH</v>
          </cell>
          <cell r="D2998">
            <v>11954</v>
          </cell>
          <cell r="E2998">
            <v>19022</v>
          </cell>
        </row>
        <row r="2999">
          <cell r="C2999" t="str">
            <v xml:space="preserve">    MYOTRIL            IBN</v>
          </cell>
          <cell r="D2999">
            <v>5603</v>
          </cell>
          <cell r="E2999">
            <v>5603</v>
          </cell>
        </row>
        <row r="3000">
          <cell r="C3000" t="str">
            <v xml:space="preserve">    XYCLON             ZIS</v>
          </cell>
          <cell r="D3000">
            <v>3647</v>
          </cell>
          <cell r="E3000">
            <v>5326</v>
          </cell>
        </row>
        <row r="3001">
          <cell r="C3001" t="str">
            <v xml:space="preserve">    CLOMA              BP&amp;</v>
          </cell>
          <cell r="D3001">
            <v>2398</v>
          </cell>
          <cell r="E3001">
            <v>3237</v>
          </cell>
        </row>
        <row r="3002">
          <cell r="C3002" t="str">
            <v xml:space="preserve">    MIRACLON           BAC</v>
          </cell>
          <cell r="D3002">
            <v>2363</v>
          </cell>
          <cell r="E3002">
            <v>5142</v>
          </cell>
        </row>
        <row r="3003">
          <cell r="C3003" t="str">
            <v xml:space="preserve">    CLON               GBE</v>
          </cell>
          <cell r="D3003">
            <v>2083</v>
          </cell>
          <cell r="E3003">
            <v>3461</v>
          </cell>
        </row>
        <row r="3004">
          <cell r="C3004" t="str">
            <v xml:space="preserve">    LONAPAM            D&amp;B</v>
          </cell>
          <cell r="D3004">
            <v>1504</v>
          </cell>
          <cell r="E3004">
            <v>2074</v>
          </cell>
        </row>
        <row r="3005">
          <cell r="C3005" t="str">
            <v xml:space="preserve">    CLONZY             P-S</v>
          </cell>
          <cell r="D3005">
            <v>1251</v>
          </cell>
          <cell r="E3005">
            <v>1312</v>
          </cell>
        </row>
        <row r="3006">
          <cell r="C3006" t="str">
            <v xml:space="preserve">    XIOCLON            S&amp;O</v>
          </cell>
          <cell r="D3006">
            <v>440</v>
          </cell>
          <cell r="E3006">
            <v>473</v>
          </cell>
        </row>
        <row r="3007">
          <cell r="C3007" t="str">
            <v xml:space="preserve">    DISOPAN ODT        IAP</v>
          </cell>
          <cell r="D3007">
            <v>250</v>
          </cell>
          <cell r="E3007">
            <v>0</v>
          </cell>
        </row>
        <row r="3008">
          <cell r="C3008" t="str">
            <v xml:space="preserve">    CLOPAM             SH0</v>
          </cell>
          <cell r="D3008">
            <v>199</v>
          </cell>
          <cell r="E3008">
            <v>0</v>
          </cell>
        </row>
        <row r="3009">
          <cell r="C3009" t="str">
            <v xml:space="preserve">    CLONABEST          GD2</v>
          </cell>
          <cell r="D3009">
            <v>162</v>
          </cell>
          <cell r="E3009">
            <v>0</v>
          </cell>
        </row>
        <row r="3010">
          <cell r="C3010" t="str">
            <v xml:space="preserve">    CLONIL             J&amp;H</v>
          </cell>
          <cell r="D3010">
            <v>146</v>
          </cell>
          <cell r="E3010">
            <v>304</v>
          </cell>
        </row>
        <row r="3011">
          <cell r="C3011" t="str">
            <v xml:space="preserve">    CLONIUM ODT        A-I</v>
          </cell>
          <cell r="D3011">
            <v>87</v>
          </cell>
          <cell r="E3011">
            <v>0</v>
          </cell>
        </row>
        <row r="3012">
          <cell r="C3012" t="str">
            <v xml:space="preserve">    SLONA              S6C</v>
          </cell>
          <cell r="D3012">
            <v>46</v>
          </cell>
          <cell r="E3012">
            <v>37</v>
          </cell>
        </row>
        <row r="3013">
          <cell r="C3013" t="str">
            <v xml:space="preserve">    CLONAFIX           NVK</v>
          </cell>
          <cell r="D3013">
            <v>9</v>
          </cell>
          <cell r="E3013">
            <v>2</v>
          </cell>
        </row>
        <row r="3014">
          <cell r="C3014" t="str">
            <v xml:space="preserve">    DEPANIL            R7G</v>
          </cell>
          <cell r="D3014">
            <v>0</v>
          </cell>
          <cell r="E3014">
            <v>0</v>
          </cell>
        </row>
        <row r="3015">
          <cell r="C3015" t="str">
            <v xml:space="preserve">    CLEPAM             EMA</v>
          </cell>
          <cell r="D3015">
            <v>0</v>
          </cell>
          <cell r="E3015">
            <v>7</v>
          </cell>
        </row>
        <row r="3016">
          <cell r="C3016" t="str">
            <v xml:space="preserve">   LEVETIRACETAM</v>
          </cell>
          <cell r="D3016">
            <v>1055195</v>
          </cell>
          <cell r="E3016">
            <v>867744</v>
          </cell>
        </row>
        <row r="3017">
          <cell r="C3017" t="str">
            <v xml:space="preserve">    IRACET             SQA</v>
          </cell>
          <cell r="D3017">
            <v>579202</v>
          </cell>
          <cell r="E3017">
            <v>474790</v>
          </cell>
        </row>
        <row r="3018">
          <cell r="C3018" t="str">
            <v xml:space="preserve">    NEUROCET           IAP</v>
          </cell>
          <cell r="D3018">
            <v>200002</v>
          </cell>
          <cell r="E3018">
            <v>124203</v>
          </cell>
        </row>
        <row r="3019">
          <cell r="C3019" t="str">
            <v xml:space="preserve">    LEVIPIL            SPI</v>
          </cell>
          <cell r="D3019">
            <v>97712</v>
          </cell>
          <cell r="E3019">
            <v>87883</v>
          </cell>
        </row>
        <row r="3020">
          <cell r="C3020" t="str">
            <v xml:space="preserve">    ERATA              SDZ</v>
          </cell>
          <cell r="D3020">
            <v>77109</v>
          </cell>
          <cell r="E3020">
            <v>81024</v>
          </cell>
        </row>
        <row r="3021">
          <cell r="C3021" t="str">
            <v xml:space="preserve">    EPICET             RTA</v>
          </cell>
          <cell r="D3021">
            <v>59252</v>
          </cell>
          <cell r="E3021">
            <v>43206</v>
          </cell>
        </row>
        <row r="3022">
          <cell r="C3022" t="str">
            <v xml:space="preserve">    CITAZAR            A-I</v>
          </cell>
          <cell r="D3022">
            <v>13617</v>
          </cell>
          <cell r="E3022">
            <v>15391</v>
          </cell>
        </row>
        <row r="3023">
          <cell r="C3023" t="str">
            <v xml:space="preserve">    LEVERON            S.Y</v>
          </cell>
          <cell r="D3023">
            <v>12684</v>
          </cell>
          <cell r="E3023">
            <v>13383</v>
          </cell>
        </row>
        <row r="3024">
          <cell r="C3024" t="str">
            <v xml:space="preserve">    ELETAM             UNH</v>
          </cell>
          <cell r="D3024">
            <v>9483</v>
          </cell>
          <cell r="E3024">
            <v>17028</v>
          </cell>
        </row>
        <row r="3025">
          <cell r="C3025" t="str">
            <v xml:space="preserve">    LEVETIRA           PPH</v>
          </cell>
          <cell r="D3025">
            <v>1791</v>
          </cell>
          <cell r="E3025">
            <v>3112</v>
          </cell>
        </row>
        <row r="3026">
          <cell r="C3026" t="str">
            <v xml:space="preserve">    LEVICETA           GNR</v>
          </cell>
          <cell r="D3026">
            <v>1290</v>
          </cell>
          <cell r="E3026">
            <v>5285</v>
          </cell>
        </row>
        <row r="3027">
          <cell r="C3027" t="str">
            <v xml:space="preserve">    LEPSYTAM           HT3</v>
          </cell>
          <cell r="D3027">
            <v>1145</v>
          </cell>
          <cell r="E3027">
            <v>847</v>
          </cell>
        </row>
        <row r="3028">
          <cell r="C3028" t="str">
            <v xml:space="preserve">    LEVEFIX            OPI</v>
          </cell>
          <cell r="D3028">
            <v>961</v>
          </cell>
          <cell r="E3028">
            <v>618</v>
          </cell>
        </row>
        <row r="3029">
          <cell r="C3029" t="str">
            <v xml:space="preserve">    LEVETAM            ESF</v>
          </cell>
          <cell r="D3029">
            <v>533</v>
          </cell>
          <cell r="E3029">
            <v>944</v>
          </cell>
        </row>
        <row r="3030">
          <cell r="C3030" t="str">
            <v xml:space="preserve">    ORITAM             OR/</v>
          </cell>
          <cell r="D3030">
            <v>413</v>
          </cell>
          <cell r="E3030">
            <v>30</v>
          </cell>
        </row>
        <row r="3031">
          <cell r="C3031" t="str">
            <v xml:space="preserve">   VALPROIC ACID</v>
          </cell>
          <cell r="D3031">
            <v>1015206</v>
          </cell>
          <cell r="E3031">
            <v>952481</v>
          </cell>
        </row>
        <row r="3032">
          <cell r="C3032" t="str">
            <v xml:space="preserve">    VALEX              IAP</v>
          </cell>
          <cell r="D3032">
            <v>488445</v>
          </cell>
          <cell r="E3032">
            <v>442931</v>
          </cell>
        </row>
        <row r="3033">
          <cell r="C3033" t="str">
            <v xml:space="preserve">    EPILIM CHRONO      S.Y</v>
          </cell>
          <cell r="D3033">
            <v>165324</v>
          </cell>
          <cell r="E3033">
            <v>140113</v>
          </cell>
        </row>
        <row r="3034">
          <cell r="C3034" t="str">
            <v xml:space="preserve">    VALOATE            SQA</v>
          </cell>
          <cell r="D3034">
            <v>159607</v>
          </cell>
          <cell r="E3034">
            <v>118650</v>
          </cell>
        </row>
        <row r="3035">
          <cell r="C3035" t="str">
            <v xml:space="preserve">    ENCORATE CHRONO    SPI</v>
          </cell>
          <cell r="D3035">
            <v>50610</v>
          </cell>
          <cell r="E3035">
            <v>65951</v>
          </cell>
        </row>
        <row r="3036">
          <cell r="C3036" t="str">
            <v xml:space="preserve">    ENCORATE           SPI</v>
          </cell>
          <cell r="D3036">
            <v>48796</v>
          </cell>
          <cell r="E3036">
            <v>65187</v>
          </cell>
        </row>
        <row r="3037">
          <cell r="C3037" t="str">
            <v xml:space="preserve">    VALPORIN           RTA</v>
          </cell>
          <cell r="D3037">
            <v>42534</v>
          </cell>
          <cell r="E3037">
            <v>34236</v>
          </cell>
        </row>
        <row r="3038">
          <cell r="C3038" t="str">
            <v xml:space="preserve">    CONVULES           OPI</v>
          </cell>
          <cell r="D3038">
            <v>30932</v>
          </cell>
          <cell r="E3038">
            <v>28927</v>
          </cell>
        </row>
        <row r="3039">
          <cell r="C3039" t="str">
            <v xml:space="preserve">    PROVAL CR          GNR</v>
          </cell>
          <cell r="D3039">
            <v>14029</v>
          </cell>
          <cell r="E3039">
            <v>44841</v>
          </cell>
        </row>
        <row r="3040">
          <cell r="C3040" t="str">
            <v xml:space="preserve">    EVAL-CR            UNH</v>
          </cell>
          <cell r="D3040">
            <v>9607</v>
          </cell>
          <cell r="E3040">
            <v>9719</v>
          </cell>
        </row>
        <row r="3041">
          <cell r="C3041" t="str">
            <v xml:space="preserve">    VALEPSY            HT3</v>
          </cell>
          <cell r="D3041">
            <v>4695</v>
          </cell>
          <cell r="E3041">
            <v>0</v>
          </cell>
        </row>
        <row r="3042">
          <cell r="C3042" t="str">
            <v xml:space="preserve">    PROVAL             GNR</v>
          </cell>
          <cell r="D3042">
            <v>486</v>
          </cell>
          <cell r="E3042">
            <v>1510</v>
          </cell>
        </row>
        <row r="3043">
          <cell r="C3043" t="str">
            <v xml:space="preserve">    EVAL               UNH</v>
          </cell>
          <cell r="D3043">
            <v>129</v>
          </cell>
          <cell r="E3043">
            <v>415</v>
          </cell>
        </row>
        <row r="3044">
          <cell r="C3044" t="str">
            <v xml:space="preserve">    NALIPSY            D-I</v>
          </cell>
          <cell r="D3044">
            <v>13</v>
          </cell>
          <cell r="E3044">
            <v>0</v>
          </cell>
        </row>
        <row r="3045">
          <cell r="C3045" t="str">
            <v xml:space="preserve">   CARBAMAZEPINE</v>
          </cell>
          <cell r="D3045">
            <v>341571</v>
          </cell>
          <cell r="E3045">
            <v>332942</v>
          </cell>
        </row>
        <row r="3046">
          <cell r="C3046" t="str">
            <v xml:space="preserve">    TEGRETOL           NVR</v>
          </cell>
          <cell r="D3046">
            <v>238136</v>
          </cell>
          <cell r="E3046">
            <v>224146</v>
          </cell>
        </row>
        <row r="3047">
          <cell r="C3047" t="str">
            <v xml:space="preserve">    ZEPTOL             SPI</v>
          </cell>
          <cell r="D3047">
            <v>51090</v>
          </cell>
          <cell r="E3047">
            <v>54702</v>
          </cell>
        </row>
        <row r="3048">
          <cell r="C3048" t="str">
            <v xml:space="preserve">    ANLEPTIC           SQA</v>
          </cell>
          <cell r="D3048">
            <v>35776</v>
          </cell>
          <cell r="E3048">
            <v>39958</v>
          </cell>
        </row>
        <row r="3049">
          <cell r="C3049" t="str">
            <v xml:space="preserve">    CARBAZIN           ESF</v>
          </cell>
          <cell r="D3049">
            <v>14182</v>
          </cell>
          <cell r="E3049">
            <v>11796</v>
          </cell>
        </row>
        <row r="3050">
          <cell r="C3050" t="str">
            <v xml:space="preserve">    EPILEP             BXM</v>
          </cell>
          <cell r="D3050">
            <v>2004</v>
          </cell>
          <cell r="E3050">
            <v>1729</v>
          </cell>
        </row>
        <row r="3051">
          <cell r="C3051" t="str">
            <v xml:space="preserve">    CAZEP              OPI</v>
          </cell>
          <cell r="D3051">
            <v>243</v>
          </cell>
          <cell r="E3051">
            <v>500</v>
          </cell>
        </row>
        <row r="3052">
          <cell r="C3052" t="str">
            <v xml:space="preserve">    CAZEP-CR           OPI</v>
          </cell>
          <cell r="D3052">
            <v>139</v>
          </cell>
          <cell r="E3052">
            <v>110</v>
          </cell>
        </row>
        <row r="3053">
          <cell r="C3053" t="str">
            <v xml:space="preserve">    CABRETOL           RTA</v>
          </cell>
          <cell r="D3053">
            <v>0</v>
          </cell>
          <cell r="E3053">
            <v>0</v>
          </cell>
        </row>
        <row r="3054">
          <cell r="C3054" t="str">
            <v xml:space="preserve">   LAMOTRIGINE</v>
          </cell>
          <cell r="D3054">
            <v>193778</v>
          </cell>
          <cell r="E3054">
            <v>148494</v>
          </cell>
        </row>
        <row r="3055">
          <cell r="C3055" t="str">
            <v xml:space="preserve">    LAMITRIN           A-I</v>
          </cell>
          <cell r="D3055">
            <v>135284</v>
          </cell>
          <cell r="E3055">
            <v>96797</v>
          </cell>
        </row>
        <row r="3056">
          <cell r="C3056" t="str">
            <v xml:space="preserve">    LAMOGIN            IAP</v>
          </cell>
          <cell r="D3056">
            <v>46662</v>
          </cell>
          <cell r="E3056">
            <v>38280</v>
          </cell>
        </row>
        <row r="3057">
          <cell r="C3057" t="str">
            <v xml:space="preserve">    LAMICET            SQA</v>
          </cell>
          <cell r="D3057">
            <v>10920</v>
          </cell>
          <cell r="E3057">
            <v>11540</v>
          </cell>
        </row>
        <row r="3058">
          <cell r="C3058" t="str">
            <v xml:space="preserve">    LAMO               OPI</v>
          </cell>
          <cell r="D3058">
            <v>912</v>
          </cell>
          <cell r="E3058">
            <v>1877</v>
          </cell>
        </row>
        <row r="3059">
          <cell r="C3059" t="str">
            <v xml:space="preserve">    LAMEPTIL           SDZ</v>
          </cell>
          <cell r="D3059">
            <v>0</v>
          </cell>
          <cell r="E3059">
            <v>0</v>
          </cell>
        </row>
        <row r="3060">
          <cell r="C3060" t="str">
            <v xml:space="preserve">   OXCARBAZEPINE</v>
          </cell>
          <cell r="D3060">
            <v>179339</v>
          </cell>
          <cell r="E3060">
            <v>176016</v>
          </cell>
        </row>
        <row r="3061">
          <cell r="C3061" t="str">
            <v xml:space="preserve">    TRILEPTAL          NVR</v>
          </cell>
          <cell r="D3061">
            <v>110650</v>
          </cell>
          <cell r="E3061">
            <v>112037</v>
          </cell>
        </row>
        <row r="3062">
          <cell r="C3062" t="str">
            <v xml:space="preserve">    OXETOL             SPI</v>
          </cell>
          <cell r="D3062">
            <v>64212</v>
          </cell>
          <cell r="E3062">
            <v>63252</v>
          </cell>
        </row>
        <row r="3063">
          <cell r="C3063" t="str">
            <v xml:space="preserve">    OXCARB-XR          RTA</v>
          </cell>
          <cell r="D3063">
            <v>3213</v>
          </cell>
          <cell r="E3063">
            <v>0</v>
          </cell>
        </row>
        <row r="3064">
          <cell r="C3064" t="str">
            <v xml:space="preserve">    LEPTAL             HT3</v>
          </cell>
          <cell r="D3064">
            <v>1265</v>
          </cell>
          <cell r="E3064">
            <v>727</v>
          </cell>
        </row>
        <row r="3065">
          <cell r="C3065" t="str">
            <v xml:space="preserve">    OXAZEP             IAP</v>
          </cell>
          <cell r="D3065">
            <v>0</v>
          </cell>
          <cell r="E3065">
            <v>0</v>
          </cell>
        </row>
        <row r="3066">
          <cell r="C3066" t="str">
            <v xml:space="preserve">   TOPIRAMATE</v>
          </cell>
          <cell r="D3066">
            <v>109737</v>
          </cell>
          <cell r="E3066">
            <v>98104</v>
          </cell>
        </row>
        <row r="3067">
          <cell r="C3067" t="str">
            <v xml:space="preserve">    TOPIRVA            IAP</v>
          </cell>
          <cell r="D3067">
            <v>57815</v>
          </cell>
          <cell r="E3067">
            <v>50414</v>
          </cell>
        </row>
        <row r="3068">
          <cell r="C3068" t="str">
            <v xml:space="preserve">    ETOPIRA            UNH</v>
          </cell>
          <cell r="D3068">
            <v>28619</v>
          </cell>
          <cell r="E3068">
            <v>30522</v>
          </cell>
        </row>
        <row r="3069">
          <cell r="C3069" t="str">
            <v xml:space="preserve">    TOPIRVA-XR         IAP</v>
          </cell>
          <cell r="D3069">
            <v>13888</v>
          </cell>
          <cell r="E3069">
            <v>7314</v>
          </cell>
        </row>
        <row r="3070">
          <cell r="C3070" t="str">
            <v xml:space="preserve">    TOPMATE            RTA</v>
          </cell>
          <cell r="D3070">
            <v>8976</v>
          </cell>
          <cell r="E3070">
            <v>9583</v>
          </cell>
        </row>
        <row r="3071">
          <cell r="C3071" t="str">
            <v xml:space="preserve">    TOPIMAX            OPI</v>
          </cell>
          <cell r="D3071">
            <v>440</v>
          </cell>
          <cell r="E3071">
            <v>267</v>
          </cell>
        </row>
        <row r="3072">
          <cell r="C3072" t="str">
            <v xml:space="preserve">    PIRAMED            SQA</v>
          </cell>
          <cell r="D3072">
            <v>0</v>
          </cell>
          <cell r="E3072">
            <v>3</v>
          </cell>
        </row>
        <row r="3073">
          <cell r="C3073" t="str">
            <v xml:space="preserve">   PHENOBARBITAL</v>
          </cell>
          <cell r="D3073">
            <v>66057</v>
          </cell>
          <cell r="E3073">
            <v>54517</v>
          </cell>
        </row>
        <row r="3074">
          <cell r="C3074" t="str">
            <v xml:space="preserve">    BARBIT             IAP</v>
          </cell>
          <cell r="D3074">
            <v>65600</v>
          </cell>
          <cell r="E3074">
            <v>54100</v>
          </cell>
        </row>
        <row r="3075">
          <cell r="C3075" t="str">
            <v xml:space="preserve">    EMER               OPI</v>
          </cell>
          <cell r="D3075">
            <v>452</v>
          </cell>
          <cell r="E3075">
            <v>418</v>
          </cell>
        </row>
        <row r="3076">
          <cell r="C3076" t="str">
            <v xml:space="preserve">    EPINAL             SQA</v>
          </cell>
          <cell r="D3076">
            <v>5</v>
          </cell>
          <cell r="E3076">
            <v>0</v>
          </cell>
        </row>
        <row r="3077">
          <cell r="C3077" t="str">
            <v xml:space="preserve">   BRIVARACETAM</v>
          </cell>
          <cell r="D3077">
            <v>24055</v>
          </cell>
          <cell r="E3077">
            <v>52629</v>
          </cell>
        </row>
        <row r="3078">
          <cell r="C3078" t="str">
            <v xml:space="preserve">    BLAST              GNR</v>
          </cell>
          <cell r="D3078">
            <v>10170</v>
          </cell>
          <cell r="E3078">
            <v>31897</v>
          </cell>
        </row>
        <row r="3079">
          <cell r="C3079" t="str">
            <v xml:space="preserve">    EPICURE            IAP</v>
          </cell>
          <cell r="D3079">
            <v>9346</v>
          </cell>
          <cell r="E3079">
            <v>5302</v>
          </cell>
        </row>
        <row r="3080">
          <cell r="C3080" t="str">
            <v xml:space="preserve">    BRIVA              ACM</v>
          </cell>
          <cell r="D3080">
            <v>3598</v>
          </cell>
          <cell r="E3080">
            <v>14935</v>
          </cell>
        </row>
        <row r="3081">
          <cell r="C3081" t="str">
            <v xml:space="preserve">    BREVIPIL           SPI</v>
          </cell>
          <cell r="D3081">
            <v>701</v>
          </cell>
          <cell r="E3081">
            <v>0</v>
          </cell>
        </row>
        <row r="3082">
          <cell r="C3082" t="str">
            <v xml:space="preserve">    BIVARA             A-I</v>
          </cell>
          <cell r="D3082">
            <v>239</v>
          </cell>
          <cell r="E3082">
            <v>331</v>
          </cell>
        </row>
        <row r="3083">
          <cell r="C3083" t="str">
            <v xml:space="preserve">    BRICET             RTA</v>
          </cell>
          <cell r="D3083">
            <v>0</v>
          </cell>
          <cell r="E3083">
            <v>165</v>
          </cell>
        </row>
        <row r="3084">
          <cell r="C3084" t="str">
            <v xml:space="preserve">   PHENYTOIN</v>
          </cell>
          <cell r="D3084">
            <v>14018</v>
          </cell>
          <cell r="E3084">
            <v>18727</v>
          </cell>
        </row>
        <row r="3085">
          <cell r="C3085" t="str">
            <v xml:space="preserve">    D-TOIN             D-I</v>
          </cell>
          <cell r="D3085">
            <v>13999</v>
          </cell>
          <cell r="E3085">
            <v>18716</v>
          </cell>
        </row>
        <row r="3086">
          <cell r="C3086" t="str">
            <v xml:space="preserve">    DIPHEDAN           MPX</v>
          </cell>
          <cell r="D3086">
            <v>19</v>
          </cell>
          <cell r="E3086">
            <v>11</v>
          </cell>
        </row>
        <row r="3087">
          <cell r="C3087" t="str">
            <v xml:space="preserve">   PERAMPANEL</v>
          </cell>
          <cell r="D3087">
            <v>10554</v>
          </cell>
          <cell r="E3087">
            <v>8935</v>
          </cell>
        </row>
        <row r="3088">
          <cell r="C3088" t="str">
            <v xml:space="preserve">    PERANEL            SQA</v>
          </cell>
          <cell r="D3088">
            <v>10554</v>
          </cell>
          <cell r="E3088">
            <v>8935</v>
          </cell>
        </row>
        <row r="3089">
          <cell r="C3089" t="str">
            <v xml:space="preserve">   PRIMIDONE</v>
          </cell>
          <cell r="D3089">
            <v>3861</v>
          </cell>
          <cell r="E3089">
            <v>1349</v>
          </cell>
        </row>
        <row r="3090">
          <cell r="C3090" t="str">
            <v xml:space="preserve">    RIMIDON            BAC</v>
          </cell>
          <cell r="D3090">
            <v>3861</v>
          </cell>
          <cell r="E3090">
            <v>1349</v>
          </cell>
        </row>
        <row r="3091">
          <cell r="C3091" t="str">
            <v xml:space="preserve">   CENOBAMATE</v>
          </cell>
          <cell r="D3091">
            <v>3450</v>
          </cell>
          <cell r="E3091">
            <v>916</v>
          </cell>
        </row>
        <row r="3092">
          <cell r="C3092" t="str">
            <v xml:space="preserve">    AFALINO            IAP</v>
          </cell>
          <cell r="D3092">
            <v>3450</v>
          </cell>
          <cell r="E3092">
            <v>916</v>
          </cell>
        </row>
        <row r="3093">
          <cell r="C3093" t="str">
            <v xml:space="preserve">   LACOSAMIDE</v>
          </cell>
          <cell r="D3093">
            <v>2862</v>
          </cell>
          <cell r="E3093">
            <v>0</v>
          </cell>
        </row>
        <row r="3094">
          <cell r="C3094" t="str">
            <v xml:space="preserve">    LACOMAX            IAP</v>
          </cell>
          <cell r="D3094">
            <v>2862</v>
          </cell>
          <cell r="E3094">
            <v>0</v>
          </cell>
        </row>
        <row r="3095">
          <cell r="C3095" t="str">
            <v xml:space="preserve">   ETHOSUXIMIDE</v>
          </cell>
          <cell r="D3095">
            <v>1110</v>
          </cell>
          <cell r="E3095">
            <v>309</v>
          </cell>
        </row>
        <row r="3096">
          <cell r="C3096" t="str">
            <v xml:space="preserve">    SERONTIN           A-I</v>
          </cell>
          <cell r="D3096">
            <v>1110</v>
          </cell>
          <cell r="E3096">
            <v>309</v>
          </cell>
        </row>
        <row r="3097">
          <cell r="C3097" t="str">
            <v xml:space="preserve">   FOSPHENYTOIN</v>
          </cell>
          <cell r="D3097">
            <v>562</v>
          </cell>
          <cell r="E3097">
            <v>793</v>
          </cell>
        </row>
        <row r="3098">
          <cell r="C3098" t="str">
            <v xml:space="preserve">    FOSFEN             PPH</v>
          </cell>
          <cell r="D3098">
            <v>562</v>
          </cell>
          <cell r="E3098">
            <v>793</v>
          </cell>
        </row>
        <row r="3099">
          <cell r="C3099" t="str">
            <v xml:space="preserve">   ZONISAMIDE</v>
          </cell>
          <cell r="D3099">
            <v>497</v>
          </cell>
          <cell r="E3099">
            <v>544</v>
          </cell>
        </row>
        <row r="3100">
          <cell r="C3100" t="str">
            <v xml:space="preserve">    XONIMIDE           BAC</v>
          </cell>
          <cell r="D3100">
            <v>497</v>
          </cell>
          <cell r="E3100">
            <v>544</v>
          </cell>
        </row>
        <row r="3101">
          <cell r="C3101" t="str">
            <v xml:space="preserve">   PARACETAMOL</v>
          </cell>
          <cell r="D3101">
            <v>135</v>
          </cell>
          <cell r="E3101">
            <v>70</v>
          </cell>
        </row>
        <row r="3102">
          <cell r="C3102" t="str">
            <v xml:space="preserve">    LEVEFIX            OPI</v>
          </cell>
          <cell r="D3102">
            <v>135</v>
          </cell>
          <cell r="E3102">
            <v>70</v>
          </cell>
        </row>
        <row r="3103">
          <cell r="C3103" t="str">
            <v xml:space="preserve">   ESLICARBAZEPINE ACETATE</v>
          </cell>
          <cell r="D3103">
            <v>0</v>
          </cell>
          <cell r="E3103">
            <v>0</v>
          </cell>
        </row>
        <row r="3104">
          <cell r="C3104" t="str">
            <v xml:space="preserve">    ESLICAR            SQA</v>
          </cell>
          <cell r="D3104">
            <v>0</v>
          </cell>
          <cell r="E3104">
            <v>0</v>
          </cell>
        </row>
        <row r="3105">
          <cell r="C3105" t="str">
            <v xml:space="preserve">   VALPROATE SEMISODIUM+VALPROIC ACID</v>
          </cell>
          <cell r="D3105">
            <v>0</v>
          </cell>
          <cell r="E3105">
            <v>0</v>
          </cell>
        </row>
        <row r="3106">
          <cell r="C3106" t="str">
            <v xml:space="preserve">    SODIVAL CR         A-I</v>
          </cell>
          <cell r="D3106">
            <v>0</v>
          </cell>
          <cell r="E3106">
            <v>0</v>
          </cell>
        </row>
        <row r="3107">
          <cell r="C3107" t="str">
            <v xml:space="preserve"> SGLT2 INHIBITOR A-DIABS</v>
          </cell>
          <cell r="D3107">
            <v>6683708</v>
          </cell>
          <cell r="E3107">
            <v>5062664</v>
          </cell>
        </row>
        <row r="3108">
          <cell r="C3108" t="str">
            <v xml:space="preserve">  SGLT2 INHIB A-DIAB PLAIN</v>
          </cell>
          <cell r="D3108">
            <v>2716296</v>
          </cell>
          <cell r="E3108">
            <v>2270172</v>
          </cell>
        </row>
        <row r="3109">
          <cell r="C3109" t="str">
            <v xml:space="preserve">   EMPAGLIFLOZIN</v>
          </cell>
          <cell r="D3109">
            <v>2602235</v>
          </cell>
          <cell r="E3109">
            <v>2176645</v>
          </cell>
        </row>
        <row r="3110">
          <cell r="C3110" t="str">
            <v xml:space="preserve">    EMPA               NJP</v>
          </cell>
          <cell r="D3110">
            <v>636883</v>
          </cell>
          <cell r="E3110">
            <v>559455</v>
          </cell>
        </row>
        <row r="3111">
          <cell r="C3111" t="str">
            <v xml:space="preserve">    JARDIAN            BXM</v>
          </cell>
          <cell r="D3111">
            <v>348227</v>
          </cell>
          <cell r="E3111">
            <v>320135</v>
          </cell>
        </row>
        <row r="3112">
          <cell r="C3112" t="str">
            <v xml:space="preserve">    EMPATAB            IAP</v>
          </cell>
          <cell r="D3112">
            <v>252385</v>
          </cell>
          <cell r="E3112">
            <v>212271</v>
          </cell>
        </row>
        <row r="3113">
          <cell r="C3113" t="str">
            <v xml:space="preserve">    EMAZID             ESF</v>
          </cell>
          <cell r="D3113">
            <v>196457</v>
          </cell>
          <cell r="E3113">
            <v>147573</v>
          </cell>
        </row>
        <row r="3114">
          <cell r="C3114" t="str">
            <v xml:space="preserve">    EMJARD             SQA</v>
          </cell>
          <cell r="D3114">
            <v>178036</v>
          </cell>
          <cell r="E3114">
            <v>117048</v>
          </cell>
        </row>
        <row r="3115">
          <cell r="C3115" t="str">
            <v xml:space="preserve">    EMPAGLIF           ATP</v>
          </cell>
          <cell r="D3115">
            <v>176490</v>
          </cell>
          <cell r="E3115">
            <v>144232</v>
          </cell>
        </row>
        <row r="3116">
          <cell r="C3116" t="str">
            <v xml:space="preserve">    EVANIA             HT3</v>
          </cell>
          <cell r="D3116">
            <v>124402</v>
          </cell>
          <cell r="E3116">
            <v>119256</v>
          </cell>
        </row>
        <row r="3117">
          <cell r="C3117" t="str">
            <v xml:space="preserve">    COPORT             A-I</v>
          </cell>
          <cell r="D3117">
            <v>117870</v>
          </cell>
          <cell r="E3117">
            <v>92628</v>
          </cell>
        </row>
        <row r="3118">
          <cell r="C3118" t="str">
            <v xml:space="preserve">    GLYCENOR           PPH</v>
          </cell>
          <cell r="D3118">
            <v>96383</v>
          </cell>
          <cell r="E3118">
            <v>71402</v>
          </cell>
        </row>
        <row r="3119">
          <cell r="C3119" t="str">
            <v xml:space="preserve">    GLIFO              ACM</v>
          </cell>
          <cell r="D3119">
            <v>66134</v>
          </cell>
          <cell r="E3119">
            <v>56168</v>
          </cell>
        </row>
        <row r="3120">
          <cell r="C3120" t="str">
            <v xml:space="preserve">    EMPAROL            D-I</v>
          </cell>
          <cell r="D3120">
            <v>59216</v>
          </cell>
          <cell r="E3120">
            <v>50362</v>
          </cell>
        </row>
        <row r="3121">
          <cell r="C3121" t="str">
            <v xml:space="preserve">    EMPADUS            OPI</v>
          </cell>
          <cell r="D3121">
            <v>57421</v>
          </cell>
          <cell r="E3121">
            <v>41564</v>
          </cell>
        </row>
        <row r="3122">
          <cell r="C3122" t="str">
            <v xml:space="preserve">    SINJARD            BAC</v>
          </cell>
          <cell r="D3122">
            <v>55821</v>
          </cell>
          <cell r="E3122">
            <v>44753</v>
          </cell>
        </row>
        <row r="3123">
          <cell r="C3123" t="str">
            <v xml:space="preserve">    DIAMPA             RTA</v>
          </cell>
          <cell r="D3123">
            <v>55091</v>
          </cell>
          <cell r="E3123">
            <v>46602</v>
          </cell>
        </row>
        <row r="3124">
          <cell r="C3124" t="str">
            <v xml:space="preserve">    ARDANCE            PI0</v>
          </cell>
          <cell r="D3124">
            <v>50769</v>
          </cell>
          <cell r="E3124">
            <v>14907</v>
          </cell>
        </row>
        <row r="3125">
          <cell r="C3125" t="str">
            <v xml:space="preserve">    ADEMPA             UNH</v>
          </cell>
          <cell r="D3125">
            <v>36906</v>
          </cell>
          <cell r="E3125">
            <v>29298</v>
          </cell>
        </row>
        <row r="3126">
          <cell r="C3126" t="str">
            <v xml:space="preserve">    GLIPATAB           IBN</v>
          </cell>
          <cell r="D3126">
            <v>29287</v>
          </cell>
          <cell r="E3126">
            <v>22407</v>
          </cell>
        </row>
        <row r="3127">
          <cell r="C3127" t="str">
            <v xml:space="preserve">    AJARDY             ZIS</v>
          </cell>
          <cell r="D3127">
            <v>26290</v>
          </cell>
          <cell r="E3127">
            <v>19892</v>
          </cell>
        </row>
        <row r="3128">
          <cell r="C3128" t="str">
            <v xml:space="preserve">    EMFOGEN            GNR</v>
          </cell>
          <cell r="D3128">
            <v>19078</v>
          </cell>
          <cell r="E3128">
            <v>39853</v>
          </cell>
        </row>
        <row r="3129">
          <cell r="C3129" t="str">
            <v xml:space="preserve">    EMPAZIN            D&amp;B</v>
          </cell>
          <cell r="D3129">
            <v>13221</v>
          </cell>
          <cell r="E3129">
            <v>18260</v>
          </cell>
        </row>
        <row r="3130">
          <cell r="C3130" t="str">
            <v xml:space="preserve">    EMGLIF             OR/</v>
          </cell>
          <cell r="D3130">
            <v>4458</v>
          </cell>
          <cell r="E3130">
            <v>4404</v>
          </cell>
        </row>
        <row r="3131">
          <cell r="C3131" t="str">
            <v xml:space="preserve">    JARDIANCE          RD7</v>
          </cell>
          <cell r="D3131">
            <v>914</v>
          </cell>
          <cell r="E3131">
            <v>4175</v>
          </cell>
        </row>
        <row r="3132">
          <cell r="C3132" t="str">
            <v xml:space="preserve">    EMPASTAR           GD2</v>
          </cell>
          <cell r="D3132">
            <v>496</v>
          </cell>
          <cell r="E3132">
            <v>0</v>
          </cell>
        </row>
        <row r="3133">
          <cell r="C3133" t="str">
            <v xml:space="preserve">   DAPAGLIFLOZIN</v>
          </cell>
          <cell r="D3133">
            <v>74140</v>
          </cell>
          <cell r="E3133">
            <v>42482</v>
          </cell>
        </row>
        <row r="3134">
          <cell r="C3134" t="str">
            <v xml:space="preserve">    DAPAGLIP           IAP</v>
          </cell>
          <cell r="D3134">
            <v>48152</v>
          </cell>
          <cell r="E3134">
            <v>23875</v>
          </cell>
        </row>
        <row r="3135">
          <cell r="C3135" t="str">
            <v xml:space="preserve">    GLYCEMA            A-I</v>
          </cell>
          <cell r="D3135">
            <v>22165</v>
          </cell>
          <cell r="E3135">
            <v>15806</v>
          </cell>
        </row>
        <row r="3136">
          <cell r="C3136" t="str">
            <v xml:space="preserve">    DAPAROL            D-I</v>
          </cell>
          <cell r="D3136">
            <v>3305</v>
          </cell>
          <cell r="E3136">
            <v>2446</v>
          </cell>
        </row>
        <row r="3137">
          <cell r="C3137" t="str">
            <v xml:space="preserve">    DAPATAB            IBN</v>
          </cell>
          <cell r="D3137">
            <v>390</v>
          </cell>
          <cell r="E3137">
            <v>0</v>
          </cell>
        </row>
        <row r="3138">
          <cell r="C3138" t="str">
            <v xml:space="preserve">    DAPAZIN            CC/</v>
          </cell>
          <cell r="D3138">
            <v>128</v>
          </cell>
          <cell r="E3138">
            <v>313</v>
          </cell>
        </row>
        <row r="3139">
          <cell r="C3139" t="str">
            <v xml:space="preserve">    DIADAP             OPI</v>
          </cell>
          <cell r="D3139">
            <v>0</v>
          </cell>
          <cell r="E3139">
            <v>43</v>
          </cell>
        </row>
        <row r="3140">
          <cell r="C3140" t="str">
            <v xml:space="preserve">   ERTUGLIFLOZIN</v>
          </cell>
          <cell r="D3140">
            <v>37586</v>
          </cell>
          <cell r="E3140">
            <v>44917</v>
          </cell>
        </row>
        <row r="3141">
          <cell r="C3141" t="str">
            <v xml:space="preserve">    ERTU               S.Y</v>
          </cell>
          <cell r="D3141">
            <v>31442</v>
          </cell>
          <cell r="E3141">
            <v>38431</v>
          </cell>
        </row>
        <row r="3142">
          <cell r="C3142" t="str">
            <v xml:space="preserve">    ERTOXA             ZIS</v>
          </cell>
          <cell r="D3142">
            <v>3038</v>
          </cell>
          <cell r="E3142">
            <v>5693</v>
          </cell>
        </row>
        <row r="3143">
          <cell r="C3143" t="str">
            <v xml:space="preserve">    ELTERO             IAP</v>
          </cell>
          <cell r="D3143">
            <v>2944</v>
          </cell>
          <cell r="E3143">
            <v>793</v>
          </cell>
        </row>
        <row r="3144">
          <cell r="C3144" t="str">
            <v xml:space="preserve">    ERTUGLIF           N8V</v>
          </cell>
          <cell r="D3144">
            <v>162</v>
          </cell>
          <cell r="E3144">
            <v>0</v>
          </cell>
        </row>
        <row r="3145">
          <cell r="C3145" t="str">
            <v xml:space="preserve">   CANAGLIFLOZIN</v>
          </cell>
          <cell r="D3145">
            <v>2336</v>
          </cell>
          <cell r="E3145">
            <v>6128</v>
          </cell>
        </row>
        <row r="3146">
          <cell r="C3146" t="str">
            <v xml:space="preserve">    DIACANA            NJP</v>
          </cell>
          <cell r="D3146">
            <v>2299</v>
          </cell>
          <cell r="E3146">
            <v>1269</v>
          </cell>
        </row>
        <row r="3147">
          <cell r="C3147" t="str">
            <v xml:space="preserve">    CANAGLIF           SQA</v>
          </cell>
          <cell r="D3147">
            <v>37</v>
          </cell>
          <cell r="E3147">
            <v>4860</v>
          </cell>
        </row>
        <row r="3148">
          <cell r="C3148" t="str">
            <v xml:space="preserve">    GLICANA            IAP</v>
          </cell>
          <cell r="D3148">
            <v>0</v>
          </cell>
          <cell r="E3148">
            <v>0</v>
          </cell>
        </row>
        <row r="3149">
          <cell r="C3149" t="str">
            <v xml:space="preserve">    CANAROL            D-I</v>
          </cell>
          <cell r="D3149">
            <v>0</v>
          </cell>
          <cell r="E3149">
            <v>0</v>
          </cell>
        </row>
        <row r="3150">
          <cell r="C3150" t="str">
            <v xml:space="preserve">  SGLT2 INH&amp;DPP-IV INH COM</v>
          </cell>
          <cell r="D3150">
            <v>2612409</v>
          </cell>
          <cell r="E3150">
            <v>1869303</v>
          </cell>
        </row>
        <row r="3151">
          <cell r="C3151" t="str">
            <v xml:space="preserve">   EMPAGLIFLOZIN+LINAGLIPTIN</v>
          </cell>
          <cell r="D3151">
            <v>2612409</v>
          </cell>
          <cell r="E3151">
            <v>1869303</v>
          </cell>
        </row>
        <row r="3152">
          <cell r="C3152" t="str">
            <v xml:space="preserve">    LINATAB-E          IAP</v>
          </cell>
          <cell r="D3152">
            <v>555868</v>
          </cell>
          <cell r="E3152">
            <v>459886</v>
          </cell>
        </row>
        <row r="3153">
          <cell r="C3153" t="str">
            <v xml:space="preserve">    EMPALINA           BXM</v>
          </cell>
          <cell r="D3153">
            <v>551230</v>
          </cell>
          <cell r="E3153">
            <v>396574</v>
          </cell>
        </row>
        <row r="3154">
          <cell r="C3154" t="str">
            <v xml:space="preserve">    GLYMPA             SQA</v>
          </cell>
          <cell r="D3154">
            <v>235502</v>
          </cell>
          <cell r="E3154">
            <v>174616</v>
          </cell>
        </row>
        <row r="3155">
          <cell r="C3155" t="str">
            <v xml:space="preserve">    GLYXAM             PPH</v>
          </cell>
          <cell r="D3155">
            <v>234300</v>
          </cell>
          <cell r="E3155">
            <v>124615</v>
          </cell>
        </row>
        <row r="3156">
          <cell r="C3156" t="str">
            <v xml:space="preserve">    LIMPA              ATP</v>
          </cell>
          <cell r="D3156">
            <v>213840</v>
          </cell>
          <cell r="E3156">
            <v>152401</v>
          </cell>
        </row>
        <row r="3157">
          <cell r="C3157" t="str">
            <v xml:space="preserve">    EMJENTA            NJP</v>
          </cell>
          <cell r="D3157">
            <v>164059</v>
          </cell>
          <cell r="E3157">
            <v>126356</v>
          </cell>
        </row>
        <row r="3158">
          <cell r="C3158" t="str">
            <v xml:space="preserve">    EMLINO             ACM</v>
          </cell>
          <cell r="D3158">
            <v>132298</v>
          </cell>
          <cell r="E3158">
            <v>99085</v>
          </cell>
        </row>
        <row r="3159">
          <cell r="C3159" t="str">
            <v xml:space="preserve">    EMAZID-L           ESF</v>
          </cell>
          <cell r="D3159">
            <v>122841</v>
          </cell>
          <cell r="E3159">
            <v>98949</v>
          </cell>
        </row>
        <row r="3160">
          <cell r="C3160" t="str">
            <v xml:space="preserve">    EVAGLIP            HT3</v>
          </cell>
          <cell r="D3160">
            <v>103267</v>
          </cell>
          <cell r="E3160">
            <v>58171</v>
          </cell>
        </row>
        <row r="3161">
          <cell r="C3161" t="str">
            <v xml:space="preserve">    EMLIDUS            OPI</v>
          </cell>
          <cell r="D3161">
            <v>74516</v>
          </cell>
          <cell r="E3161">
            <v>39995</v>
          </cell>
        </row>
        <row r="3162">
          <cell r="C3162" t="str">
            <v xml:space="preserve">    COPORT L           A-I</v>
          </cell>
          <cell r="D3162">
            <v>69016</v>
          </cell>
          <cell r="E3162">
            <v>29460</v>
          </cell>
        </row>
        <row r="3163">
          <cell r="C3163" t="str">
            <v xml:space="preserve">    SINJARD-L          BAC</v>
          </cell>
          <cell r="D3163">
            <v>31965</v>
          </cell>
          <cell r="E3163">
            <v>29088</v>
          </cell>
        </row>
        <row r="3164">
          <cell r="C3164" t="str">
            <v xml:space="preserve">    EMFOLIN            GNR</v>
          </cell>
          <cell r="D3164">
            <v>30168</v>
          </cell>
          <cell r="E3164">
            <v>59252</v>
          </cell>
        </row>
        <row r="3165">
          <cell r="C3165" t="str">
            <v xml:space="preserve">    ARDANCE-L          PI0</v>
          </cell>
          <cell r="D3165">
            <v>28057</v>
          </cell>
          <cell r="E3165">
            <v>5595</v>
          </cell>
        </row>
        <row r="3166">
          <cell r="C3166" t="str">
            <v xml:space="preserve">    GLINTA-PLUS        RTA</v>
          </cell>
          <cell r="D3166">
            <v>24983</v>
          </cell>
          <cell r="E3166">
            <v>5029</v>
          </cell>
        </row>
        <row r="3167">
          <cell r="C3167" t="str">
            <v xml:space="preserve">    ELIPTA             ZIS</v>
          </cell>
          <cell r="D3167">
            <v>16901</v>
          </cell>
          <cell r="E3167">
            <v>6743</v>
          </cell>
        </row>
        <row r="3168">
          <cell r="C3168" t="str">
            <v xml:space="preserve">    EMPAROL-L          D-I</v>
          </cell>
          <cell r="D3168">
            <v>12765</v>
          </cell>
          <cell r="E3168">
            <v>3488</v>
          </cell>
        </row>
        <row r="3169">
          <cell r="C3169" t="str">
            <v xml:space="preserve">    LINAX-E            IBN</v>
          </cell>
          <cell r="D3169">
            <v>10830</v>
          </cell>
          <cell r="E3169">
            <v>0</v>
          </cell>
        </row>
        <row r="3170">
          <cell r="C3170" t="str">
            <v xml:space="preserve">  SGLT2 INH &amp; BIGUAN COMBS</v>
          </cell>
          <cell r="D3170">
            <v>1355003</v>
          </cell>
          <cell r="E3170">
            <v>923189</v>
          </cell>
        </row>
        <row r="3171">
          <cell r="C3171" t="str">
            <v xml:space="preserve">   EMPAGLIFLOZIN+METFORMIN</v>
          </cell>
          <cell r="D3171">
            <v>1355003</v>
          </cell>
          <cell r="E3171">
            <v>923189</v>
          </cell>
        </row>
        <row r="3172">
          <cell r="C3172" t="str">
            <v xml:space="preserve">    EMPAMET            NJP</v>
          </cell>
          <cell r="D3172">
            <v>289469</v>
          </cell>
          <cell r="E3172">
            <v>243255</v>
          </cell>
        </row>
        <row r="3173">
          <cell r="C3173" t="str">
            <v xml:space="preserve">    EMJARD-M           SQA</v>
          </cell>
          <cell r="D3173">
            <v>242032</v>
          </cell>
          <cell r="E3173">
            <v>110769</v>
          </cell>
        </row>
        <row r="3174">
          <cell r="C3174" t="str">
            <v xml:space="preserve">    JARDIMET           BXM</v>
          </cell>
          <cell r="D3174">
            <v>194430</v>
          </cell>
          <cell r="E3174">
            <v>152163</v>
          </cell>
        </row>
        <row r="3175">
          <cell r="C3175" t="str">
            <v xml:space="preserve">    EMPATAB M          IAP</v>
          </cell>
          <cell r="D3175">
            <v>120484</v>
          </cell>
          <cell r="E3175">
            <v>81409</v>
          </cell>
        </row>
        <row r="3176">
          <cell r="C3176" t="str">
            <v xml:space="preserve">    EMAZID-M           ESF</v>
          </cell>
          <cell r="D3176">
            <v>111632</v>
          </cell>
          <cell r="E3176">
            <v>87270</v>
          </cell>
        </row>
        <row r="3177">
          <cell r="C3177" t="str">
            <v xml:space="preserve">    EMPAGLIF-M         ATP</v>
          </cell>
          <cell r="D3177">
            <v>78057</v>
          </cell>
          <cell r="E3177">
            <v>52144</v>
          </cell>
        </row>
        <row r="3178">
          <cell r="C3178" t="str">
            <v xml:space="preserve">    GLIFO-M            ACM</v>
          </cell>
          <cell r="D3178">
            <v>51510</v>
          </cell>
          <cell r="E3178">
            <v>27495</v>
          </cell>
        </row>
        <row r="3179">
          <cell r="C3179" t="str">
            <v xml:space="preserve">    COPORT-M           A-I</v>
          </cell>
          <cell r="D3179">
            <v>47304</v>
          </cell>
          <cell r="E3179">
            <v>30497</v>
          </cell>
        </row>
        <row r="3180">
          <cell r="C3180" t="str">
            <v xml:space="preserve">    GLYCENOR M         PPH</v>
          </cell>
          <cell r="D3180">
            <v>46437</v>
          </cell>
          <cell r="E3180">
            <v>29708</v>
          </cell>
        </row>
        <row r="3181">
          <cell r="C3181" t="str">
            <v xml:space="preserve">    EMPADUS-M          OPI</v>
          </cell>
          <cell r="D3181">
            <v>36966</v>
          </cell>
          <cell r="E3181">
            <v>26359</v>
          </cell>
        </row>
        <row r="3182">
          <cell r="C3182" t="str">
            <v xml:space="preserve">    EVANIA-M           HT3</v>
          </cell>
          <cell r="D3182">
            <v>35556</v>
          </cell>
          <cell r="E3182">
            <v>10031</v>
          </cell>
        </row>
        <row r="3183">
          <cell r="C3183" t="str">
            <v xml:space="preserve">    EMPAROL-M          D-I</v>
          </cell>
          <cell r="D3183">
            <v>22568</v>
          </cell>
          <cell r="E3183">
            <v>18163</v>
          </cell>
        </row>
        <row r="3184">
          <cell r="C3184" t="str">
            <v xml:space="preserve">    SINJARD-M          BAC</v>
          </cell>
          <cell r="D3184">
            <v>18054</v>
          </cell>
          <cell r="E3184">
            <v>11116</v>
          </cell>
        </row>
        <row r="3185">
          <cell r="C3185" t="str">
            <v xml:space="preserve">    DIAMPA-M           RTA</v>
          </cell>
          <cell r="D3185">
            <v>13450</v>
          </cell>
          <cell r="E3185">
            <v>2673</v>
          </cell>
        </row>
        <row r="3186">
          <cell r="C3186" t="str">
            <v xml:space="preserve">    EMFOGEN M          GNR</v>
          </cell>
          <cell r="D3186">
            <v>10941</v>
          </cell>
          <cell r="E3186">
            <v>20030</v>
          </cell>
        </row>
        <row r="3187">
          <cell r="C3187" t="str">
            <v xml:space="preserve">    ARDANCE-M          RD7</v>
          </cell>
          <cell r="D3187">
            <v>10809</v>
          </cell>
          <cell r="E3187">
            <v>1564</v>
          </cell>
        </row>
        <row r="3188">
          <cell r="C3188" t="str">
            <v xml:space="preserve">    EMPAMET XR         NJP</v>
          </cell>
          <cell r="D3188">
            <v>8714</v>
          </cell>
          <cell r="E3188">
            <v>9068</v>
          </cell>
        </row>
        <row r="3189">
          <cell r="C3189" t="str">
            <v xml:space="preserve">    AJARDY-M           ZIS</v>
          </cell>
          <cell r="D3189">
            <v>8210</v>
          </cell>
          <cell r="E3189">
            <v>6017</v>
          </cell>
        </row>
        <row r="3190">
          <cell r="C3190" t="str">
            <v xml:space="preserve">    ADEMPA-M           UNH</v>
          </cell>
          <cell r="D3190">
            <v>6573</v>
          </cell>
          <cell r="E3190">
            <v>0</v>
          </cell>
        </row>
        <row r="3191">
          <cell r="C3191" t="str">
            <v xml:space="preserve">    GLIFOMET           N8V</v>
          </cell>
          <cell r="D3191">
            <v>1373</v>
          </cell>
          <cell r="E3191">
            <v>3458</v>
          </cell>
        </row>
        <row r="3192">
          <cell r="C3192" t="str">
            <v xml:space="preserve">    GLIPATAB-M         IBN</v>
          </cell>
          <cell r="D3192">
            <v>436</v>
          </cell>
          <cell r="E3192">
            <v>0</v>
          </cell>
        </row>
        <row r="3193">
          <cell r="C3193" t="str">
            <v xml:space="preserve"> GABAPENTINOID PRODUCTS</v>
          </cell>
          <cell r="D3193">
            <v>6394482</v>
          </cell>
          <cell r="E3193">
            <v>5028694</v>
          </cell>
        </row>
        <row r="3194">
          <cell r="C3194" t="str">
            <v xml:space="preserve">  GABAPENTINOID PRODUCTS</v>
          </cell>
          <cell r="D3194">
            <v>6394482</v>
          </cell>
          <cell r="E3194">
            <v>5028694</v>
          </cell>
        </row>
        <row r="3195">
          <cell r="C3195" t="str">
            <v xml:space="preserve">   PREGABALIN</v>
          </cell>
          <cell r="D3195">
            <v>4663527</v>
          </cell>
          <cell r="E3195">
            <v>4211690</v>
          </cell>
        </row>
        <row r="3196">
          <cell r="C3196" t="str">
            <v xml:space="preserve">    PREGABA            OPI</v>
          </cell>
          <cell r="D3196">
            <v>662763</v>
          </cell>
          <cell r="E3196">
            <v>544053</v>
          </cell>
        </row>
        <row r="3197">
          <cell r="C3197" t="str">
            <v xml:space="preserve">    PRELICA            RD7</v>
          </cell>
          <cell r="D3197">
            <v>558724</v>
          </cell>
          <cell r="E3197">
            <v>424181</v>
          </cell>
        </row>
        <row r="3198">
          <cell r="C3198" t="str">
            <v xml:space="preserve">    NEUROLIN           SQA</v>
          </cell>
          <cell r="D3198">
            <v>531286</v>
          </cell>
          <cell r="E3198">
            <v>476410</v>
          </cell>
        </row>
        <row r="3199">
          <cell r="C3199" t="str">
            <v xml:space="preserve">    LYRIC              HT3</v>
          </cell>
          <cell r="D3199">
            <v>390467</v>
          </cell>
          <cell r="E3199">
            <v>353241</v>
          </cell>
        </row>
        <row r="3200">
          <cell r="C3200" t="str">
            <v xml:space="preserve">    PEGALIN            PPH</v>
          </cell>
          <cell r="D3200">
            <v>349904</v>
          </cell>
          <cell r="E3200">
            <v>309328</v>
          </cell>
        </row>
        <row r="3201">
          <cell r="C3201" t="str">
            <v xml:space="preserve">    GABAROL-CR         A-I</v>
          </cell>
          <cell r="D3201">
            <v>265299</v>
          </cell>
          <cell r="E3201">
            <v>269625</v>
          </cell>
        </row>
        <row r="3202">
          <cell r="C3202" t="str">
            <v xml:space="preserve">    GABA-P             RTA</v>
          </cell>
          <cell r="D3202">
            <v>263966</v>
          </cell>
          <cell r="E3202">
            <v>252424</v>
          </cell>
        </row>
        <row r="3203">
          <cell r="C3203" t="str">
            <v xml:space="preserve">    PREGABEN           IAP</v>
          </cell>
          <cell r="D3203">
            <v>259512</v>
          </cell>
          <cell r="E3203">
            <v>203009</v>
          </cell>
        </row>
        <row r="3204">
          <cell r="C3204" t="str">
            <v xml:space="preserve">    PG                 ESF</v>
          </cell>
          <cell r="D3204">
            <v>201537</v>
          </cell>
          <cell r="E3204">
            <v>192256</v>
          </cell>
        </row>
        <row r="3205">
          <cell r="C3205" t="str">
            <v xml:space="preserve">    NERVALIN-CR        BXM</v>
          </cell>
          <cell r="D3205">
            <v>186850</v>
          </cell>
          <cell r="E3205">
            <v>163791</v>
          </cell>
        </row>
        <row r="3206">
          <cell r="C3206" t="str">
            <v xml:space="preserve">    NEUGABA            SPI</v>
          </cell>
          <cell r="D3206">
            <v>161466</v>
          </cell>
          <cell r="E3206">
            <v>169417</v>
          </cell>
        </row>
        <row r="3207">
          <cell r="C3207" t="str">
            <v xml:space="preserve">    GABAROL            A-I</v>
          </cell>
          <cell r="D3207">
            <v>141012</v>
          </cell>
          <cell r="E3207">
            <v>148030</v>
          </cell>
        </row>
        <row r="3208">
          <cell r="C3208" t="str">
            <v xml:space="preserve">    NEUGALIN           ACM</v>
          </cell>
          <cell r="D3208">
            <v>116686</v>
          </cell>
          <cell r="E3208">
            <v>129698</v>
          </cell>
        </row>
        <row r="3209">
          <cell r="C3209" t="str">
            <v xml:space="preserve">    NERVALIN           BXM</v>
          </cell>
          <cell r="D3209">
            <v>105500</v>
          </cell>
          <cell r="E3209">
            <v>112296</v>
          </cell>
        </row>
        <row r="3210">
          <cell r="C3210" t="str">
            <v xml:space="preserve">    PG-CR              ESF</v>
          </cell>
          <cell r="D3210">
            <v>96067</v>
          </cell>
          <cell r="E3210">
            <v>64662</v>
          </cell>
        </row>
        <row r="3211">
          <cell r="C3211" t="str">
            <v xml:space="preserve">    LYRIC-CR           HT3</v>
          </cell>
          <cell r="D3211">
            <v>87004</v>
          </cell>
          <cell r="E3211">
            <v>0</v>
          </cell>
        </row>
        <row r="3212">
          <cell r="C3212" t="str">
            <v xml:space="preserve">    LYRINEX CR         NJP</v>
          </cell>
          <cell r="D3212">
            <v>64083</v>
          </cell>
          <cell r="E3212">
            <v>95404</v>
          </cell>
        </row>
        <row r="3213">
          <cell r="C3213" t="str">
            <v xml:space="preserve">    PRELIN             D-I</v>
          </cell>
          <cell r="D3213">
            <v>52250</v>
          </cell>
          <cell r="E3213">
            <v>59588</v>
          </cell>
        </row>
        <row r="3214">
          <cell r="C3214" t="str">
            <v xml:space="preserve">    MYRICA             UNH</v>
          </cell>
          <cell r="D3214">
            <v>50622</v>
          </cell>
          <cell r="E3214">
            <v>47316</v>
          </cell>
        </row>
        <row r="3215">
          <cell r="C3215" t="str">
            <v xml:space="preserve">    PREGAN-ER          N8V</v>
          </cell>
          <cell r="D3215">
            <v>33649</v>
          </cell>
          <cell r="E3215">
            <v>45609</v>
          </cell>
        </row>
        <row r="3216">
          <cell r="C3216" t="str">
            <v xml:space="preserve">    XIL                OR/</v>
          </cell>
          <cell r="D3216">
            <v>17833</v>
          </cell>
          <cell r="E3216">
            <v>33480</v>
          </cell>
        </row>
        <row r="3217">
          <cell r="C3217" t="str">
            <v xml:space="preserve">    NEPCO              PAC</v>
          </cell>
          <cell r="D3217">
            <v>9544</v>
          </cell>
          <cell r="E3217">
            <v>15962</v>
          </cell>
        </row>
        <row r="3218">
          <cell r="C3218" t="str">
            <v xml:space="preserve">    GABA-AID           LDB</v>
          </cell>
          <cell r="D3218">
            <v>9394</v>
          </cell>
          <cell r="E3218">
            <v>12920</v>
          </cell>
        </row>
        <row r="3219">
          <cell r="C3219" t="str">
            <v xml:space="preserve">    NEUREGA            IBN</v>
          </cell>
          <cell r="D3219">
            <v>9108</v>
          </cell>
          <cell r="E3219">
            <v>13920</v>
          </cell>
        </row>
        <row r="3220">
          <cell r="C3220" t="str">
            <v xml:space="preserve">    XIL-CR             OR/</v>
          </cell>
          <cell r="D3220">
            <v>7993</v>
          </cell>
          <cell r="E3220">
            <v>6277</v>
          </cell>
        </row>
        <row r="3221">
          <cell r="C3221" t="str">
            <v xml:space="preserve">    NEUROVAN           ATP</v>
          </cell>
          <cell r="D3221">
            <v>6344</v>
          </cell>
          <cell r="E3221">
            <v>11280</v>
          </cell>
        </row>
        <row r="3222">
          <cell r="C3222" t="str">
            <v xml:space="preserve">    LYRINEX            NJP</v>
          </cell>
          <cell r="D3222">
            <v>5402</v>
          </cell>
          <cell r="E3222">
            <v>9778</v>
          </cell>
        </row>
        <row r="3223">
          <cell r="C3223" t="str">
            <v xml:space="preserve">    REGAB              BAC</v>
          </cell>
          <cell r="D3223">
            <v>5241</v>
          </cell>
          <cell r="E3223">
            <v>8620</v>
          </cell>
        </row>
        <row r="3224">
          <cell r="C3224" t="str">
            <v xml:space="preserve">    PREGAN             N8V</v>
          </cell>
          <cell r="D3224">
            <v>4033</v>
          </cell>
          <cell r="E3224">
            <v>11513</v>
          </cell>
        </row>
        <row r="3225">
          <cell r="C3225" t="str">
            <v xml:space="preserve">    PREBALIN           GNR</v>
          </cell>
          <cell r="D3225">
            <v>3528</v>
          </cell>
          <cell r="E3225">
            <v>11704</v>
          </cell>
        </row>
        <row r="3226">
          <cell r="C3226" t="str">
            <v xml:space="preserve">    LIRICA             BP&amp;</v>
          </cell>
          <cell r="D3226">
            <v>2526</v>
          </cell>
          <cell r="E3226">
            <v>3888</v>
          </cell>
        </row>
        <row r="3227">
          <cell r="C3227" t="str">
            <v xml:space="preserve">    GABATEC            ZIS</v>
          </cell>
          <cell r="D3227">
            <v>1670</v>
          </cell>
          <cell r="E3227">
            <v>2973</v>
          </cell>
        </row>
        <row r="3228">
          <cell r="C3228" t="str">
            <v xml:space="preserve">    LYROXEN            EVR</v>
          </cell>
          <cell r="D3228">
            <v>955</v>
          </cell>
          <cell r="E3228">
            <v>1409</v>
          </cell>
        </row>
        <row r="3229">
          <cell r="C3229" t="str">
            <v xml:space="preserve">    PRENEU             GD2</v>
          </cell>
          <cell r="D3229">
            <v>580</v>
          </cell>
          <cell r="E3229">
            <v>588</v>
          </cell>
        </row>
        <row r="3230">
          <cell r="C3230" t="str">
            <v xml:space="preserve">    PREBALIN-CR        GNR</v>
          </cell>
          <cell r="D3230">
            <v>219</v>
          </cell>
          <cell r="E3230">
            <v>4637</v>
          </cell>
        </row>
        <row r="3231">
          <cell r="C3231" t="str">
            <v xml:space="preserve">    BROKLIN-CR         ONA</v>
          </cell>
          <cell r="D3231">
            <v>181</v>
          </cell>
          <cell r="E3231">
            <v>0</v>
          </cell>
        </row>
        <row r="3232">
          <cell r="C3232" t="str">
            <v xml:space="preserve">    NERFID             WTH</v>
          </cell>
          <cell r="D3232">
            <v>177</v>
          </cell>
          <cell r="E3232">
            <v>466</v>
          </cell>
        </row>
        <row r="3233">
          <cell r="C3233" t="str">
            <v xml:space="preserve">    PYRICA             P-S</v>
          </cell>
          <cell r="D3233">
            <v>102</v>
          </cell>
          <cell r="E3233">
            <v>683</v>
          </cell>
        </row>
        <row r="3234">
          <cell r="C3234" t="str">
            <v xml:space="preserve">    PEGARON            J&amp;H</v>
          </cell>
          <cell r="D3234">
            <v>48</v>
          </cell>
          <cell r="E3234">
            <v>538</v>
          </cell>
        </row>
        <row r="3235">
          <cell r="C3235" t="str">
            <v xml:space="preserve">    PREGADEL           D&amp;B</v>
          </cell>
          <cell r="D3235">
            <v>0</v>
          </cell>
          <cell r="E3235">
            <v>716</v>
          </cell>
        </row>
        <row r="3236">
          <cell r="C3236" t="str">
            <v xml:space="preserve">    PREGALEX           SH0</v>
          </cell>
          <cell r="D3236">
            <v>0</v>
          </cell>
          <cell r="E3236">
            <v>0</v>
          </cell>
        </row>
        <row r="3237">
          <cell r="C3237" t="str">
            <v xml:space="preserve">    XABLIN             SDZ</v>
          </cell>
          <cell r="D3237">
            <v>0</v>
          </cell>
          <cell r="E3237">
            <v>0</v>
          </cell>
        </row>
        <row r="3238">
          <cell r="C3238" t="str">
            <v xml:space="preserve">    NEURICA            GBE</v>
          </cell>
          <cell r="D3238">
            <v>0</v>
          </cell>
          <cell r="E3238">
            <v>0</v>
          </cell>
        </row>
        <row r="3239">
          <cell r="C3239" t="str">
            <v xml:space="preserve">    VAXAR              NUV</v>
          </cell>
          <cell r="D3239">
            <v>0</v>
          </cell>
          <cell r="E3239">
            <v>0</v>
          </cell>
        </row>
        <row r="3240">
          <cell r="C3240" t="str">
            <v xml:space="preserve">    PEGAMAX            A-H</v>
          </cell>
          <cell r="D3240">
            <v>0</v>
          </cell>
          <cell r="E3240">
            <v>0</v>
          </cell>
        </row>
        <row r="3241">
          <cell r="C3241" t="str">
            <v xml:space="preserve">   MIROGABALIN</v>
          </cell>
          <cell r="D3241">
            <v>1499522</v>
          </cell>
          <cell r="E3241">
            <v>605502</v>
          </cell>
        </row>
        <row r="3242">
          <cell r="C3242" t="str">
            <v xml:space="preserve">    MIG                ESF</v>
          </cell>
          <cell r="D3242">
            <v>406715</v>
          </cell>
          <cell r="E3242">
            <v>256717</v>
          </cell>
        </row>
        <row r="3243">
          <cell r="C3243" t="str">
            <v xml:space="preserve">    MIRABA             ACM</v>
          </cell>
          <cell r="D3243">
            <v>144671</v>
          </cell>
          <cell r="E3243">
            <v>83955</v>
          </cell>
        </row>
        <row r="3244">
          <cell r="C3244" t="str">
            <v xml:space="preserve">    MIROGAB            BAC</v>
          </cell>
          <cell r="D3244">
            <v>131010</v>
          </cell>
          <cell r="E3244">
            <v>72428</v>
          </cell>
        </row>
        <row r="3245">
          <cell r="C3245" t="str">
            <v xml:space="preserve">    NEUMIG             SQA</v>
          </cell>
          <cell r="D3245">
            <v>128287</v>
          </cell>
          <cell r="E3245">
            <v>0</v>
          </cell>
        </row>
        <row r="3246">
          <cell r="C3246" t="str">
            <v xml:space="preserve">    MEROLIN            ZIS</v>
          </cell>
          <cell r="D3246">
            <v>121704</v>
          </cell>
          <cell r="E3246">
            <v>80310</v>
          </cell>
        </row>
        <row r="3247">
          <cell r="C3247" t="str">
            <v xml:space="preserve">    MIGALIN            PPH</v>
          </cell>
          <cell r="D3247">
            <v>111144</v>
          </cell>
          <cell r="E3247">
            <v>39731</v>
          </cell>
        </row>
        <row r="3248">
          <cell r="C3248" t="str">
            <v xml:space="preserve">    MIROVAN            ATP</v>
          </cell>
          <cell r="D3248">
            <v>89114</v>
          </cell>
          <cell r="E3248">
            <v>44346</v>
          </cell>
        </row>
        <row r="3249">
          <cell r="C3249" t="str">
            <v xml:space="preserve">    MIROTIV            RTA</v>
          </cell>
          <cell r="D3249">
            <v>88243</v>
          </cell>
          <cell r="E3249">
            <v>0</v>
          </cell>
        </row>
        <row r="3250">
          <cell r="C3250" t="str">
            <v xml:space="preserve">    SINDOLA            IAP</v>
          </cell>
          <cell r="D3250">
            <v>71904</v>
          </cell>
          <cell r="E3250">
            <v>0</v>
          </cell>
        </row>
        <row r="3251">
          <cell r="C3251" t="str">
            <v xml:space="preserve">    NUMIRA             BXM</v>
          </cell>
          <cell r="D3251">
            <v>63561</v>
          </cell>
          <cell r="E3251">
            <v>1365</v>
          </cell>
        </row>
        <row r="3252">
          <cell r="C3252" t="str">
            <v xml:space="preserve">    NERVION            A-I</v>
          </cell>
          <cell r="D3252">
            <v>59151</v>
          </cell>
          <cell r="E3252">
            <v>0</v>
          </cell>
        </row>
        <row r="3253">
          <cell r="C3253" t="str">
            <v xml:space="preserve">    MIRALIN            OR/</v>
          </cell>
          <cell r="D3253">
            <v>29390</v>
          </cell>
          <cell r="E3253">
            <v>26649</v>
          </cell>
        </row>
        <row r="3254">
          <cell r="C3254" t="str">
            <v xml:space="preserve">    TARGABA            OPI</v>
          </cell>
          <cell r="D3254">
            <v>17386</v>
          </cell>
          <cell r="E3254">
            <v>0</v>
          </cell>
        </row>
        <row r="3255">
          <cell r="C3255" t="str">
            <v xml:space="preserve">    NEUMIR             N8V</v>
          </cell>
          <cell r="D3255">
            <v>15505</v>
          </cell>
          <cell r="E3255">
            <v>0</v>
          </cell>
        </row>
        <row r="3256">
          <cell r="C3256" t="str">
            <v xml:space="preserve">    TARLICA            RD7</v>
          </cell>
          <cell r="D3256">
            <v>12706</v>
          </cell>
          <cell r="E3256">
            <v>0</v>
          </cell>
        </row>
        <row r="3257">
          <cell r="C3257" t="str">
            <v xml:space="preserve">    SYNKOLIN           S.Y</v>
          </cell>
          <cell r="D3257">
            <v>6682</v>
          </cell>
          <cell r="E3257">
            <v>0</v>
          </cell>
        </row>
        <row r="3258">
          <cell r="C3258" t="str">
            <v xml:space="preserve">    MARCUS             HT3</v>
          </cell>
          <cell r="D3258">
            <v>1231</v>
          </cell>
          <cell r="E3258">
            <v>0</v>
          </cell>
        </row>
        <row r="3259">
          <cell r="C3259" t="str">
            <v xml:space="preserve">    MAGOLIN            D-I</v>
          </cell>
          <cell r="D3259">
            <v>1120</v>
          </cell>
          <cell r="E3259">
            <v>0</v>
          </cell>
        </row>
        <row r="3260">
          <cell r="C3260" t="str">
            <v xml:space="preserve">   GABAPENTIN</v>
          </cell>
          <cell r="D3260">
            <v>231433</v>
          </cell>
          <cell r="E3260">
            <v>211502</v>
          </cell>
        </row>
        <row r="3261">
          <cell r="C3261" t="str">
            <v xml:space="preserve">    GABAPEN            IAP</v>
          </cell>
          <cell r="D3261">
            <v>79545</v>
          </cell>
          <cell r="E3261">
            <v>61736</v>
          </cell>
        </row>
        <row r="3262">
          <cell r="C3262" t="str">
            <v xml:space="preserve">    GABASTAR           SQA</v>
          </cell>
          <cell r="D3262">
            <v>66978</v>
          </cell>
          <cell r="E3262">
            <v>72090</v>
          </cell>
        </row>
        <row r="3263">
          <cell r="C3263" t="str">
            <v xml:space="preserve">    GABA               RTA</v>
          </cell>
          <cell r="D3263">
            <v>61696</v>
          </cell>
          <cell r="E3263">
            <v>52340</v>
          </cell>
        </row>
        <row r="3264">
          <cell r="C3264" t="str">
            <v xml:space="preserve">    NEUROPEN           D-I</v>
          </cell>
          <cell r="D3264">
            <v>12891</v>
          </cell>
          <cell r="E3264">
            <v>10584</v>
          </cell>
        </row>
        <row r="3265">
          <cell r="C3265" t="str">
            <v xml:space="preserve">    GABATIN            UNH</v>
          </cell>
          <cell r="D3265">
            <v>10265</v>
          </cell>
          <cell r="E3265">
            <v>14694</v>
          </cell>
        </row>
        <row r="3266">
          <cell r="C3266" t="str">
            <v xml:space="preserve">    GABANTIN           SPI</v>
          </cell>
          <cell r="D3266">
            <v>57</v>
          </cell>
          <cell r="E3266">
            <v>19</v>
          </cell>
        </row>
        <row r="3267">
          <cell r="C3267" t="str">
            <v xml:space="preserve">    GABAMAX            BAC</v>
          </cell>
          <cell r="D3267">
            <v>0</v>
          </cell>
          <cell r="E3267">
            <v>0</v>
          </cell>
        </row>
        <row r="3268">
          <cell r="C3268" t="str">
            <v xml:space="preserve">    GPENTIN            OPI</v>
          </cell>
          <cell r="D3268">
            <v>0</v>
          </cell>
          <cell r="E3268">
            <v>38</v>
          </cell>
        </row>
        <row r="3269">
          <cell r="C3269" t="str">
            <v xml:space="preserve">    NEPSY              ESF</v>
          </cell>
          <cell r="D3269">
            <v>0</v>
          </cell>
          <cell r="E3269">
            <v>0</v>
          </cell>
        </row>
        <row r="3270">
          <cell r="C3270" t="str">
            <v xml:space="preserve">    NEUROTIN           SV6</v>
          </cell>
          <cell r="D3270">
            <v>0</v>
          </cell>
          <cell r="E3270">
            <v>0</v>
          </cell>
        </row>
        <row r="3271">
          <cell r="C3271" t="str">
            <v xml:space="preserve">    GABON              ACM</v>
          </cell>
          <cell r="D3271">
            <v>0</v>
          </cell>
          <cell r="E3271">
            <v>0</v>
          </cell>
        </row>
        <row r="3272">
          <cell r="C3272" t="str">
            <v xml:space="preserve"> SULPHONYLUREA A-DIABS</v>
          </cell>
          <cell r="D3272">
            <v>5468833</v>
          </cell>
          <cell r="E3272">
            <v>5049132</v>
          </cell>
        </row>
        <row r="3273">
          <cell r="C3273" t="str">
            <v xml:space="preserve">  SULPHONYLUREA A-DIABS</v>
          </cell>
          <cell r="D3273">
            <v>5468833</v>
          </cell>
          <cell r="E3273">
            <v>5049132</v>
          </cell>
        </row>
        <row r="3274">
          <cell r="C3274" t="str">
            <v xml:space="preserve">   GLICLAZIDE</v>
          </cell>
          <cell r="D3274">
            <v>3271060</v>
          </cell>
          <cell r="E3274">
            <v>2990722</v>
          </cell>
        </row>
        <row r="3275">
          <cell r="C3275" t="str">
            <v xml:space="preserve">    COMPRID            SQA</v>
          </cell>
          <cell r="D3275">
            <v>864213</v>
          </cell>
          <cell r="E3275">
            <v>717773</v>
          </cell>
        </row>
        <row r="3276">
          <cell r="C3276" t="str">
            <v xml:space="preserve">    DIAMICRON          SVR</v>
          </cell>
          <cell r="D3276">
            <v>688084</v>
          </cell>
          <cell r="E3276">
            <v>766471</v>
          </cell>
        </row>
        <row r="3277">
          <cell r="C3277" t="str">
            <v xml:space="preserve">    DIMEROL            D-I</v>
          </cell>
          <cell r="D3277">
            <v>522247</v>
          </cell>
          <cell r="E3277">
            <v>482056</v>
          </cell>
        </row>
        <row r="3278">
          <cell r="C3278" t="str">
            <v xml:space="preserve">    CONSUCON           IAP</v>
          </cell>
          <cell r="D3278">
            <v>375763</v>
          </cell>
          <cell r="E3278">
            <v>307478</v>
          </cell>
        </row>
        <row r="3279">
          <cell r="C3279" t="str">
            <v xml:space="preserve">    DIAPRO             BXM</v>
          </cell>
          <cell r="D3279">
            <v>260248</v>
          </cell>
          <cell r="E3279">
            <v>216330</v>
          </cell>
        </row>
        <row r="3280">
          <cell r="C3280" t="str">
            <v xml:space="preserve">    GLUCOZID           ATP</v>
          </cell>
          <cell r="D3280">
            <v>144085</v>
          </cell>
          <cell r="E3280">
            <v>120180</v>
          </cell>
        </row>
        <row r="3281">
          <cell r="C3281" t="str">
            <v xml:space="preserve">    GLIZID             OPI</v>
          </cell>
          <cell r="D3281">
            <v>78561</v>
          </cell>
          <cell r="E3281">
            <v>66503</v>
          </cell>
        </row>
        <row r="3282">
          <cell r="C3282" t="str">
            <v xml:space="preserve">    GLIKAZID           ESF</v>
          </cell>
          <cell r="D3282">
            <v>74322</v>
          </cell>
          <cell r="E3282">
            <v>66163</v>
          </cell>
        </row>
        <row r="3283">
          <cell r="C3283" t="str">
            <v xml:space="preserve">    GLICLID            ACM</v>
          </cell>
          <cell r="D3283">
            <v>48717</v>
          </cell>
          <cell r="E3283">
            <v>32705</v>
          </cell>
        </row>
        <row r="3284">
          <cell r="C3284" t="str">
            <v xml:space="preserve">    LOZIDE             A-I</v>
          </cell>
          <cell r="D3284">
            <v>34287</v>
          </cell>
          <cell r="E3284">
            <v>28176</v>
          </cell>
        </row>
        <row r="3285">
          <cell r="C3285" t="str">
            <v xml:space="preserve">    REMICRON MR        SPI</v>
          </cell>
          <cell r="D3285">
            <v>25670</v>
          </cell>
          <cell r="E3285">
            <v>10731</v>
          </cell>
        </row>
        <row r="3286">
          <cell r="C3286" t="str">
            <v xml:space="preserve">    RADIZID            RD7</v>
          </cell>
          <cell r="D3286">
            <v>21188</v>
          </cell>
          <cell r="E3286">
            <v>20203</v>
          </cell>
        </row>
        <row r="3287">
          <cell r="C3287" t="str">
            <v xml:space="preserve">    DIAZID             NJP</v>
          </cell>
          <cell r="D3287">
            <v>20379</v>
          </cell>
          <cell r="E3287">
            <v>17093</v>
          </cell>
        </row>
        <row r="3288">
          <cell r="C3288" t="str">
            <v xml:space="preserve">    DIATROL            PAC</v>
          </cell>
          <cell r="D3288">
            <v>19894</v>
          </cell>
          <cell r="E3288">
            <v>34134</v>
          </cell>
        </row>
        <row r="3289">
          <cell r="C3289" t="str">
            <v xml:space="preserve">    GLICRON            RTA</v>
          </cell>
          <cell r="D3289">
            <v>17655</v>
          </cell>
          <cell r="E3289">
            <v>12209</v>
          </cell>
        </row>
        <row r="3290">
          <cell r="C3290" t="str">
            <v xml:space="preserve">    GLIX               N8V</v>
          </cell>
          <cell r="D3290">
            <v>14685</v>
          </cell>
          <cell r="E3290">
            <v>14362</v>
          </cell>
        </row>
        <row r="3291">
          <cell r="C3291" t="str">
            <v xml:space="preserve">    OCLAZID            OR/</v>
          </cell>
          <cell r="D3291">
            <v>13889</v>
          </cell>
          <cell r="E3291">
            <v>15262</v>
          </cell>
        </row>
        <row r="3292">
          <cell r="C3292" t="str">
            <v xml:space="preserve">    GORED              GNR</v>
          </cell>
          <cell r="D3292">
            <v>13824</v>
          </cell>
          <cell r="E3292">
            <v>30142</v>
          </cell>
        </row>
        <row r="3293">
          <cell r="C3293" t="str">
            <v xml:space="preserve">    GLUZIT             PPH</v>
          </cell>
          <cell r="D3293">
            <v>9389</v>
          </cell>
          <cell r="E3293">
            <v>6201</v>
          </cell>
        </row>
        <row r="3294">
          <cell r="C3294" t="str">
            <v xml:space="preserve">    ADMIRA             UNH</v>
          </cell>
          <cell r="D3294">
            <v>6747</v>
          </cell>
          <cell r="E3294">
            <v>6290</v>
          </cell>
        </row>
        <row r="3295">
          <cell r="C3295" t="str">
            <v xml:space="preserve">    SINAZID            IBN</v>
          </cell>
          <cell r="D3295">
            <v>5539</v>
          </cell>
          <cell r="E3295">
            <v>5596</v>
          </cell>
        </row>
        <row r="3296">
          <cell r="C3296" t="str">
            <v xml:space="preserve">    GLUCOSTAT          BP&amp;</v>
          </cell>
          <cell r="D3296">
            <v>5537</v>
          </cell>
          <cell r="E3296">
            <v>3315</v>
          </cell>
        </row>
        <row r="3297">
          <cell r="C3297" t="str">
            <v xml:space="preserve">    GLIMICRON          WTH</v>
          </cell>
          <cell r="D3297">
            <v>4075</v>
          </cell>
          <cell r="E3297">
            <v>7730</v>
          </cell>
        </row>
        <row r="3298">
          <cell r="C3298" t="str">
            <v xml:space="preserve">    DIAZID-MR          NJP</v>
          </cell>
          <cell r="D3298">
            <v>971</v>
          </cell>
          <cell r="E3298">
            <v>984</v>
          </cell>
        </row>
        <row r="3299">
          <cell r="C3299" t="str">
            <v xml:space="preserve">    GLITZ              SH0</v>
          </cell>
          <cell r="D3299">
            <v>457</v>
          </cell>
          <cell r="E3299">
            <v>352</v>
          </cell>
        </row>
        <row r="3300">
          <cell r="C3300" t="str">
            <v xml:space="preserve">    DIASEAL            TMH</v>
          </cell>
          <cell r="D3300">
            <v>395</v>
          </cell>
          <cell r="E3300">
            <v>737</v>
          </cell>
        </row>
        <row r="3301">
          <cell r="C3301" t="str">
            <v xml:space="preserve">    SUCOTAB            GBE</v>
          </cell>
          <cell r="D3301">
            <v>100</v>
          </cell>
          <cell r="E3301">
            <v>720</v>
          </cell>
        </row>
        <row r="3302">
          <cell r="C3302" t="str">
            <v xml:space="preserve">    DIAPRID            A.P</v>
          </cell>
          <cell r="D3302">
            <v>91</v>
          </cell>
          <cell r="E3302">
            <v>121</v>
          </cell>
        </row>
        <row r="3303">
          <cell r="C3303" t="str">
            <v xml:space="preserve">    GLYTAS             ZIS</v>
          </cell>
          <cell r="D3303">
            <v>49</v>
          </cell>
          <cell r="E3303">
            <v>593</v>
          </cell>
        </row>
        <row r="3304">
          <cell r="C3304" t="str">
            <v xml:space="preserve">    DIACON             MLL</v>
          </cell>
          <cell r="D3304">
            <v>0</v>
          </cell>
          <cell r="E3304">
            <v>0</v>
          </cell>
        </row>
        <row r="3305">
          <cell r="C3305" t="str">
            <v xml:space="preserve">    GIDE               MED</v>
          </cell>
          <cell r="D3305">
            <v>0</v>
          </cell>
          <cell r="E3305">
            <v>0</v>
          </cell>
        </row>
        <row r="3306">
          <cell r="C3306" t="str">
            <v xml:space="preserve">    GLAD               SDZ</v>
          </cell>
          <cell r="D3306">
            <v>0</v>
          </cell>
          <cell r="E3306">
            <v>0</v>
          </cell>
        </row>
        <row r="3307">
          <cell r="C3307" t="str">
            <v xml:space="preserve">    GLICASIL           SV6</v>
          </cell>
          <cell r="D3307">
            <v>0</v>
          </cell>
          <cell r="E3307">
            <v>0</v>
          </cell>
        </row>
        <row r="3308">
          <cell r="C3308" t="str">
            <v xml:space="preserve">    KEZID              KMP</v>
          </cell>
          <cell r="D3308">
            <v>0</v>
          </cell>
          <cell r="E3308">
            <v>0</v>
          </cell>
        </row>
        <row r="3309">
          <cell r="C3309" t="str">
            <v xml:space="preserve">    LIFE               OAS</v>
          </cell>
          <cell r="D3309">
            <v>0</v>
          </cell>
          <cell r="E3309">
            <v>0</v>
          </cell>
        </row>
        <row r="3310">
          <cell r="C3310" t="str">
            <v xml:space="preserve">    ORAZID             S&amp;O</v>
          </cell>
          <cell r="D3310">
            <v>0</v>
          </cell>
          <cell r="E3310">
            <v>0</v>
          </cell>
        </row>
        <row r="3311">
          <cell r="C3311" t="str">
            <v xml:space="preserve">    XIDO               D&amp;B</v>
          </cell>
          <cell r="D3311">
            <v>0</v>
          </cell>
          <cell r="E3311">
            <v>114</v>
          </cell>
        </row>
        <row r="3312">
          <cell r="C3312" t="str">
            <v xml:space="preserve">    SB GLIC            SBD</v>
          </cell>
          <cell r="D3312">
            <v>0</v>
          </cell>
          <cell r="E3312">
            <v>0</v>
          </cell>
        </row>
        <row r="3313">
          <cell r="C3313" t="str">
            <v xml:space="preserve">    EUCRON             EMA</v>
          </cell>
          <cell r="D3313">
            <v>0</v>
          </cell>
          <cell r="E3313">
            <v>0</v>
          </cell>
        </row>
        <row r="3314">
          <cell r="C3314" t="str">
            <v xml:space="preserve">    CLAZ               A-H</v>
          </cell>
          <cell r="D3314">
            <v>0</v>
          </cell>
          <cell r="E3314">
            <v>0</v>
          </cell>
        </row>
        <row r="3315">
          <cell r="C3315" t="str">
            <v xml:space="preserve">    GLORED-MR          GNR</v>
          </cell>
          <cell r="D3315">
            <v>0</v>
          </cell>
          <cell r="E3315">
            <v>0</v>
          </cell>
        </row>
        <row r="3316">
          <cell r="C3316" t="str">
            <v xml:space="preserve">   GLIMEPIRIDE</v>
          </cell>
          <cell r="D3316">
            <v>2184846</v>
          </cell>
          <cell r="E3316">
            <v>2044892</v>
          </cell>
        </row>
        <row r="3317">
          <cell r="C3317" t="str">
            <v xml:space="preserve">    SECRIN             SQA</v>
          </cell>
          <cell r="D3317">
            <v>1053535</v>
          </cell>
          <cell r="E3317">
            <v>943517</v>
          </cell>
        </row>
        <row r="3318">
          <cell r="C3318" t="str">
            <v xml:space="preserve">    AMARYL             S.Y</v>
          </cell>
          <cell r="D3318">
            <v>398870</v>
          </cell>
          <cell r="E3318">
            <v>425178</v>
          </cell>
        </row>
        <row r="3319">
          <cell r="C3319" t="str">
            <v xml:space="preserve">    LOSUCON            IAP</v>
          </cell>
          <cell r="D3319">
            <v>202621</v>
          </cell>
          <cell r="E3319">
            <v>190409</v>
          </cell>
        </row>
        <row r="3320">
          <cell r="C3320" t="str">
            <v xml:space="preserve">    LIMPET             D-I</v>
          </cell>
          <cell r="D3320">
            <v>179018</v>
          </cell>
          <cell r="E3320">
            <v>177645</v>
          </cell>
        </row>
        <row r="3321">
          <cell r="C3321" t="str">
            <v xml:space="preserve">    DIARYL             BXM</v>
          </cell>
          <cell r="D3321">
            <v>103187</v>
          </cell>
          <cell r="E3321">
            <v>84134</v>
          </cell>
        </row>
        <row r="3322">
          <cell r="C3322" t="str">
            <v xml:space="preserve">    LIMARYL            PPH</v>
          </cell>
          <cell r="D3322">
            <v>95662</v>
          </cell>
          <cell r="E3322">
            <v>77013</v>
          </cell>
        </row>
        <row r="3323">
          <cell r="C3323" t="str">
            <v xml:space="preserve">    DACTUS             ACM</v>
          </cell>
          <cell r="D3323">
            <v>42611</v>
          </cell>
          <cell r="E3323">
            <v>35613</v>
          </cell>
        </row>
        <row r="3324">
          <cell r="C3324" t="str">
            <v xml:space="preserve">    GLIMS              OPI</v>
          </cell>
          <cell r="D3324">
            <v>24980</v>
          </cell>
          <cell r="E3324">
            <v>19649</v>
          </cell>
        </row>
        <row r="3325">
          <cell r="C3325" t="str">
            <v xml:space="preserve">    GLIMIRID           A-I</v>
          </cell>
          <cell r="D3325">
            <v>18512</v>
          </cell>
          <cell r="E3325">
            <v>13900</v>
          </cell>
        </row>
        <row r="3326">
          <cell r="C3326" t="str">
            <v xml:space="preserve">    DIALON             ESF</v>
          </cell>
          <cell r="D3326">
            <v>16881</v>
          </cell>
          <cell r="E3326">
            <v>16482</v>
          </cell>
        </row>
        <row r="3327">
          <cell r="C3327" t="str">
            <v xml:space="preserve">    GLUCONOR           ATP</v>
          </cell>
          <cell r="D3327">
            <v>16129</v>
          </cell>
          <cell r="E3327">
            <v>11109</v>
          </cell>
        </row>
        <row r="3328">
          <cell r="C3328" t="str">
            <v xml:space="preserve">    DIETA              PAC</v>
          </cell>
          <cell r="D3328">
            <v>15835</v>
          </cell>
          <cell r="E3328">
            <v>29622</v>
          </cell>
        </row>
        <row r="3329">
          <cell r="C3329" t="str">
            <v xml:space="preserve">    GLEMEP             HT3</v>
          </cell>
          <cell r="D3329">
            <v>7424</v>
          </cell>
          <cell r="E3329">
            <v>6755</v>
          </cell>
        </row>
        <row r="3330">
          <cell r="C3330" t="str">
            <v xml:space="preserve">    PRIDE              WTH</v>
          </cell>
          <cell r="D3330">
            <v>3955</v>
          </cell>
          <cell r="E3330">
            <v>7678</v>
          </cell>
        </row>
        <row r="3331">
          <cell r="C3331" t="str">
            <v xml:space="preserve">    GLYMAX             BAC</v>
          </cell>
          <cell r="D3331">
            <v>3170</v>
          </cell>
          <cell r="E3331">
            <v>557</v>
          </cell>
        </row>
        <row r="3332">
          <cell r="C3332" t="str">
            <v xml:space="preserve">    STIMULIN           OR/</v>
          </cell>
          <cell r="D3332">
            <v>1777</v>
          </cell>
          <cell r="E3332">
            <v>3204</v>
          </cell>
        </row>
        <row r="3333">
          <cell r="C3333" t="str">
            <v xml:space="preserve">    GLIMITUS           ZIS</v>
          </cell>
          <cell r="D3333">
            <v>339</v>
          </cell>
          <cell r="E3333">
            <v>695</v>
          </cell>
        </row>
        <row r="3334">
          <cell r="C3334" t="str">
            <v xml:space="preserve">    GLUCORID           BP&amp;</v>
          </cell>
          <cell r="D3334">
            <v>339</v>
          </cell>
          <cell r="E3334">
            <v>887</v>
          </cell>
        </row>
        <row r="3335">
          <cell r="C3335" t="str">
            <v xml:space="preserve">    ADGLIM             UNH</v>
          </cell>
          <cell r="D3335">
            <v>0</v>
          </cell>
          <cell r="E3335">
            <v>33</v>
          </cell>
        </row>
        <row r="3336">
          <cell r="C3336" t="str">
            <v xml:space="preserve">    GIPID              A.P</v>
          </cell>
          <cell r="D3336">
            <v>0</v>
          </cell>
          <cell r="E3336">
            <v>171</v>
          </cell>
        </row>
        <row r="3337">
          <cell r="C3337" t="str">
            <v xml:space="preserve">    GLIRID             GNR</v>
          </cell>
          <cell r="D3337">
            <v>0</v>
          </cell>
          <cell r="E3337">
            <v>40</v>
          </cell>
        </row>
        <row r="3338">
          <cell r="C3338" t="str">
            <v xml:space="preserve">    LIMEP              KMP</v>
          </cell>
          <cell r="D3338">
            <v>0</v>
          </cell>
          <cell r="E3338">
            <v>4</v>
          </cell>
        </row>
        <row r="3339">
          <cell r="C3339" t="str">
            <v xml:space="preserve">    SENRIDE            N8V</v>
          </cell>
          <cell r="D3339">
            <v>0</v>
          </cell>
          <cell r="E3339">
            <v>0</v>
          </cell>
        </row>
        <row r="3340">
          <cell r="C3340" t="str">
            <v xml:space="preserve">    SB GLIM            SBD</v>
          </cell>
          <cell r="D3340">
            <v>0</v>
          </cell>
          <cell r="E3340">
            <v>0</v>
          </cell>
        </row>
        <row r="3341">
          <cell r="C3341" t="str">
            <v xml:space="preserve">    TEMGLIP            TMH</v>
          </cell>
          <cell r="D3341">
            <v>0</v>
          </cell>
          <cell r="E3341">
            <v>596</v>
          </cell>
        </row>
        <row r="3342">
          <cell r="C3342" t="str">
            <v xml:space="preserve">   GLIBENCLAMIDE</v>
          </cell>
          <cell r="D3342">
            <v>11595</v>
          </cell>
          <cell r="E3342">
            <v>11514</v>
          </cell>
        </row>
        <row r="3343">
          <cell r="C3343" t="str">
            <v xml:space="preserve">    DIBENOL            SQA</v>
          </cell>
          <cell r="D3343">
            <v>11595</v>
          </cell>
          <cell r="E3343">
            <v>11194</v>
          </cell>
        </row>
        <row r="3344">
          <cell r="C3344" t="str">
            <v xml:space="preserve">    GLUCON             OPI</v>
          </cell>
          <cell r="D3344">
            <v>0</v>
          </cell>
          <cell r="E3344">
            <v>311</v>
          </cell>
        </row>
        <row r="3345">
          <cell r="C3345" t="str">
            <v xml:space="preserve">    GLUCONIL           ACM</v>
          </cell>
          <cell r="D3345">
            <v>0</v>
          </cell>
          <cell r="E3345">
            <v>9</v>
          </cell>
        </row>
        <row r="3346">
          <cell r="C3346" t="str">
            <v xml:space="preserve">   GLIPIZIDE</v>
          </cell>
          <cell r="D3346">
            <v>1332</v>
          </cell>
          <cell r="E3346">
            <v>2005</v>
          </cell>
        </row>
        <row r="3347">
          <cell r="C3347" t="str">
            <v xml:space="preserve">    DIACTIN            BXM</v>
          </cell>
          <cell r="D3347">
            <v>862</v>
          </cell>
          <cell r="E3347">
            <v>959</v>
          </cell>
        </row>
        <row r="3348">
          <cell r="C3348" t="str">
            <v xml:space="preserve">    DIAPLUS            PAC</v>
          </cell>
          <cell r="D3348">
            <v>470</v>
          </cell>
          <cell r="E3348">
            <v>1046</v>
          </cell>
        </row>
        <row r="3349">
          <cell r="C3349" t="str">
            <v xml:space="preserve">    ACTINE             ATP</v>
          </cell>
          <cell r="D3349">
            <v>0</v>
          </cell>
          <cell r="E3349">
            <v>0</v>
          </cell>
        </row>
        <row r="3350">
          <cell r="C3350" t="str">
            <v xml:space="preserve">    GLIMEROL           D-I</v>
          </cell>
          <cell r="D3350">
            <v>0</v>
          </cell>
          <cell r="E3350">
            <v>0</v>
          </cell>
        </row>
        <row r="3351">
          <cell r="C3351" t="str">
            <v xml:space="preserve">    ZITROL-XR          SQA</v>
          </cell>
          <cell r="D3351">
            <v>0</v>
          </cell>
          <cell r="E3351">
            <v>0</v>
          </cell>
        </row>
        <row r="3352">
          <cell r="C3352" t="str">
            <v xml:space="preserve">   COMPOSITION UNKNOWN</v>
          </cell>
          <cell r="D3352">
            <v>0</v>
          </cell>
          <cell r="E3352">
            <v>0</v>
          </cell>
        </row>
        <row r="3353">
          <cell r="C3353" t="str">
            <v xml:space="preserve">    DIABET             RTA</v>
          </cell>
          <cell r="D3353">
            <v>0</v>
          </cell>
          <cell r="E3353">
            <v>0</v>
          </cell>
        </row>
        <row r="3354">
          <cell r="C3354" t="str">
            <v xml:space="preserve"> BETA BLOCKING AGENT PLAIN</v>
          </cell>
          <cell r="D3354">
            <v>4915133</v>
          </cell>
          <cell r="E3354">
            <v>4347492</v>
          </cell>
        </row>
        <row r="3355">
          <cell r="C3355" t="str">
            <v xml:space="preserve">  BETA BLOCKING AGENT PLAIN</v>
          </cell>
          <cell r="D3355">
            <v>4915133</v>
          </cell>
          <cell r="E3355">
            <v>4347492</v>
          </cell>
        </row>
        <row r="3356">
          <cell r="C3356" t="str">
            <v xml:space="preserve">   BISOPROLOL</v>
          </cell>
          <cell r="D3356">
            <v>3529153</v>
          </cell>
          <cell r="E3356">
            <v>3153387</v>
          </cell>
        </row>
        <row r="3357">
          <cell r="C3357" t="str">
            <v xml:space="preserve">    BISLOL             OPI</v>
          </cell>
          <cell r="D3357">
            <v>1204729</v>
          </cell>
          <cell r="E3357">
            <v>1087508</v>
          </cell>
        </row>
        <row r="3358">
          <cell r="C3358" t="str">
            <v xml:space="preserve">    ANCOR              ATP</v>
          </cell>
          <cell r="D3358">
            <v>358686</v>
          </cell>
          <cell r="E3358">
            <v>307992</v>
          </cell>
        </row>
        <row r="3359">
          <cell r="C3359" t="str">
            <v xml:space="preserve">    BISOPRO            IAP</v>
          </cell>
          <cell r="D3359">
            <v>344459</v>
          </cell>
          <cell r="E3359">
            <v>293064</v>
          </cell>
        </row>
        <row r="3360">
          <cell r="C3360" t="str">
            <v xml:space="preserve">    BISOCOR            SQA</v>
          </cell>
          <cell r="D3360">
            <v>311280</v>
          </cell>
          <cell r="E3360">
            <v>284143</v>
          </cell>
        </row>
        <row r="3361">
          <cell r="C3361" t="str">
            <v xml:space="preserve">    BETACOR            PPH</v>
          </cell>
          <cell r="D3361">
            <v>281797</v>
          </cell>
          <cell r="E3361">
            <v>252059</v>
          </cell>
        </row>
        <row r="3362">
          <cell r="C3362" t="str">
            <v xml:space="preserve">    BISOREN            RTA</v>
          </cell>
          <cell r="D3362">
            <v>258274</v>
          </cell>
          <cell r="E3362">
            <v>222558</v>
          </cell>
        </row>
        <row r="3363">
          <cell r="C3363" t="str">
            <v xml:space="preserve">    CARDOBIS           ESF</v>
          </cell>
          <cell r="D3363">
            <v>189726</v>
          </cell>
          <cell r="E3363">
            <v>165289</v>
          </cell>
        </row>
        <row r="3364">
          <cell r="C3364" t="str">
            <v xml:space="preserve">    BETAFIX            HT3</v>
          </cell>
          <cell r="D3364">
            <v>139252</v>
          </cell>
          <cell r="E3364">
            <v>124019</v>
          </cell>
        </row>
        <row r="3365">
          <cell r="C3365" t="str">
            <v xml:space="preserve">    TENOBIS            D-I</v>
          </cell>
          <cell r="D3365">
            <v>96394</v>
          </cell>
          <cell r="E3365">
            <v>85309</v>
          </cell>
        </row>
        <row r="3366">
          <cell r="C3366" t="str">
            <v xml:space="preserve">    BETABIS            ACM</v>
          </cell>
          <cell r="D3366">
            <v>89796</v>
          </cell>
          <cell r="E3366">
            <v>80249</v>
          </cell>
        </row>
        <row r="3367">
          <cell r="C3367" t="str">
            <v xml:space="preserve">    BETAPRO            BXM</v>
          </cell>
          <cell r="D3367">
            <v>71733</v>
          </cell>
          <cell r="E3367">
            <v>66266</v>
          </cell>
        </row>
        <row r="3368">
          <cell r="C3368" t="str">
            <v xml:space="preserve">    PROBIS             A-I</v>
          </cell>
          <cell r="D3368">
            <v>47262</v>
          </cell>
          <cell r="E3368">
            <v>27976</v>
          </cell>
        </row>
        <row r="3369">
          <cell r="C3369" t="str">
            <v xml:space="preserve">    CARDICOR           UNH</v>
          </cell>
          <cell r="D3369">
            <v>33836</v>
          </cell>
          <cell r="E3369">
            <v>40854</v>
          </cell>
        </row>
        <row r="3370">
          <cell r="C3370" t="str">
            <v xml:space="preserve">    TABIS              N8V</v>
          </cell>
          <cell r="D3370">
            <v>27459</v>
          </cell>
          <cell r="E3370">
            <v>24130</v>
          </cell>
        </row>
        <row r="3371">
          <cell r="C3371" t="str">
            <v xml:space="preserve">    CARDINOR           LDB</v>
          </cell>
          <cell r="D3371">
            <v>22398</v>
          </cell>
          <cell r="E3371">
            <v>31675</v>
          </cell>
        </row>
        <row r="3372">
          <cell r="C3372" t="str">
            <v xml:space="preserve">    PRELIZER           RD7</v>
          </cell>
          <cell r="D3372">
            <v>16165</v>
          </cell>
          <cell r="E3372">
            <v>13585</v>
          </cell>
        </row>
        <row r="3373">
          <cell r="C3373" t="str">
            <v xml:space="preserve">    MYOCARD            GNR</v>
          </cell>
          <cell r="D3373">
            <v>8459</v>
          </cell>
          <cell r="E3373">
            <v>15525</v>
          </cell>
        </row>
        <row r="3374">
          <cell r="C3374" t="str">
            <v xml:space="preserve">    ORABIS             IBN</v>
          </cell>
          <cell r="D3374">
            <v>7990</v>
          </cell>
          <cell r="E3374">
            <v>9765</v>
          </cell>
        </row>
        <row r="3375">
          <cell r="C3375" t="str">
            <v xml:space="preserve">    BISOPRESS          NJP</v>
          </cell>
          <cell r="D3375">
            <v>5389</v>
          </cell>
          <cell r="E3375">
            <v>7466</v>
          </cell>
        </row>
        <row r="3376">
          <cell r="C3376" t="str">
            <v xml:space="preserve">    SELBIS             BAC</v>
          </cell>
          <cell r="D3376">
            <v>4968</v>
          </cell>
          <cell r="E3376">
            <v>4604</v>
          </cell>
        </row>
        <row r="3377">
          <cell r="C3377" t="str">
            <v xml:space="preserve">    BISOLOC            OR/</v>
          </cell>
          <cell r="D3377">
            <v>4459</v>
          </cell>
          <cell r="E3377">
            <v>5818</v>
          </cell>
        </row>
        <row r="3378">
          <cell r="C3378" t="str">
            <v xml:space="preserve">    ADORBIS            ZIS</v>
          </cell>
          <cell r="D3378">
            <v>2185</v>
          </cell>
          <cell r="E3378">
            <v>1431</v>
          </cell>
        </row>
        <row r="3379">
          <cell r="C3379" t="str">
            <v xml:space="preserve">    MYOCOR             BP&amp;</v>
          </cell>
          <cell r="D3379">
            <v>1320</v>
          </cell>
          <cell r="E3379">
            <v>1258</v>
          </cell>
        </row>
        <row r="3380">
          <cell r="C3380" t="str">
            <v xml:space="preserve">    BISOTAB            P-S</v>
          </cell>
          <cell r="D3380">
            <v>855</v>
          </cell>
          <cell r="E3380">
            <v>517</v>
          </cell>
        </row>
        <row r="3381">
          <cell r="C3381" t="str">
            <v xml:space="preserve">    BETAPRO            BXM</v>
          </cell>
          <cell r="D3381">
            <v>150</v>
          </cell>
          <cell r="E3381">
            <v>282</v>
          </cell>
        </row>
        <row r="3382">
          <cell r="C3382" t="str">
            <v xml:space="preserve">    ACUBIS             CC/</v>
          </cell>
          <cell r="D3382">
            <v>68</v>
          </cell>
          <cell r="E3382">
            <v>25</v>
          </cell>
        </row>
        <row r="3383">
          <cell r="C3383" t="str">
            <v xml:space="preserve">    BISOLIV            ONA</v>
          </cell>
          <cell r="D3383">
            <v>53</v>
          </cell>
          <cell r="E3383">
            <v>0</v>
          </cell>
        </row>
        <row r="3384">
          <cell r="C3384" t="str">
            <v xml:space="preserve">    BISU               PPH</v>
          </cell>
          <cell r="D3384">
            <v>12</v>
          </cell>
          <cell r="E3384">
            <v>0</v>
          </cell>
        </row>
        <row r="3385">
          <cell r="C3385" t="str">
            <v xml:space="preserve">    NUBIS              NUV</v>
          </cell>
          <cell r="D3385">
            <v>0</v>
          </cell>
          <cell r="E3385">
            <v>25</v>
          </cell>
        </row>
        <row r="3386">
          <cell r="C3386" t="str">
            <v xml:space="preserve">    DIOBIS             LOP</v>
          </cell>
          <cell r="D3386">
            <v>0</v>
          </cell>
          <cell r="E3386">
            <v>0</v>
          </cell>
        </row>
        <row r="3387">
          <cell r="C3387" t="str">
            <v xml:space="preserve">   NEBIVOLOL</v>
          </cell>
          <cell r="D3387">
            <v>573855</v>
          </cell>
          <cell r="E3387">
            <v>465234</v>
          </cell>
        </row>
        <row r="3388">
          <cell r="C3388" t="str">
            <v xml:space="preserve">    NEBITA             SQA</v>
          </cell>
          <cell r="D3388">
            <v>296555</v>
          </cell>
          <cell r="E3388">
            <v>219425</v>
          </cell>
        </row>
        <row r="3389">
          <cell r="C3389" t="str">
            <v xml:space="preserve">    NEBICARD           UNH</v>
          </cell>
          <cell r="D3389">
            <v>92631</v>
          </cell>
          <cell r="E3389">
            <v>101792</v>
          </cell>
        </row>
        <row r="3390">
          <cell r="C3390" t="str">
            <v xml:space="preserve">    DYSTOLIC           HT3</v>
          </cell>
          <cell r="D3390">
            <v>37830</v>
          </cell>
          <cell r="E3390">
            <v>19054</v>
          </cell>
        </row>
        <row r="3391">
          <cell r="C3391" t="str">
            <v xml:space="preserve">    BIPINOR            A-I</v>
          </cell>
          <cell r="D3391">
            <v>34508</v>
          </cell>
          <cell r="E3391">
            <v>27937</v>
          </cell>
        </row>
        <row r="3392">
          <cell r="C3392" t="str">
            <v xml:space="preserve">    VASOCOR            PPH</v>
          </cell>
          <cell r="D3392">
            <v>30150</v>
          </cell>
          <cell r="E3392">
            <v>28251</v>
          </cell>
        </row>
        <row r="3393">
          <cell r="C3393" t="str">
            <v xml:space="preserve">    CARNOVAS           BXM</v>
          </cell>
          <cell r="D3393">
            <v>29588</v>
          </cell>
          <cell r="E3393">
            <v>24228</v>
          </cell>
        </row>
        <row r="3394">
          <cell r="C3394" t="str">
            <v xml:space="preserve">    NEBIPRO            IAP</v>
          </cell>
          <cell r="D3394">
            <v>22292</v>
          </cell>
          <cell r="E3394">
            <v>13796</v>
          </cell>
        </row>
        <row r="3395">
          <cell r="C3395" t="str">
            <v xml:space="preserve">    MAXINEB            ATP</v>
          </cell>
          <cell r="D3395">
            <v>15784</v>
          </cell>
          <cell r="E3395">
            <v>11772</v>
          </cell>
        </row>
        <row r="3396">
          <cell r="C3396" t="str">
            <v xml:space="preserve">    NEBIFAST           D-I</v>
          </cell>
          <cell r="D3396">
            <v>6813</v>
          </cell>
          <cell r="E3396">
            <v>9191</v>
          </cell>
        </row>
        <row r="3397">
          <cell r="C3397" t="str">
            <v xml:space="preserve">    NEBIPRES           GNR</v>
          </cell>
          <cell r="D3397">
            <v>3907</v>
          </cell>
          <cell r="E3397">
            <v>6230</v>
          </cell>
        </row>
        <row r="3398">
          <cell r="C3398" t="str">
            <v xml:space="preserve">    NEBILOL            OPI</v>
          </cell>
          <cell r="D3398">
            <v>3798</v>
          </cell>
          <cell r="E3398">
            <v>3377</v>
          </cell>
        </row>
        <row r="3399">
          <cell r="C3399" t="str">
            <v xml:space="preserve">    CARDONEB           ESF</v>
          </cell>
          <cell r="D3399">
            <v>0</v>
          </cell>
          <cell r="E3399">
            <v>162</v>
          </cell>
        </row>
        <row r="3400">
          <cell r="C3400" t="str">
            <v xml:space="preserve">    IVOLOL             IAP</v>
          </cell>
          <cell r="D3400">
            <v>0</v>
          </cell>
          <cell r="E3400">
            <v>18</v>
          </cell>
        </row>
        <row r="3401">
          <cell r="C3401" t="str">
            <v xml:space="preserve">    NEBIREN            RTA</v>
          </cell>
          <cell r="D3401">
            <v>0</v>
          </cell>
          <cell r="E3401">
            <v>0</v>
          </cell>
        </row>
        <row r="3402">
          <cell r="C3402" t="str">
            <v xml:space="preserve">   PROPRANOLOL</v>
          </cell>
          <cell r="D3402">
            <v>236652</v>
          </cell>
          <cell r="E3402">
            <v>201088</v>
          </cell>
        </row>
        <row r="3403">
          <cell r="C3403" t="str">
            <v xml:space="preserve">    INDEVER            A-I</v>
          </cell>
          <cell r="D3403">
            <v>181109</v>
          </cell>
          <cell r="E3403">
            <v>140787</v>
          </cell>
        </row>
        <row r="3404">
          <cell r="C3404" t="str">
            <v xml:space="preserve">    PROPRANOL          OPI</v>
          </cell>
          <cell r="D3404">
            <v>50317</v>
          </cell>
          <cell r="E3404">
            <v>51653</v>
          </cell>
        </row>
        <row r="3405">
          <cell r="C3405" t="str">
            <v xml:space="preserve">    BETACAP-TR         SPI</v>
          </cell>
          <cell r="D3405">
            <v>5181</v>
          </cell>
          <cell r="E3405">
            <v>8606</v>
          </cell>
        </row>
        <row r="3406">
          <cell r="C3406" t="str">
            <v xml:space="preserve">    PROPRANOLOL        GNS</v>
          </cell>
          <cell r="D3406">
            <v>26</v>
          </cell>
          <cell r="E3406">
            <v>9</v>
          </cell>
        </row>
        <row r="3407">
          <cell r="C3407" t="str">
            <v xml:space="preserve">    ADLOCK             SON</v>
          </cell>
          <cell r="D3407">
            <v>19</v>
          </cell>
          <cell r="E3407">
            <v>32</v>
          </cell>
        </row>
        <row r="3408">
          <cell r="C3408" t="str">
            <v xml:space="preserve">    CARDINOL           A.D</v>
          </cell>
          <cell r="D3408">
            <v>0</v>
          </cell>
          <cell r="E3408">
            <v>1</v>
          </cell>
        </row>
        <row r="3409">
          <cell r="C3409" t="str">
            <v xml:space="preserve">    PRESORAL           GCO</v>
          </cell>
          <cell r="D3409">
            <v>0</v>
          </cell>
          <cell r="E3409">
            <v>0</v>
          </cell>
        </row>
        <row r="3410">
          <cell r="C3410" t="str">
            <v xml:space="preserve">   CARVEDILOL</v>
          </cell>
          <cell r="D3410">
            <v>228861</v>
          </cell>
          <cell r="E3410">
            <v>209687</v>
          </cell>
        </row>
        <row r="3411">
          <cell r="C3411" t="str">
            <v xml:space="preserve">    CARVISTA           IAP</v>
          </cell>
          <cell r="D3411">
            <v>162616</v>
          </cell>
          <cell r="E3411">
            <v>146237</v>
          </cell>
        </row>
        <row r="3412">
          <cell r="C3412" t="str">
            <v xml:space="preserve">    CARDEX             OPI</v>
          </cell>
          <cell r="D3412">
            <v>54251</v>
          </cell>
          <cell r="E3412">
            <v>44923</v>
          </cell>
        </row>
        <row r="3413">
          <cell r="C3413" t="str">
            <v xml:space="preserve">    RADITREND          RD7</v>
          </cell>
          <cell r="D3413">
            <v>7991</v>
          </cell>
          <cell r="E3413">
            <v>10884</v>
          </cell>
        </row>
        <row r="3414">
          <cell r="C3414" t="str">
            <v xml:space="preserve">    CAVELON            D-I</v>
          </cell>
          <cell r="D3414">
            <v>2759</v>
          </cell>
          <cell r="E3414">
            <v>4080</v>
          </cell>
        </row>
        <row r="3415">
          <cell r="C3415" t="str">
            <v xml:space="preserve">    UCARDOL            UNH</v>
          </cell>
          <cell r="D3415">
            <v>585</v>
          </cell>
          <cell r="E3415">
            <v>1449</v>
          </cell>
        </row>
        <row r="3416">
          <cell r="C3416" t="str">
            <v xml:space="preserve">    DILAPRESS          BXM</v>
          </cell>
          <cell r="D3416">
            <v>565</v>
          </cell>
          <cell r="E3416">
            <v>1104</v>
          </cell>
        </row>
        <row r="3417">
          <cell r="C3417" t="str">
            <v xml:space="preserve">    CARVED             BP&amp;</v>
          </cell>
          <cell r="D3417">
            <v>77</v>
          </cell>
          <cell r="E3417">
            <v>174</v>
          </cell>
        </row>
        <row r="3418">
          <cell r="C3418" t="str">
            <v xml:space="preserve">    EXEPRESS           OPI</v>
          </cell>
          <cell r="D3418">
            <v>11</v>
          </cell>
          <cell r="E3418">
            <v>0</v>
          </cell>
        </row>
        <row r="3419">
          <cell r="C3419" t="str">
            <v xml:space="preserve">    CARVILOC           PPH</v>
          </cell>
          <cell r="D3419">
            <v>6</v>
          </cell>
          <cell r="E3419">
            <v>0</v>
          </cell>
        </row>
        <row r="3420">
          <cell r="C3420" t="str">
            <v xml:space="preserve">    ARILOL             PAC</v>
          </cell>
          <cell r="D3420">
            <v>0</v>
          </cell>
          <cell r="E3420">
            <v>0</v>
          </cell>
        </row>
        <row r="3421">
          <cell r="C3421" t="str">
            <v xml:space="preserve">    CARDIVAS           SPI</v>
          </cell>
          <cell r="D3421">
            <v>0</v>
          </cell>
          <cell r="E3421">
            <v>9</v>
          </cell>
        </row>
        <row r="3422">
          <cell r="C3422" t="str">
            <v xml:space="preserve">    CARVIDA            D&amp;B</v>
          </cell>
          <cell r="D3422">
            <v>0</v>
          </cell>
          <cell r="E3422">
            <v>36</v>
          </cell>
        </row>
        <row r="3423">
          <cell r="C3423" t="str">
            <v xml:space="preserve">    DILGARD            GNR</v>
          </cell>
          <cell r="D3423">
            <v>0</v>
          </cell>
          <cell r="E3423">
            <v>740</v>
          </cell>
        </row>
        <row r="3424">
          <cell r="C3424" t="str">
            <v xml:space="preserve">    DILOCARD           WTH</v>
          </cell>
          <cell r="D3424">
            <v>0</v>
          </cell>
          <cell r="E3424">
            <v>34</v>
          </cell>
        </row>
        <row r="3425">
          <cell r="C3425" t="str">
            <v xml:space="preserve">    DUROL              SQA</v>
          </cell>
          <cell r="D3425">
            <v>0</v>
          </cell>
          <cell r="E3425">
            <v>0</v>
          </cell>
        </row>
        <row r="3426">
          <cell r="C3426" t="str">
            <v xml:space="preserve">    KARVEDIL           A-I</v>
          </cell>
          <cell r="D3426">
            <v>0</v>
          </cell>
          <cell r="E3426">
            <v>16</v>
          </cell>
        </row>
        <row r="3427">
          <cell r="C3427" t="str">
            <v xml:space="preserve">    AVIDOL             AD0</v>
          </cell>
          <cell r="D3427">
            <v>0</v>
          </cell>
          <cell r="E3427">
            <v>0</v>
          </cell>
        </row>
        <row r="3428">
          <cell r="C3428" t="str">
            <v xml:space="preserve">   METOPROLOL</v>
          </cell>
          <cell r="D3428">
            <v>223655</v>
          </cell>
          <cell r="E3428">
            <v>215086</v>
          </cell>
        </row>
        <row r="3429">
          <cell r="C3429" t="str">
            <v xml:space="preserve">    BETALOC            D-I</v>
          </cell>
          <cell r="D3429">
            <v>191238</v>
          </cell>
          <cell r="E3429">
            <v>178507</v>
          </cell>
        </row>
        <row r="3430">
          <cell r="C3430" t="str">
            <v xml:space="preserve">    BETALOC-XR         D-I</v>
          </cell>
          <cell r="D3430">
            <v>23798</v>
          </cell>
          <cell r="E3430">
            <v>25719</v>
          </cell>
        </row>
        <row r="3431">
          <cell r="C3431" t="str">
            <v xml:space="preserve">    SELOMET            UNH</v>
          </cell>
          <cell r="D3431">
            <v>8528</v>
          </cell>
          <cell r="E3431">
            <v>9577</v>
          </cell>
        </row>
        <row r="3432">
          <cell r="C3432" t="str">
            <v xml:space="preserve">    PRESONIL           IAP</v>
          </cell>
          <cell r="D3432">
            <v>39</v>
          </cell>
          <cell r="E3432">
            <v>1164</v>
          </cell>
        </row>
        <row r="3433">
          <cell r="C3433" t="str">
            <v xml:space="preserve">    PRELOC             OPI</v>
          </cell>
          <cell r="D3433">
            <v>24</v>
          </cell>
          <cell r="E3433">
            <v>53</v>
          </cell>
        </row>
        <row r="3434">
          <cell r="C3434" t="str">
            <v xml:space="preserve">    BETAONE            ACM</v>
          </cell>
          <cell r="D3434">
            <v>19</v>
          </cell>
          <cell r="E3434">
            <v>0</v>
          </cell>
        </row>
        <row r="3435">
          <cell r="C3435" t="str">
            <v xml:space="preserve">    BETACARD           ATP</v>
          </cell>
          <cell r="D3435">
            <v>9</v>
          </cell>
          <cell r="E3435">
            <v>0</v>
          </cell>
        </row>
        <row r="3436">
          <cell r="C3436" t="str">
            <v xml:space="preserve">    ANGILAT            A-I</v>
          </cell>
          <cell r="D3436">
            <v>0</v>
          </cell>
          <cell r="E3436">
            <v>0</v>
          </cell>
        </row>
        <row r="3437">
          <cell r="C3437" t="str">
            <v xml:space="preserve">    TOPRESS            ESF</v>
          </cell>
          <cell r="D3437">
            <v>0</v>
          </cell>
          <cell r="E3437">
            <v>66</v>
          </cell>
        </row>
        <row r="3438">
          <cell r="C3438" t="str">
            <v xml:space="preserve">    PROLOL             AD0</v>
          </cell>
          <cell r="D3438">
            <v>0</v>
          </cell>
          <cell r="E3438">
            <v>0</v>
          </cell>
        </row>
        <row r="3439">
          <cell r="C3439" t="str">
            <v xml:space="preserve">   ATENOLOL</v>
          </cell>
          <cell r="D3439">
            <v>60241</v>
          </cell>
          <cell r="E3439">
            <v>57478</v>
          </cell>
        </row>
        <row r="3440">
          <cell r="C3440" t="str">
            <v xml:space="preserve">    TENOLOC            ACM</v>
          </cell>
          <cell r="D3440">
            <v>43134</v>
          </cell>
          <cell r="E3440">
            <v>38197</v>
          </cell>
        </row>
        <row r="3441">
          <cell r="C3441" t="str">
            <v xml:space="preserve">    TENOREN            A-I</v>
          </cell>
          <cell r="D3441">
            <v>9585</v>
          </cell>
          <cell r="E3441">
            <v>10846</v>
          </cell>
        </row>
        <row r="3442">
          <cell r="C3442" t="str">
            <v xml:space="preserve">    BETANOL            S.Y</v>
          </cell>
          <cell r="D3442">
            <v>7417</v>
          </cell>
          <cell r="E3442">
            <v>8044</v>
          </cell>
        </row>
        <row r="3443">
          <cell r="C3443" t="str">
            <v xml:space="preserve">    ETNOL              BP&amp;</v>
          </cell>
          <cell r="D3443">
            <v>82</v>
          </cell>
          <cell r="E3443">
            <v>110</v>
          </cell>
        </row>
        <row r="3444">
          <cell r="C3444" t="str">
            <v xml:space="preserve">    BPNOL              D&amp;B</v>
          </cell>
          <cell r="D3444">
            <v>14</v>
          </cell>
          <cell r="E3444">
            <v>216</v>
          </cell>
        </row>
        <row r="3445">
          <cell r="C3445" t="str">
            <v xml:space="preserve">    TENOLOL            BIK</v>
          </cell>
          <cell r="D3445">
            <v>7</v>
          </cell>
          <cell r="E3445">
            <v>2</v>
          </cell>
        </row>
        <row r="3446">
          <cell r="C3446" t="str">
            <v xml:space="preserve">    TENOCARD           ATP</v>
          </cell>
          <cell r="D3446">
            <v>2</v>
          </cell>
          <cell r="E3446">
            <v>0</v>
          </cell>
        </row>
        <row r="3447">
          <cell r="C3447" t="str">
            <v xml:space="preserve">    APRES              UCL</v>
          </cell>
          <cell r="D3447">
            <v>0</v>
          </cell>
          <cell r="E3447">
            <v>0</v>
          </cell>
        </row>
        <row r="3448">
          <cell r="C3448" t="str">
            <v xml:space="preserve">    BETAPRESS          CPL</v>
          </cell>
          <cell r="D3448">
            <v>0</v>
          </cell>
          <cell r="E3448">
            <v>0</v>
          </cell>
        </row>
        <row r="3449">
          <cell r="C3449" t="str">
            <v xml:space="preserve">    BETASEC            OPI</v>
          </cell>
          <cell r="D3449">
            <v>0</v>
          </cell>
          <cell r="E3449">
            <v>31</v>
          </cell>
        </row>
        <row r="3450">
          <cell r="C3450" t="str">
            <v xml:space="preserve">    CARDILOCK          A.P</v>
          </cell>
          <cell r="D3450">
            <v>0</v>
          </cell>
          <cell r="E3450">
            <v>0</v>
          </cell>
        </row>
        <row r="3451">
          <cell r="C3451" t="str">
            <v xml:space="preserve">    CARDIPRO           SQA</v>
          </cell>
          <cell r="D3451">
            <v>0</v>
          </cell>
          <cell r="E3451">
            <v>28</v>
          </cell>
        </row>
        <row r="3452">
          <cell r="C3452" t="str">
            <v xml:space="preserve">    ENOL               EDR</v>
          </cell>
          <cell r="D3452">
            <v>0</v>
          </cell>
          <cell r="E3452">
            <v>0</v>
          </cell>
        </row>
        <row r="3453">
          <cell r="C3453" t="str">
            <v xml:space="preserve">    LOPRES             OR/</v>
          </cell>
          <cell r="D3453">
            <v>0</v>
          </cell>
          <cell r="E3453">
            <v>0</v>
          </cell>
        </row>
        <row r="3454">
          <cell r="C3454" t="str">
            <v xml:space="preserve">    NORMATEN           N8V</v>
          </cell>
          <cell r="D3454">
            <v>0</v>
          </cell>
          <cell r="E3454">
            <v>2</v>
          </cell>
        </row>
        <row r="3455">
          <cell r="C3455" t="str">
            <v xml:space="preserve">    NORPRESS           KMP</v>
          </cell>
          <cell r="D3455">
            <v>0</v>
          </cell>
          <cell r="E3455">
            <v>0</v>
          </cell>
        </row>
        <row r="3456">
          <cell r="C3456" t="str">
            <v xml:space="preserve">    TENOL              SON</v>
          </cell>
          <cell r="D3456">
            <v>0</v>
          </cell>
          <cell r="E3456">
            <v>3</v>
          </cell>
        </row>
        <row r="3457">
          <cell r="C3457" t="str">
            <v xml:space="preserve">    TENSIN             S6C</v>
          </cell>
          <cell r="D3457">
            <v>0</v>
          </cell>
          <cell r="E3457">
            <v>0</v>
          </cell>
        </row>
        <row r="3458">
          <cell r="C3458" t="str">
            <v xml:space="preserve">    VASOCARD           PPH</v>
          </cell>
          <cell r="D3458">
            <v>0</v>
          </cell>
          <cell r="E3458">
            <v>0</v>
          </cell>
        </row>
        <row r="3459">
          <cell r="C3459" t="str">
            <v xml:space="preserve">   LABETALOL</v>
          </cell>
          <cell r="D3459">
            <v>57612</v>
          </cell>
          <cell r="E3459">
            <v>40594</v>
          </cell>
        </row>
        <row r="3460">
          <cell r="C3460" t="str">
            <v xml:space="preserve">    LABETA             BXM</v>
          </cell>
          <cell r="D3460">
            <v>47039</v>
          </cell>
          <cell r="E3460">
            <v>37426</v>
          </cell>
        </row>
        <row r="3461">
          <cell r="C3461" t="str">
            <v xml:space="preserve">    LABEGEST           IAP</v>
          </cell>
          <cell r="D3461">
            <v>9943</v>
          </cell>
          <cell r="E3461">
            <v>2014</v>
          </cell>
        </row>
        <row r="3462">
          <cell r="C3462" t="str">
            <v xml:space="preserve">    LABECARD           PPH</v>
          </cell>
          <cell r="D3462">
            <v>581</v>
          </cell>
          <cell r="E3462">
            <v>1153</v>
          </cell>
        </row>
        <row r="3463">
          <cell r="C3463" t="str">
            <v xml:space="preserve">    BETAGEST           OPI</v>
          </cell>
          <cell r="D3463">
            <v>49</v>
          </cell>
          <cell r="E3463">
            <v>0</v>
          </cell>
        </row>
        <row r="3464">
          <cell r="C3464" t="str">
            <v xml:space="preserve">   SOTALOL</v>
          </cell>
          <cell r="D3464">
            <v>5103</v>
          </cell>
          <cell r="E3464">
            <v>4938</v>
          </cell>
        </row>
        <row r="3465">
          <cell r="C3465" t="str">
            <v xml:space="preserve">    SOTALEX            UNH</v>
          </cell>
          <cell r="D3465">
            <v>5103</v>
          </cell>
          <cell r="E3465">
            <v>4938</v>
          </cell>
        </row>
        <row r="3466">
          <cell r="C3466" t="str">
            <v xml:space="preserve"> MACROLIDES &amp; SIMILAR TYPE</v>
          </cell>
          <cell r="D3466">
            <v>4457333</v>
          </cell>
          <cell r="E3466">
            <v>4746097</v>
          </cell>
        </row>
        <row r="3467">
          <cell r="C3467" t="str">
            <v xml:space="preserve">  MACROLIDES &amp; SIMILAR TYPE</v>
          </cell>
          <cell r="D3467">
            <v>4457333</v>
          </cell>
          <cell r="E3467">
            <v>4746097</v>
          </cell>
        </row>
        <row r="3468">
          <cell r="C3468" t="str">
            <v xml:space="preserve">   AZITHROMYCIN</v>
          </cell>
          <cell r="D3468">
            <v>3317343</v>
          </cell>
          <cell r="E3468">
            <v>3681081</v>
          </cell>
        </row>
        <row r="3469">
          <cell r="C3469" t="str">
            <v xml:space="preserve">    ZIMAX              SQA</v>
          </cell>
          <cell r="D3469">
            <v>949394</v>
          </cell>
          <cell r="E3469">
            <v>1040229</v>
          </cell>
        </row>
        <row r="3470">
          <cell r="C3470" t="str">
            <v xml:space="preserve">    ZITHRIN            RTA</v>
          </cell>
          <cell r="D3470">
            <v>307825</v>
          </cell>
          <cell r="E3470">
            <v>313553</v>
          </cell>
        </row>
        <row r="3471">
          <cell r="C3471" t="str">
            <v xml:space="preserve">    ROZITH             HT3</v>
          </cell>
          <cell r="D3471">
            <v>271704</v>
          </cell>
          <cell r="E3471">
            <v>305101</v>
          </cell>
        </row>
        <row r="3472">
          <cell r="C3472" t="str">
            <v xml:space="preserve">    ACOS               RD7</v>
          </cell>
          <cell r="D3472">
            <v>266960</v>
          </cell>
          <cell r="E3472">
            <v>227926</v>
          </cell>
        </row>
        <row r="3473">
          <cell r="C3473" t="str">
            <v xml:space="preserve">    AZ                 ATP</v>
          </cell>
          <cell r="D3473">
            <v>242845</v>
          </cell>
          <cell r="E3473">
            <v>181970</v>
          </cell>
        </row>
        <row r="3474">
          <cell r="C3474" t="str">
            <v xml:space="preserve">    AZIMEX             D-I</v>
          </cell>
          <cell r="D3474">
            <v>154925</v>
          </cell>
          <cell r="E3474">
            <v>150179</v>
          </cell>
        </row>
        <row r="3475">
          <cell r="C3475" t="str">
            <v xml:space="preserve">    AZITHROCIN         BXM</v>
          </cell>
          <cell r="D3475">
            <v>146746</v>
          </cell>
          <cell r="E3475">
            <v>129345</v>
          </cell>
        </row>
        <row r="3476">
          <cell r="C3476" t="str">
            <v xml:space="preserve">    AZIN               ACM</v>
          </cell>
          <cell r="D3476">
            <v>126639</v>
          </cell>
          <cell r="E3476">
            <v>168764</v>
          </cell>
        </row>
        <row r="3477">
          <cell r="C3477" t="str">
            <v xml:space="preserve">    ZITHROX            ESF</v>
          </cell>
          <cell r="D3477">
            <v>122527</v>
          </cell>
          <cell r="E3477">
            <v>107101</v>
          </cell>
        </row>
        <row r="3478">
          <cell r="C3478" t="str">
            <v xml:space="preserve">    TRIDOSIL           IAP</v>
          </cell>
          <cell r="D3478">
            <v>104187</v>
          </cell>
          <cell r="E3478">
            <v>102515</v>
          </cell>
        </row>
        <row r="3479">
          <cell r="C3479" t="str">
            <v xml:space="preserve">    AZYTH              SDZ</v>
          </cell>
          <cell r="D3479">
            <v>91748</v>
          </cell>
          <cell r="E3479">
            <v>125622</v>
          </cell>
        </row>
        <row r="3480">
          <cell r="C3480" t="str">
            <v xml:space="preserve">    AZIROX             N8V</v>
          </cell>
          <cell r="D3480">
            <v>83271</v>
          </cell>
          <cell r="E3480">
            <v>77256</v>
          </cell>
        </row>
        <row r="3481">
          <cell r="C3481" t="str">
            <v xml:space="preserve">    AZICIN             OPI</v>
          </cell>
          <cell r="D3481">
            <v>80623</v>
          </cell>
          <cell r="E3481">
            <v>145628</v>
          </cell>
        </row>
        <row r="3482">
          <cell r="C3482" t="str">
            <v xml:space="preserve">    ZIBAC              PPH</v>
          </cell>
          <cell r="D3482">
            <v>69296</v>
          </cell>
          <cell r="E3482">
            <v>81560</v>
          </cell>
        </row>
        <row r="3483">
          <cell r="C3483" t="str">
            <v xml:space="preserve">    AZALTIC            NJP</v>
          </cell>
          <cell r="D3483">
            <v>54918</v>
          </cell>
          <cell r="E3483">
            <v>79203</v>
          </cell>
        </row>
        <row r="3484">
          <cell r="C3484" t="str">
            <v xml:space="preserve">    ODAZYTH            A-I</v>
          </cell>
          <cell r="D3484">
            <v>42878</v>
          </cell>
          <cell r="E3484">
            <v>68975</v>
          </cell>
        </row>
        <row r="3485">
          <cell r="C3485" t="str">
            <v xml:space="preserve">    CURAZITH           S.Y</v>
          </cell>
          <cell r="D3485">
            <v>35330</v>
          </cell>
          <cell r="E3485">
            <v>30529</v>
          </cell>
        </row>
        <row r="3486">
          <cell r="C3486" t="str">
            <v xml:space="preserve">    ROMYCIN            IBN</v>
          </cell>
          <cell r="D3486">
            <v>28896</v>
          </cell>
          <cell r="E3486">
            <v>107385</v>
          </cell>
        </row>
        <row r="3487">
          <cell r="C3487" t="str">
            <v xml:space="preserve">    AZITHROMAX         ZIS</v>
          </cell>
          <cell r="D3487">
            <v>24968</v>
          </cell>
          <cell r="E3487">
            <v>26142</v>
          </cell>
        </row>
        <row r="3488">
          <cell r="C3488" t="str">
            <v xml:space="preserve">    AZOMAC             GNR</v>
          </cell>
          <cell r="D3488">
            <v>24905</v>
          </cell>
          <cell r="E3488">
            <v>54301</v>
          </cell>
        </row>
        <row r="3489">
          <cell r="C3489" t="str">
            <v xml:space="preserve">    AZALID             OR/</v>
          </cell>
          <cell r="D3489">
            <v>16117</v>
          </cell>
          <cell r="E3489">
            <v>23280</v>
          </cell>
        </row>
        <row r="3490">
          <cell r="C3490" t="str">
            <v xml:space="preserve">    SIMPLI-3           BAC</v>
          </cell>
          <cell r="D3490">
            <v>15693</v>
          </cell>
          <cell r="E3490">
            <v>31473</v>
          </cell>
        </row>
        <row r="3491">
          <cell r="C3491" t="str">
            <v xml:space="preserve">    MACZITH            BP&amp;</v>
          </cell>
          <cell r="D3491">
            <v>9429</v>
          </cell>
          <cell r="E3491">
            <v>6484</v>
          </cell>
        </row>
        <row r="3492">
          <cell r="C3492" t="str">
            <v xml:space="preserve">    ACCUZITH           D-B</v>
          </cell>
          <cell r="D3492">
            <v>8700</v>
          </cell>
          <cell r="E3492">
            <v>14506</v>
          </cell>
        </row>
        <row r="3493">
          <cell r="C3493" t="str">
            <v xml:space="preserve">    ODAZ               UNH</v>
          </cell>
          <cell r="D3493">
            <v>8378</v>
          </cell>
          <cell r="E3493">
            <v>16850</v>
          </cell>
        </row>
        <row r="3494">
          <cell r="C3494" t="str">
            <v xml:space="preserve">    AZILAB             LDB</v>
          </cell>
          <cell r="D3494">
            <v>5445</v>
          </cell>
          <cell r="E3494">
            <v>11829</v>
          </cell>
        </row>
        <row r="3495">
          <cell r="C3495" t="str">
            <v xml:space="preserve">    AZEXIA             P-S</v>
          </cell>
          <cell r="D3495">
            <v>4507</v>
          </cell>
          <cell r="E3495">
            <v>8610</v>
          </cell>
        </row>
        <row r="3496">
          <cell r="C3496" t="str">
            <v xml:space="preserve">    ZIXIN              OS9</v>
          </cell>
          <cell r="D3496">
            <v>3543</v>
          </cell>
          <cell r="E3496">
            <v>5170</v>
          </cell>
        </row>
        <row r="3497">
          <cell r="C3497" t="str">
            <v xml:space="preserve">    ZYCIN              GBE</v>
          </cell>
          <cell r="D3497">
            <v>2560</v>
          </cell>
          <cell r="E3497">
            <v>11683</v>
          </cell>
        </row>
        <row r="3498">
          <cell r="C3498" t="str">
            <v xml:space="preserve">    AZIKIL             ONA</v>
          </cell>
          <cell r="D3498">
            <v>2127</v>
          </cell>
          <cell r="E3498">
            <v>1334</v>
          </cell>
        </row>
        <row r="3499">
          <cell r="C3499" t="str">
            <v xml:space="preserve">    AZO                D&amp;B</v>
          </cell>
          <cell r="D3499">
            <v>1981</v>
          </cell>
          <cell r="E3499">
            <v>1985</v>
          </cell>
        </row>
        <row r="3500">
          <cell r="C3500" t="str">
            <v xml:space="preserve">    XEVLIN             EVR</v>
          </cell>
          <cell r="D3500">
            <v>1822</v>
          </cell>
          <cell r="E3500">
            <v>4486</v>
          </cell>
        </row>
        <row r="3501">
          <cell r="C3501" t="str">
            <v xml:space="preserve">    RANZITH            R7G</v>
          </cell>
          <cell r="D3501">
            <v>1712</v>
          </cell>
          <cell r="E3501">
            <v>1850</v>
          </cell>
        </row>
        <row r="3502">
          <cell r="C3502" t="str">
            <v xml:space="preserve">    ZUNAMI             NUV</v>
          </cell>
          <cell r="D3502">
            <v>1575</v>
          </cell>
          <cell r="E3502">
            <v>3931</v>
          </cell>
        </row>
        <row r="3503">
          <cell r="C3503" t="str">
            <v xml:space="preserve">    TELIDE             TMH</v>
          </cell>
          <cell r="D3503">
            <v>780</v>
          </cell>
          <cell r="E3503">
            <v>3151</v>
          </cell>
        </row>
        <row r="3504">
          <cell r="C3504" t="str">
            <v xml:space="preserve">    AZOSIL             S6C</v>
          </cell>
          <cell r="D3504">
            <v>310</v>
          </cell>
          <cell r="E3504">
            <v>185</v>
          </cell>
        </row>
        <row r="3505">
          <cell r="C3505" t="str">
            <v xml:space="preserve">    AZASITE            SH0</v>
          </cell>
          <cell r="D3505">
            <v>285</v>
          </cell>
          <cell r="E3505">
            <v>439</v>
          </cell>
        </row>
        <row r="3506">
          <cell r="C3506" t="str">
            <v xml:space="preserve">    AZINIL             AX.</v>
          </cell>
          <cell r="D3506">
            <v>263</v>
          </cell>
          <cell r="E3506">
            <v>676</v>
          </cell>
        </row>
        <row r="3507">
          <cell r="C3507" t="str">
            <v xml:space="preserve">    AZINAAF            NAF</v>
          </cell>
          <cell r="D3507">
            <v>262</v>
          </cell>
          <cell r="E3507">
            <v>634</v>
          </cell>
        </row>
        <row r="3508">
          <cell r="C3508" t="str">
            <v xml:space="preserve">    RESPAZIT           S&amp;O</v>
          </cell>
          <cell r="D3508">
            <v>203</v>
          </cell>
          <cell r="E3508">
            <v>262</v>
          </cell>
        </row>
        <row r="3509">
          <cell r="C3509" t="str">
            <v xml:space="preserve">    ORGAZITH           NVK</v>
          </cell>
          <cell r="D3509">
            <v>203</v>
          </cell>
          <cell r="E3509">
            <v>50</v>
          </cell>
        </row>
        <row r="3510">
          <cell r="C3510" t="str">
            <v xml:space="preserve">    AZIBACT            GD2</v>
          </cell>
          <cell r="D3510">
            <v>146</v>
          </cell>
          <cell r="E3510">
            <v>3285</v>
          </cell>
        </row>
        <row r="3511">
          <cell r="C3511" t="str">
            <v xml:space="preserve">    THIZA              KUM</v>
          </cell>
          <cell r="D3511">
            <v>112</v>
          </cell>
          <cell r="E3511">
            <v>152</v>
          </cell>
        </row>
        <row r="3512">
          <cell r="C3512" t="str">
            <v xml:space="preserve">    THORAZ             AMD</v>
          </cell>
          <cell r="D3512">
            <v>108</v>
          </cell>
          <cell r="E3512">
            <v>24</v>
          </cell>
        </row>
        <row r="3513">
          <cell r="C3513" t="str">
            <v xml:space="preserve">    MACROBAC           CC/</v>
          </cell>
          <cell r="D3513">
            <v>93</v>
          </cell>
          <cell r="E3513">
            <v>720</v>
          </cell>
        </row>
        <row r="3514">
          <cell r="C3514" t="str">
            <v xml:space="preserve">    RAZITHRO           J&amp;H</v>
          </cell>
          <cell r="D3514">
            <v>64</v>
          </cell>
          <cell r="E3514">
            <v>3146</v>
          </cell>
        </row>
        <row r="3515">
          <cell r="C3515" t="str">
            <v xml:space="preserve">    PENALOX            RPH</v>
          </cell>
          <cell r="D3515">
            <v>63</v>
          </cell>
          <cell r="E3515">
            <v>102</v>
          </cell>
        </row>
        <row r="3516">
          <cell r="C3516" t="str">
            <v xml:space="preserve">    ASIZITH            A/L</v>
          </cell>
          <cell r="D3516">
            <v>45</v>
          </cell>
          <cell r="E3516">
            <v>0</v>
          </cell>
        </row>
        <row r="3517">
          <cell r="C3517" t="str">
            <v xml:space="preserve">    AZITHRO            A-H</v>
          </cell>
          <cell r="D3517">
            <v>42</v>
          </cell>
          <cell r="E3517">
            <v>15</v>
          </cell>
        </row>
        <row r="3518">
          <cell r="C3518" t="str">
            <v xml:space="preserve">    AZITHIN            CHM</v>
          </cell>
          <cell r="D3518">
            <v>33</v>
          </cell>
          <cell r="E3518">
            <v>41</v>
          </cell>
        </row>
        <row r="3519">
          <cell r="C3519" t="str">
            <v xml:space="preserve">    AZIMON             MO6</v>
          </cell>
          <cell r="D3519">
            <v>33</v>
          </cell>
          <cell r="E3519">
            <v>148</v>
          </cell>
        </row>
        <row r="3520">
          <cell r="C3520" t="str">
            <v xml:space="preserve">    CINALID            JAY</v>
          </cell>
          <cell r="D3520">
            <v>31</v>
          </cell>
          <cell r="E3520">
            <v>560</v>
          </cell>
        </row>
        <row r="3521">
          <cell r="C3521" t="str">
            <v xml:space="preserve">    ZITREX             MED</v>
          </cell>
          <cell r="D3521">
            <v>31</v>
          </cell>
          <cell r="E3521">
            <v>0</v>
          </cell>
        </row>
        <row r="3522">
          <cell r="C3522" t="str">
            <v xml:space="preserve">    TRUZITH            WTH</v>
          </cell>
          <cell r="D3522">
            <v>27</v>
          </cell>
          <cell r="E3522">
            <v>0</v>
          </cell>
        </row>
        <row r="3523">
          <cell r="C3523" t="str">
            <v xml:space="preserve">    ADIZ               EMA</v>
          </cell>
          <cell r="D3523">
            <v>20</v>
          </cell>
          <cell r="E3523">
            <v>259</v>
          </cell>
        </row>
        <row r="3524">
          <cell r="C3524" t="str">
            <v xml:space="preserve">    AVALON             T2D</v>
          </cell>
          <cell r="D3524">
            <v>13</v>
          </cell>
          <cell r="E3524">
            <v>0</v>
          </cell>
        </row>
        <row r="3525">
          <cell r="C3525" t="str">
            <v xml:space="preserve">    MACLID             ETH</v>
          </cell>
          <cell r="D3525">
            <v>1</v>
          </cell>
          <cell r="E3525">
            <v>0</v>
          </cell>
        </row>
        <row r="3526">
          <cell r="C3526" t="str">
            <v xml:space="preserve">    ARTHROMYCIN        GCO</v>
          </cell>
          <cell r="D3526">
            <v>0</v>
          </cell>
          <cell r="E3526">
            <v>0</v>
          </cell>
        </row>
        <row r="3527">
          <cell r="C3527" t="str">
            <v xml:space="preserve">    AZITEL             CSC</v>
          </cell>
          <cell r="D3527">
            <v>0</v>
          </cell>
          <cell r="E3527">
            <v>0</v>
          </cell>
        </row>
        <row r="3528">
          <cell r="C3528" t="str">
            <v xml:space="preserve">    DEMACRO            D&amp;B</v>
          </cell>
          <cell r="D3528">
            <v>0</v>
          </cell>
          <cell r="E3528">
            <v>33</v>
          </cell>
        </row>
        <row r="3529">
          <cell r="C3529" t="str">
            <v xml:space="preserve">    EZITH              EDR</v>
          </cell>
          <cell r="D3529">
            <v>0</v>
          </cell>
          <cell r="E3529">
            <v>0</v>
          </cell>
        </row>
        <row r="3530">
          <cell r="C3530" t="str">
            <v xml:space="preserve">    MACROZITH          SV6</v>
          </cell>
          <cell r="D3530">
            <v>0</v>
          </cell>
          <cell r="E3530">
            <v>39</v>
          </cell>
        </row>
        <row r="3531">
          <cell r="C3531" t="str">
            <v xml:space="preserve">    MACAZI             PAC</v>
          </cell>
          <cell r="D3531">
            <v>0</v>
          </cell>
          <cell r="E3531">
            <v>8</v>
          </cell>
        </row>
        <row r="3532">
          <cell r="C3532" t="str">
            <v xml:space="preserve">    MAZITH             HMK</v>
          </cell>
          <cell r="D3532">
            <v>0</v>
          </cell>
          <cell r="E3532">
            <v>0</v>
          </cell>
        </row>
        <row r="3533">
          <cell r="C3533" t="str">
            <v xml:space="preserve">    MYZID              AMB</v>
          </cell>
          <cell r="D3533">
            <v>0</v>
          </cell>
          <cell r="E3533">
            <v>311</v>
          </cell>
        </row>
        <row r="3534">
          <cell r="C3534" t="str">
            <v xml:space="preserve">    NEOZITH            M4N</v>
          </cell>
          <cell r="D3534">
            <v>0</v>
          </cell>
          <cell r="E3534">
            <v>0</v>
          </cell>
        </row>
        <row r="3535">
          <cell r="C3535" t="str">
            <v xml:space="preserve">    THROMAX            NVO</v>
          </cell>
          <cell r="D3535">
            <v>0</v>
          </cell>
          <cell r="E3535">
            <v>0</v>
          </cell>
        </row>
        <row r="3536">
          <cell r="C3536" t="str">
            <v xml:space="preserve">    XOLIDE             RD7</v>
          </cell>
          <cell r="D3536">
            <v>0</v>
          </cell>
          <cell r="E3536">
            <v>0</v>
          </cell>
        </row>
        <row r="3537">
          <cell r="C3537" t="str">
            <v xml:space="preserve">    ZEMYCIN            GCO</v>
          </cell>
          <cell r="D3537">
            <v>0</v>
          </cell>
          <cell r="E3537">
            <v>0</v>
          </cell>
        </row>
        <row r="3538">
          <cell r="C3538" t="str">
            <v xml:space="preserve">    ZINEX              A.P</v>
          </cell>
          <cell r="D3538">
            <v>0</v>
          </cell>
          <cell r="E3538">
            <v>27</v>
          </cell>
        </row>
        <row r="3539">
          <cell r="C3539" t="str">
            <v xml:space="preserve">    ZITA               KMP</v>
          </cell>
          <cell r="D3539">
            <v>0</v>
          </cell>
          <cell r="E3539">
            <v>15</v>
          </cell>
        </row>
        <row r="3540">
          <cell r="C3540" t="str">
            <v xml:space="preserve">    ZITHROLEX          MY6</v>
          </cell>
          <cell r="D3540">
            <v>0</v>
          </cell>
          <cell r="E3540">
            <v>0</v>
          </cell>
        </row>
        <row r="3541">
          <cell r="C3541" t="str">
            <v xml:space="preserve">    AZRO               NIP</v>
          </cell>
          <cell r="D3541">
            <v>0</v>
          </cell>
          <cell r="E3541">
            <v>25</v>
          </cell>
        </row>
        <row r="3542">
          <cell r="C3542" t="str">
            <v xml:space="preserve">    VINZAM             AD0</v>
          </cell>
          <cell r="D3542">
            <v>0</v>
          </cell>
          <cell r="E3542">
            <v>0</v>
          </cell>
        </row>
        <row r="3543">
          <cell r="C3543" t="str">
            <v xml:space="preserve">    NOVAZITH           LOP</v>
          </cell>
          <cell r="D3543">
            <v>0</v>
          </cell>
          <cell r="E3543">
            <v>0</v>
          </cell>
        </row>
        <row r="3544">
          <cell r="C3544" t="str">
            <v xml:space="preserve">    VERIZITH           VPM</v>
          </cell>
          <cell r="D3544">
            <v>0</v>
          </cell>
          <cell r="E3544">
            <v>0</v>
          </cell>
        </row>
        <row r="3545">
          <cell r="C3545" t="str">
            <v xml:space="preserve">    AMZITH             AMT</v>
          </cell>
          <cell r="D3545">
            <v>0</v>
          </cell>
          <cell r="E3545">
            <v>0</v>
          </cell>
        </row>
        <row r="3546">
          <cell r="C3546" t="str">
            <v xml:space="preserve">    SB AZIT            SBD</v>
          </cell>
          <cell r="D3546">
            <v>0</v>
          </cell>
          <cell r="E3546">
            <v>0</v>
          </cell>
        </row>
        <row r="3547">
          <cell r="C3547" t="str">
            <v xml:space="preserve">    BENZITH            BNP</v>
          </cell>
          <cell r="D3547">
            <v>0</v>
          </cell>
          <cell r="E3547">
            <v>21</v>
          </cell>
        </row>
        <row r="3548">
          <cell r="C3548" t="str">
            <v xml:space="preserve">   CLARITHROMYCIN</v>
          </cell>
          <cell r="D3548">
            <v>642062</v>
          </cell>
          <cell r="E3548">
            <v>635047</v>
          </cell>
        </row>
        <row r="3549">
          <cell r="C3549" t="str">
            <v xml:space="preserve">    KLABID             UNH</v>
          </cell>
          <cell r="D3549">
            <v>159903</v>
          </cell>
          <cell r="E3549">
            <v>190537</v>
          </cell>
        </row>
        <row r="3550">
          <cell r="C3550" t="str">
            <v xml:space="preserve">    REMAC              SQA</v>
          </cell>
          <cell r="D3550">
            <v>140592</v>
          </cell>
          <cell r="E3550">
            <v>105569</v>
          </cell>
        </row>
        <row r="3551">
          <cell r="C3551" t="str">
            <v xml:space="preserve">    KLARIX             IAP</v>
          </cell>
          <cell r="D3551">
            <v>118184</v>
          </cell>
          <cell r="E3551">
            <v>111515</v>
          </cell>
        </row>
        <row r="3552">
          <cell r="C3552" t="str">
            <v xml:space="preserve">    CLARICIN           ACM</v>
          </cell>
          <cell r="D3552">
            <v>74835</v>
          </cell>
          <cell r="E3552">
            <v>67802</v>
          </cell>
        </row>
        <row r="3553">
          <cell r="C3553" t="str">
            <v xml:space="preserve">    CLARIN             D-I</v>
          </cell>
          <cell r="D3553">
            <v>44813</v>
          </cell>
          <cell r="E3553">
            <v>47088</v>
          </cell>
        </row>
        <row r="3554">
          <cell r="C3554" t="str">
            <v xml:space="preserve">    BINOCLAR           SDZ</v>
          </cell>
          <cell r="D3554">
            <v>44356</v>
          </cell>
          <cell r="E3554">
            <v>71236</v>
          </cell>
        </row>
        <row r="3555">
          <cell r="C3555" t="str">
            <v xml:space="preserve">    CLIX               ESF</v>
          </cell>
          <cell r="D3555">
            <v>42949</v>
          </cell>
          <cell r="E3555">
            <v>27141</v>
          </cell>
        </row>
        <row r="3556">
          <cell r="C3556" t="str">
            <v xml:space="preserve">    KLABEX             OPI</v>
          </cell>
          <cell r="D3556">
            <v>8395</v>
          </cell>
          <cell r="E3556">
            <v>8998</v>
          </cell>
        </row>
        <row r="3557">
          <cell r="C3557" t="str">
            <v xml:space="preserve">    CLARITH            IBN</v>
          </cell>
          <cell r="D3557">
            <v>4600</v>
          </cell>
          <cell r="E3557">
            <v>2487</v>
          </cell>
        </row>
        <row r="3558">
          <cell r="C3558" t="str">
            <v xml:space="preserve">    CLARIMAX           A-I</v>
          </cell>
          <cell r="D3558">
            <v>1724</v>
          </cell>
          <cell r="E3558">
            <v>0</v>
          </cell>
        </row>
        <row r="3559">
          <cell r="C3559" t="str">
            <v xml:space="preserve">    PNEUMOCLAR         D-B</v>
          </cell>
          <cell r="D3559">
            <v>1711</v>
          </cell>
          <cell r="E3559">
            <v>2369</v>
          </cell>
        </row>
        <row r="3560">
          <cell r="C3560" t="str">
            <v xml:space="preserve">    KLARICID           ABT</v>
          </cell>
          <cell r="D3560">
            <v>0</v>
          </cell>
          <cell r="E3560">
            <v>0</v>
          </cell>
        </row>
        <row r="3561">
          <cell r="C3561" t="str">
            <v xml:space="preserve">    MACLAR             T2D</v>
          </cell>
          <cell r="D3561">
            <v>0</v>
          </cell>
          <cell r="E3561">
            <v>231</v>
          </cell>
        </row>
        <row r="3562">
          <cell r="C3562" t="str">
            <v xml:space="preserve">    ROLACIN            BXM</v>
          </cell>
          <cell r="D3562">
            <v>0</v>
          </cell>
          <cell r="E3562">
            <v>76</v>
          </cell>
        </row>
        <row r="3563">
          <cell r="C3563" t="str">
            <v xml:space="preserve">    CLAROX             RTA</v>
          </cell>
          <cell r="D3563">
            <v>0</v>
          </cell>
          <cell r="E3563">
            <v>0</v>
          </cell>
        </row>
        <row r="3564">
          <cell r="C3564" t="str">
            <v xml:space="preserve">   CLINDAMYCIN</v>
          </cell>
          <cell r="D3564">
            <v>425818</v>
          </cell>
          <cell r="E3564">
            <v>356005</v>
          </cell>
        </row>
        <row r="3565">
          <cell r="C3565" t="str">
            <v xml:space="preserve">    CLINDACIN          IAP</v>
          </cell>
          <cell r="D3565">
            <v>247134</v>
          </cell>
          <cell r="E3565">
            <v>202256</v>
          </cell>
        </row>
        <row r="3566">
          <cell r="C3566" t="str">
            <v xml:space="preserve">    CLIMYCIN           SQA</v>
          </cell>
          <cell r="D3566">
            <v>42856</v>
          </cell>
          <cell r="E3566">
            <v>41575</v>
          </cell>
        </row>
        <row r="3567">
          <cell r="C3567" t="str">
            <v xml:space="preserve">    CLINEX             ATP</v>
          </cell>
          <cell r="D3567">
            <v>34286</v>
          </cell>
          <cell r="E3567">
            <v>20889</v>
          </cell>
        </row>
        <row r="3568">
          <cell r="C3568" t="str">
            <v xml:space="preserve">    CLINDAX            OPI</v>
          </cell>
          <cell r="D3568">
            <v>33843</v>
          </cell>
          <cell r="E3568">
            <v>31023</v>
          </cell>
        </row>
        <row r="3569">
          <cell r="C3569" t="str">
            <v xml:space="preserve">    QCIN               RTA</v>
          </cell>
          <cell r="D3569">
            <v>30282</v>
          </cell>
          <cell r="E3569">
            <v>23142</v>
          </cell>
        </row>
        <row r="3570">
          <cell r="C3570" t="str">
            <v xml:space="preserve">    CLEOCIN            HT3</v>
          </cell>
          <cell r="D3570">
            <v>15639</v>
          </cell>
          <cell r="E3570">
            <v>11411</v>
          </cell>
        </row>
        <row r="3571">
          <cell r="C3571" t="str">
            <v xml:space="preserve">    CLINDABAC          PPH</v>
          </cell>
          <cell r="D3571">
            <v>7428</v>
          </cell>
          <cell r="E3571">
            <v>6253</v>
          </cell>
        </row>
        <row r="3572">
          <cell r="C3572" t="str">
            <v xml:space="preserve">    DALATIC            D-I</v>
          </cell>
          <cell r="D3572">
            <v>5793</v>
          </cell>
          <cell r="E3572">
            <v>6393</v>
          </cell>
        </row>
        <row r="3573">
          <cell r="C3573" t="str">
            <v xml:space="preserve">    LINDAMAX           ESF</v>
          </cell>
          <cell r="D3573">
            <v>3312</v>
          </cell>
          <cell r="E3573">
            <v>3371</v>
          </cell>
        </row>
        <row r="3574">
          <cell r="C3574" t="str">
            <v xml:space="preserve">    CINAMYCIN          IBN</v>
          </cell>
          <cell r="D3574">
            <v>1635</v>
          </cell>
          <cell r="E3574">
            <v>2639</v>
          </cell>
        </row>
        <row r="3575">
          <cell r="C3575" t="str">
            <v xml:space="preserve">    DALACIN            D-I</v>
          </cell>
          <cell r="D3575">
            <v>1451</v>
          </cell>
          <cell r="E3575">
            <v>1469</v>
          </cell>
        </row>
        <row r="3576">
          <cell r="C3576" t="str">
            <v xml:space="preserve">    DACLIN             A-I</v>
          </cell>
          <cell r="D3576">
            <v>715</v>
          </cell>
          <cell r="E3576">
            <v>1751</v>
          </cell>
        </row>
        <row r="3577">
          <cell r="C3577" t="str">
            <v xml:space="preserve">    XINDAL             OR/</v>
          </cell>
          <cell r="D3577">
            <v>646</v>
          </cell>
          <cell r="E3577">
            <v>787</v>
          </cell>
        </row>
        <row r="3578">
          <cell r="C3578" t="str">
            <v xml:space="preserve">    CLEOMYCIN          R7G</v>
          </cell>
          <cell r="D3578">
            <v>498</v>
          </cell>
          <cell r="E3578">
            <v>952</v>
          </cell>
        </row>
        <row r="3579">
          <cell r="C3579" t="str">
            <v xml:space="preserve">    LINCOCIN           ACM</v>
          </cell>
          <cell r="D3579">
            <v>181</v>
          </cell>
          <cell r="E3579">
            <v>1377</v>
          </cell>
        </row>
        <row r="3580">
          <cell r="C3580" t="str">
            <v xml:space="preserve">    RIBOCLIN           BP&amp;</v>
          </cell>
          <cell r="D3580">
            <v>76</v>
          </cell>
          <cell r="E3580">
            <v>130</v>
          </cell>
        </row>
        <row r="3581">
          <cell r="C3581" t="str">
            <v xml:space="preserve">    CLINDACAP          A-H</v>
          </cell>
          <cell r="D3581">
            <v>43</v>
          </cell>
          <cell r="E3581">
            <v>22</v>
          </cell>
        </row>
        <row r="3582">
          <cell r="C3582" t="str">
            <v xml:space="preserve">    CLEODIN            GNR</v>
          </cell>
          <cell r="D3582">
            <v>0</v>
          </cell>
          <cell r="E3582">
            <v>0</v>
          </cell>
        </row>
        <row r="3583">
          <cell r="C3583" t="str">
            <v xml:space="preserve">    CLINDAVER          VPM</v>
          </cell>
          <cell r="D3583">
            <v>0</v>
          </cell>
          <cell r="E3583">
            <v>0</v>
          </cell>
        </row>
        <row r="3584">
          <cell r="C3584" t="str">
            <v xml:space="preserve">    CLINACYN           BXM</v>
          </cell>
          <cell r="D3584">
            <v>0</v>
          </cell>
          <cell r="E3584">
            <v>0</v>
          </cell>
        </row>
        <row r="3585">
          <cell r="C3585" t="str">
            <v xml:space="preserve">    ANOBAC             GBE</v>
          </cell>
          <cell r="D3585">
            <v>0</v>
          </cell>
          <cell r="E3585">
            <v>174</v>
          </cell>
        </row>
        <row r="3586">
          <cell r="C3586" t="str">
            <v xml:space="preserve">    FORTIOR            PI0</v>
          </cell>
          <cell r="D3586">
            <v>0</v>
          </cell>
          <cell r="E3586">
            <v>391</v>
          </cell>
        </row>
        <row r="3587">
          <cell r="C3587" t="str">
            <v xml:space="preserve">    CLINDAMET          S&amp;O</v>
          </cell>
          <cell r="D3587">
            <v>0</v>
          </cell>
          <cell r="E3587">
            <v>0</v>
          </cell>
        </row>
        <row r="3588">
          <cell r="C3588" t="str">
            <v xml:space="preserve">    ENDAMYCIN          EMA</v>
          </cell>
          <cell r="D3588">
            <v>0</v>
          </cell>
          <cell r="E3588">
            <v>0</v>
          </cell>
        </row>
        <row r="3589">
          <cell r="C3589" t="str">
            <v xml:space="preserve">   ERYTHROMYCIN</v>
          </cell>
          <cell r="D3589">
            <v>61822</v>
          </cell>
          <cell r="E3589">
            <v>63574</v>
          </cell>
        </row>
        <row r="3590">
          <cell r="C3590" t="str">
            <v xml:space="preserve">    EROMYCIN           SQA</v>
          </cell>
          <cell r="D3590">
            <v>58848</v>
          </cell>
          <cell r="E3590">
            <v>60096</v>
          </cell>
        </row>
        <row r="3591">
          <cell r="C3591" t="str">
            <v xml:space="preserve">    ERYBAC             D-I</v>
          </cell>
          <cell r="D3591">
            <v>1180</v>
          </cell>
          <cell r="E3591">
            <v>858</v>
          </cell>
        </row>
        <row r="3592">
          <cell r="C3592" t="str">
            <v xml:space="preserve">    ERYMEX             IBN</v>
          </cell>
          <cell r="D3592">
            <v>767</v>
          </cell>
          <cell r="E3592">
            <v>775</v>
          </cell>
        </row>
        <row r="3593">
          <cell r="C3593" t="str">
            <v xml:space="preserve">    A-MYCIN            ATP</v>
          </cell>
          <cell r="D3593">
            <v>577</v>
          </cell>
          <cell r="E3593">
            <v>1038</v>
          </cell>
        </row>
        <row r="3594">
          <cell r="C3594" t="str">
            <v xml:space="preserve">    EROSA              BP&amp;</v>
          </cell>
          <cell r="D3594">
            <v>201</v>
          </cell>
          <cell r="E3594">
            <v>240</v>
          </cell>
        </row>
        <row r="3595">
          <cell r="C3595" t="str">
            <v xml:space="preserve">    ETROCIN            BXM</v>
          </cell>
          <cell r="D3595">
            <v>197</v>
          </cell>
          <cell r="E3595">
            <v>18</v>
          </cell>
        </row>
        <row r="3596">
          <cell r="C3596" t="str">
            <v xml:space="preserve">    FIRMAC             IAP</v>
          </cell>
          <cell r="D3596">
            <v>47</v>
          </cell>
          <cell r="E3596">
            <v>390</v>
          </cell>
        </row>
        <row r="3597">
          <cell r="C3597" t="str">
            <v xml:space="preserve">    ERMAC              OPI</v>
          </cell>
          <cell r="D3597">
            <v>5</v>
          </cell>
          <cell r="E3597">
            <v>12</v>
          </cell>
        </row>
        <row r="3598">
          <cell r="C3598" t="str">
            <v xml:space="preserve">    E-BAC              PPH</v>
          </cell>
          <cell r="D3598">
            <v>1</v>
          </cell>
          <cell r="E3598">
            <v>0</v>
          </cell>
        </row>
        <row r="3599">
          <cell r="C3599" t="str">
            <v xml:space="preserve">    ECIN               GCO</v>
          </cell>
          <cell r="D3599">
            <v>0</v>
          </cell>
          <cell r="E3599">
            <v>0</v>
          </cell>
        </row>
        <row r="3600">
          <cell r="C3600" t="str">
            <v xml:space="preserve">    EROCIN             ACM</v>
          </cell>
          <cell r="D3600">
            <v>0</v>
          </cell>
          <cell r="E3600">
            <v>0</v>
          </cell>
        </row>
        <row r="3601">
          <cell r="C3601" t="str">
            <v xml:space="preserve">    ERYTHIN            A-I</v>
          </cell>
          <cell r="D3601">
            <v>0</v>
          </cell>
          <cell r="E3601">
            <v>145</v>
          </cell>
        </row>
        <row r="3602">
          <cell r="C3602" t="str">
            <v xml:space="preserve">    EROSIL             S6C</v>
          </cell>
          <cell r="D3602">
            <v>0</v>
          </cell>
          <cell r="E3602">
            <v>0</v>
          </cell>
        </row>
        <row r="3603">
          <cell r="C3603" t="str">
            <v xml:space="preserve">    ERONIX             ZIS</v>
          </cell>
          <cell r="D3603">
            <v>0</v>
          </cell>
          <cell r="E3603">
            <v>0</v>
          </cell>
        </row>
        <row r="3604">
          <cell r="C3604" t="str">
            <v xml:space="preserve">    ERYTHROX           RTA</v>
          </cell>
          <cell r="D3604">
            <v>0</v>
          </cell>
          <cell r="E3604">
            <v>1</v>
          </cell>
        </row>
        <row r="3605">
          <cell r="C3605" t="str">
            <v xml:space="preserve">    PEDICIN            R7G</v>
          </cell>
          <cell r="D3605">
            <v>0</v>
          </cell>
          <cell r="E3605">
            <v>0</v>
          </cell>
        </row>
        <row r="3606">
          <cell r="C3606" t="str">
            <v xml:space="preserve">    PRIOCIN            ESF</v>
          </cell>
          <cell r="D3606">
            <v>0</v>
          </cell>
          <cell r="E3606">
            <v>3</v>
          </cell>
        </row>
        <row r="3607">
          <cell r="C3607" t="str">
            <v xml:space="preserve">    ZEROBAC            CHM</v>
          </cell>
          <cell r="D3607">
            <v>0</v>
          </cell>
          <cell r="E3607">
            <v>0</v>
          </cell>
        </row>
        <row r="3608">
          <cell r="C3608" t="str">
            <v xml:space="preserve">   ROXITHROMYCIN</v>
          </cell>
          <cell r="D3608">
            <v>10288</v>
          </cell>
          <cell r="E3608">
            <v>10391</v>
          </cell>
        </row>
        <row r="3609">
          <cell r="C3609" t="str">
            <v xml:space="preserve">    PEDILID            IAP</v>
          </cell>
          <cell r="D3609">
            <v>10288</v>
          </cell>
          <cell r="E3609">
            <v>10376</v>
          </cell>
        </row>
        <row r="3610">
          <cell r="C3610" t="str">
            <v xml:space="preserve">    ROLID              GBE</v>
          </cell>
          <cell r="D3610">
            <v>0</v>
          </cell>
          <cell r="E3610">
            <v>14</v>
          </cell>
        </row>
        <row r="3611">
          <cell r="C3611" t="str">
            <v xml:space="preserve">    ROXCIN             A.P</v>
          </cell>
          <cell r="D3611">
            <v>0</v>
          </cell>
          <cell r="E3611">
            <v>0</v>
          </cell>
        </row>
        <row r="3612">
          <cell r="C3612" t="str">
            <v xml:space="preserve">    RYTH               N8V</v>
          </cell>
          <cell r="D3612">
            <v>0</v>
          </cell>
          <cell r="E3612">
            <v>0</v>
          </cell>
        </row>
        <row r="3613">
          <cell r="C3613" t="str">
            <v xml:space="preserve"> GASTROPROKINETICS</v>
          </cell>
          <cell r="D3613">
            <v>3729974</v>
          </cell>
          <cell r="E3613">
            <v>3018910</v>
          </cell>
        </row>
        <row r="3614">
          <cell r="C3614" t="str">
            <v xml:space="preserve">  GASTROPROKINETICS</v>
          </cell>
          <cell r="D3614">
            <v>3729974</v>
          </cell>
          <cell r="E3614">
            <v>3018910</v>
          </cell>
        </row>
        <row r="3615">
          <cell r="C3615" t="str">
            <v xml:space="preserve">   DOMPERIDONE</v>
          </cell>
          <cell r="D3615">
            <v>3223644</v>
          </cell>
          <cell r="E3615">
            <v>2907294</v>
          </cell>
        </row>
        <row r="3616">
          <cell r="C3616" t="str">
            <v xml:space="preserve">    OMIDON             IAP</v>
          </cell>
          <cell r="D3616">
            <v>1397775</v>
          </cell>
          <cell r="E3616">
            <v>1027345</v>
          </cell>
        </row>
        <row r="3617">
          <cell r="C3617" t="str">
            <v xml:space="preserve">    DEFLUX             BXM</v>
          </cell>
          <cell r="D3617">
            <v>406525</v>
          </cell>
          <cell r="E3617">
            <v>373479</v>
          </cell>
        </row>
        <row r="3618">
          <cell r="C3618" t="str">
            <v xml:space="preserve">    MOTIGUT            SQA</v>
          </cell>
          <cell r="D3618">
            <v>369176</v>
          </cell>
          <cell r="E3618">
            <v>362968</v>
          </cell>
        </row>
        <row r="3619">
          <cell r="C3619" t="str">
            <v xml:space="preserve">    DON-A              ACM</v>
          </cell>
          <cell r="D3619">
            <v>264739</v>
          </cell>
          <cell r="E3619">
            <v>292824</v>
          </cell>
        </row>
        <row r="3620">
          <cell r="C3620" t="str">
            <v xml:space="preserve">    EFODIO             RD7</v>
          </cell>
          <cell r="D3620">
            <v>222638</v>
          </cell>
          <cell r="E3620">
            <v>215543</v>
          </cell>
        </row>
        <row r="3621">
          <cell r="C3621" t="str">
            <v xml:space="preserve">    DOMIN              OPI</v>
          </cell>
          <cell r="D3621">
            <v>162970</v>
          </cell>
          <cell r="E3621">
            <v>171567</v>
          </cell>
        </row>
        <row r="3622">
          <cell r="C3622" t="str">
            <v xml:space="preserve">    DOMIREN            RTA</v>
          </cell>
          <cell r="D3622">
            <v>54939</v>
          </cell>
          <cell r="E3622">
            <v>53169</v>
          </cell>
        </row>
        <row r="3623">
          <cell r="C3623" t="str">
            <v xml:space="preserve">    VOMITOP            N8V</v>
          </cell>
          <cell r="D3623">
            <v>48902</v>
          </cell>
          <cell r="E3623">
            <v>44425</v>
          </cell>
        </row>
        <row r="3624">
          <cell r="C3624" t="str">
            <v xml:space="preserve">    VAVE               A-I</v>
          </cell>
          <cell r="D3624">
            <v>46575</v>
          </cell>
          <cell r="E3624">
            <v>59042</v>
          </cell>
        </row>
        <row r="3625">
          <cell r="C3625" t="str">
            <v xml:space="preserve">    APULDON            ATP</v>
          </cell>
          <cell r="D3625">
            <v>40006</v>
          </cell>
          <cell r="E3625">
            <v>46135</v>
          </cell>
        </row>
        <row r="3626">
          <cell r="C3626" t="str">
            <v xml:space="preserve">    DOMILUX            PPH</v>
          </cell>
          <cell r="D3626">
            <v>37878</v>
          </cell>
          <cell r="E3626">
            <v>42514</v>
          </cell>
        </row>
        <row r="3627">
          <cell r="C3627" t="str">
            <v xml:space="preserve">    PARIDON            D-I</v>
          </cell>
          <cell r="D3627">
            <v>33585</v>
          </cell>
          <cell r="E3627">
            <v>33839</v>
          </cell>
        </row>
        <row r="3628">
          <cell r="C3628" t="str">
            <v xml:space="preserve">    RIDON              ESF</v>
          </cell>
          <cell r="D3628">
            <v>25518</v>
          </cell>
          <cell r="E3628">
            <v>30654</v>
          </cell>
        </row>
        <row r="3629">
          <cell r="C3629" t="str">
            <v xml:space="preserve">    RIDON-EG           ESF</v>
          </cell>
          <cell r="D3629">
            <v>15178</v>
          </cell>
          <cell r="E3629">
            <v>15762</v>
          </cell>
        </row>
        <row r="3630">
          <cell r="C3630" t="str">
            <v xml:space="preserve">    SAGDON             NUV</v>
          </cell>
          <cell r="D3630">
            <v>11151</v>
          </cell>
          <cell r="E3630">
            <v>10865</v>
          </cell>
        </row>
        <row r="3631">
          <cell r="C3631" t="str">
            <v xml:space="preserve">    SANDOM             S.Y</v>
          </cell>
          <cell r="D3631">
            <v>11109</v>
          </cell>
          <cell r="E3631">
            <v>15240</v>
          </cell>
        </row>
        <row r="3632">
          <cell r="C3632" t="str">
            <v xml:space="preserve">    DYSNOV             UNH</v>
          </cell>
          <cell r="D3632">
            <v>10088</v>
          </cell>
          <cell r="E3632">
            <v>14799</v>
          </cell>
        </row>
        <row r="3633">
          <cell r="C3633" t="str">
            <v xml:space="preserve">    ESOGUT             BP&amp;</v>
          </cell>
          <cell r="D3633">
            <v>9293</v>
          </cell>
          <cell r="E3633">
            <v>11206</v>
          </cell>
        </row>
        <row r="3634">
          <cell r="C3634" t="str">
            <v xml:space="preserve">    DOMIDON            ZIS</v>
          </cell>
          <cell r="D3634">
            <v>8712</v>
          </cell>
          <cell r="E3634">
            <v>13320</v>
          </cell>
        </row>
        <row r="3635">
          <cell r="C3635" t="str">
            <v xml:space="preserve">    COSY               OR/</v>
          </cell>
          <cell r="D3635">
            <v>7865</v>
          </cell>
          <cell r="E3635">
            <v>10571</v>
          </cell>
        </row>
        <row r="3636">
          <cell r="C3636" t="str">
            <v xml:space="preserve">    DOMILIN            GNR</v>
          </cell>
          <cell r="D3636">
            <v>7616</v>
          </cell>
          <cell r="E3636">
            <v>12100</v>
          </cell>
        </row>
        <row r="3637">
          <cell r="C3637" t="str">
            <v xml:space="preserve">    DOMAID             LDB</v>
          </cell>
          <cell r="D3637">
            <v>7064</v>
          </cell>
          <cell r="E3637">
            <v>10762</v>
          </cell>
        </row>
        <row r="3638">
          <cell r="C3638" t="str">
            <v xml:space="preserve">    DOPADON            IBN</v>
          </cell>
          <cell r="D3638">
            <v>6005</v>
          </cell>
          <cell r="E3638">
            <v>8425</v>
          </cell>
        </row>
        <row r="3639">
          <cell r="C3639" t="str">
            <v xml:space="preserve">    NOBURN             BAC</v>
          </cell>
          <cell r="D3639">
            <v>4168</v>
          </cell>
          <cell r="E3639">
            <v>4533</v>
          </cell>
        </row>
        <row r="3640">
          <cell r="C3640" t="str">
            <v xml:space="preserve">    PROKINET           NJP</v>
          </cell>
          <cell r="D3640">
            <v>3865</v>
          </cell>
          <cell r="E3640">
            <v>5874</v>
          </cell>
        </row>
        <row r="3641">
          <cell r="C3641" t="str">
            <v xml:space="preserve">    DEGUT              D&amp;B</v>
          </cell>
          <cell r="D3641">
            <v>3174</v>
          </cell>
          <cell r="E3641">
            <v>6667</v>
          </cell>
        </row>
        <row r="3642">
          <cell r="C3642" t="str">
            <v xml:space="preserve">    DOMINOL            WTH</v>
          </cell>
          <cell r="D3642">
            <v>1082</v>
          </cell>
          <cell r="E3642">
            <v>3288</v>
          </cell>
        </row>
        <row r="3643">
          <cell r="C3643" t="str">
            <v xml:space="preserve">    DOPATIC            D-B</v>
          </cell>
          <cell r="D3643">
            <v>1030</v>
          </cell>
          <cell r="E3643">
            <v>1182</v>
          </cell>
        </row>
        <row r="3644">
          <cell r="C3644" t="str">
            <v xml:space="preserve">    DOMAR              PAC</v>
          </cell>
          <cell r="D3644">
            <v>963</v>
          </cell>
          <cell r="E3644">
            <v>1570</v>
          </cell>
        </row>
        <row r="3645">
          <cell r="C3645" t="str">
            <v xml:space="preserve">    APIDONE            TMH</v>
          </cell>
          <cell r="D3645">
            <v>865</v>
          </cell>
          <cell r="E3645">
            <v>2693</v>
          </cell>
        </row>
        <row r="3646">
          <cell r="C3646" t="str">
            <v xml:space="preserve">    DOMETIC            ONA</v>
          </cell>
          <cell r="D3646">
            <v>703</v>
          </cell>
          <cell r="E3646">
            <v>0</v>
          </cell>
        </row>
        <row r="3647">
          <cell r="C3647" t="str">
            <v xml:space="preserve">    PERISTAL           S6C</v>
          </cell>
          <cell r="D3647">
            <v>485</v>
          </cell>
          <cell r="E3647">
            <v>198</v>
          </cell>
        </row>
        <row r="3648">
          <cell r="C3648" t="str">
            <v xml:space="preserve">    DOMFIX             OS9</v>
          </cell>
          <cell r="D3648">
            <v>420</v>
          </cell>
          <cell r="E3648">
            <v>1317</v>
          </cell>
        </row>
        <row r="3649">
          <cell r="C3649" t="str">
            <v xml:space="preserve">    PERION             GBE</v>
          </cell>
          <cell r="D3649">
            <v>218</v>
          </cell>
          <cell r="E3649">
            <v>250</v>
          </cell>
        </row>
        <row r="3650">
          <cell r="C3650" t="str">
            <v xml:space="preserve">    DOMINAAF           NAF</v>
          </cell>
          <cell r="D3650">
            <v>158</v>
          </cell>
          <cell r="E3650">
            <v>170</v>
          </cell>
        </row>
        <row r="3651">
          <cell r="C3651" t="str">
            <v xml:space="preserve">    VOMINO             MO6</v>
          </cell>
          <cell r="D3651">
            <v>156</v>
          </cell>
          <cell r="E3651">
            <v>3</v>
          </cell>
        </row>
        <row r="3652">
          <cell r="C3652" t="str">
            <v xml:space="preserve">    DOMSIL             SV6</v>
          </cell>
          <cell r="D3652">
            <v>140</v>
          </cell>
          <cell r="E3652">
            <v>228</v>
          </cell>
        </row>
        <row r="3653">
          <cell r="C3653" t="str">
            <v xml:space="preserve">    DUDON              KUM</v>
          </cell>
          <cell r="D3653">
            <v>137</v>
          </cell>
          <cell r="E3653">
            <v>68</v>
          </cell>
        </row>
        <row r="3654">
          <cell r="C3654" t="str">
            <v xml:space="preserve">    NORMOGUT           R7G</v>
          </cell>
          <cell r="D3654">
            <v>131</v>
          </cell>
          <cell r="E3654">
            <v>119</v>
          </cell>
        </row>
        <row r="3655">
          <cell r="C3655" t="str">
            <v xml:space="preserve">    XERIDON            J&amp;H</v>
          </cell>
          <cell r="D3655">
            <v>125</v>
          </cell>
          <cell r="E3655">
            <v>802</v>
          </cell>
        </row>
        <row r="3656">
          <cell r="C3656" t="str">
            <v xml:space="preserve">    MILIUM             EVR</v>
          </cell>
          <cell r="D3656">
            <v>121</v>
          </cell>
          <cell r="E3656">
            <v>291</v>
          </cell>
        </row>
        <row r="3657">
          <cell r="C3657" t="str">
            <v xml:space="preserve">    ADOREX             AMB</v>
          </cell>
          <cell r="D3657">
            <v>74</v>
          </cell>
          <cell r="E3657">
            <v>10</v>
          </cell>
        </row>
        <row r="3658">
          <cell r="C3658" t="str">
            <v xml:space="preserve">    DOPAGUT            CC/</v>
          </cell>
          <cell r="D3658">
            <v>68</v>
          </cell>
          <cell r="E3658">
            <v>388</v>
          </cell>
        </row>
        <row r="3659">
          <cell r="C3659" t="str">
            <v xml:space="preserve">    MOTINORM           SH0</v>
          </cell>
          <cell r="D3659">
            <v>55</v>
          </cell>
          <cell r="E3659">
            <v>60</v>
          </cell>
        </row>
        <row r="3660">
          <cell r="C3660" t="str">
            <v xml:space="preserve">    MOTIWIN            GD2</v>
          </cell>
          <cell r="D3660">
            <v>46</v>
          </cell>
          <cell r="E3660">
            <v>95</v>
          </cell>
        </row>
        <row r="3661">
          <cell r="C3661" t="str">
            <v xml:space="preserve">    MOTIFAST           SQA</v>
          </cell>
          <cell r="D3661">
            <v>36</v>
          </cell>
          <cell r="E3661">
            <v>418</v>
          </cell>
        </row>
        <row r="3662">
          <cell r="C3662" t="str">
            <v xml:space="preserve">    MOTILIUM           ETH</v>
          </cell>
          <cell r="D3662">
            <v>34</v>
          </cell>
          <cell r="E3662">
            <v>0</v>
          </cell>
        </row>
        <row r="3663">
          <cell r="C3663" t="str">
            <v xml:space="preserve">    EGUT               EMA</v>
          </cell>
          <cell r="D3663">
            <v>32</v>
          </cell>
          <cell r="E3663">
            <v>10</v>
          </cell>
        </row>
        <row r="3664">
          <cell r="C3664" t="str">
            <v xml:space="preserve">    MOTIGEN            NVO</v>
          </cell>
          <cell r="D3664">
            <v>22</v>
          </cell>
          <cell r="E3664">
            <v>17</v>
          </cell>
        </row>
        <row r="3665">
          <cell r="C3665" t="str">
            <v xml:space="preserve">    BENIDON            BNP</v>
          </cell>
          <cell r="D3665">
            <v>15</v>
          </cell>
          <cell r="E3665">
            <v>0</v>
          </cell>
        </row>
        <row r="3666">
          <cell r="C3666" t="str">
            <v xml:space="preserve">    DORIDON            MED</v>
          </cell>
          <cell r="D3666">
            <v>14</v>
          </cell>
          <cell r="E3666">
            <v>0</v>
          </cell>
        </row>
        <row r="3667">
          <cell r="C3667" t="str">
            <v xml:space="preserve">    AVOMIT             CHM</v>
          </cell>
          <cell r="D3667">
            <v>2</v>
          </cell>
          <cell r="E3667">
            <v>20</v>
          </cell>
        </row>
        <row r="3668">
          <cell r="C3668" t="str">
            <v xml:space="preserve">    DOMPI              A.P</v>
          </cell>
          <cell r="D3668">
            <v>1</v>
          </cell>
          <cell r="E3668">
            <v>66</v>
          </cell>
        </row>
        <row r="3669">
          <cell r="C3669" t="str">
            <v xml:space="preserve">    ANET               KMP</v>
          </cell>
          <cell r="D3669">
            <v>0</v>
          </cell>
          <cell r="E3669">
            <v>18</v>
          </cell>
        </row>
        <row r="3670">
          <cell r="C3670" t="str">
            <v xml:space="preserve">    APEDOM             ALO</v>
          </cell>
          <cell r="D3670">
            <v>0</v>
          </cell>
          <cell r="E3670">
            <v>2</v>
          </cell>
        </row>
        <row r="3671">
          <cell r="C3671" t="str">
            <v xml:space="preserve">    ATIDON             A/L</v>
          </cell>
          <cell r="D3671">
            <v>0</v>
          </cell>
          <cell r="E3671">
            <v>123</v>
          </cell>
        </row>
        <row r="3672">
          <cell r="C3672" t="str">
            <v xml:space="preserve">    DOMINAT            NIP</v>
          </cell>
          <cell r="D3672">
            <v>0</v>
          </cell>
          <cell r="E3672">
            <v>0</v>
          </cell>
        </row>
        <row r="3673">
          <cell r="C3673" t="str">
            <v xml:space="preserve">    DOPERON            UTC</v>
          </cell>
          <cell r="D3673">
            <v>0</v>
          </cell>
          <cell r="E3673">
            <v>103</v>
          </cell>
        </row>
        <row r="3674">
          <cell r="C3674" t="str">
            <v xml:space="preserve">    EMIDOM             S&amp;O</v>
          </cell>
          <cell r="D3674">
            <v>0</v>
          </cell>
          <cell r="E3674">
            <v>0</v>
          </cell>
        </row>
        <row r="3675">
          <cell r="C3675" t="str">
            <v xml:space="preserve">    GIDORA             RPH</v>
          </cell>
          <cell r="D3675">
            <v>0</v>
          </cell>
          <cell r="E3675">
            <v>0</v>
          </cell>
        </row>
        <row r="3676">
          <cell r="C3676" t="str">
            <v xml:space="preserve">    MERIN              EDR</v>
          </cell>
          <cell r="D3676">
            <v>0</v>
          </cell>
          <cell r="E3676">
            <v>0</v>
          </cell>
        </row>
        <row r="3677">
          <cell r="C3677" t="str">
            <v xml:space="preserve">    MOTILEX            T2D</v>
          </cell>
          <cell r="D3677">
            <v>0</v>
          </cell>
          <cell r="E3677">
            <v>6</v>
          </cell>
        </row>
        <row r="3678">
          <cell r="C3678" t="str">
            <v xml:space="preserve">    OMID               DSH</v>
          </cell>
          <cell r="D3678">
            <v>0</v>
          </cell>
          <cell r="E3678">
            <v>0</v>
          </cell>
        </row>
        <row r="3679">
          <cell r="C3679" t="str">
            <v xml:space="preserve">    PERIDONE-S         S6C</v>
          </cell>
          <cell r="D3679">
            <v>0</v>
          </cell>
          <cell r="E3679">
            <v>0</v>
          </cell>
        </row>
        <row r="3680">
          <cell r="C3680" t="str">
            <v xml:space="preserve">    VEGADON            P-S</v>
          </cell>
          <cell r="D3680">
            <v>0</v>
          </cell>
          <cell r="E3680">
            <v>0</v>
          </cell>
        </row>
        <row r="3681">
          <cell r="C3681" t="str">
            <v xml:space="preserve">    XEPADON            AIC</v>
          </cell>
          <cell r="D3681">
            <v>0</v>
          </cell>
          <cell r="E3681">
            <v>0</v>
          </cell>
        </row>
        <row r="3682">
          <cell r="C3682" t="str">
            <v xml:space="preserve">    GUTSET             AD0</v>
          </cell>
          <cell r="D3682">
            <v>0</v>
          </cell>
          <cell r="E3682">
            <v>128</v>
          </cell>
        </row>
        <row r="3683">
          <cell r="C3683" t="str">
            <v xml:space="preserve">    PERIGUT            LOP</v>
          </cell>
          <cell r="D3683">
            <v>0</v>
          </cell>
          <cell r="E3683">
            <v>4</v>
          </cell>
        </row>
        <row r="3684">
          <cell r="C3684" t="str">
            <v xml:space="preserve">    NUDON              NVK</v>
          </cell>
          <cell r="D3684">
            <v>0</v>
          </cell>
          <cell r="E3684">
            <v>0</v>
          </cell>
        </row>
        <row r="3685">
          <cell r="C3685" t="str">
            <v xml:space="preserve">    SB-DOM             SBD</v>
          </cell>
          <cell r="D3685">
            <v>0</v>
          </cell>
          <cell r="E3685">
            <v>0</v>
          </cell>
        </row>
        <row r="3686">
          <cell r="C3686" t="str">
            <v xml:space="preserve">    DOMPERON           A-H</v>
          </cell>
          <cell r="D3686">
            <v>0</v>
          </cell>
          <cell r="E3686">
            <v>21</v>
          </cell>
        </row>
        <row r="3687">
          <cell r="C3687" t="str">
            <v xml:space="preserve">   ITOPRIDE</v>
          </cell>
          <cell r="D3687">
            <v>459471</v>
          </cell>
          <cell r="E3687">
            <v>65284</v>
          </cell>
        </row>
        <row r="3688">
          <cell r="C3688" t="str">
            <v xml:space="preserve">    PERITOP            BAC</v>
          </cell>
          <cell r="D3688">
            <v>107844</v>
          </cell>
          <cell r="E3688">
            <v>18775</v>
          </cell>
        </row>
        <row r="3689">
          <cell r="C3689" t="str">
            <v xml:space="preserve">    ETOPRIDE           OR/</v>
          </cell>
          <cell r="D3689">
            <v>79454</v>
          </cell>
          <cell r="E3689">
            <v>30726</v>
          </cell>
        </row>
        <row r="3690">
          <cell r="C3690" t="str">
            <v xml:space="preserve">    ITOGUT             A-I</v>
          </cell>
          <cell r="D3690">
            <v>77900</v>
          </cell>
          <cell r="E3690">
            <v>0</v>
          </cell>
        </row>
        <row r="3691">
          <cell r="C3691" t="str">
            <v xml:space="preserve">    ITOPA              ATP</v>
          </cell>
          <cell r="D3691">
            <v>52119</v>
          </cell>
          <cell r="E3691">
            <v>1636</v>
          </cell>
        </row>
        <row r="3692">
          <cell r="C3692" t="str">
            <v xml:space="preserve">    ITOLUX             PPH</v>
          </cell>
          <cell r="D3692">
            <v>35366</v>
          </cell>
          <cell r="E3692">
            <v>5489</v>
          </cell>
        </row>
        <row r="3693">
          <cell r="C3693" t="str">
            <v xml:space="preserve">    ITOPID             ACM</v>
          </cell>
          <cell r="D3693">
            <v>34025</v>
          </cell>
          <cell r="E3693">
            <v>770</v>
          </cell>
        </row>
        <row r="3694">
          <cell r="C3694" t="str">
            <v xml:space="preserve">    KINATE             ZIS</v>
          </cell>
          <cell r="D3694">
            <v>31034</v>
          </cell>
          <cell r="E3694">
            <v>7821</v>
          </cell>
        </row>
        <row r="3695">
          <cell r="C3695" t="str">
            <v xml:space="preserve">    INDUS              ESF</v>
          </cell>
          <cell r="D3695">
            <v>20942</v>
          </cell>
          <cell r="E3695">
            <v>0</v>
          </cell>
        </row>
        <row r="3696">
          <cell r="C3696" t="str">
            <v xml:space="preserve">    ITONORM            NUV</v>
          </cell>
          <cell r="D3696">
            <v>8427</v>
          </cell>
          <cell r="E3696">
            <v>66</v>
          </cell>
        </row>
        <row r="3697">
          <cell r="C3697" t="str">
            <v xml:space="preserve">    ZOPRIDE            BXM</v>
          </cell>
          <cell r="D3697">
            <v>7321</v>
          </cell>
          <cell r="E3697">
            <v>0</v>
          </cell>
        </row>
        <row r="3698">
          <cell r="C3698" t="str">
            <v xml:space="preserve">    KYTIDO             IAP</v>
          </cell>
          <cell r="D3698">
            <v>3162</v>
          </cell>
          <cell r="E3698">
            <v>0</v>
          </cell>
        </row>
        <row r="3699">
          <cell r="C3699" t="str">
            <v xml:space="preserve">    ITOPRI             N8V</v>
          </cell>
          <cell r="D3699">
            <v>1877</v>
          </cell>
          <cell r="E3699">
            <v>0</v>
          </cell>
        </row>
        <row r="3700">
          <cell r="C3700" t="str">
            <v xml:space="preserve">   TRIMEBUTINE</v>
          </cell>
          <cell r="D3700">
            <v>46292</v>
          </cell>
          <cell r="E3700">
            <v>45282</v>
          </cell>
        </row>
        <row r="3701">
          <cell r="C3701" t="str">
            <v xml:space="preserve">    TIMOTOR            SQA</v>
          </cell>
          <cell r="D3701">
            <v>41405</v>
          </cell>
          <cell r="E3701">
            <v>40474</v>
          </cell>
        </row>
        <row r="3702">
          <cell r="C3702" t="str">
            <v xml:space="preserve">    TRITIN             RTA</v>
          </cell>
          <cell r="D3702">
            <v>4888</v>
          </cell>
          <cell r="E3702">
            <v>4808</v>
          </cell>
        </row>
        <row r="3703">
          <cell r="C3703" t="str">
            <v xml:space="preserve">    TRIMOTIL           IAP</v>
          </cell>
          <cell r="D3703">
            <v>0</v>
          </cell>
          <cell r="E3703">
            <v>0</v>
          </cell>
        </row>
        <row r="3704">
          <cell r="C3704" t="str">
            <v xml:space="preserve">   CISAPRIDE</v>
          </cell>
          <cell r="D3704">
            <v>517</v>
          </cell>
          <cell r="E3704">
            <v>721</v>
          </cell>
        </row>
        <row r="3705">
          <cell r="C3705" t="str">
            <v xml:space="preserve">    APULCID            ATP</v>
          </cell>
          <cell r="D3705">
            <v>462</v>
          </cell>
          <cell r="E3705">
            <v>691</v>
          </cell>
        </row>
        <row r="3706">
          <cell r="C3706" t="str">
            <v xml:space="preserve">    GASTONOM           SQA</v>
          </cell>
          <cell r="D3706">
            <v>55</v>
          </cell>
          <cell r="E3706">
            <v>30</v>
          </cell>
        </row>
        <row r="3707">
          <cell r="C3707" t="str">
            <v xml:space="preserve">   PRUCALOPRIDE</v>
          </cell>
          <cell r="D3707">
            <v>29</v>
          </cell>
          <cell r="E3707">
            <v>305</v>
          </cell>
        </row>
        <row r="3708">
          <cell r="C3708" t="str">
            <v xml:space="preserve">    MOPRIDE            BXM</v>
          </cell>
          <cell r="D3708">
            <v>29</v>
          </cell>
          <cell r="E3708">
            <v>305</v>
          </cell>
        </row>
        <row r="3709">
          <cell r="C3709" t="str">
            <v xml:space="preserve">   METOCLOPRAMIDE</v>
          </cell>
          <cell r="D3709">
            <v>21</v>
          </cell>
          <cell r="E3709">
            <v>24</v>
          </cell>
        </row>
        <row r="3710">
          <cell r="C3710" t="str">
            <v xml:space="preserve">    PARENIL            IAP</v>
          </cell>
          <cell r="D3710">
            <v>20</v>
          </cell>
          <cell r="E3710">
            <v>0</v>
          </cell>
        </row>
        <row r="3711">
          <cell r="C3711" t="str">
            <v xml:space="preserve">    METOCOL            OPI</v>
          </cell>
          <cell r="D3711">
            <v>1</v>
          </cell>
          <cell r="E3711">
            <v>4</v>
          </cell>
        </row>
        <row r="3712">
          <cell r="C3712" t="str">
            <v xml:space="preserve">    FLATELON           PDH</v>
          </cell>
          <cell r="D3712">
            <v>0</v>
          </cell>
          <cell r="E3712">
            <v>0</v>
          </cell>
        </row>
        <row r="3713">
          <cell r="C3713" t="str">
            <v xml:space="preserve">    MECLID             JAY</v>
          </cell>
          <cell r="D3713">
            <v>0</v>
          </cell>
          <cell r="E3713">
            <v>0</v>
          </cell>
        </row>
        <row r="3714">
          <cell r="C3714" t="str">
            <v xml:space="preserve">    METAMIDE           JNS</v>
          </cell>
          <cell r="D3714">
            <v>0</v>
          </cell>
          <cell r="E3714">
            <v>1</v>
          </cell>
        </row>
        <row r="3715">
          <cell r="C3715" t="str">
            <v xml:space="preserve">    METOMID            N8V</v>
          </cell>
          <cell r="D3715">
            <v>0</v>
          </cell>
          <cell r="E3715">
            <v>0</v>
          </cell>
        </row>
        <row r="3716">
          <cell r="C3716" t="str">
            <v xml:space="preserve">    MOTILON            S.Y</v>
          </cell>
          <cell r="D3716">
            <v>0</v>
          </cell>
          <cell r="E3716">
            <v>0</v>
          </cell>
        </row>
        <row r="3717">
          <cell r="C3717" t="str">
            <v xml:space="preserve">    NUTRAMID           ACM</v>
          </cell>
          <cell r="D3717">
            <v>0</v>
          </cell>
          <cell r="E3717">
            <v>20</v>
          </cell>
        </row>
        <row r="3718">
          <cell r="C3718" t="str">
            <v xml:space="preserve"> ANTACIDS ANTIFLATULENTS</v>
          </cell>
          <cell r="D3718">
            <v>3531163</v>
          </cell>
          <cell r="E3718">
            <v>3317780</v>
          </cell>
        </row>
        <row r="3719">
          <cell r="C3719" t="str">
            <v xml:space="preserve">  PLAIN ANTACIDS</v>
          </cell>
          <cell r="D3719">
            <v>2361481</v>
          </cell>
          <cell r="E3719">
            <v>2171063</v>
          </cell>
        </row>
        <row r="3720">
          <cell r="C3720" t="str">
            <v xml:space="preserve">   ALGINIC ACID+CALCIUM+SODIUM</v>
          </cell>
          <cell r="D3720">
            <v>1907536</v>
          </cell>
          <cell r="E3720">
            <v>1715886</v>
          </cell>
        </row>
        <row r="3721">
          <cell r="C3721" t="str">
            <v xml:space="preserve">    ASYNTA MAX         SQA</v>
          </cell>
          <cell r="D3721">
            <v>296338</v>
          </cell>
          <cell r="E3721">
            <v>228712</v>
          </cell>
        </row>
        <row r="3722">
          <cell r="C3722" t="str">
            <v xml:space="preserve">    GAVISOL            IBN</v>
          </cell>
          <cell r="D3722">
            <v>268367</v>
          </cell>
          <cell r="E3722">
            <v>250940</v>
          </cell>
        </row>
        <row r="3723">
          <cell r="C3723" t="str">
            <v xml:space="preserve">    GAVILAC            A-I</v>
          </cell>
          <cell r="D3723">
            <v>248037</v>
          </cell>
          <cell r="E3723">
            <v>253547</v>
          </cell>
        </row>
        <row r="3724">
          <cell r="C3724" t="str">
            <v xml:space="preserve">    GAVIFLUX           BAC</v>
          </cell>
          <cell r="D3724">
            <v>234291</v>
          </cell>
          <cell r="E3724">
            <v>290284</v>
          </cell>
        </row>
        <row r="3725">
          <cell r="C3725" t="str">
            <v xml:space="preserve">    ALGICID-DX         IAP</v>
          </cell>
          <cell r="D3725">
            <v>214374</v>
          </cell>
          <cell r="E3725">
            <v>213533</v>
          </cell>
        </row>
        <row r="3726">
          <cell r="C3726" t="str">
            <v xml:space="preserve">    PROGAVI            BXM</v>
          </cell>
          <cell r="D3726">
            <v>92802</v>
          </cell>
          <cell r="E3726">
            <v>67566</v>
          </cell>
        </row>
        <row r="3727">
          <cell r="C3727" t="str">
            <v xml:space="preserve">    ALGICID PLUS       IAP</v>
          </cell>
          <cell r="D3727">
            <v>89619</v>
          </cell>
          <cell r="E3727">
            <v>80259</v>
          </cell>
        </row>
        <row r="3728">
          <cell r="C3728" t="str">
            <v xml:space="preserve">    GASTROCON-DA       UNH</v>
          </cell>
          <cell r="D3728">
            <v>73328</v>
          </cell>
          <cell r="E3728">
            <v>1962</v>
          </cell>
        </row>
        <row r="3729">
          <cell r="C3729" t="str">
            <v xml:space="preserve">    GAVISUS            ACM</v>
          </cell>
          <cell r="D3729">
            <v>57112</v>
          </cell>
          <cell r="E3729">
            <v>56765</v>
          </cell>
        </row>
        <row r="3730">
          <cell r="C3730" t="str">
            <v xml:space="preserve">    GASTRUM            ESF</v>
          </cell>
          <cell r="D3730">
            <v>41095</v>
          </cell>
          <cell r="E3730">
            <v>27823</v>
          </cell>
        </row>
        <row r="3731">
          <cell r="C3731" t="str">
            <v xml:space="preserve">    GAVISUS-DX         ACM</v>
          </cell>
          <cell r="D3731">
            <v>38726</v>
          </cell>
          <cell r="E3731">
            <v>12022</v>
          </cell>
        </row>
        <row r="3732">
          <cell r="C3732" t="str">
            <v xml:space="preserve">    GAVIRAD            RD7</v>
          </cell>
          <cell r="D3732">
            <v>36276</v>
          </cell>
          <cell r="E3732">
            <v>15075</v>
          </cell>
        </row>
        <row r="3733">
          <cell r="C3733" t="str">
            <v xml:space="preserve">    GAVISTA            ZIS</v>
          </cell>
          <cell r="D3733">
            <v>29856</v>
          </cell>
          <cell r="E3733">
            <v>31632</v>
          </cell>
        </row>
        <row r="3734">
          <cell r="C3734" t="str">
            <v xml:space="preserve">    GAVISCO            PPH</v>
          </cell>
          <cell r="D3734">
            <v>24167</v>
          </cell>
          <cell r="E3734">
            <v>28481</v>
          </cell>
        </row>
        <row r="3735">
          <cell r="C3735" t="str">
            <v xml:space="preserve">    ARISCON            ATP</v>
          </cell>
          <cell r="D3735">
            <v>24000</v>
          </cell>
          <cell r="E3735">
            <v>15389</v>
          </cell>
        </row>
        <row r="3736">
          <cell r="C3736" t="str">
            <v xml:space="preserve">    ABICON PLUS        HT3</v>
          </cell>
          <cell r="D3736">
            <v>21735</v>
          </cell>
          <cell r="E3736">
            <v>6144</v>
          </cell>
        </row>
        <row r="3737">
          <cell r="C3737" t="str">
            <v xml:space="preserve">    GASTROCON-R        UNH</v>
          </cell>
          <cell r="D3737">
            <v>18912</v>
          </cell>
          <cell r="E3737">
            <v>35814</v>
          </cell>
        </row>
        <row r="3738">
          <cell r="C3738" t="str">
            <v xml:space="preserve">    ABICON-MAX         HT3</v>
          </cell>
          <cell r="D3738">
            <v>16692</v>
          </cell>
          <cell r="E3738">
            <v>5014</v>
          </cell>
        </row>
        <row r="3739">
          <cell r="C3739" t="str">
            <v xml:space="preserve">    GAVINOR            D-I</v>
          </cell>
          <cell r="D3739">
            <v>16073</v>
          </cell>
          <cell r="E3739">
            <v>24929</v>
          </cell>
        </row>
        <row r="3740">
          <cell r="C3740" t="str">
            <v xml:space="preserve">    GAVISYN            S.Y</v>
          </cell>
          <cell r="D3740">
            <v>15545</v>
          </cell>
          <cell r="E3740">
            <v>18190</v>
          </cell>
        </row>
        <row r="3741">
          <cell r="C3741" t="str">
            <v xml:space="preserve">    NAVISCON           N8V</v>
          </cell>
          <cell r="D3741">
            <v>12625</v>
          </cell>
          <cell r="E3741">
            <v>15625</v>
          </cell>
        </row>
        <row r="3742">
          <cell r="C3742" t="str">
            <v xml:space="preserve">    GAVIRAFT           NUV</v>
          </cell>
          <cell r="D3742">
            <v>10560</v>
          </cell>
          <cell r="E3742">
            <v>3802</v>
          </cell>
        </row>
        <row r="3743">
          <cell r="C3743" t="str">
            <v xml:space="preserve">    GAVINATE           LDB</v>
          </cell>
          <cell r="D3743">
            <v>10550</v>
          </cell>
          <cell r="E3743">
            <v>12606</v>
          </cell>
        </row>
        <row r="3744">
          <cell r="C3744" t="str">
            <v xml:space="preserve">    GAVISTA-DX         ZIS</v>
          </cell>
          <cell r="D3744">
            <v>7928</v>
          </cell>
          <cell r="E3744">
            <v>0</v>
          </cell>
        </row>
        <row r="3745">
          <cell r="C3745" t="str">
            <v xml:space="preserve">    GAVICOOL           P-S</v>
          </cell>
          <cell r="D3745">
            <v>4192</v>
          </cell>
          <cell r="E3745">
            <v>5187</v>
          </cell>
        </row>
        <row r="3746">
          <cell r="C3746" t="str">
            <v xml:space="preserve">    ZEROFLUX           GNR</v>
          </cell>
          <cell r="D3746">
            <v>3251</v>
          </cell>
          <cell r="E3746">
            <v>14126</v>
          </cell>
        </row>
        <row r="3747">
          <cell r="C3747" t="str">
            <v xml:space="preserve">    ONVICON-PLUS       ONA</v>
          </cell>
          <cell r="D3747">
            <v>837</v>
          </cell>
          <cell r="E3747">
            <v>0</v>
          </cell>
        </row>
        <row r="3748">
          <cell r="C3748" t="str">
            <v xml:space="preserve">    GAVISCON           R&amp;B</v>
          </cell>
          <cell r="D3748">
            <v>247</v>
          </cell>
          <cell r="E3748">
            <v>361</v>
          </cell>
        </row>
        <row r="3749">
          <cell r="C3749" t="str">
            <v xml:space="preserve">    RAFCON             NVK</v>
          </cell>
          <cell r="D3749">
            <v>0</v>
          </cell>
          <cell r="E3749">
            <v>99</v>
          </cell>
        </row>
        <row r="3750">
          <cell r="C3750" t="str">
            <v xml:space="preserve">   ALGINIC ACID+POTASSIUM</v>
          </cell>
          <cell r="D3750">
            <v>313777</v>
          </cell>
          <cell r="E3750">
            <v>333051</v>
          </cell>
        </row>
        <row r="3751">
          <cell r="C3751" t="str">
            <v xml:space="preserve">    ALGICID            IAP</v>
          </cell>
          <cell r="D3751">
            <v>84458</v>
          </cell>
          <cell r="E3751">
            <v>86143</v>
          </cell>
        </row>
        <row r="3752">
          <cell r="C3752" t="str">
            <v xml:space="preserve">    ALGISUM-MAX        OPI</v>
          </cell>
          <cell r="D3752">
            <v>72474</v>
          </cell>
          <cell r="E3752">
            <v>70009</v>
          </cell>
        </row>
        <row r="3753">
          <cell r="C3753" t="str">
            <v xml:space="preserve">    ASYNTA             SQA</v>
          </cell>
          <cell r="D3753">
            <v>72331</v>
          </cell>
          <cell r="E3753">
            <v>63760</v>
          </cell>
        </row>
        <row r="3754">
          <cell r="C3754" t="str">
            <v xml:space="preserve">    GASTROCON-A        UNH</v>
          </cell>
          <cell r="D3754">
            <v>37210</v>
          </cell>
          <cell r="E3754">
            <v>41102</v>
          </cell>
        </row>
        <row r="3755">
          <cell r="C3755" t="str">
            <v xml:space="preserve">    VISCOCID           BXM</v>
          </cell>
          <cell r="D3755">
            <v>18920</v>
          </cell>
          <cell r="E3755">
            <v>22515</v>
          </cell>
        </row>
        <row r="3756">
          <cell r="C3756" t="str">
            <v xml:space="preserve">    ABICON             HT3</v>
          </cell>
          <cell r="D3756">
            <v>16307</v>
          </cell>
          <cell r="E3756">
            <v>28332</v>
          </cell>
        </row>
        <row r="3757">
          <cell r="C3757" t="str">
            <v xml:space="preserve">    ALGISUM            OPI</v>
          </cell>
          <cell r="D3757">
            <v>7608</v>
          </cell>
          <cell r="E3757">
            <v>12291</v>
          </cell>
        </row>
        <row r="3758">
          <cell r="C3758" t="str">
            <v xml:space="preserve">    GASTROCON          UNH</v>
          </cell>
          <cell r="D3758">
            <v>1319</v>
          </cell>
          <cell r="E3758">
            <v>4537</v>
          </cell>
        </row>
        <row r="3759">
          <cell r="C3759" t="str">
            <v xml:space="preserve">    GELID              ESF</v>
          </cell>
          <cell r="D3759">
            <v>1300</v>
          </cell>
          <cell r="E3759">
            <v>2340</v>
          </cell>
        </row>
        <row r="3760">
          <cell r="C3760" t="str">
            <v xml:space="preserve">    BLOCID             A-I</v>
          </cell>
          <cell r="D3760">
            <v>1102</v>
          </cell>
          <cell r="E3760">
            <v>825</v>
          </cell>
        </row>
        <row r="3761">
          <cell r="C3761" t="str">
            <v xml:space="preserve">    MARVELTA           OR/</v>
          </cell>
          <cell r="D3761">
            <v>473</v>
          </cell>
          <cell r="E3761">
            <v>1031</v>
          </cell>
        </row>
        <row r="3762">
          <cell r="C3762" t="str">
            <v xml:space="preserve">    ONVICON            ONA</v>
          </cell>
          <cell r="D3762">
            <v>274</v>
          </cell>
          <cell r="E3762">
            <v>0</v>
          </cell>
        </row>
        <row r="3763">
          <cell r="C3763" t="str">
            <v xml:space="preserve">    XEROCID            NVW</v>
          </cell>
          <cell r="D3763">
            <v>0</v>
          </cell>
          <cell r="E3763">
            <v>0</v>
          </cell>
        </row>
        <row r="3764">
          <cell r="C3764" t="str">
            <v xml:space="preserve">    GERDEX             IBN</v>
          </cell>
          <cell r="D3764">
            <v>0</v>
          </cell>
          <cell r="E3764">
            <v>61</v>
          </cell>
        </row>
        <row r="3765">
          <cell r="C3765" t="str">
            <v xml:space="preserve">    CHARNIL            TMH</v>
          </cell>
          <cell r="D3765">
            <v>0</v>
          </cell>
          <cell r="E3765">
            <v>104</v>
          </cell>
        </row>
        <row r="3766">
          <cell r="C3766" t="str">
            <v xml:space="preserve">   ALUMINIUM</v>
          </cell>
          <cell r="D3766">
            <v>82582</v>
          </cell>
          <cell r="E3766">
            <v>53957</v>
          </cell>
        </row>
        <row r="3767">
          <cell r="C3767" t="str">
            <v xml:space="preserve">    ENTACYD            SQA</v>
          </cell>
          <cell r="D3767">
            <v>82582</v>
          </cell>
          <cell r="E3767">
            <v>53957</v>
          </cell>
        </row>
        <row r="3768">
          <cell r="C3768" t="str">
            <v xml:space="preserve">    NUTRACID           MD3</v>
          </cell>
          <cell r="D3768">
            <v>0</v>
          </cell>
          <cell r="E3768">
            <v>0</v>
          </cell>
        </row>
        <row r="3769">
          <cell r="C3769" t="str">
            <v xml:space="preserve">   MAGNESIUM</v>
          </cell>
          <cell r="D3769">
            <v>38939</v>
          </cell>
          <cell r="E3769">
            <v>38119</v>
          </cell>
        </row>
        <row r="3770">
          <cell r="C3770" t="str">
            <v xml:space="preserve">    MAGNOX             NUV</v>
          </cell>
          <cell r="D3770">
            <v>30629</v>
          </cell>
          <cell r="E3770">
            <v>29753</v>
          </cell>
        </row>
        <row r="3771">
          <cell r="C3771" t="str">
            <v xml:space="preserve">    OXECONE M          ACM</v>
          </cell>
          <cell r="D3771">
            <v>6536</v>
          </cell>
          <cell r="E3771">
            <v>6668</v>
          </cell>
        </row>
        <row r="3772">
          <cell r="C3772" t="str">
            <v xml:space="preserve">    MG                 BAC</v>
          </cell>
          <cell r="D3772">
            <v>1764</v>
          </cell>
          <cell r="E3772">
            <v>1652</v>
          </cell>
        </row>
        <row r="3773">
          <cell r="C3773" t="str">
            <v xml:space="preserve">    MAGNAMILK          UCL</v>
          </cell>
          <cell r="D3773">
            <v>10</v>
          </cell>
          <cell r="E3773">
            <v>46</v>
          </cell>
        </row>
        <row r="3774">
          <cell r="C3774" t="str">
            <v xml:space="preserve">   ALUMINIUM+MAGNESIUM</v>
          </cell>
          <cell r="D3774">
            <v>12742</v>
          </cell>
          <cell r="E3774">
            <v>19961</v>
          </cell>
        </row>
        <row r="3775">
          <cell r="C3775" t="str">
            <v xml:space="preserve">    ANTANIL            IBN</v>
          </cell>
          <cell r="D3775">
            <v>10258</v>
          </cell>
          <cell r="E3775">
            <v>17337</v>
          </cell>
        </row>
        <row r="3776">
          <cell r="C3776" t="str">
            <v xml:space="preserve">    OXECONE            ACM</v>
          </cell>
          <cell r="D3776">
            <v>2046</v>
          </cell>
          <cell r="E3776">
            <v>2226</v>
          </cell>
        </row>
        <row r="3777">
          <cell r="C3777" t="str">
            <v xml:space="preserve">    ALMASIL MS         UCL</v>
          </cell>
          <cell r="D3777">
            <v>308</v>
          </cell>
          <cell r="E3777">
            <v>254</v>
          </cell>
        </row>
        <row r="3778">
          <cell r="C3778" t="str">
            <v xml:space="preserve">    SUGEL              PAC</v>
          </cell>
          <cell r="D3778">
            <v>98</v>
          </cell>
          <cell r="E3778">
            <v>0</v>
          </cell>
        </row>
        <row r="3779">
          <cell r="C3779" t="str">
            <v xml:space="preserve">    GELUDROX           D-I</v>
          </cell>
          <cell r="D3779">
            <v>16</v>
          </cell>
          <cell r="E3779">
            <v>27</v>
          </cell>
        </row>
        <row r="3780">
          <cell r="C3780" t="str">
            <v xml:space="preserve">    DUOMEAL            AD0</v>
          </cell>
          <cell r="D3780">
            <v>16</v>
          </cell>
          <cell r="E3780">
            <v>1</v>
          </cell>
        </row>
        <row r="3781">
          <cell r="C3781" t="str">
            <v xml:space="preserve">    ALGEX              DOC</v>
          </cell>
          <cell r="D3781">
            <v>0</v>
          </cell>
          <cell r="E3781">
            <v>0</v>
          </cell>
        </row>
        <row r="3782">
          <cell r="C3782" t="str">
            <v xml:space="preserve">    ALMASIL            UCL</v>
          </cell>
          <cell r="D3782">
            <v>0</v>
          </cell>
          <cell r="E3782">
            <v>0</v>
          </cell>
        </row>
        <row r="3783">
          <cell r="C3783" t="str">
            <v xml:space="preserve">    ANTACID            DLP</v>
          </cell>
          <cell r="D3783">
            <v>0</v>
          </cell>
          <cell r="E3783">
            <v>0</v>
          </cell>
        </row>
        <row r="3784">
          <cell r="C3784" t="str">
            <v xml:space="preserve">    BIOCID             BP&amp;</v>
          </cell>
          <cell r="D3784">
            <v>0</v>
          </cell>
          <cell r="E3784">
            <v>115</v>
          </cell>
        </row>
        <row r="3785">
          <cell r="C3785" t="str">
            <v xml:space="preserve">    BLUMEX             JAL</v>
          </cell>
          <cell r="D3785">
            <v>0</v>
          </cell>
          <cell r="E3785">
            <v>0</v>
          </cell>
        </row>
        <row r="3786">
          <cell r="C3786" t="str">
            <v xml:space="preserve">    DROXIGEL           MOD</v>
          </cell>
          <cell r="D3786">
            <v>0</v>
          </cell>
          <cell r="E3786">
            <v>0</v>
          </cell>
        </row>
        <row r="3787">
          <cell r="C3787" t="str">
            <v xml:space="preserve">    LACTAMEAL          BXM</v>
          </cell>
          <cell r="D3787">
            <v>0</v>
          </cell>
          <cell r="E3787">
            <v>0</v>
          </cell>
        </row>
        <row r="3788">
          <cell r="C3788" t="str">
            <v xml:space="preserve">    MUCOGEL            MD3</v>
          </cell>
          <cell r="D3788">
            <v>0</v>
          </cell>
          <cell r="E3788">
            <v>0</v>
          </cell>
        </row>
        <row r="3789">
          <cell r="C3789" t="str">
            <v xml:space="preserve">    NAVACID            N8V</v>
          </cell>
          <cell r="D3789">
            <v>0</v>
          </cell>
          <cell r="E3789">
            <v>0</v>
          </cell>
        </row>
        <row r="3790">
          <cell r="C3790" t="str">
            <v xml:space="preserve">    REBACID            AX.</v>
          </cell>
          <cell r="D3790">
            <v>0</v>
          </cell>
          <cell r="E3790">
            <v>0</v>
          </cell>
        </row>
        <row r="3791">
          <cell r="C3791" t="str">
            <v xml:space="preserve">    Z-ANTACID          ZIS</v>
          </cell>
          <cell r="D3791">
            <v>0</v>
          </cell>
          <cell r="E3791">
            <v>0</v>
          </cell>
        </row>
        <row r="3792">
          <cell r="C3792" t="str">
            <v xml:space="preserve">   MAGALDRATE</v>
          </cell>
          <cell r="D3792">
            <v>3060</v>
          </cell>
          <cell r="E3792">
            <v>7751</v>
          </cell>
        </row>
        <row r="3793">
          <cell r="C3793" t="str">
            <v xml:space="preserve">    MARLOX             IAP</v>
          </cell>
          <cell r="D3793">
            <v>3045</v>
          </cell>
          <cell r="E3793">
            <v>7583</v>
          </cell>
        </row>
        <row r="3794">
          <cell r="C3794" t="str">
            <v xml:space="preserve">    MAGACIL            OPI</v>
          </cell>
          <cell r="D3794">
            <v>15</v>
          </cell>
          <cell r="E3794">
            <v>78</v>
          </cell>
        </row>
        <row r="3795">
          <cell r="C3795" t="str">
            <v xml:space="preserve">    MAGAPLUS           KMP</v>
          </cell>
          <cell r="D3795">
            <v>0</v>
          </cell>
          <cell r="E3795">
            <v>90</v>
          </cell>
        </row>
        <row r="3796">
          <cell r="C3796" t="str">
            <v xml:space="preserve">    MEGAPLUS           KMP</v>
          </cell>
          <cell r="D3796">
            <v>0</v>
          </cell>
          <cell r="E3796">
            <v>0</v>
          </cell>
        </row>
        <row r="3797">
          <cell r="C3797" t="str">
            <v xml:space="preserve">   ALGINIC ACID</v>
          </cell>
          <cell r="D3797">
            <v>1862</v>
          </cell>
          <cell r="E3797">
            <v>730</v>
          </cell>
        </row>
        <row r="3798">
          <cell r="C3798" t="str">
            <v xml:space="preserve">    ALGICID-JR         IAP</v>
          </cell>
          <cell r="D3798">
            <v>1862</v>
          </cell>
          <cell r="E3798">
            <v>730</v>
          </cell>
        </row>
        <row r="3799">
          <cell r="C3799" t="str">
            <v xml:space="preserve">   CITRIC ACID+SODIUM</v>
          </cell>
          <cell r="D3799">
            <v>983</v>
          </cell>
          <cell r="E3799">
            <v>1593</v>
          </cell>
        </row>
        <row r="3800">
          <cell r="C3800" t="str">
            <v xml:space="preserve">    ORANZA             IAP</v>
          </cell>
          <cell r="D3800">
            <v>983</v>
          </cell>
          <cell r="E3800">
            <v>1593</v>
          </cell>
        </row>
        <row r="3801">
          <cell r="C3801" t="str">
            <v xml:space="preserve">   CALCIUM</v>
          </cell>
          <cell r="D3801">
            <v>0</v>
          </cell>
          <cell r="E3801">
            <v>0</v>
          </cell>
        </row>
        <row r="3802">
          <cell r="C3802" t="str">
            <v xml:space="preserve">    XCID               SQA</v>
          </cell>
          <cell r="D3802">
            <v>0</v>
          </cell>
          <cell r="E3802">
            <v>0</v>
          </cell>
        </row>
        <row r="3803">
          <cell r="C3803" t="str">
            <v xml:space="preserve">   COMPOSITION UNKNOWN</v>
          </cell>
          <cell r="D3803">
            <v>0</v>
          </cell>
          <cell r="E3803">
            <v>5</v>
          </cell>
        </row>
        <row r="3804">
          <cell r="C3804" t="str">
            <v xml:space="preserve">    GASTOGEL           U.P</v>
          </cell>
          <cell r="D3804">
            <v>0</v>
          </cell>
          <cell r="E3804">
            <v>5</v>
          </cell>
        </row>
        <row r="3805">
          <cell r="C3805" t="str">
            <v xml:space="preserve">    GASTRACID          EVR</v>
          </cell>
          <cell r="D3805">
            <v>0</v>
          </cell>
          <cell r="E3805">
            <v>0</v>
          </cell>
        </row>
        <row r="3806">
          <cell r="C3806" t="str">
            <v xml:space="preserve">   ALUMINIUM+ATROPA BELLADONNA+CALCIUM+KAOLIN+MAGNESIUM+SODIUM</v>
          </cell>
          <cell r="D3806">
            <v>0</v>
          </cell>
          <cell r="E3806">
            <v>0</v>
          </cell>
        </row>
        <row r="3807">
          <cell r="C3807" t="str">
            <v xml:space="preserve">    ACIDIN             MIC</v>
          </cell>
          <cell r="D3807">
            <v>0</v>
          </cell>
          <cell r="E3807">
            <v>0</v>
          </cell>
        </row>
        <row r="3808">
          <cell r="C3808" t="str">
            <v xml:space="preserve">   BISMUTH</v>
          </cell>
          <cell r="D3808">
            <v>0</v>
          </cell>
          <cell r="E3808">
            <v>10</v>
          </cell>
        </row>
        <row r="3809">
          <cell r="C3809" t="str">
            <v xml:space="preserve">    BISMACID           SQA</v>
          </cell>
          <cell r="D3809">
            <v>0</v>
          </cell>
          <cell r="E3809">
            <v>10</v>
          </cell>
        </row>
        <row r="3810">
          <cell r="C3810" t="str">
            <v xml:space="preserve">   ALUMINIUM AND MAGNESIUM</v>
          </cell>
          <cell r="D3810">
            <v>0</v>
          </cell>
          <cell r="E3810">
            <v>0</v>
          </cell>
        </row>
        <row r="3811">
          <cell r="C3811" t="str">
            <v xml:space="preserve">    PEPTOSOL GEL       GBE</v>
          </cell>
          <cell r="D3811">
            <v>0</v>
          </cell>
          <cell r="E3811">
            <v>0</v>
          </cell>
        </row>
        <row r="3812">
          <cell r="C3812" t="str">
            <v xml:space="preserve">    STOMA              ESF</v>
          </cell>
          <cell r="D3812">
            <v>0</v>
          </cell>
          <cell r="E3812">
            <v>0</v>
          </cell>
        </row>
        <row r="3813">
          <cell r="C3813" t="str">
            <v xml:space="preserve">  ANTACIDS + ANTIFLATULENTS</v>
          </cell>
          <cell r="D3813">
            <v>974703</v>
          </cell>
          <cell r="E3813">
            <v>959200</v>
          </cell>
        </row>
        <row r="3814">
          <cell r="C3814" t="str">
            <v xml:space="preserve">   ALUMINIUM+MAGNESIUM+SIMETICONE</v>
          </cell>
          <cell r="D3814">
            <v>713704</v>
          </cell>
          <cell r="E3814">
            <v>679855</v>
          </cell>
        </row>
        <row r="3815">
          <cell r="C3815" t="str">
            <v xml:space="preserve">    ENTACYD PLUS       SQA</v>
          </cell>
          <cell r="D3815">
            <v>670919</v>
          </cell>
          <cell r="E3815">
            <v>630650</v>
          </cell>
        </row>
        <row r="3816">
          <cell r="C3816" t="str">
            <v xml:space="preserve">    FLATAMEAL          BXM</v>
          </cell>
          <cell r="D3816">
            <v>20282</v>
          </cell>
          <cell r="E3816">
            <v>22371</v>
          </cell>
        </row>
        <row r="3817">
          <cell r="C3817" t="str">
            <v xml:space="preserve">    ANTANIL-PLUS       IBN</v>
          </cell>
          <cell r="D3817">
            <v>16639</v>
          </cell>
          <cell r="E3817">
            <v>19710</v>
          </cell>
        </row>
        <row r="3818">
          <cell r="C3818" t="str">
            <v xml:space="preserve">    OXECONE S          ACM</v>
          </cell>
          <cell r="D3818">
            <v>4807</v>
          </cell>
          <cell r="E3818">
            <v>5394</v>
          </cell>
        </row>
        <row r="3819">
          <cell r="C3819" t="str">
            <v xml:space="preserve">    BIOCID-PLUS        BP&amp;</v>
          </cell>
          <cell r="D3819">
            <v>661</v>
          </cell>
          <cell r="E3819">
            <v>639</v>
          </cell>
        </row>
        <row r="3820">
          <cell r="C3820" t="str">
            <v xml:space="preserve">    AVLOCID-PLUS       A-I</v>
          </cell>
          <cell r="D3820">
            <v>348</v>
          </cell>
          <cell r="E3820">
            <v>758</v>
          </cell>
        </row>
        <row r="3821">
          <cell r="C3821" t="str">
            <v xml:space="preserve">    AVLOCID            A-I</v>
          </cell>
          <cell r="D3821">
            <v>34</v>
          </cell>
          <cell r="E3821">
            <v>45</v>
          </cell>
        </row>
        <row r="3822">
          <cell r="C3822" t="str">
            <v xml:space="preserve">    GASCON             PPH</v>
          </cell>
          <cell r="D3822">
            <v>12</v>
          </cell>
          <cell r="E3822">
            <v>288</v>
          </cell>
        </row>
        <row r="3823">
          <cell r="C3823" t="str">
            <v xml:space="preserve">    GASTRONA           B.C</v>
          </cell>
          <cell r="D3823">
            <v>1</v>
          </cell>
          <cell r="E3823">
            <v>0</v>
          </cell>
        </row>
        <row r="3824">
          <cell r="C3824" t="str">
            <v xml:space="preserve">    PEPTACID           AIC</v>
          </cell>
          <cell r="D3824">
            <v>0</v>
          </cell>
          <cell r="E3824">
            <v>0</v>
          </cell>
        </row>
        <row r="3825">
          <cell r="C3825" t="str">
            <v xml:space="preserve">    SIMGEL             OR/</v>
          </cell>
          <cell r="D3825">
            <v>0</v>
          </cell>
          <cell r="E3825">
            <v>0</v>
          </cell>
        </row>
        <row r="3826">
          <cell r="C3826" t="str">
            <v xml:space="preserve">   MAGALDRATE+SIMETICONE</v>
          </cell>
          <cell r="D3826">
            <v>259926</v>
          </cell>
          <cell r="E3826">
            <v>278251</v>
          </cell>
        </row>
        <row r="3827">
          <cell r="C3827" t="str">
            <v xml:space="preserve">    MARLOX PLUS        IAP</v>
          </cell>
          <cell r="D3827">
            <v>70551</v>
          </cell>
          <cell r="E3827">
            <v>64735</v>
          </cell>
        </row>
        <row r="3828">
          <cell r="C3828" t="str">
            <v xml:space="preserve">    GASTID             ESF</v>
          </cell>
          <cell r="D3828">
            <v>66673</v>
          </cell>
          <cell r="E3828">
            <v>67994</v>
          </cell>
        </row>
        <row r="3829">
          <cell r="C3829" t="str">
            <v xml:space="preserve">    MAGANTA PLUS       SQA</v>
          </cell>
          <cell r="D3829">
            <v>42211</v>
          </cell>
          <cell r="E3829">
            <v>55983</v>
          </cell>
        </row>
        <row r="3830">
          <cell r="C3830" t="str">
            <v xml:space="preserve">    NOVELTA            OR/</v>
          </cell>
          <cell r="D3830">
            <v>38906</v>
          </cell>
          <cell r="E3830">
            <v>42734</v>
          </cell>
        </row>
        <row r="3831">
          <cell r="C3831" t="str">
            <v xml:space="preserve">    OXECONE-MS         ACM</v>
          </cell>
          <cell r="D3831">
            <v>9390</v>
          </cell>
          <cell r="E3831">
            <v>10319</v>
          </cell>
        </row>
        <row r="3832">
          <cell r="C3832" t="str">
            <v xml:space="preserve">    MAXICON            ATP</v>
          </cell>
          <cell r="D3832">
            <v>7857</v>
          </cell>
          <cell r="E3832">
            <v>8265</v>
          </cell>
        </row>
        <row r="3833">
          <cell r="C3833" t="str">
            <v xml:space="preserve">    GASTID-M           ESF</v>
          </cell>
          <cell r="D3833">
            <v>7664</v>
          </cell>
          <cell r="E3833">
            <v>1779</v>
          </cell>
        </row>
        <row r="3834">
          <cell r="C3834" t="str">
            <v xml:space="preserve">    MAGACIL PLUS       OPI</v>
          </cell>
          <cell r="D3834">
            <v>6799</v>
          </cell>
          <cell r="E3834">
            <v>11702</v>
          </cell>
        </row>
        <row r="3835">
          <cell r="C3835" t="str">
            <v xml:space="preserve">    DIGECID PLUS       BXM</v>
          </cell>
          <cell r="D3835">
            <v>6521</v>
          </cell>
          <cell r="E3835">
            <v>11585</v>
          </cell>
        </row>
        <row r="3836">
          <cell r="C3836" t="str">
            <v xml:space="preserve">    GASTID-S           ESF</v>
          </cell>
          <cell r="D3836">
            <v>1812</v>
          </cell>
          <cell r="E3836">
            <v>560</v>
          </cell>
        </row>
        <row r="3837">
          <cell r="C3837" t="str">
            <v xml:space="preserve">    AVLOCID-MS         A-I</v>
          </cell>
          <cell r="D3837">
            <v>828</v>
          </cell>
          <cell r="E3837">
            <v>830</v>
          </cell>
        </row>
        <row r="3838">
          <cell r="C3838" t="str">
            <v xml:space="preserve">    MALDROX            D-I</v>
          </cell>
          <cell r="D3838">
            <v>377</v>
          </cell>
          <cell r="E3838">
            <v>530</v>
          </cell>
        </row>
        <row r="3839">
          <cell r="C3839" t="str">
            <v xml:space="preserve">    NYGAS              TMH</v>
          </cell>
          <cell r="D3839">
            <v>147</v>
          </cell>
          <cell r="E3839">
            <v>733</v>
          </cell>
        </row>
        <row r="3840">
          <cell r="C3840" t="str">
            <v xml:space="preserve">    NYGAS              TMH</v>
          </cell>
          <cell r="D3840">
            <v>103</v>
          </cell>
          <cell r="E3840">
            <v>4</v>
          </cell>
        </row>
        <row r="3841">
          <cell r="C3841" t="str">
            <v xml:space="preserve">    SIMEGAL            BAC</v>
          </cell>
          <cell r="D3841">
            <v>88</v>
          </cell>
          <cell r="E3841">
            <v>36</v>
          </cell>
        </row>
        <row r="3842">
          <cell r="C3842" t="str">
            <v xml:space="preserve">    MAGALRAT PLUS      IBN</v>
          </cell>
          <cell r="D3842">
            <v>0</v>
          </cell>
          <cell r="E3842">
            <v>376</v>
          </cell>
        </row>
        <row r="3843">
          <cell r="C3843" t="str">
            <v xml:space="preserve">    DUOCID             OS9</v>
          </cell>
          <cell r="D3843">
            <v>0</v>
          </cell>
          <cell r="E3843">
            <v>85</v>
          </cell>
        </row>
        <row r="3844">
          <cell r="C3844" t="str">
            <v xml:space="preserve">   ANTACIDS+SIMETICONE</v>
          </cell>
          <cell r="D3844">
            <v>1073</v>
          </cell>
          <cell r="E3844">
            <v>960</v>
          </cell>
        </row>
        <row r="3845">
          <cell r="C3845" t="str">
            <v xml:space="preserve">    GELUDROX HS        D-I</v>
          </cell>
          <cell r="D3845">
            <v>1073</v>
          </cell>
          <cell r="E3845">
            <v>960</v>
          </cell>
        </row>
        <row r="3846">
          <cell r="C3846" t="str">
            <v xml:space="preserve">    PEPTOSOL DS        GBE</v>
          </cell>
          <cell r="D3846">
            <v>0</v>
          </cell>
          <cell r="E3846">
            <v>0</v>
          </cell>
        </row>
        <row r="3847">
          <cell r="C3847" t="str">
            <v xml:space="preserve">   ALUMINIUM+MAGNESIUM</v>
          </cell>
          <cell r="D3847">
            <v>0</v>
          </cell>
          <cell r="E3847">
            <v>126</v>
          </cell>
        </row>
        <row r="3848">
          <cell r="C3848" t="str">
            <v xml:space="preserve">    ALUCIL S           OPI</v>
          </cell>
          <cell r="D3848">
            <v>0</v>
          </cell>
          <cell r="E3848">
            <v>124</v>
          </cell>
        </row>
        <row r="3849">
          <cell r="C3849" t="str">
            <v xml:space="preserve">    DIODROX            CHM</v>
          </cell>
          <cell r="D3849">
            <v>0</v>
          </cell>
          <cell r="E3849">
            <v>2</v>
          </cell>
        </row>
        <row r="3850">
          <cell r="C3850" t="str">
            <v xml:space="preserve">   ALUMINIUM+CALCIUM+GLYCINE+MAGNESIUM</v>
          </cell>
          <cell r="D3850">
            <v>0</v>
          </cell>
          <cell r="E3850">
            <v>7</v>
          </cell>
        </row>
        <row r="3851">
          <cell r="C3851" t="str">
            <v xml:space="preserve">    LOCID              A-I</v>
          </cell>
          <cell r="D3851">
            <v>0</v>
          </cell>
          <cell r="E3851">
            <v>7</v>
          </cell>
        </row>
        <row r="3852">
          <cell r="C3852" t="str">
            <v xml:space="preserve">  PLAIN ANTIFLATULENTS</v>
          </cell>
          <cell r="D3852">
            <v>194979</v>
          </cell>
          <cell r="E3852">
            <v>187517</v>
          </cell>
        </row>
        <row r="3853">
          <cell r="C3853" t="str">
            <v xml:space="preserve">   SIMETICONE</v>
          </cell>
          <cell r="D3853">
            <v>194944</v>
          </cell>
          <cell r="E3853">
            <v>186521</v>
          </cell>
        </row>
        <row r="3854">
          <cell r="C3854" t="str">
            <v xml:space="preserve">    FLACOL             SQA</v>
          </cell>
          <cell r="D3854">
            <v>131669</v>
          </cell>
          <cell r="E3854">
            <v>121192</v>
          </cell>
        </row>
        <row r="3855">
          <cell r="C3855" t="str">
            <v xml:space="preserve">    GASNIL             ESF</v>
          </cell>
          <cell r="D3855">
            <v>27287</v>
          </cell>
          <cell r="E3855">
            <v>23114</v>
          </cell>
        </row>
        <row r="3856">
          <cell r="C3856" t="str">
            <v xml:space="preserve">    SEMECON            D-I</v>
          </cell>
          <cell r="D3856">
            <v>13961</v>
          </cell>
          <cell r="E3856">
            <v>14708</v>
          </cell>
        </row>
        <row r="3857">
          <cell r="C3857" t="str">
            <v xml:space="preserve">    FLATUNIL           ACM</v>
          </cell>
          <cell r="D3857">
            <v>6732</v>
          </cell>
          <cell r="E3857">
            <v>8649</v>
          </cell>
        </row>
        <row r="3858">
          <cell r="C3858" t="str">
            <v xml:space="preserve">    FLATULEX           OPI</v>
          </cell>
          <cell r="D3858">
            <v>6708</v>
          </cell>
          <cell r="E3858">
            <v>7012</v>
          </cell>
        </row>
        <row r="3859">
          <cell r="C3859" t="str">
            <v xml:space="preserve">    LEFOAM             IAP</v>
          </cell>
          <cell r="D3859">
            <v>4223</v>
          </cell>
          <cell r="E3859">
            <v>3951</v>
          </cell>
        </row>
        <row r="3860">
          <cell r="C3860" t="str">
            <v xml:space="preserve">    NEODROP            BXM</v>
          </cell>
          <cell r="D3860">
            <v>2121</v>
          </cell>
          <cell r="E3860">
            <v>1847</v>
          </cell>
        </row>
        <row r="3861">
          <cell r="C3861" t="str">
            <v xml:space="preserve">    PEDICON            OR/</v>
          </cell>
          <cell r="D3861">
            <v>1471</v>
          </cell>
          <cell r="E3861">
            <v>3305</v>
          </cell>
        </row>
        <row r="3862">
          <cell r="C3862" t="str">
            <v xml:space="preserve">    SIMET              A-I</v>
          </cell>
          <cell r="D3862">
            <v>473</v>
          </cell>
          <cell r="E3862">
            <v>778</v>
          </cell>
        </row>
        <row r="3863">
          <cell r="C3863" t="str">
            <v xml:space="preserve">    PEDIGAS            GBE</v>
          </cell>
          <cell r="D3863">
            <v>294</v>
          </cell>
          <cell r="E3863">
            <v>1941</v>
          </cell>
        </row>
        <row r="3864">
          <cell r="C3864" t="str">
            <v xml:space="preserve">    SIMECOL            A.P</v>
          </cell>
          <cell r="D3864">
            <v>5</v>
          </cell>
          <cell r="E3864">
            <v>23</v>
          </cell>
        </row>
        <row r="3865">
          <cell r="C3865" t="str">
            <v xml:space="preserve">    GELUDROX HS        D-I</v>
          </cell>
          <cell r="D3865">
            <v>0</v>
          </cell>
          <cell r="E3865">
            <v>2</v>
          </cell>
        </row>
        <row r="3866">
          <cell r="C3866" t="str">
            <v xml:space="preserve">    SIMICON            N8V</v>
          </cell>
          <cell r="D3866">
            <v>0</v>
          </cell>
          <cell r="E3866">
            <v>0</v>
          </cell>
        </row>
        <row r="3867">
          <cell r="C3867" t="str">
            <v xml:space="preserve">    BLOATNIL           N8V</v>
          </cell>
          <cell r="D3867">
            <v>0</v>
          </cell>
          <cell r="E3867">
            <v>0</v>
          </cell>
        </row>
        <row r="3868">
          <cell r="C3868" t="str">
            <v xml:space="preserve">   MENTHA PIPERITA</v>
          </cell>
          <cell r="D3868">
            <v>34</v>
          </cell>
          <cell r="E3868">
            <v>996</v>
          </cell>
        </row>
        <row r="3869">
          <cell r="C3869" t="str">
            <v xml:space="preserve">    COLMINT            SQA</v>
          </cell>
          <cell r="D3869">
            <v>34</v>
          </cell>
          <cell r="E3869">
            <v>153</v>
          </cell>
        </row>
        <row r="3870">
          <cell r="C3870" t="str">
            <v xml:space="preserve">    MINTEK             D-I</v>
          </cell>
          <cell r="D3870">
            <v>0</v>
          </cell>
          <cell r="E3870">
            <v>0</v>
          </cell>
        </row>
        <row r="3871">
          <cell r="C3871" t="str">
            <v xml:space="preserve">    COLMINT            SQA</v>
          </cell>
          <cell r="D3871">
            <v>0</v>
          </cell>
          <cell r="E3871">
            <v>842</v>
          </cell>
        </row>
        <row r="3872">
          <cell r="C3872" t="str">
            <v xml:space="preserve"> ANTIDEPRESS.&amp; MOOD STAB.</v>
          </cell>
          <cell r="D3872">
            <v>3181060</v>
          </cell>
          <cell r="E3872">
            <v>2780228</v>
          </cell>
        </row>
        <row r="3873">
          <cell r="C3873" t="str">
            <v xml:space="preserve">  SSRI ANTIDEPRESSANTS</v>
          </cell>
          <cell r="D3873">
            <v>1891344</v>
          </cell>
          <cell r="E3873">
            <v>1644054</v>
          </cell>
        </row>
        <row r="3874">
          <cell r="C3874" t="str">
            <v xml:space="preserve">   ESCITALOPRAM</v>
          </cell>
          <cell r="D3874">
            <v>1313664</v>
          </cell>
          <cell r="E3874">
            <v>1103829</v>
          </cell>
        </row>
        <row r="3875">
          <cell r="C3875" t="str">
            <v xml:space="preserve">    ESITA              HT3</v>
          </cell>
          <cell r="D3875">
            <v>333508</v>
          </cell>
          <cell r="E3875">
            <v>293757</v>
          </cell>
        </row>
        <row r="3876">
          <cell r="C3876" t="str">
            <v xml:space="preserve">    NEXCITAL           UNH</v>
          </cell>
          <cell r="D3876">
            <v>271818</v>
          </cell>
          <cell r="E3876">
            <v>277228</v>
          </cell>
        </row>
        <row r="3877">
          <cell r="C3877" t="str">
            <v xml:space="preserve">    ESCILEX            RTA</v>
          </cell>
          <cell r="D3877">
            <v>148708</v>
          </cell>
          <cell r="E3877">
            <v>94035</v>
          </cell>
        </row>
        <row r="3878">
          <cell r="C3878" t="str">
            <v xml:space="preserve">    ESIPRAM            IAP</v>
          </cell>
          <cell r="D3878">
            <v>144884</v>
          </cell>
          <cell r="E3878">
            <v>112156</v>
          </cell>
        </row>
        <row r="3879">
          <cell r="C3879" t="str">
            <v xml:space="preserve">    OXAPRO             SQA</v>
          </cell>
          <cell r="D3879">
            <v>92070</v>
          </cell>
          <cell r="E3879">
            <v>78732</v>
          </cell>
        </row>
        <row r="3880">
          <cell r="C3880" t="str">
            <v xml:space="preserve">    ESITA              HT3</v>
          </cell>
          <cell r="D3880">
            <v>82451</v>
          </cell>
          <cell r="E3880">
            <v>16460</v>
          </cell>
        </row>
        <row r="3881">
          <cell r="C3881" t="str">
            <v xml:space="preserve">    NEXITO             SPI</v>
          </cell>
          <cell r="D3881">
            <v>69491</v>
          </cell>
          <cell r="E3881">
            <v>75869</v>
          </cell>
        </row>
        <row r="3882">
          <cell r="C3882" t="str">
            <v xml:space="preserve">    LOSITA             ESF</v>
          </cell>
          <cell r="D3882">
            <v>53319</v>
          </cell>
          <cell r="E3882">
            <v>55347</v>
          </cell>
        </row>
        <row r="3883">
          <cell r="C3883" t="str">
            <v xml:space="preserve">    ELODEP             ACM</v>
          </cell>
          <cell r="D3883">
            <v>40849</v>
          </cell>
          <cell r="E3883">
            <v>28936</v>
          </cell>
        </row>
        <row r="3884">
          <cell r="C3884" t="str">
            <v xml:space="preserve">    ANDEPRAM           RD7</v>
          </cell>
          <cell r="D3884">
            <v>18761</v>
          </cell>
          <cell r="E3884">
            <v>8717</v>
          </cell>
        </row>
        <row r="3885">
          <cell r="C3885" t="str">
            <v xml:space="preserve">    CITALAM            A-I</v>
          </cell>
          <cell r="D3885">
            <v>18610</v>
          </cell>
          <cell r="E3885">
            <v>16574</v>
          </cell>
        </row>
        <row r="3886">
          <cell r="C3886" t="str">
            <v xml:space="preserve">    CITALEX            OPI</v>
          </cell>
          <cell r="D3886">
            <v>15335</v>
          </cell>
          <cell r="E3886">
            <v>16072</v>
          </cell>
        </row>
        <row r="3887">
          <cell r="C3887" t="str">
            <v xml:space="preserve">    EXPRES             S.Y</v>
          </cell>
          <cell r="D3887">
            <v>10102</v>
          </cell>
          <cell r="E3887">
            <v>10869</v>
          </cell>
        </row>
        <row r="3888">
          <cell r="C3888" t="str">
            <v xml:space="preserve">    S-CITAPRAM         GNR</v>
          </cell>
          <cell r="D3888">
            <v>7279</v>
          </cell>
          <cell r="E3888">
            <v>15052</v>
          </cell>
        </row>
        <row r="3889">
          <cell r="C3889" t="str">
            <v xml:space="preserve">    ACIPAM             IBN</v>
          </cell>
          <cell r="D3889">
            <v>5003</v>
          </cell>
          <cell r="E3889">
            <v>2249</v>
          </cell>
        </row>
        <row r="3890">
          <cell r="C3890" t="str">
            <v xml:space="preserve">    RECITA             GD2</v>
          </cell>
          <cell r="D3890">
            <v>1476</v>
          </cell>
          <cell r="E3890">
            <v>1777</v>
          </cell>
        </row>
        <row r="3891">
          <cell r="C3891" t="str">
            <v xml:space="preserve">    TALOPRAM           N8V</v>
          </cell>
          <cell r="D3891">
            <v>0</v>
          </cell>
          <cell r="E3891">
            <v>0</v>
          </cell>
        </row>
        <row r="3892">
          <cell r="C3892" t="str">
            <v xml:space="preserve">    ESTAREX            SDZ</v>
          </cell>
          <cell r="D3892">
            <v>0</v>
          </cell>
          <cell r="E3892">
            <v>0</v>
          </cell>
        </row>
        <row r="3893">
          <cell r="C3893" t="str">
            <v xml:space="preserve">   SERTRALINE</v>
          </cell>
          <cell r="D3893">
            <v>295287</v>
          </cell>
          <cell r="E3893">
            <v>273292</v>
          </cell>
        </row>
        <row r="3894">
          <cell r="C3894" t="str">
            <v xml:space="preserve">    SERONEX            RTA</v>
          </cell>
          <cell r="D3894">
            <v>64380</v>
          </cell>
          <cell r="E3894">
            <v>32476</v>
          </cell>
        </row>
        <row r="3895">
          <cell r="C3895" t="str">
            <v xml:space="preserve">    ANDEP              HT3</v>
          </cell>
          <cell r="D3895">
            <v>61663</v>
          </cell>
          <cell r="E3895">
            <v>38444</v>
          </cell>
        </row>
        <row r="3896">
          <cell r="C3896" t="str">
            <v xml:space="preserve">    CHEAR              A-I</v>
          </cell>
          <cell r="D3896">
            <v>50150</v>
          </cell>
          <cell r="E3896">
            <v>31700</v>
          </cell>
        </row>
        <row r="3897">
          <cell r="C3897" t="str">
            <v xml:space="preserve">    REPOSE             IAP</v>
          </cell>
          <cell r="D3897">
            <v>41612</v>
          </cell>
          <cell r="E3897">
            <v>29495</v>
          </cell>
        </row>
        <row r="3898">
          <cell r="C3898" t="str">
            <v xml:space="preserve">    SETRA              GNR</v>
          </cell>
          <cell r="D3898">
            <v>31234</v>
          </cell>
          <cell r="E3898">
            <v>87908</v>
          </cell>
        </row>
        <row r="3899">
          <cell r="C3899" t="str">
            <v xml:space="preserve">    SEROLUX            SDZ</v>
          </cell>
          <cell r="D3899">
            <v>18271</v>
          </cell>
          <cell r="E3899">
            <v>32826</v>
          </cell>
        </row>
        <row r="3900">
          <cell r="C3900" t="str">
            <v xml:space="preserve">    SERTAL             D-I</v>
          </cell>
          <cell r="D3900">
            <v>16976</v>
          </cell>
          <cell r="E3900">
            <v>11787</v>
          </cell>
        </row>
        <row r="3901">
          <cell r="C3901" t="str">
            <v xml:space="preserve">    ZOSERT             SPI</v>
          </cell>
          <cell r="D3901">
            <v>9365</v>
          </cell>
          <cell r="E3901">
            <v>8219</v>
          </cell>
        </row>
        <row r="3902">
          <cell r="C3902" t="str">
            <v xml:space="preserve">    MUDIRAL            OPI</v>
          </cell>
          <cell r="D3902">
            <v>1515</v>
          </cell>
          <cell r="E3902">
            <v>437</v>
          </cell>
        </row>
        <row r="3903">
          <cell r="C3903" t="str">
            <v xml:space="preserve">    SERLIN             IBN</v>
          </cell>
          <cell r="D3903">
            <v>121</v>
          </cell>
          <cell r="E3903">
            <v>0</v>
          </cell>
        </row>
        <row r="3904">
          <cell r="C3904" t="str">
            <v xml:space="preserve">    ATRALIN            BXM</v>
          </cell>
          <cell r="D3904">
            <v>0</v>
          </cell>
          <cell r="E3904">
            <v>0</v>
          </cell>
        </row>
        <row r="3905">
          <cell r="C3905" t="str">
            <v xml:space="preserve">   PAROXETINE</v>
          </cell>
          <cell r="D3905">
            <v>172896</v>
          </cell>
          <cell r="E3905">
            <v>148975</v>
          </cell>
        </row>
        <row r="3906">
          <cell r="C3906" t="str">
            <v xml:space="preserve">    OXAT               SQA</v>
          </cell>
          <cell r="D3906">
            <v>159911</v>
          </cell>
          <cell r="E3906">
            <v>136495</v>
          </cell>
        </row>
        <row r="3907">
          <cell r="C3907" t="str">
            <v xml:space="preserve">    PAROTIN            A-I</v>
          </cell>
          <cell r="D3907">
            <v>12985</v>
          </cell>
          <cell r="E3907">
            <v>12480</v>
          </cell>
        </row>
        <row r="3908">
          <cell r="C3908" t="str">
            <v xml:space="preserve">   FLUVOXAMINE</v>
          </cell>
          <cell r="D3908">
            <v>63147</v>
          </cell>
          <cell r="E3908">
            <v>64917</v>
          </cell>
        </row>
        <row r="3909">
          <cell r="C3909" t="str">
            <v xml:space="preserve">    FLOREST            EVR</v>
          </cell>
          <cell r="D3909">
            <v>31112</v>
          </cell>
          <cell r="E3909">
            <v>26154</v>
          </cell>
        </row>
        <row r="3910">
          <cell r="C3910" t="str">
            <v xml:space="preserve">    RELAFIN            GNR</v>
          </cell>
          <cell r="D3910">
            <v>19560</v>
          </cell>
          <cell r="E3910">
            <v>36420</v>
          </cell>
        </row>
        <row r="3911">
          <cell r="C3911" t="str">
            <v xml:space="preserve">    VOXAMIN            RTA</v>
          </cell>
          <cell r="D3911">
            <v>12475</v>
          </cell>
          <cell r="E3911">
            <v>2343</v>
          </cell>
        </row>
        <row r="3912">
          <cell r="C3912" t="str">
            <v xml:space="preserve">   FLUOXETINE</v>
          </cell>
          <cell r="D3912">
            <v>43405</v>
          </cell>
          <cell r="E3912">
            <v>46085</v>
          </cell>
        </row>
        <row r="3913">
          <cell r="C3913" t="str">
            <v xml:space="preserve">    PROLERT            SQA</v>
          </cell>
          <cell r="D3913">
            <v>21458</v>
          </cell>
          <cell r="E3913">
            <v>17115</v>
          </cell>
        </row>
        <row r="3914">
          <cell r="C3914" t="str">
            <v xml:space="preserve">    PRODEP             SPI</v>
          </cell>
          <cell r="D3914">
            <v>20118</v>
          </cell>
          <cell r="E3914">
            <v>24900</v>
          </cell>
        </row>
        <row r="3915">
          <cell r="C3915" t="str">
            <v xml:space="preserve">    MODIPRAN           BXM</v>
          </cell>
          <cell r="D3915">
            <v>1157</v>
          </cell>
          <cell r="E3915">
            <v>676</v>
          </cell>
        </row>
        <row r="3916">
          <cell r="C3916" t="str">
            <v xml:space="preserve">    NODEP              GNR</v>
          </cell>
          <cell r="D3916">
            <v>671</v>
          </cell>
          <cell r="E3916">
            <v>3394</v>
          </cell>
        </row>
        <row r="3917">
          <cell r="C3917" t="str">
            <v xml:space="preserve">    NODEPRESS          KMP</v>
          </cell>
          <cell r="D3917">
            <v>0</v>
          </cell>
          <cell r="E3917">
            <v>0</v>
          </cell>
        </row>
        <row r="3918">
          <cell r="C3918" t="str">
            <v xml:space="preserve">   CITALOPRAM</v>
          </cell>
          <cell r="D3918">
            <v>2944</v>
          </cell>
          <cell r="E3918">
            <v>6956</v>
          </cell>
        </row>
        <row r="3919">
          <cell r="C3919" t="str">
            <v xml:space="preserve">    CITALON            PPH</v>
          </cell>
          <cell r="D3919">
            <v>2944</v>
          </cell>
          <cell r="E3919">
            <v>3413</v>
          </cell>
        </row>
        <row r="3920">
          <cell r="C3920" t="str">
            <v xml:space="preserve">    ARPOLAX            IAP</v>
          </cell>
          <cell r="D3920">
            <v>0</v>
          </cell>
          <cell r="E3920">
            <v>3470</v>
          </cell>
        </row>
        <row r="3921">
          <cell r="C3921" t="str">
            <v xml:space="preserve">    CITAPRAM           GNR</v>
          </cell>
          <cell r="D3921">
            <v>0</v>
          </cell>
          <cell r="E3921">
            <v>72</v>
          </cell>
        </row>
        <row r="3922">
          <cell r="C3922" t="str">
            <v xml:space="preserve">  ANTIDEPRESSANTS ALL OTH</v>
          </cell>
          <cell r="D3922">
            <v>860780</v>
          </cell>
          <cell r="E3922">
            <v>777183</v>
          </cell>
        </row>
        <row r="3923">
          <cell r="C3923" t="str">
            <v xml:space="preserve">   MIRTAZAPINE</v>
          </cell>
          <cell r="D3923">
            <v>280421</v>
          </cell>
          <cell r="E3923">
            <v>262853</v>
          </cell>
        </row>
        <row r="3924">
          <cell r="C3924" t="str">
            <v xml:space="preserve">    MIRTAZ             SPI</v>
          </cell>
          <cell r="D3924">
            <v>127043</v>
          </cell>
          <cell r="E3924">
            <v>134394</v>
          </cell>
        </row>
        <row r="3925">
          <cell r="C3925" t="str">
            <v xml:space="preserve">    MIREZ              HT3</v>
          </cell>
          <cell r="D3925">
            <v>58630</v>
          </cell>
          <cell r="E3925">
            <v>39092</v>
          </cell>
        </row>
        <row r="3926">
          <cell r="C3926" t="str">
            <v xml:space="preserve">    MIRAPRO            SQA</v>
          </cell>
          <cell r="D3926">
            <v>42107</v>
          </cell>
          <cell r="E3926">
            <v>32796</v>
          </cell>
        </row>
        <row r="3927">
          <cell r="C3927" t="str">
            <v xml:space="preserve">    MITAPREX           IAP</v>
          </cell>
          <cell r="D3927">
            <v>35956</v>
          </cell>
          <cell r="E3927">
            <v>23712</v>
          </cell>
        </row>
        <row r="3928">
          <cell r="C3928" t="str">
            <v xml:space="preserve">    MITRAZIN           GNR</v>
          </cell>
          <cell r="D3928">
            <v>11246</v>
          </cell>
          <cell r="E3928">
            <v>23958</v>
          </cell>
        </row>
        <row r="3929">
          <cell r="C3929" t="str">
            <v xml:space="preserve">    RAPINE             A-I</v>
          </cell>
          <cell r="D3929">
            <v>3519</v>
          </cell>
          <cell r="E3929">
            <v>5049</v>
          </cell>
        </row>
        <row r="3930">
          <cell r="C3930" t="str">
            <v xml:space="preserve">    AMIRON             OR/</v>
          </cell>
          <cell r="D3930">
            <v>1096</v>
          </cell>
          <cell r="E3930">
            <v>1025</v>
          </cell>
        </row>
        <row r="3931">
          <cell r="C3931" t="str">
            <v xml:space="preserve">    MIRAPIN            BAC</v>
          </cell>
          <cell r="D3931">
            <v>809</v>
          </cell>
          <cell r="E3931">
            <v>1243</v>
          </cell>
        </row>
        <row r="3932">
          <cell r="C3932" t="str">
            <v xml:space="preserve">    REJOY              ESF</v>
          </cell>
          <cell r="D3932">
            <v>14</v>
          </cell>
          <cell r="E3932">
            <v>1583</v>
          </cell>
        </row>
        <row r="3933">
          <cell r="C3933" t="str">
            <v xml:space="preserve">    MIRZALUX           SDZ</v>
          </cell>
          <cell r="D3933">
            <v>0</v>
          </cell>
          <cell r="E3933">
            <v>0</v>
          </cell>
        </row>
        <row r="3934">
          <cell r="C3934" t="str">
            <v xml:space="preserve">   AMITRIPTYLINE</v>
          </cell>
          <cell r="D3934">
            <v>243298</v>
          </cell>
          <cell r="E3934">
            <v>233072</v>
          </cell>
        </row>
        <row r="3935">
          <cell r="C3935" t="str">
            <v xml:space="preserve">    TRYPTIN            SQA</v>
          </cell>
          <cell r="D3935">
            <v>150233</v>
          </cell>
          <cell r="E3935">
            <v>111119</v>
          </cell>
        </row>
        <row r="3936">
          <cell r="C3936" t="str">
            <v xml:space="preserve">    AMILIN             OPI</v>
          </cell>
          <cell r="D3936">
            <v>86798</v>
          </cell>
          <cell r="E3936">
            <v>90688</v>
          </cell>
        </row>
        <row r="3937">
          <cell r="C3937" t="str">
            <v xml:space="preserve">    AMIT               GNR</v>
          </cell>
          <cell r="D3937">
            <v>6265</v>
          </cell>
          <cell r="E3937">
            <v>31266</v>
          </cell>
        </row>
        <row r="3938">
          <cell r="C3938" t="str">
            <v xml:space="preserve">    SAROTEN            LUN</v>
          </cell>
          <cell r="D3938">
            <v>2</v>
          </cell>
          <cell r="E3938">
            <v>0</v>
          </cell>
        </row>
        <row r="3939">
          <cell r="C3939" t="str">
            <v xml:space="preserve">    AMITRIL            A.D</v>
          </cell>
          <cell r="D3939">
            <v>0</v>
          </cell>
          <cell r="E3939">
            <v>0</v>
          </cell>
        </row>
        <row r="3940">
          <cell r="C3940" t="str">
            <v xml:space="preserve">    AMITRYL            CPL</v>
          </cell>
          <cell r="D3940">
            <v>0</v>
          </cell>
          <cell r="E3940">
            <v>0</v>
          </cell>
        </row>
        <row r="3941">
          <cell r="C3941" t="str">
            <v xml:space="preserve">   CLOMIPRAMINE</v>
          </cell>
          <cell r="D3941">
            <v>94122</v>
          </cell>
          <cell r="E3941">
            <v>99794</v>
          </cell>
        </row>
        <row r="3942">
          <cell r="C3942" t="str">
            <v xml:space="preserve">    TIMEX              OR/</v>
          </cell>
          <cell r="D3942">
            <v>73060</v>
          </cell>
          <cell r="E3942">
            <v>58783</v>
          </cell>
        </row>
        <row r="3943">
          <cell r="C3943" t="str">
            <v xml:space="preserve">    CLOFRANIL          SPI</v>
          </cell>
          <cell r="D3943">
            <v>19940</v>
          </cell>
          <cell r="E3943">
            <v>28493</v>
          </cell>
        </row>
        <row r="3944">
          <cell r="C3944" t="str">
            <v xml:space="preserve">    ANAFRANIL          NAF</v>
          </cell>
          <cell r="D3944">
            <v>1122</v>
          </cell>
          <cell r="E3944">
            <v>10456</v>
          </cell>
        </row>
        <row r="3945">
          <cell r="C3945" t="str">
            <v xml:space="preserve">    CLOPRAMIN          IAP</v>
          </cell>
          <cell r="D3945">
            <v>0</v>
          </cell>
          <cell r="E3945">
            <v>2062</v>
          </cell>
        </row>
        <row r="3946">
          <cell r="C3946" t="str">
            <v xml:space="preserve">   IMIPRAMINE</v>
          </cell>
          <cell r="D3946">
            <v>85200</v>
          </cell>
          <cell r="E3946">
            <v>78927</v>
          </cell>
        </row>
        <row r="3947">
          <cell r="C3947" t="str">
            <v xml:space="preserve">    DEPRAM             SQA</v>
          </cell>
          <cell r="D3947">
            <v>36937</v>
          </cell>
          <cell r="E3947">
            <v>29763</v>
          </cell>
        </row>
        <row r="3948">
          <cell r="C3948" t="str">
            <v xml:space="preserve">    TOFRANIL           SDZ</v>
          </cell>
          <cell r="D3948">
            <v>23900</v>
          </cell>
          <cell r="E3948">
            <v>27628</v>
          </cell>
        </row>
        <row r="3949">
          <cell r="C3949" t="str">
            <v xml:space="preserve">    PRAMIN             IAP</v>
          </cell>
          <cell r="D3949">
            <v>23854</v>
          </cell>
          <cell r="E3949">
            <v>20983</v>
          </cell>
        </row>
        <row r="3950">
          <cell r="C3950" t="str">
            <v xml:space="preserve">    IMNOC              UNH</v>
          </cell>
          <cell r="D3950">
            <v>509</v>
          </cell>
          <cell r="E3950">
            <v>453</v>
          </cell>
        </row>
        <row r="3951">
          <cell r="C3951" t="str">
            <v xml:space="preserve">    PINOR              ATP</v>
          </cell>
          <cell r="D3951">
            <v>0</v>
          </cell>
          <cell r="E3951">
            <v>99</v>
          </cell>
        </row>
        <row r="3952">
          <cell r="C3952" t="str">
            <v xml:space="preserve">   VORTIOXETINE</v>
          </cell>
          <cell r="D3952">
            <v>76436</v>
          </cell>
          <cell r="E3952">
            <v>32328</v>
          </cell>
        </row>
        <row r="3953">
          <cell r="C3953" t="str">
            <v xml:space="preserve">    NYTENSO            IAP</v>
          </cell>
          <cell r="D3953">
            <v>34006</v>
          </cell>
          <cell r="E3953">
            <v>10080</v>
          </cell>
        </row>
        <row r="3954">
          <cell r="C3954" t="str">
            <v xml:space="preserve">    VINTELIX           BXM</v>
          </cell>
          <cell r="D3954">
            <v>25943</v>
          </cell>
          <cell r="E3954">
            <v>8968</v>
          </cell>
        </row>
        <row r="3955">
          <cell r="C3955" t="str">
            <v xml:space="preserve">    VORTIOX            S.Y</v>
          </cell>
          <cell r="D3955">
            <v>15387</v>
          </cell>
          <cell r="E3955">
            <v>13281</v>
          </cell>
        </row>
        <row r="3956">
          <cell r="C3956" t="str">
            <v xml:space="preserve">    VORTON             GNR</v>
          </cell>
          <cell r="D3956">
            <v>1100</v>
          </cell>
          <cell r="E3956">
            <v>0</v>
          </cell>
        </row>
        <row r="3957">
          <cell r="C3957" t="str">
            <v xml:space="preserve">   NORTRIPTYLINE</v>
          </cell>
          <cell r="D3957">
            <v>44836</v>
          </cell>
          <cell r="E3957">
            <v>38579</v>
          </cell>
        </row>
        <row r="3958">
          <cell r="C3958" t="str">
            <v xml:space="preserve">    NORTIN             N8V</v>
          </cell>
          <cell r="D3958">
            <v>38310</v>
          </cell>
          <cell r="E3958">
            <v>31052</v>
          </cell>
        </row>
        <row r="3959">
          <cell r="C3959" t="str">
            <v xml:space="preserve">    MOODNOR            IBN</v>
          </cell>
          <cell r="D3959">
            <v>6526</v>
          </cell>
          <cell r="E3959">
            <v>7527</v>
          </cell>
        </row>
        <row r="3960">
          <cell r="C3960" t="str">
            <v xml:space="preserve">    NORTILIN           IAP</v>
          </cell>
          <cell r="D3960">
            <v>0</v>
          </cell>
          <cell r="E3960">
            <v>0</v>
          </cell>
        </row>
        <row r="3961">
          <cell r="C3961" t="str">
            <v xml:space="preserve">   MAPROTILINE</v>
          </cell>
          <cell r="D3961">
            <v>15044</v>
          </cell>
          <cell r="E3961">
            <v>14416</v>
          </cell>
        </row>
        <row r="3962">
          <cell r="C3962" t="str">
            <v xml:space="preserve">    LUDIOMIL           SDZ</v>
          </cell>
          <cell r="D3962">
            <v>15044</v>
          </cell>
          <cell r="E3962">
            <v>14416</v>
          </cell>
        </row>
        <row r="3963">
          <cell r="C3963" t="str">
            <v xml:space="preserve">   AGOMELATINE</v>
          </cell>
          <cell r="D3963">
            <v>13617</v>
          </cell>
          <cell r="E3963">
            <v>11853</v>
          </cell>
        </row>
        <row r="3964">
          <cell r="C3964" t="str">
            <v xml:space="preserve">    AGOREST            EVR</v>
          </cell>
          <cell r="D3964">
            <v>8944</v>
          </cell>
          <cell r="E3964">
            <v>7564</v>
          </cell>
        </row>
        <row r="3965">
          <cell r="C3965" t="str">
            <v xml:space="preserve">    AGOTIN             BAC</v>
          </cell>
          <cell r="D3965">
            <v>4673</v>
          </cell>
          <cell r="E3965">
            <v>4288</v>
          </cell>
        </row>
        <row r="3966">
          <cell r="C3966" t="str">
            <v xml:space="preserve">   BUPROPION+DEXTROMETHORPHAN</v>
          </cell>
          <cell r="D3966">
            <v>4195</v>
          </cell>
          <cell r="E3966">
            <v>3828</v>
          </cell>
        </row>
        <row r="3967">
          <cell r="C3967" t="str">
            <v xml:space="preserve">    ELMOOD-ER          ESF</v>
          </cell>
          <cell r="D3967">
            <v>4195</v>
          </cell>
          <cell r="E3967">
            <v>3828</v>
          </cell>
        </row>
        <row r="3968">
          <cell r="C3968" t="str">
            <v xml:space="preserve">   VILAZODONE</v>
          </cell>
          <cell r="D3968">
            <v>2307</v>
          </cell>
          <cell r="E3968">
            <v>633</v>
          </cell>
        </row>
        <row r="3969">
          <cell r="C3969" t="str">
            <v xml:space="preserve">    VILAZON            RTA</v>
          </cell>
          <cell r="D3969">
            <v>2307</v>
          </cell>
          <cell r="E3969">
            <v>633</v>
          </cell>
        </row>
        <row r="3970">
          <cell r="C3970" t="str">
            <v xml:space="preserve">   DOXEPIN</v>
          </cell>
          <cell r="D3970">
            <v>723</v>
          </cell>
          <cell r="E3970">
            <v>182</v>
          </cell>
        </row>
        <row r="3971">
          <cell r="C3971" t="str">
            <v xml:space="preserve">    SLIPAID            BAC</v>
          </cell>
          <cell r="D3971">
            <v>723</v>
          </cell>
          <cell r="E3971">
            <v>182</v>
          </cell>
        </row>
        <row r="3972">
          <cell r="C3972" t="str">
            <v xml:space="preserve">    ADNOR              AX.</v>
          </cell>
          <cell r="D3972">
            <v>0</v>
          </cell>
          <cell r="E3972">
            <v>0</v>
          </cell>
        </row>
        <row r="3973">
          <cell r="C3973" t="str">
            <v xml:space="preserve">    SOMOPIN            IAP</v>
          </cell>
          <cell r="D3973">
            <v>0</v>
          </cell>
          <cell r="E3973">
            <v>0</v>
          </cell>
        </row>
        <row r="3974">
          <cell r="C3974" t="str">
            <v xml:space="preserve">   FLUPHENAZINE+NORTRIPTYLINE</v>
          </cell>
          <cell r="D3974">
            <v>581</v>
          </cell>
          <cell r="E3974">
            <v>718</v>
          </cell>
        </row>
        <row r="3975">
          <cell r="C3975" t="str">
            <v xml:space="preserve">    MOODON             IBN</v>
          </cell>
          <cell r="D3975">
            <v>581</v>
          </cell>
          <cell r="E3975">
            <v>718</v>
          </cell>
        </row>
        <row r="3976">
          <cell r="C3976" t="str">
            <v xml:space="preserve">  SNRI ANTIDEPRESSANTS</v>
          </cell>
          <cell r="D3976">
            <v>413307</v>
          </cell>
          <cell r="E3976">
            <v>347123</v>
          </cell>
        </row>
        <row r="3977">
          <cell r="C3977" t="str">
            <v xml:space="preserve">   DULOXETINE</v>
          </cell>
          <cell r="D3977">
            <v>377142</v>
          </cell>
          <cell r="E3977">
            <v>298419</v>
          </cell>
        </row>
        <row r="3978">
          <cell r="C3978" t="str">
            <v xml:space="preserve">    DULOXEN            IAP</v>
          </cell>
          <cell r="D3978">
            <v>181750</v>
          </cell>
          <cell r="E3978">
            <v>133682</v>
          </cell>
        </row>
        <row r="3979">
          <cell r="C3979" t="str">
            <v xml:space="preserve">    DULOX              ACM</v>
          </cell>
          <cell r="D3979">
            <v>111553</v>
          </cell>
          <cell r="E3979">
            <v>96973</v>
          </cell>
        </row>
        <row r="3980">
          <cell r="C3980" t="str">
            <v xml:space="preserve">    LOXETINE           A-I</v>
          </cell>
          <cell r="D3980">
            <v>37001</v>
          </cell>
          <cell r="E3980">
            <v>25605</v>
          </cell>
        </row>
        <row r="3981">
          <cell r="C3981" t="str">
            <v xml:space="preserve">    DILINER-DR         SQA</v>
          </cell>
          <cell r="D3981">
            <v>32501</v>
          </cell>
          <cell r="E3981">
            <v>28666</v>
          </cell>
        </row>
        <row r="3982">
          <cell r="C3982" t="str">
            <v xml:space="preserve">    DUZELA             SPI</v>
          </cell>
          <cell r="D3982">
            <v>9391</v>
          </cell>
          <cell r="E3982">
            <v>8891</v>
          </cell>
        </row>
        <row r="3983">
          <cell r="C3983" t="str">
            <v xml:space="preserve">    XINOLAX            OPI</v>
          </cell>
          <cell r="D3983">
            <v>4945</v>
          </cell>
          <cell r="E3983">
            <v>4602</v>
          </cell>
        </row>
        <row r="3984">
          <cell r="C3984" t="str">
            <v xml:space="preserve">    DELOXI             ESF</v>
          </cell>
          <cell r="D3984">
            <v>0</v>
          </cell>
          <cell r="E3984">
            <v>0</v>
          </cell>
        </row>
        <row r="3985">
          <cell r="C3985" t="str">
            <v xml:space="preserve">   DESVENLAFAXINE</v>
          </cell>
          <cell r="D3985">
            <v>23907</v>
          </cell>
          <cell r="E3985">
            <v>22578</v>
          </cell>
        </row>
        <row r="3986">
          <cell r="C3986" t="str">
            <v xml:space="preserve">    NEVOLA             ZIS</v>
          </cell>
          <cell r="D3986">
            <v>19328</v>
          </cell>
          <cell r="E3986">
            <v>18598</v>
          </cell>
        </row>
        <row r="3987">
          <cell r="C3987" t="str">
            <v xml:space="preserve">    HAPYTAB            ESF</v>
          </cell>
          <cell r="D3987">
            <v>4579</v>
          </cell>
          <cell r="E3987">
            <v>3980</v>
          </cell>
        </row>
        <row r="3988">
          <cell r="C3988" t="str">
            <v xml:space="preserve">   VENLAFAXINE</v>
          </cell>
          <cell r="D3988">
            <v>4893</v>
          </cell>
          <cell r="E3988">
            <v>14888</v>
          </cell>
        </row>
        <row r="3989">
          <cell r="C3989" t="str">
            <v xml:space="preserve">    VENLAX             GNR</v>
          </cell>
          <cell r="D3989">
            <v>4893</v>
          </cell>
          <cell r="E3989">
            <v>14878</v>
          </cell>
        </row>
        <row r="3990">
          <cell r="C3990" t="str">
            <v xml:space="preserve">    VENLAF             OR/</v>
          </cell>
          <cell r="D3990">
            <v>0</v>
          </cell>
          <cell r="E3990">
            <v>0</v>
          </cell>
        </row>
        <row r="3991">
          <cell r="C3991" t="str">
            <v xml:space="preserve">    VENIZ XR           SPI</v>
          </cell>
          <cell r="D3991">
            <v>0</v>
          </cell>
          <cell r="E3991">
            <v>10</v>
          </cell>
        </row>
        <row r="3992">
          <cell r="C3992" t="str">
            <v xml:space="preserve">   LEVOMILNACIPRAN</v>
          </cell>
          <cell r="D3992">
            <v>4002</v>
          </cell>
          <cell r="E3992">
            <v>6352</v>
          </cell>
        </row>
        <row r="3993">
          <cell r="C3993" t="str">
            <v xml:space="preserve">    CIPRAN             RTA</v>
          </cell>
          <cell r="D3993">
            <v>4002</v>
          </cell>
          <cell r="E3993">
            <v>6352</v>
          </cell>
        </row>
        <row r="3994">
          <cell r="C3994" t="str">
            <v xml:space="preserve">   MILNACIPRAN</v>
          </cell>
          <cell r="D3994">
            <v>3362</v>
          </cell>
          <cell r="E3994">
            <v>4886</v>
          </cell>
        </row>
        <row r="3995">
          <cell r="C3995" t="str">
            <v xml:space="preserve">    MILRAN             BAC</v>
          </cell>
          <cell r="D3995">
            <v>3362</v>
          </cell>
          <cell r="E3995">
            <v>4886</v>
          </cell>
        </row>
        <row r="3996">
          <cell r="C3996" t="str">
            <v xml:space="preserve">    NEOCIPRAN          IBN</v>
          </cell>
          <cell r="D3996">
            <v>0</v>
          </cell>
          <cell r="E3996">
            <v>0</v>
          </cell>
        </row>
        <row r="3997">
          <cell r="C3997" t="str">
            <v xml:space="preserve">  MOOD STABILISERS</v>
          </cell>
          <cell r="D3997">
            <v>15629</v>
          </cell>
          <cell r="E3997">
            <v>11869</v>
          </cell>
        </row>
        <row r="3998">
          <cell r="C3998" t="str">
            <v xml:space="preserve">   LITHIUM</v>
          </cell>
          <cell r="D3998">
            <v>15629</v>
          </cell>
          <cell r="E3998">
            <v>11869</v>
          </cell>
        </row>
        <row r="3999">
          <cell r="C3999" t="str">
            <v xml:space="preserve">    LITHOSUN           SPI</v>
          </cell>
          <cell r="D3999">
            <v>10305</v>
          </cell>
          <cell r="E3999">
            <v>9789</v>
          </cell>
        </row>
        <row r="4000">
          <cell r="C4000" t="str">
            <v xml:space="preserve">    LITIAM             A-I</v>
          </cell>
          <cell r="D4000">
            <v>5304</v>
          </cell>
          <cell r="E4000">
            <v>2079</v>
          </cell>
        </row>
        <row r="4001">
          <cell r="C4001" t="str">
            <v xml:space="preserve">    LITHIN             IAP</v>
          </cell>
          <cell r="D4001">
            <v>20</v>
          </cell>
          <cell r="E4001">
            <v>0</v>
          </cell>
        </row>
        <row r="4002">
          <cell r="C4002" t="str">
            <v xml:space="preserve"> BROAD SPECTRUM PENICILLIN</v>
          </cell>
          <cell r="D4002">
            <v>3081647</v>
          </cell>
          <cell r="E4002">
            <v>2953464</v>
          </cell>
        </row>
        <row r="4003">
          <cell r="C4003" t="str">
            <v xml:space="preserve">  BROAD SPECT PENICILL ORAL</v>
          </cell>
          <cell r="D4003">
            <v>2992071</v>
          </cell>
          <cell r="E4003">
            <v>2813483</v>
          </cell>
        </row>
        <row r="4004">
          <cell r="C4004" t="str">
            <v xml:space="preserve">   AMOXICILLIN+CLAVULANIC ACID</v>
          </cell>
          <cell r="D4004">
            <v>2422475</v>
          </cell>
          <cell r="E4004">
            <v>2278975</v>
          </cell>
        </row>
        <row r="4005">
          <cell r="C4005" t="str">
            <v xml:space="preserve">    MOXACLAV           SQA</v>
          </cell>
          <cell r="D4005">
            <v>944721</v>
          </cell>
          <cell r="E4005">
            <v>911822</v>
          </cell>
        </row>
        <row r="4006">
          <cell r="C4006" t="str">
            <v xml:space="preserve">    TYCLAV             BXM</v>
          </cell>
          <cell r="D4006">
            <v>353575</v>
          </cell>
          <cell r="E4006">
            <v>331553</v>
          </cell>
        </row>
        <row r="4007">
          <cell r="C4007" t="str">
            <v xml:space="preserve">    AUGMENT            ESF</v>
          </cell>
          <cell r="D4007">
            <v>245167</v>
          </cell>
          <cell r="E4007">
            <v>205591</v>
          </cell>
        </row>
        <row r="4008">
          <cell r="C4008" t="str">
            <v xml:space="preserve">    FIMOXYCLAV         S.Y</v>
          </cell>
          <cell r="D4008">
            <v>209860</v>
          </cell>
          <cell r="E4008">
            <v>245482</v>
          </cell>
        </row>
        <row r="4009">
          <cell r="C4009" t="str">
            <v xml:space="preserve">    AVLOCLAV           A-I</v>
          </cell>
          <cell r="D4009">
            <v>193343</v>
          </cell>
          <cell r="E4009">
            <v>195274</v>
          </cell>
        </row>
        <row r="4010">
          <cell r="C4010" t="str">
            <v xml:space="preserve">    CLACIDO            HT3</v>
          </cell>
          <cell r="D4010">
            <v>148557</v>
          </cell>
          <cell r="E4010">
            <v>128060</v>
          </cell>
        </row>
        <row r="4011">
          <cell r="C4011" t="str">
            <v xml:space="preserve">    CLAMOX             OPI</v>
          </cell>
          <cell r="D4011">
            <v>128244</v>
          </cell>
          <cell r="E4011">
            <v>88437</v>
          </cell>
        </row>
        <row r="4012">
          <cell r="C4012" t="str">
            <v xml:space="preserve">    DEMOXICLAVE        D-I</v>
          </cell>
          <cell r="D4012">
            <v>128156</v>
          </cell>
          <cell r="E4012">
            <v>145312</v>
          </cell>
        </row>
        <row r="4013">
          <cell r="C4013" t="str">
            <v xml:space="preserve">    MOXILIN-CV         ACM</v>
          </cell>
          <cell r="D4013">
            <v>50041</v>
          </cell>
          <cell r="E4013">
            <v>0</v>
          </cell>
        </row>
        <row r="4014">
          <cell r="C4014" t="str">
            <v xml:space="preserve">    BIOCLAVID          SDZ</v>
          </cell>
          <cell r="D4014">
            <v>11031</v>
          </cell>
          <cell r="E4014">
            <v>24185</v>
          </cell>
        </row>
        <row r="4015">
          <cell r="C4015" t="str">
            <v xml:space="preserve">    ZYLOPEN            RD7</v>
          </cell>
          <cell r="D4015">
            <v>9436</v>
          </cell>
          <cell r="E4015">
            <v>3180</v>
          </cell>
        </row>
        <row r="4016">
          <cell r="C4016" t="str">
            <v xml:space="preserve">    AUGMENTIN          GSK</v>
          </cell>
          <cell r="D4016">
            <v>174</v>
          </cell>
          <cell r="E4016">
            <v>18</v>
          </cell>
        </row>
        <row r="4017">
          <cell r="C4017" t="str">
            <v xml:space="preserve">    DEMOXIL-PLUS       D-I</v>
          </cell>
          <cell r="D4017">
            <v>119</v>
          </cell>
          <cell r="E4017">
            <v>60</v>
          </cell>
        </row>
        <row r="4018">
          <cell r="C4018" t="str">
            <v xml:space="preserve">    ONCLAV             ONA</v>
          </cell>
          <cell r="D4018">
            <v>49</v>
          </cell>
          <cell r="E4018">
            <v>0</v>
          </cell>
        </row>
        <row r="4019">
          <cell r="C4019" t="str">
            <v xml:space="preserve">    AMOCLAV            T2D</v>
          </cell>
          <cell r="D4019">
            <v>0</v>
          </cell>
          <cell r="E4019">
            <v>0</v>
          </cell>
        </row>
        <row r="4020">
          <cell r="C4020" t="str">
            <v xml:space="preserve">    ULTRACLAV          GBE</v>
          </cell>
          <cell r="D4020">
            <v>0</v>
          </cell>
          <cell r="E4020">
            <v>0</v>
          </cell>
        </row>
        <row r="4021">
          <cell r="C4021" t="str">
            <v xml:space="preserve">   AMOXICILLIN</v>
          </cell>
          <cell r="D4021">
            <v>569519</v>
          </cell>
          <cell r="E4021">
            <v>534482</v>
          </cell>
        </row>
        <row r="4022">
          <cell r="C4022" t="str">
            <v xml:space="preserve">    MOXACIL            SQA</v>
          </cell>
          <cell r="D4022">
            <v>314786</v>
          </cell>
          <cell r="E4022">
            <v>262547</v>
          </cell>
        </row>
        <row r="4023">
          <cell r="C4023" t="str">
            <v xml:space="preserve">    FIMOXYL            S.Y</v>
          </cell>
          <cell r="D4023">
            <v>133352</v>
          </cell>
          <cell r="E4023">
            <v>136738</v>
          </cell>
        </row>
        <row r="4024">
          <cell r="C4024" t="str">
            <v xml:space="preserve">    TYCIL              BXM</v>
          </cell>
          <cell r="D4024">
            <v>48679</v>
          </cell>
          <cell r="E4024">
            <v>61273</v>
          </cell>
        </row>
        <row r="4025">
          <cell r="C4025" t="str">
            <v xml:space="preserve">    MOXILIN            ACM</v>
          </cell>
          <cell r="D4025">
            <v>16318</v>
          </cell>
          <cell r="E4025">
            <v>13205</v>
          </cell>
        </row>
        <row r="4026">
          <cell r="C4026" t="str">
            <v xml:space="preserve">    MOXIN              OPI</v>
          </cell>
          <cell r="D4026">
            <v>13312</v>
          </cell>
          <cell r="E4026">
            <v>14096</v>
          </cell>
        </row>
        <row r="4027">
          <cell r="C4027" t="str">
            <v xml:space="preserve">    BACTAMOX           RTA</v>
          </cell>
          <cell r="D4027">
            <v>9879</v>
          </cell>
          <cell r="E4027">
            <v>11692</v>
          </cell>
        </row>
        <row r="4028">
          <cell r="C4028" t="str">
            <v xml:space="preserve">    DEMOXIL            D-I</v>
          </cell>
          <cell r="D4028">
            <v>8716</v>
          </cell>
          <cell r="E4028">
            <v>7076</v>
          </cell>
        </row>
        <row r="4029">
          <cell r="C4029" t="str">
            <v xml:space="preserve">    AVLOMOX            A-I</v>
          </cell>
          <cell r="D4029">
            <v>7950</v>
          </cell>
          <cell r="E4029">
            <v>10598</v>
          </cell>
        </row>
        <row r="4030">
          <cell r="C4030" t="str">
            <v xml:space="preserve">    ARISTOMOX          ATP</v>
          </cell>
          <cell r="D4030">
            <v>5168</v>
          </cell>
          <cell r="E4030">
            <v>3447</v>
          </cell>
        </row>
        <row r="4031">
          <cell r="C4031" t="str">
            <v xml:space="preserve">    AMOTID             BP&amp;</v>
          </cell>
          <cell r="D4031">
            <v>3399</v>
          </cell>
          <cell r="E4031">
            <v>5435</v>
          </cell>
        </row>
        <row r="4032">
          <cell r="C4032" t="str">
            <v xml:space="preserve">    SINAMOX            IBN</v>
          </cell>
          <cell r="D4032">
            <v>2971</v>
          </cell>
          <cell r="E4032">
            <v>926</v>
          </cell>
        </row>
        <row r="4033">
          <cell r="C4033" t="str">
            <v xml:space="preserve">    SK MOX             ESF</v>
          </cell>
          <cell r="D4033">
            <v>2380</v>
          </cell>
          <cell r="E4033">
            <v>5236</v>
          </cell>
        </row>
        <row r="4034">
          <cell r="C4034" t="str">
            <v xml:space="preserve">    AMX                NJP</v>
          </cell>
          <cell r="D4034">
            <v>1386</v>
          </cell>
          <cell r="E4034">
            <v>206</v>
          </cell>
        </row>
        <row r="4035">
          <cell r="C4035" t="str">
            <v xml:space="preserve">    CLAMOX             KUM</v>
          </cell>
          <cell r="D4035">
            <v>712</v>
          </cell>
          <cell r="E4035">
            <v>1034</v>
          </cell>
        </row>
        <row r="4036">
          <cell r="C4036" t="str">
            <v xml:space="preserve">    APOXY              AX.</v>
          </cell>
          <cell r="D4036">
            <v>180</v>
          </cell>
          <cell r="E4036">
            <v>539</v>
          </cell>
        </row>
        <row r="4037">
          <cell r="C4037" t="str">
            <v xml:space="preserve">    TYMOX              S&amp;O</v>
          </cell>
          <cell r="D4037">
            <v>123</v>
          </cell>
          <cell r="E4037">
            <v>0</v>
          </cell>
        </row>
        <row r="4038">
          <cell r="C4038" t="str">
            <v xml:space="preserve">    AMOCIN             PAC</v>
          </cell>
          <cell r="D4038">
            <v>63</v>
          </cell>
          <cell r="E4038">
            <v>0</v>
          </cell>
        </row>
        <row r="4039">
          <cell r="C4039" t="str">
            <v xml:space="preserve">    FIMOX              PPH</v>
          </cell>
          <cell r="D4039">
            <v>60</v>
          </cell>
          <cell r="E4039">
            <v>61</v>
          </cell>
        </row>
        <row r="4040">
          <cell r="C4040" t="str">
            <v xml:space="preserve">    EMOXIL             ETH</v>
          </cell>
          <cell r="D4040">
            <v>38</v>
          </cell>
          <cell r="E4040">
            <v>0</v>
          </cell>
        </row>
        <row r="4041">
          <cell r="C4041" t="str">
            <v xml:space="preserve">    AMOTID-F           BP&amp;</v>
          </cell>
          <cell r="D4041">
            <v>29</v>
          </cell>
          <cell r="E4041">
            <v>42</v>
          </cell>
        </row>
        <row r="4042">
          <cell r="C4042" t="str">
            <v xml:space="preserve">    ROXYL              RAS</v>
          </cell>
          <cell r="D4042">
            <v>5</v>
          </cell>
          <cell r="E4042">
            <v>51</v>
          </cell>
        </row>
        <row r="4043">
          <cell r="C4043" t="str">
            <v xml:space="preserve">    MIMOX              ALB</v>
          </cell>
          <cell r="D4043">
            <v>5</v>
          </cell>
          <cell r="E4043">
            <v>0</v>
          </cell>
        </row>
        <row r="4044">
          <cell r="C4044" t="str">
            <v xml:space="preserve">    STAMOX             SL6</v>
          </cell>
          <cell r="D4044">
            <v>5</v>
          </cell>
          <cell r="E4044">
            <v>0</v>
          </cell>
        </row>
        <row r="4045">
          <cell r="C4045" t="str">
            <v xml:space="preserve">    AMOXAPEN           NTI</v>
          </cell>
          <cell r="D4045">
            <v>0</v>
          </cell>
          <cell r="E4045">
            <v>0</v>
          </cell>
        </row>
        <row r="4046">
          <cell r="C4046" t="str">
            <v xml:space="preserve">    AMOXICON           MED</v>
          </cell>
          <cell r="D4046">
            <v>0</v>
          </cell>
          <cell r="E4046">
            <v>0</v>
          </cell>
        </row>
        <row r="4047">
          <cell r="C4047" t="str">
            <v xml:space="preserve">    AMOXILIN           EDR</v>
          </cell>
          <cell r="D4047">
            <v>0</v>
          </cell>
          <cell r="E4047">
            <v>3</v>
          </cell>
        </row>
        <row r="4048">
          <cell r="C4048" t="str">
            <v xml:space="preserve">    ANTIF              R7G</v>
          </cell>
          <cell r="D4048">
            <v>0</v>
          </cell>
          <cell r="E4048">
            <v>0</v>
          </cell>
        </row>
        <row r="4049">
          <cell r="C4049" t="str">
            <v xml:space="preserve">    BRODAMOX           CSC</v>
          </cell>
          <cell r="D4049">
            <v>0</v>
          </cell>
          <cell r="E4049">
            <v>205</v>
          </cell>
        </row>
        <row r="4050">
          <cell r="C4050" t="str">
            <v xml:space="preserve">    DEMOX              DSH</v>
          </cell>
          <cell r="D4050">
            <v>0</v>
          </cell>
          <cell r="E4050">
            <v>0</v>
          </cell>
        </row>
        <row r="4051">
          <cell r="C4051" t="str">
            <v xml:space="preserve">    E-MOX              EDR</v>
          </cell>
          <cell r="D4051">
            <v>0</v>
          </cell>
          <cell r="E4051">
            <v>0</v>
          </cell>
        </row>
        <row r="4052">
          <cell r="C4052" t="str">
            <v xml:space="preserve">    GENAMOX            GNR</v>
          </cell>
          <cell r="D4052">
            <v>0</v>
          </cell>
          <cell r="E4052">
            <v>0</v>
          </cell>
        </row>
        <row r="4053">
          <cell r="C4053" t="str">
            <v xml:space="preserve">    HI-MOX             HUD</v>
          </cell>
          <cell r="D4053">
            <v>0</v>
          </cell>
          <cell r="E4053">
            <v>0</v>
          </cell>
        </row>
        <row r="4054">
          <cell r="C4054" t="str">
            <v xml:space="preserve">    MOX                P6Y</v>
          </cell>
          <cell r="D4054">
            <v>0</v>
          </cell>
          <cell r="E4054">
            <v>0</v>
          </cell>
        </row>
        <row r="4055">
          <cell r="C4055" t="str">
            <v xml:space="preserve">    NAVAMOX            N8V</v>
          </cell>
          <cell r="D4055">
            <v>0</v>
          </cell>
          <cell r="E4055">
            <v>4</v>
          </cell>
        </row>
        <row r="4056">
          <cell r="C4056" t="str">
            <v xml:space="preserve">    ORIXYL             OR/</v>
          </cell>
          <cell r="D4056">
            <v>0</v>
          </cell>
          <cell r="E4056">
            <v>0</v>
          </cell>
        </row>
        <row r="4057">
          <cell r="C4057" t="str">
            <v xml:space="preserve">    PENMOX             T2D</v>
          </cell>
          <cell r="D4057">
            <v>0</v>
          </cell>
          <cell r="E4057">
            <v>0</v>
          </cell>
        </row>
        <row r="4058">
          <cell r="C4058" t="str">
            <v xml:space="preserve">    PRIMOX             IAP</v>
          </cell>
          <cell r="D4058">
            <v>0</v>
          </cell>
          <cell r="E4058">
            <v>5</v>
          </cell>
        </row>
        <row r="4059">
          <cell r="C4059" t="str">
            <v xml:space="preserve">    PROMOX             CHM</v>
          </cell>
          <cell r="D4059">
            <v>0</v>
          </cell>
          <cell r="E4059">
            <v>0</v>
          </cell>
        </row>
        <row r="4060">
          <cell r="C4060" t="str">
            <v xml:space="preserve">    SAPOX              A.P</v>
          </cell>
          <cell r="D4060">
            <v>0</v>
          </cell>
          <cell r="E4060">
            <v>0</v>
          </cell>
        </row>
        <row r="4061">
          <cell r="C4061" t="str">
            <v xml:space="preserve">    TYMOXIL            UCL</v>
          </cell>
          <cell r="D4061">
            <v>0</v>
          </cell>
          <cell r="E4061">
            <v>0</v>
          </cell>
        </row>
        <row r="4062">
          <cell r="C4062" t="str">
            <v xml:space="preserve">    ULTRAMOX           GBE</v>
          </cell>
          <cell r="D4062">
            <v>0</v>
          </cell>
          <cell r="E4062">
            <v>55</v>
          </cell>
        </row>
        <row r="4063">
          <cell r="C4063" t="str">
            <v xml:space="preserve">    ORGAMOX            NVK</v>
          </cell>
          <cell r="D4063">
            <v>0</v>
          </cell>
          <cell r="E4063">
            <v>0</v>
          </cell>
        </row>
        <row r="4064">
          <cell r="C4064" t="str">
            <v xml:space="preserve">    ADMOX              TMH</v>
          </cell>
          <cell r="D4064">
            <v>0</v>
          </cell>
          <cell r="E4064">
            <v>10</v>
          </cell>
        </row>
        <row r="4065">
          <cell r="C4065" t="str">
            <v xml:space="preserve">   AMPICILLIN</v>
          </cell>
          <cell r="D4065">
            <v>64</v>
          </cell>
          <cell r="E4065">
            <v>26</v>
          </cell>
        </row>
        <row r="4066">
          <cell r="C4066" t="str">
            <v xml:space="preserve">    ACMECILIN          ACM</v>
          </cell>
          <cell r="D4066">
            <v>42</v>
          </cell>
          <cell r="E4066">
            <v>7</v>
          </cell>
        </row>
        <row r="4067">
          <cell r="C4067" t="str">
            <v xml:space="preserve">    AMPEXIN            OPI</v>
          </cell>
          <cell r="D4067">
            <v>18</v>
          </cell>
          <cell r="E4067">
            <v>4</v>
          </cell>
        </row>
        <row r="4068">
          <cell r="C4068" t="str">
            <v xml:space="preserve">    AVLOCILLIN         A-I</v>
          </cell>
          <cell r="D4068">
            <v>4</v>
          </cell>
          <cell r="E4068">
            <v>15</v>
          </cell>
        </row>
        <row r="4069">
          <cell r="C4069" t="str">
            <v xml:space="preserve">    AMPICIN            SQA</v>
          </cell>
          <cell r="D4069">
            <v>1</v>
          </cell>
          <cell r="E4069">
            <v>0</v>
          </cell>
        </row>
        <row r="4070">
          <cell r="C4070" t="str">
            <v xml:space="preserve">    CHAMPICIN          CHM</v>
          </cell>
          <cell r="D4070">
            <v>0</v>
          </cell>
          <cell r="E4070">
            <v>0</v>
          </cell>
        </row>
        <row r="4071">
          <cell r="C4071" t="str">
            <v xml:space="preserve">    PENTACILLIN        U.M</v>
          </cell>
          <cell r="D4071">
            <v>0</v>
          </cell>
          <cell r="E4071">
            <v>0</v>
          </cell>
        </row>
        <row r="4072">
          <cell r="C4072" t="str">
            <v xml:space="preserve">   FLUCLOXACILLIN</v>
          </cell>
          <cell r="D4072">
            <v>13</v>
          </cell>
          <cell r="E4072">
            <v>0</v>
          </cell>
        </row>
        <row r="4073">
          <cell r="C4073" t="str">
            <v xml:space="preserve">    ORGAFLU            NVK</v>
          </cell>
          <cell r="D4073">
            <v>13</v>
          </cell>
          <cell r="E4073">
            <v>0</v>
          </cell>
        </row>
        <row r="4074">
          <cell r="C4074" t="str">
            <v xml:space="preserve">  BROAD SPECT PENICILL INJ</v>
          </cell>
          <cell r="D4074">
            <v>89576</v>
          </cell>
          <cell r="E4074">
            <v>139981</v>
          </cell>
        </row>
        <row r="4075">
          <cell r="C4075" t="str">
            <v xml:space="preserve">   AMOXICILLIN+CLAVULANIC ACID</v>
          </cell>
          <cell r="D4075">
            <v>76387</v>
          </cell>
          <cell r="E4075">
            <v>121227</v>
          </cell>
        </row>
        <row r="4076">
          <cell r="C4076" t="str">
            <v xml:space="preserve">    MOXACLAV           SQA</v>
          </cell>
          <cell r="D4076">
            <v>33373</v>
          </cell>
          <cell r="E4076">
            <v>55539</v>
          </cell>
        </row>
        <row r="4077">
          <cell r="C4077" t="str">
            <v xml:space="preserve">    CLAMOX             OPI</v>
          </cell>
          <cell r="D4077">
            <v>15864</v>
          </cell>
          <cell r="E4077">
            <v>19606</v>
          </cell>
        </row>
        <row r="4078">
          <cell r="C4078" t="str">
            <v xml:space="preserve">    TYCLAV             BXM</v>
          </cell>
          <cell r="D4078">
            <v>10626</v>
          </cell>
          <cell r="E4078">
            <v>20242</v>
          </cell>
        </row>
        <row r="4079">
          <cell r="C4079" t="str">
            <v xml:space="preserve">    FIMOXYCLAV         S.Y</v>
          </cell>
          <cell r="D4079">
            <v>6858</v>
          </cell>
          <cell r="E4079">
            <v>9977</v>
          </cell>
        </row>
        <row r="4080">
          <cell r="C4080" t="str">
            <v xml:space="preserve">    AUGMENT            ESF</v>
          </cell>
          <cell r="D4080">
            <v>4387</v>
          </cell>
          <cell r="E4080">
            <v>5018</v>
          </cell>
        </row>
        <row r="4081">
          <cell r="C4081" t="str">
            <v xml:space="preserve">    AVLOCLAV           A-I</v>
          </cell>
          <cell r="D4081">
            <v>4387</v>
          </cell>
          <cell r="E4081">
            <v>7432</v>
          </cell>
        </row>
        <row r="4082">
          <cell r="C4082" t="str">
            <v xml:space="preserve">    CLACIDO            HT3</v>
          </cell>
          <cell r="D4082">
            <v>892</v>
          </cell>
          <cell r="E4082">
            <v>3412</v>
          </cell>
        </row>
        <row r="4083">
          <cell r="C4083" t="str">
            <v xml:space="preserve">   PIPERACILLIN+TAZOBACTAM</v>
          </cell>
          <cell r="D4083">
            <v>10903</v>
          </cell>
          <cell r="E4083">
            <v>11239</v>
          </cell>
        </row>
        <row r="4084">
          <cell r="C4084" t="str">
            <v xml:space="preserve">    TAZOPEN            RTA</v>
          </cell>
          <cell r="D4084">
            <v>5662</v>
          </cell>
          <cell r="E4084">
            <v>6139</v>
          </cell>
        </row>
        <row r="4085">
          <cell r="C4085" t="str">
            <v xml:space="preserve">    BRODACTAM          S.Y</v>
          </cell>
          <cell r="D4085">
            <v>3398</v>
          </cell>
          <cell r="E4085">
            <v>4142</v>
          </cell>
        </row>
        <row r="4086">
          <cell r="C4086" t="str">
            <v xml:space="preserve">    TAZOBAC            A-I</v>
          </cell>
          <cell r="D4086">
            <v>667</v>
          </cell>
          <cell r="E4086">
            <v>0</v>
          </cell>
        </row>
        <row r="4087">
          <cell r="C4087" t="str">
            <v xml:space="preserve">    TAZOSYN            A-I</v>
          </cell>
          <cell r="D4087">
            <v>616</v>
          </cell>
          <cell r="E4087">
            <v>263</v>
          </cell>
        </row>
        <row r="4088">
          <cell r="C4088" t="str">
            <v xml:space="preserve">    TAZOCILIN          SQA</v>
          </cell>
          <cell r="D4088">
            <v>330</v>
          </cell>
          <cell r="E4088">
            <v>696</v>
          </cell>
        </row>
        <row r="4089">
          <cell r="C4089" t="str">
            <v xml:space="preserve">    MEGACILIN          PPH</v>
          </cell>
          <cell r="D4089">
            <v>213</v>
          </cell>
          <cell r="E4089">
            <v>0</v>
          </cell>
        </row>
        <row r="4090">
          <cell r="C4090" t="str">
            <v xml:space="preserve">    TAZOCIL            SQA</v>
          </cell>
          <cell r="D4090">
            <v>17</v>
          </cell>
          <cell r="E4090">
            <v>0</v>
          </cell>
        </row>
        <row r="4091">
          <cell r="C4091" t="str">
            <v xml:space="preserve">   AMPICILLIN</v>
          </cell>
          <cell r="D4091">
            <v>1040</v>
          </cell>
          <cell r="E4091">
            <v>5312</v>
          </cell>
        </row>
        <row r="4092">
          <cell r="C4092" t="str">
            <v xml:space="preserve">    AMPEXIN            OPI</v>
          </cell>
          <cell r="D4092">
            <v>1040</v>
          </cell>
          <cell r="E4092">
            <v>5294</v>
          </cell>
        </row>
        <row r="4093">
          <cell r="C4093" t="str">
            <v xml:space="preserve">    ACMECILIN          ACM</v>
          </cell>
          <cell r="D4093">
            <v>0</v>
          </cell>
          <cell r="E4093">
            <v>18</v>
          </cell>
        </row>
        <row r="4094">
          <cell r="C4094" t="str">
            <v xml:space="preserve">   AMOXICILLIN</v>
          </cell>
          <cell r="D4094">
            <v>729</v>
          </cell>
          <cell r="E4094">
            <v>1997</v>
          </cell>
        </row>
        <row r="4095">
          <cell r="C4095" t="str">
            <v xml:space="preserve">    MOXIN              OPI</v>
          </cell>
          <cell r="D4095">
            <v>657</v>
          </cell>
          <cell r="E4095">
            <v>891</v>
          </cell>
        </row>
        <row r="4096">
          <cell r="C4096" t="str">
            <v xml:space="preserve">    MOXILIN            ACM</v>
          </cell>
          <cell r="D4096">
            <v>35</v>
          </cell>
          <cell r="E4096">
            <v>70</v>
          </cell>
        </row>
        <row r="4097">
          <cell r="C4097" t="str">
            <v xml:space="preserve">    MOXACIL            SQA</v>
          </cell>
          <cell r="D4097">
            <v>32</v>
          </cell>
          <cell r="E4097">
            <v>960</v>
          </cell>
        </row>
        <row r="4098">
          <cell r="C4098" t="str">
            <v xml:space="preserve">    BACTAMOX           RTA</v>
          </cell>
          <cell r="D4098">
            <v>3</v>
          </cell>
          <cell r="E4098">
            <v>56</v>
          </cell>
        </row>
        <row r="4099">
          <cell r="C4099" t="str">
            <v xml:space="preserve">    FIMOXYL            S.Y</v>
          </cell>
          <cell r="D4099">
            <v>2</v>
          </cell>
          <cell r="E4099">
            <v>0</v>
          </cell>
        </row>
        <row r="4100">
          <cell r="C4100" t="str">
            <v xml:space="preserve">    AVLOMOX            A-I</v>
          </cell>
          <cell r="D4100">
            <v>0</v>
          </cell>
          <cell r="E4100">
            <v>19</v>
          </cell>
        </row>
        <row r="4101">
          <cell r="C4101" t="str">
            <v xml:space="preserve">    DEMOXIL            D-I</v>
          </cell>
          <cell r="D4101">
            <v>0</v>
          </cell>
          <cell r="E4101">
            <v>0</v>
          </cell>
        </row>
        <row r="4102">
          <cell r="C4102" t="str">
            <v xml:space="preserve">   PIPERACILLIN</v>
          </cell>
          <cell r="D4102">
            <v>518</v>
          </cell>
          <cell r="E4102">
            <v>207</v>
          </cell>
        </row>
        <row r="4103">
          <cell r="C4103" t="str">
            <v xml:space="preserve">    TAZOCILIN          SQA</v>
          </cell>
          <cell r="D4103">
            <v>518</v>
          </cell>
          <cell r="E4103">
            <v>207</v>
          </cell>
        </row>
        <row r="4104">
          <cell r="C4104" t="str">
            <v xml:space="preserve">   COMPOSITION UNKNOWN</v>
          </cell>
          <cell r="D4104">
            <v>0</v>
          </cell>
          <cell r="E4104">
            <v>0</v>
          </cell>
        </row>
        <row r="4105">
          <cell r="C4105" t="str">
            <v xml:space="preserve">    AMOXI INJ          RTA</v>
          </cell>
          <cell r="D4105">
            <v>0</v>
          </cell>
          <cell r="E4105">
            <v>0</v>
          </cell>
        </row>
        <row r="4106">
          <cell r="C4106" t="str">
            <v xml:space="preserve"> TOP CORTICOSTEROIDS COMBS</v>
          </cell>
          <cell r="D4106">
            <v>2945650</v>
          </cell>
          <cell r="E4106">
            <v>2434004</v>
          </cell>
        </row>
        <row r="4107">
          <cell r="C4107" t="str">
            <v xml:space="preserve">  WITH ANTIBACT/ANTIFUNGALS</v>
          </cell>
          <cell r="D4107">
            <v>1197502</v>
          </cell>
          <cell r="E4107">
            <v>875900</v>
          </cell>
        </row>
        <row r="4108">
          <cell r="C4108" t="str">
            <v xml:space="preserve">   CLOBETASOL+OFLOXACIN+ORNIDAZOLE+TERBINAFINE</v>
          </cell>
          <cell r="D4108">
            <v>625240</v>
          </cell>
          <cell r="E4108">
            <v>455316</v>
          </cell>
        </row>
        <row r="4109">
          <cell r="C4109" t="str">
            <v xml:space="preserve">    DERMOMIX           IAP</v>
          </cell>
          <cell r="D4109">
            <v>282231</v>
          </cell>
          <cell r="E4109">
            <v>236420</v>
          </cell>
        </row>
        <row r="4110">
          <cell r="C4110" t="str">
            <v xml:space="preserve">    COMBICID           SQA</v>
          </cell>
          <cell r="D4110">
            <v>170829</v>
          </cell>
          <cell r="E4110">
            <v>187656</v>
          </cell>
        </row>
        <row r="4111">
          <cell r="C4111" t="str">
            <v xml:space="preserve">    COMBO              ACM</v>
          </cell>
          <cell r="D4111">
            <v>61152</v>
          </cell>
          <cell r="E4111">
            <v>0</v>
          </cell>
        </row>
        <row r="4112">
          <cell r="C4112" t="str">
            <v xml:space="preserve">    DERMOQUAD          HT3</v>
          </cell>
          <cell r="D4112">
            <v>49650</v>
          </cell>
          <cell r="E4112">
            <v>0</v>
          </cell>
        </row>
        <row r="4113">
          <cell r="C4113" t="str">
            <v xml:space="preserve">    DERMACOM           IBN</v>
          </cell>
          <cell r="D4113">
            <v>41265</v>
          </cell>
          <cell r="E4113">
            <v>17445</v>
          </cell>
        </row>
        <row r="4114">
          <cell r="C4114" t="str">
            <v xml:space="preserve">    TETRAMIX           PPH</v>
          </cell>
          <cell r="D4114">
            <v>15750</v>
          </cell>
          <cell r="E4114">
            <v>0</v>
          </cell>
        </row>
        <row r="4115">
          <cell r="C4115" t="str">
            <v xml:space="preserve">    AXXO               GNR</v>
          </cell>
          <cell r="D4115">
            <v>4363</v>
          </cell>
          <cell r="E4115">
            <v>13795</v>
          </cell>
        </row>
        <row r="4116">
          <cell r="C4116" t="str">
            <v xml:space="preserve">   CLOBETASOL+NEOMYCIN+NYSTATIN</v>
          </cell>
          <cell r="D4116">
            <v>412309</v>
          </cell>
          <cell r="E4116">
            <v>323460</v>
          </cell>
        </row>
        <row r="4117">
          <cell r="C4117" t="str">
            <v xml:space="preserve">    DERMASOL-N         SQA</v>
          </cell>
          <cell r="D4117">
            <v>238948</v>
          </cell>
          <cell r="E4117">
            <v>182071</v>
          </cell>
        </row>
        <row r="4118">
          <cell r="C4118" t="str">
            <v xml:space="preserve">    EXOVATE-N          BXM</v>
          </cell>
          <cell r="D4118">
            <v>62898</v>
          </cell>
          <cell r="E4118">
            <v>51170</v>
          </cell>
        </row>
        <row r="4119">
          <cell r="C4119" t="str">
            <v xml:space="preserve">    ACLOBET-N          ACM</v>
          </cell>
          <cell r="D4119">
            <v>30566</v>
          </cell>
          <cell r="E4119">
            <v>21196</v>
          </cell>
        </row>
        <row r="4120">
          <cell r="C4120" t="str">
            <v xml:space="preserve">    CLOVATE-N          A-I</v>
          </cell>
          <cell r="D4120">
            <v>24358</v>
          </cell>
          <cell r="E4120">
            <v>20705</v>
          </cell>
        </row>
        <row r="4121">
          <cell r="C4121" t="str">
            <v xml:space="preserve">    DERMEX-NN          OPI</v>
          </cell>
          <cell r="D4121">
            <v>17405</v>
          </cell>
          <cell r="E4121">
            <v>10671</v>
          </cell>
        </row>
        <row r="4122">
          <cell r="C4122" t="str">
            <v xml:space="preserve">    NYCLOBATE NN       IAP</v>
          </cell>
          <cell r="D4122">
            <v>17289</v>
          </cell>
          <cell r="E4122">
            <v>14099</v>
          </cell>
        </row>
        <row r="4123">
          <cell r="C4123" t="str">
            <v xml:space="preserve">    XENODERM           UNH</v>
          </cell>
          <cell r="D4123">
            <v>15286</v>
          </cell>
          <cell r="E4123">
            <v>15671</v>
          </cell>
        </row>
        <row r="4124">
          <cell r="C4124" t="str">
            <v xml:space="preserve">    TOPICLO-NN         ESF</v>
          </cell>
          <cell r="D4124">
            <v>5112</v>
          </cell>
          <cell r="E4124">
            <v>4859</v>
          </cell>
        </row>
        <row r="4125">
          <cell r="C4125" t="str">
            <v xml:space="preserve">    STECLO-NN          N8V</v>
          </cell>
          <cell r="D4125">
            <v>230</v>
          </cell>
          <cell r="E4125">
            <v>146</v>
          </cell>
        </row>
        <row r="4126">
          <cell r="C4126" t="str">
            <v xml:space="preserve">    DERMASTIN          IBN</v>
          </cell>
          <cell r="D4126">
            <v>216</v>
          </cell>
          <cell r="E4126">
            <v>2781</v>
          </cell>
        </row>
        <row r="4127">
          <cell r="C4127" t="str">
            <v xml:space="preserve">    VESOL-N            NVO</v>
          </cell>
          <cell r="D4127">
            <v>0</v>
          </cell>
          <cell r="E4127">
            <v>0</v>
          </cell>
        </row>
        <row r="4128">
          <cell r="C4128" t="str">
            <v xml:space="preserve">    CLOBEON            J&amp;H</v>
          </cell>
          <cell r="D4128">
            <v>0</v>
          </cell>
          <cell r="E4128">
            <v>93</v>
          </cell>
        </row>
        <row r="4129">
          <cell r="C4129" t="str">
            <v xml:space="preserve">   BETAMETHASONE+CLOTRIMAZOLE+GENTAMICIN</v>
          </cell>
          <cell r="D4129">
            <v>158695</v>
          </cell>
          <cell r="E4129">
            <v>96366</v>
          </cell>
        </row>
        <row r="4130">
          <cell r="C4130" t="str">
            <v xml:space="preserve">    ARISTODERM         ATP</v>
          </cell>
          <cell r="D4130">
            <v>62517</v>
          </cell>
          <cell r="E4130">
            <v>44839</v>
          </cell>
        </row>
        <row r="4131">
          <cell r="C4131" t="str">
            <v xml:space="preserve">    BET-CG             ACM</v>
          </cell>
          <cell r="D4131">
            <v>53675</v>
          </cell>
          <cell r="E4131">
            <v>32107</v>
          </cell>
        </row>
        <row r="4132">
          <cell r="C4132" t="str">
            <v xml:space="preserve">    COMBIDERM          PPH</v>
          </cell>
          <cell r="D4132">
            <v>34231</v>
          </cell>
          <cell r="E4132">
            <v>14979</v>
          </cell>
        </row>
        <row r="4133">
          <cell r="C4133" t="str">
            <v xml:space="preserve">    TRIOSKIN           IAP</v>
          </cell>
          <cell r="D4133">
            <v>5349</v>
          </cell>
          <cell r="E4133">
            <v>1736</v>
          </cell>
        </row>
        <row r="4134">
          <cell r="C4134" t="str">
            <v xml:space="preserve">    BETSON-CG          OPI</v>
          </cell>
          <cell r="D4134">
            <v>2923</v>
          </cell>
          <cell r="E4134">
            <v>2704</v>
          </cell>
        </row>
        <row r="4135">
          <cell r="C4135" t="str">
            <v xml:space="preserve">   GRAMICIDIN+NEOMYCIN+NYSTATIN+TRIAMCINOLONE ACETONIDE</v>
          </cell>
          <cell r="D4135">
            <v>1258</v>
          </cell>
          <cell r="E4135">
            <v>759</v>
          </cell>
        </row>
        <row r="4136">
          <cell r="C4136" t="str">
            <v xml:space="preserve">    TETRACOMB          P-S</v>
          </cell>
          <cell r="D4136">
            <v>1258</v>
          </cell>
          <cell r="E4136">
            <v>755</v>
          </cell>
        </row>
        <row r="4137">
          <cell r="C4137" t="str">
            <v xml:space="preserve">    FUNGISTAT          D-I</v>
          </cell>
          <cell r="D4137">
            <v>0</v>
          </cell>
          <cell r="E4137">
            <v>4</v>
          </cell>
        </row>
        <row r="4138">
          <cell r="C4138" t="str">
            <v xml:space="preserve">    MONACOM            AIC</v>
          </cell>
          <cell r="D4138">
            <v>0</v>
          </cell>
          <cell r="E4138">
            <v>0</v>
          </cell>
        </row>
        <row r="4139">
          <cell r="C4139" t="str">
            <v xml:space="preserve">  WITH ANTIBACTERIALS</v>
          </cell>
          <cell r="D4139">
            <v>860044</v>
          </cell>
          <cell r="E4139">
            <v>666687</v>
          </cell>
        </row>
        <row r="4140">
          <cell r="C4140" t="str">
            <v xml:space="preserve">   FUSIDIC ACID+HYDROCORTISONE</v>
          </cell>
          <cell r="D4140">
            <v>256723</v>
          </cell>
          <cell r="E4140">
            <v>163866</v>
          </cell>
        </row>
        <row r="4141">
          <cell r="C4141" t="str">
            <v xml:space="preserve">    FACID-HC           ESF</v>
          </cell>
          <cell r="D4141">
            <v>133712</v>
          </cell>
          <cell r="E4141">
            <v>67136</v>
          </cell>
        </row>
        <row r="4142">
          <cell r="C4142" t="str">
            <v xml:space="preserve">    FUSITOP-HC         SQA</v>
          </cell>
          <cell r="D4142">
            <v>62744</v>
          </cell>
          <cell r="E4142">
            <v>56073</v>
          </cell>
        </row>
        <row r="4143">
          <cell r="C4143" t="str">
            <v xml:space="preserve">    FUSIBAC-H          D-I</v>
          </cell>
          <cell r="D4143">
            <v>29423</v>
          </cell>
          <cell r="E4143">
            <v>19233</v>
          </cell>
        </row>
        <row r="4144">
          <cell r="C4144" t="str">
            <v xml:space="preserve">    FUSIDATE-H         ATP</v>
          </cell>
          <cell r="D4144">
            <v>16241</v>
          </cell>
          <cell r="E4144">
            <v>12302</v>
          </cell>
        </row>
        <row r="4145">
          <cell r="C4145" t="str">
            <v xml:space="preserve">    FUSICORT           OPI</v>
          </cell>
          <cell r="D4145">
            <v>7778</v>
          </cell>
          <cell r="E4145">
            <v>5140</v>
          </cell>
        </row>
        <row r="4146">
          <cell r="C4146" t="str">
            <v xml:space="preserve">    FORTISON           IAP</v>
          </cell>
          <cell r="D4146">
            <v>5599</v>
          </cell>
          <cell r="E4146">
            <v>3393</v>
          </cell>
        </row>
        <row r="4147">
          <cell r="C4147" t="str">
            <v xml:space="preserve">    TOPIDERM           PPH</v>
          </cell>
          <cell r="D4147">
            <v>1212</v>
          </cell>
          <cell r="E4147">
            <v>556</v>
          </cell>
        </row>
        <row r="4148">
          <cell r="C4148" t="str">
            <v xml:space="preserve">    FUSIDIC PLUS       BXM</v>
          </cell>
          <cell r="D4148">
            <v>12</v>
          </cell>
          <cell r="E4148">
            <v>35</v>
          </cell>
        </row>
        <row r="4149">
          <cell r="C4149" t="str">
            <v xml:space="preserve">    FUCIDIN-H          LEO</v>
          </cell>
          <cell r="D4149">
            <v>0</v>
          </cell>
          <cell r="E4149">
            <v>0</v>
          </cell>
        </row>
        <row r="4150">
          <cell r="C4150" t="str">
            <v xml:space="preserve">    FUSIDERM           IAP</v>
          </cell>
          <cell r="D4150">
            <v>0</v>
          </cell>
          <cell r="E4150">
            <v>0</v>
          </cell>
        </row>
        <row r="4151">
          <cell r="C4151" t="str">
            <v xml:space="preserve">   BETAMETHASONE+FUSIDIC ACID</v>
          </cell>
          <cell r="D4151">
            <v>207567</v>
          </cell>
          <cell r="E4151">
            <v>125050</v>
          </cell>
        </row>
        <row r="4152">
          <cell r="C4152" t="str">
            <v xml:space="preserve">    FACID-BT           ESF</v>
          </cell>
          <cell r="D4152">
            <v>182233</v>
          </cell>
          <cell r="E4152">
            <v>104542</v>
          </cell>
        </row>
        <row r="4153">
          <cell r="C4153" t="str">
            <v xml:space="preserve">    XZEMA              OR/</v>
          </cell>
          <cell r="D4153">
            <v>13841</v>
          </cell>
          <cell r="E4153">
            <v>14024</v>
          </cell>
        </row>
        <row r="4154">
          <cell r="C4154" t="str">
            <v xml:space="preserve">    FUSICORT-MAX       OPI</v>
          </cell>
          <cell r="D4154">
            <v>8928</v>
          </cell>
          <cell r="E4154">
            <v>4655</v>
          </cell>
        </row>
        <row r="4155">
          <cell r="C4155" t="str">
            <v xml:space="preserve">    MEXIDERM F         BP&amp;</v>
          </cell>
          <cell r="D4155">
            <v>1555</v>
          </cell>
          <cell r="E4155">
            <v>1586</v>
          </cell>
        </row>
        <row r="4156">
          <cell r="C4156" t="str">
            <v xml:space="preserve">    FUSIGAL            SH0</v>
          </cell>
          <cell r="D4156">
            <v>1010</v>
          </cell>
          <cell r="E4156">
            <v>243</v>
          </cell>
        </row>
        <row r="4157">
          <cell r="C4157" t="str">
            <v xml:space="preserve">   CLOBETASOL+SALICYLIC ACID</v>
          </cell>
          <cell r="D4157">
            <v>147625</v>
          </cell>
          <cell r="E4157">
            <v>127859</v>
          </cell>
        </row>
        <row r="4158">
          <cell r="C4158" t="str">
            <v xml:space="preserve">    CLOSALIC           ZIS</v>
          </cell>
          <cell r="D4158">
            <v>60028</v>
          </cell>
          <cell r="E4158">
            <v>52034</v>
          </cell>
        </row>
        <row r="4159">
          <cell r="C4159" t="str">
            <v xml:space="preserve">    DERMASOL PLUS      SQA</v>
          </cell>
          <cell r="D4159">
            <v>37565</v>
          </cell>
          <cell r="E4159">
            <v>31141</v>
          </cell>
        </row>
        <row r="4160">
          <cell r="C4160" t="str">
            <v xml:space="preserve">    TOPICLO-S          ESF</v>
          </cell>
          <cell r="D4160">
            <v>36599</v>
          </cell>
          <cell r="E4160">
            <v>32677</v>
          </cell>
        </row>
        <row r="4161">
          <cell r="C4161" t="str">
            <v xml:space="preserve">    CLOBESOL SA        ATP</v>
          </cell>
          <cell r="D4161">
            <v>6994</v>
          </cell>
          <cell r="E4161">
            <v>6316</v>
          </cell>
        </row>
        <row r="4162">
          <cell r="C4162" t="str">
            <v xml:space="preserve">    DERMEX-S           OPI</v>
          </cell>
          <cell r="D4162">
            <v>5911</v>
          </cell>
          <cell r="E4162">
            <v>5189</v>
          </cell>
        </row>
        <row r="4163">
          <cell r="C4163" t="str">
            <v xml:space="preserve">    NYCLOBATE-S        IAP</v>
          </cell>
          <cell r="D4163">
            <v>528</v>
          </cell>
          <cell r="E4163">
            <v>502</v>
          </cell>
        </row>
        <row r="4164">
          <cell r="C4164" t="str">
            <v xml:space="preserve">   BETAMETHASONE+NEOMYCIN</v>
          </cell>
          <cell r="D4164">
            <v>139244</v>
          </cell>
          <cell r="E4164">
            <v>140781</v>
          </cell>
        </row>
        <row r="4165">
          <cell r="C4165" t="str">
            <v xml:space="preserve">    BETAMESON N        SQA</v>
          </cell>
          <cell r="D4165">
            <v>88626</v>
          </cell>
          <cell r="E4165">
            <v>106599</v>
          </cell>
        </row>
        <row r="4166">
          <cell r="C4166" t="str">
            <v xml:space="preserve">    NEOBET             ACM</v>
          </cell>
          <cell r="D4166">
            <v>24014</v>
          </cell>
          <cell r="E4166">
            <v>11119</v>
          </cell>
        </row>
        <row r="4167">
          <cell r="C4167" t="str">
            <v xml:space="preserve">    BETAVATE-N         D-I</v>
          </cell>
          <cell r="D4167">
            <v>9683</v>
          </cell>
          <cell r="E4167">
            <v>10754</v>
          </cell>
        </row>
        <row r="4168">
          <cell r="C4168" t="str">
            <v xml:space="preserve">    BETADERM-N         IAP</v>
          </cell>
          <cell r="D4168">
            <v>6001</v>
          </cell>
          <cell r="E4168">
            <v>3445</v>
          </cell>
        </row>
        <row r="4169">
          <cell r="C4169" t="str">
            <v xml:space="preserve">    BETSON-N           OPI</v>
          </cell>
          <cell r="D4169">
            <v>4476</v>
          </cell>
          <cell r="E4169">
            <v>3031</v>
          </cell>
        </row>
        <row r="4170">
          <cell r="C4170" t="str">
            <v xml:space="preserve">    BETAVAL-N          HT3</v>
          </cell>
          <cell r="D4170">
            <v>3488</v>
          </cell>
          <cell r="E4170">
            <v>3204</v>
          </cell>
        </row>
        <row r="4171">
          <cell r="C4171" t="str">
            <v xml:space="preserve">    BANTOVET-N         D-B</v>
          </cell>
          <cell r="D4171">
            <v>1577</v>
          </cell>
          <cell r="E4171">
            <v>1690</v>
          </cell>
        </row>
        <row r="4172">
          <cell r="C4172" t="str">
            <v xml:space="preserve">    BETNO-N            A-I</v>
          </cell>
          <cell r="D4172">
            <v>603</v>
          </cell>
          <cell r="E4172">
            <v>133</v>
          </cell>
        </row>
        <row r="4173">
          <cell r="C4173" t="str">
            <v xml:space="preserve">    BETNOVA-N          NJP</v>
          </cell>
          <cell r="D4173">
            <v>435</v>
          </cell>
          <cell r="E4173">
            <v>126</v>
          </cell>
        </row>
        <row r="4174">
          <cell r="C4174" t="str">
            <v xml:space="preserve">    NEOCORT            IBN</v>
          </cell>
          <cell r="D4174">
            <v>281</v>
          </cell>
          <cell r="E4174">
            <v>548</v>
          </cell>
        </row>
        <row r="4175">
          <cell r="C4175" t="str">
            <v xml:space="preserve">    METHOVATE N        GCO</v>
          </cell>
          <cell r="D4175">
            <v>26</v>
          </cell>
          <cell r="E4175">
            <v>87</v>
          </cell>
        </row>
        <row r="4176">
          <cell r="C4176" t="str">
            <v xml:space="preserve">    DERMABET-N         BXM</v>
          </cell>
          <cell r="D4176">
            <v>18</v>
          </cell>
          <cell r="E4176">
            <v>0</v>
          </cell>
        </row>
        <row r="4177">
          <cell r="C4177" t="str">
            <v xml:space="preserve">    BACTOVATE          J&amp;H</v>
          </cell>
          <cell r="D4177">
            <v>13</v>
          </cell>
          <cell r="E4177">
            <v>39</v>
          </cell>
        </row>
        <row r="4178">
          <cell r="C4178" t="str">
            <v xml:space="preserve">    MEXIDERM-N         BP&amp;</v>
          </cell>
          <cell r="D4178">
            <v>3</v>
          </cell>
          <cell r="E4178">
            <v>7</v>
          </cell>
        </row>
        <row r="4179">
          <cell r="C4179" t="str">
            <v xml:space="preserve">    BETNOVATE N        GSK</v>
          </cell>
          <cell r="D4179">
            <v>0</v>
          </cell>
          <cell r="E4179">
            <v>0</v>
          </cell>
        </row>
        <row r="4180">
          <cell r="C4180" t="str">
            <v xml:space="preserve">    BETASON N          RM2</v>
          </cell>
          <cell r="D4180">
            <v>0</v>
          </cell>
          <cell r="E4180">
            <v>0</v>
          </cell>
        </row>
        <row r="4181">
          <cell r="C4181" t="str">
            <v xml:space="preserve">   BETAMETHASONE+SALICYLIC ACID</v>
          </cell>
          <cell r="D4181">
            <v>100095</v>
          </cell>
          <cell r="E4181">
            <v>98635</v>
          </cell>
        </row>
        <row r="4182">
          <cell r="C4182" t="str">
            <v xml:space="preserve">    DIPROSAL           ATP</v>
          </cell>
          <cell r="D4182">
            <v>47973</v>
          </cell>
          <cell r="E4182">
            <v>48498</v>
          </cell>
        </row>
        <row r="4183">
          <cell r="C4183" t="str">
            <v xml:space="preserve">    PROSALIC           SQA</v>
          </cell>
          <cell r="D4183">
            <v>39178</v>
          </cell>
          <cell r="E4183">
            <v>37045</v>
          </cell>
        </row>
        <row r="4184">
          <cell r="C4184" t="str">
            <v xml:space="preserve">    BETAMESAL          IAP</v>
          </cell>
          <cell r="D4184">
            <v>12945</v>
          </cell>
          <cell r="E4184">
            <v>13010</v>
          </cell>
        </row>
        <row r="4185">
          <cell r="C4185" t="str">
            <v xml:space="preserve">    SALISON            GBE</v>
          </cell>
          <cell r="D4185">
            <v>0</v>
          </cell>
          <cell r="E4185">
            <v>82</v>
          </cell>
        </row>
        <row r="4186">
          <cell r="C4186" t="str">
            <v xml:space="preserve">   HYDROCORTISONE+NEOMYCIN</v>
          </cell>
          <cell r="D4186">
            <v>4543</v>
          </cell>
          <cell r="E4186">
            <v>6414</v>
          </cell>
        </row>
        <row r="4187">
          <cell r="C4187" t="str">
            <v xml:space="preserve">    NEOCORT            IBN</v>
          </cell>
          <cell r="D4187">
            <v>4543</v>
          </cell>
          <cell r="E4187">
            <v>6414</v>
          </cell>
        </row>
        <row r="4188">
          <cell r="C4188" t="str">
            <v xml:space="preserve">   FLUOCINOLONE ACETONIDE+NEOMYCIN</v>
          </cell>
          <cell r="D4188">
            <v>3175</v>
          </cell>
          <cell r="E4188">
            <v>3112</v>
          </cell>
        </row>
        <row r="4189">
          <cell r="C4189" t="str">
            <v xml:space="preserve">    SKINALAR-N         A-I</v>
          </cell>
          <cell r="D4189">
            <v>3175</v>
          </cell>
          <cell r="E4189">
            <v>3112</v>
          </cell>
        </row>
        <row r="4190">
          <cell r="C4190" t="str">
            <v xml:space="preserve">   CLIOQUINOL+FLUOCINOLONE ACETONIDE</v>
          </cell>
          <cell r="D4190">
            <v>866</v>
          </cell>
          <cell r="E4190">
            <v>829</v>
          </cell>
        </row>
        <row r="4191">
          <cell r="C4191" t="str">
            <v xml:space="preserve">    CLIOQUIN           ACM</v>
          </cell>
          <cell r="D4191">
            <v>866</v>
          </cell>
          <cell r="E4191">
            <v>829</v>
          </cell>
        </row>
        <row r="4192">
          <cell r="C4192" t="str">
            <v xml:space="preserve">   GENTAMICIN+HYDROCORTISONE</v>
          </cell>
          <cell r="D4192">
            <v>205</v>
          </cell>
          <cell r="E4192">
            <v>136</v>
          </cell>
        </row>
        <row r="4193">
          <cell r="C4193" t="str">
            <v xml:space="preserve">    GENTO-HC           GCO</v>
          </cell>
          <cell r="D4193">
            <v>205</v>
          </cell>
          <cell r="E4193">
            <v>136</v>
          </cell>
        </row>
        <row r="4194">
          <cell r="C4194" t="str">
            <v xml:space="preserve">   COMPOSITION UNKNOWN</v>
          </cell>
          <cell r="D4194">
            <v>0</v>
          </cell>
          <cell r="E4194">
            <v>4</v>
          </cell>
        </row>
        <row r="4195">
          <cell r="C4195" t="str">
            <v xml:space="preserve">    NEOCORTAL          EDR</v>
          </cell>
          <cell r="D4195">
            <v>0</v>
          </cell>
          <cell r="E4195">
            <v>4</v>
          </cell>
        </row>
        <row r="4196">
          <cell r="C4196" t="str">
            <v xml:space="preserve">   CINCHOCAINE+ESCULIN+FRAMYCETIN+HYDROCORTISONE</v>
          </cell>
          <cell r="D4196">
            <v>0</v>
          </cell>
          <cell r="E4196">
            <v>0</v>
          </cell>
        </row>
        <row r="4197">
          <cell r="C4197" t="str">
            <v xml:space="preserve">    RETOCAIN           D-I</v>
          </cell>
          <cell r="D4197">
            <v>0</v>
          </cell>
          <cell r="E4197">
            <v>0</v>
          </cell>
        </row>
        <row r="4198">
          <cell r="C4198" t="str">
            <v xml:space="preserve">  WITH ANTIFUNGALS</v>
          </cell>
          <cell r="D4198">
            <v>781779</v>
          </cell>
          <cell r="E4198">
            <v>783938</v>
          </cell>
        </row>
        <row r="4199">
          <cell r="C4199" t="str">
            <v xml:space="preserve">   ECONAZOLE+TRIAMCINOLONE ACETONIDE</v>
          </cell>
          <cell r="D4199">
            <v>499511</v>
          </cell>
          <cell r="E4199">
            <v>512919</v>
          </cell>
        </row>
        <row r="4200">
          <cell r="C4200" t="str">
            <v xml:space="preserve">    PEVISONE           S.Y</v>
          </cell>
          <cell r="D4200">
            <v>223369</v>
          </cell>
          <cell r="E4200">
            <v>238247</v>
          </cell>
        </row>
        <row r="4201">
          <cell r="C4201" t="str">
            <v xml:space="preserve">    PEVITIN            SQA</v>
          </cell>
          <cell r="D4201">
            <v>73452</v>
          </cell>
          <cell r="E4201">
            <v>79424</v>
          </cell>
        </row>
        <row r="4202">
          <cell r="C4202" t="str">
            <v xml:space="preserve">    ECONATE PLUS       IAP</v>
          </cell>
          <cell r="D4202">
            <v>72181</v>
          </cell>
          <cell r="E4202">
            <v>51760</v>
          </cell>
        </row>
        <row r="4203">
          <cell r="C4203" t="str">
            <v xml:space="preserve">    ETRIAM             ESF</v>
          </cell>
          <cell r="D4203">
            <v>29840</v>
          </cell>
          <cell r="E4203">
            <v>13114</v>
          </cell>
        </row>
        <row r="4204">
          <cell r="C4204" t="str">
            <v xml:space="preserve">    SPECTAZOLE-N       HT3</v>
          </cell>
          <cell r="D4204">
            <v>19130</v>
          </cell>
          <cell r="E4204">
            <v>19271</v>
          </cell>
        </row>
        <row r="4205">
          <cell r="C4205" t="str">
            <v xml:space="preserve">    AVISON             OR/</v>
          </cell>
          <cell r="D4205">
            <v>18161</v>
          </cell>
          <cell r="E4205">
            <v>15330</v>
          </cell>
        </row>
        <row r="4206">
          <cell r="C4206" t="str">
            <v xml:space="preserve">    DICOT              D-I</v>
          </cell>
          <cell r="D4206">
            <v>17167</v>
          </cell>
          <cell r="E4206">
            <v>16909</v>
          </cell>
        </row>
        <row r="4207">
          <cell r="C4207" t="str">
            <v xml:space="preserve">    TRICODERMA         GNR</v>
          </cell>
          <cell r="D4207">
            <v>13498</v>
          </cell>
          <cell r="E4207">
            <v>50629</v>
          </cell>
        </row>
        <row r="4208">
          <cell r="C4208" t="str">
            <v xml:space="preserve">    ARISTOCORT-PLUS    ATP</v>
          </cell>
          <cell r="D4208">
            <v>7847</v>
          </cell>
          <cell r="E4208">
            <v>5597</v>
          </cell>
        </row>
        <row r="4209">
          <cell r="C4209" t="str">
            <v xml:space="preserve">    RENASONE           RTA</v>
          </cell>
          <cell r="D4209">
            <v>6128</v>
          </cell>
          <cell r="E4209">
            <v>3051</v>
          </cell>
        </row>
        <row r="4210">
          <cell r="C4210" t="str">
            <v xml:space="preserve">    ECOZOL PLUS        OPI</v>
          </cell>
          <cell r="D4210">
            <v>4524</v>
          </cell>
          <cell r="E4210">
            <v>3703</v>
          </cell>
        </row>
        <row r="4211">
          <cell r="C4211" t="str">
            <v xml:space="preserve">    FUNGICORT          IBN</v>
          </cell>
          <cell r="D4211">
            <v>3674</v>
          </cell>
          <cell r="E4211">
            <v>2763</v>
          </cell>
        </row>
        <row r="4212">
          <cell r="C4212" t="str">
            <v xml:space="preserve">    EXINIL             ACM</v>
          </cell>
          <cell r="D4212">
            <v>2923</v>
          </cell>
          <cell r="E4212">
            <v>1993</v>
          </cell>
        </row>
        <row r="4213">
          <cell r="C4213" t="str">
            <v xml:space="preserve">    ECOTRIM            BXM</v>
          </cell>
          <cell r="D4213">
            <v>1841</v>
          </cell>
          <cell r="E4213">
            <v>2007</v>
          </cell>
        </row>
        <row r="4214">
          <cell r="C4214" t="str">
            <v xml:space="preserve">    ENAZOL PLUS        BP&amp;</v>
          </cell>
          <cell r="D4214">
            <v>948</v>
          </cell>
          <cell r="E4214">
            <v>1297</v>
          </cell>
        </row>
        <row r="4215">
          <cell r="C4215" t="str">
            <v xml:space="preserve">    ECOREN-T           A-I</v>
          </cell>
          <cell r="D4215">
            <v>878</v>
          </cell>
          <cell r="E4215">
            <v>741</v>
          </cell>
        </row>
        <row r="4216">
          <cell r="C4216" t="str">
            <v xml:space="preserve">    OMNIDERM           PPH</v>
          </cell>
          <cell r="D4216">
            <v>868</v>
          </cell>
          <cell r="E4216">
            <v>468</v>
          </cell>
        </row>
        <row r="4217">
          <cell r="C4217" t="str">
            <v xml:space="preserve">    PEVIDERM           P-S</v>
          </cell>
          <cell r="D4217">
            <v>748</v>
          </cell>
          <cell r="E4217">
            <v>620</v>
          </cell>
        </row>
        <row r="4218">
          <cell r="C4218" t="str">
            <v xml:space="preserve">    ECOPLUS            TMH</v>
          </cell>
          <cell r="D4218">
            <v>704</v>
          </cell>
          <cell r="E4218">
            <v>3161</v>
          </cell>
        </row>
        <row r="4219">
          <cell r="C4219" t="str">
            <v xml:space="preserve">    ECOSTAT            SH0</v>
          </cell>
          <cell r="D4219">
            <v>663</v>
          </cell>
          <cell r="E4219">
            <v>973</v>
          </cell>
        </row>
        <row r="4220">
          <cell r="C4220" t="str">
            <v xml:space="preserve">    STENIDE            N8V</v>
          </cell>
          <cell r="D4220">
            <v>482</v>
          </cell>
          <cell r="E4220">
            <v>1066</v>
          </cell>
        </row>
        <row r="4221">
          <cell r="C4221" t="str">
            <v xml:space="preserve">    CONAZOL-T          ETH</v>
          </cell>
          <cell r="D4221">
            <v>141</v>
          </cell>
          <cell r="E4221">
            <v>31</v>
          </cell>
        </row>
        <row r="4222">
          <cell r="C4222" t="str">
            <v xml:space="preserve">    PEVICORT           CSC</v>
          </cell>
          <cell r="D4222">
            <v>131</v>
          </cell>
          <cell r="E4222">
            <v>386</v>
          </cell>
        </row>
        <row r="4223">
          <cell r="C4223" t="str">
            <v xml:space="preserve">    PEVISIA            A/L</v>
          </cell>
          <cell r="D4223">
            <v>87</v>
          </cell>
          <cell r="E4223">
            <v>56</v>
          </cell>
        </row>
        <row r="4224">
          <cell r="C4224" t="str">
            <v xml:space="preserve">    FUNGISON           CHM</v>
          </cell>
          <cell r="D4224">
            <v>79</v>
          </cell>
          <cell r="E4224">
            <v>221</v>
          </cell>
        </row>
        <row r="4225">
          <cell r="C4225" t="str">
            <v xml:space="preserve">    ECODERM-TA         RPH</v>
          </cell>
          <cell r="D4225">
            <v>38</v>
          </cell>
          <cell r="E4225">
            <v>84</v>
          </cell>
        </row>
        <row r="4226">
          <cell r="C4226" t="str">
            <v xml:space="preserve">    TINACORT           KMP</v>
          </cell>
          <cell r="D4226">
            <v>11</v>
          </cell>
          <cell r="E4226">
            <v>12</v>
          </cell>
        </row>
        <row r="4227">
          <cell r="C4227" t="str">
            <v xml:space="preserve">    ECONIDE            OPI</v>
          </cell>
          <cell r="D4227">
            <v>0</v>
          </cell>
          <cell r="E4227">
            <v>3</v>
          </cell>
        </row>
        <row r="4228">
          <cell r="C4228" t="str">
            <v xml:space="preserve">    ELOCON             AIC</v>
          </cell>
          <cell r="D4228">
            <v>0</v>
          </cell>
          <cell r="E4228">
            <v>0</v>
          </cell>
        </row>
        <row r="4229">
          <cell r="C4229" t="str">
            <v xml:space="preserve">   HYDROCORTISONE+MICONAZOLE</v>
          </cell>
          <cell r="D4229">
            <v>152206</v>
          </cell>
          <cell r="E4229">
            <v>157307</v>
          </cell>
        </row>
        <row r="4230">
          <cell r="C4230" t="str">
            <v xml:space="preserve">    FUNGIDAL HC        SQA</v>
          </cell>
          <cell r="D4230">
            <v>130900</v>
          </cell>
          <cell r="E4230">
            <v>146234</v>
          </cell>
        </row>
        <row r="4231">
          <cell r="C4231" t="str">
            <v xml:space="preserve">    UNIGAL-HC          OPI</v>
          </cell>
          <cell r="D4231">
            <v>16105</v>
          </cell>
          <cell r="E4231">
            <v>6304</v>
          </cell>
        </row>
        <row r="4232">
          <cell r="C4232" t="str">
            <v xml:space="preserve">    MIKI-H             OR/</v>
          </cell>
          <cell r="D4232">
            <v>1717</v>
          </cell>
          <cell r="E4232">
            <v>1764</v>
          </cell>
        </row>
        <row r="4233">
          <cell r="C4233" t="str">
            <v xml:space="preserve">    TOPICAZOLE PLUS    IAP</v>
          </cell>
          <cell r="D4233">
            <v>1574</v>
          </cell>
          <cell r="E4233">
            <v>1764</v>
          </cell>
        </row>
        <row r="4234">
          <cell r="C4234" t="str">
            <v xml:space="preserve">    MICODERM HC        D-I</v>
          </cell>
          <cell r="D4234">
            <v>1289</v>
          </cell>
          <cell r="E4234">
            <v>705</v>
          </cell>
        </row>
        <row r="4235">
          <cell r="C4235" t="str">
            <v xml:space="preserve">    MYCO-HC            P-S</v>
          </cell>
          <cell r="D4235">
            <v>401</v>
          </cell>
          <cell r="E4235">
            <v>367</v>
          </cell>
        </row>
        <row r="4236">
          <cell r="C4236" t="str">
            <v xml:space="preserve">    MIC-HC             GBE</v>
          </cell>
          <cell r="D4236">
            <v>220</v>
          </cell>
          <cell r="E4236">
            <v>170</v>
          </cell>
        </row>
        <row r="4237">
          <cell r="C4237" t="str">
            <v xml:space="preserve">    GEMISON            GNR</v>
          </cell>
          <cell r="D4237">
            <v>0</v>
          </cell>
          <cell r="E4237">
            <v>0</v>
          </cell>
        </row>
        <row r="4238">
          <cell r="C4238" t="str">
            <v xml:space="preserve">    MICONIL            NIP</v>
          </cell>
          <cell r="D4238">
            <v>0</v>
          </cell>
          <cell r="E4238">
            <v>0</v>
          </cell>
        </row>
        <row r="4239">
          <cell r="C4239" t="str">
            <v xml:space="preserve">    MICOFUN-HC         N8V</v>
          </cell>
          <cell r="D4239">
            <v>0</v>
          </cell>
          <cell r="E4239">
            <v>0</v>
          </cell>
        </row>
        <row r="4240">
          <cell r="C4240" t="str">
            <v xml:space="preserve">   BETAMETHASONE+CLOTRIMAZOLE</v>
          </cell>
          <cell r="D4240">
            <v>116533</v>
          </cell>
          <cell r="E4240">
            <v>99121</v>
          </cell>
        </row>
        <row r="4241">
          <cell r="C4241" t="str">
            <v xml:space="preserve">    BET-CL             ACM</v>
          </cell>
          <cell r="D4241">
            <v>51532</v>
          </cell>
          <cell r="E4241">
            <v>37568</v>
          </cell>
        </row>
        <row r="4242">
          <cell r="C4242" t="str">
            <v xml:space="preserve">    BETAMESON-CL       SQA</v>
          </cell>
          <cell r="D4242">
            <v>40048</v>
          </cell>
          <cell r="E4242">
            <v>33649</v>
          </cell>
        </row>
        <row r="4243">
          <cell r="C4243" t="str">
            <v xml:space="preserve">    BETAVATE-CL        D-I</v>
          </cell>
          <cell r="D4243">
            <v>10948</v>
          </cell>
          <cell r="E4243">
            <v>11922</v>
          </cell>
        </row>
        <row r="4244">
          <cell r="C4244" t="str">
            <v xml:space="preserve">    FUNGIN-B           IBN</v>
          </cell>
          <cell r="D4244">
            <v>5354</v>
          </cell>
          <cell r="E4244">
            <v>7114</v>
          </cell>
        </row>
        <row r="4245">
          <cell r="C4245" t="str">
            <v xml:space="preserve">    BETSON-CL          OPI</v>
          </cell>
          <cell r="D4245">
            <v>2195</v>
          </cell>
          <cell r="E4245">
            <v>1693</v>
          </cell>
        </row>
        <row r="4246">
          <cell r="C4246" t="str">
            <v xml:space="preserve">    TOPIBET-CL         ESF</v>
          </cell>
          <cell r="D4246">
            <v>1894</v>
          </cell>
          <cell r="E4246">
            <v>1777</v>
          </cell>
        </row>
        <row r="4247">
          <cell r="C4247" t="str">
            <v xml:space="preserve">    BETNO-CL           A-I</v>
          </cell>
          <cell r="D4247">
            <v>1765</v>
          </cell>
          <cell r="E4247">
            <v>640</v>
          </cell>
        </row>
        <row r="4248">
          <cell r="C4248" t="str">
            <v xml:space="preserve">    ARISTOBET-CL       ATP</v>
          </cell>
          <cell r="D4248">
            <v>1243</v>
          </cell>
          <cell r="E4248">
            <v>1048</v>
          </cell>
        </row>
        <row r="4249">
          <cell r="C4249" t="str">
            <v xml:space="preserve">    BANTOVET-CL        D-B</v>
          </cell>
          <cell r="D4249">
            <v>949</v>
          </cell>
          <cell r="E4249">
            <v>2529</v>
          </cell>
        </row>
        <row r="4250">
          <cell r="C4250" t="str">
            <v xml:space="preserve">    BETAVATE           D-I</v>
          </cell>
          <cell r="D4250">
            <v>320</v>
          </cell>
          <cell r="E4250">
            <v>835</v>
          </cell>
        </row>
        <row r="4251">
          <cell r="C4251" t="str">
            <v xml:space="preserve">    CLOZOSONE          UNH</v>
          </cell>
          <cell r="D4251">
            <v>285</v>
          </cell>
          <cell r="E4251">
            <v>322</v>
          </cell>
        </row>
        <row r="4252">
          <cell r="C4252" t="str">
            <v xml:space="preserve">    BETNOVATE CL       GSK</v>
          </cell>
          <cell r="D4252">
            <v>0</v>
          </cell>
          <cell r="E4252">
            <v>22</v>
          </cell>
        </row>
        <row r="4253">
          <cell r="C4253" t="str">
            <v xml:space="preserve">    ONI                SQA</v>
          </cell>
          <cell r="D4253">
            <v>0</v>
          </cell>
          <cell r="E4253">
            <v>1</v>
          </cell>
        </row>
        <row r="4254">
          <cell r="C4254" t="str">
            <v xml:space="preserve">    STEBET-CL          N8V</v>
          </cell>
          <cell r="D4254">
            <v>0</v>
          </cell>
          <cell r="E4254">
            <v>0</v>
          </cell>
        </row>
        <row r="4255">
          <cell r="C4255" t="str">
            <v xml:space="preserve">   CLOTRIMAZOLE+HYDROCORTISONE</v>
          </cell>
          <cell r="D4255">
            <v>13098</v>
          </cell>
          <cell r="E4255">
            <v>14248</v>
          </cell>
        </row>
        <row r="4256">
          <cell r="C4256" t="str">
            <v xml:space="preserve">    NEOSTEN-HC         BXM</v>
          </cell>
          <cell r="D4256">
            <v>11415</v>
          </cell>
          <cell r="E4256">
            <v>11963</v>
          </cell>
        </row>
        <row r="4257">
          <cell r="C4257" t="str">
            <v xml:space="preserve">    H-TRIMAZOLE        OPI</v>
          </cell>
          <cell r="D4257">
            <v>913</v>
          </cell>
          <cell r="E4257">
            <v>1770</v>
          </cell>
        </row>
        <row r="4258">
          <cell r="C4258" t="str">
            <v xml:space="preserve">    CLOTISON           BP&amp;</v>
          </cell>
          <cell r="D4258">
            <v>767</v>
          </cell>
          <cell r="E4258">
            <v>515</v>
          </cell>
        </row>
        <row r="4259">
          <cell r="C4259" t="str">
            <v xml:space="preserve">    CLORI-HC           AMT</v>
          </cell>
          <cell r="D4259">
            <v>3</v>
          </cell>
          <cell r="E4259">
            <v>0</v>
          </cell>
        </row>
        <row r="4260">
          <cell r="C4260" t="str">
            <v xml:space="preserve">   BETAMETHASONE+NEOMYCIN</v>
          </cell>
          <cell r="D4260">
            <v>431</v>
          </cell>
          <cell r="E4260">
            <v>343</v>
          </cell>
        </row>
        <row r="4261">
          <cell r="C4261" t="str">
            <v xml:space="preserve">    ARISTOBET-N        ATP</v>
          </cell>
          <cell r="D4261">
            <v>431</v>
          </cell>
          <cell r="E4261">
            <v>343</v>
          </cell>
        </row>
        <row r="4262">
          <cell r="C4262" t="str">
            <v xml:space="preserve">  OTH CORTICOSTEROID COMB</v>
          </cell>
          <cell r="D4262">
            <v>106325</v>
          </cell>
          <cell r="E4262">
            <v>107479</v>
          </cell>
        </row>
        <row r="4263">
          <cell r="C4263" t="str">
            <v xml:space="preserve">   FLUOCINOLONE ACETONIDE+HYDROQUINONE+TRETINOIN</v>
          </cell>
          <cell r="D4263">
            <v>106325</v>
          </cell>
          <cell r="E4263">
            <v>107479</v>
          </cell>
        </row>
        <row r="4264">
          <cell r="C4264" t="str">
            <v xml:space="preserve">    MELATRIN           ZIS</v>
          </cell>
          <cell r="D4264">
            <v>63495</v>
          </cell>
          <cell r="E4264">
            <v>69253</v>
          </cell>
        </row>
        <row r="4265">
          <cell r="C4265" t="str">
            <v xml:space="preserve">    MELANO             SQA</v>
          </cell>
          <cell r="D4265">
            <v>15602</v>
          </cell>
          <cell r="E4265">
            <v>13945</v>
          </cell>
        </row>
        <row r="4266">
          <cell r="C4266" t="str">
            <v xml:space="preserve">    NOSPOT             ESF</v>
          </cell>
          <cell r="D4266">
            <v>10473</v>
          </cell>
          <cell r="E4266">
            <v>7936</v>
          </cell>
        </row>
        <row r="4267">
          <cell r="C4267" t="str">
            <v xml:space="preserve">    TRIMELA            IAP</v>
          </cell>
          <cell r="D4267">
            <v>9983</v>
          </cell>
          <cell r="E4267">
            <v>8370</v>
          </cell>
        </row>
        <row r="4268">
          <cell r="C4268" t="str">
            <v xml:space="preserve">    TRIQUIN            UNH</v>
          </cell>
          <cell r="D4268">
            <v>4618</v>
          </cell>
          <cell r="E4268">
            <v>4144</v>
          </cell>
        </row>
        <row r="4269">
          <cell r="C4269" t="str">
            <v xml:space="preserve">    MELASIN            P-S</v>
          </cell>
          <cell r="D4269">
            <v>1663</v>
          </cell>
          <cell r="E4269">
            <v>3363</v>
          </cell>
        </row>
        <row r="4270">
          <cell r="C4270" t="str">
            <v xml:space="preserve">    MELACARE           CHM</v>
          </cell>
          <cell r="D4270">
            <v>491</v>
          </cell>
          <cell r="E4270">
            <v>259</v>
          </cell>
        </row>
        <row r="4271">
          <cell r="C4271" t="str">
            <v xml:space="preserve">    AMELA              IBN</v>
          </cell>
          <cell r="D4271">
            <v>0</v>
          </cell>
          <cell r="E4271">
            <v>209</v>
          </cell>
        </row>
        <row r="4272">
          <cell r="C4272" t="str">
            <v xml:space="preserve">    TRICLEAN           ATP</v>
          </cell>
          <cell r="D4272">
            <v>0</v>
          </cell>
          <cell r="E4272">
            <v>0</v>
          </cell>
        </row>
        <row r="4273">
          <cell r="C4273" t="str">
            <v xml:space="preserve">   BETAMETHASONE+LIDOCAINE+PHENYLEPHRINE</v>
          </cell>
          <cell r="D4273">
            <v>0</v>
          </cell>
          <cell r="E4273">
            <v>0</v>
          </cell>
        </row>
        <row r="4274">
          <cell r="C4274" t="str">
            <v xml:space="preserve">    METHOVATE          GCO</v>
          </cell>
          <cell r="D4274">
            <v>0</v>
          </cell>
          <cell r="E4274">
            <v>0</v>
          </cell>
        </row>
        <row r="4275">
          <cell r="C4275" t="str">
            <v xml:space="preserve"> MED+NARROW SPECTRUM PENIC</v>
          </cell>
          <cell r="D4275">
            <v>2920853</v>
          </cell>
          <cell r="E4275">
            <v>2424065</v>
          </cell>
        </row>
        <row r="4276">
          <cell r="C4276" t="str">
            <v xml:space="preserve">  MED/NARROW SPECT PEN PLAI</v>
          </cell>
          <cell r="D4276">
            <v>2920853</v>
          </cell>
          <cell r="E4276">
            <v>2424065</v>
          </cell>
        </row>
        <row r="4277">
          <cell r="C4277" t="str">
            <v xml:space="preserve">   FLUCLOXACILLIN</v>
          </cell>
          <cell r="D4277">
            <v>2436751</v>
          </cell>
          <cell r="E4277">
            <v>2088060</v>
          </cell>
        </row>
        <row r="4278">
          <cell r="C4278" t="str">
            <v xml:space="preserve">    FLUCLOX            A-I</v>
          </cell>
          <cell r="D4278">
            <v>743268</v>
          </cell>
          <cell r="E4278">
            <v>613007</v>
          </cell>
        </row>
        <row r="4279">
          <cell r="C4279" t="str">
            <v xml:space="preserve">    PHYLOPEN           SQA</v>
          </cell>
          <cell r="D4279">
            <v>413624</v>
          </cell>
          <cell r="E4279">
            <v>302307</v>
          </cell>
        </row>
        <row r="4280">
          <cell r="C4280" t="str">
            <v xml:space="preserve">    FLUCLOXIN          ESF</v>
          </cell>
          <cell r="D4280">
            <v>355598</v>
          </cell>
          <cell r="E4280">
            <v>263894</v>
          </cell>
        </row>
        <row r="4281">
          <cell r="C4281" t="str">
            <v xml:space="preserve">    FLUX               OPI</v>
          </cell>
          <cell r="D4281">
            <v>275321</v>
          </cell>
          <cell r="E4281">
            <v>262929</v>
          </cell>
        </row>
        <row r="4282">
          <cell r="C4282" t="str">
            <v xml:space="preserve">    FLUSTAR            RTA</v>
          </cell>
          <cell r="D4282">
            <v>249738</v>
          </cell>
          <cell r="E4282">
            <v>236633</v>
          </cell>
        </row>
        <row r="4283">
          <cell r="C4283" t="str">
            <v xml:space="preserve">    A-FLOX             ACM</v>
          </cell>
          <cell r="D4283">
            <v>134196</v>
          </cell>
          <cell r="E4283">
            <v>129041</v>
          </cell>
        </row>
        <row r="4284">
          <cell r="C4284" t="str">
            <v xml:space="preserve">    FLUPEN             D-I</v>
          </cell>
          <cell r="D4284">
            <v>99164</v>
          </cell>
          <cell r="E4284">
            <v>92793</v>
          </cell>
        </row>
        <row r="4285">
          <cell r="C4285" t="str">
            <v xml:space="preserve">    FLUBEX             BXM</v>
          </cell>
          <cell r="D4285">
            <v>64511</v>
          </cell>
          <cell r="E4285">
            <v>76751</v>
          </cell>
        </row>
        <row r="4286">
          <cell r="C4286" t="str">
            <v xml:space="preserve">    FLUXICAP           ZIS</v>
          </cell>
          <cell r="D4286">
            <v>31973</v>
          </cell>
          <cell r="E4286">
            <v>26445</v>
          </cell>
        </row>
        <row r="4287">
          <cell r="C4287" t="str">
            <v xml:space="preserve">    FLUBAC             PPH</v>
          </cell>
          <cell r="D4287">
            <v>24837</v>
          </cell>
          <cell r="E4287">
            <v>24502</v>
          </cell>
        </row>
        <row r="4288">
          <cell r="C4288" t="str">
            <v xml:space="preserve">    SKILOX             HT3</v>
          </cell>
          <cell r="D4288">
            <v>16891</v>
          </cell>
          <cell r="E4288">
            <v>25920</v>
          </cell>
        </row>
        <row r="4289">
          <cell r="C4289" t="str">
            <v xml:space="preserve">    STAFOXIN           ATP</v>
          </cell>
          <cell r="D4289">
            <v>6981</v>
          </cell>
          <cell r="E4289">
            <v>5021</v>
          </cell>
        </row>
        <row r="4290">
          <cell r="C4290" t="str">
            <v xml:space="preserve">    FLOXABAC           OS9</v>
          </cell>
          <cell r="D4290">
            <v>6657</v>
          </cell>
          <cell r="E4290">
            <v>0</v>
          </cell>
        </row>
        <row r="4291">
          <cell r="C4291" t="str">
            <v xml:space="preserve">    INCLOX             IAP</v>
          </cell>
          <cell r="D4291">
            <v>3555</v>
          </cell>
          <cell r="E4291">
            <v>18707</v>
          </cell>
        </row>
        <row r="4292">
          <cell r="C4292" t="str">
            <v xml:space="preserve">    FLUSTAPH           OR/</v>
          </cell>
          <cell r="D4292">
            <v>2938</v>
          </cell>
          <cell r="E4292">
            <v>2400</v>
          </cell>
        </row>
        <row r="4293">
          <cell r="C4293" t="str">
            <v xml:space="preserve">    REVISTAR           BP&amp;</v>
          </cell>
          <cell r="D4293">
            <v>1865</v>
          </cell>
          <cell r="E4293">
            <v>2277</v>
          </cell>
        </row>
        <row r="4294">
          <cell r="C4294" t="str">
            <v xml:space="preserve">    FLUKIN             P-S</v>
          </cell>
          <cell r="D4294">
            <v>1475</v>
          </cell>
          <cell r="E4294">
            <v>1896</v>
          </cell>
        </row>
        <row r="4295">
          <cell r="C4295" t="str">
            <v xml:space="preserve">    MUREIN             ONA</v>
          </cell>
          <cell r="D4295">
            <v>1129</v>
          </cell>
          <cell r="E4295">
            <v>556</v>
          </cell>
        </row>
        <row r="4296">
          <cell r="C4296" t="str">
            <v xml:space="preserve">    HALOPEN            NJP</v>
          </cell>
          <cell r="D4296">
            <v>996</v>
          </cell>
          <cell r="E4296">
            <v>915</v>
          </cell>
        </row>
        <row r="4297">
          <cell r="C4297" t="str">
            <v xml:space="preserve">    FLUXI              ZIS</v>
          </cell>
          <cell r="D4297">
            <v>625</v>
          </cell>
          <cell r="E4297">
            <v>286</v>
          </cell>
        </row>
        <row r="4298">
          <cell r="C4298" t="str">
            <v xml:space="preserve">    SINAFLOX           IBN</v>
          </cell>
          <cell r="D4298">
            <v>608</v>
          </cell>
          <cell r="E4298">
            <v>99</v>
          </cell>
        </row>
        <row r="4299">
          <cell r="C4299" t="str">
            <v xml:space="preserve">    LUF                APX</v>
          </cell>
          <cell r="D4299">
            <v>401</v>
          </cell>
          <cell r="E4299">
            <v>522</v>
          </cell>
        </row>
        <row r="4300">
          <cell r="C4300" t="str">
            <v xml:space="preserve">    FLUNID             ETH</v>
          </cell>
          <cell r="D4300">
            <v>256</v>
          </cell>
          <cell r="E4300">
            <v>321</v>
          </cell>
        </row>
        <row r="4301">
          <cell r="C4301" t="str">
            <v xml:space="preserve">    FLUCLOXI           DSH</v>
          </cell>
          <cell r="D4301">
            <v>63</v>
          </cell>
          <cell r="E4301">
            <v>28</v>
          </cell>
        </row>
        <row r="4302">
          <cell r="C4302" t="str">
            <v xml:space="preserve">    ADFLOX             TMH</v>
          </cell>
          <cell r="D4302">
            <v>55</v>
          </cell>
          <cell r="E4302">
            <v>94</v>
          </cell>
        </row>
        <row r="4303">
          <cell r="C4303" t="str">
            <v xml:space="preserve">    ISOCLOX            GBE</v>
          </cell>
          <cell r="D4303">
            <v>13</v>
          </cell>
          <cell r="E4303">
            <v>504</v>
          </cell>
        </row>
        <row r="4304">
          <cell r="C4304" t="str">
            <v xml:space="preserve">    FLOX               HMK</v>
          </cell>
          <cell r="D4304">
            <v>12</v>
          </cell>
          <cell r="E4304">
            <v>0</v>
          </cell>
        </row>
        <row r="4305">
          <cell r="C4305" t="str">
            <v xml:space="preserve">    FLOXIRAK           J&amp;H</v>
          </cell>
          <cell r="D4305">
            <v>0</v>
          </cell>
          <cell r="E4305">
            <v>0</v>
          </cell>
        </row>
        <row r="4306">
          <cell r="C4306" t="str">
            <v xml:space="preserve">    ACTINASE           M4N</v>
          </cell>
          <cell r="D4306">
            <v>0</v>
          </cell>
          <cell r="E4306">
            <v>0</v>
          </cell>
        </row>
        <row r="4307">
          <cell r="C4307" t="str">
            <v xml:space="preserve">    ANCOC              S4L</v>
          </cell>
          <cell r="D4307">
            <v>0</v>
          </cell>
          <cell r="E4307">
            <v>0</v>
          </cell>
        </row>
        <row r="4308">
          <cell r="C4308" t="str">
            <v xml:space="preserve">    AUXIL              DOC</v>
          </cell>
          <cell r="D4308">
            <v>0</v>
          </cell>
          <cell r="E4308">
            <v>0</v>
          </cell>
        </row>
        <row r="4309">
          <cell r="C4309" t="str">
            <v xml:space="preserve">    BELOX              BNP</v>
          </cell>
          <cell r="D4309">
            <v>0</v>
          </cell>
          <cell r="E4309">
            <v>0</v>
          </cell>
        </row>
        <row r="4310">
          <cell r="C4310" t="str">
            <v xml:space="preserve">    CLOX-F             A/L</v>
          </cell>
          <cell r="D4310">
            <v>0</v>
          </cell>
          <cell r="E4310">
            <v>0</v>
          </cell>
        </row>
        <row r="4311">
          <cell r="C4311" t="str">
            <v xml:space="preserve">    E-FLU              EDR</v>
          </cell>
          <cell r="D4311">
            <v>0</v>
          </cell>
          <cell r="E4311">
            <v>0</v>
          </cell>
        </row>
        <row r="4312">
          <cell r="C4312" t="str">
            <v xml:space="preserve">    FCX                GCO</v>
          </cell>
          <cell r="D4312">
            <v>0</v>
          </cell>
          <cell r="E4312">
            <v>0</v>
          </cell>
        </row>
        <row r="4313">
          <cell r="C4313" t="str">
            <v xml:space="preserve">    FLAC               BRI</v>
          </cell>
          <cell r="D4313">
            <v>0</v>
          </cell>
          <cell r="E4313">
            <v>0</v>
          </cell>
        </row>
        <row r="4314">
          <cell r="C4314" t="str">
            <v xml:space="preserve">    FLU-K              KMP</v>
          </cell>
          <cell r="D4314">
            <v>0</v>
          </cell>
          <cell r="E4314">
            <v>0</v>
          </cell>
        </row>
        <row r="4315">
          <cell r="C4315" t="str">
            <v xml:space="preserve">    FLORA              MY6</v>
          </cell>
          <cell r="D4315">
            <v>0</v>
          </cell>
          <cell r="E4315">
            <v>0</v>
          </cell>
        </row>
        <row r="4316">
          <cell r="C4316" t="str">
            <v xml:space="preserve">    FLOXAPEN           GNR</v>
          </cell>
          <cell r="D4316">
            <v>0</v>
          </cell>
          <cell r="E4316">
            <v>0</v>
          </cell>
        </row>
        <row r="4317">
          <cell r="C4317" t="str">
            <v xml:space="preserve">    FLUC               P6Y</v>
          </cell>
          <cell r="D4317">
            <v>0</v>
          </cell>
          <cell r="E4317">
            <v>0</v>
          </cell>
        </row>
        <row r="4318">
          <cell r="C4318" t="str">
            <v xml:space="preserve">    FLUCOPEN           S&amp;O</v>
          </cell>
          <cell r="D4318">
            <v>0</v>
          </cell>
          <cell r="E4318">
            <v>0</v>
          </cell>
        </row>
        <row r="4319">
          <cell r="C4319" t="str">
            <v xml:space="preserve">    FLUBIOTIC          N8V</v>
          </cell>
          <cell r="D4319">
            <v>0</v>
          </cell>
          <cell r="E4319">
            <v>198</v>
          </cell>
        </row>
        <row r="4320">
          <cell r="C4320" t="str">
            <v xml:space="preserve">    FLUCAP             KMP</v>
          </cell>
          <cell r="D4320">
            <v>0</v>
          </cell>
          <cell r="E4320">
            <v>0</v>
          </cell>
        </row>
        <row r="4321">
          <cell r="C4321" t="str">
            <v xml:space="preserve">    FLUMAX             SL6</v>
          </cell>
          <cell r="D4321">
            <v>0</v>
          </cell>
          <cell r="E4321">
            <v>0</v>
          </cell>
        </row>
        <row r="4322">
          <cell r="C4322" t="str">
            <v xml:space="preserve">    FLUMED             MED</v>
          </cell>
          <cell r="D4322">
            <v>0</v>
          </cell>
          <cell r="E4322">
            <v>0</v>
          </cell>
        </row>
        <row r="4323">
          <cell r="C4323" t="str">
            <v xml:space="preserve">    FLUMARK            A7X</v>
          </cell>
          <cell r="D4323">
            <v>0</v>
          </cell>
          <cell r="E4323">
            <v>0</v>
          </cell>
        </row>
        <row r="4324">
          <cell r="C4324" t="str">
            <v xml:space="preserve">    FLUXIN             AMB</v>
          </cell>
          <cell r="D4324">
            <v>0</v>
          </cell>
          <cell r="E4324">
            <v>0</v>
          </cell>
        </row>
        <row r="4325">
          <cell r="C4325" t="str">
            <v xml:space="preserve">    FLUXON             S.Y</v>
          </cell>
          <cell r="D4325">
            <v>0</v>
          </cell>
          <cell r="E4325">
            <v>0</v>
          </cell>
        </row>
        <row r="4326">
          <cell r="C4326" t="str">
            <v xml:space="preserve">    FLUXALIN           UCL</v>
          </cell>
          <cell r="D4326">
            <v>0</v>
          </cell>
          <cell r="E4326">
            <v>0</v>
          </cell>
        </row>
        <row r="4327">
          <cell r="C4327" t="str">
            <v xml:space="preserve">    FUCIL              NIP</v>
          </cell>
          <cell r="D4327">
            <v>0</v>
          </cell>
          <cell r="E4327">
            <v>0</v>
          </cell>
        </row>
        <row r="4328">
          <cell r="C4328" t="str">
            <v xml:space="preserve">    PERPEN             R7G</v>
          </cell>
          <cell r="D4328">
            <v>0</v>
          </cell>
          <cell r="E4328">
            <v>0</v>
          </cell>
        </row>
        <row r="4329">
          <cell r="C4329" t="str">
            <v xml:space="preserve">    SILOX              SV6</v>
          </cell>
          <cell r="D4329">
            <v>0</v>
          </cell>
          <cell r="E4329">
            <v>0</v>
          </cell>
        </row>
        <row r="4330">
          <cell r="C4330" t="str">
            <v xml:space="preserve">    SKYFLOX            SKL</v>
          </cell>
          <cell r="D4330">
            <v>0</v>
          </cell>
          <cell r="E4330">
            <v>12</v>
          </cell>
        </row>
        <row r="4331">
          <cell r="C4331" t="str">
            <v xml:space="preserve">    SURGEFLOX          CSC</v>
          </cell>
          <cell r="D4331">
            <v>0</v>
          </cell>
          <cell r="E4331">
            <v>0</v>
          </cell>
        </row>
        <row r="4332">
          <cell r="C4332" t="str">
            <v xml:space="preserve">    DOLOPEN            T2D</v>
          </cell>
          <cell r="D4332">
            <v>0</v>
          </cell>
          <cell r="E4332">
            <v>0</v>
          </cell>
        </row>
        <row r="4333">
          <cell r="C4333" t="str">
            <v xml:space="preserve">    DORIBAC            CC/</v>
          </cell>
          <cell r="D4333">
            <v>0</v>
          </cell>
          <cell r="E4333">
            <v>0</v>
          </cell>
        </row>
        <row r="4334">
          <cell r="C4334" t="str">
            <v xml:space="preserve">    FLUCOCIN           EMA</v>
          </cell>
          <cell r="D4334">
            <v>0</v>
          </cell>
          <cell r="E4334">
            <v>0</v>
          </cell>
        </row>
        <row r="4335">
          <cell r="C4335" t="str">
            <v xml:space="preserve">    FLUC               A-H</v>
          </cell>
          <cell r="D4335">
            <v>0</v>
          </cell>
          <cell r="E4335">
            <v>0</v>
          </cell>
        </row>
        <row r="4336">
          <cell r="C4336" t="str">
            <v xml:space="preserve">   PENICILLIN V</v>
          </cell>
          <cell r="D4336">
            <v>467132</v>
          </cell>
          <cell r="E4336">
            <v>309679</v>
          </cell>
        </row>
        <row r="4337">
          <cell r="C4337" t="str">
            <v xml:space="preserve">    PENVIK             SQA</v>
          </cell>
          <cell r="D4337">
            <v>351201</v>
          </cell>
          <cell r="E4337">
            <v>225298</v>
          </cell>
        </row>
        <row r="4338">
          <cell r="C4338" t="str">
            <v xml:space="preserve">    ORACYN K           S.Y</v>
          </cell>
          <cell r="D4338">
            <v>72261</v>
          </cell>
          <cell r="E4338">
            <v>48922</v>
          </cell>
        </row>
        <row r="4339">
          <cell r="C4339" t="str">
            <v xml:space="preserve">    OPEN               OPI</v>
          </cell>
          <cell r="D4339">
            <v>43104</v>
          </cell>
          <cell r="E4339">
            <v>34767</v>
          </cell>
        </row>
        <row r="4340">
          <cell r="C4340" t="str">
            <v xml:space="preserve">    BIOPEN VK          BP&amp;</v>
          </cell>
          <cell r="D4340">
            <v>566</v>
          </cell>
          <cell r="E4340">
            <v>692</v>
          </cell>
        </row>
        <row r="4341">
          <cell r="C4341" t="str">
            <v xml:space="preserve">    PHENOCILLIN VK     BT.</v>
          </cell>
          <cell r="D4341">
            <v>0</v>
          </cell>
          <cell r="E4341">
            <v>0</v>
          </cell>
        </row>
        <row r="4342">
          <cell r="C4342" t="str">
            <v xml:space="preserve">   CLOXACILLIN</v>
          </cell>
          <cell r="D4342">
            <v>11386</v>
          </cell>
          <cell r="E4342">
            <v>10452</v>
          </cell>
        </row>
        <row r="4343">
          <cell r="C4343" t="str">
            <v xml:space="preserve">    A-CLOX             ACM</v>
          </cell>
          <cell r="D4343">
            <v>10104</v>
          </cell>
          <cell r="E4343">
            <v>7663</v>
          </cell>
        </row>
        <row r="4344">
          <cell r="C4344" t="str">
            <v xml:space="preserve">    CLOXIN             OPI</v>
          </cell>
          <cell r="D4344">
            <v>1204</v>
          </cell>
          <cell r="E4344">
            <v>2590</v>
          </cell>
        </row>
        <row r="4345">
          <cell r="C4345" t="str">
            <v xml:space="preserve">    SINACLOX           IBN</v>
          </cell>
          <cell r="D4345">
            <v>44</v>
          </cell>
          <cell r="E4345">
            <v>92</v>
          </cell>
        </row>
        <row r="4346">
          <cell r="C4346" t="str">
            <v xml:space="preserve">    REMACLOX           RM2</v>
          </cell>
          <cell r="D4346">
            <v>20</v>
          </cell>
          <cell r="E4346">
            <v>0</v>
          </cell>
        </row>
        <row r="4347">
          <cell r="C4347" t="str">
            <v xml:space="preserve">    BETACLOX           ESF</v>
          </cell>
          <cell r="D4347">
            <v>13</v>
          </cell>
          <cell r="E4347">
            <v>20</v>
          </cell>
        </row>
        <row r="4348">
          <cell r="C4348" t="str">
            <v xml:space="preserve">    TYCLOX             P6Y</v>
          </cell>
          <cell r="D4348">
            <v>3</v>
          </cell>
          <cell r="E4348">
            <v>3</v>
          </cell>
        </row>
        <row r="4349">
          <cell r="C4349" t="str">
            <v xml:space="preserve">    ARISTOCLOX         ATP</v>
          </cell>
          <cell r="D4349">
            <v>0</v>
          </cell>
          <cell r="E4349">
            <v>36</v>
          </cell>
        </row>
        <row r="4350">
          <cell r="C4350" t="str">
            <v xml:space="preserve">    BICLOX             BIK</v>
          </cell>
          <cell r="D4350">
            <v>0</v>
          </cell>
          <cell r="E4350">
            <v>0</v>
          </cell>
        </row>
        <row r="4351">
          <cell r="C4351" t="str">
            <v xml:space="preserve">    CLOBEX             BXM</v>
          </cell>
          <cell r="D4351">
            <v>0</v>
          </cell>
          <cell r="E4351">
            <v>0</v>
          </cell>
        </row>
        <row r="4352">
          <cell r="C4352" t="str">
            <v xml:space="preserve">    CLOXA              COS</v>
          </cell>
          <cell r="D4352">
            <v>0</v>
          </cell>
          <cell r="E4352">
            <v>0</v>
          </cell>
        </row>
        <row r="4353">
          <cell r="C4353" t="str">
            <v xml:space="preserve">    ECLOX              IAP</v>
          </cell>
          <cell r="D4353">
            <v>0</v>
          </cell>
          <cell r="E4353">
            <v>0</v>
          </cell>
        </row>
        <row r="4354">
          <cell r="C4354" t="str">
            <v xml:space="preserve">    FICLOX             S.Y</v>
          </cell>
          <cell r="D4354">
            <v>0</v>
          </cell>
          <cell r="E4354">
            <v>0</v>
          </cell>
        </row>
        <row r="4355">
          <cell r="C4355" t="str">
            <v xml:space="preserve">    NEUCLOX            JNS</v>
          </cell>
          <cell r="D4355">
            <v>0</v>
          </cell>
          <cell r="E4355">
            <v>48</v>
          </cell>
        </row>
        <row r="4356">
          <cell r="C4356" t="str">
            <v xml:space="preserve">    T CLOX             THT</v>
          </cell>
          <cell r="D4356">
            <v>0</v>
          </cell>
          <cell r="E4356">
            <v>0</v>
          </cell>
        </row>
        <row r="4357">
          <cell r="C4357" t="str">
            <v xml:space="preserve">   PENICILLIN G</v>
          </cell>
          <cell r="D4357">
            <v>4856</v>
          </cell>
          <cell r="E4357">
            <v>2848</v>
          </cell>
        </row>
        <row r="4358">
          <cell r="C4358" t="str">
            <v xml:space="preserve">    BENZAPEN           SQA</v>
          </cell>
          <cell r="D4358">
            <v>3693</v>
          </cell>
          <cell r="E4358">
            <v>2320</v>
          </cell>
        </row>
        <row r="4359">
          <cell r="C4359" t="str">
            <v xml:space="preserve">    COMBIPEN           ACM</v>
          </cell>
          <cell r="D4359">
            <v>1071</v>
          </cell>
          <cell r="E4359">
            <v>344</v>
          </cell>
        </row>
        <row r="4360">
          <cell r="C4360" t="str">
            <v xml:space="preserve">    BIOPEN VK          BP&amp;</v>
          </cell>
          <cell r="D4360">
            <v>92</v>
          </cell>
          <cell r="E4360">
            <v>95</v>
          </cell>
        </row>
        <row r="4361">
          <cell r="C4361" t="str">
            <v xml:space="preserve">    BENZAPEN           RTX</v>
          </cell>
          <cell r="D4361">
            <v>0</v>
          </cell>
          <cell r="E4361">
            <v>0</v>
          </cell>
        </row>
        <row r="4362">
          <cell r="C4362" t="str">
            <v xml:space="preserve">    BPEN               OPI</v>
          </cell>
          <cell r="D4362">
            <v>0</v>
          </cell>
          <cell r="E4362">
            <v>5</v>
          </cell>
        </row>
        <row r="4363">
          <cell r="C4363" t="str">
            <v xml:space="preserve">    CRYSTAPEN          GSK</v>
          </cell>
          <cell r="D4363">
            <v>0</v>
          </cell>
          <cell r="E4363">
            <v>0</v>
          </cell>
        </row>
        <row r="4364">
          <cell r="C4364" t="str">
            <v xml:space="preserve">    PRONAPEN           RTA</v>
          </cell>
          <cell r="D4364">
            <v>0</v>
          </cell>
          <cell r="E4364">
            <v>84</v>
          </cell>
        </row>
        <row r="4365">
          <cell r="C4365" t="str">
            <v xml:space="preserve">   PIVMECILLINAM</v>
          </cell>
          <cell r="D4365">
            <v>729</v>
          </cell>
          <cell r="E4365">
            <v>13025</v>
          </cell>
        </row>
        <row r="4366">
          <cell r="C4366" t="str">
            <v xml:space="preserve">    EMCIL              SQA</v>
          </cell>
          <cell r="D4366">
            <v>729</v>
          </cell>
          <cell r="E4366">
            <v>13025</v>
          </cell>
        </row>
        <row r="4367">
          <cell r="C4367" t="str">
            <v xml:space="preserve">   COMPOSITION UNKNOWN</v>
          </cell>
          <cell r="D4367">
            <v>0</v>
          </cell>
          <cell r="E4367">
            <v>2</v>
          </cell>
        </row>
        <row r="4368">
          <cell r="C4368" t="str">
            <v xml:space="preserve">    OPSOCILLIN         OPI</v>
          </cell>
          <cell r="D4368">
            <v>0</v>
          </cell>
          <cell r="E4368">
            <v>2</v>
          </cell>
        </row>
        <row r="4369">
          <cell r="C4369" t="str">
            <v xml:space="preserve">   PENICILLIN G+PROCAINE</v>
          </cell>
          <cell r="D4369">
            <v>0</v>
          </cell>
          <cell r="E4369">
            <v>0</v>
          </cell>
        </row>
        <row r="4370">
          <cell r="C4370" t="str">
            <v xml:space="preserve">    PROPEN             OPI</v>
          </cell>
          <cell r="D4370">
            <v>0</v>
          </cell>
          <cell r="E4370">
            <v>0</v>
          </cell>
        </row>
        <row r="4371">
          <cell r="C4371" t="str">
            <v xml:space="preserve"> BIGUANIDE ANTIDIABETICS</v>
          </cell>
          <cell r="D4371">
            <v>2903727</v>
          </cell>
          <cell r="E4371">
            <v>2396700</v>
          </cell>
        </row>
        <row r="4372">
          <cell r="C4372" t="str">
            <v xml:space="preserve">  BIGUANIDE A-DIABS PLAIN</v>
          </cell>
          <cell r="D4372">
            <v>2471984</v>
          </cell>
          <cell r="E4372">
            <v>2083144</v>
          </cell>
        </row>
        <row r="4373">
          <cell r="C4373" t="str">
            <v xml:space="preserve">   METFORMIN</v>
          </cell>
          <cell r="D4373">
            <v>2471984</v>
          </cell>
          <cell r="E4373">
            <v>2083144</v>
          </cell>
        </row>
        <row r="4374">
          <cell r="C4374" t="str">
            <v xml:space="preserve">    COMET              SQA</v>
          </cell>
          <cell r="D4374">
            <v>1423918</v>
          </cell>
          <cell r="E4374">
            <v>1148313</v>
          </cell>
        </row>
        <row r="4375">
          <cell r="C4375" t="str">
            <v xml:space="preserve">    NOBESIT            IAP</v>
          </cell>
          <cell r="D4375">
            <v>187556</v>
          </cell>
          <cell r="E4375">
            <v>152021</v>
          </cell>
        </row>
        <row r="4376">
          <cell r="C4376" t="str">
            <v xml:space="preserve">    INFORMET           BXM</v>
          </cell>
          <cell r="D4376">
            <v>132131</v>
          </cell>
          <cell r="E4376">
            <v>122790</v>
          </cell>
        </row>
        <row r="4377">
          <cell r="C4377" t="str">
            <v xml:space="preserve">    GLUCOMET           ATP</v>
          </cell>
          <cell r="D4377">
            <v>121750</v>
          </cell>
          <cell r="E4377">
            <v>88242</v>
          </cell>
        </row>
        <row r="4378">
          <cell r="C4378" t="str">
            <v xml:space="preserve">    ORAMET             D-I</v>
          </cell>
          <cell r="D4378">
            <v>105281</v>
          </cell>
          <cell r="E4378">
            <v>95888</v>
          </cell>
        </row>
        <row r="4379">
          <cell r="C4379" t="str">
            <v xml:space="preserve">    BIGMET             RTA</v>
          </cell>
          <cell r="D4379">
            <v>88824</v>
          </cell>
          <cell r="E4379">
            <v>69827</v>
          </cell>
        </row>
        <row r="4380">
          <cell r="C4380" t="str">
            <v xml:space="preserve">    MET                OPI</v>
          </cell>
          <cell r="D4380">
            <v>70601</v>
          </cell>
          <cell r="E4380">
            <v>56072</v>
          </cell>
        </row>
        <row r="4381">
          <cell r="C4381" t="str">
            <v xml:space="preserve">    RADIMET            RD7</v>
          </cell>
          <cell r="D4381">
            <v>61878</v>
          </cell>
          <cell r="E4381">
            <v>49931</v>
          </cell>
        </row>
        <row r="4382">
          <cell r="C4382" t="str">
            <v xml:space="preserve">    DAOMIN             ACM</v>
          </cell>
          <cell r="D4382">
            <v>46805</v>
          </cell>
          <cell r="E4382">
            <v>43869</v>
          </cell>
        </row>
        <row r="4383">
          <cell r="C4383" t="str">
            <v xml:space="preserve">    XELMET             BAC</v>
          </cell>
          <cell r="D4383">
            <v>42249</v>
          </cell>
          <cell r="E4383">
            <v>45460</v>
          </cell>
        </row>
        <row r="4384">
          <cell r="C4384" t="str">
            <v xml:space="preserve">    GLYMIN             HT3</v>
          </cell>
          <cell r="D4384">
            <v>39906</v>
          </cell>
          <cell r="E4384">
            <v>35287</v>
          </cell>
        </row>
        <row r="4385">
          <cell r="C4385" t="str">
            <v xml:space="preserve">    METFO              PAC</v>
          </cell>
          <cell r="D4385">
            <v>38326</v>
          </cell>
          <cell r="E4385">
            <v>52345</v>
          </cell>
        </row>
        <row r="4386">
          <cell r="C4386" t="str">
            <v xml:space="preserve">    MEGLU              UNH</v>
          </cell>
          <cell r="D4386">
            <v>20985</v>
          </cell>
          <cell r="E4386">
            <v>15494</v>
          </cell>
        </row>
        <row r="4387">
          <cell r="C4387" t="str">
            <v xml:space="preserve">    METARIN            PPH</v>
          </cell>
          <cell r="D4387">
            <v>17309</v>
          </cell>
          <cell r="E4387">
            <v>15042</v>
          </cell>
        </row>
        <row r="4388">
          <cell r="C4388" t="str">
            <v xml:space="preserve">    METFORM            A-I</v>
          </cell>
          <cell r="D4388">
            <v>16725</v>
          </cell>
          <cell r="E4388">
            <v>15283</v>
          </cell>
        </row>
        <row r="4389">
          <cell r="C4389" t="str">
            <v xml:space="preserve">    GLUNOR             ESF</v>
          </cell>
          <cell r="D4389">
            <v>13283</v>
          </cell>
          <cell r="E4389">
            <v>14701</v>
          </cell>
        </row>
        <row r="4390">
          <cell r="C4390" t="str">
            <v xml:space="preserve">    GLUCOMIN           NJP</v>
          </cell>
          <cell r="D4390">
            <v>10129</v>
          </cell>
          <cell r="E4390">
            <v>10216</v>
          </cell>
        </row>
        <row r="4391">
          <cell r="C4391" t="str">
            <v xml:space="preserve">    FORMET             BP&amp;</v>
          </cell>
          <cell r="D4391">
            <v>8521</v>
          </cell>
          <cell r="E4391">
            <v>9734</v>
          </cell>
        </row>
        <row r="4392">
          <cell r="C4392" t="str">
            <v xml:space="preserve">    EXFORMIN           SPI</v>
          </cell>
          <cell r="D4392">
            <v>7867</v>
          </cell>
          <cell r="E4392">
            <v>9456</v>
          </cell>
        </row>
        <row r="4393">
          <cell r="C4393" t="str">
            <v xml:space="preserve">    METSA              S.Y</v>
          </cell>
          <cell r="D4393">
            <v>5123</v>
          </cell>
          <cell r="E4393">
            <v>7928</v>
          </cell>
        </row>
        <row r="4394">
          <cell r="C4394" t="str">
            <v xml:space="preserve">    SUGAMET            GNR</v>
          </cell>
          <cell r="D4394">
            <v>2481</v>
          </cell>
          <cell r="E4394">
            <v>11163</v>
          </cell>
        </row>
        <row r="4395">
          <cell r="C4395" t="str">
            <v xml:space="preserve">    ORMIN              OR/</v>
          </cell>
          <cell r="D4395">
            <v>2247</v>
          </cell>
          <cell r="E4395">
            <v>3898</v>
          </cell>
        </row>
        <row r="4396">
          <cell r="C4396" t="str">
            <v xml:space="preserve">    NVMET              N8V</v>
          </cell>
          <cell r="D4396">
            <v>2124</v>
          </cell>
          <cell r="E4396">
            <v>3242</v>
          </cell>
        </row>
        <row r="4397">
          <cell r="C4397" t="str">
            <v xml:space="preserve">    INSIMET            IBN</v>
          </cell>
          <cell r="D4397">
            <v>1929</v>
          </cell>
          <cell r="E4397">
            <v>2238</v>
          </cell>
        </row>
        <row r="4398">
          <cell r="C4398" t="str">
            <v xml:space="preserve">    GLUCOMIN-XR        NJP</v>
          </cell>
          <cell r="D4398">
            <v>1440</v>
          </cell>
          <cell r="E4398">
            <v>0</v>
          </cell>
        </row>
        <row r="4399">
          <cell r="C4399" t="str">
            <v xml:space="preserve">    GLUNOR-OD          ESF</v>
          </cell>
          <cell r="D4399">
            <v>1058</v>
          </cell>
          <cell r="E4399">
            <v>1078</v>
          </cell>
        </row>
        <row r="4400">
          <cell r="C4400" t="str">
            <v xml:space="preserve">    DIABLO             D-B</v>
          </cell>
          <cell r="D4400">
            <v>518</v>
          </cell>
          <cell r="E4400">
            <v>1053</v>
          </cell>
        </row>
        <row r="4401">
          <cell r="C4401" t="str">
            <v xml:space="preserve">    METFAR             WTH</v>
          </cell>
          <cell r="D4401">
            <v>347</v>
          </cell>
          <cell r="E4401">
            <v>1033</v>
          </cell>
        </row>
        <row r="4402">
          <cell r="C4402" t="str">
            <v xml:space="preserve">    METFORAL           ZIS</v>
          </cell>
          <cell r="D4402">
            <v>240</v>
          </cell>
          <cell r="E4402">
            <v>854</v>
          </cell>
        </row>
        <row r="4403">
          <cell r="C4403" t="str">
            <v xml:space="preserve">    GOODMET            GD2</v>
          </cell>
          <cell r="D4403">
            <v>150</v>
          </cell>
          <cell r="E4403">
            <v>150</v>
          </cell>
        </row>
        <row r="4404">
          <cell r="C4404" t="str">
            <v xml:space="preserve">    M-MIN              SH0</v>
          </cell>
          <cell r="D4404">
            <v>67</v>
          </cell>
          <cell r="E4404">
            <v>24</v>
          </cell>
        </row>
        <row r="4405">
          <cell r="C4405" t="str">
            <v xml:space="preserve">    SUCOMET            GBE</v>
          </cell>
          <cell r="D4405">
            <v>60</v>
          </cell>
          <cell r="E4405">
            <v>70</v>
          </cell>
        </row>
        <row r="4406">
          <cell r="C4406" t="str">
            <v xml:space="preserve">    DIAFREE            MY6</v>
          </cell>
          <cell r="D4406">
            <v>50</v>
          </cell>
          <cell r="E4406">
            <v>0</v>
          </cell>
        </row>
        <row r="4407">
          <cell r="C4407" t="str">
            <v xml:space="preserve">    MEFORMIN           NVK</v>
          </cell>
          <cell r="D4407">
            <v>33</v>
          </cell>
          <cell r="E4407">
            <v>0</v>
          </cell>
        </row>
        <row r="4408">
          <cell r="C4408" t="str">
            <v xml:space="preserve">    MEFIN              UCL</v>
          </cell>
          <cell r="D4408">
            <v>26</v>
          </cell>
          <cell r="E4408">
            <v>13</v>
          </cell>
        </row>
        <row r="4409">
          <cell r="C4409" t="str">
            <v xml:space="preserve">    MEFOREX            JAY</v>
          </cell>
          <cell r="D4409">
            <v>25</v>
          </cell>
          <cell r="E4409">
            <v>0</v>
          </cell>
        </row>
        <row r="4410">
          <cell r="C4410" t="str">
            <v xml:space="preserve">    OBID               D&amp;B</v>
          </cell>
          <cell r="D4410">
            <v>14</v>
          </cell>
          <cell r="E4410">
            <v>13</v>
          </cell>
        </row>
        <row r="4411">
          <cell r="C4411" t="str">
            <v xml:space="preserve">    METFAR             U7P</v>
          </cell>
          <cell r="D4411">
            <v>10</v>
          </cell>
          <cell r="E4411">
            <v>63</v>
          </cell>
        </row>
        <row r="4412">
          <cell r="C4412" t="str">
            <v xml:space="preserve">    DIAMET             JNS</v>
          </cell>
          <cell r="D4412">
            <v>0</v>
          </cell>
          <cell r="E4412">
            <v>0</v>
          </cell>
        </row>
        <row r="4413">
          <cell r="C4413" t="str">
            <v xml:space="preserve">    ETFORM             SDZ</v>
          </cell>
          <cell r="D4413">
            <v>0</v>
          </cell>
          <cell r="E4413">
            <v>0</v>
          </cell>
        </row>
        <row r="4414">
          <cell r="C4414" t="str">
            <v xml:space="preserve">    GLUPHAGE-XR        SV6</v>
          </cell>
          <cell r="D4414">
            <v>0</v>
          </cell>
          <cell r="E4414">
            <v>0</v>
          </cell>
        </row>
        <row r="4415">
          <cell r="C4415" t="str">
            <v xml:space="preserve">    KEMIN              KMP</v>
          </cell>
          <cell r="D4415">
            <v>0</v>
          </cell>
          <cell r="E4415">
            <v>0</v>
          </cell>
        </row>
        <row r="4416">
          <cell r="C4416" t="str">
            <v xml:space="preserve">    METFEN             DOC</v>
          </cell>
          <cell r="D4416">
            <v>0</v>
          </cell>
          <cell r="E4416">
            <v>0</v>
          </cell>
        </row>
        <row r="4417">
          <cell r="C4417" t="str">
            <v xml:space="preserve">    METMIN             A.P</v>
          </cell>
          <cell r="D4417">
            <v>0</v>
          </cell>
          <cell r="E4417">
            <v>28</v>
          </cell>
        </row>
        <row r="4418">
          <cell r="C4418" t="str">
            <v xml:space="preserve">    METLIFE            SV6</v>
          </cell>
          <cell r="D4418">
            <v>0</v>
          </cell>
          <cell r="E4418">
            <v>62</v>
          </cell>
        </row>
        <row r="4419">
          <cell r="C4419" t="str">
            <v xml:space="preserve">    METOMIN            S&amp;O</v>
          </cell>
          <cell r="D4419">
            <v>0</v>
          </cell>
          <cell r="E4419">
            <v>0</v>
          </cell>
        </row>
        <row r="4420">
          <cell r="C4420" t="str">
            <v xml:space="preserve">    ONMET              LOP</v>
          </cell>
          <cell r="D4420">
            <v>0</v>
          </cell>
          <cell r="E4420">
            <v>0</v>
          </cell>
        </row>
        <row r="4421">
          <cell r="C4421" t="str">
            <v xml:space="preserve">    POLIMET            CC/</v>
          </cell>
          <cell r="D4421">
            <v>0</v>
          </cell>
          <cell r="E4421">
            <v>48</v>
          </cell>
        </row>
        <row r="4422">
          <cell r="C4422" t="str">
            <v xml:space="preserve">    SB MET             SBD</v>
          </cell>
          <cell r="D4422">
            <v>0</v>
          </cell>
          <cell r="E4422">
            <v>0</v>
          </cell>
        </row>
        <row r="4423">
          <cell r="C4423" t="str">
            <v xml:space="preserve">    OBEMET             EMA</v>
          </cell>
          <cell r="D4423">
            <v>0</v>
          </cell>
          <cell r="E4423">
            <v>0</v>
          </cell>
        </row>
        <row r="4424">
          <cell r="C4424" t="str">
            <v xml:space="preserve">    METFOMIN           A-H</v>
          </cell>
          <cell r="D4424">
            <v>0</v>
          </cell>
          <cell r="E4424">
            <v>0</v>
          </cell>
        </row>
        <row r="4425">
          <cell r="C4425" t="str">
            <v xml:space="preserve">    DIAFIT             TMH</v>
          </cell>
          <cell r="D4425">
            <v>0</v>
          </cell>
          <cell r="E4425">
            <v>217</v>
          </cell>
        </row>
        <row r="4426">
          <cell r="C4426" t="str">
            <v xml:space="preserve">  BIGUANIDE &amp; S-UREA COMBS</v>
          </cell>
          <cell r="D4426">
            <v>431743</v>
          </cell>
          <cell r="E4426">
            <v>313555</v>
          </cell>
        </row>
        <row r="4427">
          <cell r="C4427" t="str">
            <v xml:space="preserve">   GLIMEPIRIDE+METFORMIN</v>
          </cell>
          <cell r="D4427">
            <v>431622</v>
          </cell>
          <cell r="E4427">
            <v>313233</v>
          </cell>
        </row>
        <row r="4428">
          <cell r="C4428" t="str">
            <v xml:space="preserve">    AMARYL M           S.Y</v>
          </cell>
          <cell r="D4428">
            <v>131953</v>
          </cell>
          <cell r="E4428">
            <v>110483</v>
          </cell>
        </row>
        <row r="4429">
          <cell r="C4429" t="str">
            <v xml:space="preserve">    SECRIN-M           SQA</v>
          </cell>
          <cell r="D4429">
            <v>121256</v>
          </cell>
          <cell r="E4429">
            <v>50549</v>
          </cell>
        </row>
        <row r="4430">
          <cell r="C4430" t="str">
            <v xml:space="preserve">    GEMER              SPI</v>
          </cell>
          <cell r="D4430">
            <v>62029</v>
          </cell>
          <cell r="E4430">
            <v>80013</v>
          </cell>
        </row>
        <row r="4431">
          <cell r="C4431" t="str">
            <v xml:space="preserve">    LOSUCON M          IAP</v>
          </cell>
          <cell r="D4431">
            <v>49391</v>
          </cell>
          <cell r="E4431">
            <v>35952</v>
          </cell>
        </row>
        <row r="4432">
          <cell r="C4432" t="str">
            <v xml:space="preserve">    LIMPET-M           D-I</v>
          </cell>
          <cell r="D4432">
            <v>42510</v>
          </cell>
          <cell r="E4432">
            <v>22808</v>
          </cell>
        </row>
        <row r="4433">
          <cell r="C4433" t="str">
            <v xml:space="preserve">    LIMARYL M          PPH</v>
          </cell>
          <cell r="D4433">
            <v>17573</v>
          </cell>
          <cell r="E4433">
            <v>8620</v>
          </cell>
        </row>
        <row r="4434">
          <cell r="C4434" t="str">
            <v xml:space="preserve">    GLIMS-M            OPI</v>
          </cell>
          <cell r="D4434">
            <v>4531</v>
          </cell>
          <cell r="E4434">
            <v>1400</v>
          </cell>
        </row>
        <row r="4435">
          <cell r="C4435" t="str">
            <v xml:space="preserve">    DIETA M            PAC</v>
          </cell>
          <cell r="D4435">
            <v>2379</v>
          </cell>
          <cell r="E4435">
            <v>3408</v>
          </cell>
        </row>
        <row r="4436">
          <cell r="C4436" t="str">
            <v xml:space="preserve">    GLIMITUS-M         ZIS</v>
          </cell>
          <cell r="D4436">
            <v>0</v>
          </cell>
          <cell r="E4436">
            <v>0</v>
          </cell>
        </row>
        <row r="4437">
          <cell r="C4437" t="str">
            <v xml:space="preserve">   GLIPIZIDE+METFORMIN</v>
          </cell>
          <cell r="D4437">
            <v>121</v>
          </cell>
          <cell r="E4437">
            <v>323</v>
          </cell>
        </row>
        <row r="4438">
          <cell r="C4438" t="str">
            <v xml:space="preserve">    METGLIP            PAC</v>
          </cell>
          <cell r="D4438">
            <v>74</v>
          </cell>
          <cell r="E4438">
            <v>302</v>
          </cell>
        </row>
        <row r="4439">
          <cell r="C4439" t="str">
            <v xml:space="preserve">    COMBIMET           BXM</v>
          </cell>
          <cell r="D4439">
            <v>30</v>
          </cell>
          <cell r="E4439">
            <v>0</v>
          </cell>
        </row>
        <row r="4440">
          <cell r="C4440" t="str">
            <v xml:space="preserve">    METAZID            PPH</v>
          </cell>
          <cell r="D4440">
            <v>17</v>
          </cell>
          <cell r="E4440">
            <v>21</v>
          </cell>
        </row>
        <row r="4441">
          <cell r="C4441" t="str">
            <v xml:space="preserve"> ANTIFUNGALS DERMATOLOGICL</v>
          </cell>
          <cell r="D4441">
            <v>2676485</v>
          </cell>
          <cell r="E4441">
            <v>2038064</v>
          </cell>
        </row>
        <row r="4442">
          <cell r="C4442" t="str">
            <v xml:space="preserve">  TOPICAL DERMAT ANTIFUNGAL</v>
          </cell>
          <cell r="D4442">
            <v>1991865</v>
          </cell>
          <cell r="E4442">
            <v>1491014</v>
          </cell>
        </row>
        <row r="4443">
          <cell r="C4443" t="str">
            <v xml:space="preserve">   LULICONAZOLE</v>
          </cell>
          <cell r="D4443">
            <v>995778</v>
          </cell>
          <cell r="E4443">
            <v>648707</v>
          </cell>
        </row>
        <row r="4444">
          <cell r="C4444" t="str">
            <v xml:space="preserve">    LULIZOL            ESF</v>
          </cell>
          <cell r="D4444">
            <v>468271</v>
          </cell>
          <cell r="E4444">
            <v>304855</v>
          </cell>
        </row>
        <row r="4445">
          <cell r="C4445" t="str">
            <v xml:space="preserve">    LULIDER            N8V</v>
          </cell>
          <cell r="D4445">
            <v>87518</v>
          </cell>
          <cell r="E4445">
            <v>74757</v>
          </cell>
        </row>
        <row r="4446">
          <cell r="C4446" t="str">
            <v xml:space="preserve">    LUCAZOL            IAP</v>
          </cell>
          <cell r="D4446">
            <v>72900</v>
          </cell>
          <cell r="E4446">
            <v>49164</v>
          </cell>
        </row>
        <row r="4447">
          <cell r="C4447" t="str">
            <v xml:space="preserve">    LULITOP            SQA</v>
          </cell>
          <cell r="D4447">
            <v>67969</v>
          </cell>
          <cell r="E4447">
            <v>83261</v>
          </cell>
        </row>
        <row r="4448">
          <cell r="C4448" t="str">
            <v xml:space="preserve">    NULIZA             NUV</v>
          </cell>
          <cell r="D4448">
            <v>57644</v>
          </cell>
          <cell r="E4448">
            <v>34912</v>
          </cell>
        </row>
        <row r="4449">
          <cell r="C4449" t="str">
            <v xml:space="preserve">    LULEXA             BXM</v>
          </cell>
          <cell r="D4449">
            <v>51274</v>
          </cell>
          <cell r="E4449">
            <v>46021</v>
          </cell>
        </row>
        <row r="4450">
          <cell r="C4450" t="str">
            <v xml:space="preserve">    LULINOX            OPI</v>
          </cell>
          <cell r="D4450">
            <v>41731</v>
          </cell>
          <cell r="E4450">
            <v>11493</v>
          </cell>
        </row>
        <row r="4451">
          <cell r="C4451" t="str">
            <v xml:space="preserve">    LULIKILL           ACM</v>
          </cell>
          <cell r="D4451">
            <v>32525</v>
          </cell>
          <cell r="E4451">
            <v>2277</v>
          </cell>
        </row>
        <row r="4452">
          <cell r="C4452" t="str">
            <v xml:space="preserve">    TINACURE           HT3</v>
          </cell>
          <cell r="D4452">
            <v>25546</v>
          </cell>
          <cell r="E4452">
            <v>10746</v>
          </cell>
        </row>
        <row r="4453">
          <cell r="C4453" t="str">
            <v xml:space="preserve">    LULIREN            RTA</v>
          </cell>
          <cell r="D4453">
            <v>22261</v>
          </cell>
          <cell r="E4453">
            <v>2598</v>
          </cell>
        </row>
        <row r="4454">
          <cell r="C4454" t="str">
            <v xml:space="preserve">    LUNADERM           PPH</v>
          </cell>
          <cell r="D4454">
            <v>17729</v>
          </cell>
          <cell r="E4454">
            <v>4825</v>
          </cell>
        </row>
        <row r="4455">
          <cell r="C4455" t="str">
            <v xml:space="preserve">    LULIMA             BAC</v>
          </cell>
          <cell r="D4455">
            <v>13085</v>
          </cell>
          <cell r="E4455">
            <v>1454</v>
          </cell>
        </row>
        <row r="4456">
          <cell r="C4456" t="str">
            <v xml:space="preserve">    LUIZ               ATP</v>
          </cell>
          <cell r="D4456">
            <v>9587</v>
          </cell>
          <cell r="E4456">
            <v>0</v>
          </cell>
        </row>
        <row r="4457">
          <cell r="C4457" t="str">
            <v xml:space="preserve">    LUZOL              S.Y</v>
          </cell>
          <cell r="D4457">
            <v>8925</v>
          </cell>
          <cell r="E4457">
            <v>6309</v>
          </cell>
        </row>
        <row r="4458">
          <cell r="C4458" t="str">
            <v xml:space="preserve">    LULICON            GNR</v>
          </cell>
          <cell r="D4458">
            <v>8143</v>
          </cell>
          <cell r="E4458">
            <v>14715</v>
          </cell>
        </row>
        <row r="4459">
          <cell r="C4459" t="str">
            <v xml:space="preserve">    LULY               IBN</v>
          </cell>
          <cell r="D4459">
            <v>7962</v>
          </cell>
          <cell r="E4459">
            <v>1314</v>
          </cell>
        </row>
        <row r="4460">
          <cell r="C4460" t="str">
            <v xml:space="preserve">    LULICURE           UNH</v>
          </cell>
          <cell r="D4460">
            <v>1712</v>
          </cell>
          <cell r="E4460">
            <v>0</v>
          </cell>
        </row>
        <row r="4461">
          <cell r="C4461" t="str">
            <v xml:space="preserve">    LUZOCA             D-I</v>
          </cell>
          <cell r="D4461">
            <v>997</v>
          </cell>
          <cell r="E4461">
            <v>7</v>
          </cell>
        </row>
        <row r="4462">
          <cell r="C4462" t="str">
            <v xml:space="preserve">   TERBINAFINE</v>
          </cell>
          <cell r="D4462">
            <v>280809</v>
          </cell>
          <cell r="E4462">
            <v>267005</v>
          </cell>
        </row>
        <row r="4463">
          <cell r="C4463" t="str">
            <v xml:space="preserve">    TELFIN             UNH</v>
          </cell>
          <cell r="D4463">
            <v>63808</v>
          </cell>
          <cell r="E4463">
            <v>63639</v>
          </cell>
        </row>
        <row r="4464">
          <cell r="C4464" t="str">
            <v xml:space="preserve">    XFIN               SQA</v>
          </cell>
          <cell r="D4464">
            <v>60232</v>
          </cell>
          <cell r="E4464">
            <v>74829</v>
          </cell>
        </row>
        <row r="4465">
          <cell r="C4465" t="str">
            <v xml:space="preserve">    MYCOFREE           D-I</v>
          </cell>
          <cell r="D4465">
            <v>43263</v>
          </cell>
          <cell r="E4465">
            <v>36294</v>
          </cell>
        </row>
        <row r="4466">
          <cell r="C4466" t="str">
            <v xml:space="preserve">    TERBIFIN           ATP</v>
          </cell>
          <cell r="D4466">
            <v>27626</v>
          </cell>
          <cell r="E4466">
            <v>21158</v>
          </cell>
        </row>
        <row r="4467">
          <cell r="C4467" t="str">
            <v xml:space="preserve">    TERBIN             OPI</v>
          </cell>
          <cell r="D4467">
            <v>27572</v>
          </cell>
          <cell r="E4467">
            <v>21961</v>
          </cell>
        </row>
        <row r="4468">
          <cell r="C4468" t="str">
            <v xml:space="preserve">    TERBIKILL          ACM</v>
          </cell>
          <cell r="D4468">
            <v>21621</v>
          </cell>
          <cell r="E4468">
            <v>14910</v>
          </cell>
        </row>
        <row r="4469">
          <cell r="C4469" t="str">
            <v xml:space="preserve">    SKINABIN           A-I</v>
          </cell>
          <cell r="D4469">
            <v>12519</v>
          </cell>
          <cell r="E4469">
            <v>10249</v>
          </cell>
        </row>
        <row r="4470">
          <cell r="C4470" t="str">
            <v xml:space="preserve">    TERBEX             BXM</v>
          </cell>
          <cell r="D4470">
            <v>8230</v>
          </cell>
          <cell r="E4470">
            <v>9050</v>
          </cell>
        </row>
        <row r="4471">
          <cell r="C4471" t="str">
            <v xml:space="preserve">    ELVINA             HT3</v>
          </cell>
          <cell r="D4471">
            <v>6845</v>
          </cell>
          <cell r="E4471">
            <v>6035</v>
          </cell>
        </row>
        <row r="4472">
          <cell r="C4472" t="str">
            <v xml:space="preserve">    MYCOFIN            ESF</v>
          </cell>
          <cell r="D4472">
            <v>2199</v>
          </cell>
          <cell r="E4472">
            <v>1219</v>
          </cell>
        </row>
        <row r="4473">
          <cell r="C4473" t="str">
            <v xml:space="preserve">    TERBITAC           ZIS</v>
          </cell>
          <cell r="D4473">
            <v>2176</v>
          </cell>
          <cell r="E4473">
            <v>2780</v>
          </cell>
        </row>
        <row r="4474">
          <cell r="C4474" t="str">
            <v xml:space="preserve">    TERBICON           BAC</v>
          </cell>
          <cell r="D4474">
            <v>1390</v>
          </cell>
          <cell r="E4474">
            <v>564</v>
          </cell>
        </row>
        <row r="4475">
          <cell r="C4475" t="str">
            <v xml:space="preserve">    TERBIMAX           RTA</v>
          </cell>
          <cell r="D4475">
            <v>1129</v>
          </cell>
          <cell r="E4475">
            <v>145</v>
          </cell>
        </row>
        <row r="4476">
          <cell r="C4476" t="str">
            <v xml:space="preserve">    INFUD              GNR</v>
          </cell>
          <cell r="D4476">
            <v>789</v>
          </cell>
          <cell r="E4476">
            <v>3432</v>
          </cell>
        </row>
        <row r="4477">
          <cell r="C4477" t="str">
            <v xml:space="preserve">    TERBINOX           IBN</v>
          </cell>
          <cell r="D4477">
            <v>700</v>
          </cell>
          <cell r="E4477">
            <v>0</v>
          </cell>
        </row>
        <row r="4478">
          <cell r="C4478" t="str">
            <v xml:space="preserve">    TERBISOL           NJP</v>
          </cell>
          <cell r="D4478">
            <v>442</v>
          </cell>
          <cell r="E4478">
            <v>168</v>
          </cell>
        </row>
        <row r="4479">
          <cell r="C4479" t="str">
            <v xml:space="preserve">    TERMIDER           BP&amp;</v>
          </cell>
          <cell r="D4479">
            <v>270</v>
          </cell>
          <cell r="E4479">
            <v>572</v>
          </cell>
        </row>
        <row r="4480">
          <cell r="C4480" t="str">
            <v xml:space="preserve">    DERFIN             A.P</v>
          </cell>
          <cell r="D4480">
            <v>0</v>
          </cell>
          <cell r="E4480">
            <v>0</v>
          </cell>
        </row>
        <row r="4481">
          <cell r="C4481" t="str">
            <v xml:space="preserve">    FINATER            PPH</v>
          </cell>
          <cell r="D4481">
            <v>0</v>
          </cell>
          <cell r="E4481">
            <v>0</v>
          </cell>
        </row>
        <row r="4482">
          <cell r="C4482" t="str">
            <v xml:space="preserve">   CLOTRIMAZOLE</v>
          </cell>
          <cell r="D4482">
            <v>209194</v>
          </cell>
          <cell r="E4482">
            <v>189764</v>
          </cell>
        </row>
        <row r="4483">
          <cell r="C4483" t="str">
            <v xml:space="preserve">    DERMASIM           A-I</v>
          </cell>
          <cell r="D4483">
            <v>62124</v>
          </cell>
          <cell r="E4483">
            <v>58049</v>
          </cell>
        </row>
        <row r="4484">
          <cell r="C4484" t="str">
            <v xml:space="preserve">    AFUN               SQA</v>
          </cell>
          <cell r="D4484">
            <v>42131</v>
          </cell>
          <cell r="E4484">
            <v>44561</v>
          </cell>
        </row>
        <row r="4485">
          <cell r="C4485" t="str">
            <v xml:space="preserve">    CLOTRIM            ACM</v>
          </cell>
          <cell r="D4485">
            <v>36751</v>
          </cell>
          <cell r="E4485">
            <v>25587</v>
          </cell>
        </row>
        <row r="4486">
          <cell r="C4486" t="str">
            <v xml:space="preserve">    CLARIZOL           IAP</v>
          </cell>
          <cell r="D4486">
            <v>26635</v>
          </cell>
          <cell r="E4486">
            <v>20958</v>
          </cell>
        </row>
        <row r="4487">
          <cell r="C4487" t="str">
            <v xml:space="preserve">    NEOSTEN            BXM</v>
          </cell>
          <cell r="D4487">
            <v>21178</v>
          </cell>
          <cell r="E4487">
            <v>22350</v>
          </cell>
        </row>
        <row r="4488">
          <cell r="C4488" t="str">
            <v xml:space="preserve">    CONASYD            RTA</v>
          </cell>
          <cell r="D4488">
            <v>15260</v>
          </cell>
          <cell r="E4488">
            <v>12200</v>
          </cell>
        </row>
        <row r="4489">
          <cell r="C4489" t="str">
            <v xml:space="preserve">    TRIDERM            HT3</v>
          </cell>
          <cell r="D4489">
            <v>1602</v>
          </cell>
          <cell r="E4489">
            <v>2091</v>
          </cell>
        </row>
        <row r="4490">
          <cell r="C4490" t="str">
            <v xml:space="preserve">    FUNGIN             IBN</v>
          </cell>
          <cell r="D4490">
            <v>1538</v>
          </cell>
          <cell r="E4490">
            <v>2208</v>
          </cell>
        </row>
        <row r="4491">
          <cell r="C4491" t="str">
            <v xml:space="preserve">    TRIMAZOLE          OPI</v>
          </cell>
          <cell r="D4491">
            <v>926</v>
          </cell>
          <cell r="E4491">
            <v>1091</v>
          </cell>
        </row>
        <row r="4492">
          <cell r="C4492" t="str">
            <v xml:space="preserve">    CLOTRIZEN          BAC</v>
          </cell>
          <cell r="D4492">
            <v>795</v>
          </cell>
          <cell r="E4492">
            <v>314</v>
          </cell>
        </row>
        <row r="4493">
          <cell r="C4493" t="str">
            <v xml:space="preserve">    CABAZOL            D-I</v>
          </cell>
          <cell r="D4493">
            <v>177</v>
          </cell>
          <cell r="E4493">
            <v>0</v>
          </cell>
        </row>
        <row r="4494">
          <cell r="C4494" t="str">
            <v xml:space="preserve">    ARISTEN            ATP</v>
          </cell>
          <cell r="D4494">
            <v>38</v>
          </cell>
          <cell r="E4494">
            <v>188</v>
          </cell>
        </row>
        <row r="4495">
          <cell r="C4495" t="str">
            <v xml:space="preserve">    NILFUN             TMH</v>
          </cell>
          <cell r="D4495">
            <v>30</v>
          </cell>
          <cell r="E4495">
            <v>66</v>
          </cell>
        </row>
        <row r="4496">
          <cell r="C4496" t="str">
            <v xml:space="preserve">    FUSTEN             KUM</v>
          </cell>
          <cell r="D4496">
            <v>3</v>
          </cell>
          <cell r="E4496">
            <v>5</v>
          </cell>
        </row>
        <row r="4497">
          <cell r="C4497" t="str">
            <v xml:space="preserve">    LODERM             AD0</v>
          </cell>
          <cell r="D4497">
            <v>3</v>
          </cell>
          <cell r="E4497">
            <v>0</v>
          </cell>
        </row>
        <row r="4498">
          <cell r="C4498" t="str">
            <v xml:space="preserve">    KANIS              GCO</v>
          </cell>
          <cell r="D4498">
            <v>3</v>
          </cell>
          <cell r="E4498">
            <v>0</v>
          </cell>
        </row>
        <row r="4499">
          <cell r="C4499" t="str">
            <v xml:space="preserve">    CLODERM            GNR</v>
          </cell>
          <cell r="D4499">
            <v>0</v>
          </cell>
          <cell r="E4499">
            <v>21</v>
          </cell>
        </row>
        <row r="4500">
          <cell r="C4500" t="str">
            <v xml:space="preserve">    CLODAL             GBE</v>
          </cell>
          <cell r="D4500">
            <v>0</v>
          </cell>
          <cell r="E4500">
            <v>76</v>
          </cell>
        </row>
        <row r="4501">
          <cell r="C4501" t="str">
            <v xml:space="preserve">    CLOSTEN            A.P</v>
          </cell>
          <cell r="D4501">
            <v>0</v>
          </cell>
          <cell r="E4501">
            <v>0</v>
          </cell>
        </row>
        <row r="4502">
          <cell r="C4502" t="str">
            <v xml:space="preserve">    CLOZOX             UNH</v>
          </cell>
          <cell r="D4502">
            <v>0</v>
          </cell>
          <cell r="E4502">
            <v>0</v>
          </cell>
        </row>
        <row r="4503">
          <cell r="C4503" t="str">
            <v xml:space="preserve">   AMOROLFINE</v>
          </cell>
          <cell r="D4503">
            <v>127001</v>
          </cell>
          <cell r="E4503">
            <v>80167</v>
          </cell>
        </row>
        <row r="4504">
          <cell r="C4504" t="str">
            <v xml:space="preserve">    CURAFIN            N8V</v>
          </cell>
          <cell r="D4504">
            <v>120601</v>
          </cell>
          <cell r="E4504">
            <v>74314</v>
          </cell>
        </row>
        <row r="4505">
          <cell r="C4505" t="str">
            <v xml:space="preserve">    CLINAIL            IAP</v>
          </cell>
          <cell r="D4505">
            <v>6399</v>
          </cell>
          <cell r="E4505">
            <v>5853</v>
          </cell>
        </row>
        <row r="4506">
          <cell r="C4506" t="str">
            <v xml:space="preserve">   SERTACONAZOLE</v>
          </cell>
          <cell r="D4506">
            <v>65416</v>
          </cell>
          <cell r="E4506">
            <v>60496</v>
          </cell>
        </row>
        <row r="4507">
          <cell r="C4507" t="str">
            <v xml:space="preserve">    FUNGITAC           ZIS</v>
          </cell>
          <cell r="D4507">
            <v>35005</v>
          </cell>
          <cell r="E4507">
            <v>31915</v>
          </cell>
        </row>
        <row r="4508">
          <cell r="C4508" t="str">
            <v xml:space="preserve">    SERTACON           OPI</v>
          </cell>
          <cell r="D4508">
            <v>14003</v>
          </cell>
          <cell r="E4508">
            <v>15131</v>
          </cell>
        </row>
        <row r="4509">
          <cell r="C4509" t="str">
            <v xml:space="preserve">    ERTACO             ACM</v>
          </cell>
          <cell r="D4509">
            <v>7277</v>
          </cell>
          <cell r="E4509">
            <v>8560</v>
          </cell>
        </row>
        <row r="4510">
          <cell r="C4510" t="str">
            <v xml:space="preserve">    MYCOFAST           IAP</v>
          </cell>
          <cell r="D4510">
            <v>6478</v>
          </cell>
          <cell r="E4510">
            <v>4422</v>
          </cell>
        </row>
        <row r="4511">
          <cell r="C4511" t="str">
            <v xml:space="preserve">    SERTABET           HT3</v>
          </cell>
          <cell r="D4511">
            <v>2654</v>
          </cell>
          <cell r="E4511">
            <v>468</v>
          </cell>
        </row>
        <row r="4512">
          <cell r="C4512" t="str">
            <v xml:space="preserve">   CICLOPIROX</v>
          </cell>
          <cell r="D4512">
            <v>62964</v>
          </cell>
          <cell r="E4512">
            <v>52762</v>
          </cell>
        </row>
        <row r="4513">
          <cell r="C4513" t="str">
            <v xml:space="preserve">    CLOPIROX           SQA</v>
          </cell>
          <cell r="D4513">
            <v>35865</v>
          </cell>
          <cell r="E4513">
            <v>34336</v>
          </cell>
        </row>
        <row r="4514">
          <cell r="C4514" t="str">
            <v xml:space="preserve">    CANDIROX           IAP</v>
          </cell>
          <cell r="D4514">
            <v>15124</v>
          </cell>
          <cell r="E4514">
            <v>10710</v>
          </cell>
        </row>
        <row r="4515">
          <cell r="C4515" t="str">
            <v xml:space="preserve">    CICLODERM          PPH</v>
          </cell>
          <cell r="D4515">
            <v>6659</v>
          </cell>
          <cell r="E4515">
            <v>4467</v>
          </cell>
        </row>
        <row r="4516">
          <cell r="C4516" t="str">
            <v xml:space="preserve">    TINACTIN           HT3</v>
          </cell>
          <cell r="D4516">
            <v>2717</v>
          </cell>
          <cell r="E4516">
            <v>2250</v>
          </cell>
        </row>
        <row r="4517">
          <cell r="C4517" t="str">
            <v xml:space="preserve">    CICLOROX           OPI</v>
          </cell>
          <cell r="D4517">
            <v>2599</v>
          </cell>
          <cell r="E4517">
            <v>999</v>
          </cell>
        </row>
        <row r="4518">
          <cell r="C4518" t="str">
            <v xml:space="preserve">   NAFTIFINE</v>
          </cell>
          <cell r="D4518">
            <v>41854</v>
          </cell>
          <cell r="E4518">
            <v>39118</v>
          </cell>
        </row>
        <row r="4519">
          <cell r="C4519" t="str">
            <v xml:space="preserve">    NAFGAL             N8V</v>
          </cell>
          <cell r="D4519">
            <v>41854</v>
          </cell>
          <cell r="E4519">
            <v>39118</v>
          </cell>
        </row>
        <row r="4520">
          <cell r="C4520" t="str">
            <v xml:space="preserve">   NAFTIDROFURYL</v>
          </cell>
          <cell r="D4520">
            <v>37901</v>
          </cell>
          <cell r="E4520">
            <v>31527</v>
          </cell>
        </row>
        <row r="4521">
          <cell r="C4521" t="str">
            <v xml:space="preserve">    T-CURE             IAP</v>
          </cell>
          <cell r="D4521">
            <v>37901</v>
          </cell>
          <cell r="E4521">
            <v>31527</v>
          </cell>
        </row>
        <row r="4522">
          <cell r="C4522" t="str">
            <v xml:space="preserve">   OXICONAZOLE</v>
          </cell>
          <cell r="D4522">
            <v>32057</v>
          </cell>
          <cell r="E4522">
            <v>32695</v>
          </cell>
        </row>
        <row r="4523">
          <cell r="C4523" t="str">
            <v xml:space="preserve">    OXIFUN             SQA</v>
          </cell>
          <cell r="D4523">
            <v>29025</v>
          </cell>
          <cell r="E4523">
            <v>30424</v>
          </cell>
        </row>
        <row r="4524">
          <cell r="C4524" t="str">
            <v xml:space="preserve">    OXIZOL             IAP</v>
          </cell>
          <cell r="D4524">
            <v>3032</v>
          </cell>
          <cell r="E4524">
            <v>2271</v>
          </cell>
        </row>
        <row r="4525">
          <cell r="C4525" t="str">
            <v xml:space="preserve">   MICONAZOLE</v>
          </cell>
          <cell r="D4525">
            <v>31847</v>
          </cell>
          <cell r="E4525">
            <v>30154</v>
          </cell>
        </row>
        <row r="4526">
          <cell r="C4526" t="str">
            <v xml:space="preserve">    FUNGIDAL           SQA</v>
          </cell>
          <cell r="D4526">
            <v>26595</v>
          </cell>
          <cell r="E4526">
            <v>22744</v>
          </cell>
        </row>
        <row r="4527">
          <cell r="C4527" t="str">
            <v xml:space="preserve">    UNIGAL             OPI</v>
          </cell>
          <cell r="D4527">
            <v>3452</v>
          </cell>
          <cell r="E4527">
            <v>5650</v>
          </cell>
        </row>
        <row r="4528">
          <cell r="C4528" t="str">
            <v xml:space="preserve">    MICONEX            A-I</v>
          </cell>
          <cell r="D4528">
            <v>1177</v>
          </cell>
          <cell r="E4528">
            <v>1150</v>
          </cell>
        </row>
        <row r="4529">
          <cell r="C4529" t="str">
            <v xml:space="preserve">    TOPICAZOLE         IAP</v>
          </cell>
          <cell r="D4529">
            <v>379</v>
          </cell>
          <cell r="E4529">
            <v>544</v>
          </cell>
        </row>
        <row r="4530">
          <cell r="C4530" t="str">
            <v xml:space="preserve">    FUNGIMIN           KUM</v>
          </cell>
          <cell r="D4530">
            <v>244</v>
          </cell>
          <cell r="E4530">
            <v>37</v>
          </cell>
        </row>
        <row r="4531">
          <cell r="C4531" t="str">
            <v xml:space="preserve">    FUNGALIN           CHM</v>
          </cell>
          <cell r="D4531">
            <v>0</v>
          </cell>
          <cell r="E4531">
            <v>2</v>
          </cell>
        </row>
        <row r="4532">
          <cell r="C4532" t="str">
            <v xml:space="preserve">    MIC                GBE</v>
          </cell>
          <cell r="D4532">
            <v>0</v>
          </cell>
          <cell r="E4532">
            <v>28</v>
          </cell>
        </row>
        <row r="4533">
          <cell r="C4533" t="str">
            <v xml:space="preserve">    MIAZ               AMD</v>
          </cell>
          <cell r="D4533">
            <v>0</v>
          </cell>
          <cell r="E4533">
            <v>0</v>
          </cell>
        </row>
        <row r="4534">
          <cell r="C4534" t="str">
            <v xml:space="preserve">   NYSTATIN</v>
          </cell>
          <cell r="D4534">
            <v>27000</v>
          </cell>
          <cell r="E4534">
            <v>17914</v>
          </cell>
        </row>
        <row r="4535">
          <cell r="C4535" t="str">
            <v xml:space="preserve">    MICOSONE           A-I</v>
          </cell>
          <cell r="D4535">
            <v>27000</v>
          </cell>
          <cell r="E4535">
            <v>17792</v>
          </cell>
        </row>
        <row r="4536">
          <cell r="C4536" t="str">
            <v xml:space="preserve">    NYSTAT             ACM</v>
          </cell>
          <cell r="D4536">
            <v>0</v>
          </cell>
          <cell r="E4536">
            <v>122</v>
          </cell>
        </row>
        <row r="4537">
          <cell r="C4537" t="str">
            <v xml:space="preserve">   BENZALKONIUM CHLORIDE+CHLORHEXIDINE+ISOPROPYL MYRISTATE+PARAFFIN OIL</v>
          </cell>
          <cell r="D4537">
            <v>21304</v>
          </cell>
          <cell r="E4537">
            <v>6321</v>
          </cell>
        </row>
        <row r="4538">
          <cell r="C4538" t="str">
            <v xml:space="preserve">    ISOBEN             A-I</v>
          </cell>
          <cell r="D4538">
            <v>21304</v>
          </cell>
          <cell r="E4538">
            <v>6321</v>
          </cell>
        </row>
        <row r="4539">
          <cell r="C4539" t="str">
            <v xml:space="preserve">   MICONAZOLE+PARAFFIN OIL+ZINC</v>
          </cell>
          <cell r="D4539">
            <v>19931</v>
          </cell>
          <cell r="E4539">
            <v>3987</v>
          </cell>
        </row>
        <row r="4540">
          <cell r="C4540" t="str">
            <v xml:space="preserve">    DE-RASH PLUS       SQA</v>
          </cell>
          <cell r="D4540">
            <v>19931</v>
          </cell>
          <cell r="E4540">
            <v>3987</v>
          </cell>
        </row>
        <row r="4541">
          <cell r="C4541" t="str">
            <v xml:space="preserve">   ECONAZOLE</v>
          </cell>
          <cell r="D4541">
            <v>16676</v>
          </cell>
          <cell r="E4541">
            <v>13546</v>
          </cell>
        </row>
        <row r="4542">
          <cell r="C4542" t="str">
            <v xml:space="preserve">    ECONATE            IAP</v>
          </cell>
          <cell r="D4542">
            <v>15520</v>
          </cell>
          <cell r="E4542">
            <v>11781</v>
          </cell>
        </row>
        <row r="4543">
          <cell r="C4543" t="str">
            <v xml:space="preserve">    SPECTAZOLE         HT3</v>
          </cell>
          <cell r="D4543">
            <v>965</v>
          </cell>
          <cell r="E4543">
            <v>1431</v>
          </cell>
        </row>
        <row r="4544">
          <cell r="C4544" t="str">
            <v xml:space="preserve">    ECOREN             A-I</v>
          </cell>
          <cell r="D4544">
            <v>177</v>
          </cell>
          <cell r="E4544">
            <v>230</v>
          </cell>
        </row>
        <row r="4545">
          <cell r="C4545" t="str">
            <v xml:space="preserve">    ECONAL             KMP</v>
          </cell>
          <cell r="D4545">
            <v>13</v>
          </cell>
          <cell r="E4545">
            <v>36</v>
          </cell>
        </row>
        <row r="4546">
          <cell r="C4546" t="str">
            <v xml:space="preserve">    ECODERM            RPH</v>
          </cell>
          <cell r="D4546">
            <v>2</v>
          </cell>
          <cell r="E4546">
            <v>5</v>
          </cell>
        </row>
        <row r="4547">
          <cell r="C4547" t="str">
            <v xml:space="preserve">    CONAZOLE           ATP</v>
          </cell>
          <cell r="D4547">
            <v>0</v>
          </cell>
          <cell r="E4547">
            <v>63</v>
          </cell>
        </row>
        <row r="4548">
          <cell r="C4548" t="str">
            <v xml:space="preserve">    PEVARYL            CIC</v>
          </cell>
          <cell r="D4548">
            <v>0</v>
          </cell>
          <cell r="E4548">
            <v>0</v>
          </cell>
        </row>
        <row r="4549">
          <cell r="C4549" t="str">
            <v xml:space="preserve">    ECOLET             AMT</v>
          </cell>
          <cell r="D4549">
            <v>0</v>
          </cell>
          <cell r="E4549">
            <v>0</v>
          </cell>
        </row>
        <row r="4550">
          <cell r="C4550" t="str">
            <v xml:space="preserve">   SULCONAZOLE</v>
          </cell>
          <cell r="D4550">
            <v>9723</v>
          </cell>
          <cell r="E4550">
            <v>8000</v>
          </cell>
        </row>
        <row r="4551">
          <cell r="C4551" t="str">
            <v xml:space="preserve">    SULDERM            N8V</v>
          </cell>
          <cell r="D4551">
            <v>9723</v>
          </cell>
          <cell r="E4551">
            <v>8000</v>
          </cell>
        </row>
        <row r="4552">
          <cell r="C4552" t="str">
            <v xml:space="preserve">   KETOCONAZOLE</v>
          </cell>
          <cell r="D4552">
            <v>4593</v>
          </cell>
          <cell r="E4552">
            <v>1919</v>
          </cell>
        </row>
        <row r="4553">
          <cell r="C4553" t="str">
            <v xml:space="preserve">    NIZODER            UNH</v>
          </cell>
          <cell r="D4553">
            <v>3484</v>
          </cell>
          <cell r="E4553">
            <v>1244</v>
          </cell>
        </row>
        <row r="4554">
          <cell r="C4554" t="str">
            <v xml:space="preserve">    KETOCON            OPI</v>
          </cell>
          <cell r="D4554">
            <v>588</v>
          </cell>
          <cell r="E4554">
            <v>676</v>
          </cell>
        </row>
        <row r="4555">
          <cell r="C4555" t="str">
            <v xml:space="preserve">    DANCEL             IAP</v>
          </cell>
          <cell r="D4555">
            <v>520</v>
          </cell>
          <cell r="E4555">
            <v>0</v>
          </cell>
        </row>
        <row r="4556">
          <cell r="C4556" t="str">
            <v xml:space="preserve">   EFINACONAZOLE</v>
          </cell>
          <cell r="D4556">
            <v>3510</v>
          </cell>
          <cell r="E4556">
            <v>0</v>
          </cell>
        </row>
        <row r="4557">
          <cell r="C4557" t="str">
            <v xml:space="preserve">    ONICOMA            A-I</v>
          </cell>
          <cell r="D4557">
            <v>3510</v>
          </cell>
          <cell r="E4557">
            <v>0</v>
          </cell>
        </row>
        <row r="4558">
          <cell r="C4558" t="str">
            <v xml:space="preserve">   CHLORHEXIDINE+NYSTATIN</v>
          </cell>
          <cell r="D4558">
            <v>2187</v>
          </cell>
          <cell r="E4558">
            <v>4508</v>
          </cell>
        </row>
        <row r="4559">
          <cell r="C4559" t="str">
            <v xml:space="preserve">    NYSTAT PLUS        ACM</v>
          </cell>
          <cell r="D4559">
            <v>1394</v>
          </cell>
          <cell r="E4559">
            <v>4394</v>
          </cell>
        </row>
        <row r="4560">
          <cell r="C4560" t="str">
            <v xml:space="preserve">    NYSTADERM          IAP</v>
          </cell>
          <cell r="D4560">
            <v>793</v>
          </cell>
          <cell r="E4560">
            <v>114</v>
          </cell>
        </row>
        <row r="4561">
          <cell r="C4561" t="str">
            <v xml:space="preserve">   BUTENAFINE</v>
          </cell>
          <cell r="D4561">
            <v>1685</v>
          </cell>
          <cell r="E4561">
            <v>1490</v>
          </cell>
        </row>
        <row r="4562">
          <cell r="C4562" t="str">
            <v xml:space="preserve">    FINTOP             D-I</v>
          </cell>
          <cell r="D4562">
            <v>1685</v>
          </cell>
          <cell r="E4562">
            <v>1490</v>
          </cell>
        </row>
        <row r="4563">
          <cell r="C4563" t="str">
            <v xml:space="preserve">   BENZOIC ACID+SALICYLIC ACID</v>
          </cell>
          <cell r="D4563">
            <v>434</v>
          </cell>
          <cell r="E4563">
            <v>926</v>
          </cell>
        </row>
        <row r="4564">
          <cell r="C4564" t="str">
            <v xml:space="preserve">    DERMIN             JAY</v>
          </cell>
          <cell r="D4564">
            <v>405</v>
          </cell>
          <cell r="E4564">
            <v>926</v>
          </cell>
        </row>
        <row r="4565">
          <cell r="C4565" t="str">
            <v xml:space="preserve">    WHITFIELD          CPL</v>
          </cell>
          <cell r="D4565">
            <v>28</v>
          </cell>
          <cell r="E4565">
            <v>0</v>
          </cell>
        </row>
        <row r="4566">
          <cell r="C4566" t="str">
            <v xml:space="preserve">    WHITFIELD          MOD</v>
          </cell>
          <cell r="D4566">
            <v>2</v>
          </cell>
          <cell r="E4566">
            <v>0</v>
          </cell>
        </row>
        <row r="4567">
          <cell r="C4567" t="str">
            <v xml:space="preserve">    BENSAL             GCO</v>
          </cell>
          <cell r="D4567">
            <v>0</v>
          </cell>
          <cell r="E4567">
            <v>0</v>
          </cell>
        </row>
        <row r="4568">
          <cell r="C4568" t="str">
            <v xml:space="preserve">    WHITFIELD          UNQ</v>
          </cell>
          <cell r="D4568">
            <v>0</v>
          </cell>
          <cell r="E4568">
            <v>0</v>
          </cell>
        </row>
        <row r="4569">
          <cell r="C4569" t="str">
            <v xml:space="preserve">   COMPOSITION UNKNOWN</v>
          </cell>
          <cell r="D4569">
            <v>0</v>
          </cell>
          <cell r="E4569">
            <v>0</v>
          </cell>
        </row>
        <row r="4570">
          <cell r="C4570" t="str">
            <v xml:space="preserve">    DERMALIN           PAR</v>
          </cell>
          <cell r="D4570">
            <v>0</v>
          </cell>
          <cell r="E4570">
            <v>0</v>
          </cell>
        </row>
        <row r="4571">
          <cell r="C4571" t="str">
            <v xml:space="preserve">    VIOLA              BGB</v>
          </cell>
          <cell r="D4571">
            <v>0</v>
          </cell>
          <cell r="E4571">
            <v>0</v>
          </cell>
        </row>
        <row r="4572">
          <cell r="C4572" t="str">
            <v xml:space="preserve">   TOLNAFTATE</v>
          </cell>
          <cell r="D4572">
            <v>0</v>
          </cell>
          <cell r="E4572">
            <v>7</v>
          </cell>
        </row>
        <row r="4573">
          <cell r="C4573" t="str">
            <v xml:space="preserve">    TINAFATE           PDH</v>
          </cell>
          <cell r="D4573">
            <v>0</v>
          </cell>
          <cell r="E4573">
            <v>7</v>
          </cell>
        </row>
        <row r="4574">
          <cell r="C4574" t="str">
            <v xml:space="preserve">   TIOCONAZOLE</v>
          </cell>
          <cell r="D4574">
            <v>0</v>
          </cell>
          <cell r="E4574">
            <v>0</v>
          </cell>
        </row>
        <row r="4575">
          <cell r="C4575" t="str">
            <v xml:space="preserve">    TYCON              ACM</v>
          </cell>
          <cell r="D4575">
            <v>0</v>
          </cell>
          <cell r="E4575">
            <v>0</v>
          </cell>
        </row>
        <row r="4576">
          <cell r="C4576" t="str">
            <v xml:space="preserve">  TOP SCALP ANTIFUNGALS</v>
          </cell>
          <cell r="D4576">
            <v>684620</v>
          </cell>
          <cell r="E4576">
            <v>547050</v>
          </cell>
        </row>
        <row r="4577">
          <cell r="C4577" t="str">
            <v xml:space="preserve">   KETOCONAZOLE</v>
          </cell>
          <cell r="D4577">
            <v>512298</v>
          </cell>
          <cell r="E4577">
            <v>435116</v>
          </cell>
        </row>
        <row r="4578">
          <cell r="C4578" t="str">
            <v xml:space="preserve">    DANCEL             IAP</v>
          </cell>
          <cell r="D4578">
            <v>173046</v>
          </cell>
          <cell r="E4578">
            <v>173342</v>
          </cell>
        </row>
        <row r="4579">
          <cell r="C4579" t="str">
            <v xml:space="preserve">    NIZODER            UNH</v>
          </cell>
          <cell r="D4579">
            <v>163489</v>
          </cell>
          <cell r="E4579">
            <v>144860</v>
          </cell>
        </row>
        <row r="4580">
          <cell r="C4580" t="str">
            <v xml:space="preserve">    KETOZOL            ATP</v>
          </cell>
          <cell r="D4580">
            <v>90546</v>
          </cell>
          <cell r="E4580">
            <v>62118</v>
          </cell>
        </row>
        <row r="4581">
          <cell r="C4581" t="str">
            <v xml:space="preserve">    KETOCON            OPI</v>
          </cell>
          <cell r="D4581">
            <v>61228</v>
          </cell>
          <cell r="E4581">
            <v>37283</v>
          </cell>
        </row>
        <row r="4582">
          <cell r="C4582" t="str">
            <v xml:space="preserve">    RESOLVE            BXM</v>
          </cell>
          <cell r="D4582">
            <v>23080</v>
          </cell>
          <cell r="E4582">
            <v>16351</v>
          </cell>
        </row>
        <row r="4583">
          <cell r="C4583" t="str">
            <v xml:space="preserve">    ODESSY             ETH</v>
          </cell>
          <cell r="D4583">
            <v>910</v>
          </cell>
          <cell r="E4583">
            <v>1163</v>
          </cell>
        </row>
        <row r="4584">
          <cell r="C4584" t="str">
            <v xml:space="preserve">    NIZORAL            JAN</v>
          </cell>
          <cell r="D4584">
            <v>0</v>
          </cell>
          <cell r="E4584">
            <v>0</v>
          </cell>
        </row>
        <row r="4585">
          <cell r="C4585" t="str">
            <v xml:space="preserve">   CICLOPIROX</v>
          </cell>
          <cell r="D4585">
            <v>172322</v>
          </cell>
          <cell r="E4585">
            <v>111934</v>
          </cell>
        </row>
        <row r="4586">
          <cell r="C4586" t="str">
            <v xml:space="preserve">    CLOPIROX           SQA</v>
          </cell>
          <cell r="D4586">
            <v>99351</v>
          </cell>
          <cell r="E4586">
            <v>77352</v>
          </cell>
        </row>
        <row r="4587">
          <cell r="C4587" t="str">
            <v xml:space="preserve">    CANDELA            IAP</v>
          </cell>
          <cell r="D4587">
            <v>57135</v>
          </cell>
          <cell r="E4587">
            <v>34583</v>
          </cell>
        </row>
        <row r="4588">
          <cell r="C4588" t="str">
            <v xml:space="preserve">    CICLOROX           OPI</v>
          </cell>
          <cell r="D4588">
            <v>15835</v>
          </cell>
          <cell r="E4588">
            <v>0</v>
          </cell>
        </row>
        <row r="4589">
          <cell r="C4589" t="str">
            <v xml:space="preserve">  SYST DERMAT ANTIFUNGALS</v>
          </cell>
          <cell r="D4589">
            <v>0</v>
          </cell>
          <cell r="E4589">
            <v>0</v>
          </cell>
        </row>
        <row r="4590">
          <cell r="C4590" t="str">
            <v xml:space="preserve">   GRISEOFULVIN</v>
          </cell>
          <cell r="D4590">
            <v>0</v>
          </cell>
          <cell r="E4590">
            <v>0</v>
          </cell>
        </row>
        <row r="4591">
          <cell r="C4591" t="str">
            <v xml:space="preserve">    GRISOFULVIN-M      MOD</v>
          </cell>
          <cell r="D4591">
            <v>0</v>
          </cell>
          <cell r="E4591">
            <v>0</v>
          </cell>
        </row>
        <row r="4592">
          <cell r="C4592" t="str">
            <v xml:space="preserve">    GRISOVIN FP        GSK</v>
          </cell>
          <cell r="D4592">
            <v>0</v>
          </cell>
          <cell r="E4592">
            <v>0</v>
          </cell>
        </row>
        <row r="4593">
          <cell r="C4593" t="str">
            <v xml:space="preserve">    GRISO              ZIS</v>
          </cell>
          <cell r="D4593">
            <v>0</v>
          </cell>
          <cell r="E4593">
            <v>0</v>
          </cell>
        </row>
        <row r="4594">
          <cell r="C4594" t="str">
            <v xml:space="preserve">    ORGAVIN            NUV</v>
          </cell>
          <cell r="D4594">
            <v>0</v>
          </cell>
          <cell r="E4594">
            <v>0</v>
          </cell>
        </row>
        <row r="4595">
          <cell r="C4595" t="str">
            <v xml:space="preserve"> OTHER ANTIBACTERIALS</v>
          </cell>
          <cell r="D4595">
            <v>2605248</v>
          </cell>
          <cell r="E4595">
            <v>1967350</v>
          </cell>
        </row>
        <row r="4596">
          <cell r="C4596" t="str">
            <v xml:space="preserve">  ALL OTHER ANTIBACTERIALS</v>
          </cell>
          <cell r="D4596">
            <v>2600105</v>
          </cell>
          <cell r="E4596">
            <v>1956601</v>
          </cell>
        </row>
        <row r="4597">
          <cell r="C4597" t="str">
            <v xml:space="preserve">   LINEZOLID</v>
          </cell>
          <cell r="D4597">
            <v>2382388</v>
          </cell>
          <cell r="E4597">
            <v>1825251</v>
          </cell>
        </row>
        <row r="4598">
          <cell r="C4598" t="str">
            <v xml:space="preserve">    ARLIN              BXM</v>
          </cell>
          <cell r="D4598">
            <v>1306310</v>
          </cell>
          <cell r="E4598">
            <v>1138776</v>
          </cell>
        </row>
        <row r="4599">
          <cell r="C4599" t="str">
            <v xml:space="preserve">    LINZOLID           IAP</v>
          </cell>
          <cell r="D4599">
            <v>372434</v>
          </cell>
          <cell r="E4599">
            <v>287371</v>
          </cell>
        </row>
        <row r="4600">
          <cell r="C4600" t="str">
            <v xml:space="preserve">    ZOLIVOX            SQA</v>
          </cell>
          <cell r="D4600">
            <v>167316</v>
          </cell>
          <cell r="E4600">
            <v>139040</v>
          </cell>
        </row>
        <row r="4601">
          <cell r="C4601" t="str">
            <v xml:space="preserve">    ANULID             HT3</v>
          </cell>
          <cell r="D4601">
            <v>128038</v>
          </cell>
          <cell r="E4601">
            <v>35150</v>
          </cell>
        </row>
        <row r="4602">
          <cell r="C4602" t="str">
            <v xml:space="preserve">    LIZID              RD7</v>
          </cell>
          <cell r="D4602">
            <v>94189</v>
          </cell>
          <cell r="E4602">
            <v>59781</v>
          </cell>
        </row>
        <row r="4603">
          <cell r="C4603" t="str">
            <v xml:space="preserve">    LINEZ              RTA</v>
          </cell>
          <cell r="D4603">
            <v>81449</v>
          </cell>
          <cell r="E4603">
            <v>48953</v>
          </cell>
        </row>
        <row r="4604">
          <cell r="C4604" t="str">
            <v xml:space="preserve">    LIZOLIX            ESF</v>
          </cell>
          <cell r="D4604">
            <v>55849</v>
          </cell>
          <cell r="E4604">
            <v>29478</v>
          </cell>
        </row>
        <row r="4605">
          <cell r="C4605" t="str">
            <v xml:space="preserve">    ZYROLIN            PPH</v>
          </cell>
          <cell r="D4605">
            <v>42728</v>
          </cell>
          <cell r="E4605">
            <v>7889</v>
          </cell>
        </row>
        <row r="4606">
          <cell r="C4606" t="str">
            <v xml:space="preserve">    LIZOX              ATP</v>
          </cell>
          <cell r="D4606">
            <v>39738</v>
          </cell>
          <cell r="E4606">
            <v>17564</v>
          </cell>
        </row>
        <row r="4607">
          <cell r="C4607" t="str">
            <v xml:space="preserve">    EZOLID             A-I</v>
          </cell>
          <cell r="D4607">
            <v>33587</v>
          </cell>
          <cell r="E4607">
            <v>32194</v>
          </cell>
        </row>
        <row r="4608">
          <cell r="C4608" t="str">
            <v xml:space="preserve">    ZOLIDON            ACM</v>
          </cell>
          <cell r="D4608">
            <v>24058</v>
          </cell>
          <cell r="E4608">
            <v>0</v>
          </cell>
        </row>
        <row r="4609">
          <cell r="C4609" t="str">
            <v xml:space="preserve">    ZOLINE             IBN</v>
          </cell>
          <cell r="D4609">
            <v>19015</v>
          </cell>
          <cell r="E4609">
            <v>5065</v>
          </cell>
        </row>
        <row r="4610">
          <cell r="C4610" t="str">
            <v xml:space="preserve">    LINEXIL            OPI</v>
          </cell>
          <cell r="D4610">
            <v>11914</v>
          </cell>
          <cell r="E4610">
            <v>8335</v>
          </cell>
        </row>
        <row r="4611">
          <cell r="C4611" t="str">
            <v xml:space="preserve">    LINLID             TMH</v>
          </cell>
          <cell r="D4611">
            <v>2397</v>
          </cell>
          <cell r="E4611">
            <v>2442</v>
          </cell>
        </row>
        <row r="4612">
          <cell r="C4612" t="str">
            <v xml:space="preserve">    LIZOREX            BAC</v>
          </cell>
          <cell r="D4612">
            <v>1457</v>
          </cell>
          <cell r="E4612">
            <v>0</v>
          </cell>
        </row>
        <row r="4613">
          <cell r="C4613" t="str">
            <v xml:space="preserve">    OXALID             GNR</v>
          </cell>
          <cell r="D4613">
            <v>1371</v>
          </cell>
          <cell r="E4613">
            <v>13213</v>
          </cell>
        </row>
        <row r="4614">
          <cell r="C4614" t="str">
            <v xml:space="preserve">    LIZOBEST           ONA</v>
          </cell>
          <cell r="D4614">
            <v>212</v>
          </cell>
          <cell r="E4614">
            <v>0</v>
          </cell>
        </row>
        <row r="4615">
          <cell r="C4615" t="str">
            <v xml:space="preserve">    LINOZID            OR/</v>
          </cell>
          <cell r="D4615">
            <v>177</v>
          </cell>
          <cell r="E4615">
            <v>0</v>
          </cell>
        </row>
        <row r="4616">
          <cell r="C4616" t="str">
            <v xml:space="preserve">    LINVOX             OIF</v>
          </cell>
          <cell r="D4616">
            <v>149</v>
          </cell>
          <cell r="E4616">
            <v>0</v>
          </cell>
        </row>
        <row r="4617">
          <cell r="C4617" t="str">
            <v xml:space="preserve">   TEDIZOLID</v>
          </cell>
          <cell r="D4617">
            <v>128809</v>
          </cell>
          <cell r="E4617">
            <v>35460</v>
          </cell>
        </row>
        <row r="4618">
          <cell r="C4618" t="str">
            <v xml:space="preserve">    TEZO               SQA</v>
          </cell>
          <cell r="D4618">
            <v>90219</v>
          </cell>
          <cell r="E4618">
            <v>0</v>
          </cell>
        </row>
        <row r="4619">
          <cell r="C4619" t="str">
            <v xml:space="preserve">    TEZOLID            IAP</v>
          </cell>
          <cell r="D4619">
            <v>22691</v>
          </cell>
          <cell r="E4619">
            <v>16161</v>
          </cell>
        </row>
        <row r="4620">
          <cell r="C4620" t="str">
            <v xml:space="preserve">    TEDIBAC            J&amp;H</v>
          </cell>
          <cell r="D4620">
            <v>15324</v>
          </cell>
          <cell r="E4620">
            <v>18283</v>
          </cell>
        </row>
        <row r="4621">
          <cell r="C4621" t="str">
            <v xml:space="preserve">    TEZOLIN            BXM</v>
          </cell>
          <cell r="D4621">
            <v>576</v>
          </cell>
          <cell r="E4621">
            <v>1016</v>
          </cell>
        </row>
        <row r="4622">
          <cell r="C4622" t="str">
            <v xml:space="preserve">    CELUTIS            GNR</v>
          </cell>
          <cell r="D4622">
            <v>0</v>
          </cell>
          <cell r="E4622">
            <v>0</v>
          </cell>
        </row>
        <row r="4623">
          <cell r="C4623" t="str">
            <v xml:space="preserve">   FUSIDIC ACID</v>
          </cell>
          <cell r="D4623">
            <v>77018</v>
          </cell>
          <cell r="E4623">
            <v>81515</v>
          </cell>
        </row>
        <row r="4624">
          <cell r="C4624" t="str">
            <v xml:space="preserve">    FACID              ESF</v>
          </cell>
          <cell r="D4624">
            <v>67746</v>
          </cell>
          <cell r="E4624">
            <v>77146</v>
          </cell>
        </row>
        <row r="4625">
          <cell r="C4625" t="str">
            <v xml:space="preserve">    FUCIMAX            IAP</v>
          </cell>
          <cell r="D4625">
            <v>9272</v>
          </cell>
          <cell r="E4625">
            <v>4368</v>
          </cell>
        </row>
        <row r="4626">
          <cell r="C4626" t="str">
            <v xml:space="preserve">    FUCIDIN            LEO</v>
          </cell>
          <cell r="D4626">
            <v>0</v>
          </cell>
          <cell r="E4626">
            <v>0</v>
          </cell>
        </row>
        <row r="4627">
          <cell r="C4627" t="str">
            <v xml:space="preserve">   LEFAMULIN</v>
          </cell>
          <cell r="D4627">
            <v>5177</v>
          </cell>
          <cell r="E4627">
            <v>5850</v>
          </cell>
        </row>
        <row r="4628">
          <cell r="C4628" t="str">
            <v xml:space="preserve">    LEFABAC            A-I</v>
          </cell>
          <cell r="D4628">
            <v>4054</v>
          </cell>
          <cell r="E4628">
            <v>0</v>
          </cell>
        </row>
        <row r="4629">
          <cell r="C4629" t="str">
            <v xml:space="preserve">    MULINA             BXM</v>
          </cell>
          <cell r="D4629">
            <v>1098</v>
          </cell>
          <cell r="E4629">
            <v>5850</v>
          </cell>
        </row>
        <row r="4630">
          <cell r="C4630" t="str">
            <v xml:space="preserve">    TERABAC            IAP</v>
          </cell>
          <cell r="D4630">
            <v>25</v>
          </cell>
          <cell r="E4630">
            <v>0</v>
          </cell>
        </row>
        <row r="4631">
          <cell r="C4631" t="str">
            <v xml:space="preserve">   FOSFOMYCIN</v>
          </cell>
          <cell r="D4631">
            <v>4239</v>
          </cell>
          <cell r="E4631">
            <v>4899</v>
          </cell>
        </row>
        <row r="4632">
          <cell r="C4632" t="str">
            <v xml:space="preserve">    FOSFOMAX           SQA</v>
          </cell>
          <cell r="D4632">
            <v>4239</v>
          </cell>
          <cell r="E4632">
            <v>4899</v>
          </cell>
        </row>
        <row r="4633">
          <cell r="C4633" t="str">
            <v xml:space="preserve">   TIGECYCLINE</v>
          </cell>
          <cell r="D4633">
            <v>2473</v>
          </cell>
          <cell r="E4633">
            <v>3553</v>
          </cell>
        </row>
        <row r="4634">
          <cell r="C4634" t="str">
            <v xml:space="preserve">    WIDEBAC            IAP</v>
          </cell>
          <cell r="D4634">
            <v>2473</v>
          </cell>
          <cell r="E4634">
            <v>3507</v>
          </cell>
        </row>
        <row r="4635">
          <cell r="C4635" t="str">
            <v xml:space="preserve">    TIGACIL            IAP</v>
          </cell>
          <cell r="D4635">
            <v>0</v>
          </cell>
          <cell r="E4635">
            <v>46</v>
          </cell>
        </row>
        <row r="4636">
          <cell r="C4636" t="str">
            <v xml:space="preserve">   SPECTINOMYCIN</v>
          </cell>
          <cell r="D4636">
            <v>0</v>
          </cell>
          <cell r="E4636">
            <v>73</v>
          </cell>
        </row>
        <row r="4637">
          <cell r="C4637" t="str">
            <v xml:space="preserve">    TINOBAC            IAP</v>
          </cell>
          <cell r="D4637">
            <v>0</v>
          </cell>
          <cell r="E4637">
            <v>73</v>
          </cell>
        </row>
        <row r="4638">
          <cell r="C4638" t="str">
            <v xml:space="preserve">  GLYCOPEPTIDE ANTIBACT.</v>
          </cell>
          <cell r="D4638">
            <v>3297</v>
          </cell>
          <cell r="E4638">
            <v>5348</v>
          </cell>
        </row>
        <row r="4639">
          <cell r="C4639" t="str">
            <v xml:space="preserve">   VANCOMYCIN</v>
          </cell>
          <cell r="D4639">
            <v>2028</v>
          </cell>
          <cell r="E4639">
            <v>3369</v>
          </cell>
        </row>
        <row r="4640">
          <cell r="C4640" t="str">
            <v xml:space="preserve">    VANCOMIN           OPI</v>
          </cell>
          <cell r="D4640">
            <v>1538</v>
          </cell>
          <cell r="E4640">
            <v>2458</v>
          </cell>
        </row>
        <row r="4641">
          <cell r="C4641" t="str">
            <v xml:space="preserve">    VANMYCIN           IAP</v>
          </cell>
          <cell r="D4641">
            <v>490</v>
          </cell>
          <cell r="E4641">
            <v>708</v>
          </cell>
        </row>
        <row r="4642">
          <cell r="C4642" t="str">
            <v xml:space="preserve">    VANCOBAC           PPH</v>
          </cell>
          <cell r="D4642">
            <v>0</v>
          </cell>
          <cell r="E4642">
            <v>204</v>
          </cell>
        </row>
        <row r="4643">
          <cell r="C4643" t="str">
            <v xml:space="preserve">   TEICOPLANIN</v>
          </cell>
          <cell r="D4643">
            <v>1269</v>
          </cell>
          <cell r="E4643">
            <v>1979</v>
          </cell>
        </row>
        <row r="4644">
          <cell r="C4644" t="str">
            <v xml:space="preserve">    TICOPLAN           HT3</v>
          </cell>
          <cell r="D4644">
            <v>1161</v>
          </cell>
          <cell r="E4644">
            <v>710</v>
          </cell>
        </row>
        <row r="4645">
          <cell r="C4645" t="str">
            <v xml:space="preserve">    TECONIN            SQA</v>
          </cell>
          <cell r="D4645">
            <v>64</v>
          </cell>
          <cell r="E4645">
            <v>0</v>
          </cell>
        </row>
        <row r="4646">
          <cell r="C4646" t="str">
            <v xml:space="preserve">    TERGOCIN           IAP</v>
          </cell>
          <cell r="D4646">
            <v>44</v>
          </cell>
          <cell r="E4646">
            <v>263</v>
          </cell>
        </row>
        <row r="4647">
          <cell r="C4647" t="str">
            <v xml:space="preserve">    TARGOCID           S.Y</v>
          </cell>
          <cell r="D4647">
            <v>0</v>
          </cell>
          <cell r="E4647">
            <v>1006</v>
          </cell>
        </row>
        <row r="4648">
          <cell r="C4648" t="str">
            <v xml:space="preserve">  POLYMYXINS</v>
          </cell>
          <cell r="D4648">
            <v>1846</v>
          </cell>
          <cell r="E4648">
            <v>5401</v>
          </cell>
        </row>
        <row r="4649">
          <cell r="C4649" t="str">
            <v xml:space="preserve">   COLISTIN</v>
          </cell>
          <cell r="D4649">
            <v>1791</v>
          </cell>
          <cell r="E4649">
            <v>5346</v>
          </cell>
        </row>
        <row r="4650">
          <cell r="C4650" t="str">
            <v xml:space="preserve">    GIGABAC            SQA</v>
          </cell>
          <cell r="D4650">
            <v>1118</v>
          </cell>
          <cell r="E4650">
            <v>2311</v>
          </cell>
        </row>
        <row r="4651">
          <cell r="C4651" t="str">
            <v xml:space="preserve">    MEGABAC            IAP</v>
          </cell>
          <cell r="D4651">
            <v>673</v>
          </cell>
          <cell r="E4651">
            <v>3035</v>
          </cell>
        </row>
        <row r="4652">
          <cell r="C4652" t="str">
            <v xml:space="preserve">   POLYMYXIN B</v>
          </cell>
          <cell r="D4652">
            <v>56</v>
          </cell>
          <cell r="E4652">
            <v>55</v>
          </cell>
        </row>
        <row r="4653">
          <cell r="C4653" t="str">
            <v xml:space="preserve">    PMB                SQA</v>
          </cell>
          <cell r="D4653">
            <v>56</v>
          </cell>
          <cell r="E4653">
            <v>55</v>
          </cell>
        </row>
        <row r="4654">
          <cell r="C4654" t="str">
            <v xml:space="preserve">    POLYMAX-B          IAP</v>
          </cell>
          <cell r="D4654">
            <v>0</v>
          </cell>
          <cell r="E4654">
            <v>0</v>
          </cell>
        </row>
        <row r="4655">
          <cell r="C4655" t="str">
            <v xml:space="preserve"> ANTISPASM+ANTICHOL PLAIN</v>
          </cell>
          <cell r="D4655">
            <v>2381843</v>
          </cell>
          <cell r="E4655">
            <v>2121226</v>
          </cell>
        </row>
        <row r="4656">
          <cell r="C4656" t="str">
            <v xml:space="preserve">  ANTISPASM+ANTICHOL PLAIN</v>
          </cell>
          <cell r="D4656">
            <v>2381843</v>
          </cell>
          <cell r="E4656">
            <v>2121226</v>
          </cell>
        </row>
        <row r="4657">
          <cell r="C4657" t="str">
            <v xml:space="preserve">   TIEMONIUM</v>
          </cell>
          <cell r="D4657">
            <v>1577776</v>
          </cell>
          <cell r="E4657">
            <v>1460999</v>
          </cell>
        </row>
        <row r="4658">
          <cell r="C4658" t="str">
            <v xml:space="preserve">    ALGIN              RTA</v>
          </cell>
          <cell r="D4658">
            <v>853422</v>
          </cell>
          <cell r="E4658">
            <v>744159</v>
          </cell>
        </row>
        <row r="4659">
          <cell r="C4659" t="str">
            <v xml:space="preserve">    VISET              HT3</v>
          </cell>
          <cell r="D4659">
            <v>315003</v>
          </cell>
          <cell r="E4659">
            <v>295277</v>
          </cell>
        </row>
        <row r="4660">
          <cell r="C4660" t="str">
            <v xml:space="preserve">    NORVIS             SQA</v>
          </cell>
          <cell r="D4660">
            <v>146019</v>
          </cell>
          <cell r="E4660">
            <v>143281</v>
          </cell>
        </row>
        <row r="4661">
          <cell r="C4661" t="str">
            <v xml:space="preserve">    VISCERALGINE       NUV</v>
          </cell>
          <cell r="D4661">
            <v>94336</v>
          </cell>
          <cell r="E4661">
            <v>99523</v>
          </cell>
        </row>
        <row r="4662">
          <cell r="C4662" t="str">
            <v xml:space="preserve">    VISRAL             OPI</v>
          </cell>
          <cell r="D4662">
            <v>34158</v>
          </cell>
          <cell r="E4662">
            <v>32772</v>
          </cell>
        </row>
        <row r="4663">
          <cell r="C4663" t="str">
            <v xml:space="preserve">    XELCOM             RD7</v>
          </cell>
          <cell r="D4663">
            <v>26854</v>
          </cell>
          <cell r="E4663">
            <v>23063</v>
          </cell>
        </row>
        <row r="4664">
          <cell r="C4664" t="str">
            <v xml:space="preserve">    ONIUM              OR/</v>
          </cell>
          <cell r="D4664">
            <v>24619</v>
          </cell>
          <cell r="E4664">
            <v>26964</v>
          </cell>
        </row>
        <row r="4665">
          <cell r="C4665" t="str">
            <v xml:space="preserve">    TIMOZIN            IAP</v>
          </cell>
          <cell r="D4665">
            <v>20014</v>
          </cell>
          <cell r="E4665">
            <v>17585</v>
          </cell>
        </row>
        <row r="4666">
          <cell r="C4666" t="str">
            <v xml:space="preserve">    VERALGIN           ATP</v>
          </cell>
          <cell r="D4666">
            <v>15052</v>
          </cell>
          <cell r="E4666">
            <v>15051</v>
          </cell>
        </row>
        <row r="4667">
          <cell r="C4667" t="str">
            <v xml:space="preserve">    VISONIUM           D-I</v>
          </cell>
          <cell r="D4667">
            <v>10997</v>
          </cell>
          <cell r="E4667">
            <v>12387</v>
          </cell>
        </row>
        <row r="4668">
          <cell r="C4668" t="str">
            <v xml:space="preserve">    VISNIL             NJP</v>
          </cell>
          <cell r="D4668">
            <v>9805</v>
          </cell>
          <cell r="E4668">
            <v>11793</v>
          </cell>
        </row>
        <row r="4669">
          <cell r="C4669" t="str">
            <v xml:space="preserve">    TINIUM             ACM</v>
          </cell>
          <cell r="D4669">
            <v>9305</v>
          </cell>
          <cell r="E4669">
            <v>11284</v>
          </cell>
        </row>
        <row r="4670">
          <cell r="C4670" t="str">
            <v xml:space="preserve">    TYNIUM             A-I</v>
          </cell>
          <cell r="D4670">
            <v>7597</v>
          </cell>
          <cell r="E4670">
            <v>9852</v>
          </cell>
        </row>
        <row r="4671">
          <cell r="C4671" t="str">
            <v xml:space="preserve">    VISEGIN            UNH</v>
          </cell>
          <cell r="D4671">
            <v>3263</v>
          </cell>
          <cell r="E4671">
            <v>3284</v>
          </cell>
        </row>
        <row r="4672">
          <cell r="C4672" t="str">
            <v xml:space="preserve">    VISCERAL           IBN</v>
          </cell>
          <cell r="D4672">
            <v>1501</v>
          </cell>
          <cell r="E4672">
            <v>3490</v>
          </cell>
        </row>
        <row r="4673">
          <cell r="C4673" t="str">
            <v xml:space="preserve">    SPANIUM            ZIS</v>
          </cell>
          <cell r="D4673">
            <v>1413</v>
          </cell>
          <cell r="E4673">
            <v>1321</v>
          </cell>
        </row>
        <row r="4674">
          <cell r="C4674" t="str">
            <v xml:space="preserve">    TIVIS              BAC</v>
          </cell>
          <cell r="D4674">
            <v>1330</v>
          </cell>
          <cell r="E4674">
            <v>1882</v>
          </cell>
        </row>
        <row r="4675">
          <cell r="C4675" t="str">
            <v xml:space="preserve">    RELVIS             BP&amp;</v>
          </cell>
          <cell r="D4675">
            <v>742</v>
          </cell>
          <cell r="E4675">
            <v>1670</v>
          </cell>
        </row>
        <row r="4676">
          <cell r="C4676" t="str">
            <v xml:space="preserve">    TIMOTHY            ESF</v>
          </cell>
          <cell r="D4676">
            <v>465</v>
          </cell>
          <cell r="E4676">
            <v>2414</v>
          </cell>
        </row>
        <row r="4677">
          <cell r="C4677" t="str">
            <v xml:space="preserve">    VISNOR             AX.</v>
          </cell>
          <cell r="D4677">
            <v>418</v>
          </cell>
          <cell r="E4677">
            <v>491</v>
          </cell>
        </row>
        <row r="4678">
          <cell r="C4678" t="str">
            <v xml:space="preserve">    SPADYL             S-C</v>
          </cell>
          <cell r="D4678">
            <v>310</v>
          </cell>
          <cell r="E4678">
            <v>423</v>
          </cell>
        </row>
        <row r="4679">
          <cell r="C4679" t="str">
            <v xml:space="preserve">    TIE                ONA</v>
          </cell>
          <cell r="D4679">
            <v>281</v>
          </cell>
          <cell r="E4679">
            <v>58</v>
          </cell>
        </row>
        <row r="4680">
          <cell r="C4680" t="str">
            <v xml:space="preserve">    VISARIN            P-S</v>
          </cell>
          <cell r="D4680">
            <v>204</v>
          </cell>
          <cell r="E4680">
            <v>366</v>
          </cell>
        </row>
        <row r="4681">
          <cell r="C4681" t="str">
            <v xml:space="preserve">    VISPAZIN           GBE</v>
          </cell>
          <cell r="D4681">
            <v>166</v>
          </cell>
          <cell r="E4681">
            <v>602</v>
          </cell>
        </row>
        <row r="4682">
          <cell r="C4682" t="str">
            <v xml:space="preserve">    TIMOVIS            KUM</v>
          </cell>
          <cell r="D4682">
            <v>94</v>
          </cell>
          <cell r="E4682">
            <v>140</v>
          </cell>
        </row>
        <row r="4683">
          <cell r="C4683" t="str">
            <v xml:space="preserve">    MONIVIS            NVK</v>
          </cell>
          <cell r="D4683">
            <v>83</v>
          </cell>
          <cell r="E4683">
            <v>0</v>
          </cell>
        </row>
        <row r="4684">
          <cell r="C4684" t="str">
            <v xml:space="preserve">    TINO               D&amp;B</v>
          </cell>
          <cell r="D4684">
            <v>77</v>
          </cell>
          <cell r="E4684">
            <v>179</v>
          </cell>
        </row>
        <row r="4685">
          <cell r="C4685" t="str">
            <v xml:space="preserve">    TIMEM              SV6</v>
          </cell>
          <cell r="D4685">
            <v>64</v>
          </cell>
          <cell r="E4685">
            <v>66</v>
          </cell>
        </row>
        <row r="4686">
          <cell r="C4686" t="str">
            <v xml:space="preserve">    PREVIP             GNR</v>
          </cell>
          <cell r="D4686">
            <v>40</v>
          </cell>
          <cell r="E4686">
            <v>687</v>
          </cell>
        </row>
        <row r="4687">
          <cell r="C4687" t="str">
            <v xml:space="preserve">    TIMONAC            J&amp;H</v>
          </cell>
          <cell r="D4687">
            <v>36</v>
          </cell>
          <cell r="E4687">
            <v>162</v>
          </cell>
        </row>
        <row r="4688">
          <cell r="C4688" t="str">
            <v xml:space="preserve">    DYSMA              R7G</v>
          </cell>
          <cell r="D4688">
            <v>31</v>
          </cell>
          <cell r="E4688">
            <v>136</v>
          </cell>
        </row>
        <row r="4689">
          <cell r="C4689" t="str">
            <v xml:space="preserve">    TIUM               AD0</v>
          </cell>
          <cell r="D4689">
            <v>26</v>
          </cell>
          <cell r="E4689">
            <v>0</v>
          </cell>
        </row>
        <row r="4690">
          <cell r="C4690" t="str">
            <v xml:space="preserve">    TIEMO              A.P</v>
          </cell>
          <cell r="D4690">
            <v>20</v>
          </cell>
          <cell r="E4690">
            <v>0</v>
          </cell>
        </row>
        <row r="4691">
          <cell r="C4691" t="str">
            <v xml:space="preserve">    VISCER             T2D</v>
          </cell>
          <cell r="D4691">
            <v>12</v>
          </cell>
          <cell r="E4691">
            <v>29</v>
          </cell>
        </row>
        <row r="4692">
          <cell r="C4692" t="str">
            <v xml:space="preserve">    INTEUM             TMH</v>
          </cell>
          <cell r="D4692">
            <v>10</v>
          </cell>
          <cell r="E4692">
            <v>241</v>
          </cell>
        </row>
        <row r="4693">
          <cell r="C4693" t="str">
            <v xml:space="preserve">    TISPA              CC/</v>
          </cell>
          <cell r="D4693">
            <v>9</v>
          </cell>
          <cell r="E4693">
            <v>88</v>
          </cell>
        </row>
        <row r="4694">
          <cell r="C4694" t="str">
            <v xml:space="preserve">    EMOGIN             S&amp;O</v>
          </cell>
          <cell r="D4694">
            <v>0</v>
          </cell>
          <cell r="E4694">
            <v>0</v>
          </cell>
        </row>
        <row r="4695">
          <cell r="C4695" t="str">
            <v xml:space="preserve">    TIMOPA             CSC</v>
          </cell>
          <cell r="D4695">
            <v>0</v>
          </cell>
          <cell r="E4695">
            <v>0</v>
          </cell>
        </row>
        <row r="4696">
          <cell r="C4696" t="str">
            <v xml:space="preserve">    TINILUX            SH0</v>
          </cell>
          <cell r="D4696">
            <v>0</v>
          </cell>
          <cell r="E4696">
            <v>0</v>
          </cell>
        </row>
        <row r="4697">
          <cell r="C4697" t="str">
            <v xml:space="preserve">    EMONIUM            BXM</v>
          </cell>
          <cell r="D4697">
            <v>0</v>
          </cell>
          <cell r="E4697">
            <v>0</v>
          </cell>
        </row>
        <row r="4698">
          <cell r="C4698" t="str">
            <v xml:space="preserve">    PARILLEX           D-I</v>
          </cell>
          <cell r="D4698">
            <v>0</v>
          </cell>
          <cell r="E4698">
            <v>0</v>
          </cell>
        </row>
        <row r="4699">
          <cell r="C4699" t="str">
            <v xml:space="preserve">    SPASALGIN          OPI</v>
          </cell>
          <cell r="D4699">
            <v>0</v>
          </cell>
          <cell r="E4699">
            <v>0</v>
          </cell>
        </row>
        <row r="4700">
          <cell r="C4700" t="str">
            <v xml:space="preserve">    TIMONIL            PPH</v>
          </cell>
          <cell r="D4700">
            <v>0</v>
          </cell>
          <cell r="E4700">
            <v>0</v>
          </cell>
        </row>
        <row r="4701">
          <cell r="C4701" t="str">
            <v xml:space="preserve">    TIMOBEN            BNP</v>
          </cell>
          <cell r="D4701">
            <v>0</v>
          </cell>
          <cell r="E4701">
            <v>0</v>
          </cell>
        </row>
        <row r="4702">
          <cell r="C4702" t="str">
            <v xml:space="preserve">    TIMETH             EDR</v>
          </cell>
          <cell r="D4702">
            <v>0</v>
          </cell>
          <cell r="E4702">
            <v>0</v>
          </cell>
        </row>
        <row r="4703">
          <cell r="C4703" t="str">
            <v xml:space="preserve">    TITOS              NVO</v>
          </cell>
          <cell r="D4703">
            <v>0</v>
          </cell>
          <cell r="E4703">
            <v>27</v>
          </cell>
        </row>
        <row r="4704">
          <cell r="C4704" t="str">
            <v xml:space="preserve">    TMS                MED</v>
          </cell>
          <cell r="D4704">
            <v>0</v>
          </cell>
          <cell r="E4704">
            <v>252</v>
          </cell>
        </row>
        <row r="4705">
          <cell r="C4705" t="str">
            <v xml:space="preserve">    TIENUM             CHM</v>
          </cell>
          <cell r="D4705">
            <v>0</v>
          </cell>
          <cell r="E4705">
            <v>0</v>
          </cell>
        </row>
        <row r="4706">
          <cell r="C4706" t="str">
            <v xml:space="preserve">    PANIUM             N8V</v>
          </cell>
          <cell r="D4706">
            <v>0</v>
          </cell>
          <cell r="E4706">
            <v>0</v>
          </cell>
        </row>
        <row r="4707">
          <cell r="C4707" t="str">
            <v xml:space="preserve">    SPASON             A-H</v>
          </cell>
          <cell r="D4707">
            <v>0</v>
          </cell>
          <cell r="E4707">
            <v>0</v>
          </cell>
        </row>
        <row r="4708">
          <cell r="C4708" t="str">
            <v xml:space="preserve">    FREESPA            AMD</v>
          </cell>
          <cell r="D4708">
            <v>0</v>
          </cell>
          <cell r="E4708">
            <v>0</v>
          </cell>
        </row>
        <row r="4709">
          <cell r="C4709" t="str">
            <v xml:space="preserve">   MEBEVERINE</v>
          </cell>
          <cell r="D4709">
            <v>574794</v>
          </cell>
          <cell r="E4709">
            <v>452356</v>
          </cell>
        </row>
        <row r="4710">
          <cell r="C4710" t="str">
            <v xml:space="preserve">    ROSTIL             BXM</v>
          </cell>
          <cell r="D4710">
            <v>216406</v>
          </cell>
          <cell r="E4710">
            <v>169250</v>
          </cell>
        </row>
        <row r="4711">
          <cell r="C4711" t="str">
            <v xml:space="preserve">    MAVE               OPI</v>
          </cell>
          <cell r="D4711">
            <v>170636</v>
          </cell>
          <cell r="E4711">
            <v>139479</v>
          </cell>
        </row>
        <row r="4712">
          <cell r="C4712" t="str">
            <v xml:space="preserve">    IRIBAN             IAP</v>
          </cell>
          <cell r="D4712">
            <v>75628</v>
          </cell>
          <cell r="E4712">
            <v>43958</v>
          </cell>
        </row>
        <row r="4713">
          <cell r="C4713" t="str">
            <v xml:space="preserve">    MEVERINE           D-I</v>
          </cell>
          <cell r="D4713">
            <v>47573</v>
          </cell>
          <cell r="E4713">
            <v>37729</v>
          </cell>
        </row>
        <row r="4714">
          <cell r="C4714" t="str">
            <v xml:space="preserve">    MEVIN              SQA</v>
          </cell>
          <cell r="D4714">
            <v>34213</v>
          </cell>
          <cell r="E4714">
            <v>29744</v>
          </cell>
        </row>
        <row r="4715">
          <cell r="C4715" t="str">
            <v xml:space="preserve">    MEBIZ              SPI</v>
          </cell>
          <cell r="D4715">
            <v>26044</v>
          </cell>
          <cell r="E4715">
            <v>26494</v>
          </cell>
        </row>
        <row r="4716">
          <cell r="C4716" t="str">
            <v xml:space="preserve">    A-MEB              ACM</v>
          </cell>
          <cell r="D4716">
            <v>3999</v>
          </cell>
          <cell r="E4716">
            <v>4695</v>
          </cell>
        </row>
        <row r="4717">
          <cell r="C4717" t="str">
            <v xml:space="preserve">    EVARIN             D&amp;B</v>
          </cell>
          <cell r="D4717">
            <v>294</v>
          </cell>
          <cell r="E4717">
            <v>865</v>
          </cell>
        </row>
        <row r="4718">
          <cell r="C4718" t="str">
            <v xml:space="preserve">    COLOMEB            N8V</v>
          </cell>
          <cell r="D4718">
            <v>0</v>
          </cell>
          <cell r="E4718">
            <v>0</v>
          </cell>
        </row>
        <row r="4719">
          <cell r="C4719" t="str">
            <v xml:space="preserve">    MEVIGUT            NJP</v>
          </cell>
          <cell r="D4719">
            <v>0</v>
          </cell>
          <cell r="E4719">
            <v>142</v>
          </cell>
        </row>
        <row r="4720">
          <cell r="C4720" t="str">
            <v xml:space="preserve">   DICYCLOVERINE</v>
          </cell>
          <cell r="D4720">
            <v>52245</v>
          </cell>
          <cell r="E4720">
            <v>44568</v>
          </cell>
        </row>
        <row r="4721">
          <cell r="C4721" t="str">
            <v xml:space="preserve">    COLICON            SQA</v>
          </cell>
          <cell r="D4721">
            <v>34128</v>
          </cell>
          <cell r="E4721">
            <v>31333</v>
          </cell>
        </row>
        <row r="4722">
          <cell r="C4722" t="str">
            <v xml:space="preserve">    CYCLOPAN           IAP</v>
          </cell>
          <cell r="D4722">
            <v>18115</v>
          </cell>
          <cell r="E4722">
            <v>13207</v>
          </cell>
        </row>
        <row r="4723">
          <cell r="C4723" t="str">
            <v xml:space="preserve">    DIVERIN            A-I</v>
          </cell>
          <cell r="D4723">
            <v>3</v>
          </cell>
          <cell r="E4723">
            <v>2</v>
          </cell>
        </row>
        <row r="4724">
          <cell r="C4724" t="str">
            <v xml:space="preserve">    ABDORIN            OPI</v>
          </cell>
          <cell r="D4724">
            <v>0</v>
          </cell>
          <cell r="E4724">
            <v>25</v>
          </cell>
        </row>
        <row r="4725">
          <cell r="C4725" t="str">
            <v xml:space="preserve">    DIRIN              A.P</v>
          </cell>
          <cell r="D4725">
            <v>0</v>
          </cell>
          <cell r="E4725">
            <v>0</v>
          </cell>
        </row>
        <row r="4726">
          <cell r="C4726" t="str">
            <v xml:space="preserve">   ALVERINE</v>
          </cell>
          <cell r="D4726">
            <v>51345</v>
          </cell>
          <cell r="E4726">
            <v>54195</v>
          </cell>
        </row>
        <row r="4727">
          <cell r="C4727" t="str">
            <v xml:space="preserve">    ALVE               OR/</v>
          </cell>
          <cell r="D4727">
            <v>36416</v>
          </cell>
          <cell r="E4727">
            <v>38924</v>
          </cell>
        </row>
        <row r="4728">
          <cell r="C4728" t="str">
            <v xml:space="preserve">    SPASVERIN          BAC</v>
          </cell>
          <cell r="D4728">
            <v>8488</v>
          </cell>
          <cell r="E4728">
            <v>10309</v>
          </cell>
        </row>
        <row r="4729">
          <cell r="C4729" t="str">
            <v xml:space="preserve">    PELVERIN           PPH</v>
          </cell>
          <cell r="D4729">
            <v>6188</v>
          </cell>
          <cell r="E4729">
            <v>4543</v>
          </cell>
        </row>
        <row r="4730">
          <cell r="C4730" t="str">
            <v xml:space="preserve">    ALVERIN            R7G</v>
          </cell>
          <cell r="D4730">
            <v>210</v>
          </cell>
          <cell r="E4730">
            <v>232</v>
          </cell>
        </row>
        <row r="4731">
          <cell r="C4731" t="str">
            <v xml:space="preserve">    DISMONAL           OPI</v>
          </cell>
          <cell r="D4731">
            <v>44</v>
          </cell>
          <cell r="E4731">
            <v>117</v>
          </cell>
        </row>
        <row r="4732">
          <cell r="C4732" t="str">
            <v xml:space="preserve">    SOMOLAX            IAP</v>
          </cell>
          <cell r="D4732">
            <v>0</v>
          </cell>
          <cell r="E4732">
            <v>0</v>
          </cell>
        </row>
        <row r="4733">
          <cell r="C4733" t="str">
            <v xml:space="preserve">    ALVERATE           IBN</v>
          </cell>
          <cell r="D4733">
            <v>0</v>
          </cell>
          <cell r="E4733">
            <v>69</v>
          </cell>
        </row>
        <row r="4734">
          <cell r="C4734" t="str">
            <v xml:space="preserve">   PROPANTHELINE</v>
          </cell>
          <cell r="D4734">
            <v>47023</v>
          </cell>
          <cell r="E4734">
            <v>34989</v>
          </cell>
        </row>
        <row r="4735">
          <cell r="C4735" t="str">
            <v xml:space="preserve">    PROKIND            BAC</v>
          </cell>
          <cell r="D4735">
            <v>46420</v>
          </cell>
          <cell r="E4735">
            <v>34859</v>
          </cell>
        </row>
        <row r="4736">
          <cell r="C4736" t="str">
            <v xml:space="preserve">    THELIN             IAP</v>
          </cell>
          <cell r="D4736">
            <v>603</v>
          </cell>
          <cell r="E4736">
            <v>130</v>
          </cell>
        </row>
        <row r="4737">
          <cell r="C4737" t="str">
            <v xml:space="preserve">   GLYCOPYRRONIUM</v>
          </cell>
          <cell r="D4737">
            <v>37034</v>
          </cell>
          <cell r="E4737">
            <v>30392</v>
          </cell>
        </row>
        <row r="4738">
          <cell r="C4738" t="str">
            <v xml:space="preserve">    SUPOTARIA          IAP</v>
          </cell>
          <cell r="D4738">
            <v>37034</v>
          </cell>
          <cell r="E4738">
            <v>30392</v>
          </cell>
        </row>
        <row r="4739">
          <cell r="C4739" t="str">
            <v xml:space="preserve">   SCOPOLAMINE BUTYL HYDROXIDE</v>
          </cell>
          <cell r="D4739">
            <v>23175</v>
          </cell>
          <cell r="E4739">
            <v>20297</v>
          </cell>
        </row>
        <row r="4740">
          <cell r="C4740" t="str">
            <v xml:space="preserve">    HYSOMIDE           OPI</v>
          </cell>
          <cell r="D4740">
            <v>16596</v>
          </cell>
          <cell r="E4740">
            <v>16129</v>
          </cell>
        </row>
        <row r="4741">
          <cell r="C4741" t="str">
            <v xml:space="preserve">    BUTAPAN            S.Y</v>
          </cell>
          <cell r="D4741">
            <v>6463</v>
          </cell>
          <cell r="E4741">
            <v>4104</v>
          </cell>
        </row>
        <row r="4742">
          <cell r="C4742" t="str">
            <v xml:space="preserve">    BUTACIN            ZIS</v>
          </cell>
          <cell r="D4742">
            <v>62</v>
          </cell>
          <cell r="E4742">
            <v>0</v>
          </cell>
        </row>
        <row r="4743">
          <cell r="C4743" t="str">
            <v xml:space="preserve">    LOPAN              N8V</v>
          </cell>
          <cell r="D4743">
            <v>31</v>
          </cell>
          <cell r="E4743">
            <v>0</v>
          </cell>
        </row>
        <row r="4744">
          <cell r="C4744" t="str">
            <v xml:space="preserve">    SPANIL             BXM</v>
          </cell>
          <cell r="D4744">
            <v>23</v>
          </cell>
          <cell r="E4744">
            <v>64</v>
          </cell>
        </row>
        <row r="4745">
          <cell r="C4745" t="str">
            <v xml:space="preserve">    BUTALPEN           DSH</v>
          </cell>
          <cell r="D4745">
            <v>0</v>
          </cell>
          <cell r="E4745">
            <v>0</v>
          </cell>
        </row>
        <row r="4746">
          <cell r="C4746" t="str">
            <v xml:space="preserve">    RESOPAN            GNR</v>
          </cell>
          <cell r="D4746">
            <v>0</v>
          </cell>
          <cell r="E4746">
            <v>0</v>
          </cell>
        </row>
        <row r="4747">
          <cell r="C4747" t="str">
            <v xml:space="preserve">    SINUMID            AMB</v>
          </cell>
          <cell r="D4747">
            <v>0</v>
          </cell>
          <cell r="E4747">
            <v>0</v>
          </cell>
        </row>
        <row r="4748">
          <cell r="C4748" t="str">
            <v xml:space="preserve">   SODIUM+TIEMONIUM</v>
          </cell>
          <cell r="D4748">
            <v>6995</v>
          </cell>
          <cell r="E4748">
            <v>10849</v>
          </cell>
        </row>
        <row r="4749">
          <cell r="C4749" t="str">
            <v xml:space="preserve">    VISCERALGINE       NUV</v>
          </cell>
          <cell r="D4749">
            <v>6995</v>
          </cell>
          <cell r="E4749">
            <v>10849</v>
          </cell>
        </row>
        <row r="4750">
          <cell r="C4750" t="str">
            <v xml:space="preserve">   OXYPHENONIUM</v>
          </cell>
          <cell r="D4750">
            <v>6135</v>
          </cell>
          <cell r="E4750">
            <v>6939</v>
          </cell>
        </row>
        <row r="4751">
          <cell r="C4751" t="str">
            <v xml:space="preserve">    ANTRENEX           OPI</v>
          </cell>
          <cell r="D4751">
            <v>6101</v>
          </cell>
          <cell r="E4751">
            <v>6925</v>
          </cell>
        </row>
        <row r="4752">
          <cell r="C4752" t="str">
            <v xml:space="preserve">    ANTRENYL           SDZ</v>
          </cell>
          <cell r="D4752">
            <v>34</v>
          </cell>
          <cell r="E4752">
            <v>14</v>
          </cell>
        </row>
        <row r="4753">
          <cell r="C4753" t="str">
            <v xml:space="preserve">    A SPASM            ACM</v>
          </cell>
          <cell r="D4753">
            <v>0</v>
          </cell>
          <cell r="E4753">
            <v>0</v>
          </cell>
        </row>
        <row r="4754">
          <cell r="C4754" t="str">
            <v xml:space="preserve">   DROTAVERINE</v>
          </cell>
          <cell r="D4754">
            <v>5320</v>
          </cell>
          <cell r="E4754">
            <v>5629</v>
          </cell>
        </row>
        <row r="4755">
          <cell r="C4755" t="str">
            <v xml:space="preserve">    SPAN               OPI</v>
          </cell>
          <cell r="D4755">
            <v>5161</v>
          </cell>
          <cell r="E4755">
            <v>5573</v>
          </cell>
        </row>
        <row r="4756">
          <cell r="C4756" t="str">
            <v xml:space="preserve">    NO SPA             MPX</v>
          </cell>
          <cell r="D4756">
            <v>88</v>
          </cell>
          <cell r="E4756">
            <v>0</v>
          </cell>
        </row>
        <row r="4757">
          <cell r="C4757" t="str">
            <v xml:space="preserve">    TAVERIN            BXM</v>
          </cell>
          <cell r="D4757">
            <v>71</v>
          </cell>
          <cell r="E4757">
            <v>56</v>
          </cell>
        </row>
        <row r="4758">
          <cell r="C4758" t="str">
            <v xml:space="preserve">    DOVER              NIP</v>
          </cell>
          <cell r="D4758">
            <v>0</v>
          </cell>
          <cell r="E4758">
            <v>0</v>
          </cell>
        </row>
        <row r="4759">
          <cell r="C4759" t="str">
            <v xml:space="preserve">    DROVIN             A-I</v>
          </cell>
          <cell r="D4759">
            <v>0</v>
          </cell>
          <cell r="E4759">
            <v>0</v>
          </cell>
        </row>
        <row r="4760">
          <cell r="C4760" t="str">
            <v xml:space="preserve">    ESPA               SQA</v>
          </cell>
          <cell r="D4760">
            <v>0</v>
          </cell>
          <cell r="E4760">
            <v>0</v>
          </cell>
        </row>
        <row r="4761">
          <cell r="C4761" t="str">
            <v xml:space="preserve">    TAV 40             NVK</v>
          </cell>
          <cell r="D4761">
            <v>0</v>
          </cell>
          <cell r="E4761">
            <v>0</v>
          </cell>
        </row>
        <row r="4762">
          <cell r="C4762" t="str">
            <v xml:space="preserve">   ATROPINE</v>
          </cell>
          <cell r="D4762">
            <v>0</v>
          </cell>
          <cell r="E4762">
            <v>13</v>
          </cell>
        </row>
        <row r="4763">
          <cell r="C4763" t="str">
            <v xml:space="preserve">    ATROPINE           GNS</v>
          </cell>
          <cell r="D4763">
            <v>0</v>
          </cell>
          <cell r="E4763">
            <v>0</v>
          </cell>
        </row>
        <row r="4764">
          <cell r="C4764" t="str">
            <v xml:space="preserve">    ATROPINE SULPHATE  CHM</v>
          </cell>
          <cell r="D4764">
            <v>0</v>
          </cell>
          <cell r="E4764">
            <v>0</v>
          </cell>
        </row>
        <row r="4765">
          <cell r="C4765" t="str">
            <v xml:space="preserve">    ATROPINE JAYSON    JAY</v>
          </cell>
          <cell r="D4765">
            <v>0</v>
          </cell>
          <cell r="E4765">
            <v>13</v>
          </cell>
        </row>
        <row r="4766">
          <cell r="C4766" t="str">
            <v xml:space="preserve">   COMPOSITION UNKNOWN</v>
          </cell>
          <cell r="D4766">
            <v>0</v>
          </cell>
          <cell r="E4766">
            <v>0</v>
          </cell>
        </row>
        <row r="4767">
          <cell r="C4767" t="str">
            <v xml:space="preserve">    ANIL               GCO</v>
          </cell>
          <cell r="D4767">
            <v>0</v>
          </cell>
          <cell r="E4767">
            <v>0</v>
          </cell>
        </row>
        <row r="4768">
          <cell r="C4768" t="str">
            <v xml:space="preserve">   HYOSCYAMINE</v>
          </cell>
          <cell r="D4768">
            <v>0</v>
          </cell>
          <cell r="E4768">
            <v>0</v>
          </cell>
        </row>
        <row r="4769">
          <cell r="C4769" t="str">
            <v xml:space="preserve">    EZIRIDE            OPI</v>
          </cell>
          <cell r="D4769">
            <v>0</v>
          </cell>
          <cell r="E4769">
            <v>0</v>
          </cell>
        </row>
        <row r="4770">
          <cell r="C4770" t="str">
            <v xml:space="preserve"> CALCIUM ANTAGONISTS COMBS</v>
          </cell>
          <cell r="D4770">
            <v>2188346</v>
          </cell>
          <cell r="E4770">
            <v>1820578</v>
          </cell>
        </row>
        <row r="4771">
          <cell r="C4771" t="str">
            <v xml:space="preserve">  CALC ANTAG/B BLOCKER COMB</v>
          </cell>
          <cell r="D4771">
            <v>2185274</v>
          </cell>
          <cell r="E4771">
            <v>1820578</v>
          </cell>
        </row>
        <row r="4772">
          <cell r="C4772" t="str">
            <v xml:space="preserve">   AMLODIPINE+ATENOLOL</v>
          </cell>
          <cell r="D4772">
            <v>1591883</v>
          </cell>
          <cell r="E4772">
            <v>1421164</v>
          </cell>
        </row>
        <row r="4773">
          <cell r="C4773" t="str">
            <v xml:space="preserve">    FIXOCARD           IAP</v>
          </cell>
          <cell r="D4773">
            <v>609704</v>
          </cell>
          <cell r="E4773">
            <v>589619</v>
          </cell>
        </row>
        <row r="4774">
          <cell r="C4774" t="str">
            <v xml:space="preserve">    AMDOCAL-PLUS       BXM</v>
          </cell>
          <cell r="D4774">
            <v>447462</v>
          </cell>
          <cell r="E4774">
            <v>356427</v>
          </cell>
        </row>
        <row r="4775">
          <cell r="C4775" t="str">
            <v xml:space="preserve">    CAMLODIN-PLUS      SQA</v>
          </cell>
          <cell r="D4775">
            <v>175971</v>
          </cell>
          <cell r="E4775">
            <v>140764</v>
          </cell>
        </row>
        <row r="4776">
          <cell r="C4776" t="str">
            <v xml:space="preserve">    TENOCAB            A-I</v>
          </cell>
          <cell r="D4776">
            <v>100451</v>
          </cell>
          <cell r="E4776">
            <v>89820</v>
          </cell>
        </row>
        <row r="4777">
          <cell r="C4777" t="str">
            <v xml:space="preserve">    AMLOTEN            ACM</v>
          </cell>
          <cell r="D4777">
            <v>77290</v>
          </cell>
          <cell r="E4777">
            <v>62732</v>
          </cell>
        </row>
        <row r="4778">
          <cell r="C4778" t="str">
            <v xml:space="preserve">    AMLOCARD PLUS      D-I</v>
          </cell>
          <cell r="D4778">
            <v>36650</v>
          </cell>
          <cell r="E4778">
            <v>42134</v>
          </cell>
        </row>
        <row r="4779">
          <cell r="C4779" t="str">
            <v xml:space="preserve">    LODICARD           ATP</v>
          </cell>
          <cell r="D4779">
            <v>35562</v>
          </cell>
          <cell r="E4779">
            <v>30967</v>
          </cell>
        </row>
        <row r="4780">
          <cell r="C4780" t="str">
            <v xml:space="preserve">    CARDIPIN PLUS      RTA</v>
          </cell>
          <cell r="D4780">
            <v>29765</v>
          </cell>
          <cell r="E4780">
            <v>25172</v>
          </cell>
        </row>
        <row r="4781">
          <cell r="C4781" t="str">
            <v xml:space="preserve">    SIDOPLUS           ESF</v>
          </cell>
          <cell r="D4781">
            <v>23475</v>
          </cell>
          <cell r="E4781">
            <v>24962</v>
          </cell>
        </row>
        <row r="4782">
          <cell r="C4782" t="str">
            <v xml:space="preserve">    COMBICARD          HT3</v>
          </cell>
          <cell r="D4782">
            <v>12715</v>
          </cell>
          <cell r="E4782">
            <v>12158</v>
          </cell>
        </row>
        <row r="4783">
          <cell r="C4783" t="str">
            <v xml:space="preserve">    BETACAL            OR/</v>
          </cell>
          <cell r="D4783">
            <v>11780</v>
          </cell>
          <cell r="E4783">
            <v>14459</v>
          </cell>
        </row>
        <row r="4784">
          <cell r="C4784" t="str">
            <v xml:space="preserve">    AMOCAL-AT          OPI</v>
          </cell>
          <cell r="D4784">
            <v>9985</v>
          </cell>
          <cell r="E4784">
            <v>8135</v>
          </cell>
        </row>
        <row r="4785">
          <cell r="C4785" t="str">
            <v xml:space="preserve">    AMLOVAS AT         PPH</v>
          </cell>
          <cell r="D4785">
            <v>5459</v>
          </cell>
          <cell r="E4785">
            <v>5686</v>
          </cell>
        </row>
        <row r="4786">
          <cell r="C4786" t="str">
            <v xml:space="preserve">    CALCHEK PLUS       GNR</v>
          </cell>
          <cell r="D4786">
            <v>4624</v>
          </cell>
          <cell r="E4786">
            <v>5029</v>
          </cell>
        </row>
        <row r="4787">
          <cell r="C4787" t="str">
            <v xml:space="preserve">    CALBETA            UNH</v>
          </cell>
          <cell r="D4787">
            <v>2925</v>
          </cell>
          <cell r="E4787">
            <v>3407</v>
          </cell>
        </row>
        <row r="4788">
          <cell r="C4788" t="str">
            <v xml:space="preserve">    EMLON PLUS         BP&amp;</v>
          </cell>
          <cell r="D4788">
            <v>1863</v>
          </cell>
          <cell r="E4788">
            <v>1445</v>
          </cell>
        </row>
        <row r="4789">
          <cell r="C4789" t="str">
            <v xml:space="preserve">    DIPLOR PLUS        IBN</v>
          </cell>
          <cell r="D4789">
            <v>1535</v>
          </cell>
          <cell r="E4789">
            <v>1867</v>
          </cell>
        </row>
        <row r="4790">
          <cell r="C4790" t="str">
            <v xml:space="preserve">    CVNOR-A            N8V</v>
          </cell>
          <cell r="D4790">
            <v>1330</v>
          </cell>
          <cell r="E4790">
            <v>698</v>
          </cell>
        </row>
        <row r="4791">
          <cell r="C4791" t="str">
            <v xml:space="preserve">    ANGICAL            AX.</v>
          </cell>
          <cell r="D4791">
            <v>1193</v>
          </cell>
          <cell r="E4791">
            <v>1450</v>
          </cell>
        </row>
        <row r="4792">
          <cell r="C4792" t="str">
            <v xml:space="preserve">    BPNOL-PLUS         D&amp;B</v>
          </cell>
          <cell r="D4792">
            <v>902</v>
          </cell>
          <cell r="E4792">
            <v>1330</v>
          </cell>
        </row>
        <row r="4793">
          <cell r="C4793" t="str">
            <v xml:space="preserve">    VESOCAL PLUS       R7G</v>
          </cell>
          <cell r="D4793">
            <v>286</v>
          </cell>
          <cell r="E4793">
            <v>348</v>
          </cell>
        </row>
        <row r="4794">
          <cell r="C4794" t="str">
            <v xml:space="preserve">    AMPIL PLUS         WTH</v>
          </cell>
          <cell r="D4794">
            <v>279</v>
          </cell>
          <cell r="E4794">
            <v>369</v>
          </cell>
        </row>
        <row r="4795">
          <cell r="C4795" t="str">
            <v xml:space="preserve">    CARDOSIA PLUS      P-S</v>
          </cell>
          <cell r="D4795">
            <v>235</v>
          </cell>
          <cell r="E4795">
            <v>237</v>
          </cell>
        </row>
        <row r="4796">
          <cell r="C4796" t="str">
            <v xml:space="preserve">    AMTINOL PLUS       EMA</v>
          </cell>
          <cell r="D4796">
            <v>146</v>
          </cell>
          <cell r="E4796">
            <v>1001</v>
          </cell>
        </row>
        <row r="4797">
          <cell r="C4797" t="str">
            <v xml:space="preserve">    AMPRE PLUS         KUM</v>
          </cell>
          <cell r="D4797">
            <v>130</v>
          </cell>
          <cell r="E4797">
            <v>64</v>
          </cell>
        </row>
        <row r="4798">
          <cell r="C4798" t="str">
            <v xml:space="preserve">    CALPIN PLUS        GBE</v>
          </cell>
          <cell r="D4798">
            <v>83</v>
          </cell>
          <cell r="E4798">
            <v>389</v>
          </cell>
        </row>
        <row r="4799">
          <cell r="C4799" t="str">
            <v xml:space="preserve">    AMLOBET            SPI</v>
          </cell>
          <cell r="D4799">
            <v>28</v>
          </cell>
          <cell r="E4799">
            <v>0</v>
          </cell>
        </row>
        <row r="4800">
          <cell r="C4800" t="str">
            <v xml:space="preserve">    AMLOCARD-AX        D-I</v>
          </cell>
          <cell r="D4800">
            <v>24</v>
          </cell>
          <cell r="E4800">
            <v>0</v>
          </cell>
        </row>
        <row r="4801">
          <cell r="C4801" t="str">
            <v xml:space="preserve">    AMDIN PLUS         A.P</v>
          </cell>
          <cell r="D4801">
            <v>23</v>
          </cell>
          <cell r="E4801">
            <v>380</v>
          </cell>
        </row>
        <row r="4802">
          <cell r="C4802" t="str">
            <v xml:space="preserve">    IPIN PLUS          CHM</v>
          </cell>
          <cell r="D4802">
            <v>7</v>
          </cell>
          <cell r="E4802">
            <v>8</v>
          </cell>
        </row>
        <row r="4803">
          <cell r="C4803" t="str">
            <v xml:space="preserve">    AMLOCARD-A         D-I</v>
          </cell>
          <cell r="D4803">
            <v>0</v>
          </cell>
          <cell r="E4803">
            <v>18</v>
          </cell>
        </row>
        <row r="4804">
          <cell r="C4804" t="str">
            <v xml:space="preserve">    AMLOCOM            BAC</v>
          </cell>
          <cell r="D4804">
            <v>0</v>
          </cell>
          <cell r="E4804">
            <v>0</v>
          </cell>
        </row>
        <row r="4805">
          <cell r="C4805" t="str">
            <v xml:space="preserve">    BETANOL-A          S.Y</v>
          </cell>
          <cell r="D4805">
            <v>0</v>
          </cell>
          <cell r="E4805">
            <v>2</v>
          </cell>
        </row>
        <row r="4806">
          <cell r="C4806" t="str">
            <v xml:space="preserve">    HIPRE PLUS         PAC</v>
          </cell>
          <cell r="D4806">
            <v>0</v>
          </cell>
          <cell r="E4806">
            <v>46</v>
          </cell>
        </row>
        <row r="4807">
          <cell r="C4807" t="str">
            <v xml:space="preserve">    TENODIN            A/L</v>
          </cell>
          <cell r="D4807">
            <v>0</v>
          </cell>
          <cell r="E4807">
            <v>0</v>
          </cell>
        </row>
        <row r="4808">
          <cell r="C4808" t="str">
            <v xml:space="preserve">    DIPICARD PLUS      LOP</v>
          </cell>
          <cell r="D4808">
            <v>0</v>
          </cell>
          <cell r="E4808">
            <v>0</v>
          </cell>
        </row>
        <row r="4809">
          <cell r="C4809" t="str">
            <v xml:space="preserve">    ACUDIPIN-PLUS      CC/</v>
          </cell>
          <cell r="D4809">
            <v>0</v>
          </cell>
          <cell r="E4809">
            <v>0</v>
          </cell>
        </row>
        <row r="4810">
          <cell r="C4810" t="str">
            <v xml:space="preserve">    CARDIFORT PLUS     NUV</v>
          </cell>
          <cell r="D4810">
            <v>0</v>
          </cell>
          <cell r="E4810">
            <v>7</v>
          </cell>
        </row>
        <row r="4811">
          <cell r="C4811" t="str">
            <v xml:space="preserve">    ALOTEN FORTE       KMP</v>
          </cell>
          <cell r="D4811">
            <v>0</v>
          </cell>
          <cell r="E4811">
            <v>0</v>
          </cell>
        </row>
        <row r="4812">
          <cell r="C4812" t="str">
            <v xml:space="preserve">    AMLOSIN PLUS       DOC</v>
          </cell>
          <cell r="D4812">
            <v>0</v>
          </cell>
          <cell r="E4812">
            <v>0</v>
          </cell>
        </row>
        <row r="4813">
          <cell r="C4813" t="str">
            <v xml:space="preserve">    LOVASK-A           BAC</v>
          </cell>
          <cell r="D4813">
            <v>0</v>
          </cell>
          <cell r="E4813">
            <v>34</v>
          </cell>
        </row>
        <row r="4814">
          <cell r="C4814" t="str">
            <v xml:space="preserve">   AMLODIPINE+BISOPROLOL</v>
          </cell>
          <cell r="D4814">
            <v>593384</v>
          </cell>
          <cell r="E4814">
            <v>399361</v>
          </cell>
        </row>
        <row r="4815">
          <cell r="C4815" t="str">
            <v xml:space="preserve">    BISLOL MAX         OPI</v>
          </cell>
          <cell r="D4815">
            <v>212232</v>
          </cell>
          <cell r="E4815">
            <v>152318</v>
          </cell>
        </row>
        <row r="4816">
          <cell r="C4816" t="str">
            <v xml:space="preserve">    BISOPRO A          IAP</v>
          </cell>
          <cell r="D4816">
            <v>90222</v>
          </cell>
          <cell r="E4816">
            <v>62513</v>
          </cell>
        </row>
        <row r="4817">
          <cell r="C4817" t="str">
            <v xml:space="preserve">    BISOCAM            SQA</v>
          </cell>
          <cell r="D4817">
            <v>82600</v>
          </cell>
          <cell r="E4817">
            <v>59344</v>
          </cell>
        </row>
        <row r="4818">
          <cell r="C4818" t="str">
            <v xml:space="preserve">    BETACOR AM         PPH</v>
          </cell>
          <cell r="D4818">
            <v>41782</v>
          </cell>
          <cell r="E4818">
            <v>20368</v>
          </cell>
        </row>
        <row r="4819">
          <cell r="C4819" t="str">
            <v xml:space="preserve">    BISOREN M          RTA</v>
          </cell>
          <cell r="D4819">
            <v>38653</v>
          </cell>
          <cell r="E4819">
            <v>20028</v>
          </cell>
        </row>
        <row r="4820">
          <cell r="C4820" t="str">
            <v xml:space="preserve">    BETAFIX AM         HT3</v>
          </cell>
          <cell r="D4820">
            <v>30615</v>
          </cell>
          <cell r="E4820">
            <v>16172</v>
          </cell>
        </row>
        <row r="4821">
          <cell r="C4821" t="str">
            <v xml:space="preserve">    CARDOBIS M         ESF</v>
          </cell>
          <cell r="D4821">
            <v>29305</v>
          </cell>
          <cell r="E4821">
            <v>18704</v>
          </cell>
        </row>
        <row r="4822">
          <cell r="C4822" t="str">
            <v xml:space="preserve">    AMDOCAL-PRO        BXM</v>
          </cell>
          <cell r="D4822">
            <v>27530</v>
          </cell>
          <cell r="E4822">
            <v>17416</v>
          </cell>
        </row>
        <row r="4823">
          <cell r="C4823" t="str">
            <v xml:space="preserve">    ANCOR-A            ATP</v>
          </cell>
          <cell r="D4823">
            <v>16786</v>
          </cell>
          <cell r="E4823">
            <v>16029</v>
          </cell>
        </row>
        <row r="4824">
          <cell r="C4824" t="str">
            <v xml:space="preserve">    BETABIS-A          ACM</v>
          </cell>
          <cell r="D4824">
            <v>15160</v>
          </cell>
          <cell r="E4824">
            <v>11092</v>
          </cell>
        </row>
        <row r="4825">
          <cell r="C4825" t="str">
            <v xml:space="preserve">    PRELIZER-AM        RD7</v>
          </cell>
          <cell r="D4825">
            <v>2237</v>
          </cell>
          <cell r="E4825">
            <v>226</v>
          </cell>
        </row>
        <row r="4826">
          <cell r="C4826" t="str">
            <v xml:space="preserve">    CARDOFIX           LDB</v>
          </cell>
          <cell r="D4826">
            <v>2167</v>
          </cell>
          <cell r="E4826">
            <v>2521</v>
          </cell>
        </row>
        <row r="4827">
          <cell r="C4827" t="str">
            <v xml:space="preserve">    TENOBIS-A          D-I</v>
          </cell>
          <cell r="D4827">
            <v>2069</v>
          </cell>
          <cell r="E4827">
            <v>1331</v>
          </cell>
        </row>
        <row r="4828">
          <cell r="C4828" t="str">
            <v xml:space="preserve">    PROBIS-AM          A-I</v>
          </cell>
          <cell r="D4828">
            <v>1917</v>
          </cell>
          <cell r="E4828">
            <v>1058</v>
          </cell>
        </row>
        <row r="4829">
          <cell r="C4829" t="str">
            <v xml:space="preserve">    MYOCARD-AM         GNR</v>
          </cell>
          <cell r="D4829">
            <v>107</v>
          </cell>
          <cell r="E4829">
            <v>240</v>
          </cell>
        </row>
        <row r="4830">
          <cell r="C4830" t="str">
            <v xml:space="preserve">   ATENOLOL+NIFEDIPINE</v>
          </cell>
          <cell r="D4830">
            <v>8</v>
          </cell>
          <cell r="E4830">
            <v>53</v>
          </cell>
        </row>
        <row r="4831">
          <cell r="C4831" t="str">
            <v xml:space="preserve">    NIDIPRO            SQA</v>
          </cell>
          <cell r="D4831">
            <v>8</v>
          </cell>
          <cell r="E4831">
            <v>53</v>
          </cell>
        </row>
        <row r="4832">
          <cell r="C4832" t="str">
            <v xml:space="preserve">  CALC ANTAG+A-HYPER/DIURET</v>
          </cell>
          <cell r="D4832">
            <v>3072</v>
          </cell>
          <cell r="E4832">
            <v>0</v>
          </cell>
        </row>
        <row r="4833">
          <cell r="C4833" t="str">
            <v xml:space="preserve">   AMLODIPINE+INDAPAMIDE</v>
          </cell>
          <cell r="D4833">
            <v>3072</v>
          </cell>
          <cell r="E4833">
            <v>0</v>
          </cell>
        </row>
        <row r="4834">
          <cell r="C4834" t="str">
            <v xml:space="preserve">    HYPEN-MAX          OPI</v>
          </cell>
          <cell r="D4834">
            <v>3072</v>
          </cell>
          <cell r="E4834">
            <v>0</v>
          </cell>
        </row>
        <row r="4835">
          <cell r="C4835" t="str">
            <v xml:space="preserve"> ANTIEMETICS+ANTINAUSEANTS</v>
          </cell>
          <cell r="D4835">
            <v>1854485</v>
          </cell>
          <cell r="E4835">
            <v>1814175</v>
          </cell>
        </row>
        <row r="4836">
          <cell r="C4836" t="str">
            <v xml:space="preserve">  SEROT ANTAG A-EMET+A-NAUS</v>
          </cell>
          <cell r="D4836">
            <v>1321053</v>
          </cell>
          <cell r="E4836">
            <v>1358748</v>
          </cell>
        </row>
        <row r="4837">
          <cell r="C4837" t="str">
            <v xml:space="preserve">   ONDANSETRON</v>
          </cell>
          <cell r="D4837">
            <v>1063313</v>
          </cell>
          <cell r="E4837">
            <v>1060029</v>
          </cell>
        </row>
        <row r="4838">
          <cell r="C4838" t="str">
            <v xml:space="preserve">    EMISTAT            HT3</v>
          </cell>
          <cell r="D4838">
            <v>805050</v>
          </cell>
          <cell r="E4838">
            <v>788454</v>
          </cell>
        </row>
        <row r="4839">
          <cell r="C4839" t="str">
            <v xml:space="preserve">    ZOFRA ODT          ESF</v>
          </cell>
          <cell r="D4839">
            <v>104022</v>
          </cell>
          <cell r="E4839">
            <v>106733</v>
          </cell>
        </row>
        <row r="4840">
          <cell r="C4840" t="str">
            <v xml:space="preserve">    ANSET              OPI</v>
          </cell>
          <cell r="D4840">
            <v>54269</v>
          </cell>
          <cell r="E4840">
            <v>60773</v>
          </cell>
        </row>
        <row r="4841">
          <cell r="C4841" t="str">
            <v xml:space="preserve">    ZOFRA              ESF</v>
          </cell>
          <cell r="D4841">
            <v>36065</v>
          </cell>
          <cell r="E4841">
            <v>34505</v>
          </cell>
        </row>
        <row r="4842">
          <cell r="C4842" t="str">
            <v xml:space="preserve">    OFRAN              SQA</v>
          </cell>
          <cell r="D4842">
            <v>20562</v>
          </cell>
          <cell r="E4842">
            <v>22608</v>
          </cell>
        </row>
        <row r="4843">
          <cell r="C4843" t="str">
            <v xml:space="preserve">    ONASERON           IAP</v>
          </cell>
          <cell r="D4843">
            <v>13631</v>
          </cell>
          <cell r="E4843">
            <v>14918</v>
          </cell>
        </row>
        <row r="4844">
          <cell r="C4844" t="str">
            <v xml:space="preserve">    EMEREN             RTA</v>
          </cell>
          <cell r="D4844">
            <v>5710</v>
          </cell>
          <cell r="E4844">
            <v>6248</v>
          </cell>
        </row>
        <row r="4845">
          <cell r="C4845" t="str">
            <v xml:space="preserve">    ONASIA             OR/</v>
          </cell>
          <cell r="D4845">
            <v>4345</v>
          </cell>
          <cell r="E4845">
            <v>5369</v>
          </cell>
        </row>
        <row r="4846">
          <cell r="C4846" t="str">
            <v xml:space="preserve">    APULSET            ATP</v>
          </cell>
          <cell r="D4846">
            <v>4119</v>
          </cell>
          <cell r="E4846">
            <v>4178</v>
          </cell>
        </row>
        <row r="4847">
          <cell r="C4847" t="str">
            <v xml:space="preserve">    ONDASON            D-I</v>
          </cell>
          <cell r="D4847">
            <v>3965</v>
          </cell>
          <cell r="E4847">
            <v>4049</v>
          </cell>
        </row>
        <row r="4848">
          <cell r="C4848" t="str">
            <v xml:space="preserve">    PERISET            ACM</v>
          </cell>
          <cell r="D4848">
            <v>3197</v>
          </cell>
          <cell r="E4848">
            <v>3791</v>
          </cell>
        </row>
        <row r="4849">
          <cell r="C4849" t="str">
            <v xml:space="preserve">    OSETRON            A-I</v>
          </cell>
          <cell r="D4849">
            <v>2835</v>
          </cell>
          <cell r="E4849">
            <v>649</v>
          </cell>
        </row>
        <row r="4850">
          <cell r="C4850" t="str">
            <v xml:space="preserve">    EMISTON            IBN</v>
          </cell>
          <cell r="D4850">
            <v>2610</v>
          </cell>
          <cell r="E4850">
            <v>3122</v>
          </cell>
        </row>
        <row r="4851">
          <cell r="C4851" t="str">
            <v xml:space="preserve">    ONASET             IAP</v>
          </cell>
          <cell r="D4851">
            <v>1075</v>
          </cell>
          <cell r="E4851">
            <v>729</v>
          </cell>
        </row>
        <row r="4852">
          <cell r="C4852" t="str">
            <v xml:space="preserve">    SETON              D&amp;B</v>
          </cell>
          <cell r="D4852">
            <v>843</v>
          </cell>
          <cell r="E4852">
            <v>1350</v>
          </cell>
        </row>
        <row r="4853">
          <cell r="C4853" t="str">
            <v xml:space="preserve">    ONSTAR             BP&amp;</v>
          </cell>
          <cell r="D4853">
            <v>560</v>
          </cell>
          <cell r="E4853">
            <v>946</v>
          </cell>
        </row>
        <row r="4854">
          <cell r="C4854" t="str">
            <v xml:space="preserve">    ONSAT              BXM</v>
          </cell>
          <cell r="D4854">
            <v>136</v>
          </cell>
          <cell r="E4854">
            <v>95</v>
          </cell>
        </row>
        <row r="4855">
          <cell r="C4855" t="str">
            <v xml:space="preserve">    EMIREST            P-S</v>
          </cell>
          <cell r="D4855">
            <v>78</v>
          </cell>
          <cell r="E4855">
            <v>200</v>
          </cell>
        </row>
        <row r="4856">
          <cell r="C4856" t="str">
            <v xml:space="preserve">    NOVATRON           RD7</v>
          </cell>
          <cell r="D4856">
            <v>73</v>
          </cell>
          <cell r="E4856">
            <v>420</v>
          </cell>
        </row>
        <row r="4857">
          <cell r="C4857" t="str">
            <v xml:space="preserve">    OSEDAN             EMA</v>
          </cell>
          <cell r="D4857">
            <v>65</v>
          </cell>
          <cell r="E4857">
            <v>144</v>
          </cell>
        </row>
        <row r="4858">
          <cell r="C4858" t="str">
            <v xml:space="preserve">    EMESET             RTA</v>
          </cell>
          <cell r="D4858">
            <v>47</v>
          </cell>
          <cell r="E4858">
            <v>61</v>
          </cell>
        </row>
        <row r="4859">
          <cell r="C4859" t="str">
            <v xml:space="preserve">    DANTRON            ONA</v>
          </cell>
          <cell r="D4859">
            <v>41</v>
          </cell>
          <cell r="E4859">
            <v>0</v>
          </cell>
        </row>
        <row r="4860">
          <cell r="C4860" t="str">
            <v xml:space="preserve">    ONAXEN             EVR</v>
          </cell>
          <cell r="D4860">
            <v>16</v>
          </cell>
          <cell r="E4860">
            <v>94</v>
          </cell>
        </row>
        <row r="4861">
          <cell r="C4861" t="str">
            <v xml:space="preserve">    ZOFER              SPI</v>
          </cell>
          <cell r="D4861">
            <v>0</v>
          </cell>
          <cell r="E4861">
            <v>0</v>
          </cell>
        </row>
        <row r="4862">
          <cell r="C4862" t="str">
            <v xml:space="preserve">    PREMESIS           GBE</v>
          </cell>
          <cell r="D4862">
            <v>0</v>
          </cell>
          <cell r="E4862">
            <v>0</v>
          </cell>
        </row>
        <row r="4863">
          <cell r="C4863" t="str">
            <v xml:space="preserve">    ONDANTOR           SDZ</v>
          </cell>
          <cell r="D4863">
            <v>0</v>
          </cell>
          <cell r="E4863">
            <v>0</v>
          </cell>
        </row>
        <row r="4864">
          <cell r="C4864" t="str">
            <v xml:space="preserve">    ONATRON            NVW</v>
          </cell>
          <cell r="D4864">
            <v>0</v>
          </cell>
          <cell r="E4864">
            <v>0</v>
          </cell>
        </row>
        <row r="4865">
          <cell r="C4865" t="str">
            <v xml:space="preserve">    LEOFRAN            LOP</v>
          </cell>
          <cell r="D4865">
            <v>0</v>
          </cell>
          <cell r="E4865">
            <v>0</v>
          </cell>
        </row>
        <row r="4866">
          <cell r="C4866" t="str">
            <v xml:space="preserve">    NAUSET             N8V</v>
          </cell>
          <cell r="D4866">
            <v>0</v>
          </cell>
          <cell r="E4866">
            <v>579</v>
          </cell>
        </row>
        <row r="4867">
          <cell r="C4867" t="str">
            <v xml:space="preserve">    ONDAGEN            GNR</v>
          </cell>
          <cell r="D4867">
            <v>0</v>
          </cell>
          <cell r="E4867">
            <v>0</v>
          </cell>
        </row>
        <row r="4868">
          <cell r="C4868" t="str">
            <v xml:space="preserve">    VOMITOF            CHM</v>
          </cell>
          <cell r="D4868">
            <v>0</v>
          </cell>
          <cell r="E4868">
            <v>4</v>
          </cell>
        </row>
        <row r="4869">
          <cell r="C4869" t="str">
            <v xml:space="preserve">    PUKENIL            TMH</v>
          </cell>
          <cell r="D4869">
            <v>0</v>
          </cell>
          <cell r="E4869">
            <v>11</v>
          </cell>
        </row>
        <row r="4870">
          <cell r="C4870" t="str">
            <v xml:space="preserve">   PALONOSETRON</v>
          </cell>
          <cell r="D4870">
            <v>238113</v>
          </cell>
          <cell r="E4870">
            <v>287008</v>
          </cell>
        </row>
        <row r="4871">
          <cell r="C4871" t="str">
            <v xml:space="preserve">    PALOXI             BAC</v>
          </cell>
          <cell r="D4871">
            <v>144479</v>
          </cell>
          <cell r="E4871">
            <v>177956</v>
          </cell>
        </row>
        <row r="4872">
          <cell r="C4872" t="str">
            <v xml:space="preserve">    PALORON            ZIS</v>
          </cell>
          <cell r="D4872">
            <v>34913</v>
          </cell>
          <cell r="E4872">
            <v>46661</v>
          </cell>
        </row>
        <row r="4873">
          <cell r="C4873" t="str">
            <v xml:space="preserve">    PALOSET            SQA</v>
          </cell>
          <cell r="D4873">
            <v>20036</v>
          </cell>
          <cell r="E4873">
            <v>21309</v>
          </cell>
        </row>
        <row r="4874">
          <cell r="C4874" t="str">
            <v xml:space="preserve">    VOMIREN            RTA</v>
          </cell>
          <cell r="D4874">
            <v>18264</v>
          </cell>
          <cell r="E4874">
            <v>16958</v>
          </cell>
        </row>
        <row r="4875">
          <cell r="C4875" t="str">
            <v xml:space="preserve">    PALZEN             HT3</v>
          </cell>
          <cell r="D4875">
            <v>9551</v>
          </cell>
          <cell r="E4875">
            <v>6836</v>
          </cell>
        </row>
        <row r="4876">
          <cell r="C4876" t="str">
            <v xml:space="preserve">    PALNOX             D-I</v>
          </cell>
          <cell r="D4876">
            <v>3644</v>
          </cell>
          <cell r="E4876">
            <v>6361</v>
          </cell>
        </row>
        <row r="4877">
          <cell r="C4877" t="str">
            <v xml:space="preserve">    PALOTIC            PPH</v>
          </cell>
          <cell r="D4877">
            <v>3469</v>
          </cell>
          <cell r="E4877">
            <v>4503</v>
          </cell>
        </row>
        <row r="4878">
          <cell r="C4878" t="str">
            <v xml:space="preserve">    PALOXIRON          IAP</v>
          </cell>
          <cell r="D4878">
            <v>1859</v>
          </cell>
          <cell r="E4878">
            <v>2489</v>
          </cell>
        </row>
        <row r="4879">
          <cell r="C4879" t="str">
            <v xml:space="preserve">    PALOSTAR           OR/</v>
          </cell>
          <cell r="D4879">
            <v>1107</v>
          </cell>
          <cell r="E4879">
            <v>2558</v>
          </cell>
        </row>
        <row r="4880">
          <cell r="C4880" t="str">
            <v xml:space="preserve">    PALOSTAT           IBN</v>
          </cell>
          <cell r="D4880">
            <v>411</v>
          </cell>
          <cell r="E4880">
            <v>423</v>
          </cell>
        </row>
        <row r="4881">
          <cell r="C4881" t="str">
            <v xml:space="preserve">    PANOSET            OPI</v>
          </cell>
          <cell r="D4881">
            <v>185</v>
          </cell>
          <cell r="E4881">
            <v>449</v>
          </cell>
        </row>
        <row r="4882">
          <cell r="C4882" t="str">
            <v xml:space="preserve">    PALOREX            J&amp;H</v>
          </cell>
          <cell r="D4882">
            <v>135</v>
          </cell>
          <cell r="E4882">
            <v>257</v>
          </cell>
        </row>
        <row r="4883">
          <cell r="C4883" t="str">
            <v xml:space="preserve">    PALON              P-S</v>
          </cell>
          <cell r="D4883">
            <v>49</v>
          </cell>
          <cell r="E4883">
            <v>249</v>
          </cell>
        </row>
        <row r="4884">
          <cell r="C4884" t="str">
            <v xml:space="preserve">    PALOSIS            ESF</v>
          </cell>
          <cell r="D4884">
            <v>13</v>
          </cell>
          <cell r="E4884">
            <v>0</v>
          </cell>
        </row>
        <row r="4885">
          <cell r="C4885" t="str">
            <v xml:space="preserve">    PATRON             ACM</v>
          </cell>
          <cell r="D4885">
            <v>0</v>
          </cell>
          <cell r="E4885">
            <v>0</v>
          </cell>
        </row>
        <row r="4886">
          <cell r="C4886" t="str">
            <v xml:space="preserve">   GRANISETRON</v>
          </cell>
          <cell r="D4886">
            <v>10532</v>
          </cell>
          <cell r="E4886">
            <v>11711</v>
          </cell>
        </row>
        <row r="4887">
          <cell r="C4887" t="str">
            <v xml:space="preserve">    NAURIF             SQA</v>
          </cell>
          <cell r="D4887">
            <v>10532</v>
          </cell>
          <cell r="E4887">
            <v>11711</v>
          </cell>
        </row>
        <row r="4888">
          <cell r="C4888" t="str">
            <v xml:space="preserve">   RAMOSETRON</v>
          </cell>
          <cell r="D4888">
            <v>9094</v>
          </cell>
          <cell r="E4888">
            <v>0</v>
          </cell>
        </row>
        <row r="4889">
          <cell r="C4889" t="str">
            <v xml:space="preserve">    RAMOSET            ESF</v>
          </cell>
          <cell r="D4889">
            <v>9094</v>
          </cell>
          <cell r="E4889">
            <v>0</v>
          </cell>
        </row>
        <row r="4890">
          <cell r="C4890" t="str">
            <v xml:space="preserve">  OTHER A-EMETIC+A-NAUSEA</v>
          </cell>
          <cell r="D4890">
            <v>521767</v>
          </cell>
          <cell r="E4890">
            <v>443683</v>
          </cell>
        </row>
        <row r="4891">
          <cell r="C4891" t="str">
            <v xml:space="preserve">   DOXYLAMINE+PYRIDOXINE</v>
          </cell>
          <cell r="D4891">
            <v>247967</v>
          </cell>
          <cell r="E4891">
            <v>187591</v>
          </cell>
        </row>
        <row r="4892">
          <cell r="C4892" t="str">
            <v xml:space="preserve">    DICLIZ PLUS        ATP</v>
          </cell>
          <cell r="D4892">
            <v>116669</v>
          </cell>
          <cell r="E4892">
            <v>79866</v>
          </cell>
        </row>
        <row r="4893">
          <cell r="C4893" t="str">
            <v xml:space="preserve">    PYRIDOX            IAP</v>
          </cell>
          <cell r="D4893">
            <v>38594</v>
          </cell>
          <cell r="E4893">
            <v>29764</v>
          </cell>
        </row>
        <row r="4894">
          <cell r="C4894" t="str">
            <v xml:space="preserve">    VERTINA D          SQA</v>
          </cell>
          <cell r="D4894">
            <v>33364</v>
          </cell>
          <cell r="E4894">
            <v>29539</v>
          </cell>
        </row>
        <row r="4895">
          <cell r="C4895" t="str">
            <v xml:space="preserve">    NOVEA              HT3</v>
          </cell>
          <cell r="D4895">
            <v>28290</v>
          </cell>
          <cell r="E4895">
            <v>20691</v>
          </cell>
        </row>
        <row r="4896">
          <cell r="C4896" t="str">
            <v xml:space="preserve">    VERTINA-DX         SQA</v>
          </cell>
          <cell r="D4896">
            <v>22610</v>
          </cell>
          <cell r="E4896">
            <v>18950</v>
          </cell>
        </row>
        <row r="4897">
          <cell r="C4897" t="str">
            <v xml:space="preserve">    EMEDOX             PPH</v>
          </cell>
          <cell r="D4897">
            <v>3819</v>
          </cell>
          <cell r="E4897">
            <v>3266</v>
          </cell>
        </row>
        <row r="4898">
          <cell r="C4898" t="str">
            <v xml:space="preserve">    DOXAVIT            NUV</v>
          </cell>
          <cell r="D4898">
            <v>3049</v>
          </cell>
          <cell r="E4898">
            <v>2502</v>
          </cell>
        </row>
        <row r="4899">
          <cell r="C4899" t="str">
            <v xml:space="preserve">    VOMIX              BXM</v>
          </cell>
          <cell r="D4899">
            <v>1573</v>
          </cell>
          <cell r="E4899">
            <v>3013</v>
          </cell>
        </row>
        <row r="4900">
          <cell r="C4900" t="str">
            <v xml:space="preserve">    NPV                ZIS</v>
          </cell>
          <cell r="D4900">
            <v>0</v>
          </cell>
          <cell r="E4900">
            <v>0</v>
          </cell>
        </row>
        <row r="4901">
          <cell r="C4901" t="str">
            <v xml:space="preserve">    SICMON             N8V</v>
          </cell>
          <cell r="D4901">
            <v>0</v>
          </cell>
          <cell r="E4901">
            <v>0</v>
          </cell>
        </row>
        <row r="4902">
          <cell r="C4902" t="str">
            <v xml:space="preserve">   PROCHLORPERAZINE</v>
          </cell>
          <cell r="D4902">
            <v>102525</v>
          </cell>
          <cell r="E4902">
            <v>99082</v>
          </cell>
        </row>
        <row r="4903">
          <cell r="C4903" t="str">
            <v xml:space="preserve">    VERGON             OPI</v>
          </cell>
          <cell r="D4903">
            <v>64545</v>
          </cell>
          <cell r="E4903">
            <v>55370</v>
          </cell>
        </row>
        <row r="4904">
          <cell r="C4904" t="str">
            <v xml:space="preserve">    STEMETIL           S.Y</v>
          </cell>
          <cell r="D4904">
            <v>22244</v>
          </cell>
          <cell r="E4904">
            <v>30848</v>
          </cell>
        </row>
        <row r="4905">
          <cell r="C4905" t="str">
            <v xml:space="preserve">    PROMTIL            SQA</v>
          </cell>
          <cell r="D4905">
            <v>15731</v>
          </cell>
          <cell r="E4905">
            <v>12864</v>
          </cell>
        </row>
        <row r="4906">
          <cell r="C4906" t="str">
            <v xml:space="preserve">    PROMAT             N8V</v>
          </cell>
          <cell r="D4906">
            <v>5</v>
          </cell>
          <cell r="E4906">
            <v>0</v>
          </cell>
        </row>
        <row r="4907">
          <cell r="C4907" t="str">
            <v xml:space="preserve">    AMETIL             ATP</v>
          </cell>
          <cell r="D4907">
            <v>0</v>
          </cell>
          <cell r="E4907">
            <v>0</v>
          </cell>
        </row>
        <row r="4908">
          <cell r="C4908" t="str">
            <v xml:space="preserve">    EMITAB             SON</v>
          </cell>
          <cell r="D4908">
            <v>0</v>
          </cell>
          <cell r="E4908">
            <v>0</v>
          </cell>
        </row>
        <row r="4909">
          <cell r="C4909" t="str">
            <v xml:space="preserve">    MELATIL            GCO</v>
          </cell>
          <cell r="D4909">
            <v>0</v>
          </cell>
          <cell r="E4909">
            <v>0</v>
          </cell>
        </row>
        <row r="4910">
          <cell r="C4910" t="str">
            <v xml:space="preserve">    TEMTIL             JNS</v>
          </cell>
          <cell r="D4910">
            <v>0</v>
          </cell>
          <cell r="E4910">
            <v>0</v>
          </cell>
        </row>
        <row r="4911">
          <cell r="C4911" t="str">
            <v xml:space="preserve">   MECLOZINE+PYRIDOXINE</v>
          </cell>
          <cell r="D4911">
            <v>85357</v>
          </cell>
          <cell r="E4911">
            <v>78036</v>
          </cell>
        </row>
        <row r="4912">
          <cell r="C4912" t="str">
            <v xml:space="preserve">    ACLIZ-PLUS         ATP</v>
          </cell>
          <cell r="D4912">
            <v>57731</v>
          </cell>
          <cell r="E4912">
            <v>47957</v>
          </cell>
        </row>
        <row r="4913">
          <cell r="C4913" t="str">
            <v xml:space="preserve">    VERTINA-PLUS       SQA</v>
          </cell>
          <cell r="D4913">
            <v>26862</v>
          </cell>
          <cell r="E4913">
            <v>26613</v>
          </cell>
        </row>
        <row r="4914">
          <cell r="C4914" t="str">
            <v xml:space="preserve">    AVERT PLUS         BP&amp;</v>
          </cell>
          <cell r="D4914">
            <v>569</v>
          </cell>
          <cell r="E4914">
            <v>539</v>
          </cell>
        </row>
        <row r="4915">
          <cell r="C4915" t="str">
            <v xml:space="preserve">    ANOSEA PLUS        IBN</v>
          </cell>
          <cell r="D4915">
            <v>194</v>
          </cell>
          <cell r="E4915">
            <v>329</v>
          </cell>
        </row>
        <row r="4916">
          <cell r="C4916" t="str">
            <v xml:space="preserve">    DEVOMIT            SV6</v>
          </cell>
          <cell r="D4916">
            <v>0</v>
          </cell>
          <cell r="E4916">
            <v>0</v>
          </cell>
        </row>
        <row r="4917">
          <cell r="C4917" t="str">
            <v xml:space="preserve">    EMEGO-PLUS         OPI</v>
          </cell>
          <cell r="D4917">
            <v>0</v>
          </cell>
          <cell r="E4917">
            <v>3</v>
          </cell>
        </row>
        <row r="4918">
          <cell r="C4918" t="str">
            <v xml:space="preserve">    EMENIL PLUS        IAP</v>
          </cell>
          <cell r="D4918">
            <v>0</v>
          </cell>
          <cell r="E4918">
            <v>2380</v>
          </cell>
        </row>
        <row r="4919">
          <cell r="C4919" t="str">
            <v xml:space="preserve">    EMEZIN PLUS        ESF</v>
          </cell>
          <cell r="D4919">
            <v>0</v>
          </cell>
          <cell r="E4919">
            <v>213</v>
          </cell>
        </row>
        <row r="4920">
          <cell r="C4920" t="str">
            <v xml:space="preserve">    MECLIXIN           GNR</v>
          </cell>
          <cell r="D4920">
            <v>0</v>
          </cell>
          <cell r="E4920">
            <v>0</v>
          </cell>
        </row>
        <row r="4921">
          <cell r="C4921" t="str">
            <v xml:space="preserve">    NVP                ACM</v>
          </cell>
          <cell r="D4921">
            <v>0</v>
          </cell>
          <cell r="E4921">
            <v>0</v>
          </cell>
        </row>
        <row r="4922">
          <cell r="C4922" t="str">
            <v xml:space="preserve">    PYRIMAC            A-I</v>
          </cell>
          <cell r="D4922">
            <v>0</v>
          </cell>
          <cell r="E4922">
            <v>0</v>
          </cell>
        </row>
        <row r="4923">
          <cell r="C4923" t="str">
            <v xml:space="preserve">    PYRIZIN            AMT</v>
          </cell>
          <cell r="D4923">
            <v>0</v>
          </cell>
          <cell r="E4923">
            <v>2</v>
          </cell>
        </row>
        <row r="4924">
          <cell r="C4924" t="str">
            <v xml:space="preserve">    ANVERT             OR/</v>
          </cell>
          <cell r="D4924">
            <v>0</v>
          </cell>
          <cell r="E4924">
            <v>0</v>
          </cell>
        </row>
        <row r="4925">
          <cell r="C4925" t="str">
            <v xml:space="preserve">    MECLIZ PLUS        NJP</v>
          </cell>
          <cell r="D4925">
            <v>0</v>
          </cell>
          <cell r="E4925">
            <v>0</v>
          </cell>
        </row>
        <row r="4926">
          <cell r="C4926" t="str">
            <v xml:space="preserve">   SCOPOLAMINE</v>
          </cell>
          <cell r="D4926">
            <v>67722</v>
          </cell>
          <cell r="E4926">
            <v>66690</v>
          </cell>
        </row>
        <row r="4927">
          <cell r="C4927" t="str">
            <v xml:space="preserve">    JOYTRIP            N8V</v>
          </cell>
          <cell r="D4927">
            <v>67722</v>
          </cell>
          <cell r="E4927">
            <v>66690</v>
          </cell>
        </row>
        <row r="4928">
          <cell r="C4928" t="str">
            <v xml:space="preserve">   MECLOZINE</v>
          </cell>
          <cell r="D4928">
            <v>17979</v>
          </cell>
          <cell r="E4928">
            <v>12179</v>
          </cell>
        </row>
        <row r="4929">
          <cell r="C4929" t="str">
            <v xml:space="preserve">    ACLIZ              ATP</v>
          </cell>
          <cell r="D4929">
            <v>16967</v>
          </cell>
          <cell r="E4929">
            <v>10262</v>
          </cell>
        </row>
        <row r="4930">
          <cell r="C4930" t="str">
            <v xml:space="preserve">    VERTINA            SQA</v>
          </cell>
          <cell r="D4930">
            <v>687</v>
          </cell>
          <cell r="E4930">
            <v>1436</v>
          </cell>
        </row>
        <row r="4931">
          <cell r="C4931" t="str">
            <v xml:space="preserve">    NOMOSIC            D-I</v>
          </cell>
          <cell r="D4931">
            <v>302</v>
          </cell>
          <cell r="E4931">
            <v>330</v>
          </cell>
        </row>
        <row r="4932">
          <cell r="C4932" t="str">
            <v xml:space="preserve">    ANOSEA             IBN</v>
          </cell>
          <cell r="D4932">
            <v>13</v>
          </cell>
          <cell r="E4932">
            <v>22</v>
          </cell>
        </row>
        <row r="4933">
          <cell r="C4933" t="str">
            <v xml:space="preserve">    AVERT              BP&amp;</v>
          </cell>
          <cell r="D4933">
            <v>10</v>
          </cell>
          <cell r="E4933">
            <v>15</v>
          </cell>
        </row>
        <row r="4934">
          <cell r="C4934" t="str">
            <v xml:space="preserve">    CLIZIN             PP-</v>
          </cell>
          <cell r="D4934">
            <v>0</v>
          </cell>
          <cell r="E4934">
            <v>0</v>
          </cell>
        </row>
        <row r="4935">
          <cell r="C4935" t="str">
            <v xml:space="preserve">    EMENIL             IAP</v>
          </cell>
          <cell r="D4935">
            <v>0</v>
          </cell>
          <cell r="E4935">
            <v>114</v>
          </cell>
        </row>
        <row r="4936">
          <cell r="C4936" t="str">
            <v xml:space="preserve">    EMEZIN             ESF</v>
          </cell>
          <cell r="D4936">
            <v>0</v>
          </cell>
          <cell r="E4936">
            <v>0</v>
          </cell>
        </row>
        <row r="4937">
          <cell r="C4937" t="str">
            <v xml:space="preserve">    MELIZIN            PAC</v>
          </cell>
          <cell r="D4937">
            <v>0</v>
          </cell>
          <cell r="E4937">
            <v>0</v>
          </cell>
        </row>
        <row r="4938">
          <cell r="C4938" t="str">
            <v xml:space="preserve">   SCOPOLAMINE BUTYL HYDROXIDE</v>
          </cell>
          <cell r="D4938">
            <v>216</v>
          </cell>
          <cell r="E4938">
            <v>105</v>
          </cell>
        </row>
        <row r="4939">
          <cell r="C4939" t="str">
            <v xml:space="preserve">    COOLGUT            IAP</v>
          </cell>
          <cell r="D4939">
            <v>216</v>
          </cell>
          <cell r="E4939">
            <v>105</v>
          </cell>
        </row>
        <row r="4940">
          <cell r="C4940" t="str">
            <v xml:space="preserve">   PROMETHAZINE</v>
          </cell>
          <cell r="D4940">
            <v>0</v>
          </cell>
          <cell r="E4940">
            <v>0</v>
          </cell>
        </row>
        <row r="4941">
          <cell r="C4941" t="str">
            <v xml:space="preserve">    AVOMINE            S.Y</v>
          </cell>
          <cell r="D4941">
            <v>0</v>
          </cell>
          <cell r="E4941">
            <v>0</v>
          </cell>
        </row>
        <row r="4942">
          <cell r="C4942" t="str">
            <v xml:space="preserve">  NK1 ANTAG A-EME+A-NAUS</v>
          </cell>
          <cell r="D4942">
            <v>11665</v>
          </cell>
          <cell r="E4942">
            <v>11743</v>
          </cell>
        </row>
        <row r="4943">
          <cell r="C4943" t="str">
            <v xml:space="preserve">   APREPITANT</v>
          </cell>
          <cell r="D4943">
            <v>11665</v>
          </cell>
          <cell r="E4943">
            <v>11743</v>
          </cell>
        </row>
        <row r="4944">
          <cell r="C4944" t="str">
            <v xml:space="preserve">    EMESTOP            IAP</v>
          </cell>
          <cell r="D4944">
            <v>11534</v>
          </cell>
          <cell r="E4944">
            <v>11654</v>
          </cell>
        </row>
        <row r="4945">
          <cell r="C4945" t="str">
            <v xml:space="preserve">    APRIDEX            D-I</v>
          </cell>
          <cell r="D4945">
            <v>131</v>
          </cell>
          <cell r="E4945">
            <v>85</v>
          </cell>
        </row>
        <row r="4946">
          <cell r="C4946" t="str">
            <v xml:space="preserve">    EMEND              OPI</v>
          </cell>
          <cell r="D4946">
            <v>0</v>
          </cell>
          <cell r="E4946">
            <v>3</v>
          </cell>
        </row>
        <row r="4947">
          <cell r="C4947" t="str">
            <v xml:space="preserve">    VOMEND             ESF</v>
          </cell>
          <cell r="D4947">
            <v>0</v>
          </cell>
          <cell r="E4947">
            <v>0</v>
          </cell>
        </row>
        <row r="4948">
          <cell r="C4948" t="str">
            <v xml:space="preserve"> ANTIPSYCHOTICS</v>
          </cell>
          <cell r="D4948">
            <v>1733422</v>
          </cell>
          <cell r="E4948">
            <v>1562809</v>
          </cell>
        </row>
        <row r="4949">
          <cell r="C4949" t="str">
            <v xml:space="preserve">  ATYPICAL ANTIPSYCHOTICS</v>
          </cell>
          <cell r="D4949">
            <v>1484096</v>
          </cell>
          <cell r="E4949">
            <v>1357114</v>
          </cell>
        </row>
        <row r="4950">
          <cell r="C4950" t="str">
            <v xml:space="preserve">   QUETIAPINE</v>
          </cell>
          <cell r="D4950">
            <v>571056</v>
          </cell>
          <cell r="E4950">
            <v>507352</v>
          </cell>
        </row>
        <row r="4951">
          <cell r="C4951" t="str">
            <v xml:space="preserve">    QUIET              IAP</v>
          </cell>
          <cell r="D4951">
            <v>392858</v>
          </cell>
          <cell r="E4951">
            <v>296275</v>
          </cell>
        </row>
        <row r="4952">
          <cell r="C4952" t="str">
            <v xml:space="preserve">    QUTIPIN            SPI</v>
          </cell>
          <cell r="D4952">
            <v>47277</v>
          </cell>
          <cell r="E4952">
            <v>56355</v>
          </cell>
        </row>
        <row r="4953">
          <cell r="C4953" t="str">
            <v xml:space="preserve">    QPINE              S.Y</v>
          </cell>
          <cell r="D4953">
            <v>27012</v>
          </cell>
          <cell r="E4953">
            <v>27214</v>
          </cell>
        </row>
        <row r="4954">
          <cell r="C4954" t="str">
            <v xml:space="preserve">    QUTAP              HT3</v>
          </cell>
          <cell r="D4954">
            <v>18092</v>
          </cell>
          <cell r="E4954">
            <v>19490</v>
          </cell>
        </row>
        <row r="4955">
          <cell r="C4955" t="str">
            <v xml:space="preserve">    RENAPINE           RTA</v>
          </cell>
          <cell r="D4955">
            <v>17549</v>
          </cell>
          <cell r="E4955">
            <v>10803</v>
          </cell>
        </row>
        <row r="4956">
          <cell r="C4956" t="str">
            <v xml:space="preserve">    TIAPINE            GNR</v>
          </cell>
          <cell r="D4956">
            <v>16184</v>
          </cell>
          <cell r="E4956">
            <v>61895</v>
          </cell>
        </row>
        <row r="4957">
          <cell r="C4957" t="str">
            <v xml:space="preserve">    QUETA              OPI</v>
          </cell>
          <cell r="D4957">
            <v>16050</v>
          </cell>
          <cell r="E4957">
            <v>15020</v>
          </cell>
        </row>
        <row r="4958">
          <cell r="C4958" t="str">
            <v xml:space="preserve">    QTP                SQA</v>
          </cell>
          <cell r="D4958">
            <v>12070</v>
          </cell>
          <cell r="E4958">
            <v>0</v>
          </cell>
        </row>
        <row r="4959">
          <cell r="C4959" t="str">
            <v xml:space="preserve">    SEROPREX           SQA</v>
          </cell>
          <cell r="D4959">
            <v>9226</v>
          </cell>
          <cell r="E4959">
            <v>5994</v>
          </cell>
        </row>
        <row r="4960">
          <cell r="C4960" t="str">
            <v xml:space="preserve">    SEROQUET           UNH</v>
          </cell>
          <cell r="D4960">
            <v>7786</v>
          </cell>
          <cell r="E4960">
            <v>11114</v>
          </cell>
        </row>
        <row r="4961">
          <cell r="C4961" t="str">
            <v xml:space="preserve">    QMAX               A-I</v>
          </cell>
          <cell r="D4961">
            <v>5668</v>
          </cell>
          <cell r="E4961">
            <v>1688</v>
          </cell>
        </row>
        <row r="4962">
          <cell r="C4962" t="str">
            <v xml:space="preserve">    Q-FIT              EVR</v>
          </cell>
          <cell r="D4962">
            <v>1150</v>
          </cell>
          <cell r="E4962">
            <v>1427</v>
          </cell>
        </row>
        <row r="4963">
          <cell r="C4963" t="str">
            <v xml:space="preserve">    QUTANEX            GD2</v>
          </cell>
          <cell r="D4963">
            <v>135</v>
          </cell>
          <cell r="E4963">
            <v>66</v>
          </cell>
        </row>
        <row r="4964">
          <cell r="C4964" t="str">
            <v xml:space="preserve">    SEROPIN            ESF</v>
          </cell>
          <cell r="D4964">
            <v>0</v>
          </cell>
          <cell r="E4964">
            <v>12</v>
          </cell>
        </row>
        <row r="4965">
          <cell r="C4965" t="str">
            <v xml:space="preserve">   RISPERIDONE</v>
          </cell>
          <cell r="D4965">
            <v>423487</v>
          </cell>
          <cell r="E4965">
            <v>404564</v>
          </cell>
        </row>
        <row r="4966">
          <cell r="C4966" t="str">
            <v xml:space="preserve">    FRENIA             IAP</v>
          </cell>
          <cell r="D4966">
            <v>82450</v>
          </cell>
          <cell r="E4966">
            <v>63165</v>
          </cell>
        </row>
        <row r="4967">
          <cell r="C4967" t="str">
            <v xml:space="preserve">    RISDON             UNH</v>
          </cell>
          <cell r="D4967">
            <v>77659</v>
          </cell>
          <cell r="E4967">
            <v>77380</v>
          </cell>
        </row>
        <row r="4968">
          <cell r="C4968" t="str">
            <v xml:space="preserve">    RESIDON            HT3</v>
          </cell>
          <cell r="D4968">
            <v>71962</v>
          </cell>
          <cell r="E4968">
            <v>45847</v>
          </cell>
        </row>
        <row r="4969">
          <cell r="C4969" t="str">
            <v xml:space="preserve">    SPERID             RTA</v>
          </cell>
          <cell r="D4969">
            <v>59016</v>
          </cell>
          <cell r="E4969">
            <v>34749</v>
          </cell>
        </row>
        <row r="4970">
          <cell r="C4970" t="str">
            <v xml:space="preserve">    RISPOLUX           SDZ</v>
          </cell>
          <cell r="D4970">
            <v>35120</v>
          </cell>
          <cell r="E4970">
            <v>36670</v>
          </cell>
        </row>
        <row r="4971">
          <cell r="C4971" t="str">
            <v xml:space="preserve">    RISCORD            GNR</v>
          </cell>
          <cell r="D4971">
            <v>34746</v>
          </cell>
          <cell r="E4971">
            <v>73471</v>
          </cell>
        </row>
        <row r="4972">
          <cell r="C4972" t="str">
            <v xml:space="preserve">    SIZODON            SPI</v>
          </cell>
          <cell r="D4972">
            <v>31677</v>
          </cell>
          <cell r="E4972">
            <v>41623</v>
          </cell>
        </row>
        <row r="4973">
          <cell r="C4973" t="str">
            <v xml:space="preserve">    SPERDAL            S.Y</v>
          </cell>
          <cell r="D4973">
            <v>18586</v>
          </cell>
          <cell r="E4973">
            <v>17851</v>
          </cell>
        </row>
        <row r="4974">
          <cell r="C4974" t="str">
            <v xml:space="preserve">    RISPERDEX          OPI</v>
          </cell>
          <cell r="D4974">
            <v>9201</v>
          </cell>
          <cell r="E4974">
            <v>8595</v>
          </cell>
        </row>
        <row r="4975">
          <cell r="C4975" t="str">
            <v xml:space="preserve">    RESCO              D-I</v>
          </cell>
          <cell r="D4975">
            <v>2267</v>
          </cell>
          <cell r="E4975">
            <v>3711</v>
          </cell>
        </row>
        <row r="4976">
          <cell r="C4976" t="str">
            <v xml:space="preserve">    RISPONEX           GD2</v>
          </cell>
          <cell r="D4976">
            <v>803</v>
          </cell>
          <cell r="E4976">
            <v>1472</v>
          </cell>
        </row>
        <row r="4977">
          <cell r="C4977" t="str">
            <v xml:space="preserve">    PSYCHODAL          OPI</v>
          </cell>
          <cell r="D4977">
            <v>0</v>
          </cell>
          <cell r="E4977">
            <v>0</v>
          </cell>
        </row>
        <row r="4978">
          <cell r="C4978" t="str">
            <v xml:space="preserve">    RISOLUX            A-I</v>
          </cell>
          <cell r="D4978">
            <v>0</v>
          </cell>
          <cell r="E4978">
            <v>31</v>
          </cell>
        </row>
        <row r="4979">
          <cell r="C4979" t="str">
            <v xml:space="preserve">   OLANZAPINE</v>
          </cell>
          <cell r="D4979">
            <v>181606</v>
          </cell>
          <cell r="E4979">
            <v>187108</v>
          </cell>
        </row>
        <row r="4980">
          <cell r="C4980" t="str">
            <v xml:space="preserve">    DEPREX             SQA</v>
          </cell>
          <cell r="D4980">
            <v>52108</v>
          </cell>
          <cell r="E4980">
            <v>43748</v>
          </cell>
        </row>
        <row r="4981">
          <cell r="C4981" t="str">
            <v xml:space="preserve">    OLANAP             IAP</v>
          </cell>
          <cell r="D4981">
            <v>43127</v>
          </cell>
          <cell r="E4981">
            <v>28420</v>
          </cell>
        </row>
        <row r="4982">
          <cell r="C4982" t="str">
            <v xml:space="preserve">    LOPEZ              GNR</v>
          </cell>
          <cell r="D4982">
            <v>36248</v>
          </cell>
          <cell r="E4982">
            <v>65859</v>
          </cell>
        </row>
        <row r="4983">
          <cell r="C4983" t="str">
            <v xml:space="preserve">    OLEANZ             SPI</v>
          </cell>
          <cell r="D4983">
            <v>28452</v>
          </cell>
          <cell r="E4983">
            <v>29624</v>
          </cell>
        </row>
        <row r="4984">
          <cell r="C4984" t="str">
            <v xml:space="preserve">    OLZAP              OPI</v>
          </cell>
          <cell r="D4984">
            <v>9841</v>
          </cell>
          <cell r="E4984">
            <v>6477</v>
          </cell>
        </row>
        <row r="4985">
          <cell r="C4985" t="str">
            <v xml:space="preserve">    OLIXAR             EVR</v>
          </cell>
          <cell r="D4985">
            <v>6004</v>
          </cell>
          <cell r="E4985">
            <v>6942</v>
          </cell>
        </row>
        <row r="4986">
          <cell r="C4986" t="str">
            <v xml:space="preserve">    XYTREX             A-I</v>
          </cell>
          <cell r="D4986">
            <v>5633</v>
          </cell>
          <cell r="E4986">
            <v>5804</v>
          </cell>
        </row>
        <row r="4987">
          <cell r="C4987" t="str">
            <v xml:space="preserve">    OZIL               GD2</v>
          </cell>
          <cell r="D4987">
            <v>194</v>
          </cell>
          <cell r="E4987">
            <v>234</v>
          </cell>
        </row>
        <row r="4988">
          <cell r="C4988" t="str">
            <v xml:space="preserve">   ARIPIPRAZOLE</v>
          </cell>
          <cell r="D4988">
            <v>76647</v>
          </cell>
          <cell r="E4988">
            <v>69337</v>
          </cell>
        </row>
        <row r="4989">
          <cell r="C4989" t="str">
            <v xml:space="preserve">    ARIPRA             IAP</v>
          </cell>
          <cell r="D4989">
            <v>41581</v>
          </cell>
          <cell r="E4989">
            <v>37570</v>
          </cell>
        </row>
        <row r="4990">
          <cell r="C4990" t="str">
            <v xml:space="preserve">    ARIPREX            SQA</v>
          </cell>
          <cell r="D4990">
            <v>29018</v>
          </cell>
          <cell r="E4990">
            <v>22307</v>
          </cell>
        </row>
        <row r="4991">
          <cell r="C4991" t="str">
            <v xml:space="preserve">    ARIPRAZOLE         GNR</v>
          </cell>
          <cell r="D4991">
            <v>5538</v>
          </cell>
          <cell r="E4991">
            <v>8872</v>
          </cell>
        </row>
        <row r="4992">
          <cell r="C4992" t="str">
            <v xml:space="preserve">    ARIPEN             OPI</v>
          </cell>
          <cell r="D4992">
            <v>510</v>
          </cell>
          <cell r="E4992">
            <v>588</v>
          </cell>
        </row>
        <row r="4993">
          <cell r="C4993" t="str">
            <v xml:space="preserve">   PALIPERIDONE</v>
          </cell>
          <cell r="D4993">
            <v>68401</v>
          </cell>
          <cell r="E4993">
            <v>49530</v>
          </cell>
        </row>
        <row r="4994">
          <cell r="C4994" t="str">
            <v xml:space="preserve">    MODESTO            IAP</v>
          </cell>
          <cell r="D4994">
            <v>35060</v>
          </cell>
          <cell r="E4994">
            <v>25337</v>
          </cell>
        </row>
        <row r="4995">
          <cell r="C4995" t="str">
            <v xml:space="preserve">    PALIMAX            A-I</v>
          </cell>
          <cell r="D4995">
            <v>33340</v>
          </cell>
          <cell r="E4995">
            <v>24193</v>
          </cell>
        </row>
        <row r="4996">
          <cell r="C4996" t="str">
            <v xml:space="preserve">   CLOZAPINE</v>
          </cell>
          <cell r="D4996">
            <v>54999</v>
          </cell>
          <cell r="E4996">
            <v>56260</v>
          </cell>
        </row>
        <row r="4997">
          <cell r="C4997" t="str">
            <v xml:space="preserve">    SIZOPIN            SPI</v>
          </cell>
          <cell r="D4997">
            <v>28598</v>
          </cell>
          <cell r="E4997">
            <v>42424</v>
          </cell>
        </row>
        <row r="4998">
          <cell r="C4998" t="str">
            <v xml:space="preserve">    ZAPENIA            IAP</v>
          </cell>
          <cell r="D4998">
            <v>26401</v>
          </cell>
          <cell r="E4998">
            <v>13836</v>
          </cell>
        </row>
        <row r="4999">
          <cell r="C4999" t="str">
            <v xml:space="preserve">   LURASIDONE</v>
          </cell>
          <cell r="D4999">
            <v>51578</v>
          </cell>
          <cell r="E4999">
            <v>42468</v>
          </cell>
        </row>
        <row r="5000">
          <cell r="C5000" t="str">
            <v xml:space="preserve">    LATUDA             HT3</v>
          </cell>
          <cell r="D5000">
            <v>19969</v>
          </cell>
          <cell r="E5000">
            <v>15680</v>
          </cell>
        </row>
        <row r="5001">
          <cell r="C5001" t="str">
            <v xml:space="preserve">    LURADOX            IAP</v>
          </cell>
          <cell r="D5001">
            <v>15865</v>
          </cell>
          <cell r="E5001">
            <v>11184</v>
          </cell>
        </row>
        <row r="5002">
          <cell r="C5002" t="str">
            <v xml:space="preserve">    LURAPREX           SQA</v>
          </cell>
          <cell r="D5002">
            <v>14094</v>
          </cell>
          <cell r="E5002">
            <v>14633</v>
          </cell>
        </row>
        <row r="5003">
          <cell r="C5003" t="str">
            <v xml:space="preserve">    LURASID            OPI</v>
          </cell>
          <cell r="D5003">
            <v>1649</v>
          </cell>
          <cell r="E5003">
            <v>971</v>
          </cell>
        </row>
        <row r="5004">
          <cell r="C5004" t="str">
            <v xml:space="preserve">   AMISULPRIDE</v>
          </cell>
          <cell r="D5004">
            <v>40304</v>
          </cell>
          <cell r="E5004">
            <v>33465</v>
          </cell>
        </row>
        <row r="5005">
          <cell r="C5005" t="str">
            <v xml:space="preserve">    AMIPRIDE           BAC</v>
          </cell>
          <cell r="D5005">
            <v>37030</v>
          </cell>
          <cell r="E5005">
            <v>33146</v>
          </cell>
        </row>
        <row r="5006">
          <cell r="C5006" t="str">
            <v xml:space="preserve">    ARIDE              RTA</v>
          </cell>
          <cell r="D5006">
            <v>2942</v>
          </cell>
          <cell r="E5006">
            <v>0</v>
          </cell>
        </row>
        <row r="5007">
          <cell r="C5007" t="str">
            <v xml:space="preserve">    SULMETIC           IAP</v>
          </cell>
          <cell r="D5007">
            <v>332</v>
          </cell>
          <cell r="E5007">
            <v>319</v>
          </cell>
        </row>
        <row r="5008">
          <cell r="C5008" t="str">
            <v xml:space="preserve">    AMISURE            ACM</v>
          </cell>
          <cell r="D5008">
            <v>0</v>
          </cell>
          <cell r="E5008">
            <v>0</v>
          </cell>
        </row>
        <row r="5009">
          <cell r="C5009" t="str">
            <v xml:space="preserve">   CARIPRAZINE</v>
          </cell>
          <cell r="D5009">
            <v>4864</v>
          </cell>
          <cell r="E5009">
            <v>0</v>
          </cell>
        </row>
        <row r="5010">
          <cell r="C5010" t="str">
            <v xml:space="preserve">    CARIPRAN           IAP</v>
          </cell>
          <cell r="D5010">
            <v>4864</v>
          </cell>
          <cell r="E5010">
            <v>0</v>
          </cell>
        </row>
        <row r="5011">
          <cell r="C5011" t="str">
            <v xml:space="preserve">   PIMAVANSERIN</v>
          </cell>
          <cell r="D5011">
            <v>4016</v>
          </cell>
          <cell r="E5011">
            <v>4372</v>
          </cell>
        </row>
        <row r="5012">
          <cell r="C5012" t="str">
            <v xml:space="preserve">    SERIVAN            IAP</v>
          </cell>
          <cell r="D5012">
            <v>4016</v>
          </cell>
          <cell r="E5012">
            <v>4372</v>
          </cell>
        </row>
        <row r="5013">
          <cell r="C5013" t="str">
            <v xml:space="preserve">   BREXPIPRAZOLE</v>
          </cell>
          <cell r="D5013">
            <v>3777</v>
          </cell>
          <cell r="E5013">
            <v>1626</v>
          </cell>
        </row>
        <row r="5014">
          <cell r="C5014" t="str">
            <v xml:space="preserve">    BREXPA             RTA</v>
          </cell>
          <cell r="D5014">
            <v>3777</v>
          </cell>
          <cell r="E5014">
            <v>1603</v>
          </cell>
        </row>
        <row r="5015">
          <cell r="C5015" t="str">
            <v xml:space="preserve">    BREXI              ESF</v>
          </cell>
          <cell r="D5015">
            <v>0</v>
          </cell>
          <cell r="E5015">
            <v>22</v>
          </cell>
        </row>
        <row r="5016">
          <cell r="C5016" t="str">
            <v xml:space="preserve">   ASENAPINE</v>
          </cell>
          <cell r="D5016">
            <v>3280</v>
          </cell>
          <cell r="E5016">
            <v>813</v>
          </cell>
        </row>
        <row r="5017">
          <cell r="C5017" t="str">
            <v xml:space="preserve">    ZUKARIA            IAP</v>
          </cell>
          <cell r="D5017">
            <v>3280</v>
          </cell>
          <cell r="E5017">
            <v>813</v>
          </cell>
        </row>
        <row r="5018">
          <cell r="C5018" t="str">
            <v xml:space="preserve">   ILOPERIDONE</v>
          </cell>
          <cell r="D5018">
            <v>80</v>
          </cell>
          <cell r="E5018">
            <v>221</v>
          </cell>
        </row>
        <row r="5019">
          <cell r="C5019" t="str">
            <v xml:space="preserve">    ILODON             BAC</v>
          </cell>
          <cell r="D5019">
            <v>80</v>
          </cell>
          <cell r="E5019">
            <v>221</v>
          </cell>
        </row>
        <row r="5020">
          <cell r="C5020" t="str">
            <v xml:space="preserve">  CONVNTL ANTIPSYCHOTICS</v>
          </cell>
          <cell r="D5020">
            <v>249326</v>
          </cell>
          <cell r="E5020">
            <v>205694</v>
          </cell>
        </row>
        <row r="5021">
          <cell r="C5021" t="str">
            <v xml:space="preserve">   TRIFLUOPERAZINE</v>
          </cell>
          <cell r="D5021">
            <v>91996</v>
          </cell>
          <cell r="E5021">
            <v>65684</v>
          </cell>
        </row>
        <row r="5022">
          <cell r="C5022" t="str">
            <v xml:space="preserve">    TELAZIN            ESF</v>
          </cell>
          <cell r="D5022">
            <v>55565</v>
          </cell>
          <cell r="E5022">
            <v>38802</v>
          </cell>
        </row>
        <row r="5023">
          <cell r="C5023" t="str">
            <v xml:space="preserve">    SIZONIL            HT3</v>
          </cell>
          <cell r="D5023">
            <v>35540</v>
          </cell>
          <cell r="E5023">
            <v>25215</v>
          </cell>
        </row>
        <row r="5024">
          <cell r="C5024" t="str">
            <v xml:space="preserve">    STELA              D&amp;B</v>
          </cell>
          <cell r="D5024">
            <v>891</v>
          </cell>
          <cell r="E5024">
            <v>1667</v>
          </cell>
        </row>
        <row r="5025">
          <cell r="C5025" t="str">
            <v xml:space="preserve">    FLURAZINE          IAP</v>
          </cell>
          <cell r="D5025">
            <v>0</v>
          </cell>
          <cell r="E5025">
            <v>0</v>
          </cell>
        </row>
        <row r="5026">
          <cell r="C5026" t="str">
            <v xml:space="preserve">   FLUPENTIXOL</v>
          </cell>
          <cell r="D5026">
            <v>68171</v>
          </cell>
          <cell r="E5026">
            <v>51628</v>
          </cell>
        </row>
        <row r="5027">
          <cell r="C5027" t="str">
            <v xml:space="preserve">    SENTIX             ESF</v>
          </cell>
          <cell r="D5027">
            <v>68171</v>
          </cell>
          <cell r="E5027">
            <v>50249</v>
          </cell>
        </row>
        <row r="5028">
          <cell r="C5028" t="str">
            <v xml:space="preserve">    FLUANXOL           LUN</v>
          </cell>
          <cell r="D5028">
            <v>0</v>
          </cell>
          <cell r="E5028">
            <v>1379</v>
          </cell>
        </row>
        <row r="5029">
          <cell r="C5029" t="str">
            <v xml:space="preserve">   FLUPHENAZINE</v>
          </cell>
          <cell r="D5029">
            <v>37916</v>
          </cell>
          <cell r="E5029">
            <v>34961</v>
          </cell>
        </row>
        <row r="5030">
          <cell r="C5030" t="str">
            <v xml:space="preserve">    FENAZINE           IAP</v>
          </cell>
          <cell r="D5030">
            <v>37916</v>
          </cell>
          <cell r="E5030">
            <v>30548</v>
          </cell>
        </row>
        <row r="5031">
          <cell r="C5031" t="str">
            <v xml:space="preserve">    FLUPHENAZINE       RTX</v>
          </cell>
          <cell r="D5031">
            <v>0</v>
          </cell>
          <cell r="E5031">
            <v>342</v>
          </cell>
        </row>
        <row r="5032">
          <cell r="C5032" t="str">
            <v xml:space="preserve">    FLUPAGEN           GNR</v>
          </cell>
          <cell r="D5032">
            <v>0</v>
          </cell>
          <cell r="E5032">
            <v>4070</v>
          </cell>
        </row>
        <row r="5033">
          <cell r="C5033" t="str">
            <v xml:space="preserve">   HALOPERIDOL</v>
          </cell>
          <cell r="D5033">
            <v>27080</v>
          </cell>
          <cell r="E5033">
            <v>26583</v>
          </cell>
        </row>
        <row r="5034">
          <cell r="C5034" t="str">
            <v xml:space="preserve">    HALOPID            IAP</v>
          </cell>
          <cell r="D5034">
            <v>17946</v>
          </cell>
          <cell r="E5034">
            <v>15252</v>
          </cell>
        </row>
        <row r="5035">
          <cell r="C5035" t="str">
            <v xml:space="preserve">    HALOP              OPI</v>
          </cell>
          <cell r="D5035">
            <v>8359</v>
          </cell>
          <cell r="E5035">
            <v>7109</v>
          </cell>
        </row>
        <row r="5036">
          <cell r="C5036" t="str">
            <v xml:space="preserve">    PERIGEN            GNR</v>
          </cell>
          <cell r="D5036">
            <v>768</v>
          </cell>
          <cell r="E5036">
            <v>4217</v>
          </cell>
        </row>
        <row r="5037">
          <cell r="C5037" t="str">
            <v xml:space="preserve">    PERIDOL            SQA</v>
          </cell>
          <cell r="D5037">
            <v>7</v>
          </cell>
          <cell r="E5037">
            <v>6</v>
          </cell>
        </row>
        <row r="5038">
          <cell r="C5038" t="str">
            <v xml:space="preserve">   ZUCLOPENTHIXOL</v>
          </cell>
          <cell r="D5038">
            <v>20085</v>
          </cell>
          <cell r="E5038">
            <v>15872</v>
          </cell>
        </row>
        <row r="5039">
          <cell r="C5039" t="str">
            <v xml:space="preserve">    ZENTIXOL-D         IAP</v>
          </cell>
          <cell r="D5039">
            <v>15010</v>
          </cell>
          <cell r="E5039">
            <v>8573</v>
          </cell>
        </row>
        <row r="5040">
          <cell r="C5040" t="str">
            <v xml:space="preserve">    ZENTIXOL-A         IAP</v>
          </cell>
          <cell r="D5040">
            <v>5075</v>
          </cell>
          <cell r="E5040">
            <v>6176</v>
          </cell>
        </row>
        <row r="5041">
          <cell r="C5041" t="str">
            <v xml:space="preserve">    CLOPIXOL           LUN</v>
          </cell>
          <cell r="D5041">
            <v>0</v>
          </cell>
          <cell r="E5041">
            <v>1122</v>
          </cell>
        </row>
        <row r="5042">
          <cell r="C5042" t="str">
            <v xml:space="preserve">   CHLORPROMAZINE</v>
          </cell>
          <cell r="D5042">
            <v>4078</v>
          </cell>
          <cell r="E5042">
            <v>10951</v>
          </cell>
        </row>
        <row r="5043">
          <cell r="C5043" t="str">
            <v xml:space="preserve">    OPSONIL            OPI</v>
          </cell>
          <cell r="D5043">
            <v>4078</v>
          </cell>
          <cell r="E5043">
            <v>10951</v>
          </cell>
        </row>
        <row r="5044">
          <cell r="C5044" t="str">
            <v xml:space="preserve">    LARGACTIL          S.Y</v>
          </cell>
          <cell r="D5044">
            <v>0</v>
          </cell>
          <cell r="E5044">
            <v>0</v>
          </cell>
        </row>
        <row r="5045">
          <cell r="C5045" t="str">
            <v xml:space="preserve">    PROMACTIL          GCO</v>
          </cell>
          <cell r="D5045">
            <v>0</v>
          </cell>
          <cell r="E5045">
            <v>0</v>
          </cell>
        </row>
        <row r="5046">
          <cell r="C5046" t="str">
            <v xml:space="preserve">   PROCHLORPERAZINE</v>
          </cell>
          <cell r="D5046">
            <v>0</v>
          </cell>
          <cell r="E5046">
            <v>0</v>
          </cell>
        </row>
        <row r="5047">
          <cell r="C5047" t="str">
            <v xml:space="preserve">    AVOTIL             RPH</v>
          </cell>
          <cell r="D5047">
            <v>0</v>
          </cell>
          <cell r="E5047">
            <v>0</v>
          </cell>
        </row>
        <row r="5048">
          <cell r="C5048" t="str">
            <v xml:space="preserve">   PROMAZINE</v>
          </cell>
          <cell r="D5048">
            <v>0</v>
          </cell>
          <cell r="E5048">
            <v>0</v>
          </cell>
        </row>
        <row r="5049">
          <cell r="C5049" t="str">
            <v xml:space="preserve">    PROMAZIN           ACM</v>
          </cell>
          <cell r="D5049">
            <v>0</v>
          </cell>
          <cell r="E5049">
            <v>0</v>
          </cell>
        </row>
        <row r="5050">
          <cell r="C5050" t="str">
            <v xml:space="preserve">   ISOPROPAMIDE IODIDE+TRIFLUOPERAZINE</v>
          </cell>
          <cell r="D5050">
            <v>0</v>
          </cell>
          <cell r="E5050">
            <v>15</v>
          </cell>
        </row>
        <row r="5051">
          <cell r="C5051" t="str">
            <v xml:space="preserve">    TELABID            ESF</v>
          </cell>
          <cell r="D5051">
            <v>0</v>
          </cell>
          <cell r="E5051">
            <v>15</v>
          </cell>
        </row>
        <row r="5052">
          <cell r="C5052" t="str">
            <v xml:space="preserve"> DIURETICS</v>
          </cell>
          <cell r="D5052">
            <v>1693737</v>
          </cell>
          <cell r="E5052">
            <v>1452863</v>
          </cell>
        </row>
        <row r="5053">
          <cell r="C5053" t="str">
            <v xml:space="preserve">  POT SPARING+LOOP DIUR COM</v>
          </cell>
          <cell r="D5053">
            <v>888994</v>
          </cell>
          <cell r="E5053">
            <v>823050</v>
          </cell>
        </row>
        <row r="5054">
          <cell r="C5054" t="str">
            <v xml:space="preserve">   FUROSEMIDE+SPIRONOLACTONE</v>
          </cell>
          <cell r="D5054">
            <v>888994</v>
          </cell>
          <cell r="E5054">
            <v>823050</v>
          </cell>
        </row>
        <row r="5055">
          <cell r="C5055" t="str">
            <v xml:space="preserve">    EDELOSS            IAP</v>
          </cell>
          <cell r="D5055">
            <v>280310</v>
          </cell>
          <cell r="E5055">
            <v>227298</v>
          </cell>
        </row>
        <row r="5056">
          <cell r="C5056" t="str">
            <v xml:space="preserve">    FRULAC             OR/</v>
          </cell>
          <cell r="D5056">
            <v>224130</v>
          </cell>
          <cell r="E5056">
            <v>245177</v>
          </cell>
        </row>
        <row r="5057">
          <cell r="C5057" t="str">
            <v xml:space="preserve">    FUSID PLUS         SQA</v>
          </cell>
          <cell r="D5057">
            <v>167837</v>
          </cell>
          <cell r="E5057">
            <v>149903</v>
          </cell>
        </row>
        <row r="5058">
          <cell r="C5058" t="str">
            <v xml:space="preserve">    DIRETIC            D-I</v>
          </cell>
          <cell r="D5058">
            <v>82753</v>
          </cell>
          <cell r="E5058">
            <v>77145</v>
          </cell>
        </row>
        <row r="5059">
          <cell r="C5059" t="str">
            <v xml:space="preserve">    EDENIL             ESF</v>
          </cell>
          <cell r="D5059">
            <v>34141</v>
          </cell>
          <cell r="E5059">
            <v>39459</v>
          </cell>
        </row>
        <row r="5060">
          <cell r="C5060" t="str">
            <v xml:space="preserve">    EDEMIDE            ACM</v>
          </cell>
          <cell r="D5060">
            <v>33822</v>
          </cell>
          <cell r="E5060">
            <v>24058</v>
          </cell>
        </row>
        <row r="5061">
          <cell r="C5061" t="str">
            <v xml:space="preserve">    SPIROCARD PLUS     PPH</v>
          </cell>
          <cell r="D5061">
            <v>25654</v>
          </cell>
          <cell r="E5061">
            <v>21504</v>
          </cell>
        </row>
        <row r="5062">
          <cell r="C5062" t="str">
            <v xml:space="preserve">    LAXUR              HT3</v>
          </cell>
          <cell r="D5062">
            <v>20773</v>
          </cell>
          <cell r="E5062">
            <v>16980</v>
          </cell>
        </row>
        <row r="5063">
          <cell r="C5063" t="str">
            <v xml:space="preserve">    EDELOSS PLUS       IAP</v>
          </cell>
          <cell r="D5063">
            <v>6506</v>
          </cell>
          <cell r="E5063">
            <v>9817</v>
          </cell>
        </row>
        <row r="5064">
          <cell r="C5064" t="str">
            <v xml:space="preserve">    SPILAC-F           RD7</v>
          </cell>
          <cell r="D5064">
            <v>4558</v>
          </cell>
          <cell r="E5064">
            <v>1878</v>
          </cell>
        </row>
        <row r="5065">
          <cell r="C5065" t="str">
            <v xml:space="preserve">    FRUSIN-PLUS        OPI</v>
          </cell>
          <cell r="D5065">
            <v>3865</v>
          </cell>
          <cell r="E5065">
            <v>4099</v>
          </cell>
        </row>
        <row r="5066">
          <cell r="C5066" t="str">
            <v xml:space="preserve">    URITONE            RTA</v>
          </cell>
          <cell r="D5066">
            <v>3301</v>
          </cell>
          <cell r="E5066">
            <v>2757</v>
          </cell>
        </row>
        <row r="5067">
          <cell r="C5067" t="str">
            <v xml:space="preserve">    LACITONE           GNR</v>
          </cell>
          <cell r="D5067">
            <v>1031</v>
          </cell>
          <cell r="E5067">
            <v>2315</v>
          </cell>
        </row>
        <row r="5068">
          <cell r="C5068" t="str">
            <v xml:space="preserve">    UROSPIN            BP&amp;</v>
          </cell>
          <cell r="D5068">
            <v>289</v>
          </cell>
          <cell r="E5068">
            <v>445</v>
          </cell>
        </row>
        <row r="5069">
          <cell r="C5069" t="str">
            <v xml:space="preserve">    LASILACTONE        S.Y</v>
          </cell>
          <cell r="D5069">
            <v>14</v>
          </cell>
          <cell r="E5069">
            <v>2</v>
          </cell>
        </row>
        <row r="5070">
          <cell r="C5070" t="str">
            <v xml:space="preserve">    FREFLO             SQA</v>
          </cell>
          <cell r="D5070">
            <v>9</v>
          </cell>
          <cell r="E5070">
            <v>0</v>
          </cell>
        </row>
        <row r="5071">
          <cell r="C5071" t="str">
            <v xml:space="preserve">    DIRUCOM            PPH</v>
          </cell>
          <cell r="D5071">
            <v>0</v>
          </cell>
          <cell r="E5071">
            <v>0</v>
          </cell>
        </row>
        <row r="5072">
          <cell r="C5072" t="str">
            <v xml:space="preserve">    FURO PLUS          BAC</v>
          </cell>
          <cell r="D5072">
            <v>0</v>
          </cell>
          <cell r="E5072">
            <v>0</v>
          </cell>
        </row>
        <row r="5073">
          <cell r="C5073" t="str">
            <v xml:space="preserve">    REDEMA             R7G</v>
          </cell>
          <cell r="D5073">
            <v>0</v>
          </cell>
          <cell r="E5073">
            <v>0</v>
          </cell>
        </row>
        <row r="5074">
          <cell r="C5074" t="str">
            <v xml:space="preserve">    RESITONE           BXM</v>
          </cell>
          <cell r="D5074">
            <v>0</v>
          </cell>
          <cell r="E5074">
            <v>0</v>
          </cell>
        </row>
        <row r="5075">
          <cell r="C5075" t="str">
            <v xml:space="preserve">    VEROSPIRON PLUS    AMB</v>
          </cell>
          <cell r="D5075">
            <v>0</v>
          </cell>
          <cell r="E5075">
            <v>0</v>
          </cell>
        </row>
        <row r="5076">
          <cell r="C5076" t="str">
            <v xml:space="preserve">    FRUSITON           GBE</v>
          </cell>
          <cell r="D5076">
            <v>0</v>
          </cell>
          <cell r="E5076">
            <v>138</v>
          </cell>
        </row>
        <row r="5077">
          <cell r="C5077" t="str">
            <v xml:space="preserve">    FRUCARD            N8V</v>
          </cell>
          <cell r="D5077">
            <v>0</v>
          </cell>
          <cell r="E5077">
            <v>75</v>
          </cell>
        </row>
        <row r="5078">
          <cell r="C5078" t="str">
            <v xml:space="preserve">  POT SPARING AGENTS PLAIN</v>
          </cell>
          <cell r="D5078">
            <v>424299</v>
          </cell>
          <cell r="E5078">
            <v>289632</v>
          </cell>
        </row>
        <row r="5079">
          <cell r="C5079" t="str">
            <v xml:space="preserve">   SPIRONOLACTONE</v>
          </cell>
          <cell r="D5079">
            <v>179110</v>
          </cell>
          <cell r="E5079">
            <v>159429</v>
          </cell>
        </row>
        <row r="5080">
          <cell r="C5080" t="str">
            <v xml:space="preserve">    SPIROCARD          PPH</v>
          </cell>
          <cell r="D5080">
            <v>164675</v>
          </cell>
          <cell r="E5080">
            <v>143346</v>
          </cell>
        </row>
        <row r="5081">
          <cell r="C5081" t="str">
            <v xml:space="preserve">    INOSPIRON          IAP</v>
          </cell>
          <cell r="D5081">
            <v>12741</v>
          </cell>
          <cell r="E5081">
            <v>14191</v>
          </cell>
        </row>
        <row r="5082">
          <cell r="C5082" t="str">
            <v xml:space="preserve">    SPIRETIC           D-I</v>
          </cell>
          <cell r="D5082">
            <v>1694</v>
          </cell>
          <cell r="E5082">
            <v>1892</v>
          </cell>
        </row>
        <row r="5083">
          <cell r="C5083" t="str">
            <v xml:space="preserve">    SPIRON             THT</v>
          </cell>
          <cell r="D5083">
            <v>0</v>
          </cell>
          <cell r="E5083">
            <v>0</v>
          </cell>
        </row>
        <row r="5084">
          <cell r="C5084" t="str">
            <v xml:space="preserve">   FINERENONE</v>
          </cell>
          <cell r="D5084">
            <v>157365</v>
          </cell>
          <cell r="E5084">
            <v>49490</v>
          </cell>
        </row>
        <row r="5085">
          <cell r="C5085" t="str">
            <v xml:space="preserve">    FINOREX            ZIS</v>
          </cell>
          <cell r="D5085">
            <v>34375</v>
          </cell>
          <cell r="E5085">
            <v>18905</v>
          </cell>
        </row>
        <row r="5086">
          <cell r="C5086" t="str">
            <v xml:space="preserve">    RENOPRO            PPH</v>
          </cell>
          <cell r="D5086">
            <v>30979</v>
          </cell>
          <cell r="E5086">
            <v>0</v>
          </cell>
        </row>
        <row r="5087">
          <cell r="C5087" t="str">
            <v xml:space="preserve">    KANOPAS            IAP</v>
          </cell>
          <cell r="D5087">
            <v>27815</v>
          </cell>
          <cell r="E5087">
            <v>5876</v>
          </cell>
        </row>
        <row r="5088">
          <cell r="C5088" t="str">
            <v xml:space="preserve">    FIRENDIA           BAC</v>
          </cell>
          <cell r="D5088">
            <v>27640</v>
          </cell>
          <cell r="E5088">
            <v>10774</v>
          </cell>
        </row>
        <row r="5089">
          <cell r="C5089" t="str">
            <v xml:space="preserve">    FINERON            EVR</v>
          </cell>
          <cell r="D5089">
            <v>17886</v>
          </cell>
          <cell r="E5089">
            <v>10451</v>
          </cell>
        </row>
        <row r="5090">
          <cell r="C5090" t="str">
            <v xml:space="preserve">    FINCOR             A-I</v>
          </cell>
          <cell r="D5090">
            <v>11043</v>
          </cell>
          <cell r="E5090">
            <v>0</v>
          </cell>
        </row>
        <row r="5091">
          <cell r="C5091" t="str">
            <v xml:space="preserve">    FIRENDIA           BAC</v>
          </cell>
          <cell r="D5091">
            <v>4554</v>
          </cell>
          <cell r="E5091">
            <v>0</v>
          </cell>
        </row>
        <row r="5092">
          <cell r="C5092" t="str">
            <v xml:space="preserve">    RENFIT             ESF</v>
          </cell>
          <cell r="D5092">
            <v>1638</v>
          </cell>
          <cell r="E5092">
            <v>0</v>
          </cell>
        </row>
        <row r="5093">
          <cell r="C5093" t="str">
            <v xml:space="preserve">    FINEN              GNR</v>
          </cell>
          <cell r="D5093">
            <v>1435</v>
          </cell>
          <cell r="E5093">
            <v>3483</v>
          </cell>
        </row>
        <row r="5094">
          <cell r="C5094" t="str">
            <v xml:space="preserve">   EPLERENONE</v>
          </cell>
          <cell r="D5094">
            <v>87824</v>
          </cell>
          <cell r="E5094">
            <v>80713</v>
          </cell>
        </row>
        <row r="5095">
          <cell r="C5095" t="str">
            <v xml:space="preserve">    EPLERON            IAP</v>
          </cell>
          <cell r="D5095">
            <v>73036</v>
          </cell>
          <cell r="E5095">
            <v>50217</v>
          </cell>
        </row>
        <row r="5096">
          <cell r="C5096" t="str">
            <v xml:space="preserve">    ALDONIST           UNH</v>
          </cell>
          <cell r="D5096">
            <v>14788</v>
          </cell>
          <cell r="E5096">
            <v>30495</v>
          </cell>
        </row>
        <row r="5097">
          <cell r="C5097" t="str">
            <v xml:space="preserve">  THIAZIDES+ANALOGUES PLAIN</v>
          </cell>
          <cell r="D5097">
            <v>190625</v>
          </cell>
          <cell r="E5097">
            <v>179372</v>
          </cell>
        </row>
        <row r="5098">
          <cell r="C5098" t="str">
            <v xml:space="preserve">   INDAPAMIDE</v>
          </cell>
          <cell r="D5098">
            <v>176589</v>
          </cell>
          <cell r="E5098">
            <v>166635</v>
          </cell>
        </row>
        <row r="5099">
          <cell r="C5099" t="str">
            <v xml:space="preserve">    HYPEN-SR           OPI</v>
          </cell>
          <cell r="D5099">
            <v>87672</v>
          </cell>
          <cell r="E5099">
            <v>72472</v>
          </cell>
        </row>
        <row r="5100">
          <cell r="C5100" t="str">
            <v xml:space="preserve">    NATRILIX           SVR</v>
          </cell>
          <cell r="D5100">
            <v>55640</v>
          </cell>
          <cell r="E5100">
            <v>60164</v>
          </cell>
        </row>
        <row r="5101">
          <cell r="C5101" t="str">
            <v xml:space="preserve">    INDELIX            BXM</v>
          </cell>
          <cell r="D5101">
            <v>18082</v>
          </cell>
          <cell r="E5101">
            <v>16741</v>
          </cell>
        </row>
        <row r="5102">
          <cell r="C5102" t="str">
            <v xml:space="preserve">    REPRES             SQA</v>
          </cell>
          <cell r="D5102">
            <v>10830</v>
          </cell>
          <cell r="E5102">
            <v>11528</v>
          </cell>
        </row>
        <row r="5103">
          <cell r="C5103" t="str">
            <v xml:space="preserve">    INDAPA             D-I</v>
          </cell>
          <cell r="D5103">
            <v>3887</v>
          </cell>
          <cell r="E5103">
            <v>4350</v>
          </cell>
        </row>
        <row r="5104">
          <cell r="C5104" t="str">
            <v xml:space="preserve">    HYPEN              OPI</v>
          </cell>
          <cell r="D5104">
            <v>478</v>
          </cell>
          <cell r="E5104">
            <v>855</v>
          </cell>
        </row>
        <row r="5105">
          <cell r="C5105" t="str">
            <v xml:space="preserve">    IDATIX             IAP</v>
          </cell>
          <cell r="D5105">
            <v>0</v>
          </cell>
          <cell r="E5105">
            <v>525</v>
          </cell>
        </row>
        <row r="5106">
          <cell r="C5106" t="str">
            <v xml:space="preserve">    INDIMIDE           HT3</v>
          </cell>
          <cell r="D5106">
            <v>0</v>
          </cell>
          <cell r="E5106">
            <v>0</v>
          </cell>
        </row>
        <row r="5107">
          <cell r="C5107" t="str">
            <v xml:space="preserve">    XELIX              ATP</v>
          </cell>
          <cell r="D5107">
            <v>0</v>
          </cell>
          <cell r="E5107">
            <v>0</v>
          </cell>
        </row>
        <row r="5108">
          <cell r="C5108" t="str">
            <v xml:space="preserve">   HYDROCHLOROTHIAZIDE</v>
          </cell>
          <cell r="D5108">
            <v>7103</v>
          </cell>
          <cell r="E5108">
            <v>7090</v>
          </cell>
        </row>
        <row r="5109">
          <cell r="C5109" t="str">
            <v xml:space="preserve">    ACUREN             IAP</v>
          </cell>
          <cell r="D5109">
            <v>6823</v>
          </cell>
          <cell r="E5109">
            <v>6809</v>
          </cell>
        </row>
        <row r="5110">
          <cell r="C5110" t="str">
            <v xml:space="preserve">    HTZ                UNH</v>
          </cell>
          <cell r="D5110">
            <v>280</v>
          </cell>
          <cell r="E5110">
            <v>281</v>
          </cell>
        </row>
        <row r="5111">
          <cell r="C5111" t="str">
            <v xml:space="preserve">   METOLAZONE</v>
          </cell>
          <cell r="D5111">
            <v>3798</v>
          </cell>
          <cell r="E5111">
            <v>2720</v>
          </cell>
        </row>
        <row r="5112">
          <cell r="C5112" t="str">
            <v xml:space="preserve">    MEROZOLYN          UNH</v>
          </cell>
          <cell r="D5112">
            <v>3798</v>
          </cell>
          <cell r="E5112">
            <v>2720</v>
          </cell>
        </row>
        <row r="5113">
          <cell r="C5113" t="str">
            <v xml:space="preserve">    METOLAZ            N8V</v>
          </cell>
          <cell r="D5113">
            <v>0</v>
          </cell>
          <cell r="E5113">
            <v>0</v>
          </cell>
        </row>
        <row r="5114">
          <cell r="C5114" t="str">
            <v xml:space="preserve">   CHLORTALIDONE</v>
          </cell>
          <cell r="D5114">
            <v>3135</v>
          </cell>
          <cell r="E5114">
            <v>2927</v>
          </cell>
        </row>
        <row r="5115">
          <cell r="C5115" t="str">
            <v xml:space="preserve">    THALIDON           PPH</v>
          </cell>
          <cell r="D5115">
            <v>2587</v>
          </cell>
          <cell r="E5115">
            <v>2023</v>
          </cell>
        </row>
        <row r="5116">
          <cell r="C5116" t="str">
            <v xml:space="preserve">    DYDROTON           UNH</v>
          </cell>
          <cell r="D5116">
            <v>429</v>
          </cell>
          <cell r="E5116">
            <v>464</v>
          </cell>
        </row>
        <row r="5117">
          <cell r="C5117" t="str">
            <v xml:space="preserve">    THIOCARD           IAP</v>
          </cell>
          <cell r="D5117">
            <v>65</v>
          </cell>
          <cell r="E5117">
            <v>276</v>
          </cell>
        </row>
        <row r="5118">
          <cell r="C5118" t="str">
            <v xml:space="preserve">    CLORTHA            A-I</v>
          </cell>
          <cell r="D5118">
            <v>53</v>
          </cell>
          <cell r="E5118">
            <v>164</v>
          </cell>
        </row>
        <row r="5119">
          <cell r="C5119" t="str">
            <v xml:space="preserve">  LOOP DIURETICS PLAIN</v>
          </cell>
          <cell r="D5119">
            <v>135392</v>
          </cell>
          <cell r="E5119">
            <v>120999</v>
          </cell>
        </row>
        <row r="5120">
          <cell r="C5120" t="str">
            <v xml:space="preserve">   TORASEMIDE</v>
          </cell>
          <cell r="D5120">
            <v>76016</v>
          </cell>
          <cell r="E5120">
            <v>58119</v>
          </cell>
        </row>
        <row r="5121">
          <cell r="C5121" t="str">
            <v xml:space="preserve">    DYTOR              UNH</v>
          </cell>
          <cell r="D5121">
            <v>39289</v>
          </cell>
          <cell r="E5121">
            <v>29276</v>
          </cell>
        </row>
        <row r="5122">
          <cell r="C5122" t="str">
            <v xml:space="preserve">    TORSID             SQA</v>
          </cell>
          <cell r="D5122">
            <v>34780</v>
          </cell>
          <cell r="E5122">
            <v>28832</v>
          </cell>
        </row>
        <row r="5123">
          <cell r="C5123" t="str">
            <v xml:space="preserve">    TORSEM             OPI</v>
          </cell>
          <cell r="D5123">
            <v>1947</v>
          </cell>
          <cell r="E5123">
            <v>0</v>
          </cell>
        </row>
        <row r="5124">
          <cell r="C5124" t="str">
            <v xml:space="preserve">    DILAST             IAP</v>
          </cell>
          <cell r="D5124">
            <v>0</v>
          </cell>
          <cell r="E5124">
            <v>12</v>
          </cell>
        </row>
        <row r="5125">
          <cell r="C5125" t="str">
            <v xml:space="preserve">   FUROSEMIDE</v>
          </cell>
          <cell r="D5125">
            <v>58958</v>
          </cell>
          <cell r="E5125">
            <v>62813</v>
          </cell>
        </row>
        <row r="5126">
          <cell r="C5126" t="str">
            <v xml:space="preserve">    FUSID              SQA</v>
          </cell>
          <cell r="D5126">
            <v>35636</v>
          </cell>
          <cell r="E5126">
            <v>33418</v>
          </cell>
        </row>
        <row r="5127">
          <cell r="C5127" t="str">
            <v xml:space="preserve">    LASIX              S.Y</v>
          </cell>
          <cell r="D5127">
            <v>18014</v>
          </cell>
          <cell r="E5127">
            <v>23558</v>
          </cell>
        </row>
        <row r="5128">
          <cell r="C5128" t="str">
            <v xml:space="preserve">    FRUSIN             OPI</v>
          </cell>
          <cell r="D5128">
            <v>5301</v>
          </cell>
          <cell r="E5128">
            <v>5806</v>
          </cell>
        </row>
        <row r="5129">
          <cell r="C5129" t="str">
            <v xml:space="preserve">    WATARIS            IAP</v>
          </cell>
          <cell r="D5129">
            <v>6</v>
          </cell>
          <cell r="E5129">
            <v>32</v>
          </cell>
        </row>
        <row r="5130">
          <cell r="C5130" t="str">
            <v xml:space="preserve">   BUMETANIDE</v>
          </cell>
          <cell r="D5130">
            <v>418</v>
          </cell>
          <cell r="E5130">
            <v>67</v>
          </cell>
        </row>
        <row r="5131">
          <cell r="C5131" t="str">
            <v xml:space="preserve">    URINIDE            N8V</v>
          </cell>
          <cell r="D5131">
            <v>418</v>
          </cell>
          <cell r="E5131">
            <v>24</v>
          </cell>
        </row>
        <row r="5132">
          <cell r="C5132" t="str">
            <v xml:space="preserve">    CONART             A-I</v>
          </cell>
          <cell r="D5132">
            <v>0</v>
          </cell>
          <cell r="E5132">
            <v>0</v>
          </cell>
        </row>
        <row r="5133">
          <cell r="C5133" t="str">
            <v xml:space="preserve">    BUMECARD           IAP</v>
          </cell>
          <cell r="D5133">
            <v>0</v>
          </cell>
          <cell r="E5133">
            <v>43</v>
          </cell>
        </row>
        <row r="5134">
          <cell r="C5134" t="str">
            <v xml:space="preserve">  VASOPRESSIN ANTAG DIURET</v>
          </cell>
          <cell r="D5134">
            <v>39839</v>
          </cell>
          <cell r="E5134">
            <v>26131</v>
          </cell>
        </row>
        <row r="5135">
          <cell r="C5135" t="str">
            <v xml:space="preserve">   TOLVAPTAN</v>
          </cell>
          <cell r="D5135">
            <v>39839</v>
          </cell>
          <cell r="E5135">
            <v>26131</v>
          </cell>
        </row>
        <row r="5136">
          <cell r="C5136" t="str">
            <v xml:space="preserve">    VAPTAN             PPH</v>
          </cell>
          <cell r="D5136">
            <v>39839</v>
          </cell>
          <cell r="E5136">
            <v>26131</v>
          </cell>
        </row>
        <row r="5137">
          <cell r="C5137" t="str">
            <v xml:space="preserve">  OTHER DIURETICS</v>
          </cell>
          <cell r="D5137">
            <v>11373</v>
          </cell>
          <cell r="E5137">
            <v>10581</v>
          </cell>
        </row>
        <row r="5138">
          <cell r="C5138" t="str">
            <v xml:space="preserve">   ACETAZOLAMIDE</v>
          </cell>
          <cell r="D5138">
            <v>11373</v>
          </cell>
          <cell r="E5138">
            <v>10581</v>
          </cell>
        </row>
        <row r="5139">
          <cell r="C5139" t="str">
            <v xml:space="preserve">    ACEMOX             ACM</v>
          </cell>
          <cell r="D5139">
            <v>11373</v>
          </cell>
          <cell r="E5139">
            <v>10581</v>
          </cell>
        </row>
        <row r="5140">
          <cell r="C5140" t="str">
            <v xml:space="preserve">  POT SPARING+THIAZ COMBS</v>
          </cell>
          <cell r="D5140">
            <v>3216</v>
          </cell>
          <cell r="E5140">
            <v>3098</v>
          </cell>
        </row>
        <row r="5141">
          <cell r="C5141" t="str">
            <v xml:space="preserve">   HYDROCHLOROTHIAZIDE+TRIAMTERENE</v>
          </cell>
          <cell r="D5141">
            <v>3215</v>
          </cell>
          <cell r="E5141">
            <v>3098</v>
          </cell>
        </row>
        <row r="5142">
          <cell r="C5142" t="str">
            <v xml:space="preserve">    DEZIDE             ESF</v>
          </cell>
          <cell r="D5142">
            <v>3215</v>
          </cell>
          <cell r="E5142">
            <v>3098</v>
          </cell>
        </row>
        <row r="5143">
          <cell r="C5143" t="str">
            <v xml:space="preserve">   AMILORIDE+HYDROCHLOROTHIAZIDE</v>
          </cell>
          <cell r="D5143">
            <v>1</v>
          </cell>
          <cell r="E5143">
            <v>0</v>
          </cell>
        </row>
        <row r="5144">
          <cell r="C5144" t="str">
            <v xml:space="preserve">    NATURETIC          D-I</v>
          </cell>
          <cell r="D5144">
            <v>1</v>
          </cell>
          <cell r="E5144">
            <v>0</v>
          </cell>
        </row>
        <row r="5145">
          <cell r="C5145" t="str">
            <v xml:space="preserve"> B2-AGONISTS</v>
          </cell>
          <cell r="D5145">
            <v>1571147</v>
          </cell>
          <cell r="E5145">
            <v>1558132</v>
          </cell>
        </row>
        <row r="5146">
          <cell r="C5146" t="str">
            <v xml:space="preserve">  SHORT-ACT B2-AGON INHAL</v>
          </cell>
          <cell r="D5146">
            <v>1067564</v>
          </cell>
          <cell r="E5146">
            <v>1043138</v>
          </cell>
        </row>
        <row r="5147">
          <cell r="C5147" t="str">
            <v xml:space="preserve">   SALBUTAMOL</v>
          </cell>
          <cell r="D5147">
            <v>1058436</v>
          </cell>
          <cell r="E5147">
            <v>1027785</v>
          </cell>
        </row>
        <row r="5148">
          <cell r="C5148" t="str">
            <v xml:space="preserve">    AZMASOL-HFA        BXM</v>
          </cell>
          <cell r="D5148">
            <v>523615</v>
          </cell>
          <cell r="E5148">
            <v>503965</v>
          </cell>
        </row>
        <row r="5149">
          <cell r="C5149" t="str">
            <v xml:space="preserve">    SULTOLIN-HFA       SQA</v>
          </cell>
          <cell r="D5149">
            <v>257207</v>
          </cell>
          <cell r="E5149">
            <v>238261</v>
          </cell>
        </row>
        <row r="5150">
          <cell r="C5150" t="str">
            <v xml:space="preserve">    SULTOLIN           SQA</v>
          </cell>
          <cell r="D5150">
            <v>82008</v>
          </cell>
          <cell r="E5150">
            <v>90889</v>
          </cell>
        </row>
        <row r="5151">
          <cell r="C5151" t="str">
            <v xml:space="preserve">    BRODIL             A-I</v>
          </cell>
          <cell r="D5151">
            <v>60331</v>
          </cell>
          <cell r="E5151">
            <v>57455</v>
          </cell>
        </row>
        <row r="5152">
          <cell r="C5152" t="str">
            <v xml:space="preserve">    AZMASOL            BXM</v>
          </cell>
          <cell r="D5152">
            <v>46288</v>
          </cell>
          <cell r="E5152">
            <v>48989</v>
          </cell>
        </row>
        <row r="5153">
          <cell r="C5153" t="str">
            <v xml:space="preserve">    SALMOLIN           ACM</v>
          </cell>
          <cell r="D5153">
            <v>28121</v>
          </cell>
          <cell r="E5153">
            <v>21783</v>
          </cell>
        </row>
        <row r="5154">
          <cell r="C5154" t="str">
            <v xml:space="preserve">    ASMALIN            ATP</v>
          </cell>
          <cell r="D5154">
            <v>21840</v>
          </cell>
          <cell r="E5154">
            <v>27242</v>
          </cell>
        </row>
        <row r="5155">
          <cell r="C5155" t="str">
            <v xml:space="preserve">    PULMOCARE          HT3</v>
          </cell>
          <cell r="D5155">
            <v>15422</v>
          </cell>
          <cell r="E5155">
            <v>18194</v>
          </cell>
        </row>
        <row r="5156">
          <cell r="C5156" t="str">
            <v xml:space="preserve">    WINDEL             IAP</v>
          </cell>
          <cell r="D5156">
            <v>7085</v>
          </cell>
          <cell r="E5156">
            <v>8588</v>
          </cell>
        </row>
        <row r="5157">
          <cell r="C5157" t="str">
            <v xml:space="preserve">    SALBUREN           RTA</v>
          </cell>
          <cell r="D5157">
            <v>6892</v>
          </cell>
          <cell r="E5157">
            <v>0</v>
          </cell>
        </row>
        <row r="5158">
          <cell r="C5158" t="str">
            <v xml:space="preserve">    VENTIL             D-I</v>
          </cell>
          <cell r="D5158">
            <v>5869</v>
          </cell>
          <cell r="E5158">
            <v>6025</v>
          </cell>
        </row>
        <row r="5159">
          <cell r="C5159" t="str">
            <v xml:space="preserve">    PROVENTA-HFA       OPI</v>
          </cell>
          <cell r="D5159">
            <v>2900</v>
          </cell>
          <cell r="E5159">
            <v>2818</v>
          </cell>
        </row>
        <row r="5160">
          <cell r="C5160" t="str">
            <v xml:space="preserve">    SALTIDE            UNH</v>
          </cell>
          <cell r="D5160">
            <v>751</v>
          </cell>
          <cell r="E5160">
            <v>1864</v>
          </cell>
        </row>
        <row r="5161">
          <cell r="C5161" t="str">
            <v xml:space="preserve">    PROVENTA           OPI</v>
          </cell>
          <cell r="D5161">
            <v>83</v>
          </cell>
          <cell r="E5161">
            <v>61</v>
          </cell>
        </row>
        <row r="5162">
          <cell r="C5162" t="str">
            <v xml:space="preserve">    SALOMAX            ESF</v>
          </cell>
          <cell r="D5162">
            <v>23</v>
          </cell>
          <cell r="E5162">
            <v>1652</v>
          </cell>
        </row>
        <row r="5163">
          <cell r="C5163" t="str">
            <v xml:space="preserve">    G-SALBUTAMOL       GNS</v>
          </cell>
          <cell r="D5163">
            <v>0</v>
          </cell>
          <cell r="E5163">
            <v>0</v>
          </cell>
        </row>
        <row r="5164">
          <cell r="C5164" t="str">
            <v xml:space="preserve">   LEVOSALBUTAMOL</v>
          </cell>
          <cell r="D5164">
            <v>9129</v>
          </cell>
          <cell r="E5164">
            <v>15352</v>
          </cell>
        </row>
        <row r="5165">
          <cell r="C5165" t="str">
            <v xml:space="preserve">    PURISAL            IAP</v>
          </cell>
          <cell r="D5165">
            <v>3626</v>
          </cell>
          <cell r="E5165">
            <v>7793</v>
          </cell>
        </row>
        <row r="5166">
          <cell r="C5166" t="str">
            <v xml:space="preserve">    BRODIL LEVO        A-I</v>
          </cell>
          <cell r="D5166">
            <v>3111</v>
          </cell>
          <cell r="E5166">
            <v>4482</v>
          </cell>
        </row>
        <row r="5167">
          <cell r="C5167" t="str">
            <v xml:space="preserve">    PULMOCARE L        HT3</v>
          </cell>
          <cell r="D5167">
            <v>2331</v>
          </cell>
          <cell r="E5167">
            <v>2407</v>
          </cell>
        </row>
        <row r="5168">
          <cell r="C5168" t="str">
            <v xml:space="preserve">    LEVOSTAR           SQA</v>
          </cell>
          <cell r="D5168">
            <v>48</v>
          </cell>
          <cell r="E5168">
            <v>612</v>
          </cell>
        </row>
        <row r="5169">
          <cell r="C5169" t="str">
            <v xml:space="preserve">    RESPIRA            BXM</v>
          </cell>
          <cell r="D5169">
            <v>13</v>
          </cell>
          <cell r="E5169">
            <v>58</v>
          </cell>
        </row>
        <row r="5170">
          <cell r="C5170" t="str">
            <v xml:space="preserve">  B2-AGONISTS SYSTEMIC</v>
          </cell>
          <cell r="D5170">
            <v>488212</v>
          </cell>
          <cell r="E5170">
            <v>494630</v>
          </cell>
        </row>
        <row r="5171">
          <cell r="C5171" t="str">
            <v xml:space="preserve">   LEVOSALBUTAMOL</v>
          </cell>
          <cell r="D5171">
            <v>355622</v>
          </cell>
          <cell r="E5171">
            <v>369100</v>
          </cell>
        </row>
        <row r="5172">
          <cell r="C5172" t="str">
            <v xml:space="preserve">    PURISAL            IAP</v>
          </cell>
          <cell r="D5172">
            <v>180232</v>
          </cell>
          <cell r="E5172">
            <v>167591</v>
          </cell>
        </row>
        <row r="5173">
          <cell r="C5173" t="str">
            <v xml:space="preserve">    LEVOSTAR           SQA</v>
          </cell>
          <cell r="D5173">
            <v>100192</v>
          </cell>
          <cell r="E5173">
            <v>96988</v>
          </cell>
        </row>
        <row r="5174">
          <cell r="C5174" t="str">
            <v xml:space="preserve">    BRODIL LEVO        A-I</v>
          </cell>
          <cell r="D5174">
            <v>31397</v>
          </cell>
          <cell r="E5174">
            <v>42208</v>
          </cell>
        </row>
        <row r="5175">
          <cell r="C5175" t="str">
            <v xml:space="preserve">    TRULAX             RTA</v>
          </cell>
          <cell r="D5175">
            <v>17627</v>
          </cell>
          <cell r="E5175">
            <v>23646</v>
          </cell>
        </row>
        <row r="5176">
          <cell r="C5176" t="str">
            <v xml:space="preserve">    SALMOLIN-L         ACM</v>
          </cell>
          <cell r="D5176">
            <v>9292</v>
          </cell>
          <cell r="E5176">
            <v>12699</v>
          </cell>
        </row>
        <row r="5177">
          <cell r="C5177" t="str">
            <v xml:space="preserve">    BRIZY              ESF</v>
          </cell>
          <cell r="D5177">
            <v>7165</v>
          </cell>
          <cell r="E5177">
            <v>8851</v>
          </cell>
        </row>
        <row r="5178">
          <cell r="C5178" t="str">
            <v xml:space="preserve">    VENTISAL-L         IBN</v>
          </cell>
          <cell r="D5178">
            <v>5136</v>
          </cell>
          <cell r="E5178">
            <v>7908</v>
          </cell>
        </row>
        <row r="5179">
          <cell r="C5179" t="str">
            <v xml:space="preserve">    PURILIN            OPI</v>
          </cell>
          <cell r="D5179">
            <v>1838</v>
          </cell>
          <cell r="E5179">
            <v>4775</v>
          </cell>
        </row>
        <row r="5180">
          <cell r="C5180" t="str">
            <v xml:space="preserve">    AIRPRO             EVR</v>
          </cell>
          <cell r="D5180">
            <v>1097</v>
          </cell>
          <cell r="E5180">
            <v>746</v>
          </cell>
        </row>
        <row r="5181">
          <cell r="C5181" t="str">
            <v xml:space="preserve">    LIVODEL            PPH</v>
          </cell>
          <cell r="D5181">
            <v>892</v>
          </cell>
          <cell r="E5181">
            <v>1504</v>
          </cell>
        </row>
        <row r="5182">
          <cell r="C5182" t="str">
            <v xml:space="preserve">    LETOL              GBE</v>
          </cell>
          <cell r="D5182">
            <v>241</v>
          </cell>
          <cell r="E5182">
            <v>996</v>
          </cell>
        </row>
        <row r="5183">
          <cell r="C5183" t="str">
            <v xml:space="preserve">    LESAL              AX.</v>
          </cell>
          <cell r="D5183">
            <v>184</v>
          </cell>
          <cell r="E5183">
            <v>218</v>
          </cell>
        </row>
        <row r="5184">
          <cell r="C5184" t="str">
            <v xml:space="preserve">    COMFIL             P-S</v>
          </cell>
          <cell r="D5184">
            <v>141</v>
          </cell>
          <cell r="E5184">
            <v>517</v>
          </cell>
        </row>
        <row r="5185">
          <cell r="C5185" t="str">
            <v xml:space="preserve">    RESPIRA            BXM</v>
          </cell>
          <cell r="D5185">
            <v>114</v>
          </cell>
          <cell r="E5185">
            <v>321</v>
          </cell>
        </row>
        <row r="5186">
          <cell r="C5186" t="str">
            <v xml:space="preserve">    PULMOLIN-L         OPI</v>
          </cell>
          <cell r="D5186">
            <v>26</v>
          </cell>
          <cell r="E5186">
            <v>34</v>
          </cell>
        </row>
        <row r="5187">
          <cell r="C5187" t="str">
            <v xml:space="preserve">    AIRE               D&amp;B</v>
          </cell>
          <cell r="D5187">
            <v>22</v>
          </cell>
          <cell r="E5187">
            <v>68</v>
          </cell>
        </row>
        <row r="5188">
          <cell r="C5188" t="str">
            <v xml:space="preserve">    SALBU-L            BP&amp;</v>
          </cell>
          <cell r="D5188">
            <v>11</v>
          </cell>
          <cell r="E5188">
            <v>0</v>
          </cell>
        </row>
        <row r="5189">
          <cell r="C5189" t="str">
            <v xml:space="preserve">    BROMOL             S&amp;O</v>
          </cell>
          <cell r="D5189">
            <v>11</v>
          </cell>
          <cell r="E5189">
            <v>0</v>
          </cell>
        </row>
        <row r="5190">
          <cell r="C5190" t="str">
            <v xml:space="preserve">    LEVODIL            PPH</v>
          </cell>
          <cell r="D5190">
            <v>3</v>
          </cell>
          <cell r="E5190">
            <v>29</v>
          </cell>
        </row>
        <row r="5191">
          <cell r="C5191" t="str">
            <v xml:space="preserve">    ACTISAL            SV6</v>
          </cell>
          <cell r="D5191">
            <v>0</v>
          </cell>
          <cell r="E5191">
            <v>0</v>
          </cell>
        </row>
        <row r="5192">
          <cell r="C5192" t="str">
            <v xml:space="preserve">    AROLAX             N8V</v>
          </cell>
          <cell r="D5192">
            <v>0</v>
          </cell>
          <cell r="E5192">
            <v>0</v>
          </cell>
        </row>
        <row r="5193">
          <cell r="C5193" t="str">
            <v xml:space="preserve">    ASMOLEX-L          ATP</v>
          </cell>
          <cell r="D5193">
            <v>0</v>
          </cell>
          <cell r="E5193">
            <v>0</v>
          </cell>
        </row>
        <row r="5194">
          <cell r="C5194" t="str">
            <v xml:space="preserve">    LEBROD             A.P</v>
          </cell>
          <cell r="D5194">
            <v>0</v>
          </cell>
          <cell r="E5194">
            <v>0</v>
          </cell>
        </row>
        <row r="5195">
          <cell r="C5195" t="str">
            <v xml:space="preserve">    LEVENTA            NVO</v>
          </cell>
          <cell r="D5195">
            <v>0</v>
          </cell>
          <cell r="E5195">
            <v>1</v>
          </cell>
        </row>
        <row r="5196">
          <cell r="C5196" t="str">
            <v xml:space="preserve">    LEVO BUTOL         CPL</v>
          </cell>
          <cell r="D5196">
            <v>0</v>
          </cell>
          <cell r="E5196">
            <v>0</v>
          </cell>
        </row>
        <row r="5197">
          <cell r="C5197" t="str">
            <v xml:space="preserve">    ISOSAL             NJP</v>
          </cell>
          <cell r="D5197">
            <v>0</v>
          </cell>
          <cell r="E5197">
            <v>0</v>
          </cell>
        </row>
        <row r="5198">
          <cell r="C5198" t="str">
            <v xml:space="preserve">   SALBUTAMOL</v>
          </cell>
          <cell r="D5198">
            <v>114216</v>
          </cell>
          <cell r="E5198">
            <v>108589</v>
          </cell>
        </row>
        <row r="5199">
          <cell r="C5199" t="str">
            <v xml:space="preserve">    BRODIL             A-I</v>
          </cell>
          <cell r="D5199">
            <v>73495</v>
          </cell>
          <cell r="E5199">
            <v>63038</v>
          </cell>
        </row>
        <row r="5200">
          <cell r="C5200" t="str">
            <v xml:space="preserve">    SALMOLIN           ACM</v>
          </cell>
          <cell r="D5200">
            <v>18492</v>
          </cell>
          <cell r="E5200">
            <v>14096</v>
          </cell>
        </row>
        <row r="5201">
          <cell r="C5201" t="str">
            <v xml:space="preserve">    SULTOLIN           SQA</v>
          </cell>
          <cell r="D5201">
            <v>11386</v>
          </cell>
          <cell r="E5201">
            <v>14316</v>
          </cell>
        </row>
        <row r="5202">
          <cell r="C5202" t="str">
            <v xml:space="preserve">    VENTISAL           IBN</v>
          </cell>
          <cell r="D5202">
            <v>3000</v>
          </cell>
          <cell r="E5202">
            <v>5142</v>
          </cell>
        </row>
        <row r="5203">
          <cell r="C5203" t="str">
            <v xml:space="preserve">    BRONKOLAX          BXM</v>
          </cell>
          <cell r="D5203">
            <v>2775</v>
          </cell>
          <cell r="E5203">
            <v>2653</v>
          </cell>
        </row>
        <row r="5204">
          <cell r="C5204" t="str">
            <v xml:space="preserve">    PULMOLIN           OPI</v>
          </cell>
          <cell r="D5204">
            <v>2082</v>
          </cell>
          <cell r="E5204">
            <v>3813</v>
          </cell>
        </row>
        <row r="5205">
          <cell r="C5205" t="str">
            <v xml:space="preserve">    WINDEL             IAP</v>
          </cell>
          <cell r="D5205">
            <v>1724</v>
          </cell>
          <cell r="E5205">
            <v>2208</v>
          </cell>
        </row>
        <row r="5206">
          <cell r="C5206" t="str">
            <v xml:space="preserve">    SALBU              BP&amp;</v>
          </cell>
          <cell r="D5206">
            <v>701</v>
          </cell>
          <cell r="E5206">
            <v>2326</v>
          </cell>
        </row>
        <row r="5207">
          <cell r="C5207" t="str">
            <v xml:space="preserve">    BUTOL              CPL</v>
          </cell>
          <cell r="D5207">
            <v>384</v>
          </cell>
          <cell r="E5207">
            <v>526</v>
          </cell>
        </row>
        <row r="5208">
          <cell r="C5208" t="str">
            <v xml:space="preserve">    ACTOLIN            GBE</v>
          </cell>
          <cell r="D5208">
            <v>64</v>
          </cell>
          <cell r="E5208">
            <v>0</v>
          </cell>
        </row>
        <row r="5209">
          <cell r="C5209" t="str">
            <v xml:space="preserve">    SALBUSOL           S6C</v>
          </cell>
          <cell r="D5209">
            <v>48</v>
          </cell>
          <cell r="E5209">
            <v>45</v>
          </cell>
        </row>
        <row r="5210">
          <cell r="C5210" t="str">
            <v xml:space="preserve">    VENTIL             D-I</v>
          </cell>
          <cell r="D5210">
            <v>29</v>
          </cell>
          <cell r="E5210">
            <v>126</v>
          </cell>
        </row>
        <row r="5211">
          <cell r="C5211" t="str">
            <v xml:space="preserve">    ORSAL              OR/</v>
          </cell>
          <cell r="D5211">
            <v>25</v>
          </cell>
          <cell r="E5211">
            <v>88</v>
          </cell>
        </row>
        <row r="5212">
          <cell r="C5212" t="str">
            <v xml:space="preserve">    AZMASOL            BXM</v>
          </cell>
          <cell r="D5212">
            <v>9</v>
          </cell>
          <cell r="E5212">
            <v>135</v>
          </cell>
        </row>
        <row r="5213">
          <cell r="C5213" t="str">
            <v xml:space="preserve">    DECABUTAMOL        D7P</v>
          </cell>
          <cell r="D5213">
            <v>0</v>
          </cell>
          <cell r="E5213">
            <v>0</v>
          </cell>
        </row>
        <row r="5214">
          <cell r="C5214" t="str">
            <v xml:space="preserve">    D BUTAMOL          DOC</v>
          </cell>
          <cell r="D5214">
            <v>0</v>
          </cell>
          <cell r="E5214">
            <v>0</v>
          </cell>
        </row>
        <row r="5215">
          <cell r="C5215" t="str">
            <v xml:space="preserve">    ASMATOL            RPH</v>
          </cell>
          <cell r="D5215">
            <v>0</v>
          </cell>
          <cell r="E5215">
            <v>0</v>
          </cell>
        </row>
        <row r="5216">
          <cell r="C5216" t="str">
            <v xml:space="preserve">    BRONCOTROL         PAC</v>
          </cell>
          <cell r="D5216">
            <v>0</v>
          </cell>
          <cell r="E5216">
            <v>5</v>
          </cell>
        </row>
        <row r="5217">
          <cell r="C5217" t="str">
            <v xml:space="preserve">    BUTALIN            UCL</v>
          </cell>
          <cell r="D5217">
            <v>0</v>
          </cell>
          <cell r="E5217">
            <v>0</v>
          </cell>
        </row>
        <row r="5218">
          <cell r="C5218" t="str">
            <v xml:space="preserve">    BUTAMOL            APC</v>
          </cell>
          <cell r="D5218">
            <v>0</v>
          </cell>
          <cell r="E5218">
            <v>0</v>
          </cell>
        </row>
        <row r="5219">
          <cell r="C5219" t="str">
            <v xml:space="preserve">    E-TOL              EDR</v>
          </cell>
          <cell r="D5219">
            <v>0</v>
          </cell>
          <cell r="E5219">
            <v>0</v>
          </cell>
        </row>
        <row r="5220">
          <cell r="C5220" t="str">
            <v xml:space="preserve">    RESPOLIN           JAY</v>
          </cell>
          <cell r="D5220">
            <v>0</v>
          </cell>
          <cell r="E5220">
            <v>0</v>
          </cell>
        </row>
        <row r="5221">
          <cell r="C5221" t="str">
            <v xml:space="preserve">    REVEN              AP9</v>
          </cell>
          <cell r="D5221">
            <v>0</v>
          </cell>
          <cell r="E5221">
            <v>2</v>
          </cell>
        </row>
        <row r="5222">
          <cell r="C5222" t="str">
            <v xml:space="preserve">    SALBUNIL           JNS</v>
          </cell>
          <cell r="D5222">
            <v>0</v>
          </cell>
          <cell r="E5222">
            <v>0</v>
          </cell>
        </row>
        <row r="5223">
          <cell r="C5223" t="str">
            <v xml:space="preserve">    SALBUT             GNR</v>
          </cell>
          <cell r="D5223">
            <v>0</v>
          </cell>
          <cell r="E5223">
            <v>0</v>
          </cell>
        </row>
        <row r="5224">
          <cell r="C5224" t="str">
            <v xml:space="preserve">    SALBUTAL           S.Y</v>
          </cell>
          <cell r="D5224">
            <v>0</v>
          </cell>
          <cell r="E5224">
            <v>64</v>
          </cell>
        </row>
        <row r="5225">
          <cell r="C5225" t="str">
            <v xml:space="preserve">    SALBUTAMOL         AIC</v>
          </cell>
          <cell r="D5225">
            <v>0</v>
          </cell>
          <cell r="E5225">
            <v>0</v>
          </cell>
        </row>
        <row r="5226">
          <cell r="C5226" t="str">
            <v xml:space="preserve">    SALMOL             MDM</v>
          </cell>
          <cell r="D5226">
            <v>0</v>
          </cell>
          <cell r="E5226">
            <v>0</v>
          </cell>
        </row>
        <row r="5227">
          <cell r="C5227" t="str">
            <v xml:space="preserve">    SALOMAX            ESF</v>
          </cell>
          <cell r="D5227">
            <v>0</v>
          </cell>
          <cell r="E5227">
            <v>4</v>
          </cell>
        </row>
        <row r="5228">
          <cell r="C5228" t="str">
            <v xml:space="preserve">    TOLIN              MY6</v>
          </cell>
          <cell r="D5228">
            <v>0</v>
          </cell>
          <cell r="E5228">
            <v>4</v>
          </cell>
        </row>
        <row r="5229">
          <cell r="C5229" t="str">
            <v xml:space="preserve">    VENTOLIN           GSK</v>
          </cell>
          <cell r="D5229">
            <v>0</v>
          </cell>
          <cell r="E5229">
            <v>0</v>
          </cell>
        </row>
        <row r="5230">
          <cell r="C5230" t="str">
            <v xml:space="preserve">   BAMBUTEROL</v>
          </cell>
          <cell r="D5230">
            <v>18327</v>
          </cell>
          <cell r="E5230">
            <v>16602</v>
          </cell>
        </row>
        <row r="5231">
          <cell r="C5231" t="str">
            <v xml:space="preserve">    DILATOR            ESF</v>
          </cell>
          <cell r="D5231">
            <v>18326</v>
          </cell>
          <cell r="E5231">
            <v>16517</v>
          </cell>
        </row>
        <row r="5232">
          <cell r="C5232" t="str">
            <v xml:space="preserve">    OPTIVEN            SQA</v>
          </cell>
          <cell r="D5232">
            <v>1</v>
          </cell>
          <cell r="E5232">
            <v>0</v>
          </cell>
        </row>
        <row r="5233">
          <cell r="C5233" t="str">
            <v xml:space="preserve">    AERODYL            SV6</v>
          </cell>
          <cell r="D5233">
            <v>0</v>
          </cell>
          <cell r="E5233">
            <v>24</v>
          </cell>
        </row>
        <row r="5234">
          <cell r="C5234" t="str">
            <v xml:space="preserve">    BUTEROL            A-I</v>
          </cell>
          <cell r="D5234">
            <v>0</v>
          </cell>
          <cell r="E5234">
            <v>24</v>
          </cell>
        </row>
        <row r="5235">
          <cell r="C5235" t="str">
            <v xml:space="preserve">    VENTEROL           IBN</v>
          </cell>
          <cell r="D5235">
            <v>0</v>
          </cell>
          <cell r="E5235">
            <v>37</v>
          </cell>
        </row>
        <row r="5236">
          <cell r="C5236" t="str">
            <v xml:space="preserve">   TERBUTALINE</v>
          </cell>
          <cell r="D5236">
            <v>46</v>
          </cell>
          <cell r="E5236">
            <v>337</v>
          </cell>
        </row>
        <row r="5237">
          <cell r="C5237" t="str">
            <v xml:space="preserve">    TERVENT            UNH</v>
          </cell>
          <cell r="D5237">
            <v>46</v>
          </cell>
          <cell r="E5237">
            <v>337</v>
          </cell>
        </row>
        <row r="5238">
          <cell r="C5238" t="str">
            <v xml:space="preserve">    TERBULIN           IBN</v>
          </cell>
          <cell r="D5238">
            <v>0</v>
          </cell>
          <cell r="E5238">
            <v>0</v>
          </cell>
        </row>
        <row r="5239">
          <cell r="C5239" t="str">
            <v xml:space="preserve">   GUAIFENESIN+PSEUDOEPHEDRINE+TRIPROLIDINE</v>
          </cell>
          <cell r="D5239">
            <v>0</v>
          </cell>
          <cell r="E5239">
            <v>0</v>
          </cell>
        </row>
        <row r="5240">
          <cell r="C5240" t="str">
            <v xml:space="preserve">    COPEX              EDE</v>
          </cell>
          <cell r="D5240">
            <v>0</v>
          </cell>
          <cell r="E5240">
            <v>0</v>
          </cell>
        </row>
        <row r="5241">
          <cell r="C5241" t="str">
            <v xml:space="preserve">   COMPOSITION UNKNOWN</v>
          </cell>
          <cell r="D5241">
            <v>0</v>
          </cell>
          <cell r="E5241">
            <v>1</v>
          </cell>
        </row>
        <row r="5242">
          <cell r="C5242" t="str">
            <v xml:space="preserve">    ALVOLIN            U.L</v>
          </cell>
          <cell r="D5242">
            <v>0</v>
          </cell>
          <cell r="E5242">
            <v>1</v>
          </cell>
        </row>
        <row r="5243">
          <cell r="C5243" t="str">
            <v xml:space="preserve">    ASMOLIN            EVR</v>
          </cell>
          <cell r="D5243">
            <v>0</v>
          </cell>
          <cell r="E5243">
            <v>0</v>
          </cell>
        </row>
        <row r="5244">
          <cell r="C5244" t="str">
            <v xml:space="preserve">  LONG-ACT B2-AGON INHAL</v>
          </cell>
          <cell r="D5244">
            <v>15371</v>
          </cell>
          <cell r="E5244">
            <v>20365</v>
          </cell>
        </row>
        <row r="5245">
          <cell r="C5245" t="str">
            <v xml:space="preserve">   INDACATEROL</v>
          </cell>
          <cell r="D5245">
            <v>14965</v>
          </cell>
          <cell r="E5245">
            <v>20169</v>
          </cell>
        </row>
        <row r="5246">
          <cell r="C5246" t="str">
            <v xml:space="preserve">    CATEROL            IAP</v>
          </cell>
          <cell r="D5246">
            <v>8543</v>
          </cell>
          <cell r="E5246">
            <v>9398</v>
          </cell>
        </row>
        <row r="5247">
          <cell r="C5247" t="str">
            <v xml:space="preserve">    ONRIVA BEXICAP     BXM</v>
          </cell>
          <cell r="D5247">
            <v>4198</v>
          </cell>
          <cell r="E5247">
            <v>6159</v>
          </cell>
        </row>
        <row r="5248">
          <cell r="C5248" t="str">
            <v xml:space="preserve">    OXIMA              A-I</v>
          </cell>
          <cell r="D5248">
            <v>1285</v>
          </cell>
          <cell r="E5248">
            <v>4269</v>
          </cell>
        </row>
        <row r="5249">
          <cell r="C5249" t="str">
            <v xml:space="preserve">    DILINDA            UNH</v>
          </cell>
          <cell r="D5249">
            <v>939</v>
          </cell>
          <cell r="E5249">
            <v>343</v>
          </cell>
        </row>
        <row r="5250">
          <cell r="C5250" t="str">
            <v xml:space="preserve">    ONBREZ-BREEZHALER  NVR</v>
          </cell>
          <cell r="D5250">
            <v>0</v>
          </cell>
          <cell r="E5250">
            <v>0</v>
          </cell>
        </row>
        <row r="5251">
          <cell r="C5251" t="str">
            <v xml:space="preserve">   SALMETEROL</v>
          </cell>
          <cell r="D5251">
            <v>397</v>
          </cell>
          <cell r="E5251">
            <v>149</v>
          </cell>
        </row>
        <row r="5252">
          <cell r="C5252" t="str">
            <v xml:space="preserve">    BEXITROL           BXM</v>
          </cell>
          <cell r="D5252">
            <v>201</v>
          </cell>
          <cell r="E5252">
            <v>149</v>
          </cell>
        </row>
        <row r="5253">
          <cell r="C5253" t="str">
            <v xml:space="preserve">    SERAVENT           D-I</v>
          </cell>
          <cell r="D5253">
            <v>185</v>
          </cell>
          <cell r="E5253">
            <v>0</v>
          </cell>
        </row>
        <row r="5254">
          <cell r="C5254" t="str">
            <v xml:space="preserve">    AROBID             ATP</v>
          </cell>
          <cell r="D5254">
            <v>11</v>
          </cell>
          <cell r="E5254">
            <v>0</v>
          </cell>
        </row>
        <row r="5255">
          <cell r="C5255" t="str">
            <v xml:space="preserve">    SALMATE            SQA</v>
          </cell>
          <cell r="D5255">
            <v>0</v>
          </cell>
          <cell r="E5255">
            <v>0</v>
          </cell>
        </row>
        <row r="5256">
          <cell r="C5256" t="str">
            <v xml:space="preserve">   ARFORMOTEROL</v>
          </cell>
          <cell r="D5256">
            <v>10</v>
          </cell>
          <cell r="E5256">
            <v>47</v>
          </cell>
        </row>
        <row r="5257">
          <cell r="C5257" t="str">
            <v xml:space="preserve">    ARONEB             IAP</v>
          </cell>
          <cell r="D5257">
            <v>10</v>
          </cell>
          <cell r="E5257">
            <v>47</v>
          </cell>
        </row>
        <row r="5258">
          <cell r="C5258" t="str">
            <v xml:space="preserve"> TRANQUILLIZERS</v>
          </cell>
          <cell r="D5258">
            <v>1411289</v>
          </cell>
          <cell r="E5258">
            <v>1132106</v>
          </cell>
        </row>
        <row r="5259">
          <cell r="C5259" t="str">
            <v xml:space="preserve">  TRANQUILLIZERS</v>
          </cell>
          <cell r="D5259">
            <v>1411289</v>
          </cell>
          <cell r="E5259">
            <v>1132106</v>
          </cell>
        </row>
        <row r="5260">
          <cell r="C5260" t="str">
            <v xml:space="preserve">   HYDROXYZINE</v>
          </cell>
          <cell r="D5260">
            <v>538734</v>
          </cell>
          <cell r="E5260">
            <v>359892</v>
          </cell>
        </row>
        <row r="5261">
          <cell r="C5261" t="str">
            <v xml:space="preserve">    XYRIL              OPI</v>
          </cell>
          <cell r="D5261">
            <v>296558</v>
          </cell>
          <cell r="E5261">
            <v>198061</v>
          </cell>
        </row>
        <row r="5262">
          <cell r="C5262" t="str">
            <v xml:space="preserve">    ARTICA             A-I</v>
          </cell>
          <cell r="D5262">
            <v>187098</v>
          </cell>
          <cell r="E5262">
            <v>126608</v>
          </cell>
        </row>
        <row r="5263">
          <cell r="C5263" t="str">
            <v xml:space="preserve">    ROXYZIN            IAP</v>
          </cell>
          <cell r="D5263">
            <v>55078</v>
          </cell>
          <cell r="E5263">
            <v>35223</v>
          </cell>
        </row>
        <row r="5264">
          <cell r="C5264" t="str">
            <v xml:space="preserve">   BROMAZEPAM</v>
          </cell>
          <cell r="D5264">
            <v>414301</v>
          </cell>
          <cell r="E5264">
            <v>390828</v>
          </cell>
        </row>
        <row r="5265">
          <cell r="C5265" t="str">
            <v xml:space="preserve">    LEXOTANIL          RD7</v>
          </cell>
          <cell r="D5265">
            <v>158482</v>
          </cell>
          <cell r="E5265">
            <v>147463</v>
          </cell>
        </row>
        <row r="5266">
          <cell r="C5266" t="str">
            <v xml:space="preserve">    TENIL              ACM</v>
          </cell>
          <cell r="D5266">
            <v>102894</v>
          </cell>
          <cell r="E5266">
            <v>96804</v>
          </cell>
        </row>
        <row r="5267">
          <cell r="C5267" t="str">
            <v xml:space="preserve">    BOPAM              OPI</v>
          </cell>
          <cell r="D5267">
            <v>42911</v>
          </cell>
          <cell r="E5267">
            <v>33406</v>
          </cell>
        </row>
        <row r="5268">
          <cell r="C5268" t="str">
            <v xml:space="preserve">    LAXYL              SQA</v>
          </cell>
          <cell r="D5268">
            <v>40771</v>
          </cell>
          <cell r="E5268">
            <v>39002</v>
          </cell>
        </row>
        <row r="5269">
          <cell r="C5269" t="str">
            <v xml:space="preserve">    NORRY              RTA</v>
          </cell>
          <cell r="D5269">
            <v>19346</v>
          </cell>
          <cell r="E5269">
            <v>21722</v>
          </cell>
        </row>
        <row r="5270">
          <cell r="C5270" t="str">
            <v xml:space="preserve">    XIONIL             SDZ</v>
          </cell>
          <cell r="D5270">
            <v>19063</v>
          </cell>
          <cell r="E5270">
            <v>18662</v>
          </cell>
        </row>
        <row r="5271">
          <cell r="C5271" t="str">
            <v xml:space="preserve">    NIGHTUS            BXM</v>
          </cell>
          <cell r="D5271">
            <v>9477</v>
          </cell>
          <cell r="E5271">
            <v>9640</v>
          </cell>
        </row>
        <row r="5272">
          <cell r="C5272" t="str">
            <v xml:space="preserve">    SIESTA             IAP</v>
          </cell>
          <cell r="D5272">
            <v>7545</v>
          </cell>
          <cell r="E5272">
            <v>9844</v>
          </cell>
        </row>
        <row r="5273">
          <cell r="C5273" t="str">
            <v xml:space="preserve">    LEXOPIL            HT3</v>
          </cell>
          <cell r="D5273">
            <v>5163</v>
          </cell>
          <cell r="E5273">
            <v>3205</v>
          </cell>
        </row>
        <row r="5274">
          <cell r="C5274" t="str">
            <v xml:space="preserve">    NOTENS             ATP</v>
          </cell>
          <cell r="D5274">
            <v>3538</v>
          </cell>
          <cell r="E5274">
            <v>2350</v>
          </cell>
        </row>
        <row r="5275">
          <cell r="C5275" t="str">
            <v xml:space="preserve">    BROMAZEP           OR/</v>
          </cell>
          <cell r="D5275">
            <v>3157</v>
          </cell>
          <cell r="E5275">
            <v>5499</v>
          </cell>
        </row>
        <row r="5276">
          <cell r="C5276" t="str">
            <v xml:space="preserve">    RESTOL             ESF</v>
          </cell>
          <cell r="D5276">
            <v>1534</v>
          </cell>
          <cell r="E5276">
            <v>1865</v>
          </cell>
        </row>
        <row r="5277">
          <cell r="C5277" t="str">
            <v xml:space="preserve">    ZEPAM              A-I</v>
          </cell>
          <cell r="D5277">
            <v>226</v>
          </cell>
          <cell r="E5277">
            <v>681</v>
          </cell>
        </row>
        <row r="5278">
          <cell r="C5278" t="str">
            <v xml:space="preserve">    BROZE              BP&amp;</v>
          </cell>
          <cell r="D5278">
            <v>170</v>
          </cell>
          <cell r="E5278">
            <v>487</v>
          </cell>
        </row>
        <row r="5279">
          <cell r="C5279" t="str">
            <v xml:space="preserve">    FRETEN             D&amp;B</v>
          </cell>
          <cell r="D5279">
            <v>25</v>
          </cell>
          <cell r="E5279">
            <v>136</v>
          </cell>
        </row>
        <row r="5280">
          <cell r="C5280" t="str">
            <v xml:space="preserve">    ANCOTIL            R7G</v>
          </cell>
          <cell r="D5280">
            <v>0</v>
          </cell>
          <cell r="E5280">
            <v>0</v>
          </cell>
        </row>
        <row r="5281">
          <cell r="C5281" t="str">
            <v xml:space="preserve">    ANXIO              UNH</v>
          </cell>
          <cell r="D5281">
            <v>0</v>
          </cell>
          <cell r="E5281">
            <v>30</v>
          </cell>
        </row>
        <row r="5282">
          <cell r="C5282" t="str">
            <v xml:space="preserve">    LAXONIL            RPH</v>
          </cell>
          <cell r="D5282">
            <v>0</v>
          </cell>
          <cell r="E5282">
            <v>0</v>
          </cell>
        </row>
        <row r="5283">
          <cell r="C5283" t="str">
            <v xml:space="preserve">    LEXNIL             A/L</v>
          </cell>
          <cell r="D5283">
            <v>0</v>
          </cell>
          <cell r="E5283">
            <v>0</v>
          </cell>
        </row>
        <row r="5284">
          <cell r="C5284" t="str">
            <v xml:space="preserve">    REM                AMB</v>
          </cell>
          <cell r="D5284">
            <v>0</v>
          </cell>
          <cell r="E5284">
            <v>0</v>
          </cell>
        </row>
        <row r="5285">
          <cell r="C5285" t="str">
            <v xml:space="preserve">    TENAPAM            GNR</v>
          </cell>
          <cell r="D5285">
            <v>0</v>
          </cell>
          <cell r="E5285">
            <v>0</v>
          </cell>
        </row>
        <row r="5286">
          <cell r="C5286" t="str">
            <v xml:space="preserve">    KPAM               KMP</v>
          </cell>
          <cell r="D5286">
            <v>0</v>
          </cell>
          <cell r="E5286">
            <v>0</v>
          </cell>
        </row>
        <row r="5287">
          <cell r="C5287" t="str">
            <v xml:space="preserve">    MAPEZ              KUM</v>
          </cell>
          <cell r="D5287">
            <v>0</v>
          </cell>
          <cell r="E5287">
            <v>8</v>
          </cell>
        </row>
        <row r="5288">
          <cell r="C5288" t="str">
            <v xml:space="preserve">    XIOPAM             EMA</v>
          </cell>
          <cell r="D5288">
            <v>0</v>
          </cell>
          <cell r="E5288">
            <v>0</v>
          </cell>
        </row>
        <row r="5289">
          <cell r="C5289" t="str">
            <v xml:space="preserve">    RELAXAID           LDB</v>
          </cell>
          <cell r="D5289">
            <v>0</v>
          </cell>
          <cell r="E5289">
            <v>26</v>
          </cell>
        </row>
        <row r="5290">
          <cell r="C5290" t="str">
            <v xml:space="preserve">    TARBO              P-S</v>
          </cell>
          <cell r="D5290">
            <v>0</v>
          </cell>
          <cell r="E5290">
            <v>0</v>
          </cell>
        </row>
        <row r="5291">
          <cell r="C5291" t="str">
            <v xml:space="preserve">   ALPRAZOLAM</v>
          </cell>
          <cell r="D5291">
            <v>286664</v>
          </cell>
          <cell r="E5291">
            <v>233969</v>
          </cell>
        </row>
        <row r="5292">
          <cell r="C5292" t="str">
            <v xml:space="preserve">    ZOLIUM             IAP</v>
          </cell>
          <cell r="D5292">
            <v>196629</v>
          </cell>
          <cell r="E5292">
            <v>158582</v>
          </cell>
        </row>
        <row r="5293">
          <cell r="C5293" t="str">
            <v xml:space="preserve">    ZOLAX              BXM</v>
          </cell>
          <cell r="D5293">
            <v>55966</v>
          </cell>
          <cell r="E5293">
            <v>35857</v>
          </cell>
        </row>
        <row r="5294">
          <cell r="C5294" t="str">
            <v xml:space="preserve">    ALZOLAM            SPI</v>
          </cell>
          <cell r="D5294">
            <v>17048</v>
          </cell>
          <cell r="E5294">
            <v>22534</v>
          </cell>
        </row>
        <row r="5295">
          <cell r="C5295" t="str">
            <v xml:space="preserve">    ALPRAX             OPI</v>
          </cell>
          <cell r="D5295">
            <v>16714</v>
          </cell>
          <cell r="E5295">
            <v>16431</v>
          </cell>
        </row>
        <row r="5296">
          <cell r="C5296" t="str">
            <v xml:space="preserve">    ALAXEN             UCL</v>
          </cell>
          <cell r="D5296">
            <v>307</v>
          </cell>
          <cell r="E5296">
            <v>565</v>
          </cell>
        </row>
        <row r="5297">
          <cell r="C5297" t="str">
            <v xml:space="preserve">    ALPAM              A/L</v>
          </cell>
          <cell r="D5297">
            <v>0</v>
          </cell>
          <cell r="E5297">
            <v>0</v>
          </cell>
        </row>
        <row r="5298">
          <cell r="C5298" t="str">
            <v xml:space="preserve">    SERELAM            GNR</v>
          </cell>
          <cell r="D5298">
            <v>0</v>
          </cell>
          <cell r="E5298">
            <v>0</v>
          </cell>
        </row>
        <row r="5299">
          <cell r="C5299" t="str">
            <v xml:space="preserve">    XOLAM              ATP</v>
          </cell>
          <cell r="D5299">
            <v>0</v>
          </cell>
          <cell r="E5299">
            <v>0</v>
          </cell>
        </row>
        <row r="5300">
          <cell r="C5300" t="str">
            <v xml:space="preserve">    XANAX              N8V</v>
          </cell>
          <cell r="D5300">
            <v>0</v>
          </cell>
          <cell r="E5300">
            <v>0</v>
          </cell>
        </row>
        <row r="5301">
          <cell r="C5301" t="str">
            <v xml:space="preserve">    XIOTIC             GBE</v>
          </cell>
          <cell r="D5301">
            <v>0</v>
          </cell>
          <cell r="E5301">
            <v>0</v>
          </cell>
        </row>
        <row r="5302">
          <cell r="C5302" t="str">
            <v xml:space="preserve">   DIAZEPAM</v>
          </cell>
          <cell r="D5302">
            <v>82870</v>
          </cell>
          <cell r="E5302">
            <v>68537</v>
          </cell>
        </row>
        <row r="5303">
          <cell r="C5303" t="str">
            <v xml:space="preserve">    SEDIL              SQA</v>
          </cell>
          <cell r="D5303">
            <v>70288</v>
          </cell>
          <cell r="E5303">
            <v>60459</v>
          </cell>
        </row>
        <row r="5304">
          <cell r="C5304" t="str">
            <v xml:space="preserve">    EASIUM             OPI</v>
          </cell>
          <cell r="D5304">
            <v>12581</v>
          </cell>
          <cell r="E5304">
            <v>8064</v>
          </cell>
        </row>
        <row r="5305">
          <cell r="C5305" t="str">
            <v xml:space="preserve">    AZEPAM             ACM</v>
          </cell>
          <cell r="D5305">
            <v>0</v>
          </cell>
          <cell r="E5305">
            <v>0</v>
          </cell>
        </row>
        <row r="5306">
          <cell r="C5306" t="str">
            <v xml:space="preserve">    DIPAM              JMS</v>
          </cell>
          <cell r="D5306">
            <v>0</v>
          </cell>
          <cell r="E5306">
            <v>0</v>
          </cell>
        </row>
        <row r="5307">
          <cell r="C5307" t="str">
            <v xml:space="preserve">    EVALIN             ATP</v>
          </cell>
          <cell r="D5307">
            <v>0</v>
          </cell>
          <cell r="E5307">
            <v>14</v>
          </cell>
        </row>
        <row r="5308">
          <cell r="C5308" t="str">
            <v xml:space="preserve">    RELAXEN            SON</v>
          </cell>
          <cell r="D5308">
            <v>0</v>
          </cell>
          <cell r="E5308">
            <v>0</v>
          </cell>
        </row>
        <row r="5309">
          <cell r="C5309" t="str">
            <v xml:space="preserve">    SEDUXEN            MPX</v>
          </cell>
          <cell r="D5309">
            <v>0</v>
          </cell>
          <cell r="E5309">
            <v>0</v>
          </cell>
        </row>
        <row r="5310">
          <cell r="C5310" t="str">
            <v xml:space="preserve">    UNIPAM             UCL</v>
          </cell>
          <cell r="D5310">
            <v>0</v>
          </cell>
          <cell r="E5310">
            <v>0</v>
          </cell>
        </row>
        <row r="5311">
          <cell r="C5311" t="str">
            <v xml:space="preserve">    D-PAM              GNR</v>
          </cell>
          <cell r="D5311">
            <v>0</v>
          </cell>
          <cell r="E5311">
            <v>0</v>
          </cell>
        </row>
        <row r="5312">
          <cell r="C5312" t="str">
            <v xml:space="preserve">   CLOBAZAM</v>
          </cell>
          <cell r="D5312">
            <v>63625</v>
          </cell>
          <cell r="E5312">
            <v>56337</v>
          </cell>
        </row>
        <row r="5313">
          <cell r="C5313" t="str">
            <v xml:space="preserve">    CLOB               OPI</v>
          </cell>
          <cell r="D5313">
            <v>32600</v>
          </cell>
          <cell r="E5313">
            <v>27725</v>
          </cell>
        </row>
        <row r="5314">
          <cell r="C5314" t="str">
            <v xml:space="preserve">    COSIUM             ACM</v>
          </cell>
          <cell r="D5314">
            <v>20106</v>
          </cell>
          <cell r="E5314">
            <v>18516</v>
          </cell>
        </row>
        <row r="5315">
          <cell r="C5315" t="str">
            <v xml:space="preserve">    FRISIUM            S.Y</v>
          </cell>
          <cell r="D5315">
            <v>10401</v>
          </cell>
          <cell r="E5315">
            <v>9701</v>
          </cell>
        </row>
        <row r="5316">
          <cell r="C5316" t="str">
            <v xml:space="preserve">    CALM               BP&amp;</v>
          </cell>
          <cell r="D5316">
            <v>470</v>
          </cell>
          <cell r="E5316">
            <v>378</v>
          </cell>
        </row>
        <row r="5317">
          <cell r="C5317" t="str">
            <v xml:space="preserve">    CLOBAM             SQA</v>
          </cell>
          <cell r="D5317">
            <v>48</v>
          </cell>
          <cell r="E5317">
            <v>17</v>
          </cell>
        </row>
        <row r="5318">
          <cell r="C5318" t="str">
            <v xml:space="preserve">    CLOBID             MDM</v>
          </cell>
          <cell r="D5318">
            <v>0</v>
          </cell>
          <cell r="E5318">
            <v>0</v>
          </cell>
        </row>
        <row r="5319">
          <cell r="C5319" t="str">
            <v xml:space="preserve">    KEOLAX             BXM</v>
          </cell>
          <cell r="D5319">
            <v>0</v>
          </cell>
          <cell r="E5319">
            <v>0</v>
          </cell>
        </row>
        <row r="5320">
          <cell r="C5320" t="str">
            <v xml:space="preserve">   LORAZEPAM</v>
          </cell>
          <cell r="D5320">
            <v>25094</v>
          </cell>
          <cell r="E5320">
            <v>22543</v>
          </cell>
        </row>
        <row r="5321">
          <cell r="C5321" t="str">
            <v xml:space="preserve">    LOZICUM            IAP</v>
          </cell>
          <cell r="D5321">
            <v>25094</v>
          </cell>
          <cell r="E5321">
            <v>22485</v>
          </cell>
        </row>
        <row r="5322">
          <cell r="C5322" t="str">
            <v xml:space="preserve">    LORAPAM            PPH</v>
          </cell>
          <cell r="D5322">
            <v>0</v>
          </cell>
          <cell r="E5322">
            <v>58</v>
          </cell>
        </row>
        <row r="5323">
          <cell r="C5323" t="str">
            <v xml:space="preserve">   COMPOSITION UNKNOWN</v>
          </cell>
          <cell r="D5323">
            <v>0</v>
          </cell>
          <cell r="E5323">
            <v>0</v>
          </cell>
        </row>
        <row r="5324">
          <cell r="C5324" t="str">
            <v xml:space="preserve">    RELIUM             RPH</v>
          </cell>
          <cell r="D5324">
            <v>0</v>
          </cell>
          <cell r="E5324">
            <v>0</v>
          </cell>
        </row>
        <row r="5325">
          <cell r="C5325" t="str">
            <v xml:space="preserve">   TEMAZEPAM</v>
          </cell>
          <cell r="D5325">
            <v>0</v>
          </cell>
          <cell r="E5325">
            <v>0</v>
          </cell>
        </row>
        <row r="5326">
          <cell r="C5326" t="str">
            <v xml:space="preserve">    TEMIXIL            RTA</v>
          </cell>
          <cell r="D5326">
            <v>0</v>
          </cell>
          <cell r="E5326">
            <v>0</v>
          </cell>
        </row>
        <row r="5327">
          <cell r="C5327" t="str">
            <v xml:space="preserve"> ECTOPARAS.INCL SCABICIDE</v>
          </cell>
          <cell r="D5327">
            <v>1183086</v>
          </cell>
          <cell r="E5327">
            <v>788800</v>
          </cell>
        </row>
        <row r="5328">
          <cell r="C5328" t="str">
            <v xml:space="preserve">  ECTOPARAS.INCL SCABICIDE</v>
          </cell>
          <cell r="D5328">
            <v>1183086</v>
          </cell>
          <cell r="E5328">
            <v>788800</v>
          </cell>
        </row>
        <row r="5329">
          <cell r="C5329" t="str">
            <v xml:space="preserve">   CROTAMITON+PERMETHRIN</v>
          </cell>
          <cell r="D5329">
            <v>592020</v>
          </cell>
          <cell r="E5329">
            <v>417719</v>
          </cell>
        </row>
        <row r="5330">
          <cell r="C5330" t="str">
            <v xml:space="preserve">    LORIX PLUS         OPI</v>
          </cell>
          <cell r="D5330">
            <v>286369</v>
          </cell>
          <cell r="E5330">
            <v>176458</v>
          </cell>
        </row>
        <row r="5331">
          <cell r="C5331" t="str">
            <v xml:space="preserve">    ELIMATE PLUS       IAP</v>
          </cell>
          <cell r="D5331">
            <v>169835</v>
          </cell>
          <cell r="E5331">
            <v>116688</v>
          </cell>
        </row>
        <row r="5332">
          <cell r="C5332" t="str">
            <v xml:space="preserve">    UNIX-C             UNH</v>
          </cell>
          <cell r="D5332">
            <v>126749</v>
          </cell>
          <cell r="E5332">
            <v>106854</v>
          </cell>
        </row>
        <row r="5333">
          <cell r="C5333" t="str">
            <v xml:space="preserve">    PERMISOL-MAX       A-I</v>
          </cell>
          <cell r="D5333">
            <v>8470</v>
          </cell>
          <cell r="E5333">
            <v>17141</v>
          </cell>
        </row>
        <row r="5334">
          <cell r="C5334" t="str">
            <v xml:space="preserve">    CROTAM PLUS        ETH</v>
          </cell>
          <cell r="D5334">
            <v>597</v>
          </cell>
          <cell r="E5334">
            <v>578</v>
          </cell>
        </row>
        <row r="5335">
          <cell r="C5335" t="str">
            <v xml:space="preserve">   PERMETHRIN</v>
          </cell>
          <cell r="D5335">
            <v>271504</v>
          </cell>
          <cell r="E5335">
            <v>185520</v>
          </cell>
        </row>
        <row r="5336">
          <cell r="C5336" t="str">
            <v xml:space="preserve">    LORIX              OPI</v>
          </cell>
          <cell r="D5336">
            <v>87611</v>
          </cell>
          <cell r="E5336">
            <v>56947</v>
          </cell>
        </row>
        <row r="5337">
          <cell r="C5337" t="str">
            <v xml:space="preserve">    PERMIN             ACM</v>
          </cell>
          <cell r="D5337">
            <v>50616</v>
          </cell>
          <cell r="E5337">
            <v>29485</v>
          </cell>
        </row>
        <row r="5338">
          <cell r="C5338" t="str">
            <v xml:space="preserve">    PEROSA             ESF</v>
          </cell>
          <cell r="D5338">
            <v>37797</v>
          </cell>
          <cell r="E5338">
            <v>19260</v>
          </cell>
        </row>
        <row r="5339">
          <cell r="C5339" t="str">
            <v xml:space="preserve">    SCABEX             SQA</v>
          </cell>
          <cell r="D5339">
            <v>31321</v>
          </cell>
          <cell r="E5339">
            <v>35664</v>
          </cell>
        </row>
        <row r="5340">
          <cell r="C5340" t="str">
            <v xml:space="preserve">    AROTRIX            ATP</v>
          </cell>
          <cell r="D5340">
            <v>17467</v>
          </cell>
          <cell r="E5340">
            <v>11755</v>
          </cell>
        </row>
        <row r="5341">
          <cell r="C5341" t="str">
            <v xml:space="preserve">    ELIMATE            IAP</v>
          </cell>
          <cell r="D5341">
            <v>16941</v>
          </cell>
          <cell r="E5341">
            <v>8336</v>
          </cell>
        </row>
        <row r="5342">
          <cell r="C5342" t="str">
            <v xml:space="preserve">    UNIX               UNH</v>
          </cell>
          <cell r="D5342">
            <v>13490</v>
          </cell>
          <cell r="E5342">
            <v>8653</v>
          </cell>
        </row>
        <row r="5343">
          <cell r="C5343" t="str">
            <v xml:space="preserve">    LICERIN            D-I</v>
          </cell>
          <cell r="D5343">
            <v>6396</v>
          </cell>
          <cell r="E5343">
            <v>4213</v>
          </cell>
        </row>
        <row r="5344">
          <cell r="C5344" t="str">
            <v xml:space="preserve">    PERMISOL           A-I</v>
          </cell>
          <cell r="D5344">
            <v>5545</v>
          </cell>
          <cell r="E5344">
            <v>3051</v>
          </cell>
        </row>
        <row r="5345">
          <cell r="C5345" t="str">
            <v xml:space="preserve">    SCAPER             BP&amp;</v>
          </cell>
          <cell r="D5345">
            <v>1148</v>
          </cell>
          <cell r="E5345">
            <v>1028</v>
          </cell>
        </row>
        <row r="5346">
          <cell r="C5346" t="str">
            <v xml:space="preserve">    SCARIN             IBN</v>
          </cell>
          <cell r="D5346">
            <v>1113</v>
          </cell>
          <cell r="E5346">
            <v>1603</v>
          </cell>
        </row>
        <row r="5347">
          <cell r="C5347" t="str">
            <v xml:space="preserve">    SKILIN             GNR</v>
          </cell>
          <cell r="D5347">
            <v>1056</v>
          </cell>
          <cell r="E5347">
            <v>4835</v>
          </cell>
        </row>
        <row r="5348">
          <cell r="C5348" t="str">
            <v xml:space="preserve">    NOSCAB             BXM</v>
          </cell>
          <cell r="D5348">
            <v>771</v>
          </cell>
          <cell r="E5348">
            <v>356</v>
          </cell>
        </row>
        <row r="5349">
          <cell r="C5349" t="str">
            <v xml:space="preserve">    PERMETHI           P-S</v>
          </cell>
          <cell r="D5349">
            <v>128</v>
          </cell>
          <cell r="E5349">
            <v>86</v>
          </cell>
        </row>
        <row r="5350">
          <cell r="C5350" t="str">
            <v xml:space="preserve">    SCABID             CHM</v>
          </cell>
          <cell r="D5350">
            <v>43</v>
          </cell>
          <cell r="E5350">
            <v>2</v>
          </cell>
        </row>
        <row r="5351">
          <cell r="C5351" t="str">
            <v xml:space="preserve">    SCABFRE            PAC</v>
          </cell>
          <cell r="D5351">
            <v>29</v>
          </cell>
          <cell r="E5351">
            <v>132</v>
          </cell>
        </row>
        <row r="5352">
          <cell r="C5352" t="str">
            <v xml:space="preserve">    PERLS              GBE</v>
          </cell>
          <cell r="D5352">
            <v>17</v>
          </cell>
          <cell r="E5352">
            <v>99</v>
          </cell>
        </row>
        <row r="5353">
          <cell r="C5353" t="str">
            <v xml:space="preserve">    DERMANIX           NVO</v>
          </cell>
          <cell r="D5353">
            <v>14</v>
          </cell>
          <cell r="E5353">
            <v>0</v>
          </cell>
        </row>
        <row r="5354">
          <cell r="C5354" t="str">
            <v xml:space="preserve">    FLORIX             CSC</v>
          </cell>
          <cell r="D5354">
            <v>0</v>
          </cell>
          <cell r="E5354">
            <v>6</v>
          </cell>
        </row>
        <row r="5355">
          <cell r="C5355" t="str">
            <v xml:space="preserve">    MITHIN             EDR</v>
          </cell>
          <cell r="D5355">
            <v>0</v>
          </cell>
          <cell r="E5355">
            <v>0</v>
          </cell>
        </row>
        <row r="5356">
          <cell r="C5356" t="str">
            <v xml:space="preserve">    PERMA              A.P</v>
          </cell>
          <cell r="D5356">
            <v>0</v>
          </cell>
          <cell r="E5356">
            <v>0</v>
          </cell>
        </row>
        <row r="5357">
          <cell r="C5357" t="str">
            <v xml:space="preserve">    PERMET             GCO</v>
          </cell>
          <cell r="D5357">
            <v>0</v>
          </cell>
          <cell r="E5357">
            <v>7</v>
          </cell>
        </row>
        <row r="5358">
          <cell r="C5358" t="str">
            <v xml:space="preserve">    PERSCAB            N8V</v>
          </cell>
          <cell r="D5358">
            <v>0</v>
          </cell>
          <cell r="E5358">
            <v>0</v>
          </cell>
        </row>
        <row r="5359">
          <cell r="C5359" t="str">
            <v xml:space="preserve">   IVERMECTIN</v>
          </cell>
          <cell r="D5359">
            <v>171089</v>
          </cell>
          <cell r="E5359">
            <v>118215</v>
          </cell>
        </row>
        <row r="5360">
          <cell r="C5360" t="str">
            <v xml:space="preserve">    ALICE              SQA</v>
          </cell>
          <cell r="D5360">
            <v>142377</v>
          </cell>
          <cell r="E5360">
            <v>94465</v>
          </cell>
        </row>
        <row r="5361">
          <cell r="C5361" t="str">
            <v xml:space="preserve">    LICNIL             ESF</v>
          </cell>
          <cell r="D5361">
            <v>26397</v>
          </cell>
          <cell r="E5361">
            <v>21994</v>
          </cell>
        </row>
        <row r="5362">
          <cell r="C5362" t="str">
            <v xml:space="preserve">    SCABO              D&amp;B</v>
          </cell>
          <cell r="D5362">
            <v>2315</v>
          </cell>
          <cell r="E5362">
            <v>1755</v>
          </cell>
        </row>
        <row r="5363">
          <cell r="C5363" t="str">
            <v xml:space="preserve">   SULFIRAM</v>
          </cell>
          <cell r="D5363">
            <v>148120</v>
          </cell>
          <cell r="E5363">
            <v>66570</v>
          </cell>
        </row>
        <row r="5364">
          <cell r="C5364" t="str">
            <v xml:space="preserve">    TETRASOL           A-I</v>
          </cell>
          <cell r="D5364">
            <v>148120</v>
          </cell>
          <cell r="E5364">
            <v>66570</v>
          </cell>
        </row>
        <row r="5365">
          <cell r="C5365" t="str">
            <v xml:space="preserve">    MONOSOL            GCO</v>
          </cell>
          <cell r="D5365">
            <v>0</v>
          </cell>
          <cell r="E5365">
            <v>0</v>
          </cell>
        </row>
        <row r="5366">
          <cell r="C5366" t="str">
            <v xml:space="preserve">   BENZYL BENZOATE</v>
          </cell>
          <cell r="D5366">
            <v>315</v>
          </cell>
          <cell r="E5366">
            <v>122</v>
          </cell>
        </row>
        <row r="5367">
          <cell r="C5367" t="str">
            <v xml:space="preserve">    SCABICON           MED</v>
          </cell>
          <cell r="D5367">
            <v>315</v>
          </cell>
          <cell r="E5367">
            <v>122</v>
          </cell>
        </row>
        <row r="5368">
          <cell r="C5368" t="str">
            <v xml:space="preserve">    ASCABIOL           S.Y</v>
          </cell>
          <cell r="D5368">
            <v>0</v>
          </cell>
          <cell r="E5368">
            <v>0</v>
          </cell>
        </row>
        <row r="5369">
          <cell r="C5369" t="str">
            <v xml:space="preserve">    BENOSOL            AIC</v>
          </cell>
          <cell r="D5369">
            <v>0</v>
          </cell>
          <cell r="E5369">
            <v>0</v>
          </cell>
        </row>
        <row r="5370">
          <cell r="C5370" t="str">
            <v xml:space="preserve">    PACIBIOL           PAC</v>
          </cell>
          <cell r="D5370">
            <v>0</v>
          </cell>
          <cell r="E5370">
            <v>0</v>
          </cell>
        </row>
        <row r="5371">
          <cell r="C5371" t="str">
            <v xml:space="preserve">   ABAMETAPIR</v>
          </cell>
          <cell r="D5371">
            <v>37</v>
          </cell>
          <cell r="E5371">
            <v>558</v>
          </cell>
        </row>
        <row r="5372">
          <cell r="C5372" t="str">
            <v xml:space="preserve">    LYBY               NUV</v>
          </cell>
          <cell r="D5372">
            <v>37</v>
          </cell>
          <cell r="E5372">
            <v>558</v>
          </cell>
        </row>
        <row r="5373">
          <cell r="C5373" t="str">
            <v xml:space="preserve">   COMPOSITION UNKNOWN</v>
          </cell>
          <cell r="D5373">
            <v>0</v>
          </cell>
          <cell r="E5373">
            <v>19</v>
          </cell>
        </row>
        <row r="5374">
          <cell r="C5374" t="str">
            <v xml:space="preserve">    SCABION            RIB</v>
          </cell>
          <cell r="D5374">
            <v>0</v>
          </cell>
          <cell r="E5374">
            <v>19</v>
          </cell>
        </row>
        <row r="5375">
          <cell r="C5375" t="str">
            <v xml:space="preserve">   CROTAMITON</v>
          </cell>
          <cell r="D5375">
            <v>0</v>
          </cell>
          <cell r="E5375">
            <v>77</v>
          </cell>
        </row>
        <row r="5376">
          <cell r="C5376" t="str">
            <v xml:space="preserve">    CROTAM             ETH</v>
          </cell>
          <cell r="D5376">
            <v>0</v>
          </cell>
          <cell r="E5376">
            <v>77</v>
          </cell>
        </row>
        <row r="5377">
          <cell r="C5377" t="str">
            <v xml:space="preserve"> OTH B-LACTAM EX PEN,CEPH</v>
          </cell>
          <cell r="D5377">
            <v>1098517</v>
          </cell>
          <cell r="E5377">
            <v>575977</v>
          </cell>
        </row>
        <row r="5378">
          <cell r="C5378" t="str">
            <v xml:space="preserve">  PENEMS AND CARBAPENEMS</v>
          </cell>
          <cell r="D5378">
            <v>1097879</v>
          </cell>
          <cell r="E5378">
            <v>574931</v>
          </cell>
        </row>
        <row r="5379">
          <cell r="C5379" t="str">
            <v xml:space="preserve">   MEROPENEM</v>
          </cell>
          <cell r="D5379">
            <v>608017</v>
          </cell>
          <cell r="E5379">
            <v>475536</v>
          </cell>
        </row>
        <row r="5380">
          <cell r="C5380" t="str">
            <v xml:space="preserve">    MEROPEN            RTA</v>
          </cell>
          <cell r="D5380">
            <v>307141</v>
          </cell>
          <cell r="E5380">
            <v>170435</v>
          </cell>
        </row>
        <row r="5381">
          <cell r="C5381" t="str">
            <v xml:space="preserve">    NEOPENEM           HT3</v>
          </cell>
          <cell r="D5381">
            <v>77356</v>
          </cell>
          <cell r="E5381">
            <v>64517</v>
          </cell>
        </row>
        <row r="5382">
          <cell r="C5382" t="str">
            <v xml:space="preserve">    PENOMER            BXM</v>
          </cell>
          <cell r="D5382">
            <v>46973</v>
          </cell>
          <cell r="E5382">
            <v>78584</v>
          </cell>
        </row>
        <row r="5383">
          <cell r="C5383" t="str">
            <v xml:space="preserve">    I-PENAM            IAP</v>
          </cell>
          <cell r="D5383">
            <v>34336</v>
          </cell>
          <cell r="E5383">
            <v>39188</v>
          </cell>
        </row>
        <row r="5384">
          <cell r="C5384" t="str">
            <v xml:space="preserve">    SPECBAC            SQA</v>
          </cell>
          <cell r="D5384">
            <v>28717</v>
          </cell>
          <cell r="E5384">
            <v>18585</v>
          </cell>
        </row>
        <row r="5385">
          <cell r="C5385" t="str">
            <v xml:space="preserve">    FULSPEC            ACM</v>
          </cell>
          <cell r="D5385">
            <v>23737</v>
          </cell>
          <cell r="E5385">
            <v>17658</v>
          </cell>
        </row>
        <row r="5386">
          <cell r="C5386" t="str">
            <v xml:space="preserve">    MEROJECT           ESF</v>
          </cell>
          <cell r="D5386">
            <v>19194</v>
          </cell>
          <cell r="E5386">
            <v>5678</v>
          </cell>
        </row>
        <row r="5387">
          <cell r="C5387" t="str">
            <v xml:space="preserve">    MEROTRAX           IBN</v>
          </cell>
          <cell r="D5387">
            <v>13220</v>
          </cell>
          <cell r="E5387">
            <v>3659</v>
          </cell>
        </row>
        <row r="5388">
          <cell r="C5388" t="str">
            <v xml:space="preserve">    RONEM              OPI</v>
          </cell>
          <cell r="D5388">
            <v>12894</v>
          </cell>
          <cell r="E5388">
            <v>14965</v>
          </cell>
        </row>
        <row r="5389">
          <cell r="C5389" t="str">
            <v xml:space="preserve">    ROPENEM            D-I</v>
          </cell>
          <cell r="D5389">
            <v>8141</v>
          </cell>
          <cell r="E5389">
            <v>15221</v>
          </cell>
        </row>
        <row r="5390">
          <cell r="C5390" t="str">
            <v xml:space="preserve">    AROPEN             ATP</v>
          </cell>
          <cell r="D5390">
            <v>6489</v>
          </cell>
          <cell r="E5390">
            <v>2404</v>
          </cell>
        </row>
        <row r="5391">
          <cell r="C5391" t="str">
            <v xml:space="preserve">    R-PENEM            J&amp;H</v>
          </cell>
          <cell r="D5391">
            <v>5115</v>
          </cell>
          <cell r="E5391">
            <v>10047</v>
          </cell>
        </row>
        <row r="5392">
          <cell r="C5392" t="str">
            <v xml:space="preserve">    MEROGIT            ZIS</v>
          </cell>
          <cell r="D5392">
            <v>5030</v>
          </cell>
          <cell r="E5392">
            <v>6232</v>
          </cell>
        </row>
        <row r="5393">
          <cell r="C5393" t="str">
            <v xml:space="preserve">    ARONEM             A-I</v>
          </cell>
          <cell r="D5393">
            <v>4942</v>
          </cell>
          <cell r="E5393">
            <v>7305</v>
          </cell>
        </row>
        <row r="5394">
          <cell r="C5394" t="str">
            <v xml:space="preserve">    MEROMAX            OR/</v>
          </cell>
          <cell r="D5394">
            <v>4048</v>
          </cell>
          <cell r="E5394">
            <v>630</v>
          </cell>
        </row>
        <row r="5395">
          <cell r="C5395" t="str">
            <v xml:space="preserve">    MEROCIL            PI0</v>
          </cell>
          <cell r="D5395">
            <v>3680</v>
          </cell>
          <cell r="E5395">
            <v>2851</v>
          </cell>
        </row>
        <row r="5396">
          <cell r="C5396" t="str">
            <v xml:space="preserve">    CARBANEM           S.Y</v>
          </cell>
          <cell r="D5396">
            <v>2540</v>
          </cell>
          <cell r="E5396">
            <v>3601</v>
          </cell>
        </row>
        <row r="5397">
          <cell r="C5397" t="str">
            <v xml:space="preserve">    MEROBAC            PPH</v>
          </cell>
          <cell r="D5397">
            <v>1992</v>
          </cell>
          <cell r="E5397">
            <v>3136</v>
          </cell>
        </row>
        <row r="5398">
          <cell r="C5398" t="str">
            <v xml:space="preserve">    MEROCON            BAC</v>
          </cell>
          <cell r="D5398">
            <v>698</v>
          </cell>
          <cell r="E5398">
            <v>7619</v>
          </cell>
        </row>
        <row r="5399">
          <cell r="C5399" t="str">
            <v xml:space="preserve">    MERONIX            NVO</v>
          </cell>
          <cell r="D5399">
            <v>575</v>
          </cell>
          <cell r="E5399">
            <v>0</v>
          </cell>
        </row>
        <row r="5400">
          <cell r="C5400" t="str">
            <v xml:space="preserve">    MEROXIN            NJP</v>
          </cell>
          <cell r="D5400">
            <v>446</v>
          </cell>
          <cell r="E5400">
            <v>2404</v>
          </cell>
        </row>
        <row r="5401">
          <cell r="C5401" t="str">
            <v xml:space="preserve">    INPEN              N8V</v>
          </cell>
          <cell r="D5401">
            <v>312</v>
          </cell>
          <cell r="E5401">
            <v>469</v>
          </cell>
        </row>
        <row r="5402">
          <cell r="C5402" t="str">
            <v xml:space="preserve">    MEROLAB            LDB</v>
          </cell>
          <cell r="D5402">
            <v>248</v>
          </cell>
          <cell r="E5402">
            <v>347</v>
          </cell>
        </row>
        <row r="5403">
          <cell r="C5403" t="str">
            <v xml:space="preserve">    MEROCAR            GBE</v>
          </cell>
          <cell r="D5403">
            <v>192</v>
          </cell>
          <cell r="E5403">
            <v>0</v>
          </cell>
        </row>
        <row r="5404">
          <cell r="C5404" t="str">
            <v xml:space="preserve">    INTRAPEN           GNR</v>
          </cell>
          <cell r="D5404">
            <v>0</v>
          </cell>
          <cell r="E5404">
            <v>0</v>
          </cell>
        </row>
        <row r="5405">
          <cell r="C5405" t="str">
            <v xml:space="preserve">    CARBABAC           P-S</v>
          </cell>
          <cell r="D5405">
            <v>0</v>
          </cell>
          <cell r="E5405">
            <v>0</v>
          </cell>
        </row>
        <row r="5406">
          <cell r="C5406" t="str">
            <v xml:space="preserve">   FAROPENEM</v>
          </cell>
          <cell r="D5406">
            <v>485827</v>
          </cell>
          <cell r="E5406">
            <v>87975</v>
          </cell>
        </row>
        <row r="5407">
          <cell r="C5407" t="str">
            <v xml:space="preserve">    NEOPEM             BXM</v>
          </cell>
          <cell r="D5407">
            <v>410677</v>
          </cell>
          <cell r="E5407">
            <v>80502</v>
          </cell>
        </row>
        <row r="5408">
          <cell r="C5408" t="str">
            <v xml:space="preserve">    FAROBAC            NUV</v>
          </cell>
          <cell r="D5408">
            <v>49506</v>
          </cell>
          <cell r="E5408">
            <v>7473</v>
          </cell>
        </row>
        <row r="5409">
          <cell r="C5409" t="str">
            <v xml:space="preserve">    FAROPEN            N8V</v>
          </cell>
          <cell r="D5409">
            <v>14353</v>
          </cell>
          <cell r="E5409">
            <v>0</v>
          </cell>
        </row>
        <row r="5410">
          <cell r="C5410" t="str">
            <v xml:space="preserve">    FARPEM             S.Y</v>
          </cell>
          <cell r="D5410">
            <v>6394</v>
          </cell>
          <cell r="E5410">
            <v>0</v>
          </cell>
        </row>
        <row r="5411">
          <cell r="C5411" t="str">
            <v xml:space="preserve">    ORFANEM            IAP</v>
          </cell>
          <cell r="D5411">
            <v>4897</v>
          </cell>
          <cell r="E5411">
            <v>0</v>
          </cell>
        </row>
        <row r="5412">
          <cell r="C5412" t="str">
            <v xml:space="preserve">   CILASTATIN+IMIPENEM</v>
          </cell>
          <cell r="D5412">
            <v>3435</v>
          </cell>
          <cell r="E5412">
            <v>11420</v>
          </cell>
        </row>
        <row r="5413">
          <cell r="C5413" t="str">
            <v xml:space="preserve">    CISPENAM           IAP</v>
          </cell>
          <cell r="D5413">
            <v>2103</v>
          </cell>
          <cell r="E5413">
            <v>7450</v>
          </cell>
        </row>
        <row r="5414">
          <cell r="C5414" t="str">
            <v xml:space="preserve">    IMINEM             A-I</v>
          </cell>
          <cell r="D5414">
            <v>1332</v>
          </cell>
          <cell r="E5414">
            <v>0</v>
          </cell>
        </row>
        <row r="5415">
          <cell r="C5415" t="str">
            <v xml:space="preserve">    IROPEN             RTA</v>
          </cell>
          <cell r="D5415">
            <v>0</v>
          </cell>
          <cell r="E5415">
            <v>3971</v>
          </cell>
        </row>
        <row r="5416">
          <cell r="C5416" t="str">
            <v xml:space="preserve">   ERTAPENEM</v>
          </cell>
          <cell r="D5416">
            <v>600</v>
          </cell>
          <cell r="E5416">
            <v>0</v>
          </cell>
        </row>
        <row r="5417">
          <cell r="C5417" t="str">
            <v xml:space="preserve">    WANDARA            IAP</v>
          </cell>
          <cell r="D5417">
            <v>600</v>
          </cell>
          <cell r="E5417">
            <v>0</v>
          </cell>
        </row>
        <row r="5418">
          <cell r="C5418" t="str">
            <v xml:space="preserve">   DORIPENEM</v>
          </cell>
          <cell r="D5418">
            <v>0</v>
          </cell>
          <cell r="E5418">
            <v>0</v>
          </cell>
        </row>
        <row r="5419">
          <cell r="C5419" t="str">
            <v xml:space="preserve">    DORIJECT           PPH</v>
          </cell>
          <cell r="D5419">
            <v>0</v>
          </cell>
          <cell r="E5419">
            <v>0</v>
          </cell>
        </row>
        <row r="5420">
          <cell r="C5420" t="str">
            <v xml:space="preserve">    PERINEM            D-I</v>
          </cell>
          <cell r="D5420">
            <v>0</v>
          </cell>
          <cell r="E5420">
            <v>0</v>
          </cell>
        </row>
        <row r="5421">
          <cell r="C5421" t="str">
            <v xml:space="preserve">  MONOBACTAMS</v>
          </cell>
          <cell r="D5421">
            <v>638</v>
          </cell>
          <cell r="E5421">
            <v>1045</v>
          </cell>
        </row>
        <row r="5422">
          <cell r="C5422" t="str">
            <v xml:space="preserve">   AZTREONAM</v>
          </cell>
          <cell r="D5422">
            <v>638</v>
          </cell>
          <cell r="E5422">
            <v>1045</v>
          </cell>
        </row>
        <row r="5423">
          <cell r="C5423" t="str">
            <v xml:space="preserve">    AZONAM             IAP</v>
          </cell>
          <cell r="D5423">
            <v>638</v>
          </cell>
          <cell r="E5423">
            <v>1045</v>
          </cell>
        </row>
        <row r="5424">
          <cell r="C5424" t="str">
            <v xml:space="preserve"> TOP CORTICOSTEROIDS PLAIN</v>
          </cell>
          <cell r="D5424">
            <v>879070</v>
          </cell>
          <cell r="E5424">
            <v>787260</v>
          </cell>
        </row>
        <row r="5425">
          <cell r="C5425" t="str">
            <v xml:space="preserve">  TOP CORTICOSTEROIDS PLAIN</v>
          </cell>
          <cell r="D5425">
            <v>879070</v>
          </cell>
          <cell r="E5425">
            <v>787260</v>
          </cell>
        </row>
        <row r="5426">
          <cell r="C5426" t="str">
            <v xml:space="preserve">   CLOBETASOL</v>
          </cell>
          <cell r="D5426">
            <v>433615</v>
          </cell>
          <cell r="E5426">
            <v>380204</v>
          </cell>
        </row>
        <row r="5427">
          <cell r="C5427" t="str">
            <v xml:space="preserve">    DERMASOL           SQA</v>
          </cell>
          <cell r="D5427">
            <v>139607</v>
          </cell>
          <cell r="E5427">
            <v>139548</v>
          </cell>
        </row>
        <row r="5428">
          <cell r="C5428" t="str">
            <v xml:space="preserve">    DERMASOL-S         SQA</v>
          </cell>
          <cell r="D5428">
            <v>127211</v>
          </cell>
          <cell r="E5428">
            <v>73348</v>
          </cell>
        </row>
        <row r="5429">
          <cell r="C5429" t="str">
            <v xml:space="preserve">    NYCLOBATE          IAP</v>
          </cell>
          <cell r="D5429">
            <v>57872</v>
          </cell>
          <cell r="E5429">
            <v>56337</v>
          </cell>
        </row>
        <row r="5430">
          <cell r="C5430" t="str">
            <v xml:space="preserve">    XENOVATE           UNH</v>
          </cell>
          <cell r="D5430">
            <v>46728</v>
          </cell>
          <cell r="E5430">
            <v>46857</v>
          </cell>
        </row>
        <row r="5431">
          <cell r="C5431" t="str">
            <v xml:space="preserve">    EXOVATE            BXM</v>
          </cell>
          <cell r="D5431">
            <v>15726</v>
          </cell>
          <cell r="E5431">
            <v>15291</v>
          </cell>
        </row>
        <row r="5432">
          <cell r="C5432" t="str">
            <v xml:space="preserve">    DERMEX             OPI</v>
          </cell>
          <cell r="D5432">
            <v>12536</v>
          </cell>
          <cell r="E5432">
            <v>10100</v>
          </cell>
        </row>
        <row r="5433">
          <cell r="C5433" t="str">
            <v xml:space="preserve">    ACLOBET            ACM</v>
          </cell>
          <cell r="D5433">
            <v>7887</v>
          </cell>
          <cell r="E5433">
            <v>7887</v>
          </cell>
        </row>
        <row r="5434">
          <cell r="C5434" t="str">
            <v xml:space="preserve">    TEMOVATE           HT3</v>
          </cell>
          <cell r="D5434">
            <v>7448</v>
          </cell>
          <cell r="E5434">
            <v>5821</v>
          </cell>
        </row>
        <row r="5435">
          <cell r="C5435" t="str">
            <v xml:space="preserve">    DEMOBET            D-B</v>
          </cell>
          <cell r="D5435">
            <v>4690</v>
          </cell>
          <cell r="E5435">
            <v>4829</v>
          </cell>
        </row>
        <row r="5436">
          <cell r="C5436" t="str">
            <v xml:space="preserve">    TOPICLO            ESF</v>
          </cell>
          <cell r="D5436">
            <v>3529</v>
          </cell>
          <cell r="E5436">
            <v>7185</v>
          </cell>
        </row>
        <row r="5437">
          <cell r="C5437" t="str">
            <v xml:space="preserve">    CLOBESOL           ATP</v>
          </cell>
          <cell r="D5437">
            <v>2633</v>
          </cell>
          <cell r="E5437">
            <v>3729</v>
          </cell>
        </row>
        <row r="5438">
          <cell r="C5438" t="str">
            <v xml:space="preserve">    COPNAT-N           RTA</v>
          </cell>
          <cell r="D5438">
            <v>1734</v>
          </cell>
          <cell r="E5438">
            <v>0</v>
          </cell>
        </row>
        <row r="5439">
          <cell r="C5439" t="str">
            <v xml:space="preserve">    ECLO               GNR</v>
          </cell>
          <cell r="D5439">
            <v>1361</v>
          </cell>
          <cell r="E5439">
            <v>4444</v>
          </cell>
        </row>
        <row r="5440">
          <cell r="C5440" t="str">
            <v xml:space="preserve">    DERMACORT          IBN</v>
          </cell>
          <cell r="D5440">
            <v>1146</v>
          </cell>
          <cell r="E5440">
            <v>2571</v>
          </cell>
        </row>
        <row r="5441">
          <cell r="C5441" t="str">
            <v xml:space="preserve">    XDERM              BP&amp;</v>
          </cell>
          <cell r="D5441">
            <v>769</v>
          </cell>
          <cell r="E5441">
            <v>551</v>
          </cell>
        </row>
        <row r="5442">
          <cell r="C5442" t="str">
            <v xml:space="preserve">    CLOBEDERM          D-I</v>
          </cell>
          <cell r="D5442">
            <v>726</v>
          </cell>
          <cell r="E5442">
            <v>714</v>
          </cell>
        </row>
        <row r="5443">
          <cell r="C5443" t="str">
            <v xml:space="preserve">    XENOCORT           OR/</v>
          </cell>
          <cell r="D5443">
            <v>667</v>
          </cell>
          <cell r="E5443">
            <v>296</v>
          </cell>
        </row>
        <row r="5444">
          <cell r="C5444" t="str">
            <v xml:space="preserve">    PRIMOVATE          BAC</v>
          </cell>
          <cell r="D5444">
            <v>646</v>
          </cell>
          <cell r="E5444">
            <v>0</v>
          </cell>
        </row>
        <row r="5445">
          <cell r="C5445" t="str">
            <v xml:space="preserve">    SYNOVATE           PPH</v>
          </cell>
          <cell r="D5445">
            <v>386</v>
          </cell>
          <cell r="E5445">
            <v>312</v>
          </cell>
        </row>
        <row r="5446">
          <cell r="C5446" t="str">
            <v xml:space="preserve">    CLOZEMA            TMH</v>
          </cell>
          <cell r="D5446">
            <v>120</v>
          </cell>
          <cell r="E5446">
            <v>4</v>
          </cell>
        </row>
        <row r="5447">
          <cell r="C5447" t="str">
            <v xml:space="preserve">    DERMATAS           KUM</v>
          </cell>
          <cell r="D5447">
            <v>73</v>
          </cell>
          <cell r="E5447">
            <v>54</v>
          </cell>
        </row>
        <row r="5448">
          <cell r="C5448" t="str">
            <v xml:space="preserve">    DERMOVA            NJP</v>
          </cell>
          <cell r="D5448">
            <v>70</v>
          </cell>
          <cell r="E5448">
            <v>62</v>
          </cell>
        </row>
        <row r="5449">
          <cell r="C5449" t="str">
            <v xml:space="preserve">    DERSOLE            SH0</v>
          </cell>
          <cell r="D5449">
            <v>23</v>
          </cell>
          <cell r="E5449">
            <v>10</v>
          </cell>
        </row>
        <row r="5450">
          <cell r="C5450" t="str">
            <v xml:space="preserve">    PROBET             ETH</v>
          </cell>
          <cell r="D5450">
            <v>16</v>
          </cell>
          <cell r="E5450">
            <v>16</v>
          </cell>
        </row>
        <row r="5451">
          <cell r="C5451" t="str">
            <v xml:space="preserve">    STECLO             N8V</v>
          </cell>
          <cell r="D5451">
            <v>11</v>
          </cell>
          <cell r="E5451">
            <v>0</v>
          </cell>
        </row>
        <row r="5452">
          <cell r="C5452" t="str">
            <v xml:space="preserve">    CLOBENATE          J&amp;H</v>
          </cell>
          <cell r="D5452">
            <v>2</v>
          </cell>
          <cell r="E5452">
            <v>109</v>
          </cell>
        </row>
        <row r="5453">
          <cell r="C5453" t="str">
            <v xml:space="preserve">    DERMASONE          TLB</v>
          </cell>
          <cell r="D5453">
            <v>0</v>
          </cell>
          <cell r="E5453">
            <v>0</v>
          </cell>
        </row>
        <row r="5454">
          <cell r="C5454" t="str">
            <v xml:space="preserve">    DERMOVATE          GSK</v>
          </cell>
          <cell r="D5454">
            <v>0</v>
          </cell>
          <cell r="E5454">
            <v>0</v>
          </cell>
        </row>
        <row r="5455">
          <cell r="C5455" t="str">
            <v xml:space="preserve">    PROTASOL           A/L</v>
          </cell>
          <cell r="D5455">
            <v>0</v>
          </cell>
          <cell r="E5455">
            <v>0</v>
          </cell>
        </row>
        <row r="5456">
          <cell r="C5456" t="str">
            <v xml:space="preserve">    COBESOL            P-S</v>
          </cell>
          <cell r="D5456">
            <v>0</v>
          </cell>
          <cell r="E5456">
            <v>128</v>
          </cell>
        </row>
        <row r="5457">
          <cell r="C5457" t="str">
            <v xml:space="preserve">   CLOBETASONE</v>
          </cell>
          <cell r="D5457">
            <v>105212</v>
          </cell>
          <cell r="E5457">
            <v>97730</v>
          </cell>
        </row>
        <row r="5458">
          <cell r="C5458" t="str">
            <v xml:space="preserve">    EZEX               SQA</v>
          </cell>
          <cell r="D5458">
            <v>64247</v>
          </cell>
          <cell r="E5458">
            <v>54558</v>
          </cell>
        </row>
        <row r="5459">
          <cell r="C5459" t="str">
            <v xml:space="preserve">    CLOVATE            A-I</v>
          </cell>
          <cell r="D5459">
            <v>39866</v>
          </cell>
          <cell r="E5459">
            <v>42417</v>
          </cell>
        </row>
        <row r="5460">
          <cell r="C5460" t="str">
            <v xml:space="preserve">    CLOBECORT          OPI</v>
          </cell>
          <cell r="D5460">
            <v>1091</v>
          </cell>
          <cell r="E5460">
            <v>755</v>
          </cell>
        </row>
        <row r="5461">
          <cell r="C5461" t="str">
            <v xml:space="preserve">    STESON             N8V</v>
          </cell>
          <cell r="D5461">
            <v>7</v>
          </cell>
          <cell r="E5461">
            <v>0</v>
          </cell>
        </row>
        <row r="5462">
          <cell r="C5462" t="str">
            <v xml:space="preserve">    MICLO              GNR</v>
          </cell>
          <cell r="D5462">
            <v>0</v>
          </cell>
          <cell r="E5462">
            <v>0</v>
          </cell>
        </row>
        <row r="5463">
          <cell r="C5463" t="str">
            <v xml:space="preserve">   BETAMETHASONE</v>
          </cell>
          <cell r="D5463">
            <v>98028</v>
          </cell>
          <cell r="E5463">
            <v>91726</v>
          </cell>
        </row>
        <row r="5464">
          <cell r="C5464" t="str">
            <v xml:space="preserve">    BETAMESON          SQA</v>
          </cell>
          <cell r="D5464">
            <v>51245</v>
          </cell>
          <cell r="E5464">
            <v>54594</v>
          </cell>
        </row>
        <row r="5465">
          <cell r="C5465" t="str">
            <v xml:space="preserve">    BET-A              ACM</v>
          </cell>
          <cell r="D5465">
            <v>16311</v>
          </cell>
          <cell r="E5465">
            <v>11052</v>
          </cell>
        </row>
        <row r="5466">
          <cell r="C5466" t="str">
            <v xml:space="preserve">    BETAVAL            HT3</v>
          </cell>
          <cell r="D5466">
            <v>10362</v>
          </cell>
          <cell r="E5466">
            <v>6302</v>
          </cell>
        </row>
        <row r="5467">
          <cell r="C5467" t="str">
            <v xml:space="preserve">    BETSON             OPI</v>
          </cell>
          <cell r="D5467">
            <v>7290</v>
          </cell>
          <cell r="E5467">
            <v>4281</v>
          </cell>
        </row>
        <row r="5468">
          <cell r="C5468" t="str">
            <v xml:space="preserve">    BETADERM           IAP</v>
          </cell>
          <cell r="D5468">
            <v>5641</v>
          </cell>
          <cell r="E5468">
            <v>5024</v>
          </cell>
        </row>
        <row r="5469">
          <cell r="C5469" t="str">
            <v xml:space="preserve">    BANTOVET           D-B</v>
          </cell>
          <cell r="D5469">
            <v>4392</v>
          </cell>
          <cell r="E5469">
            <v>8081</v>
          </cell>
        </row>
        <row r="5470">
          <cell r="C5470" t="str">
            <v xml:space="preserve">    ARISTOBET          ATP</v>
          </cell>
          <cell r="D5470">
            <v>2391</v>
          </cell>
          <cell r="E5470">
            <v>1858</v>
          </cell>
        </row>
        <row r="5471">
          <cell r="C5471" t="str">
            <v xml:space="preserve">    MEXIDERM           BP&amp;</v>
          </cell>
          <cell r="D5471">
            <v>336</v>
          </cell>
          <cell r="E5471">
            <v>383</v>
          </cell>
        </row>
        <row r="5472">
          <cell r="C5472" t="str">
            <v xml:space="preserve">    BETNOVA            NJP</v>
          </cell>
          <cell r="D5472">
            <v>61</v>
          </cell>
          <cell r="E5472">
            <v>151</v>
          </cell>
        </row>
        <row r="5473">
          <cell r="C5473" t="str">
            <v xml:space="preserve">    BETNOVATE          GSK</v>
          </cell>
          <cell r="D5473">
            <v>0</v>
          </cell>
          <cell r="E5473">
            <v>0</v>
          </cell>
        </row>
        <row r="5474">
          <cell r="C5474" t="str">
            <v xml:space="preserve">    DIPROBET           SQA</v>
          </cell>
          <cell r="D5474">
            <v>0</v>
          </cell>
          <cell r="E5474">
            <v>0</v>
          </cell>
        </row>
        <row r="5475">
          <cell r="C5475" t="str">
            <v xml:space="preserve">    METHOVATE          GCO</v>
          </cell>
          <cell r="D5475">
            <v>0</v>
          </cell>
          <cell r="E5475">
            <v>0</v>
          </cell>
        </row>
        <row r="5476">
          <cell r="C5476" t="str">
            <v xml:space="preserve">    SINACORT           IBN</v>
          </cell>
          <cell r="D5476">
            <v>0</v>
          </cell>
          <cell r="E5476">
            <v>0</v>
          </cell>
        </row>
        <row r="5477">
          <cell r="C5477" t="str">
            <v xml:space="preserve">   ULOBETASOL</v>
          </cell>
          <cell r="D5477">
            <v>96390</v>
          </cell>
          <cell r="E5477">
            <v>83203</v>
          </cell>
        </row>
        <row r="5478">
          <cell r="C5478" t="str">
            <v xml:space="preserve">    HALOBET            SQA</v>
          </cell>
          <cell r="D5478">
            <v>82848</v>
          </cell>
          <cell r="E5478">
            <v>73224</v>
          </cell>
        </row>
        <row r="5479">
          <cell r="C5479" t="str">
            <v xml:space="preserve">    ULTICORT           IAP</v>
          </cell>
          <cell r="D5479">
            <v>5895</v>
          </cell>
          <cell r="E5479">
            <v>3967</v>
          </cell>
        </row>
        <row r="5480">
          <cell r="C5480" t="str">
            <v xml:space="preserve">    HALOCORT           A-I</v>
          </cell>
          <cell r="D5480">
            <v>3975</v>
          </cell>
          <cell r="E5480">
            <v>2781</v>
          </cell>
        </row>
        <row r="5481">
          <cell r="C5481" t="str">
            <v xml:space="preserve">    HALOXA             OPI</v>
          </cell>
          <cell r="D5481">
            <v>2762</v>
          </cell>
          <cell r="E5481">
            <v>3231</v>
          </cell>
        </row>
        <row r="5482">
          <cell r="C5482" t="str">
            <v xml:space="preserve">    HALONATE           HT3</v>
          </cell>
          <cell r="D5482">
            <v>911</v>
          </cell>
          <cell r="E5482">
            <v>0</v>
          </cell>
        </row>
        <row r="5483">
          <cell r="C5483" t="str">
            <v xml:space="preserve">   MOMETASONE</v>
          </cell>
          <cell r="D5483">
            <v>57562</v>
          </cell>
          <cell r="E5483">
            <v>58830</v>
          </cell>
        </row>
        <row r="5484">
          <cell r="C5484" t="str">
            <v xml:space="preserve">    SONETA             ATP</v>
          </cell>
          <cell r="D5484">
            <v>41660</v>
          </cell>
          <cell r="E5484">
            <v>46091</v>
          </cell>
        </row>
        <row r="5485">
          <cell r="C5485" t="str">
            <v xml:space="preserve">    MOMESON            IAP</v>
          </cell>
          <cell r="D5485">
            <v>8489</v>
          </cell>
          <cell r="E5485">
            <v>6316</v>
          </cell>
        </row>
        <row r="5486">
          <cell r="C5486" t="str">
            <v xml:space="preserve">    MOMETA             PPH</v>
          </cell>
          <cell r="D5486">
            <v>7413</v>
          </cell>
          <cell r="E5486">
            <v>6424</v>
          </cell>
        </row>
        <row r="5487">
          <cell r="C5487" t="str">
            <v xml:space="preserve">    ELOCAN             GNR</v>
          </cell>
          <cell r="D5487">
            <v>0</v>
          </cell>
          <cell r="E5487">
            <v>0</v>
          </cell>
        </row>
        <row r="5488">
          <cell r="C5488" t="str">
            <v xml:space="preserve">   HYDROCORTISONE</v>
          </cell>
          <cell r="D5488">
            <v>53331</v>
          </cell>
          <cell r="E5488">
            <v>48521</v>
          </cell>
        </row>
        <row r="5489">
          <cell r="C5489" t="str">
            <v xml:space="preserve">    TOPICORT           SQA</v>
          </cell>
          <cell r="D5489">
            <v>31428</v>
          </cell>
          <cell r="E5489">
            <v>29208</v>
          </cell>
        </row>
        <row r="5490">
          <cell r="C5490" t="str">
            <v xml:space="preserve">    ECZACORT           ZIS</v>
          </cell>
          <cell r="D5490">
            <v>19735</v>
          </cell>
          <cell r="E5490">
            <v>16942</v>
          </cell>
        </row>
        <row r="5491">
          <cell r="C5491" t="str">
            <v xml:space="preserve">    ZOCORT             A-I</v>
          </cell>
          <cell r="D5491">
            <v>1443</v>
          </cell>
          <cell r="E5491">
            <v>1286</v>
          </cell>
        </row>
        <row r="5492">
          <cell r="C5492" t="str">
            <v xml:space="preserve">    CORTIDER           ESF</v>
          </cell>
          <cell r="D5492">
            <v>645</v>
          </cell>
          <cell r="E5492">
            <v>1048</v>
          </cell>
        </row>
        <row r="5493">
          <cell r="C5493" t="str">
            <v xml:space="preserve">    INTASONE           IAP</v>
          </cell>
          <cell r="D5493">
            <v>80</v>
          </cell>
          <cell r="E5493">
            <v>33</v>
          </cell>
        </row>
        <row r="5494">
          <cell r="C5494" t="str">
            <v xml:space="preserve">    GENACORT           GNR</v>
          </cell>
          <cell r="D5494">
            <v>0</v>
          </cell>
          <cell r="E5494">
            <v>4</v>
          </cell>
        </row>
        <row r="5495">
          <cell r="C5495" t="str">
            <v xml:space="preserve">   FLUTICASONE</v>
          </cell>
          <cell r="D5495">
            <v>26524</v>
          </cell>
          <cell r="E5495">
            <v>19412</v>
          </cell>
        </row>
        <row r="5496">
          <cell r="C5496" t="str">
            <v xml:space="preserve">    TICAS              SQA</v>
          </cell>
          <cell r="D5496">
            <v>11250</v>
          </cell>
          <cell r="E5496">
            <v>11417</v>
          </cell>
        </row>
        <row r="5497">
          <cell r="C5497" t="str">
            <v xml:space="preserve">    FLUTICA            ATP</v>
          </cell>
          <cell r="D5497">
            <v>10516</v>
          </cell>
          <cell r="E5497">
            <v>4072</v>
          </cell>
        </row>
        <row r="5498">
          <cell r="C5498" t="str">
            <v xml:space="preserve">    LUTISONE           IAP</v>
          </cell>
          <cell r="D5498">
            <v>3335</v>
          </cell>
          <cell r="E5498">
            <v>3211</v>
          </cell>
        </row>
        <row r="5499">
          <cell r="C5499" t="str">
            <v xml:space="preserve">    FLUVATE            OPI</v>
          </cell>
          <cell r="D5499">
            <v>1219</v>
          </cell>
          <cell r="E5499">
            <v>528</v>
          </cell>
        </row>
        <row r="5500">
          <cell r="C5500" t="str">
            <v xml:space="preserve">    FLUPRO             TMH</v>
          </cell>
          <cell r="D5500">
            <v>204</v>
          </cell>
          <cell r="E5500">
            <v>0</v>
          </cell>
        </row>
        <row r="5501">
          <cell r="C5501" t="str">
            <v xml:space="preserve">    CUTISONE           GNR</v>
          </cell>
          <cell r="D5501">
            <v>0</v>
          </cell>
          <cell r="E5501">
            <v>184</v>
          </cell>
        </row>
        <row r="5502">
          <cell r="C5502" t="str">
            <v xml:space="preserve">    FLUTICARE          IBN</v>
          </cell>
          <cell r="D5502">
            <v>0</v>
          </cell>
          <cell r="E5502">
            <v>0</v>
          </cell>
        </row>
        <row r="5503">
          <cell r="C5503" t="str">
            <v xml:space="preserve">   TRIAMCINOLONE ACETONIDE</v>
          </cell>
          <cell r="D5503">
            <v>4595</v>
          </cell>
          <cell r="E5503">
            <v>3876</v>
          </cell>
        </row>
        <row r="5504">
          <cell r="C5504" t="str">
            <v xml:space="preserve">    ARISTOCORT         ATP</v>
          </cell>
          <cell r="D5504">
            <v>4595</v>
          </cell>
          <cell r="E5504">
            <v>3876</v>
          </cell>
        </row>
        <row r="5505">
          <cell r="C5505" t="str">
            <v xml:space="preserve">    CORTEFIN           A-I</v>
          </cell>
          <cell r="D5505">
            <v>0</v>
          </cell>
          <cell r="E5505">
            <v>0</v>
          </cell>
        </row>
        <row r="5506">
          <cell r="C5506" t="str">
            <v xml:space="preserve">    STELONE            GNR</v>
          </cell>
          <cell r="D5506">
            <v>0</v>
          </cell>
          <cell r="E5506">
            <v>0</v>
          </cell>
        </row>
        <row r="5507">
          <cell r="C5507" t="str">
            <v xml:space="preserve">    SKINADERM          KMP</v>
          </cell>
          <cell r="D5507">
            <v>0</v>
          </cell>
          <cell r="E5507">
            <v>0</v>
          </cell>
        </row>
        <row r="5508">
          <cell r="C5508" t="str">
            <v xml:space="preserve">   FLUOCINOLONE ACETONIDE</v>
          </cell>
          <cell r="D5508">
            <v>2957</v>
          </cell>
          <cell r="E5508">
            <v>2829</v>
          </cell>
        </row>
        <row r="5509">
          <cell r="C5509" t="str">
            <v xml:space="preserve">    SKINALAR           A-I</v>
          </cell>
          <cell r="D5509">
            <v>2957</v>
          </cell>
          <cell r="E5509">
            <v>2829</v>
          </cell>
        </row>
        <row r="5510">
          <cell r="C5510" t="str">
            <v xml:space="preserve">   DESONIDE</v>
          </cell>
          <cell r="D5510">
            <v>854</v>
          </cell>
          <cell r="E5510">
            <v>928</v>
          </cell>
        </row>
        <row r="5511">
          <cell r="C5511" t="str">
            <v xml:space="preserve">    DESOTOP            A-I</v>
          </cell>
          <cell r="D5511">
            <v>854</v>
          </cell>
          <cell r="E5511">
            <v>928</v>
          </cell>
        </row>
        <row r="5512">
          <cell r="C5512" t="str">
            <v xml:space="preserve">   DESOXIMETASONE</v>
          </cell>
          <cell r="D5512">
            <v>0</v>
          </cell>
          <cell r="E5512">
            <v>0</v>
          </cell>
        </row>
        <row r="5513">
          <cell r="C5513" t="str">
            <v xml:space="preserve">    DESOCORT           IAP</v>
          </cell>
          <cell r="D5513">
            <v>0</v>
          </cell>
          <cell r="E5513">
            <v>0</v>
          </cell>
        </row>
        <row r="5514">
          <cell r="C5514" t="str">
            <v xml:space="preserve"> AMOEBICIDES</v>
          </cell>
          <cell r="D5514">
            <v>730964</v>
          </cell>
          <cell r="E5514">
            <v>698652</v>
          </cell>
        </row>
        <row r="5515">
          <cell r="C5515" t="str">
            <v xml:space="preserve">  AMOEBICIDES</v>
          </cell>
          <cell r="D5515">
            <v>730964</v>
          </cell>
          <cell r="E5515">
            <v>698652</v>
          </cell>
        </row>
        <row r="5516">
          <cell r="C5516" t="str">
            <v xml:space="preserve">   METRONIDAZOLE</v>
          </cell>
          <cell r="D5516">
            <v>479738</v>
          </cell>
          <cell r="E5516">
            <v>462955</v>
          </cell>
        </row>
        <row r="5517">
          <cell r="C5517" t="str">
            <v xml:space="preserve">    FILMET             BXM</v>
          </cell>
          <cell r="D5517">
            <v>246929</v>
          </cell>
          <cell r="E5517">
            <v>250197</v>
          </cell>
        </row>
        <row r="5518">
          <cell r="C5518" t="str">
            <v xml:space="preserve">    FLAMYD             IAP</v>
          </cell>
          <cell r="D5518">
            <v>68112</v>
          </cell>
          <cell r="E5518">
            <v>54573</v>
          </cell>
        </row>
        <row r="5519">
          <cell r="C5519" t="str">
            <v xml:space="preserve">    AMODIS             SQA</v>
          </cell>
          <cell r="D5519">
            <v>56425</v>
          </cell>
          <cell r="E5519">
            <v>60660</v>
          </cell>
        </row>
        <row r="5520">
          <cell r="C5520" t="str">
            <v xml:space="preserve">    METRO              ZIS</v>
          </cell>
          <cell r="D5520">
            <v>52670</v>
          </cell>
          <cell r="E5520">
            <v>35958</v>
          </cell>
        </row>
        <row r="5521">
          <cell r="C5521" t="str">
            <v xml:space="preserve">    METRYL             OPI</v>
          </cell>
          <cell r="D5521">
            <v>23710</v>
          </cell>
          <cell r="E5521">
            <v>28512</v>
          </cell>
        </row>
        <row r="5522">
          <cell r="C5522" t="str">
            <v xml:space="preserve">    FLAGYL             S.Y</v>
          </cell>
          <cell r="D5522">
            <v>11274</v>
          </cell>
          <cell r="E5522">
            <v>12955</v>
          </cell>
        </row>
        <row r="5523">
          <cell r="C5523" t="str">
            <v xml:space="preserve">    DIROZYL            ACM</v>
          </cell>
          <cell r="D5523">
            <v>9287</v>
          </cell>
          <cell r="E5523">
            <v>6824</v>
          </cell>
        </row>
        <row r="5524">
          <cell r="C5524" t="str">
            <v xml:space="preserve">    METSINA            IBN</v>
          </cell>
          <cell r="D5524">
            <v>4371</v>
          </cell>
          <cell r="E5524">
            <v>5303</v>
          </cell>
        </row>
        <row r="5525">
          <cell r="C5525" t="str">
            <v xml:space="preserve">    FILMET             BXM</v>
          </cell>
          <cell r="D5525">
            <v>3944</v>
          </cell>
          <cell r="E5525">
            <v>3689</v>
          </cell>
        </row>
        <row r="5526">
          <cell r="C5526" t="str">
            <v xml:space="preserve">    AMOTREX            A-I</v>
          </cell>
          <cell r="D5526">
            <v>2011</v>
          </cell>
          <cell r="E5526">
            <v>2187</v>
          </cell>
        </row>
        <row r="5527">
          <cell r="C5527" t="str">
            <v xml:space="preserve">    NIDAZYL            OR/</v>
          </cell>
          <cell r="D5527">
            <v>567</v>
          </cell>
          <cell r="E5527">
            <v>564</v>
          </cell>
        </row>
        <row r="5528">
          <cell r="C5528" t="str">
            <v xml:space="preserve">    METCO              ESF</v>
          </cell>
          <cell r="D5528">
            <v>237</v>
          </cell>
          <cell r="E5528">
            <v>1183</v>
          </cell>
        </row>
        <row r="5529">
          <cell r="C5529" t="str">
            <v xml:space="preserve">    KLION              MPX</v>
          </cell>
          <cell r="D5529">
            <v>112</v>
          </cell>
          <cell r="E5529">
            <v>0</v>
          </cell>
        </row>
        <row r="5530">
          <cell r="C5530" t="str">
            <v xml:space="preserve">    BIOZYL             BP&amp;</v>
          </cell>
          <cell r="D5530">
            <v>56</v>
          </cell>
          <cell r="E5530">
            <v>244</v>
          </cell>
        </row>
        <row r="5531">
          <cell r="C5531" t="str">
            <v xml:space="preserve">    METONID            PPH</v>
          </cell>
          <cell r="D5531">
            <v>21</v>
          </cell>
          <cell r="E5531">
            <v>6</v>
          </cell>
        </row>
        <row r="5532">
          <cell r="C5532" t="str">
            <v xml:space="preserve">    METRA              AD0</v>
          </cell>
          <cell r="D5532">
            <v>4</v>
          </cell>
          <cell r="E5532">
            <v>11</v>
          </cell>
        </row>
        <row r="5533">
          <cell r="C5533" t="str">
            <v xml:space="preserve">    METRO              RAS</v>
          </cell>
          <cell r="D5533">
            <v>3</v>
          </cell>
          <cell r="E5533">
            <v>48</v>
          </cell>
        </row>
        <row r="5534">
          <cell r="C5534" t="str">
            <v xml:space="preserve">    MENOL              SPR</v>
          </cell>
          <cell r="D5534">
            <v>2</v>
          </cell>
          <cell r="E5534">
            <v>4</v>
          </cell>
        </row>
        <row r="5535">
          <cell r="C5535" t="str">
            <v xml:space="preserve">    METRODOL           ATP</v>
          </cell>
          <cell r="D5535">
            <v>1</v>
          </cell>
          <cell r="E5535">
            <v>0</v>
          </cell>
        </row>
        <row r="5536">
          <cell r="C5536" t="str">
            <v xml:space="preserve">    METROL             JMS</v>
          </cell>
          <cell r="D5536">
            <v>1</v>
          </cell>
          <cell r="E5536">
            <v>0</v>
          </cell>
        </row>
        <row r="5537">
          <cell r="C5537" t="str">
            <v xml:space="preserve">    AMEZOL             CSC</v>
          </cell>
          <cell r="D5537">
            <v>0</v>
          </cell>
          <cell r="E5537">
            <v>0</v>
          </cell>
        </row>
        <row r="5538">
          <cell r="C5538" t="str">
            <v xml:space="preserve">    ANAMET             N8V</v>
          </cell>
          <cell r="D5538">
            <v>0</v>
          </cell>
          <cell r="E5538">
            <v>0</v>
          </cell>
        </row>
        <row r="5539">
          <cell r="C5539" t="str">
            <v xml:space="preserve">    ANTIPRO            R7G</v>
          </cell>
          <cell r="D5539">
            <v>0</v>
          </cell>
          <cell r="E5539">
            <v>0</v>
          </cell>
        </row>
        <row r="5540">
          <cell r="C5540" t="str">
            <v xml:space="preserve">    APETRYL            APC</v>
          </cell>
          <cell r="D5540">
            <v>0</v>
          </cell>
          <cell r="E5540">
            <v>0</v>
          </cell>
        </row>
        <row r="5541">
          <cell r="C5541" t="str">
            <v xml:space="preserve">    BENMET             PAC</v>
          </cell>
          <cell r="D5541">
            <v>0</v>
          </cell>
          <cell r="E5541">
            <v>3</v>
          </cell>
        </row>
        <row r="5542">
          <cell r="C5542" t="str">
            <v xml:space="preserve">    FLAMIL             BT.</v>
          </cell>
          <cell r="D5542">
            <v>0</v>
          </cell>
          <cell r="E5542">
            <v>0</v>
          </cell>
        </row>
        <row r="5543">
          <cell r="C5543" t="str">
            <v xml:space="preserve">    GEMETRO            GEE</v>
          </cell>
          <cell r="D5543">
            <v>0</v>
          </cell>
          <cell r="E5543">
            <v>0</v>
          </cell>
        </row>
        <row r="5544">
          <cell r="C5544" t="str">
            <v xml:space="preserve">    KILPRO             T2D</v>
          </cell>
          <cell r="D5544">
            <v>0</v>
          </cell>
          <cell r="E5544">
            <v>0</v>
          </cell>
        </row>
        <row r="5545">
          <cell r="C5545" t="str">
            <v xml:space="preserve">    M                  P-S</v>
          </cell>
          <cell r="D5545">
            <v>0</v>
          </cell>
          <cell r="E5545">
            <v>0</v>
          </cell>
        </row>
        <row r="5546">
          <cell r="C5546" t="str">
            <v xml:space="preserve">    MECOZOL            AIC</v>
          </cell>
          <cell r="D5546">
            <v>0</v>
          </cell>
          <cell r="E5546">
            <v>0</v>
          </cell>
        </row>
        <row r="5547">
          <cell r="C5547" t="str">
            <v xml:space="preserve">    MENILET            A.P</v>
          </cell>
          <cell r="D5547">
            <v>0</v>
          </cell>
          <cell r="E5547">
            <v>0</v>
          </cell>
        </row>
        <row r="5548">
          <cell r="C5548" t="str">
            <v xml:space="preserve">    METASON            JAY</v>
          </cell>
          <cell r="D5548">
            <v>0</v>
          </cell>
          <cell r="E5548">
            <v>7</v>
          </cell>
        </row>
        <row r="5549">
          <cell r="C5549" t="str">
            <v xml:space="preserve">    METRID             ETH</v>
          </cell>
          <cell r="D5549">
            <v>0</v>
          </cell>
          <cell r="E5549">
            <v>0</v>
          </cell>
        </row>
        <row r="5550">
          <cell r="C5550" t="str">
            <v xml:space="preserve">    METRION            GNR</v>
          </cell>
          <cell r="D5550">
            <v>0</v>
          </cell>
          <cell r="E5550">
            <v>0</v>
          </cell>
        </row>
        <row r="5551">
          <cell r="C5551" t="str">
            <v xml:space="preserve">    METRO              AD0</v>
          </cell>
          <cell r="D5551">
            <v>0</v>
          </cell>
          <cell r="E5551">
            <v>0</v>
          </cell>
        </row>
        <row r="5552">
          <cell r="C5552" t="str">
            <v xml:space="preserve">    METROGYL           RPH</v>
          </cell>
          <cell r="D5552">
            <v>0</v>
          </cell>
          <cell r="E5552">
            <v>0</v>
          </cell>
        </row>
        <row r="5553">
          <cell r="C5553" t="str">
            <v xml:space="preserve">    METROSON           HUD</v>
          </cell>
          <cell r="D5553">
            <v>0</v>
          </cell>
          <cell r="E5553">
            <v>0</v>
          </cell>
        </row>
        <row r="5554">
          <cell r="C5554" t="str">
            <v xml:space="preserve">    G-METRONIDAZOLE    GNS</v>
          </cell>
          <cell r="D5554">
            <v>0</v>
          </cell>
          <cell r="E5554">
            <v>0</v>
          </cell>
        </row>
        <row r="5555">
          <cell r="C5555" t="str">
            <v xml:space="preserve">    NIDA               SON</v>
          </cell>
          <cell r="D5555">
            <v>0</v>
          </cell>
          <cell r="E5555">
            <v>0</v>
          </cell>
        </row>
        <row r="5556">
          <cell r="C5556" t="str">
            <v xml:space="preserve">    ONIDA              MY6</v>
          </cell>
          <cell r="D5556">
            <v>0</v>
          </cell>
          <cell r="E5556">
            <v>0</v>
          </cell>
        </row>
        <row r="5557">
          <cell r="C5557" t="str">
            <v xml:space="preserve">    REMET              REM</v>
          </cell>
          <cell r="D5557">
            <v>0</v>
          </cell>
          <cell r="E5557">
            <v>0</v>
          </cell>
        </row>
        <row r="5558">
          <cell r="C5558" t="str">
            <v xml:space="preserve">    SERVIZOL           SDZ</v>
          </cell>
          <cell r="D5558">
            <v>0</v>
          </cell>
          <cell r="E5558">
            <v>0</v>
          </cell>
        </row>
        <row r="5559">
          <cell r="C5559" t="str">
            <v xml:space="preserve">    SILMET             SLC</v>
          </cell>
          <cell r="D5559">
            <v>0</v>
          </cell>
          <cell r="E5559">
            <v>13</v>
          </cell>
        </row>
        <row r="5560">
          <cell r="C5560" t="str">
            <v xml:space="preserve">    SILMET             S6C</v>
          </cell>
          <cell r="D5560">
            <v>0</v>
          </cell>
          <cell r="E5560">
            <v>7</v>
          </cell>
        </row>
        <row r="5561">
          <cell r="C5561" t="str">
            <v xml:space="preserve">    SYSTEC             UCL</v>
          </cell>
          <cell r="D5561">
            <v>0</v>
          </cell>
          <cell r="E5561">
            <v>0</v>
          </cell>
        </row>
        <row r="5562">
          <cell r="C5562" t="str">
            <v xml:space="preserve">    TRICOZYL           EDR</v>
          </cell>
          <cell r="D5562">
            <v>0</v>
          </cell>
          <cell r="E5562">
            <v>0</v>
          </cell>
        </row>
        <row r="5563">
          <cell r="C5563" t="str">
            <v xml:space="preserve">    TRION              A.D</v>
          </cell>
          <cell r="D5563">
            <v>0</v>
          </cell>
          <cell r="E5563">
            <v>2</v>
          </cell>
        </row>
        <row r="5564">
          <cell r="C5564" t="str">
            <v xml:space="preserve">    UNIMET             U.L</v>
          </cell>
          <cell r="D5564">
            <v>0</v>
          </cell>
          <cell r="E5564">
            <v>6</v>
          </cell>
        </row>
        <row r="5565">
          <cell r="C5565" t="str">
            <v xml:space="preserve">   NITAZOXANIDE</v>
          </cell>
          <cell r="D5565">
            <v>175725</v>
          </cell>
          <cell r="E5565">
            <v>163159</v>
          </cell>
        </row>
        <row r="5566">
          <cell r="C5566" t="str">
            <v xml:space="preserve">    ZOX                SQA</v>
          </cell>
          <cell r="D5566">
            <v>137016</v>
          </cell>
          <cell r="E5566">
            <v>134143</v>
          </cell>
        </row>
        <row r="5567">
          <cell r="C5567" t="str">
            <v xml:space="preserve">    NITAZOX            IAP</v>
          </cell>
          <cell r="D5567">
            <v>26545</v>
          </cell>
          <cell r="E5567">
            <v>17571</v>
          </cell>
        </row>
        <row r="5568">
          <cell r="C5568" t="str">
            <v xml:space="preserve">    NITOXIN            ATP</v>
          </cell>
          <cell r="D5568">
            <v>9886</v>
          </cell>
          <cell r="E5568">
            <v>8322</v>
          </cell>
        </row>
        <row r="5569">
          <cell r="C5569" t="str">
            <v xml:space="preserve">    ZOANA              OR/</v>
          </cell>
          <cell r="D5569">
            <v>998</v>
          </cell>
          <cell r="E5569">
            <v>1025</v>
          </cell>
        </row>
        <row r="5570">
          <cell r="C5570" t="str">
            <v xml:space="preserve">    TOZA               ESF</v>
          </cell>
          <cell r="D5570">
            <v>700</v>
          </cell>
          <cell r="E5570">
            <v>894</v>
          </cell>
        </row>
        <row r="5571">
          <cell r="C5571" t="str">
            <v xml:space="preserve">    DIANIDE            GNR</v>
          </cell>
          <cell r="D5571">
            <v>446</v>
          </cell>
          <cell r="E5571">
            <v>744</v>
          </cell>
        </row>
        <row r="5572">
          <cell r="C5572" t="str">
            <v xml:space="preserve">    DIAR               A-I</v>
          </cell>
          <cell r="D5572">
            <v>71</v>
          </cell>
          <cell r="E5572">
            <v>341</v>
          </cell>
        </row>
        <row r="5573">
          <cell r="C5573" t="str">
            <v xml:space="preserve">    NITAX              D&amp;B</v>
          </cell>
          <cell r="D5573">
            <v>27</v>
          </cell>
          <cell r="E5573">
            <v>1</v>
          </cell>
        </row>
        <row r="5574">
          <cell r="C5574" t="str">
            <v xml:space="preserve">    XANIDE             GBE</v>
          </cell>
          <cell r="D5574">
            <v>18</v>
          </cell>
          <cell r="E5574">
            <v>0</v>
          </cell>
        </row>
        <row r="5575">
          <cell r="C5575" t="str">
            <v xml:space="preserve">    PROXA-A            AD0</v>
          </cell>
          <cell r="D5575">
            <v>9</v>
          </cell>
          <cell r="E5575">
            <v>0</v>
          </cell>
        </row>
        <row r="5576">
          <cell r="C5576" t="str">
            <v xml:space="preserve">    NITAZET            NVK</v>
          </cell>
          <cell r="D5576">
            <v>9</v>
          </cell>
          <cell r="E5576">
            <v>6</v>
          </cell>
        </row>
        <row r="5577">
          <cell r="C5577" t="str">
            <v xml:space="preserve">    NIDOZOX            ACM</v>
          </cell>
          <cell r="D5577">
            <v>0</v>
          </cell>
          <cell r="E5577">
            <v>2</v>
          </cell>
        </row>
        <row r="5578">
          <cell r="C5578" t="str">
            <v xml:space="preserve">    NITAXIDE           BXM</v>
          </cell>
          <cell r="D5578">
            <v>0</v>
          </cell>
          <cell r="E5578">
            <v>110</v>
          </cell>
        </row>
        <row r="5579">
          <cell r="C5579" t="str">
            <v xml:space="preserve">    NITIDE             NJP</v>
          </cell>
          <cell r="D5579">
            <v>0</v>
          </cell>
          <cell r="E5579">
            <v>0</v>
          </cell>
        </row>
        <row r="5580">
          <cell r="C5580" t="str">
            <v xml:space="preserve">    ZOXANID            SV6</v>
          </cell>
          <cell r="D5580">
            <v>0</v>
          </cell>
          <cell r="E5580">
            <v>0</v>
          </cell>
        </row>
        <row r="5581">
          <cell r="C5581" t="str">
            <v xml:space="preserve">    NIXAMID            EMA</v>
          </cell>
          <cell r="D5581">
            <v>0</v>
          </cell>
          <cell r="E5581">
            <v>0</v>
          </cell>
        </row>
        <row r="5582">
          <cell r="C5582" t="str">
            <v xml:space="preserve">   ORNIDAZOLE</v>
          </cell>
          <cell r="D5582">
            <v>45584</v>
          </cell>
          <cell r="E5582">
            <v>43050</v>
          </cell>
        </row>
        <row r="5583">
          <cell r="C5583" t="str">
            <v xml:space="preserve">    ROBIC              SQA</v>
          </cell>
          <cell r="D5583">
            <v>27307</v>
          </cell>
          <cell r="E5583">
            <v>24007</v>
          </cell>
        </row>
        <row r="5584">
          <cell r="C5584" t="str">
            <v xml:space="preserve">    ORNID              D-I</v>
          </cell>
          <cell r="D5584">
            <v>17857</v>
          </cell>
          <cell r="E5584">
            <v>18624</v>
          </cell>
        </row>
        <row r="5585">
          <cell r="C5585" t="str">
            <v xml:space="preserve">    ORNIL              OPI</v>
          </cell>
          <cell r="D5585">
            <v>420</v>
          </cell>
          <cell r="E5585">
            <v>406</v>
          </cell>
        </row>
        <row r="5586">
          <cell r="C5586" t="str">
            <v xml:space="preserve">    ONIZ               UNH</v>
          </cell>
          <cell r="D5586">
            <v>0</v>
          </cell>
          <cell r="E5586">
            <v>0</v>
          </cell>
        </row>
        <row r="5587">
          <cell r="C5587" t="str">
            <v xml:space="preserve">    ORNID              OPI</v>
          </cell>
          <cell r="D5587">
            <v>0</v>
          </cell>
          <cell r="E5587">
            <v>14</v>
          </cell>
        </row>
        <row r="5588">
          <cell r="C5588" t="str">
            <v xml:space="preserve">   SECNIDAZOLE</v>
          </cell>
          <cell r="D5588">
            <v>29917</v>
          </cell>
          <cell r="E5588">
            <v>29488</v>
          </cell>
        </row>
        <row r="5589">
          <cell r="C5589" t="str">
            <v xml:space="preserve">    SECNID             SQA</v>
          </cell>
          <cell r="D5589">
            <v>29473</v>
          </cell>
          <cell r="E5589">
            <v>28476</v>
          </cell>
        </row>
        <row r="5590">
          <cell r="C5590" t="str">
            <v xml:space="preserve">    SEZOL              A-I</v>
          </cell>
          <cell r="D5590">
            <v>444</v>
          </cell>
          <cell r="E5590">
            <v>1011</v>
          </cell>
        </row>
        <row r="5591">
          <cell r="C5591" t="str">
            <v xml:space="preserve">    SECNIDAL           S.Y</v>
          </cell>
          <cell r="D5591">
            <v>0</v>
          </cell>
          <cell r="E5591">
            <v>0</v>
          </cell>
        </row>
        <row r="5592">
          <cell r="C5592" t="str">
            <v xml:space="preserve">   COMPOSITION UNKNOWN</v>
          </cell>
          <cell r="D5592">
            <v>0</v>
          </cell>
          <cell r="E5592">
            <v>0</v>
          </cell>
        </row>
        <row r="5593">
          <cell r="C5593" t="str">
            <v xml:space="preserve">    NIPAZOL            NIP</v>
          </cell>
          <cell r="D5593">
            <v>0</v>
          </cell>
          <cell r="E5593">
            <v>0</v>
          </cell>
        </row>
        <row r="5594">
          <cell r="C5594" t="str">
            <v xml:space="preserve">   DILOXANIDE</v>
          </cell>
          <cell r="D5594">
            <v>0</v>
          </cell>
          <cell r="E5594">
            <v>0</v>
          </cell>
        </row>
        <row r="5595">
          <cell r="C5595" t="str">
            <v xml:space="preserve">    DILOXIDE           ACM</v>
          </cell>
          <cell r="D5595">
            <v>0</v>
          </cell>
          <cell r="E5595">
            <v>0</v>
          </cell>
        </row>
        <row r="5596">
          <cell r="C5596" t="str">
            <v xml:space="preserve"> ANTIDIARR MICRO-ORGANISMS</v>
          </cell>
          <cell r="D5596">
            <v>706924</v>
          </cell>
          <cell r="E5596">
            <v>466089</v>
          </cell>
        </row>
        <row r="5597">
          <cell r="C5597" t="str">
            <v xml:space="preserve">  ANTIDIARR MICRO-ORGANISMS</v>
          </cell>
          <cell r="D5597">
            <v>706924</v>
          </cell>
          <cell r="E5597">
            <v>466089</v>
          </cell>
        </row>
        <row r="5598">
          <cell r="C5598" t="str">
            <v xml:space="preserve">   PROBIOTICS</v>
          </cell>
          <cell r="D5598">
            <v>263773</v>
          </cell>
          <cell r="E5598">
            <v>214795</v>
          </cell>
        </row>
        <row r="5599">
          <cell r="C5599" t="str">
            <v xml:space="preserve">    ACTERIA            RD7</v>
          </cell>
          <cell r="D5599">
            <v>153707</v>
          </cell>
          <cell r="E5599">
            <v>132867</v>
          </cell>
        </row>
        <row r="5600">
          <cell r="C5600" t="str">
            <v xml:space="preserve">    GOODGUT            RTA</v>
          </cell>
          <cell r="D5600">
            <v>58026</v>
          </cell>
          <cell r="E5600">
            <v>34228</v>
          </cell>
        </row>
        <row r="5601">
          <cell r="C5601" t="str">
            <v xml:space="preserve">    WELGUT             IAP</v>
          </cell>
          <cell r="D5601">
            <v>49568</v>
          </cell>
          <cell r="E5601">
            <v>47286</v>
          </cell>
        </row>
        <row r="5602">
          <cell r="C5602" t="str">
            <v xml:space="preserve">    EZYGUT             ACM</v>
          </cell>
          <cell r="D5602">
            <v>2471</v>
          </cell>
          <cell r="E5602">
            <v>0</v>
          </cell>
        </row>
        <row r="5603">
          <cell r="C5603" t="str">
            <v xml:space="preserve">    PROLACTO           D-I</v>
          </cell>
          <cell r="D5603">
            <v>0</v>
          </cell>
          <cell r="E5603">
            <v>415</v>
          </cell>
        </row>
        <row r="5604">
          <cell r="C5604" t="str">
            <v xml:space="preserve">   BACILLUS CLAUSII</v>
          </cell>
          <cell r="D5604">
            <v>196543</v>
          </cell>
          <cell r="E5604">
            <v>182743</v>
          </cell>
        </row>
        <row r="5605">
          <cell r="C5605" t="str">
            <v xml:space="preserve">    ENTEROGERMINA      S.Y</v>
          </cell>
          <cell r="D5605">
            <v>196543</v>
          </cell>
          <cell r="E5605">
            <v>182743</v>
          </cell>
        </row>
        <row r="5606">
          <cell r="C5606" t="str">
            <v xml:space="preserve">   BIFIDOBACTERIUM BIFIDUS+FRUCTOOLIGOSACCHARIDES+LACTOBACILLUS ACIDOPHILUS+LACTOBACILLUS BUL</v>
          </cell>
          <cell r="D5606">
            <v>103964</v>
          </cell>
          <cell r="E5606">
            <v>46345</v>
          </cell>
        </row>
        <row r="5607">
          <cell r="C5607" t="str">
            <v xml:space="preserve">    GOODBAC-3S         ATP</v>
          </cell>
          <cell r="D5607">
            <v>69490</v>
          </cell>
          <cell r="E5607">
            <v>46345</v>
          </cell>
        </row>
        <row r="5608">
          <cell r="C5608" t="str">
            <v xml:space="preserve">    PROBIO             SQA</v>
          </cell>
          <cell r="D5608">
            <v>19392</v>
          </cell>
          <cell r="E5608">
            <v>0</v>
          </cell>
        </row>
        <row r="5609">
          <cell r="C5609" t="str">
            <v xml:space="preserve">    HARMOGUT           PPH</v>
          </cell>
          <cell r="D5609">
            <v>15082</v>
          </cell>
          <cell r="E5609">
            <v>0</v>
          </cell>
        </row>
        <row r="5610">
          <cell r="C5610" t="str">
            <v xml:space="preserve">   LACTOBACILLUS ACIDOPHILUS+LACTOBACILLUS PARACASEI</v>
          </cell>
          <cell r="D5610">
            <v>58920</v>
          </cell>
          <cell r="E5610">
            <v>0</v>
          </cell>
        </row>
        <row r="5611">
          <cell r="C5611" t="str">
            <v xml:space="preserve">    PROBIO-R           SQA</v>
          </cell>
          <cell r="D5611">
            <v>58920</v>
          </cell>
          <cell r="E5611">
            <v>0</v>
          </cell>
        </row>
        <row r="5612">
          <cell r="C5612" t="str">
            <v xml:space="preserve">   BACILLUS SUBTILIS</v>
          </cell>
          <cell r="D5612">
            <v>54322</v>
          </cell>
          <cell r="E5612">
            <v>14742</v>
          </cell>
        </row>
        <row r="5613">
          <cell r="C5613" t="str">
            <v xml:space="preserve">    GOODBAC-L          ATP</v>
          </cell>
          <cell r="D5613">
            <v>54322</v>
          </cell>
          <cell r="E5613">
            <v>14742</v>
          </cell>
        </row>
        <row r="5614">
          <cell r="C5614" t="str">
            <v xml:space="preserve">   BIFIDOBACTERIUM BIFIDUS+BIFIDOBACTERIUM INFANTIS+BIFIDOBACTERIUM LONGUM+CARICA PAPAYA+FRUC</v>
          </cell>
          <cell r="D5614">
            <v>22262</v>
          </cell>
          <cell r="E5614">
            <v>3514</v>
          </cell>
        </row>
        <row r="5615">
          <cell r="C5615" t="str">
            <v xml:space="preserve">    BACILAX            SQA</v>
          </cell>
          <cell r="D5615">
            <v>17485</v>
          </cell>
          <cell r="E5615">
            <v>3514</v>
          </cell>
        </row>
        <row r="5616">
          <cell r="C5616" t="str">
            <v xml:space="preserve">    TRUGUT             ACM</v>
          </cell>
          <cell r="D5616">
            <v>4776</v>
          </cell>
          <cell r="E5616">
            <v>0</v>
          </cell>
        </row>
        <row r="5617">
          <cell r="C5617" t="str">
            <v xml:space="preserve">   LACTOBACILLUS RHAMNOSUS</v>
          </cell>
          <cell r="D5617">
            <v>4448</v>
          </cell>
          <cell r="E5617">
            <v>0</v>
          </cell>
        </row>
        <row r="5618">
          <cell r="C5618" t="str">
            <v xml:space="preserve">    FLORAGEN-G         PPH</v>
          </cell>
          <cell r="D5618">
            <v>4448</v>
          </cell>
          <cell r="E5618">
            <v>0</v>
          </cell>
        </row>
        <row r="5619">
          <cell r="C5619" t="str">
            <v xml:space="preserve">   SACCHAROMYCES BOULARDII</v>
          </cell>
          <cell r="D5619">
            <v>2694</v>
          </cell>
          <cell r="E5619">
            <v>3910</v>
          </cell>
        </row>
        <row r="5620">
          <cell r="C5620" t="str">
            <v xml:space="preserve">    GOODBAC-SB         ATP</v>
          </cell>
          <cell r="D5620">
            <v>2694</v>
          </cell>
          <cell r="E5620">
            <v>3910</v>
          </cell>
        </row>
        <row r="5621">
          <cell r="C5621" t="str">
            <v xml:space="preserve">   BIFIDOBACTERIUM BREVE+BIFIDOBACTERIUM LONGUM+FRUCTOOLIGOSACCHARIDES+LACTOBACILLUS ACIDOPHI</v>
          </cell>
          <cell r="D5621">
            <v>0</v>
          </cell>
          <cell r="E5621">
            <v>0</v>
          </cell>
        </row>
        <row r="5622">
          <cell r="C5622" t="str">
            <v xml:space="preserve">    PROTEXIN BALANCE   SDZ</v>
          </cell>
          <cell r="D5622">
            <v>0</v>
          </cell>
          <cell r="E5622">
            <v>0</v>
          </cell>
        </row>
        <row r="5623">
          <cell r="C5623" t="str">
            <v xml:space="preserve">   ASCORBIC ACID+BIFIDOBACTERIUM BREVE+BIFIDOBACTERIUM LONGUM+FRUCTOOLIGOSACCHARIDES+LACTOBAC</v>
          </cell>
          <cell r="D5623">
            <v>0</v>
          </cell>
          <cell r="E5623">
            <v>0</v>
          </cell>
        </row>
        <row r="5624">
          <cell r="C5624" t="str">
            <v xml:space="preserve">    PROTEXIN BALANCE+  SDZ</v>
          </cell>
          <cell r="D5624">
            <v>0</v>
          </cell>
          <cell r="E5624">
            <v>0</v>
          </cell>
        </row>
        <row r="5625">
          <cell r="C5625" t="str">
            <v xml:space="preserve">   ASCORBIC ACID+BIFIDOBACTERIUM BREVE+BIFIDOBACTERIUM INFANTIS+FRUCTOOLIGOSACCHARIDES+LACTOB</v>
          </cell>
          <cell r="D5625">
            <v>0</v>
          </cell>
          <cell r="E5625">
            <v>40</v>
          </cell>
        </row>
        <row r="5626">
          <cell r="C5626" t="str">
            <v xml:space="preserve">    PROTEXIN-VITALITY  SDZ</v>
          </cell>
          <cell r="D5626">
            <v>0</v>
          </cell>
          <cell r="E5626">
            <v>40</v>
          </cell>
        </row>
        <row r="5627">
          <cell r="C5627" t="str">
            <v xml:space="preserve"> CEREB/PERIPH.VASOTHERAPEU</v>
          </cell>
          <cell r="D5627">
            <v>625967</v>
          </cell>
          <cell r="E5627">
            <v>505774</v>
          </cell>
        </row>
        <row r="5628">
          <cell r="C5628" t="str">
            <v xml:space="preserve">  CEREB/PERIPH VASOTHERAPS</v>
          </cell>
          <cell r="D5628">
            <v>550210</v>
          </cell>
          <cell r="E5628">
            <v>436515</v>
          </cell>
        </row>
        <row r="5629">
          <cell r="C5629" t="str">
            <v xml:space="preserve">   CITICOLINE</v>
          </cell>
          <cell r="D5629">
            <v>209402</v>
          </cell>
          <cell r="E5629">
            <v>181259</v>
          </cell>
        </row>
        <row r="5630">
          <cell r="C5630" t="str">
            <v xml:space="preserve">    CITIVAS            SQA</v>
          </cell>
          <cell r="D5630">
            <v>62260</v>
          </cell>
          <cell r="E5630">
            <v>54170</v>
          </cell>
        </row>
        <row r="5631">
          <cell r="C5631" t="str">
            <v xml:space="preserve">    CITICOL            BXM</v>
          </cell>
          <cell r="D5631">
            <v>54133</v>
          </cell>
          <cell r="E5631">
            <v>44191</v>
          </cell>
        </row>
        <row r="5632">
          <cell r="C5632" t="str">
            <v xml:space="preserve">    COGNIZ             UNH</v>
          </cell>
          <cell r="D5632">
            <v>51944</v>
          </cell>
          <cell r="E5632">
            <v>37905</v>
          </cell>
        </row>
        <row r="5633">
          <cell r="C5633" t="str">
            <v xml:space="preserve">    BALANCIA           ATP</v>
          </cell>
          <cell r="D5633">
            <v>21013</v>
          </cell>
          <cell r="E5633">
            <v>22266</v>
          </cell>
        </row>
        <row r="5634">
          <cell r="C5634" t="str">
            <v xml:space="preserve">    SOMAZIN            PPH</v>
          </cell>
          <cell r="D5634">
            <v>12942</v>
          </cell>
          <cell r="E5634">
            <v>13085</v>
          </cell>
        </row>
        <row r="5635">
          <cell r="C5635" t="str">
            <v xml:space="preserve">    CIKOLIN            D-I</v>
          </cell>
          <cell r="D5635">
            <v>3662</v>
          </cell>
          <cell r="E5635">
            <v>4420</v>
          </cell>
        </row>
        <row r="5636">
          <cell r="C5636" t="str">
            <v xml:space="preserve">    VIVICIT            IAP</v>
          </cell>
          <cell r="D5636">
            <v>3450</v>
          </cell>
          <cell r="E5636">
            <v>5097</v>
          </cell>
        </row>
        <row r="5637">
          <cell r="C5637" t="str">
            <v xml:space="preserve">    COGNILIN           UNH</v>
          </cell>
          <cell r="D5637">
            <v>0</v>
          </cell>
          <cell r="E5637">
            <v>61</v>
          </cell>
        </row>
        <row r="5638">
          <cell r="C5638" t="str">
            <v xml:space="preserve">    CIKO               BAC</v>
          </cell>
          <cell r="D5638">
            <v>0</v>
          </cell>
          <cell r="E5638">
            <v>64</v>
          </cell>
        </row>
        <row r="5639">
          <cell r="C5639" t="str">
            <v xml:space="preserve">   GINKGO BILOBA</v>
          </cell>
          <cell r="D5639">
            <v>127271</v>
          </cell>
          <cell r="E5639">
            <v>90835</v>
          </cell>
        </row>
        <row r="5640">
          <cell r="C5640" t="str">
            <v xml:space="preserve">    GILOBA             SQA</v>
          </cell>
          <cell r="D5640">
            <v>127167</v>
          </cell>
          <cell r="E5640">
            <v>90835</v>
          </cell>
        </row>
        <row r="5641">
          <cell r="C5641" t="str">
            <v xml:space="preserve">    JEEBEE             RTA</v>
          </cell>
          <cell r="D5641">
            <v>104</v>
          </cell>
          <cell r="E5641">
            <v>0</v>
          </cell>
        </row>
        <row r="5642">
          <cell r="C5642" t="str">
            <v xml:space="preserve">   INOSITOL NICOTINATE</v>
          </cell>
          <cell r="D5642">
            <v>60282</v>
          </cell>
          <cell r="E5642">
            <v>8237</v>
          </cell>
        </row>
        <row r="5643">
          <cell r="C5643" t="str">
            <v xml:space="preserve">    MYOSIT             RTA</v>
          </cell>
          <cell r="D5643">
            <v>60282</v>
          </cell>
          <cell r="E5643">
            <v>8237</v>
          </cell>
        </row>
        <row r="5644">
          <cell r="C5644" t="str">
            <v xml:space="preserve">   VINPOCETINE</v>
          </cell>
          <cell r="D5644">
            <v>58486</v>
          </cell>
          <cell r="E5644">
            <v>64931</v>
          </cell>
        </row>
        <row r="5645">
          <cell r="C5645" t="str">
            <v xml:space="preserve">    CAMITON            D-I</v>
          </cell>
          <cell r="D5645">
            <v>27421</v>
          </cell>
          <cell r="E5645">
            <v>25404</v>
          </cell>
        </row>
        <row r="5646">
          <cell r="C5646" t="str">
            <v xml:space="preserve">    CERETON            GNR</v>
          </cell>
          <cell r="D5646">
            <v>11127</v>
          </cell>
          <cell r="E5646">
            <v>18062</v>
          </cell>
        </row>
        <row r="5647">
          <cell r="C5647" t="str">
            <v xml:space="preserve">    VINCET             ESF</v>
          </cell>
          <cell r="D5647">
            <v>6796</v>
          </cell>
          <cell r="E5647">
            <v>5939</v>
          </cell>
        </row>
        <row r="5648">
          <cell r="C5648" t="str">
            <v xml:space="preserve">    VINPOTON           ACM</v>
          </cell>
          <cell r="D5648">
            <v>6127</v>
          </cell>
          <cell r="E5648">
            <v>5526</v>
          </cell>
        </row>
        <row r="5649">
          <cell r="C5649" t="str">
            <v xml:space="preserve">    VINTON             ATP</v>
          </cell>
          <cell r="D5649">
            <v>3750</v>
          </cell>
          <cell r="E5649">
            <v>5350</v>
          </cell>
        </row>
        <row r="5650">
          <cell r="C5650" t="str">
            <v xml:space="preserve">    CAVITON            OPI</v>
          </cell>
          <cell r="D5650">
            <v>3065</v>
          </cell>
          <cell r="E5650">
            <v>3046</v>
          </cell>
        </row>
        <row r="5651">
          <cell r="C5651" t="str">
            <v xml:space="preserve">    CAVITAB            IBN</v>
          </cell>
          <cell r="D5651">
            <v>187</v>
          </cell>
          <cell r="E5651">
            <v>216</v>
          </cell>
        </row>
        <row r="5652">
          <cell r="C5652" t="str">
            <v xml:space="preserve">    VINSETINE          IAP</v>
          </cell>
          <cell r="D5652">
            <v>13</v>
          </cell>
          <cell r="E5652">
            <v>1263</v>
          </cell>
        </row>
        <row r="5653">
          <cell r="C5653" t="str">
            <v xml:space="preserve">    AVINTOL            A-I</v>
          </cell>
          <cell r="D5653">
            <v>0</v>
          </cell>
          <cell r="E5653">
            <v>0</v>
          </cell>
        </row>
        <row r="5654">
          <cell r="C5654" t="str">
            <v xml:space="preserve">    CERIVIN            BXM</v>
          </cell>
          <cell r="D5654">
            <v>0</v>
          </cell>
          <cell r="E5654">
            <v>93</v>
          </cell>
        </row>
        <row r="5655">
          <cell r="C5655" t="str">
            <v xml:space="preserve">    CERENIN            AMB</v>
          </cell>
          <cell r="D5655">
            <v>0</v>
          </cell>
          <cell r="E5655">
            <v>33</v>
          </cell>
        </row>
        <row r="5656">
          <cell r="C5656" t="str">
            <v xml:space="preserve">   AJMALICINE+ALMITRINE</v>
          </cell>
          <cell r="D5656">
            <v>37494</v>
          </cell>
          <cell r="E5656">
            <v>38910</v>
          </cell>
        </row>
        <row r="5657">
          <cell r="C5657" t="str">
            <v xml:space="preserve">    ALBASINE           D-I</v>
          </cell>
          <cell r="D5657">
            <v>26548</v>
          </cell>
          <cell r="E5657">
            <v>30531</v>
          </cell>
        </row>
        <row r="5658">
          <cell r="C5658" t="str">
            <v xml:space="preserve">    TRUXIL             SQA</v>
          </cell>
          <cell r="D5658">
            <v>10946</v>
          </cell>
          <cell r="E5658">
            <v>8379</v>
          </cell>
        </row>
        <row r="5659">
          <cell r="C5659" t="str">
            <v xml:space="preserve">    DUXIL              SVR</v>
          </cell>
          <cell r="D5659">
            <v>0</v>
          </cell>
          <cell r="E5659">
            <v>0</v>
          </cell>
        </row>
        <row r="5660">
          <cell r="C5660" t="str">
            <v xml:space="preserve">   NAFTIDROFURYL</v>
          </cell>
          <cell r="D5660">
            <v>32090</v>
          </cell>
          <cell r="E5660">
            <v>31967</v>
          </cell>
        </row>
        <row r="5661">
          <cell r="C5661" t="str">
            <v xml:space="preserve">    NAFODIL            SQA</v>
          </cell>
          <cell r="D5661">
            <v>20776</v>
          </cell>
          <cell r="E5661">
            <v>21809</v>
          </cell>
        </row>
        <row r="5662">
          <cell r="C5662" t="str">
            <v xml:space="preserve">    AZELTO             ZIS</v>
          </cell>
          <cell r="D5662">
            <v>11314</v>
          </cell>
          <cell r="E5662">
            <v>10157</v>
          </cell>
        </row>
        <row r="5663">
          <cell r="C5663" t="str">
            <v xml:space="preserve">   PENTOXIFYLLINE</v>
          </cell>
          <cell r="D5663">
            <v>20266</v>
          </cell>
          <cell r="E5663">
            <v>20376</v>
          </cell>
        </row>
        <row r="5664">
          <cell r="C5664" t="str">
            <v xml:space="preserve">    OXIFYL             SQA</v>
          </cell>
          <cell r="D5664">
            <v>20266</v>
          </cell>
          <cell r="E5664">
            <v>20287</v>
          </cell>
        </row>
        <row r="5665">
          <cell r="C5665" t="str">
            <v xml:space="preserve">    TRENTAL            S.Y</v>
          </cell>
          <cell r="D5665">
            <v>0</v>
          </cell>
          <cell r="E5665">
            <v>89</v>
          </cell>
        </row>
        <row r="5666">
          <cell r="C5666" t="str">
            <v xml:space="preserve">   GINKGO BILOBA+PANAX GINSENG</v>
          </cell>
          <cell r="D5666">
            <v>4920</v>
          </cell>
          <cell r="E5666">
            <v>0</v>
          </cell>
        </row>
        <row r="5667">
          <cell r="C5667" t="str">
            <v xml:space="preserve">    GINSENIA           ATP</v>
          </cell>
          <cell r="D5667">
            <v>4920</v>
          </cell>
          <cell r="E5667">
            <v>0</v>
          </cell>
        </row>
        <row r="5668">
          <cell r="C5668" t="str">
            <v xml:space="preserve">  CA ANTAG W CEREBRAL ACTIV</v>
          </cell>
          <cell r="D5668">
            <v>75757</v>
          </cell>
          <cell r="E5668">
            <v>69259</v>
          </cell>
        </row>
        <row r="5669">
          <cell r="C5669" t="str">
            <v xml:space="preserve">   CINNARIZINE</v>
          </cell>
          <cell r="D5669">
            <v>50216</v>
          </cell>
          <cell r="E5669">
            <v>42770</v>
          </cell>
        </row>
        <row r="5670">
          <cell r="C5670" t="str">
            <v xml:space="preserve">    CINARON            SQA</v>
          </cell>
          <cell r="D5670">
            <v>39830</v>
          </cell>
          <cell r="E5670">
            <v>34752</v>
          </cell>
        </row>
        <row r="5671">
          <cell r="C5671" t="str">
            <v xml:space="preserve">    CINAZIN            ACM</v>
          </cell>
          <cell r="D5671">
            <v>7711</v>
          </cell>
          <cell r="E5671">
            <v>5944</v>
          </cell>
        </row>
        <row r="5672">
          <cell r="C5672" t="str">
            <v xml:space="preserve">    CINARYL            OPI</v>
          </cell>
          <cell r="D5672">
            <v>1427</v>
          </cell>
          <cell r="E5672">
            <v>650</v>
          </cell>
        </row>
        <row r="5673">
          <cell r="C5673" t="str">
            <v xml:space="preserve">    CINARZIN           IBN</v>
          </cell>
          <cell r="D5673">
            <v>1248</v>
          </cell>
          <cell r="E5673">
            <v>1425</v>
          </cell>
        </row>
        <row r="5674">
          <cell r="C5674" t="str">
            <v xml:space="preserve">    CINARIN            NIP</v>
          </cell>
          <cell r="D5674">
            <v>0</v>
          </cell>
          <cell r="E5674">
            <v>0</v>
          </cell>
        </row>
        <row r="5675">
          <cell r="C5675" t="str">
            <v xml:space="preserve">   FLUNARIZINE</v>
          </cell>
          <cell r="D5675">
            <v>14579</v>
          </cell>
          <cell r="E5675">
            <v>14580</v>
          </cell>
        </row>
        <row r="5676">
          <cell r="C5676" t="str">
            <v xml:space="preserve">    IMIGRA             N8V</v>
          </cell>
          <cell r="D5676">
            <v>14509</v>
          </cell>
          <cell r="E5676">
            <v>14463</v>
          </cell>
        </row>
        <row r="5677">
          <cell r="C5677" t="str">
            <v xml:space="preserve">    FLUNARIN           AX.</v>
          </cell>
          <cell r="D5677">
            <v>70</v>
          </cell>
          <cell r="E5677">
            <v>118</v>
          </cell>
        </row>
        <row r="5678">
          <cell r="C5678" t="str">
            <v xml:space="preserve">   NIMODIPINE</v>
          </cell>
          <cell r="D5678">
            <v>10961</v>
          </cell>
          <cell r="E5678">
            <v>11908</v>
          </cell>
        </row>
        <row r="5679">
          <cell r="C5679" t="str">
            <v xml:space="preserve">    NIMOCAL            SQA</v>
          </cell>
          <cell r="D5679">
            <v>10961</v>
          </cell>
          <cell r="E5679">
            <v>11908</v>
          </cell>
        </row>
        <row r="5680">
          <cell r="C5680" t="str">
            <v xml:space="preserve">    NIMODI             ESF</v>
          </cell>
          <cell r="D5680">
            <v>0</v>
          </cell>
          <cell r="E5680">
            <v>0</v>
          </cell>
        </row>
        <row r="5681">
          <cell r="C5681" t="str">
            <v xml:space="preserve"> TOP A-RHEUMATICS &amp; ANALG</v>
          </cell>
          <cell r="D5681">
            <v>525116</v>
          </cell>
          <cell r="E5681">
            <v>467737</v>
          </cell>
        </row>
        <row r="5682">
          <cell r="C5682" t="str">
            <v xml:space="preserve">  TOP A-RHEUMATICS &amp; ANALG</v>
          </cell>
          <cell r="D5682">
            <v>525116</v>
          </cell>
          <cell r="E5682">
            <v>467737</v>
          </cell>
        </row>
        <row r="5683">
          <cell r="C5683" t="str">
            <v xml:space="preserve">   DICLOFENAC</v>
          </cell>
          <cell r="D5683">
            <v>363434</v>
          </cell>
          <cell r="E5683">
            <v>301917</v>
          </cell>
        </row>
        <row r="5684">
          <cell r="C5684" t="str">
            <v xml:space="preserve">    VOLIGEL            BXM</v>
          </cell>
          <cell r="D5684">
            <v>113925</v>
          </cell>
          <cell r="E5684">
            <v>98112</v>
          </cell>
        </row>
        <row r="5685">
          <cell r="C5685" t="str">
            <v xml:space="preserve">    VOLINAC            SQA</v>
          </cell>
          <cell r="D5685">
            <v>105639</v>
          </cell>
          <cell r="E5685">
            <v>109855</v>
          </cell>
        </row>
        <row r="5686">
          <cell r="C5686" t="str">
            <v xml:space="preserve">    VOLIGEL-MAX        BXM</v>
          </cell>
          <cell r="D5686">
            <v>52502</v>
          </cell>
          <cell r="E5686">
            <v>26668</v>
          </cell>
        </row>
        <row r="5687">
          <cell r="C5687" t="str">
            <v xml:space="preserve">    VOLIFEN            OPI</v>
          </cell>
          <cell r="D5687">
            <v>24677</v>
          </cell>
          <cell r="E5687">
            <v>15604</v>
          </cell>
        </row>
        <row r="5688">
          <cell r="C5688" t="str">
            <v xml:space="preserve">    VOLINAC-MAX        SQA</v>
          </cell>
          <cell r="D5688">
            <v>24463</v>
          </cell>
          <cell r="E5688">
            <v>0</v>
          </cell>
        </row>
        <row r="5689">
          <cell r="C5689" t="str">
            <v xml:space="preserve">    CLOFENAC           SQA</v>
          </cell>
          <cell r="D5689">
            <v>17520</v>
          </cell>
          <cell r="E5689">
            <v>18206</v>
          </cell>
        </row>
        <row r="5690">
          <cell r="C5690" t="str">
            <v xml:space="preserve">    DICLOGEL           IAP</v>
          </cell>
          <cell r="D5690">
            <v>10018</v>
          </cell>
          <cell r="E5690">
            <v>9506</v>
          </cell>
        </row>
        <row r="5691">
          <cell r="C5691" t="str">
            <v xml:space="preserve">    VOLTAGEL           ESF</v>
          </cell>
          <cell r="D5691">
            <v>9474</v>
          </cell>
          <cell r="E5691">
            <v>21822</v>
          </cell>
        </row>
        <row r="5692">
          <cell r="C5692" t="str">
            <v xml:space="preserve">    VOLTAGEL-DS        ESF</v>
          </cell>
          <cell r="D5692">
            <v>2620</v>
          </cell>
          <cell r="E5692">
            <v>56</v>
          </cell>
        </row>
        <row r="5693">
          <cell r="C5693" t="str">
            <v xml:space="preserve">    VOLICOOL           IBN</v>
          </cell>
          <cell r="D5693">
            <v>1164</v>
          </cell>
          <cell r="E5693">
            <v>629</v>
          </cell>
        </row>
        <row r="5694">
          <cell r="C5694" t="str">
            <v xml:space="preserve">    DICLOFEN           OPI</v>
          </cell>
          <cell r="D5694">
            <v>668</v>
          </cell>
          <cell r="E5694">
            <v>864</v>
          </cell>
        </row>
        <row r="5695">
          <cell r="C5695" t="str">
            <v xml:space="preserve">    FASTFIT            GNR</v>
          </cell>
          <cell r="D5695">
            <v>642</v>
          </cell>
          <cell r="E5695">
            <v>328</v>
          </cell>
        </row>
        <row r="5696">
          <cell r="C5696" t="str">
            <v xml:space="preserve">    ERDON              ATP</v>
          </cell>
          <cell r="D5696">
            <v>90</v>
          </cell>
          <cell r="E5696">
            <v>83</v>
          </cell>
        </row>
        <row r="5697">
          <cell r="C5697" t="str">
            <v xml:space="preserve">    A-FENAC            ACM</v>
          </cell>
          <cell r="D5697">
            <v>31</v>
          </cell>
          <cell r="E5697">
            <v>98</v>
          </cell>
        </row>
        <row r="5698">
          <cell r="C5698" t="str">
            <v xml:space="preserve">    ANODYNE            IBN</v>
          </cell>
          <cell r="D5698">
            <v>2</v>
          </cell>
          <cell r="E5698">
            <v>33</v>
          </cell>
        </row>
        <row r="5699">
          <cell r="C5699" t="str">
            <v xml:space="preserve">    EMOV               EDR</v>
          </cell>
          <cell r="D5699">
            <v>0</v>
          </cell>
          <cell r="E5699">
            <v>0</v>
          </cell>
        </row>
        <row r="5700">
          <cell r="C5700" t="str">
            <v xml:space="preserve">    MOOV               P6Y</v>
          </cell>
          <cell r="D5700">
            <v>0</v>
          </cell>
          <cell r="E5700">
            <v>3</v>
          </cell>
        </row>
        <row r="5701">
          <cell r="C5701" t="str">
            <v xml:space="preserve">    VOLTAREN           NVR</v>
          </cell>
          <cell r="D5701">
            <v>0</v>
          </cell>
          <cell r="E5701">
            <v>37</v>
          </cell>
        </row>
        <row r="5702">
          <cell r="C5702" t="str">
            <v xml:space="preserve">    NEOFENAC           AD0</v>
          </cell>
          <cell r="D5702">
            <v>0</v>
          </cell>
          <cell r="E5702">
            <v>0</v>
          </cell>
        </row>
        <row r="5703">
          <cell r="C5703" t="str">
            <v xml:space="preserve">    MOOV               A-H</v>
          </cell>
          <cell r="D5703">
            <v>0</v>
          </cell>
          <cell r="E5703">
            <v>12</v>
          </cell>
        </row>
        <row r="5704">
          <cell r="C5704" t="str">
            <v xml:space="preserve">   MUCOPOLYSACCHARIDASES+SALICYLIC ACID</v>
          </cell>
          <cell r="D5704">
            <v>48455</v>
          </cell>
          <cell r="E5704">
            <v>45847</v>
          </cell>
        </row>
        <row r="5705">
          <cell r="C5705" t="str">
            <v xml:space="preserve">    BOLT GEL           IAP</v>
          </cell>
          <cell r="D5705">
            <v>48455</v>
          </cell>
          <cell r="E5705">
            <v>45847</v>
          </cell>
        </row>
        <row r="5706">
          <cell r="C5706" t="str">
            <v xml:space="preserve">   MENTHOL+SALICYLIC ACID</v>
          </cell>
          <cell r="D5706">
            <v>43719</v>
          </cell>
          <cell r="E5706">
            <v>43199</v>
          </cell>
        </row>
        <row r="5707">
          <cell r="C5707" t="str">
            <v xml:space="preserve">    ICYKOOL            BXM</v>
          </cell>
          <cell r="D5707">
            <v>33103</v>
          </cell>
          <cell r="E5707">
            <v>29923</v>
          </cell>
        </row>
        <row r="5708">
          <cell r="C5708" t="str">
            <v xml:space="preserve">    FLEXIMOOV          HT3</v>
          </cell>
          <cell r="D5708">
            <v>5202</v>
          </cell>
          <cell r="E5708">
            <v>4060</v>
          </cell>
        </row>
        <row r="5709">
          <cell r="C5709" t="str">
            <v xml:space="preserve">    VISCON             A-I</v>
          </cell>
          <cell r="D5709">
            <v>2213</v>
          </cell>
          <cell r="E5709">
            <v>1984</v>
          </cell>
        </row>
        <row r="5710">
          <cell r="C5710" t="str">
            <v xml:space="preserve">    PENRIF             SQA</v>
          </cell>
          <cell r="D5710">
            <v>1485</v>
          </cell>
          <cell r="E5710">
            <v>5126</v>
          </cell>
        </row>
        <row r="5711">
          <cell r="C5711" t="str">
            <v xml:space="preserve">    DEEP HEAT          P-S</v>
          </cell>
          <cell r="D5711">
            <v>973</v>
          </cell>
          <cell r="E5711">
            <v>1231</v>
          </cell>
        </row>
        <row r="5712">
          <cell r="C5712" t="str">
            <v xml:space="preserve">    BANGAY             SH0</v>
          </cell>
          <cell r="D5712">
            <v>251</v>
          </cell>
          <cell r="E5712">
            <v>31</v>
          </cell>
        </row>
        <row r="5713">
          <cell r="C5713" t="str">
            <v xml:space="preserve">    FASTCUT            PAC</v>
          </cell>
          <cell r="D5713">
            <v>232</v>
          </cell>
          <cell r="E5713">
            <v>465</v>
          </cell>
        </row>
        <row r="5714">
          <cell r="C5714" t="str">
            <v xml:space="preserve">    KOOLMINT 30        OPI</v>
          </cell>
          <cell r="D5714">
            <v>131</v>
          </cell>
          <cell r="E5714">
            <v>163</v>
          </cell>
        </row>
        <row r="5715">
          <cell r="C5715" t="str">
            <v xml:space="preserve">    KOOLMINT 15        OPI</v>
          </cell>
          <cell r="D5715">
            <v>126</v>
          </cell>
          <cell r="E5715">
            <v>166</v>
          </cell>
        </row>
        <row r="5716">
          <cell r="C5716" t="str">
            <v xml:space="preserve">    XENTHOL            ESF</v>
          </cell>
          <cell r="D5716">
            <v>4</v>
          </cell>
          <cell r="E5716">
            <v>52</v>
          </cell>
        </row>
        <row r="5717">
          <cell r="C5717" t="str">
            <v xml:space="preserve">    P-COOL             A.P</v>
          </cell>
          <cell r="D5717">
            <v>0</v>
          </cell>
          <cell r="E5717">
            <v>0</v>
          </cell>
        </row>
        <row r="5718">
          <cell r="C5718" t="str">
            <v xml:space="preserve">   KETOPROFEN</v>
          </cell>
          <cell r="D5718">
            <v>21342</v>
          </cell>
          <cell r="E5718">
            <v>27885</v>
          </cell>
        </row>
        <row r="5719">
          <cell r="C5719" t="str">
            <v xml:space="preserve">    PROFENID           S.Y</v>
          </cell>
          <cell r="D5719">
            <v>13199</v>
          </cell>
          <cell r="E5719">
            <v>15240</v>
          </cell>
        </row>
        <row r="5720">
          <cell r="C5720" t="str">
            <v xml:space="preserve">    FESTAM             PAC</v>
          </cell>
          <cell r="D5720">
            <v>8103</v>
          </cell>
          <cell r="E5720">
            <v>12386</v>
          </cell>
        </row>
        <row r="5721">
          <cell r="C5721" t="str">
            <v xml:space="preserve">    KOP                SQA</v>
          </cell>
          <cell r="D5721">
            <v>40</v>
          </cell>
          <cell r="E5721">
            <v>259</v>
          </cell>
        </row>
        <row r="5722">
          <cell r="C5722" t="str">
            <v xml:space="preserve">    FASTUM             MEN</v>
          </cell>
          <cell r="D5722">
            <v>0</v>
          </cell>
          <cell r="E5722">
            <v>0</v>
          </cell>
        </row>
        <row r="5723">
          <cell r="C5723" t="str">
            <v xml:space="preserve">   CAMPHOR+MENTHOL+SALICYLIC ACID</v>
          </cell>
          <cell r="D5723">
            <v>17932</v>
          </cell>
          <cell r="E5723">
            <v>16753</v>
          </cell>
        </row>
        <row r="5724">
          <cell r="C5724" t="str">
            <v xml:space="preserve">    CHAMPION           D-I</v>
          </cell>
          <cell r="D5724">
            <v>8163</v>
          </cell>
          <cell r="E5724">
            <v>7524</v>
          </cell>
        </row>
        <row r="5725">
          <cell r="C5725" t="str">
            <v xml:space="preserve">    MOOVERIX           IAP</v>
          </cell>
          <cell r="D5725">
            <v>7088</v>
          </cell>
          <cell r="E5725">
            <v>6656</v>
          </cell>
        </row>
        <row r="5726">
          <cell r="C5726" t="str">
            <v xml:space="preserve">    BANGAY ULTRA       SH0</v>
          </cell>
          <cell r="D5726">
            <v>2680</v>
          </cell>
          <cell r="E5726">
            <v>2573</v>
          </cell>
        </row>
        <row r="5727">
          <cell r="C5727" t="str">
            <v xml:space="preserve">   GLYCOSAMINOGLYCAN POLYSULFATE(S)+SALICYLIC ACID</v>
          </cell>
          <cell r="D5727">
            <v>8240</v>
          </cell>
          <cell r="E5727">
            <v>7175</v>
          </cell>
        </row>
        <row r="5728">
          <cell r="C5728" t="str">
            <v xml:space="preserve">    MOVENTA            ZIS</v>
          </cell>
          <cell r="D5728">
            <v>8240</v>
          </cell>
          <cell r="E5728">
            <v>7175</v>
          </cell>
        </row>
        <row r="5729">
          <cell r="C5729" t="str">
            <v xml:space="preserve">   NAPROXEN</v>
          </cell>
          <cell r="D5729">
            <v>7041</v>
          </cell>
          <cell r="E5729">
            <v>10773</v>
          </cell>
        </row>
        <row r="5730">
          <cell r="C5730" t="str">
            <v xml:space="preserve">    ANAFLEX            A-I</v>
          </cell>
          <cell r="D5730">
            <v>5175</v>
          </cell>
          <cell r="E5730">
            <v>6124</v>
          </cell>
        </row>
        <row r="5731">
          <cell r="C5731" t="str">
            <v xml:space="preserve">    NAPRYN             HT3</v>
          </cell>
          <cell r="D5731">
            <v>1103</v>
          </cell>
          <cell r="E5731">
            <v>2108</v>
          </cell>
        </row>
        <row r="5732">
          <cell r="C5732" t="str">
            <v xml:space="preserve">    DIPROXEN           D-I</v>
          </cell>
          <cell r="D5732">
            <v>432</v>
          </cell>
          <cell r="E5732">
            <v>645</v>
          </cell>
        </row>
        <row r="5733">
          <cell r="C5733" t="str">
            <v xml:space="preserve">    NAPROX             ESF</v>
          </cell>
          <cell r="D5733">
            <v>296</v>
          </cell>
          <cell r="E5733">
            <v>1420</v>
          </cell>
        </row>
        <row r="5734">
          <cell r="C5734" t="str">
            <v xml:space="preserve">    SONAP              SQA</v>
          </cell>
          <cell r="D5734">
            <v>35</v>
          </cell>
          <cell r="E5734">
            <v>475</v>
          </cell>
        </row>
        <row r="5735">
          <cell r="C5735" t="str">
            <v xml:space="preserve">    TICOFLEX           IAP</v>
          </cell>
          <cell r="D5735">
            <v>0</v>
          </cell>
          <cell r="E5735">
            <v>0</v>
          </cell>
        </row>
        <row r="5736">
          <cell r="C5736" t="str">
            <v xml:space="preserve">   CAMPHOR+EUCALYPTUS GLOBULUS+MENTHA PIPERITA+MENTHOL</v>
          </cell>
          <cell r="D5736">
            <v>6550</v>
          </cell>
          <cell r="E5736">
            <v>5884</v>
          </cell>
        </row>
        <row r="5737">
          <cell r="C5737" t="str">
            <v xml:space="preserve">    RELI BALM          SQA</v>
          </cell>
          <cell r="D5737">
            <v>6550</v>
          </cell>
          <cell r="E5737">
            <v>5884</v>
          </cell>
        </row>
        <row r="5738">
          <cell r="C5738" t="str">
            <v xml:space="preserve">   CAMPHOR+CAPSICUM OLEORESIN+MENTHOL+SALICYLIC ACID</v>
          </cell>
          <cell r="D5738">
            <v>2765</v>
          </cell>
          <cell r="E5738">
            <v>3602</v>
          </cell>
        </row>
        <row r="5739">
          <cell r="C5739" t="str">
            <v xml:space="preserve">    TOREL              SQA</v>
          </cell>
          <cell r="D5739">
            <v>2765</v>
          </cell>
          <cell r="E5739">
            <v>3602</v>
          </cell>
        </row>
        <row r="5740">
          <cell r="C5740" t="str">
            <v xml:space="preserve">   SALICYLIC ACID</v>
          </cell>
          <cell r="D5740">
            <v>2556</v>
          </cell>
          <cell r="E5740">
            <v>210</v>
          </cell>
        </row>
        <row r="5741">
          <cell r="C5741" t="str">
            <v xml:space="preserve">    AGONIL             N8V</v>
          </cell>
          <cell r="D5741">
            <v>2556</v>
          </cell>
          <cell r="E5741">
            <v>210</v>
          </cell>
        </row>
        <row r="5742">
          <cell r="C5742" t="str">
            <v xml:space="preserve">   IBUPROFEN</v>
          </cell>
          <cell r="D5742">
            <v>2141</v>
          </cell>
          <cell r="E5742">
            <v>2837</v>
          </cell>
        </row>
        <row r="5743">
          <cell r="C5743" t="str">
            <v xml:space="preserve">    FLAMEX             A-I</v>
          </cell>
          <cell r="D5743">
            <v>2141</v>
          </cell>
          <cell r="E5743">
            <v>2837</v>
          </cell>
        </row>
        <row r="5744">
          <cell r="C5744" t="str">
            <v xml:space="preserve">   CAMPHOR+MENTHA PIPERITA+SALICYLIC ACID</v>
          </cell>
          <cell r="D5744">
            <v>777</v>
          </cell>
          <cell r="E5744">
            <v>1120</v>
          </cell>
        </row>
        <row r="5745">
          <cell r="C5745" t="str">
            <v xml:space="preserve">    CAMPHOR PLUS       NJP</v>
          </cell>
          <cell r="D5745">
            <v>777</v>
          </cell>
          <cell r="E5745">
            <v>1120</v>
          </cell>
        </row>
        <row r="5746">
          <cell r="C5746" t="str">
            <v xml:space="preserve">   CHONDROITINSULFURIC ACID+GLUCOSAMINE</v>
          </cell>
          <cell r="D5746">
            <v>163</v>
          </cell>
          <cell r="E5746">
            <v>537</v>
          </cell>
        </row>
        <row r="5747">
          <cell r="C5747" t="str">
            <v xml:space="preserve">    GLUSTIN-PLUS       GNR</v>
          </cell>
          <cell r="D5747">
            <v>163</v>
          </cell>
          <cell r="E5747">
            <v>537</v>
          </cell>
        </row>
        <row r="5748">
          <cell r="C5748" t="str">
            <v xml:space="preserve">   CAPSAICIN</v>
          </cell>
          <cell r="D5748">
            <v>1</v>
          </cell>
          <cell r="E5748">
            <v>0</v>
          </cell>
        </row>
        <row r="5749">
          <cell r="C5749" t="str">
            <v xml:space="preserve">    OSTOCIN            GNR</v>
          </cell>
          <cell r="D5749">
            <v>1</v>
          </cell>
          <cell r="E5749">
            <v>0</v>
          </cell>
        </row>
        <row r="5750">
          <cell r="C5750" t="str">
            <v xml:space="preserve">    TOPICACIN          IAP</v>
          </cell>
          <cell r="D5750">
            <v>0</v>
          </cell>
          <cell r="E5750">
            <v>0</v>
          </cell>
        </row>
        <row r="5751">
          <cell r="C5751" t="str">
            <v xml:space="preserve"> ACE INHIBITORS PLAIN</v>
          </cell>
          <cell r="D5751">
            <v>476467</v>
          </cell>
          <cell r="E5751">
            <v>468632</v>
          </cell>
        </row>
        <row r="5752">
          <cell r="C5752" t="str">
            <v xml:space="preserve">  ACE INHIBITORS PLAIN</v>
          </cell>
          <cell r="D5752">
            <v>476467</v>
          </cell>
          <cell r="E5752">
            <v>468632</v>
          </cell>
        </row>
        <row r="5753">
          <cell r="C5753" t="str">
            <v xml:space="preserve">   RAMIPRIL</v>
          </cell>
          <cell r="D5753">
            <v>373675</v>
          </cell>
          <cell r="E5753">
            <v>344035</v>
          </cell>
        </row>
        <row r="5754">
          <cell r="C5754" t="str">
            <v xml:space="preserve">    RAMORIL            IAP</v>
          </cell>
          <cell r="D5754">
            <v>200159</v>
          </cell>
          <cell r="E5754">
            <v>175174</v>
          </cell>
        </row>
        <row r="5755">
          <cell r="C5755" t="str">
            <v xml:space="preserve">    RAMACE             OPI</v>
          </cell>
          <cell r="D5755">
            <v>52846</v>
          </cell>
          <cell r="E5755">
            <v>50200</v>
          </cell>
        </row>
        <row r="5756">
          <cell r="C5756" t="str">
            <v xml:space="preserve">    RAMIL              PPH</v>
          </cell>
          <cell r="D5756">
            <v>40784</v>
          </cell>
          <cell r="E5756">
            <v>39646</v>
          </cell>
        </row>
        <row r="5757">
          <cell r="C5757" t="str">
            <v xml:space="preserve">    ACECARD            HT3</v>
          </cell>
          <cell r="D5757">
            <v>27787</v>
          </cell>
          <cell r="E5757">
            <v>24747</v>
          </cell>
        </row>
        <row r="5758">
          <cell r="C5758" t="str">
            <v xml:space="preserve">    RAMICARD           D-I</v>
          </cell>
          <cell r="D5758">
            <v>23552</v>
          </cell>
          <cell r="E5758">
            <v>26182</v>
          </cell>
        </row>
        <row r="5759">
          <cell r="C5759" t="str">
            <v xml:space="preserve">    RIPRIL             SQA</v>
          </cell>
          <cell r="D5759">
            <v>22376</v>
          </cell>
          <cell r="E5759">
            <v>16771</v>
          </cell>
        </row>
        <row r="5760">
          <cell r="C5760" t="str">
            <v xml:space="preserve">    TRITACE            S.Y</v>
          </cell>
          <cell r="D5760">
            <v>4421</v>
          </cell>
          <cell r="E5760">
            <v>7247</v>
          </cell>
        </row>
        <row r="5761">
          <cell r="C5761" t="str">
            <v xml:space="preserve">    R-PIL              BP&amp;</v>
          </cell>
          <cell r="D5761">
            <v>1011</v>
          </cell>
          <cell r="E5761">
            <v>1521</v>
          </cell>
        </row>
        <row r="5762">
          <cell r="C5762" t="str">
            <v xml:space="preserve">    RAMIPRO            GNR</v>
          </cell>
          <cell r="D5762">
            <v>665</v>
          </cell>
          <cell r="E5762">
            <v>2501</v>
          </cell>
        </row>
        <row r="5763">
          <cell r="C5763" t="str">
            <v xml:space="preserve">    PRIMACE            BXM</v>
          </cell>
          <cell r="D5763">
            <v>46</v>
          </cell>
          <cell r="E5763">
            <v>0</v>
          </cell>
        </row>
        <row r="5764">
          <cell r="C5764" t="str">
            <v xml:space="preserve">    PROTACE            UNH</v>
          </cell>
          <cell r="D5764">
            <v>29</v>
          </cell>
          <cell r="E5764">
            <v>46</v>
          </cell>
        </row>
        <row r="5765">
          <cell r="C5765" t="str">
            <v xml:space="preserve">    MYPRIL             ESF</v>
          </cell>
          <cell r="D5765">
            <v>0</v>
          </cell>
          <cell r="E5765">
            <v>0</v>
          </cell>
        </row>
        <row r="5766">
          <cell r="C5766" t="str">
            <v xml:space="preserve">    PRICARD            WTH</v>
          </cell>
          <cell r="D5766">
            <v>0</v>
          </cell>
          <cell r="E5766">
            <v>0</v>
          </cell>
        </row>
        <row r="5767">
          <cell r="C5767" t="str">
            <v xml:space="preserve">    RACARD             PAC</v>
          </cell>
          <cell r="D5767">
            <v>0</v>
          </cell>
          <cell r="E5767">
            <v>0</v>
          </cell>
        </row>
        <row r="5768">
          <cell r="C5768" t="str">
            <v xml:space="preserve">    RAMILOK            ATP</v>
          </cell>
          <cell r="D5768">
            <v>0</v>
          </cell>
          <cell r="E5768">
            <v>0</v>
          </cell>
        </row>
        <row r="5769">
          <cell r="C5769" t="str">
            <v xml:space="preserve">    UNIPRIL            ACM</v>
          </cell>
          <cell r="D5769">
            <v>0</v>
          </cell>
          <cell r="E5769">
            <v>0</v>
          </cell>
        </row>
        <row r="5770">
          <cell r="C5770" t="str">
            <v xml:space="preserve">    CARTACE            AD0</v>
          </cell>
          <cell r="D5770">
            <v>0</v>
          </cell>
          <cell r="E5770">
            <v>0</v>
          </cell>
        </row>
        <row r="5771">
          <cell r="C5771" t="str">
            <v xml:space="preserve">    ACERIL             IBN</v>
          </cell>
          <cell r="D5771">
            <v>0</v>
          </cell>
          <cell r="E5771">
            <v>0</v>
          </cell>
        </row>
        <row r="5772">
          <cell r="C5772" t="str">
            <v xml:space="preserve">   PERINDOPRIL</v>
          </cell>
          <cell r="D5772">
            <v>83912</v>
          </cell>
          <cell r="E5772">
            <v>106770</v>
          </cell>
        </row>
        <row r="5773">
          <cell r="C5773" t="str">
            <v xml:space="preserve">    COVERSYL           SVR</v>
          </cell>
          <cell r="D5773">
            <v>74065</v>
          </cell>
          <cell r="E5773">
            <v>101656</v>
          </cell>
        </row>
        <row r="5774">
          <cell r="C5774" t="str">
            <v xml:space="preserve">    PENDORIL           RTA</v>
          </cell>
          <cell r="D5774">
            <v>9847</v>
          </cell>
          <cell r="E5774">
            <v>5114</v>
          </cell>
        </row>
        <row r="5775">
          <cell r="C5775" t="str">
            <v xml:space="preserve">    VERSIL             ACM</v>
          </cell>
          <cell r="D5775">
            <v>0</v>
          </cell>
          <cell r="E5775">
            <v>0</v>
          </cell>
        </row>
        <row r="5776">
          <cell r="C5776" t="str">
            <v xml:space="preserve">   LISINOPRIL</v>
          </cell>
          <cell r="D5776">
            <v>13002</v>
          </cell>
          <cell r="E5776">
            <v>11346</v>
          </cell>
        </row>
        <row r="5777">
          <cell r="C5777" t="str">
            <v xml:space="preserve">    ACEPRIL            D-I</v>
          </cell>
          <cell r="D5777">
            <v>12866</v>
          </cell>
          <cell r="E5777">
            <v>11297</v>
          </cell>
        </row>
        <row r="5778">
          <cell r="C5778" t="str">
            <v xml:space="preserve">    LIPRIL             ACM</v>
          </cell>
          <cell r="D5778">
            <v>125</v>
          </cell>
          <cell r="E5778">
            <v>48</v>
          </cell>
        </row>
        <row r="5779">
          <cell r="C5779" t="str">
            <v xml:space="preserve">    ECOPRIL            GBE</v>
          </cell>
          <cell r="D5779">
            <v>11</v>
          </cell>
          <cell r="E5779">
            <v>0</v>
          </cell>
        </row>
        <row r="5780">
          <cell r="C5780" t="str">
            <v xml:space="preserve">    LINORIL            RPH</v>
          </cell>
          <cell r="D5780">
            <v>0</v>
          </cell>
          <cell r="E5780">
            <v>0</v>
          </cell>
        </row>
        <row r="5781">
          <cell r="C5781" t="str">
            <v xml:space="preserve">   ENALAPRIL</v>
          </cell>
          <cell r="D5781">
            <v>5295</v>
          </cell>
          <cell r="E5781">
            <v>5331</v>
          </cell>
        </row>
        <row r="5782">
          <cell r="C5782" t="str">
            <v xml:space="preserve">    ANAPRIL            ESF</v>
          </cell>
          <cell r="D5782">
            <v>3135</v>
          </cell>
          <cell r="E5782">
            <v>2137</v>
          </cell>
        </row>
        <row r="5783">
          <cell r="C5783" t="str">
            <v xml:space="preserve">    ENARIL             BXM</v>
          </cell>
          <cell r="D5783">
            <v>1990</v>
          </cell>
          <cell r="E5783">
            <v>2850</v>
          </cell>
        </row>
        <row r="5784">
          <cell r="C5784" t="str">
            <v xml:space="preserve">    ACEPRIL            D-I</v>
          </cell>
          <cell r="D5784">
            <v>148</v>
          </cell>
          <cell r="E5784">
            <v>344</v>
          </cell>
        </row>
        <row r="5785">
          <cell r="C5785" t="str">
            <v xml:space="preserve">    VASOPRIL           SQA</v>
          </cell>
          <cell r="D5785">
            <v>22</v>
          </cell>
          <cell r="E5785">
            <v>0</v>
          </cell>
        </row>
        <row r="5786">
          <cell r="C5786" t="str">
            <v xml:space="preserve">    MINIPRIL           RTA</v>
          </cell>
          <cell r="D5786">
            <v>0</v>
          </cell>
          <cell r="E5786">
            <v>0</v>
          </cell>
        </row>
        <row r="5787">
          <cell r="C5787" t="str">
            <v xml:space="preserve">   CAPTOPRIL</v>
          </cell>
          <cell r="D5787">
            <v>583</v>
          </cell>
          <cell r="E5787">
            <v>1150</v>
          </cell>
        </row>
        <row r="5788">
          <cell r="C5788" t="str">
            <v xml:space="preserve">    ACETOR             D-I</v>
          </cell>
          <cell r="D5788">
            <v>583</v>
          </cell>
          <cell r="E5788">
            <v>928</v>
          </cell>
        </row>
        <row r="5789">
          <cell r="C5789" t="str">
            <v xml:space="preserve">    CARDOPRIL          BXM</v>
          </cell>
          <cell r="D5789">
            <v>0</v>
          </cell>
          <cell r="E5789">
            <v>222</v>
          </cell>
        </row>
        <row r="5790">
          <cell r="C5790" t="str">
            <v xml:space="preserve">    TOPRIL             JAY</v>
          </cell>
          <cell r="D5790">
            <v>0</v>
          </cell>
          <cell r="E5790">
            <v>0</v>
          </cell>
        </row>
        <row r="5791">
          <cell r="C5791" t="str">
            <v xml:space="preserve"> VIRAL VACCINES</v>
          </cell>
          <cell r="D5791">
            <v>455157</v>
          </cell>
          <cell r="E5791">
            <v>429250</v>
          </cell>
        </row>
        <row r="5792">
          <cell r="C5792" t="str">
            <v xml:space="preserve">  ALL OTHER VIRAL VACCINES</v>
          </cell>
          <cell r="D5792">
            <v>273457</v>
          </cell>
          <cell r="E5792">
            <v>274970</v>
          </cell>
        </row>
        <row r="5793">
          <cell r="C5793" t="str">
            <v xml:space="preserve">   VACCINE, RABIES</v>
          </cell>
          <cell r="D5793">
            <v>273457</v>
          </cell>
          <cell r="E5793">
            <v>274970</v>
          </cell>
        </row>
        <row r="5794">
          <cell r="C5794" t="str">
            <v xml:space="preserve">    RABIX-VC           IAP</v>
          </cell>
          <cell r="D5794">
            <v>222368</v>
          </cell>
          <cell r="E5794">
            <v>218352</v>
          </cell>
        </row>
        <row r="5795">
          <cell r="C5795" t="str">
            <v xml:space="preserve">    RABIVAX            PPH</v>
          </cell>
          <cell r="D5795">
            <v>51073</v>
          </cell>
          <cell r="E5795">
            <v>56618</v>
          </cell>
        </row>
        <row r="5796">
          <cell r="C5796" t="str">
            <v xml:space="preserve">    RABIPUR            GSK</v>
          </cell>
          <cell r="D5796">
            <v>16</v>
          </cell>
          <cell r="E5796">
            <v>0</v>
          </cell>
        </row>
        <row r="5797">
          <cell r="C5797" t="str">
            <v xml:space="preserve">    VERORAB            S.Y</v>
          </cell>
          <cell r="D5797">
            <v>0</v>
          </cell>
          <cell r="E5797">
            <v>0</v>
          </cell>
        </row>
        <row r="5798">
          <cell r="C5798" t="str">
            <v xml:space="preserve">  HEPATITIS VACCINES</v>
          </cell>
          <cell r="D5798">
            <v>92416</v>
          </cell>
          <cell r="E5798">
            <v>91947</v>
          </cell>
        </row>
        <row r="5799">
          <cell r="C5799" t="str">
            <v xml:space="preserve">   VACCINE, HEPATITIS B</v>
          </cell>
          <cell r="D5799">
            <v>91297</v>
          </cell>
          <cell r="E5799">
            <v>77321</v>
          </cell>
        </row>
        <row r="5800">
          <cell r="C5800" t="str">
            <v xml:space="preserve">    HEPA-B             IAP</v>
          </cell>
          <cell r="D5800">
            <v>91297</v>
          </cell>
          <cell r="E5800">
            <v>77321</v>
          </cell>
        </row>
        <row r="5801">
          <cell r="C5801" t="str">
            <v xml:space="preserve">   VACCINE, HEPATITIS B SURFACE ANTIGEN</v>
          </cell>
          <cell r="D5801">
            <v>1087</v>
          </cell>
          <cell r="E5801">
            <v>14388</v>
          </cell>
        </row>
        <row r="5802">
          <cell r="C5802" t="str">
            <v xml:space="preserve">    HEPAVAX-B          PPH</v>
          </cell>
          <cell r="D5802">
            <v>1087</v>
          </cell>
          <cell r="E5802">
            <v>14388</v>
          </cell>
        </row>
        <row r="5803">
          <cell r="C5803" t="str">
            <v xml:space="preserve">    HEPAVAX GENE       KGC</v>
          </cell>
          <cell r="D5803">
            <v>0</v>
          </cell>
          <cell r="E5803">
            <v>0</v>
          </cell>
        </row>
        <row r="5804">
          <cell r="C5804" t="str">
            <v xml:space="preserve">   VACCINE, HEP.A INACTIV. VIRUS</v>
          </cell>
          <cell r="D5804">
            <v>32</v>
          </cell>
          <cell r="E5804">
            <v>238</v>
          </cell>
        </row>
        <row r="5805">
          <cell r="C5805" t="str">
            <v xml:space="preserve">    PREVAHAV           IAP</v>
          </cell>
          <cell r="D5805">
            <v>32</v>
          </cell>
          <cell r="E5805">
            <v>238</v>
          </cell>
        </row>
        <row r="5806">
          <cell r="C5806" t="str">
            <v xml:space="preserve">  INFLUENZA VACCINES</v>
          </cell>
          <cell r="D5806">
            <v>66793</v>
          </cell>
          <cell r="E5806">
            <v>53694</v>
          </cell>
        </row>
        <row r="5807">
          <cell r="C5807" t="str">
            <v xml:space="preserve">   VACCINE, INFLUENZA</v>
          </cell>
          <cell r="D5807">
            <v>66793</v>
          </cell>
          <cell r="E5807">
            <v>53694</v>
          </cell>
        </row>
        <row r="5808">
          <cell r="C5808" t="str">
            <v xml:space="preserve">    INFLUVAX           IAP</v>
          </cell>
          <cell r="D5808">
            <v>63939</v>
          </cell>
          <cell r="E5808">
            <v>49014</v>
          </cell>
        </row>
        <row r="5809">
          <cell r="C5809" t="str">
            <v xml:space="preserve">    VAXIGRIP           S.Y</v>
          </cell>
          <cell r="D5809">
            <v>2854</v>
          </cell>
          <cell r="E5809">
            <v>4680</v>
          </cell>
        </row>
        <row r="5810">
          <cell r="C5810" t="str">
            <v xml:space="preserve">  HPV VACCINES</v>
          </cell>
          <cell r="D5810">
            <v>21796</v>
          </cell>
          <cell r="E5810">
            <v>4013</v>
          </cell>
        </row>
        <row r="5811">
          <cell r="C5811" t="str">
            <v xml:space="preserve">   VACCINE, HUMAN PAPILLOMAVIRUS (HPV) TYPE-16 &amp; 18</v>
          </cell>
          <cell r="D5811">
            <v>21796</v>
          </cell>
          <cell r="E5811">
            <v>4013</v>
          </cell>
        </row>
        <row r="5812">
          <cell r="C5812" t="str">
            <v xml:space="preserve">    PAPILOVAX          IAP</v>
          </cell>
          <cell r="D5812">
            <v>18843</v>
          </cell>
          <cell r="E5812">
            <v>4013</v>
          </cell>
        </row>
        <row r="5813">
          <cell r="C5813" t="str">
            <v xml:space="preserve">    HPVAX              PPH</v>
          </cell>
          <cell r="D5813">
            <v>2952</v>
          </cell>
          <cell r="E5813">
            <v>0</v>
          </cell>
        </row>
        <row r="5814">
          <cell r="C5814" t="str">
            <v xml:space="preserve">  VARICELLA VACCINES</v>
          </cell>
          <cell r="D5814">
            <v>695</v>
          </cell>
          <cell r="E5814">
            <v>4626</v>
          </cell>
        </row>
        <row r="5815">
          <cell r="C5815" t="str">
            <v xml:space="preserve">   VACCINE, VARICELLA ZOSTER</v>
          </cell>
          <cell r="D5815">
            <v>695</v>
          </cell>
          <cell r="E5815">
            <v>4626</v>
          </cell>
        </row>
        <row r="5816">
          <cell r="C5816" t="str">
            <v xml:space="preserve">    VARIZOST           IAP</v>
          </cell>
          <cell r="D5816">
            <v>695</v>
          </cell>
          <cell r="E5816">
            <v>4626</v>
          </cell>
        </row>
        <row r="5817">
          <cell r="C5817" t="str">
            <v xml:space="preserve">    VARILRIX           GSK</v>
          </cell>
          <cell r="D5817">
            <v>0</v>
          </cell>
          <cell r="E5817">
            <v>0</v>
          </cell>
        </row>
        <row r="5818">
          <cell r="C5818" t="str">
            <v xml:space="preserve"> TOPICAL ANTI-ACNE PREPS</v>
          </cell>
          <cell r="D5818">
            <v>396143</v>
          </cell>
          <cell r="E5818">
            <v>374579</v>
          </cell>
        </row>
        <row r="5819">
          <cell r="C5819" t="str">
            <v xml:space="preserve">  TOPICAL ANTI-ACNE PREPS</v>
          </cell>
          <cell r="D5819">
            <v>396143</v>
          </cell>
          <cell r="E5819">
            <v>374579</v>
          </cell>
        </row>
        <row r="5820">
          <cell r="C5820" t="str">
            <v xml:space="preserve">   CLINDAMYCIN+TRETINOIN</v>
          </cell>
          <cell r="D5820">
            <v>83394</v>
          </cell>
          <cell r="E5820">
            <v>82309</v>
          </cell>
        </row>
        <row r="5821">
          <cell r="C5821" t="str">
            <v xml:space="preserve">    CLINFACE           SQA</v>
          </cell>
          <cell r="D5821">
            <v>36630</v>
          </cell>
          <cell r="E5821">
            <v>42650</v>
          </cell>
        </row>
        <row r="5822">
          <cell r="C5822" t="str">
            <v xml:space="preserve">    CLINDACIN-PLUS     IAP</v>
          </cell>
          <cell r="D5822">
            <v>28176</v>
          </cell>
          <cell r="E5822">
            <v>20741</v>
          </cell>
        </row>
        <row r="5823">
          <cell r="C5823" t="str">
            <v xml:space="preserve">    CLINDAX-PLUS       OPI</v>
          </cell>
          <cell r="D5823">
            <v>9094</v>
          </cell>
          <cell r="E5823">
            <v>8066</v>
          </cell>
        </row>
        <row r="5824">
          <cell r="C5824" t="str">
            <v xml:space="preserve">    CLINEX-PLUS        ATP</v>
          </cell>
          <cell r="D5824">
            <v>7486</v>
          </cell>
          <cell r="E5824">
            <v>8135</v>
          </cell>
        </row>
        <row r="5825">
          <cell r="C5825" t="str">
            <v xml:space="preserve">    CLINDEX-B PLUS     OPI</v>
          </cell>
          <cell r="D5825">
            <v>566</v>
          </cell>
          <cell r="E5825">
            <v>775</v>
          </cell>
        </row>
        <row r="5826">
          <cell r="C5826" t="str">
            <v xml:space="preserve">    DALATIC PLUS       D-I</v>
          </cell>
          <cell r="D5826">
            <v>446</v>
          </cell>
          <cell r="E5826">
            <v>149</v>
          </cell>
        </row>
        <row r="5827">
          <cell r="C5827" t="str">
            <v xml:space="preserve">    LINDAMAX PLUS      ESF</v>
          </cell>
          <cell r="D5827">
            <v>404</v>
          </cell>
          <cell r="E5827">
            <v>999</v>
          </cell>
        </row>
        <row r="5828">
          <cell r="C5828" t="str">
            <v xml:space="preserve">    DALACIN PLUS       D-I</v>
          </cell>
          <cell r="D5828">
            <v>386</v>
          </cell>
          <cell r="E5828">
            <v>308</v>
          </cell>
        </row>
        <row r="5829">
          <cell r="C5829" t="str">
            <v xml:space="preserve">    CINAMYCIN PLUS     IBN</v>
          </cell>
          <cell r="D5829">
            <v>200</v>
          </cell>
          <cell r="E5829">
            <v>277</v>
          </cell>
        </row>
        <row r="5830">
          <cell r="C5830" t="str">
            <v xml:space="preserve">    TRUNAC             P-S</v>
          </cell>
          <cell r="D5830">
            <v>8</v>
          </cell>
          <cell r="E5830">
            <v>208</v>
          </cell>
        </row>
        <row r="5831">
          <cell r="C5831" t="str">
            <v xml:space="preserve">    CLINACYN-T         BXM</v>
          </cell>
          <cell r="D5831">
            <v>0</v>
          </cell>
          <cell r="E5831">
            <v>0</v>
          </cell>
        </row>
        <row r="5832">
          <cell r="C5832" t="str">
            <v xml:space="preserve">   CLINDAMYCIN</v>
          </cell>
          <cell r="D5832">
            <v>45819</v>
          </cell>
          <cell r="E5832">
            <v>40954</v>
          </cell>
        </row>
        <row r="5833">
          <cell r="C5833" t="str">
            <v xml:space="preserve">    CLINDACIN          IAP</v>
          </cell>
          <cell r="D5833">
            <v>23634</v>
          </cell>
          <cell r="E5833">
            <v>18215</v>
          </cell>
        </row>
        <row r="5834">
          <cell r="C5834" t="str">
            <v xml:space="preserve">    CLINEX             ATP</v>
          </cell>
          <cell r="D5834">
            <v>11375</v>
          </cell>
          <cell r="E5834">
            <v>11680</v>
          </cell>
        </row>
        <row r="5835">
          <cell r="C5835" t="str">
            <v xml:space="preserve">    CLINDAX            OPI</v>
          </cell>
          <cell r="D5835">
            <v>9141</v>
          </cell>
          <cell r="E5835">
            <v>8974</v>
          </cell>
        </row>
        <row r="5836">
          <cell r="C5836" t="str">
            <v xml:space="preserve">    DACLIN             A-I</v>
          </cell>
          <cell r="D5836">
            <v>1372</v>
          </cell>
          <cell r="E5836">
            <v>1115</v>
          </cell>
        </row>
        <row r="5837">
          <cell r="C5837" t="str">
            <v xml:space="preserve">    LINDAMAX           ESF</v>
          </cell>
          <cell r="D5837">
            <v>298</v>
          </cell>
          <cell r="E5837">
            <v>970</v>
          </cell>
        </row>
        <row r="5838">
          <cell r="C5838" t="str">
            <v xml:space="preserve">   ADAPALENE+BENZOYL PEROXIDE</v>
          </cell>
          <cell r="D5838">
            <v>44199</v>
          </cell>
          <cell r="E5838">
            <v>56322</v>
          </cell>
        </row>
        <row r="5839">
          <cell r="C5839" t="str">
            <v xml:space="preserve">    FONA PLUS          SQA</v>
          </cell>
          <cell r="D5839">
            <v>22816</v>
          </cell>
          <cell r="E5839">
            <v>31729</v>
          </cell>
        </row>
        <row r="5840">
          <cell r="C5840" t="str">
            <v xml:space="preserve">    FRESHLOOK          ZIS</v>
          </cell>
          <cell r="D5840">
            <v>10740</v>
          </cell>
          <cell r="E5840">
            <v>13387</v>
          </cell>
        </row>
        <row r="5841">
          <cell r="C5841" t="str">
            <v xml:space="preserve">    ADAGEL PLUS        UNH</v>
          </cell>
          <cell r="D5841">
            <v>6908</v>
          </cell>
          <cell r="E5841">
            <v>6563</v>
          </cell>
        </row>
        <row r="5842">
          <cell r="C5842" t="str">
            <v xml:space="preserve">    NOMARK-GEL         OPI</v>
          </cell>
          <cell r="D5842">
            <v>2582</v>
          </cell>
          <cell r="E5842">
            <v>920</v>
          </cell>
        </row>
        <row r="5843">
          <cell r="C5843" t="str">
            <v xml:space="preserve">    ADABEN DUO GEL     IAP</v>
          </cell>
          <cell r="D5843">
            <v>1129</v>
          </cell>
          <cell r="E5843">
            <v>3537</v>
          </cell>
        </row>
        <row r="5844">
          <cell r="C5844" t="str">
            <v xml:space="preserve">    ACLENE-PLUS        D-I</v>
          </cell>
          <cell r="D5844">
            <v>25</v>
          </cell>
          <cell r="E5844">
            <v>187</v>
          </cell>
        </row>
        <row r="5845">
          <cell r="C5845" t="str">
            <v xml:space="preserve">    ACNEGEL            ACM</v>
          </cell>
          <cell r="D5845">
            <v>0</v>
          </cell>
          <cell r="E5845">
            <v>0</v>
          </cell>
        </row>
        <row r="5846">
          <cell r="C5846" t="str">
            <v xml:space="preserve">   TRETINOIN</v>
          </cell>
          <cell r="D5846">
            <v>40379</v>
          </cell>
          <cell r="E5846">
            <v>29389</v>
          </cell>
        </row>
        <row r="5847">
          <cell r="C5847" t="str">
            <v xml:space="preserve">    RETIGEL            UNH</v>
          </cell>
          <cell r="D5847">
            <v>17582</v>
          </cell>
          <cell r="E5847">
            <v>20257</v>
          </cell>
        </row>
        <row r="5848">
          <cell r="C5848" t="str">
            <v xml:space="preserve">    SPOTEX             OPI</v>
          </cell>
          <cell r="D5848">
            <v>11499</v>
          </cell>
          <cell r="E5848">
            <v>0</v>
          </cell>
        </row>
        <row r="5849">
          <cell r="C5849" t="str">
            <v xml:space="preserve">    COSMOTRIN          BXM</v>
          </cell>
          <cell r="D5849">
            <v>11293</v>
          </cell>
          <cell r="E5849">
            <v>9132</v>
          </cell>
        </row>
        <row r="5850">
          <cell r="C5850" t="str">
            <v xml:space="preserve">    NILAC              SQA</v>
          </cell>
          <cell r="D5850">
            <v>3</v>
          </cell>
          <cell r="E5850">
            <v>0</v>
          </cell>
        </row>
        <row r="5851">
          <cell r="C5851" t="str">
            <v xml:space="preserve">    TRINON             RTA</v>
          </cell>
          <cell r="D5851">
            <v>1</v>
          </cell>
          <cell r="E5851">
            <v>0</v>
          </cell>
        </row>
        <row r="5852">
          <cell r="C5852" t="str">
            <v xml:space="preserve">    COMOL              BXM</v>
          </cell>
          <cell r="D5852">
            <v>0</v>
          </cell>
          <cell r="E5852">
            <v>0</v>
          </cell>
        </row>
        <row r="5853">
          <cell r="C5853" t="str">
            <v xml:space="preserve">    RETIN-A            S.Y</v>
          </cell>
          <cell r="D5853">
            <v>0</v>
          </cell>
          <cell r="E5853">
            <v>0</v>
          </cell>
        </row>
        <row r="5854">
          <cell r="C5854" t="str">
            <v xml:space="preserve">   ERYTHROMYCIN</v>
          </cell>
          <cell r="D5854">
            <v>40180</v>
          </cell>
          <cell r="E5854">
            <v>30691</v>
          </cell>
        </row>
        <row r="5855">
          <cell r="C5855" t="str">
            <v xml:space="preserve">    EROMYCIN           SQA</v>
          </cell>
          <cell r="D5855">
            <v>24249</v>
          </cell>
          <cell r="E5855">
            <v>17933</v>
          </cell>
        </row>
        <row r="5856">
          <cell r="C5856" t="str">
            <v xml:space="preserve">    A-MYCIN            ATP</v>
          </cell>
          <cell r="D5856">
            <v>15931</v>
          </cell>
          <cell r="E5856">
            <v>12758</v>
          </cell>
        </row>
        <row r="5857">
          <cell r="C5857" t="str">
            <v xml:space="preserve">   BENZOYL PEROXIDE+CLINDAMYCIN</v>
          </cell>
          <cell r="D5857">
            <v>31018</v>
          </cell>
          <cell r="E5857">
            <v>36443</v>
          </cell>
        </row>
        <row r="5858">
          <cell r="C5858" t="str">
            <v xml:space="preserve">    BENOXICLIN         UNH</v>
          </cell>
          <cell r="D5858">
            <v>29639</v>
          </cell>
          <cell r="E5858">
            <v>35750</v>
          </cell>
        </row>
        <row r="5859">
          <cell r="C5859" t="str">
            <v xml:space="preserve">    CLINDAX-B          OPI</v>
          </cell>
          <cell r="D5859">
            <v>1061</v>
          </cell>
          <cell r="E5859">
            <v>484</v>
          </cell>
        </row>
        <row r="5860">
          <cell r="C5860" t="str">
            <v xml:space="preserve">    CLINDEX-B          OPI</v>
          </cell>
          <cell r="D5860">
            <v>318</v>
          </cell>
          <cell r="E5860">
            <v>209</v>
          </cell>
        </row>
        <row r="5861">
          <cell r="C5861" t="str">
            <v xml:space="preserve">   SALICYLIC ACID</v>
          </cell>
          <cell r="D5861">
            <v>30357</v>
          </cell>
          <cell r="E5861">
            <v>7661</v>
          </cell>
        </row>
        <row r="5862">
          <cell r="C5862" t="str">
            <v xml:space="preserve">    KERASOL-FCL        IAP</v>
          </cell>
          <cell r="D5862">
            <v>30293</v>
          </cell>
          <cell r="E5862">
            <v>7656</v>
          </cell>
        </row>
        <row r="5863">
          <cell r="C5863" t="str">
            <v xml:space="preserve">    KERSAOL-FCL        IAP</v>
          </cell>
          <cell r="D5863">
            <v>64</v>
          </cell>
          <cell r="E5863">
            <v>5</v>
          </cell>
        </row>
        <row r="5864">
          <cell r="C5864" t="str">
            <v xml:space="preserve">    ACNECARE           GNR</v>
          </cell>
          <cell r="D5864">
            <v>0</v>
          </cell>
          <cell r="E5864">
            <v>0</v>
          </cell>
        </row>
        <row r="5865">
          <cell r="C5865" t="str">
            <v xml:space="preserve">   CLASCOTERONE</v>
          </cell>
          <cell r="D5865">
            <v>23651</v>
          </cell>
          <cell r="E5865">
            <v>28250</v>
          </cell>
        </row>
        <row r="5866">
          <cell r="C5866" t="str">
            <v xml:space="preserve">    CLASCON            N8V</v>
          </cell>
          <cell r="D5866">
            <v>12353</v>
          </cell>
          <cell r="E5866">
            <v>18519</v>
          </cell>
        </row>
        <row r="5867">
          <cell r="C5867" t="str">
            <v xml:space="preserve">    NULEVI             NUV</v>
          </cell>
          <cell r="D5867">
            <v>5953</v>
          </cell>
          <cell r="E5867">
            <v>4170</v>
          </cell>
        </row>
        <row r="5868">
          <cell r="C5868" t="str">
            <v xml:space="preserve">    CLASRIN            ACM</v>
          </cell>
          <cell r="D5868">
            <v>3333</v>
          </cell>
          <cell r="E5868">
            <v>5561</v>
          </cell>
        </row>
        <row r="5869">
          <cell r="C5869" t="str">
            <v xml:space="preserve">    ACNEV              A-I</v>
          </cell>
          <cell r="D5869">
            <v>2013</v>
          </cell>
          <cell r="E5869">
            <v>0</v>
          </cell>
        </row>
        <row r="5870">
          <cell r="C5870" t="str">
            <v xml:space="preserve">   ADAPALENE</v>
          </cell>
          <cell r="D5870">
            <v>19424</v>
          </cell>
          <cell r="E5870">
            <v>21131</v>
          </cell>
        </row>
        <row r="5871">
          <cell r="C5871" t="str">
            <v xml:space="preserve">    FONA               SQA</v>
          </cell>
          <cell r="D5871">
            <v>13733</v>
          </cell>
          <cell r="E5871">
            <v>16462</v>
          </cell>
        </row>
        <row r="5872">
          <cell r="C5872" t="str">
            <v xml:space="preserve">    ADAPEL             HT3</v>
          </cell>
          <cell r="D5872">
            <v>5032</v>
          </cell>
          <cell r="E5872">
            <v>3799</v>
          </cell>
        </row>
        <row r="5873">
          <cell r="C5873" t="str">
            <v xml:space="preserve">    ACLENE             D-I</v>
          </cell>
          <cell r="D5873">
            <v>659</v>
          </cell>
          <cell r="E5873">
            <v>870</v>
          </cell>
        </row>
        <row r="5874">
          <cell r="C5874" t="str">
            <v xml:space="preserve">    ADOLIN             PP-</v>
          </cell>
          <cell r="D5874">
            <v>0</v>
          </cell>
          <cell r="E5874">
            <v>0</v>
          </cell>
        </row>
        <row r="5875">
          <cell r="C5875" t="str">
            <v xml:space="preserve">    APALENE            IAP</v>
          </cell>
          <cell r="D5875">
            <v>0</v>
          </cell>
          <cell r="E5875">
            <v>0</v>
          </cell>
        </row>
        <row r="5876">
          <cell r="C5876" t="str">
            <v xml:space="preserve">   BENZOYL PEROXIDE</v>
          </cell>
          <cell r="D5876">
            <v>14047</v>
          </cell>
          <cell r="E5876">
            <v>15337</v>
          </cell>
        </row>
        <row r="5877">
          <cell r="C5877" t="str">
            <v xml:space="preserve">    OXIGEL             UNH</v>
          </cell>
          <cell r="D5877">
            <v>12175</v>
          </cell>
          <cell r="E5877">
            <v>13909</v>
          </cell>
        </row>
        <row r="5878">
          <cell r="C5878" t="str">
            <v xml:space="preserve">    BENZAC             D-I</v>
          </cell>
          <cell r="D5878">
            <v>1872</v>
          </cell>
          <cell r="E5878">
            <v>1428</v>
          </cell>
        </row>
        <row r="5879">
          <cell r="C5879" t="str">
            <v xml:space="preserve">   DAPSONE</v>
          </cell>
          <cell r="D5879">
            <v>8818</v>
          </cell>
          <cell r="E5879">
            <v>13936</v>
          </cell>
        </row>
        <row r="5880">
          <cell r="C5880" t="str">
            <v xml:space="preserve">    DAPGEL             ZIS</v>
          </cell>
          <cell r="D5880">
            <v>8144</v>
          </cell>
          <cell r="E5880">
            <v>10442</v>
          </cell>
        </row>
        <row r="5881">
          <cell r="C5881" t="str">
            <v xml:space="preserve">    DAPCLIN            ESF</v>
          </cell>
          <cell r="D5881">
            <v>468</v>
          </cell>
          <cell r="E5881">
            <v>1084</v>
          </cell>
        </row>
        <row r="5882">
          <cell r="C5882" t="str">
            <v xml:space="preserve">    ACNESONE           IAP</v>
          </cell>
          <cell r="D5882">
            <v>206</v>
          </cell>
          <cell r="E5882">
            <v>2410</v>
          </cell>
        </row>
        <row r="5883">
          <cell r="C5883" t="str">
            <v xml:space="preserve">   AZELAIC ACID</v>
          </cell>
          <cell r="D5883">
            <v>8587</v>
          </cell>
          <cell r="E5883">
            <v>5033</v>
          </cell>
        </row>
        <row r="5884">
          <cell r="C5884" t="str">
            <v xml:space="preserve">    AZELEC             ACM</v>
          </cell>
          <cell r="D5884">
            <v>8587</v>
          </cell>
          <cell r="E5884">
            <v>5033</v>
          </cell>
        </row>
        <row r="5885">
          <cell r="C5885" t="str">
            <v xml:space="preserve">   TRIFAROTENE</v>
          </cell>
          <cell r="D5885">
            <v>4172</v>
          </cell>
          <cell r="E5885">
            <v>5824</v>
          </cell>
        </row>
        <row r="5886">
          <cell r="C5886" t="str">
            <v xml:space="preserve">    ZONYRA             ZIS</v>
          </cell>
          <cell r="D5886">
            <v>3086</v>
          </cell>
          <cell r="E5886">
            <v>5367</v>
          </cell>
        </row>
        <row r="5887">
          <cell r="C5887" t="str">
            <v xml:space="preserve">    TRIFERA            ACM</v>
          </cell>
          <cell r="D5887">
            <v>1086</v>
          </cell>
          <cell r="E5887">
            <v>457</v>
          </cell>
        </row>
        <row r="5888">
          <cell r="C5888" t="str">
            <v xml:space="preserve">   ISOTRETINOIN</v>
          </cell>
          <cell r="D5888">
            <v>2057</v>
          </cell>
          <cell r="E5888">
            <v>1297</v>
          </cell>
        </row>
        <row r="5889">
          <cell r="C5889" t="str">
            <v xml:space="preserve">    AKNILL             IAP</v>
          </cell>
          <cell r="D5889">
            <v>2057</v>
          </cell>
          <cell r="E5889">
            <v>1297</v>
          </cell>
        </row>
        <row r="5890">
          <cell r="C5890" t="str">
            <v xml:space="preserve">   OXYMETAZOLINE</v>
          </cell>
          <cell r="D5890">
            <v>32</v>
          </cell>
          <cell r="E5890">
            <v>0</v>
          </cell>
        </row>
        <row r="5891">
          <cell r="C5891" t="str">
            <v xml:space="preserve">    ROSALIN            IAP</v>
          </cell>
          <cell r="D5891">
            <v>32</v>
          </cell>
          <cell r="E5891">
            <v>0</v>
          </cell>
        </row>
        <row r="5892">
          <cell r="C5892" t="str">
            <v xml:space="preserve">   METRONIDAZOLE</v>
          </cell>
          <cell r="D5892">
            <v>7</v>
          </cell>
          <cell r="E5892">
            <v>1</v>
          </cell>
        </row>
        <row r="5893">
          <cell r="C5893" t="str">
            <v xml:space="preserve">    CRESAC             SQA</v>
          </cell>
          <cell r="D5893">
            <v>7</v>
          </cell>
          <cell r="E5893">
            <v>1</v>
          </cell>
        </row>
        <row r="5894">
          <cell r="C5894" t="str">
            <v xml:space="preserve"> TRICHOMONACIDES</v>
          </cell>
          <cell r="D5894">
            <v>343419</v>
          </cell>
          <cell r="E5894">
            <v>308376</v>
          </cell>
        </row>
        <row r="5895">
          <cell r="C5895" t="str">
            <v xml:space="preserve">  SYSTEMIC TRICHOMONACIDES</v>
          </cell>
          <cell r="D5895">
            <v>260820</v>
          </cell>
          <cell r="E5895">
            <v>223226</v>
          </cell>
        </row>
        <row r="5896">
          <cell r="C5896" t="str">
            <v xml:space="preserve">   METRONIDAZOLE</v>
          </cell>
          <cell r="D5896">
            <v>260214</v>
          </cell>
          <cell r="E5896">
            <v>220421</v>
          </cell>
        </row>
        <row r="5897">
          <cell r="C5897" t="str">
            <v xml:space="preserve">    AMODIS             SQA</v>
          </cell>
          <cell r="D5897">
            <v>167399</v>
          </cell>
          <cell r="E5897">
            <v>134075</v>
          </cell>
        </row>
        <row r="5898">
          <cell r="C5898" t="str">
            <v xml:space="preserve">    FLAGYL             S.Y</v>
          </cell>
          <cell r="D5898">
            <v>89796</v>
          </cell>
          <cell r="E5898">
            <v>84049</v>
          </cell>
        </row>
        <row r="5899">
          <cell r="C5899" t="str">
            <v xml:space="preserve">    METRYL             OPI</v>
          </cell>
          <cell r="D5899">
            <v>3009</v>
          </cell>
          <cell r="E5899">
            <v>2171</v>
          </cell>
        </row>
        <row r="5900">
          <cell r="C5900" t="str">
            <v xml:space="preserve">    CLOZYL             TMH</v>
          </cell>
          <cell r="D5900">
            <v>10</v>
          </cell>
          <cell r="E5900">
            <v>126</v>
          </cell>
        </row>
        <row r="5901">
          <cell r="C5901" t="str">
            <v xml:space="preserve">    MEDIZOL            MD3</v>
          </cell>
          <cell r="D5901">
            <v>0</v>
          </cell>
          <cell r="E5901">
            <v>0</v>
          </cell>
        </row>
        <row r="5902">
          <cell r="C5902" t="str">
            <v xml:space="preserve">   SECNIDAZOLE</v>
          </cell>
          <cell r="D5902">
            <v>336</v>
          </cell>
          <cell r="E5902">
            <v>337</v>
          </cell>
        </row>
        <row r="5903">
          <cell r="C5903" t="str">
            <v xml:space="preserve">    D-ZOLE             D-I</v>
          </cell>
          <cell r="D5903">
            <v>197</v>
          </cell>
          <cell r="E5903">
            <v>167</v>
          </cell>
        </row>
        <row r="5904">
          <cell r="C5904" t="str">
            <v xml:space="preserve">    SECNIZOL-DS        IAP</v>
          </cell>
          <cell r="D5904">
            <v>139</v>
          </cell>
          <cell r="E5904">
            <v>169</v>
          </cell>
        </row>
        <row r="5905">
          <cell r="C5905" t="str">
            <v xml:space="preserve">   METRONIDAZOLE+NEOMYCIN+NYSTATIN+POLYMYXIN B</v>
          </cell>
          <cell r="D5905">
            <v>270</v>
          </cell>
          <cell r="E5905">
            <v>2468</v>
          </cell>
        </row>
        <row r="5906">
          <cell r="C5906" t="str">
            <v xml:space="preserve">    GYNOMIX            D-I</v>
          </cell>
          <cell r="D5906">
            <v>270</v>
          </cell>
          <cell r="E5906">
            <v>2468</v>
          </cell>
        </row>
        <row r="5907">
          <cell r="C5907" t="str">
            <v xml:space="preserve">  TOPICAL  TRICHOMONACIDES</v>
          </cell>
          <cell r="D5907">
            <v>82599</v>
          </cell>
          <cell r="E5907">
            <v>85150</v>
          </cell>
        </row>
        <row r="5908">
          <cell r="C5908" t="str">
            <v xml:space="preserve">   METRONIDAZOLE+NEOMYCIN+NYSTATIN+POLYMYXIN B</v>
          </cell>
          <cell r="D5908">
            <v>82200</v>
          </cell>
          <cell r="E5908">
            <v>84895</v>
          </cell>
        </row>
        <row r="5909">
          <cell r="C5909" t="str">
            <v xml:space="preserve">    GYNOMIX            D-I</v>
          </cell>
          <cell r="D5909">
            <v>36245</v>
          </cell>
          <cell r="E5909">
            <v>36135</v>
          </cell>
        </row>
        <row r="5910">
          <cell r="C5910" t="str">
            <v xml:space="preserve">    GYNEPRO            SQA</v>
          </cell>
          <cell r="D5910">
            <v>22991</v>
          </cell>
          <cell r="E5910">
            <v>24783</v>
          </cell>
        </row>
        <row r="5911">
          <cell r="C5911" t="str">
            <v xml:space="preserve">    VCAP               RTA</v>
          </cell>
          <cell r="D5911">
            <v>18706</v>
          </cell>
          <cell r="E5911">
            <v>18746</v>
          </cell>
        </row>
        <row r="5912">
          <cell r="C5912" t="str">
            <v xml:space="preserve">    TRICOMIX           IAP</v>
          </cell>
          <cell r="D5912">
            <v>2581</v>
          </cell>
          <cell r="E5912">
            <v>1770</v>
          </cell>
        </row>
        <row r="5913">
          <cell r="C5913" t="str">
            <v xml:space="preserve">    GYNORIL            OPI</v>
          </cell>
          <cell r="D5913">
            <v>1553</v>
          </cell>
          <cell r="E5913">
            <v>2663</v>
          </cell>
        </row>
        <row r="5914">
          <cell r="C5914" t="str">
            <v xml:space="preserve">    GYNED              PAC</v>
          </cell>
          <cell r="D5914">
            <v>95</v>
          </cell>
          <cell r="E5914">
            <v>670</v>
          </cell>
        </row>
        <row r="5915">
          <cell r="C5915" t="str">
            <v xml:space="preserve">    GYNASTIN           ACM</v>
          </cell>
          <cell r="D5915">
            <v>29</v>
          </cell>
          <cell r="E5915">
            <v>0</v>
          </cell>
        </row>
        <row r="5916">
          <cell r="C5916" t="str">
            <v xml:space="preserve">    GYNOXIN            ATP</v>
          </cell>
          <cell r="D5916">
            <v>0</v>
          </cell>
          <cell r="E5916">
            <v>0</v>
          </cell>
        </row>
        <row r="5917">
          <cell r="C5917" t="str">
            <v xml:space="preserve">    GYNOHEAL           GBE</v>
          </cell>
          <cell r="D5917">
            <v>0</v>
          </cell>
          <cell r="E5917">
            <v>128</v>
          </cell>
        </row>
        <row r="5918">
          <cell r="C5918" t="str">
            <v xml:space="preserve">   METRONIDAZOLE</v>
          </cell>
          <cell r="D5918">
            <v>399</v>
          </cell>
          <cell r="E5918">
            <v>255</v>
          </cell>
        </row>
        <row r="5919">
          <cell r="C5919" t="str">
            <v xml:space="preserve">    FLAMYD V           IAP</v>
          </cell>
          <cell r="D5919">
            <v>384</v>
          </cell>
          <cell r="E5919">
            <v>0</v>
          </cell>
        </row>
        <row r="5920">
          <cell r="C5920" t="str">
            <v xml:space="preserve">    FLAMYD             IAP</v>
          </cell>
          <cell r="D5920">
            <v>16</v>
          </cell>
          <cell r="E5920">
            <v>255</v>
          </cell>
        </row>
        <row r="5921">
          <cell r="C5921" t="str">
            <v xml:space="preserve"> HYPNOTICS &amp; SEDATIVES</v>
          </cell>
          <cell r="D5921">
            <v>279975</v>
          </cell>
          <cell r="E5921">
            <v>274262</v>
          </cell>
        </row>
        <row r="5922">
          <cell r="C5922" t="str">
            <v xml:space="preserve">  NON-BARBITURATE PLAIN</v>
          </cell>
          <cell r="D5922">
            <v>279975</v>
          </cell>
          <cell r="E5922">
            <v>274262</v>
          </cell>
        </row>
        <row r="5923">
          <cell r="C5923" t="str">
            <v xml:space="preserve">   MIDAZOLAM</v>
          </cell>
          <cell r="D5923">
            <v>263013</v>
          </cell>
          <cell r="E5923">
            <v>263182</v>
          </cell>
        </row>
        <row r="5924">
          <cell r="C5924" t="str">
            <v xml:space="preserve">    MILAM              ESF</v>
          </cell>
          <cell r="D5924">
            <v>159598</v>
          </cell>
          <cell r="E5924">
            <v>169422</v>
          </cell>
        </row>
        <row r="5925">
          <cell r="C5925" t="str">
            <v xml:space="preserve">    DORMICUM           ROC</v>
          </cell>
          <cell r="D5925">
            <v>63329</v>
          </cell>
          <cell r="E5925">
            <v>59115</v>
          </cell>
        </row>
        <row r="5926">
          <cell r="C5926" t="str">
            <v xml:space="preserve">    DORMITOL           SQA</v>
          </cell>
          <cell r="D5926">
            <v>15341</v>
          </cell>
          <cell r="E5926">
            <v>15995</v>
          </cell>
        </row>
        <row r="5927">
          <cell r="C5927" t="str">
            <v xml:space="preserve">    HYPNOCUM           HT3</v>
          </cell>
          <cell r="D5927">
            <v>14631</v>
          </cell>
          <cell r="E5927">
            <v>9104</v>
          </cell>
        </row>
        <row r="5928">
          <cell r="C5928" t="str">
            <v xml:space="preserve">    HYPNOFAST          IAP</v>
          </cell>
          <cell r="D5928">
            <v>8681</v>
          </cell>
          <cell r="E5928">
            <v>7139</v>
          </cell>
        </row>
        <row r="5929">
          <cell r="C5929" t="str">
            <v xml:space="preserve">    BENQUIL            BP&amp;</v>
          </cell>
          <cell r="D5929">
            <v>1070</v>
          </cell>
          <cell r="E5929">
            <v>533</v>
          </cell>
        </row>
        <row r="5930">
          <cell r="C5930" t="str">
            <v xml:space="preserve">    MIDZO              RTA</v>
          </cell>
          <cell r="D5930">
            <v>177</v>
          </cell>
          <cell r="E5930">
            <v>191</v>
          </cell>
        </row>
        <row r="5931">
          <cell r="C5931" t="str">
            <v xml:space="preserve">    ANQUIL             GNR</v>
          </cell>
          <cell r="D5931">
            <v>146</v>
          </cell>
          <cell r="E5931">
            <v>1458</v>
          </cell>
        </row>
        <row r="5932">
          <cell r="C5932" t="str">
            <v xml:space="preserve">    MIZOLAM            ACM</v>
          </cell>
          <cell r="D5932">
            <v>32</v>
          </cell>
          <cell r="E5932">
            <v>194</v>
          </cell>
        </row>
        <row r="5933">
          <cell r="C5933" t="str">
            <v xml:space="preserve">    MIDOLAM            OPI</v>
          </cell>
          <cell r="D5933">
            <v>7</v>
          </cell>
          <cell r="E5933">
            <v>27</v>
          </cell>
        </row>
        <row r="5934">
          <cell r="C5934" t="str">
            <v xml:space="preserve">    DORMAX             ATP</v>
          </cell>
          <cell r="D5934">
            <v>0</v>
          </cell>
          <cell r="E5934">
            <v>2</v>
          </cell>
        </row>
        <row r="5935">
          <cell r="C5935" t="str">
            <v xml:space="preserve">   FLURAZEPAM</v>
          </cell>
          <cell r="D5935">
            <v>13432</v>
          </cell>
          <cell r="E5935">
            <v>9270</v>
          </cell>
        </row>
        <row r="5936">
          <cell r="C5936" t="str">
            <v xml:space="preserve">    SLIPAM             GNR</v>
          </cell>
          <cell r="D5936">
            <v>13432</v>
          </cell>
          <cell r="E5936">
            <v>9130</v>
          </cell>
        </row>
        <row r="5937">
          <cell r="C5937" t="str">
            <v xml:space="preserve">    ALUCTIN            AMB</v>
          </cell>
          <cell r="D5937">
            <v>0</v>
          </cell>
          <cell r="E5937">
            <v>140</v>
          </cell>
        </row>
        <row r="5938">
          <cell r="C5938" t="str">
            <v xml:space="preserve">   CHLORAL HYDRATE</v>
          </cell>
          <cell r="D5938">
            <v>3318</v>
          </cell>
          <cell r="E5938">
            <v>1308</v>
          </cell>
        </row>
        <row r="5939">
          <cell r="C5939" t="str">
            <v xml:space="preserve">    PEDICLOR           BAC</v>
          </cell>
          <cell r="D5939">
            <v>3318</v>
          </cell>
          <cell r="E5939">
            <v>1308</v>
          </cell>
        </row>
        <row r="5940">
          <cell r="C5940" t="str">
            <v xml:space="preserve">   ZOPICLONE</v>
          </cell>
          <cell r="D5940">
            <v>162</v>
          </cell>
          <cell r="E5940">
            <v>368</v>
          </cell>
        </row>
        <row r="5941">
          <cell r="C5941" t="str">
            <v xml:space="preserve">    IMOVANE            S.Y</v>
          </cell>
          <cell r="D5941">
            <v>155</v>
          </cell>
          <cell r="E5941">
            <v>368</v>
          </cell>
        </row>
        <row r="5942">
          <cell r="C5942" t="str">
            <v xml:space="preserve">    HYPNOCLONE         A-I</v>
          </cell>
          <cell r="D5942">
            <v>7</v>
          </cell>
          <cell r="E5942">
            <v>0</v>
          </cell>
        </row>
        <row r="5943">
          <cell r="C5943" t="str">
            <v xml:space="preserve">   NITRAZEPAM</v>
          </cell>
          <cell r="D5943">
            <v>48</v>
          </cell>
          <cell r="E5943">
            <v>130</v>
          </cell>
        </row>
        <row r="5944">
          <cell r="C5944" t="str">
            <v xml:space="preserve">    NOCTIN             AMB</v>
          </cell>
          <cell r="D5944">
            <v>48</v>
          </cell>
          <cell r="E5944">
            <v>130</v>
          </cell>
        </row>
        <row r="5945">
          <cell r="C5945" t="str">
            <v xml:space="preserve">   ZOLPIDEM</v>
          </cell>
          <cell r="D5945">
            <v>2</v>
          </cell>
          <cell r="E5945">
            <v>4</v>
          </cell>
        </row>
        <row r="5946">
          <cell r="C5946" t="str">
            <v xml:space="preserve">    NITREST            SPI</v>
          </cell>
          <cell r="D5946">
            <v>2</v>
          </cell>
          <cell r="E5946">
            <v>4</v>
          </cell>
        </row>
        <row r="5947">
          <cell r="C5947" t="str">
            <v xml:space="preserve">   BROMAZEPAM</v>
          </cell>
          <cell r="D5947">
            <v>0</v>
          </cell>
          <cell r="E5947">
            <v>0</v>
          </cell>
        </row>
        <row r="5948">
          <cell r="C5948" t="str">
            <v xml:space="preserve">    ZEROTENS           PPH</v>
          </cell>
          <cell r="D5948">
            <v>0</v>
          </cell>
          <cell r="E5948">
            <v>0</v>
          </cell>
        </row>
        <row r="5949">
          <cell r="C5949" t="str">
            <v xml:space="preserve">   ESZOPICLONE</v>
          </cell>
          <cell r="D5949">
            <v>0</v>
          </cell>
          <cell r="E5949">
            <v>0</v>
          </cell>
        </row>
        <row r="5950">
          <cell r="C5950" t="str">
            <v xml:space="preserve">    S-CLON             BXM</v>
          </cell>
          <cell r="D5950">
            <v>0</v>
          </cell>
          <cell r="E5950">
            <v>0</v>
          </cell>
        </row>
        <row r="5951">
          <cell r="C5951" t="str">
            <v xml:space="preserve">    ZOPILONE           IAP</v>
          </cell>
          <cell r="D5951">
            <v>0</v>
          </cell>
          <cell r="E5951">
            <v>0</v>
          </cell>
        </row>
        <row r="5952">
          <cell r="C5952" t="str">
            <v xml:space="preserve">   SUVOREXANT</v>
          </cell>
          <cell r="D5952">
            <v>0</v>
          </cell>
          <cell r="E5952">
            <v>0</v>
          </cell>
        </row>
        <row r="5953">
          <cell r="C5953" t="str">
            <v xml:space="preserve">    SOMARANT           IAP</v>
          </cell>
          <cell r="D5953">
            <v>0</v>
          </cell>
          <cell r="E5953">
            <v>0</v>
          </cell>
        </row>
        <row r="5954">
          <cell r="C5954" t="str">
            <v xml:space="preserve">    SUVOTOL            SQA</v>
          </cell>
          <cell r="D5954">
            <v>0</v>
          </cell>
          <cell r="E5954">
            <v>0</v>
          </cell>
        </row>
        <row r="5955">
          <cell r="C5955" t="str">
            <v xml:space="preserve">   RAMELTEON</v>
          </cell>
          <cell r="D5955">
            <v>0</v>
          </cell>
          <cell r="E5955">
            <v>0</v>
          </cell>
        </row>
        <row r="5956">
          <cell r="C5956" t="str">
            <v xml:space="preserve">    RAMELTA            IAP</v>
          </cell>
          <cell r="D5956">
            <v>0</v>
          </cell>
          <cell r="E5956">
            <v>0</v>
          </cell>
        </row>
        <row r="5957">
          <cell r="C5957" t="str">
            <v xml:space="preserve">  BARBITURATE PLAIN</v>
          </cell>
          <cell r="D5957">
            <v>0</v>
          </cell>
          <cell r="E5957">
            <v>0</v>
          </cell>
        </row>
        <row r="5958">
          <cell r="C5958" t="str">
            <v xml:space="preserve">   PHENOBARBITAL</v>
          </cell>
          <cell r="D5958">
            <v>0</v>
          </cell>
          <cell r="E5958">
            <v>0</v>
          </cell>
        </row>
        <row r="5959">
          <cell r="C5959" t="str">
            <v xml:space="preserve">    BERDINAL           GCO</v>
          </cell>
          <cell r="D5959">
            <v>0</v>
          </cell>
          <cell r="E5959">
            <v>0</v>
          </cell>
        </row>
        <row r="5960">
          <cell r="C5960" t="str">
            <v xml:space="preserve"> BACTERIAL VACCINES</v>
          </cell>
          <cell r="D5960">
            <v>273633</v>
          </cell>
          <cell r="E5960">
            <v>232441</v>
          </cell>
        </row>
        <row r="5961">
          <cell r="C5961" t="str">
            <v xml:space="preserve">  TETANUS VACCINES</v>
          </cell>
          <cell r="D5961">
            <v>212402</v>
          </cell>
          <cell r="E5961">
            <v>211212</v>
          </cell>
        </row>
        <row r="5962">
          <cell r="C5962" t="str">
            <v xml:space="preserve">   VACCINE, TETANUS</v>
          </cell>
          <cell r="D5962">
            <v>212402</v>
          </cell>
          <cell r="E5962">
            <v>211212</v>
          </cell>
        </row>
        <row r="5963">
          <cell r="C5963" t="str">
            <v xml:space="preserve">    VAXITET            IAP</v>
          </cell>
          <cell r="D5963">
            <v>134188</v>
          </cell>
          <cell r="E5963">
            <v>136820</v>
          </cell>
        </row>
        <row r="5964">
          <cell r="C5964" t="str">
            <v xml:space="preserve">    TT VAX             PPH</v>
          </cell>
          <cell r="D5964">
            <v>78169</v>
          </cell>
          <cell r="E5964">
            <v>74374</v>
          </cell>
        </row>
        <row r="5965">
          <cell r="C5965" t="str">
            <v xml:space="preserve">    PROTET-IG          IAP</v>
          </cell>
          <cell r="D5965">
            <v>45</v>
          </cell>
          <cell r="E5965">
            <v>18</v>
          </cell>
        </row>
        <row r="5966">
          <cell r="C5966" t="str">
            <v xml:space="preserve">  PNEUMOCOCCAL VACCINES</v>
          </cell>
          <cell r="D5966">
            <v>58732</v>
          </cell>
          <cell r="E5966">
            <v>18728</v>
          </cell>
        </row>
        <row r="5967">
          <cell r="C5967" t="str">
            <v xml:space="preserve">   VACCINE, PNEUMOCOCCAL</v>
          </cell>
          <cell r="D5967">
            <v>58732</v>
          </cell>
          <cell r="E5967">
            <v>18728</v>
          </cell>
        </row>
        <row r="5968">
          <cell r="C5968" t="str">
            <v xml:space="preserve">    EVIMAR             IAP</v>
          </cell>
          <cell r="D5968">
            <v>32139</v>
          </cell>
          <cell r="E5968">
            <v>8530</v>
          </cell>
        </row>
        <row r="5969">
          <cell r="C5969" t="str">
            <v xml:space="preserve">    PRENOVAX           IAP</v>
          </cell>
          <cell r="D5969">
            <v>26593</v>
          </cell>
          <cell r="E5969">
            <v>10197</v>
          </cell>
        </row>
        <row r="5970">
          <cell r="C5970" t="str">
            <v xml:space="preserve">    PNEUMOVAX          MSD</v>
          </cell>
          <cell r="D5970">
            <v>0</v>
          </cell>
          <cell r="E5970">
            <v>0</v>
          </cell>
        </row>
        <row r="5971">
          <cell r="C5971" t="str">
            <v xml:space="preserve">  TYPHOID VACCINES</v>
          </cell>
          <cell r="D5971">
            <v>1949</v>
          </cell>
          <cell r="E5971">
            <v>2290</v>
          </cell>
        </row>
        <row r="5972">
          <cell r="C5972" t="str">
            <v xml:space="preserve">   VACCINE, TYPHOID</v>
          </cell>
          <cell r="D5972">
            <v>1949</v>
          </cell>
          <cell r="E5972">
            <v>2290</v>
          </cell>
        </row>
        <row r="5973">
          <cell r="C5973" t="str">
            <v xml:space="preserve">    VAXPHOID           IAP</v>
          </cell>
          <cell r="D5973">
            <v>1949</v>
          </cell>
          <cell r="E5973">
            <v>2261</v>
          </cell>
        </row>
        <row r="5974">
          <cell r="C5974" t="str">
            <v xml:space="preserve">    TYPHIM VI          S.Y</v>
          </cell>
          <cell r="D5974">
            <v>0</v>
          </cell>
          <cell r="E5974">
            <v>29</v>
          </cell>
        </row>
        <row r="5975">
          <cell r="C5975" t="str">
            <v xml:space="preserve">  MENINGOCOCCAL VACCINES</v>
          </cell>
          <cell r="D5975">
            <v>551</v>
          </cell>
          <cell r="E5975">
            <v>211</v>
          </cell>
        </row>
        <row r="5976">
          <cell r="C5976" t="str">
            <v xml:space="preserve">   VACCINE,MENINGOCOCCAL POLYSACCHARIDE</v>
          </cell>
          <cell r="D5976">
            <v>551</v>
          </cell>
          <cell r="E5976">
            <v>211</v>
          </cell>
        </row>
        <row r="5977">
          <cell r="C5977" t="str">
            <v xml:space="preserve">    INGOVAX ACWY       IAP</v>
          </cell>
          <cell r="D5977">
            <v>551</v>
          </cell>
          <cell r="E5977">
            <v>211</v>
          </cell>
        </row>
        <row r="5978">
          <cell r="C5978" t="str">
            <v xml:space="preserve">   VACCINE,MENINGOCOCCAL CONJUGATE</v>
          </cell>
          <cell r="D5978">
            <v>0</v>
          </cell>
          <cell r="E5978">
            <v>0</v>
          </cell>
        </row>
        <row r="5979">
          <cell r="C5979" t="str">
            <v xml:space="preserve">    MENACTRA           S.Y</v>
          </cell>
          <cell r="D5979">
            <v>0</v>
          </cell>
          <cell r="E5979">
            <v>0</v>
          </cell>
        </row>
        <row r="5980">
          <cell r="C5980" t="str">
            <v xml:space="preserve"> TOP ANTIPSORIASIS PRDS</v>
          </cell>
          <cell r="D5980">
            <v>203999</v>
          </cell>
          <cell r="E5980">
            <v>185718</v>
          </cell>
        </row>
        <row r="5981">
          <cell r="C5981" t="str">
            <v xml:space="preserve">  TOP ANTIPSORIASIS PRDS</v>
          </cell>
          <cell r="D5981">
            <v>203999</v>
          </cell>
          <cell r="E5981">
            <v>185718</v>
          </cell>
        </row>
        <row r="5982">
          <cell r="C5982" t="str">
            <v xml:space="preserve">   BETAMETHASONE+CALCIPOTRIOL</v>
          </cell>
          <cell r="D5982">
            <v>116987</v>
          </cell>
          <cell r="E5982">
            <v>90907</v>
          </cell>
        </row>
        <row r="5983">
          <cell r="C5983" t="str">
            <v xml:space="preserve">    DYVON-PLUS         SQA</v>
          </cell>
          <cell r="D5983">
            <v>107837</v>
          </cell>
          <cell r="E5983">
            <v>83962</v>
          </cell>
        </row>
        <row r="5984">
          <cell r="C5984" t="str">
            <v xml:space="preserve">    SORIA-D            ZIS</v>
          </cell>
          <cell r="D5984">
            <v>8195</v>
          </cell>
          <cell r="E5984">
            <v>5163</v>
          </cell>
        </row>
        <row r="5985">
          <cell r="C5985" t="str">
            <v xml:space="preserve">    BETOL              ACM</v>
          </cell>
          <cell r="D5985">
            <v>956</v>
          </cell>
          <cell r="E5985">
            <v>1782</v>
          </cell>
        </row>
        <row r="5986">
          <cell r="C5986" t="str">
            <v xml:space="preserve">    PLANEX PLUS        IAP</v>
          </cell>
          <cell r="D5986">
            <v>0</v>
          </cell>
          <cell r="E5986">
            <v>0</v>
          </cell>
        </row>
        <row r="5987">
          <cell r="C5987" t="str">
            <v xml:space="preserve">   CLOBETASOL+SALICYLIC ACID</v>
          </cell>
          <cell r="D5987">
            <v>43866</v>
          </cell>
          <cell r="E5987">
            <v>47488</v>
          </cell>
        </row>
        <row r="5988">
          <cell r="C5988" t="str">
            <v xml:space="preserve">    XENOSAL            UNH</v>
          </cell>
          <cell r="D5988">
            <v>43135</v>
          </cell>
          <cell r="E5988">
            <v>47488</v>
          </cell>
        </row>
        <row r="5989">
          <cell r="C5989" t="str">
            <v xml:space="preserve">    SALICORT           OR/</v>
          </cell>
          <cell r="D5989">
            <v>731</v>
          </cell>
          <cell r="E5989">
            <v>0</v>
          </cell>
        </row>
        <row r="5990">
          <cell r="C5990" t="str">
            <v xml:space="preserve">   TAPINAROF</v>
          </cell>
          <cell r="D5990">
            <v>16861</v>
          </cell>
          <cell r="E5990">
            <v>13097</v>
          </cell>
        </row>
        <row r="5991">
          <cell r="C5991" t="str">
            <v xml:space="preserve">    TAPINA             BXM</v>
          </cell>
          <cell r="D5991">
            <v>9810</v>
          </cell>
          <cell r="E5991">
            <v>4053</v>
          </cell>
        </row>
        <row r="5992">
          <cell r="C5992" t="str">
            <v xml:space="preserve">    TAPINOR            ZIS</v>
          </cell>
          <cell r="D5992">
            <v>3300</v>
          </cell>
          <cell r="E5992">
            <v>8148</v>
          </cell>
        </row>
        <row r="5993">
          <cell r="C5993" t="str">
            <v xml:space="preserve">    VTAPA              S.Y</v>
          </cell>
          <cell r="D5993">
            <v>2678</v>
          </cell>
          <cell r="E5993">
            <v>896</v>
          </cell>
        </row>
        <row r="5994">
          <cell r="C5994" t="str">
            <v xml:space="preserve">    PINAROF            ESF</v>
          </cell>
          <cell r="D5994">
            <v>899</v>
          </cell>
          <cell r="E5994">
            <v>0</v>
          </cell>
        </row>
        <row r="5995">
          <cell r="C5995" t="str">
            <v xml:space="preserve">    TAPISIS            GNR</v>
          </cell>
          <cell r="D5995">
            <v>173</v>
          </cell>
          <cell r="E5995">
            <v>0</v>
          </cell>
        </row>
        <row r="5996">
          <cell r="C5996" t="str">
            <v xml:space="preserve">   CALCIPOTRIOL</v>
          </cell>
          <cell r="D5996">
            <v>16236</v>
          </cell>
          <cell r="E5996">
            <v>21387</v>
          </cell>
        </row>
        <row r="5997">
          <cell r="C5997" t="str">
            <v xml:space="preserve">    DYVON              SQA</v>
          </cell>
          <cell r="D5997">
            <v>16236</v>
          </cell>
          <cell r="E5997">
            <v>21387</v>
          </cell>
        </row>
        <row r="5998">
          <cell r="C5998" t="str">
            <v xml:space="preserve">    PLANEX             IAP</v>
          </cell>
          <cell r="D5998">
            <v>0</v>
          </cell>
          <cell r="E5998">
            <v>0</v>
          </cell>
        </row>
        <row r="5999">
          <cell r="C5999" t="str">
            <v xml:space="preserve">   ROFLUMILAST</v>
          </cell>
          <cell r="D5999">
            <v>2633</v>
          </cell>
          <cell r="E5999">
            <v>1599</v>
          </cell>
        </row>
        <row r="6000">
          <cell r="C6000" t="str">
            <v xml:space="preserve">    LUMILAST           N8V</v>
          </cell>
          <cell r="D6000">
            <v>2633</v>
          </cell>
          <cell r="E6000">
            <v>1599</v>
          </cell>
        </row>
        <row r="6001">
          <cell r="C6001" t="str">
            <v xml:space="preserve">   COAL TAR+SALICYLIC ACID+SULFUR</v>
          </cell>
          <cell r="D6001">
            <v>2541</v>
          </cell>
          <cell r="E6001">
            <v>2432</v>
          </cell>
        </row>
        <row r="6002">
          <cell r="C6002" t="str">
            <v xml:space="preserve">    SORITAR            UNH</v>
          </cell>
          <cell r="D6002">
            <v>2541</v>
          </cell>
          <cell r="E6002">
            <v>2432</v>
          </cell>
        </row>
        <row r="6003">
          <cell r="C6003" t="str">
            <v xml:space="preserve">   COAL TAR</v>
          </cell>
          <cell r="D6003">
            <v>2103</v>
          </cell>
          <cell r="E6003">
            <v>3449</v>
          </cell>
        </row>
        <row r="6004">
          <cell r="C6004" t="str">
            <v xml:space="preserve">    SORITAR            UNH</v>
          </cell>
          <cell r="D6004">
            <v>2103</v>
          </cell>
          <cell r="E6004">
            <v>3449</v>
          </cell>
        </row>
        <row r="6005">
          <cell r="C6005" t="str">
            <v xml:space="preserve">   ANTI-PSORIASIS</v>
          </cell>
          <cell r="D6005">
            <v>1158</v>
          </cell>
          <cell r="E6005">
            <v>1772</v>
          </cell>
        </row>
        <row r="6006">
          <cell r="C6006" t="str">
            <v xml:space="preserve">    GACOZEMA           GCO</v>
          </cell>
          <cell r="D6006">
            <v>1158</v>
          </cell>
          <cell r="E6006">
            <v>1772</v>
          </cell>
        </row>
        <row r="6007">
          <cell r="C6007" t="str">
            <v xml:space="preserve">   ULOBETASOL</v>
          </cell>
          <cell r="D6007">
            <v>552</v>
          </cell>
          <cell r="E6007">
            <v>741</v>
          </cell>
        </row>
        <row r="6008">
          <cell r="C6008" t="str">
            <v xml:space="preserve">    ULTICORT PLUS      IAP</v>
          </cell>
          <cell r="D6008">
            <v>552</v>
          </cell>
          <cell r="E6008">
            <v>741</v>
          </cell>
        </row>
        <row r="6009">
          <cell r="C6009" t="str">
            <v xml:space="preserve">   BETAMETHASONE+SALICYLIC ACID</v>
          </cell>
          <cell r="D6009">
            <v>543</v>
          </cell>
          <cell r="E6009">
            <v>0</v>
          </cell>
        </row>
        <row r="6010">
          <cell r="C6010" t="str">
            <v xml:space="preserve">    BETSON-S           OPI</v>
          </cell>
          <cell r="D6010">
            <v>543</v>
          </cell>
          <cell r="E6010">
            <v>0</v>
          </cell>
        </row>
        <row r="6011">
          <cell r="C6011" t="str">
            <v xml:space="preserve">   TAZAROTENE+ULOBETASOL</v>
          </cell>
          <cell r="D6011">
            <v>513</v>
          </cell>
          <cell r="E6011">
            <v>2587</v>
          </cell>
        </row>
        <row r="6012">
          <cell r="C6012" t="str">
            <v xml:space="preserve">    HALOTAZ            ACM</v>
          </cell>
          <cell r="D6012">
            <v>513</v>
          </cell>
          <cell r="E6012">
            <v>2587</v>
          </cell>
        </row>
        <row r="6013">
          <cell r="C6013" t="str">
            <v xml:space="preserve">   TAZAROTENE</v>
          </cell>
          <cell r="D6013">
            <v>7</v>
          </cell>
          <cell r="E6013">
            <v>259</v>
          </cell>
        </row>
        <row r="6014">
          <cell r="C6014" t="str">
            <v xml:space="preserve">    TAZOSKIN           IAP</v>
          </cell>
          <cell r="D6014">
            <v>7</v>
          </cell>
          <cell r="E6014">
            <v>259</v>
          </cell>
        </row>
        <row r="6015">
          <cell r="C6015" t="str">
            <v xml:space="preserve">    SORITENE           BXM</v>
          </cell>
          <cell r="D6015">
            <v>0</v>
          </cell>
          <cell r="E6015">
            <v>0</v>
          </cell>
        </row>
        <row r="6016">
          <cell r="C6016" t="str">
            <v xml:space="preserve"> HYPERKAL.HYPERPHOS.PRODS</v>
          </cell>
          <cell r="D6016">
            <v>197243</v>
          </cell>
          <cell r="E6016">
            <v>157711</v>
          </cell>
        </row>
        <row r="6017">
          <cell r="C6017" t="str">
            <v xml:space="preserve">  HYPERPHOSPHATAEMIA PRODS</v>
          </cell>
          <cell r="D6017">
            <v>170086</v>
          </cell>
          <cell r="E6017">
            <v>128286</v>
          </cell>
        </row>
        <row r="6018">
          <cell r="C6018" t="str">
            <v xml:space="preserve">   SEVELAMER</v>
          </cell>
          <cell r="D6018">
            <v>135028</v>
          </cell>
          <cell r="E6018">
            <v>118606</v>
          </cell>
        </row>
        <row r="6019">
          <cell r="C6019" t="str">
            <v xml:space="preserve">    SEVEL              ACM</v>
          </cell>
          <cell r="D6019">
            <v>46238</v>
          </cell>
          <cell r="E6019">
            <v>45274</v>
          </cell>
        </row>
        <row r="6020">
          <cell r="C6020" t="str">
            <v xml:space="preserve">    KARVELA            HT3</v>
          </cell>
          <cell r="D6020">
            <v>35621</v>
          </cell>
          <cell r="E6020">
            <v>40778</v>
          </cell>
        </row>
        <row r="6021">
          <cell r="C6021" t="str">
            <v xml:space="preserve">    RENOSEV            UNH</v>
          </cell>
          <cell r="D6021">
            <v>34587</v>
          </cell>
          <cell r="E6021">
            <v>16156</v>
          </cell>
        </row>
        <row r="6022">
          <cell r="C6022" t="str">
            <v xml:space="preserve">    RENVELA            S.Y</v>
          </cell>
          <cell r="D6022">
            <v>18582</v>
          </cell>
          <cell r="E6022">
            <v>15351</v>
          </cell>
        </row>
        <row r="6023">
          <cell r="C6023" t="str">
            <v xml:space="preserve">    RENOPHOS           IAP</v>
          </cell>
          <cell r="D6023">
            <v>0</v>
          </cell>
          <cell r="E6023">
            <v>0</v>
          </cell>
        </row>
        <row r="6024">
          <cell r="C6024" t="str">
            <v xml:space="preserve">    INOPHOS            IAP</v>
          </cell>
          <cell r="D6024">
            <v>0</v>
          </cell>
          <cell r="E6024">
            <v>1047</v>
          </cell>
        </row>
        <row r="6025">
          <cell r="C6025" t="str">
            <v xml:space="preserve">   IRON FERRIC</v>
          </cell>
          <cell r="D6025">
            <v>22353</v>
          </cell>
          <cell r="E6025">
            <v>0</v>
          </cell>
        </row>
        <row r="6026">
          <cell r="C6026" t="str">
            <v xml:space="preserve">    FERICIT            ESF</v>
          </cell>
          <cell r="D6026">
            <v>22353</v>
          </cell>
          <cell r="E6026">
            <v>0</v>
          </cell>
        </row>
        <row r="6027">
          <cell r="C6027" t="str">
            <v xml:space="preserve">   CALCIUM+MAGNESIUM</v>
          </cell>
          <cell r="D6027">
            <v>8647</v>
          </cell>
          <cell r="E6027">
            <v>8599</v>
          </cell>
        </row>
        <row r="6028">
          <cell r="C6028" t="str">
            <v xml:space="preserve">    RENOCAL PLUS       EVR</v>
          </cell>
          <cell r="D6028">
            <v>8647</v>
          </cell>
          <cell r="E6028">
            <v>8599</v>
          </cell>
        </row>
        <row r="6029">
          <cell r="C6029" t="str">
            <v xml:space="preserve">   LANTHANUM</v>
          </cell>
          <cell r="D6029">
            <v>3551</v>
          </cell>
          <cell r="E6029">
            <v>0</v>
          </cell>
        </row>
        <row r="6030">
          <cell r="C6030" t="str">
            <v xml:space="preserve">    LANFOS             BAC</v>
          </cell>
          <cell r="D6030">
            <v>3551</v>
          </cell>
          <cell r="E6030">
            <v>0</v>
          </cell>
        </row>
        <row r="6031">
          <cell r="C6031" t="str">
            <v xml:space="preserve">   SUCROFERRIC OXYHYDROXIDE</v>
          </cell>
          <cell r="D6031">
            <v>508</v>
          </cell>
          <cell r="E6031">
            <v>1081</v>
          </cell>
        </row>
        <row r="6032">
          <cell r="C6032" t="str">
            <v xml:space="preserve">    DEPHOS             ESF</v>
          </cell>
          <cell r="D6032">
            <v>508</v>
          </cell>
          <cell r="E6032">
            <v>1081</v>
          </cell>
        </row>
        <row r="6033">
          <cell r="C6033" t="str">
            <v xml:space="preserve">  HYPERKALAEMIA PRODUCTS</v>
          </cell>
          <cell r="D6033">
            <v>27157</v>
          </cell>
          <cell r="E6033">
            <v>29426</v>
          </cell>
        </row>
        <row r="6034">
          <cell r="C6034" t="str">
            <v xml:space="preserve">   POLYSTYRENE SULFONATE</v>
          </cell>
          <cell r="D6034">
            <v>27157</v>
          </cell>
          <cell r="E6034">
            <v>29426</v>
          </cell>
        </row>
        <row r="6035">
          <cell r="C6035" t="str">
            <v xml:space="preserve">    NORMO-K            SQA</v>
          </cell>
          <cell r="D6035">
            <v>24437</v>
          </cell>
          <cell r="E6035">
            <v>25270</v>
          </cell>
        </row>
        <row r="6036">
          <cell r="C6036" t="str">
            <v xml:space="preserve">    LEVEL-K            IAP</v>
          </cell>
          <cell r="D6036">
            <v>2720</v>
          </cell>
          <cell r="E6036">
            <v>4155</v>
          </cell>
        </row>
        <row r="6037">
          <cell r="C6037" t="str">
            <v xml:space="preserve"> DIRECT FACTOR XA INHIBS</v>
          </cell>
          <cell r="D6037">
            <v>195406</v>
          </cell>
          <cell r="E6037">
            <v>155042</v>
          </cell>
        </row>
        <row r="6038">
          <cell r="C6038" t="str">
            <v xml:space="preserve">  DIRECT FACTOR XA INHIBS</v>
          </cell>
          <cell r="D6038">
            <v>195406</v>
          </cell>
          <cell r="E6038">
            <v>155042</v>
          </cell>
        </row>
        <row r="6039">
          <cell r="C6039" t="str">
            <v xml:space="preserve">   RIVAROXABAN</v>
          </cell>
          <cell r="D6039">
            <v>163818</v>
          </cell>
          <cell r="E6039">
            <v>127077</v>
          </cell>
        </row>
        <row r="6040">
          <cell r="C6040" t="str">
            <v xml:space="preserve">    RIVAROX            ESF</v>
          </cell>
          <cell r="D6040">
            <v>159688</v>
          </cell>
          <cell r="E6040">
            <v>118480</v>
          </cell>
        </row>
        <row r="6041">
          <cell r="C6041" t="str">
            <v xml:space="preserve">    RIVAXA             SQA</v>
          </cell>
          <cell r="D6041">
            <v>3579</v>
          </cell>
          <cell r="E6041">
            <v>7147</v>
          </cell>
        </row>
        <row r="6042">
          <cell r="C6042" t="str">
            <v xml:space="preserve">    RIVANEX            PPH</v>
          </cell>
          <cell r="D6042">
            <v>406</v>
          </cell>
          <cell r="E6042">
            <v>592</v>
          </cell>
        </row>
        <row r="6043">
          <cell r="C6043" t="str">
            <v xml:space="preserve">    RAFTER             HT3</v>
          </cell>
          <cell r="D6043">
            <v>144</v>
          </cell>
          <cell r="E6043">
            <v>0</v>
          </cell>
        </row>
        <row r="6044">
          <cell r="C6044" t="str">
            <v xml:space="preserve">    ROXAREL            IAP</v>
          </cell>
          <cell r="D6044">
            <v>0</v>
          </cell>
          <cell r="E6044">
            <v>0</v>
          </cell>
        </row>
        <row r="6045">
          <cell r="C6045" t="str">
            <v xml:space="preserve">    RIVABAN            A-I</v>
          </cell>
          <cell r="D6045">
            <v>0</v>
          </cell>
          <cell r="E6045">
            <v>482</v>
          </cell>
        </row>
        <row r="6046">
          <cell r="C6046" t="str">
            <v xml:space="preserve">    VAROX              D-I</v>
          </cell>
          <cell r="D6046">
            <v>0</v>
          </cell>
          <cell r="E6046">
            <v>0</v>
          </cell>
        </row>
        <row r="6047">
          <cell r="C6047" t="str">
            <v xml:space="preserve">    KINEXA             BXM</v>
          </cell>
          <cell r="D6047">
            <v>0</v>
          </cell>
          <cell r="E6047">
            <v>257</v>
          </cell>
        </row>
        <row r="6048">
          <cell r="C6048" t="str">
            <v xml:space="preserve">    OXABAN             UNH</v>
          </cell>
          <cell r="D6048">
            <v>0</v>
          </cell>
          <cell r="E6048">
            <v>103</v>
          </cell>
        </row>
        <row r="6049">
          <cell r="C6049" t="str">
            <v xml:space="preserve">    XARELTA            OPI</v>
          </cell>
          <cell r="D6049">
            <v>0</v>
          </cell>
          <cell r="E6049">
            <v>0</v>
          </cell>
        </row>
        <row r="6050">
          <cell r="C6050" t="str">
            <v xml:space="preserve">    ROXOLYTE           RTA</v>
          </cell>
          <cell r="D6050">
            <v>0</v>
          </cell>
          <cell r="E6050">
            <v>16</v>
          </cell>
        </row>
        <row r="6051">
          <cell r="C6051" t="str">
            <v xml:space="preserve">   APIXABAN</v>
          </cell>
          <cell r="D6051">
            <v>31426</v>
          </cell>
          <cell r="E6051">
            <v>21523</v>
          </cell>
        </row>
        <row r="6052">
          <cell r="C6052" t="str">
            <v xml:space="preserve">    APIXAN             UNH</v>
          </cell>
          <cell r="D6052">
            <v>25933</v>
          </cell>
          <cell r="E6052">
            <v>15974</v>
          </cell>
        </row>
        <row r="6053">
          <cell r="C6053" t="str">
            <v xml:space="preserve">    PIXOREL            IAP</v>
          </cell>
          <cell r="D6053">
            <v>4761</v>
          </cell>
          <cell r="E6053">
            <v>4398</v>
          </cell>
        </row>
        <row r="6054">
          <cell r="C6054" t="str">
            <v xml:space="preserve">    COPIXA             S.Y</v>
          </cell>
          <cell r="D6054">
            <v>391</v>
          </cell>
          <cell r="E6054">
            <v>0</v>
          </cell>
        </row>
        <row r="6055">
          <cell r="C6055" t="str">
            <v xml:space="preserve">    APIBAN             NJP</v>
          </cell>
          <cell r="D6055">
            <v>342</v>
          </cell>
          <cell r="E6055">
            <v>1130</v>
          </cell>
        </row>
        <row r="6056">
          <cell r="C6056" t="str">
            <v xml:space="preserve">    APIXA              BXM</v>
          </cell>
          <cell r="D6056">
            <v>0</v>
          </cell>
          <cell r="E6056">
            <v>22</v>
          </cell>
        </row>
        <row r="6057">
          <cell r="C6057" t="str">
            <v xml:space="preserve">    ANTIXA             GNR</v>
          </cell>
          <cell r="D6057">
            <v>0</v>
          </cell>
          <cell r="E6057">
            <v>0</v>
          </cell>
        </row>
        <row r="6058">
          <cell r="C6058" t="str">
            <v xml:space="preserve">   BETRIXABAN</v>
          </cell>
          <cell r="D6058">
            <v>161</v>
          </cell>
          <cell r="E6058">
            <v>6443</v>
          </cell>
        </row>
        <row r="6059">
          <cell r="C6059" t="str">
            <v xml:space="preserve">    BETRIXA            SQA</v>
          </cell>
          <cell r="D6059">
            <v>161</v>
          </cell>
          <cell r="E6059">
            <v>6443</v>
          </cell>
        </row>
        <row r="6060">
          <cell r="C6060" t="str">
            <v xml:space="preserve"> HEPARINS</v>
          </cell>
          <cell r="D6060">
            <v>127894</v>
          </cell>
          <cell r="E6060">
            <v>116709</v>
          </cell>
        </row>
        <row r="6061">
          <cell r="C6061" t="str">
            <v xml:space="preserve">  FRACTIONATED HEPARINS</v>
          </cell>
          <cell r="D6061">
            <v>127890</v>
          </cell>
          <cell r="E6061">
            <v>116012</v>
          </cell>
        </row>
        <row r="6062">
          <cell r="C6062" t="str">
            <v xml:space="preserve">   ENOXAPARIN SODIUM</v>
          </cell>
          <cell r="D6062">
            <v>127890</v>
          </cell>
          <cell r="E6062">
            <v>116012</v>
          </cell>
        </row>
        <row r="6063">
          <cell r="C6063" t="str">
            <v xml:space="preserve">    CARDINEX           D-I</v>
          </cell>
          <cell r="D6063">
            <v>47816</v>
          </cell>
          <cell r="E6063">
            <v>48235</v>
          </cell>
        </row>
        <row r="6064">
          <cell r="C6064" t="str">
            <v xml:space="preserve">    XAPARIN            ACM</v>
          </cell>
          <cell r="D6064">
            <v>20366</v>
          </cell>
          <cell r="E6064">
            <v>724</v>
          </cell>
        </row>
        <row r="6065">
          <cell r="C6065" t="str">
            <v xml:space="preserve">    ALEXA              HT3</v>
          </cell>
          <cell r="D6065">
            <v>20034</v>
          </cell>
          <cell r="E6065">
            <v>12207</v>
          </cell>
        </row>
        <row r="6066">
          <cell r="C6066" t="str">
            <v xml:space="preserve">    PARINOX            IAP</v>
          </cell>
          <cell r="D6066">
            <v>11723</v>
          </cell>
          <cell r="E6066">
            <v>13707</v>
          </cell>
        </row>
        <row r="6067">
          <cell r="C6067" t="str">
            <v xml:space="preserve">    CLEVEN             BXM</v>
          </cell>
          <cell r="D6067">
            <v>8230</v>
          </cell>
          <cell r="E6067">
            <v>29280</v>
          </cell>
        </row>
        <row r="6068">
          <cell r="C6068" t="str">
            <v xml:space="preserve">    ENORIN             ESF</v>
          </cell>
          <cell r="D6068">
            <v>5014</v>
          </cell>
          <cell r="E6068">
            <v>0</v>
          </cell>
        </row>
        <row r="6069">
          <cell r="C6069" t="str">
            <v xml:space="preserve">    CLOTINEX           SQA</v>
          </cell>
          <cell r="D6069">
            <v>4460</v>
          </cell>
          <cell r="E6069">
            <v>5734</v>
          </cell>
        </row>
        <row r="6070">
          <cell r="C6070" t="str">
            <v xml:space="preserve">    ENOPARIN           PPH</v>
          </cell>
          <cell r="D6070">
            <v>3743</v>
          </cell>
          <cell r="E6070">
            <v>2190</v>
          </cell>
        </row>
        <row r="6071">
          <cell r="C6071" t="str">
            <v xml:space="preserve">    EPARIN             BAC</v>
          </cell>
          <cell r="D6071">
            <v>2348</v>
          </cell>
          <cell r="E6071">
            <v>1308</v>
          </cell>
        </row>
        <row r="6072">
          <cell r="C6072" t="str">
            <v xml:space="preserve">    INTRAVAS           ATP</v>
          </cell>
          <cell r="D6072">
            <v>1910</v>
          </cell>
          <cell r="E6072">
            <v>746</v>
          </cell>
        </row>
        <row r="6073">
          <cell r="C6073" t="str">
            <v xml:space="preserve">    NOXARIN            OPI</v>
          </cell>
          <cell r="D6073">
            <v>1516</v>
          </cell>
          <cell r="E6073">
            <v>200</v>
          </cell>
        </row>
        <row r="6074">
          <cell r="C6074" t="str">
            <v xml:space="preserve">    OVENOX             S.Y</v>
          </cell>
          <cell r="D6074">
            <v>388</v>
          </cell>
          <cell r="E6074">
            <v>1029</v>
          </cell>
        </row>
        <row r="6075">
          <cell r="C6075" t="str">
            <v xml:space="preserve">    VISTARIN           A-I</v>
          </cell>
          <cell r="D6075">
            <v>343</v>
          </cell>
          <cell r="E6075">
            <v>0</v>
          </cell>
        </row>
        <row r="6076">
          <cell r="C6076" t="str">
            <v xml:space="preserve">    CLEXANE            S.Y</v>
          </cell>
          <cell r="D6076">
            <v>0</v>
          </cell>
          <cell r="E6076">
            <v>0</v>
          </cell>
        </row>
        <row r="6077">
          <cell r="C6077" t="str">
            <v xml:space="preserve">    CLAXO              GNR</v>
          </cell>
          <cell r="D6077">
            <v>0</v>
          </cell>
          <cell r="E6077">
            <v>653</v>
          </cell>
        </row>
        <row r="6078">
          <cell r="C6078" t="str">
            <v xml:space="preserve">  UNFRACTIONATED HEPARINS</v>
          </cell>
          <cell r="D6078">
            <v>5</v>
          </cell>
          <cell r="E6078">
            <v>696</v>
          </cell>
        </row>
        <row r="6079">
          <cell r="C6079" t="str">
            <v xml:space="preserve">   HEPARIN</v>
          </cell>
          <cell r="D6079">
            <v>5</v>
          </cell>
          <cell r="E6079">
            <v>696</v>
          </cell>
        </row>
        <row r="6080">
          <cell r="C6080" t="str">
            <v xml:space="preserve">    HEPARIN            MPX</v>
          </cell>
          <cell r="D6080">
            <v>5</v>
          </cell>
          <cell r="E6080">
            <v>0</v>
          </cell>
        </row>
        <row r="6081">
          <cell r="C6081" t="str">
            <v xml:space="preserve">    HEPARIN            LEO</v>
          </cell>
          <cell r="D6081">
            <v>0</v>
          </cell>
          <cell r="E6081">
            <v>0</v>
          </cell>
        </row>
        <row r="6082">
          <cell r="C6082" t="str">
            <v xml:space="preserve">    HEPARON            BAC</v>
          </cell>
          <cell r="D6082">
            <v>0</v>
          </cell>
          <cell r="E6082">
            <v>696</v>
          </cell>
        </row>
        <row r="6083">
          <cell r="C6083" t="str">
            <v xml:space="preserve"> ANAEROBICIDES</v>
          </cell>
          <cell r="D6083">
            <v>89974</v>
          </cell>
          <cell r="E6083">
            <v>99664</v>
          </cell>
        </row>
        <row r="6084">
          <cell r="C6084" t="str">
            <v xml:space="preserve">  ANAEROBICIDES</v>
          </cell>
          <cell r="D6084">
            <v>89974</v>
          </cell>
          <cell r="E6084">
            <v>99664</v>
          </cell>
        </row>
        <row r="6085">
          <cell r="C6085" t="str">
            <v xml:space="preserve">   METRONIDAZOLE</v>
          </cell>
          <cell r="D6085">
            <v>89974</v>
          </cell>
          <cell r="E6085">
            <v>99664</v>
          </cell>
        </row>
        <row r="6086">
          <cell r="C6086" t="str">
            <v xml:space="preserve">    METRYL             OPI</v>
          </cell>
          <cell r="D6086">
            <v>70813</v>
          </cell>
          <cell r="E6086">
            <v>63518</v>
          </cell>
        </row>
        <row r="6087">
          <cell r="C6087" t="str">
            <v xml:space="preserve">    METRO              OS9</v>
          </cell>
          <cell r="D6087">
            <v>9047</v>
          </cell>
          <cell r="E6087">
            <v>14482</v>
          </cell>
        </row>
        <row r="6088">
          <cell r="C6088" t="str">
            <v xml:space="preserve">    FLAMYD             IAP</v>
          </cell>
          <cell r="D6088">
            <v>6887</v>
          </cell>
          <cell r="E6088">
            <v>14799</v>
          </cell>
        </row>
        <row r="6089">
          <cell r="C6089" t="str">
            <v xml:space="preserve">    METROBAC           ZIS</v>
          </cell>
          <cell r="D6089">
            <v>1295</v>
          </cell>
          <cell r="E6089">
            <v>1058</v>
          </cell>
        </row>
        <row r="6090">
          <cell r="C6090" t="str">
            <v xml:space="preserve">    METONID            PPH</v>
          </cell>
          <cell r="D6090">
            <v>658</v>
          </cell>
          <cell r="E6090">
            <v>1504</v>
          </cell>
        </row>
        <row r="6091">
          <cell r="C6091" t="str">
            <v xml:space="preserve">    MEZ                RTA</v>
          </cell>
          <cell r="D6091">
            <v>417</v>
          </cell>
          <cell r="E6091">
            <v>249</v>
          </cell>
        </row>
        <row r="6092">
          <cell r="C6092" t="str">
            <v xml:space="preserve">    METCO              ESF</v>
          </cell>
          <cell r="D6092">
            <v>228</v>
          </cell>
          <cell r="E6092">
            <v>72</v>
          </cell>
        </row>
        <row r="6093">
          <cell r="C6093" t="str">
            <v xml:space="preserve">    DIROZYL            ACM</v>
          </cell>
          <cell r="D6093">
            <v>224</v>
          </cell>
          <cell r="E6093">
            <v>689</v>
          </cell>
        </row>
        <row r="6094">
          <cell r="C6094" t="str">
            <v xml:space="preserve">    FLAGYL             S.Y</v>
          </cell>
          <cell r="D6094">
            <v>192</v>
          </cell>
          <cell r="E6094">
            <v>2822</v>
          </cell>
        </row>
        <row r="6095">
          <cell r="C6095" t="str">
            <v xml:space="preserve">    AMODIS             SQA</v>
          </cell>
          <cell r="D6095">
            <v>118</v>
          </cell>
          <cell r="E6095">
            <v>103</v>
          </cell>
        </row>
        <row r="6096">
          <cell r="C6096" t="str">
            <v xml:space="preserve">    METSINA            IBN</v>
          </cell>
          <cell r="D6096">
            <v>48</v>
          </cell>
          <cell r="E6096">
            <v>149</v>
          </cell>
        </row>
        <row r="6097">
          <cell r="C6097" t="str">
            <v xml:space="preserve">    AMOTREX            A-I</v>
          </cell>
          <cell r="D6097">
            <v>42</v>
          </cell>
          <cell r="E6097">
            <v>33</v>
          </cell>
        </row>
        <row r="6098">
          <cell r="C6098" t="str">
            <v xml:space="preserve">    NIDAZYL            OIF</v>
          </cell>
          <cell r="D6098">
            <v>4</v>
          </cell>
          <cell r="E6098">
            <v>76</v>
          </cell>
        </row>
        <row r="6099">
          <cell r="C6099" t="str">
            <v xml:space="preserve">    LIBRAZOL           LBA</v>
          </cell>
          <cell r="D6099">
            <v>0</v>
          </cell>
          <cell r="E6099">
            <v>0</v>
          </cell>
        </row>
        <row r="6100">
          <cell r="C6100" t="str">
            <v xml:space="preserve">    METROMAX           NVO</v>
          </cell>
          <cell r="D6100">
            <v>0</v>
          </cell>
          <cell r="E6100">
            <v>17</v>
          </cell>
        </row>
        <row r="6101">
          <cell r="C6101" t="str">
            <v xml:space="preserve">    G-METRONIDAZOLE    GNS</v>
          </cell>
          <cell r="D6101">
            <v>0</v>
          </cell>
          <cell r="E6101">
            <v>92</v>
          </cell>
        </row>
        <row r="6102">
          <cell r="C6102" t="str">
            <v xml:space="preserve"> TRIMETHOPRIM COMBS</v>
          </cell>
          <cell r="D6102">
            <v>39844</v>
          </cell>
          <cell r="E6102">
            <v>42416</v>
          </cell>
        </row>
        <row r="6103">
          <cell r="C6103" t="str">
            <v xml:space="preserve">  TRIMETHOPRIM COMBS</v>
          </cell>
          <cell r="D6103">
            <v>39844</v>
          </cell>
          <cell r="E6103">
            <v>42416</v>
          </cell>
        </row>
        <row r="6104">
          <cell r="C6104" t="str">
            <v xml:space="preserve">   SULFAMETHOXAZOLE+TRIMETHOPRIM</v>
          </cell>
          <cell r="D6104">
            <v>39844</v>
          </cell>
          <cell r="E6104">
            <v>42416</v>
          </cell>
        </row>
        <row r="6105">
          <cell r="C6105" t="str">
            <v xml:space="preserve">    COTRIM             SQA</v>
          </cell>
          <cell r="D6105">
            <v>39386</v>
          </cell>
          <cell r="E6105">
            <v>41757</v>
          </cell>
        </row>
        <row r="6106">
          <cell r="C6106" t="str">
            <v xml:space="preserve">    AVLOTRIN           A-I</v>
          </cell>
          <cell r="D6106">
            <v>368</v>
          </cell>
          <cell r="E6106">
            <v>303</v>
          </cell>
        </row>
        <row r="6107">
          <cell r="C6107" t="str">
            <v xml:space="preserve">    COTS               OPI</v>
          </cell>
          <cell r="D6107">
            <v>45</v>
          </cell>
          <cell r="E6107">
            <v>60</v>
          </cell>
        </row>
        <row r="6108">
          <cell r="C6108" t="str">
            <v xml:space="preserve">    NAPATRIM           NAJ</v>
          </cell>
          <cell r="D6108">
            <v>21</v>
          </cell>
          <cell r="E6108">
            <v>139</v>
          </cell>
        </row>
        <row r="6109">
          <cell r="C6109" t="str">
            <v xml:space="preserve">    MICOGYL            GBE</v>
          </cell>
          <cell r="D6109">
            <v>18</v>
          </cell>
          <cell r="E6109">
            <v>40</v>
          </cell>
        </row>
        <row r="6110">
          <cell r="C6110" t="str">
            <v xml:space="preserve">    SUPTRIM            IAP</v>
          </cell>
          <cell r="D6110">
            <v>3</v>
          </cell>
          <cell r="E6110">
            <v>22</v>
          </cell>
        </row>
        <row r="6111">
          <cell r="C6111" t="str">
            <v xml:space="preserve">    SINATRIM           IBN</v>
          </cell>
          <cell r="D6111">
            <v>3</v>
          </cell>
          <cell r="E6111">
            <v>5</v>
          </cell>
        </row>
        <row r="6112">
          <cell r="C6112" t="str">
            <v xml:space="preserve">    ACTRIM             GBE</v>
          </cell>
          <cell r="D6112">
            <v>0</v>
          </cell>
          <cell r="E6112">
            <v>62</v>
          </cell>
        </row>
        <row r="6113">
          <cell r="C6113" t="str">
            <v xml:space="preserve">    ALCOT              PAC</v>
          </cell>
          <cell r="D6113">
            <v>0</v>
          </cell>
          <cell r="E6113">
            <v>0</v>
          </cell>
        </row>
        <row r="6114">
          <cell r="C6114" t="str">
            <v xml:space="preserve">    APTRIM             ALO</v>
          </cell>
          <cell r="D6114">
            <v>0</v>
          </cell>
          <cell r="E6114">
            <v>2</v>
          </cell>
        </row>
        <row r="6115">
          <cell r="C6115" t="str">
            <v xml:space="preserve">    BACTACIN           ATP</v>
          </cell>
          <cell r="D6115">
            <v>0</v>
          </cell>
          <cell r="E6115">
            <v>0</v>
          </cell>
        </row>
        <row r="6116">
          <cell r="C6116" t="str">
            <v xml:space="preserve">    BACTAZOL           SON</v>
          </cell>
          <cell r="D6116">
            <v>0</v>
          </cell>
          <cell r="E6116">
            <v>0</v>
          </cell>
        </row>
        <row r="6117">
          <cell r="C6117" t="str">
            <v xml:space="preserve">    BIOTRIM            BP&amp;</v>
          </cell>
          <cell r="D6117">
            <v>0</v>
          </cell>
          <cell r="E6117">
            <v>0</v>
          </cell>
        </row>
        <row r="6118">
          <cell r="C6118" t="str">
            <v xml:space="preserve">    CHEMOTRIM          OPI</v>
          </cell>
          <cell r="D6118">
            <v>0</v>
          </cell>
          <cell r="E6118">
            <v>0</v>
          </cell>
        </row>
        <row r="6119">
          <cell r="C6119" t="str">
            <v xml:space="preserve">    CITRIM             CPL</v>
          </cell>
          <cell r="D6119">
            <v>0</v>
          </cell>
          <cell r="E6119">
            <v>0</v>
          </cell>
        </row>
        <row r="6120">
          <cell r="C6120" t="str">
            <v xml:space="preserve">    COSAT              ESF</v>
          </cell>
          <cell r="D6120">
            <v>0</v>
          </cell>
          <cell r="E6120">
            <v>0</v>
          </cell>
        </row>
        <row r="6121">
          <cell r="C6121" t="str">
            <v xml:space="preserve">    COTRILIN           AMA</v>
          </cell>
          <cell r="D6121">
            <v>0</v>
          </cell>
          <cell r="E6121">
            <v>0</v>
          </cell>
        </row>
        <row r="6122">
          <cell r="C6122" t="str">
            <v xml:space="preserve">    DITRIM             D-I</v>
          </cell>
          <cell r="D6122">
            <v>0</v>
          </cell>
          <cell r="E6122">
            <v>0</v>
          </cell>
        </row>
        <row r="6123">
          <cell r="C6123" t="str">
            <v xml:space="preserve">    GENTRIM            GNR</v>
          </cell>
          <cell r="D6123">
            <v>0</v>
          </cell>
          <cell r="E6123">
            <v>0</v>
          </cell>
        </row>
        <row r="6124">
          <cell r="C6124" t="str">
            <v xml:space="preserve">    MEDITRIM           MDM</v>
          </cell>
          <cell r="D6124">
            <v>0</v>
          </cell>
          <cell r="E6124">
            <v>0</v>
          </cell>
        </row>
        <row r="6125">
          <cell r="C6125" t="str">
            <v xml:space="preserve">    MEGASET            A.P</v>
          </cell>
          <cell r="D6125">
            <v>0</v>
          </cell>
          <cell r="E6125">
            <v>0</v>
          </cell>
        </row>
        <row r="6126">
          <cell r="C6126" t="str">
            <v xml:space="preserve">    MEGATRIM           BXM</v>
          </cell>
          <cell r="D6126">
            <v>0</v>
          </cell>
          <cell r="E6126">
            <v>26</v>
          </cell>
        </row>
        <row r="6127">
          <cell r="C6127" t="str">
            <v xml:space="preserve">    SERVOPRIM          S.Y</v>
          </cell>
          <cell r="D6127">
            <v>0</v>
          </cell>
          <cell r="E6127">
            <v>0</v>
          </cell>
        </row>
        <row r="6128">
          <cell r="C6128" t="str">
            <v xml:space="preserve"> TOPICAL ANTIPRURITICS</v>
          </cell>
          <cell r="D6128">
            <v>23992</v>
          </cell>
          <cell r="E6128">
            <v>19030</v>
          </cell>
        </row>
        <row r="6129">
          <cell r="C6129" t="str">
            <v xml:space="preserve">  TOPICAL ANTIPRURITICS</v>
          </cell>
          <cell r="D6129">
            <v>23992</v>
          </cell>
          <cell r="E6129">
            <v>19030</v>
          </cell>
        </row>
        <row r="6130">
          <cell r="C6130" t="str">
            <v xml:space="preserve">   CROTAMITON</v>
          </cell>
          <cell r="D6130">
            <v>15207</v>
          </cell>
          <cell r="E6130">
            <v>9656</v>
          </cell>
        </row>
        <row r="6131">
          <cell r="C6131" t="str">
            <v xml:space="preserve">    CRONIX             UNH</v>
          </cell>
          <cell r="D6131">
            <v>15156</v>
          </cell>
          <cell r="E6131">
            <v>9565</v>
          </cell>
        </row>
        <row r="6132">
          <cell r="C6132" t="str">
            <v xml:space="preserve">    CUREX              KUM</v>
          </cell>
          <cell r="D6132">
            <v>51</v>
          </cell>
          <cell r="E6132">
            <v>91</v>
          </cell>
        </row>
        <row r="6133">
          <cell r="C6133" t="str">
            <v xml:space="preserve">   DIPHENHYDRAMINE+ZINC</v>
          </cell>
          <cell r="D6133">
            <v>5091</v>
          </cell>
          <cell r="E6133">
            <v>6378</v>
          </cell>
        </row>
        <row r="6134">
          <cell r="C6134" t="str">
            <v xml:space="preserve">    TOGENT             SQA</v>
          </cell>
          <cell r="D6134">
            <v>4577</v>
          </cell>
          <cell r="E6134">
            <v>6110</v>
          </cell>
        </row>
        <row r="6135">
          <cell r="C6135" t="str">
            <v xml:space="preserve">    ITCHCARE           IAP</v>
          </cell>
          <cell r="D6135">
            <v>509</v>
          </cell>
          <cell r="E6135">
            <v>238</v>
          </cell>
        </row>
        <row r="6136">
          <cell r="C6136" t="str">
            <v xml:space="preserve">    BENDIL             A.P</v>
          </cell>
          <cell r="D6136">
            <v>4</v>
          </cell>
          <cell r="E6136">
            <v>31</v>
          </cell>
        </row>
        <row r="6137">
          <cell r="C6137" t="str">
            <v xml:space="preserve">   CALAMINE+PRAMOCAINE</v>
          </cell>
          <cell r="D6137">
            <v>2856</v>
          </cell>
          <cell r="E6137">
            <v>2716</v>
          </cell>
        </row>
        <row r="6138">
          <cell r="C6138" t="str">
            <v xml:space="preserve">    ITCHNIL            ESF</v>
          </cell>
          <cell r="D6138">
            <v>2310</v>
          </cell>
          <cell r="E6138">
            <v>1743</v>
          </cell>
        </row>
        <row r="6139">
          <cell r="C6139" t="str">
            <v xml:space="preserve">    ITCHSOL            IAP</v>
          </cell>
          <cell r="D6139">
            <v>546</v>
          </cell>
          <cell r="E6139">
            <v>973</v>
          </cell>
        </row>
        <row r="6140">
          <cell r="C6140" t="str">
            <v xml:space="preserve">   DIFELIKEFALIN</v>
          </cell>
          <cell r="D6140">
            <v>720</v>
          </cell>
          <cell r="E6140">
            <v>0</v>
          </cell>
        </row>
        <row r="6141">
          <cell r="C6141" t="str">
            <v xml:space="preserve">    DEFALIX            ESF</v>
          </cell>
          <cell r="D6141">
            <v>720</v>
          </cell>
          <cell r="E6141">
            <v>0</v>
          </cell>
        </row>
        <row r="6142">
          <cell r="C6142" t="str">
            <v xml:space="preserve">   CALAMINE+GLYCEROL+ZINC</v>
          </cell>
          <cell r="D6142">
            <v>118</v>
          </cell>
          <cell r="E6142">
            <v>247</v>
          </cell>
        </row>
        <row r="6143">
          <cell r="C6143" t="str">
            <v xml:space="preserve">    CALAMILON          UCL</v>
          </cell>
          <cell r="D6143">
            <v>118</v>
          </cell>
          <cell r="E6143">
            <v>247</v>
          </cell>
        </row>
        <row r="6144">
          <cell r="C6144" t="str">
            <v xml:space="preserve">   DOXEPIN</v>
          </cell>
          <cell r="D6144">
            <v>0</v>
          </cell>
          <cell r="E6144">
            <v>2</v>
          </cell>
        </row>
        <row r="6145">
          <cell r="C6145" t="str">
            <v xml:space="preserve">    DOXIDERM           IAP</v>
          </cell>
          <cell r="D6145">
            <v>0</v>
          </cell>
          <cell r="E6145">
            <v>2</v>
          </cell>
        </row>
        <row r="6146">
          <cell r="C6146" t="str">
            <v xml:space="preserve">   PROMETHAZINE</v>
          </cell>
          <cell r="D6146">
            <v>0</v>
          </cell>
          <cell r="E6146">
            <v>19</v>
          </cell>
        </row>
        <row r="6147">
          <cell r="C6147" t="str">
            <v xml:space="preserve">    PHENERGAN          S.Y</v>
          </cell>
          <cell r="D6147">
            <v>0</v>
          </cell>
          <cell r="E6147">
            <v>19</v>
          </cell>
        </row>
        <row r="6148">
          <cell r="C6148" t="str">
            <v xml:space="preserve">   MEPYRAMINE</v>
          </cell>
          <cell r="D6148">
            <v>0</v>
          </cell>
          <cell r="E6148">
            <v>11</v>
          </cell>
        </row>
        <row r="6149">
          <cell r="C6149" t="str">
            <v xml:space="preserve">    ANTHISAN           S.Y</v>
          </cell>
          <cell r="D6149">
            <v>0</v>
          </cell>
          <cell r="E6149">
            <v>11</v>
          </cell>
        </row>
        <row r="6150">
          <cell r="C6150" t="str">
            <v xml:space="preserve"> SYSTEMIC NASAL PREPS</v>
          </cell>
          <cell r="D6150">
            <v>16586</v>
          </cell>
          <cell r="E6150">
            <v>27335</v>
          </cell>
        </row>
        <row r="6151">
          <cell r="C6151" t="str">
            <v xml:space="preserve">  SYSTEMIC NASAL PREPS</v>
          </cell>
          <cell r="D6151">
            <v>16586</v>
          </cell>
          <cell r="E6151">
            <v>27335</v>
          </cell>
        </row>
        <row r="6152">
          <cell r="C6152" t="str">
            <v xml:space="preserve">   PHENYLEPHRINE+PROMETHAZINE</v>
          </cell>
          <cell r="D6152">
            <v>14269</v>
          </cell>
          <cell r="E6152">
            <v>21852</v>
          </cell>
        </row>
        <row r="6153">
          <cell r="C6153" t="str">
            <v xml:space="preserve">    PHENERGAN PLUS     S.Y</v>
          </cell>
          <cell r="D6153">
            <v>13415</v>
          </cell>
          <cell r="E6153">
            <v>21338</v>
          </cell>
        </row>
        <row r="6154">
          <cell r="C6154" t="str">
            <v xml:space="preserve">    FINACOF            IAP</v>
          </cell>
          <cell r="D6154">
            <v>854</v>
          </cell>
          <cell r="E6154">
            <v>514</v>
          </cell>
        </row>
        <row r="6155">
          <cell r="C6155" t="str">
            <v xml:space="preserve">   FEXOFENADINE+PSEUDOEPHEDRINE</v>
          </cell>
          <cell r="D6155">
            <v>1581</v>
          </cell>
          <cell r="E6155">
            <v>3855</v>
          </cell>
        </row>
        <row r="6156">
          <cell r="C6156" t="str">
            <v xml:space="preserve">    FEXO-PLUS          SQA</v>
          </cell>
          <cell r="D6156">
            <v>1460</v>
          </cell>
          <cell r="E6156">
            <v>3641</v>
          </cell>
        </row>
        <row r="6157">
          <cell r="C6157" t="str">
            <v xml:space="preserve">    FIXAL PLUS         OPI</v>
          </cell>
          <cell r="D6157">
            <v>94</v>
          </cell>
          <cell r="E6157">
            <v>158</v>
          </cell>
        </row>
        <row r="6158">
          <cell r="C6158" t="str">
            <v xml:space="preserve">    RITCH PLUS         A-I</v>
          </cell>
          <cell r="D6158">
            <v>27</v>
          </cell>
          <cell r="E6158">
            <v>56</v>
          </cell>
        </row>
        <row r="6159">
          <cell r="C6159" t="str">
            <v xml:space="preserve">   LORATADINE+PSEUDOEPHEDRINE</v>
          </cell>
          <cell r="D6159">
            <v>316</v>
          </cell>
          <cell r="E6159">
            <v>970</v>
          </cell>
        </row>
        <row r="6160">
          <cell r="C6160" t="str">
            <v xml:space="preserve">    LORA PLUS          OPI</v>
          </cell>
          <cell r="D6160">
            <v>178</v>
          </cell>
          <cell r="E6160">
            <v>0</v>
          </cell>
        </row>
        <row r="6161">
          <cell r="C6161" t="str">
            <v xml:space="preserve">    LORATIN PLUS       SQA</v>
          </cell>
          <cell r="D6161">
            <v>130</v>
          </cell>
          <cell r="E6161">
            <v>190</v>
          </cell>
        </row>
        <row r="6162">
          <cell r="C6162" t="str">
            <v xml:space="preserve">    DECONTIN           OPI</v>
          </cell>
          <cell r="D6162">
            <v>9</v>
          </cell>
          <cell r="E6162">
            <v>0</v>
          </cell>
        </row>
        <row r="6163">
          <cell r="C6163" t="str">
            <v xml:space="preserve">    ORADIN PLUS        ESF</v>
          </cell>
          <cell r="D6163">
            <v>0</v>
          </cell>
          <cell r="E6163">
            <v>779</v>
          </cell>
        </row>
        <row r="6164">
          <cell r="C6164" t="str">
            <v xml:space="preserve">   DESLORATADINE+PSEUDOEPHEDRINE</v>
          </cell>
          <cell r="D6164">
            <v>305</v>
          </cell>
          <cell r="E6164">
            <v>643</v>
          </cell>
        </row>
        <row r="6165">
          <cell r="C6165" t="str">
            <v xml:space="preserve">    DESLOR PLUS        OR/</v>
          </cell>
          <cell r="D6165">
            <v>254</v>
          </cell>
          <cell r="E6165">
            <v>481</v>
          </cell>
        </row>
        <row r="6166">
          <cell r="C6166" t="str">
            <v xml:space="preserve">    DESLORIN PLUS      A-I</v>
          </cell>
          <cell r="D6166">
            <v>51</v>
          </cell>
          <cell r="E6166">
            <v>163</v>
          </cell>
        </row>
        <row r="6167">
          <cell r="C6167" t="str">
            <v xml:space="preserve">   PSEUDOEPHEDRINE</v>
          </cell>
          <cell r="D6167">
            <v>104</v>
          </cell>
          <cell r="E6167">
            <v>0</v>
          </cell>
        </row>
        <row r="6168">
          <cell r="C6168" t="str">
            <v xml:space="preserve">    SUDORIN            IAP</v>
          </cell>
          <cell r="D6168">
            <v>104</v>
          </cell>
          <cell r="E6168">
            <v>0</v>
          </cell>
        </row>
        <row r="6169">
          <cell r="C6169" t="str">
            <v xml:space="preserve">   COUGH AND COLD PREPARATIONS</v>
          </cell>
          <cell r="D6169">
            <v>10</v>
          </cell>
          <cell r="E6169">
            <v>15</v>
          </cell>
        </row>
        <row r="6170">
          <cell r="C6170" t="str">
            <v xml:space="preserve">    COFNIL             GNR</v>
          </cell>
          <cell r="D6170">
            <v>10</v>
          </cell>
          <cell r="E6170">
            <v>15</v>
          </cell>
        </row>
        <row r="6171">
          <cell r="C6171" t="str">
            <v xml:space="preserve"> GLITAZONE ANTIDIABETICS</v>
          </cell>
          <cell r="D6171">
            <v>4682</v>
          </cell>
          <cell r="E6171">
            <v>4683</v>
          </cell>
        </row>
        <row r="6172">
          <cell r="C6172" t="str">
            <v xml:space="preserve">  GLITAZONE A-DIABS PLAIN</v>
          </cell>
          <cell r="D6172">
            <v>4068</v>
          </cell>
          <cell r="E6172">
            <v>3133</v>
          </cell>
        </row>
        <row r="6173">
          <cell r="C6173" t="str">
            <v xml:space="preserve">   PIOGLITAZONE</v>
          </cell>
          <cell r="D6173">
            <v>4068</v>
          </cell>
          <cell r="E6173">
            <v>3133</v>
          </cell>
        </row>
        <row r="6174">
          <cell r="C6174" t="str">
            <v xml:space="preserve">    PIODAR             IAP</v>
          </cell>
          <cell r="D6174">
            <v>2827</v>
          </cell>
          <cell r="E6174">
            <v>1082</v>
          </cell>
        </row>
        <row r="6175">
          <cell r="C6175" t="str">
            <v xml:space="preserve">    LIT                WTH</v>
          </cell>
          <cell r="D6175">
            <v>592</v>
          </cell>
          <cell r="E6175">
            <v>1229</v>
          </cell>
        </row>
        <row r="6176">
          <cell r="C6176" t="str">
            <v xml:space="preserve">    LIT                U7P</v>
          </cell>
          <cell r="D6176">
            <v>234</v>
          </cell>
          <cell r="E6176">
            <v>132</v>
          </cell>
        </row>
        <row r="6177">
          <cell r="C6177" t="str">
            <v xml:space="preserve">    GLUCOZON           ATP</v>
          </cell>
          <cell r="D6177">
            <v>229</v>
          </cell>
          <cell r="E6177">
            <v>257</v>
          </cell>
        </row>
        <row r="6178">
          <cell r="C6178" t="str">
            <v xml:space="preserve">    PIGLIT             PAC</v>
          </cell>
          <cell r="D6178">
            <v>127</v>
          </cell>
          <cell r="E6178">
            <v>163</v>
          </cell>
        </row>
        <row r="6179">
          <cell r="C6179" t="str">
            <v xml:space="preserve">    PIOZENA            D-I</v>
          </cell>
          <cell r="D6179">
            <v>36</v>
          </cell>
          <cell r="E6179">
            <v>16</v>
          </cell>
        </row>
        <row r="6180">
          <cell r="C6180" t="str">
            <v xml:space="preserve">    DIAGLIT            BXM</v>
          </cell>
          <cell r="D6180">
            <v>12</v>
          </cell>
          <cell r="E6180">
            <v>158</v>
          </cell>
        </row>
        <row r="6181">
          <cell r="C6181" t="str">
            <v xml:space="preserve">    GLITAZON           IBN</v>
          </cell>
          <cell r="D6181">
            <v>11</v>
          </cell>
          <cell r="E6181">
            <v>0</v>
          </cell>
        </row>
        <row r="6182">
          <cell r="C6182" t="str">
            <v xml:space="preserve">    ADPAS              GNR</v>
          </cell>
          <cell r="D6182">
            <v>0</v>
          </cell>
          <cell r="E6182">
            <v>96</v>
          </cell>
        </row>
        <row r="6183">
          <cell r="C6183" t="str">
            <v xml:space="preserve">    DIATAG             A-I</v>
          </cell>
          <cell r="D6183">
            <v>0</v>
          </cell>
          <cell r="E6183">
            <v>0</v>
          </cell>
        </row>
        <row r="6184">
          <cell r="C6184" t="str">
            <v xml:space="preserve">    TOS                SQA</v>
          </cell>
          <cell r="D6184">
            <v>0</v>
          </cell>
          <cell r="E6184">
            <v>0</v>
          </cell>
        </row>
        <row r="6185">
          <cell r="C6185" t="str">
            <v xml:space="preserve">   ROSIGLITAZONE</v>
          </cell>
          <cell r="D6185">
            <v>0</v>
          </cell>
          <cell r="E6185">
            <v>0</v>
          </cell>
        </row>
        <row r="6186">
          <cell r="C6186" t="str">
            <v xml:space="preserve">    ROSIT              D&amp;B</v>
          </cell>
          <cell r="D6186">
            <v>0</v>
          </cell>
          <cell r="E6186">
            <v>0</v>
          </cell>
        </row>
        <row r="6187">
          <cell r="C6187" t="str">
            <v xml:space="preserve">  GLITAZONE &amp; BIGUAN COMBS</v>
          </cell>
          <cell r="D6187">
            <v>431</v>
          </cell>
          <cell r="E6187">
            <v>1273</v>
          </cell>
        </row>
        <row r="6188">
          <cell r="C6188" t="str">
            <v xml:space="preserve">   METFORMIN+PIOGLITAZONE</v>
          </cell>
          <cell r="D6188">
            <v>351</v>
          </cell>
          <cell r="E6188">
            <v>900</v>
          </cell>
        </row>
        <row r="6189">
          <cell r="C6189" t="str">
            <v xml:space="preserve">    PIOMIN             PAC</v>
          </cell>
          <cell r="D6189">
            <v>211</v>
          </cell>
          <cell r="E6189">
            <v>555</v>
          </cell>
        </row>
        <row r="6190">
          <cell r="C6190" t="str">
            <v xml:space="preserve">    COMPIMET           IAP</v>
          </cell>
          <cell r="D6190">
            <v>131</v>
          </cell>
          <cell r="E6190">
            <v>215</v>
          </cell>
        </row>
        <row r="6191">
          <cell r="C6191" t="str">
            <v xml:space="preserve">    GLITAMIN           WTH</v>
          </cell>
          <cell r="D6191">
            <v>9</v>
          </cell>
          <cell r="E6191">
            <v>130</v>
          </cell>
        </row>
        <row r="6192">
          <cell r="C6192" t="str">
            <v xml:space="preserve">    CODIAGLIT          BXM</v>
          </cell>
          <cell r="D6192">
            <v>0</v>
          </cell>
          <cell r="E6192">
            <v>0</v>
          </cell>
        </row>
        <row r="6193">
          <cell r="C6193" t="str">
            <v xml:space="preserve">    REZULIN            SQA</v>
          </cell>
          <cell r="D6193">
            <v>0</v>
          </cell>
          <cell r="E6193">
            <v>0</v>
          </cell>
        </row>
        <row r="6194">
          <cell r="C6194" t="str">
            <v xml:space="preserve">   METFORMIN+ROSIGLITAZONE</v>
          </cell>
          <cell r="D6194">
            <v>79</v>
          </cell>
          <cell r="E6194">
            <v>373</v>
          </cell>
        </row>
        <row r="6195">
          <cell r="C6195" t="str">
            <v xml:space="preserve">    ORAMET PLUS        D-I</v>
          </cell>
          <cell r="D6195">
            <v>48</v>
          </cell>
          <cell r="E6195">
            <v>308</v>
          </cell>
        </row>
        <row r="6196">
          <cell r="C6196" t="str">
            <v xml:space="preserve">    METARIN-PLUS       PPH</v>
          </cell>
          <cell r="D6196">
            <v>31</v>
          </cell>
          <cell r="E6196">
            <v>64</v>
          </cell>
        </row>
        <row r="6197">
          <cell r="C6197" t="str">
            <v xml:space="preserve">    AROMET             ATP</v>
          </cell>
          <cell r="D6197">
            <v>0</v>
          </cell>
          <cell r="E6197">
            <v>0</v>
          </cell>
        </row>
        <row r="6198">
          <cell r="C6198" t="str">
            <v xml:space="preserve">  GLITAZONE &amp; S-UREA COMBS</v>
          </cell>
          <cell r="D6198">
            <v>183</v>
          </cell>
          <cell r="E6198">
            <v>277</v>
          </cell>
        </row>
        <row r="6199">
          <cell r="C6199" t="str">
            <v xml:space="preserve">   GLIMEPIRIDE+ROSIGLITAZONE</v>
          </cell>
          <cell r="D6199">
            <v>99</v>
          </cell>
          <cell r="E6199">
            <v>84</v>
          </cell>
        </row>
        <row r="6200">
          <cell r="C6200" t="str">
            <v xml:space="preserve">    GLYROS             SQA</v>
          </cell>
          <cell r="D6200">
            <v>99</v>
          </cell>
          <cell r="E6200">
            <v>84</v>
          </cell>
        </row>
        <row r="6201">
          <cell r="C6201" t="str">
            <v xml:space="preserve">   GLIMEPIRIDE+PIOGLITAZONE</v>
          </cell>
          <cell r="D6201">
            <v>84</v>
          </cell>
          <cell r="E6201">
            <v>193</v>
          </cell>
        </row>
        <row r="6202">
          <cell r="C6202" t="str">
            <v xml:space="preserve">    DIETA-PLUS         PAC</v>
          </cell>
          <cell r="D6202">
            <v>84</v>
          </cell>
          <cell r="E6202">
            <v>193</v>
          </cell>
        </row>
        <row r="6203">
          <cell r="C6203" t="str">
            <v xml:space="preserve"> CHLORAMPHENICOLS + COMBS</v>
          </cell>
          <cell r="D6203">
            <v>259</v>
          </cell>
          <cell r="E6203">
            <v>180</v>
          </cell>
        </row>
        <row r="6204">
          <cell r="C6204" t="str">
            <v xml:space="preserve">  CHLORAMPHENICOLS + COMBS</v>
          </cell>
          <cell r="D6204">
            <v>259</v>
          </cell>
          <cell r="E6204">
            <v>180</v>
          </cell>
        </row>
        <row r="6205">
          <cell r="C6205" t="str">
            <v xml:space="preserve">   CHLORAMPHENICOL</v>
          </cell>
          <cell r="D6205">
            <v>259</v>
          </cell>
          <cell r="E6205">
            <v>180</v>
          </cell>
        </row>
        <row r="6206">
          <cell r="C6206" t="str">
            <v xml:space="preserve">    OPSOMYCETIN        OPI</v>
          </cell>
          <cell r="D6206">
            <v>259</v>
          </cell>
          <cell r="E6206">
            <v>163</v>
          </cell>
        </row>
        <row r="6207">
          <cell r="C6207" t="str">
            <v xml:space="preserve">    FIONICOL           S.Y</v>
          </cell>
          <cell r="D6207">
            <v>0</v>
          </cell>
          <cell r="E6207">
            <v>0</v>
          </cell>
        </row>
        <row r="6208">
          <cell r="C6208" t="str">
            <v xml:space="preserve">    RAMEX              A.D</v>
          </cell>
          <cell r="D6208">
            <v>0</v>
          </cell>
          <cell r="E6208">
            <v>17</v>
          </cell>
        </row>
        <row r="6209">
          <cell r="C6209" t="str">
            <v xml:space="preserve">    SUPRAPHEN          GCO</v>
          </cell>
          <cell r="D6209">
            <v>0</v>
          </cell>
          <cell r="E6209">
            <v>0</v>
          </cell>
        </row>
        <row r="6210">
          <cell r="C6210" t="str">
            <v xml:space="preserve"> ALIMENTARY T.&amp; METABOLISM</v>
          </cell>
          <cell r="D6210">
            <v>127665462</v>
          </cell>
          <cell r="E6210">
            <v>114247338</v>
          </cell>
        </row>
        <row r="6211">
          <cell r="C6211" t="str">
            <v xml:space="preserve">  A-ACID A-FLAT A-ULCERANTS</v>
          </cell>
          <cell r="D6211">
            <v>49722702</v>
          </cell>
          <cell r="E6211">
            <v>44338172</v>
          </cell>
        </row>
        <row r="6212">
          <cell r="C6212" t="str">
            <v xml:space="preserve">   ANTIULCERANTS</v>
          </cell>
          <cell r="D6212">
            <v>46191539</v>
          </cell>
          <cell r="E6212">
            <v>41020392</v>
          </cell>
        </row>
        <row r="6213">
          <cell r="C6213" t="str">
            <v xml:space="preserve">   ANTACIDS ANTIFLATULENTS</v>
          </cell>
          <cell r="D6213">
            <v>3531163</v>
          </cell>
          <cell r="E6213">
            <v>3317780</v>
          </cell>
        </row>
        <row r="6214">
          <cell r="C6214" t="str">
            <v xml:space="preserve">   OTH STOMACH DISORDER PRD</v>
          </cell>
          <cell r="D6214">
            <v>0</v>
          </cell>
          <cell r="E6214">
            <v>0</v>
          </cell>
        </row>
        <row r="6215">
          <cell r="C6215" t="str">
            <v xml:space="preserve">  DRUGS USED IN DIABETES</v>
          </cell>
          <cell r="D6215">
            <v>35450843</v>
          </cell>
          <cell r="E6215">
            <v>31815134</v>
          </cell>
        </row>
        <row r="6216">
          <cell r="C6216" t="str">
            <v xml:space="preserve">   DPP-IV INHIBITOR A-DIABS</v>
          </cell>
          <cell r="D6216">
            <v>9873169</v>
          </cell>
          <cell r="E6216">
            <v>8563265</v>
          </cell>
        </row>
        <row r="6217">
          <cell r="C6217" t="str">
            <v xml:space="preserve">   HUMAN INSULIN+ANALOGUES</v>
          </cell>
          <cell r="D6217">
            <v>9711384</v>
          </cell>
          <cell r="E6217">
            <v>10300408</v>
          </cell>
        </row>
        <row r="6218">
          <cell r="C6218" t="str">
            <v xml:space="preserve">   SGLT2 INHIBITOR A-DIABS</v>
          </cell>
          <cell r="D6218">
            <v>6683708</v>
          </cell>
          <cell r="E6218">
            <v>5062664</v>
          </cell>
        </row>
        <row r="6219">
          <cell r="C6219" t="str">
            <v xml:space="preserve">   SULPHONYLUREA A-DIABS</v>
          </cell>
          <cell r="D6219">
            <v>5468833</v>
          </cell>
          <cell r="E6219">
            <v>5049132</v>
          </cell>
        </row>
        <row r="6220">
          <cell r="C6220" t="str">
            <v xml:space="preserve">   BIGUANIDE ANTIDIABETICS</v>
          </cell>
          <cell r="D6220">
            <v>2903727</v>
          </cell>
          <cell r="E6220">
            <v>2396700</v>
          </cell>
        </row>
        <row r="6221">
          <cell r="C6221" t="str">
            <v xml:space="preserve">   GLP-1 AGONIST A-DIABS</v>
          </cell>
          <cell r="D6221">
            <v>446171</v>
          </cell>
          <cell r="E6221">
            <v>235568</v>
          </cell>
        </row>
        <row r="6222">
          <cell r="C6222" t="str">
            <v xml:space="preserve">   OTHER DRUGS FOR DIABETES</v>
          </cell>
          <cell r="D6222">
            <v>225422</v>
          </cell>
          <cell r="E6222">
            <v>73084</v>
          </cell>
        </row>
        <row r="6223">
          <cell r="C6223" t="str">
            <v xml:space="preserve">   A-GLUCOSIDASE INH A-DIAB</v>
          </cell>
          <cell r="D6223">
            <v>102865</v>
          </cell>
          <cell r="E6223">
            <v>99046</v>
          </cell>
        </row>
        <row r="6224">
          <cell r="C6224" t="str">
            <v xml:space="preserve">   GLINIDE ANTIDIABETICS</v>
          </cell>
          <cell r="D6224">
            <v>17237</v>
          </cell>
          <cell r="E6224">
            <v>18476</v>
          </cell>
        </row>
        <row r="6225">
          <cell r="C6225" t="str">
            <v xml:space="preserve">   INSULIN DEVICES</v>
          </cell>
          <cell r="D6225">
            <v>13631</v>
          </cell>
          <cell r="E6225">
            <v>12042</v>
          </cell>
        </row>
        <row r="6226">
          <cell r="C6226" t="str">
            <v xml:space="preserve">   GLITAZONE ANTIDIABETICS</v>
          </cell>
          <cell r="D6226">
            <v>4682</v>
          </cell>
          <cell r="E6226">
            <v>4683</v>
          </cell>
        </row>
        <row r="6227">
          <cell r="C6227" t="str">
            <v xml:space="preserve">   ANIMAL INSULINS</v>
          </cell>
          <cell r="D6227">
            <v>15</v>
          </cell>
          <cell r="E6227">
            <v>65</v>
          </cell>
        </row>
        <row r="6228">
          <cell r="C6228" t="str">
            <v xml:space="preserve">  VITAMINS</v>
          </cell>
          <cell r="D6228">
            <v>13853479</v>
          </cell>
          <cell r="E6228">
            <v>12981086</v>
          </cell>
        </row>
        <row r="6229">
          <cell r="C6229" t="str">
            <v xml:space="preserve">   VITAMIN B1 &amp; COMBINATION</v>
          </cell>
          <cell r="D6229">
            <v>5619243</v>
          </cell>
          <cell r="E6229">
            <v>5383448</v>
          </cell>
        </row>
        <row r="6230">
          <cell r="C6230" t="str">
            <v xml:space="preserve">   MULTIVITAMINS + MINERALS</v>
          </cell>
          <cell r="D6230">
            <v>3413150</v>
          </cell>
          <cell r="E6230">
            <v>3114483</v>
          </cell>
        </row>
        <row r="6231">
          <cell r="C6231" t="str">
            <v xml:space="preserve">   VIT A &amp; D INC. COMBS</v>
          </cell>
          <cell r="D6231">
            <v>1986429</v>
          </cell>
          <cell r="E6231">
            <v>1744664</v>
          </cell>
        </row>
        <row r="6232">
          <cell r="C6232" t="str">
            <v xml:space="preserve">   VIT C INC.MINERAL COMBS</v>
          </cell>
          <cell r="D6232">
            <v>1245594</v>
          </cell>
          <cell r="E6232">
            <v>1151808</v>
          </cell>
        </row>
        <row r="6233">
          <cell r="C6233" t="str">
            <v xml:space="preserve">   OTHER VITAMINS</v>
          </cell>
          <cell r="D6233">
            <v>825150</v>
          </cell>
          <cell r="E6233">
            <v>839294</v>
          </cell>
        </row>
        <row r="6234">
          <cell r="C6234" t="str">
            <v xml:space="preserve">   MULTIVIT WITHOUT MINERALS</v>
          </cell>
          <cell r="D6234">
            <v>502334</v>
          </cell>
          <cell r="E6234">
            <v>500512</v>
          </cell>
        </row>
        <row r="6235">
          <cell r="C6235" t="str">
            <v xml:space="preserve">   VITAMIN B12 PLAIN</v>
          </cell>
          <cell r="D6235">
            <v>212187</v>
          </cell>
          <cell r="E6235">
            <v>193575</v>
          </cell>
        </row>
        <row r="6236">
          <cell r="C6236" t="str">
            <v xml:space="preserve">   VITAMIN B COMPLEX</v>
          </cell>
          <cell r="D6236">
            <v>49392</v>
          </cell>
          <cell r="E6236">
            <v>53302</v>
          </cell>
        </row>
        <row r="6237">
          <cell r="C6237" t="str">
            <v xml:space="preserve">  MINERAL SUPPLEMENTS</v>
          </cell>
          <cell r="D6237">
            <v>13846008</v>
          </cell>
          <cell r="E6237">
            <v>12079433</v>
          </cell>
        </row>
        <row r="6238">
          <cell r="C6238" t="str">
            <v xml:space="preserve">   CALCIUM</v>
          </cell>
          <cell r="D6238">
            <v>13358360</v>
          </cell>
          <cell r="E6238">
            <v>11651618</v>
          </cell>
        </row>
        <row r="6239">
          <cell r="C6239" t="str">
            <v xml:space="preserve">   OTHER MINERAL SUPPLEMENTS</v>
          </cell>
          <cell r="D6239">
            <v>476547</v>
          </cell>
          <cell r="E6239">
            <v>418486</v>
          </cell>
        </row>
        <row r="6240">
          <cell r="C6240" t="str">
            <v xml:space="preserve">   POTASSIUM</v>
          </cell>
          <cell r="D6240">
            <v>11101</v>
          </cell>
          <cell r="E6240">
            <v>9330</v>
          </cell>
        </row>
        <row r="6241">
          <cell r="C6241" t="str">
            <v xml:space="preserve">  FUNCTL.GI DISORDER DRUG</v>
          </cell>
          <cell r="D6241">
            <v>6202346</v>
          </cell>
          <cell r="E6241">
            <v>5265129</v>
          </cell>
        </row>
        <row r="6242">
          <cell r="C6242" t="str">
            <v xml:space="preserve">   GASTROPROKINETICS</v>
          </cell>
          <cell r="D6242">
            <v>3729974</v>
          </cell>
          <cell r="E6242">
            <v>3018910</v>
          </cell>
        </row>
        <row r="6243">
          <cell r="C6243" t="str">
            <v xml:space="preserve">   ANTISPASM+ANTICHOL PLAIN</v>
          </cell>
          <cell r="D6243">
            <v>2381843</v>
          </cell>
          <cell r="E6243">
            <v>2121226</v>
          </cell>
        </row>
        <row r="6244">
          <cell r="C6244" t="str">
            <v xml:space="preserve">   GI SENSORIMOTOR MODULAT</v>
          </cell>
          <cell r="D6244">
            <v>88749</v>
          </cell>
          <cell r="E6244">
            <v>121799</v>
          </cell>
        </row>
        <row r="6245">
          <cell r="C6245" t="str">
            <v xml:space="preserve">   OTHER GI COMBINATIONS</v>
          </cell>
          <cell r="D6245">
            <v>1779</v>
          </cell>
          <cell r="E6245">
            <v>3195</v>
          </cell>
        </row>
        <row r="6246">
          <cell r="C6246" t="str">
            <v xml:space="preserve">  ANTIEMETICS-ANTINAUSEANTS</v>
          </cell>
          <cell r="D6246">
            <v>1854485</v>
          </cell>
          <cell r="E6246">
            <v>1814175</v>
          </cell>
        </row>
        <row r="6247">
          <cell r="C6247" t="str">
            <v xml:space="preserve">   ANTIEMETICS+ANTINAUSEANTS</v>
          </cell>
          <cell r="D6247">
            <v>1854485</v>
          </cell>
          <cell r="E6247">
            <v>1814175</v>
          </cell>
        </row>
        <row r="6248">
          <cell r="C6248" t="str">
            <v xml:space="preserve">  CONSTIPAT+BOWEL CLEANSER</v>
          </cell>
          <cell r="D6248">
            <v>1851745</v>
          </cell>
          <cell r="E6248">
            <v>1677154</v>
          </cell>
        </row>
        <row r="6249">
          <cell r="C6249" t="str">
            <v xml:space="preserve">   DRUGS FOR CONSTIPATION</v>
          </cell>
          <cell r="D6249">
            <v>1851639</v>
          </cell>
          <cell r="E6249">
            <v>1677000</v>
          </cell>
        </row>
        <row r="6250">
          <cell r="C6250" t="str">
            <v xml:space="preserve">   BOWEL CLEANSERS</v>
          </cell>
          <cell r="D6250">
            <v>106</v>
          </cell>
          <cell r="E6250">
            <v>154</v>
          </cell>
        </row>
        <row r="6251">
          <cell r="C6251" t="str">
            <v xml:space="preserve">  INTESTINAL DISORDER PROD</v>
          </cell>
          <cell r="D6251">
            <v>1434340</v>
          </cell>
          <cell r="E6251">
            <v>1148217</v>
          </cell>
        </row>
        <row r="6252">
          <cell r="C6252" t="str">
            <v xml:space="preserve">   ANTIDIARR MICRO-ORGANISMS</v>
          </cell>
          <cell r="D6252">
            <v>706924</v>
          </cell>
          <cell r="E6252">
            <v>466089</v>
          </cell>
        </row>
        <row r="6253">
          <cell r="C6253" t="str">
            <v xml:space="preserve">   INTESTINAL A-INFECTIVES</v>
          </cell>
          <cell r="D6253">
            <v>332415</v>
          </cell>
          <cell r="E6253">
            <v>272752</v>
          </cell>
        </row>
        <row r="6254">
          <cell r="C6254" t="str">
            <v xml:space="preserve">   INFLAM BOWEL DISORD PRD</v>
          </cell>
          <cell r="D6254">
            <v>210439</v>
          </cell>
          <cell r="E6254">
            <v>201734</v>
          </cell>
        </row>
        <row r="6255">
          <cell r="C6255" t="str">
            <v xml:space="preserve">   MOTILITY INHIBITORS</v>
          </cell>
          <cell r="D6255">
            <v>81099</v>
          </cell>
          <cell r="E6255">
            <v>70875</v>
          </cell>
        </row>
        <row r="6256">
          <cell r="C6256" t="str">
            <v xml:space="preserve">   ORAL ELECTROLYTE REPLACER</v>
          </cell>
          <cell r="D6256">
            <v>67906</v>
          </cell>
          <cell r="E6256">
            <v>79486</v>
          </cell>
        </row>
        <row r="6257">
          <cell r="C6257" t="str">
            <v xml:space="preserve">   INTESTIN DISORD PROD OTH</v>
          </cell>
          <cell r="D6257">
            <v>33879</v>
          </cell>
          <cell r="E6257">
            <v>55411</v>
          </cell>
        </row>
        <row r="6258">
          <cell r="C6258" t="str">
            <v xml:space="preserve">   INTEST ADSORBENT ANTIDIA</v>
          </cell>
          <cell r="D6258">
            <v>1678</v>
          </cell>
          <cell r="E6258">
            <v>1870</v>
          </cell>
        </row>
        <row r="6259">
          <cell r="C6259" t="str">
            <v xml:space="preserve">  BILIARY TR&amp;LIVER DIS PRD</v>
          </cell>
          <cell r="D6259">
            <v>1363014</v>
          </cell>
          <cell r="E6259">
            <v>1316856</v>
          </cell>
        </row>
        <row r="6260">
          <cell r="C6260" t="str">
            <v xml:space="preserve">   BILIARY TRACT DISORD PRD</v>
          </cell>
          <cell r="D6260">
            <v>1291694</v>
          </cell>
          <cell r="E6260">
            <v>1252171</v>
          </cell>
        </row>
        <row r="6261">
          <cell r="C6261" t="str">
            <v xml:space="preserve">   LIVER DIS HEP PROT&amp;LIPOT</v>
          </cell>
          <cell r="D6261">
            <v>71319</v>
          </cell>
          <cell r="E6261">
            <v>64686</v>
          </cell>
        </row>
        <row r="6262">
          <cell r="C6262" t="str">
            <v xml:space="preserve">  STOMATOLOGICALS</v>
          </cell>
          <cell r="D6262">
            <v>808399</v>
          </cell>
          <cell r="E6262">
            <v>827759</v>
          </cell>
        </row>
        <row r="6263">
          <cell r="C6263" t="str">
            <v xml:space="preserve">   STOMATOLOGICALS</v>
          </cell>
          <cell r="D6263">
            <v>594888</v>
          </cell>
          <cell r="E6263">
            <v>598567</v>
          </cell>
        </row>
        <row r="6264">
          <cell r="C6264" t="str">
            <v xml:space="preserve">   MOUTH ANTIFUNGALS</v>
          </cell>
          <cell r="D6264">
            <v>213511</v>
          </cell>
          <cell r="E6264">
            <v>229192</v>
          </cell>
        </row>
        <row r="6265">
          <cell r="C6265" t="str">
            <v xml:space="preserve">  OTHER METABOLIC PRODUCTS</v>
          </cell>
          <cell r="D6265">
            <v>505100</v>
          </cell>
          <cell r="E6265">
            <v>275582</v>
          </cell>
        </row>
        <row r="6266">
          <cell r="C6266" t="str">
            <v xml:space="preserve">   OTHER METABOLIC PRODUCTS</v>
          </cell>
          <cell r="D6266">
            <v>505100</v>
          </cell>
          <cell r="E6266">
            <v>275582</v>
          </cell>
        </row>
        <row r="6267">
          <cell r="C6267" t="str">
            <v xml:space="preserve">  ANTIOBESITY PREPARATIONS</v>
          </cell>
          <cell r="D6267">
            <v>442414</v>
          </cell>
          <cell r="E6267">
            <v>412273</v>
          </cell>
        </row>
        <row r="6268">
          <cell r="C6268" t="str">
            <v xml:space="preserve">   ANTIOBESITY PREPARATIONS</v>
          </cell>
          <cell r="D6268">
            <v>442414</v>
          </cell>
          <cell r="E6268">
            <v>412273</v>
          </cell>
        </row>
        <row r="6269">
          <cell r="C6269" t="str">
            <v xml:space="preserve">  DIGESTIVES INCL ENZYMES</v>
          </cell>
          <cell r="D6269">
            <v>238235</v>
          </cell>
          <cell r="E6269">
            <v>209443</v>
          </cell>
        </row>
        <row r="6270">
          <cell r="C6270" t="str">
            <v xml:space="preserve">   DIGESTIVES INCL ENZYMES</v>
          </cell>
          <cell r="D6270">
            <v>238235</v>
          </cell>
          <cell r="E6270">
            <v>209443</v>
          </cell>
        </row>
        <row r="6271">
          <cell r="C6271" t="str">
            <v xml:space="preserve">  TONICS</v>
          </cell>
          <cell r="D6271">
            <v>53309</v>
          </cell>
          <cell r="E6271">
            <v>47149</v>
          </cell>
        </row>
        <row r="6272">
          <cell r="C6272" t="str">
            <v xml:space="preserve">   TONICS</v>
          </cell>
          <cell r="D6272">
            <v>53309</v>
          </cell>
          <cell r="E6272">
            <v>47149</v>
          </cell>
        </row>
        <row r="6273">
          <cell r="C6273" t="str">
            <v xml:space="preserve">  ANABOLICS SYSTEMIC</v>
          </cell>
          <cell r="D6273">
            <v>39043</v>
          </cell>
          <cell r="E6273">
            <v>39776</v>
          </cell>
        </row>
        <row r="6274">
          <cell r="C6274" t="str">
            <v xml:space="preserve">   ANABOLIC HORMONES</v>
          </cell>
          <cell r="D6274">
            <v>39043</v>
          </cell>
          <cell r="E6274">
            <v>39776</v>
          </cell>
        </row>
        <row r="6275">
          <cell r="C6275" t="str">
            <v xml:space="preserve">  APPETITE STIMULANTS</v>
          </cell>
          <cell r="D6275">
            <v>0</v>
          </cell>
          <cell r="E6275">
            <v>0</v>
          </cell>
        </row>
        <row r="6276">
          <cell r="C6276" t="str">
            <v xml:space="preserve">   APPETITE STIMULANTS</v>
          </cell>
          <cell r="D6276">
            <v>0</v>
          </cell>
          <cell r="E6276">
            <v>0</v>
          </cell>
        </row>
        <row r="6277">
          <cell r="C6277" t="str">
            <v xml:space="preserve"> SYSTEMIC ANTI-INFECTIVES</v>
          </cell>
          <cell r="D6277">
            <v>49607985</v>
          </cell>
          <cell r="E6277">
            <v>45991062</v>
          </cell>
        </row>
        <row r="6278">
          <cell r="C6278" t="str">
            <v xml:space="preserve">  SYSTEMIC ANTIBACTERIALS</v>
          </cell>
          <cell r="D6278">
            <v>41037034</v>
          </cell>
          <cell r="E6278">
            <v>38658093</v>
          </cell>
        </row>
        <row r="6279">
          <cell r="C6279" t="str">
            <v xml:space="preserve">   CEPHALOSPORINS &amp; COMBS</v>
          </cell>
          <cell r="D6279">
            <v>23967544</v>
          </cell>
          <cell r="E6279">
            <v>23143740</v>
          </cell>
        </row>
        <row r="6280">
          <cell r="C6280" t="str">
            <v xml:space="preserve">   MACROLIDES &amp; SIMILAR TYPE</v>
          </cell>
          <cell r="D6280">
            <v>4457333</v>
          </cell>
          <cell r="E6280">
            <v>4746097</v>
          </cell>
        </row>
        <row r="6281">
          <cell r="C6281" t="str">
            <v xml:space="preserve">   BROAD SPECTRUM PENICILLIN</v>
          </cell>
          <cell r="D6281">
            <v>3081647</v>
          </cell>
          <cell r="E6281">
            <v>2953464</v>
          </cell>
        </row>
        <row r="6282">
          <cell r="C6282" t="str">
            <v xml:space="preserve">   MED+NARROW SPECTRUM PENIC</v>
          </cell>
          <cell r="D6282">
            <v>2920853</v>
          </cell>
          <cell r="E6282">
            <v>2424065</v>
          </cell>
        </row>
        <row r="6283">
          <cell r="C6283" t="str">
            <v xml:space="preserve">   OTHER ANTIBACTERIALS</v>
          </cell>
          <cell r="D6283">
            <v>2605248</v>
          </cell>
          <cell r="E6283">
            <v>1967350</v>
          </cell>
        </row>
        <row r="6284">
          <cell r="C6284" t="str">
            <v xml:space="preserve">   FLUOROQUINOLONES</v>
          </cell>
          <cell r="D6284">
            <v>2585031</v>
          </cell>
          <cell r="E6284">
            <v>2483507</v>
          </cell>
        </row>
        <row r="6285">
          <cell r="C6285" t="str">
            <v xml:space="preserve">   OTH B-LACTAM EX PEN,CEPH</v>
          </cell>
          <cell r="D6285">
            <v>1098517</v>
          </cell>
          <cell r="E6285">
            <v>575977</v>
          </cell>
        </row>
        <row r="6286">
          <cell r="C6286" t="str">
            <v xml:space="preserve">   TETRACYCLINES &amp; COMBS</v>
          </cell>
          <cell r="D6286">
            <v>224445</v>
          </cell>
          <cell r="E6286">
            <v>255983</v>
          </cell>
        </row>
        <row r="6287">
          <cell r="C6287" t="str">
            <v xml:space="preserve">   AMINOGLYCOSIDES</v>
          </cell>
          <cell r="D6287">
            <v>56314</v>
          </cell>
          <cell r="E6287">
            <v>65314</v>
          </cell>
        </row>
        <row r="6288">
          <cell r="C6288" t="str">
            <v xml:space="preserve">   TRIMETHOPRIM COMBS</v>
          </cell>
          <cell r="D6288">
            <v>39844</v>
          </cell>
          <cell r="E6288">
            <v>42416</v>
          </cell>
        </row>
        <row r="6289">
          <cell r="C6289" t="str">
            <v xml:space="preserve">   CHLORAMPHENICOLS + COMBS</v>
          </cell>
          <cell r="D6289">
            <v>259</v>
          </cell>
          <cell r="E6289">
            <v>180</v>
          </cell>
        </row>
        <row r="6290">
          <cell r="C6290" t="str">
            <v xml:space="preserve">  SYST ANTIFUNGAL AGENTS</v>
          </cell>
          <cell r="D6290">
            <v>6702447</v>
          </cell>
          <cell r="E6290">
            <v>5639144</v>
          </cell>
        </row>
        <row r="6291">
          <cell r="C6291" t="str">
            <v xml:space="preserve">   SYST ANTIFUNGAL AGENTS</v>
          </cell>
          <cell r="D6291">
            <v>6702447</v>
          </cell>
          <cell r="E6291">
            <v>5639144</v>
          </cell>
        </row>
        <row r="6292">
          <cell r="C6292" t="str">
            <v xml:space="preserve">  ANTIVIRALS SYSTEMIC USE</v>
          </cell>
          <cell r="D6292">
            <v>916909</v>
          </cell>
          <cell r="E6292">
            <v>821786</v>
          </cell>
        </row>
        <row r="6293">
          <cell r="C6293" t="str">
            <v xml:space="preserve">   HEPATITIS ANTIVIRALS</v>
          </cell>
          <cell r="D6293">
            <v>488485</v>
          </cell>
          <cell r="E6293">
            <v>435366</v>
          </cell>
        </row>
        <row r="6294">
          <cell r="C6294" t="str">
            <v xml:space="preserve">   ANTIVIRALS OTHER</v>
          </cell>
          <cell r="D6294">
            <v>356972</v>
          </cell>
          <cell r="E6294">
            <v>302629</v>
          </cell>
        </row>
        <row r="6295">
          <cell r="C6295" t="str">
            <v xml:space="preserve">   HIV ANTIVIRALS</v>
          </cell>
          <cell r="D6295">
            <v>71452</v>
          </cell>
          <cell r="E6295">
            <v>83791</v>
          </cell>
        </row>
        <row r="6296">
          <cell r="C6296" t="str">
            <v xml:space="preserve">  VACCINES</v>
          </cell>
          <cell r="D6296">
            <v>734987</v>
          </cell>
          <cell r="E6296">
            <v>670551</v>
          </cell>
        </row>
        <row r="6297">
          <cell r="C6297" t="str">
            <v xml:space="preserve">   VIRAL VACCINES</v>
          </cell>
          <cell r="D6297">
            <v>455157</v>
          </cell>
          <cell r="E6297">
            <v>429250</v>
          </cell>
        </row>
        <row r="6298">
          <cell r="C6298" t="str">
            <v xml:space="preserve">   BACTERIAL VACCINES</v>
          </cell>
          <cell r="D6298">
            <v>273633</v>
          </cell>
          <cell r="E6298">
            <v>232441</v>
          </cell>
        </row>
        <row r="6299">
          <cell r="C6299" t="str">
            <v xml:space="preserve">   ALL OTH VACCINE-LIKE PRD</v>
          </cell>
          <cell r="D6299">
            <v>6197</v>
          </cell>
          <cell r="E6299">
            <v>8860</v>
          </cell>
        </row>
        <row r="6300">
          <cell r="C6300" t="str">
            <v xml:space="preserve">  SERA &amp; GAMMAGLOBULIN</v>
          </cell>
          <cell r="D6300">
            <v>116529</v>
          </cell>
          <cell r="E6300">
            <v>87951</v>
          </cell>
        </row>
        <row r="6301">
          <cell r="C6301" t="str">
            <v xml:space="preserve">   SPECFC IMM-GLOB ANTIVIRAL</v>
          </cell>
          <cell r="D6301">
            <v>60958</v>
          </cell>
          <cell r="E6301">
            <v>32984</v>
          </cell>
        </row>
        <row r="6302">
          <cell r="C6302" t="str">
            <v xml:space="preserve">   SPECFC IMM-GLOB ANTI-BACT</v>
          </cell>
          <cell r="D6302">
            <v>52977</v>
          </cell>
          <cell r="E6302">
            <v>50867</v>
          </cell>
        </row>
        <row r="6303">
          <cell r="C6303" t="str">
            <v xml:space="preserve">   ANTITOXIC SERA</v>
          </cell>
          <cell r="D6303">
            <v>1417</v>
          </cell>
          <cell r="E6303">
            <v>1608</v>
          </cell>
        </row>
        <row r="6304">
          <cell r="C6304" t="str">
            <v xml:space="preserve">   POLYVAL IMMUNO-GLOBLN I.V</v>
          </cell>
          <cell r="D6304">
            <v>1177</v>
          </cell>
          <cell r="E6304">
            <v>2492</v>
          </cell>
        </row>
        <row r="6305">
          <cell r="C6305" t="str">
            <v xml:space="preserve">  OTHER ANTI-INFECTIVES</v>
          </cell>
          <cell r="D6305">
            <v>89974</v>
          </cell>
          <cell r="E6305">
            <v>99664</v>
          </cell>
        </row>
        <row r="6306">
          <cell r="C6306" t="str">
            <v xml:space="preserve">   ANAEROBICIDES</v>
          </cell>
          <cell r="D6306">
            <v>89974</v>
          </cell>
          <cell r="E6306">
            <v>99664</v>
          </cell>
        </row>
        <row r="6307">
          <cell r="C6307" t="str">
            <v xml:space="preserve">  ANTIMYCOBACTERIALS</v>
          </cell>
          <cell r="D6307">
            <v>10104</v>
          </cell>
          <cell r="E6307">
            <v>13873</v>
          </cell>
        </row>
        <row r="6308">
          <cell r="C6308" t="str">
            <v xml:space="preserve">   ANTITUBERCULAR PRODUCTS</v>
          </cell>
          <cell r="D6308">
            <v>10104</v>
          </cell>
          <cell r="E6308">
            <v>13873</v>
          </cell>
        </row>
        <row r="6309">
          <cell r="C6309" t="str">
            <v xml:space="preserve"> CARDIOVASCULAR SYSTEM</v>
          </cell>
          <cell r="D6309">
            <v>47065552</v>
          </cell>
          <cell r="E6309">
            <v>40105950</v>
          </cell>
        </row>
        <row r="6310">
          <cell r="C6310" t="str">
            <v xml:space="preserve">  RENIN-ANGIOTEN SYST AGENT</v>
          </cell>
          <cell r="D6310">
            <v>17125369</v>
          </cell>
          <cell r="E6310">
            <v>14597956</v>
          </cell>
        </row>
        <row r="6311">
          <cell r="C6311" t="str">
            <v xml:space="preserve">   ANGIOTEN-II ANTAG, COMB</v>
          </cell>
          <cell r="D6311">
            <v>10758172</v>
          </cell>
          <cell r="E6311">
            <v>8893678</v>
          </cell>
        </row>
        <row r="6312">
          <cell r="C6312" t="str">
            <v xml:space="preserve">   ANGIOTENS-II ANTAG, PLAIN</v>
          </cell>
          <cell r="D6312">
            <v>5713819</v>
          </cell>
          <cell r="E6312">
            <v>5065146</v>
          </cell>
        </row>
        <row r="6313">
          <cell r="C6313" t="str">
            <v xml:space="preserve">   ACE INHIBITORS PLAIN</v>
          </cell>
          <cell r="D6313">
            <v>476467</v>
          </cell>
          <cell r="E6313">
            <v>468632</v>
          </cell>
        </row>
        <row r="6314">
          <cell r="C6314" t="str">
            <v xml:space="preserve">   ACE INHIBITORS COMBINAT</v>
          </cell>
          <cell r="D6314">
            <v>176911</v>
          </cell>
          <cell r="E6314">
            <v>170500</v>
          </cell>
        </row>
        <row r="6315">
          <cell r="C6315" t="str">
            <v xml:space="preserve">  LIPID-REG/A-ATHEROMA PRD</v>
          </cell>
          <cell r="D6315">
            <v>11307948</v>
          </cell>
          <cell r="E6315">
            <v>9356170</v>
          </cell>
        </row>
        <row r="6316">
          <cell r="C6316" t="str">
            <v xml:space="preserve">   LIPID-REGULATING PRODS</v>
          </cell>
          <cell r="D6316">
            <v>10624523</v>
          </cell>
          <cell r="E6316">
            <v>8984411</v>
          </cell>
        </row>
        <row r="6317">
          <cell r="C6317" t="str">
            <v xml:space="preserve">   LIP.REG.CO.W.OTH.LIP.REG</v>
          </cell>
          <cell r="D6317">
            <v>589002</v>
          </cell>
          <cell r="E6317">
            <v>292400</v>
          </cell>
        </row>
        <row r="6318">
          <cell r="C6318" t="str">
            <v xml:space="preserve">   ANTI-ATHEROMA NATRL ORIG</v>
          </cell>
          <cell r="D6318">
            <v>94423</v>
          </cell>
          <cell r="E6318">
            <v>79359</v>
          </cell>
        </row>
        <row r="6319">
          <cell r="C6319" t="str">
            <v xml:space="preserve">  BETA BLOCKING AGENTS</v>
          </cell>
          <cell r="D6319">
            <v>5859134</v>
          </cell>
          <cell r="E6319">
            <v>4979535</v>
          </cell>
        </row>
        <row r="6320">
          <cell r="C6320" t="str">
            <v xml:space="preserve">   BETA BLOCKING AGENT PLAIN</v>
          </cell>
          <cell r="D6320">
            <v>4915133</v>
          </cell>
          <cell r="E6320">
            <v>4347492</v>
          </cell>
        </row>
        <row r="6321">
          <cell r="C6321" t="str">
            <v xml:space="preserve">   BETA BLOCKING AGENTS COMB</v>
          </cell>
          <cell r="D6321">
            <v>944001</v>
          </cell>
          <cell r="E6321">
            <v>632043</v>
          </cell>
        </row>
        <row r="6322">
          <cell r="C6322" t="str">
            <v xml:space="preserve">  CARDIAC THERAPY</v>
          </cell>
          <cell r="D6322">
            <v>4487245</v>
          </cell>
          <cell r="E6322">
            <v>3878627</v>
          </cell>
        </row>
        <row r="6323">
          <cell r="C6323" t="str">
            <v xml:space="preserve">   CORON THER EX CA/ANT/NIT</v>
          </cell>
          <cell r="D6323">
            <v>2182001</v>
          </cell>
          <cell r="E6323">
            <v>1975711</v>
          </cell>
        </row>
        <row r="6324">
          <cell r="C6324" t="str">
            <v xml:space="preserve">   NITRITES AND NITRATES</v>
          </cell>
          <cell r="D6324">
            <v>1388620</v>
          </cell>
          <cell r="E6324">
            <v>1330835</v>
          </cell>
        </row>
        <row r="6325">
          <cell r="C6325" t="str">
            <v xml:space="preserve">   ALL OTHER CARDIAC PREPS</v>
          </cell>
          <cell r="D6325">
            <v>874443</v>
          </cell>
          <cell r="E6325">
            <v>525995</v>
          </cell>
        </row>
        <row r="6326">
          <cell r="C6326" t="str">
            <v xml:space="preserve">   ANTIARRHYTHMICS</v>
          </cell>
          <cell r="D6326">
            <v>18080</v>
          </cell>
          <cell r="E6326">
            <v>20411</v>
          </cell>
        </row>
        <row r="6327">
          <cell r="C6327" t="str">
            <v xml:space="preserve">   CARDIAC GLYCOSIDES &amp; COMB</v>
          </cell>
          <cell r="D6327">
            <v>12263</v>
          </cell>
          <cell r="E6327">
            <v>10830</v>
          </cell>
        </row>
        <row r="6328">
          <cell r="C6328" t="str">
            <v xml:space="preserve">   CARD STIM EX CARD GLYCOS</v>
          </cell>
          <cell r="D6328">
            <v>11838</v>
          </cell>
          <cell r="E6328">
            <v>14845</v>
          </cell>
        </row>
        <row r="6329">
          <cell r="C6329" t="str">
            <v xml:space="preserve">  CALCIUM ANTAGONISTS</v>
          </cell>
          <cell r="D6329">
            <v>4255636</v>
          </cell>
          <cell r="E6329">
            <v>3695636</v>
          </cell>
        </row>
        <row r="6330">
          <cell r="C6330" t="str">
            <v xml:space="preserve">   CALCIUM ANTAGONISTS COMBS</v>
          </cell>
          <cell r="D6330">
            <v>2188346</v>
          </cell>
          <cell r="E6330">
            <v>1820578</v>
          </cell>
        </row>
        <row r="6331">
          <cell r="C6331" t="str">
            <v xml:space="preserve">   CALCIUM ANTAGONISTS PLAIN</v>
          </cell>
          <cell r="D6331">
            <v>2067290</v>
          </cell>
          <cell r="E6331">
            <v>1875058</v>
          </cell>
        </row>
        <row r="6332">
          <cell r="C6332" t="str">
            <v xml:space="preserve">  DIURETICS</v>
          </cell>
          <cell r="D6332">
            <v>1693737</v>
          </cell>
          <cell r="E6332">
            <v>1452863</v>
          </cell>
        </row>
        <row r="6333">
          <cell r="C6333" t="str">
            <v xml:space="preserve">   DIURETICS</v>
          </cell>
          <cell r="D6333">
            <v>1693737</v>
          </cell>
          <cell r="E6333">
            <v>1452863</v>
          </cell>
        </row>
        <row r="6334">
          <cell r="C6334" t="str">
            <v xml:space="preserve">  HYPOTENSIVES</v>
          </cell>
          <cell r="D6334">
            <v>812352</v>
          </cell>
          <cell r="E6334">
            <v>754614</v>
          </cell>
        </row>
        <row r="6335">
          <cell r="C6335" t="str">
            <v xml:space="preserve">   ANTIHYPERTENS(NON HER)PL</v>
          </cell>
          <cell r="D6335">
            <v>812352</v>
          </cell>
          <cell r="E6335">
            <v>754614</v>
          </cell>
        </row>
        <row r="6336">
          <cell r="C6336" t="str">
            <v xml:space="preserve">  TOPICAL ANTIHAEMORRHOIDAL</v>
          </cell>
          <cell r="D6336">
            <v>749773</v>
          </cell>
          <cell r="E6336">
            <v>741642</v>
          </cell>
        </row>
        <row r="6337">
          <cell r="C6337" t="str">
            <v xml:space="preserve">   SYSTEMIC VASOPROTECTIVES</v>
          </cell>
          <cell r="D6337">
            <v>585684</v>
          </cell>
          <cell r="E6337">
            <v>579006</v>
          </cell>
        </row>
        <row r="6338">
          <cell r="C6338" t="str">
            <v xml:space="preserve">   TOPICAL ANTIHAEMORRHOIDAL</v>
          </cell>
          <cell r="D6338">
            <v>164089</v>
          </cell>
          <cell r="E6338">
            <v>162636</v>
          </cell>
        </row>
        <row r="6339">
          <cell r="C6339" t="str">
            <v xml:space="preserve">  CEREB/PERIPH.VASOTHERAPEU</v>
          </cell>
          <cell r="D6339">
            <v>625967</v>
          </cell>
          <cell r="E6339">
            <v>505774</v>
          </cell>
        </row>
        <row r="6340">
          <cell r="C6340" t="str">
            <v xml:space="preserve">   CEREB/PERIPH.VASOTHERAPEU</v>
          </cell>
          <cell r="D6340">
            <v>625967</v>
          </cell>
          <cell r="E6340">
            <v>505774</v>
          </cell>
        </row>
        <row r="6341">
          <cell r="C6341" t="str">
            <v xml:space="preserve">  OTH CARDIOVASCULAR PRDS</v>
          </cell>
          <cell r="D6341">
            <v>148113</v>
          </cell>
          <cell r="E6341">
            <v>141544</v>
          </cell>
        </row>
        <row r="6342">
          <cell r="C6342" t="str">
            <v xml:space="preserve">   PULMON ART HYPERTENS PRD</v>
          </cell>
          <cell r="D6342">
            <v>100860</v>
          </cell>
          <cell r="E6342">
            <v>100694</v>
          </cell>
        </row>
        <row r="6343">
          <cell r="C6343" t="str">
            <v xml:space="preserve">   OTHER CARDIOVASCULAR PRD</v>
          </cell>
          <cell r="D6343">
            <v>47253</v>
          </cell>
          <cell r="E6343">
            <v>40850</v>
          </cell>
        </row>
        <row r="6344">
          <cell r="C6344" t="str">
            <v xml:space="preserve">  C.V.MULTITHER.COMB.PRODS</v>
          </cell>
          <cell r="D6344">
            <v>277</v>
          </cell>
          <cell r="E6344">
            <v>1591</v>
          </cell>
        </row>
        <row r="6345">
          <cell r="C6345" t="str">
            <v xml:space="preserve">   LIPREG.CV.MULT-TH.COMBS</v>
          </cell>
          <cell r="D6345">
            <v>277</v>
          </cell>
          <cell r="E6345">
            <v>1591</v>
          </cell>
        </row>
        <row r="6346">
          <cell r="C6346" t="str">
            <v xml:space="preserve"> NERVOUS SYSTEM</v>
          </cell>
          <cell r="D6346">
            <v>38726721</v>
          </cell>
          <cell r="E6346">
            <v>34666619</v>
          </cell>
        </row>
        <row r="6347">
          <cell r="C6347" t="str">
            <v xml:space="preserve">  ANALGESICS</v>
          </cell>
          <cell r="D6347">
            <v>18571121</v>
          </cell>
          <cell r="E6347">
            <v>16783280</v>
          </cell>
        </row>
        <row r="6348">
          <cell r="C6348" t="str">
            <v xml:space="preserve">   NON-NARCOTIC ANALGESICS</v>
          </cell>
          <cell r="D6348">
            <v>10497466</v>
          </cell>
          <cell r="E6348">
            <v>10251398</v>
          </cell>
        </row>
        <row r="6349">
          <cell r="C6349" t="str">
            <v xml:space="preserve">   GABAPENTINOID PRODUCTS</v>
          </cell>
          <cell r="D6349">
            <v>6394482</v>
          </cell>
          <cell r="E6349">
            <v>5028694</v>
          </cell>
        </row>
        <row r="6350">
          <cell r="C6350" t="str">
            <v xml:space="preserve">   ANTI-MIGRAINE PREPS</v>
          </cell>
          <cell r="D6350">
            <v>1613507</v>
          </cell>
          <cell r="E6350">
            <v>1425873</v>
          </cell>
        </row>
        <row r="6351">
          <cell r="C6351" t="str">
            <v xml:space="preserve">   NARCOTIC ANALGESICS</v>
          </cell>
          <cell r="D6351">
            <v>65665</v>
          </cell>
          <cell r="E6351">
            <v>77315</v>
          </cell>
        </row>
        <row r="6352">
          <cell r="C6352" t="str">
            <v xml:space="preserve">  ANTI-EPILEPTICS</v>
          </cell>
          <cell r="D6352">
            <v>7700978</v>
          </cell>
          <cell r="E6352">
            <v>6876898</v>
          </cell>
        </row>
        <row r="6353">
          <cell r="C6353" t="str">
            <v xml:space="preserve">   ANTI-EPILEPTICS</v>
          </cell>
          <cell r="D6353">
            <v>7700978</v>
          </cell>
          <cell r="E6353">
            <v>6876898</v>
          </cell>
        </row>
        <row r="6354">
          <cell r="C6354" t="str">
            <v xml:space="preserve">  PSYCHOANALEPTICS</v>
          </cell>
          <cell r="D6354">
            <v>6389610</v>
          </cell>
          <cell r="E6354">
            <v>5566686</v>
          </cell>
        </row>
        <row r="6355">
          <cell r="C6355" t="str">
            <v xml:space="preserve">   ANTIDEPRESS.&amp; MOOD STAB.</v>
          </cell>
          <cell r="D6355">
            <v>3181060</v>
          </cell>
          <cell r="E6355">
            <v>2780228</v>
          </cell>
        </row>
        <row r="6356">
          <cell r="C6356" t="str">
            <v xml:space="preserve">   PSYCHOLEPTIC-ANTI-DEPRESS</v>
          </cell>
          <cell r="D6356">
            <v>2771740</v>
          </cell>
          <cell r="E6356">
            <v>2460866</v>
          </cell>
        </row>
        <row r="6357">
          <cell r="C6357" t="str">
            <v xml:space="preserve">   NOOTROPICS</v>
          </cell>
          <cell r="D6357">
            <v>433181</v>
          </cell>
          <cell r="E6357">
            <v>317877</v>
          </cell>
        </row>
        <row r="6358">
          <cell r="C6358" t="str">
            <v xml:space="preserve">   PSYCHOSTIMULANTS</v>
          </cell>
          <cell r="D6358">
            <v>3629</v>
          </cell>
          <cell r="E6358">
            <v>7715</v>
          </cell>
        </row>
        <row r="6359">
          <cell r="C6359" t="str">
            <v xml:space="preserve">  PSYCHOLEPTICS</v>
          </cell>
          <cell r="D6359">
            <v>3424685</v>
          </cell>
          <cell r="E6359">
            <v>2969177</v>
          </cell>
        </row>
        <row r="6360">
          <cell r="C6360" t="str">
            <v xml:space="preserve">   ANTIPSYCHOTICS</v>
          </cell>
          <cell r="D6360">
            <v>1733422</v>
          </cell>
          <cell r="E6360">
            <v>1562809</v>
          </cell>
        </row>
        <row r="6361">
          <cell r="C6361" t="str">
            <v xml:space="preserve">   TRANQUILLIZERS</v>
          </cell>
          <cell r="D6361">
            <v>1411289</v>
          </cell>
          <cell r="E6361">
            <v>1132106</v>
          </cell>
        </row>
        <row r="6362">
          <cell r="C6362" t="str">
            <v xml:space="preserve">   HYPNOTICS &amp; SEDATIVES</v>
          </cell>
          <cell r="D6362">
            <v>279975</v>
          </cell>
          <cell r="E6362">
            <v>274262</v>
          </cell>
        </row>
        <row r="6363">
          <cell r="C6363" t="str">
            <v xml:space="preserve">  OTHER CNS DRUGS</v>
          </cell>
          <cell r="D6363">
            <v>1307176</v>
          </cell>
          <cell r="E6363">
            <v>1217409</v>
          </cell>
        </row>
        <row r="6364">
          <cell r="C6364" t="str">
            <v xml:space="preserve">   ANTIVERTIGO PRODUCTS</v>
          </cell>
          <cell r="D6364">
            <v>598123</v>
          </cell>
          <cell r="E6364">
            <v>504124</v>
          </cell>
        </row>
        <row r="6365">
          <cell r="C6365" t="str">
            <v xml:space="preserve">   ANTI-ALZHEIMER PRODUCTS</v>
          </cell>
          <cell r="D6365">
            <v>485725</v>
          </cell>
          <cell r="E6365">
            <v>497911</v>
          </cell>
        </row>
        <row r="6366">
          <cell r="C6366" t="str">
            <v xml:space="preserve">   ALL OTHER CNS DRUGS</v>
          </cell>
          <cell r="D6366">
            <v>223328</v>
          </cell>
          <cell r="E6366">
            <v>215374</v>
          </cell>
        </row>
        <row r="6367">
          <cell r="C6367" t="str">
            <v xml:space="preserve">   DRUGS USED IN ALCOH DEP</v>
          </cell>
          <cell r="D6367">
            <v>0</v>
          </cell>
          <cell r="E6367">
            <v>0</v>
          </cell>
        </row>
        <row r="6368">
          <cell r="C6368" t="str">
            <v xml:space="preserve">  ANTI-PARKINSON PREPS</v>
          </cell>
          <cell r="D6368">
            <v>1272210</v>
          </cell>
          <cell r="E6368">
            <v>1191416</v>
          </cell>
        </row>
        <row r="6369">
          <cell r="C6369" t="str">
            <v xml:space="preserve">   ANTI-PARKINSON PREPS</v>
          </cell>
          <cell r="D6369">
            <v>1272210</v>
          </cell>
          <cell r="E6369">
            <v>1191416</v>
          </cell>
        </row>
        <row r="6370">
          <cell r="C6370" t="str">
            <v xml:space="preserve">  ANAESTHETICS</v>
          </cell>
          <cell r="D6370">
            <v>60941</v>
          </cell>
          <cell r="E6370">
            <v>61753</v>
          </cell>
        </row>
        <row r="6371">
          <cell r="C6371" t="str">
            <v xml:space="preserve">   ANAESTHETICS, LOCAL</v>
          </cell>
          <cell r="D6371">
            <v>46474</v>
          </cell>
          <cell r="E6371">
            <v>46267</v>
          </cell>
        </row>
        <row r="6372">
          <cell r="C6372" t="str">
            <v xml:space="preserve">   ANAESTHETICS GENERAL</v>
          </cell>
          <cell r="D6372">
            <v>14467</v>
          </cell>
          <cell r="E6372">
            <v>15486</v>
          </cell>
        </row>
        <row r="6373">
          <cell r="C6373" t="str">
            <v xml:space="preserve"> RESPIRATORY SYSTEM</v>
          </cell>
          <cell r="D6373">
            <v>34358880</v>
          </cell>
          <cell r="E6373">
            <v>32354838</v>
          </cell>
        </row>
        <row r="6374">
          <cell r="C6374" t="str">
            <v xml:space="preserve">  ANTI-ASTHMA &amp; COPD PROD</v>
          </cell>
          <cell r="D6374">
            <v>19532712</v>
          </cell>
          <cell r="E6374">
            <v>18658055</v>
          </cell>
        </row>
        <row r="6375">
          <cell r="C6375" t="str">
            <v xml:space="preserve">   ANTILEUK ANTI-ASTHMATICS</v>
          </cell>
          <cell r="D6375">
            <v>8654963</v>
          </cell>
          <cell r="E6375">
            <v>8390654</v>
          </cell>
        </row>
        <row r="6376">
          <cell r="C6376" t="str">
            <v xml:space="preserve">   B2-AGON+CORTICOIDS COMBS</v>
          </cell>
          <cell r="D6376">
            <v>2879386</v>
          </cell>
          <cell r="E6376">
            <v>2653865</v>
          </cell>
        </row>
        <row r="6377">
          <cell r="C6377" t="str">
            <v xml:space="preserve">   XANTHINES</v>
          </cell>
          <cell r="D6377">
            <v>2391079</v>
          </cell>
          <cell r="E6377">
            <v>2385501</v>
          </cell>
        </row>
        <row r="6378">
          <cell r="C6378" t="str">
            <v xml:space="preserve">   A-CHOLINERG COMB+B2-AGON</v>
          </cell>
          <cell r="D6378">
            <v>1809392</v>
          </cell>
          <cell r="E6378">
            <v>1471985</v>
          </cell>
        </row>
        <row r="6379">
          <cell r="C6379" t="str">
            <v xml:space="preserve">   B2-AGONISTS</v>
          </cell>
          <cell r="D6379">
            <v>1571147</v>
          </cell>
          <cell r="E6379">
            <v>1558132</v>
          </cell>
        </row>
        <row r="6380">
          <cell r="C6380" t="str">
            <v xml:space="preserve">   N-STEROIDAL RESP A-INFLAM</v>
          </cell>
          <cell r="D6380">
            <v>1419775</v>
          </cell>
          <cell r="E6380">
            <v>1451023</v>
          </cell>
        </row>
        <row r="6381">
          <cell r="C6381" t="str">
            <v xml:space="preserve">   CORTICOIDS</v>
          </cell>
          <cell r="D6381">
            <v>628394</v>
          </cell>
          <cell r="E6381">
            <v>566883</v>
          </cell>
        </row>
        <row r="6382">
          <cell r="C6382" t="str">
            <v xml:space="preserve">   ANTICHOLINERGICS PLAIN</v>
          </cell>
          <cell r="D6382">
            <v>171100</v>
          </cell>
          <cell r="E6382">
            <v>171314</v>
          </cell>
        </row>
        <row r="6383">
          <cell r="C6383" t="str">
            <v xml:space="preserve">   PDE4 INHIB,ASTHMA/COPD</v>
          </cell>
          <cell r="D6383">
            <v>4699</v>
          </cell>
          <cell r="E6383">
            <v>5223</v>
          </cell>
        </row>
        <row r="6384">
          <cell r="C6384" t="str">
            <v xml:space="preserve">   DEVICES ASTHMATIC CONDIT</v>
          </cell>
          <cell r="D6384">
            <v>2602</v>
          </cell>
          <cell r="E6384">
            <v>3468</v>
          </cell>
        </row>
        <row r="6385">
          <cell r="C6385" t="str">
            <v xml:space="preserve">   ALL OTH A-ASTHMA &amp; COPD</v>
          </cell>
          <cell r="D6385">
            <v>175</v>
          </cell>
          <cell r="E6385">
            <v>6</v>
          </cell>
        </row>
        <row r="6386">
          <cell r="C6386" t="str">
            <v xml:space="preserve">  ANTIHISTAMINES SYSTEMIC</v>
          </cell>
          <cell r="D6386">
            <v>10295291</v>
          </cell>
          <cell r="E6386">
            <v>8930055</v>
          </cell>
        </row>
        <row r="6387">
          <cell r="C6387" t="str">
            <v xml:space="preserve">   ANTIHISTAMINES SYSTEMIC</v>
          </cell>
          <cell r="D6387">
            <v>10295291</v>
          </cell>
          <cell r="E6387">
            <v>8930055</v>
          </cell>
        </row>
        <row r="6388">
          <cell r="C6388" t="str">
            <v xml:space="preserve">  COUGH &amp; COLD PREPARATIONS</v>
          </cell>
          <cell r="D6388">
            <v>2629167</v>
          </cell>
          <cell r="E6388">
            <v>2980227</v>
          </cell>
        </row>
        <row r="6389">
          <cell r="C6389" t="str">
            <v xml:space="preserve">   ANTITUSSIVES</v>
          </cell>
          <cell r="D6389">
            <v>1205323</v>
          </cell>
          <cell r="E6389">
            <v>1401215</v>
          </cell>
        </row>
        <row r="6390">
          <cell r="C6390" t="str">
            <v xml:space="preserve">   EXPECTORANTS</v>
          </cell>
          <cell r="D6390">
            <v>1041948</v>
          </cell>
          <cell r="E6390">
            <v>1183352</v>
          </cell>
        </row>
        <row r="6391">
          <cell r="C6391" t="str">
            <v xml:space="preserve">   OTHER COUGH &amp; COLD PREPS</v>
          </cell>
          <cell r="D6391">
            <v>381897</v>
          </cell>
          <cell r="E6391">
            <v>395659</v>
          </cell>
        </row>
        <row r="6392">
          <cell r="C6392" t="str">
            <v xml:space="preserve">  NASAL DECONG/ANTIINFECT.</v>
          </cell>
          <cell r="D6392">
            <v>1766204</v>
          </cell>
          <cell r="E6392">
            <v>1635380</v>
          </cell>
        </row>
        <row r="6393">
          <cell r="C6393" t="str">
            <v xml:space="preserve">   TOPICAL NASAL PREPS</v>
          </cell>
          <cell r="D6393">
            <v>1749618</v>
          </cell>
          <cell r="E6393">
            <v>1608045</v>
          </cell>
        </row>
        <row r="6394">
          <cell r="C6394" t="str">
            <v xml:space="preserve">   SYSTEMIC NASAL PREPS</v>
          </cell>
          <cell r="D6394">
            <v>16586</v>
          </cell>
          <cell r="E6394">
            <v>27335</v>
          </cell>
        </row>
        <row r="6395">
          <cell r="C6395" t="str">
            <v xml:space="preserve">  OTHER RESPIRATORY PREPS</v>
          </cell>
          <cell r="D6395">
            <v>104661</v>
          </cell>
          <cell r="E6395">
            <v>122364</v>
          </cell>
        </row>
        <row r="6396">
          <cell r="C6396" t="str">
            <v xml:space="preserve">   IDIOPATH PULMON FIB PROD</v>
          </cell>
          <cell r="D6396">
            <v>104661</v>
          </cell>
          <cell r="E6396">
            <v>121751</v>
          </cell>
        </row>
        <row r="6397">
          <cell r="C6397" t="str">
            <v xml:space="preserve">   ALL OTH RESPIRAT SYS PROD</v>
          </cell>
          <cell r="D6397">
            <v>0</v>
          </cell>
          <cell r="E6397">
            <v>613</v>
          </cell>
        </row>
        <row r="6398">
          <cell r="C6398" t="str">
            <v xml:space="preserve">  CHEST RUBS &amp; INHALANTS</v>
          </cell>
          <cell r="D6398">
            <v>26915</v>
          </cell>
          <cell r="E6398">
            <v>22752</v>
          </cell>
        </row>
        <row r="6399">
          <cell r="C6399" t="str">
            <v xml:space="preserve">   CHEST RUBS &amp; INHALANTS</v>
          </cell>
          <cell r="D6399">
            <v>26915</v>
          </cell>
          <cell r="E6399">
            <v>22752</v>
          </cell>
        </row>
        <row r="6400">
          <cell r="C6400" t="str">
            <v xml:space="preserve">  PHARYNGEAL PREPARATIONS</v>
          </cell>
          <cell r="D6400">
            <v>3929</v>
          </cell>
          <cell r="E6400">
            <v>6006</v>
          </cell>
        </row>
        <row r="6401">
          <cell r="C6401" t="str">
            <v xml:space="preserve">   PHARYNGEAL PREPARATIONS</v>
          </cell>
          <cell r="D6401">
            <v>3929</v>
          </cell>
          <cell r="E6401">
            <v>6006</v>
          </cell>
        </row>
        <row r="6402">
          <cell r="C6402" t="str">
            <v xml:space="preserve"> MUSCULO-SKELETAL SYSTEM</v>
          </cell>
          <cell r="D6402">
            <v>20086983</v>
          </cell>
          <cell r="E6402">
            <v>16399751</v>
          </cell>
        </row>
        <row r="6403">
          <cell r="C6403" t="str">
            <v xml:space="preserve">  ANTIRHEUMATIC SYSTEM</v>
          </cell>
          <cell r="D6403">
            <v>12421062</v>
          </cell>
          <cell r="E6403">
            <v>10092903</v>
          </cell>
        </row>
        <row r="6404">
          <cell r="C6404" t="str">
            <v xml:space="preserve">   ANTIRHEUMATIC NON-STEROID</v>
          </cell>
          <cell r="D6404">
            <v>11089637</v>
          </cell>
          <cell r="E6404">
            <v>9419842</v>
          </cell>
        </row>
        <row r="6405">
          <cell r="C6405" t="str">
            <v xml:space="preserve">   SPEC ANTIRHEUMATIC AGENT</v>
          </cell>
          <cell r="D6405">
            <v>1331425</v>
          </cell>
          <cell r="E6405">
            <v>673061</v>
          </cell>
        </row>
        <row r="6406">
          <cell r="C6406" t="str">
            <v xml:space="preserve">  OTHER MUSCULO-SKELETAL</v>
          </cell>
          <cell r="D6406">
            <v>3645685</v>
          </cell>
          <cell r="E6406">
            <v>2822284</v>
          </cell>
        </row>
        <row r="6407">
          <cell r="C6407" t="str">
            <v xml:space="preserve">   OTH MUSCULO-SKELETAL PRDS</v>
          </cell>
          <cell r="D6407">
            <v>2726505</v>
          </cell>
          <cell r="E6407">
            <v>1953651</v>
          </cell>
        </row>
        <row r="6408">
          <cell r="C6408" t="str">
            <v xml:space="preserve">   BONE CALCIUM REGULATORS</v>
          </cell>
          <cell r="D6408">
            <v>919180</v>
          </cell>
          <cell r="E6408">
            <v>868633</v>
          </cell>
        </row>
        <row r="6409">
          <cell r="C6409" t="str">
            <v xml:space="preserve">  MUSCLE RELAXANTS</v>
          </cell>
          <cell r="D6409">
            <v>2758957</v>
          </cell>
          <cell r="E6409">
            <v>2408394</v>
          </cell>
        </row>
        <row r="6410">
          <cell r="C6410" t="str">
            <v xml:space="preserve">   MUSCLE RELAXANTS,CENTRAL</v>
          </cell>
          <cell r="D6410">
            <v>2641312</v>
          </cell>
          <cell r="E6410">
            <v>2255214</v>
          </cell>
        </row>
        <row r="6411">
          <cell r="C6411" t="str">
            <v xml:space="preserve">   MUSCLE RELAXANTS,PERIPHER</v>
          </cell>
          <cell r="D6411">
            <v>117645</v>
          </cell>
          <cell r="E6411">
            <v>153180</v>
          </cell>
        </row>
        <row r="6412">
          <cell r="C6412" t="str">
            <v xml:space="preserve">  ANTI-GOUT PREPARATIONS</v>
          </cell>
          <cell r="D6412">
            <v>736164</v>
          </cell>
          <cell r="E6412">
            <v>608432</v>
          </cell>
        </row>
        <row r="6413">
          <cell r="C6413" t="str">
            <v xml:space="preserve">   ANTI-GOUT PREPARATIONS</v>
          </cell>
          <cell r="D6413">
            <v>736164</v>
          </cell>
          <cell r="E6413">
            <v>608432</v>
          </cell>
        </row>
        <row r="6414">
          <cell r="C6414" t="str">
            <v xml:space="preserve">  ANTIRHEUMATICS TOPICAL</v>
          </cell>
          <cell r="D6414">
            <v>525116</v>
          </cell>
          <cell r="E6414">
            <v>467737</v>
          </cell>
        </row>
        <row r="6415">
          <cell r="C6415" t="str">
            <v xml:space="preserve">   TOP A-RHEUMATICS &amp; ANALG</v>
          </cell>
          <cell r="D6415">
            <v>525116</v>
          </cell>
          <cell r="E6415">
            <v>467737</v>
          </cell>
        </row>
        <row r="6416">
          <cell r="C6416" t="str">
            <v xml:space="preserve"> G.U.SYSTEM &amp; SEX HORMONES</v>
          </cell>
          <cell r="D6416">
            <v>15468737</v>
          </cell>
          <cell r="E6416">
            <v>13032023</v>
          </cell>
        </row>
        <row r="6417">
          <cell r="C6417" t="str">
            <v xml:space="preserve">  SEX HORMONES-SYSTEMC ONLY</v>
          </cell>
          <cell r="D6417">
            <v>8516886</v>
          </cell>
          <cell r="E6417">
            <v>7090894</v>
          </cell>
        </row>
        <row r="6418">
          <cell r="C6418" t="str">
            <v xml:space="preserve">   PROGESTOG,EXCL G3A,G3F</v>
          </cell>
          <cell r="D6418">
            <v>5200522</v>
          </cell>
          <cell r="E6418">
            <v>4131478</v>
          </cell>
        </row>
        <row r="6419">
          <cell r="C6419" t="str">
            <v xml:space="preserve">   OTH.SEX HORM.&amp; SIMILAR</v>
          </cell>
          <cell r="D6419">
            <v>914058</v>
          </cell>
          <cell r="E6419">
            <v>821619</v>
          </cell>
        </row>
        <row r="6420">
          <cell r="C6420" t="str">
            <v xml:space="preserve">   HORMONAL CONTRACEPT SYST</v>
          </cell>
          <cell r="D6420">
            <v>906907</v>
          </cell>
          <cell r="E6420">
            <v>711242</v>
          </cell>
        </row>
        <row r="6421">
          <cell r="C6421" t="str">
            <v xml:space="preserve">   GONADOTROPHINS</v>
          </cell>
          <cell r="D6421">
            <v>850660</v>
          </cell>
          <cell r="E6421">
            <v>807156</v>
          </cell>
        </row>
        <row r="6422">
          <cell r="C6422" t="str">
            <v xml:space="preserve">   OESTROG EX G3A,G3E,G3F</v>
          </cell>
          <cell r="D6422">
            <v>414433</v>
          </cell>
          <cell r="E6422">
            <v>405461</v>
          </cell>
        </row>
        <row r="6423">
          <cell r="C6423" t="str">
            <v xml:space="preserve">   ANDROGENS,EXCL G3E,G3F</v>
          </cell>
          <cell r="D6423">
            <v>197774</v>
          </cell>
          <cell r="E6423">
            <v>172112</v>
          </cell>
        </row>
        <row r="6424">
          <cell r="C6424" t="str">
            <v xml:space="preserve">   OESTROGEN + PROGESTOGEN</v>
          </cell>
          <cell r="D6424">
            <v>22764</v>
          </cell>
          <cell r="E6424">
            <v>25472</v>
          </cell>
        </row>
        <row r="6425">
          <cell r="C6425" t="str">
            <v xml:space="preserve">   SERMS</v>
          </cell>
          <cell r="D6425">
            <v>9768</v>
          </cell>
          <cell r="E6425">
            <v>16354</v>
          </cell>
        </row>
        <row r="6426">
          <cell r="C6426" t="str">
            <v xml:space="preserve">  UROLOGICALS</v>
          </cell>
          <cell r="D6426">
            <v>5411041</v>
          </cell>
          <cell r="E6426">
            <v>4989154</v>
          </cell>
        </row>
        <row r="6427">
          <cell r="C6427" t="str">
            <v xml:space="preserve">   BPH PRODUCTS</v>
          </cell>
          <cell r="D6427">
            <v>2203713</v>
          </cell>
          <cell r="E6427">
            <v>2174766</v>
          </cell>
        </row>
        <row r="6428">
          <cell r="C6428" t="str">
            <v xml:space="preserve">   ERECTILE DYSFUNCTION PRD</v>
          </cell>
          <cell r="D6428">
            <v>1178513</v>
          </cell>
          <cell r="E6428">
            <v>1092182</v>
          </cell>
        </row>
        <row r="6429">
          <cell r="C6429" t="str">
            <v xml:space="preserve">   URINARY ANTI-INFECTIVES</v>
          </cell>
          <cell r="D6429">
            <v>731050</v>
          </cell>
          <cell r="E6429">
            <v>553928</v>
          </cell>
        </row>
        <row r="6430">
          <cell r="C6430" t="str">
            <v xml:space="preserve">   URINARY INCONTINENCE PRD</v>
          </cell>
          <cell r="D6430">
            <v>712284</v>
          </cell>
          <cell r="E6430">
            <v>628934</v>
          </cell>
        </row>
        <row r="6431">
          <cell r="C6431" t="str">
            <v xml:space="preserve">   ALL OTH UROLOGICAL PRODS</v>
          </cell>
          <cell r="D6431">
            <v>585480</v>
          </cell>
          <cell r="E6431">
            <v>539343</v>
          </cell>
        </row>
        <row r="6432">
          <cell r="C6432" t="str">
            <v xml:space="preserve">  OTHER GYNAECOLOGICALS</v>
          </cell>
          <cell r="D6432">
            <v>1070263</v>
          </cell>
          <cell r="E6432">
            <v>571189</v>
          </cell>
        </row>
        <row r="6433">
          <cell r="C6433" t="str">
            <v xml:space="preserve">   OTH GYNAECOLOGICAL PRODS</v>
          </cell>
          <cell r="D6433">
            <v>740013</v>
          </cell>
          <cell r="E6433">
            <v>243480</v>
          </cell>
        </row>
        <row r="6434">
          <cell r="C6434" t="str">
            <v xml:space="preserve">   PROLACTIN INHIBITORS</v>
          </cell>
          <cell r="D6434">
            <v>234550</v>
          </cell>
          <cell r="E6434">
            <v>208432</v>
          </cell>
        </row>
        <row r="6435">
          <cell r="C6435" t="str">
            <v xml:space="preserve">   UTEROTONIC PRODUCTS</v>
          </cell>
          <cell r="D6435">
            <v>86949</v>
          </cell>
          <cell r="E6435">
            <v>106091</v>
          </cell>
        </row>
        <row r="6436">
          <cell r="C6436" t="str">
            <v xml:space="preserve">   TOPICAL SEX HORMONES</v>
          </cell>
          <cell r="D6436">
            <v>7301</v>
          </cell>
          <cell r="E6436">
            <v>11878</v>
          </cell>
        </row>
        <row r="6437">
          <cell r="C6437" t="str">
            <v xml:space="preserve">   LABOUR INHIBITORS</v>
          </cell>
          <cell r="D6437">
            <v>1175</v>
          </cell>
          <cell r="E6437">
            <v>900</v>
          </cell>
        </row>
        <row r="6438">
          <cell r="C6438" t="str">
            <v xml:space="preserve">   TOPICAL CONTRACEPTIVES</v>
          </cell>
          <cell r="D6438">
            <v>275</v>
          </cell>
          <cell r="E6438">
            <v>408</v>
          </cell>
        </row>
        <row r="6439">
          <cell r="C6439" t="str">
            <v xml:space="preserve">  GYNAE ANTI-INFECTIVES</v>
          </cell>
          <cell r="D6439">
            <v>470546</v>
          </cell>
          <cell r="E6439">
            <v>380786</v>
          </cell>
        </row>
        <row r="6440">
          <cell r="C6440" t="str">
            <v xml:space="preserve">   TRICHOMONACIDES</v>
          </cell>
          <cell r="D6440">
            <v>343419</v>
          </cell>
          <cell r="E6440">
            <v>308376</v>
          </cell>
        </row>
        <row r="6441">
          <cell r="C6441" t="str">
            <v xml:space="preserve">   GYNAECOLOG ANTIFUNGALS</v>
          </cell>
          <cell r="D6441">
            <v>100590</v>
          </cell>
          <cell r="E6441">
            <v>41416</v>
          </cell>
        </row>
        <row r="6442">
          <cell r="C6442" t="str">
            <v xml:space="preserve">   GYNAECOLOGIC ANTISEPTICS</v>
          </cell>
          <cell r="D6442">
            <v>26111</v>
          </cell>
          <cell r="E6442">
            <v>30253</v>
          </cell>
        </row>
        <row r="6443">
          <cell r="C6443" t="str">
            <v xml:space="preserve">   GYNAECOLOGICAL ANTIBACT</v>
          </cell>
          <cell r="D6443">
            <v>426</v>
          </cell>
          <cell r="E6443">
            <v>741</v>
          </cell>
        </row>
        <row r="6444">
          <cell r="C6444" t="str">
            <v xml:space="preserve"> DERMATOLOGICALS</v>
          </cell>
          <cell r="D6444">
            <v>10342684</v>
          </cell>
          <cell r="E6444">
            <v>8517872</v>
          </cell>
        </row>
        <row r="6445">
          <cell r="C6445" t="str">
            <v xml:space="preserve">  TOPICAL CORTICOSTEROIDS</v>
          </cell>
          <cell r="D6445">
            <v>3824719</v>
          </cell>
          <cell r="E6445">
            <v>3221264</v>
          </cell>
        </row>
        <row r="6446">
          <cell r="C6446" t="str">
            <v xml:space="preserve">   TOP CORTICOSTEROIDS COMBS</v>
          </cell>
          <cell r="D6446">
            <v>2945650</v>
          </cell>
          <cell r="E6446">
            <v>2434004</v>
          </cell>
        </row>
        <row r="6447">
          <cell r="C6447" t="str">
            <v xml:space="preserve">   TOP CORTICOSTEROIDS PLAIN</v>
          </cell>
          <cell r="D6447">
            <v>879070</v>
          </cell>
          <cell r="E6447">
            <v>787260</v>
          </cell>
        </row>
        <row r="6448">
          <cell r="C6448" t="str">
            <v xml:space="preserve">  ANTIFUNGALS DERMATOLOGICL</v>
          </cell>
          <cell r="D6448">
            <v>2676485</v>
          </cell>
          <cell r="E6448">
            <v>2038064</v>
          </cell>
        </row>
        <row r="6449">
          <cell r="C6449" t="str">
            <v xml:space="preserve">   ANTIFUNGALS DERMATOLOGICL</v>
          </cell>
          <cell r="D6449">
            <v>2676485</v>
          </cell>
          <cell r="E6449">
            <v>2038064</v>
          </cell>
        </row>
        <row r="6450">
          <cell r="C6450" t="str">
            <v xml:space="preserve">  TOP A-BACTS &amp; A-VIRALS</v>
          </cell>
          <cell r="D6450">
            <v>1191043</v>
          </cell>
          <cell r="E6450">
            <v>1002299</v>
          </cell>
        </row>
        <row r="6451">
          <cell r="C6451" t="str">
            <v xml:space="preserve">   TOPICAL ANTIBACTERIALS</v>
          </cell>
          <cell r="D6451">
            <v>1142279</v>
          </cell>
          <cell r="E6451">
            <v>960553</v>
          </cell>
        </row>
        <row r="6452">
          <cell r="C6452" t="str">
            <v xml:space="preserve">   TOP VIRAL INF PRODUCTS</v>
          </cell>
          <cell r="D6452">
            <v>48765</v>
          </cell>
          <cell r="E6452">
            <v>41746</v>
          </cell>
        </row>
        <row r="6453">
          <cell r="C6453" t="str">
            <v xml:space="preserve">  ANTISEPTICS+DISINFECTANTS</v>
          </cell>
          <cell r="D6453">
            <v>711206</v>
          </cell>
          <cell r="E6453">
            <v>571032</v>
          </cell>
        </row>
        <row r="6454">
          <cell r="C6454" t="str">
            <v xml:space="preserve">   ANTISEPTICS+DISINFECTANTS</v>
          </cell>
          <cell r="D6454">
            <v>711206</v>
          </cell>
          <cell r="E6454">
            <v>571032</v>
          </cell>
        </row>
        <row r="6455">
          <cell r="C6455" t="str">
            <v xml:space="preserve">  ANTI-ACNE PREPARATIONS</v>
          </cell>
          <cell r="D6455">
            <v>582669</v>
          </cell>
          <cell r="E6455">
            <v>514088</v>
          </cell>
        </row>
        <row r="6456">
          <cell r="C6456" t="str">
            <v xml:space="preserve">   TOPICAL ANTI-ACNE PREPS</v>
          </cell>
          <cell r="D6456">
            <v>396143</v>
          </cell>
          <cell r="E6456">
            <v>374579</v>
          </cell>
        </row>
        <row r="6457">
          <cell r="C6457" t="str">
            <v xml:space="preserve">   ORAL ANTI-ACNE PREPS</v>
          </cell>
          <cell r="D6457">
            <v>186526</v>
          </cell>
          <cell r="E6457">
            <v>139509</v>
          </cell>
        </row>
        <row r="6458">
          <cell r="C6458" t="str">
            <v xml:space="preserve">  NON-STER PRD INFLAM SKIN</v>
          </cell>
          <cell r="D6458">
            <v>562503</v>
          </cell>
          <cell r="E6458">
            <v>520472</v>
          </cell>
        </row>
        <row r="6459">
          <cell r="C6459" t="str">
            <v xml:space="preserve">   OTH N-STER INFLAM SKIN</v>
          </cell>
          <cell r="D6459">
            <v>254629</v>
          </cell>
          <cell r="E6459">
            <v>231837</v>
          </cell>
        </row>
        <row r="6460">
          <cell r="C6460" t="str">
            <v xml:space="preserve">   TOP ANTIPSORIASIS PRDS</v>
          </cell>
          <cell r="D6460">
            <v>203999</v>
          </cell>
          <cell r="E6460">
            <v>185718</v>
          </cell>
        </row>
        <row r="6461">
          <cell r="C6461" t="str">
            <v xml:space="preserve">   SYST ANTIPSORIASIS PRDS</v>
          </cell>
          <cell r="D6461">
            <v>103875</v>
          </cell>
          <cell r="E6461">
            <v>102917</v>
          </cell>
        </row>
        <row r="6462">
          <cell r="C6462" t="str">
            <v xml:space="preserve">  OTHER DERMATOLOGICAL PREP</v>
          </cell>
          <cell r="D6462">
            <v>422889</v>
          </cell>
          <cell r="E6462">
            <v>323982</v>
          </cell>
        </row>
        <row r="6463">
          <cell r="C6463" t="str">
            <v xml:space="preserve">   OTHER DERMATOLOGICAL PREP</v>
          </cell>
          <cell r="D6463">
            <v>422889</v>
          </cell>
          <cell r="E6463">
            <v>323982</v>
          </cell>
        </row>
        <row r="6464">
          <cell r="C6464" t="str">
            <v xml:space="preserve">  EMOLLIENTS &amp; PROTECTIVES</v>
          </cell>
          <cell r="D6464">
            <v>342031</v>
          </cell>
          <cell r="E6464">
            <v>306155</v>
          </cell>
        </row>
        <row r="6465">
          <cell r="C6465" t="str">
            <v xml:space="preserve">   EMOLLIENTS &amp; PROTECTIVES</v>
          </cell>
          <cell r="D6465">
            <v>342031</v>
          </cell>
          <cell r="E6465">
            <v>306155</v>
          </cell>
        </row>
        <row r="6466">
          <cell r="C6466" t="str">
            <v xml:space="preserve">  TOPICAL ANTIPRURITICS</v>
          </cell>
          <cell r="D6466">
            <v>23992</v>
          </cell>
          <cell r="E6466">
            <v>19030</v>
          </cell>
        </row>
        <row r="6467">
          <cell r="C6467" t="str">
            <v xml:space="preserve">   TOPICAL ANTIPRURITICS</v>
          </cell>
          <cell r="D6467">
            <v>23992</v>
          </cell>
          <cell r="E6467">
            <v>19030</v>
          </cell>
        </row>
        <row r="6468">
          <cell r="C6468" t="str">
            <v xml:space="preserve">  WOUND-HEALING AGENTS</v>
          </cell>
          <cell r="D6468">
            <v>5145</v>
          </cell>
          <cell r="E6468">
            <v>1486</v>
          </cell>
        </row>
        <row r="6469">
          <cell r="C6469" t="str">
            <v xml:space="preserve">   WOUND HEALING AGENTS</v>
          </cell>
          <cell r="D6469">
            <v>5145</v>
          </cell>
          <cell r="E6469">
            <v>1486</v>
          </cell>
        </row>
        <row r="6470">
          <cell r="C6470" t="str">
            <v xml:space="preserve"> BLOOD + B.FORMING ORGANS</v>
          </cell>
          <cell r="D6470">
            <v>9773817</v>
          </cell>
          <cell r="E6470">
            <v>8470994</v>
          </cell>
        </row>
        <row r="6471">
          <cell r="C6471" t="str">
            <v xml:space="preserve">  ANTIANAEMICS</v>
          </cell>
          <cell r="D6471">
            <v>4659334</v>
          </cell>
          <cell r="E6471">
            <v>3707072</v>
          </cell>
        </row>
        <row r="6472">
          <cell r="C6472" t="str">
            <v xml:space="preserve">   HAEMATINICS,IRON &amp; COMBS</v>
          </cell>
          <cell r="D6472">
            <v>3701120</v>
          </cell>
          <cell r="E6472">
            <v>3119486</v>
          </cell>
        </row>
        <row r="6473">
          <cell r="C6473" t="str">
            <v xml:space="preserve">   OTH ANTI-ANAEM+FOLIC ACID</v>
          </cell>
          <cell r="D6473">
            <v>504139</v>
          </cell>
          <cell r="E6473">
            <v>298199</v>
          </cell>
        </row>
        <row r="6474">
          <cell r="C6474" t="str">
            <v xml:space="preserve">   HIF-PH INHIBITORS</v>
          </cell>
          <cell r="D6474">
            <v>262413</v>
          </cell>
          <cell r="E6474">
            <v>92405</v>
          </cell>
        </row>
        <row r="6475">
          <cell r="C6475" t="str">
            <v xml:space="preserve">   ERYTHROPOIETIN PRODUCTS</v>
          </cell>
          <cell r="D6475">
            <v>191662</v>
          </cell>
          <cell r="E6475">
            <v>196982</v>
          </cell>
        </row>
        <row r="6476">
          <cell r="C6476" t="str">
            <v xml:space="preserve">  ANTITHROMBOTIC AGENTS</v>
          </cell>
          <cell r="D6476">
            <v>4415004</v>
          </cell>
          <cell r="E6476">
            <v>4112116</v>
          </cell>
        </row>
        <row r="6477">
          <cell r="C6477" t="str">
            <v xml:space="preserve">   PLATELET AGGREG INHIBITRS</v>
          </cell>
          <cell r="D6477">
            <v>4057087</v>
          </cell>
          <cell r="E6477">
            <v>3783699</v>
          </cell>
        </row>
        <row r="6478">
          <cell r="C6478" t="str">
            <v xml:space="preserve">   DIRECT FACTOR XA INHIBS</v>
          </cell>
          <cell r="D6478">
            <v>195406</v>
          </cell>
          <cell r="E6478">
            <v>155042</v>
          </cell>
        </row>
        <row r="6479">
          <cell r="C6479" t="str">
            <v xml:space="preserve">   HEPARINS</v>
          </cell>
          <cell r="D6479">
            <v>127894</v>
          </cell>
          <cell r="E6479">
            <v>116709</v>
          </cell>
        </row>
        <row r="6480">
          <cell r="C6480" t="str">
            <v xml:space="preserve">   VITAMIN K ANTAGONISTS</v>
          </cell>
          <cell r="D6480">
            <v>17462</v>
          </cell>
          <cell r="E6480">
            <v>16242</v>
          </cell>
        </row>
        <row r="6481">
          <cell r="C6481" t="str">
            <v xml:space="preserve">   FIBRINOLYTICS</v>
          </cell>
          <cell r="D6481">
            <v>10147</v>
          </cell>
          <cell r="E6481">
            <v>28713</v>
          </cell>
        </row>
        <row r="6482">
          <cell r="C6482" t="str">
            <v xml:space="preserve">   OTH.ANTITHROMBOTIC AGENT</v>
          </cell>
          <cell r="D6482">
            <v>6699</v>
          </cell>
          <cell r="E6482">
            <v>11710</v>
          </cell>
        </row>
        <row r="6483">
          <cell r="C6483" t="str">
            <v xml:space="preserve">   DIRECT THROMBIN INHIBIT.</v>
          </cell>
          <cell r="D6483">
            <v>309</v>
          </cell>
          <cell r="E6483">
            <v>0</v>
          </cell>
        </row>
        <row r="6484">
          <cell r="C6484" t="str">
            <v xml:space="preserve">  BLOOD COAGULAT SYST PRD</v>
          </cell>
          <cell r="D6484">
            <v>661764</v>
          </cell>
          <cell r="E6484">
            <v>651806</v>
          </cell>
        </row>
        <row r="6485">
          <cell r="C6485" t="str">
            <v xml:space="preserve">   ANTI-FIBRINOLYTICS</v>
          </cell>
          <cell r="D6485">
            <v>615695</v>
          </cell>
          <cell r="E6485">
            <v>598517</v>
          </cell>
        </row>
        <row r="6486">
          <cell r="C6486" t="str">
            <v xml:space="preserve">   ANTAGONISTS</v>
          </cell>
          <cell r="D6486">
            <v>30836</v>
          </cell>
          <cell r="E6486">
            <v>31581</v>
          </cell>
        </row>
        <row r="6487">
          <cell r="C6487" t="str">
            <v xml:space="preserve">   SYSTEMIC HAEMOSTATICS</v>
          </cell>
          <cell r="D6487">
            <v>8032</v>
          </cell>
          <cell r="E6487">
            <v>11091</v>
          </cell>
        </row>
        <row r="6488">
          <cell r="C6488" t="str">
            <v xml:space="preserve">   PLATELET-ENHANCING PRODS</v>
          </cell>
          <cell r="D6488">
            <v>7201</v>
          </cell>
          <cell r="E6488">
            <v>10619</v>
          </cell>
        </row>
        <row r="6489">
          <cell r="C6489" t="str">
            <v xml:space="preserve">  ALL OTH HAEMATOLOG AGENTS</v>
          </cell>
          <cell r="D6489">
            <v>37715</v>
          </cell>
          <cell r="E6489">
            <v>0</v>
          </cell>
        </row>
        <row r="6490">
          <cell r="C6490" t="str">
            <v xml:space="preserve">   OTH HAEMATOLOGIC AGENTS</v>
          </cell>
          <cell r="D6490">
            <v>37715</v>
          </cell>
          <cell r="E6490">
            <v>0</v>
          </cell>
        </row>
        <row r="6491">
          <cell r="C6491" t="str">
            <v xml:space="preserve"> SENSORY ORGANS</v>
          </cell>
          <cell r="D6491">
            <v>5414509</v>
          </cell>
          <cell r="E6491">
            <v>5151883</v>
          </cell>
        </row>
        <row r="6492">
          <cell r="C6492" t="str">
            <v xml:space="preserve">  OPHTHALMOLOGICALS</v>
          </cell>
          <cell r="D6492">
            <v>5071795</v>
          </cell>
          <cell r="E6492">
            <v>4852119</v>
          </cell>
        </row>
        <row r="6493">
          <cell r="C6493" t="str">
            <v xml:space="preserve">   DRY EYE PRODUCTS</v>
          </cell>
          <cell r="D6493">
            <v>1373802</v>
          </cell>
          <cell r="E6493">
            <v>1299718</v>
          </cell>
        </row>
        <row r="6494">
          <cell r="C6494" t="str">
            <v xml:space="preserve">   ANTI-INFECTIVES-EYE</v>
          </cell>
          <cell r="D6494">
            <v>863327</v>
          </cell>
          <cell r="E6494">
            <v>975511</v>
          </cell>
        </row>
        <row r="6495">
          <cell r="C6495" t="str">
            <v xml:space="preserve">   EYE TONICS&amp;EYE VITAMINS</v>
          </cell>
          <cell r="D6495">
            <v>647158</v>
          </cell>
          <cell r="E6495">
            <v>342888</v>
          </cell>
        </row>
        <row r="6496">
          <cell r="C6496" t="str">
            <v xml:space="preserve">   MIOTICS+ANTIGLAUCOMA PREP</v>
          </cell>
          <cell r="D6496">
            <v>625048</v>
          </cell>
          <cell r="E6496">
            <v>589531</v>
          </cell>
        </row>
        <row r="6497">
          <cell r="C6497" t="str">
            <v xml:space="preserve">   OPHTH A-INFLAM+A-INFECT</v>
          </cell>
          <cell r="D6497">
            <v>600730</v>
          </cell>
          <cell r="E6497">
            <v>556563</v>
          </cell>
        </row>
        <row r="6498">
          <cell r="C6498" t="str">
            <v xml:space="preserve">   OCUL.A-ALLER.DECON.A-SEP</v>
          </cell>
          <cell r="D6498">
            <v>425884</v>
          </cell>
          <cell r="E6498">
            <v>492523</v>
          </cell>
        </row>
        <row r="6499">
          <cell r="C6499" t="str">
            <v xml:space="preserve">   CORTICOSTEROIDS-EYE</v>
          </cell>
          <cell r="D6499">
            <v>204065</v>
          </cell>
          <cell r="E6499">
            <v>234907</v>
          </cell>
        </row>
        <row r="6500">
          <cell r="C6500" t="str">
            <v xml:space="preserve">   OPHTH N/STEROID A-INFLAMM</v>
          </cell>
          <cell r="D6500">
            <v>185002</v>
          </cell>
          <cell r="E6500">
            <v>208016</v>
          </cell>
        </row>
        <row r="6501">
          <cell r="C6501" t="str">
            <v xml:space="preserve">   ANTICATARACTOGENICS</v>
          </cell>
          <cell r="D6501">
            <v>56681</v>
          </cell>
          <cell r="E6501">
            <v>58804</v>
          </cell>
        </row>
        <row r="6502">
          <cell r="C6502" t="str">
            <v xml:space="preserve">   ANTI-VIRAL AGENTS -EYE</v>
          </cell>
          <cell r="D6502">
            <v>50083</v>
          </cell>
          <cell r="E6502">
            <v>44791</v>
          </cell>
        </row>
        <row r="6503">
          <cell r="C6503" t="str">
            <v xml:space="preserve">   MYDRIATICS+CYCLOPLEGICS</v>
          </cell>
          <cell r="D6503">
            <v>35307</v>
          </cell>
          <cell r="E6503">
            <v>28635</v>
          </cell>
        </row>
        <row r="6504">
          <cell r="C6504" t="str">
            <v xml:space="preserve">   OTHER OPHTHALMOLOGICALS</v>
          </cell>
          <cell r="D6504">
            <v>4194</v>
          </cell>
          <cell r="E6504">
            <v>4276</v>
          </cell>
        </row>
        <row r="6505">
          <cell r="C6505" t="str">
            <v xml:space="preserve">   LOCAL ANAESTHETICS -EYE</v>
          </cell>
          <cell r="D6505">
            <v>342</v>
          </cell>
          <cell r="E6505">
            <v>346</v>
          </cell>
        </row>
        <row r="6506">
          <cell r="C6506" t="str">
            <v xml:space="preserve">   OPHTHALMOL SURGICAL AIDS</v>
          </cell>
          <cell r="D6506">
            <v>172</v>
          </cell>
          <cell r="E6506">
            <v>309</v>
          </cell>
        </row>
        <row r="6507">
          <cell r="C6507" t="str">
            <v xml:space="preserve">   OCULAR ANTINEOVASC.PRODS</v>
          </cell>
          <cell r="D6507">
            <v>0</v>
          </cell>
          <cell r="E6507">
            <v>15300</v>
          </cell>
        </row>
        <row r="6508">
          <cell r="C6508" t="str">
            <v xml:space="preserve">  OTOLOGICALS</v>
          </cell>
          <cell r="D6508">
            <v>257469</v>
          </cell>
          <cell r="E6508">
            <v>202564</v>
          </cell>
        </row>
        <row r="6509">
          <cell r="C6509" t="str">
            <v xml:space="preserve">   STEROID/ANTI-INFECT - EAR</v>
          </cell>
          <cell r="D6509">
            <v>200605</v>
          </cell>
          <cell r="E6509">
            <v>164856</v>
          </cell>
        </row>
        <row r="6510">
          <cell r="C6510" t="str">
            <v xml:space="preserve">   OTHER EAR PREPARATIONS</v>
          </cell>
          <cell r="D6510">
            <v>49782</v>
          </cell>
          <cell r="E6510">
            <v>28917</v>
          </cell>
        </row>
        <row r="6511">
          <cell r="C6511" t="str">
            <v xml:space="preserve">   ANTI-INFECTIVES - EAR</v>
          </cell>
          <cell r="D6511">
            <v>7081</v>
          </cell>
          <cell r="E6511">
            <v>8792</v>
          </cell>
        </row>
        <row r="6512">
          <cell r="C6512" t="str">
            <v xml:space="preserve">  EYE-EAR PREPARATIONS</v>
          </cell>
          <cell r="D6512">
            <v>85245</v>
          </cell>
          <cell r="E6512">
            <v>97200</v>
          </cell>
        </row>
        <row r="6513">
          <cell r="C6513" t="str">
            <v xml:space="preserve">   STEROIDS/A-INFEC -EYE/EAR</v>
          </cell>
          <cell r="D6513">
            <v>77456</v>
          </cell>
          <cell r="E6513">
            <v>84805</v>
          </cell>
        </row>
        <row r="6514">
          <cell r="C6514" t="str">
            <v xml:space="preserve">   ANTI-INFECTIVES - EYE/EAR</v>
          </cell>
          <cell r="D6514">
            <v>5402</v>
          </cell>
          <cell r="E6514">
            <v>10087</v>
          </cell>
        </row>
        <row r="6515">
          <cell r="C6515" t="str">
            <v xml:space="preserve">   CORTICOSTEROIDS - EYE/EAR</v>
          </cell>
          <cell r="D6515">
            <v>2387</v>
          </cell>
          <cell r="E6515">
            <v>2308</v>
          </cell>
        </row>
        <row r="6516">
          <cell r="C6516" t="str">
            <v xml:space="preserve"> SYSTEMIC HORMONES</v>
          </cell>
          <cell r="D6516">
            <v>4109575</v>
          </cell>
          <cell r="E6516">
            <v>3852419</v>
          </cell>
        </row>
        <row r="6517">
          <cell r="C6517" t="str">
            <v xml:space="preserve">  SYSTEMIC CORTICOSTEROIDS</v>
          </cell>
          <cell r="D6517">
            <v>2958244</v>
          </cell>
          <cell r="E6517">
            <v>2957552</v>
          </cell>
        </row>
        <row r="6518">
          <cell r="C6518" t="str">
            <v xml:space="preserve">   PLAIN CORTICOSTEROIDS</v>
          </cell>
          <cell r="D6518">
            <v>2958244</v>
          </cell>
          <cell r="E6518">
            <v>2957552</v>
          </cell>
        </row>
        <row r="6519">
          <cell r="C6519" t="str">
            <v xml:space="preserve">  THYROID THERAPY</v>
          </cell>
          <cell r="D6519">
            <v>923316</v>
          </cell>
          <cell r="E6519">
            <v>746561</v>
          </cell>
        </row>
        <row r="6520">
          <cell r="C6520" t="str">
            <v xml:space="preserve">   THYROID PREPARATIONS</v>
          </cell>
          <cell r="D6520">
            <v>722750</v>
          </cell>
          <cell r="E6520">
            <v>596823</v>
          </cell>
        </row>
        <row r="6521">
          <cell r="C6521" t="str">
            <v xml:space="preserve">   ANTI-THYROID PREPARATIONS</v>
          </cell>
          <cell r="D6521">
            <v>200566</v>
          </cell>
          <cell r="E6521">
            <v>149738</v>
          </cell>
        </row>
        <row r="6522">
          <cell r="C6522" t="str">
            <v xml:space="preserve">  PITUITARY+HYPOTHAL HORM</v>
          </cell>
          <cell r="D6522">
            <v>160202</v>
          </cell>
          <cell r="E6522">
            <v>119189</v>
          </cell>
        </row>
        <row r="6523">
          <cell r="C6523" t="str">
            <v xml:space="preserve">   HYPOTHALAMIC HORMONES</v>
          </cell>
          <cell r="D6523">
            <v>160202</v>
          </cell>
          <cell r="E6523">
            <v>119189</v>
          </cell>
        </row>
        <row r="6524">
          <cell r="C6524" t="str">
            <v xml:space="preserve">  OTHER HORMONES</v>
          </cell>
          <cell r="D6524">
            <v>67813</v>
          </cell>
          <cell r="E6524">
            <v>29117</v>
          </cell>
        </row>
        <row r="6525">
          <cell r="C6525" t="str">
            <v xml:space="preserve">   OTHER HORMONES &amp; SIMILAR</v>
          </cell>
          <cell r="D6525">
            <v>35881</v>
          </cell>
          <cell r="E6525">
            <v>27127</v>
          </cell>
        </row>
        <row r="6526">
          <cell r="C6526" t="str">
            <v xml:space="preserve">   ANTIDIURETIC HORMONES</v>
          </cell>
          <cell r="D6526">
            <v>25405</v>
          </cell>
          <cell r="E6526">
            <v>0</v>
          </cell>
        </row>
        <row r="6527">
          <cell r="C6527" t="str">
            <v xml:space="preserve">   PARATHYROID HORM&amp;ANALOGS</v>
          </cell>
          <cell r="D6527">
            <v>6512</v>
          </cell>
          <cell r="E6527">
            <v>1990</v>
          </cell>
        </row>
        <row r="6528">
          <cell r="C6528" t="str">
            <v xml:space="preserve">   ANTIPARATHYROID PRODUCTS</v>
          </cell>
          <cell r="D6528">
            <v>15</v>
          </cell>
          <cell r="E6528">
            <v>0</v>
          </cell>
        </row>
        <row r="6529">
          <cell r="C6529" t="str">
            <v xml:space="preserve"> PARASITOLOGY</v>
          </cell>
          <cell r="D6529">
            <v>2630470</v>
          </cell>
          <cell r="E6529">
            <v>2001145</v>
          </cell>
        </row>
        <row r="6530">
          <cell r="C6530" t="str">
            <v xml:space="preserve">  ANTIPROTOZ.&amp; ANTHELMINT.</v>
          </cell>
          <cell r="D6530">
            <v>1447375</v>
          </cell>
          <cell r="E6530">
            <v>1210788</v>
          </cell>
        </row>
        <row r="6531">
          <cell r="C6531" t="str">
            <v xml:space="preserve">   AMOEBICIDES</v>
          </cell>
          <cell r="D6531">
            <v>730964</v>
          </cell>
          <cell r="E6531">
            <v>698652</v>
          </cell>
        </row>
        <row r="6532">
          <cell r="C6532" t="str">
            <v xml:space="preserve">   ANTHELMINTICS</v>
          </cell>
          <cell r="D6532">
            <v>714634</v>
          </cell>
          <cell r="E6532">
            <v>510403</v>
          </cell>
        </row>
        <row r="6533">
          <cell r="C6533" t="str">
            <v xml:space="preserve">   ANTI-MALARIALS</v>
          </cell>
          <cell r="D6533">
            <v>1777</v>
          </cell>
          <cell r="E6533">
            <v>1733</v>
          </cell>
        </row>
        <row r="6534">
          <cell r="C6534" t="str">
            <v xml:space="preserve">  ECTOPARASITICIDES</v>
          </cell>
          <cell r="D6534">
            <v>1183095</v>
          </cell>
          <cell r="E6534">
            <v>790356</v>
          </cell>
        </row>
        <row r="6535">
          <cell r="C6535" t="str">
            <v xml:space="preserve">   ECTOPARAS.INCL SCABICIDE</v>
          </cell>
          <cell r="D6535">
            <v>1183086</v>
          </cell>
          <cell r="E6535">
            <v>788800</v>
          </cell>
        </row>
        <row r="6536">
          <cell r="C6536" t="str">
            <v xml:space="preserve">   INSECTICIDE &amp; REPELLENTS</v>
          </cell>
          <cell r="D6536">
            <v>8</v>
          </cell>
          <cell r="E6536">
            <v>1557</v>
          </cell>
        </row>
        <row r="6537">
          <cell r="C6537" t="str">
            <v xml:space="preserve"> ANTINEOPLAST+IMMUNOMODUL</v>
          </cell>
          <cell r="D6537">
            <v>1801318</v>
          </cell>
          <cell r="E6537">
            <v>1566129</v>
          </cell>
        </row>
        <row r="6538">
          <cell r="C6538" t="str">
            <v xml:space="preserve">  CYTOSTATIC HORMONE THERAP</v>
          </cell>
          <cell r="D6538">
            <v>1563302</v>
          </cell>
          <cell r="E6538">
            <v>1358365</v>
          </cell>
        </row>
        <row r="6539">
          <cell r="C6539" t="str">
            <v xml:space="preserve">   CYTOSTATIC HORMONES</v>
          </cell>
          <cell r="D6539">
            <v>957931</v>
          </cell>
          <cell r="E6539">
            <v>832991</v>
          </cell>
        </row>
        <row r="6540">
          <cell r="C6540" t="str">
            <v xml:space="preserve">   CYTO HORMONE ANTAGONISTS</v>
          </cell>
          <cell r="D6540">
            <v>605371</v>
          </cell>
          <cell r="E6540">
            <v>525374</v>
          </cell>
        </row>
        <row r="6541">
          <cell r="C6541" t="str">
            <v xml:space="preserve">  IMMUNOSUPPRESSANTS</v>
          </cell>
          <cell r="D6541">
            <v>118255</v>
          </cell>
          <cell r="E6541">
            <v>80457</v>
          </cell>
        </row>
        <row r="6542">
          <cell r="C6542" t="str">
            <v xml:space="preserve">   OTHER IMMUNOSUPPRESSANTS</v>
          </cell>
          <cell r="D6542">
            <v>94558</v>
          </cell>
          <cell r="E6542">
            <v>61757</v>
          </cell>
        </row>
        <row r="6543">
          <cell r="C6543" t="str">
            <v xml:space="preserve">   JAK INHIBITORS</v>
          </cell>
          <cell r="D6543">
            <v>23697</v>
          </cell>
          <cell r="E6543">
            <v>18700</v>
          </cell>
        </row>
        <row r="6544">
          <cell r="C6544" t="str">
            <v xml:space="preserve">  ANTINEOPLASTICS</v>
          </cell>
          <cell r="D6544">
            <v>107462</v>
          </cell>
          <cell r="E6544">
            <v>111347</v>
          </cell>
        </row>
        <row r="6545">
          <cell r="C6545" t="str">
            <v xml:space="preserve">   ANTIMETABOLITES</v>
          </cell>
          <cell r="D6545">
            <v>65893</v>
          </cell>
          <cell r="E6545">
            <v>58291</v>
          </cell>
        </row>
        <row r="6546">
          <cell r="C6546" t="str">
            <v xml:space="preserve">   PROTEIN KINASE INH A-NEO</v>
          </cell>
          <cell r="D6546">
            <v>18860</v>
          </cell>
          <cell r="E6546">
            <v>19316</v>
          </cell>
        </row>
        <row r="6547">
          <cell r="C6547" t="str">
            <v xml:space="preserve">   ALL OTH. ANTINEOPLASTICS</v>
          </cell>
          <cell r="D6547">
            <v>14849</v>
          </cell>
          <cell r="E6547">
            <v>22760</v>
          </cell>
        </row>
        <row r="6548">
          <cell r="C6548" t="str">
            <v xml:space="preserve">   LIDOMIDE ANTINEOPLASTICS</v>
          </cell>
          <cell r="D6548">
            <v>3913</v>
          </cell>
          <cell r="E6548">
            <v>0</v>
          </cell>
        </row>
        <row r="6549">
          <cell r="C6549" t="str">
            <v xml:space="preserve">   ALKYLATING AGENTS</v>
          </cell>
          <cell r="D6549">
            <v>3442</v>
          </cell>
          <cell r="E6549">
            <v>2414</v>
          </cell>
        </row>
        <row r="6550">
          <cell r="C6550" t="str">
            <v xml:space="preserve">   PLANT-BASED A-NEOPLASTIC</v>
          </cell>
          <cell r="D6550">
            <v>284</v>
          </cell>
          <cell r="E6550">
            <v>1360</v>
          </cell>
        </row>
        <row r="6551">
          <cell r="C6551" t="str">
            <v xml:space="preserve">   PLATINUM ANTINEOPLASTICS</v>
          </cell>
          <cell r="D6551">
            <v>160</v>
          </cell>
          <cell r="E6551">
            <v>3044</v>
          </cell>
        </row>
        <row r="6552">
          <cell r="C6552" t="str">
            <v xml:space="preserve">   ANTINEOPLAS. ANTIBIOTICS</v>
          </cell>
          <cell r="D6552">
            <v>62</v>
          </cell>
          <cell r="E6552">
            <v>799</v>
          </cell>
        </row>
        <row r="6553">
          <cell r="C6553" t="str">
            <v xml:space="preserve">   MAB ANTINEOPLASTICS</v>
          </cell>
          <cell r="D6553">
            <v>0</v>
          </cell>
          <cell r="E6553">
            <v>3362</v>
          </cell>
        </row>
        <row r="6554">
          <cell r="C6554" t="str">
            <v xml:space="preserve">  IMMUNOSTIMULATING AGENTS</v>
          </cell>
          <cell r="D6554">
            <v>12298</v>
          </cell>
          <cell r="E6554">
            <v>15960</v>
          </cell>
        </row>
        <row r="6555">
          <cell r="C6555" t="str">
            <v xml:space="preserve">   IMMUNOSTIM AG EX INTFRON</v>
          </cell>
          <cell r="D6555">
            <v>10008</v>
          </cell>
          <cell r="E6555">
            <v>15813</v>
          </cell>
        </row>
        <row r="6556">
          <cell r="C6556" t="str">
            <v xml:space="preserve">   INTERFERONS</v>
          </cell>
          <cell r="D6556">
            <v>2290</v>
          </cell>
          <cell r="E6556">
            <v>148</v>
          </cell>
        </row>
        <row r="6557">
          <cell r="C6557" t="str">
            <v xml:space="preserve"> VARIOUS</v>
          </cell>
          <cell r="D6557">
            <v>1545082</v>
          </cell>
          <cell r="E6557">
            <v>1340880</v>
          </cell>
        </row>
        <row r="6558">
          <cell r="C6558" t="str">
            <v xml:space="preserve">  OTHER THERAPEUTIC PRODS</v>
          </cell>
          <cell r="D6558">
            <v>1375593</v>
          </cell>
          <cell r="E6558">
            <v>1165201</v>
          </cell>
        </row>
        <row r="6559">
          <cell r="C6559" t="str">
            <v xml:space="preserve">   DETOX AG A-NEOPLAST TRMT</v>
          </cell>
          <cell r="D6559">
            <v>583208</v>
          </cell>
          <cell r="E6559">
            <v>494535</v>
          </cell>
        </row>
        <row r="6560">
          <cell r="C6560" t="str">
            <v xml:space="preserve">   ALL OTH.THERAPEUTIC PRDS</v>
          </cell>
          <cell r="D6560">
            <v>581841</v>
          </cell>
          <cell r="E6560">
            <v>502913</v>
          </cell>
        </row>
        <row r="6561">
          <cell r="C6561" t="str">
            <v xml:space="preserve">   HYPERKAL.HYPERPHOS.PRODS</v>
          </cell>
          <cell r="D6561">
            <v>197243</v>
          </cell>
          <cell r="E6561">
            <v>157711</v>
          </cell>
        </row>
        <row r="6562">
          <cell r="C6562" t="str">
            <v xml:space="preserve">   IRON-CHELATING AGENTS</v>
          </cell>
          <cell r="D6562">
            <v>10090</v>
          </cell>
          <cell r="E6562">
            <v>5897</v>
          </cell>
        </row>
        <row r="6563">
          <cell r="C6563" t="str">
            <v xml:space="preserve">   ANTIDOTES</v>
          </cell>
          <cell r="D6563">
            <v>3161</v>
          </cell>
          <cell r="E6563">
            <v>1691</v>
          </cell>
        </row>
        <row r="6564">
          <cell r="C6564" t="str">
            <v xml:space="preserve">   ANTI-INFLAMMATORY ENZYME</v>
          </cell>
          <cell r="D6564">
            <v>49</v>
          </cell>
          <cell r="E6564">
            <v>2454</v>
          </cell>
        </row>
        <row r="6565">
          <cell r="C6565" t="str">
            <v xml:space="preserve">  OTHER NON-THERAPEUTIC</v>
          </cell>
          <cell r="D6565">
            <v>88594</v>
          </cell>
          <cell r="E6565">
            <v>82247</v>
          </cell>
        </row>
        <row r="6566">
          <cell r="C6566" t="str">
            <v xml:space="preserve">   OTHER NON-THERAPEUTIC</v>
          </cell>
          <cell r="D6566">
            <v>88594</v>
          </cell>
          <cell r="E6566">
            <v>82247</v>
          </cell>
        </row>
        <row r="6567">
          <cell r="C6567" t="str">
            <v xml:space="preserve">  GENERAL NUTRIENTS</v>
          </cell>
          <cell r="D6567">
            <v>80896</v>
          </cell>
          <cell r="E6567">
            <v>93432</v>
          </cell>
        </row>
        <row r="6568">
          <cell r="C6568" t="str">
            <v xml:space="preserve">   OTHER GENERAL NUTRIENTS</v>
          </cell>
          <cell r="D6568">
            <v>72030</v>
          </cell>
          <cell r="E6568">
            <v>93432</v>
          </cell>
        </row>
        <row r="6569">
          <cell r="C6569" t="str">
            <v xml:space="preserve">   SLIMMING PREPARATIONS</v>
          </cell>
          <cell r="D6569">
            <v>8865</v>
          </cell>
          <cell r="E6569">
            <v>0</v>
          </cell>
        </row>
        <row r="6570">
          <cell r="C6570" t="str">
            <v xml:space="preserve"> HOSPITAL SOLUTIONS</v>
          </cell>
          <cell r="D6570">
            <v>1027720</v>
          </cell>
          <cell r="E6570">
            <v>1052665</v>
          </cell>
        </row>
        <row r="6571">
          <cell r="C6571" t="str">
            <v xml:space="preserve">  INTRAVENOUS SOLUTIONS</v>
          </cell>
          <cell r="D6571">
            <v>926326</v>
          </cell>
          <cell r="E6571">
            <v>967231</v>
          </cell>
        </row>
        <row r="6572">
          <cell r="C6572" t="str">
            <v xml:space="preserve">   FAT EMULSIONS,INCL TPN</v>
          </cell>
          <cell r="D6572">
            <v>291512</v>
          </cell>
          <cell r="E6572">
            <v>196337</v>
          </cell>
        </row>
        <row r="6573">
          <cell r="C6573" t="str">
            <v xml:space="preserve">   AMINO-ACID SOLUTIONS</v>
          </cell>
          <cell r="D6573">
            <v>239522</v>
          </cell>
          <cell r="E6573">
            <v>268054</v>
          </cell>
        </row>
        <row r="6574">
          <cell r="C6574" t="str">
            <v xml:space="preserve">   STANDARD SOLUTIONS</v>
          </cell>
          <cell r="D6574">
            <v>230075</v>
          </cell>
          <cell r="E6574">
            <v>318798</v>
          </cell>
        </row>
        <row r="6575">
          <cell r="C6575" t="str">
            <v xml:space="preserve">   ELECTROLYTE SOLN &gt;100ML</v>
          </cell>
          <cell r="D6575">
            <v>104689</v>
          </cell>
          <cell r="E6575">
            <v>120792</v>
          </cell>
        </row>
        <row r="6576">
          <cell r="C6576" t="str">
            <v xml:space="preserve">   SPECIAL INFUSION SOLNS</v>
          </cell>
          <cell r="D6576">
            <v>47469</v>
          </cell>
          <cell r="E6576">
            <v>45693</v>
          </cell>
        </row>
        <row r="6577">
          <cell r="C6577" t="str">
            <v xml:space="preserve">   CALORIC SOLUTIONS (&gt;10%)</v>
          </cell>
          <cell r="D6577">
            <v>11064</v>
          </cell>
          <cell r="E6577">
            <v>14302</v>
          </cell>
        </row>
        <row r="6578">
          <cell r="C6578" t="str">
            <v xml:space="preserve">   OSMOTIC THERAPY SOLUTIONS</v>
          </cell>
          <cell r="D6578">
            <v>1994</v>
          </cell>
          <cell r="E6578">
            <v>3255</v>
          </cell>
        </row>
        <row r="6579">
          <cell r="C6579" t="str">
            <v xml:space="preserve">  INJ SOLN/INF ADDIT &lt;100ML</v>
          </cell>
          <cell r="D6579">
            <v>93754</v>
          </cell>
          <cell r="E6579">
            <v>57412</v>
          </cell>
        </row>
        <row r="6580">
          <cell r="C6580" t="str">
            <v xml:space="preserve">   OTH INJ SOL/INF ADD&lt;100ML</v>
          </cell>
          <cell r="D6580">
            <v>93735</v>
          </cell>
          <cell r="E6580">
            <v>57323</v>
          </cell>
        </row>
        <row r="6581">
          <cell r="C6581" t="str">
            <v xml:space="preserve">   CALORIC SOLUTIONS &lt;100ML</v>
          </cell>
          <cell r="D6581">
            <v>19</v>
          </cell>
          <cell r="E6581">
            <v>11</v>
          </cell>
        </row>
        <row r="6582">
          <cell r="C6582" t="str">
            <v xml:space="preserve">   ELECTROLYTE SOLNS &lt;100ML</v>
          </cell>
          <cell r="D6582">
            <v>0</v>
          </cell>
          <cell r="E6582">
            <v>78</v>
          </cell>
        </row>
        <row r="6583">
          <cell r="C6583" t="str">
            <v xml:space="preserve">  PLASMA EXPANDERS</v>
          </cell>
          <cell r="D6583">
            <v>6138</v>
          </cell>
          <cell r="E6583">
            <v>26896</v>
          </cell>
        </row>
        <row r="6584">
          <cell r="C6584" t="str">
            <v xml:space="preserve">   STARCHES</v>
          </cell>
          <cell r="D6584">
            <v>6138</v>
          </cell>
          <cell r="E6584">
            <v>26896</v>
          </cell>
        </row>
        <row r="6585">
          <cell r="C6585" t="str">
            <v xml:space="preserve">   GELATIN SOLUTIONS</v>
          </cell>
          <cell r="D6585">
            <v>0</v>
          </cell>
          <cell r="E6585">
            <v>0</v>
          </cell>
        </row>
        <row r="6586">
          <cell r="C6586" t="str">
            <v xml:space="preserve">  IRRIGATING SOLUTIONS</v>
          </cell>
          <cell r="D6586">
            <v>1498</v>
          </cell>
          <cell r="E6586">
            <v>1009</v>
          </cell>
        </row>
        <row r="6587">
          <cell r="C6587" t="str">
            <v xml:space="preserve">   IRRIGATING SOLUTIONS</v>
          </cell>
          <cell r="D6587">
            <v>1498</v>
          </cell>
          <cell r="E6587">
            <v>1009</v>
          </cell>
        </row>
        <row r="6588">
          <cell r="C6588" t="str">
            <v xml:space="preserve">  DIALYSIS SOLUTIONS</v>
          </cell>
          <cell r="D6588">
            <v>4</v>
          </cell>
          <cell r="E6588">
            <v>117</v>
          </cell>
        </row>
        <row r="6589">
          <cell r="C6589" t="str">
            <v xml:space="preserve">   PERITONEAL DIALYSIS SOLNS</v>
          </cell>
          <cell r="D6589">
            <v>4</v>
          </cell>
          <cell r="E6589">
            <v>117</v>
          </cell>
        </row>
        <row r="6590">
          <cell r="C6590" t="str">
            <v xml:space="preserve"> DIAGNOSTIC AGENTS</v>
          </cell>
          <cell r="D6590">
            <v>2779</v>
          </cell>
          <cell r="E6590">
            <v>2065</v>
          </cell>
        </row>
        <row r="6591">
          <cell r="C6591" t="str">
            <v xml:space="preserve">  DIAGNOSTIC IMAGING</v>
          </cell>
          <cell r="D6591">
            <v>2779</v>
          </cell>
          <cell r="E6591">
            <v>2065</v>
          </cell>
        </row>
        <row r="6592">
          <cell r="C6592" t="str">
            <v xml:space="preserve">   LOW OSMOLAR ANGIO-UROGRPH</v>
          </cell>
          <cell r="D6592">
            <v>2746</v>
          </cell>
          <cell r="E6592">
            <v>2065</v>
          </cell>
        </row>
        <row r="6593">
          <cell r="C6593" t="str">
            <v xml:space="preserve">   GASTROENTEROGRAPHY</v>
          </cell>
          <cell r="D6593">
            <v>33</v>
          </cell>
          <cell r="E6593">
            <v>0</v>
          </cell>
        </row>
        <row r="6595">
          <cell r="D6595">
            <v>4811758</v>
          </cell>
          <cell r="E6595">
            <v>4480310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8C17-E020-4DCD-9CAA-0FFE47D90892}">
  <dimension ref="A1:AN74"/>
  <sheetViews>
    <sheetView workbookViewId="0">
      <pane xSplit="1" ySplit="4" topLeftCell="L29" activePane="bottomRight" state="frozen"/>
      <selection pane="topRight" activeCell="B1" sqref="B1"/>
      <selection pane="bottomLeft" activeCell="A5" sqref="A5"/>
      <selection pane="bottomRight" activeCell="R43" sqref="R43"/>
    </sheetView>
  </sheetViews>
  <sheetFormatPr defaultRowHeight="14.5" x14ac:dyDescent="0.35"/>
  <cols>
    <col min="1" max="1" width="15.453125" customWidth="1"/>
    <col min="2" max="2" width="17.08984375" customWidth="1"/>
    <col min="3" max="3" width="21.26953125" customWidth="1"/>
    <col min="4" max="4" width="21.36328125" customWidth="1"/>
    <col min="5" max="5" width="22.26953125" customWidth="1"/>
    <col min="6" max="6" width="28" customWidth="1"/>
    <col min="7" max="7" width="27.81640625" customWidth="1"/>
    <col min="8" max="8" width="23.90625" customWidth="1"/>
    <col min="9" max="9" width="21.7265625" customWidth="1"/>
    <col min="10" max="10" width="16.453125" customWidth="1"/>
    <col min="11" max="11" width="19.54296875" customWidth="1"/>
    <col min="12" max="12" width="20.90625" customWidth="1"/>
    <col min="13" max="13" width="18.7265625" customWidth="1"/>
    <col min="14" max="14" width="26.54296875" customWidth="1"/>
    <col min="15" max="15" width="27.26953125" customWidth="1"/>
    <col min="16" max="16" width="25.54296875" customWidth="1"/>
    <col min="17" max="17" width="13.08984375" customWidth="1"/>
    <col min="18" max="18" width="14.90625" customWidth="1"/>
    <col min="19" max="19" width="15.90625" customWidth="1"/>
    <col min="20" max="20" width="18.08984375" customWidth="1"/>
    <col min="21" max="21" width="16.7265625" customWidth="1"/>
    <col min="22" max="22" width="18.26953125" customWidth="1"/>
    <col min="23" max="24" width="20.453125" customWidth="1"/>
    <col min="26" max="26" width="15.6328125" customWidth="1"/>
    <col min="27" max="27" width="16.7265625" customWidth="1"/>
    <col min="28" max="28" width="18.453125" customWidth="1"/>
    <col min="29" max="29" width="21.6328125" customWidth="1"/>
    <col min="30" max="30" width="16.453125" customWidth="1"/>
    <col min="31" max="31" width="20.453125" customWidth="1"/>
    <col min="32" max="32" width="21.90625" customWidth="1"/>
    <col min="33" max="33" width="17.453125" customWidth="1"/>
    <col min="34" max="34" width="23.08984375" customWidth="1"/>
    <col min="35" max="35" width="18.453125" customWidth="1"/>
    <col min="36" max="36" width="14.90625" customWidth="1"/>
    <col min="37" max="37" width="14.26953125" customWidth="1"/>
    <col min="38" max="38" width="17.6328125" customWidth="1"/>
    <col min="39" max="39" width="21.453125" customWidth="1"/>
    <col min="40" max="40" width="29.90625" customWidth="1"/>
  </cols>
  <sheetData>
    <row r="1" spans="1:40" x14ac:dyDescent="0.35">
      <c r="B1" t="s">
        <v>0</v>
      </c>
      <c r="P1" s="42" t="s">
        <v>1</v>
      </c>
      <c r="Q1" s="44" t="s">
        <v>2</v>
      </c>
      <c r="R1" s="43" t="s">
        <v>4</v>
      </c>
      <c r="S1" s="43" t="s">
        <v>3</v>
      </c>
      <c r="T1" s="44" t="s">
        <v>5</v>
      </c>
      <c r="U1" s="44" t="s">
        <v>6</v>
      </c>
      <c r="V1" s="42" t="s">
        <v>346</v>
      </c>
      <c r="W1" s="43" t="s">
        <v>347</v>
      </c>
      <c r="X1" s="42" t="s">
        <v>348</v>
      </c>
      <c r="Y1" s="9" t="s">
        <v>7</v>
      </c>
      <c r="Z1" s="9"/>
      <c r="AA1" s="9"/>
      <c r="AB1" s="9"/>
      <c r="AC1" s="9"/>
      <c r="AD1" s="9"/>
      <c r="AE1" s="9"/>
    </row>
    <row r="2" spans="1:40" x14ac:dyDescent="0.35">
      <c r="B2" t="s">
        <v>8</v>
      </c>
      <c r="F2" t="s">
        <v>9</v>
      </c>
      <c r="G2" t="s">
        <v>10</v>
      </c>
      <c r="H2" t="s">
        <v>11</v>
      </c>
      <c r="L2" t="s">
        <v>12</v>
      </c>
      <c r="M2" t="s">
        <v>13</v>
      </c>
      <c r="N2" t="s">
        <v>14</v>
      </c>
      <c r="O2" t="s">
        <v>15</v>
      </c>
      <c r="P2" s="42"/>
      <c r="Q2" s="44"/>
      <c r="R2" s="43"/>
      <c r="S2" s="43"/>
      <c r="T2" s="44"/>
      <c r="U2" s="44"/>
      <c r="V2" s="42"/>
      <c r="W2" s="43"/>
      <c r="X2" s="42"/>
      <c r="Z2" s="10" t="s">
        <v>16</v>
      </c>
      <c r="AA2" s="10"/>
      <c r="AB2" s="10" t="s">
        <v>8</v>
      </c>
      <c r="AC2" s="10"/>
      <c r="AD2" s="10" t="s">
        <v>17</v>
      </c>
    </row>
    <row r="3" spans="1:40" x14ac:dyDescent="0.35">
      <c r="B3" t="s">
        <v>18</v>
      </c>
      <c r="D3" t="s">
        <v>19</v>
      </c>
      <c r="H3" t="s">
        <v>18</v>
      </c>
      <c r="J3" t="s">
        <v>19</v>
      </c>
      <c r="P3" s="42"/>
      <c r="Q3" s="44"/>
      <c r="R3" s="43"/>
      <c r="S3" s="43"/>
      <c r="T3" s="44"/>
      <c r="U3" s="44"/>
      <c r="V3" s="42"/>
      <c r="W3" s="43"/>
      <c r="X3" s="42"/>
      <c r="Z3" s="10"/>
      <c r="AA3" s="10"/>
      <c r="AB3" s="10"/>
      <c r="AC3" s="10"/>
      <c r="AD3" s="10"/>
    </row>
    <row r="4" spans="1:40" x14ac:dyDescent="0.35">
      <c r="A4" t="s">
        <v>20</v>
      </c>
      <c r="B4" t="s">
        <v>21</v>
      </c>
      <c r="C4" t="s">
        <v>22</v>
      </c>
      <c r="D4" t="s">
        <v>21</v>
      </c>
      <c r="E4" t="s">
        <v>22</v>
      </c>
      <c r="H4" t="s">
        <v>21</v>
      </c>
      <c r="I4" t="s">
        <v>22</v>
      </c>
      <c r="J4" t="s">
        <v>21</v>
      </c>
      <c r="K4" t="s">
        <v>22</v>
      </c>
      <c r="P4" s="42"/>
      <c r="Q4" s="44"/>
      <c r="R4" s="43"/>
      <c r="S4" s="43"/>
      <c r="T4" s="44"/>
      <c r="U4" s="44"/>
      <c r="V4" s="42"/>
      <c r="W4" s="43"/>
      <c r="X4" s="42"/>
      <c r="Z4" t="s">
        <v>21</v>
      </c>
      <c r="AA4" t="s">
        <v>23</v>
      </c>
      <c r="AB4" t="s">
        <v>21</v>
      </c>
      <c r="AC4" t="s">
        <v>24</v>
      </c>
      <c r="AD4" t="s">
        <v>25</v>
      </c>
      <c r="AE4" t="s">
        <v>22</v>
      </c>
      <c r="AF4" t="s">
        <v>14</v>
      </c>
      <c r="AG4" t="s">
        <v>26</v>
      </c>
      <c r="AJ4" t="s">
        <v>349</v>
      </c>
      <c r="AK4" t="s">
        <v>350</v>
      </c>
      <c r="AL4" t="s">
        <v>351</v>
      </c>
      <c r="AM4" t="s">
        <v>395</v>
      </c>
      <c r="AN4" t="s">
        <v>396</v>
      </c>
    </row>
    <row r="5" spans="1:40" x14ac:dyDescent="0.35">
      <c r="A5" t="s">
        <v>27</v>
      </c>
      <c r="B5">
        <v>79753</v>
      </c>
      <c r="C5">
        <v>11368</v>
      </c>
      <c r="D5">
        <v>2076</v>
      </c>
      <c r="E5">
        <v>903</v>
      </c>
      <c r="F5">
        <v>81829</v>
      </c>
      <c r="G5">
        <v>12271</v>
      </c>
      <c r="H5">
        <v>61039</v>
      </c>
      <c r="I5">
        <v>11174</v>
      </c>
      <c r="J5">
        <v>1642</v>
      </c>
      <c r="K5">
        <v>862</v>
      </c>
      <c r="L5">
        <v>62681</v>
      </c>
      <c r="M5">
        <v>12036</v>
      </c>
      <c r="P5" s="30"/>
      <c r="Q5" s="32"/>
      <c r="R5" s="31"/>
      <c r="S5" s="31"/>
      <c r="T5" s="32"/>
      <c r="U5" s="32"/>
      <c r="V5" s="30"/>
      <c r="W5" s="31"/>
      <c r="X5" s="30"/>
      <c r="AJ5">
        <f>D5/(D5+B5)</f>
        <v>2.5369978858350951E-2</v>
      </c>
      <c r="AK5">
        <f t="shared" ref="AK5" si="0">D5/E5</f>
        <v>2.2990033222591362</v>
      </c>
      <c r="AL5">
        <f t="shared" ref="AL5" si="1">K5/(K5+I5)</f>
        <v>7.1618477899634436E-2</v>
      </c>
      <c r="AM5">
        <f t="shared" ref="AM5" si="2">F5/L5</f>
        <v>1.3054833203043985</v>
      </c>
      <c r="AN5">
        <f t="shared" ref="AN5:AN57" si="3">AM5-AJ5</f>
        <v>1.2801133414460475</v>
      </c>
    </row>
    <row r="6" spans="1:40" x14ac:dyDescent="0.35">
      <c r="A6" t="s">
        <v>31</v>
      </c>
      <c r="B6">
        <v>3974</v>
      </c>
      <c r="C6">
        <v>1228</v>
      </c>
      <c r="D6">
        <v>166</v>
      </c>
      <c r="E6">
        <v>108</v>
      </c>
      <c r="F6">
        <v>4140</v>
      </c>
      <c r="G6">
        <v>1336</v>
      </c>
      <c r="H6">
        <v>3125</v>
      </c>
      <c r="I6">
        <v>1206</v>
      </c>
      <c r="J6">
        <v>83</v>
      </c>
      <c r="K6">
        <v>64</v>
      </c>
      <c r="L6">
        <v>3208</v>
      </c>
      <c r="M6">
        <v>1270</v>
      </c>
      <c r="N6">
        <v>7348</v>
      </c>
      <c r="O6">
        <v>2606</v>
      </c>
      <c r="P6">
        <v>4.0096618000000001E-2</v>
      </c>
      <c r="Q6">
        <v>2.5872817999999999E-2</v>
      </c>
      <c r="R6">
        <f t="shared" ref="R6:R69" si="4">D6/C6</f>
        <v>0.13517915309446255</v>
      </c>
      <c r="S6">
        <f t="shared" ref="S6:S69" si="5">J6/K6</f>
        <v>1.296875</v>
      </c>
      <c r="T6">
        <v>8.0838323000000004E-2</v>
      </c>
      <c r="U6">
        <v>5.0393700999999999E-2</v>
      </c>
      <c r="V6">
        <f>(Q6/P6-1)*100</f>
        <v>-35.473814774103893</v>
      </c>
      <c r="W6">
        <f t="shared" ref="W6:W69" si="6">S6/R6-1</f>
        <v>8.59375</v>
      </c>
      <c r="X6">
        <f t="shared" ref="X6:X69" si="7">(U6/T6-1)*100</f>
        <v>-37.661125157185658</v>
      </c>
      <c r="Y6" t="s">
        <v>32</v>
      </c>
      <c r="Z6">
        <v>271107</v>
      </c>
      <c r="AA6">
        <v>33192</v>
      </c>
      <c r="AB6">
        <v>268305</v>
      </c>
      <c r="AC6">
        <v>32837</v>
      </c>
      <c r="AD6">
        <v>62916</v>
      </c>
      <c r="AE6">
        <v>20427</v>
      </c>
      <c r="AF6">
        <v>860015</v>
      </c>
      <c r="AG6">
        <v>119543</v>
      </c>
      <c r="AJ6">
        <f>D6/(D6+B6)</f>
        <v>4.0096618357487922E-2</v>
      </c>
      <c r="AK6">
        <f t="shared" ref="AK6:AK57" si="8">D6/E6</f>
        <v>1.537037037037037</v>
      </c>
      <c r="AL6">
        <f t="shared" ref="AL6:AL57" si="9">K6/(K6+I6)</f>
        <v>5.0393700787401574E-2</v>
      </c>
      <c r="AM6">
        <f t="shared" ref="AM6:AM57" si="10">F6/L6</f>
        <v>1.2905236907730673</v>
      </c>
      <c r="AN6">
        <f t="shared" si="3"/>
        <v>1.2504270724155793</v>
      </c>
    </row>
    <row r="7" spans="1:40" x14ac:dyDescent="0.35">
      <c r="A7" t="s">
        <v>33</v>
      </c>
      <c r="B7">
        <v>8</v>
      </c>
      <c r="C7">
        <v>5</v>
      </c>
      <c r="F7">
        <v>8</v>
      </c>
      <c r="G7">
        <v>5</v>
      </c>
      <c r="H7">
        <v>15</v>
      </c>
      <c r="I7">
        <v>11</v>
      </c>
      <c r="L7">
        <v>15</v>
      </c>
      <c r="M7">
        <v>11</v>
      </c>
      <c r="N7">
        <v>23</v>
      </c>
      <c r="O7">
        <v>16</v>
      </c>
      <c r="P7">
        <v>0</v>
      </c>
      <c r="Q7">
        <v>0</v>
      </c>
      <c r="R7">
        <f t="shared" si="4"/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34</v>
      </c>
      <c r="Z7">
        <v>62295</v>
      </c>
      <c r="AA7">
        <v>15527</v>
      </c>
      <c r="AB7">
        <v>54607</v>
      </c>
      <c r="AC7">
        <v>14124</v>
      </c>
      <c r="AD7">
        <v>14891</v>
      </c>
      <c r="AE7">
        <v>7361</v>
      </c>
      <c r="AF7">
        <v>182472</v>
      </c>
      <c r="AG7">
        <v>50952</v>
      </c>
      <c r="AJ7">
        <f t="shared" ref="AJ7:AJ57" si="11">D7/(D7+B7)</f>
        <v>0</v>
      </c>
      <c r="AK7">
        <v>0</v>
      </c>
      <c r="AL7">
        <f>K7/(K7+I7)</f>
        <v>0</v>
      </c>
      <c r="AM7">
        <f t="shared" si="10"/>
        <v>0.53333333333333333</v>
      </c>
      <c r="AN7">
        <f t="shared" si="3"/>
        <v>0.53333333333333333</v>
      </c>
    </row>
    <row r="8" spans="1:40" x14ac:dyDescent="0.35">
      <c r="A8" t="s">
        <v>35</v>
      </c>
      <c r="B8">
        <v>225</v>
      </c>
      <c r="C8">
        <v>96</v>
      </c>
      <c r="D8">
        <v>841</v>
      </c>
      <c r="E8">
        <v>563</v>
      </c>
      <c r="F8">
        <v>1066</v>
      </c>
      <c r="G8">
        <v>659</v>
      </c>
      <c r="H8">
        <v>215</v>
      </c>
      <c r="I8">
        <v>83</v>
      </c>
      <c r="J8">
        <v>1024</v>
      </c>
      <c r="K8">
        <v>579</v>
      </c>
      <c r="L8">
        <v>1239</v>
      </c>
      <c r="M8">
        <v>662</v>
      </c>
      <c r="N8">
        <v>2305</v>
      </c>
      <c r="O8">
        <v>1321</v>
      </c>
      <c r="P8">
        <v>0.78893058199999999</v>
      </c>
      <c r="Q8">
        <v>0.82647296199999998</v>
      </c>
      <c r="R8">
        <f t="shared" si="4"/>
        <v>8.7604166666666661</v>
      </c>
      <c r="S8">
        <f t="shared" si="5"/>
        <v>1.7685664939550949</v>
      </c>
      <c r="T8">
        <v>0.85432473399999997</v>
      </c>
      <c r="U8">
        <v>0.87462235600000005</v>
      </c>
      <c r="V8">
        <f t="shared" ref="V8:V69" si="12">(Q8/P8-1)*100</f>
        <v>4.7586417432097905</v>
      </c>
      <c r="W8">
        <f t="shared" si="6"/>
        <v>-0.79811845015494753</v>
      </c>
      <c r="X8">
        <f t="shared" si="7"/>
        <v>2.3758673010630726</v>
      </c>
      <c r="Y8" t="s">
        <v>36</v>
      </c>
      <c r="Z8">
        <v>50884</v>
      </c>
      <c r="AA8">
        <v>13613</v>
      </c>
      <c r="AB8">
        <v>46915</v>
      </c>
      <c r="AC8">
        <v>12906</v>
      </c>
      <c r="AD8">
        <v>10299</v>
      </c>
      <c r="AE8">
        <v>5996</v>
      </c>
      <c r="AF8">
        <v>146104</v>
      </c>
      <c r="AG8">
        <v>44482</v>
      </c>
      <c r="AJ8">
        <f t="shared" si="11"/>
        <v>0.78893058161350849</v>
      </c>
      <c r="AK8">
        <f t="shared" si="8"/>
        <v>1.4937833037300177</v>
      </c>
      <c r="AL8">
        <f t="shared" si="9"/>
        <v>0.87462235649546827</v>
      </c>
      <c r="AM8">
        <f t="shared" si="10"/>
        <v>0.86037126715092815</v>
      </c>
      <c r="AN8">
        <f t="shared" si="3"/>
        <v>7.1440685537419668E-2</v>
      </c>
    </row>
    <row r="9" spans="1:40" x14ac:dyDescent="0.35">
      <c r="A9" t="s">
        <v>37</v>
      </c>
      <c r="B9">
        <v>1062</v>
      </c>
      <c r="C9">
        <v>703</v>
      </c>
      <c r="D9">
        <v>83</v>
      </c>
      <c r="E9">
        <v>74</v>
      </c>
      <c r="F9">
        <v>1145</v>
      </c>
      <c r="G9">
        <v>777</v>
      </c>
      <c r="H9">
        <v>807</v>
      </c>
      <c r="I9">
        <v>579</v>
      </c>
      <c r="J9">
        <v>65</v>
      </c>
      <c r="K9">
        <v>54</v>
      </c>
      <c r="L9">
        <v>872</v>
      </c>
      <c r="M9">
        <v>633</v>
      </c>
      <c r="N9">
        <v>2017</v>
      </c>
      <c r="O9">
        <v>1410</v>
      </c>
      <c r="P9">
        <v>7.2489082999999996E-2</v>
      </c>
      <c r="Q9">
        <v>7.4541283999999999E-2</v>
      </c>
      <c r="R9">
        <f t="shared" si="4"/>
        <v>0.11806543385490754</v>
      </c>
      <c r="S9">
        <f t="shared" si="5"/>
        <v>1.2037037037037037</v>
      </c>
      <c r="T9">
        <v>9.5238094999999995E-2</v>
      </c>
      <c r="U9">
        <v>8.5308057000000007E-2</v>
      </c>
      <c r="V9">
        <f t="shared" si="12"/>
        <v>2.8310483662760788</v>
      </c>
      <c r="W9">
        <f t="shared" si="6"/>
        <v>9.1952253458277546</v>
      </c>
      <c r="X9">
        <f t="shared" si="7"/>
        <v>-10.426539926066337</v>
      </c>
      <c r="Y9" t="s">
        <v>38</v>
      </c>
      <c r="Z9">
        <v>107427</v>
      </c>
      <c r="AA9">
        <v>22987</v>
      </c>
      <c r="AB9">
        <v>89932</v>
      </c>
      <c r="AC9">
        <v>21266</v>
      </c>
      <c r="AD9">
        <v>21203</v>
      </c>
      <c r="AE9">
        <v>10483</v>
      </c>
      <c r="AF9">
        <v>298396</v>
      </c>
      <c r="AG9">
        <v>75850</v>
      </c>
      <c r="AJ9">
        <f t="shared" si="11"/>
        <v>7.2489082969432309E-2</v>
      </c>
      <c r="AK9">
        <f t="shared" si="8"/>
        <v>1.1216216216216217</v>
      </c>
      <c r="AL9">
        <f t="shared" si="9"/>
        <v>8.5308056872037921E-2</v>
      </c>
      <c r="AM9">
        <f t="shared" si="10"/>
        <v>1.3130733944954129</v>
      </c>
      <c r="AN9">
        <f t="shared" si="3"/>
        <v>1.2405843115259807</v>
      </c>
    </row>
    <row r="10" spans="1:40" x14ac:dyDescent="0.35">
      <c r="A10" t="s">
        <v>39</v>
      </c>
      <c r="B10">
        <v>6455</v>
      </c>
      <c r="C10">
        <v>3531</v>
      </c>
      <c r="F10">
        <v>6455</v>
      </c>
      <c r="G10">
        <v>3531</v>
      </c>
      <c r="H10">
        <v>4999</v>
      </c>
      <c r="I10">
        <v>3067</v>
      </c>
      <c r="L10">
        <v>4999</v>
      </c>
      <c r="M10">
        <v>3067</v>
      </c>
      <c r="N10">
        <v>11454</v>
      </c>
      <c r="O10">
        <v>6598</v>
      </c>
      <c r="P10">
        <v>0</v>
      </c>
      <c r="Q10">
        <v>0</v>
      </c>
      <c r="R10">
        <f t="shared" si="4"/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40</v>
      </c>
      <c r="Z10">
        <v>23193</v>
      </c>
      <c r="AA10">
        <v>4837</v>
      </c>
      <c r="AB10">
        <v>35579</v>
      </c>
      <c r="AC10">
        <v>5949</v>
      </c>
      <c r="AD10">
        <v>10913</v>
      </c>
      <c r="AE10">
        <v>3920</v>
      </c>
      <c r="AF10">
        <v>128374</v>
      </c>
      <c r="AG10">
        <v>22654</v>
      </c>
      <c r="AJ10">
        <f t="shared" si="11"/>
        <v>0</v>
      </c>
      <c r="AK10">
        <v>0</v>
      </c>
      <c r="AL10">
        <f t="shared" si="9"/>
        <v>0</v>
      </c>
      <c r="AM10">
        <f t="shared" si="10"/>
        <v>1.2912582516503301</v>
      </c>
      <c r="AN10">
        <f t="shared" si="3"/>
        <v>1.2912582516503301</v>
      </c>
    </row>
    <row r="11" spans="1:40" x14ac:dyDescent="0.35">
      <c r="A11" t="s">
        <v>41</v>
      </c>
      <c r="B11">
        <v>35</v>
      </c>
      <c r="C11">
        <v>32</v>
      </c>
      <c r="D11">
        <v>20</v>
      </c>
      <c r="E11">
        <v>15</v>
      </c>
      <c r="F11">
        <v>55</v>
      </c>
      <c r="G11">
        <v>47</v>
      </c>
      <c r="H11">
        <v>58</v>
      </c>
      <c r="I11">
        <v>45</v>
      </c>
      <c r="J11">
        <v>25</v>
      </c>
      <c r="K11">
        <v>16</v>
      </c>
      <c r="L11">
        <v>83</v>
      </c>
      <c r="M11">
        <v>61</v>
      </c>
      <c r="N11">
        <v>138</v>
      </c>
      <c r="O11">
        <v>108</v>
      </c>
      <c r="P11">
        <v>0.36363636399999999</v>
      </c>
      <c r="Q11">
        <v>0.30120481900000001</v>
      </c>
      <c r="R11">
        <f t="shared" si="4"/>
        <v>0.625</v>
      </c>
      <c r="S11">
        <f t="shared" si="5"/>
        <v>1.5625</v>
      </c>
      <c r="T11">
        <v>0.31914893599999999</v>
      </c>
      <c r="U11">
        <v>0.26229508200000001</v>
      </c>
      <c r="V11">
        <f t="shared" si="12"/>
        <v>-17.168674857831324</v>
      </c>
      <c r="W11">
        <f t="shared" si="6"/>
        <v>1.5</v>
      </c>
      <c r="X11">
        <f t="shared" si="7"/>
        <v>-17.814207596167574</v>
      </c>
      <c r="Y11" t="s">
        <v>42</v>
      </c>
      <c r="Z11">
        <v>1051</v>
      </c>
      <c r="AA11">
        <v>665</v>
      </c>
      <c r="AB11">
        <v>974</v>
      </c>
      <c r="AC11">
        <v>601</v>
      </c>
      <c r="AD11">
        <v>307</v>
      </c>
      <c r="AE11">
        <v>251</v>
      </c>
      <c r="AF11">
        <v>3487</v>
      </c>
      <c r="AG11">
        <v>2170</v>
      </c>
      <c r="AJ11">
        <f t="shared" si="11"/>
        <v>0.36363636363636365</v>
      </c>
      <c r="AK11">
        <f t="shared" si="8"/>
        <v>1.3333333333333333</v>
      </c>
      <c r="AL11">
        <f t="shared" si="9"/>
        <v>0.26229508196721313</v>
      </c>
      <c r="AM11">
        <f t="shared" si="10"/>
        <v>0.66265060240963858</v>
      </c>
      <c r="AN11">
        <f t="shared" si="3"/>
        <v>0.29901423877327493</v>
      </c>
    </row>
    <row r="12" spans="1:40" x14ac:dyDescent="0.35">
      <c r="A12" t="s">
        <v>43</v>
      </c>
      <c r="B12">
        <v>1042</v>
      </c>
      <c r="C12">
        <v>414</v>
      </c>
      <c r="D12">
        <v>168</v>
      </c>
      <c r="E12">
        <v>76</v>
      </c>
      <c r="F12">
        <v>1210</v>
      </c>
      <c r="G12">
        <v>490</v>
      </c>
      <c r="H12">
        <v>864</v>
      </c>
      <c r="I12">
        <v>347</v>
      </c>
      <c r="J12">
        <v>361</v>
      </c>
      <c r="K12">
        <v>191</v>
      </c>
      <c r="L12">
        <v>1225</v>
      </c>
      <c r="M12">
        <v>538</v>
      </c>
      <c r="N12">
        <v>2435</v>
      </c>
      <c r="O12">
        <v>1028</v>
      </c>
      <c r="P12">
        <v>0.13884297500000001</v>
      </c>
      <c r="Q12">
        <v>0.29469387800000002</v>
      </c>
      <c r="R12">
        <f t="shared" si="4"/>
        <v>0.40579710144927539</v>
      </c>
      <c r="S12">
        <f t="shared" si="5"/>
        <v>1.8900523560209423</v>
      </c>
      <c r="T12">
        <v>0.155102041</v>
      </c>
      <c r="U12">
        <v>0.355018587</v>
      </c>
      <c r="V12">
        <f t="shared" si="12"/>
        <v>112.24975768489548</v>
      </c>
      <c r="W12">
        <f t="shared" si="6"/>
        <v>3.6576290201944648</v>
      </c>
      <c r="X12">
        <f t="shared" si="7"/>
        <v>128.89356239999447</v>
      </c>
      <c r="Y12" t="s">
        <v>44</v>
      </c>
      <c r="Z12">
        <v>97219</v>
      </c>
      <c r="AA12">
        <v>19745</v>
      </c>
      <c r="AB12">
        <v>86206</v>
      </c>
      <c r="AC12">
        <v>18515</v>
      </c>
      <c r="AD12">
        <v>16697</v>
      </c>
      <c r="AE12">
        <v>8284</v>
      </c>
      <c r="AF12">
        <v>266865</v>
      </c>
      <c r="AG12">
        <v>63391</v>
      </c>
      <c r="AJ12">
        <f t="shared" si="11"/>
        <v>0.13884297520661157</v>
      </c>
      <c r="AK12">
        <f t="shared" si="8"/>
        <v>2.2105263157894739</v>
      </c>
      <c r="AL12">
        <f t="shared" si="9"/>
        <v>0.35501858736059477</v>
      </c>
      <c r="AM12">
        <f t="shared" si="10"/>
        <v>0.98775510204081629</v>
      </c>
      <c r="AN12">
        <f t="shared" si="3"/>
        <v>0.84891212683420469</v>
      </c>
    </row>
    <row r="13" spans="1:40" x14ac:dyDescent="0.35">
      <c r="A13" t="s">
        <v>45</v>
      </c>
      <c r="B13">
        <v>2298</v>
      </c>
      <c r="C13">
        <v>1171</v>
      </c>
      <c r="D13">
        <v>15</v>
      </c>
      <c r="E13">
        <v>9</v>
      </c>
      <c r="F13">
        <v>2313</v>
      </c>
      <c r="G13">
        <v>1180</v>
      </c>
      <c r="H13">
        <v>2105</v>
      </c>
      <c r="I13">
        <v>1185</v>
      </c>
      <c r="J13">
        <v>21</v>
      </c>
      <c r="K13">
        <v>11</v>
      </c>
      <c r="L13">
        <v>2126</v>
      </c>
      <c r="M13">
        <v>1196</v>
      </c>
      <c r="N13">
        <v>4439</v>
      </c>
      <c r="O13">
        <v>2376</v>
      </c>
      <c r="P13">
        <v>6.4850840000000003E-3</v>
      </c>
      <c r="Q13">
        <v>9.8777050000000005E-3</v>
      </c>
      <c r="R13">
        <f t="shared" si="4"/>
        <v>1.2809564474807857E-2</v>
      </c>
      <c r="S13">
        <f t="shared" si="5"/>
        <v>1.9090909090909092</v>
      </c>
      <c r="T13">
        <v>7.6271189999999999E-3</v>
      </c>
      <c r="U13">
        <v>9.1973239999999998E-3</v>
      </c>
      <c r="V13">
        <f t="shared" si="12"/>
        <v>52.314218289231107</v>
      </c>
      <c r="W13">
        <f t="shared" si="6"/>
        <v>148.03636363636363</v>
      </c>
      <c r="X13">
        <f t="shared" si="7"/>
        <v>20.587131261489432</v>
      </c>
      <c r="Y13" t="s">
        <v>46</v>
      </c>
      <c r="Z13">
        <v>21970</v>
      </c>
      <c r="AA13">
        <v>6030</v>
      </c>
      <c r="AB13">
        <v>18805</v>
      </c>
      <c r="AC13">
        <v>5381</v>
      </c>
      <c r="AD13">
        <v>3337</v>
      </c>
      <c r="AE13">
        <v>2018</v>
      </c>
      <c r="AF13">
        <v>60521</v>
      </c>
      <c r="AG13">
        <v>18589</v>
      </c>
      <c r="AJ13">
        <f t="shared" si="11"/>
        <v>6.4850843060959796E-3</v>
      </c>
      <c r="AK13">
        <f t="shared" si="8"/>
        <v>1.6666666666666667</v>
      </c>
      <c r="AL13">
        <f t="shared" si="9"/>
        <v>9.1973244147157199E-3</v>
      </c>
      <c r="AM13">
        <f t="shared" si="10"/>
        <v>1.0879586077140169</v>
      </c>
      <c r="AN13">
        <f t="shared" si="3"/>
        <v>1.0814735234079209</v>
      </c>
    </row>
    <row r="14" spans="1:40" x14ac:dyDescent="0.35">
      <c r="A14" t="s">
        <v>47</v>
      </c>
      <c r="B14">
        <v>3432</v>
      </c>
      <c r="C14">
        <v>1454</v>
      </c>
      <c r="F14">
        <v>3432</v>
      </c>
      <c r="G14">
        <v>1454</v>
      </c>
      <c r="H14">
        <v>2026</v>
      </c>
      <c r="I14">
        <v>803</v>
      </c>
      <c r="L14">
        <v>2026</v>
      </c>
      <c r="M14">
        <v>803</v>
      </c>
      <c r="N14">
        <v>5458</v>
      </c>
      <c r="O14">
        <v>2257</v>
      </c>
      <c r="P14">
        <v>0</v>
      </c>
      <c r="Q14">
        <v>0</v>
      </c>
      <c r="R14">
        <f t="shared" si="4"/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48</v>
      </c>
      <c r="Z14">
        <v>130823</v>
      </c>
      <c r="AA14">
        <v>24215</v>
      </c>
      <c r="AB14">
        <v>108780</v>
      </c>
      <c r="AC14">
        <v>21473</v>
      </c>
      <c r="AD14">
        <v>25881</v>
      </c>
      <c r="AE14">
        <v>10821</v>
      </c>
      <c r="AF14">
        <v>359722</v>
      </c>
      <c r="AG14">
        <v>77385</v>
      </c>
      <c r="AJ14">
        <f t="shared" si="11"/>
        <v>0</v>
      </c>
      <c r="AK14">
        <v>0</v>
      </c>
      <c r="AL14">
        <f t="shared" si="9"/>
        <v>0</v>
      </c>
      <c r="AM14">
        <f t="shared" si="10"/>
        <v>1.6939782823297138</v>
      </c>
      <c r="AN14">
        <f t="shared" si="3"/>
        <v>1.6939782823297138</v>
      </c>
    </row>
    <row r="15" spans="1:40" x14ac:dyDescent="0.35">
      <c r="A15" t="s">
        <v>49</v>
      </c>
      <c r="B15">
        <v>106</v>
      </c>
      <c r="C15">
        <v>78</v>
      </c>
      <c r="F15">
        <v>106</v>
      </c>
      <c r="G15">
        <v>78</v>
      </c>
      <c r="H15">
        <v>135</v>
      </c>
      <c r="I15">
        <v>81</v>
      </c>
      <c r="J15">
        <v>4</v>
      </c>
      <c r="K15">
        <v>4</v>
      </c>
      <c r="L15">
        <v>139</v>
      </c>
      <c r="M15">
        <v>85</v>
      </c>
      <c r="N15">
        <v>245</v>
      </c>
      <c r="O15">
        <v>163</v>
      </c>
      <c r="P15">
        <v>0</v>
      </c>
      <c r="Q15">
        <v>2.8776978000000002E-2</v>
      </c>
      <c r="R15">
        <f t="shared" si="4"/>
        <v>0</v>
      </c>
      <c r="S15">
        <f t="shared" si="5"/>
        <v>1</v>
      </c>
      <c r="T15">
        <v>0</v>
      </c>
      <c r="U15">
        <v>4.7058823999999999E-2</v>
      </c>
      <c r="V15">
        <v>0</v>
      </c>
      <c r="W15">
        <v>0</v>
      </c>
      <c r="X15">
        <v>0</v>
      </c>
      <c r="Y15" t="s">
        <v>50</v>
      </c>
      <c r="Z15">
        <v>30843</v>
      </c>
      <c r="AA15">
        <v>5586</v>
      </c>
      <c r="AB15">
        <v>29891</v>
      </c>
      <c r="AC15">
        <v>5813</v>
      </c>
      <c r="AD15">
        <v>8209</v>
      </c>
      <c r="AE15">
        <v>4024</v>
      </c>
      <c r="AF15">
        <v>96181</v>
      </c>
      <c r="AG15">
        <v>21884</v>
      </c>
      <c r="AJ15">
        <f t="shared" si="11"/>
        <v>0</v>
      </c>
      <c r="AK15">
        <v>0</v>
      </c>
      <c r="AL15">
        <f t="shared" si="9"/>
        <v>4.7058823529411764E-2</v>
      </c>
      <c r="AM15">
        <f t="shared" si="10"/>
        <v>0.76258992805755399</v>
      </c>
      <c r="AN15">
        <f t="shared" si="3"/>
        <v>0.76258992805755399</v>
      </c>
    </row>
    <row r="16" spans="1:40" x14ac:dyDescent="0.35">
      <c r="A16" t="s">
        <v>51</v>
      </c>
      <c r="B16">
        <v>67027</v>
      </c>
      <c r="C16">
        <v>14869</v>
      </c>
      <c r="D16">
        <v>24</v>
      </c>
      <c r="E16">
        <v>18</v>
      </c>
      <c r="F16">
        <v>67051</v>
      </c>
      <c r="G16">
        <v>14887</v>
      </c>
      <c r="H16">
        <v>50152</v>
      </c>
      <c r="I16">
        <v>13163</v>
      </c>
      <c r="J16">
        <v>17</v>
      </c>
      <c r="K16">
        <v>15</v>
      </c>
      <c r="L16">
        <v>50169</v>
      </c>
      <c r="M16">
        <v>13178</v>
      </c>
      <c r="N16">
        <v>117220</v>
      </c>
      <c r="O16">
        <v>28065</v>
      </c>
      <c r="P16">
        <v>3.57936E-4</v>
      </c>
      <c r="Q16">
        <v>3.3885499999999999E-4</v>
      </c>
      <c r="R16">
        <f t="shared" si="4"/>
        <v>1.6140964422624252E-3</v>
      </c>
      <c r="S16">
        <f t="shared" si="5"/>
        <v>1.1333333333333333</v>
      </c>
      <c r="T16">
        <v>1.2091090000000001E-3</v>
      </c>
      <c r="U16">
        <v>1.138261E-3</v>
      </c>
      <c r="V16">
        <f t="shared" si="12"/>
        <v>-5.3308412677126604</v>
      </c>
      <c r="W16">
        <f t="shared" si="6"/>
        <v>701.14722222222224</v>
      </c>
      <c r="X16">
        <f t="shared" si="7"/>
        <v>-5.8595213500189036</v>
      </c>
      <c r="Y16" t="s">
        <v>52</v>
      </c>
      <c r="Z16">
        <v>33144</v>
      </c>
      <c r="AA16">
        <v>7766</v>
      </c>
      <c r="AB16">
        <v>30427</v>
      </c>
      <c r="AC16">
        <v>7229</v>
      </c>
      <c r="AD16">
        <v>8421</v>
      </c>
      <c r="AE16">
        <v>4124</v>
      </c>
      <c r="AF16">
        <v>100092</v>
      </c>
      <c r="AG16">
        <v>26413</v>
      </c>
      <c r="AJ16">
        <f t="shared" si="11"/>
        <v>3.5793649609998357E-4</v>
      </c>
      <c r="AK16">
        <f t="shared" si="8"/>
        <v>1.3333333333333333</v>
      </c>
      <c r="AL16">
        <f t="shared" si="9"/>
        <v>1.1382607375929579E-3</v>
      </c>
      <c r="AM16">
        <f t="shared" si="10"/>
        <v>1.3365026211405449</v>
      </c>
      <c r="AN16">
        <f t="shared" si="3"/>
        <v>1.3361446846444449</v>
      </c>
    </row>
    <row r="17" spans="1:40" x14ac:dyDescent="0.35">
      <c r="A17" t="s">
        <v>53</v>
      </c>
      <c r="B17">
        <v>61674</v>
      </c>
      <c r="C17">
        <v>13519</v>
      </c>
      <c r="F17">
        <v>61674</v>
      </c>
      <c r="G17">
        <v>13519</v>
      </c>
      <c r="H17">
        <v>49155</v>
      </c>
      <c r="I17">
        <v>12771</v>
      </c>
      <c r="L17">
        <v>49155</v>
      </c>
      <c r="M17">
        <v>12771</v>
      </c>
      <c r="N17">
        <v>110829</v>
      </c>
      <c r="O17">
        <v>26290</v>
      </c>
      <c r="P17">
        <v>0</v>
      </c>
      <c r="Q17">
        <v>0</v>
      </c>
      <c r="R17">
        <f t="shared" si="4"/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54</v>
      </c>
      <c r="Z17">
        <v>2292</v>
      </c>
      <c r="AA17">
        <v>1137</v>
      </c>
      <c r="AB17">
        <v>2709</v>
      </c>
      <c r="AC17">
        <v>1395</v>
      </c>
      <c r="AD17">
        <v>1434</v>
      </c>
      <c r="AE17">
        <v>1022</v>
      </c>
      <c r="AF17">
        <v>10415</v>
      </c>
      <c r="AG17">
        <v>5754</v>
      </c>
      <c r="AJ17">
        <f t="shared" si="11"/>
        <v>0</v>
      </c>
      <c r="AK17">
        <v>0</v>
      </c>
      <c r="AL17">
        <f t="shared" si="9"/>
        <v>0</v>
      </c>
      <c r="AM17">
        <f t="shared" si="10"/>
        <v>1.2546841623436069</v>
      </c>
      <c r="AN17">
        <f t="shared" si="3"/>
        <v>1.2546841623436069</v>
      </c>
    </row>
    <row r="18" spans="1:40" x14ac:dyDescent="0.35">
      <c r="A18" t="s">
        <v>55</v>
      </c>
      <c r="B18">
        <v>13</v>
      </c>
      <c r="C18">
        <v>9</v>
      </c>
      <c r="F18">
        <v>13</v>
      </c>
      <c r="G18">
        <v>9</v>
      </c>
      <c r="N18">
        <v>13</v>
      </c>
      <c r="O18">
        <v>9</v>
      </c>
      <c r="P18">
        <v>0</v>
      </c>
      <c r="Q18">
        <v>0</v>
      </c>
      <c r="R18">
        <f t="shared" si="4"/>
        <v>0</v>
      </c>
      <c r="S18">
        <v>0</v>
      </c>
      <c r="T18">
        <v>0</v>
      </c>
      <c r="U18" t="e">
        <v>#DIV/0!</v>
      </c>
      <c r="V18">
        <v>0</v>
      </c>
      <c r="W18">
        <v>0</v>
      </c>
      <c r="X18">
        <v>0</v>
      </c>
      <c r="Y18" t="s">
        <v>56</v>
      </c>
      <c r="Z18">
        <v>50884</v>
      </c>
      <c r="AA18">
        <v>13613</v>
      </c>
      <c r="AB18">
        <v>46915</v>
      </c>
      <c r="AC18">
        <v>12906</v>
      </c>
      <c r="AD18">
        <v>10299</v>
      </c>
      <c r="AE18">
        <v>5996</v>
      </c>
      <c r="AF18">
        <v>146104</v>
      </c>
      <c r="AG18">
        <v>44482</v>
      </c>
      <c r="AJ18">
        <f t="shared" si="11"/>
        <v>0</v>
      </c>
      <c r="AK18">
        <v>0</v>
      </c>
      <c r="AL18">
        <v>0</v>
      </c>
      <c r="AM18">
        <v>0</v>
      </c>
      <c r="AN18">
        <f t="shared" si="3"/>
        <v>0</v>
      </c>
    </row>
    <row r="19" spans="1:40" x14ac:dyDescent="0.35">
      <c r="A19" t="s">
        <v>57</v>
      </c>
      <c r="B19">
        <v>68</v>
      </c>
      <c r="C19">
        <v>50</v>
      </c>
      <c r="D19">
        <v>55</v>
      </c>
      <c r="E19">
        <v>38</v>
      </c>
      <c r="F19">
        <v>123</v>
      </c>
      <c r="G19">
        <v>88</v>
      </c>
      <c r="N19">
        <v>123</v>
      </c>
      <c r="O19">
        <v>88</v>
      </c>
      <c r="P19">
        <v>0.44715447200000003</v>
      </c>
      <c r="Q19">
        <v>0</v>
      </c>
      <c r="R19">
        <f t="shared" si="4"/>
        <v>1.1000000000000001</v>
      </c>
      <c r="S19">
        <v>0</v>
      </c>
      <c r="T19">
        <v>0.43181818199999999</v>
      </c>
      <c r="U19" t="e">
        <v>#DIV/0!</v>
      </c>
      <c r="V19">
        <f t="shared" si="12"/>
        <v>-100</v>
      </c>
      <c r="W19">
        <f t="shared" si="6"/>
        <v>-1</v>
      </c>
      <c r="X19">
        <v>0</v>
      </c>
      <c r="Y19" t="s">
        <v>58</v>
      </c>
      <c r="Z19">
        <v>50884</v>
      </c>
      <c r="AA19">
        <v>13613</v>
      </c>
      <c r="AB19">
        <v>46915</v>
      </c>
      <c r="AC19">
        <v>12906</v>
      </c>
      <c r="AD19">
        <v>10299</v>
      </c>
      <c r="AE19">
        <v>5996</v>
      </c>
      <c r="AF19">
        <v>146104</v>
      </c>
      <c r="AG19">
        <v>44482</v>
      </c>
      <c r="AJ19">
        <f t="shared" si="11"/>
        <v>0.44715447154471544</v>
      </c>
      <c r="AK19">
        <f t="shared" si="8"/>
        <v>1.4473684210526316</v>
      </c>
      <c r="AL19">
        <v>0</v>
      </c>
      <c r="AM19">
        <v>0</v>
      </c>
      <c r="AN19">
        <f t="shared" si="3"/>
        <v>-0.44715447154471544</v>
      </c>
    </row>
    <row r="20" spans="1:40" x14ac:dyDescent="0.35">
      <c r="A20" t="s">
        <v>59</v>
      </c>
      <c r="B20">
        <v>14503</v>
      </c>
      <c r="C20">
        <v>4493</v>
      </c>
      <c r="D20">
        <v>3168</v>
      </c>
      <c r="E20">
        <v>1303</v>
      </c>
      <c r="F20">
        <v>17671</v>
      </c>
      <c r="G20">
        <v>5796</v>
      </c>
      <c r="H20">
        <v>12924</v>
      </c>
      <c r="I20">
        <v>4352</v>
      </c>
      <c r="J20">
        <v>2762</v>
      </c>
      <c r="K20">
        <v>1197</v>
      </c>
      <c r="L20">
        <v>15686</v>
      </c>
      <c r="M20">
        <v>5549</v>
      </c>
      <c r="N20">
        <v>33357</v>
      </c>
      <c r="O20">
        <v>11345</v>
      </c>
      <c r="P20">
        <v>0.179276781</v>
      </c>
      <c r="Q20">
        <v>0.17608058100000001</v>
      </c>
      <c r="R20">
        <f t="shared" si="4"/>
        <v>0.70509681727131091</v>
      </c>
      <c r="S20">
        <f t="shared" si="5"/>
        <v>2.3074352548036758</v>
      </c>
      <c r="T20">
        <v>0.22481021400000001</v>
      </c>
      <c r="U20">
        <v>0.21571454300000001</v>
      </c>
      <c r="V20">
        <f t="shared" si="12"/>
        <v>-1.7828298690838129</v>
      </c>
      <c r="W20">
        <f t="shared" si="6"/>
        <v>2.2725083964119053</v>
      </c>
      <c r="X20">
        <f t="shared" si="7"/>
        <v>-4.0459331620937844</v>
      </c>
      <c r="Y20" t="s">
        <v>60</v>
      </c>
      <c r="Z20">
        <v>54676</v>
      </c>
      <c r="AA20">
        <v>15532</v>
      </c>
      <c r="AB20">
        <v>45283</v>
      </c>
      <c r="AC20">
        <v>13934</v>
      </c>
      <c r="AD20">
        <v>8856</v>
      </c>
      <c r="AE20">
        <v>5342</v>
      </c>
      <c r="AF20">
        <v>148138</v>
      </c>
      <c r="AG20">
        <v>47782</v>
      </c>
      <c r="AJ20">
        <f t="shared" si="11"/>
        <v>0.17927678116688359</v>
      </c>
      <c r="AK20">
        <f t="shared" si="8"/>
        <v>2.4313123561013046</v>
      </c>
      <c r="AL20">
        <f t="shared" si="9"/>
        <v>0.21571454316092989</v>
      </c>
      <c r="AM20">
        <f t="shared" si="10"/>
        <v>1.1265459645543796</v>
      </c>
      <c r="AN20">
        <f t="shared" si="3"/>
        <v>0.94726918338749599</v>
      </c>
    </row>
    <row r="21" spans="1:40" x14ac:dyDescent="0.35">
      <c r="A21" t="s">
        <v>61</v>
      </c>
      <c r="B21">
        <v>8121</v>
      </c>
      <c r="C21">
        <v>2239</v>
      </c>
      <c r="D21">
        <v>681</v>
      </c>
      <c r="E21">
        <v>333</v>
      </c>
      <c r="F21">
        <v>8802</v>
      </c>
      <c r="G21">
        <v>2572</v>
      </c>
      <c r="H21">
        <v>7888</v>
      </c>
      <c r="I21">
        <v>2306</v>
      </c>
      <c r="J21">
        <v>858</v>
      </c>
      <c r="K21">
        <v>395</v>
      </c>
      <c r="L21">
        <v>8746</v>
      </c>
      <c r="M21">
        <v>2701</v>
      </c>
      <c r="N21">
        <v>17548</v>
      </c>
      <c r="O21">
        <v>5273</v>
      </c>
      <c r="P21">
        <v>7.7368779999999998E-2</v>
      </c>
      <c r="Q21">
        <v>9.8101989000000001E-2</v>
      </c>
      <c r="R21">
        <f t="shared" si="4"/>
        <v>0.3041536400178651</v>
      </c>
      <c r="S21">
        <f t="shared" si="5"/>
        <v>2.1721518987341772</v>
      </c>
      <c r="T21">
        <v>0.12947122899999999</v>
      </c>
      <c r="U21">
        <v>0.146242133</v>
      </c>
      <c r="V21">
        <f t="shared" si="12"/>
        <v>26.797900910418914</v>
      </c>
      <c r="W21">
        <f t="shared" si="6"/>
        <v>6.1416271677912233</v>
      </c>
      <c r="X21">
        <f t="shared" si="7"/>
        <v>12.953382870877061</v>
      </c>
      <c r="Y21" t="s">
        <v>62</v>
      </c>
      <c r="Z21">
        <v>45463</v>
      </c>
      <c r="AA21">
        <v>13363</v>
      </c>
      <c r="AB21">
        <v>43658</v>
      </c>
      <c r="AC21">
        <v>12646</v>
      </c>
      <c r="AD21">
        <v>11858</v>
      </c>
      <c r="AE21">
        <v>6243</v>
      </c>
      <c r="AF21">
        <v>144891</v>
      </c>
      <c r="AG21">
        <v>44964</v>
      </c>
      <c r="AJ21">
        <f t="shared" si="11"/>
        <v>7.7368779822767547E-2</v>
      </c>
      <c r="AK21">
        <f t="shared" si="8"/>
        <v>2.045045045045045</v>
      </c>
      <c r="AL21">
        <f t="shared" si="9"/>
        <v>0.14624213254350241</v>
      </c>
      <c r="AM21">
        <f t="shared" si="10"/>
        <v>1.0064029270523669</v>
      </c>
      <c r="AN21">
        <f t="shared" si="3"/>
        <v>0.92903414722959932</v>
      </c>
    </row>
    <row r="22" spans="1:40" x14ac:dyDescent="0.35">
      <c r="A22" t="s">
        <v>50</v>
      </c>
      <c r="B22">
        <v>29487</v>
      </c>
      <c r="C22">
        <v>5790</v>
      </c>
      <c r="D22">
        <v>404</v>
      </c>
      <c r="E22">
        <v>168</v>
      </c>
      <c r="F22">
        <v>29891</v>
      </c>
      <c r="G22">
        <v>5958</v>
      </c>
      <c r="H22">
        <v>26992</v>
      </c>
      <c r="I22">
        <v>6435</v>
      </c>
      <c r="J22">
        <v>246</v>
      </c>
      <c r="K22">
        <v>133</v>
      </c>
      <c r="L22">
        <v>27238</v>
      </c>
      <c r="M22">
        <v>6568</v>
      </c>
      <c r="N22">
        <v>57129</v>
      </c>
      <c r="O22">
        <v>12526</v>
      </c>
      <c r="P22">
        <v>1.3515773999999999E-2</v>
      </c>
      <c r="Q22">
        <v>9.0314999999999996E-3</v>
      </c>
      <c r="R22">
        <f t="shared" si="4"/>
        <v>6.9775474956822112E-2</v>
      </c>
      <c r="S22">
        <f t="shared" si="5"/>
        <v>1.8496240601503759</v>
      </c>
      <c r="T22">
        <v>2.8197382E-2</v>
      </c>
      <c r="U22">
        <v>2.0249695000000002E-2</v>
      </c>
      <c r="V22">
        <f t="shared" si="12"/>
        <v>-33.17807770387401</v>
      </c>
      <c r="W22">
        <f t="shared" si="6"/>
        <v>25.508226010570979</v>
      </c>
      <c r="X22">
        <f t="shared" si="7"/>
        <v>-28.185903925406976</v>
      </c>
      <c r="Y22" t="s">
        <v>63</v>
      </c>
      <c r="Z22">
        <v>96866</v>
      </c>
      <c r="AA22">
        <v>20124</v>
      </c>
      <c r="AB22">
        <v>81321</v>
      </c>
      <c r="AC22">
        <v>18362</v>
      </c>
      <c r="AD22">
        <v>19793</v>
      </c>
      <c r="AE22">
        <v>9474</v>
      </c>
      <c r="AF22">
        <v>268705</v>
      </c>
      <c r="AG22">
        <v>66013</v>
      </c>
      <c r="AJ22">
        <f t="shared" si="11"/>
        <v>1.3515773978789601E-2</v>
      </c>
      <c r="AK22">
        <f t="shared" si="8"/>
        <v>2.4047619047619047</v>
      </c>
      <c r="AL22">
        <f t="shared" si="9"/>
        <v>2.0249695493300853E-2</v>
      </c>
      <c r="AM22">
        <f t="shared" si="10"/>
        <v>1.0974006902122035</v>
      </c>
      <c r="AN22">
        <f t="shared" si="3"/>
        <v>1.0838849162334139</v>
      </c>
    </row>
    <row r="23" spans="1:40" x14ac:dyDescent="0.35">
      <c r="A23" t="s">
        <v>64</v>
      </c>
      <c r="B23">
        <v>394898</v>
      </c>
      <c r="C23">
        <v>46060</v>
      </c>
      <c r="D23">
        <v>4</v>
      </c>
      <c r="E23">
        <v>3</v>
      </c>
      <c r="F23">
        <v>394902</v>
      </c>
      <c r="G23">
        <v>46063</v>
      </c>
      <c r="H23">
        <v>364241</v>
      </c>
      <c r="I23">
        <v>47938</v>
      </c>
      <c r="J23">
        <v>9</v>
      </c>
      <c r="K23">
        <v>9</v>
      </c>
      <c r="L23">
        <v>364250</v>
      </c>
      <c r="M23">
        <v>47947</v>
      </c>
      <c r="N23">
        <v>759152</v>
      </c>
      <c r="O23">
        <v>94010</v>
      </c>
      <c r="P23" s="1">
        <v>1.01E-5</v>
      </c>
      <c r="Q23" s="1">
        <v>2.4700000000000001E-5</v>
      </c>
      <c r="R23">
        <f t="shared" si="4"/>
        <v>8.6843247937472862E-5</v>
      </c>
      <c r="S23">
        <f t="shared" si="5"/>
        <v>1</v>
      </c>
      <c r="T23" s="1">
        <v>6.5128200000000004E-5</v>
      </c>
      <c r="U23">
        <v>1.8770700000000001E-4</v>
      </c>
      <c r="V23">
        <f t="shared" si="12"/>
        <v>144.55445544554456</v>
      </c>
      <c r="W23">
        <f t="shared" si="6"/>
        <v>11514</v>
      </c>
      <c r="X23">
        <f t="shared" si="7"/>
        <v>188.21155812689435</v>
      </c>
      <c r="Y23" t="s">
        <v>65</v>
      </c>
      <c r="Z23">
        <v>2082</v>
      </c>
      <c r="AA23">
        <v>1086</v>
      </c>
      <c r="AB23">
        <v>1917</v>
      </c>
      <c r="AC23">
        <v>954</v>
      </c>
      <c r="AD23">
        <v>428</v>
      </c>
      <c r="AE23">
        <v>295</v>
      </c>
      <c r="AF23">
        <v>6043</v>
      </c>
      <c r="AG23">
        <v>3181</v>
      </c>
      <c r="AJ23">
        <f t="shared" si="11"/>
        <v>1.0129095319851507E-5</v>
      </c>
      <c r="AK23">
        <f t="shared" si="8"/>
        <v>1.3333333333333333</v>
      </c>
      <c r="AL23">
        <f t="shared" si="9"/>
        <v>1.8770726009969342E-4</v>
      </c>
      <c r="AM23">
        <f t="shared" si="10"/>
        <v>1.0841509951956074</v>
      </c>
      <c r="AN23">
        <f t="shared" si="3"/>
        <v>1.0841408661002876</v>
      </c>
    </row>
    <row r="24" spans="1:40" x14ac:dyDescent="0.35">
      <c r="A24" t="s">
        <v>52</v>
      </c>
      <c r="B24">
        <v>20451</v>
      </c>
      <c r="C24">
        <v>5521</v>
      </c>
      <c r="D24">
        <v>218</v>
      </c>
      <c r="E24">
        <v>110</v>
      </c>
      <c r="F24">
        <v>20669</v>
      </c>
      <c r="G24">
        <v>5631</v>
      </c>
      <c r="H24">
        <v>18966</v>
      </c>
      <c r="I24">
        <v>5645</v>
      </c>
      <c r="J24">
        <v>216</v>
      </c>
      <c r="K24">
        <v>119</v>
      </c>
      <c r="L24">
        <v>19182</v>
      </c>
      <c r="M24">
        <v>5764</v>
      </c>
      <c r="N24">
        <v>39851</v>
      </c>
      <c r="O24">
        <v>11395</v>
      </c>
      <c r="P24">
        <v>1.0547196E-2</v>
      </c>
      <c r="Q24">
        <v>1.1260556999999999E-2</v>
      </c>
      <c r="R24">
        <f t="shared" si="4"/>
        <v>3.9485600434703859E-2</v>
      </c>
      <c r="S24">
        <f t="shared" si="5"/>
        <v>1.8151260504201681</v>
      </c>
      <c r="T24">
        <v>1.9534718999999999E-2</v>
      </c>
      <c r="U24">
        <v>2.0645384999999999E-2</v>
      </c>
      <c r="V24">
        <f t="shared" si="12"/>
        <v>6.763513259827536</v>
      </c>
      <c r="W24">
        <f t="shared" si="6"/>
        <v>44.969316166833707</v>
      </c>
      <c r="X24">
        <f t="shared" si="7"/>
        <v>5.6856000846492893</v>
      </c>
      <c r="Y24" t="s">
        <v>66</v>
      </c>
      <c r="Z24">
        <v>144638</v>
      </c>
      <c r="AA24">
        <v>23320</v>
      </c>
      <c r="AB24">
        <v>128570</v>
      </c>
      <c r="AC24">
        <v>21723</v>
      </c>
      <c r="AD24">
        <v>34419</v>
      </c>
      <c r="AE24">
        <v>13713</v>
      </c>
      <c r="AF24">
        <v>423929</v>
      </c>
      <c r="AG24">
        <v>81229</v>
      </c>
      <c r="AJ24">
        <f t="shared" si="11"/>
        <v>1.0547196284290484E-2</v>
      </c>
      <c r="AK24">
        <f t="shared" si="8"/>
        <v>1.9818181818181819</v>
      </c>
      <c r="AL24">
        <f t="shared" si="9"/>
        <v>2.0645385149201945E-2</v>
      </c>
      <c r="AM24">
        <f t="shared" si="10"/>
        <v>1.0775205922218747</v>
      </c>
      <c r="AN24">
        <f t="shared" si="3"/>
        <v>1.0669733959375842</v>
      </c>
    </row>
    <row r="25" spans="1:40" x14ac:dyDescent="0.35">
      <c r="A25" t="s">
        <v>67</v>
      </c>
      <c r="B25">
        <v>371</v>
      </c>
      <c r="C25">
        <v>265</v>
      </c>
      <c r="F25">
        <v>371</v>
      </c>
      <c r="G25">
        <v>265</v>
      </c>
      <c r="H25">
        <v>1781</v>
      </c>
      <c r="I25">
        <v>1142</v>
      </c>
      <c r="J25">
        <v>54</v>
      </c>
      <c r="K25">
        <v>44</v>
      </c>
      <c r="L25">
        <v>1835</v>
      </c>
      <c r="M25">
        <v>1186</v>
      </c>
      <c r="N25">
        <v>2206</v>
      </c>
      <c r="O25">
        <v>1451</v>
      </c>
      <c r="P25">
        <v>0</v>
      </c>
      <c r="Q25">
        <v>2.9427793000000001E-2</v>
      </c>
      <c r="R25">
        <f t="shared" si="4"/>
        <v>0</v>
      </c>
      <c r="S25">
        <f t="shared" si="5"/>
        <v>1.2272727272727273</v>
      </c>
      <c r="T25">
        <v>0</v>
      </c>
      <c r="U25">
        <v>3.7099493999999997E-2</v>
      </c>
      <c r="V25">
        <v>0</v>
      </c>
      <c r="W25">
        <v>0</v>
      </c>
      <c r="X25">
        <v>0</v>
      </c>
      <c r="Y25" t="s">
        <v>68</v>
      </c>
      <c r="Z25">
        <v>83333</v>
      </c>
      <c r="AA25">
        <v>20215</v>
      </c>
      <c r="AB25">
        <v>72292</v>
      </c>
      <c r="AC25">
        <v>18522</v>
      </c>
      <c r="AD25">
        <v>14835</v>
      </c>
      <c r="AE25">
        <v>8451</v>
      </c>
      <c r="AF25">
        <v>234176</v>
      </c>
      <c r="AG25">
        <v>65089</v>
      </c>
      <c r="AJ25">
        <f t="shared" si="11"/>
        <v>0</v>
      </c>
      <c r="AK25">
        <v>0</v>
      </c>
      <c r="AL25">
        <f t="shared" si="9"/>
        <v>3.7099494097807759E-2</v>
      </c>
      <c r="AM25">
        <f t="shared" si="10"/>
        <v>0.20217983651226157</v>
      </c>
      <c r="AN25">
        <f t="shared" si="3"/>
        <v>0.20217983651226157</v>
      </c>
    </row>
    <row r="26" spans="1:40" x14ac:dyDescent="0.35">
      <c r="A26" t="s">
        <v>69</v>
      </c>
      <c r="B26">
        <v>31849</v>
      </c>
      <c r="C26">
        <v>10335</v>
      </c>
      <c r="D26">
        <v>2503</v>
      </c>
      <c r="E26">
        <v>1407</v>
      </c>
      <c r="F26">
        <v>34352</v>
      </c>
      <c r="G26">
        <v>11742</v>
      </c>
      <c r="H26">
        <v>25094</v>
      </c>
      <c r="I26">
        <v>9362</v>
      </c>
      <c r="J26">
        <v>2413</v>
      </c>
      <c r="K26">
        <v>1444</v>
      </c>
      <c r="L26">
        <v>27507</v>
      </c>
      <c r="M26">
        <v>10806</v>
      </c>
      <c r="N26">
        <v>61859</v>
      </c>
      <c r="O26">
        <v>22548</v>
      </c>
      <c r="P26">
        <v>7.2863298000000007E-2</v>
      </c>
      <c r="Q26">
        <v>8.7723124999999999E-2</v>
      </c>
      <c r="R26">
        <f t="shared" si="4"/>
        <v>0.24218674407353652</v>
      </c>
      <c r="S26">
        <f t="shared" si="5"/>
        <v>1.6710526315789473</v>
      </c>
      <c r="T26">
        <v>0.119826265</v>
      </c>
      <c r="U26">
        <v>0.133629465</v>
      </c>
      <c r="V26">
        <f t="shared" si="12"/>
        <v>20.39411803731419</v>
      </c>
      <c r="W26">
        <f t="shared" si="6"/>
        <v>5.899851756839162</v>
      </c>
      <c r="X26">
        <f t="shared" si="7"/>
        <v>11.519344277316822</v>
      </c>
      <c r="Y26" t="s">
        <v>70</v>
      </c>
      <c r="Z26">
        <v>45274</v>
      </c>
      <c r="AA26">
        <v>7157</v>
      </c>
      <c r="AB26">
        <v>38234</v>
      </c>
      <c r="AC26">
        <v>6568</v>
      </c>
      <c r="AD26">
        <v>6638</v>
      </c>
      <c r="AE26">
        <v>3343</v>
      </c>
      <c r="AF26">
        <v>119414</v>
      </c>
      <c r="AG26">
        <v>23692</v>
      </c>
      <c r="AJ26">
        <f t="shared" si="11"/>
        <v>7.2863297624592455E-2</v>
      </c>
      <c r="AK26">
        <f t="shared" si="8"/>
        <v>1.7789623312011371</v>
      </c>
      <c r="AL26">
        <f t="shared" si="9"/>
        <v>0.13362946511197482</v>
      </c>
      <c r="AM26">
        <f t="shared" si="10"/>
        <v>1.2488457483549642</v>
      </c>
      <c r="AN26">
        <f t="shared" si="3"/>
        <v>1.1759824507303718</v>
      </c>
    </row>
    <row r="27" spans="1:40" x14ac:dyDescent="0.35">
      <c r="A27" t="s">
        <v>71</v>
      </c>
      <c r="B27">
        <v>11749</v>
      </c>
      <c r="C27">
        <v>3152</v>
      </c>
      <c r="D27">
        <v>458</v>
      </c>
      <c r="E27">
        <v>269</v>
      </c>
      <c r="F27">
        <v>12207</v>
      </c>
      <c r="G27">
        <v>3421</v>
      </c>
      <c r="H27">
        <v>9890</v>
      </c>
      <c r="I27">
        <v>2826</v>
      </c>
      <c r="J27">
        <v>410</v>
      </c>
      <c r="K27">
        <v>261</v>
      </c>
      <c r="L27">
        <v>10300</v>
      </c>
      <c r="M27">
        <v>3087</v>
      </c>
      <c r="N27">
        <v>22507</v>
      </c>
      <c r="O27">
        <v>6508</v>
      </c>
      <c r="P27">
        <v>3.7519456E-2</v>
      </c>
      <c r="Q27">
        <v>3.9805825000000003E-2</v>
      </c>
      <c r="R27">
        <f t="shared" si="4"/>
        <v>0.14530456852791879</v>
      </c>
      <c r="S27">
        <f t="shared" si="5"/>
        <v>1.5708812260536398</v>
      </c>
      <c r="T27">
        <v>7.8631979000000005E-2</v>
      </c>
      <c r="U27">
        <v>8.4548104999999998E-2</v>
      </c>
      <c r="V27">
        <f t="shared" si="12"/>
        <v>6.0938223624564358</v>
      </c>
      <c r="W27">
        <f t="shared" si="6"/>
        <v>9.8109555120547434</v>
      </c>
      <c r="X27">
        <f t="shared" si="7"/>
        <v>7.5238167412777335</v>
      </c>
      <c r="Y27" t="s">
        <v>72</v>
      </c>
      <c r="Z27">
        <v>2514</v>
      </c>
      <c r="AA27">
        <v>1379</v>
      </c>
      <c r="AB27">
        <v>2604</v>
      </c>
      <c r="AC27">
        <v>1395</v>
      </c>
      <c r="AD27">
        <v>911</v>
      </c>
      <c r="AE27">
        <v>684</v>
      </c>
      <c r="AF27">
        <v>9302</v>
      </c>
      <c r="AG27">
        <v>5133</v>
      </c>
      <c r="AJ27">
        <f t="shared" si="11"/>
        <v>3.7519456049807484E-2</v>
      </c>
      <c r="AK27">
        <f t="shared" si="8"/>
        <v>1.7026022304832713</v>
      </c>
      <c r="AL27">
        <f t="shared" si="9"/>
        <v>8.4548104956268216E-2</v>
      </c>
      <c r="AM27">
        <f t="shared" si="10"/>
        <v>1.1851456310679611</v>
      </c>
      <c r="AN27">
        <f t="shared" si="3"/>
        <v>1.1476261750181536</v>
      </c>
    </row>
    <row r="28" spans="1:40" x14ac:dyDescent="0.35">
      <c r="A28" t="s">
        <v>73</v>
      </c>
      <c r="B28">
        <v>32237</v>
      </c>
      <c r="C28">
        <v>10746</v>
      </c>
      <c r="D28">
        <v>430</v>
      </c>
      <c r="E28">
        <v>309</v>
      </c>
      <c r="F28">
        <v>32667</v>
      </c>
      <c r="G28">
        <v>11055</v>
      </c>
      <c r="H28">
        <v>27998</v>
      </c>
      <c r="I28">
        <v>9803</v>
      </c>
      <c r="J28">
        <v>455</v>
      </c>
      <c r="K28">
        <v>314</v>
      </c>
      <c r="L28">
        <v>28453</v>
      </c>
      <c r="M28">
        <v>10117</v>
      </c>
      <c r="N28">
        <v>61120</v>
      </c>
      <c r="O28">
        <v>21172</v>
      </c>
      <c r="P28">
        <v>1.3163131E-2</v>
      </c>
      <c r="Q28">
        <v>1.5991284000000001E-2</v>
      </c>
      <c r="R28">
        <f t="shared" si="4"/>
        <v>4.0014889261120415E-2</v>
      </c>
      <c r="S28">
        <f t="shared" si="5"/>
        <v>1.4490445859872612</v>
      </c>
      <c r="T28">
        <v>2.7951152999999999E-2</v>
      </c>
      <c r="U28">
        <v>3.1036869000000002E-2</v>
      </c>
      <c r="V28">
        <f t="shared" si="12"/>
        <v>21.48541255116281</v>
      </c>
      <c r="W28">
        <f t="shared" si="6"/>
        <v>35.212635165160719</v>
      </c>
      <c r="X28">
        <f t="shared" si="7"/>
        <v>11.039673390217587</v>
      </c>
      <c r="Y28" t="s">
        <v>74</v>
      </c>
      <c r="Z28">
        <v>130823</v>
      </c>
      <c r="AA28">
        <v>24215</v>
      </c>
      <c r="AB28">
        <v>108780</v>
      </c>
      <c r="AC28">
        <v>21473</v>
      </c>
      <c r="AD28">
        <v>25881</v>
      </c>
      <c r="AE28">
        <v>10821</v>
      </c>
      <c r="AF28">
        <v>359722</v>
      </c>
      <c r="AG28">
        <v>77385</v>
      </c>
      <c r="AJ28">
        <f t="shared" si="11"/>
        <v>1.3163130988459301E-2</v>
      </c>
      <c r="AK28">
        <f t="shared" si="8"/>
        <v>1.3915857605177993</v>
      </c>
      <c r="AL28">
        <f t="shared" si="9"/>
        <v>3.1036868636947712E-2</v>
      </c>
      <c r="AM28">
        <f t="shared" si="10"/>
        <v>1.1481038906266474</v>
      </c>
      <c r="AN28">
        <f t="shared" si="3"/>
        <v>1.1349407596381882</v>
      </c>
    </row>
    <row r="29" spans="1:40" x14ac:dyDescent="0.35">
      <c r="A29" t="s">
        <v>75</v>
      </c>
      <c r="B29">
        <v>1110</v>
      </c>
      <c r="C29">
        <v>564</v>
      </c>
      <c r="D29">
        <v>252</v>
      </c>
      <c r="E29">
        <v>105</v>
      </c>
      <c r="F29">
        <v>1362</v>
      </c>
      <c r="G29">
        <v>669</v>
      </c>
      <c r="H29">
        <v>1014</v>
      </c>
      <c r="I29">
        <v>567</v>
      </c>
      <c r="J29">
        <v>184</v>
      </c>
      <c r="K29">
        <v>87</v>
      </c>
      <c r="L29">
        <v>1198</v>
      </c>
      <c r="M29">
        <v>654</v>
      </c>
      <c r="N29">
        <v>2560</v>
      </c>
      <c r="O29">
        <v>1323</v>
      </c>
      <c r="P29">
        <v>0.18502202600000001</v>
      </c>
      <c r="Q29">
        <v>0.153589316</v>
      </c>
      <c r="R29">
        <f t="shared" si="4"/>
        <v>0.44680851063829785</v>
      </c>
      <c r="S29">
        <f t="shared" si="5"/>
        <v>2.1149425287356323</v>
      </c>
      <c r="T29">
        <v>0.15695067300000001</v>
      </c>
      <c r="U29">
        <v>0.13302752300000001</v>
      </c>
      <c r="V29">
        <f t="shared" si="12"/>
        <v>-16.988631396782992</v>
      </c>
      <c r="W29">
        <f t="shared" si="6"/>
        <v>3.7334428024083204</v>
      </c>
      <c r="X29">
        <f t="shared" si="7"/>
        <v>-15.242464108452724</v>
      </c>
      <c r="Y29" t="s">
        <v>76</v>
      </c>
      <c r="Z29">
        <v>71366</v>
      </c>
      <c r="AA29">
        <v>15130</v>
      </c>
      <c r="AB29">
        <v>70641</v>
      </c>
      <c r="AC29">
        <v>14533</v>
      </c>
      <c r="AD29">
        <v>19156</v>
      </c>
      <c r="AE29">
        <v>7585</v>
      </c>
      <c r="AF29">
        <v>234706</v>
      </c>
      <c r="AG29">
        <v>52231</v>
      </c>
      <c r="AJ29">
        <f t="shared" si="11"/>
        <v>0.18502202643171806</v>
      </c>
      <c r="AK29">
        <f t="shared" si="8"/>
        <v>2.4</v>
      </c>
      <c r="AL29">
        <f t="shared" si="9"/>
        <v>0.13302752293577982</v>
      </c>
      <c r="AM29">
        <f t="shared" si="10"/>
        <v>1.1368948247078463</v>
      </c>
      <c r="AN29">
        <f t="shared" si="3"/>
        <v>0.95187279827612825</v>
      </c>
    </row>
    <row r="30" spans="1:40" x14ac:dyDescent="0.35">
      <c r="A30" t="s">
        <v>77</v>
      </c>
      <c r="B30">
        <v>52742</v>
      </c>
      <c r="C30">
        <v>13678</v>
      </c>
      <c r="D30">
        <v>261</v>
      </c>
      <c r="E30">
        <v>175</v>
      </c>
      <c r="F30">
        <v>53003</v>
      </c>
      <c r="G30">
        <v>13853</v>
      </c>
      <c r="H30">
        <v>47255</v>
      </c>
      <c r="I30">
        <v>13683</v>
      </c>
      <c r="J30">
        <v>284</v>
      </c>
      <c r="K30">
        <v>175</v>
      </c>
      <c r="L30">
        <v>47539</v>
      </c>
      <c r="M30">
        <v>13858</v>
      </c>
      <c r="N30">
        <v>100542</v>
      </c>
      <c r="O30">
        <v>27711</v>
      </c>
      <c r="P30">
        <v>4.9242499999999998E-3</v>
      </c>
      <c r="Q30">
        <v>5.9740419999999997E-3</v>
      </c>
      <c r="R30">
        <f t="shared" si="4"/>
        <v>1.9081737096066677E-2</v>
      </c>
      <c r="S30">
        <f t="shared" si="5"/>
        <v>1.6228571428571428</v>
      </c>
      <c r="T30">
        <v>1.2632643000000001E-2</v>
      </c>
      <c r="U30">
        <v>1.2628085000000001E-2</v>
      </c>
      <c r="V30">
        <f t="shared" si="12"/>
        <v>21.318820124892124</v>
      </c>
      <c r="W30">
        <f t="shared" si="6"/>
        <v>84.047662835249042</v>
      </c>
      <c r="X30">
        <f t="shared" si="7"/>
        <v>-3.6081127282705516E-2</v>
      </c>
      <c r="Y30" t="s">
        <v>78</v>
      </c>
      <c r="Z30">
        <v>186282</v>
      </c>
      <c r="AA30">
        <v>18242</v>
      </c>
      <c r="AB30">
        <v>161232</v>
      </c>
      <c r="AC30">
        <v>17051</v>
      </c>
      <c r="AD30">
        <v>33928</v>
      </c>
      <c r="AE30">
        <v>10546</v>
      </c>
      <c r="AF30">
        <v>509587</v>
      </c>
      <c r="AG30">
        <v>63384</v>
      </c>
      <c r="AJ30">
        <f t="shared" si="11"/>
        <v>4.9242495707790129E-3</v>
      </c>
      <c r="AK30">
        <f t="shared" si="8"/>
        <v>1.4914285714285713</v>
      </c>
      <c r="AL30">
        <f t="shared" si="9"/>
        <v>1.2628084860730264E-2</v>
      </c>
      <c r="AM30">
        <f t="shared" si="10"/>
        <v>1.1149372094490839</v>
      </c>
      <c r="AN30">
        <f t="shared" si="3"/>
        <v>1.1100129598783048</v>
      </c>
    </row>
    <row r="31" spans="1:40" x14ac:dyDescent="0.35">
      <c r="A31" t="s">
        <v>79</v>
      </c>
      <c r="B31">
        <v>16</v>
      </c>
      <c r="C31">
        <v>14</v>
      </c>
      <c r="D31">
        <v>7</v>
      </c>
      <c r="E31">
        <v>6</v>
      </c>
      <c r="F31">
        <v>23</v>
      </c>
      <c r="G31">
        <v>20</v>
      </c>
      <c r="H31">
        <v>8</v>
      </c>
      <c r="I31">
        <v>6</v>
      </c>
      <c r="J31">
        <v>11</v>
      </c>
      <c r="K31">
        <v>9</v>
      </c>
      <c r="L31">
        <v>19</v>
      </c>
      <c r="M31">
        <v>15</v>
      </c>
      <c r="N31">
        <v>42</v>
      </c>
      <c r="O31">
        <v>35</v>
      </c>
      <c r="P31">
        <v>0.30434782599999999</v>
      </c>
      <c r="Q31">
        <v>0.57894736800000002</v>
      </c>
      <c r="R31">
        <f t="shared" si="4"/>
        <v>0.5</v>
      </c>
      <c r="S31">
        <f t="shared" si="5"/>
        <v>1.2222222222222223</v>
      </c>
      <c r="T31">
        <v>0.3</v>
      </c>
      <c r="U31">
        <v>0.6</v>
      </c>
      <c r="V31">
        <f t="shared" si="12"/>
        <v>90.22556382577875</v>
      </c>
      <c r="W31">
        <f t="shared" si="6"/>
        <v>1.4444444444444446</v>
      </c>
      <c r="X31">
        <f t="shared" si="7"/>
        <v>100</v>
      </c>
      <c r="Y31" t="s">
        <v>80</v>
      </c>
      <c r="Z31">
        <v>449109</v>
      </c>
      <c r="AA31">
        <v>32249</v>
      </c>
      <c r="AB31">
        <v>421224</v>
      </c>
      <c r="AC31">
        <v>31237</v>
      </c>
      <c r="AD31">
        <v>78357</v>
      </c>
      <c r="AE31">
        <v>17592</v>
      </c>
      <c r="AF31">
        <v>1275883</v>
      </c>
      <c r="AG31">
        <v>111101</v>
      </c>
      <c r="AJ31">
        <f t="shared" si="11"/>
        <v>0.30434782608695654</v>
      </c>
      <c r="AK31">
        <f t="shared" si="8"/>
        <v>1.1666666666666667</v>
      </c>
      <c r="AL31">
        <f t="shared" si="9"/>
        <v>0.6</v>
      </c>
      <c r="AM31">
        <f t="shared" si="10"/>
        <v>1.2105263157894737</v>
      </c>
      <c r="AN31">
        <f t="shared" si="3"/>
        <v>0.90617848970251713</v>
      </c>
    </row>
    <row r="32" spans="1:40" x14ac:dyDescent="0.35">
      <c r="A32" t="s">
        <v>66</v>
      </c>
      <c r="B32">
        <v>1210</v>
      </c>
      <c r="C32">
        <v>550</v>
      </c>
      <c r="F32">
        <v>1210</v>
      </c>
      <c r="G32">
        <v>550</v>
      </c>
      <c r="H32">
        <v>730</v>
      </c>
      <c r="I32">
        <v>461</v>
      </c>
      <c r="L32">
        <v>730</v>
      </c>
      <c r="M32">
        <v>461</v>
      </c>
      <c r="N32">
        <v>1940</v>
      </c>
      <c r="O32">
        <v>1011</v>
      </c>
      <c r="P32">
        <v>0</v>
      </c>
      <c r="Q32">
        <v>0</v>
      </c>
      <c r="R32">
        <f t="shared" si="4"/>
        <v>0</v>
      </c>
      <c r="S32">
        <v>0</v>
      </c>
      <c r="T32">
        <v>0</v>
      </c>
      <c r="U32">
        <v>0</v>
      </c>
      <c r="V32" t="e">
        <f t="shared" si="12"/>
        <v>#DIV/0!</v>
      </c>
      <c r="W32">
        <v>0</v>
      </c>
      <c r="X32">
        <v>0</v>
      </c>
      <c r="Y32" t="s">
        <v>81</v>
      </c>
      <c r="Z32">
        <v>47917</v>
      </c>
      <c r="AA32">
        <v>14463</v>
      </c>
      <c r="AB32">
        <v>44452</v>
      </c>
      <c r="AC32">
        <v>13851</v>
      </c>
      <c r="AD32">
        <v>9019</v>
      </c>
      <c r="AE32">
        <v>5360</v>
      </c>
      <c r="AF32">
        <v>144488</v>
      </c>
      <c r="AG32">
        <v>47365</v>
      </c>
      <c r="AJ32">
        <f t="shared" si="11"/>
        <v>0</v>
      </c>
      <c r="AK32">
        <v>0</v>
      </c>
      <c r="AL32">
        <f t="shared" si="9"/>
        <v>0</v>
      </c>
      <c r="AM32">
        <f t="shared" si="10"/>
        <v>1.6575342465753424</v>
      </c>
      <c r="AN32">
        <f t="shared" si="3"/>
        <v>1.6575342465753424</v>
      </c>
    </row>
    <row r="33" spans="1:40" x14ac:dyDescent="0.35">
      <c r="A33" t="s">
        <v>82</v>
      </c>
      <c r="B33">
        <v>7947</v>
      </c>
      <c r="C33">
        <v>2733</v>
      </c>
      <c r="D33">
        <v>17</v>
      </c>
      <c r="E33">
        <v>11</v>
      </c>
      <c r="F33">
        <v>7964</v>
      </c>
      <c r="G33">
        <v>2744</v>
      </c>
      <c r="H33">
        <v>5459</v>
      </c>
      <c r="I33">
        <v>2433</v>
      </c>
      <c r="J33">
        <v>4</v>
      </c>
      <c r="K33">
        <v>3</v>
      </c>
      <c r="L33">
        <v>5463</v>
      </c>
      <c r="M33">
        <v>2436</v>
      </c>
      <c r="N33">
        <v>13427</v>
      </c>
      <c r="O33">
        <v>5180</v>
      </c>
      <c r="P33">
        <v>2.1346059999999998E-3</v>
      </c>
      <c r="Q33">
        <v>7.3219799999999999E-4</v>
      </c>
      <c r="R33">
        <f t="shared" si="4"/>
        <v>6.2202707647274055E-3</v>
      </c>
      <c r="S33">
        <f t="shared" si="5"/>
        <v>1.3333333333333333</v>
      </c>
      <c r="T33">
        <v>4.0087459999999997E-3</v>
      </c>
      <c r="U33">
        <v>1.2315270000000001E-3</v>
      </c>
      <c r="V33">
        <f t="shared" si="12"/>
        <v>-65.698681630239946</v>
      </c>
      <c r="W33">
        <f t="shared" si="6"/>
        <v>213.35294117647058</v>
      </c>
      <c r="X33">
        <f t="shared" si="7"/>
        <v>-69.278996474209137</v>
      </c>
      <c r="Y33" t="s">
        <v>83</v>
      </c>
      <c r="Z33">
        <v>86393</v>
      </c>
      <c r="AA33">
        <v>14160</v>
      </c>
      <c r="AB33">
        <v>75318</v>
      </c>
      <c r="AC33">
        <v>13027</v>
      </c>
      <c r="AD33">
        <v>21471</v>
      </c>
      <c r="AE33">
        <v>8357</v>
      </c>
      <c r="AF33">
        <v>251923</v>
      </c>
      <c r="AG33">
        <v>48795</v>
      </c>
      <c r="AJ33">
        <f t="shared" si="11"/>
        <v>2.1346057257659468E-3</v>
      </c>
      <c r="AK33">
        <f t="shared" si="8"/>
        <v>1.5454545454545454</v>
      </c>
      <c r="AL33">
        <f t="shared" si="9"/>
        <v>1.2315270935960591E-3</v>
      </c>
      <c r="AM33">
        <f t="shared" si="10"/>
        <v>1.4578070657148088</v>
      </c>
      <c r="AN33">
        <f t="shared" si="3"/>
        <v>1.4556724599890429</v>
      </c>
    </row>
    <row r="34" spans="1:40" x14ac:dyDescent="0.35">
      <c r="A34" t="s">
        <v>84</v>
      </c>
      <c r="B34">
        <v>110487</v>
      </c>
      <c r="C34">
        <v>22164</v>
      </c>
      <c r="D34">
        <v>107</v>
      </c>
      <c r="E34">
        <v>47</v>
      </c>
      <c r="F34">
        <v>110594</v>
      </c>
      <c r="G34">
        <v>22211</v>
      </c>
      <c r="H34">
        <v>88177</v>
      </c>
      <c r="I34">
        <v>21092</v>
      </c>
      <c r="J34">
        <v>94</v>
      </c>
      <c r="K34">
        <v>36</v>
      </c>
      <c r="L34">
        <v>88271</v>
      </c>
      <c r="M34">
        <v>21128</v>
      </c>
      <c r="N34">
        <v>198865</v>
      </c>
      <c r="O34">
        <v>43339</v>
      </c>
      <c r="P34">
        <v>9.6750299999999998E-4</v>
      </c>
      <c r="Q34">
        <v>1.0649019999999999E-3</v>
      </c>
      <c r="R34">
        <f t="shared" si="4"/>
        <v>4.8276484389099443E-3</v>
      </c>
      <c r="S34">
        <f t="shared" si="5"/>
        <v>2.6111111111111112</v>
      </c>
      <c r="T34">
        <v>2.1160689999999999E-3</v>
      </c>
      <c r="U34">
        <v>1.7038999999999999E-3</v>
      </c>
      <c r="V34">
        <f t="shared" si="12"/>
        <v>10.067048887703711</v>
      </c>
      <c r="W34">
        <f t="shared" si="6"/>
        <v>539.86604361370712</v>
      </c>
      <c r="X34">
        <f t="shared" si="7"/>
        <v>-19.478051046539601</v>
      </c>
      <c r="Y34" t="s">
        <v>85</v>
      </c>
      <c r="Z34">
        <v>901</v>
      </c>
      <c r="AA34">
        <v>521</v>
      </c>
      <c r="AB34">
        <v>895</v>
      </c>
      <c r="AC34">
        <v>510</v>
      </c>
      <c r="AD34">
        <v>179</v>
      </c>
      <c r="AE34">
        <v>140</v>
      </c>
      <c r="AF34">
        <v>2859</v>
      </c>
      <c r="AG34">
        <v>1707</v>
      </c>
      <c r="AJ34">
        <f t="shared" si="11"/>
        <v>9.6750275783496391E-4</v>
      </c>
      <c r="AK34">
        <f t="shared" si="8"/>
        <v>2.2765957446808511</v>
      </c>
      <c r="AL34">
        <f t="shared" si="9"/>
        <v>1.7039000378644452E-3</v>
      </c>
      <c r="AM34">
        <f t="shared" si="10"/>
        <v>1.2528916631736358</v>
      </c>
      <c r="AN34">
        <f t="shared" si="3"/>
        <v>1.2519241604158009</v>
      </c>
    </row>
    <row r="35" spans="1:40" x14ac:dyDescent="0.35">
      <c r="A35" t="s">
        <v>86</v>
      </c>
      <c r="B35">
        <v>3017</v>
      </c>
      <c r="C35">
        <v>1244</v>
      </c>
      <c r="D35">
        <v>731</v>
      </c>
      <c r="E35">
        <v>454</v>
      </c>
      <c r="F35">
        <v>3776</v>
      </c>
      <c r="G35">
        <v>1717</v>
      </c>
      <c r="H35">
        <v>2282</v>
      </c>
      <c r="I35">
        <v>1219</v>
      </c>
      <c r="J35">
        <v>716</v>
      </c>
      <c r="K35">
        <v>473</v>
      </c>
      <c r="L35">
        <v>3025</v>
      </c>
      <c r="M35">
        <v>1712</v>
      </c>
      <c r="N35">
        <v>6801</v>
      </c>
      <c r="O35">
        <v>3429</v>
      </c>
      <c r="P35">
        <v>0.201006356</v>
      </c>
      <c r="Q35">
        <v>0.24561983500000001</v>
      </c>
      <c r="R35">
        <f t="shared" si="4"/>
        <v>0.58762057877813501</v>
      </c>
      <c r="S35">
        <f t="shared" si="5"/>
        <v>1.5137420718816068</v>
      </c>
      <c r="T35">
        <v>0.275480489</v>
      </c>
      <c r="U35">
        <v>0.28796728999999999</v>
      </c>
      <c r="V35">
        <f t="shared" si="12"/>
        <v>22.195058846795867</v>
      </c>
      <c r="W35">
        <f t="shared" si="6"/>
        <v>1.5760535395632269</v>
      </c>
      <c r="X35">
        <f t="shared" si="7"/>
        <v>4.5327351658650539</v>
      </c>
      <c r="Y35" t="s">
        <v>87</v>
      </c>
      <c r="Z35">
        <v>24056</v>
      </c>
      <c r="AA35">
        <v>7583</v>
      </c>
      <c r="AB35">
        <v>21291</v>
      </c>
      <c r="AC35">
        <v>6875</v>
      </c>
      <c r="AD35">
        <v>4219</v>
      </c>
      <c r="AE35">
        <v>2687</v>
      </c>
      <c r="AF35">
        <v>68750</v>
      </c>
      <c r="AG35">
        <v>23914</v>
      </c>
      <c r="AJ35">
        <f t="shared" si="11"/>
        <v>0.19503735325506938</v>
      </c>
      <c r="AK35">
        <f t="shared" si="8"/>
        <v>1.6101321585903083</v>
      </c>
      <c r="AL35">
        <f t="shared" si="9"/>
        <v>0.27955082742316784</v>
      </c>
      <c r="AM35">
        <f t="shared" si="10"/>
        <v>1.2482644628099173</v>
      </c>
      <c r="AN35">
        <f t="shared" si="3"/>
        <v>1.053227109554848</v>
      </c>
    </row>
    <row r="36" spans="1:40" x14ac:dyDescent="0.35">
      <c r="A36" t="s">
        <v>398</v>
      </c>
      <c r="B36">
        <v>3017</v>
      </c>
      <c r="C36">
        <v>1244</v>
      </c>
      <c r="D36">
        <v>28</v>
      </c>
      <c r="E36">
        <v>19</v>
      </c>
      <c r="F36">
        <v>3776</v>
      </c>
      <c r="G36">
        <v>1717</v>
      </c>
      <c r="H36">
        <v>2282</v>
      </c>
      <c r="I36">
        <v>1219</v>
      </c>
      <c r="J36">
        <v>27</v>
      </c>
      <c r="K36">
        <v>20</v>
      </c>
      <c r="L36">
        <v>3025</v>
      </c>
      <c r="M36">
        <v>1712</v>
      </c>
      <c r="N36">
        <v>6801</v>
      </c>
      <c r="O36">
        <v>3429</v>
      </c>
      <c r="P36">
        <v>0.201006356</v>
      </c>
      <c r="Q36">
        <v>0.24561983500000001</v>
      </c>
      <c r="R36">
        <v>0.61012861736334401</v>
      </c>
      <c r="S36">
        <v>1.5070993914807302</v>
      </c>
      <c r="T36">
        <v>0.275480489</v>
      </c>
      <c r="U36">
        <v>0.28796728999999999</v>
      </c>
      <c r="V36">
        <v>22.195058846795867</v>
      </c>
      <c r="W36">
        <v>1.4701339169987202</v>
      </c>
      <c r="X36">
        <v>4.5327351658650539</v>
      </c>
      <c r="Y36" t="s">
        <v>87</v>
      </c>
      <c r="Z36">
        <v>24056</v>
      </c>
      <c r="AA36">
        <v>7583</v>
      </c>
      <c r="AB36">
        <v>21291</v>
      </c>
      <c r="AC36">
        <v>6875</v>
      </c>
      <c r="AD36">
        <v>4219</v>
      </c>
      <c r="AE36">
        <v>2687</v>
      </c>
      <c r="AF36">
        <v>68750</v>
      </c>
      <c r="AG36">
        <v>23914</v>
      </c>
    </row>
    <row r="37" spans="1:40" x14ac:dyDescent="0.35">
      <c r="A37" t="s">
        <v>88</v>
      </c>
      <c r="B37">
        <v>24738</v>
      </c>
      <c r="C37">
        <v>8076</v>
      </c>
      <c r="D37">
        <v>2</v>
      </c>
      <c r="E37">
        <v>2</v>
      </c>
      <c r="F37">
        <v>24740</v>
      </c>
      <c r="G37">
        <v>8078</v>
      </c>
      <c r="H37">
        <v>23948</v>
      </c>
      <c r="I37">
        <v>7939</v>
      </c>
      <c r="L37">
        <v>23948</v>
      </c>
      <c r="M37">
        <v>7939</v>
      </c>
      <c r="N37">
        <v>48688</v>
      </c>
      <c r="O37">
        <v>16017</v>
      </c>
      <c r="P37" s="1">
        <v>8.0799999999999999E-5</v>
      </c>
      <c r="Q37">
        <v>0</v>
      </c>
      <c r="R37">
        <f t="shared" si="4"/>
        <v>2.4764735017335313E-4</v>
      </c>
      <c r="S37">
        <v>0</v>
      </c>
      <c r="T37">
        <v>2.47586E-4</v>
      </c>
      <c r="U37">
        <v>0</v>
      </c>
      <c r="V37">
        <f t="shared" si="12"/>
        <v>-100</v>
      </c>
      <c r="W37">
        <f t="shared" si="6"/>
        <v>-1</v>
      </c>
      <c r="X37">
        <f t="shared" si="7"/>
        <v>-100</v>
      </c>
      <c r="Y37" t="s">
        <v>89</v>
      </c>
      <c r="Z37">
        <v>271107</v>
      </c>
      <c r="AA37">
        <v>33192</v>
      </c>
      <c r="AB37">
        <v>268305</v>
      </c>
      <c r="AC37">
        <v>32837</v>
      </c>
      <c r="AD37">
        <v>62916</v>
      </c>
      <c r="AE37">
        <v>20427</v>
      </c>
      <c r="AF37">
        <v>860015</v>
      </c>
      <c r="AG37">
        <v>119543</v>
      </c>
      <c r="AJ37">
        <f t="shared" si="11"/>
        <v>8.0840743734842367E-5</v>
      </c>
      <c r="AK37">
        <f t="shared" si="8"/>
        <v>1</v>
      </c>
      <c r="AL37">
        <f t="shared" si="9"/>
        <v>0</v>
      </c>
      <c r="AM37">
        <f t="shared" si="10"/>
        <v>1.0330716552530483</v>
      </c>
      <c r="AN37">
        <f t="shared" si="3"/>
        <v>1.0329908145093134</v>
      </c>
    </row>
    <row r="38" spans="1:40" x14ac:dyDescent="0.35">
      <c r="A38" t="s">
        <v>90</v>
      </c>
      <c r="B38">
        <v>4737</v>
      </c>
      <c r="C38">
        <v>2167</v>
      </c>
      <c r="D38">
        <v>3152</v>
      </c>
      <c r="E38">
        <v>1654</v>
      </c>
      <c r="F38">
        <v>7889</v>
      </c>
      <c r="G38">
        <v>3821</v>
      </c>
      <c r="H38">
        <v>4414</v>
      </c>
      <c r="I38">
        <v>2103</v>
      </c>
      <c r="J38">
        <v>3439</v>
      </c>
      <c r="K38">
        <v>1730</v>
      </c>
      <c r="L38">
        <v>7853</v>
      </c>
      <c r="M38">
        <v>3833</v>
      </c>
      <c r="N38">
        <v>15742</v>
      </c>
      <c r="O38">
        <v>7654</v>
      </c>
      <c r="P38">
        <v>0.39954366800000002</v>
      </c>
      <c r="Q38">
        <v>0.43792181299999999</v>
      </c>
      <c r="R38">
        <f t="shared" si="4"/>
        <v>1.4545454545454546</v>
      </c>
      <c r="S38">
        <f t="shared" si="5"/>
        <v>1.9878612716763007</v>
      </c>
      <c r="T38">
        <v>0.43287097600000002</v>
      </c>
      <c r="U38">
        <v>0.45134359499999999</v>
      </c>
      <c r="V38">
        <f t="shared" si="12"/>
        <v>9.6054944862747682</v>
      </c>
      <c r="W38">
        <f t="shared" si="6"/>
        <v>0.36665462427745665</v>
      </c>
      <c r="X38">
        <f t="shared" si="7"/>
        <v>4.2674653705588206</v>
      </c>
      <c r="Y38" t="s">
        <v>91</v>
      </c>
      <c r="Z38">
        <v>279456</v>
      </c>
      <c r="AA38">
        <v>37548</v>
      </c>
      <c r="AB38">
        <v>242234</v>
      </c>
      <c r="AC38">
        <v>34883</v>
      </c>
      <c r="AD38">
        <v>64342</v>
      </c>
      <c r="AE38">
        <v>21281</v>
      </c>
      <c r="AF38">
        <v>805344</v>
      </c>
      <c r="AG38">
        <v>128664</v>
      </c>
      <c r="AJ38">
        <f t="shared" si="11"/>
        <v>0.39954366839903666</v>
      </c>
      <c r="AK38">
        <f t="shared" si="8"/>
        <v>1.905683192261185</v>
      </c>
      <c r="AL38">
        <f t="shared" si="9"/>
        <v>0.45134359509522565</v>
      </c>
      <c r="AM38">
        <f t="shared" si="10"/>
        <v>1.0045842353240799</v>
      </c>
      <c r="AN38">
        <f t="shared" si="3"/>
        <v>0.60504056692504327</v>
      </c>
    </row>
    <row r="39" spans="1:40" x14ac:dyDescent="0.35">
      <c r="A39" t="s">
        <v>92</v>
      </c>
      <c r="B39">
        <v>2263</v>
      </c>
      <c r="C39">
        <v>1137</v>
      </c>
      <c r="D39">
        <v>40</v>
      </c>
      <c r="E39">
        <v>20</v>
      </c>
      <c r="F39">
        <v>2303</v>
      </c>
      <c r="G39">
        <v>1157</v>
      </c>
      <c r="H39">
        <v>2584</v>
      </c>
      <c r="I39">
        <v>1237</v>
      </c>
      <c r="J39">
        <v>22</v>
      </c>
      <c r="K39">
        <v>19</v>
      </c>
      <c r="L39">
        <v>2606</v>
      </c>
      <c r="M39">
        <v>1256</v>
      </c>
      <c r="N39">
        <v>4909</v>
      </c>
      <c r="O39">
        <v>2413</v>
      </c>
      <c r="P39">
        <v>1.7368649999999999E-2</v>
      </c>
      <c r="Q39">
        <v>8.4420569999999993E-3</v>
      </c>
      <c r="R39">
        <f t="shared" si="4"/>
        <v>3.518029903254178E-2</v>
      </c>
      <c r="S39">
        <f t="shared" si="5"/>
        <v>1.1578947368421053</v>
      </c>
      <c r="T39">
        <v>1.7286085E-2</v>
      </c>
      <c r="U39">
        <v>1.5127389E-2</v>
      </c>
      <c r="V39">
        <f t="shared" si="12"/>
        <v>-51.394857976872132</v>
      </c>
      <c r="W39">
        <f t="shared" si="6"/>
        <v>31.913157894736841</v>
      </c>
      <c r="X39">
        <f t="shared" si="7"/>
        <v>-12.488056144581028</v>
      </c>
      <c r="Y39" t="s">
        <v>93</v>
      </c>
      <c r="Z39">
        <v>76150</v>
      </c>
      <c r="AA39">
        <v>17223</v>
      </c>
      <c r="AB39">
        <v>73530</v>
      </c>
      <c r="AC39">
        <v>16995</v>
      </c>
      <c r="AD39">
        <v>18418</v>
      </c>
      <c r="AE39">
        <v>8214</v>
      </c>
      <c r="AF39">
        <v>234007</v>
      </c>
      <c r="AG39">
        <v>58961</v>
      </c>
      <c r="AJ39">
        <f t="shared" si="11"/>
        <v>1.7368649587494574E-2</v>
      </c>
      <c r="AK39">
        <f t="shared" si="8"/>
        <v>2</v>
      </c>
      <c r="AL39">
        <f t="shared" si="9"/>
        <v>1.5127388535031847E-2</v>
      </c>
      <c r="AM39">
        <f t="shared" si="10"/>
        <v>0.88372985418265537</v>
      </c>
      <c r="AN39">
        <f t="shared" si="3"/>
        <v>0.86636120459516075</v>
      </c>
    </row>
    <row r="40" spans="1:40" x14ac:dyDescent="0.35">
      <c r="A40" t="s">
        <v>94</v>
      </c>
      <c r="B40">
        <v>11868</v>
      </c>
      <c r="C40">
        <v>3376</v>
      </c>
      <c r="D40">
        <v>185</v>
      </c>
      <c r="E40">
        <v>103</v>
      </c>
      <c r="F40">
        <v>12053</v>
      </c>
      <c r="G40">
        <v>3479</v>
      </c>
      <c r="H40">
        <v>15529</v>
      </c>
      <c r="I40">
        <v>4169</v>
      </c>
      <c r="J40">
        <v>227</v>
      </c>
      <c r="K40">
        <v>140</v>
      </c>
      <c r="L40">
        <v>15756</v>
      </c>
      <c r="M40">
        <v>4309</v>
      </c>
      <c r="N40">
        <v>27809</v>
      </c>
      <c r="O40">
        <v>7788</v>
      </c>
      <c r="P40">
        <v>1.5348875999999999E-2</v>
      </c>
      <c r="Q40">
        <v>1.440721E-2</v>
      </c>
      <c r="R40">
        <f t="shared" si="4"/>
        <v>5.479857819905213E-2</v>
      </c>
      <c r="S40">
        <f t="shared" si="5"/>
        <v>1.6214285714285714</v>
      </c>
      <c r="T40">
        <v>2.9606209000000001E-2</v>
      </c>
      <c r="U40">
        <v>3.2490137000000002E-2</v>
      </c>
      <c r="V40">
        <f t="shared" si="12"/>
        <v>-6.1350811616433631</v>
      </c>
      <c r="W40">
        <f t="shared" si="6"/>
        <v>28.588880308880309</v>
      </c>
      <c r="X40">
        <f t="shared" si="7"/>
        <v>9.7409567026970567</v>
      </c>
      <c r="Y40" t="s">
        <v>95</v>
      </c>
      <c r="Z40">
        <v>8864</v>
      </c>
      <c r="AA40">
        <v>3506</v>
      </c>
      <c r="AB40">
        <v>10863</v>
      </c>
      <c r="AC40">
        <v>4295</v>
      </c>
      <c r="AD40">
        <v>4344</v>
      </c>
      <c r="AE40">
        <v>2769</v>
      </c>
      <c r="AF40">
        <v>36912</v>
      </c>
      <c r="AG40">
        <v>15806</v>
      </c>
      <c r="AJ40">
        <f t="shared" si="11"/>
        <v>1.5348875798556375E-2</v>
      </c>
      <c r="AK40">
        <f t="shared" si="8"/>
        <v>1.796116504854369</v>
      </c>
      <c r="AL40">
        <f t="shared" si="9"/>
        <v>3.2490136922719889E-2</v>
      </c>
      <c r="AM40">
        <f t="shared" si="10"/>
        <v>0.76497842091901502</v>
      </c>
      <c r="AN40">
        <f t="shared" si="3"/>
        <v>0.74962954512045865</v>
      </c>
    </row>
    <row r="41" spans="1:40" x14ac:dyDescent="0.35">
      <c r="A41" t="s">
        <v>96</v>
      </c>
      <c r="B41">
        <v>34627</v>
      </c>
      <c r="C41">
        <v>9209</v>
      </c>
      <c r="D41">
        <v>138</v>
      </c>
      <c r="E41">
        <v>69</v>
      </c>
      <c r="F41">
        <v>34765</v>
      </c>
      <c r="G41">
        <v>9278</v>
      </c>
      <c r="H41">
        <v>26897</v>
      </c>
      <c r="I41">
        <v>8872</v>
      </c>
      <c r="J41">
        <v>184</v>
      </c>
      <c r="K41">
        <v>104</v>
      </c>
      <c r="L41">
        <v>27081</v>
      </c>
      <c r="M41">
        <v>8976</v>
      </c>
      <c r="N41">
        <v>61846</v>
      </c>
      <c r="O41">
        <v>18254</v>
      </c>
      <c r="P41">
        <v>3.9695099999999999E-3</v>
      </c>
      <c r="Q41">
        <v>6.7944320000000004E-3</v>
      </c>
      <c r="R41">
        <f t="shared" si="4"/>
        <v>1.4985340427842327E-2</v>
      </c>
      <c r="S41">
        <f t="shared" si="5"/>
        <v>1.7692307692307692</v>
      </c>
      <c r="T41">
        <v>7.4369479999999996E-3</v>
      </c>
      <c r="U41">
        <v>1.1586453E-2</v>
      </c>
      <c r="V41">
        <f t="shared" si="12"/>
        <v>71.165509093061871</v>
      </c>
      <c r="W41">
        <f t="shared" si="6"/>
        <v>117.06410256410257</v>
      </c>
      <c r="X41">
        <f t="shared" si="7"/>
        <v>55.795804945792284</v>
      </c>
      <c r="Y41" t="s">
        <v>97</v>
      </c>
      <c r="Z41">
        <v>137296</v>
      </c>
      <c r="AA41">
        <v>22260</v>
      </c>
      <c r="AB41">
        <v>103341</v>
      </c>
      <c r="AC41">
        <v>18932</v>
      </c>
      <c r="AD41">
        <v>19501</v>
      </c>
      <c r="AE41">
        <v>9101</v>
      </c>
      <c r="AF41">
        <v>342467</v>
      </c>
      <c r="AG41">
        <v>68118</v>
      </c>
      <c r="AJ41">
        <f t="shared" si="11"/>
        <v>3.9695095642168846E-3</v>
      </c>
      <c r="AK41">
        <f t="shared" si="8"/>
        <v>2</v>
      </c>
      <c r="AL41">
        <f t="shared" si="9"/>
        <v>1.1586452762923352E-2</v>
      </c>
      <c r="AM41">
        <f t="shared" si="10"/>
        <v>1.2837413684871313</v>
      </c>
      <c r="AN41">
        <f t="shared" si="3"/>
        <v>1.2797718589229143</v>
      </c>
    </row>
    <row r="42" spans="1:40" x14ac:dyDescent="0.35">
      <c r="A42" t="s">
        <v>98</v>
      </c>
      <c r="B42">
        <v>174629</v>
      </c>
      <c r="C42">
        <v>27193</v>
      </c>
      <c r="D42">
        <v>129</v>
      </c>
      <c r="E42">
        <v>96</v>
      </c>
      <c r="F42">
        <v>174758</v>
      </c>
      <c r="G42">
        <v>27289</v>
      </c>
      <c r="H42">
        <v>139846</v>
      </c>
      <c r="I42">
        <v>25825</v>
      </c>
      <c r="J42">
        <v>513</v>
      </c>
      <c r="K42">
        <v>261</v>
      </c>
      <c r="L42">
        <v>140359</v>
      </c>
      <c r="M42">
        <v>26086</v>
      </c>
      <c r="N42">
        <v>315117</v>
      </c>
      <c r="O42">
        <v>53375</v>
      </c>
      <c r="P42">
        <v>7.3816400000000003E-4</v>
      </c>
      <c r="Q42">
        <v>3.6549130000000001E-3</v>
      </c>
      <c r="R42">
        <f t="shared" si="4"/>
        <v>4.743867907181995E-3</v>
      </c>
      <c r="S42">
        <f t="shared" si="5"/>
        <v>1.9655172413793103</v>
      </c>
      <c r="T42">
        <v>3.5179009999999999E-3</v>
      </c>
      <c r="U42">
        <v>1.0005366999999999E-2</v>
      </c>
      <c r="V42">
        <f t="shared" si="12"/>
        <v>395.13563381579166</v>
      </c>
      <c r="W42">
        <f t="shared" si="6"/>
        <v>413.3279871692061</v>
      </c>
      <c r="X42">
        <f t="shared" si="7"/>
        <v>184.41297807982659</v>
      </c>
      <c r="Y42" t="s">
        <v>99</v>
      </c>
      <c r="Z42">
        <v>86393</v>
      </c>
      <c r="AA42">
        <v>14160</v>
      </c>
      <c r="AB42">
        <v>75318</v>
      </c>
      <c r="AC42">
        <v>13027</v>
      </c>
      <c r="AD42">
        <v>21471</v>
      </c>
      <c r="AE42">
        <v>8357</v>
      </c>
      <c r="AF42">
        <v>251923</v>
      </c>
      <c r="AG42">
        <v>48795</v>
      </c>
      <c r="AJ42">
        <f t="shared" si="11"/>
        <v>7.381636319939574E-4</v>
      </c>
      <c r="AK42">
        <f t="shared" si="8"/>
        <v>1.34375</v>
      </c>
      <c r="AL42">
        <f t="shared" si="9"/>
        <v>1.0005366863451659E-2</v>
      </c>
      <c r="AM42">
        <f t="shared" si="10"/>
        <v>1.2450786910707543</v>
      </c>
      <c r="AN42">
        <f t="shared" si="3"/>
        <v>1.2443405274387604</v>
      </c>
    </row>
    <row r="43" spans="1:40" x14ac:dyDescent="0.35">
      <c r="A43" t="s">
        <v>100</v>
      </c>
      <c r="B43">
        <v>5200</v>
      </c>
      <c r="C43">
        <v>2277</v>
      </c>
      <c r="D43">
        <v>286</v>
      </c>
      <c r="E43">
        <v>166</v>
      </c>
      <c r="F43">
        <v>5486</v>
      </c>
      <c r="G43">
        <v>2443</v>
      </c>
      <c r="H43">
        <v>4984</v>
      </c>
      <c r="I43">
        <v>2288</v>
      </c>
      <c r="J43">
        <v>296</v>
      </c>
      <c r="K43">
        <v>172</v>
      </c>
      <c r="L43">
        <v>5280</v>
      </c>
      <c r="M43">
        <v>2460</v>
      </c>
      <c r="N43">
        <v>10766</v>
      </c>
      <c r="O43">
        <v>4903</v>
      </c>
      <c r="P43">
        <v>5.2132700999999997E-2</v>
      </c>
      <c r="Q43">
        <v>5.6060605999999999E-2</v>
      </c>
      <c r="R43">
        <f t="shared" si="4"/>
        <v>0.12560386473429952</v>
      </c>
      <c r="S43">
        <f t="shared" si="5"/>
        <v>1.7209302325581395</v>
      </c>
      <c r="T43">
        <v>6.7949243000000006E-2</v>
      </c>
      <c r="U43">
        <v>6.9918699000000001E-2</v>
      </c>
      <c r="V43">
        <f t="shared" si="12"/>
        <v>7.5344360155058965</v>
      </c>
      <c r="W43">
        <f t="shared" si="6"/>
        <v>12.701252236135957</v>
      </c>
      <c r="X43">
        <f t="shared" si="7"/>
        <v>2.8984222826441197</v>
      </c>
      <c r="Y43" t="s">
        <v>101</v>
      </c>
      <c r="Z43">
        <v>2548</v>
      </c>
      <c r="AA43">
        <v>1033</v>
      </c>
      <c r="AB43">
        <v>3150</v>
      </c>
      <c r="AC43">
        <v>1195</v>
      </c>
      <c r="AD43">
        <v>1104</v>
      </c>
      <c r="AE43">
        <v>686</v>
      </c>
      <c r="AF43">
        <v>10824</v>
      </c>
      <c r="AG43">
        <v>4354</v>
      </c>
      <c r="AJ43">
        <f t="shared" si="11"/>
        <v>5.2132701421800945E-2</v>
      </c>
      <c r="AK43">
        <f t="shared" si="8"/>
        <v>1.7228915662650603</v>
      </c>
      <c r="AL43">
        <f t="shared" si="9"/>
        <v>6.9918699186991867E-2</v>
      </c>
      <c r="AM43">
        <f t="shared" si="10"/>
        <v>1.0390151515151516</v>
      </c>
      <c r="AN43">
        <f t="shared" si="3"/>
        <v>0.98688245009335063</v>
      </c>
    </row>
    <row r="44" spans="1:40" x14ac:dyDescent="0.35">
      <c r="A44" t="s">
        <v>102</v>
      </c>
      <c r="B44">
        <v>29827</v>
      </c>
      <c r="C44">
        <v>7528</v>
      </c>
      <c r="D44">
        <v>76</v>
      </c>
      <c r="E44">
        <v>40</v>
      </c>
      <c r="F44">
        <v>29903</v>
      </c>
      <c r="G44">
        <v>7568</v>
      </c>
      <c r="H44">
        <v>25562</v>
      </c>
      <c r="I44">
        <v>7021</v>
      </c>
      <c r="J44">
        <v>62</v>
      </c>
      <c r="K44">
        <v>33</v>
      </c>
      <c r="L44">
        <v>25624</v>
      </c>
      <c r="M44">
        <v>7054</v>
      </c>
      <c r="N44">
        <v>55527</v>
      </c>
      <c r="O44">
        <v>14622</v>
      </c>
      <c r="P44">
        <v>2.541551E-3</v>
      </c>
      <c r="Q44">
        <v>2.4196069999999998E-3</v>
      </c>
      <c r="R44">
        <f t="shared" si="4"/>
        <v>1.0095642933049946E-2</v>
      </c>
      <c r="S44">
        <f t="shared" si="5"/>
        <v>1.8787878787878789</v>
      </c>
      <c r="T44">
        <v>5.2854119999999997E-3</v>
      </c>
      <c r="U44">
        <v>4.6781970000000003E-3</v>
      </c>
      <c r="V44">
        <f t="shared" si="12"/>
        <v>-4.7980150703251674</v>
      </c>
      <c r="W44">
        <f t="shared" si="6"/>
        <v>185.09888357256781</v>
      </c>
      <c r="X44">
        <f t="shared" si="7"/>
        <v>-11.488508369830008</v>
      </c>
      <c r="Y44" t="s">
        <v>103</v>
      </c>
      <c r="Z44">
        <v>167858</v>
      </c>
      <c r="AA44">
        <v>28832</v>
      </c>
      <c r="AB44">
        <v>148919</v>
      </c>
      <c r="AC44">
        <v>27086</v>
      </c>
      <c r="AD44">
        <v>38368</v>
      </c>
      <c r="AE44">
        <v>15310</v>
      </c>
      <c r="AF44">
        <v>482927</v>
      </c>
      <c r="AG44">
        <v>98247</v>
      </c>
      <c r="AJ44">
        <f t="shared" si="11"/>
        <v>2.5415510149483329E-3</v>
      </c>
      <c r="AK44">
        <f t="shared" si="8"/>
        <v>1.9</v>
      </c>
      <c r="AL44">
        <f t="shared" si="9"/>
        <v>4.6781967677913244E-3</v>
      </c>
      <c r="AM44">
        <f t="shared" si="10"/>
        <v>1.1669918826100532</v>
      </c>
      <c r="AN44">
        <f t="shared" si="3"/>
        <v>1.1644503315951049</v>
      </c>
    </row>
    <row r="45" spans="1:40" x14ac:dyDescent="0.35">
      <c r="A45" t="s">
        <v>104</v>
      </c>
      <c r="B45">
        <v>850</v>
      </c>
      <c r="C45">
        <v>482</v>
      </c>
      <c r="D45">
        <v>45</v>
      </c>
      <c r="E45">
        <v>37</v>
      </c>
      <c r="F45">
        <v>895</v>
      </c>
      <c r="G45">
        <v>519</v>
      </c>
      <c r="H45">
        <v>839</v>
      </c>
      <c r="I45">
        <v>509</v>
      </c>
      <c r="J45">
        <v>45</v>
      </c>
      <c r="K45">
        <v>38</v>
      </c>
      <c r="L45">
        <v>884</v>
      </c>
      <c r="M45">
        <v>547</v>
      </c>
      <c r="N45">
        <v>1779</v>
      </c>
      <c r="O45">
        <v>1066</v>
      </c>
      <c r="P45">
        <v>5.0279329999999997E-2</v>
      </c>
      <c r="Q45">
        <v>5.0904976999999997E-2</v>
      </c>
      <c r="R45">
        <f t="shared" si="4"/>
        <v>9.3360995850622408E-2</v>
      </c>
      <c r="S45">
        <f t="shared" si="5"/>
        <v>1.1842105263157894</v>
      </c>
      <c r="T45">
        <v>7.1290943999999995E-2</v>
      </c>
      <c r="U45">
        <v>6.9469834999999994E-2</v>
      </c>
      <c r="V45">
        <f t="shared" si="12"/>
        <v>1.2443423569884482</v>
      </c>
      <c r="W45">
        <f t="shared" si="6"/>
        <v>11.684210526315788</v>
      </c>
      <c r="X45">
        <f t="shared" si="7"/>
        <v>-2.5544745206347641</v>
      </c>
      <c r="Y45" t="s">
        <v>105</v>
      </c>
      <c r="Z45">
        <v>94648</v>
      </c>
      <c r="AA45">
        <v>21950</v>
      </c>
      <c r="AB45">
        <v>81441</v>
      </c>
      <c r="AC45">
        <v>19989</v>
      </c>
      <c r="AD45">
        <v>16857</v>
      </c>
      <c r="AE45">
        <v>9297</v>
      </c>
      <c r="AF45">
        <v>265993</v>
      </c>
      <c r="AG45">
        <v>70614</v>
      </c>
      <c r="AJ45">
        <f t="shared" si="11"/>
        <v>5.027932960893855E-2</v>
      </c>
      <c r="AK45">
        <f t="shared" si="8"/>
        <v>1.2162162162162162</v>
      </c>
      <c r="AL45">
        <f t="shared" si="9"/>
        <v>6.9469835466179158E-2</v>
      </c>
      <c r="AM45">
        <f t="shared" si="10"/>
        <v>1.0124434389140271</v>
      </c>
      <c r="AN45">
        <f t="shared" si="3"/>
        <v>0.96216410930508856</v>
      </c>
    </row>
    <row r="46" spans="1:40" x14ac:dyDescent="0.35">
      <c r="A46" t="s">
        <v>106</v>
      </c>
      <c r="B46">
        <v>1549</v>
      </c>
      <c r="C46">
        <v>841</v>
      </c>
      <c r="D46">
        <v>11</v>
      </c>
      <c r="E46">
        <v>11</v>
      </c>
      <c r="F46">
        <v>1560</v>
      </c>
      <c r="G46">
        <v>852</v>
      </c>
      <c r="H46">
        <v>1432</v>
      </c>
      <c r="I46">
        <v>848</v>
      </c>
      <c r="J46">
        <v>9</v>
      </c>
      <c r="K46">
        <v>7</v>
      </c>
      <c r="L46">
        <v>1441</v>
      </c>
      <c r="M46">
        <v>855</v>
      </c>
      <c r="N46">
        <v>3001</v>
      </c>
      <c r="O46">
        <v>1707</v>
      </c>
      <c r="P46">
        <v>7.0512819999999999E-3</v>
      </c>
      <c r="Q46">
        <v>6.2456630000000003E-3</v>
      </c>
      <c r="R46">
        <f t="shared" si="4"/>
        <v>1.3079667063020214E-2</v>
      </c>
      <c r="S46">
        <f t="shared" si="5"/>
        <v>1.2857142857142858</v>
      </c>
      <c r="T46">
        <v>1.2910797999999999E-2</v>
      </c>
      <c r="U46">
        <v>8.1871349999999999E-3</v>
      </c>
      <c r="V46">
        <f t="shared" si="12"/>
        <v>-11.425142264910114</v>
      </c>
      <c r="W46">
        <f t="shared" si="6"/>
        <v>97.298701298701303</v>
      </c>
      <c r="X46">
        <f t="shared" si="7"/>
        <v>-36.586917400458127</v>
      </c>
      <c r="Y46" t="s">
        <v>107</v>
      </c>
      <c r="Z46">
        <v>124499</v>
      </c>
      <c r="AA46">
        <v>23813</v>
      </c>
      <c r="AB46">
        <v>111697</v>
      </c>
      <c r="AC46">
        <v>22371</v>
      </c>
      <c r="AD46">
        <v>23021</v>
      </c>
      <c r="AE46">
        <v>10255</v>
      </c>
      <c r="AF46">
        <v>348455</v>
      </c>
      <c r="AG46">
        <v>77734</v>
      </c>
      <c r="AJ46">
        <f t="shared" si="11"/>
        <v>7.0512820512820514E-3</v>
      </c>
      <c r="AK46">
        <f t="shared" si="8"/>
        <v>1</v>
      </c>
      <c r="AL46">
        <f t="shared" si="9"/>
        <v>8.1871345029239772E-3</v>
      </c>
      <c r="AM46">
        <f t="shared" si="10"/>
        <v>1.0825815405968078</v>
      </c>
      <c r="AN46">
        <f t="shared" si="3"/>
        <v>1.0755302585455258</v>
      </c>
    </row>
    <row r="47" spans="1:40" x14ac:dyDescent="0.35">
      <c r="A47" t="s">
        <v>108</v>
      </c>
      <c r="B47">
        <v>6287</v>
      </c>
      <c r="C47">
        <v>2654</v>
      </c>
      <c r="D47">
        <v>652</v>
      </c>
      <c r="E47">
        <v>381</v>
      </c>
      <c r="F47">
        <v>6939</v>
      </c>
      <c r="G47">
        <v>3035</v>
      </c>
      <c r="H47">
        <v>5569</v>
      </c>
      <c r="I47">
        <v>2560</v>
      </c>
      <c r="J47">
        <v>716</v>
      </c>
      <c r="K47">
        <v>445</v>
      </c>
      <c r="L47">
        <v>6285</v>
      </c>
      <c r="M47">
        <v>3005</v>
      </c>
      <c r="N47">
        <v>13224</v>
      </c>
      <c r="O47">
        <v>6040</v>
      </c>
      <c r="P47">
        <v>9.3961665999999999E-2</v>
      </c>
      <c r="Q47">
        <v>0.113922037</v>
      </c>
      <c r="R47">
        <f t="shared" si="4"/>
        <v>0.24566691785983422</v>
      </c>
      <c r="S47">
        <f t="shared" si="5"/>
        <v>1.6089887640449438</v>
      </c>
      <c r="T47">
        <v>0.12553542000000001</v>
      </c>
      <c r="U47">
        <v>0.148086522</v>
      </c>
      <c r="V47">
        <f t="shared" si="12"/>
        <v>21.243100351158105</v>
      </c>
      <c r="W47">
        <f t="shared" si="6"/>
        <v>5.5494726683669953</v>
      </c>
      <c r="X47">
        <f t="shared" si="7"/>
        <v>17.96393559682199</v>
      </c>
      <c r="Y47" t="s">
        <v>109</v>
      </c>
      <c r="Z47">
        <v>25805</v>
      </c>
      <c r="AA47">
        <v>5033</v>
      </c>
      <c r="AB47">
        <v>24907</v>
      </c>
      <c r="AC47">
        <v>4872</v>
      </c>
      <c r="AD47">
        <v>8327</v>
      </c>
      <c r="AE47">
        <v>2892</v>
      </c>
      <c r="AF47">
        <v>83734</v>
      </c>
      <c r="AG47">
        <v>17857</v>
      </c>
      <c r="AJ47">
        <f t="shared" si="11"/>
        <v>9.3961665946101738E-2</v>
      </c>
      <c r="AK47">
        <f t="shared" si="8"/>
        <v>1.7112860892388451</v>
      </c>
      <c r="AL47">
        <f t="shared" si="9"/>
        <v>0.1480865224625624</v>
      </c>
      <c r="AM47">
        <f t="shared" si="10"/>
        <v>1.1040572792362768</v>
      </c>
      <c r="AN47">
        <f t="shared" si="3"/>
        <v>1.0100956132901751</v>
      </c>
    </row>
    <row r="48" spans="1:40" x14ac:dyDescent="0.35">
      <c r="A48" t="s">
        <v>110</v>
      </c>
      <c r="B48">
        <v>2718</v>
      </c>
      <c r="C48">
        <v>1511</v>
      </c>
      <c r="D48">
        <v>548</v>
      </c>
      <c r="E48">
        <v>275</v>
      </c>
      <c r="F48">
        <v>3266</v>
      </c>
      <c r="G48">
        <v>1786</v>
      </c>
      <c r="H48">
        <v>1622</v>
      </c>
      <c r="I48">
        <v>1043</v>
      </c>
      <c r="J48">
        <v>406</v>
      </c>
      <c r="K48">
        <v>212</v>
      </c>
      <c r="L48">
        <v>2028</v>
      </c>
      <c r="M48">
        <v>1255</v>
      </c>
      <c r="N48">
        <v>5294</v>
      </c>
      <c r="O48">
        <v>3041</v>
      </c>
      <c r="P48">
        <v>0.16778934500000001</v>
      </c>
      <c r="Q48">
        <v>0.200197239</v>
      </c>
      <c r="R48">
        <f t="shared" si="4"/>
        <v>0.3626737260092654</v>
      </c>
      <c r="S48">
        <f t="shared" si="5"/>
        <v>1.9150943396226414</v>
      </c>
      <c r="T48">
        <v>0.153975364</v>
      </c>
      <c r="U48">
        <v>0.168924303</v>
      </c>
      <c r="V48">
        <f t="shared" si="12"/>
        <v>19.314631688919228</v>
      </c>
      <c r="W48">
        <f t="shared" si="6"/>
        <v>4.2804882247624292</v>
      </c>
      <c r="X48">
        <f t="shared" si="7"/>
        <v>9.7086563796010772</v>
      </c>
      <c r="Y48" t="s">
        <v>111</v>
      </c>
      <c r="Z48">
        <v>18289</v>
      </c>
      <c r="AA48">
        <v>6240</v>
      </c>
      <c r="AB48">
        <v>16036</v>
      </c>
      <c r="AC48">
        <v>5720</v>
      </c>
      <c r="AD48">
        <v>4325</v>
      </c>
      <c r="AE48">
        <v>2514</v>
      </c>
      <c r="AF48">
        <v>52949</v>
      </c>
      <c r="AG48">
        <v>20034</v>
      </c>
      <c r="AJ48">
        <f t="shared" si="11"/>
        <v>0.1677893447642376</v>
      </c>
      <c r="AK48">
        <f t="shared" si="8"/>
        <v>1.9927272727272727</v>
      </c>
      <c r="AL48">
        <f t="shared" si="9"/>
        <v>0.16892430278884463</v>
      </c>
      <c r="AM48">
        <f t="shared" si="10"/>
        <v>1.6104536489151873</v>
      </c>
      <c r="AN48">
        <f t="shared" si="3"/>
        <v>1.4426643041509497</v>
      </c>
    </row>
    <row r="49" spans="1:40" x14ac:dyDescent="0.35">
      <c r="A49" t="s">
        <v>112</v>
      </c>
      <c r="B49">
        <v>57876</v>
      </c>
      <c r="C49">
        <v>11804</v>
      </c>
      <c r="F49">
        <v>57876</v>
      </c>
      <c r="G49">
        <v>11804</v>
      </c>
      <c r="H49">
        <v>22584</v>
      </c>
      <c r="I49">
        <v>6364</v>
      </c>
      <c r="L49">
        <v>22584</v>
      </c>
      <c r="M49">
        <v>6364</v>
      </c>
      <c r="N49">
        <v>80460</v>
      </c>
      <c r="O49">
        <v>18168</v>
      </c>
      <c r="P49">
        <v>0</v>
      </c>
      <c r="Q49">
        <v>0</v>
      </c>
      <c r="R49">
        <f t="shared" si="4"/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113</v>
      </c>
      <c r="Z49">
        <v>88694</v>
      </c>
      <c r="AA49">
        <v>17306</v>
      </c>
      <c r="AB49">
        <v>81203</v>
      </c>
      <c r="AC49">
        <v>16181</v>
      </c>
      <c r="AD49">
        <v>24232</v>
      </c>
      <c r="AE49">
        <v>10201</v>
      </c>
      <c r="AF49">
        <v>268210</v>
      </c>
      <c r="AG49">
        <v>60227</v>
      </c>
      <c r="AJ49">
        <f t="shared" si="11"/>
        <v>0</v>
      </c>
      <c r="AK49">
        <v>0</v>
      </c>
      <c r="AL49">
        <f t="shared" si="9"/>
        <v>0</v>
      </c>
      <c r="AM49">
        <f t="shared" si="10"/>
        <v>2.5626992561105206</v>
      </c>
      <c r="AN49">
        <f t="shared" si="3"/>
        <v>2.5626992561105206</v>
      </c>
    </row>
    <row r="50" spans="1:40" x14ac:dyDescent="0.35">
      <c r="A50" t="s">
        <v>114</v>
      </c>
      <c r="B50">
        <v>138032</v>
      </c>
      <c r="C50">
        <v>25122</v>
      </c>
      <c r="D50">
        <v>4327</v>
      </c>
      <c r="E50">
        <v>1467</v>
      </c>
      <c r="F50">
        <v>142359</v>
      </c>
      <c r="G50">
        <v>26589</v>
      </c>
      <c r="H50">
        <v>126954</v>
      </c>
      <c r="I50">
        <v>25104</v>
      </c>
      <c r="J50">
        <v>4018</v>
      </c>
      <c r="K50">
        <v>1350</v>
      </c>
      <c r="L50">
        <v>130972</v>
      </c>
      <c r="M50">
        <v>26454</v>
      </c>
      <c r="N50">
        <v>273331</v>
      </c>
      <c r="O50">
        <v>53043</v>
      </c>
      <c r="P50">
        <v>3.0394986999999998E-2</v>
      </c>
      <c r="Q50">
        <v>3.0678312999999999E-2</v>
      </c>
      <c r="R50">
        <f t="shared" si="4"/>
        <v>0.17223947137966722</v>
      </c>
      <c r="S50">
        <f t="shared" si="5"/>
        <v>2.9762962962962964</v>
      </c>
      <c r="T50">
        <v>5.5173192000000003E-2</v>
      </c>
      <c r="U50">
        <v>5.1031979999999998E-2</v>
      </c>
      <c r="V50">
        <f t="shared" si="12"/>
        <v>0.93214713334142107</v>
      </c>
      <c r="W50">
        <f t="shared" si="6"/>
        <v>16.279989728577664</v>
      </c>
      <c r="X50">
        <f t="shared" si="7"/>
        <v>-7.5058408801144001</v>
      </c>
      <c r="Y50" t="s">
        <v>115</v>
      </c>
      <c r="Z50">
        <v>12671</v>
      </c>
      <c r="AA50">
        <v>5443</v>
      </c>
      <c r="AB50">
        <v>14296</v>
      </c>
      <c r="AC50">
        <v>5982</v>
      </c>
      <c r="AD50">
        <v>4482</v>
      </c>
      <c r="AE50">
        <v>2875</v>
      </c>
      <c r="AF50">
        <v>48456</v>
      </c>
      <c r="AG50">
        <v>20994</v>
      </c>
      <c r="AJ50">
        <f t="shared" si="11"/>
        <v>3.0394987320787586E-2</v>
      </c>
      <c r="AK50">
        <f t="shared" si="8"/>
        <v>2.9495569188820721</v>
      </c>
      <c r="AL50">
        <f t="shared" si="9"/>
        <v>5.1031980040825584E-2</v>
      </c>
      <c r="AM50">
        <f t="shared" si="10"/>
        <v>1.0869422471978742</v>
      </c>
      <c r="AN50">
        <f t="shared" si="3"/>
        <v>1.0565472598770866</v>
      </c>
    </row>
    <row r="51" spans="1:40" x14ac:dyDescent="0.35">
      <c r="A51" t="s">
        <v>116</v>
      </c>
      <c r="B51">
        <v>7893</v>
      </c>
      <c r="C51">
        <v>2525</v>
      </c>
      <c r="D51">
        <v>341</v>
      </c>
      <c r="E51">
        <v>178</v>
      </c>
      <c r="F51">
        <v>8234</v>
      </c>
      <c r="G51">
        <v>2703</v>
      </c>
      <c r="H51">
        <v>7723</v>
      </c>
      <c r="I51">
        <v>2565</v>
      </c>
      <c r="J51">
        <v>385</v>
      </c>
      <c r="K51">
        <v>182</v>
      </c>
      <c r="L51">
        <v>8108</v>
      </c>
      <c r="M51">
        <v>2747</v>
      </c>
      <c r="N51">
        <v>16342</v>
      </c>
      <c r="O51">
        <v>5450</v>
      </c>
      <c r="P51">
        <v>4.1413651000000003E-2</v>
      </c>
      <c r="Q51">
        <v>4.7483966000000002E-2</v>
      </c>
      <c r="R51">
        <f t="shared" si="4"/>
        <v>0.13504950495049506</v>
      </c>
      <c r="S51">
        <f t="shared" si="5"/>
        <v>2.1153846153846154</v>
      </c>
      <c r="T51">
        <v>6.5852755999999998E-2</v>
      </c>
      <c r="U51">
        <v>6.6254094999999999E-2</v>
      </c>
      <c r="V51">
        <f t="shared" si="12"/>
        <v>14.6577634509935</v>
      </c>
      <c r="W51">
        <f t="shared" si="6"/>
        <v>14.663771712158809</v>
      </c>
      <c r="X51">
        <f t="shared" si="7"/>
        <v>0.60944905631588053</v>
      </c>
      <c r="Y51" t="s">
        <v>117</v>
      </c>
      <c r="Z51">
        <v>272244</v>
      </c>
      <c r="AA51">
        <v>33247</v>
      </c>
      <c r="AB51">
        <v>269371</v>
      </c>
      <c r="AC51">
        <v>32895</v>
      </c>
      <c r="AD51">
        <v>63072</v>
      </c>
      <c r="AE51">
        <v>20463</v>
      </c>
      <c r="AF51">
        <v>863168</v>
      </c>
      <c r="AG51">
        <v>119737</v>
      </c>
      <c r="AJ51">
        <f t="shared" si="11"/>
        <v>4.141365071654117E-2</v>
      </c>
      <c r="AK51">
        <f t="shared" si="8"/>
        <v>1.9157303370786516</v>
      </c>
      <c r="AL51">
        <f t="shared" si="9"/>
        <v>6.6254095376774666E-2</v>
      </c>
      <c r="AM51">
        <f t="shared" si="10"/>
        <v>1.0155402072027626</v>
      </c>
      <c r="AN51">
        <f t="shared" si="3"/>
        <v>0.97412655648622148</v>
      </c>
    </row>
    <row r="52" spans="1:40" x14ac:dyDescent="0.35">
      <c r="A52" t="s">
        <v>118</v>
      </c>
      <c r="B52">
        <v>196</v>
      </c>
      <c r="C52">
        <v>92</v>
      </c>
      <c r="D52">
        <v>11</v>
      </c>
      <c r="E52">
        <v>8</v>
      </c>
      <c r="F52">
        <v>207</v>
      </c>
      <c r="G52">
        <v>100</v>
      </c>
      <c r="H52">
        <v>223</v>
      </c>
      <c r="I52">
        <v>118</v>
      </c>
      <c r="J52">
        <v>10</v>
      </c>
      <c r="K52">
        <v>9</v>
      </c>
      <c r="L52">
        <v>233</v>
      </c>
      <c r="M52">
        <v>127</v>
      </c>
      <c r="N52">
        <v>440</v>
      </c>
      <c r="O52">
        <v>227</v>
      </c>
      <c r="P52">
        <v>5.3140096999999997E-2</v>
      </c>
      <c r="Q52">
        <v>4.2918455000000001E-2</v>
      </c>
      <c r="R52">
        <f t="shared" si="4"/>
        <v>0.11956521739130435</v>
      </c>
      <c r="S52">
        <f t="shared" si="5"/>
        <v>1.1111111111111112</v>
      </c>
      <c r="T52">
        <v>0.08</v>
      </c>
      <c r="U52">
        <v>7.0866141999999993E-2</v>
      </c>
      <c r="V52">
        <f t="shared" si="12"/>
        <v>-19.235271625492135</v>
      </c>
      <c r="W52">
        <f t="shared" si="6"/>
        <v>8.2929292929292924</v>
      </c>
      <c r="X52">
        <f t="shared" si="7"/>
        <v>-11.417322500000015</v>
      </c>
      <c r="Y52" t="s">
        <v>119</v>
      </c>
      <c r="Z52">
        <v>38981</v>
      </c>
      <c r="AA52">
        <v>6537</v>
      </c>
      <c r="AB52">
        <v>32317</v>
      </c>
      <c r="AC52">
        <v>5994</v>
      </c>
      <c r="AD52">
        <v>5746</v>
      </c>
      <c r="AE52">
        <v>3071</v>
      </c>
      <c r="AF52">
        <v>101582</v>
      </c>
      <c r="AG52">
        <v>21660</v>
      </c>
      <c r="AJ52">
        <f t="shared" si="11"/>
        <v>5.3140096618357488E-2</v>
      </c>
      <c r="AK52">
        <f t="shared" si="8"/>
        <v>1.375</v>
      </c>
      <c r="AL52">
        <f t="shared" si="9"/>
        <v>7.0866141732283464E-2</v>
      </c>
      <c r="AM52">
        <f t="shared" si="10"/>
        <v>0.88841201716738194</v>
      </c>
      <c r="AN52">
        <f t="shared" si="3"/>
        <v>0.83527192054902444</v>
      </c>
    </row>
    <row r="53" spans="1:40" x14ac:dyDescent="0.35">
      <c r="A53" t="s">
        <v>120</v>
      </c>
      <c r="B53">
        <v>103311</v>
      </c>
      <c r="C53">
        <v>18926</v>
      </c>
      <c r="D53">
        <v>30</v>
      </c>
      <c r="E53">
        <v>19</v>
      </c>
      <c r="F53">
        <v>103341</v>
      </c>
      <c r="G53">
        <v>18945</v>
      </c>
      <c r="H53">
        <v>82310</v>
      </c>
      <c r="I53">
        <v>17822</v>
      </c>
      <c r="J53">
        <v>19</v>
      </c>
      <c r="K53">
        <v>10</v>
      </c>
      <c r="L53">
        <v>82329</v>
      </c>
      <c r="M53">
        <v>17832</v>
      </c>
      <c r="N53">
        <v>185670</v>
      </c>
      <c r="O53">
        <v>36777</v>
      </c>
      <c r="P53">
        <v>2.9030100000000002E-4</v>
      </c>
      <c r="Q53">
        <v>2.30781E-4</v>
      </c>
      <c r="R53">
        <f t="shared" si="4"/>
        <v>1.5851209975694812E-3</v>
      </c>
      <c r="S53">
        <f t="shared" si="5"/>
        <v>1.9</v>
      </c>
      <c r="T53">
        <v>1.0029030000000001E-3</v>
      </c>
      <c r="U53">
        <v>5.6079000000000003E-4</v>
      </c>
      <c r="V53">
        <f t="shared" si="12"/>
        <v>-20.502857379065187</v>
      </c>
      <c r="W53">
        <f t="shared" si="6"/>
        <v>1197.6466666666665</v>
      </c>
      <c r="X53">
        <f t="shared" si="7"/>
        <v>-44.083326104319163</v>
      </c>
      <c r="Y53" t="s">
        <v>121</v>
      </c>
      <c r="Z53">
        <v>7669</v>
      </c>
      <c r="AA53">
        <v>3042</v>
      </c>
      <c r="AB53">
        <v>6828</v>
      </c>
      <c r="AC53">
        <v>2579</v>
      </c>
      <c r="AD53">
        <v>1620</v>
      </c>
      <c r="AE53">
        <v>975</v>
      </c>
      <c r="AF53">
        <v>23046</v>
      </c>
      <c r="AG53">
        <v>8966</v>
      </c>
      <c r="AJ53">
        <f t="shared" si="11"/>
        <v>2.9030104218074145E-4</v>
      </c>
      <c r="AK53">
        <f t="shared" si="8"/>
        <v>1.5789473684210527</v>
      </c>
      <c r="AL53">
        <f t="shared" si="9"/>
        <v>5.6078959174517718E-4</v>
      </c>
      <c r="AM53">
        <f t="shared" si="10"/>
        <v>1.2552199103596546</v>
      </c>
      <c r="AN53">
        <f t="shared" si="3"/>
        <v>1.254929609317474</v>
      </c>
    </row>
    <row r="54" spans="1:40" x14ac:dyDescent="0.35">
      <c r="A54" t="s">
        <v>122</v>
      </c>
      <c r="B54">
        <v>509</v>
      </c>
      <c r="C54">
        <v>246</v>
      </c>
      <c r="D54">
        <v>17</v>
      </c>
      <c r="E54">
        <v>17</v>
      </c>
      <c r="F54">
        <v>526</v>
      </c>
      <c r="G54">
        <v>263</v>
      </c>
      <c r="H54">
        <v>594</v>
      </c>
      <c r="I54">
        <v>338</v>
      </c>
      <c r="J54">
        <v>17</v>
      </c>
      <c r="K54">
        <v>17</v>
      </c>
      <c r="L54">
        <v>611</v>
      </c>
      <c r="M54">
        <v>355</v>
      </c>
      <c r="N54">
        <v>1137</v>
      </c>
      <c r="O54">
        <v>618</v>
      </c>
      <c r="P54">
        <v>3.2319392000000002E-2</v>
      </c>
      <c r="Q54">
        <v>2.7823240999999999E-2</v>
      </c>
      <c r="R54">
        <f t="shared" si="4"/>
        <v>6.910569105691057E-2</v>
      </c>
      <c r="S54">
        <f t="shared" si="5"/>
        <v>1</v>
      </c>
      <c r="T54">
        <v>6.4638783000000005E-2</v>
      </c>
      <c r="U54">
        <v>4.7887324000000002E-2</v>
      </c>
      <c r="V54">
        <f t="shared" si="12"/>
        <v>-13.911619995821711</v>
      </c>
      <c r="W54">
        <f t="shared" si="6"/>
        <v>13.470588235294118</v>
      </c>
      <c r="X54">
        <f t="shared" si="7"/>
        <v>-25.915492561176467</v>
      </c>
      <c r="Y54" t="s">
        <v>123</v>
      </c>
      <c r="Z54">
        <v>4965</v>
      </c>
      <c r="AA54">
        <v>1392</v>
      </c>
      <c r="AB54">
        <v>6111</v>
      </c>
      <c r="AC54">
        <v>1455</v>
      </c>
      <c r="AD54">
        <v>1360</v>
      </c>
      <c r="AE54">
        <v>558</v>
      </c>
      <c r="AF54">
        <v>19347</v>
      </c>
      <c r="AG54">
        <v>5047</v>
      </c>
      <c r="AJ54">
        <f t="shared" si="11"/>
        <v>3.2319391634980987E-2</v>
      </c>
      <c r="AK54">
        <f t="shared" si="8"/>
        <v>1</v>
      </c>
      <c r="AL54">
        <f t="shared" si="9"/>
        <v>4.788732394366197E-2</v>
      </c>
      <c r="AM54">
        <f t="shared" si="10"/>
        <v>0.86088379705400986</v>
      </c>
      <c r="AN54">
        <f t="shared" si="3"/>
        <v>0.82856440541902887</v>
      </c>
    </row>
    <row r="55" spans="1:40" x14ac:dyDescent="0.35">
      <c r="A55" t="s">
        <v>124</v>
      </c>
      <c r="B55">
        <v>44748</v>
      </c>
      <c r="C55">
        <v>9383</v>
      </c>
      <c r="D55">
        <v>624</v>
      </c>
      <c r="E55">
        <v>224</v>
      </c>
      <c r="F55">
        <v>45372</v>
      </c>
      <c r="G55">
        <v>9607</v>
      </c>
      <c r="H55">
        <v>42605</v>
      </c>
      <c r="I55">
        <v>9961</v>
      </c>
      <c r="J55">
        <v>476</v>
      </c>
      <c r="K55">
        <v>183</v>
      </c>
      <c r="L55">
        <v>43081</v>
      </c>
      <c r="M55">
        <v>10144</v>
      </c>
      <c r="N55">
        <v>88453</v>
      </c>
      <c r="O55">
        <v>19751</v>
      </c>
      <c r="P55">
        <v>1.3752975000000001E-2</v>
      </c>
      <c r="Q55">
        <v>1.1048954E-2</v>
      </c>
      <c r="R55">
        <f t="shared" si="4"/>
        <v>6.6503250559522539E-2</v>
      </c>
      <c r="S55">
        <f t="shared" si="5"/>
        <v>2.6010928961748632</v>
      </c>
      <c r="T55">
        <v>2.3316331999999999E-2</v>
      </c>
      <c r="U55">
        <v>1.8040220999999999E-2</v>
      </c>
      <c r="V55">
        <f t="shared" si="12"/>
        <v>-19.661353270837768</v>
      </c>
      <c r="W55">
        <f t="shared" si="6"/>
        <v>38.112267058988365</v>
      </c>
      <c r="X55">
        <f t="shared" si="7"/>
        <v>-22.62839197863541</v>
      </c>
      <c r="Y55" t="s">
        <v>125</v>
      </c>
      <c r="Z55">
        <v>45739</v>
      </c>
      <c r="AA55">
        <v>12158</v>
      </c>
      <c r="AB55">
        <v>39788</v>
      </c>
      <c r="AC55">
        <v>11133</v>
      </c>
      <c r="AD55">
        <v>10892</v>
      </c>
      <c r="AE55">
        <v>5630</v>
      </c>
      <c r="AF55">
        <v>132673</v>
      </c>
      <c r="AG55">
        <v>39870</v>
      </c>
      <c r="AJ55">
        <f t="shared" si="11"/>
        <v>1.3752975403332451E-2</v>
      </c>
      <c r="AK55">
        <f t="shared" si="8"/>
        <v>2.7857142857142856</v>
      </c>
      <c r="AL55">
        <f t="shared" si="9"/>
        <v>1.8040220820189273E-2</v>
      </c>
      <c r="AM55">
        <f t="shared" si="10"/>
        <v>1.0531788955688122</v>
      </c>
      <c r="AN55">
        <f t="shared" si="3"/>
        <v>1.0394259201654796</v>
      </c>
    </row>
    <row r="56" spans="1:40" x14ac:dyDescent="0.35">
      <c r="A56" t="s">
        <v>126</v>
      </c>
      <c r="B56">
        <v>3092</v>
      </c>
      <c r="C56">
        <v>1184</v>
      </c>
      <c r="D56">
        <v>58</v>
      </c>
      <c r="E56">
        <v>31</v>
      </c>
      <c r="F56">
        <v>3150</v>
      </c>
      <c r="G56">
        <v>1215</v>
      </c>
      <c r="H56">
        <v>3972</v>
      </c>
      <c r="I56">
        <v>1429</v>
      </c>
      <c r="J56">
        <v>50</v>
      </c>
      <c r="K56">
        <v>25</v>
      </c>
      <c r="L56">
        <v>4022</v>
      </c>
      <c r="M56">
        <v>1454</v>
      </c>
      <c r="N56">
        <v>7172</v>
      </c>
      <c r="O56">
        <v>2669</v>
      </c>
      <c r="P56">
        <v>1.8412698000000002E-2</v>
      </c>
      <c r="Q56">
        <v>1.2431625999999999E-2</v>
      </c>
      <c r="R56">
        <f t="shared" si="4"/>
        <v>4.8986486486486486E-2</v>
      </c>
      <c r="S56">
        <f t="shared" si="5"/>
        <v>2</v>
      </c>
      <c r="T56">
        <v>2.5514403000000001E-2</v>
      </c>
      <c r="U56">
        <v>1.7193948000000001E-2</v>
      </c>
      <c r="V56">
        <f t="shared" si="12"/>
        <v>-32.48340900393849</v>
      </c>
      <c r="W56">
        <f t="shared" si="6"/>
        <v>39.827586206896555</v>
      </c>
      <c r="X56">
        <f t="shared" si="7"/>
        <v>-32.61081593796257</v>
      </c>
      <c r="Y56" t="s">
        <v>127</v>
      </c>
      <c r="Z56">
        <v>10252</v>
      </c>
      <c r="AA56">
        <v>2978</v>
      </c>
      <c r="AB56">
        <v>9601</v>
      </c>
      <c r="AC56">
        <v>2729</v>
      </c>
      <c r="AD56">
        <v>2283</v>
      </c>
      <c r="AE56">
        <v>1273</v>
      </c>
      <c r="AF56">
        <v>31856</v>
      </c>
      <c r="AG56">
        <v>9860</v>
      </c>
      <c r="AJ56">
        <f t="shared" si="11"/>
        <v>1.8412698412698412E-2</v>
      </c>
      <c r="AK56">
        <f t="shared" si="8"/>
        <v>1.8709677419354838</v>
      </c>
      <c r="AL56">
        <f t="shared" si="9"/>
        <v>1.7193947730398899E-2</v>
      </c>
      <c r="AM56">
        <f t="shared" si="10"/>
        <v>0.78319244157135748</v>
      </c>
      <c r="AN56">
        <f t="shared" si="3"/>
        <v>0.76477974315865904</v>
      </c>
    </row>
    <row r="57" spans="1:40" x14ac:dyDescent="0.35">
      <c r="A57" t="s">
        <v>128</v>
      </c>
      <c r="B57">
        <v>132209</v>
      </c>
      <c r="C57">
        <v>25752</v>
      </c>
      <c r="D57">
        <v>511</v>
      </c>
      <c r="E57">
        <v>228</v>
      </c>
      <c r="F57">
        <v>132720</v>
      </c>
      <c r="G57">
        <v>25980</v>
      </c>
      <c r="H57">
        <v>93332</v>
      </c>
      <c r="I57">
        <v>23201</v>
      </c>
      <c r="J57">
        <v>375</v>
      </c>
      <c r="K57">
        <v>194</v>
      </c>
      <c r="L57">
        <v>93707</v>
      </c>
      <c r="M57">
        <v>23395</v>
      </c>
      <c r="N57">
        <v>226427</v>
      </c>
      <c r="O57">
        <v>49375</v>
      </c>
      <c r="P57">
        <v>3.8502110000000001E-3</v>
      </c>
      <c r="Q57">
        <v>4.0018359999999999E-3</v>
      </c>
      <c r="R57">
        <f t="shared" si="4"/>
        <v>1.9843118981050015E-2</v>
      </c>
      <c r="S57">
        <f t="shared" si="5"/>
        <v>1.9329896907216495</v>
      </c>
      <c r="T57">
        <v>8.7759819999999999E-3</v>
      </c>
      <c r="U57">
        <v>8.2923700000000003E-3</v>
      </c>
      <c r="V57">
        <f t="shared" si="12"/>
        <v>3.9380958602009075</v>
      </c>
      <c r="W57">
        <f t="shared" si="6"/>
        <v>96.413601791514523</v>
      </c>
      <c r="X57">
        <f t="shared" si="7"/>
        <v>-5.510631174949987</v>
      </c>
      <c r="Y57" t="s">
        <v>129</v>
      </c>
      <c r="Z57">
        <v>781892</v>
      </c>
      <c r="AA57">
        <v>62443</v>
      </c>
      <c r="AB57">
        <v>690262</v>
      </c>
      <c r="AC57">
        <v>59133</v>
      </c>
      <c r="AD57">
        <v>172045</v>
      </c>
      <c r="AE57">
        <v>41296</v>
      </c>
      <c r="AF57">
        <v>2244112</v>
      </c>
      <c r="AG57">
        <v>223107</v>
      </c>
      <c r="AJ57">
        <f t="shared" si="11"/>
        <v>3.850210970464135E-3</v>
      </c>
      <c r="AK57">
        <f t="shared" si="8"/>
        <v>2.2412280701754388</v>
      </c>
      <c r="AL57">
        <f t="shared" si="9"/>
        <v>8.2923701645650789E-3</v>
      </c>
      <c r="AM57">
        <f t="shared" si="10"/>
        <v>1.4163296231871685</v>
      </c>
      <c r="AN57">
        <f t="shared" si="3"/>
        <v>1.4124794122167044</v>
      </c>
    </row>
    <row r="58" spans="1:40" x14ac:dyDescent="0.35">
      <c r="A58" t="s">
        <v>130</v>
      </c>
      <c r="B58">
        <v>8923</v>
      </c>
      <c r="C58">
        <v>3246</v>
      </c>
      <c r="D58">
        <v>226</v>
      </c>
      <c r="E58">
        <v>143</v>
      </c>
      <c r="F58">
        <v>9149</v>
      </c>
      <c r="G58">
        <v>3389</v>
      </c>
      <c r="H58">
        <v>9104</v>
      </c>
      <c r="I58">
        <v>3101</v>
      </c>
      <c r="J58">
        <v>227</v>
      </c>
      <c r="K58">
        <v>130</v>
      </c>
      <c r="L58">
        <v>9331</v>
      </c>
      <c r="M58">
        <v>3231</v>
      </c>
      <c r="N58">
        <v>18480</v>
      </c>
      <c r="O58">
        <v>6620</v>
      </c>
      <c r="P58">
        <v>2.4702153000000001E-2</v>
      </c>
      <c r="Q58">
        <v>2.432751E-2</v>
      </c>
      <c r="R58">
        <f t="shared" si="4"/>
        <v>6.9624152803450398E-2</v>
      </c>
      <c r="S58">
        <f t="shared" si="5"/>
        <v>1.7461538461538462</v>
      </c>
      <c r="T58">
        <v>4.2195337999999999E-2</v>
      </c>
      <c r="U58">
        <v>4.0235221000000002E-2</v>
      </c>
      <c r="V58">
        <f t="shared" si="12"/>
        <v>-1.5166410798281516</v>
      </c>
      <c r="W58">
        <f t="shared" si="6"/>
        <v>24.079714091218516</v>
      </c>
      <c r="X58">
        <f t="shared" si="7"/>
        <v>-4.645340203223391</v>
      </c>
    </row>
    <row r="59" spans="1:40" x14ac:dyDescent="0.35">
      <c r="A59" t="s">
        <v>131</v>
      </c>
      <c r="B59">
        <v>26741</v>
      </c>
      <c r="C59">
        <v>9632</v>
      </c>
      <c r="D59">
        <v>50</v>
      </c>
      <c r="E59">
        <v>29</v>
      </c>
      <c r="F59">
        <v>26791</v>
      </c>
      <c r="G59">
        <v>9661</v>
      </c>
      <c r="H59">
        <v>22705</v>
      </c>
      <c r="I59">
        <v>8987</v>
      </c>
      <c r="J59">
        <v>39</v>
      </c>
      <c r="K59">
        <v>25</v>
      </c>
      <c r="L59">
        <v>22744</v>
      </c>
      <c r="M59">
        <v>9012</v>
      </c>
      <c r="N59">
        <v>49535</v>
      </c>
      <c r="O59">
        <v>18673</v>
      </c>
      <c r="P59">
        <v>1.866298E-3</v>
      </c>
      <c r="Q59">
        <v>1.7147379999999999E-3</v>
      </c>
      <c r="R59">
        <f t="shared" si="4"/>
        <v>5.1910299003322261E-3</v>
      </c>
      <c r="S59">
        <f t="shared" si="5"/>
        <v>1.56</v>
      </c>
      <c r="T59">
        <v>3.00176E-3</v>
      </c>
      <c r="U59">
        <v>2.774079E-3</v>
      </c>
      <c r="V59">
        <f t="shared" si="12"/>
        <v>-8.1208895899797398</v>
      </c>
      <c r="W59">
        <f t="shared" si="6"/>
        <v>299.51839999999999</v>
      </c>
      <c r="X59">
        <f t="shared" si="7"/>
        <v>-7.5849168487820418</v>
      </c>
    </row>
    <row r="60" spans="1:40" x14ac:dyDescent="0.35">
      <c r="A60" t="s">
        <v>132</v>
      </c>
      <c r="B60">
        <v>4407</v>
      </c>
      <c r="C60">
        <v>1229</v>
      </c>
      <c r="D60">
        <v>268</v>
      </c>
      <c r="E60">
        <v>135</v>
      </c>
      <c r="F60">
        <v>4675</v>
      </c>
      <c r="G60">
        <v>1364</v>
      </c>
      <c r="H60">
        <v>4492</v>
      </c>
      <c r="I60">
        <v>1347</v>
      </c>
      <c r="J60">
        <v>418</v>
      </c>
      <c r="K60">
        <v>171</v>
      </c>
      <c r="L60">
        <v>4910</v>
      </c>
      <c r="M60">
        <v>1518</v>
      </c>
      <c r="N60">
        <v>9585</v>
      </c>
      <c r="O60">
        <v>2882</v>
      </c>
      <c r="P60">
        <v>5.7326202999999999E-2</v>
      </c>
      <c r="Q60">
        <v>8.5132383000000006E-2</v>
      </c>
      <c r="R60">
        <f t="shared" si="4"/>
        <v>0.21806346623270953</v>
      </c>
      <c r="S60">
        <f t="shared" si="5"/>
        <v>2.4444444444444446</v>
      </c>
      <c r="T60">
        <v>9.8973607000000005E-2</v>
      </c>
      <c r="U60">
        <v>0.11264822100000001</v>
      </c>
      <c r="V60">
        <f t="shared" si="12"/>
        <v>48.505183571987168</v>
      </c>
      <c r="W60">
        <f t="shared" si="6"/>
        <v>10.209784411276949</v>
      </c>
      <c r="X60">
        <f t="shared" si="7"/>
        <v>13.816424817173733</v>
      </c>
    </row>
    <row r="61" spans="1:40" x14ac:dyDescent="0.35">
      <c r="A61" t="s">
        <v>133</v>
      </c>
      <c r="B61">
        <v>6774</v>
      </c>
      <c r="C61">
        <v>2653</v>
      </c>
      <c r="D61">
        <v>1544</v>
      </c>
      <c r="E61">
        <v>824</v>
      </c>
      <c r="F61">
        <v>8318</v>
      </c>
      <c r="G61">
        <v>3477</v>
      </c>
      <c r="H61">
        <v>5837</v>
      </c>
      <c r="I61">
        <v>2458</v>
      </c>
      <c r="J61">
        <v>1288</v>
      </c>
      <c r="K61">
        <v>771</v>
      </c>
      <c r="L61">
        <v>7125</v>
      </c>
      <c r="M61">
        <v>3229</v>
      </c>
      <c r="N61">
        <v>15443</v>
      </c>
      <c r="O61">
        <v>6706</v>
      </c>
      <c r="P61">
        <v>0.185621544</v>
      </c>
      <c r="Q61">
        <v>0.18077193</v>
      </c>
      <c r="R61">
        <f t="shared" si="4"/>
        <v>0.58198266113833397</v>
      </c>
      <c r="S61">
        <f t="shared" si="5"/>
        <v>1.6705577172503243</v>
      </c>
      <c r="T61">
        <v>0.236985907</v>
      </c>
      <c r="U61">
        <v>0.238773614</v>
      </c>
      <c r="V61">
        <f t="shared" si="12"/>
        <v>-2.6126353091858734</v>
      </c>
      <c r="W61">
        <f t="shared" si="6"/>
        <v>1.8704596009489056</v>
      </c>
      <c r="X61">
        <f t="shared" si="7"/>
        <v>0.75435160792072242</v>
      </c>
    </row>
    <row r="62" spans="1:40" x14ac:dyDescent="0.35">
      <c r="A62" t="s">
        <v>134</v>
      </c>
      <c r="B62">
        <v>11037</v>
      </c>
      <c r="C62">
        <v>3898</v>
      </c>
      <c r="F62">
        <v>11037</v>
      </c>
      <c r="G62">
        <v>3898</v>
      </c>
      <c r="H62">
        <v>20492</v>
      </c>
      <c r="I62">
        <v>6398</v>
      </c>
      <c r="J62">
        <v>117</v>
      </c>
      <c r="K62">
        <v>63</v>
      </c>
      <c r="L62">
        <v>20609</v>
      </c>
      <c r="M62">
        <v>6461</v>
      </c>
      <c r="N62">
        <v>31646</v>
      </c>
      <c r="O62">
        <v>10359</v>
      </c>
      <c r="P62">
        <v>0</v>
      </c>
      <c r="Q62">
        <v>5.6771310000000002E-3</v>
      </c>
      <c r="R62">
        <f t="shared" si="4"/>
        <v>0</v>
      </c>
      <c r="S62">
        <f t="shared" si="5"/>
        <v>1.8571428571428572</v>
      </c>
      <c r="T62">
        <v>0</v>
      </c>
      <c r="U62">
        <v>9.7508130000000005E-3</v>
      </c>
      <c r="V62">
        <v>0</v>
      </c>
      <c r="W62">
        <v>0</v>
      </c>
      <c r="X62">
        <v>0</v>
      </c>
    </row>
    <row r="63" spans="1:40" x14ac:dyDescent="0.35">
      <c r="A63" t="s">
        <v>135</v>
      </c>
      <c r="B63">
        <v>8</v>
      </c>
      <c r="C63">
        <v>6</v>
      </c>
      <c r="D63">
        <v>1</v>
      </c>
      <c r="E63">
        <v>1</v>
      </c>
      <c r="F63">
        <v>9</v>
      </c>
      <c r="G63">
        <v>7</v>
      </c>
      <c r="H63">
        <v>10</v>
      </c>
      <c r="I63">
        <v>9</v>
      </c>
      <c r="J63">
        <v>5</v>
      </c>
      <c r="K63">
        <v>4</v>
      </c>
      <c r="L63">
        <v>15</v>
      </c>
      <c r="M63">
        <v>13</v>
      </c>
      <c r="N63">
        <v>24</v>
      </c>
      <c r="O63">
        <v>20</v>
      </c>
      <c r="P63">
        <v>0.111111111</v>
      </c>
      <c r="Q63">
        <v>0.33333333300000001</v>
      </c>
      <c r="R63">
        <f t="shared" si="4"/>
        <v>0.16666666666666666</v>
      </c>
      <c r="S63">
        <f t="shared" si="5"/>
        <v>1.25</v>
      </c>
      <c r="T63">
        <v>0.14285714299999999</v>
      </c>
      <c r="U63">
        <v>0.30769230800000003</v>
      </c>
      <c r="V63">
        <f t="shared" si="12"/>
        <v>200</v>
      </c>
      <c r="W63">
        <f t="shared" si="6"/>
        <v>6.5</v>
      </c>
      <c r="X63">
        <f t="shared" si="7"/>
        <v>115.38461538461542</v>
      </c>
    </row>
    <row r="64" spans="1:40" x14ac:dyDescent="0.35">
      <c r="A64" t="s">
        <v>136</v>
      </c>
      <c r="B64">
        <v>7</v>
      </c>
      <c r="C64">
        <v>6</v>
      </c>
      <c r="F64">
        <v>7</v>
      </c>
      <c r="G64">
        <v>6</v>
      </c>
      <c r="N64">
        <v>7</v>
      </c>
      <c r="O64">
        <v>6</v>
      </c>
      <c r="P64">
        <v>0</v>
      </c>
      <c r="Q64">
        <v>0</v>
      </c>
      <c r="R64">
        <f t="shared" si="4"/>
        <v>0</v>
      </c>
      <c r="S64">
        <v>0</v>
      </c>
      <c r="T64">
        <v>0</v>
      </c>
      <c r="U64" t="e">
        <v>#DIV/0!</v>
      </c>
      <c r="V64">
        <v>0</v>
      </c>
      <c r="W64">
        <v>0</v>
      </c>
      <c r="X64">
        <v>0</v>
      </c>
    </row>
    <row r="65" spans="1:24" x14ac:dyDescent="0.35">
      <c r="A65" t="s">
        <v>137</v>
      </c>
      <c r="B65">
        <v>94054</v>
      </c>
      <c r="C65">
        <v>19009</v>
      </c>
      <c r="D65">
        <v>1848</v>
      </c>
      <c r="E65">
        <v>922</v>
      </c>
      <c r="F65">
        <v>95902</v>
      </c>
      <c r="G65">
        <v>19931</v>
      </c>
      <c r="H65">
        <v>84769</v>
      </c>
      <c r="I65">
        <v>18398</v>
      </c>
      <c r="J65">
        <v>1822</v>
      </c>
      <c r="K65">
        <v>878</v>
      </c>
      <c r="L65">
        <v>86591</v>
      </c>
      <c r="M65">
        <v>19276</v>
      </c>
      <c r="N65">
        <v>182493</v>
      </c>
      <c r="O65">
        <v>39207</v>
      </c>
      <c r="P65">
        <v>1.9269670999999999E-2</v>
      </c>
      <c r="Q65">
        <v>2.1041448000000001E-2</v>
      </c>
      <c r="R65">
        <f t="shared" si="4"/>
        <v>9.7217107685833026E-2</v>
      </c>
      <c r="S65">
        <f t="shared" si="5"/>
        <v>2.0751708428246012</v>
      </c>
      <c r="T65">
        <v>4.6259596E-2</v>
      </c>
      <c r="U65">
        <v>4.5548868999999999E-2</v>
      </c>
      <c r="V65">
        <f t="shared" si="12"/>
        <v>9.1946406350165599</v>
      </c>
      <c r="W65">
        <f t="shared" si="6"/>
        <v>20.345737311284008</v>
      </c>
      <c r="X65">
        <f t="shared" si="7"/>
        <v>-1.5363882555308073</v>
      </c>
    </row>
    <row r="66" spans="1:24" x14ac:dyDescent="0.35">
      <c r="A66" t="s">
        <v>138</v>
      </c>
      <c r="B66">
        <v>447</v>
      </c>
      <c r="C66">
        <v>351</v>
      </c>
      <c r="D66">
        <v>17</v>
      </c>
      <c r="E66">
        <v>16</v>
      </c>
      <c r="F66">
        <v>464</v>
      </c>
      <c r="G66">
        <v>367</v>
      </c>
      <c r="H66">
        <v>456</v>
      </c>
      <c r="I66">
        <v>319</v>
      </c>
      <c r="J66">
        <v>15</v>
      </c>
      <c r="K66">
        <v>13</v>
      </c>
      <c r="L66">
        <v>471</v>
      </c>
      <c r="M66">
        <v>332</v>
      </c>
      <c r="N66">
        <v>935</v>
      </c>
      <c r="O66">
        <v>699</v>
      </c>
      <c r="P66">
        <v>3.6637930999999999E-2</v>
      </c>
      <c r="Q66">
        <v>3.1847133999999999E-2</v>
      </c>
      <c r="R66">
        <f t="shared" si="4"/>
        <v>4.843304843304843E-2</v>
      </c>
      <c r="S66">
        <f t="shared" si="5"/>
        <v>1.1538461538461537</v>
      </c>
      <c r="T66">
        <v>4.359673E-2</v>
      </c>
      <c r="U66">
        <v>3.9156626999999999E-2</v>
      </c>
      <c r="V66">
        <f t="shared" si="12"/>
        <v>-13.076057706424526</v>
      </c>
      <c r="W66">
        <f t="shared" si="6"/>
        <v>22.823529411764707</v>
      </c>
      <c r="X66">
        <f t="shared" si="7"/>
        <v>-10.184486313537732</v>
      </c>
    </row>
    <row r="67" spans="1:24" x14ac:dyDescent="0.35">
      <c r="A67" t="s">
        <v>139</v>
      </c>
      <c r="B67">
        <v>5816</v>
      </c>
      <c r="C67">
        <v>2195</v>
      </c>
      <c r="D67">
        <v>52</v>
      </c>
      <c r="E67">
        <v>36</v>
      </c>
      <c r="F67">
        <v>5868</v>
      </c>
      <c r="G67">
        <v>2231</v>
      </c>
      <c r="H67">
        <v>5997</v>
      </c>
      <c r="I67">
        <v>1993</v>
      </c>
      <c r="J67">
        <v>55</v>
      </c>
      <c r="K67">
        <v>37</v>
      </c>
      <c r="L67">
        <v>6052</v>
      </c>
      <c r="M67">
        <v>2030</v>
      </c>
      <c r="N67">
        <v>11920</v>
      </c>
      <c r="O67">
        <v>4261</v>
      </c>
      <c r="P67">
        <v>8.8616219999999996E-3</v>
      </c>
      <c r="Q67">
        <v>9.0879050000000003E-3</v>
      </c>
      <c r="R67">
        <f t="shared" si="4"/>
        <v>2.369020501138952E-2</v>
      </c>
      <c r="S67">
        <f t="shared" si="5"/>
        <v>1.4864864864864864</v>
      </c>
      <c r="T67">
        <v>1.6136261999999998E-2</v>
      </c>
      <c r="U67">
        <v>1.8226600999999999E-2</v>
      </c>
      <c r="V67">
        <f t="shared" si="12"/>
        <v>2.5535167263961434</v>
      </c>
      <c r="W67">
        <f t="shared" si="6"/>
        <v>61.7468814968815</v>
      </c>
      <c r="X67">
        <f t="shared" si="7"/>
        <v>12.954295114940507</v>
      </c>
    </row>
    <row r="68" spans="1:24" x14ac:dyDescent="0.35">
      <c r="A68" t="s">
        <v>140</v>
      </c>
      <c r="B68">
        <v>59</v>
      </c>
      <c r="C68">
        <v>35</v>
      </c>
      <c r="D68">
        <v>1</v>
      </c>
      <c r="E68">
        <v>1</v>
      </c>
      <c r="F68">
        <v>60</v>
      </c>
      <c r="G68">
        <v>36</v>
      </c>
      <c r="H68">
        <v>21</v>
      </c>
      <c r="I68">
        <v>19</v>
      </c>
      <c r="J68">
        <v>1</v>
      </c>
      <c r="K68">
        <v>1</v>
      </c>
      <c r="L68">
        <v>22</v>
      </c>
      <c r="M68">
        <v>20</v>
      </c>
      <c r="N68">
        <v>82</v>
      </c>
      <c r="O68">
        <v>56</v>
      </c>
      <c r="P68">
        <v>1.6666667E-2</v>
      </c>
      <c r="Q68">
        <v>4.5454544999999999E-2</v>
      </c>
      <c r="R68">
        <f t="shared" si="4"/>
        <v>2.8571428571428571E-2</v>
      </c>
      <c r="S68">
        <f t="shared" si="5"/>
        <v>1</v>
      </c>
      <c r="T68">
        <v>2.7777777999999999E-2</v>
      </c>
      <c r="U68">
        <v>0.05</v>
      </c>
      <c r="V68">
        <f t="shared" si="12"/>
        <v>172.72726454545472</v>
      </c>
      <c r="W68">
        <f t="shared" si="6"/>
        <v>34</v>
      </c>
      <c r="X68">
        <f t="shared" si="7"/>
        <v>79.999998560000023</v>
      </c>
    </row>
    <row r="69" spans="1:24" x14ac:dyDescent="0.35">
      <c r="A69" t="s">
        <v>141</v>
      </c>
      <c r="B69">
        <v>2311</v>
      </c>
      <c r="C69">
        <v>739</v>
      </c>
      <c r="D69">
        <v>301</v>
      </c>
      <c r="E69">
        <v>76</v>
      </c>
      <c r="F69">
        <v>2612</v>
      </c>
      <c r="G69">
        <v>815</v>
      </c>
      <c r="H69">
        <v>2479</v>
      </c>
      <c r="I69">
        <v>924</v>
      </c>
      <c r="J69">
        <v>373</v>
      </c>
      <c r="K69">
        <v>86</v>
      </c>
      <c r="L69">
        <v>2852</v>
      </c>
      <c r="M69">
        <v>1010</v>
      </c>
      <c r="N69">
        <v>5464</v>
      </c>
      <c r="O69">
        <v>1825</v>
      </c>
      <c r="P69">
        <v>0.11523736599999999</v>
      </c>
      <c r="Q69">
        <v>0.13078541399999999</v>
      </c>
      <c r="R69">
        <f t="shared" si="4"/>
        <v>0.40730717185385656</v>
      </c>
      <c r="S69">
        <f t="shared" si="5"/>
        <v>4.3372093023255811</v>
      </c>
      <c r="T69">
        <v>9.3251533999999997E-2</v>
      </c>
      <c r="U69">
        <v>8.5148514999999994E-2</v>
      </c>
      <c r="V69">
        <f t="shared" si="12"/>
        <v>13.492193148531339</v>
      </c>
      <c r="W69">
        <f t="shared" si="6"/>
        <v>9.6484972572046654</v>
      </c>
      <c r="X69">
        <f t="shared" si="7"/>
        <v>-8.6894216667792286</v>
      </c>
    </row>
    <row r="70" spans="1:24" x14ac:dyDescent="0.35">
      <c r="A70" t="s">
        <v>142</v>
      </c>
      <c r="B70">
        <v>656</v>
      </c>
      <c r="C70">
        <v>297</v>
      </c>
      <c r="D70">
        <v>2</v>
      </c>
      <c r="E70">
        <v>2</v>
      </c>
      <c r="F70">
        <v>658</v>
      </c>
      <c r="G70">
        <v>299</v>
      </c>
      <c r="H70">
        <v>707</v>
      </c>
      <c r="I70">
        <v>302</v>
      </c>
      <c r="J70">
        <v>1</v>
      </c>
      <c r="K70">
        <v>1</v>
      </c>
      <c r="L70">
        <v>708</v>
      </c>
      <c r="M70">
        <v>303</v>
      </c>
      <c r="N70">
        <v>1366</v>
      </c>
      <c r="O70">
        <v>602</v>
      </c>
      <c r="P70">
        <v>3.0395140000000001E-3</v>
      </c>
      <c r="Q70">
        <v>1.412429E-3</v>
      </c>
      <c r="R70">
        <f t="shared" ref="R70:R74" si="13">D70/C70</f>
        <v>6.7340067340067337E-3</v>
      </c>
      <c r="S70">
        <f t="shared" ref="S70:S74" si="14">J70/K70</f>
        <v>1</v>
      </c>
      <c r="T70">
        <v>6.688963E-3</v>
      </c>
      <c r="U70">
        <v>3.3003300000000002E-3</v>
      </c>
      <c r="V70">
        <f t="shared" ref="V70:V74" si="15">(Q70/P70-1)*100</f>
        <v>-53.531090825704375</v>
      </c>
      <c r="W70">
        <f t="shared" ref="W70:W74" si="16">S70/R70-1</f>
        <v>147.5</v>
      </c>
      <c r="X70">
        <f t="shared" ref="X70:X74" si="17">(U70/T70-1)*100</f>
        <v>-50.660064945792051</v>
      </c>
    </row>
    <row r="71" spans="1:24" x14ac:dyDescent="0.35">
      <c r="A71" t="s">
        <v>143</v>
      </c>
      <c r="B71">
        <v>645</v>
      </c>
      <c r="C71">
        <v>365</v>
      </c>
      <c r="D71">
        <v>100</v>
      </c>
      <c r="E71">
        <v>70</v>
      </c>
      <c r="F71">
        <v>745</v>
      </c>
      <c r="G71">
        <v>435</v>
      </c>
      <c r="H71">
        <v>986</v>
      </c>
      <c r="I71">
        <v>444</v>
      </c>
      <c r="J71">
        <v>156</v>
      </c>
      <c r="K71">
        <v>95</v>
      </c>
      <c r="L71">
        <v>1142</v>
      </c>
      <c r="M71">
        <v>539</v>
      </c>
      <c r="N71">
        <v>1887</v>
      </c>
      <c r="O71">
        <v>974</v>
      </c>
      <c r="P71">
        <v>0.134228188</v>
      </c>
      <c r="Q71">
        <v>0.13660245200000001</v>
      </c>
      <c r="R71">
        <f t="shared" si="13"/>
        <v>0.27397260273972601</v>
      </c>
      <c r="S71">
        <f t="shared" si="14"/>
        <v>1.6421052631578947</v>
      </c>
      <c r="T71">
        <v>0.16091954</v>
      </c>
      <c r="U71">
        <v>0.17625231899999999</v>
      </c>
      <c r="V71">
        <f t="shared" si="15"/>
        <v>1.7688266789387175</v>
      </c>
      <c r="W71">
        <f t="shared" si="16"/>
        <v>4.9936842105263164</v>
      </c>
      <c r="X71">
        <f t="shared" si="17"/>
        <v>9.5282269636117523</v>
      </c>
    </row>
    <row r="72" spans="1:24" x14ac:dyDescent="0.35">
      <c r="A72" t="s">
        <v>127</v>
      </c>
      <c r="B72">
        <v>159</v>
      </c>
      <c r="C72">
        <v>96</v>
      </c>
      <c r="D72">
        <v>11</v>
      </c>
      <c r="E72">
        <v>8</v>
      </c>
      <c r="F72">
        <v>170</v>
      </c>
      <c r="G72">
        <v>104</v>
      </c>
      <c r="H72">
        <v>82</v>
      </c>
      <c r="I72">
        <v>61</v>
      </c>
      <c r="J72">
        <v>44</v>
      </c>
      <c r="K72">
        <v>30</v>
      </c>
      <c r="L72">
        <v>126</v>
      </c>
      <c r="M72">
        <v>91</v>
      </c>
      <c r="N72">
        <v>296</v>
      </c>
      <c r="O72">
        <v>195</v>
      </c>
      <c r="P72">
        <v>6.4705882000000006E-2</v>
      </c>
      <c r="Q72">
        <v>0.34920634900000003</v>
      </c>
      <c r="R72">
        <f t="shared" si="13"/>
        <v>0.11458333333333333</v>
      </c>
      <c r="S72">
        <f t="shared" si="14"/>
        <v>1.4666666666666666</v>
      </c>
      <c r="T72">
        <v>7.6923077000000006E-2</v>
      </c>
      <c r="U72">
        <v>0.32967033000000001</v>
      </c>
      <c r="V72">
        <f t="shared" si="15"/>
        <v>439.68254230735926</v>
      </c>
      <c r="W72">
        <f t="shared" si="16"/>
        <v>11.799999999999999</v>
      </c>
      <c r="X72">
        <f t="shared" si="17"/>
        <v>328.57142857142856</v>
      </c>
    </row>
    <row r="73" spans="1:24" x14ac:dyDescent="0.35">
      <c r="A73" t="s">
        <v>144</v>
      </c>
      <c r="B73">
        <v>41482</v>
      </c>
      <c r="C73">
        <v>11540</v>
      </c>
      <c r="D73">
        <v>8</v>
      </c>
      <c r="E73">
        <v>5</v>
      </c>
      <c r="F73">
        <v>41490</v>
      </c>
      <c r="G73">
        <v>11545</v>
      </c>
      <c r="H73">
        <v>38470</v>
      </c>
      <c r="I73">
        <v>10482</v>
      </c>
      <c r="J73">
        <v>8</v>
      </c>
      <c r="K73">
        <v>8</v>
      </c>
      <c r="L73">
        <v>38478</v>
      </c>
      <c r="M73">
        <v>10490</v>
      </c>
      <c r="N73">
        <v>79968</v>
      </c>
      <c r="O73">
        <v>22035</v>
      </c>
      <c r="P73">
        <v>1.9281800000000001E-4</v>
      </c>
      <c r="Q73">
        <v>2.07911E-4</v>
      </c>
      <c r="R73">
        <f t="shared" si="13"/>
        <v>6.932409012131716E-4</v>
      </c>
      <c r="S73">
        <f t="shared" si="14"/>
        <v>1</v>
      </c>
      <c r="T73">
        <v>4.3308799999999998E-4</v>
      </c>
      <c r="U73">
        <v>7.6263100000000005E-4</v>
      </c>
      <c r="V73">
        <f t="shared" si="15"/>
        <v>7.8275887105975439</v>
      </c>
      <c r="W73">
        <f t="shared" si="16"/>
        <v>1441.5</v>
      </c>
      <c r="X73">
        <f t="shared" si="17"/>
        <v>76.091464090438919</v>
      </c>
    </row>
    <row r="74" spans="1:24" x14ac:dyDescent="0.35">
      <c r="A74" t="s">
        <v>145</v>
      </c>
      <c r="B74">
        <v>1938052</v>
      </c>
      <c r="C74">
        <v>400380</v>
      </c>
      <c r="D74">
        <v>28329</v>
      </c>
      <c r="E74">
        <v>13917</v>
      </c>
      <c r="F74">
        <v>1966381</v>
      </c>
      <c r="G74">
        <v>414297</v>
      </c>
      <c r="H74">
        <v>1645524</v>
      </c>
      <c r="I74">
        <v>385681</v>
      </c>
      <c r="J74">
        <v>27823</v>
      </c>
      <c r="K74">
        <v>14034</v>
      </c>
      <c r="L74">
        <v>1673347</v>
      </c>
      <c r="M74">
        <v>399715</v>
      </c>
      <c r="N74">
        <v>3639728</v>
      </c>
      <c r="O74">
        <v>814012</v>
      </c>
      <c r="P74">
        <v>1.4406669E-2</v>
      </c>
      <c r="Q74">
        <v>1.6627155000000001E-2</v>
      </c>
      <c r="R74">
        <f t="shared" si="13"/>
        <v>7.0755282481642437E-2</v>
      </c>
      <c r="S74">
        <f t="shared" si="14"/>
        <v>1.9825423970357703</v>
      </c>
      <c r="T74">
        <v>3.3591844000000003E-2</v>
      </c>
      <c r="U74">
        <v>3.5110016000000001E-2</v>
      </c>
      <c r="V74">
        <f t="shared" si="15"/>
        <v>15.412903565702795</v>
      </c>
      <c r="W74">
        <f t="shared" si="16"/>
        <v>27.019708599851096</v>
      </c>
      <c r="X74">
        <f t="shared" si="17"/>
        <v>4.5194660942102338</v>
      </c>
    </row>
  </sheetData>
  <mergeCells count="9">
    <mergeCell ref="X1:X4"/>
    <mergeCell ref="P1:P4"/>
    <mergeCell ref="V1:V4"/>
    <mergeCell ref="W1:W4"/>
    <mergeCell ref="Q1:Q4"/>
    <mergeCell ref="R1:R4"/>
    <mergeCell ref="S1:S4"/>
    <mergeCell ref="T1:T4"/>
    <mergeCell ref="U1: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5AB3-8E0D-4DCA-B503-13CE7989871F}">
  <dimension ref="A1:B12"/>
  <sheetViews>
    <sheetView workbookViewId="0">
      <selection activeCell="G15" sqref="G15"/>
    </sheetView>
  </sheetViews>
  <sheetFormatPr defaultRowHeight="14.5" x14ac:dyDescent="0.35"/>
  <sheetData>
    <row r="1" spans="1:2" x14ac:dyDescent="0.35">
      <c r="A1">
        <v>2025</v>
      </c>
    </row>
    <row r="2" spans="1:2" x14ac:dyDescent="0.35">
      <c r="B2" s="11" t="s">
        <v>352</v>
      </c>
    </row>
    <row r="3" spans="1:2" x14ac:dyDescent="0.35">
      <c r="B3" t="s">
        <v>353</v>
      </c>
    </row>
    <row r="4" spans="1:2" x14ac:dyDescent="0.35">
      <c r="B4" t="s">
        <v>354</v>
      </c>
    </row>
    <row r="5" spans="1:2" x14ac:dyDescent="0.35">
      <c r="B5" t="s">
        <v>355</v>
      </c>
    </row>
    <row r="6" spans="1:2" x14ac:dyDescent="0.35">
      <c r="B6" t="s">
        <v>356</v>
      </c>
    </row>
    <row r="8" spans="1:2" x14ac:dyDescent="0.35">
      <c r="B8" s="11" t="s">
        <v>357</v>
      </c>
    </row>
    <row r="9" spans="1:2" x14ac:dyDescent="0.35">
      <c r="B9" t="s">
        <v>358</v>
      </c>
    </row>
    <row r="10" spans="1:2" x14ac:dyDescent="0.35">
      <c r="B10" t="s">
        <v>359</v>
      </c>
    </row>
    <row r="11" spans="1:2" x14ac:dyDescent="0.35">
      <c r="B11" t="s">
        <v>360</v>
      </c>
    </row>
    <row r="12" spans="1:2" x14ac:dyDescent="0.35">
      <c r="B12" t="s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D1BD-EAC7-475C-B7FC-C801E05B2633}">
  <dimension ref="A1:T70"/>
  <sheetViews>
    <sheetView workbookViewId="0">
      <selection activeCell="A12" sqref="A12"/>
    </sheetView>
  </sheetViews>
  <sheetFormatPr defaultRowHeight="14.5" x14ac:dyDescent="0.35"/>
  <cols>
    <col min="1" max="1" width="23.54296875" customWidth="1"/>
    <col min="2" max="2" width="22.453125" customWidth="1"/>
    <col min="3" max="3" width="15.6328125" customWidth="1"/>
    <col min="4" max="5" width="28.453125" customWidth="1"/>
    <col min="6" max="6" width="18.08984375" customWidth="1"/>
    <col min="10" max="10" width="16.7265625" customWidth="1"/>
    <col min="11" max="11" width="15.36328125" customWidth="1"/>
    <col min="12" max="12" width="16.7265625" customWidth="1"/>
    <col min="13" max="13" width="17.36328125" customWidth="1"/>
    <col min="14" max="14" width="26.81640625" customWidth="1"/>
    <col min="15" max="16" width="32.90625" customWidth="1"/>
  </cols>
  <sheetData>
    <row r="1" spans="1:20" x14ac:dyDescent="0.35">
      <c r="A1" s="41" t="s">
        <v>374</v>
      </c>
      <c r="B1" s="41" t="s">
        <v>369</v>
      </c>
      <c r="C1" s="41" t="s">
        <v>393</v>
      </c>
      <c r="D1" s="41" t="s">
        <v>394</v>
      </c>
      <c r="E1" s="41" t="s">
        <v>375</v>
      </c>
      <c r="F1" s="41" t="s">
        <v>376</v>
      </c>
      <c r="J1" s="42" t="s">
        <v>20</v>
      </c>
      <c r="K1" s="42" t="s">
        <v>349</v>
      </c>
      <c r="L1" s="42" t="s">
        <v>350</v>
      </c>
      <c r="M1" s="42" t="s">
        <v>351</v>
      </c>
      <c r="N1" s="42" t="s">
        <v>395</v>
      </c>
      <c r="O1" s="42" t="s">
        <v>397</v>
      </c>
      <c r="P1" s="30"/>
    </row>
    <row r="2" spans="1:20" x14ac:dyDescent="0.35">
      <c r="A2" t="s">
        <v>46</v>
      </c>
      <c r="B2">
        <f>_xlfn.XLOOKUP(A2,'Updated_List_for_BBB_Rx&amp;IQVIA'!D:D,'Updated_List_for_BBB_Rx&amp;IQVIA'!P:P)</f>
        <v>-0.29089106477630733</v>
      </c>
      <c r="C2">
        <f>_xlfn.XLOOKUP(A2,'Updated_List_for_BBB_Rx&amp;IQVIA'!D:D,'Updated_List_for_BBB_Rx&amp;IQVIA'!Q:Q)</f>
        <v>7.5515888433483003E-2</v>
      </c>
      <c r="D2">
        <f>_xlfn.XLOOKUP(A2,'Updated_List_for_BBB_Rx&amp;IQVIA'!D:D,'Updated_List_for_BBB_Rx&amp;IQVIA'!R:R)</f>
        <v>0.51671461888180148</v>
      </c>
      <c r="E2">
        <f>_xlfn.XLOOKUP(A2,'Updated_List_for_BBB_Rx&amp;IQVIA'!D:D,'Updated_List_for_BBB_Rx&amp;IQVIA'!T:T)</f>
        <v>1</v>
      </c>
      <c r="F2">
        <f>_xlfn.XLOOKUP(A2,'Updated_List_for_BBB_Rx&amp;IQVIA'!D:D,'Updated_List_for_BBB_Rx&amp;IQVIA'!U:U)</f>
        <v>1</v>
      </c>
      <c r="J2" s="42"/>
      <c r="K2" s="42"/>
      <c r="L2" s="42"/>
      <c r="M2" s="42"/>
      <c r="N2" s="42"/>
      <c r="O2" s="42"/>
      <c r="P2" s="30"/>
      <c r="Q2" t="s">
        <v>27</v>
      </c>
      <c r="R2">
        <v>3.7973187052230864E-2</v>
      </c>
      <c r="S2">
        <v>2.1356382978723403</v>
      </c>
      <c r="T2">
        <v>7.9031723223167899E-2</v>
      </c>
    </row>
    <row r="3" spans="1:20" x14ac:dyDescent="0.35">
      <c r="A3" t="s">
        <v>70</v>
      </c>
      <c r="B3">
        <f>_xlfn.XLOOKUP(A3,'Updated_List_for_BBB_Rx&amp;IQVIA'!D:D,'Updated_List_for_BBB_Rx&amp;IQVIA'!P:P)</f>
        <v>-0.23584740502367008</v>
      </c>
      <c r="C3">
        <f>_xlfn.XLOOKUP(A3,'Updated_List_for_BBB_Rx&amp;IQVIA'!D:D,'Updated_List_for_BBB_Rx&amp;IQVIA'!Q:Q)</f>
        <v>-8.9444440800047209E-3</v>
      </c>
      <c r="D3">
        <f>_xlfn.XLOOKUP(A3,'Updated_List_for_BBB_Rx&amp;IQVIA'!D:D,'Updated_List_for_BBB_Rx&amp;IQVIA'!R:R)</f>
        <v>0.29693409724100195</v>
      </c>
      <c r="E3">
        <f>_xlfn.XLOOKUP(A3,'Updated_List_for_BBB_Rx&amp;IQVIA'!D:D,'Updated_List_for_BBB_Rx&amp;IQVIA'!T:T)</f>
        <v>1</v>
      </c>
      <c r="F3">
        <f>_xlfn.XLOOKUP(A3,'Updated_List_for_BBB_Rx&amp;IQVIA'!D:D,'Updated_List_for_BBB_Rx&amp;IQVIA'!U:U)</f>
        <v>1</v>
      </c>
      <c r="J3" t="s">
        <v>27</v>
      </c>
      <c r="K3">
        <v>2.423788982281401E-2</v>
      </c>
      <c r="L3">
        <v>2.0340091563113147</v>
      </c>
      <c r="M3">
        <v>6.8810332800792059E-2</v>
      </c>
      <c r="N3">
        <f>_xlfn.XLOOKUP(BBB_Brands_Growths!J3,'3_Years_CountRx_with_RxShare_wi'!A:A,'3_Years_CountRx_with_RxShare_wi'!AM:AM)</f>
        <v>1.3054833203043985</v>
      </c>
      <c r="O3">
        <f>_xlfn.XLOOKUP(J3,'3_Years_CountRx_with_RxShare_wi'!A:A,'3_Years_CountRx_with_RxShare_wi'!AN:AN)</f>
        <v>1.2801133414460475</v>
      </c>
      <c r="Q3" t="s">
        <v>29</v>
      </c>
      <c r="R3">
        <v>1.188789963577499E-2</v>
      </c>
      <c r="S3">
        <v>1.8725099601593624</v>
      </c>
      <c r="T3">
        <v>2.6422280409426326E-2</v>
      </c>
    </row>
    <row r="4" spans="1:20" x14ac:dyDescent="0.35">
      <c r="A4" t="s">
        <v>119</v>
      </c>
      <c r="B4">
        <f>_xlfn.XLOOKUP(A4,'Updated_List_for_BBB_Rx&amp;IQVIA'!D:D,'Updated_List_for_BBB_Rx&amp;IQVIA'!P:P)</f>
        <v>-3.0579794205945698E-2</v>
      </c>
      <c r="C4">
        <f>_xlfn.XLOOKUP(A4,'Updated_List_for_BBB_Rx&amp;IQVIA'!D:D,'Updated_List_for_BBB_Rx&amp;IQVIA'!Q:Q)</f>
        <v>0.25727411944869827</v>
      </c>
      <c r="D4">
        <f>_xlfn.XLOOKUP(A4,'Updated_List_for_BBB_Rx&amp;IQVIA'!D:D,'Updated_List_for_BBB_Rx&amp;IQVIA'!R:R)</f>
        <v>0.29693409724100195</v>
      </c>
      <c r="E4">
        <f>_xlfn.XLOOKUP(A4,'Updated_List_for_BBB_Rx&amp;IQVIA'!D:D,'Updated_List_for_BBB_Rx&amp;IQVIA'!T:T)</f>
        <v>7</v>
      </c>
      <c r="F4">
        <f>_xlfn.XLOOKUP(A4,'Updated_List_for_BBB_Rx&amp;IQVIA'!D:D,'Updated_List_for_BBB_Rx&amp;IQVIA'!U:U)</f>
        <v>7</v>
      </c>
      <c r="J4" t="s">
        <v>31</v>
      </c>
      <c r="K4">
        <f>_xlfn.XLOOKUP(BBB_Brands_Growths!J4,'3_Years_CountRx_with_RxShare_wi'!A:A,'3_Years_CountRx_with_RxShare_wi'!AJ:AJ)</f>
        <v>4.0096618357487922E-2</v>
      </c>
      <c r="L4">
        <f>_xlfn.XLOOKUP(J4,'3_Years_CountRx_with_RxShare_wi'!A:A,'3_Years_CountRx_with_RxShare_wi'!AK:AK)</f>
        <v>1.537037037037037</v>
      </c>
      <c r="M4">
        <f>_xlfn.XLOOKUP(J4,'3_Years_CountRx_with_RxShare_wi'!A:A,'3_Years_CountRx_with_RxShare_wi'!AL:AL)</f>
        <v>5.0393700787401574E-2</v>
      </c>
      <c r="N4">
        <f>_xlfn.XLOOKUP(BBB_Brands_Growths!J4,'3_Years_CountRx_with_RxShare_wi'!A:A,'3_Years_CountRx_with_RxShare_wi'!AM:AM)</f>
        <v>1.2905236907730673</v>
      </c>
      <c r="O4">
        <f>_xlfn.XLOOKUP(J4,'3_Years_CountRx_with_RxShare_wi'!A:A,'3_Years_CountRx_with_RxShare_wi'!AN:AN)</f>
        <v>1.2504270724155793</v>
      </c>
    </row>
    <row r="5" spans="1:20" x14ac:dyDescent="0.35">
      <c r="A5" t="s">
        <v>113</v>
      </c>
      <c r="B5">
        <v>0</v>
      </c>
      <c r="C5">
        <v>0</v>
      </c>
      <c r="D5">
        <f>_xlfn.XLOOKUP(A5,'Updated_List_for_BBB_Rx&amp;IQVIA'!D:D,'Updated_List_for_BBB_Rx&amp;IQVIA'!R:R)</f>
        <v>1.4764938844132636</v>
      </c>
      <c r="E5">
        <f>_xlfn.XLOOKUP(A5,'Updated_List_for_BBB_Rx&amp;IQVIA'!D:D,'Updated_List_for_BBB_Rx&amp;IQVIA'!T:T)</f>
        <v>16</v>
      </c>
      <c r="F5">
        <f>_xlfn.XLOOKUP(A5,'Updated_List_for_BBB_Rx&amp;IQVIA'!D:D,'Updated_List_for_BBB_Rx&amp;IQVIA'!U:U)</f>
        <v>0</v>
      </c>
      <c r="J5" t="s">
        <v>33</v>
      </c>
      <c r="K5">
        <f>_xlfn.XLOOKUP(BBB_Brands_Growths!J5,'3_Years_CountRx_with_RxShare_wi'!A:A,'3_Years_CountRx_with_RxShare_wi'!AJ:AJ)</f>
        <v>0</v>
      </c>
      <c r="L5">
        <v>0</v>
      </c>
      <c r="M5">
        <f>_xlfn.XLOOKUP(J5,'3_Years_CountRx_with_RxShare_wi'!A:A,'3_Years_CountRx_with_RxShare_wi'!AL:AL)</f>
        <v>0</v>
      </c>
      <c r="N5">
        <f>_xlfn.XLOOKUP(BBB_Brands_Growths!J5,'3_Years_CountRx_with_RxShare_wi'!A:A,'3_Years_CountRx_with_RxShare_wi'!AM:AM)</f>
        <v>0.53333333333333333</v>
      </c>
      <c r="O5">
        <f>_xlfn.XLOOKUP(J5,'3_Years_CountRx_with_RxShare_wi'!A:A,'3_Years_CountRx_with_RxShare_wi'!AN:AN)</f>
        <v>0.53333333333333333</v>
      </c>
    </row>
    <row r="6" spans="1:20" x14ac:dyDescent="0.35">
      <c r="A6" t="s">
        <v>28</v>
      </c>
      <c r="B6">
        <f>_xlfn.XLOOKUP(A6,'Updated_List_for_BBB_Rx&amp;IQVIA'!D:D,'Updated_List_for_BBB_Rx&amp;IQVIA'!P:P)</f>
        <v>-9.9367228969042709E-2</v>
      </c>
      <c r="C6">
        <f>_xlfn.XLOOKUP(A6,'Updated_List_for_BBB_Rx&amp;IQVIA'!D:D,'Updated_List_for_BBB_Rx&amp;IQVIA'!Q:Q)</f>
        <v>-9.0318316995263714E-3</v>
      </c>
      <c r="D6">
        <f>_xlfn.XLOOKUP(A6,'Updated_List_for_BBB_Rx&amp;IQVIA'!D:D,'Updated_List_for_BBB_Rx&amp;IQVIA'!R:R)</f>
        <v>0.1003021433098743</v>
      </c>
      <c r="E6">
        <f>_xlfn.XLOOKUP(A6,'Updated_List_for_BBB_Rx&amp;IQVIA'!D:D,'Updated_List_for_BBB_Rx&amp;IQVIA'!T:T)</f>
        <v>4</v>
      </c>
      <c r="F6">
        <f>_xlfn.XLOOKUP(A6,'Updated_List_for_BBB_Rx&amp;IQVIA'!D:D,'Updated_List_for_BBB_Rx&amp;IQVIA'!U:U)</f>
        <v>4</v>
      </c>
      <c r="J6" t="s">
        <v>35</v>
      </c>
      <c r="K6">
        <f>_xlfn.XLOOKUP(BBB_Brands_Growths!J6,'3_Years_CountRx_with_RxShare_wi'!A:A,'3_Years_CountRx_with_RxShare_wi'!AJ:AJ)</f>
        <v>0.78893058161350849</v>
      </c>
      <c r="L6">
        <f>_xlfn.XLOOKUP(J6,'3_Years_CountRx_with_RxShare_wi'!A:A,'3_Years_CountRx_with_RxShare_wi'!AK:AK)</f>
        <v>1.4937833037300177</v>
      </c>
      <c r="M6">
        <f>_xlfn.XLOOKUP(J6,'3_Years_CountRx_with_RxShare_wi'!A:A,'3_Years_CountRx_with_RxShare_wi'!AL:AL)</f>
        <v>0.87462235649546827</v>
      </c>
      <c r="N6">
        <f>_xlfn.XLOOKUP(BBB_Brands_Growths!J6,'3_Years_CountRx_with_RxShare_wi'!A:A,'3_Years_CountRx_with_RxShare_wi'!AM:AM)</f>
        <v>0.86037126715092815</v>
      </c>
      <c r="O6">
        <f>_xlfn.XLOOKUP(J6,'3_Years_CountRx_with_RxShare_wi'!A:A,'3_Years_CountRx_with_RxShare_wi'!AN:AN)</f>
        <v>7.1440685537419668E-2</v>
      </c>
    </row>
    <row r="7" spans="1:20" x14ac:dyDescent="0.35">
      <c r="A7" t="s">
        <v>81</v>
      </c>
      <c r="B7">
        <f>_xlfn.XLOOKUP(A7,'Updated_List_for_BBB_Rx&amp;IQVIA'!D:D,'Updated_List_for_BBB_Rx&amp;IQVIA'!P:P)</f>
        <v>-2.0798880916828466E-2</v>
      </c>
      <c r="C7">
        <f>_xlfn.XLOOKUP(A7,'Updated_List_for_BBB_Rx&amp;IQVIA'!D:D,'Updated_List_for_BBB_Rx&amp;IQVIA'!Q:Q)</f>
        <v>0.47706553288908871</v>
      </c>
      <c r="D7">
        <f>_xlfn.XLOOKUP(A7,'Updated_List_for_BBB_Rx&amp;IQVIA'!D:D,'Updated_List_for_BBB_Rx&amp;IQVIA'!R:R)</f>
        <v>0.5084393840073107</v>
      </c>
      <c r="E7">
        <f>_xlfn.XLOOKUP(A7,'Updated_List_for_BBB_Rx&amp;IQVIA'!D:D,'Updated_List_for_BBB_Rx&amp;IQVIA'!T:T)</f>
        <v>2</v>
      </c>
      <c r="F7">
        <f>_xlfn.XLOOKUP(A7,'Updated_List_for_BBB_Rx&amp;IQVIA'!D:D,'Updated_List_for_BBB_Rx&amp;IQVIA'!U:U)</f>
        <v>2</v>
      </c>
      <c r="J7" t="s">
        <v>37</v>
      </c>
      <c r="K7">
        <f>_xlfn.XLOOKUP(BBB_Brands_Growths!J7,'3_Years_CountRx_with_RxShare_wi'!A:A,'3_Years_CountRx_with_RxShare_wi'!AJ:AJ)</f>
        <v>7.2489082969432309E-2</v>
      </c>
      <c r="L7">
        <f>_xlfn.XLOOKUP(J7,'3_Years_CountRx_with_RxShare_wi'!A:A,'3_Years_CountRx_with_RxShare_wi'!AK:AK)</f>
        <v>1.1216216216216217</v>
      </c>
      <c r="M7">
        <f>_xlfn.XLOOKUP(J7,'3_Years_CountRx_with_RxShare_wi'!A:A,'3_Years_CountRx_with_RxShare_wi'!AL:AL)</f>
        <v>8.5308056872037921E-2</v>
      </c>
      <c r="N7">
        <f>_xlfn.XLOOKUP(BBB_Brands_Growths!J7,'3_Years_CountRx_with_RxShare_wi'!A:A,'3_Years_CountRx_with_RxShare_wi'!AM:AM)</f>
        <v>1.3130733944954129</v>
      </c>
      <c r="O7">
        <f>_xlfn.XLOOKUP(J7,'3_Years_CountRx_with_RxShare_wi'!A:A,'3_Years_CountRx_with_RxShare_wi'!AN:AN)</f>
        <v>1.2405843115259807</v>
      </c>
    </row>
    <row r="8" spans="1:20" x14ac:dyDescent="0.35">
      <c r="A8" t="s">
        <v>76</v>
      </c>
      <c r="B8">
        <f>_xlfn.XLOOKUP(A8,'Updated_List_for_BBB_Rx&amp;IQVIA'!D:D,'Updated_List_for_BBB_Rx&amp;IQVIA'!P:P)</f>
        <v>-7.8418486081712979E-2</v>
      </c>
      <c r="C8">
        <f>_xlfn.XLOOKUP(A8,'Updated_List_for_BBB_Rx&amp;IQVIA'!D:D,'Updated_List_for_BBB_Rx&amp;IQVIA'!Q:Q)</f>
        <v>0.41464574417498801</v>
      </c>
      <c r="D8">
        <f>_xlfn.XLOOKUP(A8,'Updated_List_for_BBB_Rx&amp;IQVIA'!D:D,'Updated_List_for_BBB_Rx&amp;IQVIA'!R:R)</f>
        <v>0.53501966218955554</v>
      </c>
      <c r="E8">
        <f>_xlfn.XLOOKUP(A8,'Updated_List_for_BBB_Rx&amp;IQVIA'!D:D,'Updated_List_for_BBB_Rx&amp;IQVIA'!T:T)</f>
        <v>14</v>
      </c>
      <c r="F8">
        <f>_xlfn.XLOOKUP(A8,'Updated_List_for_BBB_Rx&amp;IQVIA'!D:D,'Updated_List_for_BBB_Rx&amp;IQVIA'!U:U)</f>
        <v>9</v>
      </c>
      <c r="J8" t="s">
        <v>39</v>
      </c>
      <c r="K8">
        <f>_xlfn.XLOOKUP(BBB_Brands_Growths!J8,'3_Years_CountRx_with_RxShare_wi'!A:A,'3_Years_CountRx_with_RxShare_wi'!AJ:AJ)</f>
        <v>0</v>
      </c>
      <c r="L8">
        <v>0</v>
      </c>
      <c r="M8">
        <f>_xlfn.XLOOKUP(J8,'3_Years_CountRx_with_RxShare_wi'!A:A,'3_Years_CountRx_with_RxShare_wi'!AL:AL)</f>
        <v>0</v>
      </c>
      <c r="N8">
        <f>_xlfn.XLOOKUP(BBB_Brands_Growths!J8,'3_Years_CountRx_with_RxShare_wi'!A:A,'3_Years_CountRx_with_RxShare_wi'!AM:AM)</f>
        <v>1.2912582516503301</v>
      </c>
      <c r="O8">
        <f>_xlfn.XLOOKUP(J8,'3_Years_CountRx_with_RxShare_wi'!A:A,'3_Years_CountRx_with_RxShare_wi'!AN:AN)</f>
        <v>1.2912582516503301</v>
      </c>
    </row>
    <row r="9" spans="1:20" x14ac:dyDescent="0.35">
      <c r="A9" t="s">
        <v>109</v>
      </c>
      <c r="B9">
        <f>_xlfn.XLOOKUP(A9,'Updated_List_for_BBB_Rx&amp;IQVIA'!D:D,'Updated_List_for_BBB_Rx&amp;IQVIA'!P:P)</f>
        <v>-5.3494335149592009E-3</v>
      </c>
      <c r="C9">
        <f>_xlfn.XLOOKUP(A9,'Updated_List_for_BBB_Rx&amp;IQVIA'!D:D,'Updated_List_for_BBB_Rx&amp;IQVIA'!Q:Q)</f>
        <v>4.117416391238593E-2</v>
      </c>
      <c r="D9">
        <f>_xlfn.XLOOKUP(A9,'Updated_List_for_BBB_Rx&amp;IQVIA'!D:D,'Updated_List_for_BBB_Rx&amp;IQVIA'!R:R)</f>
        <v>4.6773810818560246E-2</v>
      </c>
      <c r="E9">
        <f>_xlfn.XLOOKUP(A9,'Updated_List_for_BBB_Rx&amp;IQVIA'!D:D,'Updated_List_for_BBB_Rx&amp;IQVIA'!T:T)</f>
        <v>8</v>
      </c>
      <c r="F9">
        <f>_xlfn.XLOOKUP(A9,'Updated_List_for_BBB_Rx&amp;IQVIA'!D:D,'Updated_List_for_BBB_Rx&amp;IQVIA'!U:U)</f>
        <v>8</v>
      </c>
      <c r="J9" t="s">
        <v>41</v>
      </c>
      <c r="K9">
        <f>_xlfn.XLOOKUP(BBB_Brands_Growths!J9,'3_Years_CountRx_with_RxShare_wi'!A:A,'3_Years_CountRx_with_RxShare_wi'!AJ:AJ)</f>
        <v>0.36363636363636365</v>
      </c>
      <c r="L9">
        <f>_xlfn.XLOOKUP(J9,'3_Years_CountRx_with_RxShare_wi'!A:A,'3_Years_CountRx_with_RxShare_wi'!AK:AK)</f>
        <v>1.3333333333333333</v>
      </c>
      <c r="M9">
        <f>_xlfn.XLOOKUP(J9,'3_Years_CountRx_with_RxShare_wi'!A:A,'3_Years_CountRx_with_RxShare_wi'!AL:AL)</f>
        <v>0.26229508196721313</v>
      </c>
      <c r="N9">
        <f>_xlfn.XLOOKUP(BBB_Brands_Growths!J9,'3_Years_CountRx_with_RxShare_wi'!A:A,'3_Years_CountRx_with_RxShare_wi'!AM:AM)</f>
        <v>0.66265060240963858</v>
      </c>
      <c r="O9">
        <f>_xlfn.XLOOKUP(J9,'3_Years_CountRx_with_RxShare_wi'!A:A,'3_Years_CountRx_with_RxShare_wi'!AN:AN)</f>
        <v>0.29901423877327493</v>
      </c>
    </row>
    <row r="10" spans="1:20" x14ac:dyDescent="0.35">
      <c r="A10" t="s">
        <v>40</v>
      </c>
      <c r="B10">
        <f>_xlfn.XLOOKUP(A10,'Updated_List_for_BBB_Rx&amp;IQVIA'!D:D,'Updated_List_for_BBB_Rx&amp;IQVIA'!P:P)</f>
        <v>-0.44833138980825415</v>
      </c>
      <c r="C10">
        <f>_xlfn.XLOOKUP(A10,'Updated_List_for_BBB_Rx&amp;IQVIA'!D:D,'Updated_List_for_BBB_Rx&amp;IQVIA'!Q:Q)</f>
        <v>-0.29464037767286866</v>
      </c>
      <c r="D10">
        <f>_xlfn.XLOOKUP(A10,'Updated_List_for_BBB_Rx&amp;IQVIA'!D:D,'Updated_List_for_BBB_Rx&amp;IQVIA'!R:R)</f>
        <v>0.27859299821674921</v>
      </c>
      <c r="E10">
        <f>_xlfn.XLOOKUP(A10,'Updated_List_for_BBB_Rx&amp;IQVIA'!D:D,'Updated_List_for_BBB_Rx&amp;IQVIA'!T:T)</f>
        <v>17</v>
      </c>
      <c r="F10">
        <f>_xlfn.XLOOKUP(A10,'Updated_List_for_BBB_Rx&amp;IQVIA'!D:D,'Updated_List_for_BBB_Rx&amp;IQVIA'!U:U)</f>
        <v>17</v>
      </c>
      <c r="J10" t="s">
        <v>43</v>
      </c>
      <c r="K10">
        <f>_xlfn.XLOOKUP(BBB_Brands_Growths!J10,'3_Years_CountRx_with_RxShare_wi'!A:A,'3_Years_CountRx_with_RxShare_wi'!AJ:AJ)</f>
        <v>0.13884297520661157</v>
      </c>
      <c r="L10">
        <f>_xlfn.XLOOKUP(J10,'3_Years_CountRx_with_RxShare_wi'!A:A,'3_Years_CountRx_with_RxShare_wi'!AK:AK)</f>
        <v>2.2105263157894739</v>
      </c>
      <c r="M10">
        <f>_xlfn.XLOOKUP(J10,'3_Years_CountRx_with_RxShare_wi'!A:A,'3_Years_CountRx_with_RxShare_wi'!AL:AL)</f>
        <v>0.35501858736059477</v>
      </c>
      <c r="N10">
        <f>_xlfn.XLOOKUP(BBB_Brands_Growths!J10,'3_Years_CountRx_with_RxShare_wi'!A:A,'3_Years_CountRx_with_RxShare_wi'!AM:AM)</f>
        <v>0.98775510204081629</v>
      </c>
      <c r="O10">
        <f>_xlfn.XLOOKUP(J10,'3_Years_CountRx_with_RxShare_wi'!A:A,'3_Years_CountRx_with_RxShare_wi'!AN:AN)</f>
        <v>0.84891212683420469</v>
      </c>
    </row>
    <row r="11" spans="1:20" x14ac:dyDescent="0.35">
      <c r="A11" t="s">
        <v>60</v>
      </c>
      <c r="B11">
        <f>_xlfn.XLOOKUP(A11,'Updated_List_for_BBB_Rx&amp;IQVIA'!D:D,'Updated_List_for_BBB_Rx&amp;IQVIA'!P:P)</f>
        <v>-4.3070217039902103E-2</v>
      </c>
      <c r="C11">
        <f>_xlfn.XLOOKUP(A11,'Updated_List_for_BBB_Rx&amp;IQVIA'!D:D,'Updated_List_for_BBB_Rx&amp;IQVIA'!Q:Q)</f>
        <v>1.4385029952116657E-2</v>
      </c>
      <c r="D11">
        <f>_xlfn.XLOOKUP(A11,'Updated_List_for_BBB_Rx&amp;IQVIA'!D:D,'Updated_List_for_BBB_Rx&amp;IQVIA'!R:R)</f>
        <v>6.0041236060488057E-2</v>
      </c>
      <c r="E11">
        <f>_xlfn.XLOOKUP(A11,'Updated_List_for_BBB_Rx&amp;IQVIA'!D:D,'Updated_List_for_BBB_Rx&amp;IQVIA'!T:T)</f>
        <v>3</v>
      </c>
      <c r="F11">
        <f>_xlfn.XLOOKUP(A11,'Updated_List_for_BBB_Rx&amp;IQVIA'!D:D,'Updated_List_for_BBB_Rx&amp;IQVIA'!U:U)</f>
        <v>3</v>
      </c>
      <c r="J11" t="s">
        <v>45</v>
      </c>
      <c r="K11">
        <f>_xlfn.XLOOKUP(BBB_Brands_Growths!J11,'3_Years_CountRx_with_RxShare_wi'!A:A,'3_Years_CountRx_with_RxShare_wi'!AJ:AJ)</f>
        <v>6.4850843060959796E-3</v>
      </c>
      <c r="L11">
        <f>_xlfn.XLOOKUP(J11,'3_Years_CountRx_with_RxShare_wi'!A:A,'3_Years_CountRx_with_RxShare_wi'!AK:AK)</f>
        <v>1.6666666666666667</v>
      </c>
      <c r="M11">
        <f>_xlfn.XLOOKUP(J11,'3_Years_CountRx_with_RxShare_wi'!A:A,'3_Years_CountRx_with_RxShare_wi'!AL:AL)</f>
        <v>9.1973244147157199E-3</v>
      </c>
      <c r="N11">
        <f>_xlfn.XLOOKUP(BBB_Brands_Growths!J11,'3_Years_CountRx_with_RxShare_wi'!A:A,'3_Years_CountRx_with_RxShare_wi'!AM:AM)</f>
        <v>1.0879586077140169</v>
      </c>
      <c r="O11">
        <f>_xlfn.XLOOKUP(J11,'3_Years_CountRx_with_RxShare_wi'!A:A,'3_Years_CountRx_with_RxShare_wi'!AN:AN)</f>
        <v>1.0814735234079209</v>
      </c>
    </row>
    <row r="12" spans="1:20" x14ac:dyDescent="0.35">
      <c r="A12" t="s">
        <v>91</v>
      </c>
      <c r="B12">
        <f>_xlfn.XLOOKUP(A12,'Updated_List_for_BBB_Rx&amp;IQVIA'!D:D,'Updated_List_for_BBB_Rx&amp;IQVIA'!P:P)</f>
        <v>-7.9841716527074724E-2</v>
      </c>
      <c r="C12">
        <f>_xlfn.XLOOKUP(A12,'Updated_List_for_BBB_Rx&amp;IQVIA'!D:D,'Updated_List_for_BBB_Rx&amp;IQVIA'!Q:Q)</f>
        <v>-1.2182777558419233E-2</v>
      </c>
      <c r="D12">
        <f>_xlfn.XLOOKUP(A12,'Updated_List_for_BBB_Rx&amp;IQVIA'!D:D,'Updated_List_for_BBB_Rx&amp;IQVIA'!R:R)</f>
        <v>7.3529674387424526E-2</v>
      </c>
      <c r="E12">
        <f>_xlfn.XLOOKUP(A12,'Updated_List_for_BBB_Rx&amp;IQVIA'!D:D,'Updated_List_for_BBB_Rx&amp;IQVIA'!T:T)</f>
        <v>9</v>
      </c>
      <c r="F12">
        <f>_xlfn.XLOOKUP(A12,'Updated_List_for_BBB_Rx&amp;IQVIA'!D:D,'Updated_List_for_BBB_Rx&amp;IQVIA'!U:U)</f>
        <v>9</v>
      </c>
      <c r="J12" t="s">
        <v>47</v>
      </c>
      <c r="K12">
        <f>_xlfn.XLOOKUP(BBB_Brands_Growths!J12,'3_Years_CountRx_with_RxShare_wi'!A:A,'3_Years_CountRx_with_RxShare_wi'!AJ:AJ)</f>
        <v>0</v>
      </c>
      <c r="L12">
        <v>0</v>
      </c>
      <c r="M12">
        <f>_xlfn.XLOOKUP(J12,'3_Years_CountRx_with_RxShare_wi'!A:A,'3_Years_CountRx_with_RxShare_wi'!AL:AL)</f>
        <v>0</v>
      </c>
      <c r="N12">
        <f>_xlfn.XLOOKUP(BBB_Brands_Growths!J12,'3_Years_CountRx_with_RxShare_wi'!A:A,'3_Years_CountRx_with_RxShare_wi'!AM:AM)</f>
        <v>1.6939782823297138</v>
      </c>
      <c r="O12">
        <f>_xlfn.XLOOKUP(J12,'3_Years_CountRx_with_RxShare_wi'!A:A,'3_Years_CountRx_with_RxShare_wi'!AN:AN)</f>
        <v>1.6939782823297138</v>
      </c>
    </row>
    <row r="13" spans="1:20" x14ac:dyDescent="0.35">
      <c r="A13" t="s">
        <v>117</v>
      </c>
      <c r="B13">
        <f>_xlfn.XLOOKUP(A13,'Updated_List_for_BBB_Rx&amp;IQVIA'!D:D,'Updated_List_for_BBB_Rx&amp;IQVIA'!P:P)</f>
        <v>5.8744564859215531E-2</v>
      </c>
      <c r="C13">
        <f>_xlfn.XLOOKUP(A13,'Updated_List_for_BBB_Rx&amp;IQVIA'!D:D,'Updated_List_for_BBB_Rx&amp;IQVIA'!Q:Q)</f>
        <v>0.16464710367090052</v>
      </c>
      <c r="D13">
        <f>_xlfn.XLOOKUP(A13,'Updated_List_for_BBB_Rx&amp;IQVIA'!D:D,'Updated_List_for_BBB_Rx&amp;IQVIA'!R:R)</f>
        <v>0.10002652417466451</v>
      </c>
      <c r="E13">
        <f>_xlfn.XLOOKUP(A13,'Updated_List_for_BBB_Rx&amp;IQVIA'!D:D,'Updated_List_for_BBB_Rx&amp;IQVIA'!T:T)</f>
        <v>7</v>
      </c>
      <c r="F13">
        <f>_xlfn.XLOOKUP(A13,'Updated_List_for_BBB_Rx&amp;IQVIA'!D:D,'Updated_List_for_BBB_Rx&amp;IQVIA'!U:U)</f>
        <v>7</v>
      </c>
      <c r="J13" t="s">
        <v>49</v>
      </c>
      <c r="K13">
        <f>_xlfn.XLOOKUP(BBB_Brands_Growths!J13,'3_Years_CountRx_with_RxShare_wi'!A:A,'3_Years_CountRx_with_RxShare_wi'!AJ:AJ)</f>
        <v>0</v>
      </c>
      <c r="L13">
        <v>0</v>
      </c>
      <c r="M13">
        <f>_xlfn.XLOOKUP(J13,'3_Years_CountRx_with_RxShare_wi'!A:A,'3_Years_CountRx_with_RxShare_wi'!AL:AL)</f>
        <v>4.7058823529411764E-2</v>
      </c>
      <c r="N13">
        <f>_xlfn.XLOOKUP(BBB_Brands_Growths!J13,'3_Years_CountRx_with_RxShare_wi'!A:A,'3_Years_CountRx_with_RxShare_wi'!AM:AM)</f>
        <v>0.76258992805755399</v>
      </c>
      <c r="O13">
        <f>_xlfn.XLOOKUP(J13,'3_Years_CountRx_with_RxShare_wi'!A:A,'3_Years_CountRx_with_RxShare_wi'!AN:AN)</f>
        <v>0.76258992805755399</v>
      </c>
    </row>
    <row r="14" spans="1:20" x14ac:dyDescent="0.35">
      <c r="A14" t="s">
        <v>30</v>
      </c>
      <c r="B14">
        <f>_xlfn.XLOOKUP(A14,'Updated_List_for_BBB_Rx&amp;IQVIA'!D:D,'Updated_List_for_BBB_Rx&amp;IQVIA'!P:P)</f>
        <v>2.790329756643084E-2</v>
      </c>
      <c r="C14">
        <f>_xlfn.XLOOKUP(A14,'Updated_List_for_BBB_Rx&amp;IQVIA'!D:D,'Updated_List_for_BBB_Rx&amp;IQVIA'!Q:Q)</f>
        <v>-7.5574262471452047E-2</v>
      </c>
      <c r="D14">
        <f>_xlfn.XLOOKUP(A14,'Updated_List_for_BBB_Rx&amp;IQVIA'!D:D,'Updated_List_for_BBB_Rx&amp;IQVIA'!R:R)</f>
        <v>-0.10066857483857361</v>
      </c>
      <c r="E14">
        <f>_xlfn.XLOOKUP(A14,'Updated_List_for_BBB_Rx&amp;IQVIA'!D:D,'Updated_List_for_BBB_Rx&amp;IQVIA'!T:T)</f>
        <v>13</v>
      </c>
      <c r="F14">
        <f>_xlfn.XLOOKUP(A14,'Updated_List_for_BBB_Rx&amp;IQVIA'!D:D,'Updated_List_for_BBB_Rx&amp;IQVIA'!U:U)</f>
        <v>13</v>
      </c>
      <c r="J14" t="s">
        <v>51</v>
      </c>
      <c r="K14">
        <f>_xlfn.XLOOKUP(BBB_Brands_Growths!J14,'3_Years_CountRx_with_RxShare_wi'!A:A,'3_Years_CountRx_with_RxShare_wi'!AJ:AJ)</f>
        <v>3.5793649609998357E-4</v>
      </c>
      <c r="L14">
        <f>_xlfn.XLOOKUP(J14,'3_Years_CountRx_with_RxShare_wi'!A:A,'3_Years_CountRx_with_RxShare_wi'!AK:AK)</f>
        <v>1.3333333333333333</v>
      </c>
      <c r="M14">
        <f>_xlfn.XLOOKUP(J14,'3_Years_CountRx_with_RxShare_wi'!A:A,'3_Years_CountRx_with_RxShare_wi'!AL:AL)</f>
        <v>1.1382607375929579E-3</v>
      </c>
      <c r="N14">
        <f>_xlfn.XLOOKUP(BBB_Brands_Growths!J14,'3_Years_CountRx_with_RxShare_wi'!A:A,'3_Years_CountRx_with_RxShare_wi'!AM:AM)</f>
        <v>1.3365026211405449</v>
      </c>
      <c r="O14">
        <f>_xlfn.XLOOKUP(J14,'3_Years_CountRx_with_RxShare_wi'!A:A,'3_Years_CountRx_with_RxShare_wi'!AN:AN)</f>
        <v>1.3361446846444449</v>
      </c>
    </row>
    <row r="15" spans="1:20" x14ac:dyDescent="0.35">
      <c r="A15" t="s">
        <v>383</v>
      </c>
      <c r="B15">
        <v>0</v>
      </c>
      <c r="C15">
        <v>0</v>
      </c>
      <c r="D15">
        <f>_xlfn.XLOOKUP(A15,'Updated_List_for_BBB_Rx&amp;IQVIA'!D:D,'Updated_List_for_BBB_Rx&amp;IQVIA'!R:R)</f>
        <v>0.46011243785717615</v>
      </c>
      <c r="E15">
        <f>_xlfn.XLOOKUP(A15,'Updated_List_for_BBB_Rx&amp;IQVIA'!D:D,'Updated_List_for_BBB_Rx&amp;IQVIA'!T:T)</f>
        <v>3</v>
      </c>
      <c r="F15">
        <f>_xlfn.XLOOKUP(A15,'Updated_List_for_BBB_Rx&amp;IQVIA'!D:D,'Updated_List_for_BBB_Rx&amp;IQVIA'!U:U)</f>
        <v>0</v>
      </c>
      <c r="J15" t="s">
        <v>53</v>
      </c>
      <c r="K15">
        <f>_xlfn.XLOOKUP(BBB_Brands_Growths!J15,'3_Years_CountRx_with_RxShare_wi'!A:A,'3_Years_CountRx_with_RxShare_wi'!AJ:AJ)</f>
        <v>0</v>
      </c>
      <c r="L15">
        <v>0</v>
      </c>
      <c r="M15">
        <f>_xlfn.XLOOKUP(J15,'3_Years_CountRx_with_RxShare_wi'!A:A,'3_Years_CountRx_with_RxShare_wi'!AL:AL)</f>
        <v>0</v>
      </c>
      <c r="N15">
        <f>_xlfn.XLOOKUP(BBB_Brands_Growths!J15,'3_Years_CountRx_with_RxShare_wi'!A:A,'3_Years_CountRx_with_RxShare_wi'!AM:AM)</f>
        <v>1.2546841623436069</v>
      </c>
      <c r="O15">
        <f>_xlfn.XLOOKUP(J15,'3_Years_CountRx_with_RxShare_wi'!A:A,'3_Years_CountRx_with_RxShare_wi'!AN:AN)</f>
        <v>1.2546841623436069</v>
      </c>
    </row>
    <row r="16" spans="1:20" x14ac:dyDescent="0.35">
      <c r="A16" t="s">
        <v>85</v>
      </c>
      <c r="B16">
        <f>_xlfn.XLOOKUP(A16,'Updated_List_for_BBB_Rx&amp;IQVIA'!D:D,'Updated_List_for_BBB_Rx&amp;IQVIA'!P:P)</f>
        <v>-0.65591120671587499</v>
      </c>
      <c r="C16">
        <f>_xlfn.XLOOKUP(A16,'Updated_List_for_BBB_Rx&amp;IQVIA'!D:D,'Updated_List_for_BBB_Rx&amp;IQVIA'!Q:Q)</f>
        <v>-0.62293488824101062</v>
      </c>
      <c r="D16">
        <f>_xlfn.XLOOKUP(A16,'Updated_List_for_BBB_Rx&amp;IQVIA'!D:D,'Updated_List_for_BBB_Rx&amp;IQVIA'!R:R)</f>
        <v>9.5836653557137774E-2</v>
      </c>
      <c r="E16">
        <f>_xlfn.XLOOKUP(A16,'Updated_List_for_BBB_Rx&amp;IQVIA'!D:D,'Updated_List_for_BBB_Rx&amp;IQVIA'!T:T)</f>
        <v>12</v>
      </c>
      <c r="F16">
        <f>_xlfn.XLOOKUP(A16,'Updated_List_for_BBB_Rx&amp;IQVIA'!D:D,'Updated_List_for_BBB_Rx&amp;IQVIA'!U:U)</f>
        <v>8</v>
      </c>
      <c r="J16" t="s">
        <v>55</v>
      </c>
      <c r="K16">
        <f>_xlfn.XLOOKUP(BBB_Brands_Growths!J16,'3_Years_CountRx_with_RxShare_wi'!A:A,'3_Years_CountRx_with_RxShare_wi'!AJ:AJ)</f>
        <v>0</v>
      </c>
      <c r="L16">
        <v>0</v>
      </c>
      <c r="M16">
        <v>0</v>
      </c>
      <c r="N16">
        <f>_xlfn.XLOOKUP(BBB_Brands_Growths!J16,'3_Years_CountRx_with_RxShare_wi'!A:A,'3_Years_CountRx_with_RxShare_wi'!AM:AM)</f>
        <v>0</v>
      </c>
      <c r="O16">
        <f>_xlfn.XLOOKUP(J16,'3_Years_CountRx_with_RxShare_wi'!A:A,'3_Years_CountRx_with_RxShare_wi'!AN:AN)</f>
        <v>0</v>
      </c>
    </row>
    <row r="17" spans="1:15" x14ac:dyDescent="0.35">
      <c r="A17" t="s">
        <v>56</v>
      </c>
      <c r="B17">
        <f>_xlfn.XLOOKUP(A17,'Updated_List_for_BBB_Rx&amp;IQVIA'!D:D,'Updated_List_for_BBB_Rx&amp;IQVIA'!P:P)</f>
        <v>-0.19575147541976912</v>
      </c>
      <c r="C17">
        <f>_xlfn.XLOOKUP(A17,'Updated_List_for_BBB_Rx&amp;IQVIA'!D:D,'Updated_List_for_BBB_Rx&amp;IQVIA'!Q:Q)</f>
        <v>-0.14511043579569993</v>
      </c>
      <c r="D17">
        <f>_xlfn.XLOOKUP(A17,'Updated_List_for_BBB_Rx&amp;IQVIA'!D:D,'Updated_List_for_BBB_Rx&amp;IQVIA'!R:R)</f>
        <v>6.296690398095639E-2</v>
      </c>
      <c r="E17">
        <f>_xlfn.XLOOKUP(A17,'Updated_List_for_BBB_Rx&amp;IQVIA'!D:D,'Updated_List_for_BBB_Rx&amp;IQVIA'!T:T)</f>
        <v>4</v>
      </c>
      <c r="F17">
        <f>_xlfn.XLOOKUP(A17,'Updated_List_for_BBB_Rx&amp;IQVIA'!D:D,'Updated_List_for_BBB_Rx&amp;IQVIA'!U:U)</f>
        <v>3</v>
      </c>
      <c r="J17" t="s">
        <v>57</v>
      </c>
      <c r="K17">
        <f>_xlfn.XLOOKUP(BBB_Brands_Growths!J17,'3_Years_CountRx_with_RxShare_wi'!A:A,'3_Years_CountRx_with_RxShare_wi'!AJ:AJ)</f>
        <v>0.44715447154471544</v>
      </c>
      <c r="L17">
        <f>_xlfn.XLOOKUP(J17,'3_Years_CountRx_with_RxShare_wi'!A:A,'3_Years_CountRx_with_RxShare_wi'!AK:AK)</f>
        <v>1.4473684210526316</v>
      </c>
      <c r="M17">
        <v>0</v>
      </c>
      <c r="N17">
        <f>_xlfn.XLOOKUP(BBB_Brands_Growths!J17,'3_Years_CountRx_with_RxShare_wi'!A:A,'3_Years_CountRx_with_RxShare_wi'!AM:AM)</f>
        <v>0</v>
      </c>
      <c r="O17">
        <f>_xlfn.XLOOKUP(J17,'3_Years_CountRx_with_RxShare_wi'!A:A,'3_Years_CountRx_with_RxShare_wi'!AN:AN)</f>
        <v>-0.44715447154471544</v>
      </c>
    </row>
    <row r="18" spans="1:15" x14ac:dyDescent="0.35">
      <c r="A18" t="s">
        <v>48</v>
      </c>
      <c r="B18">
        <f>_xlfn.XLOOKUP(A18,'Updated_List_for_BBB_Rx&amp;IQVIA'!D:D,'Updated_List_for_BBB_Rx&amp;IQVIA'!P:P)</f>
        <v>0.10703058015636469</v>
      </c>
      <c r="C18">
        <f>_xlfn.XLOOKUP(A18,'Updated_List_for_BBB_Rx&amp;IQVIA'!D:D,'Updated_List_for_BBB_Rx&amp;IQVIA'!Q:Q)</f>
        <v>0.17993333951881696</v>
      </c>
      <c r="D18">
        <f>_xlfn.XLOOKUP(A18,'Updated_List_for_BBB_Rx&amp;IQVIA'!D:D,'Updated_List_for_BBB_Rx&amp;IQVIA'!R:R)</f>
        <v>6.5854332002423188E-2</v>
      </c>
      <c r="E18">
        <f>_xlfn.XLOOKUP(A18,'Updated_List_for_BBB_Rx&amp;IQVIA'!D:D,'Updated_List_for_BBB_Rx&amp;IQVIA'!T:T)</f>
        <v>2</v>
      </c>
      <c r="F18">
        <f>_xlfn.XLOOKUP(A18,'Updated_List_for_BBB_Rx&amp;IQVIA'!D:D,'Updated_List_for_BBB_Rx&amp;IQVIA'!U:U)</f>
        <v>2</v>
      </c>
      <c r="J18" t="s">
        <v>59</v>
      </c>
      <c r="K18">
        <f>_xlfn.XLOOKUP(BBB_Brands_Growths!J18,'3_Years_CountRx_with_RxShare_wi'!A:A,'3_Years_CountRx_with_RxShare_wi'!AJ:AJ)</f>
        <v>0.17927678116688359</v>
      </c>
      <c r="L18">
        <f>_xlfn.XLOOKUP(J18,'3_Years_CountRx_with_RxShare_wi'!A:A,'3_Years_CountRx_with_RxShare_wi'!AK:AK)</f>
        <v>2.4313123561013046</v>
      </c>
      <c r="M18">
        <f>_xlfn.XLOOKUP(J18,'3_Years_CountRx_with_RxShare_wi'!A:A,'3_Years_CountRx_with_RxShare_wi'!AL:AL)</f>
        <v>0.21571454316092989</v>
      </c>
      <c r="N18">
        <f>_xlfn.XLOOKUP(BBB_Brands_Growths!J18,'3_Years_CountRx_with_RxShare_wi'!A:A,'3_Years_CountRx_with_RxShare_wi'!AM:AM)</f>
        <v>1.1265459645543796</v>
      </c>
      <c r="O18">
        <f>_xlfn.XLOOKUP(J18,'3_Years_CountRx_with_RxShare_wi'!A:A,'3_Years_CountRx_with_RxShare_wi'!AN:AN)</f>
        <v>0.94726918338749599</v>
      </c>
    </row>
    <row r="19" spans="1:15" x14ac:dyDescent="0.35">
      <c r="A19" t="s">
        <v>385</v>
      </c>
      <c r="B19">
        <f>_xlfn.XLOOKUP(A19,'Updated_List_for_BBB_Rx&amp;IQVIA'!D:D,'Updated_List_for_BBB_Rx&amp;IQVIA'!P:P)</f>
        <v>-0.50976656927430219</v>
      </c>
      <c r="C19">
        <f>_xlfn.XLOOKUP(A19,'Updated_List_for_BBB_Rx&amp;IQVIA'!D:D,'Updated_List_for_BBB_Rx&amp;IQVIA'!Q:Q)</f>
        <v>-0.39017094017094012</v>
      </c>
      <c r="D19">
        <f>_xlfn.XLOOKUP(A19,'Updated_List_for_BBB_Rx&amp;IQVIA'!D:D,'Updated_List_for_BBB_Rx&amp;IQVIA'!R:R)</f>
        <v>0.24395649420791887</v>
      </c>
      <c r="E19">
        <f>_xlfn.XLOOKUP(A19,'Updated_List_for_BBB_Rx&amp;IQVIA'!D:D,'Updated_List_for_BBB_Rx&amp;IQVIA'!T:T)</f>
        <v>0</v>
      </c>
      <c r="F19">
        <f>_xlfn.XLOOKUP(A19,'Updated_List_for_BBB_Rx&amp;IQVIA'!D:D,'Updated_List_for_BBB_Rx&amp;IQVIA'!U:U)</f>
        <v>0</v>
      </c>
      <c r="J19" t="s">
        <v>61</v>
      </c>
      <c r="K19">
        <f>_xlfn.XLOOKUP(BBB_Brands_Growths!J19,'3_Years_CountRx_with_RxShare_wi'!A:A,'3_Years_CountRx_with_RxShare_wi'!AJ:AJ)</f>
        <v>7.7368779822767547E-2</v>
      </c>
      <c r="L19">
        <f>_xlfn.XLOOKUP(J19,'3_Years_CountRx_with_RxShare_wi'!A:A,'3_Years_CountRx_with_RxShare_wi'!AK:AK)</f>
        <v>2.045045045045045</v>
      </c>
      <c r="M19">
        <f>_xlfn.XLOOKUP(J19,'3_Years_CountRx_with_RxShare_wi'!A:A,'3_Years_CountRx_with_RxShare_wi'!AL:AL)</f>
        <v>0.14624213254350241</v>
      </c>
      <c r="N19">
        <f>_xlfn.XLOOKUP(BBB_Brands_Growths!J19,'3_Years_CountRx_with_RxShare_wi'!A:A,'3_Years_CountRx_with_RxShare_wi'!AM:AM)</f>
        <v>1.0064029270523669</v>
      </c>
      <c r="O19">
        <f>_xlfn.XLOOKUP(J19,'3_Years_CountRx_with_RxShare_wi'!A:A,'3_Years_CountRx_with_RxShare_wi'!AN:AN)</f>
        <v>0.92903414722959932</v>
      </c>
    </row>
    <row r="20" spans="1:15" x14ac:dyDescent="0.35">
      <c r="A20" t="s">
        <v>89</v>
      </c>
      <c r="B20">
        <f>_xlfn.XLOOKUP(A20,'Updated_List_for_BBB_Rx&amp;IQVIA'!D:D,'Updated_List_for_BBB_Rx&amp;IQVIA'!P:P)</f>
        <v>-0.27620561894764184</v>
      </c>
      <c r="C20">
        <f>_xlfn.XLOOKUP(A20,'Updated_List_for_BBB_Rx&amp;IQVIA'!D:D,'Updated_List_for_BBB_Rx&amp;IQVIA'!Q:Q)</f>
        <v>-0.37130940106851629</v>
      </c>
      <c r="D20">
        <f>_xlfn.XLOOKUP(A20,'Updated_List_for_BBB_Rx&amp;IQVIA'!D:D,'Updated_List_for_BBB_Rx&amp;IQVIA'!R:R)</f>
        <v>-0.13139613212055978</v>
      </c>
      <c r="E20">
        <f>_xlfn.XLOOKUP(A20,'Updated_List_for_BBB_Rx&amp;IQVIA'!D:D,'Updated_List_for_BBB_Rx&amp;IQVIA'!T:T)</f>
        <v>1</v>
      </c>
      <c r="F20">
        <f>_xlfn.XLOOKUP(A20,'Updated_List_for_BBB_Rx&amp;IQVIA'!D:D,'Updated_List_for_BBB_Rx&amp;IQVIA'!U:U)</f>
        <v>1</v>
      </c>
      <c r="J20" t="s">
        <v>50</v>
      </c>
      <c r="K20">
        <f>_xlfn.XLOOKUP(BBB_Brands_Growths!J20,'3_Years_CountRx_with_RxShare_wi'!A:A,'3_Years_CountRx_with_RxShare_wi'!AJ:AJ)</f>
        <v>1.3515773978789601E-2</v>
      </c>
      <c r="L20">
        <f>_xlfn.XLOOKUP(J20,'3_Years_CountRx_with_RxShare_wi'!A:A,'3_Years_CountRx_with_RxShare_wi'!AK:AK)</f>
        <v>2.4047619047619047</v>
      </c>
      <c r="M20">
        <f>_xlfn.XLOOKUP(J20,'3_Years_CountRx_with_RxShare_wi'!A:A,'3_Years_CountRx_with_RxShare_wi'!AL:AL)</f>
        <v>2.0249695493300853E-2</v>
      </c>
      <c r="N20">
        <f>_xlfn.XLOOKUP(BBB_Brands_Growths!J20,'3_Years_CountRx_with_RxShare_wi'!A:A,'3_Years_CountRx_with_RxShare_wi'!AM:AM)</f>
        <v>1.0974006902122035</v>
      </c>
      <c r="O20">
        <f>_xlfn.XLOOKUP(J20,'3_Years_CountRx_with_RxShare_wi'!A:A,'3_Years_CountRx_with_RxShare_wi'!AN:AN)</f>
        <v>1.0838849162334139</v>
      </c>
    </row>
    <row r="21" spans="1:15" x14ac:dyDescent="0.35">
      <c r="J21" t="s">
        <v>64</v>
      </c>
      <c r="K21">
        <f>_xlfn.XLOOKUP(BBB_Brands_Growths!J21,'3_Years_CountRx_with_RxShare_wi'!A:A,'3_Years_CountRx_with_RxShare_wi'!AJ:AJ)</f>
        <v>1.0129095319851507E-5</v>
      </c>
      <c r="L21">
        <f>_xlfn.XLOOKUP(J21,'3_Years_CountRx_with_RxShare_wi'!A:A,'3_Years_CountRx_with_RxShare_wi'!AK:AK)</f>
        <v>1.3333333333333333</v>
      </c>
      <c r="M21">
        <f>_xlfn.XLOOKUP(J21,'3_Years_CountRx_with_RxShare_wi'!A:A,'3_Years_CountRx_with_RxShare_wi'!AL:AL)</f>
        <v>1.8770726009969342E-4</v>
      </c>
      <c r="N21">
        <f>_xlfn.XLOOKUP(BBB_Brands_Growths!J21,'3_Years_CountRx_with_RxShare_wi'!A:A,'3_Years_CountRx_with_RxShare_wi'!AM:AM)</f>
        <v>1.0841509951956074</v>
      </c>
      <c r="O21">
        <f>_xlfn.XLOOKUP(J21,'3_Years_CountRx_with_RxShare_wi'!A:A,'3_Years_CountRx_with_RxShare_wi'!AN:AN)</f>
        <v>1.0841408661002876</v>
      </c>
    </row>
    <row r="22" spans="1:15" x14ac:dyDescent="0.35">
      <c r="J22" t="s">
        <v>52</v>
      </c>
      <c r="K22">
        <f>_xlfn.XLOOKUP(BBB_Brands_Growths!J22,'3_Years_CountRx_with_RxShare_wi'!A:A,'3_Years_CountRx_with_RxShare_wi'!AJ:AJ)</f>
        <v>1.0547196284290484E-2</v>
      </c>
      <c r="L22">
        <f>_xlfn.XLOOKUP(J22,'3_Years_CountRx_with_RxShare_wi'!A:A,'3_Years_CountRx_with_RxShare_wi'!AK:AK)</f>
        <v>1.9818181818181819</v>
      </c>
      <c r="M22">
        <f>_xlfn.XLOOKUP(J22,'3_Years_CountRx_with_RxShare_wi'!A:A,'3_Years_CountRx_with_RxShare_wi'!AL:AL)</f>
        <v>2.0645385149201945E-2</v>
      </c>
      <c r="N22">
        <f>_xlfn.XLOOKUP(BBB_Brands_Growths!J22,'3_Years_CountRx_with_RxShare_wi'!A:A,'3_Years_CountRx_with_RxShare_wi'!AM:AM)</f>
        <v>1.0775205922218747</v>
      </c>
      <c r="O22">
        <f>_xlfn.XLOOKUP(J22,'3_Years_CountRx_with_RxShare_wi'!A:A,'3_Years_CountRx_with_RxShare_wi'!AN:AN)</f>
        <v>1.0669733959375842</v>
      </c>
    </row>
    <row r="23" spans="1:15" x14ac:dyDescent="0.35">
      <c r="J23" t="s">
        <v>67</v>
      </c>
      <c r="K23">
        <f>_xlfn.XLOOKUP(BBB_Brands_Growths!J23,'3_Years_CountRx_with_RxShare_wi'!A:A,'3_Years_CountRx_with_RxShare_wi'!AJ:AJ)</f>
        <v>0</v>
      </c>
      <c r="L23">
        <v>0</v>
      </c>
      <c r="M23">
        <f>_xlfn.XLOOKUP(J23,'3_Years_CountRx_with_RxShare_wi'!A:A,'3_Years_CountRx_with_RxShare_wi'!AL:AL)</f>
        <v>3.7099494097807759E-2</v>
      </c>
      <c r="N23">
        <f>_xlfn.XLOOKUP(BBB_Brands_Growths!J23,'3_Years_CountRx_with_RxShare_wi'!A:A,'3_Years_CountRx_with_RxShare_wi'!AM:AM)</f>
        <v>0.20217983651226157</v>
      </c>
      <c r="O23">
        <f>_xlfn.XLOOKUP(J23,'3_Years_CountRx_with_RxShare_wi'!A:A,'3_Years_CountRx_with_RxShare_wi'!AN:AN)</f>
        <v>0.20217983651226157</v>
      </c>
    </row>
    <row r="24" spans="1:15" x14ac:dyDescent="0.35">
      <c r="J24" t="s">
        <v>69</v>
      </c>
      <c r="K24">
        <f>_xlfn.XLOOKUP(BBB_Brands_Growths!J24,'3_Years_CountRx_with_RxShare_wi'!A:A,'3_Years_CountRx_with_RxShare_wi'!AJ:AJ)</f>
        <v>7.2863297624592455E-2</v>
      </c>
      <c r="L24">
        <f>_xlfn.XLOOKUP(J24,'3_Years_CountRx_with_RxShare_wi'!A:A,'3_Years_CountRx_with_RxShare_wi'!AK:AK)</f>
        <v>1.7789623312011371</v>
      </c>
      <c r="M24">
        <f>_xlfn.XLOOKUP(J24,'3_Years_CountRx_with_RxShare_wi'!A:A,'3_Years_CountRx_with_RxShare_wi'!AL:AL)</f>
        <v>0.13362946511197482</v>
      </c>
      <c r="N24">
        <f>_xlfn.XLOOKUP(BBB_Brands_Growths!J24,'3_Years_CountRx_with_RxShare_wi'!A:A,'3_Years_CountRx_with_RxShare_wi'!AM:AM)</f>
        <v>1.2488457483549642</v>
      </c>
      <c r="O24">
        <f>_xlfn.XLOOKUP(J24,'3_Years_CountRx_with_RxShare_wi'!A:A,'3_Years_CountRx_with_RxShare_wi'!AN:AN)</f>
        <v>1.1759824507303718</v>
      </c>
    </row>
    <row r="25" spans="1:15" x14ac:dyDescent="0.35">
      <c r="J25" t="s">
        <v>71</v>
      </c>
      <c r="K25">
        <f>_xlfn.XLOOKUP(BBB_Brands_Growths!J25,'3_Years_CountRx_with_RxShare_wi'!A:A,'3_Years_CountRx_with_RxShare_wi'!AJ:AJ)</f>
        <v>3.7519456049807484E-2</v>
      </c>
      <c r="L25">
        <f>_xlfn.XLOOKUP(J25,'3_Years_CountRx_with_RxShare_wi'!A:A,'3_Years_CountRx_with_RxShare_wi'!AK:AK)</f>
        <v>1.7026022304832713</v>
      </c>
      <c r="M25">
        <f>_xlfn.XLOOKUP(J25,'3_Years_CountRx_with_RxShare_wi'!A:A,'3_Years_CountRx_with_RxShare_wi'!AL:AL)</f>
        <v>8.4548104956268216E-2</v>
      </c>
      <c r="N25">
        <f>_xlfn.XLOOKUP(BBB_Brands_Growths!J25,'3_Years_CountRx_with_RxShare_wi'!A:A,'3_Years_CountRx_with_RxShare_wi'!AM:AM)</f>
        <v>1.1851456310679611</v>
      </c>
      <c r="O25">
        <f>_xlfn.XLOOKUP(J25,'3_Years_CountRx_with_RxShare_wi'!A:A,'3_Years_CountRx_with_RxShare_wi'!AN:AN)</f>
        <v>1.1476261750181536</v>
      </c>
    </row>
    <row r="26" spans="1:15" x14ac:dyDescent="0.35">
      <c r="J26" t="s">
        <v>73</v>
      </c>
      <c r="K26">
        <f>_xlfn.XLOOKUP(BBB_Brands_Growths!J26,'3_Years_CountRx_with_RxShare_wi'!A:A,'3_Years_CountRx_with_RxShare_wi'!AJ:AJ)</f>
        <v>1.3163130988459301E-2</v>
      </c>
      <c r="L26">
        <f>_xlfn.XLOOKUP(J26,'3_Years_CountRx_with_RxShare_wi'!A:A,'3_Years_CountRx_with_RxShare_wi'!AK:AK)</f>
        <v>1.3915857605177993</v>
      </c>
      <c r="M26">
        <f>_xlfn.XLOOKUP(J26,'3_Years_CountRx_with_RxShare_wi'!A:A,'3_Years_CountRx_with_RxShare_wi'!AL:AL)</f>
        <v>3.1036868636947712E-2</v>
      </c>
      <c r="N26">
        <f>_xlfn.XLOOKUP(BBB_Brands_Growths!J26,'3_Years_CountRx_with_RxShare_wi'!A:A,'3_Years_CountRx_with_RxShare_wi'!AM:AM)</f>
        <v>1.1481038906266474</v>
      </c>
      <c r="O26">
        <f>_xlfn.XLOOKUP(J26,'3_Years_CountRx_with_RxShare_wi'!A:A,'3_Years_CountRx_with_RxShare_wi'!AN:AN)</f>
        <v>1.1349407596381882</v>
      </c>
    </row>
    <row r="27" spans="1:15" x14ac:dyDescent="0.35">
      <c r="J27" t="s">
        <v>75</v>
      </c>
      <c r="K27">
        <f>_xlfn.XLOOKUP(BBB_Brands_Growths!J27,'3_Years_CountRx_with_RxShare_wi'!A:A,'3_Years_CountRx_with_RxShare_wi'!AJ:AJ)</f>
        <v>0.18502202643171806</v>
      </c>
      <c r="L27">
        <f>_xlfn.XLOOKUP(J27,'3_Years_CountRx_with_RxShare_wi'!A:A,'3_Years_CountRx_with_RxShare_wi'!AK:AK)</f>
        <v>2.4</v>
      </c>
      <c r="M27">
        <f>_xlfn.XLOOKUP(J27,'3_Years_CountRx_with_RxShare_wi'!A:A,'3_Years_CountRx_with_RxShare_wi'!AL:AL)</f>
        <v>0.13302752293577982</v>
      </c>
      <c r="N27">
        <f>_xlfn.XLOOKUP(BBB_Brands_Growths!J27,'3_Years_CountRx_with_RxShare_wi'!A:A,'3_Years_CountRx_with_RxShare_wi'!AM:AM)</f>
        <v>1.1368948247078463</v>
      </c>
      <c r="O27">
        <f>_xlfn.XLOOKUP(J27,'3_Years_CountRx_with_RxShare_wi'!A:A,'3_Years_CountRx_with_RxShare_wi'!AN:AN)</f>
        <v>0.95187279827612825</v>
      </c>
    </row>
    <row r="28" spans="1:15" x14ac:dyDescent="0.35">
      <c r="J28" t="s">
        <v>77</v>
      </c>
      <c r="K28">
        <f>_xlfn.XLOOKUP(BBB_Brands_Growths!J28,'3_Years_CountRx_with_RxShare_wi'!A:A,'3_Years_CountRx_with_RxShare_wi'!AJ:AJ)</f>
        <v>4.9242495707790129E-3</v>
      </c>
      <c r="L28">
        <f>_xlfn.XLOOKUP(J28,'3_Years_CountRx_with_RxShare_wi'!A:A,'3_Years_CountRx_with_RxShare_wi'!AK:AK)</f>
        <v>1.4914285714285713</v>
      </c>
      <c r="M28">
        <f>_xlfn.XLOOKUP(J28,'3_Years_CountRx_with_RxShare_wi'!A:A,'3_Years_CountRx_with_RxShare_wi'!AL:AL)</f>
        <v>1.2628084860730264E-2</v>
      </c>
      <c r="N28">
        <f>_xlfn.XLOOKUP(BBB_Brands_Growths!J28,'3_Years_CountRx_with_RxShare_wi'!A:A,'3_Years_CountRx_with_RxShare_wi'!AM:AM)</f>
        <v>1.1149372094490839</v>
      </c>
      <c r="O28">
        <f>_xlfn.XLOOKUP(J28,'3_Years_CountRx_with_RxShare_wi'!A:A,'3_Years_CountRx_with_RxShare_wi'!AN:AN)</f>
        <v>1.1100129598783048</v>
      </c>
    </row>
    <row r="29" spans="1:15" x14ac:dyDescent="0.35">
      <c r="J29" t="s">
        <v>79</v>
      </c>
      <c r="K29">
        <f>_xlfn.XLOOKUP(BBB_Brands_Growths!J29,'3_Years_CountRx_with_RxShare_wi'!A:A,'3_Years_CountRx_with_RxShare_wi'!AJ:AJ)</f>
        <v>0.30434782608695654</v>
      </c>
      <c r="L29">
        <f>_xlfn.XLOOKUP(J29,'3_Years_CountRx_with_RxShare_wi'!A:A,'3_Years_CountRx_with_RxShare_wi'!AK:AK)</f>
        <v>1.1666666666666667</v>
      </c>
      <c r="M29">
        <f>_xlfn.XLOOKUP(J29,'3_Years_CountRx_with_RxShare_wi'!A:A,'3_Years_CountRx_with_RxShare_wi'!AL:AL)</f>
        <v>0.6</v>
      </c>
      <c r="N29">
        <f>_xlfn.XLOOKUP(BBB_Brands_Growths!J29,'3_Years_CountRx_with_RxShare_wi'!A:A,'3_Years_CountRx_with_RxShare_wi'!AM:AM)</f>
        <v>1.2105263157894737</v>
      </c>
      <c r="O29">
        <f>_xlfn.XLOOKUP(J29,'3_Years_CountRx_with_RxShare_wi'!A:A,'3_Years_CountRx_with_RxShare_wi'!AN:AN)</f>
        <v>0.90617848970251713</v>
      </c>
    </row>
    <row r="30" spans="1:15" x14ac:dyDescent="0.35">
      <c r="J30" t="s">
        <v>66</v>
      </c>
      <c r="K30">
        <f>_xlfn.XLOOKUP(BBB_Brands_Growths!J30,'3_Years_CountRx_with_RxShare_wi'!A:A,'3_Years_CountRx_with_RxShare_wi'!AJ:AJ)</f>
        <v>0</v>
      </c>
      <c r="L30">
        <f>_xlfn.XLOOKUP(J30,'3_Years_CountRx_with_RxShare_wi'!A:A,'3_Years_CountRx_with_RxShare_wi'!AK:AK)</f>
        <v>0</v>
      </c>
      <c r="M30">
        <f>_xlfn.XLOOKUP(J30,'3_Years_CountRx_with_RxShare_wi'!A:A,'3_Years_CountRx_with_RxShare_wi'!AL:AL)</f>
        <v>0</v>
      </c>
      <c r="N30">
        <f>_xlfn.XLOOKUP(BBB_Brands_Growths!J30,'3_Years_CountRx_with_RxShare_wi'!A:A,'3_Years_CountRx_with_RxShare_wi'!AM:AM)</f>
        <v>1.6575342465753424</v>
      </c>
      <c r="O30">
        <f>_xlfn.XLOOKUP(J30,'3_Years_CountRx_with_RxShare_wi'!A:A,'3_Years_CountRx_with_RxShare_wi'!AN:AN)</f>
        <v>1.6575342465753424</v>
      </c>
    </row>
    <row r="31" spans="1:15" x14ac:dyDescent="0.35">
      <c r="J31" t="s">
        <v>82</v>
      </c>
      <c r="K31">
        <f>_xlfn.XLOOKUP(BBB_Brands_Growths!J31,'3_Years_CountRx_with_RxShare_wi'!A:A,'3_Years_CountRx_with_RxShare_wi'!AJ:AJ)</f>
        <v>2.1346057257659468E-3</v>
      </c>
      <c r="L31">
        <f>_xlfn.XLOOKUP(J31,'3_Years_CountRx_with_RxShare_wi'!A:A,'3_Years_CountRx_with_RxShare_wi'!AK:AK)</f>
        <v>1.5454545454545454</v>
      </c>
      <c r="M31">
        <f>_xlfn.XLOOKUP(J31,'3_Years_CountRx_with_RxShare_wi'!A:A,'3_Years_CountRx_with_RxShare_wi'!AL:AL)</f>
        <v>1.2315270935960591E-3</v>
      </c>
      <c r="N31">
        <f>_xlfn.XLOOKUP(BBB_Brands_Growths!J31,'3_Years_CountRx_with_RxShare_wi'!A:A,'3_Years_CountRx_with_RxShare_wi'!AM:AM)</f>
        <v>1.4578070657148088</v>
      </c>
      <c r="O31">
        <f>_xlfn.XLOOKUP(J31,'3_Years_CountRx_with_RxShare_wi'!A:A,'3_Years_CountRx_with_RxShare_wi'!AN:AN)</f>
        <v>1.4556724599890429</v>
      </c>
    </row>
    <row r="32" spans="1:15" x14ac:dyDescent="0.35">
      <c r="J32" t="s">
        <v>84</v>
      </c>
      <c r="K32">
        <f>_xlfn.XLOOKUP(BBB_Brands_Growths!J32,'3_Years_CountRx_with_RxShare_wi'!A:A,'3_Years_CountRx_with_RxShare_wi'!AJ:AJ)</f>
        <v>9.6750275783496391E-4</v>
      </c>
      <c r="L32">
        <f>_xlfn.XLOOKUP(J32,'3_Years_CountRx_with_RxShare_wi'!A:A,'3_Years_CountRx_with_RxShare_wi'!AK:AK)</f>
        <v>2.2765957446808511</v>
      </c>
      <c r="M32">
        <f>_xlfn.XLOOKUP(J32,'3_Years_CountRx_with_RxShare_wi'!A:A,'3_Years_CountRx_with_RxShare_wi'!AL:AL)</f>
        <v>1.7039000378644452E-3</v>
      </c>
      <c r="N32">
        <f>_xlfn.XLOOKUP(BBB_Brands_Growths!J32,'3_Years_CountRx_with_RxShare_wi'!A:A,'3_Years_CountRx_with_RxShare_wi'!AM:AM)</f>
        <v>1.2528916631736358</v>
      </c>
      <c r="O32">
        <f>_xlfn.XLOOKUP(J32,'3_Years_CountRx_with_RxShare_wi'!A:A,'3_Years_CountRx_with_RxShare_wi'!AN:AN)</f>
        <v>1.2519241604158009</v>
      </c>
    </row>
    <row r="33" spans="10:15" x14ac:dyDescent="0.35">
      <c r="J33" t="s">
        <v>86</v>
      </c>
      <c r="K33">
        <f>_xlfn.XLOOKUP(BBB_Brands_Growths!J33,'3_Years_CountRx_with_RxShare_wi'!A:A,'3_Years_CountRx_with_RxShare_wi'!AJ:AJ)</f>
        <v>0.19503735325506938</v>
      </c>
      <c r="L33">
        <f>_xlfn.XLOOKUP(J33,'3_Years_CountRx_with_RxShare_wi'!A:A,'3_Years_CountRx_with_RxShare_wi'!AK:AK)</f>
        <v>1.6101321585903083</v>
      </c>
      <c r="M33">
        <f>_xlfn.XLOOKUP(J33,'3_Years_CountRx_with_RxShare_wi'!A:A,'3_Years_CountRx_with_RxShare_wi'!AL:AL)</f>
        <v>0.27955082742316784</v>
      </c>
      <c r="N33">
        <f>_xlfn.XLOOKUP(BBB_Brands_Growths!J33,'3_Years_CountRx_with_RxShare_wi'!A:A,'3_Years_CountRx_with_RxShare_wi'!AM:AM)</f>
        <v>1.2482644628099173</v>
      </c>
      <c r="O33">
        <f>_xlfn.XLOOKUP(J33,'3_Years_CountRx_with_RxShare_wi'!A:A,'3_Years_CountRx_with_RxShare_wi'!AN:AN)</f>
        <v>1.053227109554848</v>
      </c>
    </row>
    <row r="34" spans="10:15" x14ac:dyDescent="0.35">
      <c r="J34" t="s">
        <v>88</v>
      </c>
      <c r="K34">
        <f>_xlfn.XLOOKUP(BBB_Brands_Growths!J34,'3_Years_CountRx_with_RxShare_wi'!A:A,'3_Years_CountRx_with_RxShare_wi'!AJ:AJ)</f>
        <v>8.0840743734842367E-5</v>
      </c>
      <c r="L34">
        <f>_xlfn.XLOOKUP(J34,'3_Years_CountRx_with_RxShare_wi'!A:A,'3_Years_CountRx_with_RxShare_wi'!AK:AK)</f>
        <v>1</v>
      </c>
      <c r="M34">
        <f>_xlfn.XLOOKUP(J34,'3_Years_CountRx_with_RxShare_wi'!A:A,'3_Years_CountRx_with_RxShare_wi'!AL:AL)</f>
        <v>0</v>
      </c>
      <c r="N34">
        <f>_xlfn.XLOOKUP(BBB_Brands_Growths!J34,'3_Years_CountRx_with_RxShare_wi'!A:A,'3_Years_CountRx_with_RxShare_wi'!AM:AM)</f>
        <v>1.0330716552530483</v>
      </c>
      <c r="O34">
        <f>_xlfn.XLOOKUP(J34,'3_Years_CountRx_with_RxShare_wi'!A:A,'3_Years_CountRx_with_RxShare_wi'!AN:AN)</f>
        <v>1.0329908145093134</v>
      </c>
    </row>
    <row r="35" spans="10:15" x14ac:dyDescent="0.35">
      <c r="J35" t="s">
        <v>90</v>
      </c>
      <c r="K35">
        <f>_xlfn.XLOOKUP(BBB_Brands_Growths!J35,'3_Years_CountRx_with_RxShare_wi'!A:A,'3_Years_CountRx_with_RxShare_wi'!AJ:AJ)</f>
        <v>0.39954366839903666</v>
      </c>
      <c r="L35">
        <f>_xlfn.XLOOKUP(J35,'3_Years_CountRx_with_RxShare_wi'!A:A,'3_Years_CountRx_with_RxShare_wi'!AK:AK)</f>
        <v>1.905683192261185</v>
      </c>
      <c r="M35">
        <f>_xlfn.XLOOKUP(J35,'3_Years_CountRx_with_RxShare_wi'!A:A,'3_Years_CountRx_with_RxShare_wi'!AL:AL)</f>
        <v>0.45134359509522565</v>
      </c>
      <c r="N35">
        <f>_xlfn.XLOOKUP(BBB_Brands_Growths!J35,'3_Years_CountRx_with_RxShare_wi'!A:A,'3_Years_CountRx_with_RxShare_wi'!AM:AM)</f>
        <v>1.0045842353240799</v>
      </c>
      <c r="O35">
        <f>_xlfn.XLOOKUP(J35,'3_Years_CountRx_with_RxShare_wi'!A:A,'3_Years_CountRx_with_RxShare_wi'!AN:AN)</f>
        <v>0.60504056692504327</v>
      </c>
    </row>
    <row r="36" spans="10:15" x14ac:dyDescent="0.35">
      <c r="J36" t="s">
        <v>92</v>
      </c>
      <c r="K36">
        <f>_xlfn.XLOOKUP(BBB_Brands_Growths!J36,'3_Years_CountRx_with_RxShare_wi'!A:A,'3_Years_CountRx_with_RxShare_wi'!AJ:AJ)</f>
        <v>1.7368649587494574E-2</v>
      </c>
      <c r="L36">
        <f>_xlfn.XLOOKUP(J36,'3_Years_CountRx_with_RxShare_wi'!A:A,'3_Years_CountRx_with_RxShare_wi'!AK:AK)</f>
        <v>2</v>
      </c>
      <c r="M36">
        <f>_xlfn.XLOOKUP(J36,'3_Years_CountRx_with_RxShare_wi'!A:A,'3_Years_CountRx_with_RxShare_wi'!AL:AL)</f>
        <v>1.5127388535031847E-2</v>
      </c>
      <c r="N36">
        <f>_xlfn.XLOOKUP(BBB_Brands_Growths!J36,'3_Years_CountRx_with_RxShare_wi'!A:A,'3_Years_CountRx_with_RxShare_wi'!AM:AM)</f>
        <v>0.88372985418265537</v>
      </c>
      <c r="O36">
        <f>_xlfn.XLOOKUP(J36,'3_Years_CountRx_with_RxShare_wi'!A:A,'3_Years_CountRx_with_RxShare_wi'!AN:AN)</f>
        <v>0.86636120459516075</v>
      </c>
    </row>
    <row r="37" spans="10:15" x14ac:dyDescent="0.35">
      <c r="J37" t="s">
        <v>94</v>
      </c>
      <c r="K37">
        <f>_xlfn.XLOOKUP(BBB_Brands_Growths!J37,'3_Years_CountRx_with_RxShare_wi'!A:A,'3_Years_CountRx_with_RxShare_wi'!AJ:AJ)</f>
        <v>1.5348875798556375E-2</v>
      </c>
      <c r="L37">
        <f>_xlfn.XLOOKUP(J37,'3_Years_CountRx_with_RxShare_wi'!A:A,'3_Years_CountRx_with_RxShare_wi'!AK:AK)</f>
        <v>1.796116504854369</v>
      </c>
      <c r="M37">
        <f>_xlfn.XLOOKUP(J37,'3_Years_CountRx_with_RxShare_wi'!A:A,'3_Years_CountRx_with_RxShare_wi'!AL:AL)</f>
        <v>3.2490136922719889E-2</v>
      </c>
      <c r="N37">
        <f>_xlfn.XLOOKUP(BBB_Brands_Growths!J37,'3_Years_CountRx_with_RxShare_wi'!A:A,'3_Years_CountRx_with_RxShare_wi'!AM:AM)</f>
        <v>0.76497842091901502</v>
      </c>
      <c r="O37">
        <f>_xlfn.XLOOKUP(J37,'3_Years_CountRx_with_RxShare_wi'!A:A,'3_Years_CountRx_with_RxShare_wi'!AN:AN)</f>
        <v>0.74962954512045865</v>
      </c>
    </row>
    <row r="38" spans="10:15" x14ac:dyDescent="0.35">
      <c r="J38" t="s">
        <v>96</v>
      </c>
      <c r="K38">
        <f>_xlfn.XLOOKUP(BBB_Brands_Growths!J38,'3_Years_CountRx_with_RxShare_wi'!A:A,'3_Years_CountRx_with_RxShare_wi'!AJ:AJ)</f>
        <v>3.9695095642168846E-3</v>
      </c>
      <c r="L38">
        <f>_xlfn.XLOOKUP(J38,'3_Years_CountRx_with_RxShare_wi'!A:A,'3_Years_CountRx_with_RxShare_wi'!AK:AK)</f>
        <v>2</v>
      </c>
      <c r="M38">
        <f>_xlfn.XLOOKUP(J38,'3_Years_CountRx_with_RxShare_wi'!A:A,'3_Years_CountRx_with_RxShare_wi'!AL:AL)</f>
        <v>1.1586452762923352E-2</v>
      </c>
      <c r="N38">
        <f>_xlfn.XLOOKUP(BBB_Brands_Growths!J38,'3_Years_CountRx_with_RxShare_wi'!A:A,'3_Years_CountRx_with_RxShare_wi'!AM:AM)</f>
        <v>1.2837413684871313</v>
      </c>
      <c r="O38">
        <f>_xlfn.XLOOKUP(J38,'3_Years_CountRx_with_RxShare_wi'!A:A,'3_Years_CountRx_with_RxShare_wi'!AN:AN)</f>
        <v>1.2797718589229143</v>
      </c>
    </row>
    <row r="39" spans="10:15" x14ac:dyDescent="0.35">
      <c r="J39" t="s">
        <v>98</v>
      </c>
      <c r="K39">
        <f>_xlfn.XLOOKUP(BBB_Brands_Growths!J39,'3_Years_CountRx_with_RxShare_wi'!A:A,'3_Years_CountRx_with_RxShare_wi'!AJ:AJ)</f>
        <v>7.381636319939574E-4</v>
      </c>
      <c r="L39">
        <f>_xlfn.XLOOKUP(J39,'3_Years_CountRx_with_RxShare_wi'!A:A,'3_Years_CountRx_with_RxShare_wi'!AK:AK)</f>
        <v>1.34375</v>
      </c>
      <c r="M39">
        <f>_xlfn.XLOOKUP(J39,'3_Years_CountRx_with_RxShare_wi'!A:A,'3_Years_CountRx_with_RxShare_wi'!AL:AL)</f>
        <v>1.0005366863451659E-2</v>
      </c>
      <c r="N39">
        <f>_xlfn.XLOOKUP(BBB_Brands_Growths!J39,'3_Years_CountRx_with_RxShare_wi'!A:A,'3_Years_CountRx_with_RxShare_wi'!AM:AM)</f>
        <v>1.2450786910707543</v>
      </c>
      <c r="O39">
        <f>_xlfn.XLOOKUP(J39,'3_Years_CountRx_with_RxShare_wi'!A:A,'3_Years_CountRx_with_RxShare_wi'!AN:AN)</f>
        <v>1.2443405274387604</v>
      </c>
    </row>
    <row r="40" spans="10:15" x14ac:dyDescent="0.35">
      <c r="J40" t="s">
        <v>100</v>
      </c>
      <c r="K40">
        <f>_xlfn.XLOOKUP(BBB_Brands_Growths!J40,'3_Years_CountRx_with_RxShare_wi'!A:A,'3_Years_CountRx_with_RxShare_wi'!AJ:AJ)</f>
        <v>5.2132701421800945E-2</v>
      </c>
      <c r="L40">
        <f>_xlfn.XLOOKUP(J40,'3_Years_CountRx_with_RxShare_wi'!A:A,'3_Years_CountRx_with_RxShare_wi'!AK:AK)</f>
        <v>1.7228915662650603</v>
      </c>
      <c r="M40">
        <f>_xlfn.XLOOKUP(J40,'3_Years_CountRx_with_RxShare_wi'!A:A,'3_Years_CountRx_with_RxShare_wi'!AL:AL)</f>
        <v>6.9918699186991867E-2</v>
      </c>
      <c r="N40">
        <f>_xlfn.XLOOKUP(BBB_Brands_Growths!J40,'3_Years_CountRx_with_RxShare_wi'!A:A,'3_Years_CountRx_with_RxShare_wi'!AM:AM)</f>
        <v>1.0390151515151516</v>
      </c>
      <c r="O40">
        <f>_xlfn.XLOOKUP(J40,'3_Years_CountRx_with_RxShare_wi'!A:A,'3_Years_CountRx_with_RxShare_wi'!AN:AN)</f>
        <v>0.98688245009335063</v>
      </c>
    </row>
    <row r="41" spans="10:15" x14ac:dyDescent="0.35">
      <c r="J41" t="s">
        <v>102</v>
      </c>
      <c r="K41">
        <f>_xlfn.XLOOKUP(BBB_Brands_Growths!J41,'3_Years_CountRx_with_RxShare_wi'!A:A,'3_Years_CountRx_with_RxShare_wi'!AJ:AJ)</f>
        <v>2.5415510149483329E-3</v>
      </c>
      <c r="L41">
        <f>_xlfn.XLOOKUP(J41,'3_Years_CountRx_with_RxShare_wi'!A:A,'3_Years_CountRx_with_RxShare_wi'!AK:AK)</f>
        <v>1.9</v>
      </c>
      <c r="M41">
        <f>_xlfn.XLOOKUP(J41,'3_Years_CountRx_with_RxShare_wi'!A:A,'3_Years_CountRx_with_RxShare_wi'!AL:AL)</f>
        <v>4.6781967677913244E-3</v>
      </c>
      <c r="N41">
        <f>_xlfn.XLOOKUP(BBB_Brands_Growths!J41,'3_Years_CountRx_with_RxShare_wi'!A:A,'3_Years_CountRx_with_RxShare_wi'!AM:AM)</f>
        <v>1.1669918826100532</v>
      </c>
      <c r="O41">
        <f>_xlfn.XLOOKUP(J41,'3_Years_CountRx_with_RxShare_wi'!A:A,'3_Years_CountRx_with_RxShare_wi'!AN:AN)</f>
        <v>1.1644503315951049</v>
      </c>
    </row>
    <row r="42" spans="10:15" x14ac:dyDescent="0.35">
      <c r="J42" t="s">
        <v>104</v>
      </c>
      <c r="K42">
        <f>_xlfn.XLOOKUP(BBB_Brands_Growths!J42,'3_Years_CountRx_with_RxShare_wi'!A:A,'3_Years_CountRx_with_RxShare_wi'!AJ:AJ)</f>
        <v>5.027932960893855E-2</v>
      </c>
      <c r="L42">
        <f>_xlfn.XLOOKUP(J42,'3_Years_CountRx_with_RxShare_wi'!A:A,'3_Years_CountRx_with_RxShare_wi'!AK:AK)</f>
        <v>1.2162162162162162</v>
      </c>
      <c r="M42">
        <f>_xlfn.XLOOKUP(J42,'3_Years_CountRx_with_RxShare_wi'!A:A,'3_Years_CountRx_with_RxShare_wi'!AL:AL)</f>
        <v>6.9469835466179158E-2</v>
      </c>
      <c r="N42">
        <f>_xlfn.XLOOKUP(BBB_Brands_Growths!J42,'3_Years_CountRx_with_RxShare_wi'!A:A,'3_Years_CountRx_with_RxShare_wi'!AM:AM)</f>
        <v>1.0124434389140271</v>
      </c>
      <c r="O42">
        <f>_xlfn.XLOOKUP(J42,'3_Years_CountRx_with_RxShare_wi'!A:A,'3_Years_CountRx_with_RxShare_wi'!AN:AN)</f>
        <v>0.96216410930508856</v>
      </c>
    </row>
    <row r="43" spans="10:15" x14ac:dyDescent="0.35">
      <c r="J43" t="s">
        <v>106</v>
      </c>
      <c r="K43">
        <f>_xlfn.XLOOKUP(BBB_Brands_Growths!J43,'3_Years_CountRx_with_RxShare_wi'!A:A,'3_Years_CountRx_with_RxShare_wi'!AJ:AJ)</f>
        <v>7.0512820512820514E-3</v>
      </c>
      <c r="L43">
        <f>_xlfn.XLOOKUP(J43,'3_Years_CountRx_with_RxShare_wi'!A:A,'3_Years_CountRx_with_RxShare_wi'!AK:AK)</f>
        <v>1</v>
      </c>
      <c r="M43">
        <f>_xlfn.XLOOKUP(J43,'3_Years_CountRx_with_RxShare_wi'!A:A,'3_Years_CountRx_with_RxShare_wi'!AL:AL)</f>
        <v>8.1871345029239772E-3</v>
      </c>
      <c r="N43">
        <f>_xlfn.XLOOKUP(BBB_Brands_Growths!J43,'3_Years_CountRx_with_RxShare_wi'!A:A,'3_Years_CountRx_with_RxShare_wi'!AM:AM)</f>
        <v>1.0825815405968078</v>
      </c>
      <c r="O43">
        <f>_xlfn.XLOOKUP(J43,'3_Years_CountRx_with_RxShare_wi'!A:A,'3_Years_CountRx_with_RxShare_wi'!AN:AN)</f>
        <v>1.0755302585455258</v>
      </c>
    </row>
    <row r="44" spans="10:15" x14ac:dyDescent="0.35">
      <c r="J44" t="s">
        <v>108</v>
      </c>
      <c r="K44">
        <f>_xlfn.XLOOKUP(BBB_Brands_Growths!J44,'3_Years_CountRx_with_RxShare_wi'!A:A,'3_Years_CountRx_with_RxShare_wi'!AJ:AJ)</f>
        <v>9.3961665946101738E-2</v>
      </c>
      <c r="L44">
        <f>_xlfn.XLOOKUP(J44,'3_Years_CountRx_with_RxShare_wi'!A:A,'3_Years_CountRx_with_RxShare_wi'!AK:AK)</f>
        <v>1.7112860892388451</v>
      </c>
      <c r="M44">
        <f>_xlfn.XLOOKUP(J44,'3_Years_CountRx_with_RxShare_wi'!A:A,'3_Years_CountRx_with_RxShare_wi'!AL:AL)</f>
        <v>0.1480865224625624</v>
      </c>
      <c r="N44">
        <f>_xlfn.XLOOKUP(BBB_Brands_Growths!J44,'3_Years_CountRx_with_RxShare_wi'!A:A,'3_Years_CountRx_with_RxShare_wi'!AM:AM)</f>
        <v>1.1040572792362768</v>
      </c>
      <c r="O44">
        <f>_xlfn.XLOOKUP(J44,'3_Years_CountRx_with_RxShare_wi'!A:A,'3_Years_CountRx_with_RxShare_wi'!AN:AN)</f>
        <v>1.0100956132901751</v>
      </c>
    </row>
    <row r="45" spans="10:15" x14ac:dyDescent="0.35">
      <c r="J45" t="s">
        <v>110</v>
      </c>
      <c r="K45">
        <f>_xlfn.XLOOKUP(BBB_Brands_Growths!J45,'3_Years_CountRx_with_RxShare_wi'!A:A,'3_Years_CountRx_with_RxShare_wi'!AJ:AJ)</f>
        <v>0.1677893447642376</v>
      </c>
      <c r="L45">
        <f>_xlfn.XLOOKUP(J45,'3_Years_CountRx_with_RxShare_wi'!A:A,'3_Years_CountRx_with_RxShare_wi'!AK:AK)</f>
        <v>1.9927272727272727</v>
      </c>
      <c r="M45">
        <f>_xlfn.XLOOKUP(J45,'3_Years_CountRx_with_RxShare_wi'!A:A,'3_Years_CountRx_with_RxShare_wi'!AL:AL)</f>
        <v>0.16892430278884463</v>
      </c>
      <c r="N45">
        <f>_xlfn.XLOOKUP(BBB_Brands_Growths!J45,'3_Years_CountRx_with_RxShare_wi'!A:A,'3_Years_CountRx_with_RxShare_wi'!AM:AM)</f>
        <v>1.6104536489151873</v>
      </c>
      <c r="O45">
        <f>_xlfn.XLOOKUP(J45,'3_Years_CountRx_with_RxShare_wi'!A:A,'3_Years_CountRx_with_RxShare_wi'!AN:AN)</f>
        <v>1.4426643041509497</v>
      </c>
    </row>
    <row r="46" spans="10:15" x14ac:dyDescent="0.35">
      <c r="J46" t="s">
        <v>112</v>
      </c>
      <c r="K46">
        <f>_xlfn.XLOOKUP(BBB_Brands_Growths!J46,'3_Years_CountRx_with_RxShare_wi'!A:A,'3_Years_CountRx_with_RxShare_wi'!AJ:AJ)</f>
        <v>0</v>
      </c>
      <c r="L46">
        <f>_xlfn.XLOOKUP(J46,'3_Years_CountRx_with_RxShare_wi'!A:A,'3_Years_CountRx_with_RxShare_wi'!AK:AK)</f>
        <v>0</v>
      </c>
      <c r="M46">
        <f>_xlfn.XLOOKUP(J46,'3_Years_CountRx_with_RxShare_wi'!A:A,'3_Years_CountRx_with_RxShare_wi'!AL:AL)</f>
        <v>0</v>
      </c>
      <c r="N46">
        <f>_xlfn.XLOOKUP(BBB_Brands_Growths!J46,'3_Years_CountRx_with_RxShare_wi'!A:A,'3_Years_CountRx_with_RxShare_wi'!AM:AM)</f>
        <v>2.5626992561105206</v>
      </c>
      <c r="O46">
        <f>_xlfn.XLOOKUP(J46,'3_Years_CountRx_with_RxShare_wi'!A:A,'3_Years_CountRx_with_RxShare_wi'!AN:AN)</f>
        <v>2.5626992561105206</v>
      </c>
    </row>
    <row r="47" spans="10:15" x14ac:dyDescent="0.35">
      <c r="J47" t="s">
        <v>114</v>
      </c>
      <c r="K47">
        <f>_xlfn.XLOOKUP(BBB_Brands_Growths!J47,'3_Years_CountRx_with_RxShare_wi'!A:A,'3_Years_CountRx_with_RxShare_wi'!AJ:AJ)</f>
        <v>3.0394987320787586E-2</v>
      </c>
      <c r="L47">
        <f>_xlfn.XLOOKUP(J47,'3_Years_CountRx_with_RxShare_wi'!A:A,'3_Years_CountRx_with_RxShare_wi'!AK:AK)</f>
        <v>2.9495569188820721</v>
      </c>
      <c r="M47">
        <f>_xlfn.XLOOKUP(J47,'3_Years_CountRx_with_RxShare_wi'!A:A,'3_Years_CountRx_with_RxShare_wi'!AL:AL)</f>
        <v>5.1031980040825584E-2</v>
      </c>
      <c r="N47">
        <f>_xlfn.XLOOKUP(BBB_Brands_Growths!J47,'3_Years_CountRx_with_RxShare_wi'!A:A,'3_Years_CountRx_with_RxShare_wi'!AM:AM)</f>
        <v>1.0869422471978742</v>
      </c>
      <c r="O47">
        <f>_xlfn.XLOOKUP(J47,'3_Years_CountRx_with_RxShare_wi'!A:A,'3_Years_CountRx_with_RxShare_wi'!AN:AN)</f>
        <v>1.0565472598770866</v>
      </c>
    </row>
    <row r="48" spans="10:15" x14ac:dyDescent="0.35">
      <c r="J48" t="s">
        <v>116</v>
      </c>
      <c r="K48">
        <f>_xlfn.XLOOKUP(BBB_Brands_Growths!J48,'3_Years_CountRx_with_RxShare_wi'!A:A,'3_Years_CountRx_with_RxShare_wi'!AJ:AJ)</f>
        <v>4.141365071654117E-2</v>
      </c>
      <c r="L48">
        <f>_xlfn.XLOOKUP(J48,'3_Years_CountRx_with_RxShare_wi'!A:A,'3_Years_CountRx_with_RxShare_wi'!AK:AK)</f>
        <v>1.9157303370786516</v>
      </c>
      <c r="M48">
        <f>_xlfn.XLOOKUP(J48,'3_Years_CountRx_with_RxShare_wi'!A:A,'3_Years_CountRx_with_RxShare_wi'!AL:AL)</f>
        <v>6.6254095376774666E-2</v>
      </c>
      <c r="N48">
        <f>_xlfn.XLOOKUP(BBB_Brands_Growths!J48,'3_Years_CountRx_with_RxShare_wi'!A:A,'3_Years_CountRx_with_RxShare_wi'!AM:AM)</f>
        <v>1.0155402072027626</v>
      </c>
      <c r="O48">
        <f>_xlfn.XLOOKUP(J48,'3_Years_CountRx_with_RxShare_wi'!A:A,'3_Years_CountRx_with_RxShare_wi'!AN:AN)</f>
        <v>0.97412655648622148</v>
      </c>
    </row>
    <row r="49" spans="10:15" x14ac:dyDescent="0.35">
      <c r="J49" t="s">
        <v>118</v>
      </c>
      <c r="K49">
        <f>_xlfn.XLOOKUP(BBB_Brands_Growths!J49,'3_Years_CountRx_with_RxShare_wi'!A:A,'3_Years_CountRx_with_RxShare_wi'!AJ:AJ)</f>
        <v>5.3140096618357488E-2</v>
      </c>
      <c r="L49">
        <f>_xlfn.XLOOKUP(J49,'3_Years_CountRx_with_RxShare_wi'!A:A,'3_Years_CountRx_with_RxShare_wi'!AK:AK)</f>
        <v>1.375</v>
      </c>
      <c r="M49">
        <f>_xlfn.XLOOKUP(J49,'3_Years_CountRx_with_RxShare_wi'!A:A,'3_Years_CountRx_with_RxShare_wi'!AL:AL)</f>
        <v>7.0866141732283464E-2</v>
      </c>
      <c r="N49">
        <f>_xlfn.XLOOKUP(BBB_Brands_Growths!J49,'3_Years_CountRx_with_RxShare_wi'!A:A,'3_Years_CountRx_with_RxShare_wi'!AM:AM)</f>
        <v>0.88841201716738194</v>
      </c>
      <c r="O49">
        <f>_xlfn.XLOOKUP(J49,'3_Years_CountRx_with_RxShare_wi'!A:A,'3_Years_CountRx_with_RxShare_wi'!AN:AN)</f>
        <v>0.83527192054902444</v>
      </c>
    </row>
    <row r="50" spans="10:15" x14ac:dyDescent="0.35">
      <c r="J50" t="s">
        <v>120</v>
      </c>
      <c r="K50">
        <f>_xlfn.XLOOKUP(BBB_Brands_Growths!J50,'3_Years_CountRx_with_RxShare_wi'!A:A,'3_Years_CountRx_with_RxShare_wi'!AJ:AJ)</f>
        <v>2.9030104218074145E-4</v>
      </c>
      <c r="L50">
        <f>_xlfn.XLOOKUP(J50,'3_Years_CountRx_with_RxShare_wi'!A:A,'3_Years_CountRx_with_RxShare_wi'!AK:AK)</f>
        <v>1.5789473684210527</v>
      </c>
      <c r="M50">
        <f>_xlfn.XLOOKUP(J50,'3_Years_CountRx_with_RxShare_wi'!A:A,'3_Years_CountRx_with_RxShare_wi'!AL:AL)</f>
        <v>5.6078959174517718E-4</v>
      </c>
      <c r="N50">
        <f>_xlfn.XLOOKUP(BBB_Brands_Growths!J50,'3_Years_CountRx_with_RxShare_wi'!A:A,'3_Years_CountRx_with_RxShare_wi'!AM:AM)</f>
        <v>1.2552199103596546</v>
      </c>
      <c r="O50">
        <f>_xlfn.XLOOKUP(J50,'3_Years_CountRx_with_RxShare_wi'!A:A,'3_Years_CountRx_with_RxShare_wi'!AN:AN)</f>
        <v>1.254929609317474</v>
      </c>
    </row>
    <row r="51" spans="10:15" x14ac:dyDescent="0.35">
      <c r="J51" t="s">
        <v>122</v>
      </c>
      <c r="K51">
        <f>_xlfn.XLOOKUP(BBB_Brands_Growths!J51,'3_Years_CountRx_with_RxShare_wi'!A:A,'3_Years_CountRx_with_RxShare_wi'!AJ:AJ)</f>
        <v>3.2319391634980987E-2</v>
      </c>
      <c r="L51">
        <f>_xlfn.XLOOKUP(J51,'3_Years_CountRx_with_RxShare_wi'!A:A,'3_Years_CountRx_with_RxShare_wi'!AK:AK)</f>
        <v>1</v>
      </c>
      <c r="M51">
        <f>_xlfn.XLOOKUP(J51,'3_Years_CountRx_with_RxShare_wi'!A:A,'3_Years_CountRx_with_RxShare_wi'!AL:AL)</f>
        <v>4.788732394366197E-2</v>
      </c>
      <c r="N51">
        <f>_xlfn.XLOOKUP(BBB_Brands_Growths!J51,'3_Years_CountRx_with_RxShare_wi'!A:A,'3_Years_CountRx_with_RxShare_wi'!AM:AM)</f>
        <v>0.86088379705400986</v>
      </c>
      <c r="O51">
        <f>_xlfn.XLOOKUP(J51,'3_Years_CountRx_with_RxShare_wi'!A:A,'3_Years_CountRx_with_RxShare_wi'!AN:AN)</f>
        <v>0.82856440541902887</v>
      </c>
    </row>
    <row r="52" spans="10:15" x14ac:dyDescent="0.35">
      <c r="J52" t="s">
        <v>124</v>
      </c>
      <c r="K52">
        <f>_xlfn.XLOOKUP(BBB_Brands_Growths!J52,'3_Years_CountRx_with_RxShare_wi'!A:A,'3_Years_CountRx_with_RxShare_wi'!AJ:AJ)</f>
        <v>1.3752975403332451E-2</v>
      </c>
      <c r="L52">
        <f>_xlfn.XLOOKUP(J52,'3_Years_CountRx_with_RxShare_wi'!A:A,'3_Years_CountRx_with_RxShare_wi'!AK:AK)</f>
        <v>2.7857142857142856</v>
      </c>
      <c r="M52">
        <f>_xlfn.XLOOKUP(J52,'3_Years_CountRx_with_RxShare_wi'!A:A,'3_Years_CountRx_with_RxShare_wi'!AL:AL)</f>
        <v>1.8040220820189273E-2</v>
      </c>
      <c r="N52">
        <f>_xlfn.XLOOKUP(BBB_Brands_Growths!J52,'3_Years_CountRx_with_RxShare_wi'!A:A,'3_Years_CountRx_with_RxShare_wi'!AM:AM)</f>
        <v>1.0531788955688122</v>
      </c>
      <c r="O52">
        <f>_xlfn.XLOOKUP(J52,'3_Years_CountRx_with_RxShare_wi'!A:A,'3_Years_CountRx_with_RxShare_wi'!AN:AN)</f>
        <v>1.0394259201654796</v>
      </c>
    </row>
    <row r="53" spans="10:15" x14ac:dyDescent="0.35">
      <c r="J53" t="s">
        <v>126</v>
      </c>
      <c r="K53">
        <f>_xlfn.XLOOKUP(BBB_Brands_Growths!J53,'3_Years_CountRx_with_RxShare_wi'!A:A,'3_Years_CountRx_with_RxShare_wi'!AJ:AJ)</f>
        <v>1.8412698412698412E-2</v>
      </c>
      <c r="L53">
        <f>_xlfn.XLOOKUP(J53,'3_Years_CountRx_with_RxShare_wi'!A:A,'3_Years_CountRx_with_RxShare_wi'!AK:AK)</f>
        <v>1.8709677419354838</v>
      </c>
      <c r="M53">
        <f>_xlfn.XLOOKUP(J53,'3_Years_CountRx_with_RxShare_wi'!A:A,'3_Years_CountRx_with_RxShare_wi'!AL:AL)</f>
        <v>1.7193947730398899E-2</v>
      </c>
      <c r="N53">
        <f>_xlfn.XLOOKUP(BBB_Brands_Growths!J53,'3_Years_CountRx_with_RxShare_wi'!A:A,'3_Years_CountRx_with_RxShare_wi'!AM:AM)</f>
        <v>0.78319244157135748</v>
      </c>
      <c r="O53">
        <f>_xlfn.XLOOKUP(J53,'3_Years_CountRx_with_RxShare_wi'!A:A,'3_Years_CountRx_with_RxShare_wi'!AN:AN)</f>
        <v>0.76477974315865904</v>
      </c>
    </row>
    <row r="54" spans="10:15" x14ac:dyDescent="0.35">
      <c r="J54" t="s">
        <v>128</v>
      </c>
      <c r="K54">
        <f>_xlfn.XLOOKUP(BBB_Brands_Growths!J54,'3_Years_CountRx_with_RxShare_wi'!A:A,'3_Years_CountRx_with_RxShare_wi'!AJ:AJ)</f>
        <v>3.850210970464135E-3</v>
      </c>
      <c r="L54">
        <f>_xlfn.XLOOKUP(J54,'3_Years_CountRx_with_RxShare_wi'!A:A,'3_Years_CountRx_with_RxShare_wi'!AK:AK)</f>
        <v>2.2412280701754388</v>
      </c>
      <c r="M54">
        <f>_xlfn.XLOOKUP(J54,'3_Years_CountRx_with_RxShare_wi'!A:A,'3_Years_CountRx_with_RxShare_wi'!AL:AL)</f>
        <v>8.2923701645650789E-3</v>
      </c>
      <c r="N54">
        <f>_xlfn.XLOOKUP(BBB_Brands_Growths!J54,'3_Years_CountRx_with_RxShare_wi'!A:A,'3_Years_CountRx_with_RxShare_wi'!AM:AM)</f>
        <v>1.4163296231871685</v>
      </c>
      <c r="O54">
        <f>_xlfn.XLOOKUP(J54,'3_Years_CountRx_with_RxShare_wi'!A:A,'3_Years_CountRx_with_RxShare_wi'!AN:AN)</f>
        <v>1.4124794122167044</v>
      </c>
    </row>
    <row r="55" spans="10:15" x14ac:dyDescent="0.35">
      <c r="J55" t="s">
        <v>130</v>
      </c>
      <c r="K55">
        <f>_xlfn.XLOOKUP(BBB_Brands_Growths!J55,'3_Years_CountRx_with_RxShare_wi'!A:A,'3_Years_CountRx_with_RxShare_wi'!AJ:AJ)</f>
        <v>0</v>
      </c>
      <c r="L55">
        <f>_xlfn.XLOOKUP(J55,'3_Years_CountRx_with_RxShare_wi'!A:A,'3_Years_CountRx_with_RxShare_wi'!AK:AK)</f>
        <v>0</v>
      </c>
      <c r="M55">
        <f>_xlfn.XLOOKUP(J55,'3_Years_CountRx_with_RxShare_wi'!A:A,'3_Years_CountRx_with_RxShare_wi'!AL:AL)</f>
        <v>0</v>
      </c>
      <c r="N55">
        <f>_xlfn.XLOOKUP(BBB_Brands_Growths!J55,'3_Years_CountRx_with_RxShare_wi'!A:A,'3_Years_CountRx_with_RxShare_wi'!AM:AM)</f>
        <v>0</v>
      </c>
      <c r="O55">
        <f>_xlfn.XLOOKUP(J55,'3_Years_CountRx_with_RxShare_wi'!A:A,'3_Years_CountRx_with_RxShare_wi'!AN:AN)</f>
        <v>0</v>
      </c>
    </row>
    <row r="56" spans="10:15" x14ac:dyDescent="0.35">
      <c r="J56" t="s">
        <v>131</v>
      </c>
      <c r="K56">
        <f>_xlfn.XLOOKUP(BBB_Brands_Growths!J56,'3_Years_CountRx_with_RxShare_wi'!A:A,'3_Years_CountRx_with_RxShare_wi'!AJ:AJ)</f>
        <v>0</v>
      </c>
      <c r="L56">
        <f>_xlfn.XLOOKUP(J56,'3_Years_CountRx_with_RxShare_wi'!A:A,'3_Years_CountRx_with_RxShare_wi'!AK:AK)</f>
        <v>0</v>
      </c>
      <c r="M56">
        <f>_xlfn.XLOOKUP(J56,'3_Years_CountRx_with_RxShare_wi'!A:A,'3_Years_CountRx_with_RxShare_wi'!AL:AL)</f>
        <v>0</v>
      </c>
      <c r="N56">
        <f>_xlfn.XLOOKUP(BBB_Brands_Growths!J56,'3_Years_CountRx_with_RxShare_wi'!A:A,'3_Years_CountRx_with_RxShare_wi'!AM:AM)</f>
        <v>0</v>
      </c>
      <c r="O56">
        <f>_xlfn.XLOOKUP(J56,'3_Years_CountRx_with_RxShare_wi'!A:A,'3_Years_CountRx_with_RxShare_wi'!AN:AN)</f>
        <v>0</v>
      </c>
    </row>
    <row r="57" spans="10:15" x14ac:dyDescent="0.35">
      <c r="J57" t="s">
        <v>132</v>
      </c>
      <c r="K57">
        <f>_xlfn.XLOOKUP(BBB_Brands_Growths!J57,'3_Years_CountRx_with_RxShare_wi'!A:A,'3_Years_CountRx_with_RxShare_wi'!AJ:AJ)</f>
        <v>0</v>
      </c>
      <c r="L57">
        <f>_xlfn.XLOOKUP(J57,'3_Years_CountRx_with_RxShare_wi'!A:A,'3_Years_CountRx_with_RxShare_wi'!AK:AK)</f>
        <v>0</v>
      </c>
      <c r="M57">
        <f>_xlfn.XLOOKUP(J57,'3_Years_CountRx_with_RxShare_wi'!A:A,'3_Years_CountRx_with_RxShare_wi'!AL:AL)</f>
        <v>0</v>
      </c>
      <c r="N57">
        <f>_xlfn.XLOOKUP(BBB_Brands_Growths!J57,'3_Years_CountRx_with_RxShare_wi'!A:A,'3_Years_CountRx_with_RxShare_wi'!AM:AM)</f>
        <v>0</v>
      </c>
      <c r="O57">
        <f>_xlfn.XLOOKUP(J57,'3_Years_CountRx_with_RxShare_wi'!A:A,'3_Years_CountRx_with_RxShare_wi'!AN:AN)</f>
        <v>0</v>
      </c>
    </row>
    <row r="58" spans="10:15" x14ac:dyDescent="0.35">
      <c r="J58" t="s">
        <v>133</v>
      </c>
      <c r="K58">
        <f>_xlfn.XLOOKUP(BBB_Brands_Growths!J58,'3_Years_CountRx_with_RxShare_wi'!A:A,'3_Years_CountRx_with_RxShare_wi'!AJ:AJ)</f>
        <v>0</v>
      </c>
      <c r="L58">
        <f>_xlfn.XLOOKUP(J58,'3_Years_CountRx_with_RxShare_wi'!A:A,'3_Years_CountRx_with_RxShare_wi'!AK:AK)</f>
        <v>0</v>
      </c>
      <c r="M58">
        <f>_xlfn.XLOOKUP(J58,'3_Years_CountRx_with_RxShare_wi'!A:A,'3_Years_CountRx_with_RxShare_wi'!AL:AL)</f>
        <v>0</v>
      </c>
      <c r="N58">
        <f>_xlfn.XLOOKUP(BBB_Brands_Growths!J58,'3_Years_CountRx_with_RxShare_wi'!A:A,'3_Years_CountRx_with_RxShare_wi'!AM:AM)</f>
        <v>0</v>
      </c>
      <c r="O58">
        <f>_xlfn.XLOOKUP(J58,'3_Years_CountRx_with_RxShare_wi'!A:A,'3_Years_CountRx_with_RxShare_wi'!AN:AN)</f>
        <v>0</v>
      </c>
    </row>
    <row r="59" spans="10:15" x14ac:dyDescent="0.35">
      <c r="J59" t="s">
        <v>134</v>
      </c>
      <c r="K59">
        <f>_xlfn.XLOOKUP(BBB_Brands_Growths!J59,'3_Years_CountRx_with_RxShare_wi'!A:A,'3_Years_CountRx_with_RxShare_wi'!AJ:AJ)</f>
        <v>0</v>
      </c>
      <c r="L59">
        <f>_xlfn.XLOOKUP(J59,'3_Years_CountRx_with_RxShare_wi'!A:A,'3_Years_CountRx_with_RxShare_wi'!AK:AK)</f>
        <v>0</v>
      </c>
      <c r="M59">
        <f>_xlfn.XLOOKUP(J59,'3_Years_CountRx_with_RxShare_wi'!A:A,'3_Years_CountRx_with_RxShare_wi'!AL:AL)</f>
        <v>0</v>
      </c>
      <c r="N59">
        <f>_xlfn.XLOOKUP(BBB_Brands_Growths!J59,'3_Years_CountRx_with_RxShare_wi'!A:A,'3_Years_CountRx_with_RxShare_wi'!AM:AM)</f>
        <v>0</v>
      </c>
      <c r="O59">
        <f>_xlfn.XLOOKUP(J59,'3_Years_CountRx_with_RxShare_wi'!A:A,'3_Years_CountRx_with_RxShare_wi'!AN:AN)</f>
        <v>0</v>
      </c>
    </row>
    <row r="60" spans="10:15" x14ac:dyDescent="0.35">
      <c r="J60" t="s">
        <v>135</v>
      </c>
      <c r="K60">
        <f>_xlfn.XLOOKUP(BBB_Brands_Growths!J60,'3_Years_CountRx_with_RxShare_wi'!A:A,'3_Years_CountRx_with_RxShare_wi'!AJ:AJ)</f>
        <v>0</v>
      </c>
      <c r="L60">
        <f>_xlfn.XLOOKUP(J60,'3_Years_CountRx_with_RxShare_wi'!A:A,'3_Years_CountRx_with_RxShare_wi'!AK:AK)</f>
        <v>0</v>
      </c>
      <c r="M60">
        <f>_xlfn.XLOOKUP(J60,'3_Years_CountRx_with_RxShare_wi'!A:A,'3_Years_CountRx_with_RxShare_wi'!AL:AL)</f>
        <v>0</v>
      </c>
      <c r="N60">
        <f>_xlfn.XLOOKUP(BBB_Brands_Growths!J60,'3_Years_CountRx_with_RxShare_wi'!A:A,'3_Years_CountRx_with_RxShare_wi'!AM:AM)</f>
        <v>0</v>
      </c>
      <c r="O60">
        <f>_xlfn.XLOOKUP(J60,'3_Years_CountRx_with_RxShare_wi'!A:A,'3_Years_CountRx_with_RxShare_wi'!AN:AN)</f>
        <v>0</v>
      </c>
    </row>
    <row r="61" spans="10:15" x14ac:dyDescent="0.35">
      <c r="J61" t="s">
        <v>136</v>
      </c>
      <c r="K61">
        <f>_xlfn.XLOOKUP(BBB_Brands_Growths!J61,'3_Years_CountRx_with_RxShare_wi'!A:A,'3_Years_CountRx_with_RxShare_wi'!AJ:AJ)</f>
        <v>0</v>
      </c>
      <c r="L61">
        <f>_xlfn.XLOOKUP(J61,'3_Years_CountRx_with_RxShare_wi'!A:A,'3_Years_CountRx_with_RxShare_wi'!AK:AK)</f>
        <v>0</v>
      </c>
      <c r="M61">
        <f>_xlfn.XLOOKUP(J61,'3_Years_CountRx_with_RxShare_wi'!A:A,'3_Years_CountRx_with_RxShare_wi'!AL:AL)</f>
        <v>0</v>
      </c>
      <c r="N61">
        <f>_xlfn.XLOOKUP(BBB_Brands_Growths!J61,'3_Years_CountRx_with_RxShare_wi'!A:A,'3_Years_CountRx_with_RxShare_wi'!AM:AM)</f>
        <v>0</v>
      </c>
      <c r="O61">
        <f>_xlfn.XLOOKUP(J61,'3_Years_CountRx_with_RxShare_wi'!A:A,'3_Years_CountRx_with_RxShare_wi'!AN:AN)</f>
        <v>0</v>
      </c>
    </row>
    <row r="62" spans="10:15" x14ac:dyDescent="0.35">
      <c r="J62" t="s">
        <v>137</v>
      </c>
      <c r="K62">
        <f>_xlfn.XLOOKUP(BBB_Brands_Growths!J62,'3_Years_CountRx_with_RxShare_wi'!A:A,'3_Years_CountRx_with_RxShare_wi'!AJ:AJ)</f>
        <v>0</v>
      </c>
      <c r="L62">
        <f>_xlfn.XLOOKUP(J62,'3_Years_CountRx_with_RxShare_wi'!A:A,'3_Years_CountRx_with_RxShare_wi'!AK:AK)</f>
        <v>0</v>
      </c>
      <c r="M62">
        <f>_xlfn.XLOOKUP(J62,'3_Years_CountRx_with_RxShare_wi'!A:A,'3_Years_CountRx_with_RxShare_wi'!AL:AL)</f>
        <v>0</v>
      </c>
      <c r="N62">
        <f>_xlfn.XLOOKUP(BBB_Brands_Growths!J62,'3_Years_CountRx_with_RxShare_wi'!A:A,'3_Years_CountRx_with_RxShare_wi'!AM:AM)</f>
        <v>0</v>
      </c>
      <c r="O62">
        <f>_xlfn.XLOOKUP(J62,'3_Years_CountRx_with_RxShare_wi'!A:A,'3_Years_CountRx_with_RxShare_wi'!AN:AN)</f>
        <v>0</v>
      </c>
    </row>
    <row r="63" spans="10:15" x14ac:dyDescent="0.35">
      <c r="J63" t="s">
        <v>138</v>
      </c>
      <c r="K63">
        <f>_xlfn.XLOOKUP(BBB_Brands_Growths!J63,'3_Years_CountRx_with_RxShare_wi'!A:A,'3_Years_CountRx_with_RxShare_wi'!AJ:AJ)</f>
        <v>0</v>
      </c>
      <c r="L63">
        <f>_xlfn.XLOOKUP(J63,'3_Years_CountRx_with_RxShare_wi'!A:A,'3_Years_CountRx_with_RxShare_wi'!AK:AK)</f>
        <v>0</v>
      </c>
      <c r="M63">
        <f>_xlfn.XLOOKUP(J63,'3_Years_CountRx_with_RxShare_wi'!A:A,'3_Years_CountRx_with_RxShare_wi'!AL:AL)</f>
        <v>0</v>
      </c>
      <c r="N63">
        <f>_xlfn.XLOOKUP(BBB_Brands_Growths!J63,'3_Years_CountRx_with_RxShare_wi'!A:A,'3_Years_CountRx_with_RxShare_wi'!AM:AM)</f>
        <v>0</v>
      </c>
      <c r="O63">
        <f>_xlfn.XLOOKUP(J63,'3_Years_CountRx_with_RxShare_wi'!A:A,'3_Years_CountRx_with_RxShare_wi'!AN:AN)</f>
        <v>0</v>
      </c>
    </row>
    <row r="64" spans="10:15" x14ac:dyDescent="0.35">
      <c r="J64" t="s">
        <v>139</v>
      </c>
      <c r="K64">
        <f>_xlfn.XLOOKUP(BBB_Brands_Growths!J64,'3_Years_CountRx_with_RxShare_wi'!A:A,'3_Years_CountRx_with_RxShare_wi'!AJ:AJ)</f>
        <v>0</v>
      </c>
      <c r="L64">
        <f>_xlfn.XLOOKUP(J64,'3_Years_CountRx_with_RxShare_wi'!A:A,'3_Years_CountRx_with_RxShare_wi'!AK:AK)</f>
        <v>0</v>
      </c>
      <c r="M64">
        <f>_xlfn.XLOOKUP(J64,'3_Years_CountRx_with_RxShare_wi'!A:A,'3_Years_CountRx_with_RxShare_wi'!AL:AL)</f>
        <v>0</v>
      </c>
      <c r="N64">
        <f>_xlfn.XLOOKUP(BBB_Brands_Growths!J64,'3_Years_CountRx_with_RxShare_wi'!A:A,'3_Years_CountRx_with_RxShare_wi'!AM:AM)</f>
        <v>0</v>
      </c>
      <c r="O64">
        <f>_xlfn.XLOOKUP(J64,'3_Years_CountRx_with_RxShare_wi'!A:A,'3_Years_CountRx_with_RxShare_wi'!AN:AN)</f>
        <v>0</v>
      </c>
    </row>
    <row r="65" spans="10:15" x14ac:dyDescent="0.35">
      <c r="J65" t="s">
        <v>140</v>
      </c>
      <c r="K65">
        <f>_xlfn.XLOOKUP(BBB_Brands_Growths!J65,'3_Years_CountRx_with_RxShare_wi'!A:A,'3_Years_CountRx_with_RxShare_wi'!AJ:AJ)</f>
        <v>0</v>
      </c>
      <c r="L65">
        <f>_xlfn.XLOOKUP(J65,'3_Years_CountRx_with_RxShare_wi'!A:A,'3_Years_CountRx_with_RxShare_wi'!AK:AK)</f>
        <v>0</v>
      </c>
      <c r="M65">
        <f>_xlfn.XLOOKUP(J65,'3_Years_CountRx_with_RxShare_wi'!A:A,'3_Years_CountRx_with_RxShare_wi'!AL:AL)</f>
        <v>0</v>
      </c>
      <c r="N65">
        <f>_xlfn.XLOOKUP(BBB_Brands_Growths!J65,'3_Years_CountRx_with_RxShare_wi'!A:A,'3_Years_CountRx_with_RxShare_wi'!AM:AM)</f>
        <v>0</v>
      </c>
      <c r="O65">
        <f>_xlfn.XLOOKUP(J65,'3_Years_CountRx_with_RxShare_wi'!A:A,'3_Years_CountRx_with_RxShare_wi'!AN:AN)</f>
        <v>0</v>
      </c>
    </row>
    <row r="66" spans="10:15" x14ac:dyDescent="0.35">
      <c r="J66" t="s">
        <v>141</v>
      </c>
      <c r="K66">
        <f>_xlfn.XLOOKUP(BBB_Brands_Growths!J66,'3_Years_CountRx_with_RxShare_wi'!A:A,'3_Years_CountRx_with_RxShare_wi'!AJ:AJ)</f>
        <v>0</v>
      </c>
      <c r="L66">
        <f>_xlfn.XLOOKUP(J66,'3_Years_CountRx_with_RxShare_wi'!A:A,'3_Years_CountRx_with_RxShare_wi'!AK:AK)</f>
        <v>0</v>
      </c>
      <c r="M66">
        <f>_xlfn.XLOOKUP(J66,'3_Years_CountRx_with_RxShare_wi'!A:A,'3_Years_CountRx_with_RxShare_wi'!AL:AL)</f>
        <v>0</v>
      </c>
      <c r="N66">
        <f>_xlfn.XLOOKUP(BBB_Brands_Growths!J66,'3_Years_CountRx_with_RxShare_wi'!A:A,'3_Years_CountRx_with_RxShare_wi'!AM:AM)</f>
        <v>0</v>
      </c>
      <c r="O66">
        <f>_xlfn.XLOOKUP(J66,'3_Years_CountRx_with_RxShare_wi'!A:A,'3_Years_CountRx_with_RxShare_wi'!AN:AN)</f>
        <v>0</v>
      </c>
    </row>
    <row r="67" spans="10:15" x14ac:dyDescent="0.35">
      <c r="J67" t="s">
        <v>142</v>
      </c>
      <c r="K67">
        <f>_xlfn.XLOOKUP(BBB_Brands_Growths!J67,'3_Years_CountRx_with_RxShare_wi'!A:A,'3_Years_CountRx_with_RxShare_wi'!AJ:AJ)</f>
        <v>0</v>
      </c>
      <c r="L67">
        <f>_xlfn.XLOOKUP(J67,'3_Years_CountRx_with_RxShare_wi'!A:A,'3_Years_CountRx_with_RxShare_wi'!AK:AK)</f>
        <v>0</v>
      </c>
      <c r="M67">
        <f>_xlfn.XLOOKUP(J67,'3_Years_CountRx_with_RxShare_wi'!A:A,'3_Years_CountRx_with_RxShare_wi'!AL:AL)</f>
        <v>0</v>
      </c>
      <c r="N67">
        <f>_xlfn.XLOOKUP(BBB_Brands_Growths!J67,'3_Years_CountRx_with_RxShare_wi'!A:A,'3_Years_CountRx_with_RxShare_wi'!AM:AM)</f>
        <v>0</v>
      </c>
      <c r="O67">
        <f>_xlfn.XLOOKUP(J67,'3_Years_CountRx_with_RxShare_wi'!A:A,'3_Years_CountRx_with_RxShare_wi'!AN:AN)</f>
        <v>0</v>
      </c>
    </row>
    <row r="68" spans="10:15" x14ac:dyDescent="0.35">
      <c r="J68" t="s">
        <v>143</v>
      </c>
      <c r="K68">
        <f>_xlfn.XLOOKUP(BBB_Brands_Growths!J68,'3_Years_CountRx_with_RxShare_wi'!A:A,'3_Years_CountRx_with_RxShare_wi'!AJ:AJ)</f>
        <v>0</v>
      </c>
      <c r="L68">
        <f>_xlfn.XLOOKUP(J68,'3_Years_CountRx_with_RxShare_wi'!A:A,'3_Years_CountRx_with_RxShare_wi'!AK:AK)</f>
        <v>0</v>
      </c>
      <c r="M68">
        <f>_xlfn.XLOOKUP(J68,'3_Years_CountRx_with_RxShare_wi'!A:A,'3_Years_CountRx_with_RxShare_wi'!AL:AL)</f>
        <v>0</v>
      </c>
      <c r="N68">
        <f>_xlfn.XLOOKUP(BBB_Brands_Growths!J68,'3_Years_CountRx_with_RxShare_wi'!A:A,'3_Years_CountRx_with_RxShare_wi'!AM:AM)</f>
        <v>0</v>
      </c>
      <c r="O68">
        <f>_xlfn.XLOOKUP(J68,'3_Years_CountRx_with_RxShare_wi'!A:A,'3_Years_CountRx_with_RxShare_wi'!AN:AN)</f>
        <v>0</v>
      </c>
    </row>
    <row r="69" spans="10:15" x14ac:dyDescent="0.35">
      <c r="J69" t="s">
        <v>127</v>
      </c>
      <c r="K69">
        <f>_xlfn.XLOOKUP(BBB_Brands_Growths!J69,'3_Years_CountRx_with_RxShare_wi'!A:A,'3_Years_CountRx_with_RxShare_wi'!AJ:AJ)</f>
        <v>0</v>
      </c>
      <c r="L69">
        <f>_xlfn.XLOOKUP(J69,'3_Years_CountRx_with_RxShare_wi'!A:A,'3_Years_CountRx_with_RxShare_wi'!AK:AK)</f>
        <v>0</v>
      </c>
      <c r="M69">
        <f>_xlfn.XLOOKUP(J69,'3_Years_CountRx_with_RxShare_wi'!A:A,'3_Years_CountRx_with_RxShare_wi'!AL:AL)</f>
        <v>0</v>
      </c>
      <c r="N69">
        <f>_xlfn.XLOOKUP(BBB_Brands_Growths!J69,'3_Years_CountRx_with_RxShare_wi'!A:A,'3_Years_CountRx_with_RxShare_wi'!AM:AM)</f>
        <v>0</v>
      </c>
      <c r="O69">
        <f>_xlfn.XLOOKUP(J69,'3_Years_CountRx_with_RxShare_wi'!A:A,'3_Years_CountRx_with_RxShare_wi'!AN:AN)</f>
        <v>0</v>
      </c>
    </row>
    <row r="70" spans="10:15" x14ac:dyDescent="0.35">
      <c r="J70" t="s">
        <v>144</v>
      </c>
      <c r="K70">
        <f>_xlfn.XLOOKUP(BBB_Brands_Growths!J70,'3_Years_CountRx_with_RxShare_wi'!A:A,'3_Years_CountRx_with_RxShare_wi'!AJ:AJ)</f>
        <v>0</v>
      </c>
      <c r="L70">
        <f>_xlfn.XLOOKUP(J70,'3_Years_CountRx_with_RxShare_wi'!A:A,'3_Years_CountRx_with_RxShare_wi'!AK:AK)</f>
        <v>0</v>
      </c>
      <c r="M70">
        <f>_xlfn.XLOOKUP(J70,'3_Years_CountRx_with_RxShare_wi'!A:A,'3_Years_CountRx_with_RxShare_wi'!AL:AL)</f>
        <v>0</v>
      </c>
      <c r="N70">
        <f>_xlfn.XLOOKUP(BBB_Brands_Growths!J70,'3_Years_CountRx_with_RxShare_wi'!A:A,'3_Years_CountRx_with_RxShare_wi'!AM:AM)</f>
        <v>0</v>
      </c>
      <c r="O70">
        <f>_xlfn.XLOOKUP(J70,'3_Years_CountRx_with_RxShare_wi'!A:A,'3_Years_CountRx_with_RxShare_wi'!AN:AN)</f>
        <v>0</v>
      </c>
    </row>
  </sheetData>
  <mergeCells count="6">
    <mergeCell ref="N1:N2"/>
    <mergeCell ref="O1:O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9DFC-7400-42D9-9066-7C112C928C98}">
  <sheetPr filterMode="1"/>
  <dimension ref="A1:X56"/>
  <sheetViews>
    <sheetView tabSelected="1" workbookViewId="0">
      <pane xSplit="7" ySplit="3" topLeftCell="H5" activePane="bottomRight" state="frozen"/>
      <selection activeCell="C1" sqref="C1"/>
      <selection pane="topRight" activeCell="G1" sqref="G1"/>
      <selection pane="bottomLeft" activeCell="C4" sqref="C4"/>
      <selection pane="bottomRight" activeCell="A13" sqref="A13"/>
    </sheetView>
  </sheetViews>
  <sheetFormatPr defaultColWidth="9.7265625" defaultRowHeight="14.5" x14ac:dyDescent="0.35"/>
  <cols>
    <col min="1" max="1" width="19.54296875" customWidth="1"/>
    <col min="2" max="2" width="16.36328125" customWidth="1"/>
    <col min="3" max="3" width="21.1796875" customWidth="1"/>
    <col min="4" max="4" width="14.54296875" customWidth="1"/>
    <col min="5" max="5" width="17.08984375" customWidth="1"/>
    <col min="6" max="6" width="16.08984375" customWidth="1"/>
    <col min="7" max="7" width="23.6328125" customWidth="1"/>
    <col min="8" max="8" width="18.26953125" customWidth="1"/>
    <col min="9" max="9" width="15" customWidth="1"/>
    <col min="10" max="10" width="16.453125" customWidth="1"/>
    <col min="11" max="11" width="13.1796875" customWidth="1"/>
    <col min="12" max="12" width="13.08984375" customWidth="1"/>
    <col min="13" max="13" width="11" customWidth="1"/>
    <col min="16" max="16" width="13.81640625" customWidth="1"/>
    <col min="19" max="19" width="19.7265625" bestFit="1" customWidth="1"/>
    <col min="20" max="21" width="19.7265625" customWidth="1"/>
    <col min="22" max="22" width="29.81640625" customWidth="1"/>
    <col min="24" max="24" width="13.1796875" bestFit="1" customWidth="1"/>
  </cols>
  <sheetData>
    <row r="1" spans="1:24" x14ac:dyDescent="0.35">
      <c r="L1" s="2"/>
      <c r="M1" s="2"/>
    </row>
    <row r="2" spans="1:24" x14ac:dyDescent="0.35">
      <c r="H2" s="2" t="s">
        <v>146</v>
      </c>
      <c r="I2" s="2" t="s">
        <v>146</v>
      </c>
      <c r="J2" s="3" t="s">
        <v>147</v>
      </c>
      <c r="K2" s="2"/>
      <c r="L2" s="3" t="s">
        <v>148</v>
      </c>
      <c r="M2" s="2"/>
      <c r="N2" s="3" t="s">
        <v>149</v>
      </c>
      <c r="O2" s="2"/>
    </row>
    <row r="3" spans="1:24" x14ac:dyDescent="0.35">
      <c r="A3" s="3" t="s">
        <v>150</v>
      </c>
      <c r="B3" s="3" t="s">
        <v>151</v>
      </c>
      <c r="C3" s="3" t="s">
        <v>152</v>
      </c>
      <c r="D3" s="3" t="s">
        <v>374</v>
      </c>
      <c r="E3" s="4" t="s">
        <v>153</v>
      </c>
      <c r="F3" s="5" t="s">
        <v>154</v>
      </c>
      <c r="G3" s="6" t="s">
        <v>147</v>
      </c>
      <c r="H3" s="5" t="s">
        <v>155</v>
      </c>
      <c r="I3" s="5" t="s">
        <v>156</v>
      </c>
      <c r="J3" s="7" t="s">
        <v>155</v>
      </c>
      <c r="K3" s="7" t="s">
        <v>156</v>
      </c>
      <c r="L3" s="8" t="s">
        <v>155</v>
      </c>
      <c r="M3" s="8" t="s">
        <v>156</v>
      </c>
      <c r="N3" s="3" t="s">
        <v>155</v>
      </c>
      <c r="O3" s="3" t="s">
        <v>156</v>
      </c>
      <c r="P3" s="24" t="s">
        <v>369</v>
      </c>
      <c r="Q3" s="24" t="s">
        <v>370</v>
      </c>
      <c r="R3" s="4" t="s">
        <v>371</v>
      </c>
      <c r="S3" s="24" t="s">
        <v>372</v>
      </c>
      <c r="T3" s="24" t="s">
        <v>375</v>
      </c>
      <c r="U3" s="24" t="s">
        <v>376</v>
      </c>
      <c r="V3" s="24" t="s">
        <v>373</v>
      </c>
    </row>
    <row r="4" spans="1:24" hidden="1" x14ac:dyDescent="0.35">
      <c r="A4" t="s">
        <v>157</v>
      </c>
      <c r="B4" t="s">
        <v>158</v>
      </c>
      <c r="C4" t="s">
        <v>159</v>
      </c>
      <c r="D4" t="s">
        <v>384</v>
      </c>
      <c r="E4" t="s">
        <v>107</v>
      </c>
      <c r="F4" t="s">
        <v>160</v>
      </c>
      <c r="G4" t="s">
        <v>159</v>
      </c>
      <c r="H4">
        <v>33</v>
      </c>
      <c r="I4">
        <v>177</v>
      </c>
      <c r="J4">
        <v>2365456</v>
      </c>
      <c r="K4">
        <v>2149742</v>
      </c>
      <c r="L4" s="13">
        <f t="shared" ref="L4:L35" si="0">IFERROR(H4/J4,0)</f>
        <v>1.3950798492975562E-5</v>
      </c>
      <c r="M4" s="13">
        <f t="shared" ref="M4:M35" si="1">IFERROR(I4/K4,0)</f>
        <v>8.2335461650746931E-5</v>
      </c>
      <c r="N4" s="14">
        <v>9.8694134033925213E-2</v>
      </c>
      <c r="O4" s="14">
        <v>9.2886542970150893E-2</v>
      </c>
      <c r="P4" s="15">
        <f>L4/M4-1</f>
        <v>-0.83056148331137702</v>
      </c>
      <c r="Q4" s="14">
        <f>H4/I4-1</f>
        <v>-0.81355932203389836</v>
      </c>
      <c r="R4" s="12">
        <f>J4/K4-1</f>
        <v>0.10034413431937406</v>
      </c>
      <c r="S4" s="12">
        <f>Q4-R4</f>
        <v>-0.91390345635327241</v>
      </c>
      <c r="T4" s="12"/>
      <c r="U4" s="12"/>
    </row>
    <row r="5" spans="1:24" x14ac:dyDescent="0.35">
      <c r="A5" t="s">
        <v>161</v>
      </c>
      <c r="B5" t="s">
        <v>162</v>
      </c>
      <c r="C5" t="s">
        <v>163</v>
      </c>
      <c r="D5" t="s">
        <v>46</v>
      </c>
      <c r="E5" t="s">
        <v>46</v>
      </c>
      <c r="F5" t="s">
        <v>164</v>
      </c>
      <c r="G5" s="25" t="s">
        <v>165</v>
      </c>
      <c r="H5">
        <v>196543</v>
      </c>
      <c r="I5">
        <v>182743</v>
      </c>
      <c r="J5" s="25">
        <v>706924</v>
      </c>
      <c r="K5" s="25">
        <v>466089</v>
      </c>
      <c r="L5" s="13">
        <f t="shared" si="0"/>
        <v>0.27802564349208686</v>
      </c>
      <c r="M5" s="13">
        <f t="shared" si="1"/>
        <v>0.39207747876478527</v>
      </c>
      <c r="N5" s="14">
        <v>0.492856644868023</v>
      </c>
      <c r="O5" s="14">
        <v>0.40592414151680389</v>
      </c>
      <c r="P5" s="15">
        <f t="shared" ref="P5:P56" si="2">L5/M5-1</f>
        <v>-0.29089106477630733</v>
      </c>
      <c r="Q5" s="13">
        <f t="shared" ref="Q5:Q56" si="3">H5/I5-1</f>
        <v>7.5515888433483003E-2</v>
      </c>
      <c r="R5" s="12">
        <f t="shared" ref="R5:R56" si="4">J5/K5-1</f>
        <v>0.51671461888180148</v>
      </c>
      <c r="S5" s="12">
        <f>Q5-R5</f>
        <v>-0.44119873044831848</v>
      </c>
      <c r="T5" s="21">
        <v>1</v>
      </c>
      <c r="U5" s="21">
        <v>1</v>
      </c>
      <c r="X5" t="s">
        <v>377</v>
      </c>
    </row>
    <row r="6" spans="1:24" hidden="1" x14ac:dyDescent="0.35">
      <c r="A6" t="s">
        <v>166</v>
      </c>
      <c r="B6" t="s">
        <v>167</v>
      </c>
      <c r="C6" t="s">
        <v>168</v>
      </c>
      <c r="D6" t="s">
        <v>384</v>
      </c>
      <c r="E6" t="s">
        <v>129</v>
      </c>
      <c r="F6" t="s">
        <v>169</v>
      </c>
      <c r="G6" t="s">
        <v>168</v>
      </c>
      <c r="H6">
        <v>779</v>
      </c>
      <c r="I6">
        <v>3165</v>
      </c>
      <c r="J6">
        <v>4496179</v>
      </c>
      <c r="K6">
        <v>4594748</v>
      </c>
      <c r="L6" s="13">
        <f t="shared" si="0"/>
        <v>1.7325822659640551E-4</v>
      </c>
      <c r="M6" s="13">
        <f t="shared" si="1"/>
        <v>6.8882994236027745E-4</v>
      </c>
      <c r="N6" s="14">
        <v>9.7337718061309891E-2</v>
      </c>
      <c r="O6" s="14">
        <v>0.11201131378754255</v>
      </c>
      <c r="P6" s="15">
        <f t="shared" si="2"/>
        <v>-0.74847460027254942</v>
      </c>
      <c r="Q6" s="14">
        <f t="shared" si="3"/>
        <v>-0.75387045813586095</v>
      </c>
      <c r="R6" s="12">
        <f t="shared" si="4"/>
        <v>-2.1452536678834178E-2</v>
      </c>
      <c r="S6" s="12">
        <f t="shared" ref="S6:S56" si="5">Q6-R6</f>
        <v>-0.73241792145702678</v>
      </c>
      <c r="T6" s="12"/>
      <c r="U6" s="12"/>
    </row>
    <row r="7" spans="1:24" hidden="1" x14ac:dyDescent="0.35">
      <c r="A7" t="s">
        <v>166</v>
      </c>
      <c r="B7" t="s">
        <v>167</v>
      </c>
      <c r="C7" t="s">
        <v>170</v>
      </c>
      <c r="D7" t="s">
        <v>384</v>
      </c>
      <c r="E7" t="s">
        <v>97</v>
      </c>
      <c r="F7" t="s">
        <v>171</v>
      </c>
      <c r="G7" t="s">
        <v>170</v>
      </c>
      <c r="H7">
        <v>553</v>
      </c>
      <c r="I7">
        <v>807</v>
      </c>
      <c r="J7">
        <v>3188959</v>
      </c>
      <c r="K7">
        <v>3261185</v>
      </c>
      <c r="L7" s="13">
        <f t="shared" si="0"/>
        <v>1.7341082152514347E-4</v>
      </c>
      <c r="M7" s="13">
        <f t="shared" si="1"/>
        <v>2.4745606275019665E-4</v>
      </c>
      <c r="N7" s="14">
        <v>6.903773004835366E-2</v>
      </c>
      <c r="O7" s="14">
        <v>7.9501556201608217E-2</v>
      </c>
      <c r="P7" s="15">
        <f t="shared" si="2"/>
        <v>-0.29922581165368656</v>
      </c>
      <c r="Q7" s="14">
        <f t="shared" si="3"/>
        <v>-0.31474597273853777</v>
      </c>
      <c r="R7" s="12">
        <f t="shared" si="4"/>
        <v>-2.2147164297640298E-2</v>
      </c>
      <c r="S7" s="12">
        <f t="shared" si="5"/>
        <v>-0.29259880844089747</v>
      </c>
      <c r="T7" s="12"/>
      <c r="U7" s="12"/>
    </row>
    <row r="8" spans="1:24" hidden="1" x14ac:dyDescent="0.35">
      <c r="A8" t="s">
        <v>157</v>
      </c>
      <c r="B8" t="s">
        <v>158</v>
      </c>
      <c r="C8" t="s">
        <v>172</v>
      </c>
      <c r="D8" t="s">
        <v>384</v>
      </c>
      <c r="E8" t="s">
        <v>68</v>
      </c>
      <c r="F8" t="s">
        <v>173</v>
      </c>
      <c r="G8" t="s">
        <v>174</v>
      </c>
      <c r="H8">
        <v>12903</v>
      </c>
      <c r="I8">
        <v>16141</v>
      </c>
      <c r="J8">
        <v>9224240</v>
      </c>
      <c r="K8">
        <v>8269465</v>
      </c>
      <c r="L8" s="13">
        <f t="shared" si="0"/>
        <v>1.3988144280721231E-3</v>
      </c>
      <c r="M8" s="13">
        <f t="shared" si="1"/>
        <v>1.9518795955965713E-3</v>
      </c>
      <c r="N8" s="14">
        <v>0.38486379747545263</v>
      </c>
      <c r="O8" s="14">
        <v>0.35730893105435857</v>
      </c>
      <c r="P8" s="15">
        <f t="shared" si="2"/>
        <v>-0.2833500430929039</v>
      </c>
      <c r="Q8" s="14">
        <f t="shared" si="3"/>
        <v>-0.20060714949507463</v>
      </c>
      <c r="R8" s="12">
        <f t="shared" si="4"/>
        <v>0.11545789237876947</v>
      </c>
      <c r="S8" s="12">
        <f t="shared" si="5"/>
        <v>-0.3160650418738441</v>
      </c>
      <c r="T8" s="12"/>
      <c r="U8" s="12"/>
    </row>
    <row r="9" spans="1:24" hidden="1" x14ac:dyDescent="0.35">
      <c r="A9" t="s">
        <v>157</v>
      </c>
      <c r="B9" t="s">
        <v>158</v>
      </c>
      <c r="C9" t="s">
        <v>175</v>
      </c>
      <c r="D9" t="s">
        <v>384</v>
      </c>
      <c r="E9" t="s">
        <v>105</v>
      </c>
      <c r="F9" t="s">
        <v>176</v>
      </c>
      <c r="G9" t="s">
        <v>175</v>
      </c>
      <c r="H9">
        <v>21471</v>
      </c>
      <c r="I9">
        <v>29021</v>
      </c>
      <c r="J9">
        <v>665079</v>
      </c>
      <c r="K9">
        <v>645258</v>
      </c>
      <c r="L9" s="13">
        <f t="shared" si="0"/>
        <v>3.2283382876319953E-2</v>
      </c>
      <c r="M9" s="13">
        <f t="shared" si="1"/>
        <v>4.4975808126361858E-2</v>
      </c>
      <c r="N9" s="14">
        <v>2.7749151102006948E-2</v>
      </c>
      <c r="O9" s="14">
        <v>2.7880454930793382E-2</v>
      </c>
      <c r="P9" s="15">
        <f t="shared" si="2"/>
        <v>-0.28220560738746214</v>
      </c>
      <c r="Q9" s="14">
        <f t="shared" si="3"/>
        <v>-0.26015643844112879</v>
      </c>
      <c r="R9" s="12">
        <f t="shared" si="4"/>
        <v>3.071794537998751E-2</v>
      </c>
      <c r="S9" s="12">
        <f t="shared" si="5"/>
        <v>-0.2908743838211163</v>
      </c>
      <c r="T9" s="12"/>
      <c r="U9" s="12"/>
    </row>
    <row r="10" spans="1:24" hidden="1" x14ac:dyDescent="0.35">
      <c r="A10" t="s">
        <v>177</v>
      </c>
      <c r="B10" t="s">
        <v>178</v>
      </c>
      <c r="C10" t="s">
        <v>179</v>
      </c>
      <c r="D10" t="s">
        <v>384</v>
      </c>
      <c r="E10" t="s">
        <v>83</v>
      </c>
      <c r="F10" t="s">
        <v>180</v>
      </c>
      <c r="G10" t="s">
        <v>179</v>
      </c>
      <c r="H10">
        <v>14677</v>
      </c>
      <c r="I10">
        <v>18935</v>
      </c>
      <c r="J10">
        <v>4091860</v>
      </c>
      <c r="K10">
        <v>3756605</v>
      </c>
      <c r="L10" s="13">
        <f t="shared" si="0"/>
        <v>3.5868773613955511E-3</v>
      </c>
      <c r="M10" s="13">
        <f t="shared" si="1"/>
        <v>5.0404554112024021E-3</v>
      </c>
      <c r="N10" s="14">
        <v>0.38513352552392233</v>
      </c>
      <c r="O10" s="14">
        <v>0.41812479415734655</v>
      </c>
      <c r="P10" s="15">
        <f t="shared" si="2"/>
        <v>-0.28838228517531905</v>
      </c>
      <c r="Q10" s="14">
        <f t="shared" si="3"/>
        <v>-0.22487457090044893</v>
      </c>
      <c r="R10" s="12">
        <f t="shared" si="4"/>
        <v>8.9244144646562606E-2</v>
      </c>
      <c r="S10" s="12">
        <f t="shared" si="5"/>
        <v>-0.31411871554701154</v>
      </c>
      <c r="T10" s="12"/>
      <c r="U10" s="12"/>
    </row>
    <row r="11" spans="1:24" hidden="1" x14ac:dyDescent="0.35">
      <c r="A11" t="s">
        <v>181</v>
      </c>
      <c r="B11" t="s">
        <v>182</v>
      </c>
      <c r="C11" t="s">
        <v>183</v>
      </c>
      <c r="D11" t="s">
        <v>384</v>
      </c>
      <c r="E11" t="s">
        <v>66</v>
      </c>
      <c r="F11" s="2" t="s">
        <v>184</v>
      </c>
      <c r="G11" s="2" t="s">
        <v>185</v>
      </c>
      <c r="H11">
        <v>5628</v>
      </c>
      <c r="I11">
        <v>5511</v>
      </c>
      <c r="J11">
        <v>2177698</v>
      </c>
      <c r="K11">
        <v>1822766</v>
      </c>
      <c r="L11" s="13">
        <f t="shared" si="0"/>
        <v>2.5843803869958094E-3</v>
      </c>
      <c r="M11" s="13">
        <f t="shared" si="1"/>
        <v>3.0234270334206365E-3</v>
      </c>
      <c r="N11" s="14">
        <v>4.5727382812921477E-2</v>
      </c>
      <c r="O11" s="14">
        <v>4.8331583517994353E-2</v>
      </c>
      <c r="P11" s="15">
        <f t="shared" si="2"/>
        <v>-0.14521489739016447</v>
      </c>
      <c r="Q11" s="14">
        <f t="shared" si="3"/>
        <v>2.1230266739248771E-2</v>
      </c>
      <c r="R11" s="12">
        <f t="shared" si="4"/>
        <v>0.19472164830812067</v>
      </c>
      <c r="S11" s="12">
        <f t="shared" si="5"/>
        <v>-0.17349138156887189</v>
      </c>
      <c r="T11" s="12"/>
      <c r="U11" s="12"/>
    </row>
    <row r="12" spans="1:24" x14ac:dyDescent="0.35">
      <c r="A12" t="s">
        <v>186</v>
      </c>
      <c r="B12" t="s">
        <v>187</v>
      </c>
      <c r="C12" t="s">
        <v>188</v>
      </c>
      <c r="D12" t="s">
        <v>70</v>
      </c>
      <c r="E12" t="s">
        <v>70</v>
      </c>
      <c r="F12" t="s">
        <v>189</v>
      </c>
      <c r="G12" s="26" t="s">
        <v>188</v>
      </c>
      <c r="H12">
        <v>302155</v>
      </c>
      <c r="I12">
        <v>304882</v>
      </c>
      <c r="J12" s="25">
        <v>1031108</v>
      </c>
      <c r="K12" s="25">
        <v>795035</v>
      </c>
      <c r="L12" s="13">
        <f t="shared" si="0"/>
        <v>0.29303913848015922</v>
      </c>
      <c r="M12" s="13">
        <f t="shared" si="1"/>
        <v>0.38348248819234371</v>
      </c>
      <c r="N12" s="14">
        <v>0.10617518574077597</v>
      </c>
      <c r="O12" s="14">
        <v>7.7184806660085703E-2</v>
      </c>
      <c r="P12" s="15">
        <f t="shared" si="2"/>
        <v>-0.23584740502367008</v>
      </c>
      <c r="Q12" s="13">
        <f>H12/I12-1</f>
        <v>-8.9444440800047209E-3</v>
      </c>
      <c r="R12" s="12">
        <f t="shared" si="4"/>
        <v>0.29693409724100195</v>
      </c>
      <c r="S12" s="12">
        <f t="shared" si="5"/>
        <v>-0.30587854132100667</v>
      </c>
      <c r="T12" s="21">
        <v>1</v>
      </c>
      <c r="U12" s="21">
        <v>1</v>
      </c>
      <c r="X12" t="s">
        <v>378</v>
      </c>
    </row>
    <row r="13" spans="1:24" x14ac:dyDescent="0.35">
      <c r="A13" t="s">
        <v>186</v>
      </c>
      <c r="B13" t="s">
        <v>187</v>
      </c>
      <c r="C13" t="s">
        <v>188</v>
      </c>
      <c r="D13" t="s">
        <v>119</v>
      </c>
      <c r="E13" t="s">
        <v>119</v>
      </c>
      <c r="F13" t="s">
        <v>190</v>
      </c>
      <c r="G13" s="26" t="s">
        <v>188</v>
      </c>
      <c r="H13">
        <v>5747</v>
      </c>
      <c r="I13">
        <v>4571</v>
      </c>
      <c r="J13" s="25">
        <v>1031108</v>
      </c>
      <c r="K13" s="25">
        <v>795035</v>
      </c>
      <c r="L13" s="13">
        <f t="shared" si="0"/>
        <v>5.5736159548757259E-3</v>
      </c>
      <c r="M13" s="13">
        <f t="shared" si="1"/>
        <v>5.7494324149251295E-3</v>
      </c>
      <c r="N13" s="14">
        <v>0.10617518574077597</v>
      </c>
      <c r="O13" s="14">
        <v>7.7184806660085703E-2</v>
      </c>
      <c r="P13" s="15">
        <f t="shared" si="2"/>
        <v>-3.0579794205945698E-2</v>
      </c>
      <c r="Q13" s="16">
        <f t="shared" si="3"/>
        <v>0.25727411944869827</v>
      </c>
      <c r="R13" s="12">
        <f t="shared" si="4"/>
        <v>0.29693409724100195</v>
      </c>
      <c r="S13" s="12">
        <f t="shared" si="5"/>
        <v>-3.965997779230368E-2</v>
      </c>
      <c r="T13" s="21">
        <v>7</v>
      </c>
      <c r="U13" s="21">
        <v>7</v>
      </c>
      <c r="X13" t="s">
        <v>381</v>
      </c>
    </row>
    <row r="14" spans="1:24" hidden="1" x14ac:dyDescent="0.35">
      <c r="A14" t="s">
        <v>191</v>
      </c>
      <c r="B14" t="s">
        <v>192</v>
      </c>
      <c r="C14" t="s">
        <v>193</v>
      </c>
      <c r="D14" t="s">
        <v>384</v>
      </c>
      <c r="E14" t="s">
        <v>50</v>
      </c>
      <c r="F14" t="s">
        <v>194</v>
      </c>
      <c r="G14" s="2" t="s">
        <v>195</v>
      </c>
      <c r="H14">
        <v>31442</v>
      </c>
      <c r="I14">
        <v>38431</v>
      </c>
      <c r="J14">
        <v>2716296</v>
      </c>
      <c r="K14">
        <v>2270172</v>
      </c>
      <c r="L14" s="13">
        <f t="shared" si="0"/>
        <v>1.1575321688063451E-2</v>
      </c>
      <c r="M14" s="13">
        <f t="shared" si="1"/>
        <v>1.6928673245903834E-2</v>
      </c>
      <c r="N14" s="14">
        <v>0.31384258950615962</v>
      </c>
      <c r="O14" s="14">
        <v>0.2705596011943765</v>
      </c>
      <c r="P14" s="15">
        <f t="shared" si="2"/>
        <v>-0.3162298356213894</v>
      </c>
      <c r="Q14" s="14">
        <f t="shared" si="3"/>
        <v>-0.18185839556607952</v>
      </c>
      <c r="R14" s="12">
        <f t="shared" si="4"/>
        <v>0.19651550631405912</v>
      </c>
      <c r="S14" s="12">
        <f t="shared" si="5"/>
        <v>-0.37837390188013864</v>
      </c>
      <c r="T14" s="12"/>
      <c r="U14" s="12"/>
    </row>
    <row r="15" spans="1:24" hidden="1" x14ac:dyDescent="0.35">
      <c r="A15" t="s">
        <v>196</v>
      </c>
      <c r="B15" t="s">
        <v>192</v>
      </c>
      <c r="C15" t="s">
        <v>197</v>
      </c>
      <c r="D15" t="s">
        <v>384</v>
      </c>
      <c r="E15" t="s">
        <v>80</v>
      </c>
      <c r="F15" t="s">
        <v>198</v>
      </c>
      <c r="G15" t="s">
        <v>197</v>
      </c>
      <c r="H15">
        <v>15077</v>
      </c>
      <c r="I15">
        <v>5809</v>
      </c>
      <c r="J15">
        <v>8654884</v>
      </c>
      <c r="K15">
        <v>8390445</v>
      </c>
      <c r="L15" s="13">
        <f t="shared" si="0"/>
        <v>1.7420221923251657E-3</v>
      </c>
      <c r="M15" s="13">
        <f t="shared" si="1"/>
        <v>6.9233515028106372E-4</v>
      </c>
      <c r="N15" s="14">
        <v>0.44309689304792904</v>
      </c>
      <c r="O15" s="14">
        <v>0.44969558724100661</v>
      </c>
      <c r="P15" s="15">
        <f t="shared" si="2"/>
        <v>1.5161544832989717</v>
      </c>
      <c r="Q15" s="14">
        <f t="shared" si="3"/>
        <v>1.5954553279394044</v>
      </c>
      <c r="R15" s="12">
        <f t="shared" si="4"/>
        <v>3.1516683560883774E-2</v>
      </c>
      <c r="S15" s="12">
        <f t="shared" si="5"/>
        <v>1.5639386443785206</v>
      </c>
      <c r="T15" s="12"/>
      <c r="U15" s="12"/>
    </row>
    <row r="16" spans="1:24" hidden="1" x14ac:dyDescent="0.35">
      <c r="A16" t="s">
        <v>191</v>
      </c>
      <c r="B16" t="s">
        <v>192</v>
      </c>
      <c r="C16" t="s">
        <v>199</v>
      </c>
      <c r="D16" t="s">
        <v>384</v>
      </c>
      <c r="E16" t="s">
        <v>74</v>
      </c>
      <c r="F16" t="s">
        <v>200</v>
      </c>
      <c r="G16" t="s">
        <v>199</v>
      </c>
      <c r="H16">
        <v>12684</v>
      </c>
      <c r="I16">
        <v>13383</v>
      </c>
      <c r="J16">
        <v>1055195</v>
      </c>
      <c r="K16">
        <v>867744</v>
      </c>
      <c r="L16" s="13">
        <f t="shared" si="0"/>
        <v>1.2020527011595013E-2</v>
      </c>
      <c r="M16" s="13">
        <f t="shared" si="1"/>
        <v>1.5422751410554264E-2</v>
      </c>
      <c r="N16" s="14">
        <v>0.12191790998990984</v>
      </c>
      <c r="O16" s="14">
        <v>0.10341792189262006</v>
      </c>
      <c r="P16" s="15">
        <f t="shared" si="2"/>
        <v>-0.2205977590114695</v>
      </c>
      <c r="Q16" s="14">
        <f t="shared" si="3"/>
        <v>-5.2230441605021327E-2</v>
      </c>
      <c r="R16" s="12">
        <f t="shared" si="4"/>
        <v>0.21602108455950142</v>
      </c>
      <c r="S16" s="12">
        <f t="shared" si="5"/>
        <v>-0.26825152616452275</v>
      </c>
      <c r="T16" s="12"/>
      <c r="U16" s="12"/>
    </row>
    <row r="17" spans="1:24" x14ac:dyDescent="0.35">
      <c r="A17" t="s">
        <v>201</v>
      </c>
      <c r="B17" t="s">
        <v>202</v>
      </c>
      <c r="C17" t="s">
        <v>203</v>
      </c>
      <c r="D17" t="s">
        <v>113</v>
      </c>
      <c r="E17" t="s">
        <v>113</v>
      </c>
      <c r="F17" t="s">
        <v>204</v>
      </c>
      <c r="G17" s="25" t="s">
        <v>203</v>
      </c>
      <c r="H17">
        <v>6682</v>
      </c>
      <c r="I17">
        <v>0</v>
      </c>
      <c r="J17" s="25">
        <v>1499522</v>
      </c>
      <c r="K17" s="25">
        <v>605502</v>
      </c>
      <c r="L17" s="13">
        <f t="shared" si="0"/>
        <v>4.456086672953114E-3</v>
      </c>
      <c r="M17" s="13">
        <f t="shared" si="1"/>
        <v>0</v>
      </c>
      <c r="N17" s="14">
        <v>0.23450249762216863</v>
      </c>
      <c r="O17" s="14">
        <v>0.12040939456646199</v>
      </c>
      <c r="P17" s="15" t="e">
        <f t="shared" si="2"/>
        <v>#DIV/0!</v>
      </c>
      <c r="Q17" s="14" t="e">
        <f t="shared" si="3"/>
        <v>#DIV/0!</v>
      </c>
      <c r="R17" s="12">
        <f t="shared" si="4"/>
        <v>1.4764938844132636</v>
      </c>
      <c r="S17" s="12" t="e">
        <f t="shared" si="5"/>
        <v>#DIV/0!</v>
      </c>
      <c r="T17" s="21">
        <v>16</v>
      </c>
      <c r="U17" s="21"/>
      <c r="X17" t="s">
        <v>379</v>
      </c>
    </row>
    <row r="18" spans="1:24" x14ac:dyDescent="0.35">
      <c r="A18" t="s">
        <v>205</v>
      </c>
      <c r="B18" t="s">
        <v>206</v>
      </c>
      <c r="C18" t="s">
        <v>207</v>
      </c>
      <c r="D18" t="s">
        <v>28</v>
      </c>
      <c r="E18" t="s">
        <v>28</v>
      </c>
      <c r="F18" s="2" t="s">
        <v>208</v>
      </c>
      <c r="G18" s="26" t="s">
        <v>206</v>
      </c>
      <c r="H18" s="17">
        <v>530823</v>
      </c>
      <c r="I18" s="17">
        <v>535661</v>
      </c>
      <c r="J18" s="27">
        <v>5900576</v>
      </c>
      <c r="K18" s="27">
        <v>5362687</v>
      </c>
      <c r="L18" s="13">
        <f t="shared" si="0"/>
        <v>8.996121734556084E-2</v>
      </c>
      <c r="M18" s="13">
        <f t="shared" si="1"/>
        <v>9.9886679942349801E-2</v>
      </c>
      <c r="N18" s="14">
        <v>0.16644388400016327</v>
      </c>
      <c r="O18" s="14">
        <v>0.16855773733343382</v>
      </c>
      <c r="P18" s="15">
        <f t="shared" si="2"/>
        <v>-9.9367228969042709E-2</v>
      </c>
      <c r="Q18" s="13">
        <f t="shared" si="3"/>
        <v>-9.0318316995263714E-3</v>
      </c>
      <c r="R18" s="12">
        <f t="shared" si="4"/>
        <v>0.1003021433098743</v>
      </c>
      <c r="S18" s="12">
        <f t="shared" si="5"/>
        <v>-0.10933397500940067</v>
      </c>
      <c r="T18" s="21">
        <v>4</v>
      </c>
      <c r="U18" s="21">
        <v>4</v>
      </c>
      <c r="X18" t="s">
        <v>382</v>
      </c>
    </row>
    <row r="19" spans="1:24" hidden="1" x14ac:dyDescent="0.35">
      <c r="A19" t="s">
        <v>209</v>
      </c>
      <c r="B19" t="s">
        <v>210</v>
      </c>
      <c r="C19" t="s">
        <v>211</v>
      </c>
      <c r="D19" t="s">
        <v>384</v>
      </c>
      <c r="E19" t="s">
        <v>34</v>
      </c>
      <c r="F19" t="s">
        <v>212</v>
      </c>
      <c r="G19" t="s">
        <v>211</v>
      </c>
      <c r="H19">
        <v>7417</v>
      </c>
      <c r="I19">
        <v>8044</v>
      </c>
      <c r="J19">
        <v>60241</v>
      </c>
      <c r="K19">
        <v>57478</v>
      </c>
      <c r="L19" s="13">
        <f t="shared" si="0"/>
        <v>0.12312212612672432</v>
      </c>
      <c r="M19" s="13">
        <f t="shared" si="1"/>
        <v>0.13994919795399979</v>
      </c>
      <c r="N19" s="14">
        <v>1.2256229892456623E-2</v>
      </c>
      <c r="O19" s="14">
        <v>1.3220955898251221E-2</v>
      </c>
      <c r="P19" s="15">
        <f t="shared" si="2"/>
        <v>-0.12023700080658128</v>
      </c>
      <c r="Q19" s="14">
        <f t="shared" si="3"/>
        <v>-7.7946295375435071E-2</v>
      </c>
      <c r="R19" s="12">
        <f t="shared" si="4"/>
        <v>4.8070566129649661E-2</v>
      </c>
      <c r="S19" s="12">
        <f t="shared" si="5"/>
        <v>-0.12601686150508473</v>
      </c>
      <c r="T19" s="12"/>
      <c r="U19" s="12"/>
    </row>
    <row r="20" spans="1:24" hidden="1" x14ac:dyDescent="0.35">
      <c r="A20" t="s">
        <v>213</v>
      </c>
      <c r="B20" t="s">
        <v>214</v>
      </c>
      <c r="C20" t="s">
        <v>215</v>
      </c>
      <c r="D20" t="s">
        <v>384</v>
      </c>
      <c r="E20" t="s">
        <v>103</v>
      </c>
      <c r="F20" t="s">
        <v>216</v>
      </c>
      <c r="G20" t="s">
        <v>217</v>
      </c>
      <c r="H20">
        <v>11109</v>
      </c>
      <c r="I20">
        <v>15240</v>
      </c>
      <c r="J20">
        <v>3223644</v>
      </c>
      <c r="K20">
        <v>2907294</v>
      </c>
      <c r="L20" s="13">
        <f t="shared" si="0"/>
        <v>3.4461001276815928E-3</v>
      </c>
      <c r="M20" s="13">
        <f t="shared" si="1"/>
        <v>5.2419879104074101E-3</v>
      </c>
      <c r="N20" s="14">
        <v>0.51974591549713611</v>
      </c>
      <c r="O20" s="14">
        <v>0.55217906341895895</v>
      </c>
      <c r="P20" s="15">
        <f t="shared" si="2"/>
        <v>-0.34259670442205192</v>
      </c>
      <c r="Q20" s="14">
        <f t="shared" si="3"/>
        <v>-0.27106299212598428</v>
      </c>
      <c r="R20" s="12">
        <f t="shared" si="4"/>
        <v>0.10881252463631119</v>
      </c>
      <c r="S20" s="12">
        <f t="shared" si="5"/>
        <v>-0.37987551676229547</v>
      </c>
      <c r="T20" s="12"/>
      <c r="U20" s="12"/>
    </row>
    <row r="21" spans="1:24" hidden="1" x14ac:dyDescent="0.35">
      <c r="A21" t="s">
        <v>218</v>
      </c>
      <c r="B21" t="s">
        <v>219</v>
      </c>
      <c r="C21" t="s">
        <v>220</v>
      </c>
      <c r="D21" t="s">
        <v>384</v>
      </c>
      <c r="E21" t="s">
        <v>63</v>
      </c>
      <c r="F21" t="s">
        <v>221</v>
      </c>
      <c r="G21" t="s">
        <v>220</v>
      </c>
      <c r="H21">
        <v>15545</v>
      </c>
      <c r="I21">
        <v>18190</v>
      </c>
      <c r="J21">
        <v>1907536</v>
      </c>
      <c r="K21">
        <v>1715886</v>
      </c>
      <c r="L21" s="13">
        <f t="shared" si="0"/>
        <v>8.1492564229456218E-3</v>
      </c>
      <c r="M21" s="13">
        <f t="shared" si="1"/>
        <v>1.0600937358309352E-2</v>
      </c>
      <c r="N21" s="14">
        <v>0.54020049485112975</v>
      </c>
      <c r="O21" s="14">
        <v>0.51717895701342464</v>
      </c>
      <c r="P21" s="15">
        <f t="shared" si="2"/>
        <v>-0.2312702030487922</v>
      </c>
      <c r="Q21" s="14">
        <f t="shared" si="3"/>
        <v>-0.14540956569543706</v>
      </c>
      <c r="R21" s="12">
        <f t="shared" si="4"/>
        <v>0.11169156925343526</v>
      </c>
      <c r="S21" s="12">
        <f t="shared" si="5"/>
        <v>-0.25710113494887232</v>
      </c>
      <c r="T21" s="12"/>
      <c r="U21" s="12"/>
      <c r="X21" t="s">
        <v>380</v>
      </c>
    </row>
    <row r="22" spans="1:24" hidden="1" x14ac:dyDescent="0.35">
      <c r="A22" t="s">
        <v>222</v>
      </c>
      <c r="B22" t="s">
        <v>223</v>
      </c>
      <c r="C22" t="s">
        <v>224</v>
      </c>
      <c r="D22" t="s">
        <v>384</v>
      </c>
      <c r="E22" t="s">
        <v>52</v>
      </c>
      <c r="F22" t="s">
        <v>225</v>
      </c>
      <c r="G22" t="s">
        <v>224</v>
      </c>
      <c r="H22">
        <v>10102</v>
      </c>
      <c r="I22">
        <v>10869</v>
      </c>
      <c r="J22">
        <v>1313664</v>
      </c>
      <c r="K22">
        <v>1103829</v>
      </c>
      <c r="L22" s="13">
        <f t="shared" si="0"/>
        <v>7.6899420247490986E-3</v>
      </c>
      <c r="M22" s="13">
        <f t="shared" si="1"/>
        <v>9.8466338536131962E-3</v>
      </c>
      <c r="N22" s="14">
        <v>0.41296423204843669</v>
      </c>
      <c r="O22" s="14">
        <v>0.39702822933946424</v>
      </c>
      <c r="P22" s="15">
        <f t="shared" si="2"/>
        <v>-0.2190283360716927</v>
      </c>
      <c r="Q22" s="14">
        <f t="shared" si="3"/>
        <v>-7.0567669518814991E-2</v>
      </c>
      <c r="R22" s="12">
        <f t="shared" si="4"/>
        <v>0.19009737921362824</v>
      </c>
      <c r="S22" s="12">
        <f t="shared" si="5"/>
        <v>-0.26066504873244323</v>
      </c>
      <c r="T22" s="12"/>
      <c r="U22" s="12"/>
    </row>
    <row r="23" spans="1:24" hidden="1" x14ac:dyDescent="0.35">
      <c r="A23" t="s">
        <v>222</v>
      </c>
      <c r="B23" t="s">
        <v>226</v>
      </c>
      <c r="C23" t="s">
        <v>227</v>
      </c>
      <c r="D23" t="s">
        <v>384</v>
      </c>
      <c r="E23" t="s">
        <v>125</v>
      </c>
      <c r="F23" t="s">
        <v>228</v>
      </c>
      <c r="G23" t="s">
        <v>227</v>
      </c>
      <c r="H23">
        <v>15387</v>
      </c>
      <c r="I23">
        <v>13281</v>
      </c>
      <c r="J23">
        <v>76436</v>
      </c>
      <c r="K23">
        <v>32328</v>
      </c>
      <c r="L23" s="13">
        <f t="shared" si="0"/>
        <v>0.20130566748652468</v>
      </c>
      <c r="M23" s="13">
        <f t="shared" si="1"/>
        <v>0.41082034149962882</v>
      </c>
      <c r="N23" s="14">
        <v>2.4028468497922076E-2</v>
      </c>
      <c r="O23" s="14">
        <v>1.1627823329597428E-2</v>
      </c>
      <c r="P23" s="15">
        <f t="shared" si="2"/>
        <v>-0.50999099326072062</v>
      </c>
      <c r="Q23" s="14">
        <f t="shared" si="3"/>
        <v>0.15857239665687817</v>
      </c>
      <c r="R23" s="12">
        <f t="shared" si="4"/>
        <v>1.3643900024746349</v>
      </c>
      <c r="S23" s="12">
        <f t="shared" si="5"/>
        <v>-1.2058176058177568</v>
      </c>
      <c r="T23" s="12"/>
      <c r="U23" s="12"/>
    </row>
    <row r="24" spans="1:24" hidden="1" x14ac:dyDescent="0.35">
      <c r="A24" t="s">
        <v>229</v>
      </c>
      <c r="B24" t="s">
        <v>230</v>
      </c>
      <c r="C24" t="s">
        <v>231</v>
      </c>
      <c r="D24" t="s">
        <v>384</v>
      </c>
      <c r="E24" t="s">
        <v>58</v>
      </c>
      <c r="F24" t="s">
        <v>232</v>
      </c>
      <c r="G24" s="2" t="s">
        <v>231</v>
      </c>
      <c r="H24">
        <v>133352</v>
      </c>
      <c r="I24">
        <v>136738</v>
      </c>
      <c r="J24">
        <v>569519</v>
      </c>
      <c r="K24">
        <v>534482</v>
      </c>
      <c r="L24" s="13">
        <f t="shared" si="0"/>
        <v>0.23414846563503589</v>
      </c>
      <c r="M24" s="13">
        <f t="shared" si="1"/>
        <v>0.25583275021422613</v>
      </c>
      <c r="N24" s="14">
        <v>0.18480994091795719</v>
      </c>
      <c r="O24" s="14">
        <v>0.18096783979760714</v>
      </c>
      <c r="P24" s="15">
        <f t="shared" si="2"/>
        <v>-8.47596117425643E-2</v>
      </c>
      <c r="Q24" s="14">
        <f t="shared" si="3"/>
        <v>-2.4762684842545624E-2</v>
      </c>
      <c r="R24" s="12">
        <f t="shared" si="4"/>
        <v>6.5553189817430635E-2</v>
      </c>
      <c r="S24" s="12">
        <f t="shared" si="5"/>
        <v>-9.0315874659976259E-2</v>
      </c>
      <c r="T24" s="12"/>
      <c r="U24" s="12"/>
    </row>
    <row r="25" spans="1:24" hidden="1" x14ac:dyDescent="0.35">
      <c r="A25" t="s">
        <v>229</v>
      </c>
      <c r="B25" t="s">
        <v>233</v>
      </c>
      <c r="C25" t="s">
        <v>234</v>
      </c>
      <c r="D25" t="s">
        <v>384</v>
      </c>
      <c r="E25" t="s">
        <v>36</v>
      </c>
      <c r="F25" t="s">
        <v>235</v>
      </c>
      <c r="G25" t="s">
        <v>234</v>
      </c>
      <c r="H25">
        <v>3398</v>
      </c>
      <c r="I25">
        <v>4142</v>
      </c>
      <c r="J25">
        <v>10903</v>
      </c>
      <c r="K25">
        <v>11239</v>
      </c>
      <c r="L25" s="13">
        <f t="shared" si="0"/>
        <v>0.3116573420159589</v>
      </c>
      <c r="M25" s="13">
        <f t="shared" si="1"/>
        <v>0.36853812616780851</v>
      </c>
      <c r="N25" s="14">
        <v>3.5380431308323114E-3</v>
      </c>
      <c r="O25" s="14">
        <v>3.8053621103896983E-3</v>
      </c>
      <c r="P25" s="15">
        <f t="shared" si="2"/>
        <v>-0.15434165453467841</v>
      </c>
      <c r="Q25" s="14">
        <f t="shared" si="3"/>
        <v>-0.17962337035248677</v>
      </c>
      <c r="R25" s="12">
        <f t="shared" si="4"/>
        <v>-2.9895898211584671E-2</v>
      </c>
      <c r="S25" s="12">
        <f t="shared" si="5"/>
        <v>-0.1497274721409021</v>
      </c>
      <c r="T25" s="12"/>
      <c r="U25" s="12"/>
    </row>
    <row r="26" spans="1:24" hidden="1" x14ac:dyDescent="0.35">
      <c r="A26" t="s">
        <v>236</v>
      </c>
      <c r="B26" t="s">
        <v>237</v>
      </c>
      <c r="C26" t="s">
        <v>238</v>
      </c>
      <c r="D26" t="s">
        <v>384</v>
      </c>
      <c r="E26" t="s">
        <v>87</v>
      </c>
      <c r="F26" t="s">
        <v>239</v>
      </c>
      <c r="G26" t="s">
        <v>238</v>
      </c>
      <c r="H26">
        <v>223369</v>
      </c>
      <c r="I26">
        <v>238247</v>
      </c>
      <c r="J26">
        <v>499511</v>
      </c>
      <c r="K26">
        <v>512919</v>
      </c>
      <c r="L26" s="13">
        <f t="shared" si="0"/>
        <v>0.4471753374800555</v>
      </c>
      <c r="M26" s="13">
        <f t="shared" si="1"/>
        <v>0.46449244422608638</v>
      </c>
      <c r="N26" s="14">
        <v>0.16957581518510345</v>
      </c>
      <c r="O26" s="14">
        <v>0.21073054933352617</v>
      </c>
      <c r="P26" s="15">
        <f t="shared" si="2"/>
        <v>-3.7281783506476041E-2</v>
      </c>
      <c r="Q26" s="14">
        <f t="shared" si="3"/>
        <v>-6.2447795774973058E-2</v>
      </c>
      <c r="R26" s="12">
        <f t="shared" si="4"/>
        <v>-2.6140579701668276E-2</v>
      </c>
      <c r="S26" s="12">
        <f t="shared" si="5"/>
        <v>-3.6307216073304782E-2</v>
      </c>
      <c r="T26" s="12"/>
      <c r="U26" s="12"/>
    </row>
    <row r="27" spans="1:24" x14ac:dyDescent="0.35">
      <c r="A27" t="s">
        <v>240</v>
      </c>
      <c r="B27" t="s">
        <v>241</v>
      </c>
      <c r="C27" t="s">
        <v>242</v>
      </c>
      <c r="D27" t="s">
        <v>81</v>
      </c>
      <c r="E27" t="s">
        <v>81</v>
      </c>
      <c r="F27" t="s">
        <v>243</v>
      </c>
      <c r="G27" s="25" t="s">
        <v>242</v>
      </c>
      <c r="H27">
        <v>72261</v>
      </c>
      <c r="I27">
        <v>48922</v>
      </c>
      <c r="J27" s="25">
        <v>467132</v>
      </c>
      <c r="K27" s="25">
        <v>309679</v>
      </c>
      <c r="L27" s="13">
        <f t="shared" si="0"/>
        <v>0.15469075122235257</v>
      </c>
      <c r="M27" s="13">
        <f t="shared" si="1"/>
        <v>0.15797648532835615</v>
      </c>
      <c r="N27" s="14">
        <v>0.15992999305339914</v>
      </c>
      <c r="O27" s="14">
        <v>0.12775193734491444</v>
      </c>
      <c r="P27" s="15">
        <f t="shared" si="2"/>
        <v>-2.0798880916828466E-2</v>
      </c>
      <c r="Q27" s="13">
        <f t="shared" si="3"/>
        <v>0.47706553288908871</v>
      </c>
      <c r="R27" s="12">
        <f t="shared" si="4"/>
        <v>0.5084393840073107</v>
      </c>
      <c r="S27" s="12">
        <f t="shared" si="5"/>
        <v>-3.1373851118221996E-2</v>
      </c>
      <c r="T27" s="21">
        <v>2</v>
      </c>
      <c r="U27" s="21">
        <v>2</v>
      </c>
    </row>
    <row r="28" spans="1:24" hidden="1" x14ac:dyDescent="0.35">
      <c r="A28" t="s">
        <v>205</v>
      </c>
      <c r="B28" t="s">
        <v>244</v>
      </c>
      <c r="C28" t="s">
        <v>245</v>
      </c>
      <c r="D28" t="s">
        <v>384</v>
      </c>
      <c r="E28" t="s">
        <v>78</v>
      </c>
      <c r="F28" t="s">
        <v>246</v>
      </c>
      <c r="G28" t="s">
        <v>245</v>
      </c>
      <c r="H28">
        <v>5123</v>
      </c>
      <c r="I28">
        <v>7928</v>
      </c>
      <c r="J28">
        <v>2471984</v>
      </c>
      <c r="K28">
        <v>2083144</v>
      </c>
      <c r="L28" s="13">
        <f t="shared" si="0"/>
        <v>2.0724244169865176E-3</v>
      </c>
      <c r="M28" s="13">
        <f t="shared" si="1"/>
        <v>3.8057858698198493E-3</v>
      </c>
      <c r="N28" s="14">
        <v>6.9729907410100239E-2</v>
      </c>
      <c r="O28" s="14">
        <v>6.5476511901537179E-2</v>
      </c>
      <c r="P28" s="15">
        <f t="shared" si="2"/>
        <v>-0.45545427728317833</v>
      </c>
      <c r="Q28" s="14">
        <f t="shared" si="3"/>
        <v>-0.35380928355196772</v>
      </c>
      <c r="R28" s="12">
        <f t="shared" si="4"/>
        <v>0.18666016367567484</v>
      </c>
      <c r="S28" s="12">
        <f t="shared" si="5"/>
        <v>-0.54046944722764256</v>
      </c>
      <c r="T28" s="12"/>
      <c r="U28" s="12"/>
    </row>
    <row r="29" spans="1:24" x14ac:dyDescent="0.35">
      <c r="A29" t="s">
        <v>247</v>
      </c>
      <c r="B29" t="s">
        <v>248</v>
      </c>
      <c r="C29" t="s">
        <v>249</v>
      </c>
      <c r="D29" t="s">
        <v>76</v>
      </c>
      <c r="E29" t="s">
        <v>76</v>
      </c>
      <c r="F29" t="s">
        <v>250</v>
      </c>
      <c r="G29" s="25" t="s">
        <v>249</v>
      </c>
      <c r="H29">
        <v>8925</v>
      </c>
      <c r="I29">
        <v>6309</v>
      </c>
      <c r="J29" s="25">
        <v>995778</v>
      </c>
      <c r="K29" s="25">
        <v>648707</v>
      </c>
      <c r="L29" s="13">
        <f t="shared" si="0"/>
        <v>8.9628411151883251E-3</v>
      </c>
      <c r="M29" s="13">
        <f t="shared" si="1"/>
        <v>9.7255001102192519E-3</v>
      </c>
      <c r="N29" s="14">
        <v>0.37204691974735521</v>
      </c>
      <c r="O29" s="14">
        <v>0.31829569630786864</v>
      </c>
      <c r="P29" s="15">
        <f t="shared" si="2"/>
        <v>-7.8418486081712979E-2</v>
      </c>
      <c r="Q29" s="13">
        <f t="shared" si="3"/>
        <v>0.41464574417498801</v>
      </c>
      <c r="R29" s="12">
        <f t="shared" si="4"/>
        <v>0.53501966218955554</v>
      </c>
      <c r="S29" s="12">
        <f t="shared" si="5"/>
        <v>-0.12037391801456754</v>
      </c>
      <c r="T29" s="21">
        <v>14</v>
      </c>
      <c r="U29" s="33">
        <v>9</v>
      </c>
    </row>
    <row r="30" spans="1:24" hidden="1" x14ac:dyDescent="0.35">
      <c r="A30" t="s">
        <v>251</v>
      </c>
      <c r="B30" t="s">
        <v>252</v>
      </c>
      <c r="C30" t="s">
        <v>253</v>
      </c>
      <c r="D30" t="s">
        <v>384</v>
      </c>
      <c r="E30" t="s">
        <v>115</v>
      </c>
      <c r="F30" t="s">
        <v>254</v>
      </c>
      <c r="G30" t="s">
        <v>253</v>
      </c>
      <c r="H30">
        <v>0</v>
      </c>
      <c r="I30">
        <v>1006</v>
      </c>
      <c r="J30">
        <v>1269</v>
      </c>
      <c r="K30">
        <v>1979</v>
      </c>
      <c r="L30" s="13">
        <f t="shared" si="0"/>
        <v>0</v>
      </c>
      <c r="M30" s="13">
        <f t="shared" si="1"/>
        <v>0.50833754421424959</v>
      </c>
      <c r="N30" s="14">
        <v>4.8709374309086891E-4</v>
      </c>
      <c r="O30" s="14">
        <v>1.0059216712837065E-3</v>
      </c>
      <c r="P30" s="15">
        <f t="shared" si="2"/>
        <v>-1</v>
      </c>
      <c r="Q30" s="14">
        <f t="shared" si="3"/>
        <v>-1</v>
      </c>
      <c r="R30" s="12">
        <f t="shared" si="4"/>
        <v>-0.35876705406771092</v>
      </c>
      <c r="S30" s="12">
        <f t="shared" si="5"/>
        <v>-0.64123294593228908</v>
      </c>
      <c r="T30" s="12"/>
      <c r="U30" s="12"/>
    </row>
    <row r="31" spans="1:24" hidden="1" x14ac:dyDescent="0.35">
      <c r="A31" t="s">
        <v>255</v>
      </c>
      <c r="B31" t="s">
        <v>256</v>
      </c>
      <c r="C31" t="s">
        <v>257</v>
      </c>
      <c r="D31" t="s">
        <v>384</v>
      </c>
      <c r="E31" t="s">
        <v>38</v>
      </c>
      <c r="F31" t="s">
        <v>258</v>
      </c>
      <c r="G31" t="s">
        <v>257</v>
      </c>
      <c r="H31">
        <v>6463</v>
      </c>
      <c r="I31">
        <v>4104</v>
      </c>
      <c r="J31">
        <v>23175</v>
      </c>
      <c r="K31">
        <v>20297</v>
      </c>
      <c r="L31" s="13">
        <f t="shared" si="0"/>
        <v>0.27887810140237324</v>
      </c>
      <c r="M31" s="13">
        <f t="shared" si="1"/>
        <v>0.20219736906932059</v>
      </c>
      <c r="N31" s="14">
        <v>9.7298604484006707E-3</v>
      </c>
      <c r="O31" s="14">
        <v>9.5685231088059458E-3</v>
      </c>
      <c r="P31" s="15">
        <f t="shared" si="2"/>
        <v>0.37923704292494387</v>
      </c>
      <c r="Q31" s="14">
        <f t="shared" si="3"/>
        <v>0.57480506822612076</v>
      </c>
      <c r="R31" s="12">
        <f t="shared" si="4"/>
        <v>0.14179435384539585</v>
      </c>
      <c r="S31" s="12">
        <f t="shared" si="5"/>
        <v>0.43301071438072491</v>
      </c>
      <c r="T31" s="12"/>
      <c r="U31" s="12"/>
    </row>
    <row r="32" spans="1:24" hidden="1" x14ac:dyDescent="0.35">
      <c r="A32" t="s">
        <v>259</v>
      </c>
      <c r="B32" t="s">
        <v>260</v>
      </c>
      <c r="C32" t="s">
        <v>261</v>
      </c>
      <c r="D32" t="s">
        <v>384</v>
      </c>
      <c r="E32" t="s">
        <v>111</v>
      </c>
      <c r="F32" t="s">
        <v>262</v>
      </c>
      <c r="G32" t="s">
        <v>261</v>
      </c>
      <c r="H32">
        <v>22244</v>
      </c>
      <c r="I32">
        <v>30848</v>
      </c>
      <c r="J32">
        <v>102525</v>
      </c>
      <c r="K32">
        <v>99082</v>
      </c>
      <c r="L32" s="13">
        <f t="shared" si="0"/>
        <v>0.21696171665447453</v>
      </c>
      <c r="M32" s="13">
        <f t="shared" si="1"/>
        <v>0.31133808360751702</v>
      </c>
      <c r="N32" s="14">
        <v>5.528489041431988E-2</v>
      </c>
      <c r="O32" s="14">
        <v>5.4615458817368776E-2</v>
      </c>
      <c r="P32" s="15">
        <f t="shared" si="2"/>
        <v>-0.30313145715901701</v>
      </c>
      <c r="Q32" s="14">
        <f t="shared" si="3"/>
        <v>-0.27891597510373445</v>
      </c>
      <c r="R32" s="12">
        <f t="shared" si="4"/>
        <v>3.4748995781272107E-2</v>
      </c>
      <c r="S32" s="12">
        <f t="shared" si="5"/>
        <v>-0.31366497088500656</v>
      </c>
      <c r="T32" s="12"/>
      <c r="U32" s="12"/>
    </row>
    <row r="33" spans="1:21" hidden="1" x14ac:dyDescent="0.35">
      <c r="A33" t="s">
        <v>259</v>
      </c>
      <c r="B33" t="s">
        <v>263</v>
      </c>
      <c r="C33" t="s">
        <v>264</v>
      </c>
      <c r="D33" t="s">
        <v>384</v>
      </c>
      <c r="E33" t="s">
        <v>93</v>
      </c>
      <c r="F33" t="s">
        <v>265</v>
      </c>
      <c r="G33" t="s">
        <v>264</v>
      </c>
      <c r="H33">
        <v>27012</v>
      </c>
      <c r="I33">
        <v>27214</v>
      </c>
      <c r="J33">
        <v>571056</v>
      </c>
      <c r="K33">
        <v>507352</v>
      </c>
      <c r="L33" s="13">
        <f t="shared" si="0"/>
        <v>4.7301840800201729E-2</v>
      </c>
      <c r="M33" s="13">
        <f t="shared" si="1"/>
        <v>5.3639287910563077E-2</v>
      </c>
      <c r="N33" s="14">
        <v>0.30793239093333191</v>
      </c>
      <c r="O33" s="14">
        <v>0.27965990050573952</v>
      </c>
      <c r="P33" s="15">
        <f t="shared" si="2"/>
        <v>-0.11814935203704158</v>
      </c>
      <c r="Q33" s="14">
        <f t="shared" si="3"/>
        <v>-7.4226501065628447E-3</v>
      </c>
      <c r="R33" s="12">
        <f t="shared" si="4"/>
        <v>0.12556174017250354</v>
      </c>
      <c r="S33" s="12">
        <f t="shared" si="5"/>
        <v>-0.13298439027906639</v>
      </c>
      <c r="T33" s="12"/>
      <c r="U33" s="12"/>
    </row>
    <row r="34" spans="1:21" x14ac:dyDescent="0.35">
      <c r="A34" t="s">
        <v>266</v>
      </c>
      <c r="B34" t="s">
        <v>267</v>
      </c>
      <c r="C34" t="s">
        <v>268</v>
      </c>
      <c r="D34" t="s">
        <v>109</v>
      </c>
      <c r="E34" t="s">
        <v>109</v>
      </c>
      <c r="F34" t="s">
        <v>269</v>
      </c>
      <c r="G34" s="25" t="s">
        <v>268</v>
      </c>
      <c r="H34">
        <v>18586</v>
      </c>
      <c r="I34">
        <v>17851</v>
      </c>
      <c r="J34" s="25">
        <v>423487</v>
      </c>
      <c r="K34" s="25">
        <v>404564</v>
      </c>
      <c r="L34" s="13">
        <f t="shared" si="0"/>
        <v>4.3888006007268228E-2</v>
      </c>
      <c r="M34" s="13">
        <f t="shared" si="1"/>
        <v>4.4124044650537368E-2</v>
      </c>
      <c r="N34" s="14">
        <v>0.24430692583802444</v>
      </c>
      <c r="O34" s="14">
        <v>0.25886976591509264</v>
      </c>
      <c r="P34" s="15">
        <f t="shared" si="2"/>
        <v>-5.3494335149592009E-3</v>
      </c>
      <c r="Q34" s="13">
        <f t="shared" si="3"/>
        <v>4.117416391238593E-2</v>
      </c>
      <c r="R34" s="12">
        <f t="shared" si="4"/>
        <v>4.6773810818560246E-2</v>
      </c>
      <c r="S34" s="12">
        <f t="shared" si="5"/>
        <v>-5.5996469061743159E-3</v>
      </c>
      <c r="T34" s="21">
        <v>8</v>
      </c>
      <c r="U34" s="34">
        <v>8</v>
      </c>
    </row>
    <row r="35" spans="1:21" hidden="1" x14ac:dyDescent="0.35">
      <c r="A35" t="s">
        <v>270</v>
      </c>
      <c r="B35" t="s">
        <v>271</v>
      </c>
      <c r="C35" t="s">
        <v>272</v>
      </c>
      <c r="D35" t="s">
        <v>384</v>
      </c>
      <c r="E35" t="s">
        <v>72</v>
      </c>
      <c r="F35" t="s">
        <v>273</v>
      </c>
      <c r="G35" t="s">
        <v>272</v>
      </c>
      <c r="H35">
        <v>18014</v>
      </c>
      <c r="I35">
        <v>23558</v>
      </c>
      <c r="J35">
        <v>58958</v>
      </c>
      <c r="K35">
        <v>62813</v>
      </c>
      <c r="L35" s="13">
        <f t="shared" si="0"/>
        <v>0.30553953661928829</v>
      </c>
      <c r="M35" s="13">
        <f t="shared" si="1"/>
        <v>0.37504975084775444</v>
      </c>
      <c r="N35" s="14">
        <v>0.13895389807659222</v>
      </c>
      <c r="O35" s="14">
        <v>0.21687175450226495</v>
      </c>
      <c r="P35" s="15">
        <f t="shared" si="2"/>
        <v>-0.18533598294985332</v>
      </c>
      <c r="Q35" s="14">
        <f t="shared" si="3"/>
        <v>-0.23533406910603616</v>
      </c>
      <c r="R35" s="12">
        <f t="shared" si="4"/>
        <v>-6.1372645789884217E-2</v>
      </c>
      <c r="S35" s="12">
        <f t="shared" si="5"/>
        <v>-0.17396142331615194</v>
      </c>
      <c r="T35" s="12"/>
      <c r="U35" s="12"/>
    </row>
    <row r="36" spans="1:21" hidden="1" x14ac:dyDescent="0.35">
      <c r="A36" s="18" t="s">
        <v>274</v>
      </c>
      <c r="B36" s="19" t="s">
        <v>275</v>
      </c>
      <c r="C36" t="s">
        <v>276</v>
      </c>
      <c r="D36" t="s">
        <v>384</v>
      </c>
      <c r="E36" t="s">
        <v>62</v>
      </c>
      <c r="F36" t="s">
        <v>277</v>
      </c>
      <c r="G36" t="s">
        <v>276</v>
      </c>
      <c r="H36">
        <v>10401</v>
      </c>
      <c r="I36">
        <v>9701</v>
      </c>
      <c r="J36">
        <v>63625</v>
      </c>
      <c r="K36">
        <v>56337</v>
      </c>
      <c r="L36" s="13">
        <f t="shared" ref="L36:L56" si="6">IFERROR(H36/J36,0)</f>
        <v>0.16347347740667975</v>
      </c>
      <c r="M36" s="13">
        <f t="shared" ref="M36:M56" si="7">IFERROR(I36/K36,0)</f>
        <v>0.17219589257503951</v>
      </c>
      <c r="N36" s="14">
        <v>4.0495892491281847E-2</v>
      </c>
      <c r="O36" s="14">
        <v>3.6156756937152951E-2</v>
      </c>
      <c r="P36" s="15">
        <f t="shared" si="2"/>
        <v>-5.0654025702492889E-2</v>
      </c>
      <c r="Q36" s="14">
        <f t="shared" si="3"/>
        <v>7.2157509535099473E-2</v>
      </c>
      <c r="R36" s="12">
        <f t="shared" si="4"/>
        <v>0.12936436089958647</v>
      </c>
      <c r="S36" s="12">
        <f t="shared" si="5"/>
        <v>-5.7206851364486999E-2</v>
      </c>
      <c r="T36" s="12"/>
      <c r="U36" s="12"/>
    </row>
    <row r="37" spans="1:21" x14ac:dyDescent="0.35">
      <c r="A37" t="s">
        <v>278</v>
      </c>
      <c r="B37" t="s">
        <v>279</v>
      </c>
      <c r="C37" t="s">
        <v>280</v>
      </c>
      <c r="D37" t="s">
        <v>40</v>
      </c>
      <c r="E37" t="s">
        <v>40</v>
      </c>
      <c r="F37" t="s">
        <v>281</v>
      </c>
      <c r="G37" s="25" t="s">
        <v>280</v>
      </c>
      <c r="H37">
        <v>2540</v>
      </c>
      <c r="I37">
        <v>3601</v>
      </c>
      <c r="J37" s="25">
        <v>608017</v>
      </c>
      <c r="K37" s="25">
        <v>475536</v>
      </c>
      <c r="L37" s="13">
        <f t="shared" si="6"/>
        <v>4.1775147734356109E-3</v>
      </c>
      <c r="M37" s="13">
        <f t="shared" si="7"/>
        <v>7.5725076545203728E-3</v>
      </c>
      <c r="N37" s="14">
        <v>0.5139246005784871</v>
      </c>
      <c r="O37" s="14">
        <v>0.60286004056795128</v>
      </c>
      <c r="P37" s="15">
        <f t="shared" si="2"/>
        <v>-0.44833138980825415</v>
      </c>
      <c r="Q37" s="14">
        <f t="shared" si="3"/>
        <v>-0.29464037767286866</v>
      </c>
      <c r="R37" s="12">
        <f t="shared" si="4"/>
        <v>0.27859299821674921</v>
      </c>
      <c r="S37" s="12">
        <f t="shared" si="5"/>
        <v>-0.57323337588961787</v>
      </c>
      <c r="T37" s="21">
        <v>17</v>
      </c>
      <c r="U37" s="21">
        <v>17</v>
      </c>
    </row>
    <row r="38" spans="1:21" hidden="1" x14ac:dyDescent="0.35">
      <c r="A38" t="s">
        <v>282</v>
      </c>
      <c r="B38" t="s">
        <v>283</v>
      </c>
      <c r="C38" t="s">
        <v>284</v>
      </c>
      <c r="D38" t="s">
        <v>384</v>
      </c>
      <c r="E38" t="s">
        <v>54</v>
      </c>
      <c r="F38" t="s">
        <v>285</v>
      </c>
      <c r="G38" t="s">
        <v>284</v>
      </c>
      <c r="H38">
        <v>6394</v>
      </c>
      <c r="I38">
        <v>0</v>
      </c>
      <c r="J38">
        <v>485827</v>
      </c>
      <c r="K38">
        <v>87975</v>
      </c>
      <c r="L38" s="13">
        <f t="shared" si="6"/>
        <v>1.3161063506145192E-2</v>
      </c>
      <c r="M38" s="13">
        <f t="shared" si="7"/>
        <v>0</v>
      </c>
      <c r="N38" s="14">
        <v>0.44225715214238831</v>
      </c>
      <c r="O38" s="14">
        <v>0.15274047401198312</v>
      </c>
      <c r="P38" s="15" t="e">
        <f t="shared" si="2"/>
        <v>#DIV/0!</v>
      </c>
      <c r="Q38" s="14" t="e">
        <f t="shared" si="3"/>
        <v>#DIV/0!</v>
      </c>
      <c r="R38" s="12">
        <f t="shared" si="4"/>
        <v>4.5223302074452967</v>
      </c>
      <c r="S38" s="12" t="e">
        <f t="shared" si="5"/>
        <v>#DIV/0!</v>
      </c>
      <c r="T38" s="12"/>
      <c r="U38" s="12"/>
    </row>
    <row r="39" spans="1:21" x14ac:dyDescent="0.35">
      <c r="A39" t="s">
        <v>286</v>
      </c>
      <c r="B39">
        <v>0</v>
      </c>
      <c r="C39" t="s">
        <v>287</v>
      </c>
      <c r="D39" t="s">
        <v>60</v>
      </c>
      <c r="E39" t="s">
        <v>60</v>
      </c>
      <c r="F39" t="s">
        <v>288</v>
      </c>
      <c r="G39" s="25" t="s">
        <v>287</v>
      </c>
      <c r="H39" s="20">
        <v>101262</v>
      </c>
      <c r="I39" s="20">
        <v>99826</v>
      </c>
      <c r="J39" s="28">
        <v>830325</v>
      </c>
      <c r="K39" s="29">
        <v>783295</v>
      </c>
      <c r="L39" s="13">
        <f t="shared" si="6"/>
        <v>0.12195465630927649</v>
      </c>
      <c r="M39" s="13">
        <f t="shared" si="7"/>
        <v>0.12744368341429474</v>
      </c>
      <c r="N39" s="14">
        <v>0.71277623615437535</v>
      </c>
      <c r="O39" s="14">
        <v>0.70755006813097054</v>
      </c>
      <c r="P39" s="15">
        <f t="shared" si="2"/>
        <v>-4.3070217039902103E-2</v>
      </c>
      <c r="Q39" s="16">
        <f t="shared" si="3"/>
        <v>1.4385029952116657E-2</v>
      </c>
      <c r="R39" s="12">
        <f t="shared" si="4"/>
        <v>6.0041236060488057E-2</v>
      </c>
      <c r="S39" s="12">
        <f t="shared" si="5"/>
        <v>-4.56562061083714E-2</v>
      </c>
      <c r="T39" s="21">
        <v>3</v>
      </c>
      <c r="U39" s="21">
        <v>3</v>
      </c>
    </row>
    <row r="40" spans="1:21" x14ac:dyDescent="0.35">
      <c r="A40" t="s">
        <v>289</v>
      </c>
      <c r="B40" t="s">
        <v>290</v>
      </c>
      <c r="C40" t="s">
        <v>291</v>
      </c>
      <c r="D40" t="s">
        <v>91</v>
      </c>
      <c r="E40" t="s">
        <v>91</v>
      </c>
      <c r="F40" t="s">
        <v>292</v>
      </c>
      <c r="G40" s="26" t="s">
        <v>293</v>
      </c>
      <c r="H40">
        <v>137598</v>
      </c>
      <c r="I40">
        <v>139295</v>
      </c>
      <c r="J40" s="25">
        <v>4688862</v>
      </c>
      <c r="K40" s="25">
        <v>4367706</v>
      </c>
      <c r="L40" s="13">
        <f t="shared" si="6"/>
        <v>2.9345713309540781E-2</v>
      </c>
      <c r="M40" s="13">
        <f t="shared" si="7"/>
        <v>3.1892027531157087E-2</v>
      </c>
      <c r="N40" s="14">
        <v>0.414279838753351</v>
      </c>
      <c r="O40" s="14">
        <v>0.45312507743300962</v>
      </c>
      <c r="P40" s="15">
        <f t="shared" si="2"/>
        <v>-7.9841716527074724E-2</v>
      </c>
      <c r="Q40" s="13">
        <f t="shared" si="3"/>
        <v>-1.2182777558419233E-2</v>
      </c>
      <c r="R40" s="12">
        <f t="shared" si="4"/>
        <v>7.3529674387424526E-2</v>
      </c>
      <c r="S40" s="12">
        <f t="shared" si="5"/>
        <v>-8.5712451945843759E-2</v>
      </c>
      <c r="T40" s="21">
        <v>9</v>
      </c>
      <c r="U40" s="21">
        <v>9</v>
      </c>
    </row>
    <row r="41" spans="1:21" hidden="1" x14ac:dyDescent="0.35">
      <c r="A41" t="s">
        <v>294</v>
      </c>
      <c r="B41" t="s">
        <v>295</v>
      </c>
      <c r="C41" t="s">
        <v>296</v>
      </c>
      <c r="D41" t="s">
        <v>384</v>
      </c>
      <c r="E41" t="s">
        <v>101</v>
      </c>
      <c r="F41" t="s">
        <v>297</v>
      </c>
      <c r="G41" t="s">
        <v>295</v>
      </c>
      <c r="H41">
        <v>6349</v>
      </c>
      <c r="I41">
        <v>2459</v>
      </c>
      <c r="J41">
        <v>1265337</v>
      </c>
      <c r="K41">
        <v>989387</v>
      </c>
      <c r="L41" s="13">
        <f t="shared" si="6"/>
        <v>5.0176356180211277E-3</v>
      </c>
      <c r="M41" s="13">
        <f t="shared" si="7"/>
        <v>2.4853773093844976E-3</v>
      </c>
      <c r="N41" s="14">
        <v>0.11761635712832998</v>
      </c>
      <c r="O41" s="14">
        <v>0.1112461008819973</v>
      </c>
      <c r="P41" s="15">
        <f t="shared" si="2"/>
        <v>1.0188627292424033</v>
      </c>
      <c r="Q41" s="14">
        <f t="shared" si="3"/>
        <v>1.581943879625864</v>
      </c>
      <c r="R41" s="12">
        <f t="shared" si="4"/>
        <v>0.27891007260050915</v>
      </c>
      <c r="S41" s="12">
        <f t="shared" si="5"/>
        <v>1.3030338070253549</v>
      </c>
      <c r="T41" s="12"/>
      <c r="U41" s="12"/>
    </row>
    <row r="42" spans="1:21" hidden="1" x14ac:dyDescent="0.35">
      <c r="A42" t="s">
        <v>177</v>
      </c>
      <c r="B42" t="s">
        <v>178</v>
      </c>
      <c r="C42" t="s">
        <v>298</v>
      </c>
      <c r="D42" t="s">
        <v>384</v>
      </c>
      <c r="E42" t="s">
        <v>99</v>
      </c>
      <c r="F42" t="s">
        <v>299</v>
      </c>
      <c r="G42" t="s">
        <v>298</v>
      </c>
      <c r="H42">
        <v>33380</v>
      </c>
      <c r="I42">
        <v>26220</v>
      </c>
      <c r="J42">
        <v>6013377</v>
      </c>
      <c r="K42">
        <v>4776706</v>
      </c>
      <c r="L42" s="13">
        <f t="shared" si="6"/>
        <v>5.55095747364584E-3</v>
      </c>
      <c r="M42" s="13">
        <f t="shared" si="7"/>
        <v>5.4891383308916224E-3</v>
      </c>
      <c r="N42" s="14">
        <v>0.5659903037529308</v>
      </c>
      <c r="O42" s="14">
        <v>0.53166601572434746</v>
      </c>
      <c r="P42" s="15">
        <f t="shared" si="2"/>
        <v>1.1262085053734827E-2</v>
      </c>
      <c r="Q42" s="14">
        <f t="shared" si="3"/>
        <v>0.27307398932112892</v>
      </c>
      <c r="R42" s="12">
        <f t="shared" si="4"/>
        <v>0.25889619331815683</v>
      </c>
      <c r="S42" s="12">
        <f t="shared" si="5"/>
        <v>1.4177796002972087E-2</v>
      </c>
      <c r="T42" s="12"/>
      <c r="U42" s="12"/>
    </row>
    <row r="43" spans="1:21" x14ac:dyDescent="0.35">
      <c r="A43" t="s">
        <v>300</v>
      </c>
      <c r="B43" t="s">
        <v>301</v>
      </c>
      <c r="C43" t="s">
        <v>302</v>
      </c>
      <c r="D43" t="s">
        <v>117</v>
      </c>
      <c r="E43" t="s">
        <v>117</v>
      </c>
      <c r="F43" t="s">
        <v>303</v>
      </c>
      <c r="G43" t="s">
        <v>302</v>
      </c>
      <c r="H43">
        <v>71797</v>
      </c>
      <c r="I43">
        <v>61647</v>
      </c>
      <c r="J43" s="25">
        <v>3475404</v>
      </c>
      <c r="K43" s="25">
        <v>3159382</v>
      </c>
      <c r="L43" s="13">
        <f t="shared" si="6"/>
        <v>2.065860544558273E-2</v>
      </c>
      <c r="M43" s="13">
        <f t="shared" si="7"/>
        <v>1.9512360328697194E-2</v>
      </c>
      <c r="N43" s="14">
        <v>0.29963988930954677</v>
      </c>
      <c r="O43" s="14">
        <v>0.2760036999721649</v>
      </c>
      <c r="P43" s="15">
        <f t="shared" si="2"/>
        <v>5.8744564859215531E-2</v>
      </c>
      <c r="Q43" s="13">
        <f t="shared" si="3"/>
        <v>0.16464710367090052</v>
      </c>
      <c r="R43" s="12">
        <f t="shared" si="4"/>
        <v>0.10002652417466451</v>
      </c>
      <c r="S43" s="12">
        <f t="shared" si="5"/>
        <v>6.4620579496236008E-2</v>
      </c>
      <c r="T43" s="21">
        <v>7</v>
      </c>
      <c r="U43" s="21">
        <v>7</v>
      </c>
    </row>
    <row r="44" spans="1:21" hidden="1" x14ac:dyDescent="0.35">
      <c r="A44" t="s">
        <v>300</v>
      </c>
      <c r="B44" t="s">
        <v>301</v>
      </c>
      <c r="C44" t="s">
        <v>305</v>
      </c>
      <c r="D44" t="s">
        <v>384</v>
      </c>
      <c r="E44" t="s">
        <v>32</v>
      </c>
      <c r="F44" t="s">
        <v>306</v>
      </c>
      <c r="G44" t="s">
        <v>304</v>
      </c>
      <c r="H44">
        <v>57332</v>
      </c>
      <c r="I44">
        <v>64721</v>
      </c>
      <c r="J44">
        <v>10295291</v>
      </c>
      <c r="K44">
        <v>8930055</v>
      </c>
      <c r="L44" s="13">
        <f t="shared" si="6"/>
        <v>5.5687595425908797E-3</v>
      </c>
      <c r="M44" s="13">
        <f t="shared" si="7"/>
        <v>7.2475477474662807E-3</v>
      </c>
      <c r="N44" s="14">
        <v>0.29963988930954677</v>
      </c>
      <c r="O44" s="14">
        <v>0.2760036999721649</v>
      </c>
      <c r="P44" s="15">
        <f t="shared" si="2"/>
        <v>-0.23163534251461815</v>
      </c>
      <c r="Q44" s="14">
        <f t="shared" si="3"/>
        <v>-0.11416696280959815</v>
      </c>
      <c r="R44" s="12">
        <f t="shared" si="4"/>
        <v>0.15288102928817349</v>
      </c>
      <c r="S44" s="12">
        <f t="shared" si="5"/>
        <v>-0.26704799209777164</v>
      </c>
      <c r="T44" s="12"/>
      <c r="U44" s="12"/>
    </row>
    <row r="45" spans="1:21" x14ac:dyDescent="0.35">
      <c r="A45" t="s">
        <v>186</v>
      </c>
      <c r="B45" t="s">
        <v>307</v>
      </c>
      <c r="C45" t="s">
        <v>308</v>
      </c>
      <c r="D45" t="s">
        <v>30</v>
      </c>
      <c r="E45" t="s">
        <v>30</v>
      </c>
      <c r="F45" t="s">
        <v>309</v>
      </c>
      <c r="G45" t="s">
        <v>307</v>
      </c>
      <c r="H45">
        <v>48977</v>
      </c>
      <c r="I45">
        <v>52981</v>
      </c>
      <c r="J45" s="25">
        <v>2013416</v>
      </c>
      <c r="K45" s="25">
        <v>2238792</v>
      </c>
      <c r="L45" s="13">
        <f t="shared" si="6"/>
        <v>2.432532571510309E-2</v>
      </c>
      <c r="M45" s="13">
        <f t="shared" si="7"/>
        <v>2.3664994336231326E-2</v>
      </c>
      <c r="N45" s="14">
        <v>0.61024144447382578</v>
      </c>
      <c r="O45" s="14">
        <v>0.62254533995158245</v>
      </c>
      <c r="P45" s="15">
        <f t="shared" si="2"/>
        <v>2.790329756643084E-2</v>
      </c>
      <c r="Q45" s="13">
        <f t="shared" si="3"/>
        <v>-7.5574262471452047E-2</v>
      </c>
      <c r="R45" s="12">
        <f t="shared" si="4"/>
        <v>-0.10066857483857361</v>
      </c>
      <c r="S45" s="12">
        <f t="shared" si="5"/>
        <v>2.5094312367121563E-2</v>
      </c>
      <c r="T45" s="21">
        <v>13</v>
      </c>
      <c r="U45" s="21">
        <v>13</v>
      </c>
    </row>
    <row r="46" spans="1:21" hidden="1" x14ac:dyDescent="0.35">
      <c r="A46" t="s">
        <v>310</v>
      </c>
      <c r="B46" t="s">
        <v>311</v>
      </c>
      <c r="C46" t="s">
        <v>312</v>
      </c>
      <c r="D46" t="s">
        <v>384</v>
      </c>
      <c r="E46" t="s">
        <v>127</v>
      </c>
      <c r="F46" t="s">
        <v>313</v>
      </c>
      <c r="G46" t="s">
        <v>312</v>
      </c>
      <c r="H46">
        <v>2678</v>
      </c>
      <c r="I46">
        <v>896</v>
      </c>
      <c r="J46">
        <v>16861</v>
      </c>
      <c r="K46">
        <v>13097</v>
      </c>
      <c r="L46" s="13">
        <f t="shared" si="6"/>
        <v>0.15882806476484193</v>
      </c>
      <c r="M46" s="13">
        <f t="shared" si="7"/>
        <v>6.8412613575628001E-2</v>
      </c>
      <c r="N46" s="14">
        <v>8.2652365942970304E-2</v>
      </c>
      <c r="O46" s="14">
        <v>7.0520897274362199E-2</v>
      </c>
      <c r="P46" s="15">
        <f t="shared" si="2"/>
        <v>1.3216196029298382</v>
      </c>
      <c r="Q46" s="14">
        <f t="shared" si="3"/>
        <v>1.9888392857142856</v>
      </c>
      <c r="R46" s="12">
        <f t="shared" si="4"/>
        <v>0.28739405970833021</v>
      </c>
      <c r="S46" s="12">
        <f t="shared" si="5"/>
        <v>1.7014452260059554</v>
      </c>
      <c r="T46" s="12"/>
      <c r="U46" s="12"/>
    </row>
    <row r="47" spans="1:21" x14ac:dyDescent="0.35">
      <c r="A47" t="s">
        <v>314</v>
      </c>
      <c r="B47" t="s">
        <v>315</v>
      </c>
      <c r="C47" t="s">
        <v>316</v>
      </c>
      <c r="D47" t="s">
        <v>383</v>
      </c>
      <c r="E47" t="s">
        <v>42</v>
      </c>
      <c r="F47" t="s">
        <v>317</v>
      </c>
      <c r="G47" s="26" t="s">
        <v>318</v>
      </c>
      <c r="H47">
        <v>391</v>
      </c>
      <c r="I47">
        <v>0</v>
      </c>
      <c r="J47" s="25">
        <v>31426</v>
      </c>
      <c r="K47" s="25">
        <v>21523</v>
      </c>
      <c r="L47" s="13">
        <f t="shared" si="6"/>
        <v>1.2441927066760007E-2</v>
      </c>
      <c r="M47" s="13">
        <f t="shared" si="7"/>
        <v>0</v>
      </c>
      <c r="N47" s="14">
        <v>0.16082413027235601</v>
      </c>
      <c r="O47" s="14">
        <v>0.13882044865262316</v>
      </c>
      <c r="P47" s="15" t="e">
        <f t="shared" si="2"/>
        <v>#DIV/0!</v>
      </c>
      <c r="Q47" s="14" t="e">
        <f t="shared" si="3"/>
        <v>#DIV/0!</v>
      </c>
      <c r="R47" s="12">
        <f t="shared" si="4"/>
        <v>0.46011243785717615</v>
      </c>
      <c r="S47" s="12" t="e">
        <f t="shared" si="5"/>
        <v>#DIV/0!</v>
      </c>
      <c r="T47" s="21">
        <v>3</v>
      </c>
      <c r="U47" s="21"/>
    </row>
    <row r="48" spans="1:21" x14ac:dyDescent="0.35">
      <c r="A48" t="s">
        <v>319</v>
      </c>
      <c r="B48" t="s">
        <v>320</v>
      </c>
      <c r="C48" t="s">
        <v>321</v>
      </c>
      <c r="D48" t="s">
        <v>85</v>
      </c>
      <c r="E48" t="s">
        <v>85</v>
      </c>
      <c r="F48" t="s">
        <v>322</v>
      </c>
      <c r="G48" s="26" t="s">
        <v>323</v>
      </c>
      <c r="H48">
        <v>388</v>
      </c>
      <c r="I48">
        <v>1029</v>
      </c>
      <c r="J48" s="25">
        <v>127894</v>
      </c>
      <c r="K48" s="25">
        <v>116709</v>
      </c>
      <c r="L48" s="13">
        <f t="shared" si="6"/>
        <v>3.0337623344332027E-3</v>
      </c>
      <c r="M48" s="13">
        <f t="shared" si="7"/>
        <v>8.816800760866772E-3</v>
      </c>
      <c r="N48" s="14">
        <v>2.8968037175051257E-2</v>
      </c>
      <c r="O48" s="14">
        <v>2.8381738258356524E-2</v>
      </c>
      <c r="P48" s="15">
        <f t="shared" si="2"/>
        <v>-0.65591120671587499</v>
      </c>
      <c r="Q48" s="14">
        <f t="shared" si="3"/>
        <v>-0.62293488824101062</v>
      </c>
      <c r="R48" s="12">
        <f t="shared" si="4"/>
        <v>9.5836653557137774E-2</v>
      </c>
      <c r="S48" s="12">
        <f t="shared" si="5"/>
        <v>-0.71877154179814839</v>
      </c>
      <c r="T48" s="21">
        <v>12</v>
      </c>
      <c r="U48" s="21">
        <v>8</v>
      </c>
    </row>
    <row r="49" spans="1:21" hidden="1" x14ac:dyDescent="0.35">
      <c r="A49" t="s">
        <v>324</v>
      </c>
      <c r="B49" t="s">
        <v>324</v>
      </c>
      <c r="C49" t="s">
        <v>325</v>
      </c>
      <c r="D49" t="s">
        <v>384</v>
      </c>
      <c r="E49" t="s">
        <v>121</v>
      </c>
      <c r="F49" t="s">
        <v>326</v>
      </c>
      <c r="G49" t="s">
        <v>325</v>
      </c>
      <c r="H49" s="20">
        <v>4421</v>
      </c>
      <c r="I49" s="20">
        <v>7247</v>
      </c>
      <c r="J49">
        <f>_xlfn.XLOOKUP($G49,[1]Sheet1!$C:$C,[1]Sheet1!D:D)</f>
        <v>373675</v>
      </c>
      <c r="K49">
        <f>_xlfn.XLOOKUP($G49,[1]Sheet1!$C:$C,[1]Sheet1!E:E)</f>
        <v>344035</v>
      </c>
      <c r="L49" s="13">
        <f t="shared" si="6"/>
        <v>1.183113668294641E-2</v>
      </c>
      <c r="M49" s="13">
        <f t="shared" si="7"/>
        <v>2.1064717252605114E-2</v>
      </c>
      <c r="N49" s="14">
        <v>0.78426207901071843</v>
      </c>
      <c r="O49" s="14">
        <v>0.73412613735297627</v>
      </c>
      <c r="P49" s="15">
        <f t="shared" si="2"/>
        <v>-0.43834343746136772</v>
      </c>
      <c r="Q49" s="14">
        <f t="shared" si="3"/>
        <v>-0.38995446391610322</v>
      </c>
      <c r="R49" s="12">
        <f t="shared" si="4"/>
        <v>8.6154025026523362E-2</v>
      </c>
      <c r="S49" s="12">
        <f t="shared" si="5"/>
        <v>-0.47610848894262658</v>
      </c>
      <c r="T49" s="12"/>
      <c r="U49" s="12"/>
    </row>
    <row r="50" spans="1:21" x14ac:dyDescent="0.35">
      <c r="A50" t="s">
        <v>229</v>
      </c>
      <c r="B50" t="s">
        <v>229</v>
      </c>
      <c r="C50" t="s">
        <v>327</v>
      </c>
      <c r="D50" t="s">
        <v>56</v>
      </c>
      <c r="E50" t="s">
        <v>56</v>
      </c>
      <c r="F50" t="s">
        <v>328</v>
      </c>
      <c r="G50" s="25" t="s">
        <v>327</v>
      </c>
      <c r="H50" s="20">
        <v>209860</v>
      </c>
      <c r="I50" s="20">
        <v>245482</v>
      </c>
      <c r="J50" s="25">
        <f>_xlfn.XLOOKUP($G50,[1]Sheet1!$C:$C,[1]Sheet1!D:D)</f>
        <v>2422475</v>
      </c>
      <c r="K50" s="25">
        <f>_xlfn.XLOOKUP($G50,[1]Sheet1!$C:$C,[1]Sheet1!E:E)</f>
        <v>2278975</v>
      </c>
      <c r="L50" s="13">
        <f t="shared" si="6"/>
        <v>8.663040898254884E-2</v>
      </c>
      <c r="M50" s="13">
        <f t="shared" si="7"/>
        <v>0.10771596880176396</v>
      </c>
      <c r="N50" s="14">
        <v>0.78609749916197413</v>
      </c>
      <c r="O50" s="14">
        <v>0.77162782414141495</v>
      </c>
      <c r="P50" s="15">
        <f t="shared" si="2"/>
        <v>-0.19575147541976912</v>
      </c>
      <c r="Q50" s="14">
        <f t="shared" si="3"/>
        <v>-0.14511043579569993</v>
      </c>
      <c r="R50" s="12">
        <f t="shared" si="4"/>
        <v>6.296690398095639E-2</v>
      </c>
      <c r="S50" s="12">
        <f t="shared" si="5"/>
        <v>-0.20807733977665632</v>
      </c>
      <c r="T50" s="21">
        <v>4</v>
      </c>
      <c r="U50" s="21">
        <v>3</v>
      </c>
    </row>
    <row r="51" spans="1:21" x14ac:dyDescent="0.35">
      <c r="A51" t="s">
        <v>329</v>
      </c>
      <c r="B51" t="s">
        <v>329</v>
      </c>
      <c r="C51" t="s">
        <v>330</v>
      </c>
      <c r="D51" t="s">
        <v>48</v>
      </c>
      <c r="E51" t="s">
        <v>48</v>
      </c>
      <c r="F51" t="s">
        <v>331</v>
      </c>
      <c r="G51" s="25" t="s">
        <v>330</v>
      </c>
      <c r="H51" s="20">
        <v>165324</v>
      </c>
      <c r="I51" s="20">
        <v>140113</v>
      </c>
      <c r="J51" s="25">
        <f>_xlfn.XLOOKUP($G51,[1]Sheet1!$C:$C,[1]Sheet1!D:D)</f>
        <v>1015206</v>
      </c>
      <c r="K51" s="25">
        <f>_xlfn.XLOOKUP($G51,[1]Sheet1!$C:$C,[1]Sheet1!E:E)</f>
        <v>952481</v>
      </c>
      <c r="L51" s="13">
        <f t="shared" si="6"/>
        <v>0.16284773730651711</v>
      </c>
      <c r="M51" s="13">
        <f t="shared" si="7"/>
        <v>0.14710319680917519</v>
      </c>
      <c r="N51" s="14">
        <v>0.13182819117260172</v>
      </c>
      <c r="O51" s="14">
        <v>0.13850445360684424</v>
      </c>
      <c r="P51" s="15">
        <f t="shared" si="2"/>
        <v>0.10703058015636469</v>
      </c>
      <c r="Q51" s="14">
        <f t="shared" si="3"/>
        <v>0.17993333951881696</v>
      </c>
      <c r="R51" s="12">
        <f t="shared" si="4"/>
        <v>6.5854332002423188E-2</v>
      </c>
      <c r="S51" s="12">
        <f t="shared" si="5"/>
        <v>0.11407900751639377</v>
      </c>
      <c r="T51" s="21">
        <v>2</v>
      </c>
      <c r="U51" s="21">
        <v>2</v>
      </c>
    </row>
    <row r="52" spans="1:21" x14ac:dyDescent="0.35">
      <c r="A52" t="s">
        <v>332</v>
      </c>
      <c r="B52" t="s">
        <v>332</v>
      </c>
      <c r="C52" t="s">
        <v>333</v>
      </c>
      <c r="D52" t="s">
        <v>385</v>
      </c>
      <c r="E52" t="s">
        <v>123</v>
      </c>
      <c r="F52" t="s">
        <v>334</v>
      </c>
      <c r="G52" t="s">
        <v>333</v>
      </c>
      <c r="H52" s="20">
        <v>2854</v>
      </c>
      <c r="I52" s="20">
        <v>4680</v>
      </c>
      <c r="J52">
        <f>_xlfn.XLOOKUP($G52,[1]Sheet1!$C:$C,[1]Sheet1!D:D)</f>
        <v>66793</v>
      </c>
      <c r="K52">
        <f>_xlfn.XLOOKUP($G52,[1]Sheet1!$C:$C,[1]Sheet1!E:E)</f>
        <v>53694</v>
      </c>
      <c r="L52" s="13">
        <f t="shared" si="6"/>
        <v>4.2729028491009534E-2</v>
      </c>
      <c r="M52" s="13">
        <f t="shared" si="7"/>
        <v>8.7160576600737519E-2</v>
      </c>
      <c r="N52" s="14">
        <v>0.14674716636237606</v>
      </c>
      <c r="O52" s="14">
        <v>0.1250879440885265</v>
      </c>
      <c r="P52" s="15">
        <f t="shared" si="2"/>
        <v>-0.50976656927430219</v>
      </c>
      <c r="Q52" s="14">
        <f t="shared" si="3"/>
        <v>-0.39017094017094012</v>
      </c>
      <c r="R52" s="12">
        <f t="shared" si="4"/>
        <v>0.24395649420791887</v>
      </c>
      <c r="S52" s="12">
        <f t="shared" si="5"/>
        <v>-0.63412743437885899</v>
      </c>
      <c r="T52" s="12"/>
      <c r="U52" s="12"/>
    </row>
    <row r="53" spans="1:21" hidden="1" x14ac:dyDescent="0.35">
      <c r="A53" t="s">
        <v>335</v>
      </c>
      <c r="B53" t="s">
        <v>335</v>
      </c>
      <c r="C53" t="s">
        <v>336</v>
      </c>
      <c r="D53" t="s">
        <v>384</v>
      </c>
      <c r="E53" t="s">
        <v>44</v>
      </c>
      <c r="F53" t="s">
        <v>337</v>
      </c>
      <c r="G53" t="s">
        <v>336</v>
      </c>
      <c r="H53" s="20">
        <v>35330</v>
      </c>
      <c r="I53" s="20">
        <v>30529</v>
      </c>
      <c r="J53">
        <f>_xlfn.XLOOKUP($G53,[1]Sheet1!$C:$C,[1]Sheet1!D:D)</f>
        <v>3317343</v>
      </c>
      <c r="K53">
        <f>_xlfn.XLOOKUP($G53,[1]Sheet1!$C:$C,[1]Sheet1!E:E)</f>
        <v>3681081</v>
      </c>
      <c r="L53" s="13">
        <f t="shared" si="6"/>
        <v>1.0650089544554181E-2</v>
      </c>
      <c r="M53" s="13">
        <f t="shared" si="7"/>
        <v>8.2934877010313011E-3</v>
      </c>
      <c r="N53" s="14">
        <v>0.74424392344031731</v>
      </c>
      <c r="O53" s="14">
        <v>0.77560172074022082</v>
      </c>
      <c r="P53" s="15">
        <f t="shared" si="2"/>
        <v>0.28415088180933035</v>
      </c>
      <c r="Q53" s="14">
        <f t="shared" si="3"/>
        <v>0.15726030986930462</v>
      </c>
      <c r="R53" s="12">
        <f t="shared" si="4"/>
        <v>-9.8812821559753794E-2</v>
      </c>
      <c r="S53" s="12">
        <f t="shared" si="5"/>
        <v>0.25607313142905841</v>
      </c>
      <c r="T53" s="12"/>
      <c r="U53" s="12"/>
    </row>
    <row r="54" spans="1:21" x14ac:dyDescent="0.35">
      <c r="A54" t="s">
        <v>301</v>
      </c>
      <c r="B54" t="s">
        <v>301</v>
      </c>
      <c r="C54" t="s">
        <v>338</v>
      </c>
      <c r="D54" t="s">
        <v>89</v>
      </c>
      <c r="E54" t="s">
        <v>89</v>
      </c>
      <c r="F54" t="s">
        <v>339</v>
      </c>
      <c r="G54" s="25" t="s">
        <v>386</v>
      </c>
      <c r="H54" s="20">
        <v>13415</v>
      </c>
      <c r="I54" s="20">
        <v>21338</v>
      </c>
      <c r="J54" s="25">
        <v>461623</v>
      </c>
      <c r="K54" s="25">
        <v>531454</v>
      </c>
      <c r="L54" s="13">
        <f t="shared" si="6"/>
        <v>2.9060510416508711E-2</v>
      </c>
      <c r="M54" s="13">
        <f t="shared" si="7"/>
        <v>4.0150229370745166E-2</v>
      </c>
      <c r="N54" s="14">
        <v>1.6110277990199597E-3</v>
      </c>
      <c r="O54" s="14">
        <v>3.0610113823487089E-3</v>
      </c>
      <c r="P54" s="15">
        <f t="shared" si="2"/>
        <v>-0.27620561894764184</v>
      </c>
      <c r="Q54" s="13">
        <f>H54/I54-1</f>
        <v>-0.37130940106851629</v>
      </c>
      <c r="R54" s="12">
        <f>J54/K54-1</f>
        <v>-0.13139613212055978</v>
      </c>
      <c r="S54" s="12">
        <f>Q54-R54</f>
        <v>-0.2399132689479565</v>
      </c>
      <c r="T54" s="21">
        <v>1</v>
      </c>
      <c r="U54" s="21">
        <v>1</v>
      </c>
    </row>
    <row r="55" spans="1:21" hidden="1" x14ac:dyDescent="0.35">
      <c r="A55" t="s">
        <v>340</v>
      </c>
      <c r="B55" t="s">
        <v>340</v>
      </c>
      <c r="C55" t="s">
        <v>341</v>
      </c>
      <c r="D55" t="s">
        <v>384</v>
      </c>
      <c r="E55" t="s">
        <v>95</v>
      </c>
      <c r="F55" t="s">
        <v>342</v>
      </c>
      <c r="G55" t="s">
        <v>341</v>
      </c>
      <c r="J55">
        <f>_xlfn.XLOOKUP($G55,[1]Sheet1!$C:$C,[1]Sheet1!D:D)</f>
        <v>135028</v>
      </c>
      <c r="K55">
        <f>_xlfn.XLOOKUP($G55,[1]Sheet1!$C:$C,[1]Sheet1!E:E)</f>
        <v>118606</v>
      </c>
      <c r="L55" s="13">
        <f t="shared" si="6"/>
        <v>0</v>
      </c>
      <c r="M55" s="13">
        <f t="shared" si="7"/>
        <v>0</v>
      </c>
      <c r="N55" s="14">
        <v>0.6845768924625969</v>
      </c>
      <c r="O55" s="14">
        <v>0.75204646473613124</v>
      </c>
      <c r="P55" s="15" t="e">
        <f t="shared" si="2"/>
        <v>#DIV/0!</v>
      </c>
      <c r="Q55" s="14" t="e">
        <f t="shared" si="3"/>
        <v>#DIV/0!</v>
      </c>
      <c r="R55" s="12">
        <f t="shared" si="4"/>
        <v>0.13845842537477027</v>
      </c>
      <c r="S55" s="12" t="e">
        <f t="shared" si="5"/>
        <v>#DIV/0!</v>
      </c>
      <c r="T55" s="12"/>
      <c r="U55" s="12"/>
    </row>
    <row r="56" spans="1:21" hidden="1" x14ac:dyDescent="0.35">
      <c r="A56" t="s">
        <v>343</v>
      </c>
      <c r="B56" t="s">
        <v>343</v>
      </c>
      <c r="C56" t="s">
        <v>344</v>
      </c>
      <c r="D56" t="s">
        <v>384</v>
      </c>
      <c r="E56" t="s">
        <v>65</v>
      </c>
      <c r="F56" t="s">
        <v>345</v>
      </c>
      <c r="G56" t="s">
        <v>344</v>
      </c>
      <c r="H56" s="20">
        <v>155</v>
      </c>
      <c r="I56" s="20">
        <v>368</v>
      </c>
      <c r="J56">
        <f>_xlfn.XLOOKUP($G56,[1]Sheet1!$C:$C,[1]Sheet1!D:D)</f>
        <v>162</v>
      </c>
      <c r="K56">
        <f>_xlfn.XLOOKUP($G56,[1]Sheet1!$C:$C,[1]Sheet1!E:E)</f>
        <v>368</v>
      </c>
      <c r="L56" s="13">
        <f t="shared" si="6"/>
        <v>0.95679012345679015</v>
      </c>
      <c r="M56" s="13">
        <f t="shared" si="7"/>
        <v>1</v>
      </c>
      <c r="N56" s="14">
        <v>5.7862309134744177E-4</v>
      </c>
      <c r="O56" s="14">
        <v>1.3417826749604392E-3</v>
      </c>
      <c r="P56" s="15">
        <f t="shared" si="2"/>
        <v>-4.3209876543209846E-2</v>
      </c>
      <c r="Q56" s="14">
        <f t="shared" si="3"/>
        <v>-0.57880434782608692</v>
      </c>
      <c r="R56" s="12">
        <f t="shared" si="4"/>
        <v>-0.55978260869565211</v>
      </c>
      <c r="S56" s="12">
        <f t="shared" si="5"/>
        <v>-1.9021739130434812E-2</v>
      </c>
      <c r="T56" s="12"/>
      <c r="U56" s="12"/>
    </row>
  </sheetData>
  <autoFilter ref="A3:V56" xr:uid="{AF689DFC-7400-42D9-9066-7C112C928C98}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2E6D-DABA-461B-B318-61F0EC0AB0B6}">
  <dimension ref="A1:C7"/>
  <sheetViews>
    <sheetView workbookViewId="0">
      <selection activeCell="B8" sqref="B8"/>
    </sheetView>
  </sheetViews>
  <sheetFormatPr defaultRowHeight="14.5" x14ac:dyDescent="0.35"/>
  <cols>
    <col min="1" max="1" width="59.36328125" customWidth="1"/>
    <col min="2" max="2" width="16.453125" customWidth="1"/>
    <col min="3" max="3" width="22.08984375" customWidth="1"/>
  </cols>
  <sheetData>
    <row r="1" spans="1:3" ht="15" thickBot="1" x14ac:dyDescent="0.4">
      <c r="A1" t="s">
        <v>391</v>
      </c>
      <c r="B1" t="s">
        <v>155</v>
      </c>
      <c r="C1" t="s">
        <v>156</v>
      </c>
    </row>
    <row r="2" spans="1:3" ht="15" thickBot="1" x14ac:dyDescent="0.4">
      <c r="A2" s="35" t="s">
        <v>387</v>
      </c>
      <c r="B2" s="36">
        <v>425499</v>
      </c>
      <c r="C2" s="36">
        <v>478995</v>
      </c>
    </row>
    <row r="3" spans="1:3" ht="15" thickBot="1" x14ac:dyDescent="0.4">
      <c r="A3" s="37" t="s">
        <v>388</v>
      </c>
      <c r="B3" s="38">
        <v>10974</v>
      </c>
      <c r="C3" s="38">
        <v>15309</v>
      </c>
    </row>
    <row r="4" spans="1:3" ht="15" thickBot="1" x14ac:dyDescent="0.4">
      <c r="A4" s="37" t="s">
        <v>389</v>
      </c>
      <c r="B4" s="38">
        <v>1653</v>
      </c>
      <c r="C4" s="38">
        <v>2551</v>
      </c>
    </row>
    <row r="5" spans="1:3" ht="15" thickBot="1" x14ac:dyDescent="0.4">
      <c r="A5" s="37" t="s">
        <v>392</v>
      </c>
      <c r="B5" s="38">
        <v>6911</v>
      </c>
      <c r="C5" s="38">
        <v>7264</v>
      </c>
    </row>
    <row r="6" spans="1:3" ht="15" thickBot="1" x14ac:dyDescent="0.4">
      <c r="A6" s="39" t="s">
        <v>390</v>
      </c>
      <c r="B6" s="40">
        <v>16586</v>
      </c>
      <c r="C6" s="40">
        <v>27335</v>
      </c>
    </row>
    <row r="7" spans="1:3" x14ac:dyDescent="0.35">
      <c r="B7">
        <f>SUM(B2:B6)</f>
        <v>461623</v>
      </c>
      <c r="C7">
        <f>SUM(C2:C6)</f>
        <v>531454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BB0C-6C05-436F-A7B3-F4B593081BF8}">
  <dimension ref="A1:C18"/>
  <sheetViews>
    <sheetView workbookViewId="0">
      <selection activeCell="C1" sqref="C1"/>
    </sheetView>
  </sheetViews>
  <sheetFormatPr defaultRowHeight="14.5" x14ac:dyDescent="0.35"/>
  <cols>
    <col min="1" max="1" width="17.26953125" customWidth="1"/>
    <col min="2" max="2" width="18.54296875" customWidth="1"/>
    <col min="3" max="3" width="16.7265625" customWidth="1"/>
  </cols>
  <sheetData>
    <row r="1" spans="1:3" x14ac:dyDescent="0.35">
      <c r="A1" t="s">
        <v>46</v>
      </c>
      <c r="B1" s="21">
        <v>1</v>
      </c>
      <c r="C1" s="21">
        <v>1</v>
      </c>
    </row>
    <row r="2" spans="1:3" x14ac:dyDescent="0.35">
      <c r="A2" t="s">
        <v>70</v>
      </c>
      <c r="B2" s="21">
        <v>1</v>
      </c>
      <c r="C2" s="21">
        <v>1</v>
      </c>
    </row>
    <row r="3" spans="1:3" x14ac:dyDescent="0.35">
      <c r="A3" t="s">
        <v>119</v>
      </c>
      <c r="B3" s="21">
        <v>7</v>
      </c>
      <c r="C3" s="21">
        <v>7</v>
      </c>
    </row>
    <row r="4" spans="1:3" x14ac:dyDescent="0.35">
      <c r="A4" t="s">
        <v>113</v>
      </c>
      <c r="B4" s="21">
        <v>16</v>
      </c>
      <c r="C4" s="21">
        <v>9</v>
      </c>
    </row>
    <row r="5" spans="1:3" x14ac:dyDescent="0.35">
      <c r="A5" t="s">
        <v>28</v>
      </c>
      <c r="B5" s="21">
        <v>4</v>
      </c>
      <c r="C5" s="21">
        <v>4</v>
      </c>
    </row>
    <row r="6" spans="1:3" x14ac:dyDescent="0.35">
      <c r="A6" t="s">
        <v>81</v>
      </c>
      <c r="B6" s="21">
        <v>2</v>
      </c>
      <c r="C6" s="21">
        <v>2</v>
      </c>
    </row>
    <row r="7" spans="1:3" x14ac:dyDescent="0.35">
      <c r="A7" t="s">
        <v>76</v>
      </c>
      <c r="B7" s="21">
        <v>14</v>
      </c>
      <c r="C7" s="33">
        <v>10</v>
      </c>
    </row>
    <row r="8" spans="1:3" x14ac:dyDescent="0.35">
      <c r="A8" t="s">
        <v>109</v>
      </c>
      <c r="B8" s="21">
        <v>8</v>
      </c>
      <c r="C8" s="34">
        <v>8</v>
      </c>
    </row>
    <row r="9" spans="1:3" x14ac:dyDescent="0.35">
      <c r="A9" t="s">
        <v>40</v>
      </c>
      <c r="B9" s="12">
        <v>0.17</v>
      </c>
      <c r="C9" s="12">
        <v>0.16</v>
      </c>
    </row>
    <row r="10" spans="1:3" x14ac:dyDescent="0.35">
      <c r="A10" t="s">
        <v>60</v>
      </c>
      <c r="B10" s="12">
        <v>0.02</v>
      </c>
      <c r="C10" s="12">
        <v>0.02</v>
      </c>
    </row>
    <row r="11" spans="1:3" x14ac:dyDescent="0.35">
      <c r="A11" t="s">
        <v>91</v>
      </c>
      <c r="B11" s="12">
        <v>0.01</v>
      </c>
      <c r="C11" s="12">
        <v>0.01</v>
      </c>
    </row>
    <row r="12" spans="1:3" x14ac:dyDescent="0.35">
      <c r="A12" t="s">
        <v>117</v>
      </c>
      <c r="B12" s="12">
        <v>0.26</v>
      </c>
      <c r="C12" s="12">
        <v>0.26</v>
      </c>
    </row>
    <row r="13" spans="1:3" x14ac:dyDescent="0.35">
      <c r="A13" t="s">
        <v>30</v>
      </c>
      <c r="B13" s="12">
        <v>0.04</v>
      </c>
      <c r="C13" s="12">
        <v>0.04</v>
      </c>
    </row>
    <row r="14" spans="1:3" x14ac:dyDescent="0.35">
      <c r="A14" t="s">
        <v>383</v>
      </c>
      <c r="B14" s="12">
        <v>0.03</v>
      </c>
      <c r="C14" s="12">
        <v>0.05</v>
      </c>
    </row>
    <row r="15" spans="1:3" x14ac:dyDescent="0.35">
      <c r="A15" t="s">
        <v>85</v>
      </c>
      <c r="B15" s="12">
        <v>0.11</v>
      </c>
      <c r="C15" s="12">
        <v>0.08</v>
      </c>
    </row>
    <row r="16" spans="1:3" x14ac:dyDescent="0.35">
      <c r="A16" t="s">
        <v>56</v>
      </c>
      <c r="B16" s="12">
        <v>0.04</v>
      </c>
      <c r="C16" s="12">
        <v>0.03</v>
      </c>
    </row>
    <row r="17" spans="1:3" x14ac:dyDescent="0.35">
      <c r="A17" t="s">
        <v>48</v>
      </c>
      <c r="B17" s="12">
        <v>0.02</v>
      </c>
      <c r="C17" s="12">
        <v>0.02</v>
      </c>
    </row>
    <row r="18" spans="1:3" x14ac:dyDescent="0.35">
      <c r="A18" t="s">
        <v>89</v>
      </c>
      <c r="B18" s="12">
        <v>0.01</v>
      </c>
      <c r="C18" s="12">
        <v>0.01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95C2-3D6A-4C00-AA20-44D1DB04A739}">
  <dimension ref="A1:C12"/>
  <sheetViews>
    <sheetView workbookViewId="0">
      <selection activeCell="C14" sqref="C14"/>
    </sheetView>
  </sheetViews>
  <sheetFormatPr defaultRowHeight="14.5" x14ac:dyDescent="0.35"/>
  <cols>
    <col min="1" max="1" width="51.08984375" customWidth="1"/>
    <col min="2" max="2" width="11.08984375" customWidth="1"/>
    <col min="3" max="3" width="11.54296875" customWidth="1"/>
  </cols>
  <sheetData>
    <row r="1" spans="1:3" x14ac:dyDescent="0.35">
      <c r="A1" s="4" t="s">
        <v>361</v>
      </c>
      <c r="B1" s="7" t="s">
        <v>155</v>
      </c>
      <c r="C1" s="7" t="s">
        <v>156</v>
      </c>
    </row>
    <row r="2" spans="1:3" x14ac:dyDescent="0.35">
      <c r="A2" t="s">
        <v>362</v>
      </c>
      <c r="B2" s="21">
        <v>1421771</v>
      </c>
      <c r="C2" s="21">
        <v>1305010</v>
      </c>
    </row>
    <row r="3" spans="1:3" x14ac:dyDescent="0.35">
      <c r="A3" t="s">
        <v>368</v>
      </c>
      <c r="B3" s="21">
        <f>1301355+363434</f>
        <v>1664789</v>
      </c>
      <c r="C3" s="21">
        <f>1393850+301917</f>
        <v>1695767</v>
      </c>
    </row>
    <row r="4" spans="1:3" x14ac:dyDescent="0.35">
      <c r="A4" t="s">
        <v>363</v>
      </c>
      <c r="B4" s="21">
        <v>12</v>
      </c>
      <c r="C4" s="21">
        <v>486</v>
      </c>
    </row>
    <row r="5" spans="1:3" x14ac:dyDescent="0.35">
      <c r="A5" t="s">
        <v>364</v>
      </c>
      <c r="B5" s="21">
        <v>10052</v>
      </c>
      <c r="C5" s="21">
        <v>13764</v>
      </c>
    </row>
    <row r="6" spans="1:3" x14ac:dyDescent="0.35">
      <c r="A6" t="s">
        <v>365</v>
      </c>
      <c r="B6" s="21">
        <v>0</v>
      </c>
      <c r="C6" s="21">
        <v>0</v>
      </c>
    </row>
    <row r="7" spans="1:3" x14ac:dyDescent="0.35">
      <c r="A7" t="s">
        <v>366</v>
      </c>
      <c r="B7" s="21">
        <f>156457+339+21342</f>
        <v>178138</v>
      </c>
      <c r="C7" s="21">
        <f>156668+308+27885</f>
        <v>184861</v>
      </c>
    </row>
    <row r="8" spans="1:3" x14ac:dyDescent="0.35">
      <c r="A8" t="s">
        <v>367</v>
      </c>
      <c r="B8" s="21">
        <f>7041+1407059</f>
        <v>1414100</v>
      </c>
      <c r="C8" s="21">
        <f>10773+1157045</f>
        <v>1167818</v>
      </c>
    </row>
    <row r="9" spans="1:3" x14ac:dyDescent="0.35">
      <c r="B9" s="23">
        <f>SUM(B2:B8)</f>
        <v>4688862</v>
      </c>
      <c r="C9" s="23">
        <f>SUM(C2:C8)</f>
        <v>4367706</v>
      </c>
    </row>
    <row r="11" spans="1:3" x14ac:dyDescent="0.35">
      <c r="B11" s="21">
        <v>4811758</v>
      </c>
      <c r="C11" s="21">
        <v>4480310</v>
      </c>
    </row>
    <row r="12" spans="1:3" x14ac:dyDescent="0.35">
      <c r="B12" s="22">
        <f>B9-B11</f>
        <v>-122896</v>
      </c>
      <c r="C12" s="22">
        <f>C9-C11</f>
        <v>-112604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3_Years_CountRx_with_RxShare_wi</vt:lpstr>
      <vt:lpstr>Sheet1</vt:lpstr>
      <vt:lpstr>BBB_Brands_Growths</vt:lpstr>
      <vt:lpstr>Updated_List_for_BBB_Rx&amp;IQVIA</vt:lpstr>
      <vt:lpstr>Phenergan Plus selected Market</vt:lpstr>
      <vt:lpstr>Sheet2</vt:lpstr>
      <vt:lpstr>Profenid selected mkt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BOS-Mohammad Walihullah</dc:creator>
  <cp:lastModifiedBy>Mohammad Walihullah</cp:lastModifiedBy>
  <dcterms:created xsi:type="dcterms:W3CDTF">2025-12-23T09:12:53Z</dcterms:created>
  <dcterms:modified xsi:type="dcterms:W3CDTF">2026-05-13T18:51:23Z</dcterms:modified>
</cp:coreProperties>
</file>